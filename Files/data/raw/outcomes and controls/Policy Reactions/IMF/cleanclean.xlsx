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Policy Reactions/IMF/"/>
    </mc:Choice>
  </mc:AlternateContent>
  <xr:revisionPtr revIDLastSave="2020" documentId="13_ncr:1_{9EC61FE1-80C3-477C-B786-26F851794214}" xr6:coauthVersionLast="47" xr6:coauthVersionMax="47" xr10:uidLastSave="{CD850135-CE87-4E1A-A1C3-F8554DC7B421}"/>
  <bookViews>
    <workbookView xWindow="28695" yWindow="-6090" windowWidth="25995" windowHeight="20985" xr2:uid="{00000000-000D-0000-FFFF-FFFF00000000}"/>
  </bookViews>
  <sheets>
    <sheet name="diff (2)" sheetId="3" r:id="rId1"/>
    <sheet name="diff" sheetId="2" r:id="rId2"/>
  </sheets>
  <externalReferences>
    <externalReference r:id="rId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71" i="3" l="1"/>
  <c r="AD271" i="3"/>
  <c r="AE270" i="3"/>
  <c r="AD270" i="3"/>
  <c r="R2" i="3"/>
  <c r="Q2" i="3"/>
  <c r="O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218" i="3"/>
  <c r="AR2" i="3"/>
  <c r="V14" i="3"/>
  <c r="X2" i="3"/>
  <c r="V2" i="3"/>
  <c r="AS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2" i="3"/>
  <c r="BD142" i="3"/>
  <c r="BD182" i="3"/>
  <c r="BD202" i="3"/>
  <c r="BD213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218" i="3"/>
  <c r="P2" i="3"/>
  <c r="N2" i="3"/>
  <c r="O10" i="3"/>
  <c r="O18" i="3"/>
  <c r="O26" i="3"/>
  <c r="AX182" i="3"/>
  <c r="BC142" i="3"/>
  <c r="AY182" i="3"/>
  <c r="BE142" i="3"/>
  <c r="BE182" i="3"/>
  <c r="BE202" i="3"/>
  <c r="BC182" i="3"/>
  <c r="BC202" i="3"/>
  <c r="BC213" i="3"/>
  <c r="AV142" i="3"/>
  <c r="AW142" i="3"/>
  <c r="AW213" i="3"/>
  <c r="E142" i="3"/>
  <c r="AS218" i="3"/>
  <c r="H3" i="3"/>
  <c r="H4" i="3"/>
  <c r="H5" i="3"/>
  <c r="BA5" i="3" s="1"/>
  <c r="H6" i="3"/>
  <c r="BA6" i="3" s="1"/>
  <c r="H7" i="3"/>
  <c r="H8" i="3"/>
  <c r="AZ8" i="3" s="1"/>
  <c r="H9" i="3"/>
  <c r="H10" i="3"/>
  <c r="H11" i="3"/>
  <c r="H12" i="3"/>
  <c r="H13" i="3"/>
  <c r="H14" i="3"/>
  <c r="H15" i="3"/>
  <c r="H16" i="3"/>
  <c r="AZ16" i="3" s="1"/>
  <c r="H17" i="3"/>
  <c r="H18" i="3"/>
  <c r="H19" i="3"/>
  <c r="H20" i="3"/>
  <c r="H21" i="3"/>
  <c r="H22" i="3"/>
  <c r="BA22" i="3" s="1"/>
  <c r="H23" i="3"/>
  <c r="H24" i="3"/>
  <c r="AZ24" i="3" s="1"/>
  <c r="H25" i="3"/>
  <c r="H26" i="3"/>
  <c r="BA26" i="3" s="1"/>
  <c r="H27" i="3"/>
  <c r="BA27" i="3" s="1"/>
  <c r="H28" i="3"/>
  <c r="H29" i="3"/>
  <c r="H30" i="3"/>
  <c r="H31" i="3"/>
  <c r="H32" i="3"/>
  <c r="BA32" i="3" s="1"/>
  <c r="H33" i="3"/>
  <c r="H35" i="3"/>
  <c r="H36" i="3"/>
  <c r="H37" i="3"/>
  <c r="H38" i="3"/>
  <c r="H39" i="3"/>
  <c r="AZ39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C22" i="3" s="1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AS37" i="3" s="1"/>
  <c r="D38" i="3"/>
  <c r="D39" i="3"/>
  <c r="Q3" i="3"/>
  <c r="O3" i="3" s="1"/>
  <c r="R3" i="3"/>
  <c r="S3" i="3"/>
  <c r="T3" i="3"/>
  <c r="U3" i="3"/>
  <c r="X3" i="3"/>
  <c r="Y3" i="3"/>
  <c r="Z3" i="3"/>
  <c r="AA3" i="3"/>
  <c r="AB3" i="3"/>
  <c r="AC3" i="3"/>
  <c r="Q4" i="3"/>
  <c r="O4" i="3" s="1"/>
  <c r="R4" i="3"/>
  <c r="S4" i="3"/>
  <c r="T4" i="3"/>
  <c r="U4" i="3"/>
  <c r="X4" i="3"/>
  <c r="Y4" i="3"/>
  <c r="Z4" i="3"/>
  <c r="AA4" i="3"/>
  <c r="AB4" i="3"/>
  <c r="AC4" i="3"/>
  <c r="Q5" i="3"/>
  <c r="O5" i="3" s="1"/>
  <c r="R5" i="3"/>
  <c r="S5" i="3"/>
  <c r="T5" i="3"/>
  <c r="U5" i="3"/>
  <c r="X5" i="3"/>
  <c r="Y5" i="3"/>
  <c r="Z5" i="3"/>
  <c r="AA5" i="3"/>
  <c r="AB5" i="3"/>
  <c r="AC5" i="3"/>
  <c r="Q6" i="3"/>
  <c r="O6" i="3" s="1"/>
  <c r="R6" i="3"/>
  <c r="S6" i="3"/>
  <c r="T6" i="3"/>
  <c r="U6" i="3"/>
  <c r="X6" i="3"/>
  <c r="Y6" i="3"/>
  <c r="Z6" i="3"/>
  <c r="AA6" i="3"/>
  <c r="AB6" i="3"/>
  <c r="AC6" i="3"/>
  <c r="Q7" i="3"/>
  <c r="O7" i="3" s="1"/>
  <c r="R7" i="3"/>
  <c r="S7" i="3"/>
  <c r="T7" i="3"/>
  <c r="U7" i="3"/>
  <c r="X7" i="3"/>
  <c r="Y7" i="3"/>
  <c r="Z7" i="3"/>
  <c r="AA7" i="3"/>
  <c r="AB7" i="3"/>
  <c r="AC7" i="3"/>
  <c r="Q8" i="3"/>
  <c r="R8" i="3"/>
  <c r="S8" i="3"/>
  <c r="O8" i="3" s="1"/>
  <c r="T8" i="3"/>
  <c r="U8" i="3"/>
  <c r="X8" i="3"/>
  <c r="Y8" i="3"/>
  <c r="Z8" i="3"/>
  <c r="AA8" i="3"/>
  <c r="AB8" i="3"/>
  <c r="AC8" i="3"/>
  <c r="Q9" i="3"/>
  <c r="N9" i="3" s="1"/>
  <c r="R9" i="3"/>
  <c r="S9" i="3"/>
  <c r="T9" i="3"/>
  <c r="U9" i="3"/>
  <c r="X9" i="3"/>
  <c r="Y9" i="3"/>
  <c r="Z9" i="3"/>
  <c r="AA9" i="3"/>
  <c r="AB9" i="3"/>
  <c r="AC9" i="3"/>
  <c r="Q10" i="3"/>
  <c r="N10" i="3" s="1"/>
  <c r="R10" i="3"/>
  <c r="S10" i="3"/>
  <c r="T10" i="3"/>
  <c r="U10" i="3"/>
  <c r="X10" i="3"/>
  <c r="Y10" i="3"/>
  <c r="Z10" i="3"/>
  <c r="AA10" i="3"/>
  <c r="AB10" i="3"/>
  <c r="AC10" i="3"/>
  <c r="Q11" i="3"/>
  <c r="O11" i="3" s="1"/>
  <c r="R11" i="3"/>
  <c r="S11" i="3"/>
  <c r="T11" i="3"/>
  <c r="U11" i="3"/>
  <c r="X11" i="3"/>
  <c r="Y11" i="3"/>
  <c r="Z11" i="3"/>
  <c r="AA11" i="3"/>
  <c r="AB11" i="3"/>
  <c r="AC11" i="3"/>
  <c r="Q12" i="3"/>
  <c r="O12" i="3" s="1"/>
  <c r="R12" i="3"/>
  <c r="S12" i="3"/>
  <c r="T12" i="3"/>
  <c r="U12" i="3"/>
  <c r="X12" i="3"/>
  <c r="Y12" i="3"/>
  <c r="Z12" i="3"/>
  <c r="AA12" i="3"/>
  <c r="AB12" i="3"/>
  <c r="AC12" i="3"/>
  <c r="Q13" i="3"/>
  <c r="O13" i="3" s="1"/>
  <c r="R13" i="3"/>
  <c r="S13" i="3"/>
  <c r="T13" i="3"/>
  <c r="U13" i="3"/>
  <c r="X13" i="3"/>
  <c r="Y13" i="3"/>
  <c r="Z13" i="3"/>
  <c r="AA13" i="3"/>
  <c r="AB13" i="3"/>
  <c r="AC13" i="3"/>
  <c r="Q14" i="3"/>
  <c r="O14" i="3" s="1"/>
  <c r="R14" i="3"/>
  <c r="S14" i="3"/>
  <c r="T14" i="3"/>
  <c r="U14" i="3"/>
  <c r="X14" i="3"/>
  <c r="Y14" i="3"/>
  <c r="Z14" i="3"/>
  <c r="AA14" i="3"/>
  <c r="AB14" i="3"/>
  <c r="AC14" i="3"/>
  <c r="Q15" i="3"/>
  <c r="O15" i="3" s="1"/>
  <c r="R15" i="3"/>
  <c r="S15" i="3"/>
  <c r="T15" i="3"/>
  <c r="U15" i="3"/>
  <c r="X15" i="3"/>
  <c r="Y15" i="3"/>
  <c r="Z15" i="3"/>
  <c r="AA15" i="3"/>
  <c r="AB15" i="3"/>
  <c r="AC15" i="3"/>
  <c r="Q16" i="3"/>
  <c r="R16" i="3"/>
  <c r="S16" i="3"/>
  <c r="O16" i="3" s="1"/>
  <c r="T16" i="3"/>
  <c r="U16" i="3"/>
  <c r="X16" i="3"/>
  <c r="Y16" i="3"/>
  <c r="Z16" i="3"/>
  <c r="AA16" i="3"/>
  <c r="AB16" i="3"/>
  <c r="AC16" i="3"/>
  <c r="Q17" i="3"/>
  <c r="N17" i="3" s="1"/>
  <c r="R17" i="3"/>
  <c r="S17" i="3"/>
  <c r="T17" i="3"/>
  <c r="U17" i="3"/>
  <c r="X17" i="3"/>
  <c r="Y17" i="3"/>
  <c r="Z17" i="3"/>
  <c r="AA17" i="3"/>
  <c r="AB17" i="3"/>
  <c r="AC17" i="3"/>
  <c r="Q18" i="3"/>
  <c r="N18" i="3" s="1"/>
  <c r="R18" i="3"/>
  <c r="S18" i="3"/>
  <c r="T18" i="3"/>
  <c r="U18" i="3"/>
  <c r="X18" i="3"/>
  <c r="Y18" i="3"/>
  <c r="Z18" i="3"/>
  <c r="AA18" i="3"/>
  <c r="AB18" i="3"/>
  <c r="AC18" i="3"/>
  <c r="Q19" i="3"/>
  <c r="O19" i="3" s="1"/>
  <c r="R19" i="3"/>
  <c r="S19" i="3"/>
  <c r="T19" i="3"/>
  <c r="U19" i="3"/>
  <c r="X19" i="3"/>
  <c r="Y19" i="3"/>
  <c r="Z19" i="3"/>
  <c r="AA19" i="3"/>
  <c r="AB19" i="3"/>
  <c r="AC19" i="3"/>
  <c r="Q20" i="3"/>
  <c r="O20" i="3" s="1"/>
  <c r="R20" i="3"/>
  <c r="S20" i="3"/>
  <c r="T20" i="3"/>
  <c r="U20" i="3"/>
  <c r="X20" i="3"/>
  <c r="Y20" i="3"/>
  <c r="Z20" i="3"/>
  <c r="AA20" i="3"/>
  <c r="AB20" i="3"/>
  <c r="AC20" i="3"/>
  <c r="Q21" i="3"/>
  <c r="O21" i="3" s="1"/>
  <c r="R21" i="3"/>
  <c r="S21" i="3"/>
  <c r="T21" i="3"/>
  <c r="U21" i="3"/>
  <c r="X21" i="3"/>
  <c r="Y21" i="3"/>
  <c r="Z21" i="3"/>
  <c r="AA21" i="3"/>
  <c r="AB21" i="3"/>
  <c r="AC21" i="3"/>
  <c r="Q22" i="3"/>
  <c r="O22" i="3" s="1"/>
  <c r="R22" i="3"/>
  <c r="S22" i="3"/>
  <c r="T22" i="3"/>
  <c r="U22" i="3"/>
  <c r="X22" i="3"/>
  <c r="Y22" i="3"/>
  <c r="Z22" i="3"/>
  <c r="AA22" i="3"/>
  <c r="AB22" i="3"/>
  <c r="AC22" i="3"/>
  <c r="Q23" i="3"/>
  <c r="O23" i="3" s="1"/>
  <c r="R23" i="3"/>
  <c r="S23" i="3"/>
  <c r="T23" i="3"/>
  <c r="U23" i="3"/>
  <c r="X23" i="3"/>
  <c r="Y23" i="3"/>
  <c r="Z23" i="3"/>
  <c r="AA23" i="3"/>
  <c r="AB23" i="3"/>
  <c r="AC23" i="3"/>
  <c r="Q24" i="3"/>
  <c r="R24" i="3"/>
  <c r="S24" i="3"/>
  <c r="O24" i="3" s="1"/>
  <c r="T24" i="3"/>
  <c r="U24" i="3"/>
  <c r="X24" i="3"/>
  <c r="Y24" i="3"/>
  <c r="Z24" i="3"/>
  <c r="AA24" i="3"/>
  <c r="AB24" i="3"/>
  <c r="AC24" i="3"/>
  <c r="Q25" i="3"/>
  <c r="N25" i="3" s="1"/>
  <c r="R25" i="3"/>
  <c r="S25" i="3"/>
  <c r="T25" i="3"/>
  <c r="U25" i="3"/>
  <c r="X25" i="3"/>
  <c r="Y25" i="3"/>
  <c r="Z25" i="3"/>
  <c r="AA25" i="3"/>
  <c r="AB25" i="3"/>
  <c r="AC25" i="3"/>
  <c r="Q26" i="3"/>
  <c r="N26" i="3" s="1"/>
  <c r="R26" i="3"/>
  <c r="S26" i="3"/>
  <c r="T26" i="3"/>
  <c r="U26" i="3"/>
  <c r="X26" i="3"/>
  <c r="Y26" i="3"/>
  <c r="Z26" i="3"/>
  <c r="AA26" i="3"/>
  <c r="AB26" i="3"/>
  <c r="AC26" i="3"/>
  <c r="Q27" i="3"/>
  <c r="O27" i="3" s="1"/>
  <c r="R27" i="3"/>
  <c r="S27" i="3"/>
  <c r="T27" i="3"/>
  <c r="U27" i="3"/>
  <c r="X27" i="3"/>
  <c r="Y27" i="3"/>
  <c r="Z27" i="3"/>
  <c r="AA27" i="3"/>
  <c r="AB27" i="3"/>
  <c r="AC27" i="3"/>
  <c r="D2" i="3"/>
  <c r="K267" i="3"/>
  <c r="AC267" i="3" s="1"/>
  <c r="J267" i="3"/>
  <c r="I267" i="3"/>
  <c r="G267" i="3"/>
  <c r="F267" i="3"/>
  <c r="E267" i="3"/>
  <c r="P267" i="3" s="1"/>
  <c r="K266" i="3"/>
  <c r="AC266" i="3" s="1"/>
  <c r="J266" i="3"/>
  <c r="AA266" i="3" s="1"/>
  <c r="I266" i="3"/>
  <c r="G266" i="3"/>
  <c r="F266" i="3"/>
  <c r="E266" i="3"/>
  <c r="P266" i="3" s="1"/>
  <c r="K265" i="3"/>
  <c r="AC265" i="3" s="1"/>
  <c r="J265" i="3"/>
  <c r="I265" i="3"/>
  <c r="G265" i="3"/>
  <c r="F265" i="3"/>
  <c r="E265" i="3"/>
  <c r="P265" i="3" s="1"/>
  <c r="K264" i="3"/>
  <c r="AC264" i="3" s="1"/>
  <c r="J264" i="3"/>
  <c r="I264" i="3"/>
  <c r="G264" i="3"/>
  <c r="F264" i="3"/>
  <c r="E264" i="3"/>
  <c r="P264" i="3" s="1"/>
  <c r="K263" i="3"/>
  <c r="AC263" i="3" s="1"/>
  <c r="J263" i="3"/>
  <c r="I263" i="3"/>
  <c r="G263" i="3"/>
  <c r="F263" i="3"/>
  <c r="E263" i="3"/>
  <c r="P263" i="3" s="1"/>
  <c r="K262" i="3"/>
  <c r="AC262" i="3" s="1"/>
  <c r="J262" i="3"/>
  <c r="AA262" i="3" s="1"/>
  <c r="I262" i="3"/>
  <c r="X262" i="3" s="1"/>
  <c r="G262" i="3"/>
  <c r="F262" i="3"/>
  <c r="E262" i="3"/>
  <c r="P262" i="3" s="1"/>
  <c r="K261" i="3"/>
  <c r="AC261" i="3" s="1"/>
  <c r="J261" i="3"/>
  <c r="AA261" i="3" s="1"/>
  <c r="I261" i="3"/>
  <c r="X261" i="3" s="1"/>
  <c r="G261" i="3"/>
  <c r="F261" i="3"/>
  <c r="E261" i="3"/>
  <c r="P261" i="3" s="1"/>
  <c r="K260" i="3"/>
  <c r="AC260" i="3" s="1"/>
  <c r="J260" i="3"/>
  <c r="I260" i="3"/>
  <c r="G260" i="3"/>
  <c r="F260" i="3"/>
  <c r="E260" i="3"/>
  <c r="P260" i="3" s="1"/>
  <c r="K259" i="3"/>
  <c r="AC259" i="3" s="1"/>
  <c r="J259" i="3"/>
  <c r="I259" i="3"/>
  <c r="G259" i="3"/>
  <c r="F259" i="3"/>
  <c r="E259" i="3"/>
  <c r="P259" i="3" s="1"/>
  <c r="K258" i="3"/>
  <c r="AC258" i="3" s="1"/>
  <c r="J258" i="3"/>
  <c r="I258" i="3"/>
  <c r="G258" i="3"/>
  <c r="F258" i="3"/>
  <c r="E258" i="3"/>
  <c r="P258" i="3" s="1"/>
  <c r="K257" i="3"/>
  <c r="AC257" i="3" s="1"/>
  <c r="J257" i="3"/>
  <c r="I257" i="3"/>
  <c r="G257" i="3"/>
  <c r="F257" i="3"/>
  <c r="E257" i="3"/>
  <c r="P257" i="3" s="1"/>
  <c r="K256" i="3"/>
  <c r="AC256" i="3" s="1"/>
  <c r="J256" i="3"/>
  <c r="AA256" i="3" s="1"/>
  <c r="I256" i="3"/>
  <c r="G256" i="3"/>
  <c r="F256" i="3"/>
  <c r="E256" i="3"/>
  <c r="P256" i="3" s="1"/>
  <c r="K255" i="3"/>
  <c r="AC255" i="3" s="1"/>
  <c r="J255" i="3"/>
  <c r="I255" i="3"/>
  <c r="G255" i="3"/>
  <c r="F255" i="3"/>
  <c r="E255" i="3"/>
  <c r="P255" i="3" s="1"/>
  <c r="K254" i="3"/>
  <c r="AC254" i="3" s="1"/>
  <c r="J254" i="3"/>
  <c r="I254" i="3"/>
  <c r="G254" i="3"/>
  <c r="F254" i="3"/>
  <c r="E254" i="3"/>
  <c r="P254" i="3" s="1"/>
  <c r="K253" i="3"/>
  <c r="AC253" i="3" s="1"/>
  <c r="J253" i="3"/>
  <c r="AA253" i="3" s="1"/>
  <c r="I253" i="3"/>
  <c r="G253" i="3"/>
  <c r="F253" i="3"/>
  <c r="E253" i="3"/>
  <c r="P253" i="3" s="1"/>
  <c r="K252" i="3"/>
  <c r="AC252" i="3" s="1"/>
  <c r="J252" i="3"/>
  <c r="AA252" i="3" s="1"/>
  <c r="I252" i="3"/>
  <c r="G252" i="3"/>
  <c r="F252" i="3"/>
  <c r="E252" i="3"/>
  <c r="P252" i="3" s="1"/>
  <c r="K251" i="3"/>
  <c r="AC251" i="3" s="1"/>
  <c r="J251" i="3"/>
  <c r="I251" i="3"/>
  <c r="G251" i="3"/>
  <c r="F251" i="3"/>
  <c r="E251" i="3"/>
  <c r="P251" i="3" s="1"/>
  <c r="K250" i="3"/>
  <c r="AC250" i="3" s="1"/>
  <c r="J250" i="3"/>
  <c r="I250" i="3"/>
  <c r="G250" i="3"/>
  <c r="F250" i="3"/>
  <c r="E250" i="3"/>
  <c r="P250" i="3" s="1"/>
  <c r="K249" i="3"/>
  <c r="AC249" i="3" s="1"/>
  <c r="J249" i="3"/>
  <c r="I249" i="3"/>
  <c r="G249" i="3"/>
  <c r="F249" i="3"/>
  <c r="E249" i="3"/>
  <c r="P249" i="3" s="1"/>
  <c r="K248" i="3"/>
  <c r="AC248" i="3" s="1"/>
  <c r="J248" i="3"/>
  <c r="AA248" i="3" s="1"/>
  <c r="I248" i="3"/>
  <c r="G248" i="3"/>
  <c r="F248" i="3"/>
  <c r="E248" i="3"/>
  <c r="P248" i="3" s="1"/>
  <c r="K247" i="3"/>
  <c r="AC247" i="3" s="1"/>
  <c r="J247" i="3"/>
  <c r="I247" i="3"/>
  <c r="G247" i="3"/>
  <c r="F247" i="3"/>
  <c r="E247" i="3"/>
  <c r="P247" i="3" s="1"/>
  <c r="K246" i="3"/>
  <c r="AC246" i="3" s="1"/>
  <c r="J246" i="3"/>
  <c r="I246" i="3"/>
  <c r="G246" i="3"/>
  <c r="F246" i="3"/>
  <c r="E246" i="3"/>
  <c r="P246" i="3" s="1"/>
  <c r="K245" i="3"/>
  <c r="AC245" i="3" s="1"/>
  <c r="J245" i="3"/>
  <c r="I245" i="3"/>
  <c r="G245" i="3"/>
  <c r="F245" i="3"/>
  <c r="E245" i="3"/>
  <c r="P245" i="3" s="1"/>
  <c r="K244" i="3"/>
  <c r="AC244" i="3" s="1"/>
  <c r="J244" i="3"/>
  <c r="AA244" i="3" s="1"/>
  <c r="I244" i="3"/>
  <c r="G244" i="3"/>
  <c r="F244" i="3"/>
  <c r="E244" i="3"/>
  <c r="P244" i="3" s="1"/>
  <c r="K243" i="3"/>
  <c r="AC243" i="3" s="1"/>
  <c r="J243" i="3"/>
  <c r="I243" i="3"/>
  <c r="G243" i="3"/>
  <c r="F243" i="3"/>
  <c r="E243" i="3"/>
  <c r="P243" i="3" s="1"/>
  <c r="K242" i="3"/>
  <c r="AC242" i="3" s="1"/>
  <c r="J242" i="3"/>
  <c r="I242" i="3"/>
  <c r="G242" i="3"/>
  <c r="F242" i="3"/>
  <c r="E242" i="3"/>
  <c r="P242" i="3" s="1"/>
  <c r="K241" i="3"/>
  <c r="J241" i="3"/>
  <c r="I241" i="3"/>
  <c r="G241" i="3"/>
  <c r="T241" i="3" s="1"/>
  <c r="F241" i="3"/>
  <c r="E241" i="3"/>
  <c r="P241" i="3" s="1"/>
  <c r="K240" i="3"/>
  <c r="J240" i="3"/>
  <c r="Z240" i="3" s="1"/>
  <c r="I240" i="3"/>
  <c r="G240" i="3"/>
  <c r="U240" i="3" s="1"/>
  <c r="F240" i="3"/>
  <c r="E240" i="3"/>
  <c r="P240" i="3" s="1"/>
  <c r="K239" i="3"/>
  <c r="AC239" i="3" s="1"/>
  <c r="J239" i="3"/>
  <c r="I239" i="3"/>
  <c r="G239" i="3"/>
  <c r="F239" i="3"/>
  <c r="E239" i="3"/>
  <c r="P239" i="3" s="1"/>
  <c r="K238" i="3"/>
  <c r="AC238" i="3" s="1"/>
  <c r="J238" i="3"/>
  <c r="I238" i="3"/>
  <c r="G238" i="3"/>
  <c r="F238" i="3"/>
  <c r="E238" i="3"/>
  <c r="P238" i="3" s="1"/>
  <c r="K237" i="3"/>
  <c r="AC237" i="3" s="1"/>
  <c r="J237" i="3"/>
  <c r="I237" i="3"/>
  <c r="G237" i="3"/>
  <c r="F237" i="3"/>
  <c r="E237" i="3"/>
  <c r="P237" i="3" s="1"/>
  <c r="K236" i="3"/>
  <c r="AC236" i="3" s="1"/>
  <c r="J236" i="3"/>
  <c r="AA236" i="3" s="1"/>
  <c r="I236" i="3"/>
  <c r="G236" i="3"/>
  <c r="F236" i="3"/>
  <c r="E236" i="3"/>
  <c r="P236" i="3" s="1"/>
  <c r="K235" i="3"/>
  <c r="AC235" i="3" s="1"/>
  <c r="J235" i="3"/>
  <c r="I235" i="3"/>
  <c r="G235" i="3"/>
  <c r="F235" i="3"/>
  <c r="E235" i="3"/>
  <c r="P235" i="3" s="1"/>
  <c r="K234" i="3"/>
  <c r="AC234" i="3" s="1"/>
  <c r="J234" i="3"/>
  <c r="I234" i="3"/>
  <c r="G234" i="3"/>
  <c r="F234" i="3"/>
  <c r="E234" i="3"/>
  <c r="P234" i="3" s="1"/>
  <c r="K233" i="3"/>
  <c r="AC233" i="3" s="1"/>
  <c r="J233" i="3"/>
  <c r="I233" i="3"/>
  <c r="G233" i="3"/>
  <c r="F233" i="3"/>
  <c r="E233" i="3"/>
  <c r="P233" i="3" s="1"/>
  <c r="K232" i="3"/>
  <c r="AC232" i="3" s="1"/>
  <c r="J232" i="3"/>
  <c r="I232" i="3"/>
  <c r="G232" i="3"/>
  <c r="F232" i="3"/>
  <c r="E232" i="3"/>
  <c r="P232" i="3" s="1"/>
  <c r="K231" i="3"/>
  <c r="AC231" i="3" s="1"/>
  <c r="J231" i="3"/>
  <c r="I231" i="3"/>
  <c r="G231" i="3"/>
  <c r="F231" i="3"/>
  <c r="E231" i="3"/>
  <c r="P231" i="3" s="1"/>
  <c r="K230" i="3"/>
  <c r="AC230" i="3" s="1"/>
  <c r="J230" i="3"/>
  <c r="AA230" i="3" s="1"/>
  <c r="I230" i="3"/>
  <c r="G230" i="3"/>
  <c r="F230" i="3"/>
  <c r="E230" i="3"/>
  <c r="P230" i="3" s="1"/>
  <c r="K229" i="3"/>
  <c r="AC229" i="3" s="1"/>
  <c r="J229" i="3"/>
  <c r="I229" i="3"/>
  <c r="Y229" i="3" s="1"/>
  <c r="G229" i="3"/>
  <c r="F229" i="3"/>
  <c r="E229" i="3"/>
  <c r="P229" i="3" s="1"/>
  <c r="K228" i="3"/>
  <c r="AC228" i="3" s="1"/>
  <c r="J228" i="3"/>
  <c r="AA228" i="3" s="1"/>
  <c r="I228" i="3"/>
  <c r="G228" i="3"/>
  <c r="F228" i="3"/>
  <c r="E228" i="3"/>
  <c r="P228" i="3" s="1"/>
  <c r="K227" i="3"/>
  <c r="AC227" i="3" s="1"/>
  <c r="J227" i="3"/>
  <c r="I227" i="3"/>
  <c r="G227" i="3"/>
  <c r="F227" i="3"/>
  <c r="E227" i="3"/>
  <c r="P227" i="3" s="1"/>
  <c r="K226" i="3"/>
  <c r="AC226" i="3" s="1"/>
  <c r="J226" i="3"/>
  <c r="I226" i="3"/>
  <c r="G226" i="3"/>
  <c r="F226" i="3"/>
  <c r="E226" i="3"/>
  <c r="P226" i="3" s="1"/>
  <c r="K225" i="3"/>
  <c r="AC225" i="3" s="1"/>
  <c r="J225" i="3"/>
  <c r="I225" i="3"/>
  <c r="G225" i="3"/>
  <c r="F225" i="3"/>
  <c r="E225" i="3"/>
  <c r="P225" i="3" s="1"/>
  <c r="K224" i="3"/>
  <c r="AC224" i="3" s="1"/>
  <c r="J224" i="3"/>
  <c r="AA224" i="3" s="1"/>
  <c r="I224" i="3"/>
  <c r="G224" i="3"/>
  <c r="F224" i="3"/>
  <c r="E224" i="3"/>
  <c r="P224" i="3" s="1"/>
  <c r="K223" i="3"/>
  <c r="AC223" i="3" s="1"/>
  <c r="J223" i="3"/>
  <c r="I223" i="3"/>
  <c r="G223" i="3"/>
  <c r="F223" i="3"/>
  <c r="E223" i="3"/>
  <c r="P223" i="3" s="1"/>
  <c r="K222" i="3"/>
  <c r="AC222" i="3" s="1"/>
  <c r="J222" i="3"/>
  <c r="I222" i="3"/>
  <c r="G222" i="3"/>
  <c r="F222" i="3"/>
  <c r="E222" i="3"/>
  <c r="P222" i="3" s="1"/>
  <c r="K221" i="3"/>
  <c r="AC221" i="3" s="1"/>
  <c r="J221" i="3"/>
  <c r="I221" i="3"/>
  <c r="G221" i="3"/>
  <c r="F221" i="3"/>
  <c r="E221" i="3"/>
  <c r="P221" i="3" s="1"/>
  <c r="K220" i="3"/>
  <c r="AC220" i="3" s="1"/>
  <c r="J220" i="3"/>
  <c r="I220" i="3"/>
  <c r="G220" i="3"/>
  <c r="F220" i="3"/>
  <c r="E220" i="3"/>
  <c r="P220" i="3" s="1"/>
  <c r="K219" i="3"/>
  <c r="AC219" i="3" s="1"/>
  <c r="J219" i="3"/>
  <c r="I219" i="3"/>
  <c r="G219" i="3"/>
  <c r="F219" i="3"/>
  <c r="E219" i="3"/>
  <c r="P219" i="3" s="1"/>
  <c r="K218" i="3"/>
  <c r="AC218" i="3" s="1"/>
  <c r="J218" i="3"/>
  <c r="I218" i="3"/>
  <c r="G218" i="3"/>
  <c r="K217" i="3"/>
  <c r="AC217" i="3" s="1"/>
  <c r="J217" i="3"/>
  <c r="AA217" i="3" s="1"/>
  <c r="I217" i="3"/>
  <c r="G217" i="3"/>
  <c r="F217" i="3"/>
  <c r="E217" i="3"/>
  <c r="P217" i="3" s="1"/>
  <c r="K216" i="3"/>
  <c r="AC216" i="3" s="1"/>
  <c r="J216" i="3"/>
  <c r="AA216" i="3" s="1"/>
  <c r="I216" i="3"/>
  <c r="G216" i="3"/>
  <c r="F216" i="3"/>
  <c r="E216" i="3"/>
  <c r="P216" i="3" s="1"/>
  <c r="K215" i="3"/>
  <c r="AC215" i="3" s="1"/>
  <c r="J215" i="3"/>
  <c r="I215" i="3"/>
  <c r="G215" i="3"/>
  <c r="F215" i="3"/>
  <c r="E215" i="3"/>
  <c r="P215" i="3" s="1"/>
  <c r="K214" i="3"/>
  <c r="AC214" i="3" s="1"/>
  <c r="J214" i="3"/>
  <c r="I214" i="3"/>
  <c r="G214" i="3"/>
  <c r="F214" i="3"/>
  <c r="E214" i="3"/>
  <c r="P214" i="3" s="1"/>
  <c r="K213" i="3"/>
  <c r="AC213" i="3" s="1"/>
  <c r="J213" i="3"/>
  <c r="AY213" i="3" s="1"/>
  <c r="G213" i="3"/>
  <c r="BB213" i="3" s="1"/>
  <c r="F213" i="3"/>
  <c r="AM213" i="3" s="1"/>
  <c r="E213" i="3"/>
  <c r="K212" i="3"/>
  <c r="AC212" i="3" s="1"/>
  <c r="J212" i="3"/>
  <c r="I212" i="3"/>
  <c r="G212" i="3"/>
  <c r="F212" i="3"/>
  <c r="E212" i="3"/>
  <c r="P212" i="3" s="1"/>
  <c r="K211" i="3"/>
  <c r="AC211" i="3" s="1"/>
  <c r="J211" i="3"/>
  <c r="I211" i="3"/>
  <c r="G211" i="3"/>
  <c r="F211" i="3"/>
  <c r="E211" i="3"/>
  <c r="P211" i="3" s="1"/>
  <c r="K210" i="3"/>
  <c r="AC210" i="3" s="1"/>
  <c r="J210" i="3"/>
  <c r="I210" i="3"/>
  <c r="G210" i="3"/>
  <c r="F210" i="3"/>
  <c r="E210" i="3"/>
  <c r="P210" i="3" s="1"/>
  <c r="K209" i="3"/>
  <c r="AC209" i="3" s="1"/>
  <c r="J209" i="3"/>
  <c r="I209" i="3"/>
  <c r="G209" i="3"/>
  <c r="F209" i="3"/>
  <c r="E209" i="3"/>
  <c r="P209" i="3" s="1"/>
  <c r="K208" i="3"/>
  <c r="AB208" i="3" s="1"/>
  <c r="J208" i="3"/>
  <c r="I208" i="3"/>
  <c r="G208" i="3"/>
  <c r="F208" i="3"/>
  <c r="E208" i="3"/>
  <c r="P208" i="3" s="1"/>
  <c r="K207" i="3"/>
  <c r="AC207" i="3" s="1"/>
  <c r="J207" i="3"/>
  <c r="I207" i="3"/>
  <c r="G207" i="3"/>
  <c r="U207" i="3" s="1"/>
  <c r="F207" i="3"/>
  <c r="E207" i="3"/>
  <c r="P207" i="3" s="1"/>
  <c r="K206" i="3"/>
  <c r="AC206" i="3" s="1"/>
  <c r="J206" i="3"/>
  <c r="I206" i="3"/>
  <c r="G206" i="3"/>
  <c r="F206" i="3"/>
  <c r="E206" i="3"/>
  <c r="P206" i="3" s="1"/>
  <c r="K205" i="3"/>
  <c r="AC205" i="3" s="1"/>
  <c r="J205" i="3"/>
  <c r="I205" i="3"/>
  <c r="G205" i="3"/>
  <c r="F205" i="3"/>
  <c r="E205" i="3"/>
  <c r="P205" i="3" s="1"/>
  <c r="K204" i="3"/>
  <c r="AB204" i="3" s="1"/>
  <c r="J204" i="3"/>
  <c r="I204" i="3"/>
  <c r="G204" i="3"/>
  <c r="F204" i="3"/>
  <c r="E204" i="3"/>
  <c r="P204" i="3" s="1"/>
  <c r="K203" i="3"/>
  <c r="AB203" i="3" s="1"/>
  <c r="J203" i="3"/>
  <c r="I203" i="3"/>
  <c r="G203" i="3"/>
  <c r="F203" i="3"/>
  <c r="E203" i="3"/>
  <c r="P203" i="3" s="1"/>
  <c r="K202" i="3"/>
  <c r="AC202" i="3" s="1"/>
  <c r="J202" i="3"/>
  <c r="AY202" i="3" s="1"/>
  <c r="I202" i="3"/>
  <c r="AW202" i="3" s="1"/>
  <c r="G202" i="3"/>
  <c r="BB202" i="3" s="1"/>
  <c r="F202" i="3"/>
  <c r="AL202" i="3" s="1"/>
  <c r="E202" i="3"/>
  <c r="AN202" i="3" s="1"/>
  <c r="K201" i="3"/>
  <c r="J201" i="3"/>
  <c r="I201" i="3"/>
  <c r="G201" i="3"/>
  <c r="F201" i="3"/>
  <c r="E201" i="3"/>
  <c r="P201" i="3" s="1"/>
  <c r="K200" i="3"/>
  <c r="AB200" i="3" s="1"/>
  <c r="J200" i="3"/>
  <c r="I200" i="3"/>
  <c r="G200" i="3"/>
  <c r="F200" i="3"/>
  <c r="E200" i="3"/>
  <c r="P200" i="3" s="1"/>
  <c r="K199" i="3"/>
  <c r="AC199" i="3" s="1"/>
  <c r="J199" i="3"/>
  <c r="I199" i="3"/>
  <c r="G199" i="3"/>
  <c r="F199" i="3"/>
  <c r="E199" i="3"/>
  <c r="P199" i="3" s="1"/>
  <c r="K198" i="3"/>
  <c r="AC198" i="3" s="1"/>
  <c r="J198" i="3"/>
  <c r="I198" i="3"/>
  <c r="G198" i="3"/>
  <c r="U198" i="3" s="1"/>
  <c r="F198" i="3"/>
  <c r="E198" i="3"/>
  <c r="P198" i="3" s="1"/>
  <c r="K197" i="3"/>
  <c r="AC197" i="3" s="1"/>
  <c r="J197" i="3"/>
  <c r="I197" i="3"/>
  <c r="G197" i="3"/>
  <c r="F197" i="3"/>
  <c r="E197" i="3"/>
  <c r="P197" i="3" s="1"/>
  <c r="K196" i="3"/>
  <c r="J196" i="3"/>
  <c r="I196" i="3"/>
  <c r="G196" i="3"/>
  <c r="F196" i="3"/>
  <c r="E196" i="3"/>
  <c r="P196" i="3" s="1"/>
  <c r="K195" i="3"/>
  <c r="AC195" i="3" s="1"/>
  <c r="J195" i="3"/>
  <c r="Z195" i="3" s="1"/>
  <c r="I195" i="3"/>
  <c r="G195" i="3"/>
  <c r="F195" i="3"/>
  <c r="E195" i="3"/>
  <c r="P195" i="3" s="1"/>
  <c r="K194" i="3"/>
  <c r="AC194" i="3" s="1"/>
  <c r="J194" i="3"/>
  <c r="I194" i="3"/>
  <c r="G194" i="3"/>
  <c r="U194" i="3" s="1"/>
  <c r="F194" i="3"/>
  <c r="E194" i="3"/>
  <c r="P194" i="3" s="1"/>
  <c r="K193" i="3"/>
  <c r="AC193" i="3" s="1"/>
  <c r="J193" i="3"/>
  <c r="I193" i="3"/>
  <c r="G193" i="3"/>
  <c r="F193" i="3"/>
  <c r="E193" i="3"/>
  <c r="P193" i="3" s="1"/>
  <c r="K192" i="3"/>
  <c r="AB192" i="3" s="1"/>
  <c r="J192" i="3"/>
  <c r="I192" i="3"/>
  <c r="G192" i="3"/>
  <c r="F192" i="3"/>
  <c r="E192" i="3"/>
  <c r="P192" i="3" s="1"/>
  <c r="K191" i="3"/>
  <c r="AC191" i="3" s="1"/>
  <c r="J191" i="3"/>
  <c r="I191" i="3"/>
  <c r="G191" i="3"/>
  <c r="U191" i="3" s="1"/>
  <c r="F191" i="3"/>
  <c r="E191" i="3"/>
  <c r="P191" i="3" s="1"/>
  <c r="K190" i="3"/>
  <c r="AC190" i="3" s="1"/>
  <c r="J190" i="3"/>
  <c r="I190" i="3"/>
  <c r="G190" i="3"/>
  <c r="U190" i="3" s="1"/>
  <c r="F190" i="3"/>
  <c r="E190" i="3"/>
  <c r="P190" i="3" s="1"/>
  <c r="K189" i="3"/>
  <c r="AC189" i="3" s="1"/>
  <c r="J189" i="3"/>
  <c r="I189" i="3"/>
  <c r="G189" i="3"/>
  <c r="F189" i="3"/>
  <c r="E189" i="3"/>
  <c r="P189" i="3" s="1"/>
  <c r="K188" i="3"/>
  <c r="J188" i="3"/>
  <c r="I188" i="3"/>
  <c r="G188" i="3"/>
  <c r="F188" i="3"/>
  <c r="E188" i="3"/>
  <c r="P188" i="3" s="1"/>
  <c r="K187" i="3"/>
  <c r="AC187" i="3" s="1"/>
  <c r="J187" i="3"/>
  <c r="AA187" i="3" s="1"/>
  <c r="I187" i="3"/>
  <c r="G187" i="3"/>
  <c r="U187" i="3" s="1"/>
  <c r="F187" i="3"/>
  <c r="E187" i="3"/>
  <c r="P187" i="3" s="1"/>
  <c r="K186" i="3"/>
  <c r="AC186" i="3" s="1"/>
  <c r="J186" i="3"/>
  <c r="I186" i="3"/>
  <c r="G186" i="3"/>
  <c r="U186" i="3" s="1"/>
  <c r="F186" i="3"/>
  <c r="E186" i="3"/>
  <c r="P186" i="3" s="1"/>
  <c r="K185" i="3"/>
  <c r="AC185" i="3" s="1"/>
  <c r="J185" i="3"/>
  <c r="AA185" i="3" s="1"/>
  <c r="I185" i="3"/>
  <c r="G185" i="3"/>
  <c r="F185" i="3"/>
  <c r="E185" i="3"/>
  <c r="P185" i="3" s="1"/>
  <c r="K184" i="3"/>
  <c r="J184" i="3"/>
  <c r="I184" i="3"/>
  <c r="G184" i="3"/>
  <c r="F184" i="3"/>
  <c r="E184" i="3"/>
  <c r="P184" i="3" s="1"/>
  <c r="K183" i="3"/>
  <c r="AC183" i="3" s="1"/>
  <c r="J183" i="3"/>
  <c r="I183" i="3"/>
  <c r="G183" i="3"/>
  <c r="T183" i="3" s="1"/>
  <c r="F183" i="3"/>
  <c r="E183" i="3"/>
  <c r="P183" i="3" s="1"/>
  <c r="K182" i="3"/>
  <c r="I182" i="3"/>
  <c r="G182" i="3"/>
  <c r="AP182" i="3" s="1"/>
  <c r="F182" i="3"/>
  <c r="AL182" i="3" s="1"/>
  <c r="E182" i="3"/>
  <c r="K181" i="3"/>
  <c r="AC181" i="3" s="1"/>
  <c r="J181" i="3"/>
  <c r="I181" i="3"/>
  <c r="G181" i="3"/>
  <c r="F181" i="3"/>
  <c r="E181" i="3"/>
  <c r="P181" i="3" s="1"/>
  <c r="K180" i="3"/>
  <c r="AB180" i="3" s="1"/>
  <c r="J180" i="3"/>
  <c r="I180" i="3"/>
  <c r="G180" i="3"/>
  <c r="F180" i="3"/>
  <c r="E180" i="3"/>
  <c r="P180" i="3" s="1"/>
  <c r="K179" i="3"/>
  <c r="AC179" i="3" s="1"/>
  <c r="J179" i="3"/>
  <c r="AA179" i="3" s="1"/>
  <c r="I179" i="3"/>
  <c r="G179" i="3"/>
  <c r="F179" i="3"/>
  <c r="E179" i="3"/>
  <c r="P179" i="3" s="1"/>
  <c r="K178" i="3"/>
  <c r="AB178" i="3" s="1"/>
  <c r="J178" i="3"/>
  <c r="I178" i="3"/>
  <c r="G178" i="3"/>
  <c r="U178" i="3" s="1"/>
  <c r="F178" i="3"/>
  <c r="E178" i="3"/>
  <c r="P178" i="3" s="1"/>
  <c r="K177" i="3"/>
  <c r="AC177" i="3" s="1"/>
  <c r="J177" i="3"/>
  <c r="AA177" i="3" s="1"/>
  <c r="I177" i="3"/>
  <c r="G177" i="3"/>
  <c r="F177" i="3"/>
  <c r="E177" i="3"/>
  <c r="P177" i="3" s="1"/>
  <c r="K176" i="3"/>
  <c r="J176" i="3"/>
  <c r="I176" i="3"/>
  <c r="G176" i="3"/>
  <c r="U176" i="3" s="1"/>
  <c r="F176" i="3"/>
  <c r="E176" i="3"/>
  <c r="P176" i="3" s="1"/>
  <c r="K175" i="3"/>
  <c r="AC175" i="3" s="1"/>
  <c r="J175" i="3"/>
  <c r="I175" i="3"/>
  <c r="G175" i="3"/>
  <c r="F175" i="3"/>
  <c r="E175" i="3"/>
  <c r="P175" i="3" s="1"/>
  <c r="K174" i="3"/>
  <c r="AC174" i="3" s="1"/>
  <c r="J174" i="3"/>
  <c r="I174" i="3"/>
  <c r="G174" i="3"/>
  <c r="F174" i="3"/>
  <c r="E174" i="3"/>
  <c r="P174" i="3" s="1"/>
  <c r="K173" i="3"/>
  <c r="AC173" i="3" s="1"/>
  <c r="J173" i="3"/>
  <c r="I173" i="3"/>
  <c r="G173" i="3"/>
  <c r="F173" i="3"/>
  <c r="E173" i="3"/>
  <c r="P173" i="3" s="1"/>
  <c r="K172" i="3"/>
  <c r="AB172" i="3" s="1"/>
  <c r="J172" i="3"/>
  <c r="I172" i="3"/>
  <c r="G172" i="3"/>
  <c r="F172" i="3"/>
  <c r="E172" i="3"/>
  <c r="P172" i="3" s="1"/>
  <c r="K171" i="3"/>
  <c r="AC171" i="3" s="1"/>
  <c r="J171" i="3"/>
  <c r="I171" i="3"/>
  <c r="G171" i="3"/>
  <c r="F171" i="3"/>
  <c r="E171" i="3"/>
  <c r="P171" i="3" s="1"/>
  <c r="K170" i="3"/>
  <c r="AB170" i="3" s="1"/>
  <c r="J170" i="3"/>
  <c r="AA170" i="3" s="1"/>
  <c r="I170" i="3"/>
  <c r="G170" i="3"/>
  <c r="U170" i="3" s="1"/>
  <c r="F170" i="3"/>
  <c r="E170" i="3"/>
  <c r="P170" i="3" s="1"/>
  <c r="K169" i="3"/>
  <c r="AC169" i="3" s="1"/>
  <c r="J169" i="3"/>
  <c r="I169" i="3"/>
  <c r="G169" i="3"/>
  <c r="U169" i="3" s="1"/>
  <c r="F169" i="3"/>
  <c r="E169" i="3"/>
  <c r="P169" i="3" s="1"/>
  <c r="K168" i="3"/>
  <c r="J168" i="3"/>
  <c r="I168" i="3"/>
  <c r="G168" i="3"/>
  <c r="U168" i="3" s="1"/>
  <c r="F168" i="3"/>
  <c r="E168" i="3"/>
  <c r="P168" i="3" s="1"/>
  <c r="K167" i="3"/>
  <c r="AC167" i="3" s="1"/>
  <c r="J167" i="3"/>
  <c r="I167" i="3"/>
  <c r="G167" i="3"/>
  <c r="U167" i="3" s="1"/>
  <c r="F167" i="3"/>
  <c r="E167" i="3"/>
  <c r="P167" i="3" s="1"/>
  <c r="K166" i="3"/>
  <c r="AB166" i="3" s="1"/>
  <c r="J166" i="3"/>
  <c r="I166" i="3"/>
  <c r="G166" i="3"/>
  <c r="F166" i="3"/>
  <c r="E166" i="3"/>
  <c r="P166" i="3" s="1"/>
  <c r="K165" i="3"/>
  <c r="AB165" i="3" s="1"/>
  <c r="J165" i="3"/>
  <c r="I165" i="3"/>
  <c r="G165" i="3"/>
  <c r="U165" i="3" s="1"/>
  <c r="F165" i="3"/>
  <c r="E165" i="3"/>
  <c r="P165" i="3" s="1"/>
  <c r="K164" i="3"/>
  <c r="AB164" i="3" s="1"/>
  <c r="J164" i="3"/>
  <c r="I164" i="3"/>
  <c r="G164" i="3"/>
  <c r="F164" i="3"/>
  <c r="E164" i="3"/>
  <c r="P164" i="3" s="1"/>
  <c r="K163" i="3"/>
  <c r="AB163" i="3" s="1"/>
  <c r="J163" i="3"/>
  <c r="I163" i="3"/>
  <c r="G163" i="3"/>
  <c r="F163" i="3"/>
  <c r="E163" i="3"/>
  <c r="P163" i="3" s="1"/>
  <c r="K162" i="3"/>
  <c r="J162" i="3"/>
  <c r="I162" i="3"/>
  <c r="G162" i="3"/>
  <c r="F162" i="3"/>
  <c r="E162" i="3"/>
  <c r="P162" i="3" s="1"/>
  <c r="K161" i="3"/>
  <c r="AB161" i="3" s="1"/>
  <c r="J161" i="3"/>
  <c r="I161" i="3"/>
  <c r="G161" i="3"/>
  <c r="U161" i="3" s="1"/>
  <c r="F161" i="3"/>
  <c r="E161" i="3"/>
  <c r="P161" i="3" s="1"/>
  <c r="K160" i="3"/>
  <c r="AB160" i="3" s="1"/>
  <c r="J160" i="3"/>
  <c r="I160" i="3"/>
  <c r="G160" i="3"/>
  <c r="T160" i="3" s="1"/>
  <c r="F160" i="3"/>
  <c r="E160" i="3"/>
  <c r="P160" i="3" s="1"/>
  <c r="K159" i="3"/>
  <c r="AB159" i="3" s="1"/>
  <c r="J159" i="3"/>
  <c r="I159" i="3"/>
  <c r="G159" i="3"/>
  <c r="T159" i="3" s="1"/>
  <c r="F159" i="3"/>
  <c r="E159" i="3"/>
  <c r="P159" i="3" s="1"/>
  <c r="K158" i="3"/>
  <c r="AB158" i="3" s="1"/>
  <c r="J158" i="3"/>
  <c r="I158" i="3"/>
  <c r="G158" i="3"/>
  <c r="F158" i="3"/>
  <c r="E158" i="3"/>
  <c r="P158" i="3" s="1"/>
  <c r="K157" i="3"/>
  <c r="AB157" i="3" s="1"/>
  <c r="J157" i="3"/>
  <c r="I157" i="3"/>
  <c r="G157" i="3"/>
  <c r="F157" i="3"/>
  <c r="E157" i="3"/>
  <c r="P157" i="3" s="1"/>
  <c r="K156" i="3"/>
  <c r="AB156" i="3" s="1"/>
  <c r="J156" i="3"/>
  <c r="I156" i="3"/>
  <c r="G156" i="3"/>
  <c r="T156" i="3" s="1"/>
  <c r="F156" i="3"/>
  <c r="E156" i="3"/>
  <c r="P156" i="3" s="1"/>
  <c r="K155" i="3"/>
  <c r="AB155" i="3" s="1"/>
  <c r="J155" i="3"/>
  <c r="I155" i="3"/>
  <c r="G155" i="3"/>
  <c r="T155" i="3" s="1"/>
  <c r="F155" i="3"/>
  <c r="E155" i="3"/>
  <c r="P155" i="3" s="1"/>
  <c r="K154" i="3"/>
  <c r="AB154" i="3" s="1"/>
  <c r="J154" i="3"/>
  <c r="Z154" i="3" s="1"/>
  <c r="I154" i="3"/>
  <c r="G154" i="3"/>
  <c r="T154" i="3" s="1"/>
  <c r="F154" i="3"/>
  <c r="E154" i="3"/>
  <c r="P154" i="3" s="1"/>
  <c r="K153" i="3"/>
  <c r="AB153" i="3" s="1"/>
  <c r="J153" i="3"/>
  <c r="Z153" i="3" s="1"/>
  <c r="I153" i="3"/>
  <c r="G153" i="3"/>
  <c r="F153" i="3"/>
  <c r="E153" i="3"/>
  <c r="P153" i="3" s="1"/>
  <c r="K152" i="3"/>
  <c r="AB152" i="3" s="1"/>
  <c r="J152" i="3"/>
  <c r="I152" i="3"/>
  <c r="G152" i="3"/>
  <c r="F152" i="3"/>
  <c r="E152" i="3"/>
  <c r="P152" i="3" s="1"/>
  <c r="K151" i="3"/>
  <c r="AB151" i="3" s="1"/>
  <c r="J151" i="3"/>
  <c r="I151" i="3"/>
  <c r="G151" i="3"/>
  <c r="T151" i="3" s="1"/>
  <c r="F151" i="3"/>
  <c r="E151" i="3"/>
  <c r="P151" i="3" s="1"/>
  <c r="K150" i="3"/>
  <c r="AB150" i="3" s="1"/>
  <c r="J150" i="3"/>
  <c r="I150" i="3"/>
  <c r="G150" i="3"/>
  <c r="F150" i="3"/>
  <c r="E150" i="3"/>
  <c r="P150" i="3" s="1"/>
  <c r="K149" i="3"/>
  <c r="AB149" i="3" s="1"/>
  <c r="J149" i="3"/>
  <c r="I149" i="3"/>
  <c r="G149" i="3"/>
  <c r="F149" i="3"/>
  <c r="E149" i="3"/>
  <c r="P149" i="3" s="1"/>
  <c r="K148" i="3"/>
  <c r="AB148" i="3" s="1"/>
  <c r="J148" i="3"/>
  <c r="I148" i="3"/>
  <c r="G148" i="3"/>
  <c r="T148" i="3" s="1"/>
  <c r="F148" i="3"/>
  <c r="E148" i="3"/>
  <c r="P148" i="3" s="1"/>
  <c r="K147" i="3"/>
  <c r="AB147" i="3" s="1"/>
  <c r="J147" i="3"/>
  <c r="I147" i="3"/>
  <c r="G147" i="3"/>
  <c r="T147" i="3" s="1"/>
  <c r="F147" i="3"/>
  <c r="E147" i="3"/>
  <c r="P147" i="3" s="1"/>
  <c r="K146" i="3"/>
  <c r="AB146" i="3" s="1"/>
  <c r="J146" i="3"/>
  <c r="I146" i="3"/>
  <c r="G146" i="3"/>
  <c r="F146" i="3"/>
  <c r="E146" i="3"/>
  <c r="P146" i="3" s="1"/>
  <c r="K145" i="3"/>
  <c r="AB145" i="3" s="1"/>
  <c r="J145" i="3"/>
  <c r="Z145" i="3" s="1"/>
  <c r="I145" i="3"/>
  <c r="G145" i="3"/>
  <c r="F145" i="3"/>
  <c r="E145" i="3"/>
  <c r="P145" i="3" s="1"/>
  <c r="K144" i="3"/>
  <c r="AB144" i="3" s="1"/>
  <c r="J144" i="3"/>
  <c r="I144" i="3"/>
  <c r="G144" i="3"/>
  <c r="F144" i="3"/>
  <c r="E144" i="3"/>
  <c r="P144" i="3" s="1"/>
  <c r="K143" i="3"/>
  <c r="AB143" i="3" s="1"/>
  <c r="J143" i="3"/>
  <c r="I143" i="3"/>
  <c r="G143" i="3"/>
  <c r="F143" i="3"/>
  <c r="E143" i="3"/>
  <c r="P143" i="3" s="1"/>
  <c r="K142" i="3"/>
  <c r="J142" i="3"/>
  <c r="AY142" i="3" s="1"/>
  <c r="G142" i="3"/>
  <c r="BB142" i="3" s="1"/>
  <c r="F142" i="3"/>
  <c r="AL142" i="3" s="1"/>
  <c r="K141" i="3"/>
  <c r="AC141" i="3" s="1"/>
  <c r="J141" i="3"/>
  <c r="I141" i="3"/>
  <c r="G141" i="3"/>
  <c r="F141" i="3"/>
  <c r="E141" i="3"/>
  <c r="P141" i="3" s="1"/>
  <c r="K140" i="3"/>
  <c r="AC140" i="3" s="1"/>
  <c r="J140" i="3"/>
  <c r="I140" i="3"/>
  <c r="G140" i="3"/>
  <c r="T140" i="3" s="1"/>
  <c r="F140" i="3"/>
  <c r="E140" i="3"/>
  <c r="P140" i="3" s="1"/>
  <c r="K139" i="3"/>
  <c r="AC139" i="3" s="1"/>
  <c r="J139" i="3"/>
  <c r="I139" i="3"/>
  <c r="G139" i="3"/>
  <c r="F139" i="3"/>
  <c r="E139" i="3"/>
  <c r="P139" i="3" s="1"/>
  <c r="K138" i="3"/>
  <c r="AB138" i="3" s="1"/>
  <c r="J138" i="3"/>
  <c r="I138" i="3"/>
  <c r="G138" i="3"/>
  <c r="U138" i="3" s="1"/>
  <c r="F138" i="3"/>
  <c r="E138" i="3"/>
  <c r="P138" i="3" s="1"/>
  <c r="K137" i="3"/>
  <c r="AC137" i="3" s="1"/>
  <c r="J137" i="3"/>
  <c r="Z137" i="3" s="1"/>
  <c r="I137" i="3"/>
  <c r="G137" i="3"/>
  <c r="F137" i="3"/>
  <c r="E137" i="3"/>
  <c r="P137" i="3" s="1"/>
  <c r="K136" i="3"/>
  <c r="AB136" i="3" s="1"/>
  <c r="J136" i="3"/>
  <c r="I136" i="3"/>
  <c r="G136" i="3"/>
  <c r="U136" i="3" s="1"/>
  <c r="F136" i="3"/>
  <c r="E136" i="3"/>
  <c r="P136" i="3" s="1"/>
  <c r="K135" i="3"/>
  <c r="J135" i="3"/>
  <c r="I135" i="3"/>
  <c r="G135" i="3"/>
  <c r="T135" i="3" s="1"/>
  <c r="F135" i="3"/>
  <c r="E135" i="3"/>
  <c r="P135" i="3" s="1"/>
  <c r="K134" i="3"/>
  <c r="J134" i="3"/>
  <c r="I134" i="3"/>
  <c r="G134" i="3"/>
  <c r="F134" i="3"/>
  <c r="E134" i="3"/>
  <c r="P134" i="3" s="1"/>
  <c r="K133" i="3"/>
  <c r="AC133" i="3" s="1"/>
  <c r="J133" i="3"/>
  <c r="I133" i="3"/>
  <c r="G133" i="3"/>
  <c r="F133" i="3"/>
  <c r="E133" i="3"/>
  <c r="P133" i="3" s="1"/>
  <c r="K132" i="3"/>
  <c r="J132" i="3"/>
  <c r="I132" i="3"/>
  <c r="G132" i="3"/>
  <c r="U132" i="3" s="1"/>
  <c r="F132" i="3"/>
  <c r="E132" i="3"/>
  <c r="P132" i="3" s="1"/>
  <c r="K131" i="3"/>
  <c r="J131" i="3"/>
  <c r="I131" i="3"/>
  <c r="G131" i="3"/>
  <c r="F131" i="3"/>
  <c r="E131" i="3"/>
  <c r="P131" i="3" s="1"/>
  <c r="K130" i="3"/>
  <c r="AC130" i="3" s="1"/>
  <c r="J130" i="3"/>
  <c r="I130" i="3"/>
  <c r="G130" i="3"/>
  <c r="F130" i="3"/>
  <c r="E130" i="3"/>
  <c r="P130" i="3" s="1"/>
  <c r="K129" i="3"/>
  <c r="J129" i="3"/>
  <c r="Z129" i="3" s="1"/>
  <c r="I129" i="3"/>
  <c r="G129" i="3"/>
  <c r="F129" i="3"/>
  <c r="E129" i="3"/>
  <c r="P129" i="3" s="1"/>
  <c r="K128" i="3"/>
  <c r="AB128" i="3" s="1"/>
  <c r="J128" i="3"/>
  <c r="I128" i="3"/>
  <c r="G128" i="3"/>
  <c r="U128" i="3" s="1"/>
  <c r="F128" i="3"/>
  <c r="E128" i="3"/>
  <c r="P128" i="3" s="1"/>
  <c r="K127" i="3"/>
  <c r="AC127" i="3" s="1"/>
  <c r="J127" i="3"/>
  <c r="I127" i="3"/>
  <c r="G127" i="3"/>
  <c r="F127" i="3"/>
  <c r="E127" i="3"/>
  <c r="P127" i="3" s="1"/>
  <c r="K126" i="3"/>
  <c r="AB126" i="3" s="1"/>
  <c r="J126" i="3"/>
  <c r="I126" i="3"/>
  <c r="G126" i="3"/>
  <c r="F126" i="3"/>
  <c r="E126" i="3"/>
  <c r="P126" i="3" s="1"/>
  <c r="K125" i="3"/>
  <c r="J125" i="3"/>
  <c r="I125" i="3"/>
  <c r="G125" i="3"/>
  <c r="F125" i="3"/>
  <c r="E125" i="3"/>
  <c r="P125" i="3" s="1"/>
  <c r="K124" i="3"/>
  <c r="J124" i="3"/>
  <c r="I124" i="3"/>
  <c r="G124" i="3"/>
  <c r="U124" i="3" s="1"/>
  <c r="F124" i="3"/>
  <c r="E124" i="3"/>
  <c r="P124" i="3" s="1"/>
  <c r="K123" i="3"/>
  <c r="AB123" i="3" s="1"/>
  <c r="J123" i="3"/>
  <c r="I123" i="3"/>
  <c r="G123" i="3"/>
  <c r="U123" i="3" s="1"/>
  <c r="F123" i="3"/>
  <c r="E123" i="3"/>
  <c r="P123" i="3" s="1"/>
  <c r="K122" i="3"/>
  <c r="AB122" i="3" s="1"/>
  <c r="J122" i="3"/>
  <c r="I122" i="3"/>
  <c r="G122" i="3"/>
  <c r="T122" i="3" s="1"/>
  <c r="F122" i="3"/>
  <c r="E122" i="3"/>
  <c r="P122" i="3" s="1"/>
  <c r="K121" i="3"/>
  <c r="J121" i="3"/>
  <c r="Z121" i="3" s="1"/>
  <c r="I121" i="3"/>
  <c r="G121" i="3"/>
  <c r="F121" i="3"/>
  <c r="E121" i="3"/>
  <c r="P121" i="3" s="1"/>
  <c r="K120" i="3"/>
  <c r="J120" i="3"/>
  <c r="Z120" i="3" s="1"/>
  <c r="I120" i="3"/>
  <c r="G120" i="3"/>
  <c r="T120" i="3" s="1"/>
  <c r="F120" i="3"/>
  <c r="E120" i="3"/>
  <c r="P120" i="3" s="1"/>
  <c r="K119" i="3"/>
  <c r="J119" i="3"/>
  <c r="I119" i="3"/>
  <c r="G119" i="3"/>
  <c r="U119" i="3" s="1"/>
  <c r="F119" i="3"/>
  <c r="E119" i="3"/>
  <c r="P119" i="3" s="1"/>
  <c r="K118" i="3"/>
  <c r="AC118" i="3" s="1"/>
  <c r="J118" i="3"/>
  <c r="I118" i="3"/>
  <c r="G118" i="3"/>
  <c r="F118" i="3"/>
  <c r="E118" i="3"/>
  <c r="P118" i="3" s="1"/>
  <c r="K117" i="3"/>
  <c r="J117" i="3"/>
  <c r="I117" i="3"/>
  <c r="G117" i="3"/>
  <c r="F117" i="3"/>
  <c r="E117" i="3"/>
  <c r="P117" i="3" s="1"/>
  <c r="K116" i="3"/>
  <c r="AB116" i="3" s="1"/>
  <c r="J116" i="3"/>
  <c r="I116" i="3"/>
  <c r="G116" i="3"/>
  <c r="T116" i="3" s="1"/>
  <c r="F116" i="3"/>
  <c r="E116" i="3"/>
  <c r="P116" i="3" s="1"/>
  <c r="K115" i="3"/>
  <c r="AB115" i="3" s="1"/>
  <c r="J115" i="3"/>
  <c r="I115" i="3"/>
  <c r="G115" i="3"/>
  <c r="F115" i="3"/>
  <c r="E115" i="3"/>
  <c r="P115" i="3" s="1"/>
  <c r="K114" i="3"/>
  <c r="AB114" i="3" s="1"/>
  <c r="J114" i="3"/>
  <c r="I114" i="3"/>
  <c r="G114" i="3"/>
  <c r="F114" i="3"/>
  <c r="E114" i="3"/>
  <c r="P114" i="3" s="1"/>
  <c r="K113" i="3"/>
  <c r="J113" i="3"/>
  <c r="I113" i="3"/>
  <c r="G113" i="3"/>
  <c r="F113" i="3"/>
  <c r="E113" i="3"/>
  <c r="P113" i="3" s="1"/>
  <c r="K112" i="3"/>
  <c r="J112" i="3"/>
  <c r="I112" i="3"/>
  <c r="G112" i="3"/>
  <c r="U112" i="3" s="1"/>
  <c r="F112" i="3"/>
  <c r="E112" i="3"/>
  <c r="P112" i="3" s="1"/>
  <c r="K111" i="3"/>
  <c r="J111" i="3"/>
  <c r="I111" i="3"/>
  <c r="G111" i="3"/>
  <c r="F111" i="3"/>
  <c r="E111" i="3"/>
  <c r="P111" i="3" s="1"/>
  <c r="K110" i="3"/>
  <c r="J110" i="3"/>
  <c r="I110" i="3"/>
  <c r="G110" i="3"/>
  <c r="F110" i="3"/>
  <c r="E110" i="3"/>
  <c r="P110" i="3" s="1"/>
  <c r="K109" i="3"/>
  <c r="AC109" i="3" s="1"/>
  <c r="J109" i="3"/>
  <c r="I109" i="3"/>
  <c r="G109" i="3"/>
  <c r="F109" i="3"/>
  <c r="E109" i="3"/>
  <c r="P109" i="3" s="1"/>
  <c r="K108" i="3"/>
  <c r="AC108" i="3" s="1"/>
  <c r="J108" i="3"/>
  <c r="I108" i="3"/>
  <c r="G108" i="3"/>
  <c r="T108" i="3" s="1"/>
  <c r="F108" i="3"/>
  <c r="E108" i="3"/>
  <c r="P108" i="3" s="1"/>
  <c r="K107" i="3"/>
  <c r="AB107" i="3" s="1"/>
  <c r="J107" i="3"/>
  <c r="I107" i="3"/>
  <c r="G107" i="3"/>
  <c r="F107" i="3"/>
  <c r="E107" i="3"/>
  <c r="P107" i="3" s="1"/>
  <c r="K106" i="3"/>
  <c r="AB106" i="3" s="1"/>
  <c r="J106" i="3"/>
  <c r="I106" i="3"/>
  <c r="G106" i="3"/>
  <c r="U106" i="3" s="1"/>
  <c r="F106" i="3"/>
  <c r="E106" i="3"/>
  <c r="P106" i="3" s="1"/>
  <c r="K105" i="3"/>
  <c r="AB105" i="3" s="1"/>
  <c r="J105" i="3"/>
  <c r="I105" i="3"/>
  <c r="G105" i="3"/>
  <c r="U105" i="3" s="1"/>
  <c r="F105" i="3"/>
  <c r="E105" i="3"/>
  <c r="P105" i="3" s="1"/>
  <c r="K104" i="3"/>
  <c r="J104" i="3"/>
  <c r="I104" i="3"/>
  <c r="G104" i="3"/>
  <c r="F104" i="3"/>
  <c r="E104" i="3"/>
  <c r="P104" i="3" s="1"/>
  <c r="K103" i="3"/>
  <c r="AC103" i="3" s="1"/>
  <c r="J103" i="3"/>
  <c r="I103" i="3"/>
  <c r="G103" i="3"/>
  <c r="U103" i="3" s="1"/>
  <c r="F103" i="3"/>
  <c r="E103" i="3"/>
  <c r="P103" i="3" s="1"/>
  <c r="K102" i="3"/>
  <c r="AC102" i="3" s="1"/>
  <c r="J102" i="3"/>
  <c r="I102" i="3"/>
  <c r="G102" i="3"/>
  <c r="F102" i="3"/>
  <c r="E102" i="3"/>
  <c r="P102" i="3" s="1"/>
  <c r="K101" i="3"/>
  <c r="AC101" i="3" s="1"/>
  <c r="J101" i="3"/>
  <c r="I101" i="3"/>
  <c r="G101" i="3"/>
  <c r="F101" i="3"/>
  <c r="E101" i="3"/>
  <c r="P101" i="3" s="1"/>
  <c r="K100" i="3"/>
  <c r="AC100" i="3" s="1"/>
  <c r="J100" i="3"/>
  <c r="I100" i="3"/>
  <c r="G100" i="3"/>
  <c r="F100" i="3"/>
  <c r="E100" i="3"/>
  <c r="P100" i="3" s="1"/>
  <c r="K99" i="3"/>
  <c r="AC99" i="3" s="1"/>
  <c r="J99" i="3"/>
  <c r="I99" i="3"/>
  <c r="G99" i="3"/>
  <c r="F99" i="3"/>
  <c r="E99" i="3"/>
  <c r="P99" i="3" s="1"/>
  <c r="K98" i="3"/>
  <c r="AC98" i="3" s="1"/>
  <c r="J98" i="3"/>
  <c r="I98" i="3"/>
  <c r="G98" i="3"/>
  <c r="U98" i="3" s="1"/>
  <c r="F98" i="3"/>
  <c r="E98" i="3"/>
  <c r="P98" i="3" s="1"/>
  <c r="K97" i="3"/>
  <c r="AC97" i="3" s="1"/>
  <c r="J97" i="3"/>
  <c r="I97" i="3"/>
  <c r="G97" i="3"/>
  <c r="F97" i="3"/>
  <c r="E97" i="3"/>
  <c r="P97" i="3" s="1"/>
  <c r="K96" i="3"/>
  <c r="AC96" i="3" s="1"/>
  <c r="J96" i="3"/>
  <c r="I96" i="3"/>
  <c r="G96" i="3"/>
  <c r="F96" i="3"/>
  <c r="E96" i="3"/>
  <c r="P96" i="3" s="1"/>
  <c r="K95" i="3"/>
  <c r="AC95" i="3" s="1"/>
  <c r="J95" i="3"/>
  <c r="I95" i="3"/>
  <c r="G95" i="3"/>
  <c r="U95" i="3" s="1"/>
  <c r="F95" i="3"/>
  <c r="E95" i="3"/>
  <c r="P95" i="3" s="1"/>
  <c r="K94" i="3"/>
  <c r="AC94" i="3" s="1"/>
  <c r="J94" i="3"/>
  <c r="I94" i="3"/>
  <c r="G94" i="3"/>
  <c r="F94" i="3"/>
  <c r="E94" i="3"/>
  <c r="P94" i="3" s="1"/>
  <c r="K93" i="3"/>
  <c r="AC93" i="3" s="1"/>
  <c r="J93" i="3"/>
  <c r="I93" i="3"/>
  <c r="G93" i="3"/>
  <c r="F93" i="3"/>
  <c r="E93" i="3"/>
  <c r="P93" i="3" s="1"/>
  <c r="K92" i="3"/>
  <c r="AC92" i="3" s="1"/>
  <c r="J92" i="3"/>
  <c r="I92" i="3"/>
  <c r="G92" i="3"/>
  <c r="F92" i="3"/>
  <c r="E92" i="3"/>
  <c r="P92" i="3" s="1"/>
  <c r="K91" i="3"/>
  <c r="J91" i="3"/>
  <c r="I91" i="3"/>
  <c r="G91" i="3"/>
  <c r="U91" i="3" s="1"/>
  <c r="F91" i="3"/>
  <c r="E91" i="3"/>
  <c r="P91" i="3" s="1"/>
  <c r="K90" i="3"/>
  <c r="J90" i="3"/>
  <c r="I90" i="3"/>
  <c r="G90" i="3"/>
  <c r="U90" i="3" s="1"/>
  <c r="F90" i="3"/>
  <c r="E90" i="3"/>
  <c r="P90" i="3" s="1"/>
  <c r="K89" i="3"/>
  <c r="AC89" i="3" s="1"/>
  <c r="J89" i="3"/>
  <c r="I89" i="3"/>
  <c r="G89" i="3"/>
  <c r="F89" i="3"/>
  <c r="E89" i="3"/>
  <c r="P89" i="3" s="1"/>
  <c r="K88" i="3"/>
  <c r="AC88" i="3" s="1"/>
  <c r="J88" i="3"/>
  <c r="I88" i="3"/>
  <c r="G88" i="3"/>
  <c r="F88" i="3"/>
  <c r="E88" i="3"/>
  <c r="P88" i="3" s="1"/>
  <c r="K87" i="3"/>
  <c r="J87" i="3"/>
  <c r="I87" i="3"/>
  <c r="G87" i="3"/>
  <c r="U87" i="3" s="1"/>
  <c r="F87" i="3"/>
  <c r="E87" i="3"/>
  <c r="P87" i="3" s="1"/>
  <c r="K86" i="3"/>
  <c r="AC86" i="3" s="1"/>
  <c r="J86" i="3"/>
  <c r="I86" i="3"/>
  <c r="G86" i="3"/>
  <c r="F86" i="3"/>
  <c r="E86" i="3"/>
  <c r="P86" i="3" s="1"/>
  <c r="K85" i="3"/>
  <c r="AC85" i="3" s="1"/>
  <c r="J85" i="3"/>
  <c r="I85" i="3"/>
  <c r="G85" i="3"/>
  <c r="F85" i="3"/>
  <c r="E85" i="3"/>
  <c r="P85" i="3" s="1"/>
  <c r="K84" i="3"/>
  <c r="AC84" i="3" s="1"/>
  <c r="J84" i="3"/>
  <c r="I84" i="3"/>
  <c r="G84" i="3"/>
  <c r="U84" i="3" s="1"/>
  <c r="F84" i="3"/>
  <c r="E84" i="3"/>
  <c r="P84" i="3" s="1"/>
  <c r="K83" i="3"/>
  <c r="J83" i="3"/>
  <c r="I83" i="3"/>
  <c r="G83" i="3"/>
  <c r="U83" i="3" s="1"/>
  <c r="F83" i="3"/>
  <c r="E83" i="3"/>
  <c r="P83" i="3" s="1"/>
  <c r="K82" i="3"/>
  <c r="J82" i="3"/>
  <c r="I82" i="3"/>
  <c r="G82" i="3"/>
  <c r="F82" i="3"/>
  <c r="E82" i="3"/>
  <c r="P82" i="3" s="1"/>
  <c r="K81" i="3"/>
  <c r="J81" i="3"/>
  <c r="I81" i="3"/>
  <c r="G81" i="3"/>
  <c r="F81" i="3"/>
  <c r="E81" i="3"/>
  <c r="P81" i="3" s="1"/>
  <c r="K80" i="3"/>
  <c r="AC80" i="3" s="1"/>
  <c r="J80" i="3"/>
  <c r="I80" i="3"/>
  <c r="G80" i="3"/>
  <c r="F80" i="3"/>
  <c r="E80" i="3"/>
  <c r="P80" i="3" s="1"/>
  <c r="K79" i="3"/>
  <c r="AB79" i="3" s="1"/>
  <c r="J79" i="3"/>
  <c r="I79" i="3"/>
  <c r="G79" i="3"/>
  <c r="F79" i="3"/>
  <c r="E79" i="3"/>
  <c r="P79" i="3" s="1"/>
  <c r="K78" i="3"/>
  <c r="AC78" i="3" s="1"/>
  <c r="J78" i="3"/>
  <c r="I78" i="3"/>
  <c r="G78" i="3"/>
  <c r="F78" i="3"/>
  <c r="E78" i="3"/>
  <c r="P78" i="3" s="1"/>
  <c r="K77" i="3"/>
  <c r="AC77" i="3" s="1"/>
  <c r="J77" i="3"/>
  <c r="I77" i="3"/>
  <c r="G77" i="3"/>
  <c r="F77" i="3"/>
  <c r="E77" i="3"/>
  <c r="P77" i="3" s="1"/>
  <c r="K76" i="3"/>
  <c r="AC76" i="3" s="1"/>
  <c r="J76" i="3"/>
  <c r="I76" i="3"/>
  <c r="G76" i="3"/>
  <c r="F76" i="3"/>
  <c r="E76" i="3"/>
  <c r="P76" i="3" s="1"/>
  <c r="K75" i="3"/>
  <c r="AC75" i="3" s="1"/>
  <c r="J75" i="3"/>
  <c r="I75" i="3"/>
  <c r="G75" i="3"/>
  <c r="U75" i="3" s="1"/>
  <c r="F75" i="3"/>
  <c r="E75" i="3"/>
  <c r="P75" i="3" s="1"/>
  <c r="K74" i="3"/>
  <c r="AC74" i="3" s="1"/>
  <c r="J74" i="3"/>
  <c r="I74" i="3"/>
  <c r="G74" i="3"/>
  <c r="U74" i="3" s="1"/>
  <c r="F74" i="3"/>
  <c r="E74" i="3"/>
  <c r="P74" i="3" s="1"/>
  <c r="K73" i="3"/>
  <c r="AB73" i="3" s="1"/>
  <c r="J73" i="3"/>
  <c r="I73" i="3"/>
  <c r="G73" i="3"/>
  <c r="F73" i="3"/>
  <c r="E73" i="3"/>
  <c r="P73" i="3" s="1"/>
  <c r="K72" i="3"/>
  <c r="AC72" i="3" s="1"/>
  <c r="J72" i="3"/>
  <c r="I72" i="3"/>
  <c r="G72" i="3"/>
  <c r="U72" i="3" s="1"/>
  <c r="F72" i="3"/>
  <c r="E72" i="3"/>
  <c r="P72" i="3" s="1"/>
  <c r="K71" i="3"/>
  <c r="AB71" i="3" s="1"/>
  <c r="J71" i="3"/>
  <c r="I71" i="3"/>
  <c r="G71" i="3"/>
  <c r="T71" i="3" s="1"/>
  <c r="F71" i="3"/>
  <c r="E71" i="3"/>
  <c r="P71" i="3" s="1"/>
  <c r="K70" i="3"/>
  <c r="AC70" i="3" s="1"/>
  <c r="J70" i="3"/>
  <c r="I70" i="3"/>
  <c r="G70" i="3"/>
  <c r="F70" i="3"/>
  <c r="E70" i="3"/>
  <c r="P70" i="3" s="1"/>
  <c r="K69" i="3"/>
  <c r="AC69" i="3" s="1"/>
  <c r="J69" i="3"/>
  <c r="I69" i="3"/>
  <c r="G69" i="3"/>
  <c r="F69" i="3"/>
  <c r="E69" i="3"/>
  <c r="P69" i="3" s="1"/>
  <c r="K68" i="3"/>
  <c r="AC68" i="3" s="1"/>
  <c r="J68" i="3"/>
  <c r="I68" i="3"/>
  <c r="G68" i="3"/>
  <c r="T68" i="3" s="1"/>
  <c r="F68" i="3"/>
  <c r="E68" i="3"/>
  <c r="P68" i="3" s="1"/>
  <c r="K67" i="3"/>
  <c r="AC67" i="3" s="1"/>
  <c r="J67" i="3"/>
  <c r="I67" i="3"/>
  <c r="G67" i="3"/>
  <c r="U67" i="3" s="1"/>
  <c r="F67" i="3"/>
  <c r="E67" i="3"/>
  <c r="P67" i="3" s="1"/>
  <c r="K66" i="3"/>
  <c r="J66" i="3"/>
  <c r="I66" i="3"/>
  <c r="G66" i="3"/>
  <c r="F66" i="3"/>
  <c r="E66" i="3"/>
  <c r="P66" i="3" s="1"/>
  <c r="K65" i="3"/>
  <c r="AB65" i="3" s="1"/>
  <c r="J65" i="3"/>
  <c r="I65" i="3"/>
  <c r="G65" i="3"/>
  <c r="F65" i="3"/>
  <c r="E65" i="3"/>
  <c r="P65" i="3" s="1"/>
  <c r="K64" i="3"/>
  <c r="AC64" i="3" s="1"/>
  <c r="J64" i="3"/>
  <c r="I64" i="3"/>
  <c r="G64" i="3"/>
  <c r="F64" i="3"/>
  <c r="E64" i="3"/>
  <c r="P64" i="3" s="1"/>
  <c r="K63" i="3"/>
  <c r="J63" i="3"/>
  <c r="I63" i="3"/>
  <c r="G63" i="3"/>
  <c r="F63" i="3"/>
  <c r="E63" i="3"/>
  <c r="P63" i="3" s="1"/>
  <c r="K62" i="3"/>
  <c r="AC62" i="3" s="1"/>
  <c r="J62" i="3"/>
  <c r="I62" i="3"/>
  <c r="G62" i="3"/>
  <c r="F62" i="3"/>
  <c r="E62" i="3"/>
  <c r="P62" i="3" s="1"/>
  <c r="K61" i="3"/>
  <c r="J61" i="3"/>
  <c r="I61" i="3"/>
  <c r="G61" i="3"/>
  <c r="F61" i="3"/>
  <c r="E61" i="3"/>
  <c r="P61" i="3" s="1"/>
  <c r="K60" i="3"/>
  <c r="AC60" i="3" s="1"/>
  <c r="J60" i="3"/>
  <c r="I60" i="3"/>
  <c r="G60" i="3"/>
  <c r="F60" i="3"/>
  <c r="E60" i="3"/>
  <c r="P60" i="3" s="1"/>
  <c r="K59" i="3"/>
  <c r="AB59" i="3" s="1"/>
  <c r="J59" i="3"/>
  <c r="I59" i="3"/>
  <c r="G59" i="3"/>
  <c r="U59" i="3" s="1"/>
  <c r="F59" i="3"/>
  <c r="E59" i="3"/>
  <c r="P59" i="3" s="1"/>
  <c r="K58" i="3"/>
  <c r="AC58" i="3" s="1"/>
  <c r="J58" i="3"/>
  <c r="I58" i="3"/>
  <c r="G58" i="3"/>
  <c r="U58" i="3" s="1"/>
  <c r="F58" i="3"/>
  <c r="E58" i="3"/>
  <c r="P58" i="3" s="1"/>
  <c r="K57" i="3"/>
  <c r="AB57" i="3" s="1"/>
  <c r="J57" i="3"/>
  <c r="I57" i="3"/>
  <c r="G57" i="3"/>
  <c r="F57" i="3"/>
  <c r="E57" i="3"/>
  <c r="P57" i="3" s="1"/>
  <c r="K56" i="3"/>
  <c r="AC56" i="3" s="1"/>
  <c r="J56" i="3"/>
  <c r="I56" i="3"/>
  <c r="G56" i="3"/>
  <c r="U56" i="3" s="1"/>
  <c r="F56" i="3"/>
  <c r="E56" i="3"/>
  <c r="P56" i="3" s="1"/>
  <c r="K55" i="3"/>
  <c r="AC55" i="3" s="1"/>
  <c r="J55" i="3"/>
  <c r="I55" i="3"/>
  <c r="G55" i="3"/>
  <c r="F55" i="3"/>
  <c r="E55" i="3"/>
  <c r="P55" i="3" s="1"/>
  <c r="K54" i="3"/>
  <c r="AC54" i="3" s="1"/>
  <c r="J54" i="3"/>
  <c r="I54" i="3"/>
  <c r="G54" i="3"/>
  <c r="F54" i="3"/>
  <c r="E54" i="3"/>
  <c r="P54" i="3" s="1"/>
  <c r="K53" i="3"/>
  <c r="AC53" i="3" s="1"/>
  <c r="J53" i="3"/>
  <c r="I53" i="3"/>
  <c r="G53" i="3"/>
  <c r="F53" i="3"/>
  <c r="E53" i="3"/>
  <c r="P53" i="3" s="1"/>
  <c r="K52" i="3"/>
  <c r="AC52" i="3" s="1"/>
  <c r="J52" i="3"/>
  <c r="I52" i="3"/>
  <c r="G52" i="3"/>
  <c r="T52" i="3" s="1"/>
  <c r="F52" i="3"/>
  <c r="E52" i="3"/>
  <c r="P52" i="3" s="1"/>
  <c r="K51" i="3"/>
  <c r="AC51" i="3" s="1"/>
  <c r="J51" i="3"/>
  <c r="I51" i="3"/>
  <c r="G51" i="3"/>
  <c r="F51" i="3"/>
  <c r="E51" i="3"/>
  <c r="P51" i="3" s="1"/>
  <c r="K50" i="3"/>
  <c r="AC50" i="3" s="1"/>
  <c r="J50" i="3"/>
  <c r="I50" i="3"/>
  <c r="G50" i="3"/>
  <c r="U50" i="3" s="1"/>
  <c r="F50" i="3"/>
  <c r="E50" i="3"/>
  <c r="P50" i="3" s="1"/>
  <c r="K49" i="3"/>
  <c r="AB49" i="3" s="1"/>
  <c r="J49" i="3"/>
  <c r="I49" i="3"/>
  <c r="G49" i="3"/>
  <c r="T49" i="3" s="1"/>
  <c r="F49" i="3"/>
  <c r="E49" i="3"/>
  <c r="P49" i="3" s="1"/>
  <c r="K48" i="3"/>
  <c r="AC48" i="3" s="1"/>
  <c r="J48" i="3"/>
  <c r="I48" i="3"/>
  <c r="G48" i="3"/>
  <c r="F48" i="3"/>
  <c r="E48" i="3"/>
  <c r="P48" i="3" s="1"/>
  <c r="K47" i="3"/>
  <c r="AC47" i="3" s="1"/>
  <c r="J47" i="3"/>
  <c r="I47" i="3"/>
  <c r="G47" i="3"/>
  <c r="T47" i="3" s="1"/>
  <c r="F47" i="3"/>
  <c r="E47" i="3"/>
  <c r="P47" i="3" s="1"/>
  <c r="K46" i="3"/>
  <c r="AC46" i="3" s="1"/>
  <c r="J46" i="3"/>
  <c r="I46" i="3"/>
  <c r="G46" i="3"/>
  <c r="F46" i="3"/>
  <c r="E46" i="3"/>
  <c r="P46" i="3" s="1"/>
  <c r="K45" i="3"/>
  <c r="J45" i="3"/>
  <c r="I45" i="3"/>
  <c r="G45" i="3"/>
  <c r="F45" i="3"/>
  <c r="E45" i="3"/>
  <c r="P45" i="3" s="1"/>
  <c r="K44" i="3"/>
  <c r="AB44" i="3" s="1"/>
  <c r="J44" i="3"/>
  <c r="I44" i="3"/>
  <c r="G44" i="3"/>
  <c r="F44" i="3"/>
  <c r="E44" i="3"/>
  <c r="P44" i="3" s="1"/>
  <c r="K43" i="3"/>
  <c r="AC43" i="3" s="1"/>
  <c r="J43" i="3"/>
  <c r="I43" i="3"/>
  <c r="G43" i="3"/>
  <c r="F43" i="3"/>
  <c r="E43" i="3"/>
  <c r="P43" i="3" s="1"/>
  <c r="K42" i="3"/>
  <c r="AB42" i="3" s="1"/>
  <c r="J42" i="3"/>
  <c r="I42" i="3"/>
  <c r="G42" i="3"/>
  <c r="F42" i="3"/>
  <c r="E42" i="3"/>
  <c r="P42" i="3" s="1"/>
  <c r="K41" i="3"/>
  <c r="AC41" i="3" s="1"/>
  <c r="J41" i="3"/>
  <c r="I41" i="3"/>
  <c r="G41" i="3"/>
  <c r="F41" i="3"/>
  <c r="E41" i="3"/>
  <c r="P41" i="3" s="1"/>
  <c r="K40" i="3"/>
  <c r="AC40" i="3" s="1"/>
  <c r="J40" i="3"/>
  <c r="I40" i="3"/>
  <c r="G40" i="3"/>
  <c r="F40" i="3"/>
  <c r="E40" i="3"/>
  <c r="P40" i="3" s="1"/>
  <c r="AC39" i="3"/>
  <c r="AB39" i="3"/>
  <c r="AA39" i="3"/>
  <c r="Z39" i="3"/>
  <c r="Y39" i="3"/>
  <c r="X39" i="3"/>
  <c r="U39" i="3"/>
  <c r="T39" i="3"/>
  <c r="S39" i="3"/>
  <c r="R39" i="3"/>
  <c r="Q39" i="3"/>
  <c r="O39" i="3" s="1"/>
  <c r="AC38" i="3"/>
  <c r="AB38" i="3"/>
  <c r="AA38" i="3"/>
  <c r="Z38" i="3"/>
  <c r="Y38" i="3"/>
  <c r="X38" i="3"/>
  <c r="U38" i="3"/>
  <c r="T38" i="3"/>
  <c r="S38" i="3"/>
  <c r="R38" i="3"/>
  <c r="Q38" i="3"/>
  <c r="O38" i="3" s="1"/>
  <c r="AC37" i="3"/>
  <c r="AB37" i="3"/>
  <c r="AA37" i="3"/>
  <c r="Z37" i="3"/>
  <c r="Y37" i="3"/>
  <c r="X37" i="3"/>
  <c r="U37" i="3"/>
  <c r="T37" i="3"/>
  <c r="S37" i="3"/>
  <c r="R37" i="3"/>
  <c r="Q37" i="3"/>
  <c r="O37" i="3" s="1"/>
  <c r="AC36" i="3"/>
  <c r="AB36" i="3"/>
  <c r="AA36" i="3"/>
  <c r="Z36" i="3"/>
  <c r="Y36" i="3"/>
  <c r="X36" i="3"/>
  <c r="U36" i="3"/>
  <c r="T36" i="3"/>
  <c r="S36" i="3"/>
  <c r="R36" i="3"/>
  <c r="Q36" i="3"/>
  <c r="O36" i="3" s="1"/>
  <c r="AC35" i="3"/>
  <c r="AB35" i="3"/>
  <c r="AA35" i="3"/>
  <c r="Z35" i="3"/>
  <c r="Y35" i="3"/>
  <c r="X35" i="3"/>
  <c r="U35" i="3"/>
  <c r="T35" i="3"/>
  <c r="S35" i="3"/>
  <c r="R35" i="3"/>
  <c r="Q35" i="3"/>
  <c r="O35" i="3" s="1"/>
  <c r="AC34" i="3"/>
  <c r="AB34" i="3"/>
  <c r="U34" i="3"/>
  <c r="T34" i="3"/>
  <c r="S34" i="3"/>
  <c r="R34" i="3"/>
  <c r="Q34" i="3"/>
  <c r="N34" i="3" s="1"/>
  <c r="J34" i="3"/>
  <c r="AA34" i="3" s="1"/>
  <c r="I34" i="3"/>
  <c r="X34" i="3" s="1"/>
  <c r="AC33" i="3"/>
  <c r="AB33" i="3"/>
  <c r="AA33" i="3"/>
  <c r="Z33" i="3"/>
  <c r="Y33" i="3"/>
  <c r="X33" i="3"/>
  <c r="U33" i="3"/>
  <c r="T33" i="3"/>
  <c r="S33" i="3"/>
  <c r="R33" i="3"/>
  <c r="Q33" i="3"/>
  <c r="N33" i="3" s="1"/>
  <c r="AC32" i="3"/>
  <c r="AB32" i="3"/>
  <c r="AA32" i="3"/>
  <c r="Z32" i="3"/>
  <c r="Y32" i="3"/>
  <c r="X32" i="3"/>
  <c r="U32" i="3"/>
  <c r="T32" i="3"/>
  <c r="S32" i="3"/>
  <c r="R32" i="3"/>
  <c r="Q32" i="3"/>
  <c r="O32" i="3" s="1"/>
  <c r="AC31" i="3"/>
  <c r="AB31" i="3"/>
  <c r="AA31" i="3"/>
  <c r="Z31" i="3"/>
  <c r="Y31" i="3"/>
  <c r="X31" i="3"/>
  <c r="U31" i="3"/>
  <c r="T31" i="3"/>
  <c r="S31" i="3"/>
  <c r="R31" i="3"/>
  <c r="Q31" i="3"/>
  <c r="O31" i="3" s="1"/>
  <c r="AC30" i="3"/>
  <c r="AB30" i="3"/>
  <c r="AA30" i="3"/>
  <c r="Z30" i="3"/>
  <c r="Y30" i="3"/>
  <c r="X30" i="3"/>
  <c r="U30" i="3"/>
  <c r="T30" i="3"/>
  <c r="S30" i="3"/>
  <c r="R30" i="3"/>
  <c r="Q30" i="3"/>
  <c r="O30" i="3" s="1"/>
  <c r="AC29" i="3"/>
  <c r="AB29" i="3"/>
  <c r="AA29" i="3"/>
  <c r="Z29" i="3"/>
  <c r="Y29" i="3"/>
  <c r="X29" i="3"/>
  <c r="U29" i="3"/>
  <c r="T29" i="3"/>
  <c r="S29" i="3"/>
  <c r="R29" i="3"/>
  <c r="Q29" i="3"/>
  <c r="O29" i="3" s="1"/>
  <c r="AC28" i="3"/>
  <c r="AB28" i="3"/>
  <c r="AA28" i="3"/>
  <c r="Z28" i="3"/>
  <c r="Y28" i="3"/>
  <c r="X28" i="3"/>
  <c r="U28" i="3"/>
  <c r="T28" i="3"/>
  <c r="S28" i="3"/>
  <c r="R28" i="3"/>
  <c r="Q28" i="3"/>
  <c r="O28" i="3" s="1"/>
  <c r="AC2" i="3"/>
  <c r="AB2" i="3"/>
  <c r="AA2" i="3"/>
  <c r="Z2" i="3"/>
  <c r="Y2" i="3"/>
  <c r="U2" i="3"/>
  <c r="T2" i="3"/>
  <c r="S2" i="3"/>
  <c r="H2" i="3"/>
  <c r="AG2" i="3" s="1"/>
  <c r="AL2" i="3" s="1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" i="2"/>
  <c r="AO2" i="2"/>
  <c r="AE3" i="2"/>
  <c r="AF3" i="2"/>
  <c r="AG3" i="2"/>
  <c r="AH3" i="2"/>
  <c r="AI3" i="2"/>
  <c r="AK3" i="2"/>
  <c r="AL3" i="2"/>
  <c r="AM3" i="2"/>
  <c r="AN3" i="2"/>
  <c r="AO3" i="2"/>
  <c r="AE4" i="2"/>
  <c r="AF4" i="2"/>
  <c r="AG4" i="2"/>
  <c r="AH4" i="2"/>
  <c r="AI4" i="2"/>
  <c r="AK4" i="2"/>
  <c r="AL4" i="2"/>
  <c r="AM4" i="2"/>
  <c r="AN4" i="2"/>
  <c r="AO4" i="2"/>
  <c r="AE5" i="2"/>
  <c r="AF5" i="2"/>
  <c r="AG5" i="2"/>
  <c r="AH5" i="2"/>
  <c r="AI5" i="2"/>
  <c r="AK5" i="2"/>
  <c r="AL5" i="2"/>
  <c r="AM5" i="2"/>
  <c r="AN5" i="2"/>
  <c r="AO5" i="2"/>
  <c r="AE6" i="2"/>
  <c r="AF6" i="2"/>
  <c r="AG6" i="2"/>
  <c r="AH6" i="2"/>
  <c r="AI6" i="2"/>
  <c r="AK6" i="2"/>
  <c r="AL6" i="2"/>
  <c r="AM6" i="2"/>
  <c r="AN6" i="2"/>
  <c r="AO6" i="2"/>
  <c r="AE7" i="2"/>
  <c r="AF7" i="2"/>
  <c r="AG7" i="2"/>
  <c r="AH7" i="2"/>
  <c r="AI7" i="2"/>
  <c r="AK7" i="2"/>
  <c r="AL7" i="2"/>
  <c r="AM7" i="2"/>
  <c r="AN7" i="2"/>
  <c r="AO7" i="2"/>
  <c r="AE8" i="2"/>
  <c r="AF8" i="2"/>
  <c r="AG8" i="2"/>
  <c r="AH8" i="2"/>
  <c r="AI8" i="2"/>
  <c r="AK8" i="2"/>
  <c r="AL8" i="2"/>
  <c r="AM8" i="2"/>
  <c r="AN8" i="2"/>
  <c r="AO8" i="2"/>
  <c r="AE9" i="2"/>
  <c r="AF9" i="2"/>
  <c r="AG9" i="2"/>
  <c r="AH9" i="2"/>
  <c r="AI9" i="2"/>
  <c r="AK9" i="2"/>
  <c r="AL9" i="2"/>
  <c r="AM9" i="2"/>
  <c r="AN9" i="2"/>
  <c r="AO9" i="2"/>
  <c r="AE10" i="2"/>
  <c r="AF10" i="2"/>
  <c r="AG10" i="2"/>
  <c r="AH10" i="2"/>
  <c r="AI10" i="2"/>
  <c r="AK10" i="2"/>
  <c r="AL10" i="2"/>
  <c r="AM10" i="2"/>
  <c r="AN10" i="2"/>
  <c r="AO10" i="2"/>
  <c r="AE11" i="2"/>
  <c r="AF11" i="2"/>
  <c r="AG11" i="2"/>
  <c r="AH11" i="2"/>
  <c r="AI11" i="2"/>
  <c r="AK11" i="2"/>
  <c r="AL11" i="2"/>
  <c r="AM11" i="2"/>
  <c r="AN11" i="2"/>
  <c r="AO11" i="2"/>
  <c r="AE12" i="2"/>
  <c r="AF12" i="2"/>
  <c r="AG12" i="2"/>
  <c r="AH12" i="2"/>
  <c r="AI12" i="2"/>
  <c r="AK12" i="2"/>
  <c r="AL12" i="2"/>
  <c r="AM12" i="2"/>
  <c r="AN12" i="2"/>
  <c r="AO12" i="2"/>
  <c r="AE13" i="2"/>
  <c r="AF13" i="2"/>
  <c r="AG13" i="2"/>
  <c r="AH13" i="2"/>
  <c r="AI13" i="2"/>
  <c r="AK13" i="2"/>
  <c r="AL13" i="2"/>
  <c r="AM13" i="2"/>
  <c r="AN13" i="2"/>
  <c r="AO13" i="2"/>
  <c r="AE14" i="2"/>
  <c r="AF14" i="2"/>
  <c r="AG14" i="2"/>
  <c r="AH14" i="2"/>
  <c r="AI14" i="2"/>
  <c r="AK14" i="2"/>
  <c r="AL14" i="2"/>
  <c r="AM14" i="2"/>
  <c r="AN14" i="2"/>
  <c r="AO14" i="2"/>
  <c r="AE15" i="2"/>
  <c r="AF15" i="2"/>
  <c r="AG15" i="2"/>
  <c r="AH15" i="2"/>
  <c r="AI15" i="2"/>
  <c r="AK15" i="2"/>
  <c r="AL15" i="2"/>
  <c r="AM15" i="2"/>
  <c r="AN15" i="2"/>
  <c r="AO15" i="2"/>
  <c r="AE16" i="2"/>
  <c r="AF16" i="2"/>
  <c r="AG16" i="2"/>
  <c r="AH16" i="2"/>
  <c r="AI16" i="2"/>
  <c r="AK16" i="2"/>
  <c r="AL16" i="2"/>
  <c r="AM16" i="2"/>
  <c r="AN16" i="2"/>
  <c r="AO16" i="2"/>
  <c r="AE17" i="2"/>
  <c r="AF17" i="2"/>
  <c r="AG17" i="2"/>
  <c r="AH17" i="2"/>
  <c r="AI17" i="2"/>
  <c r="AK17" i="2"/>
  <c r="AL17" i="2"/>
  <c r="AM17" i="2"/>
  <c r="AN17" i="2"/>
  <c r="AO17" i="2"/>
  <c r="AE18" i="2"/>
  <c r="AF18" i="2"/>
  <c r="AG18" i="2"/>
  <c r="AH18" i="2"/>
  <c r="AI18" i="2"/>
  <c r="AK18" i="2"/>
  <c r="AL18" i="2"/>
  <c r="AM18" i="2"/>
  <c r="AN18" i="2"/>
  <c r="AO18" i="2"/>
  <c r="AE19" i="2"/>
  <c r="AF19" i="2"/>
  <c r="AG19" i="2"/>
  <c r="AH19" i="2"/>
  <c r="AI19" i="2"/>
  <c r="AK19" i="2"/>
  <c r="AL19" i="2"/>
  <c r="AM19" i="2"/>
  <c r="AN19" i="2"/>
  <c r="AO19" i="2"/>
  <c r="AE20" i="2"/>
  <c r="AF20" i="2"/>
  <c r="AG20" i="2"/>
  <c r="AH20" i="2"/>
  <c r="AI20" i="2"/>
  <c r="AK20" i="2"/>
  <c r="AL20" i="2"/>
  <c r="AM20" i="2"/>
  <c r="AN20" i="2"/>
  <c r="AO20" i="2"/>
  <c r="AE21" i="2"/>
  <c r="AF21" i="2"/>
  <c r="AG21" i="2"/>
  <c r="AH21" i="2"/>
  <c r="AI21" i="2"/>
  <c r="AK21" i="2"/>
  <c r="AL21" i="2"/>
  <c r="AM21" i="2"/>
  <c r="AN21" i="2"/>
  <c r="AO21" i="2"/>
  <c r="AE22" i="2"/>
  <c r="AF22" i="2"/>
  <c r="AG22" i="2"/>
  <c r="AH22" i="2"/>
  <c r="AI22" i="2"/>
  <c r="AK22" i="2"/>
  <c r="AL22" i="2"/>
  <c r="AM22" i="2"/>
  <c r="AN22" i="2"/>
  <c r="AO22" i="2"/>
  <c r="AE23" i="2"/>
  <c r="AF23" i="2"/>
  <c r="AG23" i="2"/>
  <c r="AH23" i="2"/>
  <c r="AI23" i="2"/>
  <c r="AK23" i="2"/>
  <c r="AL23" i="2"/>
  <c r="AM23" i="2"/>
  <c r="AN23" i="2"/>
  <c r="AO23" i="2"/>
  <c r="AE24" i="2"/>
  <c r="AF24" i="2"/>
  <c r="AG24" i="2"/>
  <c r="AH24" i="2"/>
  <c r="AI24" i="2"/>
  <c r="AK24" i="2"/>
  <c r="AL24" i="2"/>
  <c r="AM24" i="2"/>
  <c r="AN24" i="2"/>
  <c r="AO24" i="2"/>
  <c r="AE25" i="2"/>
  <c r="AF25" i="2"/>
  <c r="AG25" i="2"/>
  <c r="AH25" i="2"/>
  <c r="AI25" i="2"/>
  <c r="AK25" i="2"/>
  <c r="AL25" i="2"/>
  <c r="AM25" i="2"/>
  <c r="AN25" i="2"/>
  <c r="AO25" i="2"/>
  <c r="AE26" i="2"/>
  <c r="AF26" i="2"/>
  <c r="AG26" i="2"/>
  <c r="AH26" i="2"/>
  <c r="AI26" i="2"/>
  <c r="AK26" i="2"/>
  <c r="AL26" i="2"/>
  <c r="AM26" i="2"/>
  <c r="AN26" i="2"/>
  <c r="AO26" i="2"/>
  <c r="AE27" i="2"/>
  <c r="AF27" i="2"/>
  <c r="AG27" i="2"/>
  <c r="AH27" i="2"/>
  <c r="AI27" i="2"/>
  <c r="AK27" i="2"/>
  <c r="AL27" i="2"/>
  <c r="AM27" i="2"/>
  <c r="AN27" i="2"/>
  <c r="AO27" i="2"/>
  <c r="AE28" i="2"/>
  <c r="AF28" i="2"/>
  <c r="AG28" i="2"/>
  <c r="AH28" i="2"/>
  <c r="AI28" i="2"/>
  <c r="AK28" i="2"/>
  <c r="AL28" i="2"/>
  <c r="AM28" i="2"/>
  <c r="AN28" i="2"/>
  <c r="AO28" i="2"/>
  <c r="AE29" i="2"/>
  <c r="AF29" i="2"/>
  <c r="AG29" i="2"/>
  <c r="AH29" i="2"/>
  <c r="AI29" i="2"/>
  <c r="AK29" i="2"/>
  <c r="AL29" i="2"/>
  <c r="AM29" i="2"/>
  <c r="AN29" i="2"/>
  <c r="AO29" i="2"/>
  <c r="AE30" i="2"/>
  <c r="AF30" i="2"/>
  <c r="AG30" i="2"/>
  <c r="AH30" i="2"/>
  <c r="AI30" i="2"/>
  <c r="AK30" i="2"/>
  <c r="AL30" i="2"/>
  <c r="AM30" i="2"/>
  <c r="AN30" i="2"/>
  <c r="AO30" i="2"/>
  <c r="AE31" i="2"/>
  <c r="AF31" i="2"/>
  <c r="AG31" i="2"/>
  <c r="AH31" i="2"/>
  <c r="AI31" i="2"/>
  <c r="AK31" i="2"/>
  <c r="AL31" i="2"/>
  <c r="AM31" i="2"/>
  <c r="AN31" i="2"/>
  <c r="AO31" i="2"/>
  <c r="AE32" i="2"/>
  <c r="AF32" i="2"/>
  <c r="AG32" i="2"/>
  <c r="AH32" i="2"/>
  <c r="AI32" i="2"/>
  <c r="AK32" i="2"/>
  <c r="AL32" i="2"/>
  <c r="AM32" i="2"/>
  <c r="AN32" i="2"/>
  <c r="AO32" i="2"/>
  <c r="AE33" i="2"/>
  <c r="AF33" i="2"/>
  <c r="AG33" i="2"/>
  <c r="AH33" i="2"/>
  <c r="AI33" i="2"/>
  <c r="AK33" i="2"/>
  <c r="AL33" i="2"/>
  <c r="AM33" i="2"/>
  <c r="AN33" i="2"/>
  <c r="AO33" i="2"/>
  <c r="AE34" i="2"/>
  <c r="AF34" i="2"/>
  <c r="AG34" i="2"/>
  <c r="AH34" i="2"/>
  <c r="AI34" i="2"/>
  <c r="AK34" i="2"/>
  <c r="AL34" i="2"/>
  <c r="AM34" i="2"/>
  <c r="AN34" i="2"/>
  <c r="AO34" i="2"/>
  <c r="AE35" i="2"/>
  <c r="AF35" i="2"/>
  <c r="AG35" i="2"/>
  <c r="AH35" i="2"/>
  <c r="AI35" i="2"/>
  <c r="AK35" i="2"/>
  <c r="AL35" i="2"/>
  <c r="AM35" i="2"/>
  <c r="AN35" i="2"/>
  <c r="AO35" i="2"/>
  <c r="AE36" i="2"/>
  <c r="AF36" i="2"/>
  <c r="AG36" i="2"/>
  <c r="AH36" i="2"/>
  <c r="AI36" i="2"/>
  <c r="AK36" i="2"/>
  <c r="AL36" i="2"/>
  <c r="AM36" i="2"/>
  <c r="AN36" i="2"/>
  <c r="AO36" i="2"/>
  <c r="AE37" i="2"/>
  <c r="AF37" i="2"/>
  <c r="AG37" i="2"/>
  <c r="AH37" i="2"/>
  <c r="AI37" i="2"/>
  <c r="AK37" i="2"/>
  <c r="AL37" i="2"/>
  <c r="AM37" i="2"/>
  <c r="AN37" i="2"/>
  <c r="AO37" i="2"/>
  <c r="AE38" i="2"/>
  <c r="AF38" i="2"/>
  <c r="AG38" i="2"/>
  <c r="AH38" i="2"/>
  <c r="AI38" i="2"/>
  <c r="AK38" i="2"/>
  <c r="AL38" i="2"/>
  <c r="AM38" i="2"/>
  <c r="AN38" i="2"/>
  <c r="AO38" i="2"/>
  <c r="AE39" i="2"/>
  <c r="AF39" i="2"/>
  <c r="AG39" i="2"/>
  <c r="AH39" i="2"/>
  <c r="AI39" i="2"/>
  <c r="AK39" i="2"/>
  <c r="AL39" i="2"/>
  <c r="AM39" i="2"/>
  <c r="AN39" i="2"/>
  <c r="AO39" i="2"/>
  <c r="AE40" i="2"/>
  <c r="AF40" i="2"/>
  <c r="AG40" i="2"/>
  <c r="AH40" i="2"/>
  <c r="AI40" i="2"/>
  <c r="AK40" i="2"/>
  <c r="AL40" i="2"/>
  <c r="AM40" i="2"/>
  <c r="AN40" i="2"/>
  <c r="AO40" i="2"/>
  <c r="AE41" i="2"/>
  <c r="AF41" i="2"/>
  <c r="AG41" i="2"/>
  <c r="AH41" i="2"/>
  <c r="AI41" i="2"/>
  <c r="AK41" i="2"/>
  <c r="AL41" i="2"/>
  <c r="AM41" i="2"/>
  <c r="AN41" i="2"/>
  <c r="AO41" i="2"/>
  <c r="AE42" i="2"/>
  <c r="AF42" i="2"/>
  <c r="AG42" i="2"/>
  <c r="AH42" i="2"/>
  <c r="AI42" i="2"/>
  <c r="AK42" i="2"/>
  <c r="AL42" i="2"/>
  <c r="AM42" i="2"/>
  <c r="AN42" i="2"/>
  <c r="AO42" i="2"/>
  <c r="AE43" i="2"/>
  <c r="AF43" i="2"/>
  <c r="AG43" i="2"/>
  <c r="AH43" i="2"/>
  <c r="AI43" i="2"/>
  <c r="AK43" i="2"/>
  <c r="AL43" i="2"/>
  <c r="AM43" i="2"/>
  <c r="AN43" i="2"/>
  <c r="AO43" i="2"/>
  <c r="AE44" i="2"/>
  <c r="AF44" i="2"/>
  <c r="AG44" i="2"/>
  <c r="AH44" i="2"/>
  <c r="AI44" i="2"/>
  <c r="AK44" i="2"/>
  <c r="AL44" i="2"/>
  <c r="AM44" i="2"/>
  <c r="AN44" i="2"/>
  <c r="AO44" i="2"/>
  <c r="AE45" i="2"/>
  <c r="AF45" i="2"/>
  <c r="AG45" i="2"/>
  <c r="AH45" i="2"/>
  <c r="AI45" i="2"/>
  <c r="AK45" i="2"/>
  <c r="AL45" i="2"/>
  <c r="AM45" i="2"/>
  <c r="AN45" i="2"/>
  <c r="AO45" i="2"/>
  <c r="AE46" i="2"/>
  <c r="AF46" i="2"/>
  <c r="AG46" i="2"/>
  <c r="AH46" i="2"/>
  <c r="AI46" i="2"/>
  <c r="AK46" i="2"/>
  <c r="AL46" i="2"/>
  <c r="AM46" i="2"/>
  <c r="AN46" i="2"/>
  <c r="AO46" i="2"/>
  <c r="AE47" i="2"/>
  <c r="AF47" i="2"/>
  <c r="AG47" i="2"/>
  <c r="AH47" i="2"/>
  <c r="AI47" i="2"/>
  <c r="AK47" i="2"/>
  <c r="AL47" i="2"/>
  <c r="AM47" i="2"/>
  <c r="AN47" i="2"/>
  <c r="AO47" i="2"/>
  <c r="AE48" i="2"/>
  <c r="AF48" i="2"/>
  <c r="AG48" i="2"/>
  <c r="AH48" i="2"/>
  <c r="AI48" i="2"/>
  <c r="AK48" i="2"/>
  <c r="AL48" i="2"/>
  <c r="AM48" i="2"/>
  <c r="AN48" i="2"/>
  <c r="AO48" i="2"/>
  <c r="AE49" i="2"/>
  <c r="AF49" i="2"/>
  <c r="AG49" i="2"/>
  <c r="AH49" i="2"/>
  <c r="AI49" i="2"/>
  <c r="AK49" i="2"/>
  <c r="AL49" i="2"/>
  <c r="AM49" i="2"/>
  <c r="AN49" i="2"/>
  <c r="AO49" i="2"/>
  <c r="AE50" i="2"/>
  <c r="AF50" i="2"/>
  <c r="AG50" i="2"/>
  <c r="AH50" i="2"/>
  <c r="AI50" i="2"/>
  <c r="AK50" i="2"/>
  <c r="AL50" i="2"/>
  <c r="AM50" i="2"/>
  <c r="AN50" i="2"/>
  <c r="AO50" i="2"/>
  <c r="AE51" i="2"/>
  <c r="AF51" i="2"/>
  <c r="AG51" i="2"/>
  <c r="AH51" i="2"/>
  <c r="AI51" i="2"/>
  <c r="AK51" i="2"/>
  <c r="AL51" i="2"/>
  <c r="AM51" i="2"/>
  <c r="AN51" i="2"/>
  <c r="AO51" i="2"/>
  <c r="AE52" i="2"/>
  <c r="AF52" i="2"/>
  <c r="AG52" i="2"/>
  <c r="AH52" i="2"/>
  <c r="AI52" i="2"/>
  <c r="AK52" i="2"/>
  <c r="AL52" i="2"/>
  <c r="AM52" i="2"/>
  <c r="AN52" i="2"/>
  <c r="AO52" i="2"/>
  <c r="AE53" i="2"/>
  <c r="AF53" i="2"/>
  <c r="AG53" i="2"/>
  <c r="AH53" i="2"/>
  <c r="AI53" i="2"/>
  <c r="AK53" i="2"/>
  <c r="AL53" i="2"/>
  <c r="AM53" i="2"/>
  <c r="AN53" i="2"/>
  <c r="AO53" i="2"/>
  <c r="AE54" i="2"/>
  <c r="AF54" i="2"/>
  <c r="AG54" i="2"/>
  <c r="AH54" i="2"/>
  <c r="AI54" i="2"/>
  <c r="AK54" i="2"/>
  <c r="AL54" i="2"/>
  <c r="AM54" i="2"/>
  <c r="AN54" i="2"/>
  <c r="AO54" i="2"/>
  <c r="AE55" i="2"/>
  <c r="AF55" i="2"/>
  <c r="AG55" i="2"/>
  <c r="AH55" i="2"/>
  <c r="AI55" i="2"/>
  <c r="AK55" i="2"/>
  <c r="AL55" i="2"/>
  <c r="AM55" i="2"/>
  <c r="AN55" i="2"/>
  <c r="AO55" i="2"/>
  <c r="AE56" i="2"/>
  <c r="AF56" i="2"/>
  <c r="AG56" i="2"/>
  <c r="AH56" i="2"/>
  <c r="AI56" i="2"/>
  <c r="AK56" i="2"/>
  <c r="AL56" i="2"/>
  <c r="AM56" i="2"/>
  <c r="AN56" i="2"/>
  <c r="AO56" i="2"/>
  <c r="AE57" i="2"/>
  <c r="AF57" i="2"/>
  <c r="AG57" i="2"/>
  <c r="AH57" i="2"/>
  <c r="AI57" i="2"/>
  <c r="AK57" i="2"/>
  <c r="AL57" i="2"/>
  <c r="AM57" i="2"/>
  <c r="AN57" i="2"/>
  <c r="AO57" i="2"/>
  <c r="AE58" i="2"/>
  <c r="AF58" i="2"/>
  <c r="AG58" i="2"/>
  <c r="AH58" i="2"/>
  <c r="AI58" i="2"/>
  <c r="AK58" i="2"/>
  <c r="AL58" i="2"/>
  <c r="AM58" i="2"/>
  <c r="AN58" i="2"/>
  <c r="AO58" i="2"/>
  <c r="AE59" i="2"/>
  <c r="AF59" i="2"/>
  <c r="AG59" i="2"/>
  <c r="AH59" i="2"/>
  <c r="AI59" i="2"/>
  <c r="AK59" i="2"/>
  <c r="AL59" i="2"/>
  <c r="AM59" i="2"/>
  <c r="AN59" i="2"/>
  <c r="AO59" i="2"/>
  <c r="AE60" i="2"/>
  <c r="AF60" i="2"/>
  <c r="AG60" i="2"/>
  <c r="AH60" i="2"/>
  <c r="AI60" i="2"/>
  <c r="AK60" i="2"/>
  <c r="AL60" i="2"/>
  <c r="AM60" i="2"/>
  <c r="AN60" i="2"/>
  <c r="AO60" i="2"/>
  <c r="AE61" i="2"/>
  <c r="AF61" i="2"/>
  <c r="AG61" i="2"/>
  <c r="AH61" i="2"/>
  <c r="AI61" i="2"/>
  <c r="AK61" i="2"/>
  <c r="AL61" i="2"/>
  <c r="AM61" i="2"/>
  <c r="AN61" i="2"/>
  <c r="AO61" i="2"/>
  <c r="AE62" i="2"/>
  <c r="AF62" i="2"/>
  <c r="AG62" i="2"/>
  <c r="AH62" i="2"/>
  <c r="AI62" i="2"/>
  <c r="AK62" i="2"/>
  <c r="AL62" i="2"/>
  <c r="AM62" i="2"/>
  <c r="AN62" i="2"/>
  <c r="AO62" i="2"/>
  <c r="AE63" i="2"/>
  <c r="AF63" i="2"/>
  <c r="AG63" i="2"/>
  <c r="AH63" i="2"/>
  <c r="AI63" i="2"/>
  <c r="AK63" i="2"/>
  <c r="AL63" i="2"/>
  <c r="AM63" i="2"/>
  <c r="AN63" i="2"/>
  <c r="AO63" i="2"/>
  <c r="AE64" i="2"/>
  <c r="AF64" i="2"/>
  <c r="AG64" i="2"/>
  <c r="AH64" i="2"/>
  <c r="AI64" i="2"/>
  <c r="AK64" i="2"/>
  <c r="AL64" i="2"/>
  <c r="AM64" i="2"/>
  <c r="AN64" i="2"/>
  <c r="AO64" i="2"/>
  <c r="AE65" i="2"/>
  <c r="AF65" i="2"/>
  <c r="AG65" i="2"/>
  <c r="AH65" i="2"/>
  <c r="AI65" i="2"/>
  <c r="AK65" i="2"/>
  <c r="AL65" i="2"/>
  <c r="AM65" i="2"/>
  <c r="AN65" i="2"/>
  <c r="AO65" i="2"/>
  <c r="AE66" i="2"/>
  <c r="AF66" i="2"/>
  <c r="AG66" i="2"/>
  <c r="AH66" i="2"/>
  <c r="AI66" i="2"/>
  <c r="AK66" i="2"/>
  <c r="AL66" i="2"/>
  <c r="AM66" i="2"/>
  <c r="AN66" i="2"/>
  <c r="AO66" i="2"/>
  <c r="AE67" i="2"/>
  <c r="AF67" i="2"/>
  <c r="AG67" i="2"/>
  <c r="AH67" i="2"/>
  <c r="AI67" i="2"/>
  <c r="AK67" i="2"/>
  <c r="AL67" i="2"/>
  <c r="AM67" i="2"/>
  <c r="AN67" i="2"/>
  <c r="AO67" i="2"/>
  <c r="AE68" i="2"/>
  <c r="AF68" i="2"/>
  <c r="AG68" i="2"/>
  <c r="AH68" i="2"/>
  <c r="AI68" i="2"/>
  <c r="AK68" i="2"/>
  <c r="AL68" i="2"/>
  <c r="AM68" i="2"/>
  <c r="AN68" i="2"/>
  <c r="AO68" i="2"/>
  <c r="AE69" i="2"/>
  <c r="AF69" i="2"/>
  <c r="AG69" i="2"/>
  <c r="AH69" i="2"/>
  <c r="AI69" i="2"/>
  <c r="AK69" i="2"/>
  <c r="AL69" i="2"/>
  <c r="AM69" i="2"/>
  <c r="AN69" i="2"/>
  <c r="AO69" i="2"/>
  <c r="AE70" i="2"/>
  <c r="AF70" i="2"/>
  <c r="AG70" i="2"/>
  <c r="AH70" i="2"/>
  <c r="AI70" i="2"/>
  <c r="AK70" i="2"/>
  <c r="AL70" i="2"/>
  <c r="AM70" i="2"/>
  <c r="AN70" i="2"/>
  <c r="AO70" i="2"/>
  <c r="AE71" i="2"/>
  <c r="AF71" i="2"/>
  <c r="AG71" i="2"/>
  <c r="AH71" i="2"/>
  <c r="AI71" i="2"/>
  <c r="AK71" i="2"/>
  <c r="AL71" i="2"/>
  <c r="AM71" i="2"/>
  <c r="AN71" i="2"/>
  <c r="AO71" i="2"/>
  <c r="AE72" i="2"/>
  <c r="AF72" i="2"/>
  <c r="AG72" i="2"/>
  <c r="AH72" i="2"/>
  <c r="AI72" i="2"/>
  <c r="AK72" i="2"/>
  <c r="AL72" i="2"/>
  <c r="AM72" i="2"/>
  <c r="AN72" i="2"/>
  <c r="AO72" i="2"/>
  <c r="AE73" i="2"/>
  <c r="AF73" i="2"/>
  <c r="AG73" i="2"/>
  <c r="AH73" i="2"/>
  <c r="AI73" i="2"/>
  <c r="AK73" i="2"/>
  <c r="AL73" i="2"/>
  <c r="AM73" i="2"/>
  <c r="AN73" i="2"/>
  <c r="AO73" i="2"/>
  <c r="AE74" i="2"/>
  <c r="AF74" i="2"/>
  <c r="AG74" i="2"/>
  <c r="AH74" i="2"/>
  <c r="AI74" i="2"/>
  <c r="AK74" i="2"/>
  <c r="AL74" i="2"/>
  <c r="AM74" i="2"/>
  <c r="AN74" i="2"/>
  <c r="AO74" i="2"/>
  <c r="AE75" i="2"/>
  <c r="AF75" i="2"/>
  <c r="AG75" i="2"/>
  <c r="AH75" i="2"/>
  <c r="AI75" i="2"/>
  <c r="AK75" i="2"/>
  <c r="AL75" i="2"/>
  <c r="AM75" i="2"/>
  <c r="AN75" i="2"/>
  <c r="AO75" i="2"/>
  <c r="AE76" i="2"/>
  <c r="AF76" i="2"/>
  <c r="AG76" i="2"/>
  <c r="AH76" i="2"/>
  <c r="AI76" i="2"/>
  <c r="AK76" i="2"/>
  <c r="AL76" i="2"/>
  <c r="AM76" i="2"/>
  <c r="AN76" i="2"/>
  <c r="AO76" i="2"/>
  <c r="AE77" i="2"/>
  <c r="AF77" i="2"/>
  <c r="AG77" i="2"/>
  <c r="AH77" i="2"/>
  <c r="AI77" i="2"/>
  <c r="AK77" i="2"/>
  <c r="AL77" i="2"/>
  <c r="AM77" i="2"/>
  <c r="AN77" i="2"/>
  <c r="AO77" i="2"/>
  <c r="AE78" i="2"/>
  <c r="AF78" i="2"/>
  <c r="AG78" i="2"/>
  <c r="AH78" i="2"/>
  <c r="AI78" i="2"/>
  <c r="AK78" i="2"/>
  <c r="AL78" i="2"/>
  <c r="AM78" i="2"/>
  <c r="AN78" i="2"/>
  <c r="AO78" i="2"/>
  <c r="AE79" i="2"/>
  <c r="AF79" i="2"/>
  <c r="AG79" i="2"/>
  <c r="AH79" i="2"/>
  <c r="AI79" i="2"/>
  <c r="AK79" i="2"/>
  <c r="AL79" i="2"/>
  <c r="AM79" i="2"/>
  <c r="AN79" i="2"/>
  <c r="AO79" i="2"/>
  <c r="AE80" i="2"/>
  <c r="AF80" i="2"/>
  <c r="AG80" i="2"/>
  <c r="AH80" i="2"/>
  <c r="AI80" i="2"/>
  <c r="AK80" i="2"/>
  <c r="AL80" i="2"/>
  <c r="AM80" i="2"/>
  <c r="AN80" i="2"/>
  <c r="AO80" i="2"/>
  <c r="AE81" i="2"/>
  <c r="AF81" i="2"/>
  <c r="AG81" i="2"/>
  <c r="AH81" i="2"/>
  <c r="AI81" i="2"/>
  <c r="AK81" i="2"/>
  <c r="AL81" i="2"/>
  <c r="AM81" i="2"/>
  <c r="AN81" i="2"/>
  <c r="AO81" i="2"/>
  <c r="AE82" i="2"/>
  <c r="AF82" i="2"/>
  <c r="AG82" i="2"/>
  <c r="AH82" i="2"/>
  <c r="AI82" i="2"/>
  <c r="AK82" i="2"/>
  <c r="AL82" i="2"/>
  <c r="AM82" i="2"/>
  <c r="AN82" i="2"/>
  <c r="AO82" i="2"/>
  <c r="AE83" i="2"/>
  <c r="AF83" i="2"/>
  <c r="AG83" i="2"/>
  <c r="AH83" i="2"/>
  <c r="AI83" i="2"/>
  <c r="AK83" i="2"/>
  <c r="AL83" i="2"/>
  <c r="AM83" i="2"/>
  <c r="AN83" i="2"/>
  <c r="AO83" i="2"/>
  <c r="AE84" i="2"/>
  <c r="AF84" i="2"/>
  <c r="AG84" i="2"/>
  <c r="AH84" i="2"/>
  <c r="AI84" i="2"/>
  <c r="AK84" i="2"/>
  <c r="AL84" i="2"/>
  <c r="AM84" i="2"/>
  <c r="AN84" i="2"/>
  <c r="AO84" i="2"/>
  <c r="AE85" i="2"/>
  <c r="AF85" i="2"/>
  <c r="AG85" i="2"/>
  <c r="AH85" i="2"/>
  <c r="AI85" i="2"/>
  <c r="AK85" i="2"/>
  <c r="AL85" i="2"/>
  <c r="AM85" i="2"/>
  <c r="AN85" i="2"/>
  <c r="AO85" i="2"/>
  <c r="AE86" i="2"/>
  <c r="AF86" i="2"/>
  <c r="AG86" i="2"/>
  <c r="AH86" i="2"/>
  <c r="AI86" i="2"/>
  <c r="AK86" i="2"/>
  <c r="AL86" i="2"/>
  <c r="AM86" i="2"/>
  <c r="AN86" i="2"/>
  <c r="AO86" i="2"/>
  <c r="AE87" i="2"/>
  <c r="AF87" i="2"/>
  <c r="AG87" i="2"/>
  <c r="AH87" i="2"/>
  <c r="AI87" i="2"/>
  <c r="AK87" i="2"/>
  <c r="AL87" i="2"/>
  <c r="AM87" i="2"/>
  <c r="AN87" i="2"/>
  <c r="AO87" i="2"/>
  <c r="AE88" i="2"/>
  <c r="AF88" i="2"/>
  <c r="AG88" i="2"/>
  <c r="AH88" i="2"/>
  <c r="AI88" i="2"/>
  <c r="AK88" i="2"/>
  <c r="AL88" i="2"/>
  <c r="AM88" i="2"/>
  <c r="AN88" i="2"/>
  <c r="AO88" i="2"/>
  <c r="AE89" i="2"/>
  <c r="AF89" i="2"/>
  <c r="AG89" i="2"/>
  <c r="AH89" i="2"/>
  <c r="AI89" i="2"/>
  <c r="AK89" i="2"/>
  <c r="AL89" i="2"/>
  <c r="AM89" i="2"/>
  <c r="AN89" i="2"/>
  <c r="AO89" i="2"/>
  <c r="AE90" i="2"/>
  <c r="AF90" i="2"/>
  <c r="AG90" i="2"/>
  <c r="AH90" i="2"/>
  <c r="AI90" i="2"/>
  <c r="AK90" i="2"/>
  <c r="AL90" i="2"/>
  <c r="AM90" i="2"/>
  <c r="AN90" i="2"/>
  <c r="AO90" i="2"/>
  <c r="AE91" i="2"/>
  <c r="AF91" i="2"/>
  <c r="AG91" i="2"/>
  <c r="AH91" i="2"/>
  <c r="AI91" i="2"/>
  <c r="AK91" i="2"/>
  <c r="AL91" i="2"/>
  <c r="AM91" i="2"/>
  <c r="AN91" i="2"/>
  <c r="AO91" i="2"/>
  <c r="AE92" i="2"/>
  <c r="AF92" i="2"/>
  <c r="AG92" i="2"/>
  <c r="AH92" i="2"/>
  <c r="AI92" i="2"/>
  <c r="AK92" i="2"/>
  <c r="AL92" i="2"/>
  <c r="AM92" i="2"/>
  <c r="AN92" i="2"/>
  <c r="AO92" i="2"/>
  <c r="AE93" i="2"/>
  <c r="AF93" i="2"/>
  <c r="AG93" i="2"/>
  <c r="AH93" i="2"/>
  <c r="AI93" i="2"/>
  <c r="AK93" i="2"/>
  <c r="AL93" i="2"/>
  <c r="AM93" i="2"/>
  <c r="AN93" i="2"/>
  <c r="AO93" i="2"/>
  <c r="AE94" i="2"/>
  <c r="AF94" i="2"/>
  <c r="AG94" i="2"/>
  <c r="AH94" i="2"/>
  <c r="AI94" i="2"/>
  <c r="AK94" i="2"/>
  <c r="AL94" i="2"/>
  <c r="AM94" i="2"/>
  <c r="AN94" i="2"/>
  <c r="AO94" i="2"/>
  <c r="AE95" i="2"/>
  <c r="AF95" i="2"/>
  <c r="AG95" i="2"/>
  <c r="AH95" i="2"/>
  <c r="AI95" i="2"/>
  <c r="AK95" i="2"/>
  <c r="AL95" i="2"/>
  <c r="AM95" i="2"/>
  <c r="AN95" i="2"/>
  <c r="AO95" i="2"/>
  <c r="AE96" i="2"/>
  <c r="AF96" i="2"/>
  <c r="AG96" i="2"/>
  <c r="AH96" i="2"/>
  <c r="AI96" i="2"/>
  <c r="AK96" i="2"/>
  <c r="AL96" i="2"/>
  <c r="AM96" i="2"/>
  <c r="AN96" i="2"/>
  <c r="AO96" i="2"/>
  <c r="AE97" i="2"/>
  <c r="AF97" i="2"/>
  <c r="AG97" i="2"/>
  <c r="AH97" i="2"/>
  <c r="AI97" i="2"/>
  <c r="AK97" i="2"/>
  <c r="AL97" i="2"/>
  <c r="AM97" i="2"/>
  <c r="AN97" i="2"/>
  <c r="AO97" i="2"/>
  <c r="AE98" i="2"/>
  <c r="AF98" i="2"/>
  <c r="AG98" i="2"/>
  <c r="AH98" i="2"/>
  <c r="AI98" i="2"/>
  <c r="AK98" i="2"/>
  <c r="AL98" i="2"/>
  <c r="AM98" i="2"/>
  <c r="AN98" i="2"/>
  <c r="AO98" i="2"/>
  <c r="AE99" i="2"/>
  <c r="AF99" i="2"/>
  <c r="AG99" i="2"/>
  <c r="AH99" i="2"/>
  <c r="AI99" i="2"/>
  <c r="AK99" i="2"/>
  <c r="AL99" i="2"/>
  <c r="AM99" i="2"/>
  <c r="AN99" i="2"/>
  <c r="AO99" i="2"/>
  <c r="AE100" i="2"/>
  <c r="AF100" i="2"/>
  <c r="AG100" i="2"/>
  <c r="AH100" i="2"/>
  <c r="AI100" i="2"/>
  <c r="AK100" i="2"/>
  <c r="AL100" i="2"/>
  <c r="AM100" i="2"/>
  <c r="AN100" i="2"/>
  <c r="AO100" i="2"/>
  <c r="AE101" i="2"/>
  <c r="AF101" i="2"/>
  <c r="AG101" i="2"/>
  <c r="AH101" i="2"/>
  <c r="AI101" i="2"/>
  <c r="AK101" i="2"/>
  <c r="AL101" i="2"/>
  <c r="AM101" i="2"/>
  <c r="AN101" i="2"/>
  <c r="AO101" i="2"/>
  <c r="AE102" i="2"/>
  <c r="AF102" i="2"/>
  <c r="AG102" i="2"/>
  <c r="AH102" i="2"/>
  <c r="AI102" i="2"/>
  <c r="AK102" i="2"/>
  <c r="AL102" i="2"/>
  <c r="AM102" i="2"/>
  <c r="AN102" i="2"/>
  <c r="AO102" i="2"/>
  <c r="AE103" i="2"/>
  <c r="AF103" i="2"/>
  <c r="AG103" i="2"/>
  <c r="AH103" i="2"/>
  <c r="AI103" i="2"/>
  <c r="AK103" i="2"/>
  <c r="AL103" i="2"/>
  <c r="AM103" i="2"/>
  <c r="AN103" i="2"/>
  <c r="AO103" i="2"/>
  <c r="AE104" i="2"/>
  <c r="AF104" i="2"/>
  <c r="AG104" i="2"/>
  <c r="AH104" i="2"/>
  <c r="AI104" i="2"/>
  <c r="AK104" i="2"/>
  <c r="AL104" i="2"/>
  <c r="AM104" i="2"/>
  <c r="AN104" i="2"/>
  <c r="AO104" i="2"/>
  <c r="AE105" i="2"/>
  <c r="AF105" i="2"/>
  <c r="AG105" i="2"/>
  <c r="AH105" i="2"/>
  <c r="AI105" i="2"/>
  <c r="AK105" i="2"/>
  <c r="AL105" i="2"/>
  <c r="AM105" i="2"/>
  <c r="AN105" i="2"/>
  <c r="AO105" i="2"/>
  <c r="AE106" i="2"/>
  <c r="AF106" i="2"/>
  <c r="AG106" i="2"/>
  <c r="AH106" i="2"/>
  <c r="AI106" i="2"/>
  <c r="AK106" i="2"/>
  <c r="AL106" i="2"/>
  <c r="AM106" i="2"/>
  <c r="AN106" i="2"/>
  <c r="AO106" i="2"/>
  <c r="AE107" i="2"/>
  <c r="AF107" i="2"/>
  <c r="AG107" i="2"/>
  <c r="AH107" i="2"/>
  <c r="AI107" i="2"/>
  <c r="AK107" i="2"/>
  <c r="AL107" i="2"/>
  <c r="AM107" i="2"/>
  <c r="AN107" i="2"/>
  <c r="AO107" i="2"/>
  <c r="AE108" i="2"/>
  <c r="AF108" i="2"/>
  <c r="AG108" i="2"/>
  <c r="AH108" i="2"/>
  <c r="AI108" i="2"/>
  <c r="AK108" i="2"/>
  <c r="AL108" i="2"/>
  <c r="AM108" i="2"/>
  <c r="AN108" i="2"/>
  <c r="AO108" i="2"/>
  <c r="AE109" i="2"/>
  <c r="AF109" i="2"/>
  <c r="AG109" i="2"/>
  <c r="AH109" i="2"/>
  <c r="AI109" i="2"/>
  <c r="AK109" i="2"/>
  <c r="AL109" i="2"/>
  <c r="AM109" i="2"/>
  <c r="AN109" i="2"/>
  <c r="AO109" i="2"/>
  <c r="AE110" i="2"/>
  <c r="AF110" i="2"/>
  <c r="AG110" i="2"/>
  <c r="AH110" i="2"/>
  <c r="AI110" i="2"/>
  <c r="AK110" i="2"/>
  <c r="AL110" i="2"/>
  <c r="AM110" i="2"/>
  <c r="AN110" i="2"/>
  <c r="AO110" i="2"/>
  <c r="AE111" i="2"/>
  <c r="AF111" i="2"/>
  <c r="AG111" i="2"/>
  <c r="AH111" i="2"/>
  <c r="AI111" i="2"/>
  <c r="AK111" i="2"/>
  <c r="AL111" i="2"/>
  <c r="AM111" i="2"/>
  <c r="AN111" i="2"/>
  <c r="AO111" i="2"/>
  <c r="AE112" i="2"/>
  <c r="AF112" i="2"/>
  <c r="AG112" i="2"/>
  <c r="AH112" i="2"/>
  <c r="AI112" i="2"/>
  <c r="AK112" i="2"/>
  <c r="AL112" i="2"/>
  <c r="AM112" i="2"/>
  <c r="AN112" i="2"/>
  <c r="AO112" i="2"/>
  <c r="AE113" i="2"/>
  <c r="AF113" i="2"/>
  <c r="AG113" i="2"/>
  <c r="AH113" i="2"/>
  <c r="AI113" i="2"/>
  <c r="AK113" i="2"/>
  <c r="AL113" i="2"/>
  <c r="AM113" i="2"/>
  <c r="AN113" i="2"/>
  <c r="AO113" i="2"/>
  <c r="AE114" i="2"/>
  <c r="AF114" i="2"/>
  <c r="AG114" i="2"/>
  <c r="AH114" i="2"/>
  <c r="AI114" i="2"/>
  <c r="AK114" i="2"/>
  <c r="AL114" i="2"/>
  <c r="AM114" i="2"/>
  <c r="AN114" i="2"/>
  <c r="AO114" i="2"/>
  <c r="AE115" i="2"/>
  <c r="AF115" i="2"/>
  <c r="AG115" i="2"/>
  <c r="AH115" i="2"/>
  <c r="AI115" i="2"/>
  <c r="AK115" i="2"/>
  <c r="AL115" i="2"/>
  <c r="AM115" i="2"/>
  <c r="AN115" i="2"/>
  <c r="AO115" i="2"/>
  <c r="AE116" i="2"/>
  <c r="AF116" i="2"/>
  <c r="AG116" i="2"/>
  <c r="AH116" i="2"/>
  <c r="AI116" i="2"/>
  <c r="AK116" i="2"/>
  <c r="AL116" i="2"/>
  <c r="AM116" i="2"/>
  <c r="AN116" i="2"/>
  <c r="AO116" i="2"/>
  <c r="AE117" i="2"/>
  <c r="AF117" i="2"/>
  <c r="AG117" i="2"/>
  <c r="AH117" i="2"/>
  <c r="AI117" i="2"/>
  <c r="AK117" i="2"/>
  <c r="AL117" i="2"/>
  <c r="AM117" i="2"/>
  <c r="AN117" i="2"/>
  <c r="AO117" i="2"/>
  <c r="AE118" i="2"/>
  <c r="AF118" i="2"/>
  <c r="AG118" i="2"/>
  <c r="AH118" i="2"/>
  <c r="AI118" i="2"/>
  <c r="AK118" i="2"/>
  <c r="AL118" i="2"/>
  <c r="AM118" i="2"/>
  <c r="AN118" i="2"/>
  <c r="AO118" i="2"/>
  <c r="AE119" i="2"/>
  <c r="AF119" i="2"/>
  <c r="AG119" i="2"/>
  <c r="AH119" i="2"/>
  <c r="AI119" i="2"/>
  <c r="AK119" i="2"/>
  <c r="AL119" i="2"/>
  <c r="AM119" i="2"/>
  <c r="AN119" i="2"/>
  <c r="AO119" i="2"/>
  <c r="AE120" i="2"/>
  <c r="AF120" i="2"/>
  <c r="AG120" i="2"/>
  <c r="AH120" i="2"/>
  <c r="AI120" i="2"/>
  <c r="AK120" i="2"/>
  <c r="AL120" i="2"/>
  <c r="AM120" i="2"/>
  <c r="AN120" i="2"/>
  <c r="AO120" i="2"/>
  <c r="AE121" i="2"/>
  <c r="AF121" i="2"/>
  <c r="AG121" i="2"/>
  <c r="AH121" i="2"/>
  <c r="AI121" i="2"/>
  <c r="AK121" i="2"/>
  <c r="AL121" i="2"/>
  <c r="AM121" i="2"/>
  <c r="AN121" i="2"/>
  <c r="AO121" i="2"/>
  <c r="AE122" i="2"/>
  <c r="AF122" i="2"/>
  <c r="AG122" i="2"/>
  <c r="AH122" i="2"/>
  <c r="AI122" i="2"/>
  <c r="AK122" i="2"/>
  <c r="AL122" i="2"/>
  <c r="AM122" i="2"/>
  <c r="AN122" i="2"/>
  <c r="AO122" i="2"/>
  <c r="AE123" i="2"/>
  <c r="AF123" i="2"/>
  <c r="AG123" i="2"/>
  <c r="AH123" i="2"/>
  <c r="AI123" i="2"/>
  <c r="AK123" i="2"/>
  <c r="AL123" i="2"/>
  <c r="AM123" i="2"/>
  <c r="AN123" i="2"/>
  <c r="AO123" i="2"/>
  <c r="AE124" i="2"/>
  <c r="AF124" i="2"/>
  <c r="AG124" i="2"/>
  <c r="AH124" i="2"/>
  <c r="AI124" i="2"/>
  <c r="AK124" i="2"/>
  <c r="AL124" i="2"/>
  <c r="AM124" i="2"/>
  <c r="AN124" i="2"/>
  <c r="AO124" i="2"/>
  <c r="AE125" i="2"/>
  <c r="AF125" i="2"/>
  <c r="AG125" i="2"/>
  <c r="AH125" i="2"/>
  <c r="AI125" i="2"/>
  <c r="AK125" i="2"/>
  <c r="AL125" i="2"/>
  <c r="AM125" i="2"/>
  <c r="AN125" i="2"/>
  <c r="AO125" i="2"/>
  <c r="AE126" i="2"/>
  <c r="AF126" i="2"/>
  <c r="AG126" i="2"/>
  <c r="AH126" i="2"/>
  <c r="AI126" i="2"/>
  <c r="AK126" i="2"/>
  <c r="AL126" i="2"/>
  <c r="AM126" i="2"/>
  <c r="AN126" i="2"/>
  <c r="AO126" i="2"/>
  <c r="AE127" i="2"/>
  <c r="AF127" i="2"/>
  <c r="AG127" i="2"/>
  <c r="AH127" i="2"/>
  <c r="AI127" i="2"/>
  <c r="AK127" i="2"/>
  <c r="AL127" i="2"/>
  <c r="AM127" i="2"/>
  <c r="AN127" i="2"/>
  <c r="AO127" i="2"/>
  <c r="AE128" i="2"/>
  <c r="AF128" i="2"/>
  <c r="AG128" i="2"/>
  <c r="AH128" i="2"/>
  <c r="AI128" i="2"/>
  <c r="AK128" i="2"/>
  <c r="AL128" i="2"/>
  <c r="AM128" i="2"/>
  <c r="AN128" i="2"/>
  <c r="AO128" i="2"/>
  <c r="AE129" i="2"/>
  <c r="AF129" i="2"/>
  <c r="AG129" i="2"/>
  <c r="AH129" i="2"/>
  <c r="AI129" i="2"/>
  <c r="AK129" i="2"/>
  <c r="AL129" i="2"/>
  <c r="AM129" i="2"/>
  <c r="AN129" i="2"/>
  <c r="AO129" i="2"/>
  <c r="AE130" i="2"/>
  <c r="AF130" i="2"/>
  <c r="AG130" i="2"/>
  <c r="AH130" i="2"/>
  <c r="AI130" i="2"/>
  <c r="AK130" i="2"/>
  <c r="AL130" i="2"/>
  <c r="AM130" i="2"/>
  <c r="AN130" i="2"/>
  <c r="AO130" i="2"/>
  <c r="AE131" i="2"/>
  <c r="AF131" i="2"/>
  <c r="AG131" i="2"/>
  <c r="AH131" i="2"/>
  <c r="AI131" i="2"/>
  <c r="AK131" i="2"/>
  <c r="AL131" i="2"/>
  <c r="AM131" i="2"/>
  <c r="AN131" i="2"/>
  <c r="AO131" i="2"/>
  <c r="AE132" i="2"/>
  <c r="AF132" i="2"/>
  <c r="AG132" i="2"/>
  <c r="AH132" i="2"/>
  <c r="AI132" i="2"/>
  <c r="AK132" i="2"/>
  <c r="AL132" i="2"/>
  <c r="AM132" i="2"/>
  <c r="AN132" i="2"/>
  <c r="AO132" i="2"/>
  <c r="AE133" i="2"/>
  <c r="AF133" i="2"/>
  <c r="AG133" i="2"/>
  <c r="AH133" i="2"/>
  <c r="AI133" i="2"/>
  <c r="AK133" i="2"/>
  <c r="AL133" i="2"/>
  <c r="AM133" i="2"/>
  <c r="AN133" i="2"/>
  <c r="AO133" i="2"/>
  <c r="AE134" i="2"/>
  <c r="AF134" i="2"/>
  <c r="AG134" i="2"/>
  <c r="AH134" i="2"/>
  <c r="AI134" i="2"/>
  <c r="AK134" i="2"/>
  <c r="AL134" i="2"/>
  <c r="AM134" i="2"/>
  <c r="AN134" i="2"/>
  <c r="AO134" i="2"/>
  <c r="AE135" i="2"/>
  <c r="AF135" i="2"/>
  <c r="AG135" i="2"/>
  <c r="AH135" i="2"/>
  <c r="AI135" i="2"/>
  <c r="AK135" i="2"/>
  <c r="AL135" i="2"/>
  <c r="AM135" i="2"/>
  <c r="AN135" i="2"/>
  <c r="AO135" i="2"/>
  <c r="AE136" i="2"/>
  <c r="AF136" i="2"/>
  <c r="AG136" i="2"/>
  <c r="AH136" i="2"/>
  <c r="AI136" i="2"/>
  <c r="AK136" i="2"/>
  <c r="AL136" i="2"/>
  <c r="AM136" i="2"/>
  <c r="AN136" i="2"/>
  <c r="AO136" i="2"/>
  <c r="AE137" i="2"/>
  <c r="AF137" i="2"/>
  <c r="AG137" i="2"/>
  <c r="AH137" i="2"/>
  <c r="AI137" i="2"/>
  <c r="AK137" i="2"/>
  <c r="AL137" i="2"/>
  <c r="AM137" i="2"/>
  <c r="AN137" i="2"/>
  <c r="AO137" i="2"/>
  <c r="AE138" i="2"/>
  <c r="AF138" i="2"/>
  <c r="AG138" i="2"/>
  <c r="AH138" i="2"/>
  <c r="AI138" i="2"/>
  <c r="AK138" i="2"/>
  <c r="AL138" i="2"/>
  <c r="AM138" i="2"/>
  <c r="AN138" i="2"/>
  <c r="AO138" i="2"/>
  <c r="AE139" i="2"/>
  <c r="AF139" i="2"/>
  <c r="AG139" i="2"/>
  <c r="AH139" i="2"/>
  <c r="AI139" i="2"/>
  <c r="AK139" i="2"/>
  <c r="AL139" i="2"/>
  <c r="AM139" i="2"/>
  <c r="AN139" i="2"/>
  <c r="AO139" i="2"/>
  <c r="AE140" i="2"/>
  <c r="AF140" i="2"/>
  <c r="AG140" i="2"/>
  <c r="AH140" i="2"/>
  <c r="AI140" i="2"/>
  <c r="AK140" i="2"/>
  <c r="AL140" i="2"/>
  <c r="AM140" i="2"/>
  <c r="AN140" i="2"/>
  <c r="AO140" i="2"/>
  <c r="AE141" i="2"/>
  <c r="AF141" i="2"/>
  <c r="AG141" i="2"/>
  <c r="AH141" i="2"/>
  <c r="AI141" i="2"/>
  <c r="AK141" i="2"/>
  <c r="AL141" i="2"/>
  <c r="AM141" i="2"/>
  <c r="AN141" i="2"/>
  <c r="AO141" i="2"/>
  <c r="AE142" i="2"/>
  <c r="AF142" i="2"/>
  <c r="AG142" i="2"/>
  <c r="AH142" i="2"/>
  <c r="AI142" i="2"/>
  <c r="AK142" i="2"/>
  <c r="AL142" i="2"/>
  <c r="AM142" i="2"/>
  <c r="AN142" i="2"/>
  <c r="AO142" i="2"/>
  <c r="AE143" i="2"/>
  <c r="AF143" i="2"/>
  <c r="AG143" i="2"/>
  <c r="AH143" i="2"/>
  <c r="AI143" i="2"/>
  <c r="AK143" i="2"/>
  <c r="AL143" i="2"/>
  <c r="AM143" i="2"/>
  <c r="AN143" i="2"/>
  <c r="AO143" i="2"/>
  <c r="AE144" i="2"/>
  <c r="AF144" i="2"/>
  <c r="AG144" i="2"/>
  <c r="AH144" i="2"/>
  <c r="AI144" i="2"/>
  <c r="AK144" i="2"/>
  <c r="AL144" i="2"/>
  <c r="AM144" i="2"/>
  <c r="AN144" i="2"/>
  <c r="AO144" i="2"/>
  <c r="AE145" i="2"/>
  <c r="AF145" i="2"/>
  <c r="AG145" i="2"/>
  <c r="AH145" i="2"/>
  <c r="AI145" i="2"/>
  <c r="AK145" i="2"/>
  <c r="AL145" i="2"/>
  <c r="AM145" i="2"/>
  <c r="AN145" i="2"/>
  <c r="AO145" i="2"/>
  <c r="AE146" i="2"/>
  <c r="AF146" i="2"/>
  <c r="AG146" i="2"/>
  <c r="AH146" i="2"/>
  <c r="AI146" i="2"/>
  <c r="AK146" i="2"/>
  <c r="AL146" i="2"/>
  <c r="AM146" i="2"/>
  <c r="AN146" i="2"/>
  <c r="AO146" i="2"/>
  <c r="AE147" i="2"/>
  <c r="AF147" i="2"/>
  <c r="AG147" i="2"/>
  <c r="AH147" i="2"/>
  <c r="AI147" i="2"/>
  <c r="AK147" i="2"/>
  <c r="AL147" i="2"/>
  <c r="AM147" i="2"/>
  <c r="AN147" i="2"/>
  <c r="AO147" i="2"/>
  <c r="AE148" i="2"/>
  <c r="AF148" i="2"/>
  <c r="AG148" i="2"/>
  <c r="AH148" i="2"/>
  <c r="AI148" i="2"/>
  <c r="AK148" i="2"/>
  <c r="AL148" i="2"/>
  <c r="AM148" i="2"/>
  <c r="AN148" i="2"/>
  <c r="AO148" i="2"/>
  <c r="AE149" i="2"/>
  <c r="AF149" i="2"/>
  <c r="AG149" i="2"/>
  <c r="AH149" i="2"/>
  <c r="AI149" i="2"/>
  <c r="AK149" i="2"/>
  <c r="AL149" i="2"/>
  <c r="AM149" i="2"/>
  <c r="AN149" i="2"/>
  <c r="AO149" i="2"/>
  <c r="AE150" i="2"/>
  <c r="AF150" i="2"/>
  <c r="AG150" i="2"/>
  <c r="AH150" i="2"/>
  <c r="AI150" i="2"/>
  <c r="AK150" i="2"/>
  <c r="AL150" i="2"/>
  <c r="AM150" i="2"/>
  <c r="AN150" i="2"/>
  <c r="AO150" i="2"/>
  <c r="AE151" i="2"/>
  <c r="AF151" i="2"/>
  <c r="AG151" i="2"/>
  <c r="AH151" i="2"/>
  <c r="AI151" i="2"/>
  <c r="AK151" i="2"/>
  <c r="AL151" i="2"/>
  <c r="AM151" i="2"/>
  <c r="AN151" i="2"/>
  <c r="AO151" i="2"/>
  <c r="AE152" i="2"/>
  <c r="AF152" i="2"/>
  <c r="AG152" i="2"/>
  <c r="AH152" i="2"/>
  <c r="AI152" i="2"/>
  <c r="AK152" i="2"/>
  <c r="AL152" i="2"/>
  <c r="AM152" i="2"/>
  <c r="AN152" i="2"/>
  <c r="AO152" i="2"/>
  <c r="AE153" i="2"/>
  <c r="AF153" i="2"/>
  <c r="AG153" i="2"/>
  <c r="AH153" i="2"/>
  <c r="AI153" i="2"/>
  <c r="AK153" i="2"/>
  <c r="AL153" i="2"/>
  <c r="AM153" i="2"/>
  <c r="AN153" i="2"/>
  <c r="AO153" i="2"/>
  <c r="AE154" i="2"/>
  <c r="AF154" i="2"/>
  <c r="AG154" i="2"/>
  <c r="AH154" i="2"/>
  <c r="AI154" i="2"/>
  <c r="AK154" i="2"/>
  <c r="AL154" i="2"/>
  <c r="AM154" i="2"/>
  <c r="AN154" i="2"/>
  <c r="AO154" i="2"/>
  <c r="AE155" i="2"/>
  <c r="AF155" i="2"/>
  <c r="AG155" i="2"/>
  <c r="AH155" i="2"/>
  <c r="AI155" i="2"/>
  <c r="AK155" i="2"/>
  <c r="AL155" i="2"/>
  <c r="AM155" i="2"/>
  <c r="AN155" i="2"/>
  <c r="AO155" i="2"/>
  <c r="AE156" i="2"/>
  <c r="AF156" i="2"/>
  <c r="AG156" i="2"/>
  <c r="AH156" i="2"/>
  <c r="AI156" i="2"/>
  <c r="AK156" i="2"/>
  <c r="AL156" i="2"/>
  <c r="AM156" i="2"/>
  <c r="AN156" i="2"/>
  <c r="AO156" i="2"/>
  <c r="AE157" i="2"/>
  <c r="AF157" i="2"/>
  <c r="AG157" i="2"/>
  <c r="AH157" i="2"/>
  <c r="AI157" i="2"/>
  <c r="AK157" i="2"/>
  <c r="AL157" i="2"/>
  <c r="AM157" i="2"/>
  <c r="AN157" i="2"/>
  <c r="AO157" i="2"/>
  <c r="AE158" i="2"/>
  <c r="AF158" i="2"/>
  <c r="AG158" i="2"/>
  <c r="AH158" i="2"/>
  <c r="AI158" i="2"/>
  <c r="AK158" i="2"/>
  <c r="AL158" i="2"/>
  <c r="AM158" i="2"/>
  <c r="AN158" i="2"/>
  <c r="AO158" i="2"/>
  <c r="AE159" i="2"/>
  <c r="AF159" i="2"/>
  <c r="AG159" i="2"/>
  <c r="AH159" i="2"/>
  <c r="AI159" i="2"/>
  <c r="AK159" i="2"/>
  <c r="AL159" i="2"/>
  <c r="AM159" i="2"/>
  <c r="AN159" i="2"/>
  <c r="AO159" i="2"/>
  <c r="AE160" i="2"/>
  <c r="AF160" i="2"/>
  <c r="AG160" i="2"/>
  <c r="AH160" i="2"/>
  <c r="AI160" i="2"/>
  <c r="AK160" i="2"/>
  <c r="AL160" i="2"/>
  <c r="AM160" i="2"/>
  <c r="AN160" i="2"/>
  <c r="AO160" i="2"/>
  <c r="AE161" i="2"/>
  <c r="AF161" i="2"/>
  <c r="AG161" i="2"/>
  <c r="AH161" i="2"/>
  <c r="AI161" i="2"/>
  <c r="AK161" i="2"/>
  <c r="AL161" i="2"/>
  <c r="AM161" i="2"/>
  <c r="AN161" i="2"/>
  <c r="AO161" i="2"/>
  <c r="AE162" i="2"/>
  <c r="AF162" i="2"/>
  <c r="AG162" i="2"/>
  <c r="AH162" i="2"/>
  <c r="AI162" i="2"/>
  <c r="AK162" i="2"/>
  <c r="AL162" i="2"/>
  <c r="AM162" i="2"/>
  <c r="AN162" i="2"/>
  <c r="AO162" i="2"/>
  <c r="AE163" i="2"/>
  <c r="AF163" i="2"/>
  <c r="AG163" i="2"/>
  <c r="AH163" i="2"/>
  <c r="AI163" i="2"/>
  <c r="AK163" i="2"/>
  <c r="AL163" i="2"/>
  <c r="AM163" i="2"/>
  <c r="AN163" i="2"/>
  <c r="AO163" i="2"/>
  <c r="AE164" i="2"/>
  <c r="AF164" i="2"/>
  <c r="AG164" i="2"/>
  <c r="AH164" i="2"/>
  <c r="AI164" i="2"/>
  <c r="AK164" i="2"/>
  <c r="AL164" i="2"/>
  <c r="AM164" i="2"/>
  <c r="AN164" i="2"/>
  <c r="AO164" i="2"/>
  <c r="AE165" i="2"/>
  <c r="AF165" i="2"/>
  <c r="AG165" i="2"/>
  <c r="AH165" i="2"/>
  <c r="AI165" i="2"/>
  <c r="AK165" i="2"/>
  <c r="AL165" i="2"/>
  <c r="AM165" i="2"/>
  <c r="AN165" i="2"/>
  <c r="AO165" i="2"/>
  <c r="AE166" i="2"/>
  <c r="AF166" i="2"/>
  <c r="AG166" i="2"/>
  <c r="AH166" i="2"/>
  <c r="AI166" i="2"/>
  <c r="AK166" i="2"/>
  <c r="AL166" i="2"/>
  <c r="AM166" i="2"/>
  <c r="AN166" i="2"/>
  <c r="AO166" i="2"/>
  <c r="AE167" i="2"/>
  <c r="AF167" i="2"/>
  <c r="AG167" i="2"/>
  <c r="AH167" i="2"/>
  <c r="AI167" i="2"/>
  <c r="AK167" i="2"/>
  <c r="AL167" i="2"/>
  <c r="AM167" i="2"/>
  <c r="AN167" i="2"/>
  <c r="AO167" i="2"/>
  <c r="AE168" i="2"/>
  <c r="AF168" i="2"/>
  <c r="AG168" i="2"/>
  <c r="AH168" i="2"/>
  <c r="AI168" i="2"/>
  <c r="AK168" i="2"/>
  <c r="AL168" i="2"/>
  <c r="AM168" i="2"/>
  <c r="AN168" i="2"/>
  <c r="AO168" i="2"/>
  <c r="AE169" i="2"/>
  <c r="AF169" i="2"/>
  <c r="AG169" i="2"/>
  <c r="AH169" i="2"/>
  <c r="AI169" i="2"/>
  <c r="AK169" i="2"/>
  <c r="AL169" i="2"/>
  <c r="AM169" i="2"/>
  <c r="AN169" i="2"/>
  <c r="AO169" i="2"/>
  <c r="AE170" i="2"/>
  <c r="AF170" i="2"/>
  <c r="AG170" i="2"/>
  <c r="AH170" i="2"/>
  <c r="AI170" i="2"/>
  <c r="AK170" i="2"/>
  <c r="AL170" i="2"/>
  <c r="AM170" i="2"/>
  <c r="AN170" i="2"/>
  <c r="AO170" i="2"/>
  <c r="AE171" i="2"/>
  <c r="AF171" i="2"/>
  <c r="AG171" i="2"/>
  <c r="AH171" i="2"/>
  <c r="AI171" i="2"/>
  <c r="AK171" i="2"/>
  <c r="AL171" i="2"/>
  <c r="AM171" i="2"/>
  <c r="AN171" i="2"/>
  <c r="AO171" i="2"/>
  <c r="AE172" i="2"/>
  <c r="AF172" i="2"/>
  <c r="AG172" i="2"/>
  <c r="AH172" i="2"/>
  <c r="AI172" i="2"/>
  <c r="AK172" i="2"/>
  <c r="AL172" i="2"/>
  <c r="AM172" i="2"/>
  <c r="AN172" i="2"/>
  <c r="AO172" i="2"/>
  <c r="AE173" i="2"/>
  <c r="AF173" i="2"/>
  <c r="AG173" i="2"/>
  <c r="AH173" i="2"/>
  <c r="AI173" i="2"/>
  <c r="AK173" i="2"/>
  <c r="AL173" i="2"/>
  <c r="AM173" i="2"/>
  <c r="AN173" i="2"/>
  <c r="AO173" i="2"/>
  <c r="AE174" i="2"/>
  <c r="AF174" i="2"/>
  <c r="AG174" i="2"/>
  <c r="AH174" i="2"/>
  <c r="AI174" i="2"/>
  <c r="AK174" i="2"/>
  <c r="AL174" i="2"/>
  <c r="AM174" i="2"/>
  <c r="AN174" i="2"/>
  <c r="AO174" i="2"/>
  <c r="AE175" i="2"/>
  <c r="AF175" i="2"/>
  <c r="AG175" i="2"/>
  <c r="AH175" i="2"/>
  <c r="AI175" i="2"/>
  <c r="AK175" i="2"/>
  <c r="AL175" i="2"/>
  <c r="AM175" i="2"/>
  <c r="AN175" i="2"/>
  <c r="AO175" i="2"/>
  <c r="AE176" i="2"/>
  <c r="AF176" i="2"/>
  <c r="AG176" i="2"/>
  <c r="AH176" i="2"/>
  <c r="AI176" i="2"/>
  <c r="AK176" i="2"/>
  <c r="AL176" i="2"/>
  <c r="AM176" i="2"/>
  <c r="AN176" i="2"/>
  <c r="AO176" i="2"/>
  <c r="AE177" i="2"/>
  <c r="AF177" i="2"/>
  <c r="AG177" i="2"/>
  <c r="AH177" i="2"/>
  <c r="AI177" i="2"/>
  <c r="AK177" i="2"/>
  <c r="AL177" i="2"/>
  <c r="AM177" i="2"/>
  <c r="AN177" i="2"/>
  <c r="AO177" i="2"/>
  <c r="AE178" i="2"/>
  <c r="AF178" i="2"/>
  <c r="AG178" i="2"/>
  <c r="AH178" i="2"/>
  <c r="AI178" i="2"/>
  <c r="AK178" i="2"/>
  <c r="AL178" i="2"/>
  <c r="AM178" i="2"/>
  <c r="AN178" i="2"/>
  <c r="AO178" i="2"/>
  <c r="AE179" i="2"/>
  <c r="AF179" i="2"/>
  <c r="AG179" i="2"/>
  <c r="AH179" i="2"/>
  <c r="AI179" i="2"/>
  <c r="AK179" i="2"/>
  <c r="AL179" i="2"/>
  <c r="AM179" i="2"/>
  <c r="AN179" i="2"/>
  <c r="AO179" i="2"/>
  <c r="AE180" i="2"/>
  <c r="AF180" i="2"/>
  <c r="AG180" i="2"/>
  <c r="AH180" i="2"/>
  <c r="AI180" i="2"/>
  <c r="AK180" i="2"/>
  <c r="AL180" i="2"/>
  <c r="AM180" i="2"/>
  <c r="AN180" i="2"/>
  <c r="AO180" i="2"/>
  <c r="AE181" i="2"/>
  <c r="AF181" i="2"/>
  <c r="AG181" i="2"/>
  <c r="AH181" i="2"/>
  <c r="AI181" i="2"/>
  <c r="AK181" i="2"/>
  <c r="AL181" i="2"/>
  <c r="AM181" i="2"/>
  <c r="AN181" i="2"/>
  <c r="AO181" i="2"/>
  <c r="AE182" i="2"/>
  <c r="AF182" i="2"/>
  <c r="AG182" i="2"/>
  <c r="AH182" i="2"/>
  <c r="AI182" i="2"/>
  <c r="AK182" i="2"/>
  <c r="AL182" i="2"/>
  <c r="AM182" i="2"/>
  <c r="AN182" i="2"/>
  <c r="AO182" i="2"/>
  <c r="AE183" i="2"/>
  <c r="AF183" i="2"/>
  <c r="AG183" i="2"/>
  <c r="AH183" i="2"/>
  <c r="AI183" i="2"/>
  <c r="AK183" i="2"/>
  <c r="AL183" i="2"/>
  <c r="AM183" i="2"/>
  <c r="AN183" i="2"/>
  <c r="AO183" i="2"/>
  <c r="AE184" i="2"/>
  <c r="AF184" i="2"/>
  <c r="AG184" i="2"/>
  <c r="AH184" i="2"/>
  <c r="AI184" i="2"/>
  <c r="AK184" i="2"/>
  <c r="AL184" i="2"/>
  <c r="AM184" i="2"/>
  <c r="AN184" i="2"/>
  <c r="AO184" i="2"/>
  <c r="AE185" i="2"/>
  <c r="AF185" i="2"/>
  <c r="AG185" i="2"/>
  <c r="AH185" i="2"/>
  <c r="AI185" i="2"/>
  <c r="AK185" i="2"/>
  <c r="AL185" i="2"/>
  <c r="AM185" i="2"/>
  <c r="AN185" i="2"/>
  <c r="AO185" i="2"/>
  <c r="AE186" i="2"/>
  <c r="AF186" i="2"/>
  <c r="AG186" i="2"/>
  <c r="AH186" i="2"/>
  <c r="AI186" i="2"/>
  <c r="AK186" i="2"/>
  <c r="AL186" i="2"/>
  <c r="AM186" i="2"/>
  <c r="AN186" i="2"/>
  <c r="AO186" i="2"/>
  <c r="AE187" i="2"/>
  <c r="AF187" i="2"/>
  <c r="AG187" i="2"/>
  <c r="AH187" i="2"/>
  <c r="AI187" i="2"/>
  <c r="AK187" i="2"/>
  <c r="AL187" i="2"/>
  <c r="AM187" i="2"/>
  <c r="AN187" i="2"/>
  <c r="AO187" i="2"/>
  <c r="AE188" i="2"/>
  <c r="AF188" i="2"/>
  <c r="AG188" i="2"/>
  <c r="AH188" i="2"/>
  <c r="AI188" i="2"/>
  <c r="AK188" i="2"/>
  <c r="AL188" i="2"/>
  <c r="AM188" i="2"/>
  <c r="AN188" i="2"/>
  <c r="AO188" i="2"/>
  <c r="AE189" i="2"/>
  <c r="AF189" i="2"/>
  <c r="AG189" i="2"/>
  <c r="AH189" i="2"/>
  <c r="AI189" i="2"/>
  <c r="AK189" i="2"/>
  <c r="AL189" i="2"/>
  <c r="AM189" i="2"/>
  <c r="AN189" i="2"/>
  <c r="AO189" i="2"/>
  <c r="AE190" i="2"/>
  <c r="AF190" i="2"/>
  <c r="AG190" i="2"/>
  <c r="AH190" i="2"/>
  <c r="AI190" i="2"/>
  <c r="AK190" i="2"/>
  <c r="AL190" i="2"/>
  <c r="AM190" i="2"/>
  <c r="AN190" i="2"/>
  <c r="AO190" i="2"/>
  <c r="AE191" i="2"/>
  <c r="AF191" i="2"/>
  <c r="AG191" i="2"/>
  <c r="AH191" i="2"/>
  <c r="AI191" i="2"/>
  <c r="AK191" i="2"/>
  <c r="AL191" i="2"/>
  <c r="AM191" i="2"/>
  <c r="AN191" i="2"/>
  <c r="AO191" i="2"/>
  <c r="AE192" i="2"/>
  <c r="AF192" i="2"/>
  <c r="AG192" i="2"/>
  <c r="AH192" i="2"/>
  <c r="AI192" i="2"/>
  <c r="AK192" i="2"/>
  <c r="AL192" i="2"/>
  <c r="AM192" i="2"/>
  <c r="AN192" i="2"/>
  <c r="AO192" i="2"/>
  <c r="AE193" i="2"/>
  <c r="AF193" i="2"/>
  <c r="AG193" i="2"/>
  <c r="AH193" i="2"/>
  <c r="AI193" i="2"/>
  <c r="AK193" i="2"/>
  <c r="AL193" i="2"/>
  <c r="AM193" i="2"/>
  <c r="AN193" i="2"/>
  <c r="AO193" i="2"/>
  <c r="AE194" i="2"/>
  <c r="AF194" i="2"/>
  <c r="AG194" i="2"/>
  <c r="AH194" i="2"/>
  <c r="AI194" i="2"/>
  <c r="AK194" i="2"/>
  <c r="AL194" i="2"/>
  <c r="AM194" i="2"/>
  <c r="AN194" i="2"/>
  <c r="AO194" i="2"/>
  <c r="AE195" i="2"/>
  <c r="AF195" i="2"/>
  <c r="AG195" i="2"/>
  <c r="AH195" i="2"/>
  <c r="AI195" i="2"/>
  <c r="AK195" i="2"/>
  <c r="AL195" i="2"/>
  <c r="AM195" i="2"/>
  <c r="AN195" i="2"/>
  <c r="AO195" i="2"/>
  <c r="AE196" i="2"/>
  <c r="AF196" i="2"/>
  <c r="AG196" i="2"/>
  <c r="AH196" i="2"/>
  <c r="AI196" i="2"/>
  <c r="AK196" i="2"/>
  <c r="AL196" i="2"/>
  <c r="AM196" i="2"/>
  <c r="AN196" i="2"/>
  <c r="AO196" i="2"/>
  <c r="AE197" i="2"/>
  <c r="AF197" i="2"/>
  <c r="AG197" i="2"/>
  <c r="AH197" i="2"/>
  <c r="AI197" i="2"/>
  <c r="AK197" i="2"/>
  <c r="AL197" i="2"/>
  <c r="AM197" i="2"/>
  <c r="AN197" i="2"/>
  <c r="AO197" i="2"/>
  <c r="AE198" i="2"/>
  <c r="AF198" i="2"/>
  <c r="AG198" i="2"/>
  <c r="AH198" i="2"/>
  <c r="AI198" i="2"/>
  <c r="AK198" i="2"/>
  <c r="AL198" i="2"/>
  <c r="AM198" i="2"/>
  <c r="AN198" i="2"/>
  <c r="AO198" i="2"/>
  <c r="AE199" i="2"/>
  <c r="AF199" i="2"/>
  <c r="AG199" i="2"/>
  <c r="AH199" i="2"/>
  <c r="AI199" i="2"/>
  <c r="AK199" i="2"/>
  <c r="AL199" i="2"/>
  <c r="AM199" i="2"/>
  <c r="AN199" i="2"/>
  <c r="AO199" i="2"/>
  <c r="AE200" i="2"/>
  <c r="AF200" i="2"/>
  <c r="AG200" i="2"/>
  <c r="AH200" i="2"/>
  <c r="AI200" i="2"/>
  <c r="AK200" i="2"/>
  <c r="AL200" i="2"/>
  <c r="AM200" i="2"/>
  <c r="AN200" i="2"/>
  <c r="AO200" i="2"/>
  <c r="AE201" i="2"/>
  <c r="AF201" i="2"/>
  <c r="AG201" i="2"/>
  <c r="AH201" i="2"/>
  <c r="AI201" i="2"/>
  <c r="AK201" i="2"/>
  <c r="AL201" i="2"/>
  <c r="AM201" i="2"/>
  <c r="AN201" i="2"/>
  <c r="AO201" i="2"/>
  <c r="AE202" i="2"/>
  <c r="AF202" i="2"/>
  <c r="AG202" i="2"/>
  <c r="AH202" i="2"/>
  <c r="AI202" i="2"/>
  <c r="AK202" i="2"/>
  <c r="AL202" i="2"/>
  <c r="AM202" i="2"/>
  <c r="AN202" i="2"/>
  <c r="AO202" i="2"/>
  <c r="AE203" i="2"/>
  <c r="AF203" i="2"/>
  <c r="AG203" i="2"/>
  <c r="AH203" i="2"/>
  <c r="AI203" i="2"/>
  <c r="AK203" i="2"/>
  <c r="AL203" i="2"/>
  <c r="AM203" i="2"/>
  <c r="AN203" i="2"/>
  <c r="AO203" i="2"/>
  <c r="AE204" i="2"/>
  <c r="AF204" i="2"/>
  <c r="AG204" i="2"/>
  <c r="AH204" i="2"/>
  <c r="AI204" i="2"/>
  <c r="AK204" i="2"/>
  <c r="AL204" i="2"/>
  <c r="AM204" i="2"/>
  <c r="AN204" i="2"/>
  <c r="AO204" i="2"/>
  <c r="AE205" i="2"/>
  <c r="AF205" i="2"/>
  <c r="AG205" i="2"/>
  <c r="AH205" i="2"/>
  <c r="AI205" i="2"/>
  <c r="AK205" i="2"/>
  <c r="AL205" i="2"/>
  <c r="AM205" i="2"/>
  <c r="AN205" i="2"/>
  <c r="AO205" i="2"/>
  <c r="AE206" i="2"/>
  <c r="AF206" i="2"/>
  <c r="AG206" i="2"/>
  <c r="AH206" i="2"/>
  <c r="AI206" i="2"/>
  <c r="AK206" i="2"/>
  <c r="AL206" i="2"/>
  <c r="AM206" i="2"/>
  <c r="AN206" i="2"/>
  <c r="AO206" i="2"/>
  <c r="AE207" i="2"/>
  <c r="AF207" i="2"/>
  <c r="AG207" i="2"/>
  <c r="AH207" i="2"/>
  <c r="AI207" i="2"/>
  <c r="AK207" i="2"/>
  <c r="AL207" i="2"/>
  <c r="AM207" i="2"/>
  <c r="AN207" i="2"/>
  <c r="AO207" i="2"/>
  <c r="AE208" i="2"/>
  <c r="AF208" i="2"/>
  <c r="AG208" i="2"/>
  <c r="AH208" i="2"/>
  <c r="AI208" i="2"/>
  <c r="AK208" i="2"/>
  <c r="AL208" i="2"/>
  <c r="AM208" i="2"/>
  <c r="AN208" i="2"/>
  <c r="AO208" i="2"/>
  <c r="AE209" i="2"/>
  <c r="AF209" i="2"/>
  <c r="AG209" i="2"/>
  <c r="AH209" i="2"/>
  <c r="AI209" i="2"/>
  <c r="AK209" i="2"/>
  <c r="AL209" i="2"/>
  <c r="AM209" i="2"/>
  <c r="AN209" i="2"/>
  <c r="AO209" i="2"/>
  <c r="AE210" i="2"/>
  <c r="AF210" i="2"/>
  <c r="AG210" i="2"/>
  <c r="AH210" i="2"/>
  <c r="AI210" i="2"/>
  <c r="AK210" i="2"/>
  <c r="AL210" i="2"/>
  <c r="AM210" i="2"/>
  <c r="AN210" i="2"/>
  <c r="AO210" i="2"/>
  <c r="AE211" i="2"/>
  <c r="AF211" i="2"/>
  <c r="AG211" i="2"/>
  <c r="AH211" i="2"/>
  <c r="AI211" i="2"/>
  <c r="AK211" i="2"/>
  <c r="AL211" i="2"/>
  <c r="AM211" i="2"/>
  <c r="AN211" i="2"/>
  <c r="AO211" i="2"/>
  <c r="AE212" i="2"/>
  <c r="AF212" i="2"/>
  <c r="AG212" i="2"/>
  <c r="AH212" i="2"/>
  <c r="AI212" i="2"/>
  <c r="AK212" i="2"/>
  <c r="AL212" i="2"/>
  <c r="AM212" i="2"/>
  <c r="AN212" i="2"/>
  <c r="AO212" i="2"/>
  <c r="AE213" i="2"/>
  <c r="AF213" i="2"/>
  <c r="AG213" i="2"/>
  <c r="AH213" i="2"/>
  <c r="AI213" i="2"/>
  <c r="AK213" i="2"/>
  <c r="AL213" i="2"/>
  <c r="AM213" i="2"/>
  <c r="AN213" i="2"/>
  <c r="AO213" i="2"/>
  <c r="AE214" i="2"/>
  <c r="AF214" i="2"/>
  <c r="AG214" i="2"/>
  <c r="AH214" i="2"/>
  <c r="AI214" i="2"/>
  <c r="AK214" i="2"/>
  <c r="AL214" i="2"/>
  <c r="AM214" i="2"/>
  <c r="AN214" i="2"/>
  <c r="AO214" i="2"/>
  <c r="AE215" i="2"/>
  <c r="AF215" i="2"/>
  <c r="AG215" i="2"/>
  <c r="AH215" i="2"/>
  <c r="AI215" i="2"/>
  <c r="AK215" i="2"/>
  <c r="AL215" i="2"/>
  <c r="AM215" i="2"/>
  <c r="AN215" i="2"/>
  <c r="AO215" i="2"/>
  <c r="AE216" i="2"/>
  <c r="AF216" i="2"/>
  <c r="AG216" i="2"/>
  <c r="AH216" i="2"/>
  <c r="AI216" i="2"/>
  <c r="AK216" i="2"/>
  <c r="AL216" i="2"/>
  <c r="AM216" i="2"/>
  <c r="AN216" i="2"/>
  <c r="AO216" i="2"/>
  <c r="AE217" i="2"/>
  <c r="AF217" i="2"/>
  <c r="AG217" i="2"/>
  <c r="AH217" i="2"/>
  <c r="AI217" i="2"/>
  <c r="AK217" i="2"/>
  <c r="AL217" i="2"/>
  <c r="AM217" i="2"/>
  <c r="AN217" i="2"/>
  <c r="AO217" i="2"/>
  <c r="AE218" i="2"/>
  <c r="AF218" i="2"/>
  <c r="AG218" i="2"/>
  <c r="AH218" i="2"/>
  <c r="AI218" i="2"/>
  <c r="AK218" i="2"/>
  <c r="AL218" i="2"/>
  <c r="AM218" i="2"/>
  <c r="AN218" i="2"/>
  <c r="AO218" i="2"/>
  <c r="AE219" i="2"/>
  <c r="AF219" i="2"/>
  <c r="AG219" i="2"/>
  <c r="AH219" i="2"/>
  <c r="AI219" i="2"/>
  <c r="AK219" i="2"/>
  <c r="AL219" i="2"/>
  <c r="AM219" i="2"/>
  <c r="AN219" i="2"/>
  <c r="AO219" i="2"/>
  <c r="AE220" i="2"/>
  <c r="AF220" i="2"/>
  <c r="AG220" i="2"/>
  <c r="AH220" i="2"/>
  <c r="AI220" i="2"/>
  <c r="AK220" i="2"/>
  <c r="AL220" i="2"/>
  <c r="AM220" i="2"/>
  <c r="AN220" i="2"/>
  <c r="AO220" i="2"/>
  <c r="AE221" i="2"/>
  <c r="AF221" i="2"/>
  <c r="AG221" i="2"/>
  <c r="AH221" i="2"/>
  <c r="AI221" i="2"/>
  <c r="AK221" i="2"/>
  <c r="AL221" i="2"/>
  <c r="AM221" i="2"/>
  <c r="AN221" i="2"/>
  <c r="AO221" i="2"/>
  <c r="AE222" i="2"/>
  <c r="AF222" i="2"/>
  <c r="AG222" i="2"/>
  <c r="AH222" i="2"/>
  <c r="AI222" i="2"/>
  <c r="AK222" i="2"/>
  <c r="AL222" i="2"/>
  <c r="AM222" i="2"/>
  <c r="AN222" i="2"/>
  <c r="AO222" i="2"/>
  <c r="AE223" i="2"/>
  <c r="AF223" i="2"/>
  <c r="AG223" i="2"/>
  <c r="AH223" i="2"/>
  <c r="AI223" i="2"/>
  <c r="AK223" i="2"/>
  <c r="AL223" i="2"/>
  <c r="AM223" i="2"/>
  <c r="AN223" i="2"/>
  <c r="AO223" i="2"/>
  <c r="AE224" i="2"/>
  <c r="AF224" i="2"/>
  <c r="AG224" i="2"/>
  <c r="AH224" i="2"/>
  <c r="AI224" i="2"/>
  <c r="AK224" i="2"/>
  <c r="AL224" i="2"/>
  <c r="AM224" i="2"/>
  <c r="AN224" i="2"/>
  <c r="AO224" i="2"/>
  <c r="AE225" i="2"/>
  <c r="AF225" i="2"/>
  <c r="AG225" i="2"/>
  <c r="AH225" i="2"/>
  <c r="AI225" i="2"/>
  <c r="AK225" i="2"/>
  <c r="AL225" i="2"/>
  <c r="AM225" i="2"/>
  <c r="AN225" i="2"/>
  <c r="AO225" i="2"/>
  <c r="AE226" i="2"/>
  <c r="AF226" i="2"/>
  <c r="AG226" i="2"/>
  <c r="AH226" i="2"/>
  <c r="AI226" i="2"/>
  <c r="AK226" i="2"/>
  <c r="AL226" i="2"/>
  <c r="AM226" i="2"/>
  <c r="AN226" i="2"/>
  <c r="AO226" i="2"/>
  <c r="AE227" i="2"/>
  <c r="AF227" i="2"/>
  <c r="AG227" i="2"/>
  <c r="AH227" i="2"/>
  <c r="AI227" i="2"/>
  <c r="AK227" i="2"/>
  <c r="AL227" i="2"/>
  <c r="AM227" i="2"/>
  <c r="AN227" i="2"/>
  <c r="AO227" i="2"/>
  <c r="AE228" i="2"/>
  <c r="AF228" i="2"/>
  <c r="AG228" i="2"/>
  <c r="AH228" i="2"/>
  <c r="AI228" i="2"/>
  <c r="AK228" i="2"/>
  <c r="AL228" i="2"/>
  <c r="AM228" i="2"/>
  <c r="AN228" i="2"/>
  <c r="AO228" i="2"/>
  <c r="AE229" i="2"/>
  <c r="AF229" i="2"/>
  <c r="AG229" i="2"/>
  <c r="AH229" i="2"/>
  <c r="AI229" i="2"/>
  <c r="AK229" i="2"/>
  <c r="AL229" i="2"/>
  <c r="AM229" i="2"/>
  <c r="AN229" i="2"/>
  <c r="AO229" i="2"/>
  <c r="AE230" i="2"/>
  <c r="AF230" i="2"/>
  <c r="AG230" i="2"/>
  <c r="AH230" i="2"/>
  <c r="AI230" i="2"/>
  <c r="AK230" i="2"/>
  <c r="AL230" i="2"/>
  <c r="AM230" i="2"/>
  <c r="AN230" i="2"/>
  <c r="AO230" i="2"/>
  <c r="AE231" i="2"/>
  <c r="AF231" i="2"/>
  <c r="AG231" i="2"/>
  <c r="AH231" i="2"/>
  <c r="AI231" i="2"/>
  <c r="AK231" i="2"/>
  <c r="AL231" i="2"/>
  <c r="AM231" i="2"/>
  <c r="AN231" i="2"/>
  <c r="AO231" i="2"/>
  <c r="AE232" i="2"/>
  <c r="AF232" i="2"/>
  <c r="AG232" i="2"/>
  <c r="AH232" i="2"/>
  <c r="AI232" i="2"/>
  <c r="AK232" i="2"/>
  <c r="AL232" i="2"/>
  <c r="AM232" i="2"/>
  <c r="AN232" i="2"/>
  <c r="AO232" i="2"/>
  <c r="AE233" i="2"/>
  <c r="AF233" i="2"/>
  <c r="AG233" i="2"/>
  <c r="AH233" i="2"/>
  <c r="AI233" i="2"/>
  <c r="AK233" i="2"/>
  <c r="AL233" i="2"/>
  <c r="AM233" i="2"/>
  <c r="AN233" i="2"/>
  <c r="AO233" i="2"/>
  <c r="AE234" i="2"/>
  <c r="AF234" i="2"/>
  <c r="AG234" i="2"/>
  <c r="AH234" i="2"/>
  <c r="AI234" i="2"/>
  <c r="AK234" i="2"/>
  <c r="AL234" i="2"/>
  <c r="AM234" i="2"/>
  <c r="AN234" i="2"/>
  <c r="AO234" i="2"/>
  <c r="AE235" i="2"/>
  <c r="AF235" i="2"/>
  <c r="AG235" i="2"/>
  <c r="AH235" i="2"/>
  <c r="AI235" i="2"/>
  <c r="AK235" i="2"/>
  <c r="AL235" i="2"/>
  <c r="AM235" i="2"/>
  <c r="AN235" i="2"/>
  <c r="AO235" i="2"/>
  <c r="AE236" i="2"/>
  <c r="AF236" i="2"/>
  <c r="AG236" i="2"/>
  <c r="AH236" i="2"/>
  <c r="AI236" i="2"/>
  <c r="AK236" i="2"/>
  <c r="AL236" i="2"/>
  <c r="AM236" i="2"/>
  <c r="AN236" i="2"/>
  <c r="AO236" i="2"/>
  <c r="AE237" i="2"/>
  <c r="AF237" i="2"/>
  <c r="AG237" i="2"/>
  <c r="AH237" i="2"/>
  <c r="AI237" i="2"/>
  <c r="AK237" i="2"/>
  <c r="AL237" i="2"/>
  <c r="AM237" i="2"/>
  <c r="AN237" i="2"/>
  <c r="AO237" i="2"/>
  <c r="AE238" i="2"/>
  <c r="AF238" i="2"/>
  <c r="AG238" i="2"/>
  <c r="AH238" i="2"/>
  <c r="AI238" i="2"/>
  <c r="AK238" i="2"/>
  <c r="AL238" i="2"/>
  <c r="AM238" i="2"/>
  <c r="AN238" i="2"/>
  <c r="AO238" i="2"/>
  <c r="AE239" i="2"/>
  <c r="AF239" i="2"/>
  <c r="AG239" i="2"/>
  <c r="AH239" i="2"/>
  <c r="AI239" i="2"/>
  <c r="AK239" i="2"/>
  <c r="AL239" i="2"/>
  <c r="AM239" i="2"/>
  <c r="AN239" i="2"/>
  <c r="AO239" i="2"/>
  <c r="AE240" i="2"/>
  <c r="AF240" i="2"/>
  <c r="AG240" i="2"/>
  <c r="AH240" i="2"/>
  <c r="AI240" i="2"/>
  <c r="AK240" i="2"/>
  <c r="AL240" i="2"/>
  <c r="AM240" i="2"/>
  <c r="AN240" i="2"/>
  <c r="AO240" i="2"/>
  <c r="AE241" i="2"/>
  <c r="AF241" i="2"/>
  <c r="AG241" i="2"/>
  <c r="AH241" i="2"/>
  <c r="AI241" i="2"/>
  <c r="AK241" i="2"/>
  <c r="AL241" i="2"/>
  <c r="AM241" i="2"/>
  <c r="AN241" i="2"/>
  <c r="AO241" i="2"/>
  <c r="AE242" i="2"/>
  <c r="AF242" i="2"/>
  <c r="AG242" i="2"/>
  <c r="AH242" i="2"/>
  <c r="AI242" i="2"/>
  <c r="AK242" i="2"/>
  <c r="AL242" i="2"/>
  <c r="AM242" i="2"/>
  <c r="AN242" i="2"/>
  <c r="AO242" i="2"/>
  <c r="AE243" i="2"/>
  <c r="AF243" i="2"/>
  <c r="AG243" i="2"/>
  <c r="AH243" i="2"/>
  <c r="AI243" i="2"/>
  <c r="AK243" i="2"/>
  <c r="AL243" i="2"/>
  <c r="AM243" i="2"/>
  <c r="AN243" i="2"/>
  <c r="AO243" i="2"/>
  <c r="AE244" i="2"/>
  <c r="AF244" i="2"/>
  <c r="AG244" i="2"/>
  <c r="AH244" i="2"/>
  <c r="AI244" i="2"/>
  <c r="AK244" i="2"/>
  <c r="AL244" i="2"/>
  <c r="AM244" i="2"/>
  <c r="AN244" i="2"/>
  <c r="AO244" i="2"/>
  <c r="AE245" i="2"/>
  <c r="AF245" i="2"/>
  <c r="AG245" i="2"/>
  <c r="AH245" i="2"/>
  <c r="AI245" i="2"/>
  <c r="AK245" i="2"/>
  <c r="AL245" i="2"/>
  <c r="AM245" i="2"/>
  <c r="AN245" i="2"/>
  <c r="AO245" i="2"/>
  <c r="AE246" i="2"/>
  <c r="AF246" i="2"/>
  <c r="AG246" i="2"/>
  <c r="AH246" i="2"/>
  <c r="AI246" i="2"/>
  <c r="AK246" i="2"/>
  <c r="AL246" i="2"/>
  <c r="AM246" i="2"/>
  <c r="AN246" i="2"/>
  <c r="AO246" i="2"/>
  <c r="AE247" i="2"/>
  <c r="AF247" i="2"/>
  <c r="AG247" i="2"/>
  <c r="AH247" i="2"/>
  <c r="AI247" i="2"/>
  <c r="AK247" i="2"/>
  <c r="AL247" i="2"/>
  <c r="AM247" i="2"/>
  <c r="AN247" i="2"/>
  <c r="AO247" i="2"/>
  <c r="AE248" i="2"/>
  <c r="AF248" i="2"/>
  <c r="AG248" i="2"/>
  <c r="AH248" i="2"/>
  <c r="AI248" i="2"/>
  <c r="AK248" i="2"/>
  <c r="AL248" i="2"/>
  <c r="AM248" i="2"/>
  <c r="AN248" i="2"/>
  <c r="AO248" i="2"/>
  <c r="AE249" i="2"/>
  <c r="AF249" i="2"/>
  <c r="AG249" i="2"/>
  <c r="AH249" i="2"/>
  <c r="AI249" i="2"/>
  <c r="AK249" i="2"/>
  <c r="AL249" i="2"/>
  <c r="AM249" i="2"/>
  <c r="AN249" i="2"/>
  <c r="AO249" i="2"/>
  <c r="AE250" i="2"/>
  <c r="AF250" i="2"/>
  <c r="AG250" i="2"/>
  <c r="AH250" i="2"/>
  <c r="AI250" i="2"/>
  <c r="AK250" i="2"/>
  <c r="AL250" i="2"/>
  <c r="AM250" i="2"/>
  <c r="AN250" i="2"/>
  <c r="AO250" i="2"/>
  <c r="AE251" i="2"/>
  <c r="AF251" i="2"/>
  <c r="AG251" i="2"/>
  <c r="AH251" i="2"/>
  <c r="AI251" i="2"/>
  <c r="AK251" i="2"/>
  <c r="AL251" i="2"/>
  <c r="AM251" i="2"/>
  <c r="AN251" i="2"/>
  <c r="AO251" i="2"/>
  <c r="AE252" i="2"/>
  <c r="AF252" i="2"/>
  <c r="AG252" i="2"/>
  <c r="AH252" i="2"/>
  <c r="AI252" i="2"/>
  <c r="AK252" i="2"/>
  <c r="AL252" i="2"/>
  <c r="AM252" i="2"/>
  <c r="AN252" i="2"/>
  <c r="AO252" i="2"/>
  <c r="AE253" i="2"/>
  <c r="AF253" i="2"/>
  <c r="AG253" i="2"/>
  <c r="AH253" i="2"/>
  <c r="AI253" i="2"/>
  <c r="AK253" i="2"/>
  <c r="AL253" i="2"/>
  <c r="AM253" i="2"/>
  <c r="AN253" i="2"/>
  <c r="AO253" i="2"/>
  <c r="AE254" i="2"/>
  <c r="AF254" i="2"/>
  <c r="AG254" i="2"/>
  <c r="AH254" i="2"/>
  <c r="AI254" i="2"/>
  <c r="AK254" i="2"/>
  <c r="AL254" i="2"/>
  <c r="AM254" i="2"/>
  <c r="AN254" i="2"/>
  <c r="AO254" i="2"/>
  <c r="AE255" i="2"/>
  <c r="AF255" i="2"/>
  <c r="AG255" i="2"/>
  <c r="AH255" i="2"/>
  <c r="AI255" i="2"/>
  <c r="AK255" i="2"/>
  <c r="AL255" i="2"/>
  <c r="AM255" i="2"/>
  <c r="AN255" i="2"/>
  <c r="AO255" i="2"/>
  <c r="AE256" i="2"/>
  <c r="AF256" i="2"/>
  <c r="AG256" i="2"/>
  <c r="AH256" i="2"/>
  <c r="AI256" i="2"/>
  <c r="AK256" i="2"/>
  <c r="AL256" i="2"/>
  <c r="AM256" i="2"/>
  <c r="AN256" i="2"/>
  <c r="AO256" i="2"/>
  <c r="AE257" i="2"/>
  <c r="AF257" i="2"/>
  <c r="AG257" i="2"/>
  <c r="AH257" i="2"/>
  <c r="AI257" i="2"/>
  <c r="AK257" i="2"/>
  <c r="AL257" i="2"/>
  <c r="AM257" i="2"/>
  <c r="AN257" i="2"/>
  <c r="AO257" i="2"/>
  <c r="AE258" i="2"/>
  <c r="AF258" i="2"/>
  <c r="AG258" i="2"/>
  <c r="AH258" i="2"/>
  <c r="AI258" i="2"/>
  <c r="AK258" i="2"/>
  <c r="AL258" i="2"/>
  <c r="AM258" i="2"/>
  <c r="AN258" i="2"/>
  <c r="AO258" i="2"/>
  <c r="AE259" i="2"/>
  <c r="AF259" i="2"/>
  <c r="AG259" i="2"/>
  <c r="AH259" i="2"/>
  <c r="AI259" i="2"/>
  <c r="AK259" i="2"/>
  <c r="AL259" i="2"/>
  <c r="AM259" i="2"/>
  <c r="AN259" i="2"/>
  <c r="AO259" i="2"/>
  <c r="AE260" i="2"/>
  <c r="AF260" i="2"/>
  <c r="AG260" i="2"/>
  <c r="AH260" i="2"/>
  <c r="AI260" i="2"/>
  <c r="AK260" i="2"/>
  <c r="AL260" i="2"/>
  <c r="AM260" i="2"/>
  <c r="AN260" i="2"/>
  <c r="AO260" i="2"/>
  <c r="AE261" i="2"/>
  <c r="AF261" i="2"/>
  <c r="AG261" i="2"/>
  <c r="AH261" i="2"/>
  <c r="AI261" i="2"/>
  <c r="AK261" i="2"/>
  <c r="AL261" i="2"/>
  <c r="AM261" i="2"/>
  <c r="AN261" i="2"/>
  <c r="AO261" i="2"/>
  <c r="AE262" i="2"/>
  <c r="AF262" i="2"/>
  <c r="AG262" i="2"/>
  <c r="AH262" i="2"/>
  <c r="AI262" i="2"/>
  <c r="AK262" i="2"/>
  <c r="AL262" i="2"/>
  <c r="AM262" i="2"/>
  <c r="AN262" i="2"/>
  <c r="AO262" i="2"/>
  <c r="AE263" i="2"/>
  <c r="AF263" i="2"/>
  <c r="AG263" i="2"/>
  <c r="AH263" i="2"/>
  <c r="AI263" i="2"/>
  <c r="AK263" i="2"/>
  <c r="AL263" i="2"/>
  <c r="AM263" i="2"/>
  <c r="AN263" i="2"/>
  <c r="AO263" i="2"/>
  <c r="AE264" i="2"/>
  <c r="AF264" i="2"/>
  <c r="AG264" i="2"/>
  <c r="AH264" i="2"/>
  <c r="AI264" i="2"/>
  <c r="AK264" i="2"/>
  <c r="AL264" i="2"/>
  <c r="AM264" i="2"/>
  <c r="AN264" i="2"/>
  <c r="AO264" i="2"/>
  <c r="AE265" i="2"/>
  <c r="AF265" i="2"/>
  <c r="AG265" i="2"/>
  <c r="AH265" i="2"/>
  <c r="AI265" i="2"/>
  <c r="AK265" i="2"/>
  <c r="AL265" i="2"/>
  <c r="AM265" i="2"/>
  <c r="AN265" i="2"/>
  <c r="AO265" i="2"/>
  <c r="AE266" i="2"/>
  <c r="AF266" i="2"/>
  <c r="AG266" i="2"/>
  <c r="AH266" i="2"/>
  <c r="AI266" i="2"/>
  <c r="AK266" i="2"/>
  <c r="AL266" i="2"/>
  <c r="AM266" i="2"/>
  <c r="AN266" i="2"/>
  <c r="AO266" i="2"/>
  <c r="AE267" i="2"/>
  <c r="AF267" i="2"/>
  <c r="AG267" i="2"/>
  <c r="AH267" i="2"/>
  <c r="AI267" i="2"/>
  <c r="AK267" i="2"/>
  <c r="AL267" i="2"/>
  <c r="AM267" i="2"/>
  <c r="AN267" i="2"/>
  <c r="AO267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" i="2"/>
  <c r="AN2" i="2"/>
  <c r="AM2" i="2"/>
  <c r="AL2" i="2"/>
  <c r="AK2" i="2"/>
  <c r="AI2" i="2"/>
  <c r="AH2" i="2"/>
  <c r="AG2" i="2"/>
  <c r="AF2" i="2"/>
  <c r="AE2" i="2"/>
  <c r="BB182" i="3" l="1"/>
  <c r="O34" i="3"/>
  <c r="N32" i="3"/>
  <c r="N24" i="3"/>
  <c r="N16" i="3"/>
  <c r="N8" i="3"/>
  <c r="O33" i="3"/>
  <c r="O25" i="3"/>
  <c r="O17" i="3"/>
  <c r="O9" i="3"/>
  <c r="N39" i="3"/>
  <c r="N31" i="3"/>
  <c r="N23" i="3"/>
  <c r="N15" i="3"/>
  <c r="N7" i="3"/>
  <c r="N37" i="3"/>
  <c r="N29" i="3"/>
  <c r="N21" i="3"/>
  <c r="N13" i="3"/>
  <c r="N5" i="3"/>
  <c r="N38" i="3"/>
  <c r="N30" i="3"/>
  <c r="N22" i="3"/>
  <c r="N14" i="3"/>
  <c r="N6" i="3"/>
  <c r="N36" i="3"/>
  <c r="N28" i="3"/>
  <c r="N20" i="3"/>
  <c r="N12" i="3"/>
  <c r="N4" i="3"/>
  <c r="N35" i="3"/>
  <c r="N27" i="3"/>
  <c r="N19" i="3"/>
  <c r="N11" i="3"/>
  <c r="N3" i="3"/>
  <c r="AN142" i="3"/>
  <c r="P142" i="3"/>
  <c r="AO182" i="3"/>
  <c r="P182" i="3"/>
  <c r="AO213" i="3"/>
  <c r="P213" i="3"/>
  <c r="P202" i="3"/>
  <c r="AX2" i="3"/>
  <c r="AX202" i="3"/>
  <c r="AX142" i="3"/>
  <c r="AV2" i="3"/>
  <c r="BE2" i="3"/>
  <c r="BA2" i="3"/>
  <c r="H182" i="3"/>
  <c r="AW182" i="3"/>
  <c r="AP142" i="3"/>
  <c r="AQ142" i="3"/>
  <c r="AZ33" i="3"/>
  <c r="BA25" i="3"/>
  <c r="AZ9" i="3"/>
  <c r="AQ202" i="3"/>
  <c r="AP202" i="3"/>
  <c r="BA31" i="3"/>
  <c r="AZ15" i="3"/>
  <c r="AQ182" i="3"/>
  <c r="H263" i="3"/>
  <c r="H267" i="3"/>
  <c r="AT2" i="3"/>
  <c r="U184" i="3"/>
  <c r="U196" i="3"/>
  <c r="U200" i="3"/>
  <c r="U204" i="3"/>
  <c r="U208" i="3"/>
  <c r="AN182" i="3"/>
  <c r="AQ213" i="3"/>
  <c r="AP2" i="3"/>
  <c r="AO142" i="3"/>
  <c r="V29" i="3"/>
  <c r="AF35" i="3"/>
  <c r="AO202" i="3"/>
  <c r="AN2" i="3"/>
  <c r="AI2" i="3"/>
  <c r="AG20" i="3"/>
  <c r="AX20" i="3" s="1"/>
  <c r="AG19" i="3"/>
  <c r="AX19" i="3" s="1"/>
  <c r="C36" i="3"/>
  <c r="V6" i="3"/>
  <c r="AF21" i="3"/>
  <c r="AU21" i="3" s="1"/>
  <c r="AF5" i="3"/>
  <c r="C29" i="3"/>
  <c r="M7" i="3"/>
  <c r="L7" i="3" s="1"/>
  <c r="AG27" i="3"/>
  <c r="AX27" i="3" s="1"/>
  <c r="V31" i="3"/>
  <c r="C5" i="3"/>
  <c r="AF37" i="3"/>
  <c r="BD37" i="3" s="1"/>
  <c r="AG28" i="3"/>
  <c r="AX28" i="3" s="1"/>
  <c r="AG4" i="3"/>
  <c r="AX4" i="3" s="1"/>
  <c r="AH2" i="3"/>
  <c r="AF19" i="3"/>
  <c r="AG11" i="3"/>
  <c r="AX11" i="3" s="1"/>
  <c r="M4" i="3"/>
  <c r="L4" i="3" s="1"/>
  <c r="AG18" i="3"/>
  <c r="AX18" i="3" s="1"/>
  <c r="AZ6" i="3"/>
  <c r="W17" i="3"/>
  <c r="AG32" i="3"/>
  <c r="AX32" i="3" s="1"/>
  <c r="AG24" i="3"/>
  <c r="AX24" i="3" s="1"/>
  <c r="AG16" i="3"/>
  <c r="AX16" i="3" s="1"/>
  <c r="AG8" i="3"/>
  <c r="AX8" i="3" s="1"/>
  <c r="AG39" i="3"/>
  <c r="AX39" i="3" s="1"/>
  <c r="AG31" i="3"/>
  <c r="AX31" i="3" s="1"/>
  <c r="AF31" i="3"/>
  <c r="BD31" i="3" s="1"/>
  <c r="AG23" i="3"/>
  <c r="AX23" i="3" s="1"/>
  <c r="AG15" i="3"/>
  <c r="AX15" i="3" s="1"/>
  <c r="AF15" i="3"/>
  <c r="AG7" i="3"/>
  <c r="AG3" i="3"/>
  <c r="AX3" i="3" s="1"/>
  <c r="AG10" i="3"/>
  <c r="AX10" i="3" s="1"/>
  <c r="AG26" i="3"/>
  <c r="AX26" i="3" s="1"/>
  <c r="V28" i="3"/>
  <c r="M36" i="3"/>
  <c r="L36" i="3" s="1"/>
  <c r="AG33" i="3"/>
  <c r="AX33" i="3" s="1"/>
  <c r="AG25" i="3"/>
  <c r="AX25" i="3" s="1"/>
  <c r="AG17" i="3"/>
  <c r="AX17" i="3" s="1"/>
  <c r="AG9" i="3"/>
  <c r="AX9" i="3" s="1"/>
  <c r="W32" i="3"/>
  <c r="C33" i="3"/>
  <c r="W26" i="3"/>
  <c r="M24" i="3"/>
  <c r="L24" i="3" s="1"/>
  <c r="AG38" i="3"/>
  <c r="AX38" i="3" s="1"/>
  <c r="AF30" i="3"/>
  <c r="BD30" i="3" s="1"/>
  <c r="AG30" i="3"/>
  <c r="AX30" i="3" s="1"/>
  <c r="AG22" i="3"/>
  <c r="AX22" i="3" s="1"/>
  <c r="AG14" i="3"/>
  <c r="AX14" i="3" s="1"/>
  <c r="AG6" i="3"/>
  <c r="AX6" i="3" s="1"/>
  <c r="V33" i="3"/>
  <c r="M34" i="3"/>
  <c r="L34" i="3" s="1"/>
  <c r="V26" i="3"/>
  <c r="W24" i="3"/>
  <c r="W22" i="3"/>
  <c r="M20" i="3"/>
  <c r="L20" i="3" s="1"/>
  <c r="AG37" i="3"/>
  <c r="AX37" i="3" s="1"/>
  <c r="AF29" i="3"/>
  <c r="BD29" i="3" s="1"/>
  <c r="AG29" i="3"/>
  <c r="AX29" i="3" s="1"/>
  <c r="C21" i="3"/>
  <c r="AG21" i="3"/>
  <c r="AX21" i="3" s="1"/>
  <c r="C13" i="3"/>
  <c r="AG13" i="3"/>
  <c r="AX13" i="3" s="1"/>
  <c r="AG5" i="3"/>
  <c r="AX5" i="3" s="1"/>
  <c r="W2" i="3"/>
  <c r="W29" i="3"/>
  <c r="W31" i="3"/>
  <c r="W33" i="3"/>
  <c r="AG36" i="3"/>
  <c r="AX36" i="3" s="1"/>
  <c r="V36" i="3"/>
  <c r="AG35" i="3"/>
  <c r="AX35" i="3" s="1"/>
  <c r="AG12" i="3"/>
  <c r="AX12" i="3" s="1"/>
  <c r="AS32" i="3"/>
  <c r="AF32" i="3"/>
  <c r="BD32" i="3" s="1"/>
  <c r="AS24" i="3"/>
  <c r="AF24" i="3"/>
  <c r="BD24" i="3" s="1"/>
  <c r="AS16" i="3"/>
  <c r="AF16" i="3"/>
  <c r="AS8" i="3"/>
  <c r="AF8" i="3"/>
  <c r="BA28" i="3"/>
  <c r="AZ28" i="3"/>
  <c r="C39" i="3"/>
  <c r="AF39" i="3"/>
  <c r="BD39" i="3" s="1"/>
  <c r="AS31" i="3"/>
  <c r="AS23" i="3"/>
  <c r="AF23" i="3"/>
  <c r="BD23" i="3" s="1"/>
  <c r="AS15" i="3"/>
  <c r="AF7" i="3"/>
  <c r="AU7" i="3" s="1"/>
  <c r="AS38" i="3"/>
  <c r="AF38" i="3"/>
  <c r="BD38" i="3" s="1"/>
  <c r="AS22" i="3"/>
  <c r="AF22" i="3"/>
  <c r="BD22" i="3" s="1"/>
  <c r="AS14" i="3"/>
  <c r="AF14" i="3"/>
  <c r="AF6" i="3"/>
  <c r="C6" i="3"/>
  <c r="AF3" i="3"/>
  <c r="M12" i="3"/>
  <c r="L12" i="3" s="1"/>
  <c r="V10" i="3"/>
  <c r="AS36" i="3"/>
  <c r="AF36" i="3"/>
  <c r="AS28" i="3"/>
  <c r="AF28" i="3"/>
  <c r="AS20" i="3"/>
  <c r="AF20" i="3"/>
  <c r="AS12" i="3"/>
  <c r="AF12" i="3"/>
  <c r="AU12" i="3" s="1"/>
  <c r="AS4" i="3"/>
  <c r="AF4" i="3"/>
  <c r="AF13" i="3"/>
  <c r="AS29" i="3"/>
  <c r="BA33" i="3"/>
  <c r="M15" i="3"/>
  <c r="L15" i="3" s="1"/>
  <c r="M13" i="3"/>
  <c r="L13" i="3" s="1"/>
  <c r="AF27" i="3"/>
  <c r="BD27" i="3" s="1"/>
  <c r="AF11" i="3"/>
  <c r="V4" i="3"/>
  <c r="AF26" i="3"/>
  <c r="BD26" i="3" s="1"/>
  <c r="AF18" i="3"/>
  <c r="AU18" i="3" s="1"/>
  <c r="AF10" i="3"/>
  <c r="AF2" i="3"/>
  <c r="V20" i="3"/>
  <c r="AS21" i="3"/>
  <c r="AS13" i="3"/>
  <c r="AS5" i="3"/>
  <c r="C37" i="3"/>
  <c r="V19" i="3"/>
  <c r="AF33" i="3"/>
  <c r="BD33" i="3" s="1"/>
  <c r="AF25" i="3"/>
  <c r="BD25" i="3" s="1"/>
  <c r="AF17" i="3"/>
  <c r="AF9" i="3"/>
  <c r="AS35" i="3"/>
  <c r="AS27" i="3"/>
  <c r="AS19" i="3"/>
  <c r="C19" i="3"/>
  <c r="AS11" i="3"/>
  <c r="C11" i="3"/>
  <c r="AS3" i="3"/>
  <c r="C3" i="3"/>
  <c r="BA23" i="3"/>
  <c r="AZ7" i="3"/>
  <c r="M35" i="3"/>
  <c r="L35" i="3" s="1"/>
  <c r="M37" i="3"/>
  <c r="L37" i="3" s="1"/>
  <c r="M39" i="3"/>
  <c r="L39" i="3" s="1"/>
  <c r="C35" i="3"/>
  <c r="AS34" i="3"/>
  <c r="C26" i="3"/>
  <c r="C18" i="3"/>
  <c r="AS10" i="3"/>
  <c r="C10" i="3"/>
  <c r="AZ30" i="3"/>
  <c r="BA30" i="3"/>
  <c r="AZ22" i="3"/>
  <c r="AZ14" i="3"/>
  <c r="BA14" i="3"/>
  <c r="W16" i="3"/>
  <c r="AS33" i="3"/>
  <c r="AS25" i="3"/>
  <c r="AS17" i="3"/>
  <c r="C17" i="3"/>
  <c r="AS9" i="3"/>
  <c r="C27" i="3"/>
  <c r="M10" i="3"/>
  <c r="L10" i="3" s="1"/>
  <c r="V5" i="3"/>
  <c r="W3" i="3"/>
  <c r="V30" i="3"/>
  <c r="M26" i="3"/>
  <c r="L26" i="3" s="1"/>
  <c r="V21" i="3"/>
  <c r="W19" i="3"/>
  <c r="M17" i="3"/>
  <c r="L17" i="3" s="1"/>
  <c r="V12" i="3"/>
  <c r="W10" i="3"/>
  <c r="M28" i="3"/>
  <c r="L28" i="3" s="1"/>
  <c r="M30" i="3"/>
  <c r="L30" i="3" s="1"/>
  <c r="M32" i="3"/>
  <c r="L32" i="3" s="1"/>
  <c r="V35" i="3"/>
  <c r="V37" i="3"/>
  <c r="V39" i="3"/>
  <c r="V17" i="3"/>
  <c r="W15" i="3"/>
  <c r="W35" i="3"/>
  <c r="W37" i="3"/>
  <c r="M27" i="3"/>
  <c r="L27" i="3" s="1"/>
  <c r="V24" i="3"/>
  <c r="V22" i="3"/>
  <c r="V11" i="3"/>
  <c r="M9" i="3"/>
  <c r="L9" i="3" s="1"/>
  <c r="AS30" i="3"/>
  <c r="W4" i="3"/>
  <c r="W39" i="3"/>
  <c r="C31" i="3"/>
  <c r="C30" i="3"/>
  <c r="BA19" i="3"/>
  <c r="AZ18" i="3"/>
  <c r="C14" i="3"/>
  <c r="W9" i="3"/>
  <c r="W7" i="3"/>
  <c r="M5" i="3"/>
  <c r="L5" i="3" s="1"/>
  <c r="W27" i="3"/>
  <c r="AS6" i="3"/>
  <c r="H218" i="3"/>
  <c r="H226" i="3"/>
  <c r="H234" i="3"/>
  <c r="H242" i="3"/>
  <c r="AZ32" i="3"/>
  <c r="AZ19" i="3"/>
  <c r="BA8" i="3"/>
  <c r="V16" i="3"/>
  <c r="V9" i="3"/>
  <c r="V7" i="3"/>
  <c r="W5" i="3"/>
  <c r="M3" i="3"/>
  <c r="L3" i="3" s="1"/>
  <c r="M25" i="3"/>
  <c r="L25" i="3" s="1"/>
  <c r="M2" i="3"/>
  <c r="L2" i="3" s="1"/>
  <c r="M29" i="3"/>
  <c r="L29" i="3" s="1"/>
  <c r="M31" i="3"/>
  <c r="L31" i="3" s="1"/>
  <c r="V38" i="3"/>
  <c r="C38" i="3"/>
  <c r="C28" i="3"/>
  <c r="BA35" i="3"/>
  <c r="W36" i="3"/>
  <c r="H253" i="3"/>
  <c r="AZ35" i="3"/>
  <c r="BA38" i="3"/>
  <c r="V27" i="3"/>
  <c r="W13" i="3"/>
  <c r="M11" i="3"/>
  <c r="L11" i="3" s="1"/>
  <c r="M6" i="3"/>
  <c r="L6" i="3" s="1"/>
  <c r="V3" i="3"/>
  <c r="AZ38" i="3"/>
  <c r="AZ11" i="3"/>
  <c r="V25" i="3"/>
  <c r="C25" i="3"/>
  <c r="M23" i="3"/>
  <c r="L23" i="3" s="1"/>
  <c r="W18" i="3"/>
  <c r="V13" i="3"/>
  <c r="W11" i="3"/>
  <c r="W8" i="3"/>
  <c r="W6" i="3"/>
  <c r="W25" i="3"/>
  <c r="W20" i="3"/>
  <c r="M18" i="3"/>
  <c r="L18" i="3" s="1"/>
  <c r="V15" i="3"/>
  <c r="M8" i="3"/>
  <c r="L8" i="3" s="1"/>
  <c r="M33" i="3"/>
  <c r="L33" i="3" s="1"/>
  <c r="W23" i="3"/>
  <c r="M21" i="3"/>
  <c r="L21" i="3" s="1"/>
  <c r="V18" i="3"/>
  <c r="M16" i="3"/>
  <c r="L16" i="3" s="1"/>
  <c r="M14" i="3"/>
  <c r="L14" i="3" s="1"/>
  <c r="V8" i="3"/>
  <c r="W38" i="3"/>
  <c r="H265" i="3"/>
  <c r="AZ27" i="3"/>
  <c r="V23" i="3"/>
  <c r="W21" i="3"/>
  <c r="M19" i="3"/>
  <c r="L19" i="3" s="1"/>
  <c r="W14" i="3"/>
  <c r="V32" i="3"/>
  <c r="M38" i="3"/>
  <c r="L38" i="3" s="1"/>
  <c r="BA37" i="3"/>
  <c r="AZ21" i="3"/>
  <c r="C9" i="3"/>
  <c r="H61" i="3"/>
  <c r="H189" i="3"/>
  <c r="AZ189" i="3" s="1"/>
  <c r="BA36" i="3"/>
  <c r="M22" i="3"/>
  <c r="L22" i="3" s="1"/>
  <c r="W12" i="3"/>
  <c r="W28" i="3"/>
  <c r="W30" i="3"/>
  <c r="AZ2" i="3"/>
  <c r="BA13" i="3"/>
  <c r="C34" i="3"/>
  <c r="AZ36" i="3"/>
  <c r="AZ23" i="3"/>
  <c r="AS39" i="3"/>
  <c r="AS7" i="3"/>
  <c r="BA29" i="3"/>
  <c r="AZ5" i="3"/>
  <c r="C2" i="3"/>
  <c r="AZ37" i="3"/>
  <c r="AZ29" i="3"/>
  <c r="H34" i="3"/>
  <c r="H125" i="3"/>
  <c r="AZ20" i="3"/>
  <c r="AZ13" i="3"/>
  <c r="AS26" i="3"/>
  <c r="AS18" i="3"/>
  <c r="D202" i="3"/>
  <c r="AR202" i="3" s="1"/>
  <c r="D210" i="3"/>
  <c r="AR210" i="3" s="1"/>
  <c r="D225" i="3"/>
  <c r="AR225" i="3" s="1"/>
  <c r="D249" i="3"/>
  <c r="AR249" i="3" s="1"/>
  <c r="D44" i="3"/>
  <c r="AR44" i="3" s="1"/>
  <c r="D52" i="3"/>
  <c r="AR52" i="3" s="1"/>
  <c r="D108" i="3"/>
  <c r="AR108" i="3" s="1"/>
  <c r="D116" i="3"/>
  <c r="AR116" i="3" s="1"/>
  <c r="D172" i="3"/>
  <c r="AS172" i="3" s="1"/>
  <c r="D180" i="3"/>
  <c r="AR180" i="3" s="1"/>
  <c r="D235" i="3"/>
  <c r="AS235" i="3" s="1"/>
  <c r="D259" i="3"/>
  <c r="C259" i="3" s="1"/>
  <c r="D234" i="3"/>
  <c r="AR234" i="3" s="1"/>
  <c r="D250" i="3"/>
  <c r="AR250" i="3" s="1"/>
  <c r="D258" i="3"/>
  <c r="AR258" i="3" s="1"/>
  <c r="D252" i="3"/>
  <c r="AR252" i="3" s="1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6" i="3"/>
  <c r="H140" i="3"/>
  <c r="H144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6" i="3"/>
  <c r="H41" i="3"/>
  <c r="H45" i="3"/>
  <c r="H49" i="3"/>
  <c r="H53" i="3"/>
  <c r="H57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9" i="3"/>
  <c r="H133" i="3"/>
  <c r="H137" i="3"/>
  <c r="H141" i="3"/>
  <c r="H145" i="3"/>
  <c r="H149" i="3"/>
  <c r="H157" i="3"/>
  <c r="H165" i="3"/>
  <c r="H173" i="3"/>
  <c r="H181" i="3"/>
  <c r="H197" i="3"/>
  <c r="H205" i="3"/>
  <c r="H213" i="3"/>
  <c r="H228" i="3"/>
  <c r="H232" i="3"/>
  <c r="D251" i="3"/>
  <c r="AR251" i="3" s="1"/>
  <c r="D240" i="3"/>
  <c r="AR240" i="3" s="1"/>
  <c r="D226" i="3"/>
  <c r="AR226" i="3" s="1"/>
  <c r="D212" i="3"/>
  <c r="AR212" i="3" s="1"/>
  <c r="H261" i="3"/>
  <c r="D236" i="3"/>
  <c r="AR236" i="3" s="1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54" i="3"/>
  <c r="H158" i="3"/>
  <c r="H162" i="3"/>
  <c r="H166" i="3"/>
  <c r="H174" i="3"/>
  <c r="H178" i="3"/>
  <c r="H186" i="3"/>
  <c r="H190" i="3"/>
  <c r="H194" i="3"/>
  <c r="H198" i="3"/>
  <c r="H202" i="3"/>
  <c r="H206" i="3"/>
  <c r="H214" i="3"/>
  <c r="H221" i="3"/>
  <c r="H233" i="3"/>
  <c r="H237" i="3"/>
  <c r="H241" i="3"/>
  <c r="H245" i="3"/>
  <c r="H249" i="3"/>
  <c r="H257" i="3"/>
  <c r="D264" i="3"/>
  <c r="AR264" i="3" s="1"/>
  <c r="D265" i="3"/>
  <c r="AR265" i="3" s="1"/>
  <c r="D49" i="3"/>
  <c r="AR49" i="3" s="1"/>
  <c r="D53" i="3"/>
  <c r="AR53" i="3" s="1"/>
  <c r="D61" i="3"/>
  <c r="AR61" i="3" s="1"/>
  <c r="D65" i="3"/>
  <c r="AR65" i="3" s="1"/>
  <c r="D73" i="3"/>
  <c r="AR73" i="3" s="1"/>
  <c r="D81" i="3"/>
  <c r="AR81" i="3" s="1"/>
  <c r="D93" i="3"/>
  <c r="AR93" i="3" s="1"/>
  <c r="D141" i="3"/>
  <c r="AR141" i="3" s="1"/>
  <c r="D149" i="3"/>
  <c r="AR149" i="3" s="1"/>
  <c r="D189" i="3"/>
  <c r="AR189" i="3" s="1"/>
  <c r="D197" i="3"/>
  <c r="AR197" i="3" s="1"/>
  <c r="D205" i="3"/>
  <c r="AR205" i="3" s="1"/>
  <c r="H114" i="3"/>
  <c r="H118" i="3"/>
  <c r="H122" i="3"/>
  <c r="H126" i="3"/>
  <c r="H130" i="3"/>
  <c r="H134" i="3"/>
  <c r="H138" i="3"/>
  <c r="H142" i="3"/>
  <c r="H146" i="3"/>
  <c r="H150" i="3"/>
  <c r="R165" i="3"/>
  <c r="X170" i="3"/>
  <c r="H170" i="3"/>
  <c r="S173" i="3"/>
  <c r="Y210" i="3"/>
  <c r="H210" i="3"/>
  <c r="X222" i="3"/>
  <c r="H222" i="3"/>
  <c r="Y230" i="3"/>
  <c r="W230" i="3" s="1"/>
  <c r="H230" i="3"/>
  <c r="Y238" i="3"/>
  <c r="H238" i="3"/>
  <c r="Y246" i="3"/>
  <c r="H246" i="3"/>
  <c r="H250" i="3"/>
  <c r="X254" i="3"/>
  <c r="H254" i="3"/>
  <c r="H258" i="3"/>
  <c r="H262" i="3"/>
  <c r="D97" i="3"/>
  <c r="AR97" i="3" s="1"/>
  <c r="D113" i="3"/>
  <c r="AR113" i="3" s="1"/>
  <c r="D121" i="3"/>
  <c r="AR121" i="3" s="1"/>
  <c r="D129" i="3"/>
  <c r="AR129" i="3" s="1"/>
  <c r="D145" i="3"/>
  <c r="AR145" i="3" s="1"/>
  <c r="D173" i="3"/>
  <c r="AR173" i="3" s="1"/>
  <c r="D40" i="3"/>
  <c r="AR40" i="3" s="1"/>
  <c r="AS44" i="3"/>
  <c r="D48" i="3"/>
  <c r="AR48" i="3" s="1"/>
  <c r="D56" i="3"/>
  <c r="AR56" i="3" s="1"/>
  <c r="D64" i="3"/>
  <c r="AR64" i="3" s="1"/>
  <c r="D72" i="3"/>
  <c r="AR72" i="3" s="1"/>
  <c r="D80" i="3"/>
  <c r="AR80" i="3" s="1"/>
  <c r="D88" i="3"/>
  <c r="AR88" i="3" s="1"/>
  <c r="D96" i="3"/>
  <c r="AR96" i="3" s="1"/>
  <c r="D104" i="3"/>
  <c r="AR104" i="3" s="1"/>
  <c r="D112" i="3"/>
  <c r="AR112" i="3" s="1"/>
  <c r="D120" i="3"/>
  <c r="AR120" i="3" s="1"/>
  <c r="D128" i="3"/>
  <c r="AR128" i="3" s="1"/>
  <c r="D136" i="3"/>
  <c r="AR136" i="3" s="1"/>
  <c r="D144" i="3"/>
  <c r="AR144" i="3" s="1"/>
  <c r="D152" i="3"/>
  <c r="AR152" i="3" s="1"/>
  <c r="D160" i="3"/>
  <c r="AR160" i="3" s="1"/>
  <c r="D168" i="3"/>
  <c r="AR168" i="3" s="1"/>
  <c r="D176" i="3"/>
  <c r="AR176" i="3" s="1"/>
  <c r="D184" i="3"/>
  <c r="AR184" i="3" s="1"/>
  <c r="D192" i="3"/>
  <c r="AR192" i="3" s="1"/>
  <c r="D200" i="3"/>
  <c r="AR200" i="3" s="1"/>
  <c r="Y266" i="3"/>
  <c r="W266" i="3" s="1"/>
  <c r="H266" i="3"/>
  <c r="D260" i="3"/>
  <c r="AR260" i="3" s="1"/>
  <c r="D224" i="3"/>
  <c r="AR224" i="3" s="1"/>
  <c r="D209" i="3"/>
  <c r="AR209" i="3" s="1"/>
  <c r="D164" i="3"/>
  <c r="AR164" i="3" s="1"/>
  <c r="D100" i="3"/>
  <c r="AR100" i="3" s="1"/>
  <c r="D45" i="3"/>
  <c r="AR45" i="3" s="1"/>
  <c r="D77" i="3"/>
  <c r="AR77" i="3" s="1"/>
  <c r="D89" i="3"/>
  <c r="AR89" i="3" s="1"/>
  <c r="D133" i="3"/>
  <c r="AR133" i="3" s="1"/>
  <c r="D185" i="3"/>
  <c r="AR185" i="3" s="1"/>
  <c r="D229" i="3"/>
  <c r="AR229" i="3" s="1"/>
  <c r="D245" i="3"/>
  <c r="AR245" i="3" s="1"/>
  <c r="D253" i="3"/>
  <c r="AR253" i="3" s="1"/>
  <c r="X153" i="3"/>
  <c r="V153" i="3" s="1"/>
  <c r="H153" i="3"/>
  <c r="H161" i="3"/>
  <c r="H169" i="3"/>
  <c r="H177" i="3"/>
  <c r="H185" i="3"/>
  <c r="H193" i="3"/>
  <c r="H201" i="3"/>
  <c r="H209" i="3"/>
  <c r="H217" i="3"/>
  <c r="H225" i="3"/>
  <c r="R240" i="3"/>
  <c r="D248" i="3"/>
  <c r="AR248" i="3" s="1"/>
  <c r="D220" i="3"/>
  <c r="AR220" i="3" s="1"/>
  <c r="D208" i="3"/>
  <c r="AR208" i="3" s="1"/>
  <c r="D156" i="3"/>
  <c r="AR156" i="3" s="1"/>
  <c r="D92" i="3"/>
  <c r="AR92" i="3" s="1"/>
  <c r="H229" i="3"/>
  <c r="D69" i="3"/>
  <c r="AR69" i="3" s="1"/>
  <c r="D137" i="3"/>
  <c r="AR137" i="3" s="1"/>
  <c r="D165" i="3"/>
  <c r="AR165" i="3" s="1"/>
  <c r="D213" i="3"/>
  <c r="AR213" i="3" s="1"/>
  <c r="D237" i="3"/>
  <c r="AR237" i="3" s="1"/>
  <c r="D43" i="3"/>
  <c r="AR43" i="3" s="1"/>
  <c r="D47" i="3"/>
  <c r="AR47" i="3" s="1"/>
  <c r="D51" i="3"/>
  <c r="AR51" i="3" s="1"/>
  <c r="D55" i="3"/>
  <c r="AR55" i="3" s="1"/>
  <c r="D59" i="3"/>
  <c r="AR59" i="3" s="1"/>
  <c r="D63" i="3"/>
  <c r="AR63" i="3" s="1"/>
  <c r="D67" i="3"/>
  <c r="AR67" i="3" s="1"/>
  <c r="D71" i="3"/>
  <c r="AR71" i="3" s="1"/>
  <c r="D75" i="3"/>
  <c r="AR75" i="3" s="1"/>
  <c r="D79" i="3"/>
  <c r="AR79" i="3" s="1"/>
  <c r="D83" i="3"/>
  <c r="AR83" i="3" s="1"/>
  <c r="D87" i="3"/>
  <c r="AR87" i="3" s="1"/>
  <c r="D91" i="3"/>
  <c r="AR91" i="3" s="1"/>
  <c r="D95" i="3"/>
  <c r="AR95" i="3" s="1"/>
  <c r="D99" i="3"/>
  <c r="AR99" i="3" s="1"/>
  <c r="D103" i="3"/>
  <c r="AR103" i="3" s="1"/>
  <c r="D107" i="3"/>
  <c r="AR107" i="3" s="1"/>
  <c r="D111" i="3"/>
  <c r="AR111" i="3" s="1"/>
  <c r="D115" i="3"/>
  <c r="AR115" i="3" s="1"/>
  <c r="D119" i="3"/>
  <c r="AR119" i="3" s="1"/>
  <c r="D123" i="3"/>
  <c r="AR123" i="3" s="1"/>
  <c r="D127" i="3"/>
  <c r="AR127" i="3" s="1"/>
  <c r="D131" i="3"/>
  <c r="AR131" i="3" s="1"/>
  <c r="D135" i="3"/>
  <c r="AR135" i="3" s="1"/>
  <c r="D139" i="3"/>
  <c r="AR139" i="3" s="1"/>
  <c r="D143" i="3"/>
  <c r="AR143" i="3" s="1"/>
  <c r="D147" i="3"/>
  <c r="AR147" i="3" s="1"/>
  <c r="D151" i="3"/>
  <c r="AR151" i="3" s="1"/>
  <c r="D155" i="3"/>
  <c r="AR155" i="3" s="1"/>
  <c r="D159" i="3"/>
  <c r="AR159" i="3" s="1"/>
  <c r="D163" i="3"/>
  <c r="AR163" i="3" s="1"/>
  <c r="D167" i="3"/>
  <c r="AR167" i="3" s="1"/>
  <c r="D171" i="3"/>
  <c r="AR171" i="3" s="1"/>
  <c r="D175" i="3"/>
  <c r="AR175" i="3" s="1"/>
  <c r="D179" i="3"/>
  <c r="AR179" i="3" s="1"/>
  <c r="D183" i="3"/>
  <c r="AR183" i="3" s="1"/>
  <c r="D187" i="3"/>
  <c r="AR187" i="3" s="1"/>
  <c r="D191" i="3"/>
  <c r="AR191" i="3" s="1"/>
  <c r="D195" i="3"/>
  <c r="AR195" i="3" s="1"/>
  <c r="D199" i="3"/>
  <c r="AR199" i="3" s="1"/>
  <c r="D203" i="3"/>
  <c r="AR203" i="3" s="1"/>
  <c r="D207" i="3"/>
  <c r="AR207" i="3" s="1"/>
  <c r="D211" i="3"/>
  <c r="AR211" i="3" s="1"/>
  <c r="D215" i="3"/>
  <c r="AR215" i="3" s="1"/>
  <c r="D223" i="3"/>
  <c r="AR223" i="3" s="1"/>
  <c r="D231" i="3"/>
  <c r="AR231" i="3" s="1"/>
  <c r="D239" i="3"/>
  <c r="AR239" i="3" s="1"/>
  <c r="D247" i="3"/>
  <c r="AR247" i="3" s="1"/>
  <c r="Q255" i="3"/>
  <c r="D255" i="3"/>
  <c r="AR255" i="3" s="1"/>
  <c r="D244" i="3"/>
  <c r="D233" i="3"/>
  <c r="AR233" i="3" s="1"/>
  <c r="D219" i="3"/>
  <c r="AR219" i="3" s="1"/>
  <c r="D204" i="3"/>
  <c r="AR204" i="3" s="1"/>
  <c r="D148" i="3"/>
  <c r="AR148" i="3" s="1"/>
  <c r="D84" i="3"/>
  <c r="AR84" i="3" s="1"/>
  <c r="D57" i="3"/>
  <c r="AR57" i="3" s="1"/>
  <c r="D101" i="3"/>
  <c r="AR101" i="3" s="1"/>
  <c r="D117" i="3"/>
  <c r="AR117" i="3" s="1"/>
  <c r="D125" i="3"/>
  <c r="AR125" i="3" s="1"/>
  <c r="D157" i="3"/>
  <c r="AR157" i="3" s="1"/>
  <c r="D169" i="3"/>
  <c r="AR169" i="3" s="1"/>
  <c r="X132" i="3"/>
  <c r="H132" i="3"/>
  <c r="X148" i="3"/>
  <c r="H148" i="3"/>
  <c r="Y212" i="3"/>
  <c r="H212" i="3"/>
  <c r="Y220" i="3"/>
  <c r="H220" i="3"/>
  <c r="X224" i="3"/>
  <c r="H224" i="3"/>
  <c r="Y236" i="3"/>
  <c r="W236" i="3" s="1"/>
  <c r="H236" i="3"/>
  <c r="Y240" i="3"/>
  <c r="H240" i="3"/>
  <c r="Y244" i="3"/>
  <c r="W244" i="3" s="1"/>
  <c r="H244" i="3"/>
  <c r="X248" i="3"/>
  <c r="H248" i="3"/>
  <c r="Y252" i="3"/>
  <c r="W252" i="3" s="1"/>
  <c r="H252" i="3"/>
  <c r="Y256" i="3"/>
  <c r="W256" i="3" s="1"/>
  <c r="H256" i="3"/>
  <c r="H260" i="3"/>
  <c r="D263" i="3"/>
  <c r="AR263" i="3" s="1"/>
  <c r="D257" i="3"/>
  <c r="AR257" i="3" s="1"/>
  <c r="D243" i="3"/>
  <c r="D232" i="3"/>
  <c r="AR232" i="3" s="1"/>
  <c r="D140" i="3"/>
  <c r="AR140" i="3" s="1"/>
  <c r="D76" i="3"/>
  <c r="AR76" i="3" s="1"/>
  <c r="D105" i="3"/>
  <c r="AR105" i="3" s="1"/>
  <c r="D153" i="3"/>
  <c r="AR153" i="3" s="1"/>
  <c r="D177" i="3"/>
  <c r="AR177" i="3" s="1"/>
  <c r="D193" i="3"/>
  <c r="AR193" i="3" s="1"/>
  <c r="D201" i="3"/>
  <c r="AR201" i="3" s="1"/>
  <c r="D42" i="3"/>
  <c r="AR42" i="3" s="1"/>
  <c r="D46" i="3"/>
  <c r="AR46" i="3" s="1"/>
  <c r="D50" i="3"/>
  <c r="AR50" i="3" s="1"/>
  <c r="D54" i="3"/>
  <c r="AR54" i="3" s="1"/>
  <c r="D58" i="3"/>
  <c r="AR58" i="3" s="1"/>
  <c r="D62" i="3"/>
  <c r="AR62" i="3" s="1"/>
  <c r="D66" i="3"/>
  <c r="AR66" i="3" s="1"/>
  <c r="D70" i="3"/>
  <c r="AR70" i="3" s="1"/>
  <c r="D74" i="3"/>
  <c r="AR74" i="3" s="1"/>
  <c r="D78" i="3"/>
  <c r="AR78" i="3" s="1"/>
  <c r="D82" i="3"/>
  <c r="AR82" i="3" s="1"/>
  <c r="D86" i="3"/>
  <c r="AR86" i="3" s="1"/>
  <c r="D90" i="3"/>
  <c r="AR90" i="3" s="1"/>
  <c r="D94" i="3"/>
  <c r="AR94" i="3" s="1"/>
  <c r="D98" i="3"/>
  <c r="AR98" i="3" s="1"/>
  <c r="D102" i="3"/>
  <c r="AR102" i="3" s="1"/>
  <c r="D106" i="3"/>
  <c r="AR106" i="3" s="1"/>
  <c r="D110" i="3"/>
  <c r="AR110" i="3" s="1"/>
  <c r="D114" i="3"/>
  <c r="AR114" i="3" s="1"/>
  <c r="D118" i="3"/>
  <c r="AR118" i="3" s="1"/>
  <c r="D122" i="3"/>
  <c r="AR122" i="3" s="1"/>
  <c r="D126" i="3"/>
  <c r="AR126" i="3" s="1"/>
  <c r="D130" i="3"/>
  <c r="AR130" i="3" s="1"/>
  <c r="D134" i="3"/>
  <c r="AR134" i="3" s="1"/>
  <c r="D138" i="3"/>
  <c r="AR138" i="3" s="1"/>
  <c r="D142" i="3"/>
  <c r="AR142" i="3" s="1"/>
  <c r="D146" i="3"/>
  <c r="AR146" i="3" s="1"/>
  <c r="D150" i="3"/>
  <c r="AR150" i="3" s="1"/>
  <c r="D154" i="3"/>
  <c r="AR154" i="3" s="1"/>
  <c r="D158" i="3"/>
  <c r="AR158" i="3" s="1"/>
  <c r="D162" i="3"/>
  <c r="AR162" i="3" s="1"/>
  <c r="D166" i="3"/>
  <c r="AR166" i="3" s="1"/>
  <c r="D170" i="3"/>
  <c r="AR170" i="3" s="1"/>
  <c r="D174" i="3"/>
  <c r="AR174" i="3" s="1"/>
  <c r="D178" i="3"/>
  <c r="AR178" i="3" s="1"/>
  <c r="D182" i="3"/>
  <c r="AR182" i="3" s="1"/>
  <c r="D186" i="3"/>
  <c r="AR186" i="3" s="1"/>
  <c r="D190" i="3"/>
  <c r="C190" i="3" s="1"/>
  <c r="D194" i="3"/>
  <c r="AR194" i="3" s="1"/>
  <c r="D198" i="3"/>
  <c r="AR198" i="3" s="1"/>
  <c r="D206" i="3"/>
  <c r="AR206" i="3" s="1"/>
  <c r="D214" i="3"/>
  <c r="AR214" i="3" s="1"/>
  <c r="D222" i="3"/>
  <c r="AR222" i="3" s="1"/>
  <c r="D230" i="3"/>
  <c r="AR230" i="3" s="1"/>
  <c r="D238" i="3"/>
  <c r="D246" i="3"/>
  <c r="AR246" i="3" s="1"/>
  <c r="D254" i="3"/>
  <c r="AR254" i="3" s="1"/>
  <c r="D262" i="3"/>
  <c r="AR262" i="3" s="1"/>
  <c r="Y264" i="3"/>
  <c r="H264" i="3"/>
  <c r="D267" i="3"/>
  <c r="AR267" i="3" s="1"/>
  <c r="D256" i="3"/>
  <c r="AR256" i="3" s="1"/>
  <c r="D242" i="3"/>
  <c r="AR242" i="3" s="1"/>
  <c r="D228" i="3"/>
  <c r="AR228" i="3" s="1"/>
  <c r="D217" i="3"/>
  <c r="AR217" i="3" s="1"/>
  <c r="D196" i="3"/>
  <c r="AR196" i="3" s="1"/>
  <c r="D132" i="3"/>
  <c r="AR132" i="3" s="1"/>
  <c r="D68" i="3"/>
  <c r="AR68" i="3" s="1"/>
  <c r="D41" i="3"/>
  <c r="AR41" i="3" s="1"/>
  <c r="D85" i="3"/>
  <c r="AR85" i="3" s="1"/>
  <c r="D109" i="3"/>
  <c r="AR109" i="3" s="1"/>
  <c r="D161" i="3"/>
  <c r="AR161" i="3" s="1"/>
  <c r="D181" i="3"/>
  <c r="AR181" i="3" s="1"/>
  <c r="D221" i="3"/>
  <c r="AR221" i="3" s="1"/>
  <c r="D261" i="3"/>
  <c r="AR261" i="3" s="1"/>
  <c r="H43" i="3"/>
  <c r="H47" i="3"/>
  <c r="H51" i="3"/>
  <c r="H55" i="3"/>
  <c r="H59" i="3"/>
  <c r="H63" i="3"/>
  <c r="H67" i="3"/>
  <c r="H71" i="3"/>
  <c r="Y75" i="3"/>
  <c r="H75" i="3"/>
  <c r="H79" i="3"/>
  <c r="H83" i="3"/>
  <c r="H87" i="3"/>
  <c r="H91" i="3"/>
  <c r="R94" i="3"/>
  <c r="H95" i="3"/>
  <c r="S98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S190" i="3"/>
  <c r="H191" i="3"/>
  <c r="H195" i="3"/>
  <c r="R198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D266" i="3"/>
  <c r="AR266" i="3" s="1"/>
  <c r="D241" i="3"/>
  <c r="AR241" i="3" s="1"/>
  <c r="D227" i="3"/>
  <c r="AR227" i="3" s="1"/>
  <c r="D216" i="3"/>
  <c r="AR216" i="3" s="1"/>
  <c r="D188" i="3"/>
  <c r="AR188" i="3" s="1"/>
  <c r="D124" i="3"/>
  <c r="AR124" i="3" s="1"/>
  <c r="D60" i="3"/>
  <c r="AR60" i="3" s="1"/>
  <c r="AZ31" i="3"/>
  <c r="BA16" i="3"/>
  <c r="BA7" i="3"/>
  <c r="AZ10" i="3"/>
  <c r="BA24" i="3"/>
  <c r="BA39" i="3"/>
  <c r="BA15" i="3"/>
  <c r="C16" i="3"/>
  <c r="C8" i="3"/>
  <c r="C23" i="3"/>
  <c r="C32" i="3"/>
  <c r="C15" i="3"/>
  <c r="C24" i="3"/>
  <c r="C7" i="3"/>
  <c r="AZ25" i="3"/>
  <c r="BA9" i="3"/>
  <c r="C20" i="3"/>
  <c r="C12" i="3"/>
  <c r="C4" i="3"/>
  <c r="BA17" i="3"/>
  <c r="AZ17" i="3"/>
  <c r="BA20" i="3"/>
  <c r="BA11" i="3"/>
  <c r="AZ26" i="3"/>
  <c r="BA21" i="3"/>
  <c r="BA12" i="3"/>
  <c r="BA3" i="3"/>
  <c r="BA18" i="3"/>
  <c r="AZ12" i="3"/>
  <c r="AZ3" i="3"/>
  <c r="BA4" i="3"/>
  <c r="BA10" i="3"/>
  <c r="AZ4" i="3"/>
  <c r="Q249" i="3"/>
  <c r="R169" i="3"/>
  <c r="R177" i="3"/>
  <c r="R241" i="3"/>
  <c r="Q152" i="3"/>
  <c r="Q156" i="3"/>
  <c r="Q224" i="3"/>
  <c r="S152" i="3"/>
  <c r="S156" i="3"/>
  <c r="Q264" i="3"/>
  <c r="Q139" i="3"/>
  <c r="Q147" i="3"/>
  <c r="Q227" i="3"/>
  <c r="R127" i="3"/>
  <c r="R135" i="3"/>
  <c r="R167" i="3"/>
  <c r="S207" i="3"/>
  <c r="S215" i="3"/>
  <c r="Q158" i="3"/>
  <c r="Q214" i="3"/>
  <c r="Q222" i="3"/>
  <c r="Q226" i="3"/>
  <c r="Q234" i="3"/>
  <c r="Q238" i="3"/>
  <c r="Q242" i="3"/>
  <c r="Q246" i="3"/>
  <c r="Q250" i="3"/>
  <c r="T45" i="3"/>
  <c r="Z46" i="3"/>
  <c r="AA50" i="3"/>
  <c r="Q52" i="3"/>
  <c r="U53" i="3"/>
  <c r="AA54" i="3"/>
  <c r="Q56" i="3"/>
  <c r="U57" i="3"/>
  <c r="T57" i="3"/>
  <c r="AA58" i="3"/>
  <c r="Q60" i="3"/>
  <c r="T61" i="3"/>
  <c r="AA62" i="3"/>
  <c r="T65" i="3"/>
  <c r="AA66" i="3"/>
  <c r="Q68" i="3"/>
  <c r="U69" i="3"/>
  <c r="U73" i="3"/>
  <c r="AA74" i="3"/>
  <c r="Q76" i="3"/>
  <c r="T77" i="3"/>
  <c r="AA78" i="3"/>
  <c r="T81" i="3"/>
  <c r="Q84" i="3"/>
  <c r="U85" i="3"/>
  <c r="Q88" i="3"/>
  <c r="U93" i="3"/>
  <c r="S101" i="3"/>
  <c r="S109" i="3"/>
  <c r="X110" i="3"/>
  <c r="R113" i="3"/>
  <c r="X114" i="3"/>
  <c r="R117" i="3"/>
  <c r="X118" i="3"/>
  <c r="R121" i="3"/>
  <c r="R125" i="3"/>
  <c r="R129" i="3"/>
  <c r="X130" i="3"/>
  <c r="R137" i="3"/>
  <c r="R141" i="3"/>
  <c r="X146" i="3"/>
  <c r="X150" i="3"/>
  <c r="X154" i="3"/>
  <c r="V154" i="3" s="1"/>
  <c r="S157" i="3"/>
  <c r="U202" i="3"/>
  <c r="T202" i="3"/>
  <c r="Z203" i="3"/>
  <c r="Z207" i="3"/>
  <c r="Q209" i="3"/>
  <c r="AA219" i="3"/>
  <c r="Q225" i="3"/>
  <c r="AA227" i="3"/>
  <c r="Q229" i="3"/>
  <c r="AA231" i="3"/>
  <c r="Q237" i="3"/>
  <c r="Z239" i="3"/>
  <c r="Q241" i="3"/>
  <c r="AA243" i="3"/>
  <c r="AA247" i="3"/>
  <c r="AA251" i="3"/>
  <c r="Q253" i="3"/>
  <c r="AA255" i="3"/>
  <c r="X81" i="3"/>
  <c r="X89" i="3"/>
  <c r="U101" i="3"/>
  <c r="AA106" i="3"/>
  <c r="T109" i="3"/>
  <c r="AA114" i="3"/>
  <c r="Z118" i="3"/>
  <c r="U133" i="3"/>
  <c r="U137" i="3"/>
  <c r="Q140" i="3"/>
  <c r="U141" i="3"/>
  <c r="Q144" i="3"/>
  <c r="Z146" i="3"/>
  <c r="T149" i="3"/>
  <c r="R189" i="3"/>
  <c r="U40" i="3"/>
  <c r="AA41" i="3"/>
  <c r="U44" i="3"/>
  <c r="AA45" i="3"/>
  <c r="AA49" i="3"/>
  <c r="Q51" i="3"/>
  <c r="AA53" i="3"/>
  <c r="AA57" i="3"/>
  <c r="T60" i="3"/>
  <c r="U64" i="3"/>
  <c r="AA69" i="3"/>
  <c r="Q75" i="3"/>
  <c r="U76" i="3"/>
  <c r="Q83" i="3"/>
  <c r="U88" i="3"/>
  <c r="X97" i="3"/>
  <c r="S100" i="3"/>
  <c r="X101" i="3"/>
  <c r="X109" i="3"/>
  <c r="Y117" i="3"/>
  <c r="R124" i="3"/>
  <c r="X129" i="3"/>
  <c r="V129" i="3" s="1"/>
  <c r="R132" i="3"/>
  <c r="S144" i="3"/>
  <c r="X149" i="3"/>
  <c r="R164" i="3"/>
  <c r="T173" i="3"/>
  <c r="Q176" i="3"/>
  <c r="AA178" i="3"/>
  <c r="Z182" i="3"/>
  <c r="AA186" i="3"/>
  <c r="Z186" i="3"/>
  <c r="U189" i="3"/>
  <c r="Z190" i="3"/>
  <c r="U201" i="3"/>
  <c r="T201" i="3"/>
  <c r="X40" i="3"/>
  <c r="R43" i="3"/>
  <c r="R47" i="3"/>
  <c r="Y48" i="3"/>
  <c r="S51" i="3"/>
  <c r="Y52" i="3"/>
  <c r="Z44" i="3"/>
  <c r="Q213" i="3"/>
  <c r="Q221" i="3"/>
  <c r="AA223" i="3"/>
  <c r="Q233" i="3"/>
  <c r="Q257" i="3"/>
  <c r="Y259" i="3"/>
  <c r="S40" i="3"/>
  <c r="Y41" i="3"/>
  <c r="S44" i="3"/>
  <c r="Y45" i="3"/>
  <c r="S48" i="3"/>
  <c r="Y49" i="3"/>
  <c r="S52" i="3"/>
  <c r="Y53" i="3"/>
  <c r="S56" i="3"/>
  <c r="Y57" i="3"/>
  <c r="S60" i="3"/>
  <c r="Y61" i="3"/>
  <c r="S64" i="3"/>
  <c r="S68" i="3"/>
  <c r="Y69" i="3"/>
  <c r="S72" i="3"/>
  <c r="X73" i="3"/>
  <c r="S76" i="3"/>
  <c r="Y77" i="3"/>
  <c r="S80" i="3"/>
  <c r="X85" i="3"/>
  <c r="S88" i="3"/>
  <c r="S92" i="3"/>
  <c r="X93" i="3"/>
  <c r="U97" i="3"/>
  <c r="Z110" i="3"/>
  <c r="U113" i="3"/>
  <c r="T117" i="3"/>
  <c r="Q120" i="3"/>
  <c r="T121" i="3"/>
  <c r="U121" i="3"/>
  <c r="Q124" i="3"/>
  <c r="Q132" i="3"/>
  <c r="Z134" i="3"/>
  <c r="Q136" i="3"/>
  <c r="Z138" i="3"/>
  <c r="Z142" i="3"/>
  <c r="T145" i="3"/>
  <c r="Z150" i="3"/>
  <c r="R193" i="3"/>
  <c r="S197" i="3"/>
  <c r="R201" i="3"/>
  <c r="Q43" i="3"/>
  <c r="U48" i="3"/>
  <c r="Q59" i="3"/>
  <c r="AA61" i="3"/>
  <c r="AA65" i="3"/>
  <c r="AA73" i="3"/>
  <c r="AA77" i="3"/>
  <c r="U80" i="3"/>
  <c r="Q87" i="3"/>
  <c r="S96" i="3"/>
  <c r="R108" i="3"/>
  <c r="R136" i="3"/>
  <c r="R140" i="3"/>
  <c r="X145" i="3"/>
  <c r="V145" i="3" s="1"/>
  <c r="S148" i="3"/>
  <c r="R160" i="3"/>
  <c r="S172" i="3"/>
  <c r="Z174" i="3"/>
  <c r="U177" i="3"/>
  <c r="T181" i="3"/>
  <c r="U193" i="3"/>
  <c r="Y44" i="3"/>
  <c r="S55" i="3"/>
  <c r="AA40" i="3"/>
  <c r="Q42" i="3"/>
  <c r="U43" i="3"/>
  <c r="Y58" i="3"/>
  <c r="S61" i="3"/>
  <c r="S65" i="3"/>
  <c r="X66" i="3"/>
  <c r="Y70" i="3"/>
  <c r="S73" i="3"/>
  <c r="Y74" i="3"/>
  <c r="S77" i="3"/>
  <c r="Y78" i="3"/>
  <c r="R81" i="3"/>
  <c r="X86" i="3"/>
  <c r="X90" i="3"/>
  <c r="S93" i="3"/>
  <c r="X94" i="3"/>
  <c r="Q105" i="3"/>
  <c r="AA107" i="3"/>
  <c r="Q113" i="3"/>
  <c r="U114" i="3"/>
  <c r="AA115" i="3"/>
  <c r="Z123" i="3"/>
  <c r="T126" i="3"/>
  <c r="Z127" i="3"/>
  <c r="Q129" i="3"/>
  <c r="Q133" i="3"/>
  <c r="Q137" i="3"/>
  <c r="Z139" i="3"/>
  <c r="Q141" i="3"/>
  <c r="T142" i="3"/>
  <c r="Z143" i="3"/>
  <c r="Q145" i="3"/>
  <c r="T146" i="3"/>
  <c r="Z147" i="3"/>
  <c r="T150" i="3"/>
  <c r="Z151" i="3"/>
  <c r="Q153" i="3"/>
  <c r="Z155" i="3"/>
  <c r="Q157" i="3"/>
  <c r="T158" i="3"/>
  <c r="Z159" i="3"/>
  <c r="Q161" i="3"/>
  <c r="U162" i="3"/>
  <c r="Q165" i="3"/>
  <c r="U166" i="3"/>
  <c r="AA167" i="3"/>
  <c r="Q169" i="3"/>
  <c r="R172" i="3"/>
  <c r="S174" i="3"/>
  <c r="X175" i="3"/>
  <c r="S178" i="3"/>
  <c r="S182" i="3"/>
  <c r="X183" i="3"/>
  <c r="S186" i="3"/>
  <c r="S206" i="3"/>
  <c r="Y211" i="3"/>
  <c r="Y215" i="3"/>
  <c r="S222" i="3"/>
  <c r="X223" i="3"/>
  <c r="Y231" i="3"/>
  <c r="X239" i="3"/>
  <c r="Y243" i="3"/>
  <c r="Y247" i="3"/>
  <c r="Y251" i="3"/>
  <c r="AA260" i="3"/>
  <c r="Q263" i="3"/>
  <c r="AA265" i="3"/>
  <c r="Q267" i="3"/>
  <c r="U55" i="3"/>
  <c r="AA56" i="3"/>
  <c r="S59" i="3"/>
  <c r="S63" i="3"/>
  <c r="Y64" i="3"/>
  <c r="S67" i="3"/>
  <c r="Y68" i="3"/>
  <c r="S71" i="3"/>
  <c r="X72" i="3"/>
  <c r="S75" i="3"/>
  <c r="Y76" i="3"/>
  <c r="Y80" i="3"/>
  <c r="X84" i="3"/>
  <c r="S87" i="3"/>
  <c r="S91" i="3"/>
  <c r="X92" i="3"/>
  <c r="U100" i="3"/>
  <c r="U104" i="3"/>
  <c r="Q107" i="3"/>
  <c r="AA113" i="3"/>
  <c r="Q115" i="3"/>
  <c r="Q151" i="3"/>
  <c r="T152" i="3"/>
  <c r="Q155" i="3"/>
  <c r="Z157" i="3"/>
  <c r="Q159" i="3"/>
  <c r="Z161" i="3"/>
  <c r="U164" i="3"/>
  <c r="Q167" i="3"/>
  <c r="AA169" i="3"/>
  <c r="Q171" i="3"/>
  <c r="Y173" i="3"/>
  <c r="S180" i="3"/>
  <c r="AA264" i="3"/>
  <c r="Q41" i="3"/>
  <c r="U42" i="3"/>
  <c r="AA43" i="3"/>
  <c r="AC44" i="3"/>
  <c r="S46" i="3"/>
  <c r="X47" i="3"/>
  <c r="S50" i="3"/>
  <c r="U188" i="3"/>
  <c r="Z189" i="3"/>
  <c r="Z193" i="3"/>
  <c r="Z197" i="3"/>
  <c r="Z201" i="3"/>
  <c r="U205" i="3"/>
  <c r="Z206" i="3"/>
  <c r="AA210" i="3"/>
  <c r="Q212" i="3"/>
  <c r="AA214" i="3"/>
  <c r="Q216" i="3"/>
  <c r="AA218" i="3"/>
  <c r="Q220" i="3"/>
  <c r="AA222" i="3"/>
  <c r="AA226" i="3"/>
  <c r="Q228" i="3"/>
  <c r="Q232" i="3"/>
  <c r="AA234" i="3"/>
  <c r="Q236" i="3"/>
  <c r="AA238" i="3"/>
  <c r="AA242" i="3"/>
  <c r="Q244" i="3"/>
  <c r="AA246" i="3"/>
  <c r="AA250" i="3"/>
  <c r="Q252" i="3"/>
  <c r="AA254" i="3"/>
  <c r="Q256" i="3"/>
  <c r="AA258" i="3"/>
  <c r="Y267" i="3"/>
  <c r="S42" i="3"/>
  <c r="X43" i="3"/>
  <c r="S79" i="3"/>
  <c r="T54" i="3"/>
  <c r="AA55" i="3"/>
  <c r="S58" i="3"/>
  <c r="X59" i="3"/>
  <c r="S62" i="3"/>
  <c r="Y63" i="3"/>
  <c r="S66" i="3"/>
  <c r="X67" i="3"/>
  <c r="S70" i="3"/>
  <c r="X71" i="3"/>
  <c r="S78" i="3"/>
  <c r="X79" i="3"/>
  <c r="S82" i="3"/>
  <c r="X87" i="3"/>
  <c r="S90" i="3"/>
  <c r="AA104" i="3"/>
  <c r="T131" i="3"/>
  <c r="Q138" i="3"/>
  <c r="Z140" i="3"/>
  <c r="T143" i="3"/>
  <c r="Z160" i="3"/>
  <c r="Q162" i="3"/>
  <c r="AA168" i="3"/>
  <c r="Q170" i="3"/>
  <c r="Z172" i="3"/>
  <c r="R175" i="3"/>
  <c r="S179" i="3"/>
  <c r="Y184" i="3"/>
  <c r="S187" i="3"/>
  <c r="S191" i="3"/>
  <c r="S199" i="3"/>
  <c r="R204" i="3"/>
  <c r="R208" i="3"/>
  <c r="Y209" i="3"/>
  <c r="S216" i="3"/>
  <c r="Y217" i="3"/>
  <c r="W217" i="3" s="1"/>
  <c r="S220" i="3"/>
  <c r="X221" i="3"/>
  <c r="Y225" i="3"/>
  <c r="Y233" i="3"/>
  <c r="X241" i="3"/>
  <c r="X245" i="3"/>
  <c r="Y257" i="3"/>
  <c r="Q260" i="3"/>
  <c r="Y262" i="3"/>
  <c r="W262" i="3" s="1"/>
  <c r="AA263" i="3"/>
  <c r="Q265" i="3"/>
  <c r="AA267" i="3"/>
  <c r="AA48" i="3"/>
  <c r="Q50" i="3"/>
  <c r="T51" i="3"/>
  <c r="AA52" i="3"/>
  <c r="Q53" i="3"/>
  <c r="S86" i="3"/>
  <c r="S94" i="3"/>
  <c r="U99" i="3"/>
  <c r="Q106" i="3"/>
  <c r="Z108" i="3"/>
  <c r="AA112" i="3"/>
  <c r="Q114" i="3"/>
  <c r="Z124" i="3"/>
  <c r="Z136" i="3"/>
  <c r="T139" i="3"/>
  <c r="Q142" i="3"/>
  <c r="Z144" i="3"/>
  <c r="Q150" i="3"/>
  <c r="Z152" i="3"/>
  <c r="Z156" i="3"/>
  <c r="U41" i="3"/>
  <c r="AA42" i="3"/>
  <c r="S45" i="3"/>
  <c r="X46" i="3"/>
  <c r="R49" i="3"/>
  <c r="Y50" i="3"/>
  <c r="S53" i="3"/>
  <c r="X54" i="3"/>
  <c r="S57" i="3"/>
  <c r="AA59" i="3"/>
  <c r="Q61" i="3"/>
  <c r="U62" i="3"/>
  <c r="AA63" i="3"/>
  <c r="U66" i="3"/>
  <c r="AA67" i="3"/>
  <c r="Q69" i="3"/>
  <c r="T70" i="3"/>
  <c r="AA71" i="3"/>
  <c r="AA75" i="3"/>
  <c r="U78" i="3"/>
  <c r="AA79" i="3"/>
  <c r="U86" i="3"/>
  <c r="U94" i="3"/>
  <c r="X99" i="3"/>
  <c r="S102" i="3"/>
  <c r="X103" i="3"/>
  <c r="S106" i="3"/>
  <c r="X111" i="3"/>
  <c r="S114" i="3"/>
  <c r="X115" i="3"/>
  <c r="X119" i="3"/>
  <c r="X123" i="3"/>
  <c r="R126" i="3"/>
  <c r="X127" i="3"/>
  <c r="S130" i="3"/>
  <c r="Y131" i="3"/>
  <c r="S134" i="3"/>
  <c r="Y135" i="3"/>
  <c r="S138" i="3"/>
  <c r="S142" i="3"/>
  <c r="X143" i="3"/>
  <c r="S146" i="3"/>
  <c r="X147" i="3"/>
  <c r="S150" i="3"/>
  <c r="X151" i="3"/>
  <c r="S154" i="3"/>
  <c r="X155" i="3"/>
  <c r="R158" i="3"/>
  <c r="R162" i="3"/>
  <c r="R166" i="3"/>
  <c r="S170" i="3"/>
  <c r="X171" i="3"/>
  <c r="U175" i="3"/>
  <c r="AA176" i="3"/>
  <c r="Q178" i="3"/>
  <c r="AA184" i="3"/>
  <c r="Z192" i="3"/>
  <c r="U195" i="3"/>
  <c r="Z196" i="3"/>
  <c r="U199" i="3"/>
  <c r="Z200" i="3"/>
  <c r="Z205" i="3"/>
  <c r="Q211" i="3"/>
  <c r="Z213" i="3"/>
  <c r="Q215" i="3"/>
  <c r="Q219" i="3"/>
  <c r="AA221" i="3"/>
  <c r="Q223" i="3"/>
  <c r="AA225" i="3"/>
  <c r="Q231" i="3"/>
  <c r="AA233" i="3"/>
  <c r="Q235" i="3"/>
  <c r="Q239" i="3"/>
  <c r="Q243" i="3"/>
  <c r="AA245" i="3"/>
  <c r="Q247" i="3"/>
  <c r="AA249" i="3"/>
  <c r="Q251" i="3"/>
  <c r="AA257" i="3"/>
  <c r="R41" i="3"/>
  <c r="U46" i="3"/>
  <c r="AA47" i="3"/>
  <c r="Q49" i="3"/>
  <c r="AA51" i="3"/>
  <c r="S54" i="3"/>
  <c r="X55" i="3"/>
  <c r="Q58" i="3"/>
  <c r="AA60" i="3"/>
  <c r="T63" i="3"/>
  <c r="AA64" i="3"/>
  <c r="Q66" i="3"/>
  <c r="AA68" i="3"/>
  <c r="AA72" i="3"/>
  <c r="Q74" i="3"/>
  <c r="AA76" i="3"/>
  <c r="Q78" i="3"/>
  <c r="U79" i="3"/>
  <c r="AA80" i="3"/>
  <c r="Q86" i="3"/>
  <c r="S95" i="3"/>
  <c r="X96" i="3"/>
  <c r="R103" i="3"/>
  <c r="M103" i="3" s="1"/>
  <c r="S107" i="3"/>
  <c r="R111" i="3"/>
  <c r="X112" i="3"/>
  <c r="S115" i="3"/>
  <c r="R119" i="3"/>
  <c r="Y120" i="3"/>
  <c r="X152" i="3"/>
  <c r="X156" i="3"/>
  <c r="X168" i="3"/>
  <c r="S171" i="3"/>
  <c r="Q179" i="3"/>
  <c r="R188" i="3"/>
  <c r="S192" i="3"/>
  <c r="S196" i="3"/>
  <c r="S200" i="3"/>
  <c r="Z202" i="3"/>
  <c r="S205" i="3"/>
  <c r="Y214" i="3"/>
  <c r="X218" i="3"/>
  <c r="X234" i="3"/>
  <c r="Y250" i="3"/>
  <c r="X258" i="3"/>
  <c r="AA259" i="3"/>
  <c r="Z125" i="3"/>
  <c r="Z133" i="3"/>
  <c r="Z149" i="3"/>
  <c r="Z158" i="3"/>
  <c r="Q177" i="3"/>
  <c r="Q185" i="3"/>
  <c r="S194" i="3"/>
  <c r="S203" i="3"/>
  <c r="S211" i="3"/>
  <c r="Y216" i="3"/>
  <c r="W216" i="3" s="1"/>
  <c r="S219" i="3"/>
  <c r="Z116" i="3"/>
  <c r="R123" i="3"/>
  <c r="Y128" i="3"/>
  <c r="R139" i="3"/>
  <c r="X144" i="3"/>
  <c r="Z166" i="3"/>
  <c r="X174" i="3"/>
  <c r="X182" i="3"/>
  <c r="Z191" i="3"/>
  <c r="Z199" i="3"/>
  <c r="Z204" i="3"/>
  <c r="Q210" i="3"/>
  <c r="AA212" i="3"/>
  <c r="Q218" i="3"/>
  <c r="Z62" i="3"/>
  <c r="AB171" i="3"/>
  <c r="AB98" i="3"/>
  <c r="AA140" i="3"/>
  <c r="T114" i="3"/>
  <c r="AB179" i="3"/>
  <c r="Y55" i="3"/>
  <c r="Q262" i="3"/>
  <c r="AB41" i="3"/>
  <c r="Z51" i="3"/>
  <c r="Y92" i="3"/>
  <c r="Z107" i="3"/>
  <c r="AB185" i="3"/>
  <c r="S198" i="3"/>
  <c r="Y224" i="3"/>
  <c r="W224" i="3" s="1"/>
  <c r="Y40" i="3"/>
  <c r="Y46" i="3"/>
  <c r="X58" i="3"/>
  <c r="Y67" i="3"/>
  <c r="Y111" i="3"/>
  <c r="U149" i="3"/>
  <c r="S164" i="3"/>
  <c r="Z223" i="3"/>
  <c r="AA149" i="3"/>
  <c r="Y183" i="3"/>
  <c r="Q146" i="3"/>
  <c r="AA147" i="3"/>
  <c r="AC203" i="3"/>
  <c r="Y54" i="3"/>
  <c r="Y73" i="3"/>
  <c r="Y96" i="3"/>
  <c r="R173" i="3"/>
  <c r="Y221" i="3"/>
  <c r="X70" i="3"/>
  <c r="U71" i="3"/>
  <c r="Y72" i="3"/>
  <c r="AB95" i="3"/>
  <c r="AA123" i="3"/>
  <c r="AA201" i="3"/>
  <c r="AB220" i="3"/>
  <c r="Y234" i="3"/>
  <c r="S214" i="3"/>
  <c r="R93" i="3"/>
  <c r="R199" i="3"/>
  <c r="M199" i="3" s="1"/>
  <c r="S97" i="3"/>
  <c r="R97" i="3"/>
  <c r="R110" i="3"/>
  <c r="S110" i="3"/>
  <c r="AA237" i="3"/>
  <c r="Z237" i="3"/>
  <c r="X102" i="3"/>
  <c r="Y102" i="3"/>
  <c r="R202" i="3"/>
  <c r="S202" i="3"/>
  <c r="Q148" i="3"/>
  <c r="U96" i="3"/>
  <c r="T96" i="3"/>
  <c r="AC45" i="3"/>
  <c r="AB45" i="3"/>
  <c r="AB66" i="3"/>
  <c r="AC66" i="3"/>
  <c r="AA105" i="3"/>
  <c r="Z105" i="3"/>
  <c r="T180" i="3"/>
  <c r="U180" i="3"/>
  <c r="X100" i="3"/>
  <c r="Y100" i="3"/>
  <c r="Y181" i="3"/>
  <c r="X181" i="3"/>
  <c r="Y213" i="3"/>
  <c r="X213" i="3"/>
  <c r="AA46" i="3"/>
  <c r="S47" i="3"/>
  <c r="AB55" i="3"/>
  <c r="R115" i="3"/>
  <c r="AA120" i="3"/>
  <c r="Q160" i="3"/>
  <c r="AA189" i="3"/>
  <c r="T198" i="3"/>
  <c r="X251" i="3"/>
  <c r="Q259" i="3"/>
  <c r="AB46" i="3"/>
  <c r="U47" i="3"/>
  <c r="T105" i="3"/>
  <c r="T113" i="3"/>
  <c r="X231" i="3"/>
  <c r="Z238" i="3"/>
  <c r="Z43" i="3"/>
  <c r="U60" i="3"/>
  <c r="R90" i="3"/>
  <c r="T99" i="3"/>
  <c r="R100" i="3"/>
  <c r="Z104" i="3"/>
  <c r="T112" i="3"/>
  <c r="Q130" i="3"/>
  <c r="Q154" i="3"/>
  <c r="AA155" i="3"/>
  <c r="S158" i="3"/>
  <c r="Z219" i="3"/>
  <c r="Y89" i="3"/>
  <c r="R96" i="3"/>
  <c r="AB99" i="3"/>
  <c r="T100" i="3"/>
  <c r="R101" i="3"/>
  <c r="AB102" i="3"/>
  <c r="S103" i="3"/>
  <c r="Q143" i="3"/>
  <c r="AA153" i="3"/>
  <c r="AC155" i="3"/>
  <c r="Z187" i="3"/>
  <c r="S204" i="3"/>
  <c r="Z34" i="3"/>
  <c r="V34" i="3" s="1"/>
  <c r="U156" i="3"/>
  <c r="X265" i="3"/>
  <c r="Q266" i="3"/>
  <c r="Y265" i="3"/>
  <c r="X266" i="3"/>
  <c r="R86" i="3"/>
  <c r="S108" i="3"/>
  <c r="AC122" i="3"/>
  <c r="S166" i="3"/>
  <c r="X56" i="3"/>
  <c r="Z73" i="3"/>
  <c r="Y85" i="3"/>
  <c r="AB89" i="3"/>
  <c r="T91" i="3"/>
  <c r="AB92" i="3"/>
  <c r="Y93" i="3"/>
  <c r="Y94" i="3"/>
  <c r="Y97" i="3"/>
  <c r="Y103" i="3"/>
  <c r="T106" i="3"/>
  <c r="Z112" i="3"/>
  <c r="Z114" i="3"/>
  <c r="U116" i="3"/>
  <c r="AB140" i="3"/>
  <c r="U142" i="3"/>
  <c r="U151" i="3"/>
  <c r="AA157" i="3"/>
  <c r="U159" i="3"/>
  <c r="T161" i="3"/>
  <c r="AA172" i="3"/>
  <c r="AB215" i="3"/>
  <c r="Z217" i="3"/>
  <c r="Y218" i="3"/>
  <c r="X249" i="3"/>
  <c r="X255" i="3"/>
  <c r="X259" i="3"/>
  <c r="Y47" i="3"/>
  <c r="Z48" i="3"/>
  <c r="U49" i="3"/>
  <c r="T64" i="3"/>
  <c r="AC73" i="3"/>
  <c r="T76" i="3"/>
  <c r="AB84" i="3"/>
  <c r="AB85" i="3"/>
  <c r="Y86" i="3"/>
  <c r="Y87" i="3"/>
  <c r="T90" i="3"/>
  <c r="AC105" i="3"/>
  <c r="AC107" i="3"/>
  <c r="U108" i="3"/>
  <c r="U109" i="3"/>
  <c r="AC115" i="3"/>
  <c r="AA116" i="3"/>
  <c r="S117" i="3"/>
  <c r="Y127" i="3"/>
  <c r="U131" i="3"/>
  <c r="T132" i="3"/>
  <c r="AA142" i="3"/>
  <c r="U143" i="3"/>
  <c r="U150" i="3"/>
  <c r="U158" i="3"/>
  <c r="S160" i="3"/>
  <c r="T164" i="3"/>
  <c r="T165" i="3"/>
  <c r="T166" i="3"/>
  <c r="AC172" i="3"/>
  <c r="U173" i="3"/>
  <c r="Z176" i="3"/>
  <c r="X209" i="3"/>
  <c r="S210" i="3"/>
  <c r="R211" i="3"/>
  <c r="X214" i="3"/>
  <c r="X216" i="3"/>
  <c r="Z221" i="3"/>
  <c r="AB222" i="3"/>
  <c r="X228" i="3"/>
  <c r="Y249" i="3"/>
  <c r="X252" i="3"/>
  <c r="Y255" i="3"/>
  <c r="AC49" i="3"/>
  <c r="X51" i="3"/>
  <c r="U65" i="3"/>
  <c r="T74" i="3"/>
  <c r="Z75" i="3"/>
  <c r="X76" i="3"/>
  <c r="U77" i="3"/>
  <c r="Y79" i="3"/>
  <c r="AB80" i="3"/>
  <c r="S81" i="3"/>
  <c r="AC116" i="3"/>
  <c r="U117" i="3"/>
  <c r="Y118" i="3"/>
  <c r="T119" i="3"/>
  <c r="AB127" i="3"/>
  <c r="AB130" i="3"/>
  <c r="T133" i="3"/>
  <c r="Q134" i="3"/>
  <c r="X135" i="3"/>
  <c r="U145" i="3"/>
  <c r="U152" i="3"/>
  <c r="AC161" i="3"/>
  <c r="X173" i="3"/>
  <c r="Y174" i="3"/>
  <c r="S175" i="3"/>
  <c r="S177" i="3"/>
  <c r="X179" i="3"/>
  <c r="S193" i="3"/>
  <c r="T194" i="3"/>
  <c r="T195" i="3"/>
  <c r="R207" i="3"/>
  <c r="T208" i="3"/>
  <c r="X210" i="3"/>
  <c r="AB211" i="3"/>
  <c r="Z226" i="3"/>
  <c r="Y228" i="3"/>
  <c r="W228" i="3" s="1"/>
  <c r="S41" i="3"/>
  <c r="T44" i="3"/>
  <c r="R45" i="3"/>
  <c r="Y51" i="3"/>
  <c r="Q62" i="3"/>
  <c r="X77" i="3"/>
  <c r="AC79" i="3"/>
  <c r="U81" i="3"/>
  <c r="Q82" i="3"/>
  <c r="AB118" i="3"/>
  <c r="AB133" i="3"/>
  <c r="AA134" i="3"/>
  <c r="AB137" i="3"/>
  <c r="X138" i="3"/>
  <c r="S162" i="3"/>
  <c r="AA174" i="3"/>
  <c r="Z177" i="3"/>
  <c r="AC178" i="3"/>
  <c r="Z179" i="3"/>
  <c r="U183" i="3"/>
  <c r="X184" i="3"/>
  <c r="Z185" i="3"/>
  <c r="R187" i="3"/>
  <c r="T193" i="3"/>
  <c r="AA206" i="3"/>
  <c r="Y223" i="3"/>
  <c r="X225" i="3"/>
  <c r="U241" i="3"/>
  <c r="U45" i="3"/>
  <c r="R82" i="3"/>
  <c r="U120" i="3"/>
  <c r="Y138" i="3"/>
  <c r="AA145" i="3"/>
  <c r="R180" i="3"/>
  <c r="S188" i="3"/>
  <c r="S189" i="3"/>
  <c r="T42" i="3"/>
  <c r="X45" i="3"/>
  <c r="X52" i="3"/>
  <c r="AB53" i="3"/>
  <c r="U54" i="3"/>
  <c r="Z67" i="3"/>
  <c r="U70" i="3"/>
  <c r="X120" i="3"/>
  <c r="V120" i="3" s="1"/>
  <c r="AA138" i="3"/>
  <c r="AB139" i="3"/>
  <c r="AA146" i="3"/>
  <c r="U154" i="3"/>
  <c r="AB169" i="3"/>
  <c r="R171" i="3"/>
  <c r="U181" i="3"/>
  <c r="T188" i="3"/>
  <c r="T189" i="3"/>
  <c r="AB190" i="3"/>
  <c r="R191" i="3"/>
  <c r="R200" i="3"/>
  <c r="S201" i="3"/>
  <c r="Y242" i="3"/>
  <c r="R68" i="3"/>
  <c r="AC200" i="3"/>
  <c r="Q54" i="3"/>
  <c r="X62" i="3"/>
  <c r="AC83" i="3"/>
  <c r="AB83" i="3"/>
  <c r="Z40" i="3"/>
  <c r="Z42" i="3"/>
  <c r="Z59" i="3"/>
  <c r="AC61" i="3"/>
  <c r="AB61" i="3"/>
  <c r="X65" i="3"/>
  <c r="T69" i="3"/>
  <c r="Y71" i="3"/>
  <c r="X78" i="3"/>
  <c r="S85" i="3"/>
  <c r="R85" i="3"/>
  <c r="S89" i="3"/>
  <c r="R89" i="3"/>
  <c r="U102" i="3"/>
  <c r="T102" i="3"/>
  <c r="Y109" i="3"/>
  <c r="AC117" i="3"/>
  <c r="AB117" i="3"/>
  <c r="AB132" i="3"/>
  <c r="AC132" i="3"/>
  <c r="X136" i="3"/>
  <c r="Z162" i="3"/>
  <c r="AA162" i="3"/>
  <c r="AC82" i="3"/>
  <c r="AB82" i="3"/>
  <c r="S99" i="3"/>
  <c r="R99" i="3"/>
  <c r="T125" i="3"/>
  <c r="U125" i="3"/>
  <c r="Z50" i="3"/>
  <c r="U52" i="3"/>
  <c r="X57" i="3"/>
  <c r="AB58" i="3"/>
  <c r="U61" i="3"/>
  <c r="X64" i="3"/>
  <c r="Y65" i="3"/>
  <c r="U68" i="3"/>
  <c r="AA70" i="3"/>
  <c r="Z70" i="3"/>
  <c r="AC71" i="3"/>
  <c r="R72" i="3"/>
  <c r="S74" i="3"/>
  <c r="R74" i="3"/>
  <c r="AB74" i="3"/>
  <c r="S84" i="3"/>
  <c r="R84" i="3"/>
  <c r="U89" i="3"/>
  <c r="T89" i="3"/>
  <c r="U92" i="3"/>
  <c r="T92" i="3"/>
  <c r="AC129" i="3"/>
  <c r="AB129" i="3"/>
  <c r="Q149" i="3"/>
  <c r="Y59" i="3"/>
  <c r="AB50" i="3"/>
  <c r="X61" i="3"/>
  <c r="AB63" i="3"/>
  <c r="AC63" i="3"/>
  <c r="AC65" i="3"/>
  <c r="X69" i="3"/>
  <c r="Z78" i="3"/>
  <c r="R79" i="3"/>
  <c r="X95" i="3"/>
  <c r="Y95" i="3"/>
  <c r="X98" i="3"/>
  <c r="Y98" i="3"/>
  <c r="X104" i="3"/>
  <c r="Y104" i="3"/>
  <c r="X107" i="3"/>
  <c r="U111" i="3"/>
  <c r="T111" i="3"/>
  <c r="T41" i="3"/>
  <c r="R46" i="3"/>
  <c r="AB47" i="3"/>
  <c r="X48" i="3"/>
  <c r="Z54" i="3"/>
  <c r="Y56" i="3"/>
  <c r="Z57" i="3"/>
  <c r="Y62" i="3"/>
  <c r="Y66" i="3"/>
  <c r="S69" i="3"/>
  <c r="R69" i="3"/>
  <c r="AB69" i="3"/>
  <c r="Z72" i="3"/>
  <c r="T75" i="3"/>
  <c r="S83" i="3"/>
  <c r="R83" i="3"/>
  <c r="X88" i="3"/>
  <c r="Y88" i="3"/>
  <c r="X91" i="3"/>
  <c r="Y91" i="3"/>
  <c r="S116" i="3"/>
  <c r="R116" i="3"/>
  <c r="AC124" i="3"/>
  <c r="AB124" i="3"/>
  <c r="Q131" i="3"/>
  <c r="R159" i="3"/>
  <c r="S159" i="3"/>
  <c r="R161" i="3"/>
  <c r="S161" i="3"/>
  <c r="AC188" i="3"/>
  <c r="AB188" i="3"/>
  <c r="S213" i="3"/>
  <c r="R213" i="3"/>
  <c r="AB43" i="3"/>
  <c r="R44" i="3"/>
  <c r="X53" i="3"/>
  <c r="Q55" i="3"/>
  <c r="Z56" i="3"/>
  <c r="AC57" i="3"/>
  <c r="T59" i="3"/>
  <c r="Y60" i="3"/>
  <c r="X60" i="3"/>
  <c r="Q63" i="3"/>
  <c r="Q64" i="3"/>
  <c r="AB72" i="3"/>
  <c r="R73" i="3"/>
  <c r="R76" i="3"/>
  <c r="Q80" i="3"/>
  <c r="S118" i="3"/>
  <c r="R118" i="3"/>
  <c r="Z148" i="3"/>
  <c r="AA148" i="3"/>
  <c r="T157" i="3"/>
  <c r="U157" i="3"/>
  <c r="Z41" i="3"/>
  <c r="U51" i="3"/>
  <c r="AB56" i="3"/>
  <c r="T58" i="3"/>
  <c r="U63" i="3"/>
  <c r="R67" i="3"/>
  <c r="Q71" i="3"/>
  <c r="T80" i="3"/>
  <c r="X82" i="3"/>
  <c r="Y82" i="3"/>
  <c r="X83" i="3"/>
  <c r="Y83" i="3"/>
  <c r="AC87" i="3"/>
  <c r="AB87" i="3"/>
  <c r="AC90" i="3"/>
  <c r="AB90" i="3"/>
  <c r="AC91" i="3"/>
  <c r="AB91" i="3"/>
  <c r="AC113" i="3"/>
  <c r="AB113" i="3"/>
  <c r="R133" i="3"/>
  <c r="S133" i="3"/>
  <c r="Y141" i="3"/>
  <c r="X141" i="3"/>
  <c r="T144" i="3"/>
  <c r="U144" i="3"/>
  <c r="AA44" i="3"/>
  <c r="S49" i="3"/>
  <c r="Q57" i="3"/>
  <c r="Q81" i="3"/>
  <c r="AC110" i="3"/>
  <c r="AB110" i="3"/>
  <c r="Z130" i="3"/>
  <c r="AA130" i="3"/>
  <c r="T153" i="3"/>
  <c r="U153" i="3"/>
  <c r="U163" i="3"/>
  <c r="T163" i="3"/>
  <c r="Z65" i="3"/>
  <c r="Q67" i="3"/>
  <c r="Q72" i="3"/>
  <c r="Q73" i="3"/>
  <c r="R75" i="3"/>
  <c r="AB77" i="3"/>
  <c r="Q79" i="3"/>
  <c r="R80" i="3"/>
  <c r="Y81" i="3"/>
  <c r="AB86" i="3"/>
  <c r="R87" i="3"/>
  <c r="Y90" i="3"/>
  <c r="R91" i="3"/>
  <c r="AB93" i="3"/>
  <c r="T94" i="3"/>
  <c r="AB96" i="3"/>
  <c r="T97" i="3"/>
  <c r="T103" i="3"/>
  <c r="AB109" i="3"/>
  <c r="Y112" i="3"/>
  <c r="AA118" i="3"/>
  <c r="S119" i="3"/>
  <c r="AC128" i="3"/>
  <c r="S129" i="3"/>
  <c r="U135" i="3"/>
  <c r="U140" i="3"/>
  <c r="Y142" i="3"/>
  <c r="AA144" i="3"/>
  <c r="U147" i="3"/>
  <c r="AA151" i="3"/>
  <c r="AA159" i="3"/>
  <c r="AA161" i="3"/>
  <c r="AC182" i="3"/>
  <c r="AB182" i="3"/>
  <c r="U197" i="3"/>
  <c r="T197" i="3"/>
  <c r="S209" i="3"/>
  <c r="R209" i="3"/>
  <c r="AA235" i="3"/>
  <c r="Z235" i="3"/>
  <c r="Q261" i="3"/>
  <c r="AC123" i="3"/>
  <c r="Z163" i="3"/>
  <c r="AA163" i="3"/>
  <c r="S195" i="3"/>
  <c r="R195" i="3"/>
  <c r="Y219" i="3"/>
  <c r="X219" i="3"/>
  <c r="AA220" i="3"/>
  <c r="Z220" i="3"/>
  <c r="Q258" i="3"/>
  <c r="T62" i="3"/>
  <c r="X63" i="3"/>
  <c r="AB64" i="3"/>
  <c r="T66" i="3"/>
  <c r="T67" i="3"/>
  <c r="X68" i="3"/>
  <c r="Q70" i="3"/>
  <c r="R71" i="3"/>
  <c r="T72" i="3"/>
  <c r="T73" i="3"/>
  <c r="Q77" i="3"/>
  <c r="R78" i="3"/>
  <c r="T79" i="3"/>
  <c r="R88" i="3"/>
  <c r="AB94" i="3"/>
  <c r="R95" i="3"/>
  <c r="AB97" i="3"/>
  <c r="R98" i="3"/>
  <c r="AB100" i="3"/>
  <c r="T101" i="3"/>
  <c r="AB103" i="3"/>
  <c r="T104" i="3"/>
  <c r="Z106" i="3"/>
  <c r="AB108" i="3"/>
  <c r="Y110" i="3"/>
  <c r="Z113" i="3"/>
  <c r="X124" i="3"/>
  <c r="Z164" i="3"/>
  <c r="AA164" i="3"/>
  <c r="Y176" i="3"/>
  <c r="X176" i="3"/>
  <c r="R183" i="3"/>
  <c r="S183" i="3"/>
  <c r="AA232" i="3"/>
  <c r="Z232" i="3"/>
  <c r="Q248" i="3"/>
  <c r="Q254" i="3"/>
  <c r="Q65" i="3"/>
  <c r="R70" i="3"/>
  <c r="X74" i="3"/>
  <c r="X75" i="3"/>
  <c r="R77" i="3"/>
  <c r="T78" i="3"/>
  <c r="X80" i="3"/>
  <c r="R92" i="3"/>
  <c r="T95" i="3"/>
  <c r="T98" i="3"/>
  <c r="Y101" i="3"/>
  <c r="R102" i="3"/>
  <c r="R109" i="3"/>
  <c r="AA110" i="3"/>
  <c r="S111" i="3"/>
  <c r="Z115" i="3"/>
  <c r="X117" i="3"/>
  <c r="Y119" i="3"/>
  <c r="AA124" i="3"/>
  <c r="U126" i="3"/>
  <c r="T136" i="3"/>
  <c r="AA154" i="3"/>
  <c r="AA156" i="3"/>
  <c r="AA158" i="3"/>
  <c r="U160" i="3"/>
  <c r="T162" i="3"/>
  <c r="Z165" i="3"/>
  <c r="AA165" i="3"/>
  <c r="U185" i="3"/>
  <c r="T185" i="3"/>
  <c r="U206" i="3"/>
  <c r="T206" i="3"/>
  <c r="Y263" i="3"/>
  <c r="X263" i="3"/>
  <c r="Y84" i="3"/>
  <c r="AB88" i="3"/>
  <c r="AB101" i="3"/>
  <c r="AC126" i="3"/>
  <c r="S127" i="3"/>
  <c r="AA143" i="3"/>
  <c r="U148" i="3"/>
  <c r="AA152" i="3"/>
  <c r="U155" i="3"/>
  <c r="AC156" i="3"/>
  <c r="AC158" i="3"/>
  <c r="AA160" i="3"/>
  <c r="S181" i="3"/>
  <c r="R181" i="3"/>
  <c r="U192" i="3"/>
  <c r="T192" i="3"/>
  <c r="Q217" i="3"/>
  <c r="Y226" i="3"/>
  <c r="X226" i="3"/>
  <c r="AA229" i="3"/>
  <c r="W229" i="3" s="1"/>
  <c r="Z229" i="3"/>
  <c r="Q230" i="3"/>
  <c r="Y237" i="3"/>
  <c r="X237" i="3"/>
  <c r="AC240" i="3"/>
  <c r="AB240" i="3"/>
  <c r="Y260" i="3"/>
  <c r="X260" i="3"/>
  <c r="AA139" i="3"/>
  <c r="U146" i="3"/>
  <c r="AA150" i="3"/>
  <c r="Q163" i="3"/>
  <c r="AB196" i="3"/>
  <c r="AC196" i="3"/>
  <c r="T93" i="3"/>
  <c r="Y99" i="3"/>
  <c r="U122" i="3"/>
  <c r="AC136" i="3"/>
  <c r="S137" i="3"/>
  <c r="R163" i="3"/>
  <c r="S163" i="3"/>
  <c r="Q164" i="3"/>
  <c r="Q166" i="3"/>
  <c r="AA171" i="3"/>
  <c r="Z171" i="3"/>
  <c r="Z180" i="3"/>
  <c r="AA180" i="3"/>
  <c r="U203" i="3"/>
  <c r="T203" i="3"/>
  <c r="Q245" i="3"/>
  <c r="Y253" i="3"/>
  <c r="W253" i="3" s="1"/>
  <c r="X253" i="3"/>
  <c r="Y168" i="3"/>
  <c r="T170" i="3"/>
  <c r="AB174" i="3"/>
  <c r="T175" i="3"/>
  <c r="T177" i="3"/>
  <c r="AB183" i="3"/>
  <c r="T186" i="3"/>
  <c r="AB187" i="3"/>
  <c r="AB195" i="3"/>
  <c r="R196" i="3"/>
  <c r="T204" i="3"/>
  <c r="T207" i="3"/>
  <c r="AB210" i="3"/>
  <c r="AB214" i="3"/>
  <c r="Z218" i="3"/>
  <c r="AB219" i="3"/>
  <c r="Y222" i="3"/>
  <c r="Z231" i="3"/>
  <c r="X233" i="3"/>
  <c r="Z234" i="3"/>
  <c r="X236" i="3"/>
  <c r="Y239" i="3"/>
  <c r="X242" i="3"/>
  <c r="Y245" i="3"/>
  <c r="Y248" i="3"/>
  <c r="W248" i="3" s="1"/>
  <c r="Y254" i="3"/>
  <c r="Y258" i="3"/>
  <c r="Y261" i="3"/>
  <c r="W261" i="3" s="1"/>
  <c r="AA166" i="3"/>
  <c r="Z168" i="3"/>
  <c r="R182" i="3"/>
  <c r="T191" i="3"/>
  <c r="AA193" i="3"/>
  <c r="R194" i="3"/>
  <c r="T199" i="3"/>
  <c r="R205" i="3"/>
  <c r="S208" i="3"/>
  <c r="Z209" i="3"/>
  <c r="R212" i="3"/>
  <c r="R216" i="3"/>
  <c r="X217" i="3"/>
  <c r="AB218" i="3"/>
  <c r="Z222" i="3"/>
  <c r="Z225" i="3"/>
  <c r="Z228" i="3"/>
  <c r="X230" i="3"/>
  <c r="AA239" i="3"/>
  <c r="S240" i="3"/>
  <c r="S165" i="3"/>
  <c r="S167" i="3"/>
  <c r="Z170" i="3"/>
  <c r="Y175" i="3"/>
  <c r="AB177" i="3"/>
  <c r="AB186" i="3"/>
  <c r="AB189" i="3"/>
  <c r="R190" i="3"/>
  <c r="AB193" i="3"/>
  <c r="T196" i="3"/>
  <c r="AC204" i="3"/>
  <c r="AB207" i="3"/>
  <c r="AA209" i="3"/>
  <c r="S212" i="3"/>
  <c r="AA213" i="3"/>
  <c r="R215" i="3"/>
  <c r="X227" i="3"/>
  <c r="Z233" i="3"/>
  <c r="Z236" i="3"/>
  <c r="X238" i="3"/>
  <c r="T240" i="3"/>
  <c r="X246" i="3"/>
  <c r="T167" i="3"/>
  <c r="S169" i="3"/>
  <c r="T178" i="3"/>
  <c r="Y182" i="3"/>
  <c r="Z184" i="3"/>
  <c r="AA191" i="3"/>
  <c r="R192" i="3"/>
  <c r="R197" i="3"/>
  <c r="AB199" i="3"/>
  <c r="R203" i="3"/>
  <c r="T205" i="3"/>
  <c r="R206" i="3"/>
  <c r="AB209" i="3"/>
  <c r="X211" i="3"/>
  <c r="X212" i="3"/>
  <c r="AB213" i="3"/>
  <c r="X215" i="3"/>
  <c r="R220" i="3"/>
  <c r="Y227" i="3"/>
  <c r="Z230" i="3"/>
  <c r="X232" i="3"/>
  <c r="X235" i="3"/>
  <c r="X243" i="3"/>
  <c r="X250" i="3"/>
  <c r="X256" i="3"/>
  <c r="T169" i="3"/>
  <c r="R174" i="3"/>
  <c r="AA182" i="3"/>
  <c r="T187" i="3"/>
  <c r="T190" i="3"/>
  <c r="T200" i="3"/>
  <c r="AA202" i="3"/>
  <c r="AC208" i="3"/>
  <c r="AB212" i="3"/>
  <c r="AB217" i="3"/>
  <c r="X220" i="3"/>
  <c r="AB221" i="3"/>
  <c r="Z224" i="3"/>
  <c r="Z227" i="3"/>
  <c r="X229" i="3"/>
  <c r="Y232" i="3"/>
  <c r="Y235" i="3"/>
  <c r="AB167" i="3"/>
  <c r="Z169" i="3"/>
  <c r="Z178" i="3"/>
  <c r="AC180" i="3"/>
  <c r="AB194" i="3"/>
  <c r="R210" i="3"/>
  <c r="Z211" i="3"/>
  <c r="R214" i="3"/>
  <c r="Z215" i="3"/>
  <c r="Z216" i="3"/>
  <c r="X244" i="3"/>
  <c r="X247" i="3"/>
  <c r="X257" i="3"/>
  <c r="X267" i="3"/>
  <c r="AA211" i="3"/>
  <c r="AA215" i="3"/>
  <c r="AB216" i="3"/>
  <c r="X264" i="3"/>
  <c r="AC42" i="3"/>
  <c r="T53" i="3"/>
  <c r="R54" i="3"/>
  <c r="R62" i="3"/>
  <c r="AC81" i="3"/>
  <c r="AB81" i="3"/>
  <c r="AA93" i="3"/>
  <c r="Z93" i="3"/>
  <c r="AA95" i="3"/>
  <c r="Z95" i="3"/>
  <c r="AA101" i="3"/>
  <c r="Z101" i="3"/>
  <c r="AA103" i="3"/>
  <c r="Z103" i="3"/>
  <c r="R105" i="3"/>
  <c r="S105" i="3"/>
  <c r="Y121" i="3"/>
  <c r="Z126" i="3"/>
  <c r="AA126" i="3"/>
  <c r="Y43" i="3"/>
  <c r="Q46" i="3"/>
  <c r="R55" i="3"/>
  <c r="Z58" i="3"/>
  <c r="R63" i="3"/>
  <c r="Z66" i="3"/>
  <c r="Z74" i="3"/>
  <c r="U82" i="3"/>
  <c r="T82" i="3"/>
  <c r="Q96" i="3"/>
  <c r="R50" i="3"/>
  <c r="R120" i="3"/>
  <c r="S120" i="3"/>
  <c r="Q40" i="3"/>
  <c r="X49" i="3"/>
  <c r="AB51" i="3"/>
  <c r="Z52" i="3"/>
  <c r="T56" i="3"/>
  <c r="R57" i="3"/>
  <c r="R65" i="3"/>
  <c r="AB67" i="3"/>
  <c r="Z68" i="3"/>
  <c r="AB75" i="3"/>
  <c r="Z76" i="3"/>
  <c r="AA119" i="3"/>
  <c r="Z119" i="3"/>
  <c r="R40" i="3"/>
  <c r="Y42" i="3"/>
  <c r="S43" i="3"/>
  <c r="Q45" i="3"/>
  <c r="Z45" i="3"/>
  <c r="T46" i="3"/>
  <c r="R48" i="3"/>
  <c r="AB48" i="3"/>
  <c r="T50" i="3"/>
  <c r="AB52" i="3"/>
  <c r="Z53" i="3"/>
  <c r="R58" i="3"/>
  <c r="AC59" i="3"/>
  <c r="AB60" i="3"/>
  <c r="Z61" i="3"/>
  <c r="R66" i="3"/>
  <c r="AB68" i="3"/>
  <c r="Z69" i="3"/>
  <c r="AB76" i="3"/>
  <c r="Z77" i="3"/>
  <c r="Q89" i="3"/>
  <c r="Q91" i="3"/>
  <c r="Q97" i="3"/>
  <c r="Q99" i="3"/>
  <c r="AC111" i="3"/>
  <c r="AB111" i="3"/>
  <c r="Y116" i="3"/>
  <c r="X116" i="3"/>
  <c r="U118" i="3"/>
  <c r="T118" i="3"/>
  <c r="AC119" i="3"/>
  <c r="AB119" i="3"/>
  <c r="X121" i="3"/>
  <c r="V121" i="3" s="1"/>
  <c r="U129" i="3"/>
  <c r="T129" i="3"/>
  <c r="R147" i="3"/>
  <c r="S147" i="3"/>
  <c r="T55" i="3"/>
  <c r="R64" i="3"/>
  <c r="Q104" i="3"/>
  <c r="AA109" i="3"/>
  <c r="Z109" i="3"/>
  <c r="Z60" i="3"/>
  <c r="AB40" i="3"/>
  <c r="T43" i="3"/>
  <c r="X44" i="3"/>
  <c r="Z49" i="3"/>
  <c r="R51" i="3"/>
  <c r="R59" i="3"/>
  <c r="AA92" i="3"/>
  <c r="Z92" i="3"/>
  <c r="AA100" i="3"/>
  <c r="Z100" i="3"/>
  <c r="Q117" i="3"/>
  <c r="R145" i="3"/>
  <c r="S145" i="3"/>
  <c r="AB162" i="3"/>
  <c r="AC162" i="3"/>
  <c r="Y164" i="3"/>
  <c r="X164" i="3"/>
  <c r="R56" i="3"/>
  <c r="Y133" i="3"/>
  <c r="X133" i="3"/>
  <c r="R151" i="3"/>
  <c r="S151" i="3"/>
  <c r="X42" i="3"/>
  <c r="Q48" i="3"/>
  <c r="T40" i="3"/>
  <c r="X41" i="3"/>
  <c r="R42" i="3"/>
  <c r="Q47" i="3"/>
  <c r="Z47" i="3"/>
  <c r="T48" i="3"/>
  <c r="X50" i="3"/>
  <c r="R52" i="3"/>
  <c r="AB54" i="3"/>
  <c r="Z55" i="3"/>
  <c r="R60" i="3"/>
  <c r="AB62" i="3"/>
  <c r="Z63" i="3"/>
  <c r="AB70" i="3"/>
  <c r="Z71" i="3"/>
  <c r="AB78" i="3"/>
  <c r="Z79" i="3"/>
  <c r="Y106" i="3"/>
  <c r="X106" i="3"/>
  <c r="U115" i="3"/>
  <c r="T115" i="3"/>
  <c r="R122" i="3"/>
  <c r="S122" i="3"/>
  <c r="S112" i="3"/>
  <c r="R112" i="3"/>
  <c r="Q118" i="3"/>
  <c r="Y34" i="3"/>
  <c r="W34" i="3" s="1"/>
  <c r="Q44" i="3"/>
  <c r="R53" i="3"/>
  <c r="R61" i="3"/>
  <c r="Z64" i="3"/>
  <c r="Z80" i="3"/>
  <c r="AA81" i="3"/>
  <c r="Z81" i="3"/>
  <c r="Q85" i="3"/>
  <c r="Y113" i="3"/>
  <c r="X113" i="3"/>
  <c r="AC120" i="3"/>
  <c r="AB120" i="3"/>
  <c r="U127" i="3"/>
  <c r="T127" i="3"/>
  <c r="Q90" i="3"/>
  <c r="AA94" i="3"/>
  <c r="Z94" i="3"/>
  <c r="Q98" i="3"/>
  <c r="AA102" i="3"/>
  <c r="Z102" i="3"/>
  <c r="AC104" i="3"/>
  <c r="AB104" i="3"/>
  <c r="AC125" i="3"/>
  <c r="AB125" i="3"/>
  <c r="Y126" i="3"/>
  <c r="X126" i="3"/>
  <c r="AC134" i="3"/>
  <c r="AB134" i="3"/>
  <c r="R149" i="3"/>
  <c r="S149" i="3"/>
  <c r="T83" i="3"/>
  <c r="T84" i="3"/>
  <c r="T85" i="3"/>
  <c r="T86" i="3"/>
  <c r="T87" i="3"/>
  <c r="T88" i="3"/>
  <c r="AA91" i="3"/>
  <c r="Z91" i="3"/>
  <c r="Q95" i="3"/>
  <c r="AA99" i="3"/>
  <c r="Z99" i="3"/>
  <c r="Q103" i="3"/>
  <c r="S104" i="3"/>
  <c r="R104" i="3"/>
  <c r="AC106" i="3"/>
  <c r="AA108" i="3"/>
  <c r="S113" i="3"/>
  <c r="S123" i="3"/>
  <c r="X125" i="3"/>
  <c r="T128" i="3"/>
  <c r="Y129" i="3"/>
  <c r="Y140" i="3"/>
  <c r="X140" i="3"/>
  <c r="AB142" i="3"/>
  <c r="AC142" i="3"/>
  <c r="R143" i="3"/>
  <c r="S143" i="3"/>
  <c r="AA90" i="3"/>
  <c r="Z90" i="3"/>
  <c r="Q94" i="3"/>
  <c r="AA98" i="3"/>
  <c r="Z98" i="3"/>
  <c r="Q102" i="3"/>
  <c r="Y105" i="3"/>
  <c r="X105" i="3"/>
  <c r="R107" i="3"/>
  <c r="Y108" i="3"/>
  <c r="X108" i="3"/>
  <c r="Q110" i="3"/>
  <c r="AC112" i="3"/>
  <c r="AB112" i="3"/>
  <c r="Y114" i="3"/>
  <c r="AC121" i="3"/>
  <c r="AB121" i="3"/>
  <c r="Y122" i="3"/>
  <c r="X122" i="3"/>
  <c r="T123" i="3"/>
  <c r="Y125" i="3"/>
  <c r="S126" i="3"/>
  <c r="Z131" i="3"/>
  <c r="AA131" i="3"/>
  <c r="U139" i="3"/>
  <c r="AA82" i="3"/>
  <c r="Z82" i="3"/>
  <c r="AA83" i="3"/>
  <c r="Z83" i="3"/>
  <c r="AA84" i="3"/>
  <c r="Z84" i="3"/>
  <c r="AA85" i="3"/>
  <c r="Z85" i="3"/>
  <c r="AA86" i="3"/>
  <c r="Z86" i="3"/>
  <c r="AA87" i="3"/>
  <c r="Z87" i="3"/>
  <c r="AA88" i="3"/>
  <c r="Z88" i="3"/>
  <c r="AA89" i="3"/>
  <c r="Z89" i="3"/>
  <c r="Q93" i="3"/>
  <c r="AA97" i="3"/>
  <c r="Z97" i="3"/>
  <c r="Q101" i="3"/>
  <c r="AA117" i="3"/>
  <c r="Z117" i="3"/>
  <c r="Z122" i="3"/>
  <c r="AA122" i="3"/>
  <c r="R128" i="3"/>
  <c r="S128" i="3"/>
  <c r="U130" i="3"/>
  <c r="T130" i="3"/>
  <c r="Q135" i="3"/>
  <c r="R155" i="3"/>
  <c r="S155" i="3"/>
  <c r="Y170" i="3"/>
  <c r="W170" i="3" s="1"/>
  <c r="Q92" i="3"/>
  <c r="AA96" i="3"/>
  <c r="Z96" i="3"/>
  <c r="Q100" i="3"/>
  <c r="U107" i="3"/>
  <c r="T107" i="3"/>
  <c r="Q109" i="3"/>
  <c r="U110" i="3"/>
  <c r="T110" i="3"/>
  <c r="AA111" i="3"/>
  <c r="Z111" i="3"/>
  <c r="Q112" i="3"/>
  <c r="AC114" i="3"/>
  <c r="R153" i="3"/>
  <c r="S153" i="3"/>
  <c r="R185" i="3"/>
  <c r="S185" i="3"/>
  <c r="Y107" i="3"/>
  <c r="Y115" i="3"/>
  <c r="Q123" i="3"/>
  <c r="Y124" i="3"/>
  <c r="Q127" i="3"/>
  <c r="Q128" i="3"/>
  <c r="AC131" i="3"/>
  <c r="AB131" i="3"/>
  <c r="Y136" i="3"/>
  <c r="R138" i="3"/>
  <c r="X139" i="3"/>
  <c r="Y139" i="3"/>
  <c r="Y167" i="3"/>
  <c r="X167" i="3"/>
  <c r="AC168" i="3"/>
  <c r="AB168" i="3"/>
  <c r="U172" i="3"/>
  <c r="T172" i="3"/>
  <c r="Y205" i="3"/>
  <c r="X205" i="3"/>
  <c r="AA121" i="3"/>
  <c r="S124" i="3"/>
  <c r="AA125" i="3"/>
  <c r="X128" i="3"/>
  <c r="Y132" i="3"/>
  <c r="T137" i="3"/>
  <c r="AC138" i="3"/>
  <c r="AB141" i="3"/>
  <c r="R157" i="3"/>
  <c r="AC166" i="3"/>
  <c r="S168" i="3"/>
  <c r="R168" i="3"/>
  <c r="Q121" i="3"/>
  <c r="T124" i="3"/>
  <c r="Q125" i="3"/>
  <c r="Z128" i="3"/>
  <c r="AA128" i="3"/>
  <c r="R131" i="3"/>
  <c r="S131" i="3"/>
  <c r="Z132" i="3"/>
  <c r="AA132" i="3"/>
  <c r="Z141" i="3"/>
  <c r="AA141" i="3"/>
  <c r="Y160" i="3"/>
  <c r="X160" i="3"/>
  <c r="AA175" i="3"/>
  <c r="Z175" i="3"/>
  <c r="Q202" i="3"/>
  <c r="S217" i="3"/>
  <c r="R217" i="3"/>
  <c r="S225" i="3"/>
  <c r="R225" i="3"/>
  <c r="S228" i="3"/>
  <c r="R228" i="3"/>
  <c r="R106" i="3"/>
  <c r="Q111" i="3"/>
  <c r="R114" i="3"/>
  <c r="Q119" i="3"/>
  <c r="S121" i="3"/>
  <c r="S125" i="3"/>
  <c r="R134" i="3"/>
  <c r="Z135" i="3"/>
  <c r="AA135" i="3"/>
  <c r="R142" i="3"/>
  <c r="R144" i="3"/>
  <c r="R146" i="3"/>
  <c r="R148" i="3"/>
  <c r="R150" i="3"/>
  <c r="R152" i="3"/>
  <c r="R154" i="3"/>
  <c r="U174" i="3"/>
  <c r="T174" i="3"/>
  <c r="Z198" i="3"/>
  <c r="AA198" i="3"/>
  <c r="Q108" i="3"/>
  <c r="Q116" i="3"/>
  <c r="Q122" i="3"/>
  <c r="Y123" i="3"/>
  <c r="Q126" i="3"/>
  <c r="AA127" i="3"/>
  <c r="R130" i="3"/>
  <c r="U134" i="3"/>
  <c r="T134" i="3"/>
  <c r="AC135" i="3"/>
  <c r="AB135" i="3"/>
  <c r="Y137" i="3"/>
  <c r="X137" i="3"/>
  <c r="V137" i="3" s="1"/>
  <c r="R156" i="3"/>
  <c r="Y159" i="3"/>
  <c r="X159" i="3"/>
  <c r="AA136" i="3"/>
  <c r="S140" i="3"/>
  <c r="Y158" i="3"/>
  <c r="X158" i="3"/>
  <c r="AC160" i="3"/>
  <c r="Y166" i="3"/>
  <c r="X166" i="3"/>
  <c r="AA173" i="3"/>
  <c r="Z173" i="3"/>
  <c r="Q174" i="3"/>
  <c r="AC176" i="3"/>
  <c r="AB176" i="3"/>
  <c r="Y178" i="3"/>
  <c r="X178" i="3"/>
  <c r="Q204" i="3"/>
  <c r="Y130" i="3"/>
  <c r="AA133" i="3"/>
  <c r="S136" i="3"/>
  <c r="X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X157" i="3"/>
  <c r="AC159" i="3"/>
  <c r="Y165" i="3"/>
  <c r="X165" i="3"/>
  <c r="Q168" i="3"/>
  <c r="AC170" i="3"/>
  <c r="AB175" i="3"/>
  <c r="AA181" i="3"/>
  <c r="Z181" i="3"/>
  <c r="Q182" i="3"/>
  <c r="AC184" i="3"/>
  <c r="AB184" i="3"/>
  <c r="Z194" i="3"/>
  <c r="AA194" i="3"/>
  <c r="Q197" i="3"/>
  <c r="T138" i="3"/>
  <c r="S141" i="3"/>
  <c r="AC157" i="3"/>
  <c r="Y163" i="3"/>
  <c r="X163" i="3"/>
  <c r="AC165" i="3"/>
  <c r="Y169" i="3"/>
  <c r="X169" i="3"/>
  <c r="Y172" i="3"/>
  <c r="X172" i="3"/>
  <c r="S176" i="3"/>
  <c r="R176" i="3"/>
  <c r="R179" i="3"/>
  <c r="U182" i="3"/>
  <c r="T182" i="3"/>
  <c r="AA183" i="3"/>
  <c r="Z183" i="3"/>
  <c r="Q184" i="3"/>
  <c r="Y207" i="3"/>
  <c r="X207" i="3"/>
  <c r="X134" i="3"/>
  <c r="S135" i="3"/>
  <c r="T141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Y162" i="3"/>
  <c r="X162" i="3"/>
  <c r="AC164" i="3"/>
  <c r="U171" i="3"/>
  <c r="T171" i="3"/>
  <c r="Q173" i="3"/>
  <c r="Y177" i="3"/>
  <c r="W177" i="3" s="1"/>
  <c r="X177" i="3"/>
  <c r="Y180" i="3"/>
  <c r="X180" i="3"/>
  <c r="S184" i="3"/>
  <c r="R184" i="3"/>
  <c r="Y188" i="3"/>
  <c r="X188" i="3"/>
  <c r="Y193" i="3"/>
  <c r="X193" i="3"/>
  <c r="AC201" i="3"/>
  <c r="AB201" i="3"/>
  <c r="U216" i="3"/>
  <c r="T216" i="3"/>
  <c r="AA129" i="3"/>
  <c r="X131" i="3"/>
  <c r="S132" i="3"/>
  <c r="Y134" i="3"/>
  <c r="AA137" i="3"/>
  <c r="S139" i="3"/>
  <c r="Y161" i="3"/>
  <c r="X161" i="3"/>
  <c r="AC163" i="3"/>
  <c r="U179" i="3"/>
  <c r="T179" i="3"/>
  <c r="Q181" i="3"/>
  <c r="Y185" i="3"/>
  <c r="W185" i="3" s="1"/>
  <c r="X185" i="3"/>
  <c r="Y187" i="3"/>
  <c r="W187" i="3" s="1"/>
  <c r="X187" i="3"/>
  <c r="AA188" i="3"/>
  <c r="Z188" i="3"/>
  <c r="Q190" i="3"/>
  <c r="Y200" i="3"/>
  <c r="X200" i="3"/>
  <c r="Q206" i="3"/>
  <c r="U211" i="3"/>
  <c r="T211" i="3"/>
  <c r="S221" i="3"/>
  <c r="R221" i="3"/>
  <c r="Y171" i="3"/>
  <c r="Y179" i="3"/>
  <c r="W179" i="3" s="1"/>
  <c r="Q189" i="3"/>
  <c r="AA200" i="3"/>
  <c r="U212" i="3"/>
  <c r="T212" i="3"/>
  <c r="U217" i="3"/>
  <c r="T217" i="3"/>
  <c r="Q186" i="3"/>
  <c r="R186" i="3"/>
  <c r="Q187" i="3"/>
  <c r="Y192" i="3"/>
  <c r="X192" i="3"/>
  <c r="Q194" i="3"/>
  <c r="Y199" i="3"/>
  <c r="X199" i="3"/>
  <c r="AB202" i="3"/>
  <c r="X208" i="3"/>
  <c r="Y208" i="3"/>
  <c r="S236" i="3"/>
  <c r="R236" i="3"/>
  <c r="S244" i="3"/>
  <c r="R244" i="3"/>
  <c r="Y189" i="3"/>
  <c r="X189" i="3"/>
  <c r="AA192" i="3"/>
  <c r="AA208" i="3"/>
  <c r="Z208" i="3"/>
  <c r="S229" i="3"/>
  <c r="R229" i="3"/>
  <c r="S257" i="3"/>
  <c r="R257" i="3"/>
  <c r="S260" i="3"/>
  <c r="R260" i="3"/>
  <c r="Z167" i="3"/>
  <c r="T168" i="3"/>
  <c r="R170" i="3"/>
  <c r="AB173" i="3"/>
  <c r="Q175" i="3"/>
  <c r="T176" i="3"/>
  <c r="R178" i="3"/>
  <c r="AB181" i="3"/>
  <c r="Q183" i="3"/>
  <c r="T184" i="3"/>
  <c r="Q188" i="3"/>
  <c r="Y190" i="3"/>
  <c r="X190" i="3"/>
  <c r="AC192" i="3"/>
  <c r="Y197" i="3"/>
  <c r="X197" i="3"/>
  <c r="Q198" i="3"/>
  <c r="Y201" i="3"/>
  <c r="X201" i="3"/>
  <c r="U209" i="3"/>
  <c r="T209" i="3"/>
  <c r="U229" i="3"/>
  <c r="T229" i="3"/>
  <c r="Q172" i="3"/>
  <c r="Q180" i="3"/>
  <c r="Y186" i="3"/>
  <c r="X186" i="3"/>
  <c r="AB191" i="3"/>
  <c r="Q196" i="3"/>
  <c r="Q205" i="3"/>
  <c r="U226" i="3"/>
  <c r="T226" i="3"/>
  <c r="S242" i="3"/>
  <c r="R242" i="3"/>
  <c r="U245" i="3"/>
  <c r="T245" i="3"/>
  <c r="Q191" i="3"/>
  <c r="Q195" i="3"/>
  <c r="Y198" i="3"/>
  <c r="X198" i="3"/>
  <c r="AA199" i="3"/>
  <c r="Q203" i="3"/>
  <c r="Y206" i="3"/>
  <c r="X206" i="3"/>
  <c r="AA207" i="3"/>
  <c r="U210" i="3"/>
  <c r="T210" i="3"/>
  <c r="U215" i="3"/>
  <c r="T215" i="3"/>
  <c r="U238" i="3"/>
  <c r="T238" i="3"/>
  <c r="Q192" i="3"/>
  <c r="Q193" i="3"/>
  <c r="Y196" i="3"/>
  <c r="X196" i="3"/>
  <c r="AA197" i="3"/>
  <c r="AB198" i="3"/>
  <c r="Q201" i="3"/>
  <c r="Y204" i="3"/>
  <c r="X204" i="3"/>
  <c r="AA205" i="3"/>
  <c r="AB206" i="3"/>
  <c r="Q208" i="3"/>
  <c r="U214" i="3"/>
  <c r="T214" i="3"/>
  <c r="U234" i="3"/>
  <c r="T234" i="3"/>
  <c r="S237" i="3"/>
  <c r="R237" i="3"/>
  <c r="AC241" i="3"/>
  <c r="AB241" i="3"/>
  <c r="U260" i="3"/>
  <c r="T260" i="3"/>
  <c r="Y191" i="3"/>
  <c r="X191" i="3"/>
  <c r="Y195" i="3"/>
  <c r="X195" i="3"/>
  <c r="V195" i="3" s="1"/>
  <c r="AA196" i="3"/>
  <c r="AB197" i="3"/>
  <c r="Q200" i="3"/>
  <c r="Y203" i="3"/>
  <c r="X203" i="3"/>
  <c r="AA204" i="3"/>
  <c r="AB205" i="3"/>
  <c r="U213" i="3"/>
  <c r="T213" i="3"/>
  <c r="U220" i="3"/>
  <c r="T220" i="3"/>
  <c r="S233" i="3"/>
  <c r="R233" i="3"/>
  <c r="U237" i="3"/>
  <c r="T237" i="3"/>
  <c r="S258" i="3"/>
  <c r="R258" i="3"/>
  <c r="AA190" i="3"/>
  <c r="Y194" i="3"/>
  <c r="X194" i="3"/>
  <c r="AA195" i="3"/>
  <c r="Q199" i="3"/>
  <c r="Y202" i="3"/>
  <c r="X202" i="3"/>
  <c r="AA203" i="3"/>
  <c r="Q207" i="3"/>
  <c r="S218" i="3"/>
  <c r="R218" i="3"/>
  <c r="U230" i="3"/>
  <c r="T230" i="3"/>
  <c r="U255" i="3"/>
  <c r="T255" i="3"/>
  <c r="U218" i="3"/>
  <c r="N218" i="3" s="1"/>
  <c r="T218" i="3"/>
  <c r="S227" i="3"/>
  <c r="R227" i="3"/>
  <c r="U228" i="3"/>
  <c r="T228" i="3"/>
  <c r="S235" i="3"/>
  <c r="R235" i="3"/>
  <c r="U236" i="3"/>
  <c r="T236" i="3"/>
  <c r="Y241" i="3"/>
  <c r="S249" i="3"/>
  <c r="R249" i="3"/>
  <c r="U263" i="3"/>
  <c r="T263" i="3"/>
  <c r="S266" i="3"/>
  <c r="R266" i="3"/>
  <c r="U219" i="3"/>
  <c r="T219" i="3"/>
  <c r="R219" i="3"/>
  <c r="S226" i="3"/>
  <c r="R226" i="3"/>
  <c r="U227" i="3"/>
  <c r="T227" i="3"/>
  <c r="S234" i="3"/>
  <c r="R234" i="3"/>
  <c r="U235" i="3"/>
  <c r="T235" i="3"/>
  <c r="Q240" i="3"/>
  <c r="U253" i="3"/>
  <c r="T253" i="3"/>
  <c r="U221" i="3"/>
  <c r="T221" i="3"/>
  <c r="S224" i="3"/>
  <c r="R224" i="3"/>
  <c r="U225" i="3"/>
  <c r="T225" i="3"/>
  <c r="S232" i="3"/>
  <c r="R232" i="3"/>
  <c r="U233" i="3"/>
  <c r="T233" i="3"/>
  <c r="U244" i="3"/>
  <c r="T244" i="3"/>
  <c r="U261" i="3"/>
  <c r="T261" i="3"/>
  <c r="Z210" i="3"/>
  <c r="Z212" i="3"/>
  <c r="Z214" i="3"/>
  <c r="U222" i="3"/>
  <c r="T222" i="3"/>
  <c r="R222" i="3"/>
  <c r="S223" i="3"/>
  <c r="R223" i="3"/>
  <c r="U224" i="3"/>
  <c r="T224" i="3"/>
  <c r="S231" i="3"/>
  <c r="R231" i="3"/>
  <c r="U232" i="3"/>
  <c r="T232" i="3"/>
  <c r="S239" i="3"/>
  <c r="R239" i="3"/>
  <c r="X240" i="3"/>
  <c r="V240" i="3" s="1"/>
  <c r="U247" i="3"/>
  <c r="T247" i="3"/>
  <c r="S250" i="3"/>
  <c r="R250" i="3"/>
  <c r="S252" i="3"/>
  <c r="R252" i="3"/>
  <c r="S265" i="3"/>
  <c r="R265" i="3"/>
  <c r="U223" i="3"/>
  <c r="T223" i="3"/>
  <c r="S230" i="3"/>
  <c r="R230" i="3"/>
  <c r="U231" i="3"/>
  <c r="T231" i="3"/>
  <c r="S238" i="3"/>
  <c r="R238" i="3"/>
  <c r="U239" i="3"/>
  <c r="T239" i="3"/>
  <c r="U252" i="3"/>
  <c r="T252" i="3"/>
  <c r="AA240" i="3"/>
  <c r="AA241" i="3"/>
  <c r="Z241" i="3"/>
  <c r="U242" i="3"/>
  <c r="T242" i="3"/>
  <c r="S247" i="3"/>
  <c r="R247" i="3"/>
  <c r="U250" i="3"/>
  <c r="T250" i="3"/>
  <c r="S255" i="3"/>
  <c r="R255" i="3"/>
  <c r="U258" i="3"/>
  <c r="T258" i="3"/>
  <c r="S263" i="3"/>
  <c r="R263" i="3"/>
  <c r="U266" i="3"/>
  <c r="T266" i="3"/>
  <c r="S246" i="3"/>
  <c r="R246" i="3"/>
  <c r="U249" i="3"/>
  <c r="T249" i="3"/>
  <c r="S254" i="3"/>
  <c r="R254" i="3"/>
  <c r="U257" i="3"/>
  <c r="T257" i="3"/>
  <c r="S262" i="3"/>
  <c r="R262" i="3"/>
  <c r="U265" i="3"/>
  <c r="T265" i="3"/>
  <c r="AB239" i="3"/>
  <c r="S243" i="3"/>
  <c r="R243" i="3"/>
  <c r="U246" i="3"/>
  <c r="T246" i="3"/>
  <c r="S251" i="3"/>
  <c r="R251" i="3"/>
  <c r="U254" i="3"/>
  <c r="T254" i="3"/>
  <c r="S259" i="3"/>
  <c r="R259" i="3"/>
  <c r="U262" i="3"/>
  <c r="T262" i="3"/>
  <c r="S267" i="3"/>
  <c r="R267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S241" i="3"/>
  <c r="U243" i="3"/>
  <c r="T243" i="3"/>
  <c r="S248" i="3"/>
  <c r="R248" i="3"/>
  <c r="U251" i="3"/>
  <c r="T251" i="3"/>
  <c r="S256" i="3"/>
  <c r="R256" i="3"/>
  <c r="U259" i="3"/>
  <c r="T259" i="3"/>
  <c r="S264" i="3"/>
  <c r="R264" i="3"/>
  <c r="U267" i="3"/>
  <c r="T267" i="3"/>
  <c r="S245" i="3"/>
  <c r="R245" i="3"/>
  <c r="U248" i="3"/>
  <c r="T248" i="3"/>
  <c r="S253" i="3"/>
  <c r="R253" i="3"/>
  <c r="U256" i="3"/>
  <c r="T256" i="3"/>
  <c r="S261" i="3"/>
  <c r="R261" i="3"/>
  <c r="U264" i="3"/>
  <c r="T264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V261" i="3" s="1"/>
  <c r="Z262" i="3"/>
  <c r="V262" i="3" s="1"/>
  <c r="Z263" i="3"/>
  <c r="Z264" i="3"/>
  <c r="Z265" i="3"/>
  <c r="Z266" i="3"/>
  <c r="Z267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C267" i="2"/>
  <c r="AJ267" i="2" s="1"/>
  <c r="C266" i="2"/>
  <c r="AJ266" i="2" s="1"/>
  <c r="C265" i="2"/>
  <c r="AJ265" i="2" s="1"/>
  <c r="C264" i="2"/>
  <c r="AJ264" i="2" s="1"/>
  <c r="C263" i="2"/>
  <c r="AJ263" i="2" s="1"/>
  <c r="C262" i="2"/>
  <c r="AJ262" i="2" s="1"/>
  <c r="C261" i="2"/>
  <c r="AJ261" i="2" s="1"/>
  <c r="C260" i="2"/>
  <c r="AJ260" i="2" s="1"/>
  <c r="C259" i="2"/>
  <c r="AJ259" i="2" s="1"/>
  <c r="C258" i="2"/>
  <c r="AJ258" i="2" s="1"/>
  <c r="C257" i="2"/>
  <c r="AJ257" i="2" s="1"/>
  <c r="C256" i="2"/>
  <c r="AJ256" i="2" s="1"/>
  <c r="C255" i="2"/>
  <c r="AJ255" i="2" s="1"/>
  <c r="C254" i="2"/>
  <c r="AJ254" i="2" s="1"/>
  <c r="C253" i="2"/>
  <c r="AJ253" i="2" s="1"/>
  <c r="C252" i="2"/>
  <c r="AJ252" i="2" s="1"/>
  <c r="C251" i="2"/>
  <c r="AJ251" i="2" s="1"/>
  <c r="C250" i="2"/>
  <c r="AJ250" i="2" s="1"/>
  <c r="C249" i="2"/>
  <c r="AJ249" i="2" s="1"/>
  <c r="C248" i="2"/>
  <c r="AJ248" i="2" s="1"/>
  <c r="C247" i="2"/>
  <c r="AJ247" i="2" s="1"/>
  <c r="C246" i="2"/>
  <c r="AJ246" i="2" s="1"/>
  <c r="C245" i="2"/>
  <c r="AJ245" i="2" s="1"/>
  <c r="C244" i="2"/>
  <c r="AJ244" i="2" s="1"/>
  <c r="C243" i="2"/>
  <c r="AJ243" i="2" s="1"/>
  <c r="C242" i="2"/>
  <c r="AJ242" i="2" s="1"/>
  <c r="C241" i="2"/>
  <c r="AJ241" i="2" s="1"/>
  <c r="C240" i="2"/>
  <c r="AJ240" i="2" s="1"/>
  <c r="C239" i="2"/>
  <c r="AJ239" i="2" s="1"/>
  <c r="C238" i="2"/>
  <c r="AJ238" i="2" s="1"/>
  <c r="C237" i="2"/>
  <c r="AJ237" i="2" s="1"/>
  <c r="C236" i="2"/>
  <c r="AJ236" i="2" s="1"/>
  <c r="C235" i="2"/>
  <c r="AJ235" i="2" s="1"/>
  <c r="C234" i="2"/>
  <c r="AJ234" i="2" s="1"/>
  <c r="C233" i="2"/>
  <c r="AJ233" i="2" s="1"/>
  <c r="C232" i="2"/>
  <c r="AJ232" i="2" s="1"/>
  <c r="C231" i="2"/>
  <c r="AJ231" i="2" s="1"/>
  <c r="C230" i="2"/>
  <c r="AJ230" i="2" s="1"/>
  <c r="C229" i="2"/>
  <c r="AJ229" i="2" s="1"/>
  <c r="C228" i="2"/>
  <c r="AJ228" i="2" s="1"/>
  <c r="C227" i="2"/>
  <c r="AJ227" i="2" s="1"/>
  <c r="C226" i="2"/>
  <c r="AJ226" i="2" s="1"/>
  <c r="C225" i="2"/>
  <c r="AJ225" i="2" s="1"/>
  <c r="C224" i="2"/>
  <c r="AJ224" i="2" s="1"/>
  <c r="C223" i="2"/>
  <c r="AJ223" i="2" s="1"/>
  <c r="C222" i="2"/>
  <c r="AJ222" i="2" s="1"/>
  <c r="C221" i="2"/>
  <c r="AJ221" i="2" s="1"/>
  <c r="C220" i="2"/>
  <c r="AJ220" i="2" s="1"/>
  <c r="C219" i="2"/>
  <c r="AJ219" i="2" s="1"/>
  <c r="C218" i="2"/>
  <c r="AJ218" i="2" s="1"/>
  <c r="C217" i="2"/>
  <c r="AJ217" i="2" s="1"/>
  <c r="C216" i="2"/>
  <c r="AJ216" i="2" s="1"/>
  <c r="C215" i="2"/>
  <c r="AJ215" i="2" s="1"/>
  <c r="C214" i="2"/>
  <c r="AJ214" i="2" s="1"/>
  <c r="C213" i="2"/>
  <c r="AJ213" i="2" s="1"/>
  <c r="C212" i="2"/>
  <c r="AJ212" i="2" s="1"/>
  <c r="C211" i="2"/>
  <c r="AJ211" i="2" s="1"/>
  <c r="C210" i="2"/>
  <c r="AJ210" i="2" s="1"/>
  <c r="C209" i="2"/>
  <c r="AJ209" i="2" s="1"/>
  <c r="C208" i="2"/>
  <c r="AJ208" i="2" s="1"/>
  <c r="C207" i="2"/>
  <c r="AJ207" i="2" s="1"/>
  <c r="C206" i="2"/>
  <c r="AJ206" i="2" s="1"/>
  <c r="C205" i="2"/>
  <c r="AJ205" i="2" s="1"/>
  <c r="C204" i="2"/>
  <c r="AJ204" i="2" s="1"/>
  <c r="C203" i="2"/>
  <c r="AJ203" i="2" s="1"/>
  <c r="C202" i="2"/>
  <c r="AJ202" i="2" s="1"/>
  <c r="C201" i="2"/>
  <c r="AJ201" i="2" s="1"/>
  <c r="C200" i="2"/>
  <c r="AJ200" i="2" s="1"/>
  <c r="C199" i="2"/>
  <c r="AJ199" i="2" s="1"/>
  <c r="C198" i="2"/>
  <c r="AJ198" i="2" s="1"/>
  <c r="C197" i="2"/>
  <c r="AJ197" i="2" s="1"/>
  <c r="C196" i="2"/>
  <c r="AJ196" i="2" s="1"/>
  <c r="C195" i="2"/>
  <c r="AJ195" i="2" s="1"/>
  <c r="C194" i="2"/>
  <c r="AJ194" i="2" s="1"/>
  <c r="C193" i="2"/>
  <c r="AJ193" i="2" s="1"/>
  <c r="C192" i="2"/>
  <c r="AJ192" i="2" s="1"/>
  <c r="C191" i="2"/>
  <c r="AJ191" i="2" s="1"/>
  <c r="C190" i="2"/>
  <c r="AJ190" i="2" s="1"/>
  <c r="C189" i="2"/>
  <c r="AJ189" i="2" s="1"/>
  <c r="C188" i="2"/>
  <c r="AJ188" i="2" s="1"/>
  <c r="C187" i="2"/>
  <c r="AJ187" i="2" s="1"/>
  <c r="C186" i="2"/>
  <c r="AJ186" i="2" s="1"/>
  <c r="C185" i="2"/>
  <c r="AJ185" i="2" s="1"/>
  <c r="C184" i="2"/>
  <c r="AJ184" i="2" s="1"/>
  <c r="C183" i="2"/>
  <c r="AJ183" i="2" s="1"/>
  <c r="C182" i="2"/>
  <c r="AJ182" i="2" s="1"/>
  <c r="C181" i="2"/>
  <c r="AJ181" i="2" s="1"/>
  <c r="C180" i="2"/>
  <c r="AJ180" i="2" s="1"/>
  <c r="C179" i="2"/>
  <c r="AJ179" i="2" s="1"/>
  <c r="C178" i="2"/>
  <c r="AJ178" i="2" s="1"/>
  <c r="C177" i="2"/>
  <c r="AJ177" i="2" s="1"/>
  <c r="C176" i="2"/>
  <c r="AJ176" i="2" s="1"/>
  <c r="C175" i="2"/>
  <c r="AJ175" i="2" s="1"/>
  <c r="C174" i="2"/>
  <c r="AJ174" i="2" s="1"/>
  <c r="C173" i="2"/>
  <c r="AJ173" i="2" s="1"/>
  <c r="C172" i="2"/>
  <c r="AJ172" i="2" s="1"/>
  <c r="C171" i="2"/>
  <c r="AJ171" i="2" s="1"/>
  <c r="C170" i="2"/>
  <c r="AJ170" i="2" s="1"/>
  <c r="C169" i="2"/>
  <c r="AJ169" i="2" s="1"/>
  <c r="C168" i="2"/>
  <c r="AJ168" i="2" s="1"/>
  <c r="C167" i="2"/>
  <c r="AJ167" i="2" s="1"/>
  <c r="C166" i="2"/>
  <c r="AJ166" i="2" s="1"/>
  <c r="C165" i="2"/>
  <c r="AJ165" i="2" s="1"/>
  <c r="C164" i="2"/>
  <c r="AJ164" i="2" s="1"/>
  <c r="C163" i="2"/>
  <c r="AJ163" i="2" s="1"/>
  <c r="C162" i="2"/>
  <c r="AJ162" i="2" s="1"/>
  <c r="C161" i="2"/>
  <c r="AJ161" i="2" s="1"/>
  <c r="C160" i="2"/>
  <c r="AJ160" i="2" s="1"/>
  <c r="C159" i="2"/>
  <c r="AJ159" i="2" s="1"/>
  <c r="C158" i="2"/>
  <c r="AJ158" i="2" s="1"/>
  <c r="C157" i="2"/>
  <c r="AJ157" i="2" s="1"/>
  <c r="C156" i="2"/>
  <c r="AJ156" i="2" s="1"/>
  <c r="C155" i="2"/>
  <c r="AJ155" i="2" s="1"/>
  <c r="C154" i="2"/>
  <c r="AJ154" i="2" s="1"/>
  <c r="C153" i="2"/>
  <c r="AJ153" i="2" s="1"/>
  <c r="C152" i="2"/>
  <c r="AJ152" i="2" s="1"/>
  <c r="C151" i="2"/>
  <c r="AJ151" i="2" s="1"/>
  <c r="C150" i="2"/>
  <c r="AJ150" i="2" s="1"/>
  <c r="C149" i="2"/>
  <c r="AJ149" i="2" s="1"/>
  <c r="C148" i="2"/>
  <c r="AJ148" i="2" s="1"/>
  <c r="C147" i="2"/>
  <c r="AJ147" i="2" s="1"/>
  <c r="C146" i="2"/>
  <c r="AJ146" i="2" s="1"/>
  <c r="C145" i="2"/>
  <c r="AJ145" i="2" s="1"/>
  <c r="C144" i="2"/>
  <c r="AJ144" i="2" s="1"/>
  <c r="C143" i="2"/>
  <c r="AJ143" i="2" s="1"/>
  <c r="C142" i="2"/>
  <c r="AJ142" i="2" s="1"/>
  <c r="C141" i="2"/>
  <c r="AJ141" i="2" s="1"/>
  <c r="C140" i="2"/>
  <c r="AJ140" i="2" s="1"/>
  <c r="C139" i="2"/>
  <c r="AJ139" i="2" s="1"/>
  <c r="C138" i="2"/>
  <c r="AJ138" i="2" s="1"/>
  <c r="C137" i="2"/>
  <c r="AJ137" i="2" s="1"/>
  <c r="C136" i="2"/>
  <c r="AJ136" i="2" s="1"/>
  <c r="C135" i="2"/>
  <c r="AJ135" i="2" s="1"/>
  <c r="C134" i="2"/>
  <c r="AJ134" i="2" s="1"/>
  <c r="C133" i="2"/>
  <c r="AJ133" i="2" s="1"/>
  <c r="C132" i="2"/>
  <c r="AJ132" i="2" s="1"/>
  <c r="C131" i="2"/>
  <c r="AJ131" i="2" s="1"/>
  <c r="C130" i="2"/>
  <c r="AJ130" i="2" s="1"/>
  <c r="C129" i="2"/>
  <c r="AJ129" i="2" s="1"/>
  <c r="C128" i="2"/>
  <c r="AJ128" i="2" s="1"/>
  <c r="C127" i="2"/>
  <c r="AJ127" i="2" s="1"/>
  <c r="C126" i="2"/>
  <c r="AJ126" i="2" s="1"/>
  <c r="C125" i="2"/>
  <c r="AJ125" i="2" s="1"/>
  <c r="C124" i="2"/>
  <c r="AJ124" i="2" s="1"/>
  <c r="C123" i="2"/>
  <c r="AJ123" i="2" s="1"/>
  <c r="C122" i="2"/>
  <c r="AJ122" i="2" s="1"/>
  <c r="C121" i="2"/>
  <c r="AJ121" i="2" s="1"/>
  <c r="C120" i="2"/>
  <c r="AJ120" i="2" s="1"/>
  <c r="C119" i="2"/>
  <c r="AJ119" i="2" s="1"/>
  <c r="C118" i="2"/>
  <c r="AJ118" i="2" s="1"/>
  <c r="C117" i="2"/>
  <c r="AJ117" i="2" s="1"/>
  <c r="C116" i="2"/>
  <c r="AJ116" i="2" s="1"/>
  <c r="C115" i="2"/>
  <c r="AJ115" i="2" s="1"/>
  <c r="C114" i="2"/>
  <c r="AJ114" i="2" s="1"/>
  <c r="C113" i="2"/>
  <c r="AJ113" i="2" s="1"/>
  <c r="C112" i="2"/>
  <c r="AJ112" i="2" s="1"/>
  <c r="C111" i="2"/>
  <c r="AJ111" i="2" s="1"/>
  <c r="C110" i="2"/>
  <c r="AJ110" i="2" s="1"/>
  <c r="C109" i="2"/>
  <c r="AJ109" i="2" s="1"/>
  <c r="C108" i="2"/>
  <c r="AJ108" i="2" s="1"/>
  <c r="C107" i="2"/>
  <c r="AJ107" i="2" s="1"/>
  <c r="C106" i="2"/>
  <c r="AJ106" i="2" s="1"/>
  <c r="C105" i="2"/>
  <c r="AJ105" i="2" s="1"/>
  <c r="C104" i="2"/>
  <c r="AJ104" i="2" s="1"/>
  <c r="C103" i="2"/>
  <c r="AJ103" i="2" s="1"/>
  <c r="C102" i="2"/>
  <c r="AJ102" i="2" s="1"/>
  <c r="C101" i="2"/>
  <c r="AJ101" i="2" s="1"/>
  <c r="C100" i="2"/>
  <c r="AJ100" i="2" s="1"/>
  <c r="C99" i="2"/>
  <c r="AJ99" i="2" s="1"/>
  <c r="C98" i="2"/>
  <c r="AJ98" i="2" s="1"/>
  <c r="C97" i="2"/>
  <c r="AJ97" i="2" s="1"/>
  <c r="C96" i="2"/>
  <c r="AJ96" i="2" s="1"/>
  <c r="C95" i="2"/>
  <c r="AJ95" i="2" s="1"/>
  <c r="C94" i="2"/>
  <c r="AJ94" i="2" s="1"/>
  <c r="C93" i="2"/>
  <c r="AJ93" i="2" s="1"/>
  <c r="C92" i="2"/>
  <c r="AJ92" i="2" s="1"/>
  <c r="C91" i="2"/>
  <c r="AJ91" i="2" s="1"/>
  <c r="C90" i="2"/>
  <c r="AJ90" i="2" s="1"/>
  <c r="C89" i="2"/>
  <c r="AJ89" i="2" s="1"/>
  <c r="C88" i="2"/>
  <c r="AJ88" i="2" s="1"/>
  <c r="C87" i="2"/>
  <c r="AJ87" i="2" s="1"/>
  <c r="C86" i="2"/>
  <c r="AJ86" i="2" s="1"/>
  <c r="C85" i="2"/>
  <c r="AJ85" i="2" s="1"/>
  <c r="C84" i="2"/>
  <c r="AJ84" i="2" s="1"/>
  <c r="C83" i="2"/>
  <c r="AJ83" i="2" s="1"/>
  <c r="C82" i="2"/>
  <c r="AJ82" i="2" s="1"/>
  <c r="C81" i="2"/>
  <c r="AJ81" i="2" s="1"/>
  <c r="C80" i="2"/>
  <c r="AJ80" i="2" s="1"/>
  <c r="C79" i="2"/>
  <c r="AJ79" i="2" s="1"/>
  <c r="C78" i="2"/>
  <c r="AJ78" i="2" s="1"/>
  <c r="C77" i="2"/>
  <c r="AJ77" i="2" s="1"/>
  <c r="C76" i="2"/>
  <c r="AJ76" i="2" s="1"/>
  <c r="C75" i="2"/>
  <c r="AJ75" i="2" s="1"/>
  <c r="C74" i="2"/>
  <c r="AJ74" i="2" s="1"/>
  <c r="C73" i="2"/>
  <c r="AJ73" i="2" s="1"/>
  <c r="C72" i="2"/>
  <c r="AJ72" i="2" s="1"/>
  <c r="C71" i="2"/>
  <c r="AJ71" i="2" s="1"/>
  <c r="C70" i="2"/>
  <c r="AJ70" i="2" s="1"/>
  <c r="C69" i="2"/>
  <c r="AJ69" i="2" s="1"/>
  <c r="C68" i="2"/>
  <c r="AJ68" i="2" s="1"/>
  <c r="C67" i="2"/>
  <c r="AJ67" i="2" s="1"/>
  <c r="C66" i="2"/>
  <c r="AJ66" i="2" s="1"/>
  <c r="C65" i="2"/>
  <c r="AJ65" i="2" s="1"/>
  <c r="C64" i="2"/>
  <c r="AJ64" i="2" s="1"/>
  <c r="C63" i="2"/>
  <c r="AJ63" i="2" s="1"/>
  <c r="C62" i="2"/>
  <c r="AJ62" i="2" s="1"/>
  <c r="C61" i="2"/>
  <c r="AJ61" i="2" s="1"/>
  <c r="C60" i="2"/>
  <c r="AJ60" i="2" s="1"/>
  <c r="C59" i="2"/>
  <c r="AJ59" i="2" s="1"/>
  <c r="C58" i="2"/>
  <c r="AJ58" i="2" s="1"/>
  <c r="C57" i="2"/>
  <c r="AJ57" i="2" s="1"/>
  <c r="C56" i="2"/>
  <c r="AJ56" i="2" s="1"/>
  <c r="C55" i="2"/>
  <c r="AJ55" i="2" s="1"/>
  <c r="C54" i="2"/>
  <c r="AJ54" i="2" s="1"/>
  <c r="C53" i="2"/>
  <c r="AJ53" i="2" s="1"/>
  <c r="C52" i="2"/>
  <c r="AJ52" i="2" s="1"/>
  <c r="C51" i="2"/>
  <c r="AJ51" i="2" s="1"/>
  <c r="C50" i="2"/>
  <c r="AJ50" i="2" s="1"/>
  <c r="C49" i="2"/>
  <c r="AJ49" i="2" s="1"/>
  <c r="C48" i="2"/>
  <c r="AJ48" i="2" s="1"/>
  <c r="C47" i="2"/>
  <c r="AJ47" i="2" s="1"/>
  <c r="C46" i="2"/>
  <c r="AJ46" i="2" s="1"/>
  <c r="C45" i="2"/>
  <c r="AJ45" i="2" s="1"/>
  <c r="C44" i="2"/>
  <c r="AJ44" i="2" s="1"/>
  <c r="C43" i="2"/>
  <c r="AJ43" i="2" s="1"/>
  <c r="C42" i="2"/>
  <c r="AJ42" i="2" s="1"/>
  <c r="C41" i="2"/>
  <c r="AJ41" i="2" s="1"/>
  <c r="C40" i="2"/>
  <c r="AJ40" i="2" s="1"/>
  <c r="C39" i="2"/>
  <c r="AJ39" i="2" s="1"/>
  <c r="C38" i="2"/>
  <c r="AJ38" i="2" s="1"/>
  <c r="C37" i="2"/>
  <c r="AJ37" i="2" s="1"/>
  <c r="C36" i="2"/>
  <c r="AJ36" i="2" s="1"/>
  <c r="C35" i="2"/>
  <c r="AJ35" i="2" s="1"/>
  <c r="C34" i="2"/>
  <c r="AJ34" i="2" s="1"/>
  <c r="C33" i="2"/>
  <c r="AJ33" i="2" s="1"/>
  <c r="C32" i="2"/>
  <c r="AJ32" i="2" s="1"/>
  <c r="C31" i="2"/>
  <c r="AJ31" i="2" s="1"/>
  <c r="C30" i="2"/>
  <c r="AJ30" i="2" s="1"/>
  <c r="C29" i="2"/>
  <c r="AJ29" i="2" s="1"/>
  <c r="C28" i="2"/>
  <c r="AJ28" i="2" s="1"/>
  <c r="C27" i="2"/>
  <c r="AJ27" i="2" s="1"/>
  <c r="C26" i="2"/>
  <c r="AJ26" i="2" s="1"/>
  <c r="C25" i="2"/>
  <c r="AJ25" i="2" s="1"/>
  <c r="C24" i="2"/>
  <c r="AJ24" i="2" s="1"/>
  <c r="C23" i="2"/>
  <c r="AJ23" i="2" s="1"/>
  <c r="C22" i="2"/>
  <c r="AJ22" i="2" s="1"/>
  <c r="C21" i="2"/>
  <c r="AJ21" i="2" s="1"/>
  <c r="C20" i="2"/>
  <c r="AJ20" i="2" s="1"/>
  <c r="C19" i="2"/>
  <c r="AJ19" i="2" s="1"/>
  <c r="C18" i="2"/>
  <c r="AJ18" i="2" s="1"/>
  <c r="C17" i="2"/>
  <c r="AJ17" i="2" s="1"/>
  <c r="C16" i="2"/>
  <c r="AJ16" i="2" s="1"/>
  <c r="C15" i="2"/>
  <c r="AJ15" i="2" s="1"/>
  <c r="C14" i="2"/>
  <c r="AJ14" i="2" s="1"/>
  <c r="C13" i="2"/>
  <c r="AJ13" i="2" s="1"/>
  <c r="C12" i="2"/>
  <c r="AJ12" i="2" s="1"/>
  <c r="C11" i="2"/>
  <c r="AJ11" i="2" s="1"/>
  <c r="C10" i="2"/>
  <c r="AJ10" i="2" s="1"/>
  <c r="C9" i="2"/>
  <c r="AJ9" i="2" s="1"/>
  <c r="C8" i="2"/>
  <c r="AJ8" i="2" s="1"/>
  <c r="C7" i="2"/>
  <c r="AJ7" i="2" s="1"/>
  <c r="C6" i="2"/>
  <c r="AJ6" i="2" s="1"/>
  <c r="C5" i="2"/>
  <c r="AJ5" i="2" s="1"/>
  <c r="C4" i="2"/>
  <c r="AJ4" i="2" s="1"/>
  <c r="C3" i="2"/>
  <c r="AJ3" i="2" s="1"/>
  <c r="C2" i="2"/>
  <c r="AJ2" i="2" s="1"/>
  <c r="AG243" i="3" l="1"/>
  <c r="AL243" i="3" s="1"/>
  <c r="AR238" i="3"/>
  <c r="AG238" i="3"/>
  <c r="AR244" i="3"/>
  <c r="AG244" i="3"/>
  <c r="AX244" i="3" s="1"/>
  <c r="AR243" i="3"/>
  <c r="AR235" i="3"/>
  <c r="AR172" i="3"/>
  <c r="AR259" i="3"/>
  <c r="AR190" i="3"/>
  <c r="L103" i="3"/>
  <c r="AG60" i="3"/>
  <c r="AX60" i="3" s="1"/>
  <c r="L199" i="3"/>
  <c r="V104" i="3"/>
  <c r="AI9" i="3"/>
  <c r="AU36" i="3"/>
  <c r="BD36" i="3"/>
  <c r="O218" i="3"/>
  <c r="AY2" i="3"/>
  <c r="BC2" i="3"/>
  <c r="AJ35" i="3"/>
  <c r="BD35" i="3"/>
  <c r="AU28" i="3"/>
  <c r="BD28" i="3"/>
  <c r="O206" i="3"/>
  <c r="N206" i="3"/>
  <c r="N92" i="3"/>
  <c r="O92" i="3"/>
  <c r="N170" i="3"/>
  <c r="O170" i="3"/>
  <c r="N141" i="3"/>
  <c r="O141" i="3"/>
  <c r="N253" i="3"/>
  <c r="O253" i="3"/>
  <c r="O238" i="3"/>
  <c r="N238" i="3"/>
  <c r="N180" i="3"/>
  <c r="O180" i="3"/>
  <c r="O198" i="3"/>
  <c r="N198" i="3"/>
  <c r="O183" i="3"/>
  <c r="N183" i="3"/>
  <c r="N187" i="3"/>
  <c r="O187" i="3"/>
  <c r="N189" i="3"/>
  <c r="O189" i="3"/>
  <c r="O126" i="3"/>
  <c r="N126" i="3"/>
  <c r="V124" i="3"/>
  <c r="N77" i="3"/>
  <c r="O77" i="3"/>
  <c r="N160" i="3"/>
  <c r="O160" i="3"/>
  <c r="N185" i="3"/>
  <c r="O185" i="3"/>
  <c r="O86" i="3"/>
  <c r="N86" i="3"/>
  <c r="N66" i="3"/>
  <c r="O66" i="3"/>
  <c r="N49" i="3"/>
  <c r="O49" i="3"/>
  <c r="N61" i="3"/>
  <c r="O61" i="3"/>
  <c r="N265" i="3"/>
  <c r="O265" i="3"/>
  <c r="N155" i="3"/>
  <c r="O155" i="3"/>
  <c r="N267" i="3"/>
  <c r="O267" i="3"/>
  <c r="N165" i="3"/>
  <c r="O165" i="3"/>
  <c r="N233" i="3"/>
  <c r="O233" i="3"/>
  <c r="N76" i="3"/>
  <c r="O76" i="3"/>
  <c r="N52" i="3"/>
  <c r="O52" i="3"/>
  <c r="N234" i="3"/>
  <c r="O234" i="3"/>
  <c r="N224" i="3"/>
  <c r="O224" i="3"/>
  <c r="O207" i="3"/>
  <c r="N207" i="3"/>
  <c r="N200" i="3"/>
  <c r="O200" i="3"/>
  <c r="N172" i="3"/>
  <c r="O172" i="3"/>
  <c r="N181" i="3"/>
  <c r="O181" i="3"/>
  <c r="O182" i="3"/>
  <c r="N182" i="3"/>
  <c r="N128" i="3"/>
  <c r="O128" i="3"/>
  <c r="N109" i="3"/>
  <c r="O109" i="3"/>
  <c r="O103" i="3"/>
  <c r="N103" i="3"/>
  <c r="N98" i="3"/>
  <c r="O98" i="3"/>
  <c r="N104" i="3"/>
  <c r="O104" i="3"/>
  <c r="N99" i="3"/>
  <c r="O99" i="3"/>
  <c r="N96" i="3"/>
  <c r="O96" i="3"/>
  <c r="O46" i="3"/>
  <c r="N46" i="3"/>
  <c r="O166" i="3"/>
  <c r="N166" i="3"/>
  <c r="N131" i="3"/>
  <c r="O131" i="3"/>
  <c r="N82" i="3"/>
  <c r="O82" i="3"/>
  <c r="N177" i="3"/>
  <c r="O177" i="3"/>
  <c r="N243" i="3"/>
  <c r="O243" i="3"/>
  <c r="N219" i="3"/>
  <c r="O219" i="3"/>
  <c r="N162" i="3"/>
  <c r="O162" i="3"/>
  <c r="N244" i="3"/>
  <c r="O244" i="3"/>
  <c r="N171" i="3"/>
  <c r="O171" i="3"/>
  <c r="N137" i="3"/>
  <c r="O137" i="3"/>
  <c r="N113" i="3"/>
  <c r="O113" i="3"/>
  <c r="N59" i="3"/>
  <c r="O59" i="3"/>
  <c r="N120" i="3"/>
  <c r="O120" i="3"/>
  <c r="N83" i="3"/>
  <c r="O83" i="3"/>
  <c r="N51" i="3"/>
  <c r="O51" i="3"/>
  <c r="N225" i="3"/>
  <c r="O225" i="3"/>
  <c r="N60" i="3"/>
  <c r="O60" i="3"/>
  <c r="N226" i="3"/>
  <c r="O226" i="3"/>
  <c r="N156" i="3"/>
  <c r="O156" i="3"/>
  <c r="O63" i="3"/>
  <c r="N63" i="3"/>
  <c r="N208" i="3"/>
  <c r="O208" i="3"/>
  <c r="O190" i="3"/>
  <c r="N190" i="3"/>
  <c r="N184" i="3"/>
  <c r="O184" i="3"/>
  <c r="N122" i="3"/>
  <c r="O122" i="3"/>
  <c r="O127" i="3"/>
  <c r="N127" i="3"/>
  <c r="N44" i="3"/>
  <c r="O44" i="3"/>
  <c r="O47" i="3"/>
  <c r="N47" i="3"/>
  <c r="N97" i="3"/>
  <c r="O97" i="3"/>
  <c r="N245" i="3"/>
  <c r="O245" i="3"/>
  <c r="N164" i="3"/>
  <c r="O164" i="3"/>
  <c r="N73" i="3"/>
  <c r="O73" i="3"/>
  <c r="N80" i="3"/>
  <c r="O80" i="3"/>
  <c r="N266" i="3"/>
  <c r="O266" i="3"/>
  <c r="O143" i="3"/>
  <c r="N143" i="3"/>
  <c r="N179" i="3"/>
  <c r="O179" i="3"/>
  <c r="N239" i="3"/>
  <c r="O239" i="3"/>
  <c r="O215" i="3"/>
  <c r="N215" i="3"/>
  <c r="N53" i="3"/>
  <c r="O53" i="3"/>
  <c r="N220" i="3"/>
  <c r="O220" i="3"/>
  <c r="O151" i="3"/>
  <c r="N151" i="3"/>
  <c r="O263" i="3"/>
  <c r="N263" i="3"/>
  <c r="N161" i="3"/>
  <c r="O161" i="3"/>
  <c r="N133" i="3"/>
  <c r="O133" i="3"/>
  <c r="N221" i="3"/>
  <c r="O221" i="3"/>
  <c r="N144" i="3"/>
  <c r="O144" i="3"/>
  <c r="N88" i="3"/>
  <c r="O88" i="3"/>
  <c r="O222" i="3"/>
  <c r="N222" i="3"/>
  <c r="N227" i="3"/>
  <c r="O227" i="3"/>
  <c r="N152" i="3"/>
  <c r="O152" i="3"/>
  <c r="N93" i="3"/>
  <c r="O93" i="3"/>
  <c r="N57" i="3"/>
  <c r="O57" i="3"/>
  <c r="O142" i="3"/>
  <c r="N142" i="3"/>
  <c r="N228" i="3"/>
  <c r="O228" i="3"/>
  <c r="N153" i="3"/>
  <c r="O153" i="3"/>
  <c r="N229" i="3"/>
  <c r="O229" i="3"/>
  <c r="N186" i="3"/>
  <c r="O186" i="3"/>
  <c r="N195" i="3"/>
  <c r="O195" i="3"/>
  <c r="N205" i="3"/>
  <c r="O205" i="3"/>
  <c r="N173" i="3"/>
  <c r="O173" i="3"/>
  <c r="O174" i="3"/>
  <c r="N174" i="3"/>
  <c r="N116" i="3"/>
  <c r="O116" i="3"/>
  <c r="O135" i="3"/>
  <c r="N135" i="3"/>
  <c r="O102" i="3"/>
  <c r="N102" i="3"/>
  <c r="N85" i="3"/>
  <c r="O85" i="3"/>
  <c r="N117" i="3"/>
  <c r="O117" i="3"/>
  <c r="N91" i="3"/>
  <c r="O91" i="3"/>
  <c r="N217" i="3"/>
  <c r="O217" i="3"/>
  <c r="N258" i="3"/>
  <c r="O258" i="3"/>
  <c r="N72" i="3"/>
  <c r="O72" i="3"/>
  <c r="N146" i="3"/>
  <c r="O146" i="3"/>
  <c r="O78" i="3"/>
  <c r="N78" i="3"/>
  <c r="N235" i="3"/>
  <c r="O235" i="3"/>
  <c r="N69" i="3"/>
  <c r="O69" i="3"/>
  <c r="N114" i="3"/>
  <c r="O114" i="3"/>
  <c r="N260" i="3"/>
  <c r="O260" i="3"/>
  <c r="O167" i="3"/>
  <c r="N167" i="3"/>
  <c r="N115" i="3"/>
  <c r="O115" i="3"/>
  <c r="N129" i="3"/>
  <c r="O129" i="3"/>
  <c r="N105" i="3"/>
  <c r="O105" i="3"/>
  <c r="N42" i="3"/>
  <c r="O42" i="3"/>
  <c r="O87" i="3"/>
  <c r="N87" i="3"/>
  <c r="N43" i="3"/>
  <c r="O43" i="3"/>
  <c r="N136" i="3"/>
  <c r="O136" i="3"/>
  <c r="N213" i="3"/>
  <c r="O213" i="3"/>
  <c r="N176" i="3"/>
  <c r="O176" i="3"/>
  <c r="N75" i="3"/>
  <c r="O75" i="3"/>
  <c r="N241" i="3"/>
  <c r="O241" i="3"/>
  <c r="N209" i="3"/>
  <c r="O209" i="3"/>
  <c r="O214" i="3"/>
  <c r="N214" i="3"/>
  <c r="N147" i="3"/>
  <c r="O147" i="3"/>
  <c r="N255" i="3"/>
  <c r="O255" i="3"/>
  <c r="N248" i="3"/>
  <c r="O248" i="3"/>
  <c r="O223" i="3"/>
  <c r="N223" i="3"/>
  <c r="N193" i="3"/>
  <c r="O193" i="3"/>
  <c r="O191" i="3"/>
  <c r="N191" i="3"/>
  <c r="N196" i="3"/>
  <c r="O196" i="3"/>
  <c r="O175" i="3"/>
  <c r="N175" i="3"/>
  <c r="N197" i="3"/>
  <c r="O197" i="3"/>
  <c r="N108" i="3"/>
  <c r="O108" i="3"/>
  <c r="N125" i="3"/>
  <c r="O125" i="3"/>
  <c r="N123" i="3"/>
  <c r="O123" i="3"/>
  <c r="N112" i="3"/>
  <c r="O112" i="3"/>
  <c r="N100" i="3"/>
  <c r="O100" i="3"/>
  <c r="N101" i="3"/>
  <c r="O101" i="3"/>
  <c r="O95" i="3"/>
  <c r="N95" i="3"/>
  <c r="N90" i="3"/>
  <c r="O90" i="3"/>
  <c r="O118" i="3"/>
  <c r="N118" i="3"/>
  <c r="N89" i="3"/>
  <c r="O89" i="3"/>
  <c r="N163" i="3"/>
  <c r="O163" i="3"/>
  <c r="O70" i="3"/>
  <c r="N70" i="3"/>
  <c r="N67" i="3"/>
  <c r="O67" i="3"/>
  <c r="O134" i="3"/>
  <c r="N134" i="3"/>
  <c r="N259" i="3"/>
  <c r="O259" i="3"/>
  <c r="N58" i="3"/>
  <c r="O58" i="3"/>
  <c r="N211" i="3"/>
  <c r="O211" i="3"/>
  <c r="N178" i="3"/>
  <c r="O178" i="3"/>
  <c r="N256" i="3"/>
  <c r="O256" i="3"/>
  <c r="N236" i="3"/>
  <c r="O236" i="3"/>
  <c r="N216" i="3"/>
  <c r="O216" i="3"/>
  <c r="N145" i="3"/>
  <c r="O145" i="3"/>
  <c r="N140" i="3"/>
  <c r="O140" i="3"/>
  <c r="N84" i="3"/>
  <c r="O84" i="3"/>
  <c r="N68" i="3"/>
  <c r="O68" i="3"/>
  <c r="N250" i="3"/>
  <c r="O250" i="3"/>
  <c r="O158" i="3"/>
  <c r="N158" i="3"/>
  <c r="N139" i="3"/>
  <c r="O139" i="3"/>
  <c r="N201" i="3"/>
  <c r="O201" i="3"/>
  <c r="O111" i="3"/>
  <c r="N111" i="3"/>
  <c r="O79" i="3"/>
  <c r="N79" i="3"/>
  <c r="N210" i="3"/>
  <c r="O210" i="3"/>
  <c r="N257" i="3"/>
  <c r="O257" i="3"/>
  <c r="N192" i="3"/>
  <c r="O192" i="3"/>
  <c r="N194" i="3"/>
  <c r="O194" i="3"/>
  <c r="O119" i="3"/>
  <c r="N119" i="3"/>
  <c r="O110" i="3"/>
  <c r="N110" i="3"/>
  <c r="N45" i="3"/>
  <c r="O45" i="3"/>
  <c r="N40" i="3"/>
  <c r="O40" i="3"/>
  <c r="N65" i="3"/>
  <c r="O65" i="3"/>
  <c r="N261" i="3"/>
  <c r="O261" i="3"/>
  <c r="O71" i="3"/>
  <c r="N71" i="3"/>
  <c r="O55" i="3"/>
  <c r="N55" i="3"/>
  <c r="N149" i="3"/>
  <c r="O149" i="3"/>
  <c r="O54" i="3"/>
  <c r="N54" i="3"/>
  <c r="O62" i="3"/>
  <c r="N62" i="3"/>
  <c r="N154" i="3"/>
  <c r="O154" i="3"/>
  <c r="N262" i="3"/>
  <c r="O262" i="3"/>
  <c r="N74" i="3"/>
  <c r="O74" i="3"/>
  <c r="N251" i="3"/>
  <c r="O251" i="3"/>
  <c r="N231" i="3"/>
  <c r="O231" i="3"/>
  <c r="O150" i="3"/>
  <c r="N150" i="3"/>
  <c r="N50" i="3"/>
  <c r="O50" i="3"/>
  <c r="N138" i="3"/>
  <c r="O138" i="3"/>
  <c r="N41" i="3"/>
  <c r="O41" i="3"/>
  <c r="N107" i="3"/>
  <c r="O107" i="3"/>
  <c r="N169" i="3"/>
  <c r="O169" i="3"/>
  <c r="N157" i="3"/>
  <c r="O157" i="3"/>
  <c r="N132" i="3"/>
  <c r="O132" i="3"/>
  <c r="N237" i="3"/>
  <c r="O237" i="3"/>
  <c r="N56" i="3"/>
  <c r="O56" i="3"/>
  <c r="O246" i="3"/>
  <c r="N246" i="3"/>
  <c r="N264" i="3"/>
  <c r="O264" i="3"/>
  <c r="N203" i="3"/>
  <c r="O203" i="3"/>
  <c r="N202" i="3"/>
  <c r="O202" i="3"/>
  <c r="N247" i="3"/>
  <c r="O247" i="3"/>
  <c r="N240" i="3"/>
  <c r="O240" i="3"/>
  <c r="O199" i="3"/>
  <c r="N199" i="3"/>
  <c r="N188" i="3"/>
  <c r="O188" i="3"/>
  <c r="N168" i="3"/>
  <c r="O168" i="3"/>
  <c r="N204" i="3"/>
  <c r="O204" i="3"/>
  <c r="N121" i="3"/>
  <c r="O121" i="3"/>
  <c r="O94" i="3"/>
  <c r="N94" i="3"/>
  <c r="N48" i="3"/>
  <c r="O48" i="3"/>
  <c r="O230" i="3"/>
  <c r="N230" i="3"/>
  <c r="O254" i="3"/>
  <c r="N254" i="3"/>
  <c r="N81" i="3"/>
  <c r="O81" i="3"/>
  <c r="N64" i="3"/>
  <c r="O64" i="3"/>
  <c r="N130" i="3"/>
  <c r="O130" i="3"/>
  <c r="N148" i="3"/>
  <c r="O148" i="3"/>
  <c r="N106" i="3"/>
  <c r="O106" i="3"/>
  <c r="N252" i="3"/>
  <c r="O252" i="3"/>
  <c r="N232" i="3"/>
  <c r="O232" i="3"/>
  <c r="N212" i="3"/>
  <c r="O212" i="3"/>
  <c r="O159" i="3"/>
  <c r="N159" i="3"/>
  <c r="N124" i="3"/>
  <c r="O124" i="3"/>
  <c r="N242" i="3"/>
  <c r="O242" i="3"/>
  <c r="N249" i="3"/>
  <c r="O249" i="3"/>
  <c r="AI11" i="3"/>
  <c r="AT37" i="3"/>
  <c r="AT35" i="3"/>
  <c r="AH20" i="3"/>
  <c r="AT7" i="3"/>
  <c r="AX7" i="3"/>
  <c r="BD17" i="3"/>
  <c r="BC17" i="3"/>
  <c r="AW17" i="3"/>
  <c r="AY17" i="3"/>
  <c r="AY11" i="3"/>
  <c r="BD11" i="3"/>
  <c r="BC11" i="3"/>
  <c r="AW11" i="3"/>
  <c r="AQ13" i="3"/>
  <c r="BC13" i="3"/>
  <c r="AW13" i="3"/>
  <c r="AY13" i="3"/>
  <c r="BD13" i="3"/>
  <c r="BD6" i="3"/>
  <c r="BC6" i="3"/>
  <c r="AW6" i="3"/>
  <c r="AY6" i="3"/>
  <c r="BD8" i="3"/>
  <c r="BC8" i="3"/>
  <c r="AW8" i="3"/>
  <c r="AY8" i="3"/>
  <c r="AT12" i="3"/>
  <c r="AV12" i="3"/>
  <c r="BE12" i="3"/>
  <c r="AT13" i="3"/>
  <c r="AV13" i="3"/>
  <c r="BE13" i="3"/>
  <c r="AT30" i="3"/>
  <c r="AV30" i="3"/>
  <c r="BE30" i="3"/>
  <c r="AT26" i="3"/>
  <c r="BE26" i="3"/>
  <c r="AV26" i="3"/>
  <c r="BE31" i="3"/>
  <c r="AV31" i="3"/>
  <c r="AT18" i="3"/>
  <c r="BE18" i="3"/>
  <c r="AV18" i="3"/>
  <c r="AQ37" i="3"/>
  <c r="BC37" i="3"/>
  <c r="AW37" i="3"/>
  <c r="AY37" i="3"/>
  <c r="AT31" i="3"/>
  <c r="AU25" i="3"/>
  <c r="AY25" i="3"/>
  <c r="BC25" i="3"/>
  <c r="AW25" i="3"/>
  <c r="AY27" i="3"/>
  <c r="BC27" i="3"/>
  <c r="AW27" i="3"/>
  <c r="AQ4" i="3"/>
  <c r="BC4" i="3"/>
  <c r="AY4" i="3"/>
  <c r="AW4" i="3"/>
  <c r="BD4" i="3"/>
  <c r="AQ36" i="3"/>
  <c r="BC36" i="3"/>
  <c r="AY36" i="3"/>
  <c r="AW36" i="3"/>
  <c r="AU14" i="3"/>
  <c r="BC14" i="3"/>
  <c r="AW14" i="3"/>
  <c r="AY14" i="3"/>
  <c r="BD14" i="3"/>
  <c r="AQ23" i="3"/>
  <c r="BC23" i="3"/>
  <c r="AW23" i="3"/>
  <c r="AY23" i="3"/>
  <c r="AV35" i="3"/>
  <c r="BE35" i="3"/>
  <c r="AU30" i="3"/>
  <c r="BC30" i="3"/>
  <c r="AW30" i="3"/>
  <c r="AY30" i="3"/>
  <c r="AT9" i="3"/>
  <c r="BE9" i="3"/>
  <c r="AV9" i="3"/>
  <c r="AT10" i="3"/>
  <c r="BE10" i="3"/>
  <c r="AV10" i="3"/>
  <c r="AT39" i="3"/>
  <c r="AV39" i="3"/>
  <c r="BE39" i="3"/>
  <c r="AQ33" i="3"/>
  <c r="AY33" i="3"/>
  <c r="BC33" i="3"/>
  <c r="AW33" i="3"/>
  <c r="AQ2" i="3"/>
  <c r="BD2" i="3"/>
  <c r="AW2" i="3"/>
  <c r="BD16" i="3"/>
  <c r="BC16" i="3"/>
  <c r="AW16" i="3"/>
  <c r="AY16" i="3"/>
  <c r="AT21" i="3"/>
  <c r="AV21" i="3"/>
  <c r="BE21" i="3"/>
  <c r="AT3" i="3"/>
  <c r="AV3" i="3"/>
  <c r="BE3" i="3"/>
  <c r="BE8" i="3"/>
  <c r="AV8" i="3"/>
  <c r="AQ35" i="3"/>
  <c r="AY35" i="3"/>
  <c r="BC35" i="3"/>
  <c r="AW35" i="3"/>
  <c r="V147" i="3"/>
  <c r="AQ10" i="3"/>
  <c r="AY10" i="3"/>
  <c r="BD10" i="3"/>
  <c r="BC10" i="3"/>
  <c r="AW10" i="3"/>
  <c r="AQ12" i="3"/>
  <c r="AW12" i="3"/>
  <c r="AY12" i="3"/>
  <c r="BC12" i="3"/>
  <c r="BD12" i="3"/>
  <c r="AU22" i="3"/>
  <c r="BC22" i="3"/>
  <c r="AW22" i="3"/>
  <c r="AY22" i="3"/>
  <c r="AP17" i="3"/>
  <c r="BE17" i="3"/>
  <c r="AV17" i="3"/>
  <c r="BE16" i="3"/>
  <c r="AV16" i="3"/>
  <c r="AT27" i="3"/>
  <c r="AV27" i="3"/>
  <c r="BE27" i="3"/>
  <c r="AQ18" i="3"/>
  <c r="AY18" i="3"/>
  <c r="BD18" i="3"/>
  <c r="BC18" i="3"/>
  <c r="AW18" i="3"/>
  <c r="AU39" i="3"/>
  <c r="BC39" i="3"/>
  <c r="AW39" i="3"/>
  <c r="AY39" i="3"/>
  <c r="BC24" i="3"/>
  <c r="AW24" i="3"/>
  <c r="AY24" i="3"/>
  <c r="AT29" i="3"/>
  <c r="AV29" i="3"/>
  <c r="BE29" i="3"/>
  <c r="AP25" i="3"/>
  <c r="BE25" i="3"/>
  <c r="AV25" i="3"/>
  <c r="AQ15" i="3"/>
  <c r="BD15" i="3"/>
  <c r="BC15" i="3"/>
  <c r="AW15" i="3"/>
  <c r="AY15" i="3"/>
  <c r="AT24" i="3"/>
  <c r="BE24" i="3"/>
  <c r="AV24" i="3"/>
  <c r="AY19" i="3"/>
  <c r="BD19" i="3"/>
  <c r="BC19" i="3"/>
  <c r="AW19" i="3"/>
  <c r="AU13" i="3"/>
  <c r="AQ26" i="3"/>
  <c r="AY26" i="3"/>
  <c r="BC26" i="3"/>
  <c r="AW26" i="3"/>
  <c r="AQ20" i="3"/>
  <c r="AY20" i="3"/>
  <c r="AW20" i="3"/>
  <c r="BC20" i="3"/>
  <c r="BD20" i="3"/>
  <c r="AU38" i="3"/>
  <c r="BC38" i="3"/>
  <c r="AW38" i="3"/>
  <c r="AY38" i="3"/>
  <c r="AT36" i="3"/>
  <c r="AV36" i="3"/>
  <c r="BE36" i="3"/>
  <c r="AQ29" i="3"/>
  <c r="BC29" i="3"/>
  <c r="AW29" i="3"/>
  <c r="AY29" i="3"/>
  <c r="AT6" i="3"/>
  <c r="AV6" i="3"/>
  <c r="BE6" i="3"/>
  <c r="AT33" i="3"/>
  <c r="BE33" i="3"/>
  <c r="AV33" i="3"/>
  <c r="AT15" i="3"/>
  <c r="BE15" i="3"/>
  <c r="AV15" i="3"/>
  <c r="BE32" i="3"/>
  <c r="AV32" i="3"/>
  <c r="AT20" i="3"/>
  <c r="AV20" i="3"/>
  <c r="BE20" i="3"/>
  <c r="AU17" i="3"/>
  <c r="AY3" i="3"/>
  <c r="BD3" i="3"/>
  <c r="BC3" i="3"/>
  <c r="AW3" i="3"/>
  <c r="BC32" i="3"/>
  <c r="AW32" i="3"/>
  <c r="AY32" i="3"/>
  <c r="AV37" i="3"/>
  <c r="BE37" i="3"/>
  <c r="AT14" i="3"/>
  <c r="AV14" i="3"/>
  <c r="BE14" i="3"/>
  <c r="AP23" i="3"/>
  <c r="AV23" i="3"/>
  <c r="BE23" i="3"/>
  <c r="AT4" i="3"/>
  <c r="AV4" i="3"/>
  <c r="BE4" i="3"/>
  <c r="AQ5" i="3"/>
  <c r="BC5" i="3"/>
  <c r="AW5" i="3"/>
  <c r="AY5" i="3"/>
  <c r="BD5" i="3"/>
  <c r="AT25" i="3"/>
  <c r="AT38" i="3"/>
  <c r="AV38" i="3"/>
  <c r="BE38" i="3"/>
  <c r="AK35" i="3"/>
  <c r="AP7" i="3"/>
  <c r="BE7" i="3"/>
  <c r="AV7" i="3"/>
  <c r="BE11" i="3"/>
  <c r="AV11" i="3"/>
  <c r="AT19" i="3"/>
  <c r="BE19" i="3"/>
  <c r="AV19" i="3"/>
  <c r="AU9" i="3"/>
  <c r="BD9" i="3"/>
  <c r="BC9" i="3"/>
  <c r="AW9" i="3"/>
  <c r="AY9" i="3"/>
  <c r="AQ28" i="3"/>
  <c r="AY28" i="3"/>
  <c r="BC28" i="3"/>
  <c r="AW28" i="3"/>
  <c r="BD7" i="3"/>
  <c r="BC7" i="3"/>
  <c r="AW7" i="3"/>
  <c r="AY7" i="3"/>
  <c r="AT5" i="3"/>
  <c r="AV5" i="3"/>
  <c r="BE5" i="3"/>
  <c r="AT22" i="3"/>
  <c r="AV22" i="3"/>
  <c r="BE22" i="3"/>
  <c r="AU31" i="3"/>
  <c r="BC31" i="3"/>
  <c r="AW31" i="3"/>
  <c r="AY31" i="3"/>
  <c r="AT28" i="3"/>
  <c r="AV28" i="3"/>
  <c r="BE28" i="3"/>
  <c r="AQ21" i="3"/>
  <c r="BC21" i="3"/>
  <c r="AW21" i="3"/>
  <c r="AY21" i="3"/>
  <c r="BD21" i="3"/>
  <c r="AT23" i="3"/>
  <c r="W107" i="3"/>
  <c r="V204" i="3"/>
  <c r="AT182" i="3"/>
  <c r="AU182" i="3"/>
  <c r="BE60" i="3"/>
  <c r="AV60" i="3"/>
  <c r="AQ16" i="3"/>
  <c r="AU16" i="3"/>
  <c r="AU26" i="3"/>
  <c r="AU20" i="3"/>
  <c r="AT17" i="3"/>
  <c r="AU10" i="3"/>
  <c r="AP8" i="3"/>
  <c r="AT8" i="3"/>
  <c r="BA157" i="3"/>
  <c r="AG230" i="3"/>
  <c r="AX230" i="3" s="1"/>
  <c r="BA149" i="3"/>
  <c r="AQ24" i="3"/>
  <c r="AU24" i="3"/>
  <c r="AG267" i="3"/>
  <c r="AL267" i="3" s="1"/>
  <c r="BA213" i="3"/>
  <c r="AU213" i="3"/>
  <c r="AP16" i="3"/>
  <c r="AT16" i="3"/>
  <c r="AP11" i="3"/>
  <c r="AT11" i="3"/>
  <c r="AU35" i="3"/>
  <c r="AU2" i="3"/>
  <c r="AU15" i="3"/>
  <c r="AU29" i="3"/>
  <c r="AU202" i="3"/>
  <c r="AT202" i="3"/>
  <c r="AQ3" i="3"/>
  <c r="AU3" i="3"/>
  <c r="AQ32" i="3"/>
  <c r="AU32" i="3"/>
  <c r="AQ19" i="3"/>
  <c r="AU19" i="3"/>
  <c r="AG64" i="3"/>
  <c r="AX64" i="3" s="1"/>
  <c r="AU142" i="3"/>
  <c r="AT142" i="3"/>
  <c r="AZ242" i="3"/>
  <c r="AQ11" i="3"/>
  <c r="AU11" i="3"/>
  <c r="AP32" i="3"/>
  <c r="AT32" i="3"/>
  <c r="AU5" i="3"/>
  <c r="AG221" i="3"/>
  <c r="AX221" i="3" s="1"/>
  <c r="AG102" i="3"/>
  <c r="AG70" i="3"/>
  <c r="BA133" i="3"/>
  <c r="AQ27" i="3"/>
  <c r="AU27" i="3"/>
  <c r="AQ6" i="3"/>
  <c r="AU6" i="3"/>
  <c r="AQ8" i="3"/>
  <c r="AU8" i="3"/>
  <c r="AI21" i="3"/>
  <c r="AU4" i="3"/>
  <c r="AU37" i="3"/>
  <c r="AU23" i="3"/>
  <c r="AU33" i="3"/>
  <c r="AN12" i="3"/>
  <c r="AP12" i="3"/>
  <c r="AN14" i="3"/>
  <c r="AP14" i="3"/>
  <c r="AJ2" i="3"/>
  <c r="AO9" i="3"/>
  <c r="AQ9" i="3"/>
  <c r="AN36" i="3"/>
  <c r="AP36" i="3"/>
  <c r="AH14" i="3"/>
  <c r="AN33" i="3"/>
  <c r="AP33" i="3"/>
  <c r="AN27" i="3"/>
  <c r="AP27" i="3"/>
  <c r="AO17" i="3"/>
  <c r="AQ17" i="3"/>
  <c r="AO7" i="3"/>
  <c r="AQ7" i="3"/>
  <c r="AK4" i="3"/>
  <c r="AN29" i="3"/>
  <c r="AP29" i="3"/>
  <c r="AO25" i="3"/>
  <c r="AQ25" i="3"/>
  <c r="AN6" i="3"/>
  <c r="AP6" i="3"/>
  <c r="AN24" i="3"/>
  <c r="AP24" i="3"/>
  <c r="AN15" i="3"/>
  <c r="AP15" i="3"/>
  <c r="AN35" i="3"/>
  <c r="AP35" i="3"/>
  <c r="AN5" i="3"/>
  <c r="AP5" i="3"/>
  <c r="AN22" i="3"/>
  <c r="AP22" i="3"/>
  <c r="AN19" i="3"/>
  <c r="AP19" i="3"/>
  <c r="AN37" i="3"/>
  <c r="AP37" i="3"/>
  <c r="AO22" i="3"/>
  <c r="AQ22" i="3"/>
  <c r="AN13" i="3"/>
  <c r="AP13" i="3"/>
  <c r="AN30" i="3"/>
  <c r="AP30" i="3"/>
  <c r="AN26" i="3"/>
  <c r="AP26" i="3"/>
  <c r="AO31" i="3"/>
  <c r="AQ31" i="3"/>
  <c r="AN4" i="3"/>
  <c r="AP4" i="3"/>
  <c r="AO14" i="3"/>
  <c r="AQ14" i="3"/>
  <c r="AO39" i="3"/>
  <c r="AQ39" i="3"/>
  <c r="AO30" i="3"/>
  <c r="AQ30" i="3"/>
  <c r="AN9" i="3"/>
  <c r="AP9" i="3"/>
  <c r="AN10" i="3"/>
  <c r="AP10" i="3"/>
  <c r="AN31" i="3"/>
  <c r="AP31" i="3"/>
  <c r="AN18" i="3"/>
  <c r="AP18" i="3"/>
  <c r="AN28" i="3"/>
  <c r="AP28" i="3"/>
  <c r="AJ32" i="3"/>
  <c r="AO38" i="3"/>
  <c r="AQ38" i="3"/>
  <c r="AN21" i="3"/>
  <c r="AP21" i="3"/>
  <c r="AN38" i="3"/>
  <c r="AP38" i="3"/>
  <c r="AN3" i="3"/>
  <c r="AP3" i="3"/>
  <c r="AN39" i="3"/>
  <c r="AP39" i="3"/>
  <c r="AN20" i="3"/>
  <c r="AP20" i="3"/>
  <c r="AM13" i="3"/>
  <c r="AO13" i="3"/>
  <c r="AM19" i="3"/>
  <c r="AO19" i="3"/>
  <c r="AL60" i="3"/>
  <c r="AN60" i="3"/>
  <c r="AK23" i="3"/>
  <c r="AO23" i="3"/>
  <c r="AL32" i="3"/>
  <c r="AN32" i="3"/>
  <c r="AM11" i="3"/>
  <c r="AO11" i="3"/>
  <c r="AL7" i="3"/>
  <c r="AN7" i="3"/>
  <c r="AL16" i="3"/>
  <c r="AN16" i="3"/>
  <c r="AL25" i="3"/>
  <c r="AN25" i="3"/>
  <c r="AJ33" i="3"/>
  <c r="AO33" i="3"/>
  <c r="AM2" i="3"/>
  <c r="AO2" i="3"/>
  <c r="AM27" i="3"/>
  <c r="AO27" i="3"/>
  <c r="AJ4" i="3"/>
  <c r="AO4" i="3"/>
  <c r="AM36" i="3"/>
  <c r="AO36" i="3"/>
  <c r="AK6" i="3"/>
  <c r="AO6" i="3"/>
  <c r="AM8" i="3"/>
  <c r="AO8" i="3"/>
  <c r="AM29" i="3"/>
  <c r="AO29" i="3"/>
  <c r="AK15" i="3"/>
  <c r="AO15" i="3"/>
  <c r="AL11" i="3"/>
  <c r="AN11" i="3"/>
  <c r="AM35" i="3"/>
  <c r="AO35" i="3"/>
  <c r="W176" i="3"/>
  <c r="AM10" i="3"/>
  <c r="AO10" i="3"/>
  <c r="AM12" i="3"/>
  <c r="AO12" i="3"/>
  <c r="AM16" i="3"/>
  <c r="AO16" i="3"/>
  <c r="AL23" i="3"/>
  <c r="AN23" i="3"/>
  <c r="AG68" i="3"/>
  <c r="AX68" i="3" s="1"/>
  <c r="AM18" i="3"/>
  <c r="AO18" i="3"/>
  <c r="AG106" i="3"/>
  <c r="AM26" i="3"/>
  <c r="AO26" i="3"/>
  <c r="AM20" i="3"/>
  <c r="AO20" i="3"/>
  <c r="AM24" i="3"/>
  <c r="AO24" i="3"/>
  <c r="AM5" i="3"/>
  <c r="AO5" i="3"/>
  <c r="AH19" i="3"/>
  <c r="AM21" i="3"/>
  <c r="AO21" i="3"/>
  <c r="AJ29" i="3"/>
  <c r="AK28" i="3"/>
  <c r="AO28" i="3"/>
  <c r="AM3" i="3"/>
  <c r="AO3" i="3"/>
  <c r="AM32" i="3"/>
  <c r="AO32" i="3"/>
  <c r="AL17" i="3"/>
  <c r="AN17" i="3"/>
  <c r="AL8" i="3"/>
  <c r="AN8" i="3"/>
  <c r="AM37" i="3"/>
  <c r="AO37" i="3"/>
  <c r="AJ16" i="3"/>
  <c r="AI30" i="3"/>
  <c r="AL30" i="3"/>
  <c r="AI26" i="3"/>
  <c r="AL26" i="3"/>
  <c r="AI36" i="3"/>
  <c r="AL36" i="3"/>
  <c r="AH21" i="3"/>
  <c r="AL21" i="3"/>
  <c r="AH9" i="3"/>
  <c r="AL9" i="3"/>
  <c r="AH10" i="3"/>
  <c r="AL10" i="3"/>
  <c r="AJ8" i="3"/>
  <c r="AI18" i="3"/>
  <c r="AL18" i="3"/>
  <c r="AH31" i="3"/>
  <c r="AL31" i="3"/>
  <c r="AI29" i="3"/>
  <c r="AL29" i="3"/>
  <c r="AH39" i="3"/>
  <c r="AL39" i="3"/>
  <c r="AI28" i="3"/>
  <c r="AL28" i="3"/>
  <c r="AI19" i="3"/>
  <c r="AL19" i="3"/>
  <c r="AI12" i="3"/>
  <c r="AL12" i="3"/>
  <c r="AJ10" i="3"/>
  <c r="AI3" i="3"/>
  <c r="AL3" i="3"/>
  <c r="AI35" i="3"/>
  <c r="AL35" i="3"/>
  <c r="AI5" i="3"/>
  <c r="AL5" i="3"/>
  <c r="AI37" i="3"/>
  <c r="AL37" i="3"/>
  <c r="AH6" i="3"/>
  <c r="AL6" i="3"/>
  <c r="AH33" i="3"/>
  <c r="AL33" i="3"/>
  <c r="AJ27" i="3"/>
  <c r="AI38" i="3"/>
  <c r="AL38" i="3"/>
  <c r="AH4" i="3"/>
  <c r="AL4" i="3"/>
  <c r="AK13" i="3"/>
  <c r="AI14" i="3"/>
  <c r="AL14" i="3"/>
  <c r="AH15" i="3"/>
  <c r="AL15" i="3"/>
  <c r="AH24" i="3"/>
  <c r="AL24" i="3"/>
  <c r="AH30" i="3"/>
  <c r="AJ36" i="3"/>
  <c r="AI20" i="3"/>
  <c r="AL20" i="3"/>
  <c r="AI13" i="3"/>
  <c r="AL13" i="3"/>
  <c r="AI22" i="3"/>
  <c r="AL22" i="3"/>
  <c r="AI27" i="3"/>
  <c r="AL27" i="3"/>
  <c r="AH11" i="3"/>
  <c r="AJ21" i="3"/>
  <c r="AM39" i="3"/>
  <c r="AJ39" i="3"/>
  <c r="AM9" i="3"/>
  <c r="AJ9" i="3"/>
  <c r="AF34" i="3"/>
  <c r="BD34" i="3" s="1"/>
  <c r="AM31" i="3"/>
  <c r="AJ31" i="3"/>
  <c r="AJ5" i="3"/>
  <c r="AG100" i="3"/>
  <c r="AX100" i="3" s="1"/>
  <c r="AM17" i="3"/>
  <c r="AJ17" i="3"/>
  <c r="AM38" i="3"/>
  <c r="AJ38" i="3"/>
  <c r="AK19" i="3"/>
  <c r="AK37" i="3"/>
  <c r="AI6" i="3"/>
  <c r="AH3" i="3"/>
  <c r="AJ37" i="3"/>
  <c r="AJ13" i="3"/>
  <c r="AJ24" i="3"/>
  <c r="AM25" i="3"/>
  <c r="AJ25" i="3"/>
  <c r="AM6" i="3"/>
  <c r="AJ6" i="3"/>
  <c r="AI4" i="3"/>
  <c r="AH12" i="3"/>
  <c r="AJ11" i="3"/>
  <c r="AJ18" i="3"/>
  <c r="AK2" i="3"/>
  <c r="AM14" i="3"/>
  <c r="AJ14" i="3"/>
  <c r="AM23" i="3"/>
  <c r="AJ23" i="3"/>
  <c r="AH5" i="3"/>
  <c r="AJ19" i="3"/>
  <c r="AJ3" i="3"/>
  <c r="AJ12" i="3"/>
  <c r="AJ26" i="3"/>
  <c r="AM7" i="3"/>
  <c r="AJ7" i="3"/>
  <c r="AM15" i="3"/>
  <c r="AJ15" i="3"/>
  <c r="AK32" i="3"/>
  <c r="AJ28" i="3"/>
  <c r="AM22" i="3"/>
  <c r="AJ22" i="3"/>
  <c r="AM30" i="3"/>
  <c r="AJ30" i="3"/>
  <c r="AJ20" i="3"/>
  <c r="W71" i="3"/>
  <c r="AG214" i="3"/>
  <c r="V191" i="3"/>
  <c r="AG107" i="3"/>
  <c r="AX107" i="3" s="1"/>
  <c r="AH28" i="3"/>
  <c r="AK25" i="3"/>
  <c r="AI10" i="3"/>
  <c r="AI15" i="3"/>
  <c r="AI39" i="3"/>
  <c r="AH22" i="3"/>
  <c r="AH27" i="3"/>
  <c r="M241" i="3"/>
  <c r="L241" i="3" s="1"/>
  <c r="AG97" i="3"/>
  <c r="AK36" i="3"/>
  <c r="AK21" i="3"/>
  <c r="AI25" i="3"/>
  <c r="AH25" i="3"/>
  <c r="AK8" i="3"/>
  <c r="AK39" i="3"/>
  <c r="AI17" i="3"/>
  <c r="AH17" i="3"/>
  <c r="V161" i="3"/>
  <c r="V142" i="3"/>
  <c r="AK30" i="3"/>
  <c r="AI33" i="3"/>
  <c r="AK7" i="3"/>
  <c r="AI16" i="3"/>
  <c r="AH16" i="3"/>
  <c r="AH37" i="3"/>
  <c r="AH13" i="3"/>
  <c r="AH36" i="3"/>
  <c r="M46" i="3"/>
  <c r="L46" i="3" s="1"/>
  <c r="AH38" i="3"/>
  <c r="AK5" i="3"/>
  <c r="AI7" i="3"/>
  <c r="AH7" i="3"/>
  <c r="AH35" i="3"/>
  <c r="AH18" i="3"/>
  <c r="AI32" i="3"/>
  <c r="AH32" i="3"/>
  <c r="W163" i="3"/>
  <c r="AK27" i="3"/>
  <c r="AI23" i="3"/>
  <c r="AH23" i="3"/>
  <c r="AI8" i="3"/>
  <c r="AH8" i="3"/>
  <c r="AG114" i="3"/>
  <c r="AX114" i="3" s="1"/>
  <c r="AK3" i="3"/>
  <c r="AI31" i="3"/>
  <c r="AI24" i="3"/>
  <c r="AH29" i="3"/>
  <c r="AH26" i="3"/>
  <c r="AG41" i="3"/>
  <c r="AX41" i="3" s="1"/>
  <c r="AF41" i="3"/>
  <c r="BB41" i="3" s="1"/>
  <c r="AG146" i="3"/>
  <c r="AX146" i="3" s="1"/>
  <c r="AG76" i="3"/>
  <c r="AX76" i="3" s="1"/>
  <c r="AG211" i="3"/>
  <c r="AX211" i="3" s="1"/>
  <c r="AG115" i="3"/>
  <c r="AX115" i="3" s="1"/>
  <c r="AG144" i="3"/>
  <c r="AX144" i="3" s="1"/>
  <c r="AG180" i="3"/>
  <c r="AX180" i="3" s="1"/>
  <c r="AG188" i="3"/>
  <c r="AX188" i="3" s="1"/>
  <c r="AG174" i="3"/>
  <c r="AX174" i="3" s="1"/>
  <c r="AG110" i="3"/>
  <c r="AX110" i="3" s="1"/>
  <c r="AG78" i="3"/>
  <c r="AX78" i="3" s="1"/>
  <c r="AG46" i="3"/>
  <c r="AX46" i="3" s="1"/>
  <c r="AG140" i="3"/>
  <c r="AX140" i="3" s="1"/>
  <c r="AG101" i="3"/>
  <c r="AX101" i="3" s="1"/>
  <c r="AG255" i="3"/>
  <c r="AX255" i="3" s="1"/>
  <c r="AG207" i="3"/>
  <c r="AX207" i="3" s="1"/>
  <c r="AG175" i="3"/>
  <c r="AX175" i="3" s="1"/>
  <c r="AG143" i="3"/>
  <c r="AG111" i="3"/>
  <c r="AX111" i="3" s="1"/>
  <c r="AG79" i="3"/>
  <c r="AX79" i="3" s="1"/>
  <c r="AG47" i="3"/>
  <c r="AX47" i="3" s="1"/>
  <c r="AG92" i="3"/>
  <c r="AX92" i="3" s="1"/>
  <c r="AG45" i="3"/>
  <c r="AG200" i="3"/>
  <c r="AX200" i="3" s="1"/>
  <c r="AG136" i="3"/>
  <c r="AX136" i="3" s="1"/>
  <c r="AG72" i="3"/>
  <c r="AX72" i="3" s="1"/>
  <c r="AG129" i="3"/>
  <c r="AX129" i="3" s="1"/>
  <c r="AG73" i="3"/>
  <c r="AX73" i="3" s="1"/>
  <c r="AG172" i="3"/>
  <c r="AX172" i="3" s="1"/>
  <c r="AK20" i="3"/>
  <c r="AK24" i="3"/>
  <c r="AG192" i="3"/>
  <c r="AX192" i="3" s="1"/>
  <c r="AG128" i="3"/>
  <c r="AX128" i="3" s="1"/>
  <c r="AG65" i="3"/>
  <c r="AX65" i="3" s="1"/>
  <c r="AK16" i="3"/>
  <c r="AG227" i="3"/>
  <c r="AX227" i="3" s="1"/>
  <c r="AG196" i="3"/>
  <c r="AX196" i="3" s="1"/>
  <c r="AG262" i="3"/>
  <c r="AX262" i="3" s="1"/>
  <c r="AG198" i="3"/>
  <c r="AX198" i="3" s="1"/>
  <c r="AG166" i="3"/>
  <c r="AX166" i="3" s="1"/>
  <c r="AG134" i="3"/>
  <c r="AX134" i="3" s="1"/>
  <c r="AG201" i="3"/>
  <c r="AX201" i="3" s="1"/>
  <c r="AG84" i="3"/>
  <c r="AX84" i="3" s="1"/>
  <c r="AG247" i="3"/>
  <c r="AG199" i="3"/>
  <c r="AX199" i="3" s="1"/>
  <c r="AG167" i="3"/>
  <c r="AX167" i="3" s="1"/>
  <c r="AG135" i="3"/>
  <c r="AX135" i="3" s="1"/>
  <c r="AG103" i="3"/>
  <c r="AX103" i="3" s="1"/>
  <c r="AG71" i="3"/>
  <c r="AG237" i="3"/>
  <c r="AX237" i="3" s="1"/>
  <c r="AG208" i="3"/>
  <c r="AX208" i="3" s="1"/>
  <c r="AG245" i="3"/>
  <c r="AX245" i="3" s="1"/>
  <c r="AG164" i="3"/>
  <c r="AX164" i="3" s="1"/>
  <c r="AG184" i="3"/>
  <c r="AX184" i="3" s="1"/>
  <c r="AG120" i="3"/>
  <c r="AX120" i="3" s="1"/>
  <c r="AG56" i="3"/>
  <c r="AX56" i="3" s="1"/>
  <c r="AG113" i="3"/>
  <c r="AX113" i="3" s="1"/>
  <c r="AG197" i="3"/>
  <c r="AX197" i="3" s="1"/>
  <c r="AG61" i="3"/>
  <c r="AX61" i="3" s="1"/>
  <c r="AG226" i="3"/>
  <c r="AX226" i="3" s="1"/>
  <c r="AG258" i="3"/>
  <c r="AX258" i="3" s="1"/>
  <c r="AG108" i="3"/>
  <c r="AG205" i="3"/>
  <c r="AX205" i="3" s="1"/>
  <c r="AG241" i="3"/>
  <c r="AX241" i="3" s="1"/>
  <c r="AG181" i="3"/>
  <c r="AX181" i="3" s="1"/>
  <c r="AG217" i="3"/>
  <c r="AX217" i="3" s="1"/>
  <c r="AG254" i="3"/>
  <c r="AX254" i="3" s="1"/>
  <c r="AG194" i="3"/>
  <c r="AX194" i="3" s="1"/>
  <c r="AG162" i="3"/>
  <c r="AX162" i="3" s="1"/>
  <c r="AG130" i="3"/>
  <c r="AX130" i="3" s="1"/>
  <c r="AG98" i="3"/>
  <c r="AX98" i="3" s="1"/>
  <c r="AG66" i="3"/>
  <c r="AX66" i="3" s="1"/>
  <c r="AG193" i="3"/>
  <c r="AX193" i="3" s="1"/>
  <c r="AG257" i="3"/>
  <c r="AX257" i="3" s="1"/>
  <c r="AG148" i="3"/>
  <c r="AG239" i="3"/>
  <c r="AX239" i="3" s="1"/>
  <c r="AG195" i="3"/>
  <c r="AX195" i="3" s="1"/>
  <c r="AG163" i="3"/>
  <c r="AX163" i="3" s="1"/>
  <c r="AG131" i="3"/>
  <c r="AX131" i="3" s="1"/>
  <c r="AG99" i="3"/>
  <c r="AX99" i="3" s="1"/>
  <c r="AG67" i="3"/>
  <c r="AX67" i="3" s="1"/>
  <c r="AG213" i="3"/>
  <c r="AX213" i="3" s="1"/>
  <c r="AG220" i="3"/>
  <c r="AX220" i="3" s="1"/>
  <c r="AG229" i="3"/>
  <c r="AX229" i="3" s="1"/>
  <c r="AG209" i="3"/>
  <c r="AX209" i="3" s="1"/>
  <c r="AG176" i="3"/>
  <c r="AX176" i="3" s="1"/>
  <c r="AG112" i="3"/>
  <c r="AX112" i="3" s="1"/>
  <c r="AG48" i="3"/>
  <c r="AX48" i="3" s="1"/>
  <c r="AG189" i="3"/>
  <c r="AX189" i="3" s="1"/>
  <c r="AG53" i="3"/>
  <c r="AX53" i="3" s="1"/>
  <c r="AG240" i="3"/>
  <c r="AX240" i="3" s="1"/>
  <c r="AG250" i="3"/>
  <c r="AX250" i="3" s="1"/>
  <c r="AG52" i="3"/>
  <c r="AX52" i="3" s="1"/>
  <c r="AF218" i="3"/>
  <c r="AG218" i="3"/>
  <c r="AX218" i="3" s="1"/>
  <c r="AM33" i="3"/>
  <c r="AK33" i="3"/>
  <c r="AK11" i="3"/>
  <c r="AK38" i="3"/>
  <c r="AK9" i="3"/>
  <c r="AG34" i="3"/>
  <c r="AX34" i="3" s="1"/>
  <c r="AK18" i="3"/>
  <c r="AG147" i="3"/>
  <c r="AX147" i="3" s="1"/>
  <c r="AG51" i="3"/>
  <c r="AX51" i="3" s="1"/>
  <c r="AG145" i="3"/>
  <c r="AX145" i="3" s="1"/>
  <c r="AG252" i="3"/>
  <c r="AX252" i="3" s="1"/>
  <c r="AG121" i="3"/>
  <c r="AX121" i="3" s="1"/>
  <c r="AG116" i="3"/>
  <c r="AX116" i="3" s="1"/>
  <c r="AG266" i="3"/>
  <c r="AX266" i="3" s="1"/>
  <c r="AG161" i="3"/>
  <c r="AX161" i="3" s="1"/>
  <c r="AG228" i="3"/>
  <c r="AX228" i="3" s="1"/>
  <c r="AG246" i="3"/>
  <c r="AX246" i="3" s="1"/>
  <c r="AG190" i="3"/>
  <c r="AX190" i="3" s="1"/>
  <c r="AG158" i="3"/>
  <c r="AX158" i="3" s="1"/>
  <c r="AG126" i="3"/>
  <c r="AX126" i="3" s="1"/>
  <c r="AG94" i="3"/>
  <c r="AX94" i="3" s="1"/>
  <c r="AG62" i="3"/>
  <c r="AX62" i="3" s="1"/>
  <c r="AG177" i="3"/>
  <c r="AX177" i="3" s="1"/>
  <c r="AG263" i="3"/>
  <c r="AX263" i="3" s="1"/>
  <c r="AG169" i="3"/>
  <c r="AX169" i="3" s="1"/>
  <c r="AG204" i="3"/>
  <c r="AX204" i="3" s="1"/>
  <c r="AG231" i="3"/>
  <c r="AX231" i="3" s="1"/>
  <c r="AG191" i="3"/>
  <c r="AX191" i="3" s="1"/>
  <c r="AG159" i="3"/>
  <c r="AX159" i="3" s="1"/>
  <c r="AG127" i="3"/>
  <c r="AX127" i="3" s="1"/>
  <c r="AG95" i="3"/>
  <c r="AX95" i="3" s="1"/>
  <c r="AG63" i="3"/>
  <c r="AX63" i="3" s="1"/>
  <c r="AG165" i="3"/>
  <c r="AX165" i="3" s="1"/>
  <c r="AG248" i="3"/>
  <c r="AX248" i="3" s="1"/>
  <c r="AG185" i="3"/>
  <c r="AX185" i="3" s="1"/>
  <c r="AG224" i="3"/>
  <c r="AG168" i="3"/>
  <c r="AG104" i="3"/>
  <c r="AX104" i="3" s="1"/>
  <c r="AG149" i="3"/>
  <c r="AX149" i="3" s="1"/>
  <c r="AG49" i="3"/>
  <c r="AX49" i="3" s="1"/>
  <c r="AG251" i="3"/>
  <c r="AX251" i="3" s="1"/>
  <c r="AG234" i="3"/>
  <c r="AX234" i="3" s="1"/>
  <c r="AG44" i="3"/>
  <c r="AX44" i="3" s="1"/>
  <c r="AK14" i="3"/>
  <c r="AK31" i="3"/>
  <c r="AG178" i="3"/>
  <c r="AX178" i="3" s="1"/>
  <c r="AG50" i="3"/>
  <c r="AG117" i="3"/>
  <c r="AX117" i="3" s="1"/>
  <c r="AG83" i="3"/>
  <c r="AX83" i="3" s="1"/>
  <c r="AG81" i="3"/>
  <c r="AX81" i="3" s="1"/>
  <c r="AG210" i="3"/>
  <c r="AX210" i="3" s="1"/>
  <c r="AG212" i="3"/>
  <c r="AX212" i="3" s="1"/>
  <c r="AG109" i="3"/>
  <c r="AX109" i="3" s="1"/>
  <c r="AG242" i="3"/>
  <c r="AX238" i="3"/>
  <c r="AG186" i="3"/>
  <c r="AX186" i="3" s="1"/>
  <c r="AG154" i="3"/>
  <c r="AX154" i="3" s="1"/>
  <c r="AG122" i="3"/>
  <c r="AX122" i="3" s="1"/>
  <c r="AG90" i="3"/>
  <c r="AG58" i="3"/>
  <c r="AX58" i="3" s="1"/>
  <c r="AG153" i="3"/>
  <c r="AX153" i="3" s="1"/>
  <c r="AG157" i="3"/>
  <c r="AX157" i="3" s="1"/>
  <c r="AG219" i="3"/>
  <c r="AX219" i="3" s="1"/>
  <c r="AG223" i="3"/>
  <c r="AX223" i="3" s="1"/>
  <c r="AG187" i="3"/>
  <c r="AX187" i="3" s="1"/>
  <c r="AG155" i="3"/>
  <c r="AX155" i="3" s="1"/>
  <c r="AG123" i="3"/>
  <c r="AX123" i="3" s="1"/>
  <c r="AG91" i="3"/>
  <c r="AX91" i="3" s="1"/>
  <c r="AG59" i="3"/>
  <c r="AX59" i="3" s="1"/>
  <c r="AG137" i="3"/>
  <c r="AG133" i="3"/>
  <c r="AX133" i="3" s="1"/>
  <c r="AG260" i="3"/>
  <c r="AX260" i="3" s="1"/>
  <c r="AG160" i="3"/>
  <c r="AX160" i="3" s="1"/>
  <c r="AG96" i="3"/>
  <c r="AX96" i="3" s="1"/>
  <c r="AG40" i="3"/>
  <c r="AX40" i="3" s="1"/>
  <c r="AG141" i="3"/>
  <c r="AX141" i="3" s="1"/>
  <c r="AG265" i="3"/>
  <c r="AX265" i="3" s="1"/>
  <c r="AG236" i="3"/>
  <c r="AX236" i="3" s="1"/>
  <c r="AG259" i="3"/>
  <c r="AX259" i="3" s="1"/>
  <c r="AG249" i="3"/>
  <c r="AX249" i="3" s="1"/>
  <c r="AK10" i="3"/>
  <c r="AG124" i="3"/>
  <c r="AX124" i="3" s="1"/>
  <c r="AG222" i="3"/>
  <c r="AX222" i="3" s="1"/>
  <c r="AG82" i="3"/>
  <c r="AX82" i="3" s="1"/>
  <c r="AG179" i="3"/>
  <c r="AX179" i="3" s="1"/>
  <c r="AG77" i="3"/>
  <c r="AX77" i="3" s="1"/>
  <c r="AG80" i="3"/>
  <c r="AX80" i="3" s="1"/>
  <c r="AK12" i="3"/>
  <c r="AF216" i="3"/>
  <c r="BB216" i="3" s="1"/>
  <c r="AG216" i="3"/>
  <c r="AX216" i="3" s="1"/>
  <c r="AG261" i="3"/>
  <c r="AG132" i="3"/>
  <c r="AX132" i="3" s="1"/>
  <c r="AG206" i="3"/>
  <c r="AX206" i="3" s="1"/>
  <c r="AG170" i="3"/>
  <c r="AX170" i="3" s="1"/>
  <c r="AG138" i="3"/>
  <c r="AX138" i="3" s="1"/>
  <c r="AG74" i="3"/>
  <c r="AX74" i="3" s="1"/>
  <c r="AG42" i="3"/>
  <c r="AX42" i="3" s="1"/>
  <c r="AG232" i="3"/>
  <c r="AX232" i="3" s="1"/>
  <c r="AG57" i="3"/>
  <c r="AG203" i="3"/>
  <c r="AX203" i="3" s="1"/>
  <c r="AG171" i="3"/>
  <c r="AX171" i="3" s="1"/>
  <c r="AG139" i="3"/>
  <c r="AX139" i="3" s="1"/>
  <c r="AG75" i="3"/>
  <c r="AX75" i="3" s="1"/>
  <c r="AG43" i="3"/>
  <c r="AX43" i="3" s="1"/>
  <c r="AG156" i="3"/>
  <c r="AX156" i="3" s="1"/>
  <c r="AG253" i="3"/>
  <c r="AX253" i="3" s="1"/>
  <c r="AG85" i="3"/>
  <c r="AX85" i="3" s="1"/>
  <c r="AG256" i="3"/>
  <c r="AX256" i="3" s="1"/>
  <c r="AG150" i="3"/>
  <c r="AX150" i="3" s="1"/>
  <c r="AG118" i="3"/>
  <c r="AX118" i="3" s="1"/>
  <c r="AG86" i="3"/>
  <c r="AX86" i="3" s="1"/>
  <c r="AG54" i="3"/>
  <c r="AX54" i="3" s="1"/>
  <c r="AG105" i="3"/>
  <c r="AX105" i="3" s="1"/>
  <c r="AG125" i="3"/>
  <c r="AX125" i="3" s="1"/>
  <c r="AG233" i="3"/>
  <c r="AX233" i="3" s="1"/>
  <c r="AG215" i="3"/>
  <c r="AX215" i="3" s="1"/>
  <c r="AG183" i="3"/>
  <c r="AX183" i="3" s="1"/>
  <c r="AG151" i="3"/>
  <c r="AX151" i="3" s="1"/>
  <c r="AG119" i="3"/>
  <c r="AX119" i="3" s="1"/>
  <c r="AG87" i="3"/>
  <c r="AX87" i="3" s="1"/>
  <c r="AG55" i="3"/>
  <c r="AX55" i="3" s="1"/>
  <c r="AG69" i="3"/>
  <c r="AX69" i="3" s="1"/>
  <c r="AG89" i="3"/>
  <c r="AX89" i="3" s="1"/>
  <c r="AG152" i="3"/>
  <c r="AX152" i="3" s="1"/>
  <c r="AG88" i="3"/>
  <c r="AX88" i="3" s="1"/>
  <c r="AG173" i="3"/>
  <c r="AX173" i="3" s="1"/>
  <c r="AG93" i="3"/>
  <c r="AX93" i="3" s="1"/>
  <c r="AG264" i="3"/>
  <c r="AX264" i="3" s="1"/>
  <c r="AG235" i="3"/>
  <c r="AX235" i="3" s="1"/>
  <c r="AG225" i="3"/>
  <c r="AX225" i="3" s="1"/>
  <c r="AK29" i="3"/>
  <c r="AK22" i="3"/>
  <c r="AK17" i="3"/>
  <c r="AK26" i="3"/>
  <c r="AF230" i="3"/>
  <c r="BB230" i="3" s="1"/>
  <c r="AF54" i="3"/>
  <c r="BB54" i="3" s="1"/>
  <c r="AF125" i="3"/>
  <c r="BB125" i="3" s="1"/>
  <c r="AF151" i="3"/>
  <c r="BB151" i="3" s="1"/>
  <c r="AF69" i="3"/>
  <c r="BB69" i="3" s="1"/>
  <c r="AF152" i="3"/>
  <c r="BB152" i="3" s="1"/>
  <c r="AF235" i="3"/>
  <c r="BB235" i="3" s="1"/>
  <c r="AF211" i="3"/>
  <c r="BB211" i="3" s="1"/>
  <c r="AF255" i="3"/>
  <c r="BB255" i="3" s="1"/>
  <c r="AF261" i="3"/>
  <c r="BB261" i="3" s="1"/>
  <c r="AF132" i="3"/>
  <c r="BB132" i="3" s="1"/>
  <c r="AF206" i="3"/>
  <c r="BB206" i="3" s="1"/>
  <c r="AF170" i="3"/>
  <c r="AF138" i="3"/>
  <c r="BB138" i="3" s="1"/>
  <c r="AF106" i="3"/>
  <c r="BB106" i="3" s="1"/>
  <c r="AF74" i="3"/>
  <c r="BB74" i="3" s="1"/>
  <c r="AF42" i="3"/>
  <c r="BB42" i="3" s="1"/>
  <c r="AF232" i="3"/>
  <c r="BB232" i="3" s="1"/>
  <c r="AF57" i="3"/>
  <c r="AF203" i="3"/>
  <c r="BB203" i="3" s="1"/>
  <c r="AF171" i="3"/>
  <c r="BB171" i="3" s="1"/>
  <c r="AF139" i="3"/>
  <c r="BB139" i="3" s="1"/>
  <c r="AF107" i="3"/>
  <c r="BB107" i="3" s="1"/>
  <c r="AF75" i="3"/>
  <c r="BB75" i="3" s="1"/>
  <c r="AF43" i="3"/>
  <c r="AF156" i="3"/>
  <c r="BB156" i="3" s="1"/>
  <c r="AF253" i="3"/>
  <c r="BB253" i="3" s="1"/>
  <c r="AF100" i="3"/>
  <c r="BB100" i="3" s="1"/>
  <c r="AF192" i="3"/>
  <c r="BB192" i="3" s="1"/>
  <c r="AF128" i="3"/>
  <c r="BB128" i="3" s="1"/>
  <c r="AF64" i="3"/>
  <c r="BB64" i="3" s="1"/>
  <c r="AF121" i="3"/>
  <c r="AF205" i="3"/>
  <c r="BB205" i="3" s="1"/>
  <c r="AF65" i="3"/>
  <c r="BB65" i="3" s="1"/>
  <c r="AF212" i="3"/>
  <c r="BB212" i="3" s="1"/>
  <c r="AF116" i="3"/>
  <c r="BB116" i="3" s="1"/>
  <c r="AF85" i="3"/>
  <c r="BB85" i="3" s="1"/>
  <c r="AF118" i="3"/>
  <c r="BB118" i="3" s="1"/>
  <c r="AF124" i="3"/>
  <c r="AF146" i="3"/>
  <c r="BB146" i="3" s="1"/>
  <c r="AF50" i="3"/>
  <c r="BB50" i="3" s="1"/>
  <c r="AF115" i="3"/>
  <c r="BB115" i="3" s="1"/>
  <c r="AF144" i="3"/>
  <c r="AF46" i="3"/>
  <c r="AF207" i="3"/>
  <c r="BB207" i="3" s="1"/>
  <c r="AF111" i="3"/>
  <c r="BB111" i="3" s="1"/>
  <c r="AF92" i="3"/>
  <c r="BB92" i="3" s="1"/>
  <c r="AF200" i="3"/>
  <c r="BB200" i="3" s="1"/>
  <c r="AF73" i="3"/>
  <c r="BB73" i="3" s="1"/>
  <c r="AF227" i="3"/>
  <c r="BB227" i="3" s="1"/>
  <c r="AF221" i="3"/>
  <c r="BB221" i="3" s="1"/>
  <c r="AF196" i="3"/>
  <c r="BB196" i="3" s="1"/>
  <c r="AF262" i="3"/>
  <c r="BB262" i="3" s="1"/>
  <c r="AF198" i="3"/>
  <c r="BB198" i="3" s="1"/>
  <c r="AF166" i="3"/>
  <c r="BB166" i="3" s="1"/>
  <c r="AF134" i="3"/>
  <c r="BB134" i="3" s="1"/>
  <c r="AF102" i="3"/>
  <c r="BB102" i="3" s="1"/>
  <c r="AF70" i="3"/>
  <c r="AF201" i="3"/>
  <c r="BB201" i="3" s="1"/>
  <c r="AF243" i="3"/>
  <c r="BB243" i="3" s="1"/>
  <c r="AF84" i="3"/>
  <c r="BB84" i="3" s="1"/>
  <c r="AF247" i="3"/>
  <c r="BB247" i="3" s="1"/>
  <c r="AF199" i="3"/>
  <c r="BB199" i="3" s="1"/>
  <c r="AF167" i="3"/>
  <c r="BB167" i="3" s="1"/>
  <c r="AF135" i="3"/>
  <c r="AF103" i="3"/>
  <c r="BB103" i="3" s="1"/>
  <c r="AF71" i="3"/>
  <c r="AF237" i="3"/>
  <c r="BB237" i="3" s="1"/>
  <c r="AF208" i="3"/>
  <c r="BB208" i="3" s="1"/>
  <c r="AF245" i="3"/>
  <c r="BB245" i="3" s="1"/>
  <c r="AF164" i="3"/>
  <c r="BB164" i="3" s="1"/>
  <c r="AF184" i="3"/>
  <c r="BB184" i="3" s="1"/>
  <c r="AF120" i="3"/>
  <c r="BB120" i="3" s="1"/>
  <c r="AF56" i="3"/>
  <c r="BB56" i="3" s="1"/>
  <c r="AF113" i="3"/>
  <c r="AF197" i="3"/>
  <c r="BB197" i="3" s="1"/>
  <c r="AF61" i="3"/>
  <c r="BB61" i="3" s="1"/>
  <c r="AF226" i="3"/>
  <c r="AF258" i="3"/>
  <c r="BB258" i="3" s="1"/>
  <c r="AF108" i="3"/>
  <c r="BB108" i="3" s="1"/>
  <c r="AM28" i="3"/>
  <c r="AF150" i="3"/>
  <c r="BB150" i="3" s="1"/>
  <c r="AF215" i="3"/>
  <c r="BB215" i="3" s="1"/>
  <c r="AF87" i="3"/>
  <c r="BB87" i="3" s="1"/>
  <c r="AF89" i="3"/>
  <c r="BB89" i="3" s="1"/>
  <c r="AF173" i="3"/>
  <c r="BB173" i="3" s="1"/>
  <c r="AF264" i="3"/>
  <c r="BB264" i="3" s="1"/>
  <c r="AF178" i="3"/>
  <c r="BB178" i="3" s="1"/>
  <c r="AF82" i="3"/>
  <c r="BB82" i="3" s="1"/>
  <c r="AF244" i="3"/>
  <c r="BB244" i="3" s="1"/>
  <c r="AF83" i="3"/>
  <c r="BB83" i="3" s="1"/>
  <c r="AF252" i="3"/>
  <c r="BB252" i="3" s="1"/>
  <c r="AF210" i="3"/>
  <c r="BB210" i="3" s="1"/>
  <c r="AF214" i="3"/>
  <c r="BB214" i="3" s="1"/>
  <c r="AF110" i="3"/>
  <c r="BB110" i="3" s="1"/>
  <c r="AF143" i="3"/>
  <c r="BB143" i="3" s="1"/>
  <c r="AF47" i="3"/>
  <c r="BB47" i="3" s="1"/>
  <c r="AF45" i="3"/>
  <c r="AF136" i="3"/>
  <c r="BB136" i="3" s="1"/>
  <c r="W113" i="3"/>
  <c r="M43" i="3"/>
  <c r="L43" i="3" s="1"/>
  <c r="W260" i="3"/>
  <c r="W263" i="3"/>
  <c r="AF241" i="3"/>
  <c r="BB241" i="3" s="1"/>
  <c r="AF181" i="3"/>
  <c r="BB181" i="3" s="1"/>
  <c r="AF217" i="3"/>
  <c r="BB217" i="3" s="1"/>
  <c r="AF254" i="3"/>
  <c r="BB254" i="3" s="1"/>
  <c r="AF194" i="3"/>
  <c r="BB194" i="3" s="1"/>
  <c r="AF162" i="3"/>
  <c r="BB162" i="3" s="1"/>
  <c r="AF130" i="3"/>
  <c r="BB130" i="3" s="1"/>
  <c r="AF98" i="3"/>
  <c r="BB98" i="3" s="1"/>
  <c r="AF66" i="3"/>
  <c r="BB66" i="3" s="1"/>
  <c r="AF193" i="3"/>
  <c r="BB193" i="3" s="1"/>
  <c r="AF257" i="3"/>
  <c r="BB257" i="3" s="1"/>
  <c r="AF148" i="3"/>
  <c r="BB148" i="3" s="1"/>
  <c r="AF239" i="3"/>
  <c r="BB239" i="3" s="1"/>
  <c r="AF195" i="3"/>
  <c r="BB195" i="3" s="1"/>
  <c r="AF163" i="3"/>
  <c r="BB163" i="3" s="1"/>
  <c r="AF131" i="3"/>
  <c r="BB131" i="3" s="1"/>
  <c r="AF99" i="3"/>
  <c r="BB99" i="3" s="1"/>
  <c r="AF67" i="3"/>
  <c r="BB67" i="3" s="1"/>
  <c r="AF220" i="3"/>
  <c r="BB220" i="3" s="1"/>
  <c r="AF229" i="3"/>
  <c r="BB229" i="3" s="1"/>
  <c r="AF209" i="3"/>
  <c r="BB209" i="3" s="1"/>
  <c r="AF176" i="3"/>
  <c r="BB176" i="3" s="1"/>
  <c r="AF112" i="3"/>
  <c r="BB112" i="3" s="1"/>
  <c r="AF48" i="3"/>
  <c r="BB48" i="3" s="1"/>
  <c r="AF97" i="3"/>
  <c r="BB97" i="3" s="1"/>
  <c r="AF189" i="3"/>
  <c r="BB189" i="3" s="1"/>
  <c r="AF53" i="3"/>
  <c r="BB53" i="3" s="1"/>
  <c r="AF240" i="3"/>
  <c r="BB240" i="3" s="1"/>
  <c r="AF250" i="3"/>
  <c r="BB250" i="3" s="1"/>
  <c r="AF52" i="3"/>
  <c r="BB52" i="3" s="1"/>
  <c r="AF105" i="3"/>
  <c r="BB105" i="3" s="1"/>
  <c r="AF233" i="3"/>
  <c r="BB233" i="3" s="1"/>
  <c r="AF119" i="3"/>
  <c r="BB119" i="3" s="1"/>
  <c r="AF88" i="3"/>
  <c r="BB88" i="3" s="1"/>
  <c r="AF225" i="3"/>
  <c r="BB225" i="3" s="1"/>
  <c r="AF267" i="3"/>
  <c r="BB267" i="3" s="1"/>
  <c r="AF76" i="3"/>
  <c r="BB76" i="3" s="1"/>
  <c r="AF147" i="3"/>
  <c r="BB147" i="3" s="1"/>
  <c r="AF145" i="3"/>
  <c r="BB145" i="3" s="1"/>
  <c r="AF188" i="3"/>
  <c r="BB188" i="3" s="1"/>
  <c r="AF68" i="3"/>
  <c r="BB68" i="3" s="1"/>
  <c r="AF78" i="3"/>
  <c r="BB78" i="3" s="1"/>
  <c r="AF79" i="3"/>
  <c r="BB79" i="3" s="1"/>
  <c r="AF72" i="3"/>
  <c r="BB72" i="3" s="1"/>
  <c r="AF172" i="3"/>
  <c r="BB172" i="3" s="1"/>
  <c r="M191" i="3"/>
  <c r="L191" i="3" s="1"/>
  <c r="V189" i="3"/>
  <c r="M165" i="3"/>
  <c r="L165" i="3" s="1"/>
  <c r="M132" i="3"/>
  <c r="L132" i="3" s="1"/>
  <c r="W223" i="3"/>
  <c r="AF266" i="3"/>
  <c r="BB266" i="3" s="1"/>
  <c r="AF161" i="3"/>
  <c r="BB161" i="3" s="1"/>
  <c r="AF228" i="3"/>
  <c r="BB228" i="3" s="1"/>
  <c r="AF246" i="3"/>
  <c r="BB246" i="3" s="1"/>
  <c r="AF190" i="3"/>
  <c r="BB190" i="3" s="1"/>
  <c r="AF158" i="3"/>
  <c r="BB158" i="3" s="1"/>
  <c r="AF126" i="3"/>
  <c r="BB126" i="3" s="1"/>
  <c r="AF94" i="3"/>
  <c r="BB94" i="3" s="1"/>
  <c r="AF62" i="3"/>
  <c r="BB62" i="3" s="1"/>
  <c r="AF177" i="3"/>
  <c r="BB177" i="3" s="1"/>
  <c r="AF263" i="3"/>
  <c r="BB263" i="3" s="1"/>
  <c r="AF169" i="3"/>
  <c r="BB169" i="3" s="1"/>
  <c r="AF204" i="3"/>
  <c r="BB204" i="3" s="1"/>
  <c r="AF231" i="3"/>
  <c r="BB231" i="3" s="1"/>
  <c r="AF191" i="3"/>
  <c r="BB191" i="3" s="1"/>
  <c r="AF159" i="3"/>
  <c r="BB159" i="3" s="1"/>
  <c r="AF127" i="3"/>
  <c r="BB127" i="3" s="1"/>
  <c r="AF95" i="3"/>
  <c r="BB95" i="3" s="1"/>
  <c r="AF63" i="3"/>
  <c r="BB63" i="3" s="1"/>
  <c r="AF165" i="3"/>
  <c r="BB165" i="3" s="1"/>
  <c r="AF248" i="3"/>
  <c r="BB248" i="3" s="1"/>
  <c r="AF185" i="3"/>
  <c r="BB185" i="3" s="1"/>
  <c r="AF224" i="3"/>
  <c r="BB224" i="3" s="1"/>
  <c r="AF168" i="3"/>
  <c r="BB168" i="3" s="1"/>
  <c r="AF104" i="3"/>
  <c r="BB104" i="3" s="1"/>
  <c r="AF149" i="3"/>
  <c r="BB149" i="3" s="1"/>
  <c r="AF49" i="3"/>
  <c r="BB49" i="3" s="1"/>
  <c r="AF251" i="3"/>
  <c r="BB251" i="3" s="1"/>
  <c r="AF234" i="3"/>
  <c r="BB234" i="3" s="1"/>
  <c r="AF44" i="3"/>
  <c r="BB44" i="3" s="1"/>
  <c r="AM4" i="3"/>
  <c r="AF60" i="3"/>
  <c r="BB60" i="3" s="1"/>
  <c r="AF256" i="3"/>
  <c r="BB256" i="3" s="1"/>
  <c r="AF86" i="3"/>
  <c r="BB86" i="3" s="1"/>
  <c r="AF183" i="3"/>
  <c r="BB183" i="3" s="1"/>
  <c r="AF55" i="3"/>
  <c r="BB55" i="3" s="1"/>
  <c r="AF93" i="3"/>
  <c r="BB93" i="3" s="1"/>
  <c r="AF222" i="3"/>
  <c r="BB222" i="3" s="1"/>
  <c r="AF114" i="3"/>
  <c r="BB114" i="3" s="1"/>
  <c r="AF117" i="3"/>
  <c r="BB117" i="3" s="1"/>
  <c r="AF179" i="3"/>
  <c r="BB179" i="3" s="1"/>
  <c r="AF51" i="3"/>
  <c r="BB51" i="3" s="1"/>
  <c r="AF77" i="3"/>
  <c r="BB77" i="3" s="1"/>
  <c r="AF80" i="3"/>
  <c r="BB80" i="3" s="1"/>
  <c r="AF81" i="3"/>
  <c r="BB81" i="3" s="1"/>
  <c r="AF180" i="3"/>
  <c r="BB180" i="3" s="1"/>
  <c r="W167" i="3"/>
  <c r="AF174" i="3"/>
  <c r="BB174" i="3" s="1"/>
  <c r="AF140" i="3"/>
  <c r="BB140" i="3" s="1"/>
  <c r="AF101" i="3"/>
  <c r="BB101" i="3" s="1"/>
  <c r="AF175" i="3"/>
  <c r="BB175" i="3" s="1"/>
  <c r="AF129" i="3"/>
  <c r="BB129" i="3" s="1"/>
  <c r="AM202" i="3"/>
  <c r="W43" i="3"/>
  <c r="V192" i="3"/>
  <c r="W155" i="3"/>
  <c r="M108" i="3"/>
  <c r="L108" i="3" s="1"/>
  <c r="W168" i="3"/>
  <c r="AF109" i="3"/>
  <c r="BB109" i="3" s="1"/>
  <c r="AF242" i="3"/>
  <c r="BB242" i="3" s="1"/>
  <c r="AF238" i="3"/>
  <c r="BB238" i="3" s="1"/>
  <c r="AF186" i="3"/>
  <c r="BB186" i="3" s="1"/>
  <c r="AF154" i="3"/>
  <c r="BB154" i="3" s="1"/>
  <c r="AF122" i="3"/>
  <c r="BB122" i="3" s="1"/>
  <c r="AF90" i="3"/>
  <c r="BB90" i="3" s="1"/>
  <c r="AF58" i="3"/>
  <c r="BB58" i="3" s="1"/>
  <c r="AF153" i="3"/>
  <c r="BB153" i="3" s="1"/>
  <c r="AF157" i="3"/>
  <c r="BB157" i="3" s="1"/>
  <c r="AF219" i="3"/>
  <c r="BB219" i="3" s="1"/>
  <c r="AF223" i="3"/>
  <c r="BB223" i="3" s="1"/>
  <c r="AF187" i="3"/>
  <c r="BB187" i="3" s="1"/>
  <c r="AF155" i="3"/>
  <c r="BB155" i="3" s="1"/>
  <c r="AF123" i="3"/>
  <c r="BB123" i="3" s="1"/>
  <c r="AF91" i="3"/>
  <c r="BB91" i="3" s="1"/>
  <c r="AF59" i="3"/>
  <c r="BB59" i="3" s="1"/>
  <c r="AF137" i="3"/>
  <c r="BB137" i="3" s="1"/>
  <c r="AF133" i="3"/>
  <c r="BB133" i="3" s="1"/>
  <c r="AF260" i="3"/>
  <c r="BB260" i="3" s="1"/>
  <c r="AF160" i="3"/>
  <c r="BB160" i="3" s="1"/>
  <c r="AF96" i="3"/>
  <c r="BB96" i="3" s="1"/>
  <c r="AF40" i="3"/>
  <c r="BB40" i="3" s="1"/>
  <c r="AF141" i="3"/>
  <c r="BB141" i="3" s="1"/>
  <c r="AF265" i="3"/>
  <c r="BB265" i="3" s="1"/>
  <c r="AF236" i="3"/>
  <c r="BB236" i="3" s="1"/>
  <c r="AF259" i="3"/>
  <c r="BB259" i="3" s="1"/>
  <c r="AF249" i="3"/>
  <c r="BB249" i="3" s="1"/>
  <c r="AS202" i="3"/>
  <c r="AS188" i="3"/>
  <c r="AS72" i="3"/>
  <c r="M201" i="3"/>
  <c r="L201" i="3" s="1"/>
  <c r="W172" i="3"/>
  <c r="W150" i="3"/>
  <c r="M116" i="3"/>
  <c r="L116" i="3" s="1"/>
  <c r="V108" i="3"/>
  <c r="AS181" i="3"/>
  <c r="AS217" i="3"/>
  <c r="AS254" i="3"/>
  <c r="AS257" i="3"/>
  <c r="AS239" i="3"/>
  <c r="AS195" i="3"/>
  <c r="AS163" i="3"/>
  <c r="AS131" i="3"/>
  <c r="AS99" i="3"/>
  <c r="AS67" i="3"/>
  <c r="AS220" i="3"/>
  <c r="AS229" i="3"/>
  <c r="AS209" i="3"/>
  <c r="AS176" i="3"/>
  <c r="AS112" i="3"/>
  <c r="AS48" i="3"/>
  <c r="AS189" i="3"/>
  <c r="AS53" i="3"/>
  <c r="AS108" i="3"/>
  <c r="AS78" i="3"/>
  <c r="AS200" i="3"/>
  <c r="AS210" i="3"/>
  <c r="V44" i="3"/>
  <c r="AS261" i="3"/>
  <c r="AS171" i="3"/>
  <c r="AS43" i="3"/>
  <c r="AS100" i="3"/>
  <c r="AS227" i="3"/>
  <c r="AS196" i="3"/>
  <c r="AS134" i="3"/>
  <c r="AS243" i="3"/>
  <c r="AS237" i="3"/>
  <c r="AS245" i="3"/>
  <c r="V206" i="3"/>
  <c r="AS266" i="3"/>
  <c r="AS161" i="3"/>
  <c r="AS246" i="3"/>
  <c r="AS158" i="3"/>
  <c r="AS126" i="3"/>
  <c r="AS62" i="3"/>
  <c r="AS263" i="3"/>
  <c r="AS204" i="3"/>
  <c r="AS231" i="3"/>
  <c r="AS191" i="3"/>
  <c r="AS63" i="3"/>
  <c r="AS248" i="3"/>
  <c r="AS185" i="3"/>
  <c r="AS224" i="3"/>
  <c r="AS168" i="3"/>
  <c r="AS49" i="3"/>
  <c r="AS240" i="3"/>
  <c r="AS250" i="3"/>
  <c r="AS52" i="3"/>
  <c r="AS174" i="3"/>
  <c r="AS46" i="3"/>
  <c r="AS101" i="3"/>
  <c r="AS45" i="3"/>
  <c r="AS73" i="3"/>
  <c r="AS216" i="3"/>
  <c r="AS206" i="3"/>
  <c r="AS74" i="3"/>
  <c r="AS139" i="3"/>
  <c r="AS192" i="3"/>
  <c r="AS65" i="3"/>
  <c r="AS198" i="3"/>
  <c r="AS70" i="3"/>
  <c r="AS167" i="3"/>
  <c r="AS164" i="3"/>
  <c r="AS113" i="3"/>
  <c r="AS212" i="3"/>
  <c r="AS116" i="3"/>
  <c r="M200" i="3"/>
  <c r="L200" i="3" s="1"/>
  <c r="M185" i="3"/>
  <c r="L185" i="3" s="1"/>
  <c r="M137" i="3"/>
  <c r="L137" i="3" s="1"/>
  <c r="W206" i="3"/>
  <c r="V200" i="3"/>
  <c r="V50" i="3"/>
  <c r="V220" i="3"/>
  <c r="AS109" i="3"/>
  <c r="AS242" i="3"/>
  <c r="AS238" i="3"/>
  <c r="AS186" i="3"/>
  <c r="AS90" i="3"/>
  <c r="AS58" i="3"/>
  <c r="AS153" i="3"/>
  <c r="AS157" i="3"/>
  <c r="AS219" i="3"/>
  <c r="AS223" i="3"/>
  <c r="AS187" i="3"/>
  <c r="AS155" i="3"/>
  <c r="AS123" i="3"/>
  <c r="AS91" i="3"/>
  <c r="AS59" i="3"/>
  <c r="AS260" i="3"/>
  <c r="AS160" i="3"/>
  <c r="AS258" i="3"/>
  <c r="AS234" i="3"/>
  <c r="AS68" i="3"/>
  <c r="AS110" i="3"/>
  <c r="AS255" i="3"/>
  <c r="AS252" i="3"/>
  <c r="AS42" i="3"/>
  <c r="AS107" i="3"/>
  <c r="AS253" i="3"/>
  <c r="AS64" i="3"/>
  <c r="V203" i="3"/>
  <c r="AS221" i="3"/>
  <c r="AS166" i="3"/>
  <c r="AS201" i="3"/>
  <c r="AS84" i="3"/>
  <c r="AS120" i="3"/>
  <c r="M179" i="3"/>
  <c r="L179" i="3" s="1"/>
  <c r="V140" i="3"/>
  <c r="M203" i="3"/>
  <c r="L203" i="3" s="1"/>
  <c r="M188" i="3"/>
  <c r="L188" i="3" s="1"/>
  <c r="M171" i="3"/>
  <c r="L171" i="3" s="1"/>
  <c r="W162" i="3"/>
  <c r="V134" i="3"/>
  <c r="AS60" i="3"/>
  <c r="AS85" i="3"/>
  <c r="AS256" i="3"/>
  <c r="AS230" i="3"/>
  <c r="AS118" i="3"/>
  <c r="AS86" i="3"/>
  <c r="AS125" i="3"/>
  <c r="AS183" i="3"/>
  <c r="AS69" i="3"/>
  <c r="AS89" i="3"/>
  <c r="AS152" i="3"/>
  <c r="AS88" i="3"/>
  <c r="AS264" i="3"/>
  <c r="AS236" i="3"/>
  <c r="AS249" i="3"/>
  <c r="AS214" i="3"/>
  <c r="AS175" i="3"/>
  <c r="AS180" i="3"/>
  <c r="W42" i="3"/>
  <c r="AS203" i="3"/>
  <c r="AS75" i="3"/>
  <c r="AS128" i="3"/>
  <c r="AS205" i="3"/>
  <c r="V205" i="3"/>
  <c r="AS262" i="3"/>
  <c r="AS102" i="3"/>
  <c r="AS199" i="3"/>
  <c r="AS184" i="3"/>
  <c r="V177" i="3"/>
  <c r="W154" i="3"/>
  <c r="M133" i="3"/>
  <c r="L133" i="3" s="1"/>
  <c r="M113" i="3"/>
  <c r="L113" i="3" s="1"/>
  <c r="M119" i="3"/>
  <c r="L119" i="3" s="1"/>
  <c r="W105" i="3"/>
  <c r="AS267" i="3"/>
  <c r="AS222" i="3"/>
  <c r="AS178" i="3"/>
  <c r="AS76" i="3"/>
  <c r="AS244" i="3"/>
  <c r="AS211" i="3"/>
  <c r="AS179" i="3"/>
  <c r="AS83" i="3"/>
  <c r="AS77" i="3"/>
  <c r="AS80" i="3"/>
  <c r="AS81" i="3"/>
  <c r="AS225" i="3"/>
  <c r="W165" i="3"/>
  <c r="W144" i="3"/>
  <c r="V62" i="3"/>
  <c r="W221" i="3"/>
  <c r="W142" i="3"/>
  <c r="M89" i="3"/>
  <c r="L89" i="3" s="1"/>
  <c r="M198" i="3"/>
  <c r="L198" i="3" s="1"/>
  <c r="M101" i="3"/>
  <c r="L101" i="3" s="1"/>
  <c r="M240" i="3"/>
  <c r="L240" i="3" s="1"/>
  <c r="V164" i="3"/>
  <c r="V48" i="3"/>
  <c r="W153" i="3"/>
  <c r="M121" i="3"/>
  <c r="L121" i="3" s="1"/>
  <c r="M45" i="3"/>
  <c r="L45" i="3" s="1"/>
  <c r="M136" i="3"/>
  <c r="L136" i="3" s="1"/>
  <c r="M47" i="3"/>
  <c r="L47" i="3" s="1"/>
  <c r="W219" i="3"/>
  <c r="W106" i="3"/>
  <c r="V202" i="3"/>
  <c r="W126" i="3"/>
  <c r="V176" i="3"/>
  <c r="W104" i="3"/>
  <c r="V51" i="3"/>
  <c r="BA34" i="3"/>
  <c r="W149" i="3"/>
  <c r="V158" i="3"/>
  <c r="V116" i="3"/>
  <c r="W243" i="3"/>
  <c r="W158" i="3"/>
  <c r="M166" i="3"/>
  <c r="L166" i="3" s="1"/>
  <c r="W186" i="3"/>
  <c r="W140" i="3"/>
  <c r="M41" i="3"/>
  <c r="L41" i="3" s="1"/>
  <c r="M44" i="3"/>
  <c r="L44" i="3" s="1"/>
  <c r="W227" i="3"/>
  <c r="AZ211" i="3"/>
  <c r="AS226" i="3"/>
  <c r="M127" i="3"/>
  <c r="L127" i="3" s="1"/>
  <c r="M99" i="3"/>
  <c r="L99" i="3" s="1"/>
  <c r="AZ237" i="3"/>
  <c r="W232" i="3"/>
  <c r="M164" i="3"/>
  <c r="L164" i="3" s="1"/>
  <c r="AS265" i="3"/>
  <c r="BA205" i="3"/>
  <c r="M87" i="3"/>
  <c r="L87" i="3" s="1"/>
  <c r="V42" i="3"/>
  <c r="V217" i="3"/>
  <c r="V75" i="3"/>
  <c r="C262" i="3"/>
  <c r="V125" i="3"/>
  <c r="M213" i="3"/>
  <c r="L213" i="3" s="1"/>
  <c r="W67" i="3"/>
  <c r="W69" i="3"/>
  <c r="W152" i="3"/>
  <c r="M115" i="3"/>
  <c r="L115" i="3" s="1"/>
  <c r="W164" i="3"/>
  <c r="V235" i="3"/>
  <c r="W73" i="3"/>
  <c r="M196" i="3"/>
  <c r="L196" i="3" s="1"/>
  <c r="W147" i="3"/>
  <c r="M193" i="3"/>
  <c r="L193" i="3" s="1"/>
  <c r="V198" i="3"/>
  <c r="V194" i="3"/>
  <c r="W198" i="3"/>
  <c r="W145" i="3"/>
  <c r="V166" i="3"/>
  <c r="M202" i="3"/>
  <c r="L202" i="3" s="1"/>
  <c r="M94" i="3"/>
  <c r="L94" i="3" s="1"/>
  <c r="M96" i="3"/>
  <c r="L96" i="3" s="1"/>
  <c r="V237" i="3"/>
  <c r="M49" i="3"/>
  <c r="L49" i="3" s="1"/>
  <c r="W62" i="3"/>
  <c r="W79" i="3"/>
  <c r="V196" i="3"/>
  <c r="V172" i="3"/>
  <c r="W161" i="3"/>
  <c r="W115" i="3"/>
  <c r="M195" i="3"/>
  <c r="L195" i="3" s="1"/>
  <c r="V186" i="3"/>
  <c r="W134" i="3"/>
  <c r="W180" i="3"/>
  <c r="M90" i="3"/>
  <c r="L90" i="3" s="1"/>
  <c r="V136" i="3"/>
  <c r="W265" i="3"/>
  <c r="V213" i="3"/>
  <c r="W251" i="3"/>
  <c r="W74" i="3"/>
  <c r="W201" i="3"/>
  <c r="V197" i="3"/>
  <c r="W193" i="3"/>
  <c r="M129" i="3"/>
  <c r="L129" i="3" s="1"/>
  <c r="M111" i="3"/>
  <c r="L111" i="3" s="1"/>
  <c r="V41" i="3"/>
  <c r="M88" i="3"/>
  <c r="L88" i="3" s="1"/>
  <c r="V232" i="3"/>
  <c r="M167" i="3"/>
  <c r="L167" i="3" s="1"/>
  <c r="W245" i="3"/>
  <c r="AZ34" i="3"/>
  <c r="AS144" i="3"/>
  <c r="BA141" i="3"/>
  <c r="V174" i="3"/>
  <c r="AS150" i="3"/>
  <c r="AS177" i="3"/>
  <c r="AS169" i="3"/>
  <c r="AS96" i="3"/>
  <c r="AS193" i="3"/>
  <c r="AS247" i="3"/>
  <c r="AS92" i="3"/>
  <c r="M69" i="3"/>
  <c r="L69" i="3" s="1"/>
  <c r="M158" i="3"/>
  <c r="L158" i="3" s="1"/>
  <c r="AS208" i="3"/>
  <c r="AS40" i="3"/>
  <c r="AS141" i="3"/>
  <c r="AS182" i="3"/>
  <c r="V157" i="3"/>
  <c r="V160" i="3"/>
  <c r="AS170" i="3"/>
  <c r="AS142" i="3"/>
  <c r="AS54" i="3"/>
  <c r="AS127" i="3"/>
  <c r="AS213" i="3"/>
  <c r="AS173" i="3"/>
  <c r="W157" i="3"/>
  <c r="W146" i="3"/>
  <c r="V105" i="3"/>
  <c r="AS215" i="3"/>
  <c r="AS95" i="3"/>
  <c r="AS145" i="3"/>
  <c r="AS259" i="3"/>
  <c r="AS251" i="3"/>
  <c r="AS94" i="3"/>
  <c r="M205" i="3"/>
  <c r="L205" i="3" s="1"/>
  <c r="V159" i="3"/>
  <c r="M211" i="3"/>
  <c r="L211" i="3" s="1"/>
  <c r="W226" i="3"/>
  <c r="M159" i="3"/>
  <c r="L159" i="3" s="1"/>
  <c r="M162" i="3"/>
  <c r="L162" i="3" s="1"/>
  <c r="V149" i="3"/>
  <c r="M81" i="3"/>
  <c r="L81" i="3" s="1"/>
  <c r="AS194" i="3"/>
  <c r="AS140" i="3"/>
  <c r="AS147" i="3"/>
  <c r="AS129" i="3"/>
  <c r="M177" i="3"/>
  <c r="L177" i="3" s="1"/>
  <c r="M170" i="3"/>
  <c r="L170" i="3" s="1"/>
  <c r="V178" i="3"/>
  <c r="W166" i="3"/>
  <c r="M85" i="3"/>
  <c r="L85" i="3" s="1"/>
  <c r="AS228" i="3"/>
  <c r="AS190" i="3"/>
  <c r="AS232" i="3"/>
  <c r="AS207" i="3"/>
  <c r="AS115" i="3"/>
  <c r="M117" i="3"/>
  <c r="L117" i="3" s="1"/>
  <c r="V138" i="3"/>
  <c r="AS148" i="3"/>
  <c r="AS104" i="3"/>
  <c r="V123" i="3"/>
  <c r="V201" i="3"/>
  <c r="V190" i="3"/>
  <c r="V162" i="3"/>
  <c r="W143" i="3"/>
  <c r="W160" i="3"/>
  <c r="M98" i="3"/>
  <c r="L98" i="3" s="1"/>
  <c r="M84" i="3"/>
  <c r="L84" i="3" s="1"/>
  <c r="V144" i="3"/>
  <c r="V155" i="3"/>
  <c r="M206" i="3"/>
  <c r="L206" i="3" s="1"/>
  <c r="W148" i="3"/>
  <c r="W124" i="3"/>
  <c r="V215" i="3"/>
  <c r="W222" i="3"/>
  <c r="W112" i="3"/>
  <c r="V239" i="3"/>
  <c r="W191" i="3"/>
  <c r="W171" i="3"/>
  <c r="W169" i="3"/>
  <c r="W114" i="3"/>
  <c r="V113" i="3"/>
  <c r="M83" i="3"/>
  <c r="L83" i="3" s="1"/>
  <c r="M209" i="3"/>
  <c r="L209" i="3" s="1"/>
  <c r="W258" i="3"/>
  <c r="W239" i="3"/>
  <c r="W56" i="3"/>
  <c r="M139" i="3"/>
  <c r="L139" i="3" s="1"/>
  <c r="W72" i="3"/>
  <c r="W48" i="3"/>
  <c r="M192" i="3"/>
  <c r="L192" i="3" s="1"/>
  <c r="W151" i="3"/>
  <c r="W123" i="3"/>
  <c r="M93" i="3"/>
  <c r="L93" i="3" s="1"/>
  <c r="M86" i="3"/>
  <c r="L86" i="3" s="1"/>
  <c r="W51" i="3"/>
  <c r="W40" i="3"/>
  <c r="V156" i="3"/>
  <c r="W49" i="3"/>
  <c r="M175" i="3"/>
  <c r="L175" i="3" s="1"/>
  <c r="V185" i="3"/>
  <c r="V163" i="3"/>
  <c r="V133" i="3"/>
  <c r="M97" i="3"/>
  <c r="L97" i="3" s="1"/>
  <c r="M215" i="3"/>
  <c r="L215" i="3" s="1"/>
  <c r="V226" i="3"/>
  <c r="W59" i="3"/>
  <c r="V182" i="3"/>
  <c r="W78" i="3"/>
  <c r="W66" i="3"/>
  <c r="W208" i="3"/>
  <c r="M125" i="3"/>
  <c r="L125" i="3" s="1"/>
  <c r="W205" i="3"/>
  <c r="V257" i="3"/>
  <c r="M222" i="3"/>
  <c r="L222" i="3" s="1"/>
  <c r="V256" i="3"/>
  <c r="V112" i="3"/>
  <c r="W189" i="3"/>
  <c r="V169" i="3"/>
  <c r="V139" i="3"/>
  <c r="W254" i="3"/>
  <c r="AS241" i="3"/>
  <c r="W241" i="3"/>
  <c r="V199" i="3"/>
  <c r="W159" i="3"/>
  <c r="W136" i="3"/>
  <c r="W129" i="3"/>
  <c r="W138" i="3"/>
  <c r="W54" i="3"/>
  <c r="M110" i="3"/>
  <c r="L110" i="3" s="1"/>
  <c r="W80" i="3"/>
  <c r="V223" i="3"/>
  <c r="AS51" i="3"/>
  <c r="W246" i="3"/>
  <c r="AS233" i="3"/>
  <c r="M190" i="3"/>
  <c r="L190" i="3" s="1"/>
  <c r="W207" i="3"/>
  <c r="W125" i="3"/>
  <c r="V152" i="3"/>
  <c r="V67" i="3"/>
  <c r="AS197" i="3"/>
  <c r="M100" i="3"/>
  <c r="L100" i="3" s="1"/>
  <c r="M102" i="3"/>
  <c r="L102" i="3" s="1"/>
  <c r="V173" i="3"/>
  <c r="M145" i="3"/>
  <c r="L145" i="3" s="1"/>
  <c r="W86" i="3"/>
  <c r="V265" i="3"/>
  <c r="W234" i="3"/>
  <c r="V165" i="3"/>
  <c r="M234" i="3"/>
  <c r="L234" i="3" s="1"/>
  <c r="V227" i="3"/>
  <c r="W175" i="3"/>
  <c r="M220" i="3"/>
  <c r="L220" i="3" s="1"/>
  <c r="M224" i="3"/>
  <c r="L224" i="3" s="1"/>
  <c r="W99" i="3"/>
  <c r="W237" i="3"/>
  <c r="M157" i="3"/>
  <c r="L157" i="3" s="1"/>
  <c r="M254" i="3"/>
  <c r="L254" i="3" s="1"/>
  <c r="V219" i="3"/>
  <c r="M261" i="3"/>
  <c r="L261" i="3" s="1"/>
  <c r="V83" i="3"/>
  <c r="V60" i="3"/>
  <c r="V216" i="3"/>
  <c r="W211" i="3"/>
  <c r="W77" i="3"/>
  <c r="M79" i="3"/>
  <c r="L79" i="3" s="1"/>
  <c r="V81" i="3"/>
  <c r="V114" i="3"/>
  <c r="M126" i="3"/>
  <c r="L126" i="3" s="1"/>
  <c r="V193" i="3"/>
  <c r="V180" i="3"/>
  <c r="M204" i="3"/>
  <c r="L204" i="3" s="1"/>
  <c r="W235" i="3"/>
  <c r="M257" i="3"/>
  <c r="L257" i="3" s="1"/>
  <c r="V212" i="3"/>
  <c r="M226" i="3"/>
  <c r="L226" i="3" s="1"/>
  <c r="V242" i="3"/>
  <c r="V260" i="3"/>
  <c r="V80" i="3"/>
  <c r="V63" i="3"/>
  <c r="W90" i="3"/>
  <c r="W82" i="3"/>
  <c r="M140" i="3"/>
  <c r="L140" i="3" s="1"/>
  <c r="W47" i="3"/>
  <c r="W55" i="3"/>
  <c r="W214" i="3"/>
  <c r="M82" i="3"/>
  <c r="L82" i="3" s="1"/>
  <c r="W257" i="3"/>
  <c r="W267" i="3"/>
  <c r="W247" i="3"/>
  <c r="W57" i="3"/>
  <c r="W41" i="3"/>
  <c r="M55" i="3"/>
  <c r="L55" i="3" s="1"/>
  <c r="AS146" i="3"/>
  <c r="AS103" i="3"/>
  <c r="W192" i="3"/>
  <c r="M197" i="3"/>
  <c r="L197" i="3" s="1"/>
  <c r="W130" i="3"/>
  <c r="M105" i="3"/>
  <c r="L105" i="3" s="1"/>
  <c r="M114" i="3"/>
  <c r="L114" i="3" s="1"/>
  <c r="M48" i="3"/>
  <c r="L48" i="3" s="1"/>
  <c r="V247" i="3"/>
  <c r="M231" i="3"/>
  <c r="L231" i="3" s="1"/>
  <c r="M218" i="3"/>
  <c r="L218" i="3" s="1"/>
  <c r="V250" i="3"/>
  <c r="V211" i="3"/>
  <c r="M219" i="3"/>
  <c r="L219" i="3" s="1"/>
  <c r="M232" i="3"/>
  <c r="L232" i="3" s="1"/>
  <c r="V82" i="3"/>
  <c r="V91" i="3"/>
  <c r="W95" i="3"/>
  <c r="V61" i="3"/>
  <c r="V64" i="3"/>
  <c r="M243" i="3"/>
  <c r="L243" i="3" s="1"/>
  <c r="M238" i="3"/>
  <c r="L238" i="3" s="1"/>
  <c r="W100" i="3"/>
  <c r="W102" i="3"/>
  <c r="W111" i="3"/>
  <c r="M262" i="3"/>
  <c r="L262" i="3" s="1"/>
  <c r="V119" i="3"/>
  <c r="V92" i="3"/>
  <c r="M54" i="3"/>
  <c r="L54" i="3" s="1"/>
  <c r="V94" i="3"/>
  <c r="W117" i="3"/>
  <c r="M230" i="3"/>
  <c r="L230" i="3" s="1"/>
  <c r="M143" i="3"/>
  <c r="L143" i="3" s="1"/>
  <c r="AS156" i="3"/>
  <c r="M60" i="3"/>
  <c r="L60" i="3" s="1"/>
  <c r="M207" i="3"/>
  <c r="L207" i="3" s="1"/>
  <c r="W195" i="3"/>
  <c r="M172" i="3"/>
  <c r="L172" i="3" s="1"/>
  <c r="V208" i="3"/>
  <c r="V187" i="3"/>
  <c r="V131" i="3"/>
  <c r="W194" i="3"/>
  <c r="W203" i="3"/>
  <c r="W197" i="3"/>
  <c r="M183" i="3"/>
  <c r="L183" i="3" s="1"/>
  <c r="M187" i="3"/>
  <c r="L187" i="3" s="1"/>
  <c r="V188" i="3"/>
  <c r="W137" i="3"/>
  <c r="M106" i="3"/>
  <c r="L106" i="3" s="1"/>
  <c r="V167" i="3"/>
  <c r="M120" i="3"/>
  <c r="L120" i="3" s="1"/>
  <c r="V229" i="3"/>
  <c r="M247" i="3"/>
  <c r="L247" i="3" s="1"/>
  <c r="M210" i="3"/>
  <c r="L210" i="3" s="1"/>
  <c r="V238" i="3"/>
  <c r="V230" i="3"/>
  <c r="V236" i="3"/>
  <c r="M151" i="3"/>
  <c r="L151" i="3" s="1"/>
  <c r="W84" i="3"/>
  <c r="M248" i="3"/>
  <c r="L248" i="3" s="1"/>
  <c r="M61" i="3"/>
  <c r="L61" i="3" s="1"/>
  <c r="V141" i="3"/>
  <c r="M131" i="3"/>
  <c r="L131" i="3" s="1"/>
  <c r="W88" i="3"/>
  <c r="V95" i="3"/>
  <c r="M221" i="3"/>
  <c r="L221" i="3" s="1"/>
  <c r="V259" i="3"/>
  <c r="W85" i="3"/>
  <c r="M152" i="3"/>
  <c r="L152" i="3" s="1"/>
  <c r="M256" i="3"/>
  <c r="L256" i="3" s="1"/>
  <c r="V231" i="3"/>
  <c r="M53" i="3"/>
  <c r="L53" i="3" s="1"/>
  <c r="V100" i="3"/>
  <c r="V102" i="3"/>
  <c r="M141" i="3"/>
  <c r="L141" i="3" s="1"/>
  <c r="W135" i="3"/>
  <c r="V115" i="3"/>
  <c r="V54" i="3"/>
  <c r="V245" i="3"/>
  <c r="W209" i="3"/>
  <c r="V79" i="3"/>
  <c r="V59" i="3"/>
  <c r="W68" i="3"/>
  <c r="AS162" i="3"/>
  <c r="AS98" i="3"/>
  <c r="AS143" i="3"/>
  <c r="AS119" i="3"/>
  <c r="AS79" i="3"/>
  <c r="AS55" i="3"/>
  <c r="W196" i="3"/>
  <c r="W200" i="3"/>
  <c r="W188" i="3"/>
  <c r="V207" i="3"/>
  <c r="M107" i="3"/>
  <c r="L107" i="3" s="1"/>
  <c r="V122" i="3"/>
  <c r="W133" i="3"/>
  <c r="V244" i="3"/>
  <c r="M228" i="3"/>
  <c r="L228" i="3" s="1"/>
  <c r="M244" i="3"/>
  <c r="L244" i="3" s="1"/>
  <c r="M237" i="3"/>
  <c r="L237" i="3" s="1"/>
  <c r="M229" i="3"/>
  <c r="L229" i="3" s="1"/>
  <c r="V253" i="3"/>
  <c r="M163" i="3"/>
  <c r="L163" i="3" s="1"/>
  <c r="M161" i="3"/>
  <c r="L161" i="3" s="1"/>
  <c r="V263" i="3"/>
  <c r="V68" i="3"/>
  <c r="M258" i="3"/>
  <c r="L258" i="3" s="1"/>
  <c r="M223" i="3"/>
  <c r="L223" i="3" s="1"/>
  <c r="V179" i="3"/>
  <c r="V76" i="3"/>
  <c r="V252" i="3"/>
  <c r="V255" i="3"/>
  <c r="W103" i="3"/>
  <c r="M74" i="3"/>
  <c r="L74" i="3" s="1"/>
  <c r="M249" i="3"/>
  <c r="L249" i="3" s="1"/>
  <c r="V224" i="3"/>
  <c r="AS133" i="3"/>
  <c r="AS136" i="3"/>
  <c r="AS61" i="3"/>
  <c r="AS97" i="3"/>
  <c r="W204" i="3"/>
  <c r="M180" i="3"/>
  <c r="L180" i="3" s="1"/>
  <c r="W199" i="3"/>
  <c r="W122" i="3"/>
  <c r="V126" i="3"/>
  <c r="M118" i="3"/>
  <c r="L118" i="3" s="1"/>
  <c r="M91" i="3"/>
  <c r="L91" i="3" s="1"/>
  <c r="V49" i="3"/>
  <c r="M104" i="3"/>
  <c r="L104" i="3" s="1"/>
  <c r="V267" i="3"/>
  <c r="M239" i="3"/>
  <c r="L239" i="3" s="1"/>
  <c r="M264" i="3"/>
  <c r="L264" i="3" s="1"/>
  <c r="V243" i="3"/>
  <c r="W182" i="3"/>
  <c r="V233" i="3"/>
  <c r="W101" i="3"/>
  <c r="V74" i="3"/>
  <c r="M155" i="3"/>
  <c r="L155" i="3" s="1"/>
  <c r="M265" i="3"/>
  <c r="L265" i="3" s="1"/>
  <c r="V225" i="3"/>
  <c r="W118" i="3"/>
  <c r="W249" i="3"/>
  <c r="V86" i="3"/>
  <c r="M67" i="3"/>
  <c r="L67" i="3" s="1"/>
  <c r="M64" i="3"/>
  <c r="L64" i="3" s="1"/>
  <c r="AS114" i="3"/>
  <c r="AS50" i="3"/>
  <c r="W240" i="3"/>
  <c r="V148" i="3"/>
  <c r="AS159" i="3"/>
  <c r="AS135" i="3"/>
  <c r="AS71" i="3"/>
  <c r="AS165" i="3"/>
  <c r="V246" i="3"/>
  <c r="AS132" i="3"/>
  <c r="AS82" i="3"/>
  <c r="AS105" i="3"/>
  <c r="AS57" i="3"/>
  <c r="AS56" i="3"/>
  <c r="W139" i="3"/>
  <c r="V106" i="3"/>
  <c r="W116" i="3"/>
  <c r="V264" i="3"/>
  <c r="M236" i="3"/>
  <c r="L236" i="3" s="1"/>
  <c r="M251" i="3"/>
  <c r="L251" i="3" s="1"/>
  <c r="M225" i="3"/>
  <c r="L225" i="3" s="1"/>
  <c r="M246" i="3"/>
  <c r="L246" i="3" s="1"/>
  <c r="M142" i="3"/>
  <c r="L142" i="3" s="1"/>
  <c r="W119" i="3"/>
  <c r="M124" i="3"/>
  <c r="L124" i="3" s="1"/>
  <c r="V53" i="3"/>
  <c r="M63" i="3"/>
  <c r="L63" i="3" s="1"/>
  <c r="V69" i="3"/>
  <c r="M71" i="3"/>
  <c r="L71" i="3" s="1"/>
  <c r="W109" i="3"/>
  <c r="M148" i="3"/>
  <c r="L148" i="3" s="1"/>
  <c r="M62" i="3"/>
  <c r="L62" i="3" s="1"/>
  <c r="M77" i="3"/>
  <c r="L77" i="3" s="1"/>
  <c r="M130" i="3"/>
  <c r="L130" i="3" s="1"/>
  <c r="W225" i="3"/>
  <c r="AS121" i="3"/>
  <c r="V254" i="3"/>
  <c r="AS93" i="3"/>
  <c r="V128" i="3"/>
  <c r="M128" i="3"/>
  <c r="L128" i="3" s="1"/>
  <c r="W202" i="3"/>
  <c r="M189" i="3"/>
  <c r="L189" i="3" s="1"/>
  <c r="W178" i="3"/>
  <c r="M169" i="3"/>
  <c r="L169" i="3" s="1"/>
  <c r="W190" i="3"/>
  <c r="M194" i="3"/>
  <c r="L194" i="3" s="1"/>
  <c r="M178" i="3"/>
  <c r="L178" i="3" s="1"/>
  <c r="W156" i="3"/>
  <c r="M176" i="3"/>
  <c r="L176" i="3" s="1"/>
  <c r="W132" i="3"/>
  <c r="M92" i="3"/>
  <c r="L92" i="3" s="1"/>
  <c r="W108" i="3"/>
  <c r="M95" i="3"/>
  <c r="L95" i="3" s="1"/>
  <c r="M40" i="3"/>
  <c r="L40" i="3" s="1"/>
  <c r="M42" i="3"/>
  <c r="L42" i="3" s="1"/>
  <c r="W121" i="3"/>
  <c r="M233" i="3"/>
  <c r="L233" i="3" s="1"/>
  <c r="M267" i="3"/>
  <c r="L267" i="3" s="1"/>
  <c r="M214" i="3"/>
  <c r="L214" i="3" s="1"/>
  <c r="M235" i="3"/>
  <c r="L235" i="3" s="1"/>
  <c r="M227" i="3"/>
  <c r="L227" i="3" s="1"/>
  <c r="M245" i="3"/>
  <c r="L245" i="3" s="1"/>
  <c r="V117" i="3"/>
  <c r="W110" i="3"/>
  <c r="M65" i="3"/>
  <c r="L65" i="3" s="1"/>
  <c r="W83" i="3"/>
  <c r="M80" i="3"/>
  <c r="L80" i="3" s="1"/>
  <c r="M78" i="3"/>
  <c r="L78" i="3" s="1"/>
  <c r="W87" i="3"/>
  <c r="M50" i="3"/>
  <c r="L50" i="3" s="1"/>
  <c r="W93" i="3"/>
  <c r="M156" i="3"/>
  <c r="L156" i="3" s="1"/>
  <c r="W213" i="3"/>
  <c r="M252" i="3"/>
  <c r="L252" i="3" s="1"/>
  <c r="V70" i="3"/>
  <c r="M216" i="3"/>
  <c r="L216" i="3" s="1"/>
  <c r="M250" i="3"/>
  <c r="L250" i="3" s="1"/>
  <c r="V96" i="3"/>
  <c r="M186" i="3"/>
  <c r="L186" i="3" s="1"/>
  <c r="V127" i="3"/>
  <c r="V103" i="3"/>
  <c r="V46" i="3"/>
  <c r="M150" i="3"/>
  <c r="L150" i="3" s="1"/>
  <c r="V221" i="3"/>
  <c r="W75" i="3"/>
  <c r="AS41" i="3"/>
  <c r="AS130" i="3"/>
  <c r="AS66" i="3"/>
  <c r="AS151" i="3"/>
  <c r="AS111" i="3"/>
  <c r="AS87" i="3"/>
  <c r="AS47" i="3"/>
  <c r="AS124" i="3"/>
  <c r="M58" i="3"/>
  <c r="L58" i="3" s="1"/>
  <c r="W98" i="3"/>
  <c r="M75" i="3"/>
  <c r="L75" i="3" s="1"/>
  <c r="V65" i="3"/>
  <c r="V210" i="3"/>
  <c r="M138" i="3"/>
  <c r="L138" i="3" s="1"/>
  <c r="V228" i="3"/>
  <c r="V209" i="3"/>
  <c r="M66" i="3"/>
  <c r="L66" i="3" s="1"/>
  <c r="V249" i="3"/>
  <c r="W97" i="3"/>
  <c r="V56" i="3"/>
  <c r="W96" i="3"/>
  <c r="M56" i="3"/>
  <c r="L56" i="3" s="1"/>
  <c r="V58" i="3"/>
  <c r="W92" i="3"/>
  <c r="W128" i="3"/>
  <c r="V258" i="3"/>
  <c r="M174" i="3"/>
  <c r="L174" i="3" s="1"/>
  <c r="V151" i="3"/>
  <c r="M154" i="3"/>
  <c r="L154" i="3" s="1"/>
  <c r="V241" i="3"/>
  <c r="M123" i="3"/>
  <c r="L123" i="3" s="1"/>
  <c r="W70" i="3"/>
  <c r="V73" i="3"/>
  <c r="W52" i="3"/>
  <c r="V109" i="3"/>
  <c r="V130" i="3"/>
  <c r="V110" i="3"/>
  <c r="M168" i="3"/>
  <c r="L168" i="3" s="1"/>
  <c r="M181" i="3"/>
  <c r="L181" i="3" s="1"/>
  <c r="W210" i="3"/>
  <c r="W60" i="3"/>
  <c r="W91" i="3"/>
  <c r="V98" i="3"/>
  <c r="W65" i="3"/>
  <c r="M59" i="3"/>
  <c r="L59" i="3" s="1"/>
  <c r="W174" i="3"/>
  <c r="V135" i="3"/>
  <c r="W127" i="3"/>
  <c r="W218" i="3"/>
  <c r="W94" i="3"/>
  <c r="M255" i="3"/>
  <c r="L255" i="3" s="1"/>
  <c r="W183" i="3"/>
  <c r="W46" i="3"/>
  <c r="M68" i="3"/>
  <c r="L68" i="3" s="1"/>
  <c r="W250" i="3"/>
  <c r="V168" i="3"/>
  <c r="V171" i="3"/>
  <c r="W131" i="3"/>
  <c r="V111" i="3"/>
  <c r="W50" i="3"/>
  <c r="M134" i="3"/>
  <c r="L134" i="3" s="1"/>
  <c r="W233" i="3"/>
  <c r="M122" i="3"/>
  <c r="L122" i="3" s="1"/>
  <c r="V71" i="3"/>
  <c r="V84" i="3"/>
  <c r="W64" i="3"/>
  <c r="W231" i="3"/>
  <c r="V183" i="3"/>
  <c r="V90" i="3"/>
  <c r="V66" i="3"/>
  <c r="W44" i="3"/>
  <c r="V93" i="3"/>
  <c r="W53" i="3"/>
  <c r="W259" i="3"/>
  <c r="V101" i="3"/>
  <c r="M112" i="3"/>
  <c r="L112" i="3" s="1"/>
  <c r="M266" i="3"/>
  <c r="L266" i="3" s="1"/>
  <c r="M135" i="3"/>
  <c r="L135" i="3" s="1"/>
  <c r="M160" i="3"/>
  <c r="L160" i="3" s="1"/>
  <c r="M173" i="3"/>
  <c r="L173" i="3" s="1"/>
  <c r="V248" i="3"/>
  <c r="W220" i="3"/>
  <c r="AS137" i="3"/>
  <c r="W76" i="3"/>
  <c r="V97" i="3"/>
  <c r="M57" i="3"/>
  <c r="L57" i="3" s="1"/>
  <c r="W264" i="3"/>
  <c r="W238" i="3"/>
  <c r="V222" i="3"/>
  <c r="W81" i="3"/>
  <c r="W141" i="3"/>
  <c r="M76" i="3"/>
  <c r="L76" i="3" s="1"/>
  <c r="V88" i="3"/>
  <c r="M51" i="3"/>
  <c r="L51" i="3" s="1"/>
  <c r="W242" i="3"/>
  <c r="V52" i="3"/>
  <c r="M147" i="3"/>
  <c r="L147" i="3" s="1"/>
  <c r="W255" i="3"/>
  <c r="V214" i="3"/>
  <c r="M144" i="3"/>
  <c r="L144" i="3" s="1"/>
  <c r="M242" i="3"/>
  <c r="L242" i="3" s="1"/>
  <c r="V181" i="3"/>
  <c r="M263" i="3"/>
  <c r="L263" i="3" s="1"/>
  <c r="V234" i="3"/>
  <c r="W120" i="3"/>
  <c r="V143" i="3"/>
  <c r="M73" i="3"/>
  <c r="L73" i="3" s="1"/>
  <c r="M146" i="3"/>
  <c r="L146" i="3" s="1"/>
  <c r="M260" i="3"/>
  <c r="L260" i="3" s="1"/>
  <c r="V43" i="3"/>
  <c r="M208" i="3"/>
  <c r="L208" i="3" s="1"/>
  <c r="W215" i="3"/>
  <c r="V175" i="3"/>
  <c r="M109" i="3"/>
  <c r="L109" i="3" s="1"/>
  <c r="W58" i="3"/>
  <c r="V85" i="3"/>
  <c r="M184" i="3"/>
  <c r="L184" i="3" s="1"/>
  <c r="M217" i="3"/>
  <c r="L217" i="3" s="1"/>
  <c r="V150" i="3"/>
  <c r="V118" i="3"/>
  <c r="M182" i="3"/>
  <c r="L182" i="3" s="1"/>
  <c r="M259" i="3"/>
  <c r="L259" i="3" s="1"/>
  <c r="AS154" i="3"/>
  <c r="AS138" i="3"/>
  <c r="AS122" i="3"/>
  <c r="AS106" i="3"/>
  <c r="AS117" i="3"/>
  <c r="AS149" i="3"/>
  <c r="V107" i="3"/>
  <c r="M149" i="3"/>
  <c r="L149" i="3" s="1"/>
  <c r="V57" i="3"/>
  <c r="V78" i="3"/>
  <c r="V45" i="3"/>
  <c r="V184" i="3"/>
  <c r="V77" i="3"/>
  <c r="M153" i="3"/>
  <c r="L153" i="3" s="1"/>
  <c r="M253" i="3"/>
  <c r="L253" i="3" s="1"/>
  <c r="M212" i="3"/>
  <c r="L212" i="3" s="1"/>
  <c r="V266" i="3"/>
  <c r="W89" i="3"/>
  <c r="V251" i="3"/>
  <c r="W181" i="3"/>
  <c r="V218" i="3"/>
  <c r="M70" i="3"/>
  <c r="L70" i="3" s="1"/>
  <c r="V55" i="3"/>
  <c r="V99" i="3"/>
  <c r="W184" i="3"/>
  <c r="V87" i="3"/>
  <c r="W63" i="3"/>
  <c r="V47" i="3"/>
  <c r="W173" i="3"/>
  <c r="V72" i="3"/>
  <c r="W61" i="3"/>
  <c r="W45" i="3"/>
  <c r="V40" i="3"/>
  <c r="V89" i="3"/>
  <c r="V146" i="3"/>
  <c r="M72" i="3"/>
  <c r="L72" i="3" s="1"/>
  <c r="M52" i="3"/>
  <c r="L52" i="3" s="1"/>
  <c r="W212" i="3"/>
  <c r="V132" i="3"/>
  <c r="V170" i="3"/>
  <c r="BA186" i="3"/>
  <c r="AZ163" i="3"/>
  <c r="AZ166" i="3"/>
  <c r="AZ90" i="3"/>
  <c r="BA95" i="3"/>
  <c r="BA212" i="3"/>
  <c r="AZ119" i="3"/>
  <c r="AZ79" i="3"/>
  <c r="BA67" i="3"/>
  <c r="BA81" i="3"/>
  <c r="AZ251" i="3"/>
  <c r="BA46" i="3"/>
  <c r="AZ145" i="3"/>
  <c r="AZ131" i="3"/>
  <c r="BA137" i="3"/>
  <c r="BA96" i="3"/>
  <c r="BA140" i="3"/>
  <c r="BA92" i="3"/>
  <c r="AZ52" i="3"/>
  <c r="AZ64" i="3"/>
  <c r="BA248" i="3"/>
  <c r="BA56" i="3"/>
  <c r="BA209" i="3"/>
  <c r="AZ202" i="3"/>
  <c r="BA196" i="3"/>
  <c r="AZ200" i="3"/>
  <c r="AZ58" i="3"/>
  <c r="BA69" i="3"/>
  <c r="AZ103" i="3"/>
  <c r="AZ182" i="3"/>
  <c r="AZ217" i="3"/>
  <c r="BA267" i="3"/>
  <c r="BA82" i="3"/>
  <c r="BA62" i="3"/>
  <c r="AZ120" i="3"/>
  <c r="BA241" i="3"/>
  <c r="AZ179" i="3"/>
  <c r="BA265" i="3"/>
  <c r="BA188" i="3"/>
  <c r="BA156" i="3"/>
  <c r="BA152" i="3"/>
  <c r="BA148" i="3"/>
  <c r="BA89" i="3"/>
  <c r="BA108" i="3"/>
  <c r="BA98" i="3"/>
  <c r="AZ129" i="3"/>
  <c r="BA224" i="3"/>
  <c r="AZ225" i="3"/>
  <c r="BA125" i="3"/>
  <c r="AZ78" i="3"/>
  <c r="AZ55" i="3"/>
  <c r="AZ235" i="3"/>
  <c r="AZ70" i="3"/>
  <c r="AZ86" i="3"/>
  <c r="BA91" i="3"/>
  <c r="AZ126" i="3"/>
  <c r="BA115" i="3"/>
  <c r="BA59" i="3"/>
  <c r="AZ104" i="3"/>
  <c r="BA136" i="3"/>
  <c r="BA214" i="3"/>
  <c r="AZ168" i="3"/>
  <c r="AZ234" i="3"/>
  <c r="BA124" i="3"/>
  <c r="AZ255" i="3"/>
  <c r="BA249" i="3"/>
  <c r="BA240" i="3"/>
  <c r="BA208" i="3"/>
  <c r="BA83" i="3"/>
  <c r="AZ66" i="3"/>
  <c r="AZ171" i="3"/>
  <c r="BA257" i="3"/>
  <c r="AZ73" i="3"/>
  <c r="BA176" i="3"/>
  <c r="BA43" i="3"/>
  <c r="BA210" i="3"/>
  <c r="BA239" i="3"/>
  <c r="BA231" i="3"/>
  <c r="AZ215" i="3"/>
  <c r="AZ65" i="3"/>
  <c r="BA198" i="3"/>
  <c r="BA192" i="3"/>
  <c r="BA139" i="3"/>
  <c r="BA97" i="3"/>
  <c r="AZ88" i="3"/>
  <c r="BA114" i="3"/>
  <c r="BA116" i="3"/>
  <c r="AZ60" i="3"/>
  <c r="BA130" i="3"/>
  <c r="AZ72" i="3"/>
  <c r="AZ80" i="3"/>
  <c r="AZ63" i="3"/>
  <c r="AZ45" i="3"/>
  <c r="BA254" i="3"/>
  <c r="AZ105" i="3"/>
  <c r="BA227" i="3"/>
  <c r="BA184" i="3"/>
  <c r="BA201" i="3"/>
  <c r="BA135" i="3"/>
  <c r="BA178" i="3"/>
  <c r="BA127" i="3"/>
  <c r="BA170" i="3"/>
  <c r="AZ77" i="3"/>
  <c r="AZ61" i="3"/>
  <c r="AZ44" i="3"/>
  <c r="AZ121" i="3"/>
  <c r="BA256" i="3"/>
  <c r="BA118" i="3"/>
  <c r="AZ111" i="3"/>
  <c r="BA134" i="3"/>
  <c r="BA211" i="3"/>
  <c r="AZ192" i="3"/>
  <c r="BA63" i="3"/>
  <c r="AZ46" i="3"/>
  <c r="AZ87" i="3"/>
  <c r="AZ92" i="3"/>
  <c r="BA111" i="3"/>
  <c r="BA66" i="3"/>
  <c r="BA86" i="3"/>
  <c r="AZ115" i="3"/>
  <c r="BA168" i="3"/>
  <c r="AZ231" i="3"/>
  <c r="BA126" i="3"/>
  <c r="AZ69" i="3"/>
  <c r="BA90" i="3"/>
  <c r="BA255" i="3"/>
  <c r="AZ134" i="3"/>
  <c r="AZ118" i="3"/>
  <c r="BA202" i="3"/>
  <c r="AZ135" i="3"/>
  <c r="BA131" i="3"/>
  <c r="BA119" i="3"/>
  <c r="BA190" i="3"/>
  <c r="AZ98" i="3"/>
  <c r="AZ157" i="3"/>
  <c r="AZ136" i="3"/>
  <c r="BA234" i="3"/>
  <c r="AZ265" i="3"/>
  <c r="AZ137" i="3"/>
  <c r="BA73" i="3"/>
  <c r="BA45" i="3"/>
  <c r="AZ190" i="3"/>
  <c r="BA44" i="3"/>
  <c r="BA58" i="3"/>
  <c r="AZ241" i="3"/>
  <c r="AZ209" i="3"/>
  <c r="BA235" i="3"/>
  <c r="AZ257" i="3"/>
  <c r="BA160" i="3"/>
  <c r="AZ43" i="3"/>
  <c r="AZ81" i="3"/>
  <c r="AZ184" i="3"/>
  <c r="BA103" i="3"/>
  <c r="AZ198" i="3"/>
  <c r="BA247" i="3"/>
  <c r="C263" i="3"/>
  <c r="C240" i="3"/>
  <c r="AZ259" i="3"/>
  <c r="BA259" i="3"/>
  <c r="C219" i="3"/>
  <c r="C248" i="3"/>
  <c r="C224" i="3"/>
  <c r="BA253" i="3"/>
  <c r="AZ253" i="3"/>
  <c r="C180" i="3"/>
  <c r="C68" i="3"/>
  <c r="AZ48" i="3"/>
  <c r="AZ232" i="3"/>
  <c r="C162" i="3"/>
  <c r="AZ112" i="3"/>
  <c r="BA112" i="3"/>
  <c r="BA71" i="3"/>
  <c r="BA183" i="3"/>
  <c r="C99" i="3"/>
  <c r="C213" i="3"/>
  <c r="AZ238" i="3"/>
  <c r="BA238" i="3"/>
  <c r="C79" i="3"/>
  <c r="AZ41" i="3"/>
  <c r="BA41" i="3"/>
  <c r="C55" i="3"/>
  <c r="BA177" i="3"/>
  <c r="AZ177" i="3"/>
  <c r="C40" i="3"/>
  <c r="C70" i="3"/>
  <c r="C227" i="3"/>
  <c r="BA105" i="3"/>
  <c r="BA245" i="3"/>
  <c r="AZ245" i="3"/>
  <c r="AZ204" i="3"/>
  <c r="BA204" i="3"/>
  <c r="AZ196" i="3"/>
  <c r="C195" i="3"/>
  <c r="C257" i="3"/>
  <c r="C236" i="3"/>
  <c r="C170" i="3"/>
  <c r="BA180" i="3"/>
  <c r="AZ180" i="3"/>
  <c r="AZ207" i="3"/>
  <c r="BA207" i="3"/>
  <c r="AZ165" i="3"/>
  <c r="BA165" i="3"/>
  <c r="AZ155" i="3"/>
  <c r="BA155" i="3"/>
  <c r="AZ151" i="3"/>
  <c r="BA147" i="3"/>
  <c r="AZ147" i="3"/>
  <c r="BA143" i="3"/>
  <c r="C174" i="3"/>
  <c r="AZ159" i="3"/>
  <c r="BA159" i="3"/>
  <c r="C126" i="3"/>
  <c r="C152" i="3"/>
  <c r="C144" i="3"/>
  <c r="C54" i="3"/>
  <c r="C118" i="3"/>
  <c r="BA74" i="3"/>
  <c r="AZ74" i="3"/>
  <c r="C61" i="3"/>
  <c r="C49" i="3"/>
  <c r="BA100" i="3"/>
  <c r="C64" i="3"/>
  <c r="AZ49" i="3"/>
  <c r="AZ101" i="3"/>
  <c r="AZ71" i="3"/>
  <c r="C266" i="3"/>
  <c r="C218" i="3"/>
  <c r="BA194" i="3"/>
  <c r="AZ194" i="3"/>
  <c r="C201" i="3"/>
  <c r="C193" i="3"/>
  <c r="C203" i="3"/>
  <c r="AZ199" i="3"/>
  <c r="BA199" i="3"/>
  <c r="BA200" i="3"/>
  <c r="AZ181" i="3"/>
  <c r="BA181" i="3"/>
  <c r="C156" i="3"/>
  <c r="AZ50" i="3"/>
  <c r="BA50" i="3"/>
  <c r="BA169" i="3"/>
  <c r="AZ169" i="3"/>
  <c r="AZ100" i="3"/>
  <c r="BA101" i="3"/>
  <c r="AZ183" i="3"/>
  <c r="C255" i="3"/>
  <c r="C208" i="3"/>
  <c r="C177" i="3"/>
  <c r="BA197" i="3"/>
  <c r="C194" i="3"/>
  <c r="C179" i="3"/>
  <c r="AZ193" i="3"/>
  <c r="BA193" i="3"/>
  <c r="C184" i="3"/>
  <c r="AZ172" i="3"/>
  <c r="BA172" i="3"/>
  <c r="BA163" i="3"/>
  <c r="BA154" i="3"/>
  <c r="AZ154" i="3"/>
  <c r="BA150" i="3"/>
  <c r="AZ150" i="3"/>
  <c r="AZ146" i="3"/>
  <c r="C141" i="3"/>
  <c r="BA158" i="3"/>
  <c r="AZ158" i="3"/>
  <c r="AZ132" i="3"/>
  <c r="BA132" i="3"/>
  <c r="BA123" i="3"/>
  <c r="AZ123" i="3"/>
  <c r="BA167" i="3"/>
  <c r="AZ167" i="3"/>
  <c r="AZ96" i="3"/>
  <c r="C155" i="3"/>
  <c r="AZ85" i="3"/>
  <c r="BA85" i="3"/>
  <c r="C165" i="3"/>
  <c r="AZ233" i="3"/>
  <c r="BA244" i="3"/>
  <c r="AZ244" i="3"/>
  <c r="C116" i="3"/>
  <c r="BA263" i="3"/>
  <c r="AZ263" i="3"/>
  <c r="C98" i="3"/>
  <c r="C94" i="3"/>
  <c r="BA189" i="3"/>
  <c r="BA233" i="3"/>
  <c r="AZ143" i="3"/>
  <c r="BA232" i="3"/>
  <c r="BA146" i="3"/>
  <c r="BA258" i="3"/>
  <c r="AZ258" i="3"/>
  <c r="C88" i="3"/>
  <c r="AZ53" i="3"/>
  <c r="BA53" i="3"/>
  <c r="AZ93" i="3"/>
  <c r="AZ47" i="3"/>
  <c r="BA47" i="3"/>
  <c r="C238" i="3"/>
  <c r="BA142" i="3"/>
  <c r="C66" i="3"/>
  <c r="AZ54" i="3"/>
  <c r="C65" i="3"/>
  <c r="BA54" i="3"/>
  <c r="C241" i="3"/>
  <c r="AZ164" i="3"/>
  <c r="BA164" i="3"/>
  <c r="C117" i="3"/>
  <c r="C50" i="3"/>
  <c r="BA68" i="3"/>
  <c r="AZ68" i="3"/>
  <c r="AZ57" i="3"/>
  <c r="C233" i="3"/>
  <c r="C265" i="3"/>
  <c r="AZ42" i="3"/>
  <c r="BA42" i="3"/>
  <c r="AZ206" i="3"/>
  <c r="BA206" i="3"/>
  <c r="C199" i="3"/>
  <c r="C258" i="3"/>
  <c r="BA203" i="3"/>
  <c r="AZ203" i="3"/>
  <c r="AZ195" i="3"/>
  <c r="BA195" i="3"/>
  <c r="C237" i="3"/>
  <c r="AZ186" i="3"/>
  <c r="C229" i="3"/>
  <c r="C186" i="3"/>
  <c r="AZ161" i="3"/>
  <c r="BA161" i="3"/>
  <c r="AZ188" i="3"/>
  <c r="AZ173" i="3"/>
  <c r="BA173" i="3"/>
  <c r="C225" i="3"/>
  <c r="C131" i="3"/>
  <c r="AZ205" i="3"/>
  <c r="C153" i="3"/>
  <c r="BA99" i="3"/>
  <c r="C149" i="3"/>
  <c r="C83" i="3"/>
  <c r="BA106" i="3"/>
  <c r="AZ106" i="3"/>
  <c r="BA109" i="3"/>
  <c r="AZ109" i="3"/>
  <c r="AZ250" i="3"/>
  <c r="BA250" i="3"/>
  <c r="BA266" i="3"/>
  <c r="BA182" i="3"/>
  <c r="C226" i="3"/>
  <c r="C246" i="3"/>
  <c r="C220" i="3"/>
  <c r="C252" i="3"/>
  <c r="BA225" i="3"/>
  <c r="C161" i="3"/>
  <c r="AZ260" i="3"/>
  <c r="BA260" i="3"/>
  <c r="BA110" i="3"/>
  <c r="AZ110" i="3"/>
  <c r="BA51" i="3"/>
  <c r="AZ51" i="3"/>
  <c r="AZ99" i="3"/>
  <c r="BA48" i="3"/>
  <c r="BA151" i="3"/>
  <c r="BA93" i="3"/>
  <c r="BA49" i="3"/>
  <c r="AZ142" i="3"/>
  <c r="C207" i="3"/>
  <c r="C200" i="3"/>
  <c r="C205" i="3"/>
  <c r="AZ201" i="3"/>
  <c r="C206" i="3"/>
  <c r="AZ141" i="3"/>
  <c r="BA162" i="3"/>
  <c r="AZ162" i="3"/>
  <c r="C130" i="3"/>
  <c r="C148" i="3"/>
  <c r="BA175" i="3"/>
  <c r="AZ175" i="3"/>
  <c r="C157" i="3"/>
  <c r="C128" i="3"/>
  <c r="C115" i="3"/>
  <c r="C135" i="3"/>
  <c r="BA87" i="3"/>
  <c r="BA94" i="3"/>
  <c r="AZ94" i="3"/>
  <c r="BA243" i="3"/>
  <c r="AZ243" i="3"/>
  <c r="BA262" i="3"/>
  <c r="AZ262" i="3"/>
  <c r="C239" i="3"/>
  <c r="AZ224" i="3"/>
  <c r="C232" i="3"/>
  <c r="C159" i="3"/>
  <c r="BA185" i="3"/>
  <c r="AZ185" i="3"/>
  <c r="BA138" i="3"/>
  <c r="AZ138" i="3"/>
  <c r="C101" i="3"/>
  <c r="AZ266" i="3"/>
  <c r="AZ197" i="3"/>
  <c r="AZ249" i="3"/>
  <c r="BA57" i="3"/>
  <c r="BA215" i="3"/>
  <c r="AZ139" i="3"/>
  <c r="C109" i="3"/>
  <c r="BA122" i="3"/>
  <c r="AZ122" i="3"/>
  <c r="AZ113" i="3"/>
  <c r="C41" i="3"/>
  <c r="C87" i="3"/>
  <c r="C59" i="3"/>
  <c r="C42" i="3"/>
  <c r="BA60" i="3"/>
  <c r="C251" i="3"/>
  <c r="C192" i="3"/>
  <c r="BA223" i="3"/>
  <c r="AZ222" i="3"/>
  <c r="C45" i="3"/>
  <c r="BA221" i="3"/>
  <c r="AZ221" i="3"/>
  <c r="AZ56" i="3"/>
  <c r="BA222" i="3"/>
  <c r="C113" i="3"/>
  <c r="C154" i="3"/>
  <c r="C146" i="3"/>
  <c r="C134" i="3"/>
  <c r="AZ127" i="3"/>
  <c r="C114" i="3"/>
  <c r="C138" i="3"/>
  <c r="C127" i="3"/>
  <c r="AZ117" i="3"/>
  <c r="BA117" i="3"/>
  <c r="AZ89" i="3"/>
  <c r="AZ108" i="3"/>
  <c r="C53" i="3"/>
  <c r="C44" i="3"/>
  <c r="C91" i="3"/>
  <c r="C120" i="3"/>
  <c r="BA77" i="3"/>
  <c r="BA61" i="3"/>
  <c r="BA121" i="3"/>
  <c r="AZ75" i="3"/>
  <c r="BA75" i="3"/>
  <c r="C158" i="3"/>
  <c r="AZ40" i="3"/>
  <c r="BA40" i="3"/>
  <c r="BA64" i="3"/>
  <c r="C52" i="3"/>
  <c r="C140" i="3"/>
  <c r="AZ210" i="3"/>
  <c r="C63" i="3"/>
  <c r="BA216" i="3"/>
  <c r="AZ216" i="3"/>
  <c r="C164" i="3"/>
  <c r="C95" i="3"/>
  <c r="BA120" i="3"/>
  <c r="AZ218" i="3"/>
  <c r="BA218" i="3"/>
  <c r="C82" i="3"/>
  <c r="BA242" i="3"/>
  <c r="C212" i="3"/>
  <c r="AZ223" i="3"/>
  <c r="C214" i="3"/>
  <c r="AZ128" i="3"/>
  <c r="BA128" i="3"/>
  <c r="C110" i="3"/>
  <c r="AZ140" i="3"/>
  <c r="C85" i="3"/>
  <c r="AZ229" i="3"/>
  <c r="BA229" i="3"/>
  <c r="C267" i="3"/>
  <c r="C67" i="3"/>
  <c r="C71" i="3"/>
  <c r="BA174" i="3"/>
  <c r="AZ174" i="3"/>
  <c r="C187" i="3"/>
  <c r="AZ264" i="3"/>
  <c r="BA264" i="3"/>
  <c r="C231" i="3"/>
  <c r="C204" i="3"/>
  <c r="C217" i="3"/>
  <c r="C151" i="3"/>
  <c r="C84" i="3"/>
  <c r="C254" i="3"/>
  <c r="C108" i="3"/>
  <c r="C74" i="3"/>
  <c r="AZ82" i="3"/>
  <c r="C58" i="3"/>
  <c r="BA107" i="3"/>
  <c r="AZ62" i="3"/>
  <c r="C92" i="3"/>
  <c r="BA84" i="3"/>
  <c r="AZ107" i="3"/>
  <c r="BA113" i="3"/>
  <c r="AZ84" i="3"/>
  <c r="C46" i="3"/>
  <c r="C124" i="3"/>
  <c r="C137" i="3"/>
  <c r="AZ214" i="3"/>
  <c r="AZ247" i="3"/>
  <c r="AZ240" i="3"/>
  <c r="C249" i="3"/>
  <c r="C169" i="3"/>
  <c r="C198" i="3"/>
  <c r="C260" i="3"/>
  <c r="C244" i="3"/>
  <c r="AZ208" i="3"/>
  <c r="C181" i="3"/>
  <c r="AZ153" i="3"/>
  <c r="BA145" i="3"/>
  <c r="AZ178" i="3"/>
  <c r="C105" i="3"/>
  <c r="C228" i="3"/>
  <c r="C107" i="3"/>
  <c r="C112" i="3"/>
  <c r="C143" i="3"/>
  <c r="BA129" i="3"/>
  <c r="C62" i="3"/>
  <c r="C89" i="3"/>
  <c r="C86" i="3"/>
  <c r="C183" i="3"/>
  <c r="AZ236" i="3"/>
  <c r="BA236" i="3"/>
  <c r="C215" i="3"/>
  <c r="C166" i="3"/>
  <c r="BA72" i="3"/>
  <c r="AZ176" i="3"/>
  <c r="C73" i="3"/>
  <c r="AZ59" i="3"/>
  <c r="C60" i="3"/>
  <c r="C47" i="3"/>
  <c r="BA252" i="3"/>
  <c r="AZ252" i="3"/>
  <c r="C125" i="3"/>
  <c r="C136" i="3"/>
  <c r="C132" i="3"/>
  <c r="C102" i="3"/>
  <c r="C119" i="3"/>
  <c r="C80" i="3"/>
  <c r="C93" i="3"/>
  <c r="BA228" i="3"/>
  <c r="AZ228" i="3"/>
  <c r="BA153" i="3"/>
  <c r="AZ95" i="3"/>
  <c r="BA79" i="3"/>
  <c r="C256" i="3"/>
  <c r="C160" i="3"/>
  <c r="AZ130" i="3"/>
  <c r="BA226" i="3"/>
  <c r="AZ261" i="3"/>
  <c r="BA261" i="3"/>
  <c r="C104" i="3"/>
  <c r="C96" i="3"/>
  <c r="C178" i="3"/>
  <c r="C171" i="3"/>
  <c r="AZ187" i="3"/>
  <c r="BA187" i="3"/>
  <c r="C168" i="3"/>
  <c r="C202" i="3"/>
  <c r="C106" i="3"/>
  <c r="C147" i="3"/>
  <c r="C56" i="3"/>
  <c r="C209" i="3"/>
  <c r="C167" i="3"/>
  <c r="C133" i="3"/>
  <c r="AZ219" i="3"/>
  <c r="C261" i="3"/>
  <c r="C121" i="3"/>
  <c r="C76" i="3"/>
  <c r="C189" i="3"/>
  <c r="AZ239" i="3"/>
  <c r="C129" i="3"/>
  <c r="C77" i="3"/>
  <c r="C223" i="3"/>
  <c r="C264" i="3"/>
  <c r="C100" i="3"/>
  <c r="C48" i="3"/>
  <c r="C172" i="3"/>
  <c r="AZ254" i="3"/>
  <c r="BA80" i="3"/>
  <c r="BA237" i="3"/>
  <c r="AZ267" i="3"/>
  <c r="C210" i="3"/>
  <c r="AZ133" i="3"/>
  <c r="AZ125" i="3"/>
  <c r="BA70" i="3"/>
  <c r="BA217" i="3"/>
  <c r="BA191" i="3"/>
  <c r="AZ191" i="3"/>
  <c r="C173" i="3"/>
  <c r="C150" i="3"/>
  <c r="C142" i="3"/>
  <c r="AZ160" i="3"/>
  <c r="C176" i="3"/>
  <c r="AZ170" i="3"/>
  <c r="AZ83" i="3"/>
  <c r="C51" i="3"/>
  <c r="BA171" i="3"/>
  <c r="AZ246" i="3"/>
  <c r="BA246" i="3"/>
  <c r="C222" i="3"/>
  <c r="C253" i="3"/>
  <c r="C234" i="3"/>
  <c r="AZ230" i="3"/>
  <c r="BA230" i="3"/>
  <c r="C250" i="3"/>
  <c r="C216" i="3"/>
  <c r="C242" i="3"/>
  <c r="C196" i="3"/>
  <c r="C185" i="3"/>
  <c r="C221" i="3"/>
  <c r="C197" i="3"/>
  <c r="C182" i="3"/>
  <c r="AZ152" i="3"/>
  <c r="AZ148" i="3"/>
  <c r="AZ144" i="3"/>
  <c r="BA166" i="3"/>
  <c r="C122" i="3"/>
  <c r="C123" i="3"/>
  <c r="BA88" i="3"/>
  <c r="C81" i="3"/>
  <c r="C145" i="3"/>
  <c r="AZ116" i="3"/>
  <c r="C97" i="3"/>
  <c r="C43" i="3"/>
  <c r="AZ76" i="3"/>
  <c r="BA52" i="3"/>
  <c r="AZ256" i="3"/>
  <c r="BA220" i="3"/>
  <c r="AZ220" i="3"/>
  <c r="C247" i="3"/>
  <c r="AZ212" i="3"/>
  <c r="C235" i="3"/>
  <c r="C211" i="3"/>
  <c r="C245" i="3"/>
  <c r="C230" i="3"/>
  <c r="C163" i="3"/>
  <c r="C139" i="3"/>
  <c r="C69" i="3"/>
  <c r="C72" i="3"/>
  <c r="C57" i="3"/>
  <c r="C78" i="3"/>
  <c r="C243" i="3"/>
  <c r="C188" i="3"/>
  <c r="AZ248" i="3"/>
  <c r="C75" i="3"/>
  <c r="C175" i="3"/>
  <c r="C90" i="3"/>
  <c r="BA179" i="3"/>
  <c r="C111" i="3"/>
  <c r="C191" i="3"/>
  <c r="AZ226" i="3"/>
  <c r="AZ156" i="3"/>
  <c r="AZ124" i="3"/>
  <c r="BA76" i="3"/>
  <c r="BA144" i="3"/>
  <c r="AZ213" i="3"/>
  <c r="BA104" i="3"/>
  <c r="AZ67" i="3"/>
  <c r="C103" i="3"/>
  <c r="AZ227" i="3"/>
  <c r="BA55" i="3"/>
  <c r="AZ91" i="3"/>
  <c r="BA65" i="3"/>
  <c r="AZ149" i="3"/>
  <c r="AZ97" i="3"/>
  <c r="BA102" i="3"/>
  <c r="BA219" i="3"/>
  <c r="BA251" i="3"/>
  <c r="AZ114" i="3"/>
  <c r="AZ102" i="3"/>
  <c r="BA78" i="3"/>
  <c r="AP267" i="3" l="1"/>
  <c r="AX243" i="3"/>
  <c r="AK243" i="3"/>
  <c r="AP60" i="3"/>
  <c r="AT60" i="3"/>
  <c r="BD57" i="3"/>
  <c r="BB57" i="3"/>
  <c r="BD113" i="3"/>
  <c r="BB113" i="3"/>
  <c r="BD71" i="3"/>
  <c r="BB71" i="3"/>
  <c r="BD144" i="3"/>
  <c r="BB144" i="3"/>
  <c r="BD45" i="3"/>
  <c r="BB45" i="3"/>
  <c r="BD70" i="3"/>
  <c r="BB70" i="3"/>
  <c r="BD121" i="3"/>
  <c r="BB121" i="3"/>
  <c r="BD218" i="3"/>
  <c r="BB218" i="3"/>
  <c r="BD135" i="3"/>
  <c r="BB135" i="3"/>
  <c r="BD124" i="3"/>
  <c r="BB124" i="3"/>
  <c r="BD43" i="3"/>
  <c r="BB43" i="3"/>
  <c r="BD226" i="3"/>
  <c r="BB226" i="3"/>
  <c r="BD170" i="3"/>
  <c r="BB170" i="3"/>
  <c r="BD46" i="3"/>
  <c r="BB46" i="3"/>
  <c r="AY220" i="3"/>
  <c r="BD220" i="3"/>
  <c r="AY150" i="3"/>
  <c r="BD150" i="3"/>
  <c r="AY65" i="3"/>
  <c r="BD65" i="3"/>
  <c r="AY236" i="3"/>
  <c r="BD236" i="3"/>
  <c r="AY137" i="3"/>
  <c r="BD137" i="3"/>
  <c r="AY157" i="3"/>
  <c r="BD157" i="3"/>
  <c r="AY242" i="3"/>
  <c r="BD242" i="3"/>
  <c r="AY129" i="3"/>
  <c r="BD129" i="3"/>
  <c r="AY80" i="3"/>
  <c r="BD80" i="3"/>
  <c r="AY55" i="3"/>
  <c r="BD55" i="3"/>
  <c r="AY251" i="3"/>
  <c r="BD251" i="3"/>
  <c r="AY165" i="3"/>
  <c r="BD165" i="3"/>
  <c r="AY169" i="3"/>
  <c r="BD169" i="3"/>
  <c r="AY246" i="3"/>
  <c r="BD246" i="3"/>
  <c r="AY147" i="3"/>
  <c r="BD147" i="3"/>
  <c r="AY52" i="3"/>
  <c r="BD52" i="3"/>
  <c r="AY176" i="3"/>
  <c r="BD176" i="3"/>
  <c r="AY195" i="3"/>
  <c r="BD195" i="3"/>
  <c r="AY162" i="3"/>
  <c r="BD162" i="3"/>
  <c r="AY210" i="3"/>
  <c r="BD210" i="3"/>
  <c r="AY89" i="3"/>
  <c r="BD89" i="3"/>
  <c r="AY61" i="3"/>
  <c r="BD61" i="3"/>
  <c r="AY208" i="3"/>
  <c r="BD208" i="3"/>
  <c r="AY84" i="3"/>
  <c r="BD84" i="3"/>
  <c r="AY262" i="3"/>
  <c r="BD262" i="3"/>
  <c r="AY207" i="3"/>
  <c r="BD207" i="3"/>
  <c r="AY85" i="3"/>
  <c r="BD85" i="3"/>
  <c r="AY192" i="3"/>
  <c r="BD192" i="3"/>
  <c r="AY171" i="3"/>
  <c r="BD171" i="3"/>
  <c r="AY69" i="3"/>
  <c r="BD69" i="3"/>
  <c r="AY177" i="3"/>
  <c r="BD177" i="3"/>
  <c r="AY148" i="3"/>
  <c r="BD148" i="3"/>
  <c r="AY215" i="3"/>
  <c r="BD215" i="3"/>
  <c r="AY132" i="3"/>
  <c r="BD132" i="3"/>
  <c r="AY216" i="3"/>
  <c r="BD216" i="3"/>
  <c r="AY225" i="3"/>
  <c r="BD225" i="3"/>
  <c r="AY217" i="3"/>
  <c r="BD217" i="3"/>
  <c r="AY56" i="3"/>
  <c r="BD56" i="3"/>
  <c r="AY156" i="3"/>
  <c r="BD156" i="3"/>
  <c r="AY54" i="3"/>
  <c r="BD54" i="3"/>
  <c r="AY265" i="3"/>
  <c r="BD265" i="3"/>
  <c r="AY59" i="3"/>
  <c r="BD59" i="3"/>
  <c r="AY153" i="3"/>
  <c r="BD153" i="3"/>
  <c r="AY109" i="3"/>
  <c r="BD109" i="3"/>
  <c r="AY175" i="3"/>
  <c r="BD175" i="3"/>
  <c r="AY77" i="3"/>
  <c r="BD77" i="3"/>
  <c r="AY183" i="3"/>
  <c r="BD183" i="3"/>
  <c r="AY49" i="3"/>
  <c r="BD49" i="3"/>
  <c r="AY63" i="3"/>
  <c r="BD63" i="3"/>
  <c r="AY263" i="3"/>
  <c r="BD263" i="3"/>
  <c r="AY228" i="3"/>
  <c r="BD228" i="3"/>
  <c r="AY172" i="3"/>
  <c r="BD172" i="3"/>
  <c r="AY76" i="3"/>
  <c r="BD76" i="3"/>
  <c r="AY250" i="3"/>
  <c r="BD250" i="3"/>
  <c r="AY209" i="3"/>
  <c r="BD209" i="3"/>
  <c r="AY239" i="3"/>
  <c r="BD239" i="3"/>
  <c r="AY194" i="3"/>
  <c r="BD194" i="3"/>
  <c r="AY252" i="3"/>
  <c r="BD252" i="3"/>
  <c r="AY87" i="3"/>
  <c r="BD87" i="3"/>
  <c r="AY197" i="3"/>
  <c r="BD197" i="3"/>
  <c r="AY237" i="3"/>
  <c r="BD237" i="3"/>
  <c r="AY243" i="3"/>
  <c r="BD243" i="3"/>
  <c r="AY196" i="3"/>
  <c r="BD196" i="3"/>
  <c r="AY116" i="3"/>
  <c r="BD116" i="3"/>
  <c r="AY100" i="3"/>
  <c r="BD100" i="3"/>
  <c r="AY203" i="3"/>
  <c r="BD203" i="3"/>
  <c r="AY206" i="3"/>
  <c r="BD206" i="3"/>
  <c r="AY151" i="3"/>
  <c r="BD151" i="3"/>
  <c r="AY101" i="3"/>
  <c r="BD101" i="3"/>
  <c r="AY161" i="3"/>
  <c r="BD161" i="3"/>
  <c r="AY136" i="3"/>
  <c r="BD136" i="3"/>
  <c r="AY212" i="3"/>
  <c r="BD212" i="3"/>
  <c r="AY79" i="3"/>
  <c r="BD79" i="3"/>
  <c r="AY91" i="3"/>
  <c r="BD91" i="3"/>
  <c r="AY95" i="3"/>
  <c r="BD95" i="3"/>
  <c r="AY229" i="3"/>
  <c r="BD229" i="3"/>
  <c r="AY83" i="3"/>
  <c r="BD83" i="3"/>
  <c r="AY221" i="3"/>
  <c r="BD221" i="3"/>
  <c r="AY227" i="3"/>
  <c r="BD227" i="3"/>
  <c r="AY96" i="3"/>
  <c r="BD96" i="3"/>
  <c r="AY155" i="3"/>
  <c r="BD155" i="3"/>
  <c r="AY122" i="3"/>
  <c r="BD122" i="3"/>
  <c r="AY174" i="3"/>
  <c r="BD174" i="3"/>
  <c r="AY117" i="3"/>
  <c r="BD117" i="3"/>
  <c r="AY60" i="3"/>
  <c r="BD60" i="3"/>
  <c r="AY168" i="3"/>
  <c r="BD168" i="3"/>
  <c r="AY159" i="3"/>
  <c r="BD159" i="3"/>
  <c r="AY94" i="3"/>
  <c r="BD94" i="3"/>
  <c r="AY78" i="3"/>
  <c r="BD78" i="3"/>
  <c r="AY88" i="3"/>
  <c r="BD88" i="3"/>
  <c r="AY189" i="3"/>
  <c r="BD189" i="3"/>
  <c r="AY67" i="3"/>
  <c r="BD67" i="3"/>
  <c r="AY193" i="3"/>
  <c r="BD193" i="3"/>
  <c r="AY181" i="3"/>
  <c r="BD181" i="3"/>
  <c r="AY47" i="3"/>
  <c r="BD47" i="3"/>
  <c r="AY82" i="3"/>
  <c r="BD82" i="3"/>
  <c r="AY120" i="3"/>
  <c r="BD120" i="3"/>
  <c r="AY102" i="3"/>
  <c r="BD102" i="3"/>
  <c r="AY73" i="3"/>
  <c r="BD73" i="3"/>
  <c r="AY50" i="3"/>
  <c r="BD50" i="3"/>
  <c r="AY205" i="3"/>
  <c r="BD205" i="3"/>
  <c r="AY42" i="3"/>
  <c r="BD42" i="3"/>
  <c r="AY255" i="3"/>
  <c r="BD255" i="3"/>
  <c r="AY230" i="3"/>
  <c r="BD230" i="3"/>
  <c r="AY58" i="3"/>
  <c r="BD58" i="3"/>
  <c r="AY149" i="3"/>
  <c r="BD149" i="3"/>
  <c r="AY267" i="3"/>
  <c r="BD267" i="3"/>
  <c r="AY253" i="3"/>
  <c r="BD253" i="3"/>
  <c r="AY261" i="3"/>
  <c r="BD261" i="3"/>
  <c r="AY41" i="3"/>
  <c r="BD41" i="3"/>
  <c r="AY160" i="3"/>
  <c r="BD160" i="3"/>
  <c r="AY187" i="3"/>
  <c r="BD187" i="3"/>
  <c r="AY154" i="3"/>
  <c r="BD154" i="3"/>
  <c r="AY114" i="3"/>
  <c r="BD114" i="3"/>
  <c r="AY224" i="3"/>
  <c r="BD224" i="3"/>
  <c r="AY191" i="3"/>
  <c r="BD191" i="3"/>
  <c r="AY126" i="3"/>
  <c r="BD126" i="3"/>
  <c r="AY68" i="3"/>
  <c r="BD68" i="3"/>
  <c r="AY119" i="3"/>
  <c r="BD119" i="3"/>
  <c r="AY97" i="3"/>
  <c r="BD97" i="3"/>
  <c r="AY99" i="3"/>
  <c r="BD99" i="3"/>
  <c r="AY66" i="3"/>
  <c r="BD66" i="3"/>
  <c r="AY241" i="3"/>
  <c r="BD241" i="3"/>
  <c r="AY143" i="3"/>
  <c r="BD143" i="3"/>
  <c r="AY178" i="3"/>
  <c r="BD178" i="3"/>
  <c r="AY108" i="3"/>
  <c r="BD108" i="3"/>
  <c r="AY184" i="3"/>
  <c r="BD184" i="3"/>
  <c r="AY167" i="3"/>
  <c r="BD167" i="3"/>
  <c r="AY134" i="3"/>
  <c r="BD134" i="3"/>
  <c r="AY200" i="3"/>
  <c r="BD200" i="3"/>
  <c r="AY146" i="3"/>
  <c r="BD146" i="3"/>
  <c r="AY75" i="3"/>
  <c r="BD75" i="3"/>
  <c r="AY74" i="3"/>
  <c r="BD74" i="3"/>
  <c r="AY211" i="3"/>
  <c r="BD211" i="3"/>
  <c r="AY51" i="3"/>
  <c r="BD51" i="3"/>
  <c r="AY72" i="3"/>
  <c r="BD72" i="3"/>
  <c r="AY254" i="3"/>
  <c r="BD254" i="3"/>
  <c r="AY201" i="3"/>
  <c r="BD201" i="3"/>
  <c r="AY40" i="3"/>
  <c r="BD40" i="3"/>
  <c r="AY90" i="3"/>
  <c r="BD90" i="3"/>
  <c r="AY140" i="3"/>
  <c r="BD140" i="3"/>
  <c r="AY104" i="3"/>
  <c r="BD104" i="3"/>
  <c r="AY53" i="3"/>
  <c r="BD53" i="3"/>
  <c r="AY244" i="3"/>
  <c r="BD244" i="3"/>
  <c r="AY115" i="3"/>
  <c r="BD115" i="3"/>
  <c r="AY249" i="3"/>
  <c r="BD249" i="3"/>
  <c r="AY260" i="3"/>
  <c r="BD260" i="3"/>
  <c r="AY223" i="3"/>
  <c r="BD223" i="3"/>
  <c r="AY186" i="3"/>
  <c r="BD186" i="3"/>
  <c r="AY180" i="3"/>
  <c r="BD180" i="3"/>
  <c r="AY222" i="3"/>
  <c r="BD222" i="3"/>
  <c r="AY44" i="3"/>
  <c r="BD44" i="3"/>
  <c r="AY185" i="3"/>
  <c r="BD185" i="3"/>
  <c r="AY231" i="3"/>
  <c r="BD231" i="3"/>
  <c r="AY158" i="3"/>
  <c r="BD158" i="3"/>
  <c r="AY188" i="3"/>
  <c r="BD188" i="3"/>
  <c r="AY233" i="3"/>
  <c r="BD233" i="3"/>
  <c r="AY48" i="3"/>
  <c r="BD48" i="3"/>
  <c r="AY131" i="3"/>
  <c r="BD131" i="3"/>
  <c r="AY98" i="3"/>
  <c r="BD98" i="3"/>
  <c r="AY110" i="3"/>
  <c r="BD110" i="3"/>
  <c r="AY264" i="3"/>
  <c r="BD264" i="3"/>
  <c r="AY258" i="3"/>
  <c r="BD258" i="3"/>
  <c r="AY164" i="3"/>
  <c r="BD164" i="3"/>
  <c r="AY199" i="3"/>
  <c r="BD199" i="3"/>
  <c r="AY166" i="3"/>
  <c r="BD166" i="3"/>
  <c r="AY92" i="3"/>
  <c r="BD92" i="3"/>
  <c r="AY64" i="3"/>
  <c r="BD64" i="3"/>
  <c r="AY107" i="3"/>
  <c r="BD107" i="3"/>
  <c r="AY106" i="3"/>
  <c r="BD106" i="3"/>
  <c r="AY235" i="3"/>
  <c r="BD235" i="3"/>
  <c r="AY141" i="3"/>
  <c r="BD141" i="3"/>
  <c r="AY86" i="3"/>
  <c r="BD86" i="3"/>
  <c r="AY240" i="3"/>
  <c r="BD240" i="3"/>
  <c r="AY125" i="3"/>
  <c r="BD125" i="3"/>
  <c r="AY123" i="3"/>
  <c r="BD123" i="3"/>
  <c r="AY179" i="3"/>
  <c r="BD179" i="3"/>
  <c r="AY256" i="3"/>
  <c r="BD256" i="3"/>
  <c r="AY127" i="3"/>
  <c r="BD127" i="3"/>
  <c r="AY62" i="3"/>
  <c r="BD62" i="3"/>
  <c r="AY266" i="3"/>
  <c r="BD266" i="3"/>
  <c r="AY257" i="3"/>
  <c r="BD257" i="3"/>
  <c r="AY103" i="3"/>
  <c r="BD103" i="3"/>
  <c r="AY232" i="3"/>
  <c r="BD232" i="3"/>
  <c r="AY259" i="3"/>
  <c r="BD259" i="3"/>
  <c r="AY133" i="3"/>
  <c r="BD133" i="3"/>
  <c r="AY219" i="3"/>
  <c r="BD219" i="3"/>
  <c r="AY238" i="3"/>
  <c r="BD238" i="3"/>
  <c r="AY81" i="3"/>
  <c r="BD81" i="3"/>
  <c r="AY93" i="3"/>
  <c r="BD93" i="3"/>
  <c r="AY234" i="3"/>
  <c r="BD234" i="3"/>
  <c r="AY248" i="3"/>
  <c r="BD248" i="3"/>
  <c r="AY204" i="3"/>
  <c r="BD204" i="3"/>
  <c r="AY190" i="3"/>
  <c r="BD190" i="3"/>
  <c r="AY145" i="3"/>
  <c r="BD145" i="3"/>
  <c r="AY105" i="3"/>
  <c r="BD105" i="3"/>
  <c r="AY112" i="3"/>
  <c r="BD112" i="3"/>
  <c r="AY163" i="3"/>
  <c r="BD163" i="3"/>
  <c r="AY130" i="3"/>
  <c r="BD130" i="3"/>
  <c r="AY214" i="3"/>
  <c r="BD214" i="3"/>
  <c r="AY173" i="3"/>
  <c r="BD173" i="3"/>
  <c r="AY245" i="3"/>
  <c r="BD245" i="3"/>
  <c r="AY247" i="3"/>
  <c r="BD247" i="3"/>
  <c r="AY198" i="3"/>
  <c r="BD198" i="3"/>
  <c r="AY111" i="3"/>
  <c r="BD111" i="3"/>
  <c r="AY118" i="3"/>
  <c r="BD118" i="3"/>
  <c r="AY128" i="3"/>
  <c r="BD128" i="3"/>
  <c r="AY139" i="3"/>
  <c r="BD139" i="3"/>
  <c r="AY138" i="3"/>
  <c r="BD138" i="3"/>
  <c r="AY152" i="3"/>
  <c r="BD152" i="3"/>
  <c r="AP221" i="3"/>
  <c r="AT76" i="3"/>
  <c r="AT214" i="3"/>
  <c r="AX214" i="3"/>
  <c r="AT50" i="3"/>
  <c r="AX50" i="3"/>
  <c r="AT169" i="3"/>
  <c r="AT137" i="3"/>
  <c r="AX137" i="3"/>
  <c r="AT242" i="3"/>
  <c r="AX242" i="3"/>
  <c r="AT108" i="3"/>
  <c r="AX108" i="3"/>
  <c r="AT45" i="3"/>
  <c r="AX45" i="3"/>
  <c r="AU169" i="3"/>
  <c r="AT168" i="3"/>
  <c r="AX168" i="3"/>
  <c r="AT97" i="3"/>
  <c r="AX97" i="3"/>
  <c r="AT224" i="3"/>
  <c r="AX224" i="3"/>
  <c r="AT247" i="3"/>
  <c r="AX247" i="3"/>
  <c r="AN70" i="3"/>
  <c r="AX70" i="3"/>
  <c r="AT57" i="3"/>
  <c r="AX57" i="3"/>
  <c r="AT261" i="3"/>
  <c r="AX261" i="3"/>
  <c r="AT90" i="3"/>
  <c r="AX90" i="3"/>
  <c r="AT148" i="3"/>
  <c r="AX148" i="3"/>
  <c r="AP102" i="3"/>
  <c r="AX102" i="3"/>
  <c r="AT62" i="3"/>
  <c r="AT255" i="3"/>
  <c r="AT106" i="3"/>
  <c r="AX106" i="3"/>
  <c r="AU105" i="3"/>
  <c r="AT267" i="3"/>
  <c r="AX267" i="3"/>
  <c r="AT71" i="3"/>
  <c r="AX71" i="3"/>
  <c r="AT143" i="3"/>
  <c r="AX143" i="3"/>
  <c r="AT163" i="3"/>
  <c r="AT170" i="3"/>
  <c r="AU113" i="3"/>
  <c r="AY113" i="3"/>
  <c r="AU71" i="3"/>
  <c r="AY71" i="3"/>
  <c r="AU46" i="3"/>
  <c r="AY46" i="3"/>
  <c r="AU170" i="3"/>
  <c r="AY170" i="3"/>
  <c r="AU90" i="3"/>
  <c r="AU168" i="3"/>
  <c r="AP34" i="3"/>
  <c r="BE34" i="3"/>
  <c r="AV34" i="3"/>
  <c r="AU45" i="3"/>
  <c r="AY45" i="3"/>
  <c r="AU70" i="3"/>
  <c r="AY70" i="3"/>
  <c r="AU144" i="3"/>
  <c r="AY144" i="3"/>
  <c r="AU135" i="3"/>
  <c r="AY135" i="3"/>
  <c r="AU57" i="3"/>
  <c r="AY57" i="3"/>
  <c r="AU34" i="3"/>
  <c r="BC34" i="3"/>
  <c r="AW34" i="3"/>
  <c r="AY34" i="3"/>
  <c r="AU247" i="3"/>
  <c r="AU244" i="3"/>
  <c r="AU43" i="3"/>
  <c r="AY43" i="3"/>
  <c r="AU86" i="3"/>
  <c r="AU47" i="3"/>
  <c r="AU226" i="3"/>
  <c r="AY226" i="3"/>
  <c r="AU124" i="3"/>
  <c r="AY124" i="3"/>
  <c r="AU121" i="3"/>
  <c r="AY121" i="3"/>
  <c r="AU218" i="3"/>
  <c r="AY218" i="3"/>
  <c r="AU163" i="3"/>
  <c r="AU255" i="3"/>
  <c r="BC187" i="3"/>
  <c r="AW187" i="3"/>
  <c r="AQ104" i="3"/>
  <c r="BC104" i="3"/>
  <c r="AW104" i="3"/>
  <c r="AQ267" i="3"/>
  <c r="BC267" i="3"/>
  <c r="AW267" i="3"/>
  <c r="AQ136" i="3"/>
  <c r="BC136" i="3"/>
  <c r="AW136" i="3"/>
  <c r="AQ201" i="3"/>
  <c r="BC201" i="3"/>
  <c r="AW201" i="3"/>
  <c r="AQ171" i="3"/>
  <c r="BC171" i="3"/>
  <c r="AW171" i="3"/>
  <c r="AT222" i="3"/>
  <c r="BE222" i="3"/>
  <c r="AV222" i="3"/>
  <c r="AT44" i="3"/>
  <c r="BE44" i="3"/>
  <c r="AV44" i="3"/>
  <c r="AT220" i="3"/>
  <c r="BE220" i="3"/>
  <c r="AV220" i="3"/>
  <c r="AT84" i="3"/>
  <c r="BE84" i="3"/>
  <c r="AV84" i="3"/>
  <c r="BE46" i="3"/>
  <c r="AV46" i="3"/>
  <c r="AQ186" i="3"/>
  <c r="BC186" i="3"/>
  <c r="AW186" i="3"/>
  <c r="AQ168" i="3"/>
  <c r="BC168" i="3"/>
  <c r="AW168" i="3"/>
  <c r="AQ79" i="3"/>
  <c r="BC79" i="3"/>
  <c r="AW79" i="3"/>
  <c r="AQ257" i="3"/>
  <c r="BC257" i="3"/>
  <c r="AW257" i="3"/>
  <c r="AQ103" i="3"/>
  <c r="BC103" i="3"/>
  <c r="AW103" i="3"/>
  <c r="BE124" i="3"/>
  <c r="AV124" i="3"/>
  <c r="AQ40" i="3"/>
  <c r="BC40" i="3"/>
  <c r="AW40" i="3"/>
  <c r="AQ123" i="3"/>
  <c r="BC123" i="3"/>
  <c r="AW123" i="3"/>
  <c r="AQ90" i="3"/>
  <c r="BC90" i="3"/>
  <c r="AW90" i="3"/>
  <c r="AQ175" i="3"/>
  <c r="BC175" i="3"/>
  <c r="AW175" i="3"/>
  <c r="AQ77" i="3"/>
  <c r="BC77" i="3"/>
  <c r="AW77" i="3"/>
  <c r="AQ183" i="3"/>
  <c r="BC183" i="3"/>
  <c r="AW183" i="3"/>
  <c r="AQ49" i="3"/>
  <c r="BC49" i="3"/>
  <c r="AW49" i="3"/>
  <c r="BC63" i="3"/>
  <c r="AW63" i="3"/>
  <c r="AQ263" i="3"/>
  <c r="BC263" i="3"/>
  <c r="AW263" i="3"/>
  <c r="AQ228" i="3"/>
  <c r="BC228" i="3"/>
  <c r="AW228" i="3"/>
  <c r="AQ147" i="3"/>
  <c r="BC147" i="3"/>
  <c r="AW147" i="3"/>
  <c r="AQ52" i="3"/>
  <c r="BC52" i="3"/>
  <c r="AW52" i="3"/>
  <c r="AQ176" i="3"/>
  <c r="BC176" i="3"/>
  <c r="AW176" i="3"/>
  <c r="AQ195" i="3"/>
  <c r="BC195" i="3"/>
  <c r="AW195" i="3"/>
  <c r="AQ162" i="3"/>
  <c r="BC162" i="3"/>
  <c r="AW162" i="3"/>
  <c r="AQ210" i="3"/>
  <c r="BC210" i="3"/>
  <c r="AW210" i="3"/>
  <c r="AQ89" i="3"/>
  <c r="BC89" i="3"/>
  <c r="AW89" i="3"/>
  <c r="AU61" i="3"/>
  <c r="BC61" i="3"/>
  <c r="AW61" i="3"/>
  <c r="AQ208" i="3"/>
  <c r="BC208" i="3"/>
  <c r="AW208" i="3"/>
  <c r="AQ84" i="3"/>
  <c r="BC84" i="3"/>
  <c r="AW84" i="3"/>
  <c r="AQ262" i="3"/>
  <c r="BC262" i="3"/>
  <c r="AW262" i="3"/>
  <c r="AQ111" i="3"/>
  <c r="BC111" i="3"/>
  <c r="AW111" i="3"/>
  <c r="AU64" i="3"/>
  <c r="BC64" i="3"/>
  <c r="AW64" i="3"/>
  <c r="BC107" i="3"/>
  <c r="AW107" i="3"/>
  <c r="BC106" i="3"/>
  <c r="AW106" i="3"/>
  <c r="AQ235" i="3"/>
  <c r="BC235" i="3"/>
  <c r="AW235" i="3"/>
  <c r="AT88" i="3"/>
  <c r="BE88" i="3"/>
  <c r="AV88" i="3"/>
  <c r="BE183" i="3"/>
  <c r="AV183" i="3"/>
  <c r="AT150" i="3"/>
  <c r="BE150" i="3"/>
  <c r="AV150" i="3"/>
  <c r="AT171" i="3"/>
  <c r="BE171" i="3"/>
  <c r="AV171" i="3"/>
  <c r="BE206" i="3"/>
  <c r="AV206" i="3"/>
  <c r="BE179" i="3"/>
  <c r="AV179" i="3"/>
  <c r="BE265" i="3"/>
  <c r="AV265" i="3"/>
  <c r="AP59" i="3"/>
  <c r="BE59" i="3"/>
  <c r="AV59" i="3"/>
  <c r="BE153" i="3"/>
  <c r="AV153" i="3"/>
  <c r="BE109" i="3"/>
  <c r="AV109" i="3"/>
  <c r="BE168" i="3"/>
  <c r="AV168" i="3"/>
  <c r="AT159" i="3"/>
  <c r="BE159" i="3"/>
  <c r="AV159" i="3"/>
  <c r="AT94" i="3"/>
  <c r="BE94" i="3"/>
  <c r="AV94" i="3"/>
  <c r="AT116" i="3"/>
  <c r="BE116" i="3"/>
  <c r="AV116" i="3"/>
  <c r="AT52" i="3"/>
  <c r="BE52" i="3"/>
  <c r="AV52" i="3"/>
  <c r="BE209" i="3"/>
  <c r="AV209" i="3"/>
  <c r="AT195" i="3"/>
  <c r="BE195" i="3"/>
  <c r="AV195" i="3"/>
  <c r="AT162" i="3"/>
  <c r="BE162" i="3"/>
  <c r="AV162" i="3"/>
  <c r="BE258" i="3"/>
  <c r="AV258" i="3"/>
  <c r="AT164" i="3"/>
  <c r="BE164" i="3"/>
  <c r="AV164" i="3"/>
  <c r="AT199" i="3"/>
  <c r="BE199" i="3"/>
  <c r="AV199" i="3"/>
  <c r="AT262" i="3"/>
  <c r="BE262" i="3"/>
  <c r="AV262" i="3"/>
  <c r="AT92" i="3"/>
  <c r="BE92" i="3"/>
  <c r="AV92" i="3"/>
  <c r="AP101" i="3"/>
  <c r="BE101" i="3"/>
  <c r="AV101" i="3"/>
  <c r="AT180" i="3"/>
  <c r="BE180" i="3"/>
  <c r="AV180" i="3"/>
  <c r="AP64" i="3"/>
  <c r="BE64" i="3"/>
  <c r="AV64" i="3"/>
  <c r="AP230" i="3"/>
  <c r="BE230" i="3"/>
  <c r="AV230" i="3"/>
  <c r="AT179" i="3"/>
  <c r="AQ154" i="3"/>
  <c r="BC154" i="3"/>
  <c r="AW154" i="3"/>
  <c r="AQ256" i="3"/>
  <c r="BC256" i="3"/>
  <c r="AW256" i="3"/>
  <c r="AQ72" i="3"/>
  <c r="BC72" i="3"/>
  <c r="AW72" i="3"/>
  <c r="AQ254" i="3"/>
  <c r="BC254" i="3"/>
  <c r="AW254" i="3"/>
  <c r="AQ113" i="3"/>
  <c r="BC113" i="3"/>
  <c r="AW113" i="3"/>
  <c r="AQ85" i="3"/>
  <c r="BC85" i="3"/>
  <c r="AW85" i="3"/>
  <c r="AT89" i="3"/>
  <c r="BE89" i="3"/>
  <c r="AV89" i="3"/>
  <c r="AT40" i="3"/>
  <c r="AV40" i="3"/>
  <c r="BE40" i="3"/>
  <c r="AT231" i="3"/>
  <c r="BE231" i="3"/>
  <c r="AV231" i="3"/>
  <c r="AT208" i="3"/>
  <c r="BE208" i="3"/>
  <c r="AV208" i="3"/>
  <c r="AT115" i="3"/>
  <c r="BE115" i="3"/>
  <c r="AV115" i="3"/>
  <c r="AQ249" i="3"/>
  <c r="BC249" i="3"/>
  <c r="AW249" i="3"/>
  <c r="AQ223" i="3"/>
  <c r="BC223" i="3"/>
  <c r="AW223" i="3"/>
  <c r="AU60" i="3"/>
  <c r="BC60" i="3"/>
  <c r="AW60" i="3"/>
  <c r="AQ94" i="3"/>
  <c r="BC94" i="3"/>
  <c r="AW94" i="3"/>
  <c r="AQ53" i="3"/>
  <c r="BC53" i="3"/>
  <c r="AW53" i="3"/>
  <c r="AQ150" i="3"/>
  <c r="BC150" i="3"/>
  <c r="AW150" i="3"/>
  <c r="AT232" i="3"/>
  <c r="BE232" i="3"/>
  <c r="AV232" i="3"/>
  <c r="AQ96" i="3"/>
  <c r="BC96" i="3"/>
  <c r="AW96" i="3"/>
  <c r="AQ155" i="3"/>
  <c r="BC155" i="3"/>
  <c r="AW155" i="3"/>
  <c r="AQ122" i="3"/>
  <c r="BC122" i="3"/>
  <c r="AW122" i="3"/>
  <c r="AU101" i="3"/>
  <c r="BC101" i="3"/>
  <c r="AW101" i="3"/>
  <c r="AQ51" i="3"/>
  <c r="BC51" i="3"/>
  <c r="AW51" i="3"/>
  <c r="AQ86" i="3"/>
  <c r="BC86" i="3"/>
  <c r="AW86" i="3"/>
  <c r="AQ149" i="3"/>
  <c r="BC149" i="3"/>
  <c r="AW149" i="3"/>
  <c r="AQ95" i="3"/>
  <c r="BC95" i="3"/>
  <c r="AW95" i="3"/>
  <c r="AQ177" i="3"/>
  <c r="BC177" i="3"/>
  <c r="AW177" i="3"/>
  <c r="AQ161" i="3"/>
  <c r="BC161" i="3"/>
  <c r="AW161" i="3"/>
  <c r="AQ172" i="3"/>
  <c r="BC172" i="3"/>
  <c r="AW172" i="3"/>
  <c r="AQ76" i="3"/>
  <c r="BC76" i="3"/>
  <c r="AW76" i="3"/>
  <c r="AQ250" i="3"/>
  <c r="BC250" i="3"/>
  <c r="AW250" i="3"/>
  <c r="AQ209" i="3"/>
  <c r="BC209" i="3"/>
  <c r="AW209" i="3"/>
  <c r="AQ239" i="3"/>
  <c r="BC239" i="3"/>
  <c r="AW239" i="3"/>
  <c r="AQ194" i="3"/>
  <c r="BC194" i="3"/>
  <c r="AW194" i="3"/>
  <c r="AQ252" i="3"/>
  <c r="BC252" i="3"/>
  <c r="AW252" i="3"/>
  <c r="AQ87" i="3"/>
  <c r="BC87" i="3"/>
  <c r="AW87" i="3"/>
  <c r="AQ197" i="3"/>
  <c r="BC197" i="3"/>
  <c r="AW197" i="3"/>
  <c r="AQ237" i="3"/>
  <c r="BC237" i="3"/>
  <c r="AW237" i="3"/>
  <c r="AQ243" i="3"/>
  <c r="BC243" i="3"/>
  <c r="AW243" i="3"/>
  <c r="AQ196" i="3"/>
  <c r="BC196" i="3"/>
  <c r="AW196" i="3"/>
  <c r="AQ207" i="3"/>
  <c r="BC207" i="3"/>
  <c r="AW207" i="3"/>
  <c r="AQ118" i="3"/>
  <c r="BC118" i="3"/>
  <c r="AW118" i="3"/>
  <c r="AQ128" i="3"/>
  <c r="BC128" i="3"/>
  <c r="AW128" i="3"/>
  <c r="AQ139" i="3"/>
  <c r="BC139" i="3"/>
  <c r="AW139" i="3"/>
  <c r="AQ138" i="3"/>
  <c r="BC138" i="3"/>
  <c r="AW138" i="3"/>
  <c r="AQ152" i="3"/>
  <c r="BC152" i="3"/>
  <c r="AW152" i="3"/>
  <c r="BE152" i="3"/>
  <c r="AV152" i="3"/>
  <c r="AT215" i="3"/>
  <c r="BE215" i="3"/>
  <c r="AV215" i="3"/>
  <c r="BE256" i="3"/>
  <c r="AV256" i="3"/>
  <c r="AT203" i="3"/>
  <c r="BE203" i="3"/>
  <c r="AV203" i="3"/>
  <c r="AT132" i="3"/>
  <c r="BE132" i="3"/>
  <c r="AV132" i="3"/>
  <c r="AT82" i="3"/>
  <c r="BE82" i="3"/>
  <c r="AV82" i="3"/>
  <c r="AT141" i="3"/>
  <c r="BE141" i="3"/>
  <c r="AV141" i="3"/>
  <c r="AT91" i="3"/>
  <c r="BE91" i="3"/>
  <c r="AV91" i="3"/>
  <c r="AT58" i="3"/>
  <c r="BE58" i="3"/>
  <c r="AV58" i="3"/>
  <c r="AT212" i="3"/>
  <c r="BE212" i="3"/>
  <c r="AV212" i="3"/>
  <c r="BE224" i="3"/>
  <c r="AV224" i="3"/>
  <c r="AT191" i="3"/>
  <c r="BE191" i="3"/>
  <c r="AV191" i="3"/>
  <c r="AT126" i="3"/>
  <c r="BE126" i="3"/>
  <c r="AV126" i="3"/>
  <c r="BE121" i="3"/>
  <c r="AV121" i="3"/>
  <c r="AT250" i="3"/>
  <c r="BE250" i="3"/>
  <c r="AV250" i="3"/>
  <c r="AT229" i="3"/>
  <c r="BE229" i="3"/>
  <c r="AV229" i="3"/>
  <c r="AP239" i="3"/>
  <c r="BE239" i="3"/>
  <c r="AV239" i="3"/>
  <c r="BE194" i="3"/>
  <c r="AV194" i="3"/>
  <c r="BE226" i="3"/>
  <c r="AV226" i="3"/>
  <c r="BE245" i="3"/>
  <c r="AV245" i="3"/>
  <c r="BE247" i="3"/>
  <c r="AV247" i="3"/>
  <c r="AT196" i="3"/>
  <c r="BE196" i="3"/>
  <c r="AV196" i="3"/>
  <c r="AT172" i="3"/>
  <c r="BE172" i="3"/>
  <c r="AV172" i="3"/>
  <c r="BE47" i="3"/>
  <c r="AV47" i="3"/>
  <c r="AT140" i="3"/>
  <c r="BE140" i="3"/>
  <c r="AV140" i="3"/>
  <c r="AT144" i="3"/>
  <c r="BE144" i="3"/>
  <c r="AV144" i="3"/>
  <c r="AP97" i="3"/>
  <c r="BE97" i="3"/>
  <c r="AV97" i="3"/>
  <c r="AP100" i="3"/>
  <c r="BE100" i="3"/>
  <c r="AV100" i="3"/>
  <c r="BE70" i="3"/>
  <c r="AV70" i="3"/>
  <c r="AT101" i="3"/>
  <c r="AT258" i="3"/>
  <c r="AT47" i="3"/>
  <c r="AT233" i="3"/>
  <c r="BE233" i="3"/>
  <c r="AV233" i="3"/>
  <c r="AQ160" i="3"/>
  <c r="BC160" i="3"/>
  <c r="AW160" i="3"/>
  <c r="AQ179" i="3"/>
  <c r="BC179" i="3"/>
  <c r="AW179" i="3"/>
  <c r="AQ266" i="3"/>
  <c r="BC266" i="3"/>
  <c r="AW266" i="3"/>
  <c r="AQ148" i="3"/>
  <c r="BC148" i="3"/>
  <c r="AW148" i="3"/>
  <c r="AQ71" i="3"/>
  <c r="BC71" i="3"/>
  <c r="AW71" i="3"/>
  <c r="AQ192" i="3"/>
  <c r="BC192" i="3"/>
  <c r="AW192" i="3"/>
  <c r="BE57" i="3"/>
  <c r="AV57" i="3"/>
  <c r="BE210" i="3"/>
  <c r="AV210" i="3"/>
  <c r="AT252" i="3"/>
  <c r="BE252" i="3"/>
  <c r="AV252" i="3"/>
  <c r="AP254" i="3"/>
  <c r="BE254" i="3"/>
  <c r="AV254" i="3"/>
  <c r="BE73" i="3"/>
  <c r="AV73" i="3"/>
  <c r="AP68" i="3"/>
  <c r="BE68" i="3"/>
  <c r="AV68" i="3"/>
  <c r="AQ260" i="3"/>
  <c r="BC260" i="3"/>
  <c r="AW260" i="3"/>
  <c r="AQ159" i="3"/>
  <c r="BC159" i="3"/>
  <c r="AW159" i="3"/>
  <c r="AQ225" i="3"/>
  <c r="BC225" i="3"/>
  <c r="AW225" i="3"/>
  <c r="AQ220" i="3"/>
  <c r="BC220" i="3"/>
  <c r="AW220" i="3"/>
  <c r="AQ217" i="3"/>
  <c r="BC217" i="3"/>
  <c r="AW217" i="3"/>
  <c r="AQ45" i="3"/>
  <c r="BC45" i="3"/>
  <c r="AW45" i="3"/>
  <c r="AQ244" i="3"/>
  <c r="BC244" i="3"/>
  <c r="AW244" i="3"/>
  <c r="AQ56" i="3"/>
  <c r="BC56" i="3"/>
  <c r="AW56" i="3"/>
  <c r="AQ70" i="3"/>
  <c r="BC70" i="3"/>
  <c r="AW70" i="3"/>
  <c r="AQ227" i="3"/>
  <c r="BC227" i="3"/>
  <c r="AW227" i="3"/>
  <c r="AQ144" i="3"/>
  <c r="BC144" i="3"/>
  <c r="AW144" i="3"/>
  <c r="AQ116" i="3"/>
  <c r="BC116" i="3"/>
  <c r="AW116" i="3"/>
  <c r="AQ206" i="3"/>
  <c r="BC206" i="3"/>
  <c r="AW206" i="3"/>
  <c r="AQ151" i="3"/>
  <c r="BC151" i="3"/>
  <c r="AW151" i="3"/>
  <c r="BE225" i="3"/>
  <c r="AV225" i="3"/>
  <c r="AP69" i="3"/>
  <c r="BE69" i="3"/>
  <c r="AV69" i="3"/>
  <c r="AT125" i="3"/>
  <c r="BE125" i="3"/>
  <c r="AV125" i="3"/>
  <c r="AT253" i="3"/>
  <c r="BE253" i="3"/>
  <c r="AV253" i="3"/>
  <c r="AP216" i="3"/>
  <c r="BE216" i="3"/>
  <c r="AV216" i="3"/>
  <c r="AT96" i="3"/>
  <c r="BE96" i="3"/>
  <c r="AV96" i="3"/>
  <c r="AT155" i="3"/>
  <c r="BE155" i="3"/>
  <c r="AV155" i="3"/>
  <c r="BE122" i="3"/>
  <c r="AV122" i="3"/>
  <c r="AT81" i="3"/>
  <c r="BE81" i="3"/>
  <c r="AV81" i="3"/>
  <c r="AP234" i="3"/>
  <c r="BE234" i="3"/>
  <c r="AV234" i="3"/>
  <c r="AT248" i="3"/>
  <c r="BE248" i="3"/>
  <c r="AV248" i="3"/>
  <c r="AP204" i="3"/>
  <c r="BE204" i="3"/>
  <c r="AT190" i="3"/>
  <c r="BE190" i="3"/>
  <c r="AV190" i="3"/>
  <c r="AT145" i="3"/>
  <c r="BE145" i="3"/>
  <c r="AV145" i="3"/>
  <c r="AT53" i="3"/>
  <c r="BE53" i="3"/>
  <c r="AV53" i="3"/>
  <c r="AT213" i="3"/>
  <c r="AV213" i="3"/>
  <c r="BE213" i="3"/>
  <c r="AT217" i="3"/>
  <c r="BE217" i="3"/>
  <c r="AV217" i="3"/>
  <c r="BE237" i="3"/>
  <c r="AV237" i="3"/>
  <c r="AT129" i="3"/>
  <c r="BE129" i="3"/>
  <c r="AV129" i="3"/>
  <c r="AT78" i="3"/>
  <c r="BE78" i="3"/>
  <c r="AV78" i="3"/>
  <c r="AQ259" i="3"/>
  <c r="BC259" i="3"/>
  <c r="AW259" i="3"/>
  <c r="AQ133" i="3"/>
  <c r="BC133" i="3"/>
  <c r="AW133" i="3"/>
  <c r="AQ219" i="3"/>
  <c r="BC219" i="3"/>
  <c r="AW219" i="3"/>
  <c r="AQ238" i="3"/>
  <c r="BC238" i="3"/>
  <c r="AW238" i="3"/>
  <c r="BC114" i="3"/>
  <c r="AW114" i="3"/>
  <c r="AQ224" i="3"/>
  <c r="BC224" i="3"/>
  <c r="AW224" i="3"/>
  <c r="AQ191" i="3"/>
  <c r="BC191" i="3"/>
  <c r="AW191" i="3"/>
  <c r="AQ126" i="3"/>
  <c r="BC126" i="3"/>
  <c r="AW126" i="3"/>
  <c r="AQ78" i="3"/>
  <c r="BC78" i="3"/>
  <c r="AW78" i="3"/>
  <c r="AQ88" i="3"/>
  <c r="BC88" i="3"/>
  <c r="AW88" i="3"/>
  <c r="AQ189" i="3"/>
  <c r="BC189" i="3"/>
  <c r="AW189" i="3"/>
  <c r="AQ67" i="3"/>
  <c r="BC67" i="3"/>
  <c r="AW67" i="3"/>
  <c r="AQ193" i="3"/>
  <c r="BC193" i="3"/>
  <c r="AW193" i="3"/>
  <c r="AQ181" i="3"/>
  <c r="BC181" i="3"/>
  <c r="AW181" i="3"/>
  <c r="AQ47" i="3"/>
  <c r="BC47" i="3"/>
  <c r="AW47" i="3"/>
  <c r="AQ82" i="3"/>
  <c r="BC82" i="3"/>
  <c r="AW82" i="3"/>
  <c r="AQ120" i="3"/>
  <c r="BC120" i="3"/>
  <c r="AW120" i="3"/>
  <c r="AQ135" i="3"/>
  <c r="BC135" i="3"/>
  <c r="AW135" i="3"/>
  <c r="BC102" i="3"/>
  <c r="AW102" i="3"/>
  <c r="AQ115" i="3"/>
  <c r="BC115" i="3"/>
  <c r="AW115" i="3"/>
  <c r="AQ212" i="3"/>
  <c r="BC212" i="3"/>
  <c r="AW212" i="3"/>
  <c r="AQ253" i="3"/>
  <c r="BC253" i="3"/>
  <c r="AW253" i="3"/>
  <c r="AQ57" i="3"/>
  <c r="BC57" i="3"/>
  <c r="AW57" i="3"/>
  <c r="AQ132" i="3"/>
  <c r="BC132" i="3"/>
  <c r="AW132" i="3"/>
  <c r="AQ125" i="3"/>
  <c r="BC125" i="3"/>
  <c r="AW125" i="3"/>
  <c r="AT235" i="3"/>
  <c r="BE235" i="3"/>
  <c r="AV235" i="3"/>
  <c r="BE55" i="3"/>
  <c r="AV55" i="3"/>
  <c r="BE105" i="3"/>
  <c r="AV105" i="3"/>
  <c r="BE156" i="3"/>
  <c r="AV156" i="3"/>
  <c r="AT42" i="3"/>
  <c r="BE42" i="3"/>
  <c r="AV42" i="3"/>
  <c r="AQ216" i="3"/>
  <c r="BC216" i="3"/>
  <c r="AW216" i="3"/>
  <c r="AT160" i="3"/>
  <c r="BE160" i="3"/>
  <c r="AV160" i="3"/>
  <c r="AP187" i="3"/>
  <c r="BE187" i="3"/>
  <c r="AT154" i="3"/>
  <c r="BE154" i="3"/>
  <c r="AV154" i="3"/>
  <c r="AT83" i="3"/>
  <c r="BE83" i="3"/>
  <c r="AV83" i="3"/>
  <c r="AT251" i="3"/>
  <c r="BE251" i="3"/>
  <c r="AV251" i="3"/>
  <c r="AT165" i="3"/>
  <c r="BE165" i="3"/>
  <c r="AV165" i="3"/>
  <c r="BE169" i="3"/>
  <c r="AV169" i="3"/>
  <c r="AP246" i="3"/>
  <c r="BE246" i="3"/>
  <c r="AV246" i="3"/>
  <c r="AT51" i="3"/>
  <c r="BE51" i="3"/>
  <c r="AV51" i="3"/>
  <c r="AT189" i="3"/>
  <c r="BE189" i="3"/>
  <c r="AV189" i="3"/>
  <c r="BE67" i="3"/>
  <c r="AV67" i="3"/>
  <c r="AT193" i="3"/>
  <c r="BE193" i="3"/>
  <c r="AV193" i="3"/>
  <c r="AT181" i="3"/>
  <c r="BE181" i="3"/>
  <c r="AV181" i="3"/>
  <c r="AT113" i="3"/>
  <c r="BE113" i="3"/>
  <c r="AV113" i="3"/>
  <c r="BE71" i="3"/>
  <c r="AV71" i="3"/>
  <c r="AT201" i="3"/>
  <c r="BE201" i="3"/>
  <c r="AV201" i="3"/>
  <c r="AT65" i="3"/>
  <c r="BE65" i="3"/>
  <c r="AV65" i="3"/>
  <c r="AT72" i="3"/>
  <c r="AV72" i="3"/>
  <c r="BE72" i="3"/>
  <c r="BE143" i="3"/>
  <c r="AV143" i="3"/>
  <c r="AT110" i="3"/>
  <c r="BE110" i="3"/>
  <c r="AV110" i="3"/>
  <c r="BE76" i="3"/>
  <c r="AV76" i="3"/>
  <c r="AP107" i="3"/>
  <c r="BE107" i="3"/>
  <c r="AV107" i="3"/>
  <c r="AT67" i="3"/>
  <c r="AT245" i="3"/>
  <c r="AT187" i="3"/>
  <c r="AU152" i="3"/>
  <c r="AU259" i="3"/>
  <c r="AT206" i="3"/>
  <c r="AT122" i="3"/>
  <c r="AT121" i="3"/>
  <c r="AT226" i="3"/>
  <c r="AU237" i="3"/>
  <c r="AP257" i="3"/>
  <c r="BE257" i="3"/>
  <c r="AV257" i="3"/>
  <c r="AT197" i="3"/>
  <c r="BE197" i="3"/>
  <c r="AV197" i="3"/>
  <c r="AT243" i="3"/>
  <c r="BE243" i="3"/>
  <c r="AV243" i="3"/>
  <c r="AT111" i="3"/>
  <c r="BE111" i="3"/>
  <c r="AV111" i="3"/>
  <c r="AT211" i="3"/>
  <c r="BE211" i="3"/>
  <c r="AV211" i="3"/>
  <c r="AL221" i="3"/>
  <c r="BE221" i="3"/>
  <c r="AU187" i="3"/>
  <c r="AQ236" i="3"/>
  <c r="BC236" i="3"/>
  <c r="AW236" i="3"/>
  <c r="AQ137" i="3"/>
  <c r="BC137" i="3"/>
  <c r="AW137" i="3"/>
  <c r="AQ157" i="3"/>
  <c r="BC157" i="3"/>
  <c r="AW157" i="3"/>
  <c r="AQ242" i="3"/>
  <c r="BC242" i="3"/>
  <c r="AW242" i="3"/>
  <c r="AQ180" i="3"/>
  <c r="BC180" i="3"/>
  <c r="AW180" i="3"/>
  <c r="AQ222" i="3"/>
  <c r="BC222" i="3"/>
  <c r="AW222" i="3"/>
  <c r="AQ44" i="3"/>
  <c r="BC44" i="3"/>
  <c r="AW44" i="3"/>
  <c r="AQ185" i="3"/>
  <c r="BC185" i="3"/>
  <c r="AW185" i="3"/>
  <c r="AQ231" i="3"/>
  <c r="BC231" i="3"/>
  <c r="AW231" i="3"/>
  <c r="AQ158" i="3"/>
  <c r="BC158" i="3"/>
  <c r="AW158" i="3"/>
  <c r="AQ68" i="3"/>
  <c r="BC68" i="3"/>
  <c r="AW68" i="3"/>
  <c r="AQ119" i="3"/>
  <c r="BC119" i="3"/>
  <c r="AW119" i="3"/>
  <c r="AU97" i="3"/>
  <c r="BC97" i="3"/>
  <c r="AW97" i="3"/>
  <c r="AU99" i="3"/>
  <c r="BC99" i="3"/>
  <c r="AW99" i="3"/>
  <c r="AQ66" i="3"/>
  <c r="BC66" i="3"/>
  <c r="AW66" i="3"/>
  <c r="AQ241" i="3"/>
  <c r="BC241" i="3"/>
  <c r="AW241" i="3"/>
  <c r="AQ143" i="3"/>
  <c r="BC143" i="3"/>
  <c r="AW143" i="3"/>
  <c r="AQ178" i="3"/>
  <c r="BC178" i="3"/>
  <c r="AW178" i="3"/>
  <c r="AU108" i="3"/>
  <c r="BC108" i="3"/>
  <c r="AW108" i="3"/>
  <c r="AQ184" i="3"/>
  <c r="BC184" i="3"/>
  <c r="AW184" i="3"/>
  <c r="AQ167" i="3"/>
  <c r="BC167" i="3"/>
  <c r="AW167" i="3"/>
  <c r="AQ134" i="3"/>
  <c r="BC134" i="3"/>
  <c r="AW134" i="3"/>
  <c r="AQ73" i="3"/>
  <c r="AW73" i="3"/>
  <c r="BC73" i="3"/>
  <c r="AQ50" i="3"/>
  <c r="BC50" i="3"/>
  <c r="AW50" i="3"/>
  <c r="AQ65" i="3"/>
  <c r="BC65" i="3"/>
  <c r="AW65" i="3"/>
  <c r="AQ156" i="3"/>
  <c r="BC156" i="3"/>
  <c r="AW156" i="3"/>
  <c r="AQ232" i="3"/>
  <c r="BC232" i="3"/>
  <c r="AW232" i="3"/>
  <c r="AQ261" i="3"/>
  <c r="BC261" i="3"/>
  <c r="AW261" i="3"/>
  <c r="AQ54" i="3"/>
  <c r="BC54" i="3"/>
  <c r="AW54" i="3"/>
  <c r="AT264" i="3"/>
  <c r="BE264" i="3"/>
  <c r="AV264" i="3"/>
  <c r="AT87" i="3"/>
  <c r="BE87" i="3"/>
  <c r="AV87" i="3"/>
  <c r="AT54" i="3"/>
  <c r="BE54" i="3"/>
  <c r="AV54" i="3"/>
  <c r="AT43" i="3"/>
  <c r="BE43" i="3"/>
  <c r="AV43" i="3"/>
  <c r="AT74" i="3"/>
  <c r="BE74" i="3"/>
  <c r="AV74" i="3"/>
  <c r="AT249" i="3"/>
  <c r="BE249" i="3"/>
  <c r="AV249" i="3"/>
  <c r="AT260" i="3"/>
  <c r="BE260" i="3"/>
  <c r="AV260" i="3"/>
  <c r="AP223" i="3"/>
  <c r="BE223" i="3"/>
  <c r="AT186" i="3"/>
  <c r="BE186" i="3"/>
  <c r="AV186" i="3"/>
  <c r="AT117" i="3"/>
  <c r="BE117" i="3"/>
  <c r="AV117" i="3"/>
  <c r="AT49" i="3"/>
  <c r="BE49" i="3"/>
  <c r="AV49" i="3"/>
  <c r="AP63" i="3"/>
  <c r="BE63" i="3"/>
  <c r="AV63" i="3"/>
  <c r="AT263" i="3"/>
  <c r="BE263" i="3"/>
  <c r="AV263" i="3"/>
  <c r="AT228" i="3"/>
  <c r="BE228" i="3"/>
  <c r="AV228" i="3"/>
  <c r="AT147" i="3"/>
  <c r="BE147" i="3"/>
  <c r="AV147" i="3"/>
  <c r="AT48" i="3"/>
  <c r="AV48" i="3"/>
  <c r="BE48" i="3"/>
  <c r="AP99" i="3"/>
  <c r="BE99" i="3"/>
  <c r="AV99" i="3"/>
  <c r="AT66" i="3"/>
  <c r="BE66" i="3"/>
  <c r="AV66" i="3"/>
  <c r="AT241" i="3"/>
  <c r="BE241" i="3"/>
  <c r="AV241" i="3"/>
  <c r="AT56" i="3"/>
  <c r="BE56" i="3"/>
  <c r="AV56" i="3"/>
  <c r="AT103" i="3"/>
  <c r="BE103" i="3"/>
  <c r="AV103" i="3"/>
  <c r="AT134" i="3"/>
  <c r="BE134" i="3"/>
  <c r="AV134" i="3"/>
  <c r="AT128" i="3"/>
  <c r="BE128" i="3"/>
  <c r="AV128" i="3"/>
  <c r="AT136" i="3"/>
  <c r="AV136" i="3"/>
  <c r="BE136" i="3"/>
  <c r="AT175" i="3"/>
  <c r="BE175" i="3"/>
  <c r="AV175" i="3"/>
  <c r="AT174" i="3"/>
  <c r="BE174" i="3"/>
  <c r="AV174" i="3"/>
  <c r="AT146" i="3"/>
  <c r="BE146" i="3"/>
  <c r="AV146" i="3"/>
  <c r="AP114" i="3"/>
  <c r="BE114" i="3"/>
  <c r="AV114" i="3"/>
  <c r="AN64" i="3"/>
  <c r="AT183" i="3"/>
  <c r="AU260" i="3"/>
  <c r="AT152" i="3"/>
  <c r="AU114" i="3"/>
  <c r="AT156" i="3"/>
  <c r="AT257" i="3"/>
  <c r="AU161" i="3"/>
  <c r="AU102" i="3"/>
  <c r="AT237" i="3"/>
  <c r="AQ127" i="3"/>
  <c r="BC127" i="3"/>
  <c r="AW127" i="3"/>
  <c r="AQ229" i="3"/>
  <c r="BC229" i="3"/>
  <c r="AW229" i="3"/>
  <c r="AQ215" i="3"/>
  <c r="BC215" i="3"/>
  <c r="AW215" i="3"/>
  <c r="AQ46" i="3"/>
  <c r="BC46" i="3"/>
  <c r="AW46" i="3"/>
  <c r="AQ69" i="3"/>
  <c r="BC69" i="3"/>
  <c r="AW69" i="3"/>
  <c r="AP261" i="3"/>
  <c r="BE261" i="3"/>
  <c r="AV261" i="3"/>
  <c r="BE90" i="3"/>
  <c r="AV90" i="3"/>
  <c r="AT158" i="3"/>
  <c r="BE158" i="3"/>
  <c r="AV158" i="3"/>
  <c r="BE148" i="3"/>
  <c r="AV148" i="3"/>
  <c r="AT227" i="3"/>
  <c r="BE227" i="3"/>
  <c r="AV227" i="3"/>
  <c r="AL102" i="3"/>
  <c r="BE102" i="3"/>
  <c r="AV102" i="3"/>
  <c r="AQ117" i="3"/>
  <c r="BC117" i="3"/>
  <c r="AW117" i="3"/>
  <c r="AQ203" i="3"/>
  <c r="BC203" i="3"/>
  <c r="AW203" i="3"/>
  <c r="AT46" i="3"/>
  <c r="AQ265" i="3"/>
  <c r="BC265" i="3"/>
  <c r="AW265" i="3"/>
  <c r="AU59" i="3"/>
  <c r="BC59" i="3"/>
  <c r="AW59" i="3"/>
  <c r="AQ153" i="3"/>
  <c r="BC153" i="3"/>
  <c r="AW153" i="3"/>
  <c r="AQ109" i="3"/>
  <c r="BC109" i="3"/>
  <c r="AW109" i="3"/>
  <c r="AQ81" i="3"/>
  <c r="BC81" i="3"/>
  <c r="AW81" i="3"/>
  <c r="AQ93" i="3"/>
  <c r="BC93" i="3"/>
  <c r="AW93" i="3"/>
  <c r="AQ234" i="3"/>
  <c r="BC234" i="3"/>
  <c r="AW234" i="3"/>
  <c r="AQ248" i="3"/>
  <c r="BC248" i="3"/>
  <c r="AW248" i="3"/>
  <c r="AU204" i="3"/>
  <c r="BC204" i="3"/>
  <c r="AW204" i="3"/>
  <c r="AQ190" i="3"/>
  <c r="BC190" i="3"/>
  <c r="AW190" i="3"/>
  <c r="AQ188" i="3"/>
  <c r="BC188" i="3"/>
  <c r="AW188" i="3"/>
  <c r="AQ233" i="3"/>
  <c r="BC233" i="3"/>
  <c r="AW233" i="3"/>
  <c r="AQ48" i="3"/>
  <c r="BC48" i="3"/>
  <c r="AW48" i="3"/>
  <c r="AQ131" i="3"/>
  <c r="BC131" i="3"/>
  <c r="AW131" i="3"/>
  <c r="AU98" i="3"/>
  <c r="BC98" i="3"/>
  <c r="AW98" i="3"/>
  <c r="AQ110" i="3"/>
  <c r="BC110" i="3"/>
  <c r="AW110" i="3"/>
  <c r="AQ264" i="3"/>
  <c r="BC264" i="3"/>
  <c r="AW264" i="3"/>
  <c r="AQ258" i="3"/>
  <c r="BC258" i="3"/>
  <c r="AW258" i="3"/>
  <c r="AQ164" i="3"/>
  <c r="BC164" i="3"/>
  <c r="AW164" i="3"/>
  <c r="AQ199" i="3"/>
  <c r="BC199" i="3"/>
  <c r="AW199" i="3"/>
  <c r="AQ166" i="3"/>
  <c r="BC166" i="3"/>
  <c r="AW166" i="3"/>
  <c r="AQ200" i="3"/>
  <c r="BC200" i="3"/>
  <c r="AW200" i="3"/>
  <c r="AQ146" i="3"/>
  <c r="BC146" i="3"/>
  <c r="AW146" i="3"/>
  <c r="AQ205" i="3"/>
  <c r="BC205" i="3"/>
  <c r="AW205" i="3"/>
  <c r="AQ43" i="3"/>
  <c r="BC43" i="3"/>
  <c r="AW43" i="3"/>
  <c r="AQ42" i="3"/>
  <c r="BC42" i="3"/>
  <c r="AW42" i="3"/>
  <c r="AQ255" i="3"/>
  <c r="BC255" i="3"/>
  <c r="AW255" i="3"/>
  <c r="AQ230" i="3"/>
  <c r="BC230" i="3"/>
  <c r="AW230" i="3"/>
  <c r="AT93" i="3"/>
  <c r="BE93" i="3"/>
  <c r="AV93" i="3"/>
  <c r="AT119" i="3"/>
  <c r="BE119" i="3"/>
  <c r="AV119" i="3"/>
  <c r="AT86" i="3"/>
  <c r="BE86" i="3"/>
  <c r="AV86" i="3"/>
  <c r="AT75" i="3"/>
  <c r="BE75" i="3"/>
  <c r="AV75" i="3"/>
  <c r="AT138" i="3"/>
  <c r="BE138" i="3"/>
  <c r="AV138" i="3"/>
  <c r="AT80" i="3"/>
  <c r="AV80" i="3"/>
  <c r="BE80" i="3"/>
  <c r="AT259" i="3"/>
  <c r="BE259" i="3"/>
  <c r="AV259" i="3"/>
  <c r="AT133" i="3"/>
  <c r="BE133" i="3"/>
  <c r="AV133" i="3"/>
  <c r="AT219" i="3"/>
  <c r="BE219" i="3"/>
  <c r="AV219" i="3"/>
  <c r="AT238" i="3"/>
  <c r="BE238" i="3"/>
  <c r="AV238" i="3"/>
  <c r="BE50" i="3"/>
  <c r="AV50" i="3"/>
  <c r="AT149" i="3"/>
  <c r="BE149" i="3"/>
  <c r="AV149" i="3"/>
  <c r="AT95" i="3"/>
  <c r="BE95" i="3"/>
  <c r="AV95" i="3"/>
  <c r="AT177" i="3"/>
  <c r="BE177" i="3"/>
  <c r="AV177" i="3"/>
  <c r="AT161" i="3"/>
  <c r="BE161" i="3"/>
  <c r="AV161" i="3"/>
  <c r="AT244" i="3"/>
  <c r="BE244" i="3"/>
  <c r="AV244" i="3"/>
  <c r="AP218" i="3"/>
  <c r="BE218" i="3"/>
  <c r="AV218" i="3"/>
  <c r="AV112" i="3"/>
  <c r="BE112" i="3"/>
  <c r="AT131" i="3"/>
  <c r="BE131" i="3"/>
  <c r="AV131" i="3"/>
  <c r="AP98" i="3"/>
  <c r="BE98" i="3"/>
  <c r="AV98" i="3"/>
  <c r="AT205" i="3"/>
  <c r="BE205" i="3"/>
  <c r="AV205" i="3"/>
  <c r="AT120" i="3"/>
  <c r="BE120" i="3"/>
  <c r="AV120" i="3"/>
  <c r="AT135" i="3"/>
  <c r="BE135" i="3"/>
  <c r="AV135" i="3"/>
  <c r="AT166" i="3"/>
  <c r="BE166" i="3"/>
  <c r="AV166" i="3"/>
  <c r="AT192" i="3"/>
  <c r="AV192" i="3"/>
  <c r="BE192" i="3"/>
  <c r="AT200" i="3"/>
  <c r="AV200" i="3"/>
  <c r="BE200" i="3"/>
  <c r="BE207" i="3"/>
  <c r="AV207" i="3"/>
  <c r="AT188" i="3"/>
  <c r="BE188" i="3"/>
  <c r="AV188" i="3"/>
  <c r="AQ41" i="3"/>
  <c r="AW41" i="3"/>
  <c r="BC41" i="3"/>
  <c r="AL64" i="3"/>
  <c r="AN102" i="3"/>
  <c r="AT265" i="3"/>
  <c r="AT194" i="3"/>
  <c r="AT207" i="3"/>
  <c r="AT73" i="3"/>
  <c r="AT209" i="3"/>
  <c r="AT124" i="3"/>
  <c r="AU109" i="3"/>
  <c r="AT153" i="3"/>
  <c r="AT225" i="3"/>
  <c r="AT55" i="3"/>
  <c r="AU104" i="3"/>
  <c r="AU63" i="3"/>
  <c r="AQ140" i="3"/>
  <c r="BC140" i="3"/>
  <c r="AW140" i="3"/>
  <c r="AU62" i="3"/>
  <c r="BC62" i="3"/>
  <c r="AW62" i="3"/>
  <c r="AQ240" i="3"/>
  <c r="BC240" i="3"/>
  <c r="AW240" i="3"/>
  <c r="AQ83" i="3"/>
  <c r="BC83" i="3"/>
  <c r="AW83" i="3"/>
  <c r="AQ221" i="3"/>
  <c r="BC221" i="3"/>
  <c r="AW221" i="3"/>
  <c r="AQ170" i="3"/>
  <c r="BC170" i="3"/>
  <c r="AW170" i="3"/>
  <c r="AT85" i="3"/>
  <c r="BE85" i="3"/>
  <c r="AV85" i="3"/>
  <c r="AT123" i="3"/>
  <c r="BE123" i="3"/>
  <c r="AV123" i="3"/>
  <c r="AT185" i="3"/>
  <c r="BE185" i="3"/>
  <c r="AV185" i="3"/>
  <c r="AT240" i="3"/>
  <c r="BE240" i="3"/>
  <c r="AV240" i="3"/>
  <c r="AP61" i="3"/>
  <c r="BE61" i="3"/>
  <c r="AV61" i="3"/>
  <c r="AT79" i="3"/>
  <c r="BE79" i="3"/>
  <c r="AV79" i="3"/>
  <c r="AU140" i="3"/>
  <c r="AQ174" i="3"/>
  <c r="BC174" i="3"/>
  <c r="AW174" i="3"/>
  <c r="AU100" i="3"/>
  <c r="BC100" i="3"/>
  <c r="AW100" i="3"/>
  <c r="AQ141" i="3"/>
  <c r="BC141" i="3"/>
  <c r="AW141" i="3"/>
  <c r="AQ91" i="3"/>
  <c r="BC91" i="3"/>
  <c r="AW91" i="3"/>
  <c r="AQ58" i="3"/>
  <c r="BC58" i="3"/>
  <c r="AW58" i="3"/>
  <c r="AQ129" i="3"/>
  <c r="BC129" i="3"/>
  <c r="AW129" i="3"/>
  <c r="AQ80" i="3"/>
  <c r="BC80" i="3"/>
  <c r="AW80" i="3"/>
  <c r="AQ55" i="3"/>
  <c r="BC55" i="3"/>
  <c r="AW55" i="3"/>
  <c r="AQ251" i="3"/>
  <c r="BC251" i="3"/>
  <c r="AW251" i="3"/>
  <c r="AQ165" i="3"/>
  <c r="BC165" i="3"/>
  <c r="AW165" i="3"/>
  <c r="AQ169" i="3"/>
  <c r="BC169" i="3"/>
  <c r="AW169" i="3"/>
  <c r="AQ246" i="3"/>
  <c r="BC246" i="3"/>
  <c r="AW246" i="3"/>
  <c r="AQ145" i="3"/>
  <c r="BC145" i="3"/>
  <c r="AW145" i="3"/>
  <c r="AQ105" i="3"/>
  <c r="BC105" i="3"/>
  <c r="AW105" i="3"/>
  <c r="AQ112" i="3"/>
  <c r="BC112" i="3"/>
  <c r="AW112" i="3"/>
  <c r="AQ163" i="3"/>
  <c r="BC163" i="3"/>
  <c r="AW163" i="3"/>
  <c r="AQ130" i="3"/>
  <c r="BC130" i="3"/>
  <c r="AW130" i="3"/>
  <c r="AQ214" i="3"/>
  <c r="BC214" i="3"/>
  <c r="AW214" i="3"/>
  <c r="AQ173" i="3"/>
  <c r="BC173" i="3"/>
  <c r="AW173" i="3"/>
  <c r="AQ226" i="3"/>
  <c r="BC226" i="3"/>
  <c r="AW226" i="3"/>
  <c r="AQ245" i="3"/>
  <c r="BC245" i="3"/>
  <c r="AW245" i="3"/>
  <c r="AQ247" i="3"/>
  <c r="BC247" i="3"/>
  <c r="AW247" i="3"/>
  <c r="AQ198" i="3"/>
  <c r="BC198" i="3"/>
  <c r="AW198" i="3"/>
  <c r="AQ92" i="3"/>
  <c r="BC92" i="3"/>
  <c r="AW92" i="3"/>
  <c r="AQ124" i="3"/>
  <c r="BC124" i="3"/>
  <c r="AW124" i="3"/>
  <c r="AQ121" i="3"/>
  <c r="BC121" i="3"/>
  <c r="AW121" i="3"/>
  <c r="AQ75" i="3"/>
  <c r="BC75" i="3"/>
  <c r="AW75" i="3"/>
  <c r="AQ74" i="3"/>
  <c r="BC74" i="3"/>
  <c r="AW74" i="3"/>
  <c r="AQ211" i="3"/>
  <c r="BC211" i="3"/>
  <c r="AW211" i="3"/>
  <c r="AT173" i="3"/>
  <c r="BE173" i="3"/>
  <c r="AV173" i="3"/>
  <c r="AT151" i="3"/>
  <c r="BE151" i="3"/>
  <c r="AV151" i="3"/>
  <c r="AT118" i="3"/>
  <c r="BE118" i="3"/>
  <c r="AV118" i="3"/>
  <c r="AT139" i="3"/>
  <c r="BE139" i="3"/>
  <c r="AV139" i="3"/>
  <c r="BE170" i="3"/>
  <c r="AV170" i="3"/>
  <c r="AT77" i="3"/>
  <c r="BE77" i="3"/>
  <c r="AV77" i="3"/>
  <c r="AT236" i="3"/>
  <c r="BE236" i="3"/>
  <c r="AV236" i="3"/>
  <c r="BE137" i="3"/>
  <c r="AV137" i="3"/>
  <c r="AT157" i="3"/>
  <c r="BE157" i="3"/>
  <c r="AV157" i="3"/>
  <c r="BE242" i="3"/>
  <c r="AV242" i="3"/>
  <c r="AT178" i="3"/>
  <c r="BE178" i="3"/>
  <c r="AV178" i="3"/>
  <c r="AV104" i="3"/>
  <c r="BE104" i="3"/>
  <c r="AT127" i="3"/>
  <c r="BE127" i="3"/>
  <c r="AV127" i="3"/>
  <c r="AP62" i="3"/>
  <c r="BE62" i="3"/>
  <c r="AV62" i="3"/>
  <c r="AT266" i="3"/>
  <c r="BE266" i="3"/>
  <c r="AV266" i="3"/>
  <c r="BC218" i="3"/>
  <c r="AW218" i="3"/>
  <c r="AT176" i="3"/>
  <c r="BE176" i="3"/>
  <c r="AV176" i="3"/>
  <c r="BE163" i="3"/>
  <c r="AV163" i="3"/>
  <c r="AT130" i="3"/>
  <c r="BE130" i="3"/>
  <c r="AV130" i="3"/>
  <c r="AP108" i="3"/>
  <c r="BE108" i="3"/>
  <c r="AV108" i="3"/>
  <c r="AT184" i="3"/>
  <c r="BE184" i="3"/>
  <c r="AV184" i="3"/>
  <c r="AT167" i="3"/>
  <c r="BE167" i="3"/>
  <c r="AV167" i="3"/>
  <c r="AT198" i="3"/>
  <c r="BE198" i="3"/>
  <c r="AV198" i="3"/>
  <c r="BE45" i="3"/>
  <c r="AV45" i="3"/>
  <c r="BE255" i="3"/>
  <c r="AV255" i="3"/>
  <c r="AT41" i="3"/>
  <c r="BE41" i="3"/>
  <c r="AV41" i="3"/>
  <c r="AP214" i="3"/>
  <c r="BE214" i="3"/>
  <c r="AV214" i="3"/>
  <c r="AP106" i="3"/>
  <c r="BE106" i="3"/>
  <c r="AV106" i="3"/>
  <c r="AU189" i="3"/>
  <c r="AU224" i="3"/>
  <c r="AU239" i="3"/>
  <c r="AT112" i="3"/>
  <c r="AT210" i="3"/>
  <c r="AT105" i="3"/>
  <c r="AU148" i="3"/>
  <c r="AT70" i="3"/>
  <c r="AT109" i="3"/>
  <c r="AN267" i="3"/>
  <c r="BE267" i="3"/>
  <c r="AV267" i="3"/>
  <c r="AU120" i="3"/>
  <c r="AT256" i="3"/>
  <c r="AU107" i="3"/>
  <c r="AU106" i="3"/>
  <c r="AT104" i="3"/>
  <c r="AU179" i="3"/>
  <c r="AU181" i="3"/>
  <c r="AU132" i="3"/>
  <c r="AT69" i="3"/>
  <c r="AU155" i="3"/>
  <c r="AU164" i="3"/>
  <c r="AU84" i="3"/>
  <c r="AU264" i="3"/>
  <c r="AU215" i="3"/>
  <c r="AU232" i="3"/>
  <c r="AU227" i="3"/>
  <c r="AU116" i="3"/>
  <c r="AU77" i="3"/>
  <c r="AU166" i="3"/>
  <c r="AU131" i="3"/>
  <c r="AU251" i="3"/>
  <c r="AU92" i="3"/>
  <c r="AU208" i="3"/>
  <c r="AU266" i="3"/>
  <c r="AU103" i="3"/>
  <c r="AU223" i="3"/>
  <c r="AU157" i="3"/>
  <c r="AU230" i="3"/>
  <c r="AU128" i="3"/>
  <c r="AU220" i="3"/>
  <c r="AU111" i="3"/>
  <c r="AU231" i="3"/>
  <c r="AU72" i="3"/>
  <c r="AU216" i="3"/>
  <c r="AU173" i="3"/>
  <c r="AU147" i="3"/>
  <c r="AU65" i="3"/>
  <c r="AU265" i="3"/>
  <c r="AU194" i="3"/>
  <c r="AU67" i="3"/>
  <c r="AU207" i="3"/>
  <c r="AU112" i="3"/>
  <c r="AU201" i="3"/>
  <c r="AU73" i="3"/>
  <c r="AU58" i="3"/>
  <c r="AU249" i="3"/>
  <c r="AU209" i="3"/>
  <c r="AT64" i="3"/>
  <c r="AU258" i="3"/>
  <c r="AU261" i="3"/>
  <c r="AU206" i="3"/>
  <c r="AU228" i="3"/>
  <c r="AU214" i="3"/>
  <c r="AU256" i="3"/>
  <c r="AT223" i="3"/>
  <c r="AU55" i="3"/>
  <c r="AT218" i="3"/>
  <c r="AU89" i="3"/>
  <c r="AU74" i="3"/>
  <c r="AU130" i="3"/>
  <c r="AT216" i="3"/>
  <c r="AU190" i="3"/>
  <c r="AU185" i="3"/>
  <c r="AU156" i="3"/>
  <c r="AU222" i="3"/>
  <c r="AU50" i="3"/>
  <c r="AU119" i="3"/>
  <c r="AU242" i="3"/>
  <c r="AU248" i="3"/>
  <c r="AT239" i="3"/>
  <c r="AU137" i="3"/>
  <c r="AU210" i="3"/>
  <c r="AU95" i="3"/>
  <c r="AU211" i="3"/>
  <c r="AU171" i="3"/>
  <c r="AT34" i="3"/>
  <c r="AU184" i="3"/>
  <c r="AU141" i="3"/>
  <c r="AU236" i="3"/>
  <c r="AU127" i="3"/>
  <c r="AU267" i="3"/>
  <c r="AU83" i="3"/>
  <c r="AU56" i="3"/>
  <c r="AU188" i="3"/>
  <c r="AU257" i="3"/>
  <c r="AU153" i="3"/>
  <c r="AU75" i="3"/>
  <c r="AU191" i="3"/>
  <c r="AU253" i="3"/>
  <c r="AU160" i="3"/>
  <c r="AU66" i="3"/>
  <c r="AU122" i="3"/>
  <c r="AU225" i="3"/>
  <c r="AU51" i="3"/>
  <c r="AU167" i="3"/>
  <c r="AU96" i="3"/>
  <c r="AT102" i="3"/>
  <c r="AT107" i="3"/>
  <c r="AU68" i="3"/>
  <c r="AU196" i="3"/>
  <c r="AU165" i="3"/>
  <c r="AU175" i="3"/>
  <c r="AU125" i="3"/>
  <c r="AU136" i="3"/>
  <c r="AU93" i="3"/>
  <c r="AU78" i="3"/>
  <c r="AU91" i="3"/>
  <c r="AU203" i="3"/>
  <c r="AN221" i="3"/>
  <c r="AU44" i="3"/>
  <c r="AU176" i="3"/>
  <c r="AU133" i="3"/>
  <c r="AU82" i="3"/>
  <c r="AU138" i="3"/>
  <c r="AU151" i="3"/>
  <c r="AU48" i="3"/>
  <c r="AU180" i="3"/>
  <c r="AU197" i="3"/>
  <c r="AU246" i="3"/>
  <c r="AU162" i="3"/>
  <c r="AU146" i="3"/>
  <c r="AU49" i="3"/>
  <c r="AU178" i="3"/>
  <c r="AU145" i="3"/>
  <c r="AU118" i="3"/>
  <c r="AU81" i="3"/>
  <c r="AT98" i="3"/>
  <c r="AT254" i="3"/>
  <c r="AU212" i="3"/>
  <c r="AU221" i="3"/>
  <c r="AU263" i="3"/>
  <c r="AT68" i="3"/>
  <c r="AU186" i="3"/>
  <c r="AU262" i="3"/>
  <c r="AT59" i="3"/>
  <c r="AU134" i="3"/>
  <c r="AU158" i="3"/>
  <c r="AL230" i="3"/>
  <c r="AT234" i="3"/>
  <c r="AL70" i="3"/>
  <c r="AP70" i="3"/>
  <c r="AU198" i="3"/>
  <c r="AT246" i="3"/>
  <c r="AU123" i="3"/>
  <c r="AU243" i="3"/>
  <c r="AU52" i="3"/>
  <c r="AU205" i="3"/>
  <c r="AU252" i="3"/>
  <c r="AU159" i="3"/>
  <c r="AU117" i="3"/>
  <c r="AU139" i="3"/>
  <c r="AU88" i="3"/>
  <c r="AU94" i="3"/>
  <c r="AU217" i="3"/>
  <c r="AU219" i="3"/>
  <c r="AU192" i="3"/>
  <c r="AU149" i="3"/>
  <c r="AU254" i="3"/>
  <c r="AU79" i="3"/>
  <c r="AU195" i="3"/>
  <c r="AU85" i="3"/>
  <c r="AT221" i="3"/>
  <c r="AU53" i="3"/>
  <c r="AU87" i="3"/>
  <c r="AU199" i="3"/>
  <c r="AU40" i="3"/>
  <c r="AU172" i="3"/>
  <c r="AU238" i="3"/>
  <c r="AU115" i="3"/>
  <c r="AU235" i="3"/>
  <c r="AT114" i="3"/>
  <c r="AU143" i="3"/>
  <c r="AU241" i="3"/>
  <c r="AT63" i="3"/>
  <c r="AN230" i="3"/>
  <c r="AU234" i="3"/>
  <c r="AU76" i="3"/>
  <c r="AU200" i="3"/>
  <c r="AU154" i="3"/>
  <c r="AU193" i="3"/>
  <c r="AU183" i="3"/>
  <c r="AU80" i="3"/>
  <c r="AU69" i="3"/>
  <c r="AU54" i="3"/>
  <c r="AU245" i="3"/>
  <c r="AT204" i="3"/>
  <c r="AU250" i="3"/>
  <c r="AT61" i="3"/>
  <c r="AU126" i="3"/>
  <c r="AU41" i="3"/>
  <c r="AU150" i="3"/>
  <c r="AU229" i="3"/>
  <c r="AT99" i="3"/>
  <c r="AU174" i="3"/>
  <c r="AU240" i="3"/>
  <c r="AT230" i="3"/>
  <c r="AT100" i="3"/>
  <c r="AU42" i="3"/>
  <c r="AU233" i="3"/>
  <c r="AU177" i="3"/>
  <c r="AU129" i="3"/>
  <c r="AU110" i="3"/>
  <c r="AO59" i="3"/>
  <c r="AQ59" i="3"/>
  <c r="AO99" i="3"/>
  <c r="AQ99" i="3"/>
  <c r="AO64" i="3"/>
  <c r="AQ64" i="3"/>
  <c r="AO107" i="3"/>
  <c r="AQ107" i="3"/>
  <c r="AO106" i="3"/>
  <c r="AQ106" i="3"/>
  <c r="AN88" i="3"/>
  <c r="AP88" i="3"/>
  <c r="AN183" i="3"/>
  <c r="AP183" i="3"/>
  <c r="AN150" i="3"/>
  <c r="AP150" i="3"/>
  <c r="AN139" i="3"/>
  <c r="AP139" i="3"/>
  <c r="AN170" i="3"/>
  <c r="AP170" i="3"/>
  <c r="AN77" i="3"/>
  <c r="AP77" i="3"/>
  <c r="AN157" i="3"/>
  <c r="AP157" i="3"/>
  <c r="AN242" i="3"/>
  <c r="AP242" i="3"/>
  <c r="AN178" i="3"/>
  <c r="AP178" i="3"/>
  <c r="AN104" i="3"/>
  <c r="AP104" i="3"/>
  <c r="AO218" i="3"/>
  <c r="AQ218" i="3"/>
  <c r="AN176" i="3"/>
  <c r="AP176" i="3"/>
  <c r="AN163" i="3"/>
  <c r="AP163" i="3"/>
  <c r="AN130" i="3"/>
  <c r="AP130" i="3"/>
  <c r="AN184" i="3"/>
  <c r="AP184" i="3"/>
  <c r="AN198" i="3"/>
  <c r="AP198" i="3"/>
  <c r="AN45" i="3"/>
  <c r="AP45" i="3"/>
  <c r="AO34" i="3"/>
  <c r="AQ34" i="3"/>
  <c r="AO204" i="3"/>
  <c r="AQ204" i="3"/>
  <c r="AO98" i="3"/>
  <c r="AQ98" i="3"/>
  <c r="AO102" i="3"/>
  <c r="AQ102" i="3"/>
  <c r="AN152" i="3"/>
  <c r="AP152" i="3"/>
  <c r="AN215" i="3"/>
  <c r="AP215" i="3"/>
  <c r="AN256" i="3"/>
  <c r="AP256" i="3"/>
  <c r="AN171" i="3"/>
  <c r="AP171" i="3"/>
  <c r="AN206" i="3"/>
  <c r="AP206" i="3"/>
  <c r="AN179" i="3"/>
  <c r="AP179" i="3"/>
  <c r="AN265" i="3"/>
  <c r="AP265" i="3"/>
  <c r="AN153" i="3"/>
  <c r="AP153" i="3"/>
  <c r="AN109" i="3"/>
  <c r="AP109" i="3"/>
  <c r="AN168" i="3"/>
  <c r="AP168" i="3"/>
  <c r="AN159" i="3"/>
  <c r="AP159" i="3"/>
  <c r="AN94" i="3"/>
  <c r="AP94" i="3"/>
  <c r="AN116" i="3"/>
  <c r="AP116" i="3"/>
  <c r="AN52" i="3"/>
  <c r="AP52" i="3"/>
  <c r="AN209" i="3"/>
  <c r="AP209" i="3"/>
  <c r="AN195" i="3"/>
  <c r="AP195" i="3"/>
  <c r="AN162" i="3"/>
  <c r="AP162" i="3"/>
  <c r="AN258" i="3"/>
  <c r="AP258" i="3"/>
  <c r="AN164" i="3"/>
  <c r="AP164" i="3"/>
  <c r="AN199" i="3"/>
  <c r="AP199" i="3"/>
  <c r="AN262" i="3"/>
  <c r="AP262" i="3"/>
  <c r="AN92" i="3"/>
  <c r="AP92" i="3"/>
  <c r="AN180" i="3"/>
  <c r="AP180" i="3"/>
  <c r="AO108" i="3"/>
  <c r="AQ108" i="3"/>
  <c r="AN89" i="3"/>
  <c r="AP89" i="3"/>
  <c r="AN233" i="3"/>
  <c r="AP233" i="3"/>
  <c r="AN85" i="3"/>
  <c r="AP85" i="3"/>
  <c r="AN203" i="3"/>
  <c r="AP203" i="3"/>
  <c r="AN132" i="3"/>
  <c r="AP132" i="3"/>
  <c r="AN82" i="3"/>
  <c r="AP82" i="3"/>
  <c r="AN141" i="3"/>
  <c r="AP141" i="3"/>
  <c r="AN91" i="3"/>
  <c r="AP91" i="3"/>
  <c r="AN58" i="3"/>
  <c r="AP58" i="3"/>
  <c r="AN212" i="3"/>
  <c r="AP212" i="3"/>
  <c r="AN224" i="3"/>
  <c r="AP224" i="3"/>
  <c r="AN191" i="3"/>
  <c r="AP191" i="3"/>
  <c r="AN126" i="3"/>
  <c r="AP126" i="3"/>
  <c r="AN121" i="3"/>
  <c r="AP121" i="3"/>
  <c r="AN250" i="3"/>
  <c r="AP250" i="3"/>
  <c r="AN229" i="3"/>
  <c r="AP229" i="3"/>
  <c r="AN194" i="3"/>
  <c r="AP194" i="3"/>
  <c r="AN226" i="3"/>
  <c r="AP226" i="3"/>
  <c r="AN245" i="3"/>
  <c r="AP245" i="3"/>
  <c r="AN247" i="3"/>
  <c r="AP247" i="3"/>
  <c r="AN196" i="3"/>
  <c r="AP196" i="3"/>
  <c r="AN172" i="3"/>
  <c r="AP172" i="3"/>
  <c r="AN47" i="3"/>
  <c r="AP47" i="3"/>
  <c r="AN140" i="3"/>
  <c r="AP140" i="3"/>
  <c r="AN144" i="3"/>
  <c r="AP144" i="3"/>
  <c r="AN266" i="3"/>
  <c r="AP266" i="3"/>
  <c r="AO101" i="3"/>
  <c r="AQ101" i="3"/>
  <c r="AO63" i="3"/>
  <c r="AQ63" i="3"/>
  <c r="AO100" i="3"/>
  <c r="AQ100" i="3"/>
  <c r="AN225" i="3"/>
  <c r="AP225" i="3"/>
  <c r="AN125" i="3"/>
  <c r="AP125" i="3"/>
  <c r="AN57" i="3"/>
  <c r="AP57" i="3"/>
  <c r="AN222" i="3"/>
  <c r="AP222" i="3"/>
  <c r="AN40" i="3"/>
  <c r="AP40" i="3"/>
  <c r="AN123" i="3"/>
  <c r="AP123" i="3"/>
  <c r="AN90" i="3"/>
  <c r="AP90" i="3"/>
  <c r="AN210" i="3"/>
  <c r="AP210" i="3"/>
  <c r="AN44" i="3"/>
  <c r="AP44" i="3"/>
  <c r="AN185" i="3"/>
  <c r="AP185" i="3"/>
  <c r="AN231" i="3"/>
  <c r="AP231" i="3"/>
  <c r="AN158" i="3"/>
  <c r="AP158" i="3"/>
  <c r="AN252" i="3"/>
  <c r="AP252" i="3"/>
  <c r="AN240" i="3"/>
  <c r="AP240" i="3"/>
  <c r="AN220" i="3"/>
  <c r="AP220" i="3"/>
  <c r="AN148" i="3"/>
  <c r="AP148" i="3"/>
  <c r="AN208" i="3"/>
  <c r="AP208" i="3"/>
  <c r="AN84" i="3"/>
  <c r="AP84" i="3"/>
  <c r="AN227" i="3"/>
  <c r="AP227" i="3"/>
  <c r="AN73" i="3"/>
  <c r="AP73" i="3"/>
  <c r="AN79" i="3"/>
  <c r="AP79" i="3"/>
  <c r="AN46" i="3"/>
  <c r="AP46" i="3"/>
  <c r="AN115" i="3"/>
  <c r="AP115" i="3"/>
  <c r="AO97" i="3"/>
  <c r="AQ97" i="3"/>
  <c r="AN127" i="3"/>
  <c r="AP127" i="3"/>
  <c r="AO187" i="3"/>
  <c r="AQ187" i="3"/>
  <c r="AN235" i="3"/>
  <c r="AP235" i="3"/>
  <c r="AN55" i="3"/>
  <c r="AP55" i="3"/>
  <c r="AN105" i="3"/>
  <c r="AP105" i="3"/>
  <c r="AN253" i="3"/>
  <c r="AP253" i="3"/>
  <c r="AN232" i="3"/>
  <c r="AP232" i="3"/>
  <c r="AN124" i="3"/>
  <c r="AP124" i="3"/>
  <c r="AN96" i="3"/>
  <c r="AP96" i="3"/>
  <c r="AN155" i="3"/>
  <c r="AP155" i="3"/>
  <c r="AN122" i="3"/>
  <c r="AP122" i="3"/>
  <c r="AN81" i="3"/>
  <c r="AP81" i="3"/>
  <c r="AN248" i="3"/>
  <c r="AP248" i="3"/>
  <c r="AN190" i="3"/>
  <c r="AP190" i="3"/>
  <c r="AN145" i="3"/>
  <c r="AP145" i="3"/>
  <c r="AN53" i="3"/>
  <c r="AP53" i="3"/>
  <c r="AN213" i="3"/>
  <c r="AP213" i="3"/>
  <c r="AN217" i="3"/>
  <c r="AP217" i="3"/>
  <c r="AN197" i="3"/>
  <c r="AP197" i="3"/>
  <c r="AN237" i="3"/>
  <c r="AP237" i="3"/>
  <c r="AN243" i="3"/>
  <c r="AP243" i="3"/>
  <c r="AN129" i="3"/>
  <c r="AP129" i="3"/>
  <c r="AN111" i="3"/>
  <c r="AP111" i="3"/>
  <c r="AN78" i="3"/>
  <c r="AP78" i="3"/>
  <c r="AN211" i="3"/>
  <c r="AP211" i="3"/>
  <c r="AN137" i="3"/>
  <c r="AP137" i="3"/>
  <c r="AO62" i="3"/>
  <c r="AQ62" i="3"/>
  <c r="AO61" i="3"/>
  <c r="AQ61" i="3"/>
  <c r="AN264" i="3"/>
  <c r="AP264" i="3"/>
  <c r="AN87" i="3"/>
  <c r="AP87" i="3"/>
  <c r="AN54" i="3"/>
  <c r="AP54" i="3"/>
  <c r="AN156" i="3"/>
  <c r="AP156" i="3"/>
  <c r="AN42" i="3"/>
  <c r="AP42" i="3"/>
  <c r="AN160" i="3"/>
  <c r="AP160" i="3"/>
  <c r="AN154" i="3"/>
  <c r="AP154" i="3"/>
  <c r="AN83" i="3"/>
  <c r="AP83" i="3"/>
  <c r="AN251" i="3"/>
  <c r="AP251" i="3"/>
  <c r="AN165" i="3"/>
  <c r="AP165" i="3"/>
  <c r="AN169" i="3"/>
  <c r="AP169" i="3"/>
  <c r="AN51" i="3"/>
  <c r="AP51" i="3"/>
  <c r="AN189" i="3"/>
  <c r="AP189" i="3"/>
  <c r="AN67" i="3"/>
  <c r="AP67" i="3"/>
  <c r="AN193" i="3"/>
  <c r="AP193" i="3"/>
  <c r="AN181" i="3"/>
  <c r="AP181" i="3"/>
  <c r="AN113" i="3"/>
  <c r="AP113" i="3"/>
  <c r="AN71" i="3"/>
  <c r="AP71" i="3"/>
  <c r="AN201" i="3"/>
  <c r="AP201" i="3"/>
  <c r="AN65" i="3"/>
  <c r="AP65" i="3"/>
  <c r="AN72" i="3"/>
  <c r="AP72" i="3"/>
  <c r="AN143" i="3"/>
  <c r="AP143" i="3"/>
  <c r="AN110" i="3"/>
  <c r="AP110" i="3"/>
  <c r="AN76" i="3"/>
  <c r="AP76" i="3"/>
  <c r="AN236" i="3"/>
  <c r="AP236" i="3"/>
  <c r="AN167" i="3"/>
  <c r="AP167" i="3"/>
  <c r="AN255" i="3"/>
  <c r="AP255" i="3"/>
  <c r="AN41" i="3"/>
  <c r="AP41" i="3"/>
  <c r="AO60" i="3"/>
  <c r="AQ60" i="3"/>
  <c r="AN93" i="3"/>
  <c r="AP93" i="3"/>
  <c r="AN119" i="3"/>
  <c r="AP119" i="3"/>
  <c r="AN86" i="3"/>
  <c r="AP86" i="3"/>
  <c r="AN43" i="3"/>
  <c r="AP43" i="3"/>
  <c r="AN74" i="3"/>
  <c r="AP74" i="3"/>
  <c r="AN249" i="3"/>
  <c r="AP249" i="3"/>
  <c r="AN260" i="3"/>
  <c r="AP260" i="3"/>
  <c r="AN186" i="3"/>
  <c r="AP186" i="3"/>
  <c r="AN117" i="3"/>
  <c r="AP117" i="3"/>
  <c r="AN49" i="3"/>
  <c r="AP49" i="3"/>
  <c r="AN263" i="3"/>
  <c r="AP263" i="3"/>
  <c r="AN228" i="3"/>
  <c r="AP228" i="3"/>
  <c r="AN147" i="3"/>
  <c r="AP147" i="3"/>
  <c r="AN48" i="3"/>
  <c r="AP48" i="3"/>
  <c r="AN66" i="3"/>
  <c r="AP66" i="3"/>
  <c r="AN241" i="3"/>
  <c r="AP241" i="3"/>
  <c r="AN56" i="3"/>
  <c r="AP56" i="3"/>
  <c r="AN103" i="3"/>
  <c r="AP103" i="3"/>
  <c r="AN134" i="3"/>
  <c r="AP134" i="3"/>
  <c r="AN128" i="3"/>
  <c r="AP128" i="3"/>
  <c r="AN136" i="3"/>
  <c r="AP136" i="3"/>
  <c r="AN175" i="3"/>
  <c r="AP175" i="3"/>
  <c r="AN174" i="3"/>
  <c r="AP174" i="3"/>
  <c r="AN146" i="3"/>
  <c r="AP146" i="3"/>
  <c r="AO114" i="3"/>
  <c r="AQ114" i="3"/>
  <c r="AN173" i="3"/>
  <c r="AP173" i="3"/>
  <c r="AN151" i="3"/>
  <c r="AP151" i="3"/>
  <c r="AN118" i="3"/>
  <c r="AP118" i="3"/>
  <c r="AN75" i="3"/>
  <c r="AP75" i="3"/>
  <c r="AN138" i="3"/>
  <c r="AP138" i="3"/>
  <c r="AN80" i="3"/>
  <c r="AP80" i="3"/>
  <c r="AN259" i="3"/>
  <c r="AP259" i="3"/>
  <c r="AN133" i="3"/>
  <c r="AP133" i="3"/>
  <c r="AN219" i="3"/>
  <c r="AP219" i="3"/>
  <c r="AN238" i="3"/>
  <c r="AP238" i="3"/>
  <c r="AN50" i="3"/>
  <c r="AP50" i="3"/>
  <c r="AN149" i="3"/>
  <c r="AP149" i="3"/>
  <c r="AN95" i="3"/>
  <c r="AP95" i="3"/>
  <c r="AN177" i="3"/>
  <c r="AP177" i="3"/>
  <c r="AN161" i="3"/>
  <c r="AP161" i="3"/>
  <c r="AN244" i="3"/>
  <c r="AP244" i="3"/>
  <c r="AN112" i="3"/>
  <c r="AP112" i="3"/>
  <c r="AN131" i="3"/>
  <c r="AP131" i="3"/>
  <c r="AN205" i="3"/>
  <c r="AP205" i="3"/>
  <c r="AN120" i="3"/>
  <c r="AP120" i="3"/>
  <c r="AN135" i="3"/>
  <c r="AP135" i="3"/>
  <c r="AN166" i="3"/>
  <c r="AP166" i="3"/>
  <c r="AN192" i="3"/>
  <c r="AP192" i="3"/>
  <c r="AN200" i="3"/>
  <c r="AP200" i="3"/>
  <c r="AN207" i="3"/>
  <c r="AP207" i="3"/>
  <c r="AN188" i="3"/>
  <c r="AP188" i="3"/>
  <c r="AM249" i="3"/>
  <c r="AO249" i="3"/>
  <c r="AM260" i="3"/>
  <c r="AO260" i="3"/>
  <c r="AM223" i="3"/>
  <c r="AO223" i="3"/>
  <c r="AM186" i="3"/>
  <c r="AO186" i="3"/>
  <c r="AM174" i="3"/>
  <c r="AO174" i="3"/>
  <c r="AM179" i="3"/>
  <c r="AO179" i="3"/>
  <c r="AM256" i="3"/>
  <c r="AO256" i="3"/>
  <c r="AM104" i="3"/>
  <c r="AO104" i="3"/>
  <c r="AM127" i="3"/>
  <c r="AO127" i="3"/>
  <c r="AM266" i="3"/>
  <c r="AO266" i="3"/>
  <c r="AM72" i="3"/>
  <c r="AO72" i="3"/>
  <c r="AM267" i="3"/>
  <c r="AO267" i="3"/>
  <c r="AM240" i="3"/>
  <c r="AO240" i="3"/>
  <c r="AM229" i="3"/>
  <c r="AO229" i="3"/>
  <c r="AM148" i="3"/>
  <c r="AO148" i="3"/>
  <c r="AM254" i="3"/>
  <c r="AO254" i="3"/>
  <c r="AM210" i="3"/>
  <c r="AO210" i="3"/>
  <c r="AM89" i="3"/>
  <c r="AO89" i="3"/>
  <c r="AM208" i="3"/>
  <c r="AO208" i="3"/>
  <c r="AM84" i="3"/>
  <c r="AO84" i="3"/>
  <c r="AM262" i="3"/>
  <c r="AO262" i="3"/>
  <c r="AM200" i="3"/>
  <c r="AO200" i="3"/>
  <c r="AM50" i="3"/>
  <c r="AO50" i="3"/>
  <c r="AM65" i="3"/>
  <c r="AO65" i="3"/>
  <c r="AM156" i="3"/>
  <c r="AO156" i="3"/>
  <c r="AM232" i="3"/>
  <c r="AO232" i="3"/>
  <c r="AM261" i="3"/>
  <c r="AO261" i="3"/>
  <c r="AM54" i="3"/>
  <c r="AO54" i="3"/>
  <c r="AL216" i="3"/>
  <c r="AN216" i="3"/>
  <c r="AL234" i="3"/>
  <c r="AN234" i="3"/>
  <c r="AL204" i="3"/>
  <c r="AN204" i="3"/>
  <c r="AL257" i="3"/>
  <c r="AN257" i="3"/>
  <c r="AL97" i="3"/>
  <c r="AN97" i="3"/>
  <c r="AL100" i="3"/>
  <c r="AN100" i="3"/>
  <c r="AM259" i="3"/>
  <c r="AO259" i="3"/>
  <c r="AM133" i="3"/>
  <c r="AO133" i="3"/>
  <c r="AM219" i="3"/>
  <c r="AO219" i="3"/>
  <c r="AM238" i="3"/>
  <c r="AO238" i="3"/>
  <c r="AM117" i="3"/>
  <c r="AO117" i="3"/>
  <c r="AM168" i="3"/>
  <c r="AO168" i="3"/>
  <c r="AM159" i="3"/>
  <c r="AO159" i="3"/>
  <c r="AM94" i="3"/>
  <c r="AO94" i="3"/>
  <c r="AM79" i="3"/>
  <c r="AO79" i="3"/>
  <c r="AM225" i="3"/>
  <c r="AO225" i="3"/>
  <c r="AM53" i="3"/>
  <c r="AO53" i="3"/>
  <c r="AM220" i="3"/>
  <c r="AO220" i="3"/>
  <c r="AM257" i="3"/>
  <c r="AO257" i="3"/>
  <c r="AM217" i="3"/>
  <c r="AO217" i="3"/>
  <c r="AM252" i="3"/>
  <c r="AO252" i="3"/>
  <c r="AM87" i="3"/>
  <c r="AO87" i="3"/>
  <c r="AM197" i="3"/>
  <c r="AO197" i="3"/>
  <c r="AM237" i="3"/>
  <c r="AO237" i="3"/>
  <c r="AM243" i="3"/>
  <c r="AO243" i="3"/>
  <c r="AM196" i="3"/>
  <c r="AO196" i="3"/>
  <c r="AM92" i="3"/>
  <c r="AO92" i="3"/>
  <c r="AM146" i="3"/>
  <c r="AO146" i="3"/>
  <c r="AM205" i="3"/>
  <c r="AO205" i="3"/>
  <c r="AM43" i="3"/>
  <c r="AO43" i="3"/>
  <c r="AM42" i="3"/>
  <c r="AO42" i="3"/>
  <c r="AM255" i="3"/>
  <c r="AO255" i="3"/>
  <c r="AM230" i="3"/>
  <c r="AO230" i="3"/>
  <c r="AI42" i="3"/>
  <c r="AM216" i="3"/>
  <c r="AO216" i="3"/>
  <c r="AL187" i="3"/>
  <c r="AN187" i="3"/>
  <c r="AL246" i="3"/>
  <c r="AN246" i="3"/>
  <c r="AM265" i="3"/>
  <c r="AO265" i="3"/>
  <c r="AM153" i="3"/>
  <c r="AO153" i="3"/>
  <c r="AM109" i="3"/>
  <c r="AO109" i="3"/>
  <c r="AM222" i="3"/>
  <c r="AO222" i="3"/>
  <c r="AM44" i="3"/>
  <c r="AO44" i="3"/>
  <c r="AM185" i="3"/>
  <c r="AO185" i="3"/>
  <c r="AM231" i="3"/>
  <c r="AO231" i="3"/>
  <c r="AM158" i="3"/>
  <c r="AO158" i="3"/>
  <c r="AM68" i="3"/>
  <c r="AO68" i="3"/>
  <c r="AM119" i="3"/>
  <c r="AO119" i="3"/>
  <c r="AM66" i="3"/>
  <c r="AO66" i="3"/>
  <c r="AM45" i="3"/>
  <c r="AO45" i="3"/>
  <c r="AM244" i="3"/>
  <c r="AO244" i="3"/>
  <c r="AM150" i="3"/>
  <c r="AO150" i="3"/>
  <c r="AM56" i="3"/>
  <c r="AO56" i="3"/>
  <c r="AM103" i="3"/>
  <c r="AO103" i="3"/>
  <c r="AM70" i="3"/>
  <c r="AO70" i="3"/>
  <c r="AM207" i="3"/>
  <c r="AO207" i="3"/>
  <c r="AM235" i="3"/>
  <c r="AO235" i="3"/>
  <c r="AL218" i="3"/>
  <c r="AN218" i="3"/>
  <c r="AL98" i="3"/>
  <c r="AN98" i="3"/>
  <c r="AM41" i="3"/>
  <c r="AO41" i="3"/>
  <c r="AL107" i="3"/>
  <c r="AN107" i="3"/>
  <c r="AM157" i="3"/>
  <c r="AO157" i="3"/>
  <c r="AM180" i="3"/>
  <c r="AO180" i="3"/>
  <c r="AM191" i="3"/>
  <c r="AO191" i="3"/>
  <c r="AM88" i="3"/>
  <c r="AO88" i="3"/>
  <c r="AM181" i="3"/>
  <c r="AO181" i="3"/>
  <c r="AM113" i="3"/>
  <c r="AO113" i="3"/>
  <c r="AM111" i="3"/>
  <c r="AO111" i="3"/>
  <c r="AM74" i="3"/>
  <c r="AO74" i="3"/>
  <c r="AL223" i="3"/>
  <c r="AN223" i="3"/>
  <c r="AL114" i="3"/>
  <c r="AN114" i="3"/>
  <c r="AL68" i="3"/>
  <c r="AN68" i="3"/>
  <c r="AM141" i="3"/>
  <c r="AO141" i="3"/>
  <c r="AM91" i="3"/>
  <c r="AO91" i="3"/>
  <c r="AM58" i="3"/>
  <c r="AO58" i="3"/>
  <c r="AM129" i="3"/>
  <c r="AO129" i="3"/>
  <c r="AM81" i="3"/>
  <c r="AO81" i="3"/>
  <c r="AM93" i="3"/>
  <c r="AO93" i="3"/>
  <c r="AM234" i="3"/>
  <c r="AO234" i="3"/>
  <c r="AM248" i="3"/>
  <c r="AO248" i="3"/>
  <c r="AM190" i="3"/>
  <c r="AO190" i="3"/>
  <c r="AM188" i="3"/>
  <c r="AO188" i="3"/>
  <c r="AM233" i="3"/>
  <c r="AO233" i="3"/>
  <c r="AM48" i="3"/>
  <c r="AO48" i="3"/>
  <c r="AM131" i="3"/>
  <c r="AO131" i="3"/>
  <c r="AM47" i="3"/>
  <c r="AO47" i="3"/>
  <c r="AM82" i="3"/>
  <c r="AO82" i="3"/>
  <c r="AM120" i="3"/>
  <c r="AO120" i="3"/>
  <c r="AM135" i="3"/>
  <c r="AO135" i="3"/>
  <c r="AM46" i="3"/>
  <c r="AO46" i="3"/>
  <c r="AM118" i="3"/>
  <c r="AO118" i="3"/>
  <c r="AM128" i="3"/>
  <c r="AO128" i="3"/>
  <c r="AM139" i="3"/>
  <c r="AO139" i="3"/>
  <c r="AM138" i="3"/>
  <c r="AO138" i="3"/>
  <c r="AM152" i="3"/>
  <c r="AO152" i="3"/>
  <c r="AL62" i="3"/>
  <c r="AN62" i="3"/>
  <c r="AL108" i="3"/>
  <c r="AN108" i="3"/>
  <c r="AM137" i="3"/>
  <c r="AO137" i="3"/>
  <c r="AM242" i="3"/>
  <c r="AO242" i="3"/>
  <c r="AM67" i="3"/>
  <c r="AO67" i="3"/>
  <c r="AM83" i="3"/>
  <c r="AO83" i="3"/>
  <c r="AM201" i="3"/>
  <c r="AO201" i="3"/>
  <c r="AM121" i="3"/>
  <c r="AO121" i="3"/>
  <c r="AL63" i="3"/>
  <c r="AN63" i="3"/>
  <c r="AM40" i="3"/>
  <c r="AO40" i="3"/>
  <c r="AM123" i="3"/>
  <c r="AO123" i="3"/>
  <c r="AM90" i="3"/>
  <c r="AO90" i="3"/>
  <c r="AM175" i="3"/>
  <c r="AO175" i="3"/>
  <c r="AM80" i="3"/>
  <c r="AO80" i="3"/>
  <c r="AM55" i="3"/>
  <c r="AO55" i="3"/>
  <c r="AM251" i="3"/>
  <c r="AO251" i="3"/>
  <c r="AM165" i="3"/>
  <c r="AO165" i="3"/>
  <c r="AM169" i="3"/>
  <c r="AO169" i="3"/>
  <c r="AM246" i="3"/>
  <c r="AO246" i="3"/>
  <c r="AM145" i="3"/>
  <c r="AO145" i="3"/>
  <c r="AM105" i="3"/>
  <c r="AO105" i="3"/>
  <c r="AM112" i="3"/>
  <c r="AO112" i="3"/>
  <c r="AM163" i="3"/>
  <c r="AO163" i="3"/>
  <c r="AM130" i="3"/>
  <c r="AO130" i="3"/>
  <c r="AM241" i="3"/>
  <c r="AO241" i="3"/>
  <c r="AM143" i="3"/>
  <c r="AO143" i="3"/>
  <c r="AM178" i="3"/>
  <c r="AO178" i="3"/>
  <c r="AM184" i="3"/>
  <c r="AO184" i="3"/>
  <c r="AM167" i="3"/>
  <c r="AO167" i="3"/>
  <c r="AM134" i="3"/>
  <c r="AO134" i="3"/>
  <c r="AM227" i="3"/>
  <c r="AO227" i="3"/>
  <c r="AM85" i="3"/>
  <c r="AO85" i="3"/>
  <c r="AM192" i="3"/>
  <c r="AO192" i="3"/>
  <c r="AM171" i="3"/>
  <c r="AO171" i="3"/>
  <c r="AM170" i="3"/>
  <c r="AO170" i="3"/>
  <c r="AM69" i="3"/>
  <c r="AO69" i="3"/>
  <c r="AL59" i="3"/>
  <c r="AN59" i="3"/>
  <c r="AL34" i="3"/>
  <c r="AN34" i="3"/>
  <c r="AL101" i="3"/>
  <c r="AN101" i="3"/>
  <c r="AM236" i="3"/>
  <c r="AO236" i="3"/>
  <c r="AM224" i="3"/>
  <c r="AO224" i="3"/>
  <c r="AM78" i="3"/>
  <c r="AO78" i="3"/>
  <c r="AM193" i="3"/>
  <c r="AO193" i="3"/>
  <c r="AM215" i="3"/>
  <c r="AO215" i="3"/>
  <c r="AM221" i="3"/>
  <c r="AO221" i="3"/>
  <c r="AM75" i="3"/>
  <c r="AO75" i="3"/>
  <c r="AL99" i="3"/>
  <c r="AN99" i="3"/>
  <c r="AM96" i="3"/>
  <c r="AO96" i="3"/>
  <c r="AM155" i="3"/>
  <c r="AO155" i="3"/>
  <c r="AM122" i="3"/>
  <c r="AO122" i="3"/>
  <c r="AM77" i="3"/>
  <c r="AO77" i="3"/>
  <c r="AM183" i="3"/>
  <c r="AO183" i="3"/>
  <c r="AM49" i="3"/>
  <c r="AO49" i="3"/>
  <c r="AM263" i="3"/>
  <c r="AO263" i="3"/>
  <c r="AM228" i="3"/>
  <c r="AO228" i="3"/>
  <c r="AM147" i="3"/>
  <c r="AO147" i="3"/>
  <c r="AM52" i="3"/>
  <c r="AO52" i="3"/>
  <c r="AM176" i="3"/>
  <c r="AO176" i="3"/>
  <c r="AM195" i="3"/>
  <c r="AO195" i="3"/>
  <c r="AM162" i="3"/>
  <c r="AO162" i="3"/>
  <c r="AM110" i="3"/>
  <c r="AO110" i="3"/>
  <c r="AM264" i="3"/>
  <c r="AO264" i="3"/>
  <c r="AM258" i="3"/>
  <c r="AO258" i="3"/>
  <c r="AM164" i="3"/>
  <c r="AO164" i="3"/>
  <c r="AM199" i="3"/>
  <c r="AO199" i="3"/>
  <c r="AM166" i="3"/>
  <c r="AO166" i="3"/>
  <c r="AM144" i="3"/>
  <c r="AO144" i="3"/>
  <c r="AM116" i="3"/>
  <c r="AO116" i="3"/>
  <c r="AM203" i="3"/>
  <c r="AO203" i="3"/>
  <c r="AM206" i="3"/>
  <c r="AO206" i="3"/>
  <c r="AM151" i="3"/>
  <c r="AO151" i="3"/>
  <c r="AL69" i="3"/>
  <c r="AN69" i="3"/>
  <c r="AL239" i="3"/>
  <c r="AN239" i="3"/>
  <c r="AL214" i="3"/>
  <c r="AN214" i="3"/>
  <c r="AN106" i="3"/>
  <c r="AL106" i="3"/>
  <c r="AM126" i="3"/>
  <c r="AO126" i="3"/>
  <c r="AM189" i="3"/>
  <c r="AO189" i="3"/>
  <c r="AM136" i="3"/>
  <c r="AO136" i="3"/>
  <c r="AM71" i="3"/>
  <c r="AO71" i="3"/>
  <c r="AM124" i="3"/>
  <c r="AO124" i="3"/>
  <c r="AM211" i="3"/>
  <c r="AO211" i="3"/>
  <c r="AM160" i="3"/>
  <c r="AO160" i="3"/>
  <c r="AM154" i="3"/>
  <c r="AO154" i="3"/>
  <c r="AM140" i="3"/>
  <c r="AO140" i="3"/>
  <c r="AM51" i="3"/>
  <c r="AO51" i="3"/>
  <c r="AM86" i="3"/>
  <c r="AO86" i="3"/>
  <c r="AM149" i="3"/>
  <c r="AO149" i="3"/>
  <c r="AM95" i="3"/>
  <c r="AO95" i="3"/>
  <c r="AM177" i="3"/>
  <c r="AO177" i="3"/>
  <c r="AM161" i="3"/>
  <c r="AO161" i="3"/>
  <c r="AM172" i="3"/>
  <c r="AO172" i="3"/>
  <c r="AM76" i="3"/>
  <c r="AO76" i="3"/>
  <c r="AM250" i="3"/>
  <c r="AO250" i="3"/>
  <c r="AM209" i="3"/>
  <c r="AO209" i="3"/>
  <c r="AM239" i="3"/>
  <c r="AO239" i="3"/>
  <c r="AM194" i="3"/>
  <c r="AO194" i="3"/>
  <c r="AM214" i="3"/>
  <c r="AO214" i="3"/>
  <c r="AM173" i="3"/>
  <c r="AO173" i="3"/>
  <c r="AM226" i="3"/>
  <c r="AO226" i="3"/>
  <c r="AM245" i="3"/>
  <c r="AO245" i="3"/>
  <c r="AM247" i="3"/>
  <c r="AO247" i="3"/>
  <c r="AM198" i="3"/>
  <c r="AO198" i="3"/>
  <c r="AM73" i="3"/>
  <c r="AO73" i="3"/>
  <c r="AM115" i="3"/>
  <c r="AO115" i="3"/>
  <c r="AM212" i="3"/>
  <c r="AO212" i="3"/>
  <c r="AM253" i="3"/>
  <c r="AO253" i="3"/>
  <c r="AM57" i="3"/>
  <c r="AO57" i="3"/>
  <c r="AM132" i="3"/>
  <c r="AO132" i="3"/>
  <c r="AM125" i="3"/>
  <c r="AO125" i="3"/>
  <c r="AL261" i="3"/>
  <c r="AN261" i="3"/>
  <c r="AL254" i="3"/>
  <c r="AN254" i="3"/>
  <c r="AL61" i="3"/>
  <c r="AN61" i="3"/>
  <c r="AI88" i="3"/>
  <c r="AL88" i="3"/>
  <c r="AI183" i="3"/>
  <c r="AL183" i="3"/>
  <c r="AH150" i="3"/>
  <c r="AL150" i="3"/>
  <c r="AI139" i="3"/>
  <c r="AL139" i="3"/>
  <c r="AH138" i="3"/>
  <c r="AL138" i="3"/>
  <c r="AH80" i="3"/>
  <c r="AL80" i="3"/>
  <c r="AI259" i="3"/>
  <c r="AL259" i="3"/>
  <c r="AI133" i="3"/>
  <c r="AL133" i="3"/>
  <c r="AI219" i="3"/>
  <c r="AL219" i="3"/>
  <c r="AI238" i="3"/>
  <c r="AL238" i="3"/>
  <c r="AH50" i="3"/>
  <c r="AL50" i="3"/>
  <c r="AH149" i="3"/>
  <c r="AL149" i="3"/>
  <c r="AI95" i="3"/>
  <c r="AL95" i="3"/>
  <c r="AH177" i="3"/>
  <c r="AL177" i="3"/>
  <c r="AI161" i="3"/>
  <c r="AL161" i="3"/>
  <c r="AI244" i="3"/>
  <c r="AL244" i="3"/>
  <c r="AH112" i="3"/>
  <c r="AL112" i="3"/>
  <c r="AI131" i="3"/>
  <c r="AL131" i="3"/>
  <c r="AI205" i="3"/>
  <c r="AL205" i="3"/>
  <c r="AI120" i="3"/>
  <c r="AL120" i="3"/>
  <c r="AI135" i="3"/>
  <c r="AL135" i="3"/>
  <c r="AH166" i="3"/>
  <c r="AL166" i="3"/>
  <c r="AH192" i="3"/>
  <c r="AL192" i="3"/>
  <c r="AI200" i="3"/>
  <c r="AL200" i="3"/>
  <c r="AI207" i="3"/>
  <c r="AL207" i="3"/>
  <c r="AI188" i="3"/>
  <c r="AL188" i="3"/>
  <c r="AI173" i="3"/>
  <c r="AL173" i="3"/>
  <c r="AI117" i="3"/>
  <c r="AL117" i="3"/>
  <c r="AI147" i="3"/>
  <c r="AL147" i="3"/>
  <c r="AI241" i="3"/>
  <c r="AL241" i="3"/>
  <c r="AI174" i="3"/>
  <c r="AL174" i="3"/>
  <c r="AI151" i="3"/>
  <c r="AL151" i="3"/>
  <c r="AH263" i="3"/>
  <c r="AL263" i="3"/>
  <c r="AI48" i="3"/>
  <c r="AL48" i="3"/>
  <c r="AH56" i="3"/>
  <c r="AL56" i="3"/>
  <c r="AI136" i="3"/>
  <c r="AL136" i="3"/>
  <c r="AI146" i="3"/>
  <c r="AL146" i="3"/>
  <c r="AH137" i="3"/>
  <c r="AL137" i="3"/>
  <c r="AI130" i="3"/>
  <c r="AL130" i="3"/>
  <c r="AH89" i="3"/>
  <c r="AL89" i="3"/>
  <c r="AH233" i="3"/>
  <c r="AL233" i="3"/>
  <c r="AI85" i="3"/>
  <c r="AL85" i="3"/>
  <c r="AI203" i="3"/>
  <c r="AL203" i="3"/>
  <c r="AH206" i="3"/>
  <c r="AL206" i="3"/>
  <c r="AI179" i="3"/>
  <c r="AL179" i="3"/>
  <c r="AH265" i="3"/>
  <c r="AL265" i="3"/>
  <c r="AI153" i="3"/>
  <c r="AL153" i="3"/>
  <c r="AI109" i="3"/>
  <c r="AL109" i="3"/>
  <c r="AI168" i="3"/>
  <c r="AL168" i="3"/>
  <c r="AI159" i="3"/>
  <c r="AL159" i="3"/>
  <c r="AH94" i="3"/>
  <c r="AL94" i="3"/>
  <c r="AH116" i="3"/>
  <c r="AL116" i="3"/>
  <c r="AI52" i="3"/>
  <c r="AL52" i="3"/>
  <c r="AI209" i="3"/>
  <c r="AL209" i="3"/>
  <c r="AI195" i="3"/>
  <c r="AL195" i="3"/>
  <c r="AH162" i="3"/>
  <c r="AL162" i="3"/>
  <c r="AI258" i="3"/>
  <c r="AL258" i="3"/>
  <c r="AH164" i="3"/>
  <c r="AL164" i="3"/>
  <c r="AI199" i="3"/>
  <c r="AL199" i="3"/>
  <c r="AI262" i="3"/>
  <c r="AL262" i="3"/>
  <c r="AI92" i="3"/>
  <c r="AL92" i="3"/>
  <c r="AI180" i="3"/>
  <c r="AL180" i="3"/>
  <c r="AH74" i="3"/>
  <c r="AL74" i="3"/>
  <c r="AI186" i="3"/>
  <c r="AL186" i="3"/>
  <c r="AI215" i="3"/>
  <c r="AL215" i="3"/>
  <c r="AI171" i="3"/>
  <c r="AL171" i="3"/>
  <c r="AI236" i="3"/>
  <c r="AL236" i="3"/>
  <c r="AI242" i="3"/>
  <c r="AL242" i="3"/>
  <c r="AH178" i="3"/>
  <c r="AL178" i="3"/>
  <c r="AI163" i="3"/>
  <c r="AL163" i="3"/>
  <c r="AI184" i="3"/>
  <c r="AL184" i="3"/>
  <c r="AI255" i="3"/>
  <c r="AL255" i="3"/>
  <c r="AI225" i="3"/>
  <c r="AL225" i="3"/>
  <c r="AI125" i="3"/>
  <c r="AL125" i="3"/>
  <c r="AI57" i="3"/>
  <c r="AL57" i="3"/>
  <c r="AI132" i="3"/>
  <c r="AL132" i="3"/>
  <c r="AI82" i="3"/>
  <c r="AL82" i="3"/>
  <c r="AI141" i="3"/>
  <c r="AL141" i="3"/>
  <c r="AH91" i="3"/>
  <c r="AL91" i="3"/>
  <c r="AI58" i="3"/>
  <c r="AL58" i="3"/>
  <c r="AI212" i="3"/>
  <c r="AL212" i="3"/>
  <c r="AI224" i="3"/>
  <c r="AL224" i="3"/>
  <c r="AH191" i="3"/>
  <c r="AL191" i="3"/>
  <c r="AI126" i="3"/>
  <c r="AL126" i="3"/>
  <c r="AH121" i="3"/>
  <c r="AL121" i="3"/>
  <c r="AI250" i="3"/>
  <c r="AL250" i="3"/>
  <c r="AI229" i="3"/>
  <c r="AL229" i="3"/>
  <c r="AI194" i="3"/>
  <c r="AL194" i="3"/>
  <c r="AI226" i="3"/>
  <c r="AL226" i="3"/>
  <c r="AI245" i="3"/>
  <c r="AL245" i="3"/>
  <c r="AH247" i="3"/>
  <c r="AL247" i="3"/>
  <c r="AH196" i="3"/>
  <c r="AL196" i="3"/>
  <c r="AI172" i="3"/>
  <c r="AL172" i="3"/>
  <c r="AI47" i="3"/>
  <c r="AL47" i="3"/>
  <c r="AH140" i="3"/>
  <c r="AL140" i="3"/>
  <c r="AI144" i="3"/>
  <c r="AL144" i="3"/>
  <c r="AI249" i="3"/>
  <c r="AL249" i="3"/>
  <c r="AI228" i="3"/>
  <c r="AL228" i="3"/>
  <c r="AI134" i="3"/>
  <c r="AL134" i="3"/>
  <c r="AI152" i="3"/>
  <c r="AL152" i="3"/>
  <c r="AI157" i="3"/>
  <c r="AL157" i="3"/>
  <c r="AI127" i="3"/>
  <c r="AL127" i="3"/>
  <c r="AI198" i="3"/>
  <c r="AL198" i="3"/>
  <c r="AI41" i="3"/>
  <c r="AL41" i="3"/>
  <c r="AI235" i="3"/>
  <c r="AL235" i="3"/>
  <c r="AH55" i="3"/>
  <c r="AL55" i="3"/>
  <c r="AH105" i="3"/>
  <c r="AL105" i="3"/>
  <c r="AH253" i="3"/>
  <c r="AL253" i="3"/>
  <c r="AI232" i="3"/>
  <c r="AL232" i="3"/>
  <c r="AI222" i="3"/>
  <c r="AL222" i="3"/>
  <c r="AI40" i="3"/>
  <c r="AL40" i="3"/>
  <c r="AH123" i="3"/>
  <c r="AL123" i="3"/>
  <c r="AI90" i="3"/>
  <c r="AL90" i="3"/>
  <c r="AH210" i="3"/>
  <c r="AL210" i="3"/>
  <c r="AI44" i="3"/>
  <c r="AL44" i="3"/>
  <c r="AI185" i="3"/>
  <c r="AL185" i="3"/>
  <c r="AI231" i="3"/>
  <c r="AL231" i="3"/>
  <c r="AH252" i="3"/>
  <c r="AL252" i="3"/>
  <c r="AH240" i="3"/>
  <c r="AL240" i="3"/>
  <c r="AH220" i="3"/>
  <c r="AL220" i="3"/>
  <c r="AI148" i="3"/>
  <c r="AL148" i="3"/>
  <c r="AI208" i="3"/>
  <c r="AL208" i="3"/>
  <c r="AI84" i="3"/>
  <c r="AL84" i="3"/>
  <c r="AI227" i="3"/>
  <c r="AL227" i="3"/>
  <c r="AH73" i="3"/>
  <c r="AL73" i="3"/>
  <c r="AI79" i="3"/>
  <c r="AL79" i="3"/>
  <c r="AH46" i="3"/>
  <c r="AL46" i="3"/>
  <c r="AH115" i="3"/>
  <c r="AL115" i="3"/>
  <c r="AI75" i="3"/>
  <c r="AL75" i="3"/>
  <c r="AI260" i="3"/>
  <c r="AL260" i="3"/>
  <c r="AI49" i="3"/>
  <c r="AL49" i="3"/>
  <c r="AI66" i="3"/>
  <c r="AL66" i="3"/>
  <c r="AI103" i="3"/>
  <c r="AL103" i="3"/>
  <c r="AI128" i="3"/>
  <c r="AL128" i="3"/>
  <c r="AI175" i="3"/>
  <c r="AL175" i="3"/>
  <c r="AI256" i="3"/>
  <c r="AL256" i="3"/>
  <c r="AI170" i="3"/>
  <c r="AL170" i="3"/>
  <c r="AI104" i="3"/>
  <c r="AL104" i="3"/>
  <c r="AI266" i="3"/>
  <c r="AL266" i="3"/>
  <c r="AI176" i="3"/>
  <c r="AL176" i="3"/>
  <c r="AI167" i="3"/>
  <c r="AL167" i="3"/>
  <c r="AI45" i="3"/>
  <c r="AL45" i="3"/>
  <c r="AI158" i="3"/>
  <c r="AL158" i="3"/>
  <c r="AI264" i="3"/>
  <c r="AL264" i="3"/>
  <c r="AH87" i="3"/>
  <c r="AL87" i="3"/>
  <c r="AI54" i="3"/>
  <c r="AL54" i="3"/>
  <c r="AI156" i="3"/>
  <c r="AL156" i="3"/>
  <c r="AH42" i="3"/>
  <c r="AL42" i="3"/>
  <c r="AI124" i="3"/>
  <c r="AL124" i="3"/>
  <c r="AI96" i="3"/>
  <c r="AL96" i="3"/>
  <c r="AI155" i="3"/>
  <c r="AL155" i="3"/>
  <c r="AI122" i="3"/>
  <c r="AL122" i="3"/>
  <c r="AH81" i="3"/>
  <c r="AL81" i="3"/>
  <c r="AH248" i="3"/>
  <c r="AL248" i="3"/>
  <c r="AH190" i="3"/>
  <c r="AL190" i="3"/>
  <c r="AI145" i="3"/>
  <c r="AL145" i="3"/>
  <c r="AI53" i="3"/>
  <c r="AL53" i="3"/>
  <c r="AH213" i="3"/>
  <c r="AL213" i="3"/>
  <c r="AH217" i="3"/>
  <c r="AL217" i="3"/>
  <c r="AI197" i="3"/>
  <c r="AL197" i="3"/>
  <c r="AI237" i="3"/>
  <c r="AL237" i="3"/>
  <c r="AI243" i="3"/>
  <c r="AI129" i="3"/>
  <c r="AL129" i="3"/>
  <c r="AI111" i="3"/>
  <c r="AL111" i="3"/>
  <c r="AH78" i="3"/>
  <c r="AL78" i="3"/>
  <c r="AI211" i="3"/>
  <c r="AL211" i="3"/>
  <c r="AI118" i="3"/>
  <c r="AL118" i="3"/>
  <c r="AI77" i="3"/>
  <c r="AL77" i="3"/>
  <c r="AI93" i="3"/>
  <c r="AL93" i="3"/>
  <c r="AI119" i="3"/>
  <c r="AL119" i="3"/>
  <c r="AI86" i="3"/>
  <c r="AL86" i="3"/>
  <c r="AI43" i="3"/>
  <c r="AL43" i="3"/>
  <c r="AI160" i="3"/>
  <c r="AL160" i="3"/>
  <c r="AI154" i="3"/>
  <c r="AL154" i="3"/>
  <c r="AI83" i="3"/>
  <c r="AL83" i="3"/>
  <c r="AI251" i="3"/>
  <c r="AL251" i="3"/>
  <c r="AI165" i="3"/>
  <c r="AL165" i="3"/>
  <c r="AH169" i="3"/>
  <c r="AL169" i="3"/>
  <c r="AH51" i="3"/>
  <c r="AL51" i="3"/>
  <c r="AH189" i="3"/>
  <c r="AL189" i="3"/>
  <c r="AI67" i="3"/>
  <c r="AL67" i="3"/>
  <c r="AI193" i="3"/>
  <c r="AL193" i="3"/>
  <c r="AI181" i="3"/>
  <c r="AL181" i="3"/>
  <c r="AH113" i="3"/>
  <c r="AL113" i="3"/>
  <c r="AI71" i="3"/>
  <c r="AL71" i="3"/>
  <c r="AI201" i="3"/>
  <c r="AL201" i="3"/>
  <c r="AI65" i="3"/>
  <c r="AL65" i="3"/>
  <c r="AI72" i="3"/>
  <c r="AL72" i="3"/>
  <c r="AI143" i="3"/>
  <c r="AL143" i="3"/>
  <c r="AI110" i="3"/>
  <c r="AL110" i="3"/>
  <c r="AI76" i="3"/>
  <c r="AL76" i="3"/>
  <c r="AM34" i="3"/>
  <c r="AJ34" i="3"/>
  <c r="AI233" i="3"/>
  <c r="AJ79" i="3"/>
  <c r="AK34" i="3"/>
  <c r="AJ199" i="3"/>
  <c r="AJ136" i="3"/>
  <c r="AI81" i="3"/>
  <c r="AI121" i="3"/>
  <c r="AI74" i="3"/>
  <c r="AI50" i="3"/>
  <c r="AI162" i="3"/>
  <c r="AH244" i="3"/>
  <c r="AJ224" i="3"/>
  <c r="AJ88" i="3"/>
  <c r="AI190" i="3"/>
  <c r="AH118" i="3"/>
  <c r="AJ231" i="3"/>
  <c r="AJ75" i="3"/>
  <c r="AJ215" i="3"/>
  <c r="AI178" i="3"/>
  <c r="AI177" i="3"/>
  <c r="AI220" i="3"/>
  <c r="AJ228" i="3"/>
  <c r="AJ256" i="3"/>
  <c r="AJ220" i="3"/>
  <c r="AJ74" i="3"/>
  <c r="AI55" i="3"/>
  <c r="AI206" i="3"/>
  <c r="AI80" i="3"/>
  <c r="AI247" i="3"/>
  <c r="AJ236" i="3"/>
  <c r="AJ130" i="3"/>
  <c r="AJ210" i="3"/>
  <c r="AI217" i="3"/>
  <c r="AH57" i="3"/>
  <c r="AJ137" i="3"/>
  <c r="AJ110" i="3"/>
  <c r="AJ51" i="3"/>
  <c r="AI265" i="3"/>
  <c r="AI137" i="3"/>
  <c r="AJ90" i="3"/>
  <c r="AJ164" i="3"/>
  <c r="AJ76" i="3"/>
  <c r="AJ65" i="3"/>
  <c r="AK224" i="3"/>
  <c r="AK127" i="3"/>
  <c r="AI263" i="3"/>
  <c r="AK218" i="3"/>
  <c r="AJ218" i="3"/>
  <c r="AH77" i="3"/>
  <c r="AH231" i="3"/>
  <c r="AH119" i="3"/>
  <c r="AH126" i="3"/>
  <c r="AH219" i="3"/>
  <c r="AH156" i="3"/>
  <c r="AH188" i="3"/>
  <c r="AH208" i="3"/>
  <c r="AJ249" i="3"/>
  <c r="AJ260" i="3"/>
  <c r="AJ153" i="3"/>
  <c r="AJ109" i="3"/>
  <c r="AJ104" i="3"/>
  <c r="AJ159" i="3"/>
  <c r="AJ158" i="3"/>
  <c r="AJ52" i="3"/>
  <c r="AJ209" i="3"/>
  <c r="AJ193" i="3"/>
  <c r="AJ200" i="3"/>
  <c r="AJ120" i="3"/>
  <c r="AJ135" i="3"/>
  <c r="AJ166" i="3"/>
  <c r="AJ116" i="3"/>
  <c r="AJ156" i="3"/>
  <c r="AJ232" i="3"/>
  <c r="AJ92" i="3"/>
  <c r="AJ144" i="3"/>
  <c r="AJ244" i="3"/>
  <c r="AJ41" i="3"/>
  <c r="AJ93" i="3"/>
  <c r="AJ151" i="3"/>
  <c r="AJ118" i="3"/>
  <c r="AI150" i="3"/>
  <c r="AK179" i="3"/>
  <c r="AI252" i="3"/>
  <c r="AK217" i="3"/>
  <c r="AH211" i="3"/>
  <c r="AH161" i="3"/>
  <c r="AH54" i="3"/>
  <c r="AH228" i="3"/>
  <c r="AH157" i="3"/>
  <c r="AH203" i="3"/>
  <c r="AH229" i="3"/>
  <c r="AH237" i="3"/>
  <c r="AJ259" i="3"/>
  <c r="AJ133" i="3"/>
  <c r="AJ58" i="3"/>
  <c r="AJ72" i="3"/>
  <c r="AJ168" i="3"/>
  <c r="AJ191" i="3"/>
  <c r="AJ190" i="3"/>
  <c r="AJ250" i="3"/>
  <c r="AJ229" i="3"/>
  <c r="AJ66" i="3"/>
  <c r="AJ47" i="3"/>
  <c r="AJ184" i="3"/>
  <c r="AJ167" i="3"/>
  <c r="AJ198" i="3"/>
  <c r="AJ212" i="3"/>
  <c r="AJ43" i="3"/>
  <c r="AJ42" i="3"/>
  <c r="AJ255" i="3"/>
  <c r="AJ77" i="3"/>
  <c r="AJ117" i="3"/>
  <c r="AJ124" i="3"/>
  <c r="AJ173" i="3"/>
  <c r="AJ183" i="3"/>
  <c r="AJ150" i="3"/>
  <c r="AI87" i="3"/>
  <c r="AK171" i="3"/>
  <c r="AI210" i="3"/>
  <c r="AI248" i="3"/>
  <c r="AI115" i="3"/>
  <c r="AH117" i="3"/>
  <c r="AH238" i="3"/>
  <c r="AH129" i="3"/>
  <c r="AH195" i="3"/>
  <c r="AH84" i="3"/>
  <c r="AJ265" i="3"/>
  <c r="AJ91" i="3"/>
  <c r="AJ122" i="3"/>
  <c r="AJ46" i="3"/>
  <c r="AJ185" i="3"/>
  <c r="AJ169" i="3"/>
  <c r="AJ161" i="3"/>
  <c r="AJ53" i="3"/>
  <c r="AJ67" i="3"/>
  <c r="AJ162" i="3"/>
  <c r="AJ258" i="3"/>
  <c r="AJ245" i="3"/>
  <c r="AJ247" i="3"/>
  <c r="AJ196" i="3"/>
  <c r="AJ205" i="3"/>
  <c r="AJ138" i="3"/>
  <c r="AJ180" i="3"/>
  <c r="AJ83" i="3"/>
  <c r="AJ50" i="3"/>
  <c r="AJ111" i="3"/>
  <c r="AJ152" i="3"/>
  <c r="AJ233" i="3"/>
  <c r="AJ85" i="3"/>
  <c r="AH154" i="3"/>
  <c r="AH199" i="3"/>
  <c r="AJ240" i="3"/>
  <c r="AJ262" i="3"/>
  <c r="AK186" i="3"/>
  <c r="AK231" i="3"/>
  <c r="AI240" i="3"/>
  <c r="AK56" i="3"/>
  <c r="AK174" i="3"/>
  <c r="AH141" i="3"/>
  <c r="AH136" i="3"/>
  <c r="AH193" i="3"/>
  <c r="AH201" i="3"/>
  <c r="AJ141" i="3"/>
  <c r="AJ123" i="3"/>
  <c r="AJ154" i="3"/>
  <c r="AJ44" i="3"/>
  <c r="AJ248" i="3"/>
  <c r="AJ263" i="3"/>
  <c r="AJ266" i="3"/>
  <c r="AJ189" i="3"/>
  <c r="AJ131" i="3"/>
  <c r="AJ194" i="3"/>
  <c r="AJ226" i="3"/>
  <c r="AJ208" i="3"/>
  <c r="AJ84" i="3"/>
  <c r="AJ227" i="3"/>
  <c r="AJ121" i="3"/>
  <c r="AJ139" i="3"/>
  <c r="AJ170" i="3"/>
  <c r="AJ252" i="3"/>
  <c r="AJ115" i="3"/>
  <c r="AJ82" i="3"/>
  <c r="AJ174" i="3"/>
  <c r="AJ89" i="3"/>
  <c r="AJ125" i="3"/>
  <c r="AJ172" i="3"/>
  <c r="AI91" i="3"/>
  <c r="AK51" i="3"/>
  <c r="AI56" i="3"/>
  <c r="AH222" i="3"/>
  <c r="AH44" i="3"/>
  <c r="AH235" i="3"/>
  <c r="AH96" i="3"/>
  <c r="AH111" i="3"/>
  <c r="AH66" i="3"/>
  <c r="AJ40" i="3"/>
  <c r="AJ155" i="3"/>
  <c r="AJ186" i="3"/>
  <c r="AJ251" i="3"/>
  <c r="AJ165" i="3"/>
  <c r="AJ177" i="3"/>
  <c r="AJ73" i="3"/>
  <c r="AJ48" i="3"/>
  <c r="AJ163" i="3"/>
  <c r="AJ217" i="3"/>
  <c r="AJ197" i="3"/>
  <c r="AJ237" i="3"/>
  <c r="AJ243" i="3"/>
  <c r="AJ175" i="3"/>
  <c r="AJ128" i="3"/>
  <c r="AJ171" i="3"/>
  <c r="AJ206" i="3"/>
  <c r="AJ81" i="3"/>
  <c r="AJ147" i="3"/>
  <c r="AJ146" i="3"/>
  <c r="AJ225" i="3"/>
  <c r="AJ55" i="3"/>
  <c r="AJ105" i="3"/>
  <c r="AJ207" i="3"/>
  <c r="AK227" i="3"/>
  <c r="AH41" i="3"/>
  <c r="AH264" i="3"/>
  <c r="AH160" i="3"/>
  <c r="AH175" i="3"/>
  <c r="AH52" i="3"/>
  <c r="AH258" i="3"/>
  <c r="AH205" i="3"/>
  <c r="AJ96" i="3"/>
  <c r="AJ219" i="3"/>
  <c r="AJ238" i="3"/>
  <c r="AJ49" i="3"/>
  <c r="AJ95" i="3"/>
  <c r="AJ94" i="3"/>
  <c r="AJ45" i="3"/>
  <c r="AJ112" i="3"/>
  <c r="AJ195" i="3"/>
  <c r="AJ181" i="3"/>
  <c r="AJ113" i="3"/>
  <c r="AJ71" i="3"/>
  <c r="AJ201" i="3"/>
  <c r="AJ140" i="3"/>
  <c r="AJ192" i="3"/>
  <c r="AJ203" i="3"/>
  <c r="AJ132" i="3"/>
  <c r="AJ145" i="3"/>
  <c r="AJ179" i="3"/>
  <c r="AJ178" i="3"/>
  <c r="AJ235" i="3"/>
  <c r="AJ87" i="3"/>
  <c r="AJ54" i="3"/>
  <c r="AJ78" i="3"/>
  <c r="AK259" i="3"/>
  <c r="AI123" i="3"/>
  <c r="AK242" i="3"/>
  <c r="AI189" i="3"/>
  <c r="AI73" i="3"/>
  <c r="AI140" i="3"/>
  <c r="AK146" i="3"/>
  <c r="AH145" i="3"/>
  <c r="AH159" i="3"/>
  <c r="AH104" i="3"/>
  <c r="AH207" i="3"/>
  <c r="AH184" i="3"/>
  <c r="AH43" i="3"/>
  <c r="AJ160" i="3"/>
  <c r="AJ157" i="3"/>
  <c r="AJ242" i="3"/>
  <c r="AJ149" i="3"/>
  <c r="AJ127" i="3"/>
  <c r="AJ126" i="3"/>
  <c r="AJ143" i="3"/>
  <c r="AJ176" i="3"/>
  <c r="AJ148" i="3"/>
  <c r="AJ241" i="3"/>
  <c r="AJ56" i="3"/>
  <c r="AJ103" i="3"/>
  <c r="AJ134" i="3"/>
  <c r="AJ253" i="3"/>
  <c r="AJ57" i="3"/>
  <c r="AJ129" i="3"/>
  <c r="AJ80" i="3"/>
  <c r="AJ211" i="3"/>
  <c r="AJ222" i="3"/>
  <c r="AJ264" i="3"/>
  <c r="AJ119" i="3"/>
  <c r="AJ86" i="3"/>
  <c r="AJ188" i="3"/>
  <c r="AK141" i="3"/>
  <c r="AK190" i="3"/>
  <c r="AK195" i="3"/>
  <c r="AK247" i="3"/>
  <c r="AH179" i="3"/>
  <c r="AH146" i="3"/>
  <c r="AH75" i="3"/>
  <c r="AH110" i="3"/>
  <c r="AH176" i="3"/>
  <c r="AH181" i="3"/>
  <c r="AK88" i="3"/>
  <c r="AK125" i="3"/>
  <c r="AI253" i="3"/>
  <c r="AK133" i="3"/>
  <c r="AK81" i="3"/>
  <c r="AI116" i="3"/>
  <c r="AI51" i="3"/>
  <c r="AK240" i="3"/>
  <c r="AI213" i="3"/>
  <c r="AI113" i="3"/>
  <c r="AI164" i="3"/>
  <c r="AK103" i="3"/>
  <c r="AI166" i="3"/>
  <c r="AK200" i="3"/>
  <c r="AK110" i="3"/>
  <c r="AK180" i="3"/>
  <c r="AK76" i="3"/>
  <c r="AH95" i="3"/>
  <c r="AH266" i="3"/>
  <c r="AH139" i="3"/>
  <c r="AH225" i="3"/>
  <c r="AH86" i="3"/>
  <c r="AH49" i="3"/>
  <c r="AH158" i="3"/>
  <c r="AH232" i="3"/>
  <c r="AH40" i="3"/>
  <c r="AH155" i="3"/>
  <c r="AH186" i="3"/>
  <c r="AH72" i="3"/>
  <c r="AH143" i="3"/>
  <c r="AH174" i="3"/>
  <c r="AH250" i="3"/>
  <c r="AH209" i="3"/>
  <c r="AH148" i="3"/>
  <c r="AH241" i="3"/>
  <c r="AH144" i="3"/>
  <c r="AK198" i="3"/>
  <c r="AK115" i="3"/>
  <c r="AH185" i="3"/>
  <c r="AH200" i="3"/>
  <c r="AH53" i="3"/>
  <c r="AH226" i="3"/>
  <c r="AK155" i="3"/>
  <c r="AK176" i="3"/>
  <c r="AH183" i="3"/>
  <c r="AH198" i="3"/>
  <c r="AH242" i="3"/>
  <c r="AK183" i="3"/>
  <c r="AI105" i="3"/>
  <c r="AI149" i="3"/>
  <c r="AI169" i="3"/>
  <c r="AI94" i="3"/>
  <c r="AK121" i="3"/>
  <c r="AI218" i="3"/>
  <c r="AH218" i="3"/>
  <c r="AK241" i="3"/>
  <c r="AK226" i="3"/>
  <c r="AK208" i="3"/>
  <c r="AK65" i="3"/>
  <c r="AK207" i="3"/>
  <c r="AI46" i="3"/>
  <c r="AK41" i="3"/>
  <c r="AH76" i="3"/>
  <c r="AH251" i="3"/>
  <c r="AH93" i="3"/>
  <c r="AH215" i="3"/>
  <c r="AH256" i="3"/>
  <c r="AH165" i="3"/>
  <c r="AH227" i="3"/>
  <c r="AH249" i="3"/>
  <c r="AH260" i="3"/>
  <c r="AH153" i="3"/>
  <c r="AH109" i="3"/>
  <c r="AH170" i="3"/>
  <c r="AH45" i="3"/>
  <c r="AH255" i="3"/>
  <c r="AH130" i="3"/>
  <c r="AH197" i="3"/>
  <c r="AH71" i="3"/>
  <c r="AH134" i="3"/>
  <c r="AH171" i="3"/>
  <c r="AK87" i="3"/>
  <c r="AK54" i="3"/>
  <c r="AK57" i="3"/>
  <c r="AK96" i="3"/>
  <c r="AH180" i="3"/>
  <c r="AH83" i="3"/>
  <c r="AH124" i="3"/>
  <c r="AH173" i="3"/>
  <c r="AH85" i="3"/>
  <c r="AH127" i="3"/>
  <c r="AH212" i="3"/>
  <c r="AH259" i="3"/>
  <c r="AH133" i="3"/>
  <c r="AH58" i="3"/>
  <c r="AH92" i="3"/>
  <c r="AH67" i="3"/>
  <c r="AH103" i="3"/>
  <c r="AK151" i="3"/>
  <c r="AK89" i="3"/>
  <c r="AI138" i="3"/>
  <c r="AK154" i="3"/>
  <c r="AK104" i="3"/>
  <c r="AI191" i="3"/>
  <c r="AI34" i="3"/>
  <c r="AH34" i="3"/>
  <c r="AK193" i="3"/>
  <c r="AK201" i="3"/>
  <c r="AI192" i="3"/>
  <c r="AK92" i="3"/>
  <c r="AK188" i="3"/>
  <c r="AH82" i="3"/>
  <c r="AH168" i="3"/>
  <c r="AH65" i="3"/>
  <c r="AH88" i="3"/>
  <c r="AH125" i="3"/>
  <c r="AH236" i="3"/>
  <c r="AH90" i="3"/>
  <c r="AH172" i="3"/>
  <c r="AH47" i="3"/>
  <c r="AH48" i="3"/>
  <c r="AH131" i="3"/>
  <c r="AH194" i="3"/>
  <c r="AH135" i="3"/>
  <c r="AH262" i="3"/>
  <c r="AK173" i="3"/>
  <c r="AI89" i="3"/>
  <c r="AK43" i="3"/>
  <c r="AK232" i="3"/>
  <c r="AK265" i="3"/>
  <c r="AK263" i="3"/>
  <c r="AK266" i="3"/>
  <c r="AI112" i="3"/>
  <c r="AK220" i="3"/>
  <c r="AI196" i="3"/>
  <c r="AK72" i="3"/>
  <c r="AI78" i="3"/>
  <c r="AH147" i="3"/>
  <c r="AH224" i="3"/>
  <c r="AH128" i="3"/>
  <c r="AH122" i="3"/>
  <c r="AH79" i="3"/>
  <c r="AH163" i="3"/>
  <c r="AH120" i="3"/>
  <c r="AH167" i="3"/>
  <c r="AH132" i="3"/>
  <c r="AK152" i="3"/>
  <c r="AK118" i="3"/>
  <c r="AK90" i="3"/>
  <c r="AK145" i="3"/>
  <c r="AK189" i="3"/>
  <c r="AK67" i="3"/>
  <c r="AK120" i="3"/>
  <c r="AK135" i="3"/>
  <c r="AK235" i="3"/>
  <c r="AK233" i="3"/>
  <c r="AK150" i="3"/>
  <c r="AK85" i="3"/>
  <c r="AK74" i="3"/>
  <c r="AK170" i="3"/>
  <c r="AK77" i="3"/>
  <c r="AK222" i="3"/>
  <c r="AK91" i="3"/>
  <c r="AK210" i="3"/>
  <c r="AK117" i="3"/>
  <c r="AK178" i="3"/>
  <c r="AK251" i="3"/>
  <c r="AK94" i="3"/>
  <c r="AK161" i="3"/>
  <c r="AK244" i="3"/>
  <c r="AK113" i="3"/>
  <c r="AK245" i="3"/>
  <c r="AK71" i="3"/>
  <c r="AK196" i="3"/>
  <c r="AK172" i="3"/>
  <c r="AK129" i="3"/>
  <c r="AK47" i="3"/>
  <c r="AK111" i="3"/>
  <c r="AM218" i="3"/>
  <c r="AK184" i="3"/>
  <c r="AK264" i="3"/>
  <c r="AK75" i="3"/>
  <c r="AK138" i="3"/>
  <c r="AK206" i="3"/>
  <c r="AK124" i="3"/>
  <c r="AK123" i="3"/>
  <c r="AK219" i="3"/>
  <c r="AK153" i="3"/>
  <c r="AK122" i="3"/>
  <c r="AK109" i="3"/>
  <c r="AK50" i="3"/>
  <c r="AK49" i="3"/>
  <c r="AK126" i="3"/>
  <c r="AK228" i="3"/>
  <c r="AK147" i="3"/>
  <c r="AK209" i="3"/>
  <c r="AK148" i="3"/>
  <c r="AK162" i="3"/>
  <c r="AK181" i="3"/>
  <c r="AK205" i="3"/>
  <c r="AK164" i="3"/>
  <c r="AK199" i="3"/>
  <c r="AK84" i="3"/>
  <c r="AK192" i="3"/>
  <c r="AK73" i="3"/>
  <c r="AK143" i="3"/>
  <c r="AK165" i="3"/>
  <c r="AK131" i="3"/>
  <c r="AK167" i="3"/>
  <c r="AK128" i="3"/>
  <c r="AK119" i="3"/>
  <c r="AK105" i="3"/>
  <c r="AK86" i="3"/>
  <c r="AK256" i="3"/>
  <c r="AK253" i="3"/>
  <c r="AK132" i="3"/>
  <c r="AK80" i="3"/>
  <c r="AK82" i="3"/>
  <c r="AK58" i="3"/>
  <c r="AK238" i="3"/>
  <c r="AK185" i="3"/>
  <c r="AK159" i="3"/>
  <c r="AK177" i="3"/>
  <c r="AK158" i="3"/>
  <c r="AK116" i="3"/>
  <c r="AK252" i="3"/>
  <c r="AK52" i="3"/>
  <c r="AK66" i="3"/>
  <c r="AK134" i="3"/>
  <c r="AK262" i="3"/>
  <c r="AK45" i="3"/>
  <c r="AK255" i="3"/>
  <c r="AK211" i="3"/>
  <c r="AK48" i="3"/>
  <c r="AK225" i="3"/>
  <c r="AK55" i="3"/>
  <c r="AK215" i="3"/>
  <c r="AK156" i="3"/>
  <c r="AK42" i="3"/>
  <c r="AK160" i="3"/>
  <c r="AK83" i="3"/>
  <c r="AK248" i="3"/>
  <c r="AK250" i="3"/>
  <c r="AK53" i="3"/>
  <c r="AK112" i="3"/>
  <c r="AK229" i="3"/>
  <c r="AK163" i="3"/>
  <c r="AK197" i="3"/>
  <c r="AK237" i="3"/>
  <c r="AK79" i="3"/>
  <c r="AK46" i="3"/>
  <c r="AK93" i="3"/>
  <c r="AK139" i="3"/>
  <c r="AK203" i="3"/>
  <c r="AK249" i="3"/>
  <c r="AK236" i="3"/>
  <c r="AK40" i="3"/>
  <c r="AK260" i="3"/>
  <c r="AK137" i="3"/>
  <c r="AK157" i="3"/>
  <c r="AK212" i="3"/>
  <c r="AK44" i="3"/>
  <c r="AK149" i="3"/>
  <c r="AK168" i="3"/>
  <c r="AK95" i="3"/>
  <c r="AK191" i="3"/>
  <c r="AK169" i="3"/>
  <c r="AK130" i="3"/>
  <c r="AK194" i="3"/>
  <c r="AK258" i="3"/>
  <c r="AK166" i="3"/>
  <c r="AK136" i="3"/>
  <c r="AK175" i="3"/>
  <c r="AK140" i="3"/>
  <c r="AK78" i="3"/>
  <c r="AK144" i="3"/>
</calcChain>
</file>

<file path=xl/sharedStrings.xml><?xml version="1.0" encoding="utf-8"?>
<sst xmlns="http://schemas.openxmlformats.org/spreadsheetml/2006/main" count="1167" uniqueCount="108">
  <si>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</si>
  <si>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</si>
  <si>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</si>
  <si>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</si>
  <si>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</si>
  <si>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</si>
  <si>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</si>
  <si>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</si>
  <si>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</si>
  <si>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</si>
  <si>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</si>
  <si>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</si>
  <si>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</si>
  <si>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</si>
  <si>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</si>
  <si>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</si>
  <si>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</si>
  <si>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</si>
  <si>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</si>
  <si>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</si>
  <si>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</si>
  <si>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</si>
  <si>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</si>
  <si>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qf_per</t>
  </si>
  <si>
    <t>qf_ppp</t>
  </si>
  <si>
    <t>real_gdp_per</t>
  </si>
  <si>
    <t>real_gdp_ppp</t>
  </si>
  <si>
    <t>AUS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</si>
  <si>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</si>
  <si>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</si>
  <si>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</si>
  <si>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</si>
  <si>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</si>
  <si>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</si>
  <si>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</si>
  <si>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</si>
  <si>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</si>
  <si>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</si>
  <si>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</si>
  <si>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</si>
  <si>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</si>
  <si>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</si>
  <si>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</si>
  <si>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</si>
  <si>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</si>
  <si>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</si>
  <si>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</si>
  <si>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</si>
  <si>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</si>
  <si>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</si>
  <si>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</si>
  <si>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</si>
  <si>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</si>
  <si>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</si>
  <si>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</si>
  <si>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</si>
  <si>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</si>
  <si>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</si>
  <si>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</si>
  <si>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</si>
  <si>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</si>
  <si>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</si>
  <si>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</si>
  <si>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</si>
  <si>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</si>
  <si>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Q1.2020</t>
  </si>
  <si>
    <t>Q2.2020</t>
  </si>
  <si>
    <t>Q3.2020</t>
  </si>
  <si>
    <t>Q4.2020</t>
  </si>
  <si>
    <t>Q1.2021</t>
  </si>
  <si>
    <t>Q2.2021</t>
  </si>
  <si>
    <t>Q3.2021</t>
  </si>
  <si>
    <t>share_nhealth_t</t>
  </si>
  <si>
    <t>share_health_t</t>
  </si>
  <si>
    <t>share_of_t</t>
  </si>
  <si>
    <t>share_be_of</t>
  </si>
  <si>
    <t>share_gu_of</t>
  </si>
  <si>
    <t>on_us</t>
  </si>
  <si>
    <t>share_nhealth_on</t>
  </si>
  <si>
    <t>share_on_t</t>
  </si>
  <si>
    <t>Total bedeutet on und of zusammen</t>
  </si>
  <si>
    <t>share_health_on</t>
  </si>
  <si>
    <t>share_be_t</t>
  </si>
  <si>
    <t>share_gu_t</t>
  </si>
  <si>
    <t>total_intensity_per</t>
  </si>
  <si>
    <t>on_per</t>
  </si>
  <si>
    <t>share_acc_t</t>
  </si>
  <si>
    <t>on_ppp</t>
  </si>
  <si>
    <t>total_intensity_ppp</t>
  </si>
  <si>
    <t>realgdp_ppp</t>
  </si>
  <si>
    <t>realgdp_per</t>
  </si>
  <si>
    <t>total_netspend_usd</t>
  </si>
  <si>
    <t>total_moving_usd</t>
  </si>
  <si>
    <t>share_nhealth_mo</t>
  </si>
  <si>
    <t>share_health_mo</t>
  </si>
  <si>
    <t>share_acc_mo</t>
  </si>
  <si>
    <t>share_of_mo</t>
  </si>
  <si>
    <t>share_be_mo</t>
  </si>
  <si>
    <t>total_mo_per</t>
  </si>
  <si>
    <t>share_onw0_mo</t>
  </si>
  <si>
    <t>share_on_mo</t>
  </si>
  <si>
    <t>share_onw0_t</t>
  </si>
  <si>
    <t/>
  </si>
  <si>
    <t>share_gu_mo</t>
  </si>
  <si>
    <t>ab_per</t>
  </si>
  <si>
    <t>total_intensity_ab</t>
  </si>
  <si>
    <t>Treatment Group</t>
  </si>
  <si>
    <t>Control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</si>
</sst>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"/>
    <numFmt numFmtId="169" formatCode="_(* #,##0.000_);_(* \(#,##0.000\);_(* &quot;-&quot;??_);_(@_)"/>
    <numFmt numFmtId="170" formatCode="0.000000"/>
    <numFmt numFmtId="171" formatCode="0.00000000"/>
    <numFmt numFmtId="172" formatCode="0.000000000"/>
    <numFmt numFmtId="173" formatCode="0.0000000000"/>
    <numFmt numFmtId="174" formatCode="0.00000000000000000000000000"/>
    <numFmt numFmtId="175" formatCode="0.0000000"/>
    <numFmt numFmtId="176" formatCode="0.000000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/>
    <xf numFmtId="0" fontId="6" fillId="2" borderId="1" xfId="2" applyFont="1" applyFill="1" applyBorder="1" applyAlignment="1">
      <alignment horizontal="left" indent="1"/>
    </xf>
    <xf numFmtId="0" fontId="2" fillId="0" borderId="0" xfId="1"/>
    <xf numFmtId="0" fontId="5" fillId="2" borderId="1" xfId="2" applyFill="1" applyBorder="1" applyAlignment="1">
      <alignment horizontal="left" indent="1"/>
    </xf>
    <xf numFmtId="0" fontId="5" fillId="0" borderId="1" xfId="2" applyBorder="1" applyAlignment="1">
      <alignment horizontal="left" indent="1"/>
    </xf>
    <xf numFmtId="0" fontId="6" fillId="2" borderId="1" xfId="1" applyFont="1" applyFill="1" applyBorder="1" applyAlignment="1">
      <alignment horizontal="left" indent="1"/>
    </xf>
    <xf numFmtId="0" fontId="6" fillId="0" borderId="1" xfId="1" applyFont="1" applyBorder="1" applyAlignment="1">
      <alignment horizontal="left" indent="1"/>
    </xf>
    <xf numFmtId="0" fontId="6" fillId="0" borderId="1" xfId="2" applyFont="1" applyBorder="1" applyAlignment="1">
      <alignment horizontal="left" indent="1"/>
    </xf>
    <xf numFmtId="0" fontId="1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164" fontId="3" fillId="2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" fillId="0" borderId="0" xfId="1" applyFont="1" applyAlignment="1">
      <alignment wrapText="1"/>
    </xf>
    <xf numFmtId="0" fontId="6" fillId="3" borderId="1" xfId="2" applyFont="1" applyFill="1" applyBorder="1" applyAlignment="1">
      <alignment horizontal="left" indent="1"/>
    </xf>
    <xf numFmtId="166" fontId="7" fillId="3" borderId="1" xfId="3" applyNumberFormat="1" applyFont="1" applyFill="1" applyBorder="1" applyAlignment="1">
      <alignment horizontal="right"/>
    </xf>
    <xf numFmtId="166" fontId="6" fillId="3" borderId="1" xfId="3" applyNumberFormat="1" applyFont="1" applyFill="1" applyBorder="1" applyAlignment="1"/>
    <xf numFmtId="166" fontId="7" fillId="3" borderId="1" xfId="3" applyNumberFormat="1" applyFont="1" applyFill="1" applyBorder="1" applyAlignment="1"/>
    <xf numFmtId="167" fontId="8" fillId="0" borderId="0" xfId="2" applyNumberFormat="1" applyFont="1" applyAlignment="1">
      <alignment horizontal="center" vertical="center"/>
    </xf>
    <xf numFmtId="168" fontId="6" fillId="3" borderId="1" xfId="3" applyNumberFormat="1" applyFont="1" applyFill="1" applyBorder="1" applyAlignment="1"/>
    <xf numFmtId="0" fontId="5" fillId="3" borderId="1" xfId="2" applyFill="1" applyBorder="1" applyAlignment="1">
      <alignment horizontal="left" indent="1"/>
    </xf>
    <xf numFmtId="169" fontId="6" fillId="3" borderId="1" xfId="3" applyNumberFormat="1" applyFont="1" applyFill="1" applyBorder="1"/>
    <xf numFmtId="170" fontId="6" fillId="3" borderId="1" xfId="3" applyNumberFormat="1" applyFont="1" applyFill="1" applyBorder="1" applyAlignment="1"/>
    <xf numFmtId="170" fontId="6" fillId="3" borderId="0" xfId="3" applyNumberFormat="1" applyFont="1" applyFill="1" applyAlignment="1"/>
    <xf numFmtId="167" fontId="5" fillId="0" borderId="0" xfId="2" applyNumberFormat="1" applyAlignment="1">
      <alignment horizontal="center"/>
    </xf>
    <xf numFmtId="0" fontId="6" fillId="3" borderId="0" xfId="2" applyFont="1" applyFill="1"/>
    <xf numFmtId="0" fontId="6" fillId="4" borderId="1" xfId="2" applyFont="1" applyFill="1" applyBorder="1" applyAlignment="1">
      <alignment horizontal="left" indent="1"/>
    </xf>
    <xf numFmtId="0" fontId="6" fillId="4" borderId="1" xfId="1" applyFont="1" applyFill="1" applyBorder="1" applyAlignment="1">
      <alignment horizontal="left" indent="1"/>
    </xf>
    <xf numFmtId="2" fontId="6" fillId="4" borderId="1" xfId="3" applyNumberFormat="1" applyFont="1" applyFill="1" applyBorder="1"/>
    <xf numFmtId="166" fontId="6" fillId="4" borderId="1" xfId="3" applyNumberFormat="1" applyFont="1" applyFill="1" applyBorder="1" applyAlignment="1"/>
    <xf numFmtId="0" fontId="5" fillId="4" borderId="1" xfId="2" applyFill="1" applyBorder="1" applyAlignment="1">
      <alignment horizontal="left" indent="1"/>
    </xf>
    <xf numFmtId="0" fontId="6" fillId="4" borderId="1" xfId="3" applyNumberFormat="1" applyFont="1" applyFill="1" applyBorder="1" applyAlignment="1"/>
    <xf numFmtId="166" fontId="6" fillId="0" borderId="1" xfId="3" applyNumberFormat="1" applyFont="1" applyFill="1" applyBorder="1" applyAlignment="1"/>
    <xf numFmtId="0" fontId="6" fillId="5" borderId="1" xfId="2" applyFont="1" applyFill="1" applyBorder="1" applyAlignment="1">
      <alignment horizontal="left" indent="1"/>
    </xf>
    <xf numFmtId="0" fontId="6" fillId="5" borderId="1" xfId="1" applyFont="1" applyFill="1" applyBorder="1" applyAlignment="1">
      <alignment horizontal="left" indent="1"/>
    </xf>
    <xf numFmtId="166" fontId="6" fillId="5" borderId="1" xfId="3" applyNumberFormat="1" applyFont="1" applyFill="1" applyBorder="1" applyAlignment="1"/>
    <xf numFmtId="167" fontId="8" fillId="5" borderId="0" xfId="2" applyNumberFormat="1" applyFont="1" applyFill="1" applyAlignment="1">
      <alignment horizontal="center" vertical="center"/>
    </xf>
    <xf numFmtId="0" fontId="2" fillId="5" borderId="0" xfId="1" applyFill="1"/>
    <xf numFmtId="0" fontId="2" fillId="3" borderId="0" xfId="1" applyFill="1"/>
    <xf numFmtId="166" fontId="6" fillId="3" borderId="1" xfId="2" applyNumberFormat="1" applyFont="1" applyFill="1" applyBorder="1" applyAlignment="1">
      <alignment horizontal="left" indent="1"/>
    </xf>
    <xf numFmtId="170" fontId="3" fillId="3" borderId="1" xfId="1" applyNumberFormat="1" applyFont="1" applyFill="1" applyBorder="1" applyAlignment="1">
      <alignment horizontal="center" vertical="center" wrapText="1"/>
    </xf>
    <xf numFmtId="170" fontId="6" fillId="3" borderId="1" xfId="3" applyNumberFormat="1" applyFont="1" applyFill="1" applyBorder="1"/>
    <xf numFmtId="170" fontId="6" fillId="4" borderId="1" xfId="3" applyNumberFormat="1" applyFont="1" applyFill="1" applyBorder="1"/>
    <xf numFmtId="170" fontId="2" fillId="3" borderId="0" xfId="1" applyNumberFormat="1" applyFill="1"/>
    <xf numFmtId="166" fontId="1" fillId="0" borderId="2" xfId="0" applyNumberFormat="1" applyFont="1" applyBorder="1" applyAlignment="1">
      <alignment horizontal="center" vertical="top"/>
    </xf>
    <xf numFmtId="166" fontId="2" fillId="0" borderId="0" xfId="1" applyNumberFormat="1"/>
    <xf numFmtId="171" fontId="1" fillId="0" borderId="2" xfId="0" applyNumberFormat="1" applyFont="1" applyBorder="1" applyAlignment="1">
      <alignment horizontal="center" vertical="top"/>
    </xf>
    <xf numFmtId="171" fontId="2" fillId="0" borderId="0" xfId="1" applyNumberFormat="1"/>
    <xf numFmtId="0" fontId="1" fillId="0" borderId="0" xfId="1" applyFont="1" applyAlignment="1">
      <alignment horizontal="center" vertical="center"/>
    </xf>
    <xf numFmtId="173" fontId="7" fillId="3" borderId="1" xfId="3" applyNumberFormat="1" applyFont="1" applyFill="1" applyBorder="1" applyAlignment="1">
      <alignment horizontal="right"/>
    </xf>
    <xf numFmtId="173" fontId="7" fillId="3" borderId="1" xfId="3" applyNumberFormat="1" applyFont="1" applyFill="1" applyBorder="1" applyAlignment="1"/>
    <xf numFmtId="172" fontId="6" fillId="4" borderId="1" xfId="3" applyNumberFormat="1" applyFont="1" applyFill="1" applyBorder="1"/>
    <xf numFmtId="167" fontId="6" fillId="4" borderId="1" xfId="3" applyNumberFormat="1" applyFont="1" applyFill="1" applyBorder="1"/>
    <xf numFmtId="174" fontId="2" fillId="0" borderId="0" xfId="1" applyNumberFormat="1"/>
    <xf numFmtId="172" fontId="7" fillId="3" borderId="1" xfId="3" applyNumberFormat="1" applyFont="1" applyFill="1" applyBorder="1" applyAlignment="1"/>
    <xf numFmtId="175" fontId="6" fillId="4" borderId="1" xfId="3" applyNumberFormat="1" applyFont="1" applyFill="1" applyBorder="1"/>
    <xf numFmtId="2" fontId="5" fillId="2" borderId="1" xfId="2" applyNumberFormat="1" applyFill="1" applyBorder="1" applyAlignment="1">
      <alignment horizontal="left" indent="1"/>
    </xf>
    <xf numFmtId="2" fontId="6" fillId="2" borderId="1" xfId="1" applyNumberFormat="1" applyFont="1" applyFill="1" applyBorder="1" applyAlignment="1">
      <alignment horizontal="left" indent="1"/>
    </xf>
    <xf numFmtId="2" fontId="6" fillId="3" borderId="1" xfId="2" applyNumberFormat="1" applyFont="1" applyFill="1" applyBorder="1" applyAlignment="1">
      <alignment horizontal="left" indent="1"/>
    </xf>
    <xf numFmtId="2" fontId="7" fillId="3" borderId="1" xfId="3" applyNumberFormat="1" applyFont="1" applyFill="1" applyBorder="1" applyAlignment="1">
      <alignment horizontal="right"/>
    </xf>
    <xf numFmtId="2" fontId="7" fillId="3" borderId="1" xfId="3" applyNumberFormat="1" applyFont="1" applyFill="1" applyBorder="1" applyAlignment="1"/>
    <xf numFmtId="2" fontId="6" fillId="0" borderId="1" xfId="3" applyNumberFormat="1" applyFont="1" applyFill="1" applyBorder="1" applyAlignment="1"/>
    <xf numFmtId="2" fontId="8" fillId="0" borderId="0" xfId="2" applyNumberFormat="1" applyFont="1" applyAlignment="1">
      <alignment horizontal="center" vertical="center"/>
    </xf>
    <xf numFmtId="2" fontId="2" fillId="0" borderId="0" xfId="1" applyNumberFormat="1"/>
    <xf numFmtId="0" fontId="1" fillId="0" borderId="0" xfId="1" applyFont="1" applyAlignment="1">
      <alignment vertical="center"/>
    </xf>
    <xf numFmtId="0" fontId="6" fillId="3" borderId="1" xfId="2" applyFont="1" applyFill="1" applyBorder="1"/>
    <xf numFmtId="176" fontId="0" fillId="0" borderId="0" xfId="4" applyNumberFormat="1" applyFont="1"/>
    <xf numFmtId="176" fontId="2" fillId="0" borderId="0" xfId="4" applyNumberFormat="1"/>
    <xf numFmtId="176" fontId="0" fillId="0" borderId="0" xfId="4" quotePrefix="1" applyNumberFormat="1" applyFont="1"/>
    <xf numFmtId="167" fontId="2" fillId="0" borderId="0" xfId="1" applyNumberFormat="1"/>
  </cellXfs>
  <cellStyles count="5">
    <cellStyle name="Komma 2" xfId="3" xr:uid="{78E80D19-85DD-421C-9518-C83BADA5A01B}"/>
    <cellStyle name="Prozent" xfId="4" builtinId="5"/>
    <cellStyle name="Standard" xfId="0" builtinId="0"/>
    <cellStyle name="Standard 2" xfId="1" xr:uid="{05ABF4B0-F9F8-4455-9687-B7DAF901BC55}"/>
    <cellStyle name="Standard 3" xfId="2" xr:uid="{1BB69CFF-32EA-401C-BD4B-A92D61E95E0C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6dcfa39c5054bb9/Studium/Wirtschaftswissenschaften/Master-Thesis/New/Working/Policy%20Reactions/IMF/dataq_backup_uncleaned%20-%20Kopie.xlsx" TargetMode="External"/><Relationship Id="rId1" Type="http://schemas.openxmlformats.org/officeDocument/2006/relationships/externalLinkPath" Target="dataq_backup_uncleaned%20-%20K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0"/>
      <sheetName val="2021"/>
      <sheetName val="data"/>
      <sheetName val="diff"/>
      <sheetName val="Security"/>
      <sheetName val="Database"/>
      <sheetName val="Figure"/>
    </sheetNames>
    <sheetDataSet>
      <sheetData sheetId="0"/>
      <sheetData sheetId="1"/>
      <sheetData sheetId="2">
        <row r="2">
          <cell r="E2">
            <v>2.1168</v>
          </cell>
          <cell r="F2">
            <v>107.8883</v>
          </cell>
          <cell r="G2">
            <v>0</v>
          </cell>
          <cell r="I2">
            <v>10.3255</v>
          </cell>
          <cell r="J2">
            <v>13.6774</v>
          </cell>
          <cell r="K2">
            <v>0</v>
          </cell>
        </row>
        <row r="3">
          <cell r="E3">
            <v>2.4</v>
          </cell>
          <cell r="F3">
            <v>78.599999999999994</v>
          </cell>
          <cell r="G3">
            <v>61.25</v>
          </cell>
          <cell r="I3">
            <v>3.7</v>
          </cell>
          <cell r="J3">
            <v>48</v>
          </cell>
          <cell r="K3">
            <v>0</v>
          </cell>
        </row>
        <row r="4">
          <cell r="E4">
            <v>5.5</v>
          </cell>
          <cell r="F4">
            <v>11</v>
          </cell>
          <cell r="G4">
            <v>48.5</v>
          </cell>
          <cell r="I4">
            <v>0</v>
          </cell>
          <cell r="J4">
            <v>348</v>
          </cell>
          <cell r="K4">
            <v>0</v>
          </cell>
        </row>
        <row r="5">
          <cell r="E5">
            <v>11.2</v>
          </cell>
          <cell r="F5">
            <v>131.80000000000001</v>
          </cell>
          <cell r="G5">
            <v>0</v>
          </cell>
          <cell r="I5">
            <v>223</v>
          </cell>
          <cell r="J5">
            <v>849</v>
          </cell>
          <cell r="K5">
            <v>0</v>
          </cell>
        </row>
        <row r="6">
          <cell r="E6">
            <v>3.63</v>
          </cell>
          <cell r="F6">
            <v>18.37</v>
          </cell>
          <cell r="G6">
            <v>0</v>
          </cell>
          <cell r="I6">
            <v>0</v>
          </cell>
          <cell r="J6">
            <v>579.20099732616302</v>
          </cell>
          <cell r="K6">
            <v>0</v>
          </cell>
        </row>
        <row r="7">
          <cell r="E7">
            <v>12.1906</v>
          </cell>
          <cell r="F7">
            <v>484.80939999999998</v>
          </cell>
          <cell r="G7">
            <v>0</v>
          </cell>
          <cell r="I7">
            <v>0</v>
          </cell>
          <cell r="J7">
            <v>19</v>
          </cell>
          <cell r="K7">
            <v>0</v>
          </cell>
        </row>
        <row r="8">
          <cell r="E8">
            <v>2.5</v>
          </cell>
          <cell r="F8">
            <v>21.5</v>
          </cell>
          <cell r="G8">
            <v>14</v>
          </cell>
          <cell r="I8">
            <v>0</v>
          </cell>
          <cell r="J8">
            <v>28.03087410667397</v>
          </cell>
          <cell r="K8">
            <v>0</v>
          </cell>
        </row>
        <row r="9">
          <cell r="E9">
            <v>4.1786000000000003</v>
          </cell>
          <cell r="F9">
            <v>10.7143</v>
          </cell>
          <cell r="G9">
            <v>0</v>
          </cell>
          <cell r="I9">
            <v>0.13551117673291363</v>
          </cell>
          <cell r="J9">
            <v>114.63808418776323</v>
          </cell>
          <cell r="K9">
            <v>10.928320704267227</v>
          </cell>
        </row>
        <row r="10">
          <cell r="E10">
            <v>6.384615385</v>
          </cell>
          <cell r="F10">
            <v>76.61538462</v>
          </cell>
          <cell r="G10">
            <v>0</v>
          </cell>
          <cell r="I10">
            <v>1.2419179468562151</v>
          </cell>
          <cell r="J10">
            <v>422.2521019311132</v>
          </cell>
          <cell r="K10">
            <v>0</v>
          </cell>
        </row>
        <row r="11">
          <cell r="E11">
            <v>9.4499999999999993</v>
          </cell>
          <cell r="F11">
            <v>1385.55</v>
          </cell>
          <cell r="G11">
            <v>0</v>
          </cell>
          <cell r="I11">
            <v>56</v>
          </cell>
          <cell r="J11">
            <v>454</v>
          </cell>
          <cell r="K11">
            <v>0</v>
          </cell>
        </row>
        <row r="12">
          <cell r="E12">
            <v>1.8620000000000001</v>
          </cell>
          <cell r="F12">
            <v>0</v>
          </cell>
          <cell r="G12">
            <v>0</v>
          </cell>
          <cell r="I12">
            <v>3.3</v>
          </cell>
          <cell r="J12">
            <v>0</v>
          </cell>
          <cell r="K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I13">
            <v>0</v>
          </cell>
          <cell r="J13">
            <v>3.8</v>
          </cell>
          <cell r="K13">
            <v>0</v>
          </cell>
        </row>
        <row r="14">
          <cell r="E14">
            <v>0</v>
          </cell>
          <cell r="F14">
            <v>31.764700000000001</v>
          </cell>
          <cell r="G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I15">
            <v>0</v>
          </cell>
          <cell r="J15">
            <v>54</v>
          </cell>
          <cell r="K15">
            <v>0</v>
          </cell>
        </row>
        <row r="16">
          <cell r="E16">
            <v>2.2540984E-2</v>
          </cell>
          <cell r="F16">
            <v>9.0525805604483107</v>
          </cell>
          <cell r="G16">
            <v>0</v>
          </cell>
          <cell r="I16">
            <v>0.80696442599999996</v>
          </cell>
          <cell r="J16">
            <v>20.297265830601589</v>
          </cell>
          <cell r="K16">
            <v>0</v>
          </cell>
        </row>
        <row r="17">
          <cell r="E17">
            <v>0</v>
          </cell>
          <cell r="F17">
            <v>9</v>
          </cell>
          <cell r="G17">
            <v>0</v>
          </cell>
          <cell r="I17">
            <v>0</v>
          </cell>
          <cell r="J17">
            <v>9.6999999999999993</v>
          </cell>
          <cell r="K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I18">
            <v>0.166216216</v>
          </cell>
          <cell r="J18">
            <v>0.17729729189999999</v>
          </cell>
          <cell r="K18">
            <v>0</v>
          </cell>
        </row>
        <row r="19">
          <cell r="E19">
            <v>2.8823529000000001E-2</v>
          </cell>
          <cell r="F19">
            <v>4.3235289999999997</v>
          </cell>
          <cell r="G19">
            <v>4.5</v>
          </cell>
          <cell r="I19">
            <v>1.1000000000000001</v>
          </cell>
          <cell r="J19">
            <v>12</v>
          </cell>
          <cell r="K19">
            <v>0</v>
          </cell>
        </row>
        <row r="20">
          <cell r="E20">
            <v>5.4100000000000003E-4</v>
          </cell>
          <cell r="F20">
            <v>6.36592</v>
          </cell>
          <cell r="G20">
            <v>0</v>
          </cell>
          <cell r="I20">
            <v>1.1082000000000001</v>
          </cell>
          <cell r="J20">
            <v>1.1082000000000001</v>
          </cell>
          <cell r="K20">
            <v>0</v>
          </cell>
        </row>
        <row r="21">
          <cell r="E21">
            <v>2.1328006607137996E-2</v>
          </cell>
          <cell r="F21">
            <v>0.86121019782615837</v>
          </cell>
          <cell r="G21">
            <v>0</v>
          </cell>
          <cell r="I21">
            <v>0</v>
          </cell>
          <cell r="J21">
            <v>0.91931062961801713</v>
          </cell>
          <cell r="K21">
            <v>0</v>
          </cell>
        </row>
        <row r="22">
          <cell r="E22">
            <v>2.2863227953839709</v>
          </cell>
          <cell r="F22">
            <v>21.148485857301733</v>
          </cell>
          <cell r="G22">
            <v>2.8579034942299635</v>
          </cell>
          <cell r="I22">
            <v>4.5726455907679417</v>
          </cell>
          <cell r="J22">
            <v>2.2863227953839709</v>
          </cell>
          <cell r="K22">
            <v>0</v>
          </cell>
        </row>
        <row r="23">
          <cell r="E23">
            <v>4.0163261841927023</v>
          </cell>
          <cell r="F23">
            <v>21.901980198691138</v>
          </cell>
          <cell r="G23">
            <v>2.0803991745458603</v>
          </cell>
          <cell r="I23">
            <v>0.9535162883335192</v>
          </cell>
          <cell r="J23">
            <v>10.199734841870674</v>
          </cell>
          <cell r="K23">
            <v>0</v>
          </cell>
        </row>
        <row r="24">
          <cell r="E24">
            <v>0.2311060355223796</v>
          </cell>
          <cell r="F24">
            <v>2.4101057990876908</v>
          </cell>
          <cell r="G24">
            <v>0</v>
          </cell>
          <cell r="I24">
            <v>0.2311060355223796</v>
          </cell>
          <cell r="J24">
            <v>0.81745506280750724</v>
          </cell>
          <cell r="K24">
            <v>0</v>
          </cell>
        </row>
        <row r="25">
          <cell r="E25">
            <v>0.57158069884599272</v>
          </cell>
          <cell r="F25">
            <v>2.0233956739148145</v>
          </cell>
          <cell r="G25">
            <v>2.503523460945448</v>
          </cell>
          <cell r="I25">
            <v>0.36581164726143534</v>
          </cell>
          <cell r="J25">
            <v>1.6004259567687795</v>
          </cell>
          <cell r="K25">
            <v>0</v>
          </cell>
        </row>
        <row r="26">
          <cell r="E26">
            <v>0.2286322795383971</v>
          </cell>
          <cell r="F26">
            <v>3.315168053306758</v>
          </cell>
          <cell r="G26">
            <v>5.2145883075488326</v>
          </cell>
          <cell r="I26">
            <v>0</v>
          </cell>
          <cell r="J26">
            <v>2.8579034942299635</v>
          </cell>
          <cell r="K26">
            <v>1.2574775374611842</v>
          </cell>
        </row>
        <row r="27">
          <cell r="E27">
            <v>0</v>
          </cell>
          <cell r="F27">
            <v>22</v>
          </cell>
          <cell r="G27">
            <v>34.970626253655126</v>
          </cell>
          <cell r="I27">
            <v>0</v>
          </cell>
          <cell r="J27">
            <v>0</v>
          </cell>
          <cell r="K27">
            <v>0</v>
          </cell>
        </row>
        <row r="28">
          <cell r="E28">
            <v>0.31570903379703813</v>
          </cell>
          <cell r="F28">
            <v>10.7728065</v>
          </cell>
          <cell r="G28">
            <v>0</v>
          </cell>
          <cell r="I28">
            <v>2.7058387100000001</v>
          </cell>
          <cell r="J28">
            <v>3.9463629224629799</v>
          </cell>
          <cell r="K28"/>
        </row>
        <row r="29">
          <cell r="E29">
            <v>0</v>
          </cell>
          <cell r="F29">
            <v>0</v>
          </cell>
          <cell r="G29">
            <v>0</v>
          </cell>
          <cell r="I29">
            <v>5.3</v>
          </cell>
          <cell r="J29">
            <v>5.3</v>
          </cell>
          <cell r="K29">
            <v>0</v>
          </cell>
        </row>
        <row r="30">
          <cell r="E30">
            <v>1.8290582363071768</v>
          </cell>
          <cell r="F30">
            <v>5.3728585691523305</v>
          </cell>
          <cell r="G30">
            <v>9.0309750417666859</v>
          </cell>
          <cell r="I30">
            <v>0</v>
          </cell>
          <cell r="J30">
            <v>14.861098169995811</v>
          </cell>
          <cell r="K30">
            <v>0</v>
          </cell>
        </row>
        <row r="31">
          <cell r="E31">
            <v>0.18290582363071767</v>
          </cell>
          <cell r="F31">
            <v>2.3320492512916506</v>
          </cell>
          <cell r="G31">
            <v>1.4060885191611421</v>
          </cell>
          <cell r="I31">
            <v>0</v>
          </cell>
          <cell r="J31">
            <v>4.5840772047448617</v>
          </cell>
          <cell r="K31">
            <v>0</v>
          </cell>
        </row>
        <row r="32">
          <cell r="E32">
            <v>0.11431613976919908</v>
          </cell>
          <cell r="F32">
            <v>4.0010648919219678</v>
          </cell>
          <cell r="G32">
            <v>0</v>
          </cell>
          <cell r="I32">
            <v>0.68589683861519435</v>
          </cell>
          <cell r="J32">
            <v>2.6292712146915784</v>
          </cell>
          <cell r="K32">
            <v>0.11431613976919908</v>
          </cell>
        </row>
        <row r="33">
          <cell r="E33">
            <v>0</v>
          </cell>
          <cell r="F33">
            <v>11</v>
          </cell>
          <cell r="G33">
            <v>0</v>
          </cell>
          <cell r="I33">
            <v>0</v>
          </cell>
          <cell r="J33">
            <v>25</v>
          </cell>
          <cell r="K33">
            <v>0</v>
          </cell>
        </row>
        <row r="34">
          <cell r="E34">
            <v>0</v>
          </cell>
          <cell r="F34">
            <v>1.6825977000000001</v>
          </cell>
          <cell r="G34">
            <v>0</v>
          </cell>
          <cell r="I34">
            <v>0.10838709000000001</v>
          </cell>
          <cell r="J34">
            <v>0.10322587</v>
          </cell>
          <cell r="K34">
            <v>0</v>
          </cell>
        </row>
        <row r="35">
          <cell r="E35">
            <v>1</v>
          </cell>
          <cell r="F35">
            <v>3.6</v>
          </cell>
          <cell r="G35">
            <v>4.7152702260000003</v>
          </cell>
          <cell r="I35">
            <v>2.4</v>
          </cell>
          <cell r="J35">
            <v>0</v>
          </cell>
          <cell r="K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I36">
            <v>0.1</v>
          </cell>
          <cell r="J36">
            <v>0</v>
          </cell>
          <cell r="K36">
            <v>0</v>
          </cell>
        </row>
        <row r="37">
          <cell r="E37">
            <v>0.17</v>
          </cell>
          <cell r="F37">
            <v>0.54743399999999998</v>
          </cell>
          <cell r="G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E38">
            <v>0</v>
          </cell>
          <cell r="F38">
            <v>4.4197489986439065</v>
          </cell>
          <cell r="G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E39">
            <v>0</v>
          </cell>
          <cell r="F39">
            <v>9</v>
          </cell>
          <cell r="G39">
            <v>0</v>
          </cell>
          <cell r="I39">
            <v>0</v>
          </cell>
          <cell r="J39">
            <v>17</v>
          </cell>
          <cell r="K39">
            <v>0</v>
          </cell>
        </row>
        <row r="40">
          <cell r="E40">
            <v>3.2712452643601866</v>
          </cell>
          <cell r="F40">
            <v>107.10056995515251</v>
          </cell>
          <cell r="G40">
            <v>0</v>
          </cell>
          <cell r="I40">
            <v>9.8137357930805607</v>
          </cell>
          <cell r="J40">
            <v>13.084981057440746</v>
          </cell>
          <cell r="K40">
            <v>0</v>
          </cell>
        </row>
        <row r="41">
          <cell r="E41">
            <v>2.8794042231043675</v>
          </cell>
          <cell r="F41">
            <v>83.502722470026654</v>
          </cell>
          <cell r="G41">
            <v>61.187339740967808</v>
          </cell>
          <cell r="I41">
            <v>3.599255278880459</v>
          </cell>
          <cell r="J41">
            <v>46.79031862544597</v>
          </cell>
          <cell r="K41">
            <v>0</v>
          </cell>
        </row>
        <row r="42">
          <cell r="E42">
            <v>8.7426565634137816</v>
          </cell>
          <cell r="F42">
            <v>53.87662107203743</v>
          </cell>
          <cell r="G42">
            <v>60.652179908683117</v>
          </cell>
          <cell r="I42">
            <v>22.949473478961178</v>
          </cell>
          <cell r="J42">
            <v>357.35608702953834</v>
          </cell>
          <cell r="K42">
            <v>0</v>
          </cell>
        </row>
        <row r="43">
          <cell r="E43">
            <v>25.135137619814568</v>
          </cell>
          <cell r="F43">
            <v>289.21983361607363</v>
          </cell>
          <cell r="G43">
            <v>0</v>
          </cell>
          <cell r="I43">
            <v>218.56641408534406</v>
          </cell>
          <cell r="J43">
            <v>896.12229774991067</v>
          </cell>
          <cell r="K43">
            <v>0</v>
          </cell>
        </row>
        <row r="44">
          <cell r="E44">
            <v>7.103408457773698</v>
          </cell>
          <cell r="F44">
            <v>53.002355415696051</v>
          </cell>
          <cell r="G44">
            <v>7.6498244929870598</v>
          </cell>
          <cell r="I44">
            <v>3.6063458324081847</v>
          </cell>
          <cell r="J44">
            <v>579.20099732616302</v>
          </cell>
          <cell r="K44">
            <v>0</v>
          </cell>
        </row>
        <row r="45">
          <cell r="E45">
            <v>38.427516652536532</v>
          </cell>
          <cell r="F45">
            <v>512.67930753506062</v>
          </cell>
          <cell r="G45">
            <v>243.68669096730486</v>
          </cell>
          <cell r="I45">
            <v>0</v>
          </cell>
          <cell r="J45">
            <v>147.1492710841033</v>
          </cell>
          <cell r="K45">
            <v>1021.6095890552396</v>
          </cell>
        </row>
        <row r="46">
          <cell r="E46">
            <v>3.7812909352111514</v>
          </cell>
          <cell r="F46">
            <v>43.97805761604274</v>
          </cell>
          <cell r="G46">
            <v>27.126652361297392</v>
          </cell>
          <cell r="I46">
            <v>0</v>
          </cell>
          <cell r="J46">
            <v>28.03087410667397</v>
          </cell>
          <cell r="K46">
            <v>120.83690597305201</v>
          </cell>
        </row>
        <row r="47">
          <cell r="E47">
            <v>4.6991779028349079</v>
          </cell>
          <cell r="F47">
            <v>35.079909460697799</v>
          </cell>
          <cell r="G47">
            <v>0</v>
          </cell>
          <cell r="I47">
            <v>0.13551117673291363</v>
          </cell>
          <cell r="J47">
            <v>114.63808418776323</v>
          </cell>
          <cell r="K47">
            <v>10.928320704267227</v>
          </cell>
        </row>
        <row r="48">
          <cell r="E48">
            <v>8.1966584492510197</v>
          </cell>
          <cell r="F48">
            <v>146.42212593434778</v>
          </cell>
          <cell r="G48">
            <v>0</v>
          </cell>
          <cell r="I48">
            <v>1.2419179468562151</v>
          </cell>
          <cell r="J48">
            <v>422.2521019311132</v>
          </cell>
          <cell r="K48">
            <v>0</v>
          </cell>
        </row>
        <row r="49">
          <cell r="E49">
            <v>304</v>
          </cell>
          <cell r="F49">
            <v>2139</v>
          </cell>
          <cell r="G49">
            <v>0</v>
          </cell>
          <cell r="I49">
            <v>56</v>
          </cell>
          <cell r="J49">
            <v>454</v>
          </cell>
          <cell r="K49">
            <v>0</v>
          </cell>
        </row>
        <row r="50">
          <cell r="E50">
            <v>1.8624254212942652</v>
          </cell>
          <cell r="F50">
            <v>4.9959561926218665</v>
          </cell>
          <cell r="G50">
            <v>2.1604134887013475</v>
          </cell>
          <cell r="I50">
            <v>1.7693041502295519</v>
          </cell>
          <cell r="J50">
            <v>0</v>
          </cell>
          <cell r="K50">
            <v>3.026441309603181</v>
          </cell>
        </row>
        <row r="51">
          <cell r="E51">
            <v>0</v>
          </cell>
          <cell r="F51">
            <v>1.6541353383458646</v>
          </cell>
          <cell r="G51">
            <v>9.9097744360902258</v>
          </cell>
          <cell r="I51">
            <v>3.007518796992481</v>
          </cell>
          <cell r="J51">
            <v>44.81203007518797</v>
          </cell>
          <cell r="K51">
            <v>15.473684210526315</v>
          </cell>
        </row>
        <row r="52">
          <cell r="E52">
            <v>0</v>
          </cell>
          <cell r="F52">
            <v>34.523474210297962</v>
          </cell>
          <cell r="G52">
            <v>0</v>
          </cell>
          <cell r="I52">
            <v>0</v>
          </cell>
          <cell r="J52">
            <v>8.4705999999999992</v>
          </cell>
          <cell r="K52">
            <v>0</v>
          </cell>
        </row>
        <row r="53">
          <cell r="E53">
            <v>2.2949473478961178</v>
          </cell>
          <cell r="F53">
            <v>13.441834466248691</v>
          </cell>
          <cell r="G53">
            <v>12.021152774693951</v>
          </cell>
          <cell r="I53">
            <v>0</v>
          </cell>
          <cell r="J53">
            <v>56.827267662189584</v>
          </cell>
          <cell r="K53">
            <v>0</v>
          </cell>
        </row>
        <row r="54">
          <cell r="E54">
            <v>1.9079429880765493</v>
          </cell>
          <cell r="F54">
            <v>9.0525805604483107</v>
          </cell>
          <cell r="G54">
            <v>0</v>
          </cell>
          <cell r="I54">
            <v>3.2475625328962539E-2</v>
          </cell>
          <cell r="J54">
            <v>20.297265830601589</v>
          </cell>
          <cell r="K54">
            <v>0</v>
          </cell>
        </row>
        <row r="55">
          <cell r="E55">
            <v>0.11675143395921074</v>
          </cell>
          <cell r="F55">
            <v>18.271599414616482</v>
          </cell>
          <cell r="G55">
            <v>24.284298263515833</v>
          </cell>
          <cell r="I55">
            <v>5.822977768715635</v>
          </cell>
          <cell r="J55">
            <v>25.043182584250701</v>
          </cell>
          <cell r="K55">
            <v>0</v>
          </cell>
        </row>
        <row r="56">
          <cell r="E56">
            <v>0.33243433</v>
          </cell>
          <cell r="F56">
            <v>0.91576081099999995</v>
          </cell>
          <cell r="G56">
            <v>0</v>
          </cell>
          <cell r="I56">
            <v>0.78287837800000004</v>
          </cell>
          <cell r="J56">
            <v>0.23629729190000001</v>
          </cell>
          <cell r="K56">
            <v>0</v>
          </cell>
        </row>
        <row r="57">
          <cell r="E57">
            <v>1.5966276548934419</v>
          </cell>
          <cell r="F57">
            <v>6.008390723206122</v>
          </cell>
          <cell r="G57">
            <v>5.7373683697402944</v>
          </cell>
          <cell r="I57">
            <v>2.6446536104326701</v>
          </cell>
          <cell r="J57">
            <v>14.206816915547396</v>
          </cell>
          <cell r="K57">
            <v>1.0928320704267227</v>
          </cell>
        </row>
        <row r="58">
          <cell r="E58">
            <v>0.70761690517133902</v>
          </cell>
          <cell r="F58">
            <v>9.6842900000000007</v>
          </cell>
          <cell r="G58">
            <v>0</v>
          </cell>
          <cell r="I58">
            <v>6.4199944000000002</v>
          </cell>
          <cell r="J58">
            <v>2.5410200000000001</v>
          </cell>
          <cell r="K58">
            <v>0</v>
          </cell>
        </row>
        <row r="59">
          <cell r="E59">
            <v>2.1328006607137996E-2</v>
          </cell>
          <cell r="F59">
            <v>0.86121019782615837</v>
          </cell>
          <cell r="G59">
            <v>0</v>
          </cell>
          <cell r="I59">
            <v>0</v>
          </cell>
          <cell r="J59">
            <v>0.91931062961801713</v>
          </cell>
          <cell r="K59">
            <v>0</v>
          </cell>
        </row>
        <row r="60">
          <cell r="E60">
            <v>2.2863227953839709</v>
          </cell>
          <cell r="F60">
            <v>21.148485857301733</v>
          </cell>
          <cell r="G60">
            <v>2.8579034942299635</v>
          </cell>
          <cell r="I60">
            <v>4.5726455907679417</v>
          </cell>
          <cell r="J60">
            <v>2.2863227953839709</v>
          </cell>
          <cell r="K60">
            <v>0</v>
          </cell>
        </row>
        <row r="61">
          <cell r="E61">
            <v>4.0163261841927023</v>
          </cell>
          <cell r="F61">
            <v>21.901980198691138</v>
          </cell>
          <cell r="G61">
            <v>2.0803991745458603</v>
          </cell>
          <cell r="I61">
            <v>0.9535162883335192</v>
          </cell>
          <cell r="J61">
            <v>10.199734841870674</v>
          </cell>
          <cell r="K61">
            <v>0</v>
          </cell>
        </row>
        <row r="62">
          <cell r="E62">
            <v>0.2311060355223796</v>
          </cell>
          <cell r="F62">
            <v>2.4101057990876908</v>
          </cell>
          <cell r="G62">
            <v>0</v>
          </cell>
          <cell r="I62">
            <v>0.2311060355223796</v>
          </cell>
          <cell r="J62">
            <v>0.81745506280750724</v>
          </cell>
          <cell r="K62">
            <v>0</v>
          </cell>
        </row>
        <row r="63">
          <cell r="E63">
            <v>0.57158069884599272</v>
          </cell>
          <cell r="F63">
            <v>2.0233956739148145</v>
          </cell>
          <cell r="G63">
            <v>2.503523460945448</v>
          </cell>
          <cell r="I63">
            <v>0.36581164726143534</v>
          </cell>
          <cell r="J63">
            <v>1.6004259567687795</v>
          </cell>
          <cell r="K63">
            <v>0</v>
          </cell>
        </row>
        <row r="64">
          <cell r="E64">
            <v>0.2286322795383971</v>
          </cell>
          <cell r="F64">
            <v>3.315168053306758</v>
          </cell>
          <cell r="G64">
            <v>5.2145883075488326</v>
          </cell>
          <cell r="I64">
            <v>0</v>
          </cell>
          <cell r="J64">
            <v>2.8579034942299635</v>
          </cell>
          <cell r="K64">
            <v>1.2574775374611842</v>
          </cell>
        </row>
        <row r="65">
          <cell r="E65">
            <v>0.76498244929870585</v>
          </cell>
          <cell r="F65">
            <v>33.222094940972369</v>
          </cell>
          <cell r="G65">
            <v>34.970626253655126</v>
          </cell>
          <cell r="I65">
            <v>0</v>
          </cell>
          <cell r="J65">
            <v>33.440661355057721</v>
          </cell>
          <cell r="K65">
            <v>0</v>
          </cell>
        </row>
        <row r="66">
          <cell r="E66">
            <v>0.31570903379703813</v>
          </cell>
          <cell r="F66">
            <v>38.895352963795098</v>
          </cell>
          <cell r="G66">
            <v>0</v>
          </cell>
          <cell r="I66">
            <v>3.851650212323865</v>
          </cell>
          <cell r="J66">
            <v>3.9463629224629799</v>
          </cell>
          <cell r="K66">
            <v>0</v>
          </cell>
        </row>
        <row r="67">
          <cell r="E67">
            <v>0</v>
          </cell>
          <cell r="F67">
            <v>0</v>
          </cell>
          <cell r="G67">
            <v>0</v>
          </cell>
          <cell r="I67">
            <v>4.9413283727615402</v>
          </cell>
          <cell r="J67">
            <v>12.807923142197911</v>
          </cell>
          <cell r="K67">
            <v>0</v>
          </cell>
        </row>
        <row r="68">
          <cell r="E68">
            <v>1.8290582363071768</v>
          </cell>
          <cell r="F68">
            <v>5.3728585691523305</v>
          </cell>
          <cell r="G68">
            <v>9.0309750417666859</v>
          </cell>
          <cell r="I68">
            <v>0</v>
          </cell>
          <cell r="J68">
            <v>14.861098169995811</v>
          </cell>
          <cell r="K68">
            <v>0</v>
          </cell>
        </row>
        <row r="69">
          <cell r="E69">
            <v>0.18290582363071767</v>
          </cell>
          <cell r="F69">
            <v>2.3320492512916506</v>
          </cell>
          <cell r="G69">
            <v>1.4060885191611421</v>
          </cell>
          <cell r="I69">
            <v>0</v>
          </cell>
          <cell r="J69">
            <v>4.5840772047448617</v>
          </cell>
          <cell r="K69">
            <v>0</v>
          </cell>
        </row>
        <row r="70">
          <cell r="E70">
            <v>0.11431613976919908</v>
          </cell>
          <cell r="F70">
            <v>4.0010648919219678</v>
          </cell>
          <cell r="G70">
            <v>0</v>
          </cell>
          <cell r="I70">
            <v>0.68589683861519435</v>
          </cell>
          <cell r="J70">
            <v>2.6292712146915784</v>
          </cell>
          <cell r="K70">
            <v>0.11431613976919908</v>
          </cell>
        </row>
        <row r="71">
          <cell r="E71">
            <v>0.8349841230760352</v>
          </cell>
          <cell r="F71">
            <v>18.248811267466294</v>
          </cell>
          <cell r="G71">
            <v>34.112156247618515</v>
          </cell>
          <cell r="I71">
            <v>0</v>
          </cell>
          <cell r="J71">
            <v>23.420286378961965</v>
          </cell>
          <cell r="K71">
            <v>0</v>
          </cell>
        </row>
        <row r="72">
          <cell r="E72">
            <v>2.6975353066185432</v>
          </cell>
          <cell r="F72">
            <v>29.257882941016504</v>
          </cell>
          <cell r="G72">
            <v>0</v>
          </cell>
          <cell r="I72">
            <v>0</v>
          </cell>
          <cell r="J72">
            <v>42.953062190002953</v>
          </cell>
          <cell r="K72">
            <v>0</v>
          </cell>
        </row>
        <row r="73">
          <cell r="E73">
            <v>1.7213831286474848</v>
          </cell>
          <cell r="F73">
            <v>16.476095659911639</v>
          </cell>
          <cell r="G73">
            <v>3.8116340705765732</v>
          </cell>
          <cell r="I73">
            <v>2.582074692971227</v>
          </cell>
          <cell r="J73">
            <v>3.0124204751330983</v>
          </cell>
          <cell r="K73">
            <v>0</v>
          </cell>
        </row>
        <row r="74">
          <cell r="E74">
            <v>1.9136139057485111</v>
          </cell>
          <cell r="F74">
            <v>1.9107240440017739</v>
          </cell>
          <cell r="G74">
            <v>0.10508588169953384</v>
          </cell>
          <cell r="I74">
            <v>0.98649371445437384</v>
          </cell>
          <cell r="J74">
            <v>0</v>
          </cell>
          <cell r="K74">
            <v>0</v>
          </cell>
        </row>
        <row r="75">
          <cell r="E75">
            <v>0.17</v>
          </cell>
          <cell r="F75">
            <v>0.61793399999999998</v>
          </cell>
          <cell r="G75">
            <v>0.40684985167435311</v>
          </cell>
          <cell r="I75">
            <v>0</v>
          </cell>
          <cell r="J75">
            <v>0</v>
          </cell>
          <cell r="K75">
            <v>0</v>
          </cell>
        </row>
        <row r="76">
          <cell r="E76">
            <v>1.7694150329493317</v>
          </cell>
          <cell r="F76">
            <v>4.4197489986439065</v>
          </cell>
          <cell r="G76">
            <v>0</v>
          </cell>
          <cell r="I76">
            <v>0</v>
          </cell>
          <cell r="J76">
            <v>6.6270225953158493</v>
          </cell>
          <cell r="K76">
            <v>0</v>
          </cell>
        </row>
        <row r="77">
          <cell r="E77">
            <v>2.2057463058752034</v>
          </cell>
          <cell r="F77">
            <v>36.551000742826218</v>
          </cell>
          <cell r="G77">
            <v>0</v>
          </cell>
          <cell r="I77">
            <v>0</v>
          </cell>
          <cell r="J77">
            <v>19.202967839384122</v>
          </cell>
          <cell r="K77">
            <v>9.8869334416288517</v>
          </cell>
        </row>
        <row r="78">
          <cell r="E78">
            <v>6.6083475783839196</v>
          </cell>
          <cell r="F78">
            <v>149.92688568458519</v>
          </cell>
          <cell r="G78">
            <v>0</v>
          </cell>
          <cell r="I78">
            <v>10.325543091224874</v>
          </cell>
          <cell r="J78">
            <v>13.767390788299833</v>
          </cell>
          <cell r="K78">
            <v>0</v>
          </cell>
        </row>
        <row r="79">
          <cell r="E79">
            <v>14.693581842972383</v>
          </cell>
          <cell r="F79">
            <v>184.93134319538979</v>
          </cell>
          <cell r="G79">
            <v>63.07850791175013</v>
          </cell>
          <cell r="I79">
            <v>3.8589204840129492</v>
          </cell>
          <cell r="J79">
            <v>64.191658051369245</v>
          </cell>
          <cell r="K79">
            <v>0</v>
          </cell>
        </row>
        <row r="80">
          <cell r="E80">
            <v>16.004259567687797</v>
          </cell>
          <cell r="F80">
            <v>117.51699168273612</v>
          </cell>
          <cell r="G80">
            <v>64.588618969597178</v>
          </cell>
          <cell r="I80">
            <v>24.006389351531695</v>
          </cell>
          <cell r="J80">
            <v>377.81484193720121</v>
          </cell>
          <cell r="K80">
            <v>0</v>
          </cell>
        </row>
        <row r="81">
          <cell r="E81">
            <v>26.292712146915786</v>
          </cell>
          <cell r="F81">
            <v>289.21983361607363</v>
          </cell>
          <cell r="G81">
            <v>0</v>
          </cell>
          <cell r="I81">
            <v>228.63227953839814</v>
          </cell>
          <cell r="J81">
            <v>937.39234610743233</v>
          </cell>
          <cell r="K81">
            <v>0</v>
          </cell>
        </row>
        <row r="82">
          <cell r="E82">
            <v>7.4305490849979057</v>
          </cell>
          <cell r="F82">
            <v>84.022362730360939</v>
          </cell>
          <cell r="G82">
            <v>8.0021297838438983</v>
          </cell>
          <cell r="I82">
            <v>3.7152745424989528</v>
          </cell>
          <cell r="J82">
            <v>605.87554077675236</v>
          </cell>
          <cell r="K82">
            <v>0</v>
          </cell>
        </row>
        <row r="83">
          <cell r="E83">
            <v>47.578957832688324</v>
          </cell>
          <cell r="F83">
            <v>512.67930753506062</v>
          </cell>
          <cell r="G83">
            <v>242.55939287252869</v>
          </cell>
          <cell r="I83">
            <v>0</v>
          </cell>
          <cell r="J83">
            <v>146.46855646533464</v>
          </cell>
          <cell r="K83">
            <v>1016.8836085809857</v>
          </cell>
        </row>
        <row r="84">
          <cell r="E84">
            <v>4.2592659923636838</v>
          </cell>
          <cell r="F84">
            <v>51.111191908364205</v>
          </cell>
          <cell r="G84">
            <v>27.559956421176778</v>
          </cell>
          <cell r="I84">
            <v>0</v>
          </cell>
          <cell r="J84">
            <v>59.212148795801021</v>
          </cell>
          <cell r="K84">
            <v>104.39377432263932</v>
          </cell>
        </row>
        <row r="85">
          <cell r="E85">
            <v>6.0587554077675225</v>
          </cell>
          <cell r="F85">
            <v>37.495693844297122</v>
          </cell>
          <cell r="G85">
            <v>0</v>
          </cell>
          <cell r="I85">
            <v>0.68589683861519124</v>
          </cell>
          <cell r="J85">
            <v>164.6152412676459</v>
          </cell>
          <cell r="K85">
            <v>11.431613976919854</v>
          </cell>
        </row>
        <row r="86">
          <cell r="E86">
            <v>40.752852274615869</v>
          </cell>
          <cell r="F86">
            <v>200.68857440895744</v>
          </cell>
          <cell r="G86">
            <v>5.126144940203254</v>
          </cell>
          <cell r="I86">
            <v>1.2815362350508135</v>
          </cell>
          <cell r="J86">
            <v>435.72231991727654</v>
          </cell>
          <cell r="K86">
            <v>0</v>
          </cell>
        </row>
        <row r="87">
          <cell r="E87">
            <v>304</v>
          </cell>
          <cell r="F87">
            <v>2145</v>
          </cell>
          <cell r="G87">
            <v>18</v>
          </cell>
          <cell r="I87">
            <v>56</v>
          </cell>
          <cell r="J87">
            <v>454</v>
          </cell>
          <cell r="K87">
            <v>0</v>
          </cell>
        </row>
        <row r="88">
          <cell r="E88">
            <v>1.8317719358641744</v>
          </cell>
          <cell r="F88">
            <v>4.9137282179556481</v>
          </cell>
          <cell r="G88">
            <v>2.1248554456024422</v>
          </cell>
          <cell r="I88">
            <v>1.7401833390709658</v>
          </cell>
          <cell r="J88">
            <v>0</v>
          </cell>
          <cell r="K88">
            <v>2.9766293957792835</v>
          </cell>
        </row>
        <row r="89">
          <cell r="E89">
            <v>1.9527090644843794</v>
          </cell>
          <cell r="F89">
            <v>2.9507603641097289</v>
          </cell>
          <cell r="G89">
            <v>9.6189002065341658</v>
          </cell>
          <cell r="I89">
            <v>2.8929023177546362</v>
          </cell>
          <cell r="J89">
            <v>66.204069541814846</v>
          </cell>
          <cell r="K89">
            <v>15.3179177725108</v>
          </cell>
        </row>
        <row r="90">
          <cell r="E90">
            <v>2.0576905158455738</v>
          </cell>
          <cell r="F90">
            <v>34.523474210297962</v>
          </cell>
          <cell r="G90">
            <v>0</v>
          </cell>
          <cell r="I90">
            <v>0</v>
          </cell>
          <cell r="J90">
            <v>10.288452579227869</v>
          </cell>
          <cell r="K90">
            <v>0</v>
          </cell>
        </row>
        <row r="91">
          <cell r="E91">
            <v>3.7724326123835521</v>
          </cell>
          <cell r="F91">
            <v>16.118575707456994</v>
          </cell>
          <cell r="G91">
            <v>18.404898502840968</v>
          </cell>
          <cell r="I91">
            <v>1.2574775374611842</v>
          </cell>
          <cell r="J91">
            <v>59.444392679983245</v>
          </cell>
          <cell r="K91">
            <v>0</v>
          </cell>
        </row>
        <row r="92">
          <cell r="E92">
            <v>2.5315222329475802</v>
          </cell>
          <cell r="F92">
            <v>8.0418167674423984</v>
          </cell>
          <cell r="G92">
            <v>1.5892575253152907</v>
          </cell>
          <cell r="I92">
            <v>4.3422336757248381E-2</v>
          </cell>
          <cell r="J92">
            <v>37.343209611233604</v>
          </cell>
          <cell r="K92">
            <v>0</v>
          </cell>
        </row>
        <row r="93">
          <cell r="E93">
            <v>0.12203599042794176</v>
          </cell>
          <cell r="F93">
            <v>19.922375437361492</v>
          </cell>
          <cell r="G93">
            <v>26.756390901326231</v>
          </cell>
          <cell r="I93">
            <v>8.9848997952572116</v>
          </cell>
          <cell r="J93">
            <v>21.707151797370141</v>
          </cell>
          <cell r="K93">
            <v>0</v>
          </cell>
        </row>
        <row r="94">
          <cell r="E94">
            <v>0.2629271214691567</v>
          </cell>
          <cell r="F94">
            <v>0.8116445923613097</v>
          </cell>
          <cell r="G94">
            <v>0</v>
          </cell>
          <cell r="I94">
            <v>0.98311880201510748</v>
          </cell>
          <cell r="J94">
            <v>0.34294841930759562</v>
          </cell>
          <cell r="K94">
            <v>0</v>
          </cell>
        </row>
        <row r="95">
          <cell r="E95">
            <v>1.4861098169995812</v>
          </cell>
          <cell r="F95">
            <v>5.3728585691523323</v>
          </cell>
          <cell r="G95">
            <v>4.9155940100755373</v>
          </cell>
          <cell r="I95">
            <v>2.7664505824146048</v>
          </cell>
          <cell r="J95">
            <v>14.746782030226614</v>
          </cell>
          <cell r="K95">
            <v>1.1431613976919854</v>
          </cell>
        </row>
        <row r="96">
          <cell r="E96">
            <v>0.34294841930759717</v>
          </cell>
          <cell r="F96">
            <v>12.917723793919494</v>
          </cell>
          <cell r="G96">
            <v>1.3717936772303887</v>
          </cell>
          <cell r="I96">
            <v>0</v>
          </cell>
          <cell r="J96">
            <v>2.9722196339991758</v>
          </cell>
          <cell r="K96">
            <v>0</v>
          </cell>
        </row>
        <row r="97">
          <cell r="E97">
            <v>2.1328006607137996E-2</v>
          </cell>
          <cell r="F97">
            <v>0.86121019782615837</v>
          </cell>
          <cell r="G97">
            <v>0</v>
          </cell>
          <cell r="I97">
            <v>0</v>
          </cell>
          <cell r="J97">
            <v>0.91931062961801713</v>
          </cell>
          <cell r="K97">
            <v>0</v>
          </cell>
        </row>
        <row r="98">
          <cell r="E98">
            <v>2.2863227953839709</v>
          </cell>
          <cell r="F98">
            <v>21.148485857301733</v>
          </cell>
          <cell r="G98">
            <v>2.8579034942299635</v>
          </cell>
          <cell r="I98">
            <v>4.5726455907679417</v>
          </cell>
          <cell r="J98">
            <v>2.2863227953839709</v>
          </cell>
          <cell r="K98">
            <v>0</v>
          </cell>
        </row>
        <row r="99">
          <cell r="E99">
            <v>4.0163261841927023</v>
          </cell>
          <cell r="F99">
            <v>21.901980198691138</v>
          </cell>
          <cell r="G99">
            <v>2.0803991745458603</v>
          </cell>
          <cell r="I99">
            <v>0.9535162883335192</v>
          </cell>
          <cell r="J99">
            <v>10.199734841870674</v>
          </cell>
          <cell r="K99">
            <v>0</v>
          </cell>
        </row>
        <row r="100">
          <cell r="E100">
            <v>0.2311060355223796</v>
          </cell>
          <cell r="F100">
            <v>2.4101057990876908</v>
          </cell>
          <cell r="G100">
            <v>0</v>
          </cell>
          <cell r="I100">
            <v>0.2311060355223796</v>
          </cell>
          <cell r="J100">
            <v>0.81745506280750724</v>
          </cell>
          <cell r="K100">
            <v>0</v>
          </cell>
        </row>
        <row r="101">
          <cell r="E101">
            <v>0.57158069884599272</v>
          </cell>
          <cell r="F101">
            <v>2.0233956739148145</v>
          </cell>
          <cell r="G101">
            <v>2.503523460945448</v>
          </cell>
          <cell r="I101">
            <v>0.36581164726143534</v>
          </cell>
          <cell r="J101">
            <v>1.6004259567687795</v>
          </cell>
          <cell r="K101">
            <v>0</v>
          </cell>
        </row>
        <row r="102">
          <cell r="E102">
            <v>0.2286322795383971</v>
          </cell>
          <cell r="F102">
            <v>3.315168053306758</v>
          </cell>
          <cell r="G102">
            <v>5.2145883075488326</v>
          </cell>
          <cell r="I102">
            <v>0</v>
          </cell>
          <cell r="J102">
            <v>2.8579034942299635</v>
          </cell>
          <cell r="K102">
            <v>1.2574775374611842</v>
          </cell>
        </row>
        <row r="103">
          <cell r="E103">
            <v>4.2296971714603462</v>
          </cell>
          <cell r="F103">
            <v>36.46684858637434</v>
          </cell>
          <cell r="G103">
            <v>14.342119011356546</v>
          </cell>
          <cell r="I103">
            <v>0</v>
          </cell>
          <cell r="J103">
            <v>37.724326123835517</v>
          </cell>
          <cell r="K103">
            <v>0</v>
          </cell>
        </row>
        <row r="104">
          <cell r="E104">
            <v>0.51484322249598913</v>
          </cell>
          <cell r="F104">
            <v>37.133067422523219</v>
          </cell>
          <cell r="G104">
            <v>0</v>
          </cell>
          <cell r="I104">
            <v>3.9256795715319166</v>
          </cell>
          <cell r="J104">
            <v>4.0222126757499153</v>
          </cell>
          <cell r="K104">
            <v>0</v>
          </cell>
        </row>
        <row r="105">
          <cell r="E105">
            <v>0</v>
          </cell>
          <cell r="F105">
            <v>0</v>
          </cell>
          <cell r="G105">
            <v>0</v>
          </cell>
          <cell r="I105">
            <v>5.3242412078748709</v>
          </cell>
          <cell r="J105">
            <v>13.800433210811665</v>
          </cell>
          <cell r="K105">
            <v>0</v>
          </cell>
        </row>
        <row r="106">
          <cell r="E106">
            <v>1.8290582363071768</v>
          </cell>
          <cell r="F106">
            <v>5.3728585691523305</v>
          </cell>
          <cell r="G106">
            <v>9.0309750417666859</v>
          </cell>
          <cell r="I106">
            <v>0</v>
          </cell>
          <cell r="J106">
            <v>14.861098169995811</v>
          </cell>
          <cell r="K106">
            <v>0</v>
          </cell>
        </row>
        <row r="107">
          <cell r="E107">
            <v>0.18290582363071767</v>
          </cell>
          <cell r="F107">
            <v>2.3320492512916506</v>
          </cell>
          <cell r="G107">
            <v>1.4060885191611421</v>
          </cell>
          <cell r="I107">
            <v>0</v>
          </cell>
          <cell r="J107">
            <v>4.5840772047448617</v>
          </cell>
          <cell r="K107">
            <v>0</v>
          </cell>
        </row>
        <row r="108">
          <cell r="E108">
            <v>0.11431613976919908</v>
          </cell>
          <cell r="F108">
            <v>4.0010648919219678</v>
          </cell>
          <cell r="G108">
            <v>0</v>
          </cell>
          <cell r="I108">
            <v>0.68589683861519435</v>
          </cell>
          <cell r="J108">
            <v>2.6292712146915784</v>
          </cell>
          <cell r="K108">
            <v>0.11431613976919908</v>
          </cell>
        </row>
        <row r="109">
          <cell r="E109">
            <v>1.5449973683666396</v>
          </cell>
          <cell r="F109">
            <v>18.248811267466294</v>
          </cell>
          <cell r="G109">
            <v>34.272828946161376</v>
          </cell>
          <cell r="I109">
            <v>1.272990789428851</v>
          </cell>
          <cell r="J109">
            <v>27.200657893778867</v>
          </cell>
          <cell r="K109">
            <v>0</v>
          </cell>
        </row>
        <row r="110">
          <cell r="E110">
            <v>2.7773796194155169</v>
          </cell>
          <cell r="F110">
            <v>30.978464985788456</v>
          </cell>
          <cell r="G110">
            <v>0</v>
          </cell>
          <cell r="I110">
            <v>1.014811784017208</v>
          </cell>
          <cell r="J110">
            <v>44.197723751275774</v>
          </cell>
          <cell r="K110">
            <v>0</v>
          </cell>
        </row>
        <row r="111">
          <cell r="E111">
            <v>1.746749645278554</v>
          </cell>
          <cell r="F111">
            <v>18.839942602647263</v>
          </cell>
          <cell r="G111">
            <v>5.6145524312524948</v>
          </cell>
          <cell r="I111">
            <v>0</v>
          </cell>
          <cell r="J111">
            <v>0</v>
          </cell>
          <cell r="K111">
            <v>5.6145524312524948</v>
          </cell>
        </row>
        <row r="112">
          <cell r="E112">
            <v>2.366534055873502</v>
          </cell>
          <cell r="F112">
            <v>4.6836777473482227</v>
          </cell>
          <cell r="G112">
            <v>0.10508588169953384</v>
          </cell>
          <cell r="I112">
            <v>0.92028960898366752</v>
          </cell>
          <cell r="J112">
            <v>5.9938359774371612</v>
          </cell>
          <cell r="K112">
            <v>0</v>
          </cell>
        </row>
        <row r="113">
          <cell r="E113">
            <v>0.19652916563930617</v>
          </cell>
          <cell r="F113">
            <v>0.65509721879768712</v>
          </cell>
          <cell r="G113">
            <v>0.40684985167435311</v>
          </cell>
          <cell r="I113">
            <v>0</v>
          </cell>
          <cell r="J113">
            <v>0</v>
          </cell>
          <cell r="K113">
            <v>0</v>
          </cell>
        </row>
        <row r="114">
          <cell r="E114">
            <v>1.7694150329493317</v>
          </cell>
          <cell r="F114">
            <v>4.4197489986439065</v>
          </cell>
          <cell r="G114">
            <v>0</v>
          </cell>
          <cell r="I114">
            <v>0</v>
          </cell>
          <cell r="J114">
            <v>6.6270225953158493</v>
          </cell>
          <cell r="K114">
            <v>0</v>
          </cell>
        </row>
        <row r="115">
          <cell r="E115">
            <v>2.169577558058819</v>
          </cell>
          <cell r="F115">
            <v>36.551000742826218</v>
          </cell>
          <cell r="G115">
            <v>0</v>
          </cell>
          <cell r="I115">
            <v>10.209776743806207</v>
          </cell>
          <cell r="J115">
            <v>18.888086976041485</v>
          </cell>
          <cell r="K115">
            <v>0</v>
          </cell>
        </row>
        <row r="116">
          <cell r="E116">
            <v>11.460913817997604</v>
          </cell>
          <cell r="F116">
            <v>206.98686521901701</v>
          </cell>
          <cell r="G116">
            <v>0</v>
          </cell>
          <cell r="I116">
            <v>10.356247425901449</v>
          </cell>
          <cell r="J116">
            <v>13.808329901201931</v>
          </cell>
          <cell r="K116">
            <v>0</v>
          </cell>
        </row>
        <row r="117">
          <cell r="E117">
            <v>39.211353864005552</v>
          </cell>
          <cell r="F117">
            <v>200.89308431274193</v>
          </cell>
          <cell r="G117">
            <v>63.244119135492831</v>
          </cell>
          <cell r="I117">
            <v>3.8690519941713259</v>
          </cell>
          <cell r="J117">
            <v>62.053641598824733</v>
          </cell>
          <cell r="K117">
            <v>0</v>
          </cell>
        </row>
        <row r="118">
          <cell r="E118">
            <v>20.261088762075122</v>
          </cell>
          <cell r="F118">
            <v>177.79674520427716</v>
          </cell>
          <cell r="G118">
            <v>62.604487747984926</v>
          </cell>
          <cell r="I118">
            <v>23.903531685594242</v>
          </cell>
          <cell r="J118">
            <v>380.74911184910832</v>
          </cell>
          <cell r="K118">
            <v>0</v>
          </cell>
        </row>
        <row r="119">
          <cell r="E119">
            <v>45.530536543989193</v>
          </cell>
          <cell r="F119">
            <v>372.21213624711163</v>
          </cell>
          <cell r="G119">
            <v>0</v>
          </cell>
          <cell r="I119">
            <v>113.82634135997297</v>
          </cell>
          <cell r="J119">
            <v>940.54705865745666</v>
          </cell>
          <cell r="K119">
            <v>0</v>
          </cell>
        </row>
        <row r="120">
          <cell r="E120">
            <v>10.813502429197396</v>
          </cell>
          <cell r="F120">
            <v>116.6719998939719</v>
          </cell>
          <cell r="G120">
            <v>7.9678438951980812</v>
          </cell>
          <cell r="I120">
            <v>3.6993560941991093</v>
          </cell>
          <cell r="J120">
            <v>659.05451647424127</v>
          </cell>
          <cell r="K120">
            <v>0</v>
          </cell>
        </row>
        <row r="121">
          <cell r="E121">
            <v>89.837276369187336</v>
          </cell>
          <cell r="F121">
            <v>692.49567201248567</v>
          </cell>
          <cell r="G121">
            <v>243.30929016654903</v>
          </cell>
          <cell r="I121">
            <v>0</v>
          </cell>
          <cell r="J121">
            <v>146.92137906210846</v>
          </cell>
          <cell r="K121">
            <v>1281.1169932230987</v>
          </cell>
        </row>
        <row r="122">
          <cell r="E122">
            <v>4.3138686179866008</v>
          </cell>
          <cell r="F122">
            <v>51.766423415839213</v>
          </cell>
          <cell r="G122">
            <v>27.913267528148594</v>
          </cell>
          <cell r="I122">
            <v>0</v>
          </cell>
          <cell r="J122">
            <v>59.971232355931377</v>
          </cell>
          <cell r="K122">
            <v>105.73207397025983</v>
          </cell>
        </row>
        <row r="123">
          <cell r="E123">
            <v>5.0083590198387942</v>
          </cell>
          <cell r="F123">
            <v>47.465584347108575</v>
          </cell>
          <cell r="G123">
            <v>0.614662243343852</v>
          </cell>
          <cell r="I123">
            <v>0.72735032129022481</v>
          </cell>
          <cell r="J123">
            <v>171.4224700881187</v>
          </cell>
          <cell r="K123">
            <v>11.382634135997259</v>
          </cell>
        </row>
        <row r="124">
          <cell r="E124">
            <v>203.99190920386684</v>
          </cell>
          <cell r="F124">
            <v>236.06610876422326</v>
          </cell>
          <cell r="G124">
            <v>8.9646020405534159</v>
          </cell>
          <cell r="I124">
            <v>1.2806574343647736</v>
          </cell>
          <cell r="J124">
            <v>435.42352768402304</v>
          </cell>
          <cell r="K124">
            <v>0</v>
          </cell>
        </row>
        <row r="125">
          <cell r="E125">
            <v>483.8</v>
          </cell>
          <cell r="F125">
            <v>3019.5</v>
          </cell>
          <cell r="G125">
            <v>18</v>
          </cell>
          <cell r="I125">
            <v>56</v>
          </cell>
          <cell r="J125">
            <v>454</v>
          </cell>
          <cell r="K125">
            <v>0</v>
          </cell>
        </row>
        <row r="126">
          <cell r="E126">
            <v>2.3467494518181224</v>
          </cell>
          <cell r="F126">
            <v>4.8812388597816945</v>
          </cell>
          <cell r="G126">
            <v>4.3180189913453448</v>
          </cell>
          <cell r="I126">
            <v>1.8445450691290441</v>
          </cell>
          <cell r="J126">
            <v>1.1504704512593162</v>
          </cell>
          <cell r="K126">
            <v>10.593227025507003</v>
          </cell>
        </row>
        <row r="127">
          <cell r="E127">
            <v>2.0161373147465773</v>
          </cell>
          <cell r="F127">
            <v>5.5940711409165607</v>
          </cell>
          <cell r="G127">
            <v>9.86771432217515</v>
          </cell>
          <cell r="I127">
            <v>2.9816115218083188</v>
          </cell>
          <cell r="J127">
            <v>43.44633931777836</v>
          </cell>
          <cell r="K127">
            <v>17.548913528357534</v>
          </cell>
        </row>
        <row r="128">
          <cell r="E128">
            <v>2.0488741444795067</v>
          </cell>
          <cell r="F128">
            <v>34.375555090711721</v>
          </cell>
          <cell r="G128">
            <v>0</v>
          </cell>
          <cell r="I128">
            <v>0</v>
          </cell>
          <cell r="J128">
            <v>10.244370722397534</v>
          </cell>
          <cell r="K128">
            <v>0</v>
          </cell>
        </row>
        <row r="129">
          <cell r="E129">
            <v>9.2199336501577793</v>
          </cell>
          <cell r="F129">
            <v>27.31832192639342</v>
          </cell>
          <cell r="G129">
            <v>15.708035107676219</v>
          </cell>
          <cell r="I129">
            <v>1.1382634135997258</v>
          </cell>
          <cell r="J129">
            <v>59.189697507185748</v>
          </cell>
          <cell r="K129">
            <v>0</v>
          </cell>
        </row>
        <row r="130">
          <cell r="E130">
            <v>2.8588123511436292</v>
          </cell>
          <cell r="F130">
            <v>10.207591247777104</v>
          </cell>
          <cell r="G130">
            <v>1.5581815067044105</v>
          </cell>
          <cell r="I130">
            <v>4.2925110377531973E-2</v>
          </cell>
          <cell r="J130">
            <v>37.087295366187625</v>
          </cell>
          <cell r="K130">
            <v>0</v>
          </cell>
        </row>
        <row r="131">
          <cell r="E131">
            <v>0.12194282455131972</v>
          </cell>
          <cell r="F131">
            <v>17.853451945922409</v>
          </cell>
          <cell r="G131">
            <v>26.73596428287685</v>
          </cell>
          <cell r="I131">
            <v>8.7010778173287289</v>
          </cell>
          <cell r="J131">
            <v>6.0838799453960295</v>
          </cell>
          <cell r="K131">
            <v>0</v>
          </cell>
        </row>
        <row r="132">
          <cell r="E132">
            <v>0.26180058512793697</v>
          </cell>
          <cell r="F132">
            <v>0.80589049682860592</v>
          </cell>
          <cell r="G132">
            <v>0</v>
          </cell>
          <cell r="I132">
            <v>0.97890653569576425</v>
          </cell>
          <cell r="J132">
            <v>0.34147902407991776</v>
          </cell>
          <cell r="K132">
            <v>0</v>
          </cell>
        </row>
        <row r="133">
          <cell r="E133">
            <v>2.105787315159493</v>
          </cell>
          <cell r="F133">
            <v>5.8051434093586014</v>
          </cell>
          <cell r="G133">
            <v>4.8376195077988351</v>
          </cell>
          <cell r="I133">
            <v>2.7545974609113366</v>
          </cell>
          <cell r="J133">
            <v>14.683598035436464</v>
          </cell>
          <cell r="K133">
            <v>1.1382634135997258</v>
          </cell>
        </row>
        <row r="134">
          <cell r="E134">
            <v>0.70761690517133902</v>
          </cell>
          <cell r="F134">
            <v>20.506029151798835</v>
          </cell>
          <cell r="G134">
            <v>1.7913339101833412</v>
          </cell>
          <cell r="I134">
            <v>6.41999440943819</v>
          </cell>
          <cell r="J134">
            <v>2.9127752413191792</v>
          </cell>
          <cell r="K134">
            <v>0</v>
          </cell>
        </row>
        <row r="135">
          <cell r="E135">
            <v>5.0270792906436608E-2</v>
          </cell>
          <cell r="F135">
            <v>0.85853416239471891</v>
          </cell>
          <cell r="G135">
            <v>0</v>
          </cell>
          <cell r="I135">
            <v>0</v>
          </cell>
          <cell r="J135">
            <v>0.91645405891835929</v>
          </cell>
          <cell r="K135">
            <v>0</v>
          </cell>
        </row>
        <row r="136">
          <cell r="E136">
            <v>3.0750000000000006</v>
          </cell>
          <cell r="F136">
            <v>19.310999999999996</v>
          </cell>
          <cell r="G136">
            <v>2.46</v>
          </cell>
          <cell r="I136">
            <v>3.69</v>
          </cell>
          <cell r="J136">
            <v>2.46</v>
          </cell>
          <cell r="K136">
            <v>0</v>
          </cell>
        </row>
        <row r="137">
          <cell r="E137">
            <v>4.4578519375602843</v>
          </cell>
          <cell r="F137">
            <v>22.433995140319613</v>
          </cell>
          <cell r="G137">
            <v>2.0841905162619514</v>
          </cell>
          <cell r="I137">
            <v>0.92630689611642281</v>
          </cell>
          <cell r="J137">
            <v>10.218322947784287</v>
          </cell>
          <cell r="K137">
            <v>0</v>
          </cell>
        </row>
        <row r="138">
          <cell r="E138">
            <v>0.23903531685594243</v>
          </cell>
          <cell r="F138">
            <v>2.3789705344234271</v>
          </cell>
          <cell r="G138">
            <v>0</v>
          </cell>
          <cell r="I138">
            <v>0.22765268271994518</v>
          </cell>
          <cell r="J138">
            <v>0.75125385297581915</v>
          </cell>
          <cell r="K138">
            <v>0</v>
          </cell>
        </row>
        <row r="139">
          <cell r="E139">
            <v>0.56913170679986291</v>
          </cell>
          <cell r="F139">
            <v>2.0181410323123141</v>
          </cell>
          <cell r="G139">
            <v>2.4927968757833998</v>
          </cell>
          <cell r="I139">
            <v>0.3642442923519123</v>
          </cell>
          <cell r="J139">
            <v>1.5935687790396162</v>
          </cell>
          <cell r="K139">
            <v>0</v>
          </cell>
        </row>
        <row r="140">
          <cell r="E140">
            <v>0.22765268271994518</v>
          </cell>
          <cell r="F140">
            <v>2.7318321926393425</v>
          </cell>
          <cell r="G140">
            <v>5.2360117025587387</v>
          </cell>
          <cell r="I140">
            <v>0.45530536543989036</v>
          </cell>
          <cell r="J140">
            <v>2.8456585339993148</v>
          </cell>
          <cell r="K140">
            <v>1.0244370722397533</v>
          </cell>
        </row>
        <row r="141">
          <cell r="E141">
            <v>6.7157541402383831</v>
          </cell>
          <cell r="F141">
            <v>33.806423383911863</v>
          </cell>
          <cell r="G141">
            <v>14.342119011356546</v>
          </cell>
          <cell r="I141">
            <v>0</v>
          </cell>
          <cell r="J141">
            <v>73.987121883982184</v>
          </cell>
          <cell r="K141">
            <v>0</v>
          </cell>
        </row>
        <row r="142">
          <cell r="E142">
            <v>2.5266611838450714</v>
          </cell>
          <cell r="F142">
            <v>37.381628284066828</v>
          </cell>
          <cell r="G142">
            <v>0</v>
          </cell>
          <cell r="I142">
            <v>1.619654605028892</v>
          </cell>
          <cell r="J142">
            <v>4.0491365125722298</v>
          </cell>
          <cell r="K142">
            <v>0</v>
          </cell>
        </row>
        <row r="143">
          <cell r="E143">
            <v>1.1414792455781</v>
          </cell>
          <cell r="F143">
            <v>12.207486376321347</v>
          </cell>
          <cell r="G143">
            <v>0</v>
          </cell>
          <cell r="I143">
            <v>5.4960111824130733</v>
          </cell>
          <cell r="J143">
            <v>8.2440167736196095</v>
          </cell>
          <cell r="K143">
            <v>0</v>
          </cell>
        </row>
        <row r="144">
          <cell r="E144">
            <v>2.5041795099193971</v>
          </cell>
          <cell r="F144">
            <v>8.3093229192779994</v>
          </cell>
          <cell r="G144">
            <v>8.9922809674378357</v>
          </cell>
          <cell r="I144">
            <v>0</v>
          </cell>
          <cell r="J144">
            <v>14.797424376796437</v>
          </cell>
          <cell r="K144">
            <v>0</v>
          </cell>
        </row>
        <row r="145">
          <cell r="E145">
            <v>0.153665560835963</v>
          </cell>
          <cell r="F145">
            <v>3.8135129008785356</v>
          </cell>
          <cell r="G145">
            <v>0.54465904340746885</v>
          </cell>
          <cell r="I145">
            <v>0</v>
          </cell>
          <cell r="J145">
            <v>4.5644362885349006</v>
          </cell>
          <cell r="K145">
            <v>0</v>
          </cell>
        </row>
        <row r="146">
          <cell r="E146">
            <v>0.45530536543989192</v>
          </cell>
          <cell r="F146">
            <v>2.3106747296074519</v>
          </cell>
          <cell r="G146">
            <v>0.1</v>
          </cell>
          <cell r="I146">
            <v>1</v>
          </cell>
          <cell r="J146">
            <v>2.5</v>
          </cell>
          <cell r="K146">
            <v>0</v>
          </cell>
        </row>
        <row r="147">
          <cell r="E147">
            <v>4.0762172736226612</v>
          </cell>
          <cell r="F147">
            <v>18.248811267466294</v>
          </cell>
          <cell r="G147">
            <v>36.259500442474554</v>
          </cell>
          <cell r="I147">
            <v>1.2663765826177678</v>
          </cell>
          <cell r="J147">
            <v>27.059328688413846</v>
          </cell>
          <cell r="K147">
            <v>0</v>
          </cell>
        </row>
        <row r="148">
          <cell r="E148">
            <v>3.1894478304486302</v>
          </cell>
          <cell r="F148">
            <v>36.300168907612672</v>
          </cell>
          <cell r="G148">
            <v>0</v>
          </cell>
          <cell r="I148">
            <v>0.85051942145296811</v>
          </cell>
          <cell r="J148">
            <v>44.014380060191094</v>
          </cell>
          <cell r="K148">
            <v>0</v>
          </cell>
        </row>
        <row r="149">
          <cell r="E149">
            <v>2.21544520875785</v>
          </cell>
          <cell r="F149">
            <v>18.520112055661777</v>
          </cell>
          <cell r="G149">
            <v>3.04</v>
          </cell>
          <cell r="I149">
            <v>0</v>
          </cell>
          <cell r="J149">
            <v>0</v>
          </cell>
          <cell r="K149">
            <v>4.5003203243428693</v>
          </cell>
        </row>
        <row r="150">
          <cell r="E150">
            <v>2.9135225289071882</v>
          </cell>
          <cell r="F150">
            <v>8.1465314606639669</v>
          </cell>
          <cell r="G150">
            <v>0.10756165425876577</v>
          </cell>
          <cell r="I150">
            <v>8.5363617861112981</v>
          </cell>
          <cell r="J150">
            <v>6.8750720360846609</v>
          </cell>
          <cell r="K150">
            <v>0</v>
          </cell>
        </row>
        <row r="151">
          <cell r="E151">
            <v>0.1953834292316359</v>
          </cell>
          <cell r="F151">
            <v>0.6512780974387864</v>
          </cell>
          <cell r="G151">
            <v>0.40447797630408838</v>
          </cell>
          <cell r="I151">
            <v>0</v>
          </cell>
          <cell r="J151">
            <v>0</v>
          </cell>
          <cell r="K151">
            <v>0</v>
          </cell>
        </row>
        <row r="152">
          <cell r="E152">
            <v>1.7694150329493317</v>
          </cell>
          <cell r="F152">
            <v>4.2281340131456639</v>
          </cell>
          <cell r="G152">
            <v>0</v>
          </cell>
          <cell r="I152">
            <v>0</v>
          </cell>
          <cell r="J152">
            <v>6.6270225953158493</v>
          </cell>
          <cell r="K152">
            <v>0</v>
          </cell>
        </row>
        <row r="153">
          <cell r="E153">
            <v>2.1654285875212778</v>
          </cell>
          <cell r="F153">
            <v>42.544302837182748</v>
          </cell>
          <cell r="G153">
            <v>0</v>
          </cell>
          <cell r="I153">
            <v>12.737815220713399</v>
          </cell>
          <cell r="J153">
            <v>18.851966526655829</v>
          </cell>
          <cell r="K153">
            <v>0</v>
          </cell>
        </row>
        <row r="154">
          <cell r="E154">
            <v>11.461012528828688</v>
          </cell>
          <cell r="F154">
            <v>207.81715489020692</v>
          </cell>
          <cell r="G154">
            <v>0</v>
          </cell>
          <cell r="I154">
            <v>10.356336622435562</v>
          </cell>
          <cell r="J154">
            <v>13.808448829914079</v>
          </cell>
          <cell r="K154">
            <v>0</v>
          </cell>
        </row>
        <row r="155">
          <cell r="E155">
            <v>39.294556907241891</v>
          </cell>
          <cell r="F155">
            <v>201.3193617638579</v>
          </cell>
          <cell r="G155">
            <v>63.378317592325629</v>
          </cell>
          <cell r="I155">
            <v>3.8772617821187447</v>
          </cell>
          <cell r="J155">
            <v>62.185313967058327</v>
          </cell>
          <cell r="K155">
            <v>0</v>
          </cell>
        </row>
        <row r="156">
          <cell r="E156">
            <v>21.456098955862956</v>
          </cell>
          <cell r="F156">
            <v>177.12694457180481</v>
          </cell>
          <cell r="G156">
            <v>79.319089225131677</v>
          </cell>
          <cell r="I156">
            <v>23.966919046442662</v>
          </cell>
          <cell r="J156">
            <v>381.75878195405102</v>
          </cell>
          <cell r="K156">
            <v>0</v>
          </cell>
        </row>
        <row r="157">
          <cell r="E157">
            <v>45.651274374176502</v>
          </cell>
          <cell r="F157">
            <v>373.19916800889291</v>
          </cell>
          <cell r="G157">
            <v>0</v>
          </cell>
          <cell r="I157">
            <v>114.12818593544125</v>
          </cell>
          <cell r="J157">
            <v>943.04120038455096</v>
          </cell>
          <cell r="K157">
            <v>0</v>
          </cell>
        </row>
        <row r="158">
          <cell r="E158">
            <v>11.412818593544126</v>
          </cell>
          <cell r="F158">
            <v>148.36664171607362</v>
          </cell>
          <cell r="G158">
            <v>7.9889730154808873</v>
          </cell>
          <cell r="I158">
            <v>3.7091660429018405</v>
          </cell>
          <cell r="J158">
            <v>660.80219656620488</v>
          </cell>
          <cell r="K158">
            <v>0</v>
          </cell>
        </row>
        <row r="159">
          <cell r="E159">
            <v>89.909038242870778</v>
          </cell>
          <cell r="F159">
            <v>710.8433336076971</v>
          </cell>
          <cell r="G159">
            <v>243.50364524110836</v>
          </cell>
          <cell r="I159">
            <v>0</v>
          </cell>
          <cell r="J159">
            <v>147.0387396263616</v>
          </cell>
          <cell r="K159">
            <v>1282.1403474426052</v>
          </cell>
        </row>
        <row r="160">
          <cell r="E160">
            <v>8.4744654298982489</v>
          </cell>
          <cell r="F160">
            <v>64.999149847319558</v>
          </cell>
          <cell r="G160">
            <v>39.575753557624822</v>
          </cell>
          <cell r="I160">
            <v>0</v>
          </cell>
          <cell r="J160">
            <v>60.08395989797858</v>
          </cell>
          <cell r="K160">
            <v>105.9308178737281</v>
          </cell>
        </row>
        <row r="161">
          <cell r="E161">
            <v>16.092074216897217</v>
          </cell>
          <cell r="F161">
            <v>80.916883828227853</v>
          </cell>
          <cell r="G161">
            <v>5.1357683670948562E-2</v>
          </cell>
          <cell r="I161">
            <v>0.72927910812746966</v>
          </cell>
          <cell r="J161">
            <v>171.87704801877453</v>
          </cell>
          <cell r="K161">
            <v>11.412818593544126</v>
          </cell>
        </row>
        <row r="162">
          <cell r="E162">
            <v>203.99190920386684</v>
          </cell>
          <cell r="F162">
            <v>236.06610876422326</v>
          </cell>
          <cell r="G162">
            <v>14.112647806556826</v>
          </cell>
          <cell r="I162">
            <v>1.2829679824142568</v>
          </cell>
          <cell r="J162">
            <v>436.20911402084732</v>
          </cell>
          <cell r="K162">
            <v>0</v>
          </cell>
        </row>
        <row r="163">
          <cell r="E163">
            <v>690.4</v>
          </cell>
          <cell r="F163">
            <v>4637.6279999999997</v>
          </cell>
          <cell r="G163">
            <v>17.98</v>
          </cell>
          <cell r="I163">
            <v>56</v>
          </cell>
          <cell r="J163">
            <v>454</v>
          </cell>
          <cell r="K163">
            <v>0</v>
          </cell>
        </row>
        <row r="164">
          <cell r="E164">
            <v>4.8032151754294521</v>
          </cell>
          <cell r="F164">
            <v>2.224745013425657</v>
          </cell>
          <cell r="G164">
            <v>4.2819360091037746</v>
          </cell>
          <cell r="I164">
            <v>0.89362142798687472</v>
          </cell>
          <cell r="J164">
            <v>0.17686257428906896</v>
          </cell>
          <cell r="K164">
            <v>11.789286859847676</v>
          </cell>
        </row>
        <row r="165">
          <cell r="E165">
            <v>2.3964569606812369</v>
          </cell>
          <cell r="F165">
            <v>11.126407317448601</v>
          </cell>
          <cell r="G165">
            <v>10.042295835235661</v>
          </cell>
          <cell r="I165">
            <v>2.995571200851546</v>
          </cell>
          <cell r="J165">
            <v>45.932091746390377</v>
          </cell>
          <cell r="K165">
            <v>18.47268907191787</v>
          </cell>
        </row>
        <row r="166">
          <cell r="E166">
            <v>2.8532046483860314</v>
          </cell>
          <cell r="F166">
            <v>47.36319716320812</v>
          </cell>
          <cell r="G166">
            <v>0</v>
          </cell>
          <cell r="I166">
            <v>0</v>
          </cell>
          <cell r="J166">
            <v>10.271536734189713</v>
          </cell>
          <cell r="K166">
            <v>0</v>
          </cell>
        </row>
        <row r="167">
          <cell r="E167">
            <v>9.5867676185770652</v>
          </cell>
          <cell r="F167">
            <v>31.613507504117226</v>
          </cell>
          <cell r="G167">
            <v>15.52143328722001</v>
          </cell>
          <cell r="I167">
            <v>1.2554100452898538</v>
          </cell>
          <cell r="J167">
            <v>59.346656686429448</v>
          </cell>
          <cell r="K167">
            <v>0</v>
          </cell>
        </row>
        <row r="168">
          <cell r="E168">
            <v>2.8694219148867419</v>
          </cell>
          <cell r="F168">
            <v>10.245473443844855</v>
          </cell>
          <cell r="G168">
            <v>1.5639641968526836</v>
          </cell>
          <cell r="I168">
            <v>4.3084413136437572E-2</v>
          </cell>
          <cell r="J168">
            <v>37.22493294988206</v>
          </cell>
          <cell r="K168">
            <v>0</v>
          </cell>
        </row>
        <row r="169">
          <cell r="E169">
            <v>0.12228391743782471</v>
          </cell>
          <cell r="F169">
            <v>17.853451945922409</v>
          </cell>
          <cell r="G169">
            <v>48.730141098973149</v>
          </cell>
          <cell r="I169">
            <v>33.826788661238261</v>
          </cell>
          <cell r="J169">
            <v>14.020615408730588</v>
          </cell>
          <cell r="K169">
            <v>0</v>
          </cell>
        </row>
        <row r="170">
          <cell r="E170">
            <v>0.22389999999999999</v>
          </cell>
          <cell r="F170">
            <v>0.74940000000000007</v>
          </cell>
          <cell r="G170">
            <v>0</v>
          </cell>
          <cell r="I170">
            <v>1.1471896021839934</v>
          </cell>
          <cell r="J170">
            <v>0.40306661698356522</v>
          </cell>
          <cell r="K170">
            <v>0</v>
          </cell>
        </row>
        <row r="171">
          <cell r="E171">
            <v>2.1113714398056631</v>
          </cell>
          <cell r="F171">
            <v>4.7249068977272684</v>
          </cell>
          <cell r="G171">
            <v>2.3966919046442663</v>
          </cell>
          <cell r="I171">
            <v>1.8260509749670601</v>
          </cell>
          <cell r="J171">
            <v>13.923638684123832</v>
          </cell>
          <cell r="K171">
            <v>4.56512743741765</v>
          </cell>
        </row>
        <row r="172">
          <cell r="E172">
            <v>1.0613921291996038</v>
          </cell>
          <cell r="F172">
            <v>24.275065148468354</v>
          </cell>
          <cell r="G172">
            <v>0.84454857592226529</v>
          </cell>
          <cell r="I172">
            <v>3.8803583218050024</v>
          </cell>
          <cell r="J172">
            <v>3.3667814850955171</v>
          </cell>
          <cell r="K172">
            <v>0</v>
          </cell>
        </row>
        <row r="173">
          <cell r="E173">
            <v>0.10494830132939439</v>
          </cell>
          <cell r="F173">
            <v>1.90417282127031</v>
          </cell>
          <cell r="G173">
            <v>0</v>
          </cell>
          <cell r="I173">
            <v>0.1</v>
          </cell>
          <cell r="J173">
            <v>0.23264401772525847</v>
          </cell>
          <cell r="K173">
            <v>0</v>
          </cell>
        </row>
        <row r="174">
          <cell r="E174">
            <v>5.9326480235392491</v>
          </cell>
          <cell r="F174">
            <v>30.612463801462525</v>
          </cell>
          <cell r="G174">
            <v>2.3730592094156995</v>
          </cell>
          <cell r="I174">
            <v>5.4580361816561087</v>
          </cell>
          <cell r="J174">
            <v>2.3730592094156995</v>
          </cell>
          <cell r="K174">
            <v>0</v>
          </cell>
        </row>
        <row r="175">
          <cell r="E175">
            <v>5.0110302915150085</v>
          </cell>
          <cell r="F175">
            <v>35.222459295431584</v>
          </cell>
          <cell r="G175">
            <v>2.1002753047915084</v>
          </cell>
          <cell r="I175">
            <v>3.5440330177671364</v>
          </cell>
          <cell r="J175">
            <v>14.640923286513416</v>
          </cell>
          <cell r="K175">
            <v>0</v>
          </cell>
        </row>
        <row r="176">
          <cell r="E176">
            <v>0.67911263411214207</v>
          </cell>
          <cell r="F176">
            <v>2.2335052624742486</v>
          </cell>
          <cell r="G176">
            <v>0</v>
          </cell>
          <cell r="I176">
            <v>0.2896249719004359</v>
          </cell>
          <cell r="J176">
            <v>0.75592117666013769</v>
          </cell>
          <cell r="K176">
            <v>0</v>
          </cell>
        </row>
        <row r="177">
          <cell r="E177">
            <v>0.73042038998682401</v>
          </cell>
          <cell r="F177">
            <v>2.8760302855731195</v>
          </cell>
          <cell r="G177">
            <v>1.4950792357542804</v>
          </cell>
          <cell r="I177">
            <v>0.42227428796113264</v>
          </cell>
          <cell r="J177">
            <v>1.1412818593544125</v>
          </cell>
          <cell r="K177">
            <v>0</v>
          </cell>
        </row>
        <row r="178">
          <cell r="E178">
            <v>0.34238455780632376</v>
          </cell>
          <cell r="F178">
            <v>2.7390764624505901</v>
          </cell>
          <cell r="G178">
            <v>5.2384837344367536</v>
          </cell>
          <cell r="I178">
            <v>0.45651274374176504</v>
          </cell>
          <cell r="J178">
            <v>2.8532046483860314</v>
          </cell>
          <cell r="K178">
            <v>1.0157408548254272</v>
          </cell>
        </row>
        <row r="179">
          <cell r="E179">
            <v>6.8020398817522985</v>
          </cell>
          <cell r="F179">
            <v>34.398235240941993</v>
          </cell>
          <cell r="G179">
            <v>14.380151427865597</v>
          </cell>
          <cell r="I179">
            <v>0</v>
          </cell>
          <cell r="J179">
            <v>74.183320858036808</v>
          </cell>
          <cell r="K179">
            <v>0</v>
          </cell>
        </row>
        <row r="180">
          <cell r="E180">
            <v>2.5350837557910677</v>
          </cell>
          <cell r="F180">
            <v>37.831249894112858</v>
          </cell>
          <cell r="G180">
            <v>0</v>
          </cell>
          <cell r="I180">
            <v>1.7550579847784318</v>
          </cell>
          <cell r="J180">
            <v>4.0626342240241478</v>
          </cell>
          <cell r="K180">
            <v>0</v>
          </cell>
        </row>
        <row r="181">
          <cell r="E181">
            <v>1.1470041596601461</v>
          </cell>
          <cell r="F181">
            <v>12.266572263032117</v>
          </cell>
          <cell r="G181">
            <v>0</v>
          </cell>
          <cell r="I181">
            <v>5.4801309850429201</v>
          </cell>
          <cell r="J181">
            <v>8.2839189308788317</v>
          </cell>
          <cell r="K181">
            <v>0</v>
          </cell>
        </row>
        <row r="182">
          <cell r="E182">
            <v>2.1684355327733837</v>
          </cell>
          <cell r="F182">
            <v>10.385664920125153</v>
          </cell>
          <cell r="G182">
            <v>1.2554100452898538</v>
          </cell>
          <cell r="I182">
            <v>0</v>
          </cell>
          <cell r="J182">
            <v>13.124741382575744</v>
          </cell>
          <cell r="K182">
            <v>0</v>
          </cell>
        </row>
        <row r="183">
          <cell r="E183">
            <v>0.28079327190109787</v>
          </cell>
          <cell r="F183">
            <v>4.3389316014230443</v>
          </cell>
          <cell r="G183">
            <v>0.6006120601465349</v>
          </cell>
          <cell r="I183">
            <v>0</v>
          </cell>
          <cell r="J183">
            <v>4.5823680163275764</v>
          </cell>
          <cell r="K183">
            <v>0</v>
          </cell>
        </row>
        <row r="184">
          <cell r="E184">
            <v>0.45651274374176504</v>
          </cell>
          <cell r="F184">
            <v>3.3667814850955171</v>
          </cell>
          <cell r="G184">
            <v>0.1</v>
          </cell>
          <cell r="I184">
            <v>1</v>
          </cell>
          <cell r="J184">
            <v>2.5</v>
          </cell>
          <cell r="K184">
            <v>0</v>
          </cell>
        </row>
        <row r="185">
          <cell r="E185">
            <v>4.125811618561432</v>
          </cell>
          <cell r="F185">
            <v>18.349004303602158</v>
          </cell>
          <cell r="G185">
            <v>36.372286637317892</v>
          </cell>
          <cell r="I185">
            <v>1.2703156825570725</v>
          </cell>
          <cell r="J185">
            <v>27.143497490535736</v>
          </cell>
          <cell r="K185">
            <v>0</v>
          </cell>
        </row>
        <row r="186">
          <cell r="E186">
            <v>4.7396136259453741</v>
          </cell>
          <cell r="F186">
            <v>49.611506223940566</v>
          </cell>
          <cell r="G186">
            <v>0</v>
          </cell>
          <cell r="I186">
            <v>1.0650817136955897</v>
          </cell>
          <cell r="J186">
            <v>45.558870303328845</v>
          </cell>
          <cell r="K186">
            <v>0</v>
          </cell>
        </row>
        <row r="187">
          <cell r="E187">
            <v>2.21544520875785</v>
          </cell>
          <cell r="F187">
            <v>18.520112055661777</v>
          </cell>
          <cell r="G187">
            <v>3.0397675570876941</v>
          </cell>
          <cell r="I187">
            <v>0</v>
          </cell>
          <cell r="J187">
            <v>0</v>
          </cell>
          <cell r="K187">
            <v>4.5003203243428693</v>
          </cell>
        </row>
        <row r="188">
          <cell r="E188">
            <v>2.9336557811933468</v>
          </cell>
          <cell r="F188">
            <v>8.2028262624124864</v>
          </cell>
          <cell r="G188">
            <v>0.10830493525282782</v>
          </cell>
          <cell r="I188">
            <v>8.5953504240025485</v>
          </cell>
          <cell r="J188">
            <v>6.922580699022622</v>
          </cell>
          <cell r="K188">
            <v>0</v>
          </cell>
        </row>
        <row r="189">
          <cell r="E189">
            <v>0.2</v>
          </cell>
          <cell r="F189">
            <v>0.65479368304217123</v>
          </cell>
          <cell r="G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E190">
            <v>4.2</v>
          </cell>
          <cell r="F190">
            <v>9.5</v>
          </cell>
          <cell r="G190">
            <v>2.9</v>
          </cell>
          <cell r="I190">
            <v>0</v>
          </cell>
          <cell r="J190">
            <v>6.5</v>
          </cell>
          <cell r="K190">
            <v>0</v>
          </cell>
        </row>
        <row r="191">
          <cell r="E191">
            <v>2.1796874499152681</v>
          </cell>
          <cell r="F191">
            <v>44.106616633579549</v>
          </cell>
          <cell r="G191">
            <v>0</v>
          </cell>
          <cell r="I191">
            <v>12.821690881854519</v>
          </cell>
          <cell r="J191">
            <v>18.976102505144688</v>
          </cell>
          <cell r="K191">
            <v>0</v>
          </cell>
        </row>
        <row r="192">
          <cell r="E192">
            <v>13.808448829914081</v>
          </cell>
          <cell r="F192">
            <v>235.91734825908208</v>
          </cell>
          <cell r="G192">
            <v>0</v>
          </cell>
          <cell r="I192">
            <v>10.356336622435562</v>
          </cell>
          <cell r="J192">
            <v>13.808448829914079</v>
          </cell>
          <cell r="K192">
            <v>0</v>
          </cell>
        </row>
        <row r="193">
          <cell r="E193">
            <v>44.961324127261591</v>
          </cell>
          <cell r="F193">
            <v>216.15734435311998</v>
          </cell>
          <cell r="G193">
            <v>63.452880318904832</v>
          </cell>
          <cell r="I193">
            <v>3.8772617821187447</v>
          </cell>
          <cell r="J193">
            <v>61.066873068370228</v>
          </cell>
          <cell r="K193">
            <v>0</v>
          </cell>
        </row>
        <row r="194">
          <cell r="E194">
            <v>35.722122197793112</v>
          </cell>
          <cell r="F194">
            <v>216.15878416172575</v>
          </cell>
          <cell r="G194">
            <v>79.319089225131677</v>
          </cell>
          <cell r="I194">
            <v>18.032253377799719</v>
          </cell>
          <cell r="J194">
            <v>381.75878195405102</v>
          </cell>
          <cell r="K194">
            <v>0</v>
          </cell>
        </row>
        <row r="195">
          <cell r="E195">
            <v>69.618193420619164</v>
          </cell>
          <cell r="F195">
            <v>449.66505258563853</v>
          </cell>
          <cell r="G195">
            <v>0</v>
          </cell>
          <cell r="I195">
            <v>114.12818593544125</v>
          </cell>
          <cell r="J195">
            <v>943.84009768609917</v>
          </cell>
          <cell r="K195">
            <v>0</v>
          </cell>
        </row>
        <row r="196">
          <cell r="E196">
            <v>22.825637187088251</v>
          </cell>
          <cell r="F196">
            <v>182.60509749670601</v>
          </cell>
          <cell r="G196">
            <v>7.9889730154808873</v>
          </cell>
          <cell r="I196">
            <v>3.7091660429018405</v>
          </cell>
          <cell r="J196">
            <v>660.80219656620488</v>
          </cell>
          <cell r="K196">
            <v>0</v>
          </cell>
        </row>
        <row r="197">
          <cell r="E197">
            <v>94.591800651353637</v>
          </cell>
          <cell r="F197">
            <v>736.13025061350459</v>
          </cell>
          <cell r="G197">
            <v>243.50364524110836</v>
          </cell>
          <cell r="I197">
            <v>0</v>
          </cell>
          <cell r="J197">
            <v>147.0387396263616</v>
          </cell>
          <cell r="K197">
            <v>1282.1403474426052</v>
          </cell>
        </row>
        <row r="198">
          <cell r="E198">
            <v>8.4745388590804875</v>
          </cell>
          <cell r="F198">
            <v>64.999713049147346</v>
          </cell>
          <cell r="G198">
            <v>39.576096471905878</v>
          </cell>
          <cell r="I198">
            <v>0</v>
          </cell>
          <cell r="J198">
            <v>60.08448051088066</v>
          </cell>
          <cell r="K198">
            <v>105.93173573850609</v>
          </cell>
        </row>
        <row r="199">
          <cell r="E199">
            <v>16.092074216897217</v>
          </cell>
          <cell r="F199">
            <v>80.928296646821394</v>
          </cell>
          <cell r="G199">
            <v>5.1357683670948562E-2</v>
          </cell>
          <cell r="I199">
            <v>0.72927910812746966</v>
          </cell>
          <cell r="J199">
            <v>171.87704801877453</v>
          </cell>
          <cell r="K199">
            <v>11.412818593544126</v>
          </cell>
        </row>
        <row r="200">
          <cell r="E200">
            <v>203.99190920386684</v>
          </cell>
          <cell r="F200">
            <v>236.06610876422326</v>
          </cell>
          <cell r="G200">
            <v>14.112647806556826</v>
          </cell>
          <cell r="I200">
            <v>1.2829679824142568</v>
          </cell>
          <cell r="J200">
            <v>451.60472980981842</v>
          </cell>
          <cell r="K200">
            <v>0</v>
          </cell>
        </row>
        <row r="201">
          <cell r="E201">
            <v>687.3</v>
          </cell>
          <cell r="F201">
            <v>4641</v>
          </cell>
          <cell r="G201">
            <v>17.98</v>
          </cell>
          <cell r="I201">
            <v>56</v>
          </cell>
          <cell r="J201">
            <v>454</v>
          </cell>
          <cell r="K201">
            <v>0</v>
          </cell>
        </row>
        <row r="202">
          <cell r="E202">
            <v>4.8032151754294405</v>
          </cell>
          <cell r="F202">
            <v>2.2247450134256517</v>
          </cell>
          <cell r="G202">
            <v>4.2819360091037648</v>
          </cell>
          <cell r="I202">
            <v>0.89362142798687272</v>
          </cell>
          <cell r="J202">
            <v>0.17686257428906854</v>
          </cell>
          <cell r="K202">
            <v>11.78928685984765</v>
          </cell>
        </row>
        <row r="203">
          <cell r="E203">
            <v>3</v>
          </cell>
          <cell r="F203">
            <v>17</v>
          </cell>
          <cell r="G203">
            <v>10</v>
          </cell>
          <cell r="I203">
            <v>3</v>
          </cell>
          <cell r="J203">
            <v>46</v>
          </cell>
          <cell r="K203">
            <v>19</v>
          </cell>
        </row>
        <row r="204">
          <cell r="E204">
            <v>2.8532046483860314</v>
          </cell>
          <cell r="F204">
            <v>47.36319716320812</v>
          </cell>
          <cell r="G204">
            <v>0</v>
          </cell>
          <cell r="I204">
            <v>0</v>
          </cell>
          <cell r="J204">
            <v>10.271536734189713</v>
          </cell>
          <cell r="K204">
            <v>0</v>
          </cell>
        </row>
        <row r="205">
          <cell r="E205">
            <v>10.499793106060594</v>
          </cell>
          <cell r="F205">
            <v>31.841763875988111</v>
          </cell>
          <cell r="G205">
            <v>15.064920543478244</v>
          </cell>
          <cell r="I205">
            <v>1.8260509749670601</v>
          </cell>
          <cell r="J205">
            <v>59.346656686429448</v>
          </cell>
          <cell r="K205">
            <v>0</v>
          </cell>
        </row>
        <row r="206">
          <cell r="E206">
            <v>6.505746383602073</v>
          </cell>
          <cell r="F206">
            <v>16.884781508169883</v>
          </cell>
          <cell r="G206">
            <v>1.5639641968526836</v>
          </cell>
          <cell r="I206">
            <v>4.3084413136437572E-2</v>
          </cell>
          <cell r="J206">
            <v>37.724712142264735</v>
          </cell>
          <cell r="K206">
            <v>0</v>
          </cell>
        </row>
        <row r="207">
          <cell r="E207">
            <v>0.12228391743782471</v>
          </cell>
          <cell r="F207">
            <v>12.151964295383831</v>
          </cell>
          <cell r="G207">
            <v>48.730141098973149</v>
          </cell>
          <cell r="I207">
            <v>43.105080896833208</v>
          </cell>
          <cell r="J207">
            <v>12.56467251673649</v>
          </cell>
          <cell r="K207">
            <v>0</v>
          </cell>
        </row>
        <row r="208">
          <cell r="E208">
            <v>0.435</v>
          </cell>
          <cell r="F208">
            <v>1.1520999999999999</v>
          </cell>
          <cell r="G208">
            <v>0</v>
          </cell>
          <cell r="I208">
            <v>1.0269999999999999</v>
          </cell>
          <cell r="J208">
            <v>0.35</v>
          </cell>
          <cell r="K208">
            <v>0</v>
          </cell>
        </row>
        <row r="209">
          <cell r="E209">
            <v>4.1086146936758849</v>
          </cell>
          <cell r="F209">
            <v>7.4753961787714021</v>
          </cell>
          <cell r="G209">
            <v>2.3966919046442663</v>
          </cell>
          <cell r="I209">
            <v>1.8260509749670601</v>
          </cell>
          <cell r="J209">
            <v>13.923638684123832</v>
          </cell>
          <cell r="K209">
            <v>4.56512743741765</v>
          </cell>
        </row>
        <row r="210">
          <cell r="E210">
            <v>1.1070434035737802</v>
          </cell>
          <cell r="F210">
            <v>37.787842363224598</v>
          </cell>
          <cell r="G210">
            <v>1.7918125191864278</v>
          </cell>
          <cell r="I210">
            <v>6.4710681425395187</v>
          </cell>
          <cell r="J210">
            <v>6.4710681425395187</v>
          </cell>
          <cell r="K210">
            <v>0</v>
          </cell>
        </row>
        <row r="211">
          <cell r="E211">
            <v>0.10494830132939439</v>
          </cell>
          <cell r="F211">
            <v>1.9041728212703097</v>
          </cell>
          <cell r="G211">
            <v>0</v>
          </cell>
          <cell r="I211">
            <v>8.862629246676515E-2</v>
          </cell>
          <cell r="J211">
            <v>0.23264401772525847</v>
          </cell>
          <cell r="K211">
            <v>0</v>
          </cell>
        </row>
        <row r="212">
          <cell r="E212">
            <v>5.0216401811594151</v>
          </cell>
          <cell r="F212">
            <v>38.118814102437376</v>
          </cell>
          <cell r="G212">
            <v>2.8532046483860314</v>
          </cell>
          <cell r="I212">
            <v>7.9889730154808873</v>
          </cell>
          <cell r="J212">
            <v>5.7064092967720628</v>
          </cell>
          <cell r="K212">
            <v>0</v>
          </cell>
        </row>
        <row r="213">
          <cell r="E213">
            <v>6.5</v>
          </cell>
          <cell r="F213">
            <v>34.9</v>
          </cell>
          <cell r="G213">
            <v>2.1</v>
          </cell>
          <cell r="I213">
            <v>3.7</v>
          </cell>
          <cell r="J213">
            <v>13.3</v>
          </cell>
          <cell r="K213">
            <v>0</v>
          </cell>
        </row>
        <row r="214">
          <cell r="E214">
            <v>0.67911263411214207</v>
          </cell>
          <cell r="F214">
            <v>2.2335052624742486</v>
          </cell>
          <cell r="G214">
            <v>0</v>
          </cell>
          <cell r="I214">
            <v>0.2896249719004359</v>
          </cell>
          <cell r="J214">
            <v>0.75592117666013769</v>
          </cell>
          <cell r="K214">
            <v>0</v>
          </cell>
        </row>
        <row r="215">
          <cell r="E215">
            <v>1.086606</v>
          </cell>
          <cell r="F215">
            <v>3.0755970000000001</v>
          </cell>
          <cell r="G215">
            <v>1.5986199999999999</v>
          </cell>
          <cell r="I215">
            <v>0.42227428796113264</v>
          </cell>
          <cell r="J215">
            <v>1.1412818593544125</v>
          </cell>
          <cell r="K215">
            <v>0</v>
          </cell>
        </row>
        <row r="216">
          <cell r="E216">
            <v>0.34238455780632376</v>
          </cell>
          <cell r="F216">
            <v>2.7390764624505901</v>
          </cell>
          <cell r="G216">
            <v>5.2384837344367536</v>
          </cell>
          <cell r="I216">
            <v>0.45651274374176504</v>
          </cell>
          <cell r="J216">
            <v>2.8532046483860314</v>
          </cell>
          <cell r="K216">
            <v>1.0157408548254272</v>
          </cell>
        </row>
        <row r="217">
          <cell r="E217">
            <v>18.94527886528325</v>
          </cell>
          <cell r="F217">
            <v>74.982218159584903</v>
          </cell>
          <cell r="G217">
            <v>14.380151427865597</v>
          </cell>
          <cell r="I217">
            <v>0</v>
          </cell>
          <cell r="J217">
            <v>74.183320858036808</v>
          </cell>
          <cell r="K217">
            <v>0</v>
          </cell>
        </row>
        <row r="218">
          <cell r="E218">
            <v>3.3151095268037039</v>
          </cell>
          <cell r="F218">
            <v>37.051224123100226</v>
          </cell>
          <cell r="G218">
            <v>0</v>
          </cell>
          <cell r="I218">
            <v>1.8200601323628178</v>
          </cell>
          <cell r="J218">
            <v>1.625053689609659</v>
          </cell>
          <cell r="K218">
            <v>0</v>
          </cell>
        </row>
        <row r="219">
          <cell r="E219">
            <v>2.6232409947782966</v>
          </cell>
          <cell r="F219">
            <v>21.293919815912897</v>
          </cell>
          <cell r="G219">
            <v>0</v>
          </cell>
          <cell r="I219">
            <v>6.3191432870165452</v>
          </cell>
          <cell r="J219">
            <v>8.2839189308788317</v>
          </cell>
          <cell r="K219">
            <v>0</v>
          </cell>
        </row>
        <row r="220">
          <cell r="E220">
            <v>2.1684355327733837</v>
          </cell>
          <cell r="F220">
            <v>10.842177663866918</v>
          </cell>
          <cell r="G220">
            <v>1.2554100452898538</v>
          </cell>
          <cell r="I220">
            <v>0</v>
          </cell>
          <cell r="J220">
            <v>13.124741382575744</v>
          </cell>
          <cell r="K220">
            <v>0</v>
          </cell>
        </row>
        <row r="221">
          <cell r="E221">
            <v>0.28079327190109787</v>
          </cell>
          <cell r="F221">
            <v>4.3389316014230443</v>
          </cell>
          <cell r="G221">
            <v>0.6006120601465349</v>
          </cell>
          <cell r="I221">
            <v>0</v>
          </cell>
          <cell r="J221">
            <v>4.5823680163275764</v>
          </cell>
          <cell r="K221">
            <v>0</v>
          </cell>
        </row>
        <row r="222">
          <cell r="E222">
            <v>0.41199999999999998</v>
          </cell>
          <cell r="F222">
            <v>3.7670000000000003</v>
          </cell>
          <cell r="G222">
            <v>0.47399999999999998</v>
          </cell>
          <cell r="I222">
            <v>1</v>
          </cell>
          <cell r="J222">
            <v>2.5</v>
          </cell>
          <cell r="K222">
            <v>0</v>
          </cell>
        </row>
        <row r="223">
          <cell r="E223">
            <v>4.125811618561432</v>
          </cell>
          <cell r="F223">
            <v>18.349004303602158</v>
          </cell>
          <cell r="G223">
            <v>36.372286637317892</v>
          </cell>
          <cell r="I223">
            <v>1.2703156825570725</v>
          </cell>
          <cell r="J223">
            <v>27.143497490535736</v>
          </cell>
          <cell r="K223">
            <v>0</v>
          </cell>
        </row>
        <row r="224">
          <cell r="E224">
            <v>7.0384605142862338</v>
          </cell>
          <cell r="F224">
            <v>51.144939242506375</v>
          </cell>
          <cell r="G224">
            <v>0</v>
          </cell>
          <cell r="I224">
            <v>1.0651423296438005</v>
          </cell>
          <cell r="J224">
            <v>45.561463150513568</v>
          </cell>
          <cell r="K224">
            <v>0</v>
          </cell>
        </row>
        <row r="225">
          <cell r="E225">
            <v>1.5165334699489497</v>
          </cell>
          <cell r="F225">
            <v>34.12200938566108</v>
          </cell>
          <cell r="G225">
            <v>3.2859281358385646</v>
          </cell>
          <cell r="I225">
            <v>3.2859281358385646</v>
          </cell>
          <cell r="J225">
            <v>0</v>
          </cell>
          <cell r="K225">
            <v>3.0330682022598419</v>
          </cell>
        </row>
        <row r="226">
          <cell r="E226">
            <v>3.8881471755765187</v>
          </cell>
          <cell r="F226">
            <v>8.8893983232139746</v>
          </cell>
          <cell r="G226">
            <v>0.4819569618750838</v>
          </cell>
          <cell r="I226">
            <v>8.6584380487873194</v>
          </cell>
          <cell r="J226">
            <v>6.9247467977276784</v>
          </cell>
          <cell r="K226">
            <v>0</v>
          </cell>
        </row>
        <row r="227">
          <cell r="E227">
            <v>0.2</v>
          </cell>
          <cell r="F227">
            <v>0.65465337395785705</v>
          </cell>
          <cell r="G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E228">
            <v>7.0357904306323586</v>
          </cell>
          <cell r="F228">
            <v>9.253346897693687</v>
          </cell>
          <cell r="G228">
            <v>0</v>
          </cell>
          <cell r="I228">
            <v>0</v>
          </cell>
          <cell r="J228">
            <v>6.4935767703113596</v>
          </cell>
          <cell r="K228">
            <v>0</v>
          </cell>
        </row>
        <row r="229">
          <cell r="E229">
            <v>3.7695771192652283</v>
          </cell>
          <cell r="F229">
            <v>34.746782289825745</v>
          </cell>
          <cell r="G229">
            <v>0</v>
          </cell>
          <cell r="I229">
            <v>9.7444850702094339</v>
          </cell>
          <cell r="J229">
            <v>18.976102505144688</v>
          </cell>
          <cell r="K229">
            <v>0</v>
          </cell>
        </row>
        <row r="230">
          <cell r="E230">
            <v>13.808448829914081</v>
          </cell>
          <cell r="F230">
            <v>235.91734825908208</v>
          </cell>
          <cell r="G230">
            <v>0</v>
          </cell>
          <cell r="I230">
            <v>10.356336622435562</v>
          </cell>
          <cell r="J230">
            <v>13.808448829914079</v>
          </cell>
          <cell r="K230">
            <v>0</v>
          </cell>
        </row>
        <row r="231">
          <cell r="E231">
            <v>45.632388666474455</v>
          </cell>
          <cell r="F231">
            <v>216.15734435311998</v>
          </cell>
          <cell r="G231">
            <v>68.027303732528338</v>
          </cell>
          <cell r="I231">
            <v>3.8772617821187447</v>
          </cell>
          <cell r="J231">
            <v>61.066873068370228</v>
          </cell>
          <cell r="K231">
            <v>0</v>
          </cell>
        </row>
        <row r="232">
          <cell r="E232">
            <v>38.633570180174964</v>
          </cell>
          <cell r="F232">
            <v>214.25106766586705</v>
          </cell>
          <cell r="G232">
            <v>79.204517036051911</v>
          </cell>
          <cell r="I232">
            <v>18.006206750642018</v>
          </cell>
          <cell r="J232">
            <v>381.20735177783257</v>
          </cell>
          <cell r="K232">
            <v>0</v>
          </cell>
        </row>
        <row r="233">
          <cell r="E233">
            <v>69.618193420619164</v>
          </cell>
          <cell r="F233">
            <v>519.28324600625774</v>
          </cell>
          <cell r="G233">
            <v>0</v>
          </cell>
          <cell r="I233">
            <v>114.12818593544125</v>
          </cell>
          <cell r="J233">
            <v>943.84009768609917</v>
          </cell>
          <cell r="K233">
            <v>0</v>
          </cell>
        </row>
        <row r="234">
          <cell r="E234">
            <v>22.825637187088251</v>
          </cell>
          <cell r="F234">
            <v>182.60509749670601</v>
          </cell>
          <cell r="G234">
            <v>7.9889730154808873</v>
          </cell>
          <cell r="I234">
            <v>3.7091660429018405</v>
          </cell>
          <cell r="J234">
            <v>660.80219656620488</v>
          </cell>
          <cell r="K234">
            <v>0</v>
          </cell>
        </row>
        <row r="235">
          <cell r="E235">
            <v>104.89387795001592</v>
          </cell>
          <cell r="F235">
            <v>738.93990805859426</v>
          </cell>
          <cell r="G235">
            <v>243.50364524110836</v>
          </cell>
          <cell r="I235">
            <v>0</v>
          </cell>
          <cell r="J235">
            <v>147.0387396263616</v>
          </cell>
          <cell r="K235">
            <v>1282.1403474426052</v>
          </cell>
        </row>
        <row r="236">
          <cell r="E236">
            <v>11.949099791303487</v>
          </cell>
          <cell r="F236">
            <v>92.880945895522146</v>
          </cell>
          <cell r="G236">
            <v>27.965978234965611</v>
          </cell>
          <cell r="I236">
            <v>0</v>
          </cell>
          <cell r="J236">
            <v>60.08448051088066</v>
          </cell>
          <cell r="K236">
            <v>105.93173573850609</v>
          </cell>
        </row>
        <row r="237">
          <cell r="E237">
            <v>21.924024518198266</v>
          </cell>
          <cell r="F237">
            <v>85.527662540019676</v>
          </cell>
          <cell r="G237">
            <v>5.1357683670948562E-2</v>
          </cell>
          <cell r="I237">
            <v>0.72927910812746966</v>
          </cell>
          <cell r="J237">
            <v>171.87704801877453</v>
          </cell>
          <cell r="K237">
            <v>11.412818593544126</v>
          </cell>
        </row>
        <row r="238">
          <cell r="E238">
            <v>208.862734206254</v>
          </cell>
          <cell r="F238">
            <v>313.30523463634802</v>
          </cell>
          <cell r="G238">
            <v>16.03709978017821</v>
          </cell>
          <cell r="I238">
            <v>1.3214570218866846</v>
          </cell>
          <cell r="J238">
            <v>451.60472980981842</v>
          </cell>
          <cell r="K238">
            <v>0</v>
          </cell>
        </row>
        <row r="239">
          <cell r="E239">
            <v>687.3</v>
          </cell>
          <cell r="F239">
            <v>4641</v>
          </cell>
          <cell r="G239">
            <v>17.98</v>
          </cell>
          <cell r="I239">
            <v>56</v>
          </cell>
          <cell r="J239">
            <v>454</v>
          </cell>
          <cell r="K239">
            <v>0</v>
          </cell>
        </row>
        <row r="240">
          <cell r="E240">
            <v>4.8032151754294405</v>
          </cell>
          <cell r="F240">
            <v>2.2247450134256517</v>
          </cell>
          <cell r="G240">
            <v>4.2819360091037648</v>
          </cell>
          <cell r="I240">
            <v>0.89362142798687272</v>
          </cell>
          <cell r="J240">
            <v>0.27925669624589772</v>
          </cell>
          <cell r="K240">
            <v>12.240751852111851</v>
          </cell>
        </row>
        <row r="241">
          <cell r="E241">
            <v>2.7673372045961901</v>
          </cell>
          <cell r="F241">
            <v>22.466784006386597</v>
          </cell>
          <cell r="G241">
            <v>10.01376658570374</v>
          </cell>
          <cell r="I241">
            <v>2.995571200851546</v>
          </cell>
          <cell r="J241">
            <v>45.932091746390377</v>
          </cell>
          <cell r="K241">
            <v>20.426942664854352</v>
          </cell>
        </row>
        <row r="242">
          <cell r="E242">
            <v>7.6465884576745644</v>
          </cell>
          <cell r="F242">
            <v>58.091246641139598</v>
          </cell>
          <cell r="G242">
            <v>0</v>
          </cell>
          <cell r="I242">
            <v>0</v>
          </cell>
          <cell r="J242">
            <v>12.211715895092214</v>
          </cell>
          <cell r="K242">
            <v>0</v>
          </cell>
        </row>
        <row r="243">
          <cell r="E243">
            <v>10.95630584980236</v>
          </cell>
          <cell r="F243">
            <v>31.156994760375461</v>
          </cell>
          <cell r="G243">
            <v>14.722535985671922</v>
          </cell>
          <cell r="I243">
            <v>1.8260509749670601</v>
          </cell>
          <cell r="J243">
            <v>59.346656686429448</v>
          </cell>
          <cell r="K243">
            <v>0</v>
          </cell>
        </row>
        <row r="244">
          <cell r="E244">
            <v>6.3937269094473352</v>
          </cell>
          <cell r="F244">
            <v>16.156654926164087</v>
          </cell>
          <cell r="G244">
            <v>0.61610710785105727</v>
          </cell>
          <cell r="I244">
            <v>3.8775971822793812E-2</v>
          </cell>
          <cell r="J244">
            <v>37.931517325319632</v>
          </cell>
          <cell r="K244">
            <v>0</v>
          </cell>
        </row>
        <row r="245">
          <cell r="E245">
            <v>0</v>
          </cell>
          <cell r="F245">
            <v>12.151964295383831</v>
          </cell>
          <cell r="G245">
            <v>48.730141098973149</v>
          </cell>
          <cell r="I245">
            <v>43.105080896833208</v>
          </cell>
          <cell r="J245">
            <v>12.56467251673649</v>
          </cell>
          <cell r="K245">
            <v>0</v>
          </cell>
        </row>
        <row r="246">
          <cell r="E246">
            <v>0.435</v>
          </cell>
          <cell r="F246">
            <v>1.1520999999999999</v>
          </cell>
          <cell r="G246">
            <v>0</v>
          </cell>
          <cell r="I246">
            <v>1.0269999999999999</v>
          </cell>
          <cell r="J246">
            <v>0.35</v>
          </cell>
          <cell r="K246">
            <v>0</v>
          </cell>
        </row>
        <row r="247">
          <cell r="E247">
            <v>4.6792556233530913</v>
          </cell>
          <cell r="F247">
            <v>8.2172293873517699</v>
          </cell>
          <cell r="G247">
            <v>0.57064092967720625</v>
          </cell>
          <cell r="I247">
            <v>1.3695382312252951</v>
          </cell>
          <cell r="J247">
            <v>13.923638684123832</v>
          </cell>
          <cell r="K247">
            <v>4.56512743741765</v>
          </cell>
        </row>
        <row r="248">
          <cell r="E248">
            <v>1.55</v>
          </cell>
          <cell r="F248">
            <v>31.547173921277963</v>
          </cell>
          <cell r="G248">
            <v>1.9401791609025012</v>
          </cell>
          <cell r="I248">
            <v>3.7662301358695611</v>
          </cell>
          <cell r="J248">
            <v>3.1955892061923548</v>
          </cell>
          <cell r="K248">
            <v>0</v>
          </cell>
        </row>
        <row r="249">
          <cell r="E249">
            <v>0.12491350018021706</v>
          </cell>
          <cell r="F249">
            <v>2.0793120734657271</v>
          </cell>
          <cell r="G249">
            <v>7.5320270858253366E-2</v>
          </cell>
          <cell r="I249">
            <v>0</v>
          </cell>
          <cell r="J249">
            <v>0.23482202091102522</v>
          </cell>
          <cell r="K249">
            <v>0</v>
          </cell>
        </row>
        <row r="250">
          <cell r="E250">
            <v>5.1357683670948564</v>
          </cell>
          <cell r="F250">
            <v>44.007828496706153</v>
          </cell>
          <cell r="G250">
            <v>3.309717392127796</v>
          </cell>
          <cell r="I250">
            <v>5.7064092967720628</v>
          </cell>
          <cell r="J250">
            <v>5.7064092967720628</v>
          </cell>
          <cell r="K250">
            <v>0</v>
          </cell>
        </row>
        <row r="251">
          <cell r="E251">
            <v>9.4</v>
          </cell>
          <cell r="F251">
            <v>33.5</v>
          </cell>
          <cell r="G251">
            <v>2.1</v>
          </cell>
          <cell r="I251">
            <v>2</v>
          </cell>
          <cell r="J251">
            <v>13.3</v>
          </cell>
          <cell r="K251">
            <v>0</v>
          </cell>
        </row>
        <row r="252">
          <cell r="E252">
            <v>0.67911263411214207</v>
          </cell>
          <cell r="F252">
            <v>2.8695942283954139</v>
          </cell>
          <cell r="G252">
            <v>0</v>
          </cell>
          <cell r="I252">
            <v>0.26782693301943822</v>
          </cell>
          <cell r="J252">
            <v>0.4017403995291573</v>
          </cell>
          <cell r="K252">
            <v>0</v>
          </cell>
        </row>
        <row r="253">
          <cell r="E253">
            <v>1.1000000000000001</v>
          </cell>
          <cell r="F253">
            <v>3.3000000000000003</v>
          </cell>
          <cell r="G253">
            <v>1.6</v>
          </cell>
          <cell r="I253">
            <v>0.43368710655467674</v>
          </cell>
          <cell r="J253">
            <v>1.1412818593544125</v>
          </cell>
          <cell r="K253">
            <v>0</v>
          </cell>
        </row>
        <row r="254">
          <cell r="E254">
            <v>0.34238455780632376</v>
          </cell>
          <cell r="F254">
            <v>2.7390764624505901</v>
          </cell>
          <cell r="G254">
            <v>5.2384837344367536</v>
          </cell>
          <cell r="I254">
            <v>0.45651274374176504</v>
          </cell>
          <cell r="J254">
            <v>2.8532046483860314</v>
          </cell>
          <cell r="K254">
            <v>1.0157408548254272</v>
          </cell>
        </row>
        <row r="255">
          <cell r="E255">
            <v>18.94527886528325</v>
          </cell>
          <cell r="F255">
            <v>74.982218159584903</v>
          </cell>
          <cell r="G255">
            <v>13.124741382575744</v>
          </cell>
          <cell r="I255">
            <v>0</v>
          </cell>
          <cell r="J255">
            <v>39.716608705533552</v>
          </cell>
          <cell r="K255">
            <v>0</v>
          </cell>
        </row>
        <row r="256">
          <cell r="E256">
            <v>3.3151095268037039</v>
          </cell>
          <cell r="F256">
            <v>37.051224123100226</v>
          </cell>
          <cell r="G256">
            <v>0</v>
          </cell>
          <cell r="I256">
            <v>2.2100730178691359</v>
          </cell>
          <cell r="J256">
            <v>1.8850622799472043</v>
          </cell>
          <cell r="K256">
            <v>0</v>
          </cell>
        </row>
        <row r="257">
          <cell r="E257">
            <v>2.6232409947782966</v>
          </cell>
          <cell r="F257">
            <v>21.293919815912897</v>
          </cell>
          <cell r="G257">
            <v>0</v>
          </cell>
          <cell r="I257">
            <v>6.3191432870165452</v>
          </cell>
          <cell r="J257">
            <v>8.2839189308788317</v>
          </cell>
          <cell r="K257">
            <v>0</v>
          </cell>
        </row>
        <row r="258">
          <cell r="E258">
            <v>2.5108200905797076</v>
          </cell>
          <cell r="F258">
            <v>11.298690407608685</v>
          </cell>
          <cell r="G258">
            <v>1.2554100452898538</v>
          </cell>
          <cell r="I258">
            <v>0</v>
          </cell>
          <cell r="J258">
            <v>13.124741382575744</v>
          </cell>
          <cell r="K258">
            <v>0</v>
          </cell>
        </row>
        <row r="259">
          <cell r="E259">
            <v>1.3</v>
          </cell>
          <cell r="F259">
            <v>5</v>
          </cell>
          <cell r="G259">
            <v>0.6006120601465349</v>
          </cell>
          <cell r="I259">
            <v>0</v>
          </cell>
          <cell r="J259">
            <v>1.8</v>
          </cell>
          <cell r="K259">
            <v>0</v>
          </cell>
        </row>
        <row r="260">
          <cell r="E260">
            <v>0.4</v>
          </cell>
          <cell r="F260">
            <v>4.8</v>
          </cell>
          <cell r="G260">
            <v>0.47399999999999998</v>
          </cell>
          <cell r="I260">
            <v>1</v>
          </cell>
          <cell r="J260">
            <v>2.5</v>
          </cell>
          <cell r="K260">
            <v>0</v>
          </cell>
        </row>
        <row r="261">
          <cell r="E261">
            <v>4.125811618561432</v>
          </cell>
          <cell r="F261">
            <v>18.349004303602158</v>
          </cell>
          <cell r="G261">
            <v>36.372286637317892</v>
          </cell>
          <cell r="I261">
            <v>1.2703156825570725</v>
          </cell>
          <cell r="J261">
            <v>27.143497490535736</v>
          </cell>
          <cell r="K261">
            <v>0</v>
          </cell>
        </row>
        <row r="262">
          <cell r="E262">
            <v>7.6892624776985965</v>
          </cell>
          <cell r="F262">
            <v>51.792545778929799</v>
          </cell>
          <cell r="G262">
            <v>0</v>
          </cell>
          <cell r="I262">
            <v>1.1716565626081807</v>
          </cell>
          <cell r="J262">
            <v>45.561463150513568</v>
          </cell>
          <cell r="K262">
            <v>0</v>
          </cell>
        </row>
        <row r="263">
          <cell r="E263">
            <v>1.5165334699489497</v>
          </cell>
          <cell r="F263">
            <v>30.547459864780031</v>
          </cell>
          <cell r="G263">
            <v>4.0446076631681755</v>
          </cell>
          <cell r="I263">
            <v>3.2859281358385646</v>
          </cell>
          <cell r="J263">
            <v>0</v>
          </cell>
          <cell r="K263">
            <v>3.0330682022598419</v>
          </cell>
        </row>
        <row r="264">
          <cell r="E264">
            <v>3.8751505833461795</v>
          </cell>
          <cell r="F264">
            <v>8.6622287215211689</v>
          </cell>
          <cell r="G264">
            <v>0.4819569618750838</v>
          </cell>
          <cell r="I264">
            <v>7.6937118380227556</v>
          </cell>
          <cell r="J264">
            <v>6.9247467977276784</v>
          </cell>
          <cell r="K264">
            <v>0</v>
          </cell>
        </row>
        <row r="265">
          <cell r="E265">
            <v>0.2</v>
          </cell>
          <cell r="F265">
            <v>0.8</v>
          </cell>
          <cell r="G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E266">
            <v>7.7</v>
          </cell>
          <cell r="F266">
            <v>10.100000000000001</v>
          </cell>
          <cell r="G266">
            <v>0</v>
          </cell>
          <cell r="I266">
            <v>0</v>
          </cell>
          <cell r="J266">
            <v>6.5</v>
          </cell>
          <cell r="K266">
            <v>0</v>
          </cell>
        </row>
        <row r="267">
          <cell r="E267">
            <v>3.7695771192652283</v>
          </cell>
          <cell r="F267">
            <v>34.746782289825745</v>
          </cell>
          <cell r="G267">
            <v>0</v>
          </cell>
          <cell r="I267">
            <v>9.7444850702094339</v>
          </cell>
          <cell r="J267">
            <v>18.976102505144688</v>
          </cell>
          <cell r="K267">
            <v>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5CA0-FFDB-43DC-992D-AC69B443D557}">
  <dimension ref="A1:BE271"/>
  <sheetViews>
    <sheetView tabSelected="1" topLeftCell="A205" zoomScale="80" zoomScaleNormal="80" workbookViewId="0">
      <pane xSplit="1" topLeftCell="AD1" activePane="topRight" state="frozen"/>
      <selection pane="topRight" activeCell="AD239" sqref="AD239"/>
    </sheetView>
  </sheetViews>
  <sheetFormatPr baseColWidth="10" defaultRowHeight="14.5" x14ac:dyDescent="0.35"/>
  <cols>
    <col min="1" max="1" width="15.26953125" style="8" customWidth="1"/>
    <col min="2" max="2" width="10.90625" style="8"/>
    <col min="3" max="3" width="13.08984375" style="8" customWidth="1"/>
    <col min="4" max="4" width="16" style="8" customWidth="1"/>
    <col min="5" max="5" width="14.6328125" style="51" customWidth="1"/>
    <col min="6" max="6" width="12" style="46" customWidth="1"/>
    <col min="7" max="7" width="11.6328125" style="46" customWidth="1"/>
    <col min="8" max="8" width="13.6328125" style="8" bestFit="1" customWidth="1"/>
    <col min="9" max="10" width="11" style="46" bestFit="1" customWidth="1"/>
    <col min="11" max="11" width="11.26953125" style="46" bestFit="1" customWidth="1"/>
    <col min="12" max="12" width="11.26953125" style="46" customWidth="1"/>
    <col min="13" max="17" width="10.90625" style="8"/>
    <col min="18" max="18" width="11.6328125" style="8" customWidth="1"/>
    <col min="19" max="21" width="14.1796875" style="8" customWidth="1"/>
    <col min="22" max="29" width="10.90625" style="8"/>
    <col min="30" max="30" width="39.6328125" style="8" customWidth="1"/>
    <col min="31" max="31" width="30.1796875" style="8" customWidth="1"/>
    <col min="32" max="34" width="36.08984375" style="8" customWidth="1"/>
    <col min="35" max="36" width="30.1796875" style="8" customWidth="1"/>
    <col min="37" max="38" width="51.36328125" style="8" customWidth="1"/>
    <col min="39" max="40" width="25.90625" style="8" customWidth="1"/>
    <col min="41" max="42" width="26.90625" style="8" customWidth="1"/>
    <col min="43" max="43" width="26.1796875" style="8" customWidth="1"/>
    <col min="44" max="44" width="22.90625" style="53" customWidth="1"/>
    <col min="45" max="48" width="24.26953125" style="55" customWidth="1"/>
    <col min="49" max="50" width="20.1796875" style="8" customWidth="1"/>
    <col min="51" max="51" width="21.54296875" style="8" customWidth="1"/>
    <col min="52" max="52" width="37.1796875" style="8" customWidth="1"/>
    <col min="53" max="54" width="40.36328125" style="8" customWidth="1"/>
    <col min="55" max="55" width="32.90625" style="8" customWidth="1"/>
    <col min="56" max="56" width="26.7265625" style="8" customWidth="1"/>
    <col min="57" max="57" width="21.26953125" style="8" customWidth="1"/>
    <col min="58" max="59" width="10.90625" style="8"/>
    <col min="60" max="60" width="29.36328125" style="8" customWidth="1"/>
    <col min="61" max="16384" width="10.90625" style="8"/>
  </cols>
  <sheetData>
    <row r="1" spans="1:57" s="6" customFormat="1" ht="61.5" customHeight="1" x14ac:dyDescent="0.35">
      <c r="A1" s="3" t="s">
        <v>0</v>
      </c>
      <c r="B1" s="3" t="s">
        <v>1</v>
      </c>
      <c r="C1" s="3" t="s">
        <v>2</v>
      </c>
      <c r="D1" s="17" t="s">
        <v>77</v>
      </c>
      <c r="E1" s="48" t="s">
        <v>3</v>
      </c>
      <c r="F1" s="18" t="s">
        <v>4</v>
      </c>
      <c r="G1" s="18" t="s">
        <v>5</v>
      </c>
      <c r="H1" s="19" t="s">
        <v>6</v>
      </c>
      <c r="I1" s="18" t="s">
        <v>7</v>
      </c>
      <c r="J1" s="18" t="s">
        <v>8</v>
      </c>
      <c r="K1" s="18" t="s">
        <v>9</v>
      </c>
      <c r="L1" s="18" t="s">
        <v>104</v>
      </c>
      <c r="M1" s="17" t="s">
        <v>85</v>
      </c>
      <c r="N1" s="17" t="s">
        <v>10</v>
      </c>
      <c r="O1" s="17" t="s">
        <v>87</v>
      </c>
      <c r="P1" s="19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U1" s="19" t="s">
        <v>16</v>
      </c>
      <c r="V1" s="19" t="s">
        <v>17</v>
      </c>
      <c r="W1" s="19" t="s">
        <v>18</v>
      </c>
      <c r="X1" s="19" t="s">
        <v>19</v>
      </c>
      <c r="Y1" s="19" t="s">
        <v>20</v>
      </c>
      <c r="Z1" s="19" t="s">
        <v>21</v>
      </c>
      <c r="AA1" s="19" t="s">
        <v>22</v>
      </c>
      <c r="AB1" s="19" t="s">
        <v>9</v>
      </c>
      <c r="AC1" s="20" t="s">
        <v>24</v>
      </c>
      <c r="AD1" s="21" t="s">
        <v>89</v>
      </c>
      <c r="AE1" s="6" t="s">
        <v>90</v>
      </c>
      <c r="AF1" s="6" t="s">
        <v>91</v>
      </c>
      <c r="AG1" s="6" t="s">
        <v>92</v>
      </c>
      <c r="AH1" s="6" t="s">
        <v>99</v>
      </c>
      <c r="AI1" s="56" t="s">
        <v>100</v>
      </c>
      <c r="AJ1" s="56" t="s">
        <v>101</v>
      </c>
      <c r="AK1" s="1" t="s">
        <v>79</v>
      </c>
      <c r="AL1" s="1" t="s">
        <v>93</v>
      </c>
      <c r="AM1" s="1" t="s">
        <v>72</v>
      </c>
      <c r="AN1" s="2" t="s">
        <v>94</v>
      </c>
      <c r="AO1" s="2" t="s">
        <v>73</v>
      </c>
      <c r="AP1" s="2" t="s">
        <v>95</v>
      </c>
      <c r="AQ1" s="1" t="s">
        <v>86</v>
      </c>
      <c r="AR1" s="52" t="s">
        <v>78</v>
      </c>
      <c r="AS1" s="54" t="s">
        <v>81</v>
      </c>
      <c r="AT1" s="54" t="s">
        <v>96</v>
      </c>
      <c r="AU1" s="54" t="s">
        <v>74</v>
      </c>
      <c r="AV1" s="54" t="s">
        <v>97</v>
      </c>
      <c r="AW1" s="2" t="s">
        <v>82</v>
      </c>
      <c r="AX1" s="2" t="s">
        <v>103</v>
      </c>
      <c r="AY1" s="2" t="s">
        <v>83</v>
      </c>
      <c r="AZ1" s="2" t="s">
        <v>75</v>
      </c>
      <c r="BA1" s="2" t="s">
        <v>76</v>
      </c>
      <c r="BB1" s="2" t="s">
        <v>105</v>
      </c>
      <c r="BC1" s="2" t="s">
        <v>84</v>
      </c>
      <c r="BD1" s="14" t="s">
        <v>88</v>
      </c>
      <c r="BE1" s="72" t="s">
        <v>98</v>
      </c>
    </row>
    <row r="2" spans="1:57" x14ac:dyDescent="0.35">
      <c r="A2" s="22" t="s">
        <v>27</v>
      </c>
      <c r="B2" s="22" t="s">
        <v>65</v>
      </c>
      <c r="C2" s="47">
        <f>D2+G2</f>
        <v>130.0051</v>
      </c>
      <c r="D2" s="23">
        <f>E2+F2</f>
        <v>130.0051</v>
      </c>
      <c r="E2" s="30">
        <v>2.1168</v>
      </c>
      <c r="F2" s="24">
        <v>127.8883</v>
      </c>
      <c r="G2" s="24">
        <v>0</v>
      </c>
      <c r="H2" s="25">
        <f>I2+J2</f>
        <v>24.0029</v>
      </c>
      <c r="I2" s="24">
        <v>10.3255</v>
      </c>
      <c r="J2" s="24">
        <v>13.6774</v>
      </c>
      <c r="K2" s="24">
        <v>0</v>
      </c>
      <c r="L2" s="25">
        <f>M2+T2</f>
        <v>8.6973117749133309</v>
      </c>
      <c r="M2" s="25">
        <f>P2+R2</f>
        <v>8.6973117749133309</v>
      </c>
      <c r="N2" s="25">
        <f>Q2+S2+U2</f>
        <v>10.599546192138643</v>
      </c>
      <c r="O2" s="25">
        <f>Q2+S2</f>
        <v>10.599546192138643</v>
      </c>
      <c r="P2" s="24">
        <f>($E2/$AE2)*100</f>
        <v>0.14161344105067059</v>
      </c>
      <c r="Q2" s="24">
        <f>($E2/$AD2)*100</f>
        <v>0.1725864552969005</v>
      </c>
      <c r="R2" s="24">
        <f>($F2/$AE2)*100</f>
        <v>8.5556983338626598</v>
      </c>
      <c r="S2" s="24">
        <f t="shared" ref="S2:S65" si="0">($F2/$AD2)*100</f>
        <v>10.426959736841743</v>
      </c>
      <c r="T2" s="24">
        <f t="shared" ref="T2:T65" si="1">($G2/$AE2)*100</f>
        <v>0</v>
      </c>
      <c r="U2" s="24">
        <f t="shared" ref="U2:U65" si="2">($G2/$AD2)*100</f>
        <v>0</v>
      </c>
      <c r="V2" s="25">
        <f>X2+Z2</f>
        <v>1.6057885790793376</v>
      </c>
      <c r="W2" s="25">
        <f>Y2+AA2</f>
        <v>1.9569989738501388</v>
      </c>
      <c r="X2" s="24">
        <f>($I2/$AE2)*100</f>
        <v>0.690773613741827</v>
      </c>
      <c r="Y2" s="24">
        <f t="shared" ref="Y2:Y65" si="3">($I2/AD2)*100</f>
        <v>0.84185631338253319</v>
      </c>
      <c r="Z2" s="24">
        <f t="shared" ref="Z2:Z65" si="4">($J2/$AE2)*100</f>
        <v>0.91501496533751059</v>
      </c>
      <c r="AA2" s="24">
        <f t="shared" ref="AA2:AA65" si="5">($J2/$AD2)*100</f>
        <v>1.1151426604676056</v>
      </c>
      <c r="AB2" s="24">
        <f t="shared" ref="AB2:AB65" si="6">($K2/$AE2)*100</f>
        <v>0</v>
      </c>
      <c r="AC2" s="24">
        <f t="shared" ref="AC2:AC65" si="7">($K2/$AD2)*100</f>
        <v>0</v>
      </c>
      <c r="AD2" s="26">
        <v>1226.51571721458</v>
      </c>
      <c r="AE2" s="8">
        <v>1494.77336635199</v>
      </c>
      <c r="AF2" s="61">
        <f>D2+H2</f>
        <v>154.00800000000001</v>
      </c>
      <c r="AG2" s="61">
        <f>(D2)+(H2)</f>
        <v>154.00800000000001</v>
      </c>
      <c r="AH2" s="74">
        <f>($D2/$AG2)</f>
        <v>0.844145109344969</v>
      </c>
      <c r="AI2" s="74">
        <f>$D2/$AG2</f>
        <v>0.844145109344969</v>
      </c>
      <c r="AJ2" s="74">
        <f>(($D2)/(AF2))</f>
        <v>0.844145109344969</v>
      </c>
      <c r="AK2" s="74">
        <f t="shared" ref="AK2:AK33" si="8">$D2/(AF2)</f>
        <v>0.844145109344969</v>
      </c>
      <c r="AL2" s="74">
        <f>($F2/(AG2))</f>
        <v>0.83040036881200974</v>
      </c>
      <c r="AM2" s="74">
        <f>($F2/(AF2))</f>
        <v>0.83040036881200974</v>
      </c>
      <c r="AN2" s="74">
        <f>($E2/AG2)</f>
        <v>1.3744740532959326E-2</v>
      </c>
      <c r="AO2" s="74">
        <f>($E2/AF2)</f>
        <v>1.3744740532959326E-2</v>
      </c>
      <c r="AP2" s="74">
        <f>($G2/$AG2)</f>
        <v>0</v>
      </c>
      <c r="AQ2" s="74">
        <f>($G2/$AF2)</f>
        <v>0</v>
      </c>
      <c r="AR2" s="74">
        <f>(F2/D2)</f>
        <v>0.98371756184949666</v>
      </c>
      <c r="AS2" s="74">
        <f>(E2/D2)</f>
        <v>1.6282438150503328E-2</v>
      </c>
      <c r="AT2" s="74">
        <f>($H2/(AG2))</f>
        <v>0.15585489065503089</v>
      </c>
      <c r="AU2" s="74">
        <f>($H2/(AF2))</f>
        <v>0.15585489065503089</v>
      </c>
      <c r="AV2" s="74">
        <f>($I2/(AG2))</f>
        <v>6.7045218430211412E-2</v>
      </c>
      <c r="AW2" s="74">
        <f>($I2/(AF2))</f>
        <v>6.7045218430211412E-2</v>
      </c>
      <c r="AX2" s="74">
        <f>($J2/(AG2))</f>
        <v>8.8809672224819489E-2</v>
      </c>
      <c r="AY2" s="74">
        <f>($J2/(AF2))</f>
        <v>8.8809672224819489E-2</v>
      </c>
      <c r="AZ2" s="74">
        <f>(I2/H2)</f>
        <v>0.43017718692324675</v>
      </c>
      <c r="BA2" s="74">
        <f>J2/H2</f>
        <v>0.5698228130767532</v>
      </c>
      <c r="BB2" s="74">
        <f>((AF2+G2)/AE2)</f>
        <v>0.10303100353992668</v>
      </c>
      <c r="BC2" s="74">
        <f>(AF2/AE2)</f>
        <v>0.10303100353992668</v>
      </c>
      <c r="BD2" s="74">
        <f>(AF2)/AD2</f>
        <v>0.12556545165988783</v>
      </c>
      <c r="BE2" s="75">
        <f>(AG2/AE2)</f>
        <v>0.10303100353992668</v>
      </c>
    </row>
    <row r="3" spans="1:57" x14ac:dyDescent="0.35">
      <c r="A3" s="22" t="s">
        <v>28</v>
      </c>
      <c r="B3" s="22" t="s">
        <v>65</v>
      </c>
      <c r="C3" s="47">
        <f t="shared" ref="C3:C66" si="9">D3+G3</f>
        <v>144.75</v>
      </c>
      <c r="D3" s="23">
        <f t="shared" ref="D3:D66" si="10">E3+F3</f>
        <v>81</v>
      </c>
      <c r="E3" s="30">
        <v>2.4</v>
      </c>
      <c r="F3" s="24">
        <v>78.599999999999994</v>
      </c>
      <c r="G3" s="24">
        <v>63.75</v>
      </c>
      <c r="H3" s="25">
        <f t="shared" ref="H3:H66" si="11">I3+J3</f>
        <v>51.7</v>
      </c>
      <c r="I3" s="24">
        <v>3.7</v>
      </c>
      <c r="J3" s="24">
        <v>48</v>
      </c>
      <c r="K3" s="24">
        <v>0</v>
      </c>
      <c r="L3" s="25">
        <f t="shared" ref="L3:L66" si="12">M3+T3</f>
        <v>8.5317438253232964</v>
      </c>
      <c r="M3" s="25">
        <f t="shared" ref="M3:M66" si="13">P3+R3</f>
        <v>4.7742400680565593</v>
      </c>
      <c r="N3" s="25">
        <f t="shared" ref="N3:N66" si="14">Q3+S3+U3</f>
        <v>8.3986652177044707</v>
      </c>
      <c r="O3" s="25">
        <f>Q3+S3</f>
        <v>4.6997712099071647</v>
      </c>
      <c r="P3" s="24">
        <f t="shared" ref="P3:P66" si="15">($E3/$AE3)*100</f>
        <v>0.14145896497945359</v>
      </c>
      <c r="Q3" s="24">
        <f t="shared" ref="Q3:Q65" si="16">($E3/$AD3)*100</f>
        <v>0.13925248029354564</v>
      </c>
      <c r="R3" s="24">
        <f t="shared" ref="R3:R65" si="17">($F3/$AE3)*100</f>
        <v>4.6327811030771056</v>
      </c>
      <c r="S3" s="24">
        <f t="shared" si="0"/>
        <v>4.5605187296136194</v>
      </c>
      <c r="T3" s="24">
        <f t="shared" si="1"/>
        <v>3.7575037572667362</v>
      </c>
      <c r="U3" s="24">
        <f t="shared" si="2"/>
        <v>3.6988940077973065</v>
      </c>
      <c r="V3" s="25">
        <f t="shared" ref="V3:V66" si="18">X3+Z3</f>
        <v>3.0472618705990637</v>
      </c>
      <c r="W3" s="25">
        <f t="shared" ref="W3:W66" si="19">Y3+AA3</f>
        <v>2.999730512990129</v>
      </c>
      <c r="X3" s="24">
        <f t="shared" ref="X3:X65" si="20">($I3/$AE3)*100</f>
        <v>0.21808257100999098</v>
      </c>
      <c r="Y3" s="24">
        <f t="shared" si="3"/>
        <v>0.21468090711921622</v>
      </c>
      <c r="Z3" s="24">
        <f t="shared" si="4"/>
        <v>2.8291792995890725</v>
      </c>
      <c r="AA3" s="24">
        <f t="shared" si="5"/>
        <v>2.7850496058709129</v>
      </c>
      <c r="AB3" s="24">
        <f t="shared" si="6"/>
        <v>0</v>
      </c>
      <c r="AC3" s="24">
        <f t="shared" si="7"/>
        <v>0</v>
      </c>
      <c r="AD3" s="26">
        <v>1723.48815255626</v>
      </c>
      <c r="AE3" s="8">
        <v>1696.60508992738</v>
      </c>
      <c r="AF3" s="61">
        <f t="shared" ref="AF3:AF66" si="21">D3+H3</f>
        <v>132.69999999999999</v>
      </c>
      <c r="AG3" s="61">
        <f t="shared" ref="AG3:AG66" si="22">(D3)+(H3)</f>
        <v>132.69999999999999</v>
      </c>
      <c r="AH3" s="74">
        <f t="shared" ref="AH3:AH66" si="23">($D3/$AG3)</f>
        <v>0.6103993971363979</v>
      </c>
      <c r="AI3" s="74">
        <f t="shared" ref="AI3:AI34" si="24">D3/AG3</f>
        <v>0.6103993971363979</v>
      </c>
      <c r="AJ3" s="74">
        <f t="shared" ref="AJ3:AJ66" si="25">(($D3)/(AF3))</f>
        <v>0.6103993971363979</v>
      </c>
      <c r="AK3" s="74">
        <f t="shared" si="8"/>
        <v>0.6103993971363979</v>
      </c>
      <c r="AL3" s="74">
        <f t="shared" ref="AL3:AL66" si="26">($F3/(AG3))</f>
        <v>0.59231348907309722</v>
      </c>
      <c r="AM3" s="74">
        <f t="shared" ref="AM3:AM33" si="27">(F3/(AF3))</f>
        <v>0.59231348907309722</v>
      </c>
      <c r="AN3" s="74">
        <f t="shared" ref="AN3:AN66" si="28">($E3/AG3)</f>
        <v>1.8085908063300678E-2</v>
      </c>
      <c r="AO3" s="74">
        <f t="shared" ref="AO3:AO66" si="29">(E3/AF3)</f>
        <v>1.8085908063300678E-2</v>
      </c>
      <c r="AP3" s="74">
        <f t="shared" ref="AP3:AP66" si="30">($G3/$AG3)</f>
        <v>0.48040693293142428</v>
      </c>
      <c r="AQ3" s="74">
        <f t="shared" ref="AQ3:AQ66" si="31">($G3/$AF3)</f>
        <v>0.48040693293142428</v>
      </c>
      <c r="AR3" s="74">
        <f t="shared" ref="AR3:AR66" si="32">(F3/D3)</f>
        <v>0.97037037037037033</v>
      </c>
      <c r="AS3" s="74">
        <f t="shared" ref="AS3:AS66" si="33">(E3/D3)</f>
        <v>2.9629629629629627E-2</v>
      </c>
      <c r="AT3" s="74">
        <f t="shared" ref="AT3:AT66" si="34">($H3/(AG3))</f>
        <v>0.38960060286360215</v>
      </c>
      <c r="AU3" s="74">
        <f t="shared" ref="AU3:AU66" si="35">($H3/(AF3))</f>
        <v>0.38960060286360215</v>
      </c>
      <c r="AV3" s="74">
        <f t="shared" ref="AV3:AV66" si="36">($I3/(AG3))</f>
        <v>2.7882441597588549E-2</v>
      </c>
      <c r="AW3" s="74">
        <f t="shared" ref="AW3:AW66" si="37">($I3/(AF3))</f>
        <v>2.7882441597588549E-2</v>
      </c>
      <c r="AX3" s="74">
        <f t="shared" ref="AX3:AX66" si="38">($J3/(AG3))</f>
        <v>0.36171816126601358</v>
      </c>
      <c r="AY3" s="74">
        <f t="shared" ref="AY3:AY66" si="39">(J3/(AF3))</f>
        <v>0.36171816126601358</v>
      </c>
      <c r="AZ3" s="74">
        <f t="shared" ref="AZ3:AZ66" si="40">(I3/H3)</f>
        <v>7.1566731141199227E-2</v>
      </c>
      <c r="BA3" s="74">
        <f t="shared" ref="BA3:BA66" si="41">J3/H3</f>
        <v>0.92843326885880073</v>
      </c>
      <c r="BB3" s="74">
        <f t="shared" ref="BB3:BB66" si="42">((AF3+G3)/AE3)</f>
        <v>0.11579005695922359</v>
      </c>
      <c r="BC3" s="74">
        <f t="shared" ref="BC3:BC66" si="43">(AF3/AE3)</f>
        <v>7.8215019386556214E-2</v>
      </c>
      <c r="BD3" s="74">
        <f t="shared" ref="BD3:BD66" si="44">(AF3)/AD3</f>
        <v>7.6995017228972937E-2</v>
      </c>
      <c r="BE3" s="75">
        <f t="shared" ref="BE3:BE66" si="45">(AG3/AE3)</f>
        <v>7.8215019386556214E-2</v>
      </c>
    </row>
    <row r="4" spans="1:57" x14ac:dyDescent="0.35">
      <c r="A4" s="22" t="s">
        <v>29</v>
      </c>
      <c r="B4" s="22" t="s">
        <v>65</v>
      </c>
      <c r="C4" s="47">
        <f t="shared" si="9"/>
        <v>65</v>
      </c>
      <c r="D4" s="23">
        <f t="shared" si="10"/>
        <v>16.5</v>
      </c>
      <c r="E4" s="30">
        <v>5.5</v>
      </c>
      <c r="F4" s="27">
        <v>11</v>
      </c>
      <c r="G4" s="27">
        <v>48.5</v>
      </c>
      <c r="H4" s="25">
        <f t="shared" si="11"/>
        <v>348</v>
      </c>
      <c r="I4" s="27">
        <v>0</v>
      </c>
      <c r="J4" s="27">
        <v>348</v>
      </c>
      <c r="K4" s="24">
        <v>0</v>
      </c>
      <c r="L4" s="25">
        <f t="shared" si="12"/>
        <v>2.4839380106429396</v>
      </c>
      <c r="M4" s="25">
        <f t="shared" si="13"/>
        <v>0.630538110393977</v>
      </c>
      <c r="N4" s="25">
        <f t="shared" si="14"/>
        <v>2.2359126966987688</v>
      </c>
      <c r="O4" s="25">
        <f t="shared" ref="O4:O66" si="46">Q4+S4</f>
        <v>0.56757783839276432</v>
      </c>
      <c r="P4" s="24">
        <f t="shared" si="15"/>
        <v>0.21017937013132568</v>
      </c>
      <c r="Q4" s="24">
        <f t="shared" si="16"/>
        <v>0.18919261279758812</v>
      </c>
      <c r="R4" s="24">
        <f t="shared" si="17"/>
        <v>0.42035874026265135</v>
      </c>
      <c r="S4" s="24">
        <f t="shared" si="0"/>
        <v>0.37838522559517623</v>
      </c>
      <c r="T4" s="24">
        <f t="shared" si="1"/>
        <v>1.8533999002489625</v>
      </c>
      <c r="U4" s="24">
        <f t="shared" si="2"/>
        <v>1.6683348583060043</v>
      </c>
      <c r="V4" s="25">
        <f t="shared" si="18"/>
        <v>13.298621964672968</v>
      </c>
      <c r="W4" s="25">
        <f t="shared" si="19"/>
        <v>11.970732591556484</v>
      </c>
      <c r="X4" s="24">
        <f t="shared" si="20"/>
        <v>0</v>
      </c>
      <c r="Y4" s="24">
        <f t="shared" si="3"/>
        <v>0</v>
      </c>
      <c r="Z4" s="24">
        <f t="shared" si="4"/>
        <v>13.298621964672968</v>
      </c>
      <c r="AA4" s="24">
        <f t="shared" si="5"/>
        <v>11.970732591556484</v>
      </c>
      <c r="AB4" s="24">
        <f t="shared" si="6"/>
        <v>0</v>
      </c>
      <c r="AC4" s="24">
        <f t="shared" si="7"/>
        <v>0</v>
      </c>
      <c r="AD4" s="26">
        <v>2907.0902498102801</v>
      </c>
      <c r="AE4" s="8">
        <v>2616.8124857180101</v>
      </c>
      <c r="AF4" s="61">
        <f t="shared" si="21"/>
        <v>364.5</v>
      </c>
      <c r="AG4" s="61">
        <f t="shared" si="22"/>
        <v>364.5</v>
      </c>
      <c r="AH4" s="74">
        <f t="shared" si="23"/>
        <v>4.5267489711934158E-2</v>
      </c>
      <c r="AI4" s="74">
        <f t="shared" si="24"/>
        <v>4.5267489711934158E-2</v>
      </c>
      <c r="AJ4" s="74">
        <f t="shared" si="25"/>
        <v>4.5267489711934158E-2</v>
      </c>
      <c r="AK4" s="74">
        <f t="shared" si="8"/>
        <v>4.5267489711934158E-2</v>
      </c>
      <c r="AL4" s="74">
        <f t="shared" si="26"/>
        <v>3.017832647462277E-2</v>
      </c>
      <c r="AM4" s="74">
        <f t="shared" si="27"/>
        <v>3.017832647462277E-2</v>
      </c>
      <c r="AN4" s="74">
        <f t="shared" si="28"/>
        <v>1.5089163237311385E-2</v>
      </c>
      <c r="AO4" s="74">
        <f t="shared" si="29"/>
        <v>1.5089163237311385E-2</v>
      </c>
      <c r="AP4" s="74">
        <f t="shared" si="30"/>
        <v>0.13305898491083676</v>
      </c>
      <c r="AQ4" s="74">
        <f t="shared" si="31"/>
        <v>0.13305898491083676</v>
      </c>
      <c r="AR4" s="74">
        <f t="shared" si="32"/>
        <v>0.66666666666666663</v>
      </c>
      <c r="AS4" s="74">
        <f t="shared" si="33"/>
        <v>0.33333333333333331</v>
      </c>
      <c r="AT4" s="74">
        <f t="shared" si="34"/>
        <v>0.95473251028806583</v>
      </c>
      <c r="AU4" s="74">
        <f t="shared" si="35"/>
        <v>0.95473251028806583</v>
      </c>
      <c r="AV4" s="74">
        <f t="shared" si="36"/>
        <v>0</v>
      </c>
      <c r="AW4" s="74">
        <f t="shared" si="37"/>
        <v>0</v>
      </c>
      <c r="AX4" s="74">
        <f t="shared" si="38"/>
        <v>0.95473251028806583</v>
      </c>
      <c r="AY4" s="74">
        <f t="shared" si="39"/>
        <v>0.95473251028806583</v>
      </c>
      <c r="AZ4" s="74">
        <f t="shared" si="40"/>
        <v>0</v>
      </c>
      <c r="BA4" s="74">
        <f t="shared" si="41"/>
        <v>1</v>
      </c>
      <c r="BB4" s="74">
        <f t="shared" si="42"/>
        <v>0.1578255997531591</v>
      </c>
      <c r="BC4" s="74">
        <f t="shared" si="43"/>
        <v>0.13929160075066946</v>
      </c>
      <c r="BD4" s="74">
        <f t="shared" si="44"/>
        <v>0.12538310429949248</v>
      </c>
      <c r="BE4" s="75">
        <f t="shared" si="45"/>
        <v>0.13929160075066946</v>
      </c>
    </row>
    <row r="5" spans="1:57" x14ac:dyDescent="0.35">
      <c r="A5" s="22" t="s">
        <v>30</v>
      </c>
      <c r="B5" s="22" t="s">
        <v>65</v>
      </c>
      <c r="C5" s="47">
        <f t="shared" si="9"/>
        <v>143</v>
      </c>
      <c r="D5" s="23">
        <f t="shared" si="10"/>
        <v>143</v>
      </c>
      <c r="E5" s="30">
        <v>11.2</v>
      </c>
      <c r="F5" s="24">
        <v>131.80000000000001</v>
      </c>
      <c r="G5" s="24">
        <v>0</v>
      </c>
      <c r="H5" s="25">
        <f t="shared" si="11"/>
        <v>1072</v>
      </c>
      <c r="I5" s="24">
        <v>223</v>
      </c>
      <c r="J5" s="24">
        <v>849</v>
      </c>
      <c r="K5" s="24">
        <v>0</v>
      </c>
      <c r="L5" s="25">
        <f t="shared" si="12"/>
        <v>3.9751844662002656</v>
      </c>
      <c r="M5" s="25">
        <f t="shared" si="13"/>
        <v>3.9751844662002656</v>
      </c>
      <c r="N5" s="25">
        <f t="shared" si="14"/>
        <v>3.4360258824878329</v>
      </c>
      <c r="O5" s="25">
        <f t="shared" si="46"/>
        <v>3.4360258824878329</v>
      </c>
      <c r="P5" s="24">
        <f t="shared" si="15"/>
        <v>0.3113431190310697</v>
      </c>
      <c r="Q5" s="24">
        <f t="shared" si="16"/>
        <v>0.26911531387317289</v>
      </c>
      <c r="R5" s="24">
        <f t="shared" si="17"/>
        <v>3.6638413471691957</v>
      </c>
      <c r="S5" s="24">
        <f t="shared" si="0"/>
        <v>3.1669105686146599</v>
      </c>
      <c r="T5" s="24">
        <f t="shared" si="1"/>
        <v>0</v>
      </c>
      <c r="U5" s="24">
        <f t="shared" si="2"/>
        <v>0</v>
      </c>
      <c r="V5" s="25">
        <f t="shared" si="18"/>
        <v>29.799984250116676</v>
      </c>
      <c r="W5" s="25">
        <f t="shared" si="19"/>
        <v>25.758180042146549</v>
      </c>
      <c r="X5" s="24">
        <f t="shared" si="20"/>
        <v>6.1990638878507633</v>
      </c>
      <c r="Y5" s="24">
        <f t="shared" si="3"/>
        <v>5.3582781244390683</v>
      </c>
      <c r="Z5" s="24">
        <f t="shared" si="4"/>
        <v>23.600920362265914</v>
      </c>
      <c r="AA5" s="24">
        <f t="shared" si="5"/>
        <v>20.399901917707481</v>
      </c>
      <c r="AB5" s="24">
        <f t="shared" si="6"/>
        <v>0</v>
      </c>
      <c r="AC5" s="24">
        <f t="shared" si="7"/>
        <v>0</v>
      </c>
      <c r="AD5" s="26">
        <v>4161.7847155581303</v>
      </c>
      <c r="AE5" s="8">
        <v>3597.3173374942398</v>
      </c>
      <c r="AF5" s="61">
        <f t="shared" si="21"/>
        <v>1215</v>
      </c>
      <c r="AG5" s="61">
        <f t="shared" si="22"/>
        <v>1215</v>
      </c>
      <c r="AH5" s="74">
        <f t="shared" si="23"/>
        <v>0.1176954732510288</v>
      </c>
      <c r="AI5" s="74">
        <f t="shared" si="24"/>
        <v>0.1176954732510288</v>
      </c>
      <c r="AJ5" s="74">
        <f t="shared" si="25"/>
        <v>0.1176954732510288</v>
      </c>
      <c r="AK5" s="74">
        <f t="shared" si="8"/>
        <v>0.1176954732510288</v>
      </c>
      <c r="AL5" s="74">
        <f t="shared" si="26"/>
        <v>0.10847736625514404</v>
      </c>
      <c r="AM5" s="74">
        <f t="shared" si="27"/>
        <v>0.10847736625514404</v>
      </c>
      <c r="AN5" s="74">
        <f t="shared" si="28"/>
        <v>9.2181069958847724E-3</v>
      </c>
      <c r="AO5" s="74">
        <f t="shared" si="29"/>
        <v>9.2181069958847724E-3</v>
      </c>
      <c r="AP5" s="74">
        <f t="shared" si="30"/>
        <v>0</v>
      </c>
      <c r="AQ5" s="74">
        <f t="shared" si="31"/>
        <v>0</v>
      </c>
      <c r="AR5" s="74">
        <f t="shared" si="32"/>
        <v>0.92167832167832175</v>
      </c>
      <c r="AS5" s="74">
        <f t="shared" si="33"/>
        <v>7.8321678321678315E-2</v>
      </c>
      <c r="AT5" s="74">
        <f t="shared" si="34"/>
        <v>0.8823045267489712</v>
      </c>
      <c r="AU5" s="74">
        <f t="shared" si="35"/>
        <v>0.8823045267489712</v>
      </c>
      <c r="AV5" s="74">
        <f t="shared" si="36"/>
        <v>0.18353909465020576</v>
      </c>
      <c r="AW5" s="74">
        <f t="shared" si="37"/>
        <v>0.18353909465020576</v>
      </c>
      <c r="AX5" s="74">
        <f t="shared" si="38"/>
        <v>0.6987654320987654</v>
      </c>
      <c r="AY5" s="74">
        <f t="shared" si="39"/>
        <v>0.6987654320987654</v>
      </c>
      <c r="AZ5" s="74">
        <f t="shared" si="40"/>
        <v>0.2080223880597015</v>
      </c>
      <c r="BA5" s="74">
        <f t="shared" si="41"/>
        <v>0.79197761194029848</v>
      </c>
      <c r="BB5" s="74">
        <f t="shared" si="42"/>
        <v>0.33775168716316939</v>
      </c>
      <c r="BC5" s="74">
        <f t="shared" si="43"/>
        <v>0.33775168716316939</v>
      </c>
      <c r="BD5" s="74">
        <f t="shared" si="44"/>
        <v>0.29194205924634387</v>
      </c>
      <c r="BE5" s="75">
        <f t="shared" si="45"/>
        <v>0.33775168716316939</v>
      </c>
    </row>
    <row r="6" spans="1:57" x14ac:dyDescent="0.35">
      <c r="A6" s="22" t="s">
        <v>31</v>
      </c>
      <c r="B6" s="22" t="s">
        <v>65</v>
      </c>
      <c r="C6" s="47">
        <f t="shared" si="9"/>
        <v>22</v>
      </c>
      <c r="D6" s="23">
        <f t="shared" si="10"/>
        <v>22</v>
      </c>
      <c r="E6" s="30">
        <v>3.63</v>
      </c>
      <c r="F6" s="24">
        <v>18.37</v>
      </c>
      <c r="G6" s="24">
        <v>0</v>
      </c>
      <c r="H6" s="25">
        <f t="shared" si="11"/>
        <v>591</v>
      </c>
      <c r="I6" s="24">
        <v>0</v>
      </c>
      <c r="J6" s="24">
        <v>591</v>
      </c>
      <c r="K6" s="24">
        <v>0</v>
      </c>
      <c r="L6" s="25">
        <f t="shared" si="12"/>
        <v>1.1469339016069102</v>
      </c>
      <c r="M6" s="25">
        <f t="shared" si="13"/>
        <v>1.1469339016069102</v>
      </c>
      <c r="N6" s="25">
        <f t="shared" si="14"/>
        <v>0.94111212635674024</v>
      </c>
      <c r="O6" s="25">
        <f t="shared" si="46"/>
        <v>0.94111212635674024</v>
      </c>
      <c r="P6" s="24">
        <f t="shared" si="15"/>
        <v>0.18924409376514018</v>
      </c>
      <c r="Q6" s="24">
        <f t="shared" si="16"/>
        <v>0.15528350084886214</v>
      </c>
      <c r="R6" s="24">
        <f t="shared" si="17"/>
        <v>0.95768980784176994</v>
      </c>
      <c r="S6" s="24">
        <f t="shared" si="0"/>
        <v>0.78582862550787813</v>
      </c>
      <c r="T6" s="24">
        <f t="shared" si="1"/>
        <v>0</v>
      </c>
      <c r="U6" s="24">
        <f t="shared" si="2"/>
        <v>0</v>
      </c>
      <c r="V6" s="25">
        <f t="shared" si="18"/>
        <v>30.810815265894721</v>
      </c>
      <c r="W6" s="25">
        <f t="shared" si="19"/>
        <v>25.281693939856066</v>
      </c>
      <c r="X6" s="24">
        <f t="shared" si="20"/>
        <v>0</v>
      </c>
      <c r="Y6" s="24">
        <f t="shared" si="3"/>
        <v>0</v>
      </c>
      <c r="Z6" s="24">
        <f t="shared" si="4"/>
        <v>30.810815265894721</v>
      </c>
      <c r="AA6" s="24">
        <f t="shared" si="5"/>
        <v>25.281693939856066</v>
      </c>
      <c r="AB6" s="24">
        <f t="shared" si="6"/>
        <v>0</v>
      </c>
      <c r="AC6" s="24">
        <f t="shared" si="7"/>
        <v>0</v>
      </c>
      <c r="AD6" s="26">
        <v>2337.6598158571201</v>
      </c>
      <c r="AE6" s="8">
        <v>1918.15761738117</v>
      </c>
      <c r="AF6" s="61">
        <f t="shared" si="21"/>
        <v>613</v>
      </c>
      <c r="AG6" s="61">
        <f t="shared" si="22"/>
        <v>613</v>
      </c>
      <c r="AH6" s="74">
        <f t="shared" si="23"/>
        <v>3.588907014681892E-2</v>
      </c>
      <c r="AI6" s="74">
        <f t="shared" si="24"/>
        <v>3.588907014681892E-2</v>
      </c>
      <c r="AJ6" s="74">
        <f t="shared" si="25"/>
        <v>3.588907014681892E-2</v>
      </c>
      <c r="AK6" s="74">
        <f t="shared" si="8"/>
        <v>3.588907014681892E-2</v>
      </c>
      <c r="AL6" s="74">
        <f t="shared" si="26"/>
        <v>2.9967373572593804E-2</v>
      </c>
      <c r="AM6" s="74">
        <f t="shared" si="27"/>
        <v>2.9967373572593804E-2</v>
      </c>
      <c r="AN6" s="74">
        <f t="shared" si="28"/>
        <v>5.921696574225122E-3</v>
      </c>
      <c r="AO6" s="74">
        <f t="shared" si="29"/>
        <v>5.921696574225122E-3</v>
      </c>
      <c r="AP6" s="74">
        <f t="shared" si="30"/>
        <v>0</v>
      </c>
      <c r="AQ6" s="74">
        <f t="shared" si="31"/>
        <v>0</v>
      </c>
      <c r="AR6" s="74">
        <f t="shared" si="32"/>
        <v>0.83500000000000008</v>
      </c>
      <c r="AS6" s="74">
        <f t="shared" si="33"/>
        <v>0.16500000000000001</v>
      </c>
      <c r="AT6" s="74">
        <f t="shared" si="34"/>
        <v>0.96411092985318103</v>
      </c>
      <c r="AU6" s="74">
        <f t="shared" si="35"/>
        <v>0.96411092985318103</v>
      </c>
      <c r="AV6" s="74">
        <f t="shared" si="36"/>
        <v>0</v>
      </c>
      <c r="AW6" s="74">
        <f t="shared" si="37"/>
        <v>0</v>
      </c>
      <c r="AX6" s="74">
        <f t="shared" si="38"/>
        <v>0.96411092985318103</v>
      </c>
      <c r="AY6" s="74">
        <f t="shared" si="39"/>
        <v>0.96411092985318103</v>
      </c>
      <c r="AZ6" s="74">
        <f t="shared" si="40"/>
        <v>0</v>
      </c>
      <c r="BA6" s="74">
        <f t="shared" si="41"/>
        <v>1</v>
      </c>
      <c r="BB6" s="74">
        <f t="shared" si="42"/>
        <v>0.31957749167501631</v>
      </c>
      <c r="BC6" s="74">
        <f t="shared" si="43"/>
        <v>0.31957749167501631</v>
      </c>
      <c r="BD6" s="74">
        <f t="shared" si="44"/>
        <v>0.26222806066212806</v>
      </c>
      <c r="BE6" s="75">
        <f t="shared" si="45"/>
        <v>0.31957749167501631</v>
      </c>
    </row>
    <row r="7" spans="1:57" x14ac:dyDescent="0.35">
      <c r="A7" s="22" t="s">
        <v>32</v>
      </c>
      <c r="B7" s="22" t="s">
        <v>65</v>
      </c>
      <c r="C7" s="47">
        <f t="shared" si="9"/>
        <v>497</v>
      </c>
      <c r="D7" s="23">
        <f t="shared" si="10"/>
        <v>497</v>
      </c>
      <c r="E7" s="30">
        <v>12.1906</v>
      </c>
      <c r="F7" s="24">
        <v>484.80939999999998</v>
      </c>
      <c r="G7" s="24">
        <v>0</v>
      </c>
      <c r="H7" s="25">
        <f t="shared" si="11"/>
        <v>518</v>
      </c>
      <c r="I7" s="24">
        <v>499</v>
      </c>
      <c r="J7" s="24">
        <v>19</v>
      </c>
      <c r="K7" s="24">
        <v>0</v>
      </c>
      <c r="L7" s="25">
        <f t="shared" si="12"/>
        <v>10.88877715515526</v>
      </c>
      <c r="M7" s="25">
        <f t="shared" si="13"/>
        <v>10.88877715515526</v>
      </c>
      <c r="N7" s="25">
        <f t="shared" si="14"/>
        <v>9.3335923458114554</v>
      </c>
      <c r="O7" s="25">
        <f t="shared" si="46"/>
        <v>9.3335923458114554</v>
      </c>
      <c r="P7" s="24">
        <f t="shared" si="15"/>
        <v>0.26708395731918655</v>
      </c>
      <c r="Q7" s="24">
        <f t="shared" si="16"/>
        <v>0.22893780855301635</v>
      </c>
      <c r="R7" s="24">
        <f t="shared" si="17"/>
        <v>10.621693197836073</v>
      </c>
      <c r="S7" s="24">
        <f t="shared" si="0"/>
        <v>9.1046545372584387</v>
      </c>
      <c r="T7" s="24">
        <f t="shared" si="1"/>
        <v>0</v>
      </c>
      <c r="U7" s="24">
        <f t="shared" si="2"/>
        <v>0</v>
      </c>
      <c r="V7" s="25">
        <f t="shared" si="18"/>
        <v>11.348866330725201</v>
      </c>
      <c r="W7" s="25">
        <f t="shared" si="19"/>
        <v>9.7279694871837705</v>
      </c>
      <c r="X7" s="24">
        <f t="shared" si="20"/>
        <v>10.932595171876207</v>
      </c>
      <c r="Y7" s="24">
        <f t="shared" si="3"/>
        <v>9.3711520735612002</v>
      </c>
      <c r="Z7" s="24">
        <f t="shared" si="4"/>
        <v>0.41627115884899385</v>
      </c>
      <c r="AA7" s="24">
        <f t="shared" si="5"/>
        <v>0.35681741362257074</v>
      </c>
      <c r="AB7" s="24">
        <f t="shared" si="6"/>
        <v>0</v>
      </c>
      <c r="AC7" s="24">
        <f t="shared" si="7"/>
        <v>0</v>
      </c>
      <c r="AD7" s="26">
        <v>5324.8522282316499</v>
      </c>
      <c r="AE7" s="8">
        <v>4564.3325500944502</v>
      </c>
      <c r="AF7" s="61">
        <f t="shared" si="21"/>
        <v>1015</v>
      </c>
      <c r="AG7" s="61">
        <f t="shared" si="22"/>
        <v>1015</v>
      </c>
      <c r="AH7" s="74">
        <f t="shared" si="23"/>
        <v>0.48965517241379308</v>
      </c>
      <c r="AI7" s="74">
        <f t="shared" si="24"/>
        <v>0.48965517241379308</v>
      </c>
      <c r="AJ7" s="74">
        <f t="shared" si="25"/>
        <v>0.48965517241379308</v>
      </c>
      <c r="AK7" s="74">
        <f t="shared" si="8"/>
        <v>0.48965517241379308</v>
      </c>
      <c r="AL7" s="74">
        <f t="shared" si="26"/>
        <v>0.47764472906403938</v>
      </c>
      <c r="AM7" s="74">
        <f t="shared" si="27"/>
        <v>0.47764472906403938</v>
      </c>
      <c r="AN7" s="74">
        <f t="shared" si="28"/>
        <v>1.2010443349753694E-2</v>
      </c>
      <c r="AO7" s="74">
        <f t="shared" si="29"/>
        <v>1.2010443349753694E-2</v>
      </c>
      <c r="AP7" s="74">
        <f t="shared" si="30"/>
        <v>0</v>
      </c>
      <c r="AQ7" s="74">
        <f t="shared" si="31"/>
        <v>0</v>
      </c>
      <c r="AR7" s="74">
        <f t="shared" si="32"/>
        <v>0.97547162977867197</v>
      </c>
      <c r="AS7" s="74">
        <f t="shared" si="33"/>
        <v>2.4528370221327967E-2</v>
      </c>
      <c r="AT7" s="74">
        <f t="shared" si="34"/>
        <v>0.51034482758620692</v>
      </c>
      <c r="AU7" s="74">
        <f t="shared" si="35"/>
        <v>0.51034482758620692</v>
      </c>
      <c r="AV7" s="74">
        <f t="shared" si="36"/>
        <v>0.4916256157635468</v>
      </c>
      <c r="AW7" s="74">
        <f t="shared" si="37"/>
        <v>0.4916256157635468</v>
      </c>
      <c r="AX7" s="74">
        <f t="shared" si="38"/>
        <v>1.8719211822660099E-2</v>
      </c>
      <c r="AY7" s="74">
        <f t="shared" si="39"/>
        <v>1.8719211822660099E-2</v>
      </c>
      <c r="AZ7" s="74">
        <f t="shared" si="40"/>
        <v>0.96332046332046328</v>
      </c>
      <c r="BA7" s="74">
        <f t="shared" si="41"/>
        <v>3.6679536679536683E-2</v>
      </c>
      <c r="BB7" s="74">
        <f t="shared" si="42"/>
        <v>0.22237643485880459</v>
      </c>
      <c r="BC7" s="74">
        <f t="shared" si="43"/>
        <v>0.22237643485880459</v>
      </c>
      <c r="BD7" s="74">
        <f t="shared" si="44"/>
        <v>0.19061561832995225</v>
      </c>
      <c r="BE7" s="75">
        <f t="shared" si="45"/>
        <v>0.22237643485880459</v>
      </c>
    </row>
    <row r="8" spans="1:57" x14ac:dyDescent="0.35">
      <c r="A8" s="22" t="s">
        <v>33</v>
      </c>
      <c r="B8" s="22" t="s">
        <v>65</v>
      </c>
      <c r="C8" s="47">
        <f t="shared" si="9"/>
        <v>38</v>
      </c>
      <c r="D8" s="23">
        <f t="shared" si="10"/>
        <v>24</v>
      </c>
      <c r="E8" s="30">
        <v>2.5</v>
      </c>
      <c r="F8" s="24">
        <v>21.5</v>
      </c>
      <c r="G8" s="24">
        <v>14</v>
      </c>
      <c r="H8" s="25">
        <f t="shared" si="11"/>
        <v>215</v>
      </c>
      <c r="I8" s="24">
        <v>101</v>
      </c>
      <c r="J8" s="24">
        <v>114</v>
      </c>
      <c r="K8" s="24">
        <v>0</v>
      </c>
      <c r="L8" s="25">
        <f t="shared" si="12"/>
        <v>2.3196941985885813</v>
      </c>
      <c r="M8" s="25">
        <f t="shared" si="13"/>
        <v>1.465070020161209</v>
      </c>
      <c r="N8" s="25">
        <f t="shared" si="14"/>
        <v>1.7620822035178278</v>
      </c>
      <c r="O8" s="25">
        <f t="shared" si="46"/>
        <v>1.1128940232744176</v>
      </c>
      <c r="P8" s="24">
        <f t="shared" si="15"/>
        <v>0.15261146043345927</v>
      </c>
      <c r="Q8" s="24">
        <f t="shared" si="16"/>
        <v>0.11592646075775184</v>
      </c>
      <c r="R8" s="24">
        <f t="shared" si="17"/>
        <v>1.3124585597277498</v>
      </c>
      <c r="S8" s="24">
        <f t="shared" si="0"/>
        <v>0.99696756251666574</v>
      </c>
      <c r="T8" s="24">
        <f t="shared" si="1"/>
        <v>0.85462417842737204</v>
      </c>
      <c r="U8" s="24">
        <f t="shared" si="2"/>
        <v>0.64918818024341018</v>
      </c>
      <c r="V8" s="25">
        <f t="shared" si="18"/>
        <v>13.124585597277498</v>
      </c>
      <c r="W8" s="25">
        <f t="shared" si="19"/>
        <v>9.9696756251666585</v>
      </c>
      <c r="X8" s="24">
        <f t="shared" si="20"/>
        <v>6.1655030015117545</v>
      </c>
      <c r="Y8" s="24">
        <f t="shared" si="3"/>
        <v>4.6834290146131741</v>
      </c>
      <c r="Z8" s="24">
        <f t="shared" si="4"/>
        <v>6.9590825957657438</v>
      </c>
      <c r="AA8" s="24">
        <f t="shared" si="5"/>
        <v>5.2862466105534835</v>
      </c>
      <c r="AB8" s="24">
        <f t="shared" si="6"/>
        <v>0</v>
      </c>
      <c r="AC8" s="24">
        <f t="shared" si="7"/>
        <v>0</v>
      </c>
      <c r="AD8" s="26">
        <v>2156.5395714307001</v>
      </c>
      <c r="AE8" s="8">
        <v>1638.14696019506</v>
      </c>
      <c r="AF8" s="61">
        <f t="shared" si="21"/>
        <v>239</v>
      </c>
      <c r="AG8" s="61">
        <f t="shared" si="22"/>
        <v>239</v>
      </c>
      <c r="AH8" s="74">
        <f t="shared" si="23"/>
        <v>0.100418410041841</v>
      </c>
      <c r="AI8" s="74">
        <f t="shared" si="24"/>
        <v>0.100418410041841</v>
      </c>
      <c r="AJ8" s="74">
        <f t="shared" si="25"/>
        <v>0.100418410041841</v>
      </c>
      <c r="AK8" s="74">
        <f t="shared" si="8"/>
        <v>0.100418410041841</v>
      </c>
      <c r="AL8" s="74">
        <f t="shared" si="26"/>
        <v>8.9958158995815898E-2</v>
      </c>
      <c r="AM8" s="74">
        <f t="shared" si="27"/>
        <v>8.9958158995815898E-2</v>
      </c>
      <c r="AN8" s="74">
        <f t="shared" si="28"/>
        <v>1.0460251046025104E-2</v>
      </c>
      <c r="AO8" s="74">
        <f t="shared" si="29"/>
        <v>1.0460251046025104E-2</v>
      </c>
      <c r="AP8" s="74">
        <f t="shared" si="30"/>
        <v>5.8577405857740586E-2</v>
      </c>
      <c r="AQ8" s="74">
        <f t="shared" si="31"/>
        <v>5.8577405857740586E-2</v>
      </c>
      <c r="AR8" s="74">
        <f t="shared" si="32"/>
        <v>0.89583333333333337</v>
      </c>
      <c r="AS8" s="74">
        <f t="shared" si="33"/>
        <v>0.10416666666666667</v>
      </c>
      <c r="AT8" s="74">
        <f t="shared" si="34"/>
        <v>0.89958158995815896</v>
      </c>
      <c r="AU8" s="74">
        <f t="shared" si="35"/>
        <v>0.89958158995815896</v>
      </c>
      <c r="AV8" s="74">
        <f t="shared" si="36"/>
        <v>0.42259414225941422</v>
      </c>
      <c r="AW8" s="74">
        <f t="shared" si="37"/>
        <v>0.42259414225941422</v>
      </c>
      <c r="AX8" s="74">
        <f t="shared" si="38"/>
        <v>0.47698744769874479</v>
      </c>
      <c r="AY8" s="74">
        <f t="shared" si="39"/>
        <v>0.47698744769874479</v>
      </c>
      <c r="AZ8" s="74">
        <f t="shared" si="40"/>
        <v>0.4697674418604651</v>
      </c>
      <c r="BA8" s="74">
        <f t="shared" si="41"/>
        <v>0.53023255813953485</v>
      </c>
      <c r="BB8" s="74">
        <f t="shared" si="42"/>
        <v>0.15444279795866078</v>
      </c>
      <c r="BC8" s="74">
        <f t="shared" si="43"/>
        <v>0.14589655617438707</v>
      </c>
      <c r="BD8" s="74">
        <f t="shared" si="44"/>
        <v>0.11082569648441075</v>
      </c>
      <c r="BE8" s="75">
        <f t="shared" si="45"/>
        <v>0.14589655617438707</v>
      </c>
    </row>
    <row r="9" spans="1:57" x14ac:dyDescent="0.35">
      <c r="A9" s="22" t="s">
        <v>34</v>
      </c>
      <c r="B9" s="22" t="s">
        <v>65</v>
      </c>
      <c r="C9" s="47">
        <f t="shared" si="9"/>
        <v>14.892900000000001</v>
      </c>
      <c r="D9" s="23">
        <f t="shared" si="10"/>
        <v>14.892900000000001</v>
      </c>
      <c r="E9" s="30">
        <v>4.1786000000000003</v>
      </c>
      <c r="F9" s="24">
        <v>10.7143</v>
      </c>
      <c r="G9" s="24">
        <v>0</v>
      </c>
      <c r="H9" s="25">
        <f t="shared" si="11"/>
        <v>175.61519999999999</v>
      </c>
      <c r="I9" s="24">
        <v>11</v>
      </c>
      <c r="J9" s="24">
        <v>164.61519999999999</v>
      </c>
      <c r="K9" s="24">
        <v>11.4316</v>
      </c>
      <c r="L9" s="25">
        <f t="shared" si="12"/>
        <v>1.1249106429758049</v>
      </c>
      <c r="M9" s="25">
        <f t="shared" si="13"/>
        <v>1.1249106429758049</v>
      </c>
      <c r="N9" s="25">
        <f t="shared" si="14"/>
        <v>0.82898248866192525</v>
      </c>
      <c r="O9" s="25">
        <f t="shared" si="46"/>
        <v>0.82898248866192525</v>
      </c>
      <c r="P9" s="24">
        <f t="shared" si="15"/>
        <v>0.31562366045153722</v>
      </c>
      <c r="Q9" s="24">
        <f t="shared" si="16"/>
        <v>0.23259313009035992</v>
      </c>
      <c r="R9" s="24">
        <f t="shared" si="17"/>
        <v>0.80928698252426767</v>
      </c>
      <c r="S9" s="24">
        <f t="shared" si="0"/>
        <v>0.59638935857156539</v>
      </c>
      <c r="T9" s="24">
        <f t="shared" si="1"/>
        <v>0</v>
      </c>
      <c r="U9" s="24">
        <f t="shared" si="2"/>
        <v>0</v>
      </c>
      <c r="V9" s="25">
        <f t="shared" si="18"/>
        <v>13.264804540977552</v>
      </c>
      <c r="W9" s="25">
        <f t="shared" si="19"/>
        <v>9.7752570381095509</v>
      </c>
      <c r="X9" s="24">
        <f t="shared" si="20"/>
        <v>0.83086686090243378</v>
      </c>
      <c r="Y9" s="24">
        <f t="shared" si="3"/>
        <v>0.61229225841046264</v>
      </c>
      <c r="Z9" s="24">
        <f t="shared" si="4"/>
        <v>12.433937680075118</v>
      </c>
      <c r="AA9" s="24">
        <f t="shared" si="5"/>
        <v>9.1629647796990881</v>
      </c>
      <c r="AB9" s="24">
        <f t="shared" si="6"/>
        <v>0.86346705519020561</v>
      </c>
      <c r="AC9" s="24">
        <f t="shared" si="7"/>
        <v>0.63631638011318581</v>
      </c>
      <c r="AD9" s="26">
        <v>1796.5276955414199</v>
      </c>
      <c r="AE9" s="8">
        <v>1323.9184901480501</v>
      </c>
      <c r="AF9" s="61">
        <f t="shared" si="21"/>
        <v>190.50809999999998</v>
      </c>
      <c r="AG9" s="61">
        <f t="shared" si="22"/>
        <v>190.50809999999998</v>
      </c>
      <c r="AH9" s="74">
        <f t="shared" si="23"/>
        <v>7.8174628795311077E-2</v>
      </c>
      <c r="AI9" s="74">
        <f t="shared" si="24"/>
        <v>7.8174628795311077E-2</v>
      </c>
      <c r="AJ9" s="74">
        <f t="shared" si="25"/>
        <v>7.8174628795311077E-2</v>
      </c>
      <c r="AK9" s="74">
        <f t="shared" si="8"/>
        <v>7.8174628795311077E-2</v>
      </c>
      <c r="AL9" s="74">
        <f t="shared" si="26"/>
        <v>5.624065328455851E-2</v>
      </c>
      <c r="AM9" s="74">
        <f t="shared" si="27"/>
        <v>5.624065328455851E-2</v>
      </c>
      <c r="AN9" s="74">
        <f t="shared" si="28"/>
        <v>2.1933975510752563E-2</v>
      </c>
      <c r="AO9" s="74">
        <f t="shared" si="29"/>
        <v>2.1933975510752563E-2</v>
      </c>
      <c r="AP9" s="74">
        <f t="shared" si="30"/>
        <v>0</v>
      </c>
      <c r="AQ9" s="74">
        <f t="shared" si="31"/>
        <v>0</v>
      </c>
      <c r="AR9" s="74">
        <f t="shared" si="32"/>
        <v>0.71942334938124874</v>
      </c>
      <c r="AS9" s="74">
        <f t="shared" si="33"/>
        <v>0.2805766506187512</v>
      </c>
      <c r="AT9" s="74">
        <f t="shared" si="34"/>
        <v>0.92182537120468899</v>
      </c>
      <c r="AU9" s="74">
        <f t="shared" si="35"/>
        <v>0.92182537120468899</v>
      </c>
      <c r="AV9" s="74">
        <f t="shared" si="36"/>
        <v>5.7740327051710665E-2</v>
      </c>
      <c r="AW9" s="74">
        <f t="shared" si="37"/>
        <v>5.7740327051710665E-2</v>
      </c>
      <c r="AX9" s="74">
        <f t="shared" si="38"/>
        <v>0.86408504415297827</v>
      </c>
      <c r="AY9" s="74">
        <f t="shared" si="39"/>
        <v>0.86408504415297827</v>
      </c>
      <c r="AZ9" s="74">
        <f t="shared" si="40"/>
        <v>6.2636947143527438E-2</v>
      </c>
      <c r="BA9" s="74">
        <f t="shared" si="41"/>
        <v>0.93736305285647259</v>
      </c>
      <c r="BB9" s="74">
        <f t="shared" si="42"/>
        <v>0.14389715183953355</v>
      </c>
      <c r="BC9" s="74">
        <f t="shared" si="43"/>
        <v>0.14389715183953355</v>
      </c>
      <c r="BD9" s="74">
        <f t="shared" si="44"/>
        <v>0.10604239526771476</v>
      </c>
      <c r="BE9" s="75">
        <f t="shared" si="45"/>
        <v>0.14389715183953355</v>
      </c>
    </row>
    <row r="10" spans="1:57" x14ac:dyDescent="0.35">
      <c r="A10" s="22" t="s">
        <v>35</v>
      </c>
      <c r="B10" s="22" t="s">
        <v>65</v>
      </c>
      <c r="C10" s="47">
        <f t="shared" si="9"/>
        <v>83.000000005000004</v>
      </c>
      <c r="D10" s="23">
        <f t="shared" si="10"/>
        <v>83.000000005000004</v>
      </c>
      <c r="E10" s="30">
        <v>6.384615385</v>
      </c>
      <c r="F10" s="24">
        <v>76.61538462</v>
      </c>
      <c r="G10" s="24">
        <v>0</v>
      </c>
      <c r="H10" s="25">
        <f t="shared" si="11"/>
        <v>423</v>
      </c>
      <c r="I10" s="24">
        <v>423</v>
      </c>
      <c r="J10" s="24">
        <v>0</v>
      </c>
      <c r="K10" s="24">
        <v>0</v>
      </c>
      <c r="L10" s="25">
        <f t="shared" si="12"/>
        <v>2.628755024499684</v>
      </c>
      <c r="M10" s="25">
        <f t="shared" si="13"/>
        <v>2.628755024499684</v>
      </c>
      <c r="N10" s="25">
        <f t="shared" si="14"/>
        <v>2.8212212457603547</v>
      </c>
      <c r="O10" s="25">
        <f t="shared" si="46"/>
        <v>2.8212212457603547</v>
      </c>
      <c r="P10" s="24">
        <f t="shared" si="15"/>
        <v>0.20221192496151416</v>
      </c>
      <c r="Q10" s="24">
        <f t="shared" si="16"/>
        <v>0.2170170189046427</v>
      </c>
      <c r="R10" s="24">
        <f t="shared" si="17"/>
        <v>2.4265430995381698</v>
      </c>
      <c r="S10" s="24">
        <f t="shared" si="0"/>
        <v>2.6042042268557122</v>
      </c>
      <c r="T10" s="24">
        <f t="shared" si="1"/>
        <v>0</v>
      </c>
      <c r="U10" s="24">
        <f t="shared" si="2"/>
        <v>0</v>
      </c>
      <c r="V10" s="25">
        <f t="shared" si="18"/>
        <v>13.397149099956392</v>
      </c>
      <c r="W10" s="25">
        <f t="shared" si="19"/>
        <v>14.378031167286023</v>
      </c>
      <c r="X10" s="24">
        <f t="shared" si="20"/>
        <v>13.397149099956392</v>
      </c>
      <c r="Y10" s="24">
        <f t="shared" si="3"/>
        <v>14.378031167286023</v>
      </c>
      <c r="Z10" s="24">
        <f t="shared" si="4"/>
        <v>0</v>
      </c>
      <c r="AA10" s="24">
        <f t="shared" si="5"/>
        <v>0</v>
      </c>
      <c r="AB10" s="24">
        <f t="shared" si="6"/>
        <v>0</v>
      </c>
      <c r="AC10" s="24">
        <f t="shared" si="7"/>
        <v>0</v>
      </c>
      <c r="AD10" s="26">
        <v>2941.9883367789698</v>
      </c>
      <c r="AE10" s="8">
        <v>3157.38816403392</v>
      </c>
      <c r="AF10" s="61">
        <f t="shared" si="21"/>
        <v>506.000000005</v>
      </c>
      <c r="AG10" s="61">
        <f t="shared" si="22"/>
        <v>506.000000005</v>
      </c>
      <c r="AH10" s="74">
        <f t="shared" si="23"/>
        <v>0.16403162056162024</v>
      </c>
      <c r="AI10" s="74">
        <f t="shared" si="24"/>
        <v>0.16403162056162024</v>
      </c>
      <c r="AJ10" s="74">
        <f t="shared" si="25"/>
        <v>0.16403162056162024</v>
      </c>
      <c r="AK10" s="74">
        <f t="shared" si="8"/>
        <v>0.16403162056162024</v>
      </c>
      <c r="AL10" s="74">
        <f t="shared" si="26"/>
        <v>0.15141380359534176</v>
      </c>
      <c r="AM10" s="74">
        <f t="shared" si="27"/>
        <v>0.15141380359534176</v>
      </c>
      <c r="AN10" s="74">
        <f t="shared" si="28"/>
        <v>1.261781696627848E-2</v>
      </c>
      <c r="AO10" s="74">
        <f t="shared" si="29"/>
        <v>1.261781696627848E-2</v>
      </c>
      <c r="AP10" s="74">
        <f t="shared" si="30"/>
        <v>0</v>
      </c>
      <c r="AQ10" s="74">
        <f t="shared" si="31"/>
        <v>0</v>
      </c>
      <c r="AR10" s="74">
        <f t="shared" si="32"/>
        <v>0.92307692307692302</v>
      </c>
      <c r="AS10" s="74">
        <f t="shared" si="33"/>
        <v>7.6923076923076913E-2</v>
      </c>
      <c r="AT10" s="74">
        <f t="shared" si="34"/>
        <v>0.83596837943837976</v>
      </c>
      <c r="AU10" s="74">
        <f t="shared" si="35"/>
        <v>0.83596837943837976</v>
      </c>
      <c r="AV10" s="74">
        <f t="shared" si="36"/>
        <v>0.83596837943837976</v>
      </c>
      <c r="AW10" s="74">
        <f t="shared" si="37"/>
        <v>0.83596837943837976</v>
      </c>
      <c r="AX10" s="74">
        <f t="shared" si="38"/>
        <v>0</v>
      </c>
      <c r="AY10" s="74">
        <f t="shared" si="39"/>
        <v>0</v>
      </c>
      <c r="AZ10" s="74">
        <f t="shared" si="40"/>
        <v>1</v>
      </c>
      <c r="BA10" s="74">
        <f t="shared" si="41"/>
        <v>0</v>
      </c>
      <c r="BB10" s="74">
        <f t="shared" si="42"/>
        <v>0.16025904124456078</v>
      </c>
      <c r="BC10" s="74">
        <f t="shared" si="43"/>
        <v>0.16025904124456078</v>
      </c>
      <c r="BD10" s="74">
        <f t="shared" si="44"/>
        <v>0.17199252413046379</v>
      </c>
      <c r="BE10" s="75">
        <f t="shared" si="45"/>
        <v>0.16025904124456078</v>
      </c>
    </row>
    <row r="11" spans="1:57" x14ac:dyDescent="0.35">
      <c r="A11" s="22" t="s">
        <v>36</v>
      </c>
      <c r="B11" s="22" t="s">
        <v>65</v>
      </c>
      <c r="C11" s="47">
        <f t="shared" si="9"/>
        <v>1395</v>
      </c>
      <c r="D11" s="23">
        <f t="shared" si="10"/>
        <v>1395</v>
      </c>
      <c r="E11" s="30">
        <v>9.4499999999999993</v>
      </c>
      <c r="F11" s="24">
        <v>1385.55</v>
      </c>
      <c r="G11" s="24">
        <v>0</v>
      </c>
      <c r="H11" s="25">
        <f t="shared" si="11"/>
        <v>859</v>
      </c>
      <c r="I11" s="24">
        <v>405</v>
      </c>
      <c r="J11" s="24">
        <v>454</v>
      </c>
      <c r="K11" s="24">
        <v>0</v>
      </c>
      <c r="L11" s="25">
        <f t="shared" si="12"/>
        <v>6.9998581774039028</v>
      </c>
      <c r="M11" s="25">
        <f t="shared" si="13"/>
        <v>6.9998581774039028</v>
      </c>
      <c r="N11" s="25">
        <f t="shared" si="14"/>
        <v>6.9840045164241253</v>
      </c>
      <c r="O11" s="25">
        <f t="shared" si="46"/>
        <v>6.9840045164241253</v>
      </c>
      <c r="P11" s="24">
        <f t="shared" si="15"/>
        <v>4.7418394104994176E-2</v>
      </c>
      <c r="Q11" s="24">
        <f t="shared" si="16"/>
        <v>4.7310998337066652E-2</v>
      </c>
      <c r="R11" s="24">
        <f t="shared" si="17"/>
        <v>6.9524397832989084</v>
      </c>
      <c r="S11" s="24">
        <f t="shared" si="0"/>
        <v>6.9366935180870586</v>
      </c>
      <c r="T11" s="24">
        <f t="shared" si="1"/>
        <v>0</v>
      </c>
      <c r="U11" s="24">
        <f t="shared" si="2"/>
        <v>0</v>
      </c>
      <c r="V11" s="25">
        <f t="shared" si="18"/>
        <v>4.3103069350465608</v>
      </c>
      <c r="W11" s="25">
        <f t="shared" si="19"/>
        <v>4.3005447165651063</v>
      </c>
      <c r="X11" s="24">
        <f t="shared" si="20"/>
        <v>2.0322168902140363</v>
      </c>
      <c r="Y11" s="24">
        <f t="shared" si="3"/>
        <v>2.0276142144457139</v>
      </c>
      <c r="Z11" s="24">
        <f t="shared" si="4"/>
        <v>2.2780900448325245</v>
      </c>
      <c r="AA11" s="24">
        <f t="shared" si="5"/>
        <v>2.2729305021193928</v>
      </c>
      <c r="AB11" s="24">
        <f t="shared" si="6"/>
        <v>0</v>
      </c>
      <c r="AC11" s="24">
        <f t="shared" si="7"/>
        <v>0</v>
      </c>
      <c r="AD11" s="26">
        <v>19974.2138871676</v>
      </c>
      <c r="AE11" s="8">
        <v>19928.975197</v>
      </c>
      <c r="AF11" s="61">
        <f t="shared" si="21"/>
        <v>2254</v>
      </c>
      <c r="AG11" s="61">
        <f t="shared" si="22"/>
        <v>2254</v>
      </c>
      <c r="AH11" s="74">
        <f t="shared" si="23"/>
        <v>0.61889973380656615</v>
      </c>
      <c r="AI11" s="74">
        <f t="shared" si="24"/>
        <v>0.61889973380656615</v>
      </c>
      <c r="AJ11" s="74">
        <f t="shared" si="25"/>
        <v>0.61889973380656615</v>
      </c>
      <c r="AK11" s="74">
        <f t="shared" si="8"/>
        <v>0.61889973380656615</v>
      </c>
      <c r="AL11" s="74">
        <f t="shared" si="26"/>
        <v>0.61470718722271511</v>
      </c>
      <c r="AM11" s="74">
        <f t="shared" si="27"/>
        <v>0.61470718722271511</v>
      </c>
      <c r="AN11" s="74">
        <f t="shared" si="28"/>
        <v>4.1925465838509313E-3</v>
      </c>
      <c r="AO11" s="74">
        <f t="shared" si="29"/>
        <v>4.1925465838509313E-3</v>
      </c>
      <c r="AP11" s="74">
        <f t="shared" si="30"/>
        <v>0</v>
      </c>
      <c r="AQ11" s="74">
        <f t="shared" si="31"/>
        <v>0</v>
      </c>
      <c r="AR11" s="74">
        <f t="shared" si="32"/>
        <v>0.99322580645161285</v>
      </c>
      <c r="AS11" s="74">
        <f t="shared" si="33"/>
        <v>6.7741935483870966E-3</v>
      </c>
      <c r="AT11" s="74">
        <f t="shared" si="34"/>
        <v>0.3811002661934339</v>
      </c>
      <c r="AU11" s="74">
        <f t="shared" si="35"/>
        <v>0.3811002661934339</v>
      </c>
      <c r="AV11" s="74">
        <f t="shared" si="36"/>
        <v>0.17968056787932565</v>
      </c>
      <c r="AW11" s="74">
        <f t="shared" si="37"/>
        <v>0.17968056787932565</v>
      </c>
      <c r="AX11" s="74">
        <f t="shared" si="38"/>
        <v>0.20141969831410825</v>
      </c>
      <c r="AY11" s="74">
        <f t="shared" si="39"/>
        <v>0.20141969831410825</v>
      </c>
      <c r="AZ11" s="74">
        <f t="shared" si="40"/>
        <v>0.47147846332945287</v>
      </c>
      <c r="BA11" s="74">
        <f t="shared" si="41"/>
        <v>0.52852153667054713</v>
      </c>
      <c r="BB11" s="74">
        <f t="shared" si="42"/>
        <v>0.11310165112450464</v>
      </c>
      <c r="BC11" s="74">
        <f t="shared" si="43"/>
        <v>0.11310165112450464</v>
      </c>
      <c r="BD11" s="74">
        <f t="shared" si="44"/>
        <v>0.11284549232989231</v>
      </c>
      <c r="BE11" s="75">
        <f t="shared" si="45"/>
        <v>0.11310165112450464</v>
      </c>
    </row>
    <row r="12" spans="1:57" x14ac:dyDescent="0.35">
      <c r="A12" s="22" t="s">
        <v>37</v>
      </c>
      <c r="B12" s="22" t="s">
        <v>65</v>
      </c>
      <c r="C12" s="47">
        <f t="shared" si="9"/>
        <v>7.9</v>
      </c>
      <c r="D12" s="23">
        <f t="shared" si="10"/>
        <v>7.9</v>
      </c>
      <c r="E12" s="30">
        <v>7.9</v>
      </c>
      <c r="F12" s="24">
        <v>0</v>
      </c>
      <c r="G12" s="24">
        <v>0</v>
      </c>
      <c r="H12" s="25">
        <f t="shared" si="11"/>
        <v>3.3</v>
      </c>
      <c r="I12" s="24">
        <v>3.3</v>
      </c>
      <c r="J12" s="24">
        <v>0</v>
      </c>
      <c r="K12" s="24">
        <v>0</v>
      </c>
      <c r="L12" s="25">
        <f t="shared" si="12"/>
        <v>0.61759698290329401</v>
      </c>
      <c r="M12" s="25">
        <f t="shared" si="13"/>
        <v>0.61759698290329401</v>
      </c>
      <c r="N12" s="25">
        <f t="shared" si="14"/>
        <v>0.33170036555446009</v>
      </c>
      <c r="O12" s="25">
        <f t="shared" si="46"/>
        <v>0.33170036555446009</v>
      </c>
      <c r="P12" s="24">
        <f t="shared" si="15"/>
        <v>0.61759698290329401</v>
      </c>
      <c r="Q12" s="24">
        <f t="shared" si="16"/>
        <v>0.33170036555446009</v>
      </c>
      <c r="R12" s="24">
        <f t="shared" si="17"/>
        <v>0</v>
      </c>
      <c r="S12" s="24">
        <f t="shared" si="0"/>
        <v>0</v>
      </c>
      <c r="T12" s="24">
        <f t="shared" si="1"/>
        <v>0</v>
      </c>
      <c r="U12" s="24">
        <f t="shared" si="2"/>
        <v>0</v>
      </c>
      <c r="V12" s="25">
        <f t="shared" si="18"/>
        <v>0.25798354982036326</v>
      </c>
      <c r="W12" s="25">
        <f t="shared" si="19"/>
        <v>0.1385583805480656</v>
      </c>
      <c r="X12" s="24">
        <f t="shared" si="20"/>
        <v>0.25798354982036326</v>
      </c>
      <c r="Y12" s="24">
        <f t="shared" si="3"/>
        <v>0.1385583805480656</v>
      </c>
      <c r="Z12" s="24">
        <f t="shared" si="4"/>
        <v>0</v>
      </c>
      <c r="AA12" s="24">
        <f t="shared" si="5"/>
        <v>0</v>
      </c>
      <c r="AB12" s="24">
        <f t="shared" si="6"/>
        <v>0</v>
      </c>
      <c r="AC12" s="24">
        <f t="shared" si="7"/>
        <v>0</v>
      </c>
      <c r="AD12" s="26">
        <v>2381.6675591522499</v>
      </c>
      <c r="AE12" s="8">
        <v>1279.1513266244399</v>
      </c>
      <c r="AF12" s="61">
        <f t="shared" si="21"/>
        <v>11.2</v>
      </c>
      <c r="AG12" s="61">
        <f t="shared" si="22"/>
        <v>11.2</v>
      </c>
      <c r="AH12" s="74">
        <f t="shared" si="23"/>
        <v>0.7053571428571429</v>
      </c>
      <c r="AI12" s="74">
        <f t="shared" si="24"/>
        <v>0.7053571428571429</v>
      </c>
      <c r="AJ12" s="74">
        <f t="shared" si="25"/>
        <v>0.7053571428571429</v>
      </c>
      <c r="AK12" s="74">
        <f t="shared" si="8"/>
        <v>0.7053571428571429</v>
      </c>
      <c r="AL12" s="74">
        <f t="shared" si="26"/>
        <v>0</v>
      </c>
      <c r="AM12" s="74">
        <f t="shared" si="27"/>
        <v>0</v>
      </c>
      <c r="AN12" s="74">
        <f t="shared" si="28"/>
        <v>0.7053571428571429</v>
      </c>
      <c r="AO12" s="74">
        <f t="shared" si="29"/>
        <v>0.7053571428571429</v>
      </c>
      <c r="AP12" s="74">
        <f t="shared" si="30"/>
        <v>0</v>
      </c>
      <c r="AQ12" s="74">
        <f t="shared" si="31"/>
        <v>0</v>
      </c>
      <c r="AR12" s="74">
        <f t="shared" si="32"/>
        <v>0</v>
      </c>
      <c r="AS12" s="74">
        <f t="shared" si="33"/>
        <v>1</v>
      </c>
      <c r="AT12" s="74">
        <f t="shared" si="34"/>
        <v>0.29464285714285715</v>
      </c>
      <c r="AU12" s="74">
        <f t="shared" si="35"/>
        <v>0.29464285714285715</v>
      </c>
      <c r="AV12" s="74">
        <f t="shared" si="36"/>
        <v>0.29464285714285715</v>
      </c>
      <c r="AW12" s="74">
        <f t="shared" si="37"/>
        <v>0.29464285714285715</v>
      </c>
      <c r="AX12" s="74">
        <f t="shared" si="38"/>
        <v>0</v>
      </c>
      <c r="AY12" s="74">
        <f t="shared" si="39"/>
        <v>0</v>
      </c>
      <c r="AZ12" s="74">
        <f t="shared" si="40"/>
        <v>1</v>
      </c>
      <c r="BA12" s="74">
        <f t="shared" si="41"/>
        <v>0</v>
      </c>
      <c r="BB12" s="74">
        <f t="shared" si="42"/>
        <v>8.7558053272365714E-3</v>
      </c>
      <c r="BC12" s="74">
        <f t="shared" si="43"/>
        <v>8.7558053272365714E-3</v>
      </c>
      <c r="BD12" s="74">
        <f t="shared" si="44"/>
        <v>4.7025874610252564E-3</v>
      </c>
      <c r="BE12" s="75">
        <f t="shared" si="45"/>
        <v>8.7558053272365714E-3</v>
      </c>
    </row>
    <row r="13" spans="1:57" x14ac:dyDescent="0.35">
      <c r="A13" s="22" t="s">
        <v>38</v>
      </c>
      <c r="B13" s="22" t="s">
        <v>65</v>
      </c>
      <c r="C13" s="47">
        <f t="shared" si="9"/>
        <v>11</v>
      </c>
      <c r="D13" s="23">
        <f t="shared" si="10"/>
        <v>11</v>
      </c>
      <c r="E13" s="30">
        <v>11</v>
      </c>
      <c r="F13" s="24">
        <v>0</v>
      </c>
      <c r="G13" s="24">
        <v>0</v>
      </c>
      <c r="H13" s="25">
        <f t="shared" si="11"/>
        <v>3.8</v>
      </c>
      <c r="I13" s="24">
        <v>0</v>
      </c>
      <c r="J13" s="24">
        <v>3.8</v>
      </c>
      <c r="K13" s="24">
        <v>0</v>
      </c>
      <c r="L13" s="25">
        <f t="shared" si="12"/>
        <v>1.1032506713583083</v>
      </c>
      <c r="M13" s="25">
        <f t="shared" si="13"/>
        <v>1.1032506713583083</v>
      </c>
      <c r="N13" s="25">
        <f t="shared" si="14"/>
        <v>0.47133765581692705</v>
      </c>
      <c r="O13" s="25">
        <f t="shared" si="46"/>
        <v>0.47133765581692705</v>
      </c>
      <c r="P13" s="24">
        <f t="shared" si="15"/>
        <v>1.1032506713583083</v>
      </c>
      <c r="Q13" s="24">
        <f t="shared" si="16"/>
        <v>0.47133765581692705</v>
      </c>
      <c r="R13" s="24">
        <f t="shared" si="17"/>
        <v>0</v>
      </c>
      <c r="S13" s="24">
        <f t="shared" si="0"/>
        <v>0</v>
      </c>
      <c r="T13" s="24">
        <f t="shared" si="1"/>
        <v>0</v>
      </c>
      <c r="U13" s="24">
        <f t="shared" si="2"/>
        <v>0</v>
      </c>
      <c r="V13" s="25">
        <f t="shared" si="18"/>
        <v>0.38112295919650652</v>
      </c>
      <c r="W13" s="25">
        <f t="shared" si="19"/>
        <v>0.16282573564584751</v>
      </c>
      <c r="X13" s="24">
        <f t="shared" si="20"/>
        <v>0</v>
      </c>
      <c r="Y13" s="24">
        <f t="shared" si="3"/>
        <v>0</v>
      </c>
      <c r="Z13" s="24">
        <f t="shared" si="4"/>
        <v>0.38112295919650652</v>
      </c>
      <c r="AA13" s="24">
        <f t="shared" si="5"/>
        <v>0.16282573564584751</v>
      </c>
      <c r="AB13" s="24">
        <f t="shared" si="6"/>
        <v>0</v>
      </c>
      <c r="AC13" s="24">
        <f t="shared" si="7"/>
        <v>0</v>
      </c>
      <c r="AD13" s="26">
        <v>2333.7834064911899</v>
      </c>
      <c r="AE13" s="8">
        <v>997.05355143423003</v>
      </c>
      <c r="AF13" s="61">
        <f t="shared" si="21"/>
        <v>14.8</v>
      </c>
      <c r="AG13" s="61">
        <f t="shared" si="22"/>
        <v>14.8</v>
      </c>
      <c r="AH13" s="74">
        <f t="shared" si="23"/>
        <v>0.7432432432432432</v>
      </c>
      <c r="AI13" s="74">
        <f t="shared" si="24"/>
        <v>0.7432432432432432</v>
      </c>
      <c r="AJ13" s="74">
        <f t="shared" si="25"/>
        <v>0.7432432432432432</v>
      </c>
      <c r="AK13" s="74">
        <f t="shared" si="8"/>
        <v>0.7432432432432432</v>
      </c>
      <c r="AL13" s="74">
        <f t="shared" si="26"/>
        <v>0</v>
      </c>
      <c r="AM13" s="74">
        <f t="shared" si="27"/>
        <v>0</v>
      </c>
      <c r="AN13" s="74">
        <f t="shared" si="28"/>
        <v>0.7432432432432432</v>
      </c>
      <c r="AO13" s="74">
        <f t="shared" si="29"/>
        <v>0.7432432432432432</v>
      </c>
      <c r="AP13" s="74">
        <f t="shared" si="30"/>
        <v>0</v>
      </c>
      <c r="AQ13" s="74">
        <f t="shared" si="31"/>
        <v>0</v>
      </c>
      <c r="AR13" s="74">
        <f t="shared" si="32"/>
        <v>0</v>
      </c>
      <c r="AS13" s="74">
        <f t="shared" si="33"/>
        <v>1</v>
      </c>
      <c r="AT13" s="74">
        <f t="shared" si="34"/>
        <v>0.25675675675675674</v>
      </c>
      <c r="AU13" s="74">
        <f t="shared" si="35"/>
        <v>0.25675675675675674</v>
      </c>
      <c r="AV13" s="74">
        <f t="shared" si="36"/>
        <v>0</v>
      </c>
      <c r="AW13" s="74">
        <f t="shared" si="37"/>
        <v>0</v>
      </c>
      <c r="AX13" s="74">
        <f t="shared" si="38"/>
        <v>0.25675675675675674</v>
      </c>
      <c r="AY13" s="74">
        <f t="shared" si="39"/>
        <v>0.25675675675675674</v>
      </c>
      <c r="AZ13" s="74">
        <f t="shared" si="40"/>
        <v>0</v>
      </c>
      <c r="BA13" s="74">
        <f t="shared" si="41"/>
        <v>1</v>
      </c>
      <c r="BB13" s="74">
        <f t="shared" si="42"/>
        <v>1.4843736305548151E-2</v>
      </c>
      <c r="BC13" s="74">
        <f t="shared" si="43"/>
        <v>1.4843736305548151E-2</v>
      </c>
      <c r="BD13" s="74">
        <f t="shared" si="44"/>
        <v>6.3416339146277461E-3</v>
      </c>
      <c r="BE13" s="75">
        <f t="shared" si="45"/>
        <v>1.4843736305548151E-2</v>
      </c>
    </row>
    <row r="14" spans="1:57" x14ac:dyDescent="0.35">
      <c r="A14" s="28" t="s">
        <v>39</v>
      </c>
      <c r="B14" s="22" t="s">
        <v>65</v>
      </c>
      <c r="C14" s="47">
        <f t="shared" si="9"/>
        <v>31.764700000000001</v>
      </c>
      <c r="D14" s="23">
        <f t="shared" si="10"/>
        <v>31.764700000000001</v>
      </c>
      <c r="E14" s="30">
        <v>0</v>
      </c>
      <c r="F14" s="24">
        <v>31.764700000000001</v>
      </c>
      <c r="G14" s="24">
        <v>0</v>
      </c>
      <c r="H14" s="25">
        <f t="shared" si="11"/>
        <v>0</v>
      </c>
      <c r="I14" s="24">
        <v>0</v>
      </c>
      <c r="J14" s="24">
        <v>0</v>
      </c>
      <c r="K14" s="24">
        <v>0</v>
      </c>
      <c r="L14" s="25">
        <f t="shared" si="12"/>
        <v>7.6735681329126031</v>
      </c>
      <c r="M14" s="25">
        <f t="shared" si="13"/>
        <v>7.6735681329126031</v>
      </c>
      <c r="N14" s="25">
        <f t="shared" si="14"/>
        <v>6.7786506242927107</v>
      </c>
      <c r="O14" s="25">
        <f t="shared" si="46"/>
        <v>6.7786506242927107</v>
      </c>
      <c r="P14" s="24">
        <f t="shared" si="15"/>
        <v>0</v>
      </c>
      <c r="Q14" s="24">
        <f t="shared" si="16"/>
        <v>0</v>
      </c>
      <c r="R14" s="24">
        <f t="shared" si="17"/>
        <v>7.6735681329126031</v>
      </c>
      <c r="S14" s="24">
        <f t="shared" si="0"/>
        <v>6.7786506242927107</v>
      </c>
      <c r="T14" s="24">
        <f t="shared" si="1"/>
        <v>0</v>
      </c>
      <c r="U14" s="24">
        <f t="shared" si="2"/>
        <v>0</v>
      </c>
      <c r="V14" s="25">
        <f>X14+Z14</f>
        <v>0</v>
      </c>
      <c r="W14" s="25">
        <f t="shared" si="19"/>
        <v>0</v>
      </c>
      <c r="X14" s="24">
        <f t="shared" si="20"/>
        <v>0</v>
      </c>
      <c r="Y14" s="24">
        <f t="shared" si="3"/>
        <v>0</v>
      </c>
      <c r="Z14" s="24">
        <f t="shared" si="4"/>
        <v>0</v>
      </c>
      <c r="AA14" s="24">
        <f t="shared" si="5"/>
        <v>0</v>
      </c>
      <c r="AB14" s="24">
        <f t="shared" si="6"/>
        <v>0</v>
      </c>
      <c r="AC14" s="24">
        <f t="shared" si="7"/>
        <v>0</v>
      </c>
      <c r="AD14" s="26">
        <v>468.59916169988998</v>
      </c>
      <c r="AE14" s="8">
        <v>413.94954015926999</v>
      </c>
      <c r="AF14" s="61">
        <f t="shared" si="21"/>
        <v>31.764700000000001</v>
      </c>
      <c r="AG14" s="61">
        <f t="shared" si="22"/>
        <v>31.764700000000001</v>
      </c>
      <c r="AH14" s="74">
        <f t="shared" si="23"/>
        <v>1</v>
      </c>
      <c r="AI14" s="74">
        <f t="shared" si="24"/>
        <v>1</v>
      </c>
      <c r="AJ14" s="74">
        <f t="shared" si="25"/>
        <v>1</v>
      </c>
      <c r="AK14" s="74">
        <f t="shared" si="8"/>
        <v>1</v>
      </c>
      <c r="AL14" s="74">
        <f t="shared" si="26"/>
        <v>1</v>
      </c>
      <c r="AM14" s="74">
        <f t="shared" si="27"/>
        <v>1</v>
      </c>
      <c r="AN14" s="74">
        <f t="shared" si="28"/>
        <v>0</v>
      </c>
      <c r="AO14" s="74">
        <f t="shared" si="29"/>
        <v>0</v>
      </c>
      <c r="AP14" s="74">
        <f t="shared" si="30"/>
        <v>0</v>
      </c>
      <c r="AQ14" s="74">
        <f t="shared" si="31"/>
        <v>0</v>
      </c>
      <c r="AR14" s="74">
        <f t="shared" si="32"/>
        <v>1</v>
      </c>
      <c r="AS14" s="74">
        <f t="shared" si="33"/>
        <v>0</v>
      </c>
      <c r="AT14" s="74">
        <f t="shared" si="34"/>
        <v>0</v>
      </c>
      <c r="AU14" s="74">
        <f t="shared" si="35"/>
        <v>0</v>
      </c>
      <c r="AV14" s="74">
        <f t="shared" si="36"/>
        <v>0</v>
      </c>
      <c r="AW14" s="74">
        <f t="shared" si="37"/>
        <v>0</v>
      </c>
      <c r="AX14" s="74">
        <f t="shared" si="38"/>
        <v>0</v>
      </c>
      <c r="AY14" s="74">
        <f t="shared" si="39"/>
        <v>0</v>
      </c>
      <c r="AZ14" s="74" t="e">
        <f t="shared" si="40"/>
        <v>#DIV/0!</v>
      </c>
      <c r="BA14" s="74" t="e">
        <f t="shared" si="41"/>
        <v>#DIV/0!</v>
      </c>
      <c r="BB14" s="74">
        <f t="shared" si="42"/>
        <v>7.6735681329126032E-2</v>
      </c>
      <c r="BC14" s="74">
        <f t="shared" si="43"/>
        <v>7.6735681329126032E-2</v>
      </c>
      <c r="BD14" s="74">
        <f t="shared" si="44"/>
        <v>6.7786506242927105E-2</v>
      </c>
      <c r="BE14" s="75">
        <f t="shared" si="45"/>
        <v>7.6735681329126032E-2</v>
      </c>
    </row>
    <row r="15" spans="1:57" x14ac:dyDescent="0.35">
      <c r="A15" s="22" t="s">
        <v>40</v>
      </c>
      <c r="B15" s="22" t="s">
        <v>65</v>
      </c>
      <c r="C15" s="47">
        <f t="shared" si="9"/>
        <v>0</v>
      </c>
      <c r="D15" s="23">
        <f t="shared" si="10"/>
        <v>0</v>
      </c>
      <c r="E15" s="30">
        <v>0</v>
      </c>
      <c r="F15" s="24">
        <v>0</v>
      </c>
      <c r="G15" s="24">
        <v>0</v>
      </c>
      <c r="H15" s="25">
        <f t="shared" si="11"/>
        <v>54</v>
      </c>
      <c r="I15" s="24">
        <v>0</v>
      </c>
      <c r="J15" s="24">
        <v>54</v>
      </c>
      <c r="K15" s="24">
        <v>0</v>
      </c>
      <c r="L15" s="25">
        <f t="shared" si="12"/>
        <v>0</v>
      </c>
      <c r="M15" s="25">
        <f t="shared" si="13"/>
        <v>0</v>
      </c>
      <c r="N15" s="25">
        <f t="shared" si="14"/>
        <v>0</v>
      </c>
      <c r="O15" s="25">
        <f t="shared" si="46"/>
        <v>0</v>
      </c>
      <c r="P15" s="24">
        <f t="shared" si="15"/>
        <v>0</v>
      </c>
      <c r="Q15" s="24">
        <f t="shared" si="16"/>
        <v>0</v>
      </c>
      <c r="R15" s="24">
        <f t="shared" si="17"/>
        <v>0</v>
      </c>
      <c r="S15" s="24">
        <f t="shared" si="0"/>
        <v>0</v>
      </c>
      <c r="T15" s="24">
        <f t="shared" si="1"/>
        <v>0</v>
      </c>
      <c r="U15" s="24">
        <f t="shared" si="2"/>
        <v>0</v>
      </c>
      <c r="V15" s="25">
        <f t="shared" si="18"/>
        <v>10.90562054178165</v>
      </c>
      <c r="W15" s="25">
        <f t="shared" si="19"/>
        <v>9.7240885633744618</v>
      </c>
      <c r="X15" s="24">
        <f t="shared" si="20"/>
        <v>0</v>
      </c>
      <c r="Y15" s="24">
        <f t="shared" si="3"/>
        <v>0</v>
      </c>
      <c r="Z15" s="24">
        <f t="shared" si="4"/>
        <v>10.90562054178165</v>
      </c>
      <c r="AA15" s="24">
        <f t="shared" si="5"/>
        <v>9.7240885633744618</v>
      </c>
      <c r="AB15" s="24">
        <f t="shared" si="6"/>
        <v>0</v>
      </c>
      <c r="AC15" s="24">
        <f t="shared" si="7"/>
        <v>0</v>
      </c>
      <c r="AD15" s="26">
        <v>555.32196820367994</v>
      </c>
      <c r="AE15" s="8">
        <v>495.15751802582002</v>
      </c>
      <c r="AF15" s="61">
        <f t="shared" si="21"/>
        <v>54</v>
      </c>
      <c r="AG15" s="61">
        <f t="shared" si="22"/>
        <v>54</v>
      </c>
      <c r="AH15" s="74">
        <f t="shared" si="23"/>
        <v>0</v>
      </c>
      <c r="AI15" s="74">
        <f t="shared" si="24"/>
        <v>0</v>
      </c>
      <c r="AJ15" s="74">
        <f t="shared" si="25"/>
        <v>0</v>
      </c>
      <c r="AK15" s="74">
        <f t="shared" si="8"/>
        <v>0</v>
      </c>
      <c r="AL15" s="74">
        <f t="shared" si="26"/>
        <v>0</v>
      </c>
      <c r="AM15" s="74">
        <f t="shared" si="27"/>
        <v>0</v>
      </c>
      <c r="AN15" s="74">
        <f t="shared" si="28"/>
        <v>0</v>
      </c>
      <c r="AO15" s="74">
        <f t="shared" si="29"/>
        <v>0</v>
      </c>
      <c r="AP15" s="74">
        <f t="shared" si="30"/>
        <v>0</v>
      </c>
      <c r="AQ15" s="74">
        <f t="shared" si="31"/>
        <v>0</v>
      </c>
      <c r="AR15" s="74" t="e">
        <f t="shared" si="32"/>
        <v>#DIV/0!</v>
      </c>
      <c r="AS15" s="74" t="e">
        <f t="shared" si="33"/>
        <v>#DIV/0!</v>
      </c>
      <c r="AT15" s="74">
        <f t="shared" si="34"/>
        <v>1</v>
      </c>
      <c r="AU15" s="74">
        <f t="shared" si="35"/>
        <v>1</v>
      </c>
      <c r="AV15" s="74">
        <f t="shared" si="36"/>
        <v>0</v>
      </c>
      <c r="AW15" s="74">
        <f t="shared" si="37"/>
        <v>0</v>
      </c>
      <c r="AX15" s="74">
        <f t="shared" si="38"/>
        <v>1</v>
      </c>
      <c r="AY15" s="74">
        <f t="shared" si="39"/>
        <v>1</v>
      </c>
      <c r="AZ15" s="74">
        <f t="shared" si="40"/>
        <v>0</v>
      </c>
      <c r="BA15" s="74">
        <f t="shared" si="41"/>
        <v>1</v>
      </c>
      <c r="BB15" s="74">
        <f t="shared" si="42"/>
        <v>0.10905620541781649</v>
      </c>
      <c r="BC15" s="74">
        <f t="shared" si="43"/>
        <v>0.10905620541781649</v>
      </c>
      <c r="BD15" s="74">
        <f t="shared" si="44"/>
        <v>9.7240885633744611E-2</v>
      </c>
      <c r="BE15" s="75">
        <f t="shared" si="45"/>
        <v>0.10905620541781649</v>
      </c>
    </row>
    <row r="16" spans="1:57" x14ac:dyDescent="0.35">
      <c r="A16" s="28" t="s">
        <v>41</v>
      </c>
      <c r="B16" s="22" t="s">
        <v>65</v>
      </c>
      <c r="C16" s="47">
        <f t="shared" si="9"/>
        <v>9.0751215444483115</v>
      </c>
      <c r="D16" s="23">
        <f t="shared" si="10"/>
        <v>9.0751215444483115</v>
      </c>
      <c r="E16" s="30">
        <v>2.2540984E-2</v>
      </c>
      <c r="F16" s="29">
        <v>9.0525805604483107</v>
      </c>
      <c r="G16" s="24">
        <v>0</v>
      </c>
      <c r="H16" s="25">
        <f t="shared" si="11"/>
        <v>21.104230256601589</v>
      </c>
      <c r="I16" s="24">
        <v>0.80696442599999996</v>
      </c>
      <c r="J16" s="29">
        <v>20.297265830601589</v>
      </c>
      <c r="K16" s="24">
        <v>0</v>
      </c>
      <c r="L16" s="25">
        <f t="shared" si="12"/>
        <v>4.2084524748499499</v>
      </c>
      <c r="M16" s="25">
        <f t="shared" si="13"/>
        <v>4.2084524748499499</v>
      </c>
      <c r="N16" s="25">
        <f t="shared" si="14"/>
        <v>2.2275928706634165</v>
      </c>
      <c r="O16" s="25">
        <f t="shared" si="46"/>
        <v>2.2275928706634165</v>
      </c>
      <c r="P16" s="24">
        <f t="shared" si="15"/>
        <v>1.0453045662885387E-2</v>
      </c>
      <c r="Q16" s="24">
        <f t="shared" si="16"/>
        <v>5.5329435545527564E-3</v>
      </c>
      <c r="R16" s="24">
        <f t="shared" si="17"/>
        <v>4.1979994291870648</v>
      </c>
      <c r="S16" s="24">
        <f t="shared" si="0"/>
        <v>2.2220599271088637</v>
      </c>
      <c r="T16" s="24">
        <f t="shared" si="1"/>
        <v>0</v>
      </c>
      <c r="U16" s="24">
        <f t="shared" si="2"/>
        <v>0</v>
      </c>
      <c r="V16" s="25">
        <f t="shared" si="18"/>
        <v>9.7867725096785385</v>
      </c>
      <c r="W16" s="25">
        <f t="shared" si="19"/>
        <v>5.1802758376502558</v>
      </c>
      <c r="X16" s="24">
        <f t="shared" si="20"/>
        <v>0.37421773571651062</v>
      </c>
      <c r="Y16" s="24">
        <f t="shared" si="3"/>
        <v>0.19807869166625844</v>
      </c>
      <c r="Z16" s="24">
        <f t="shared" si="4"/>
        <v>9.4125547739620288</v>
      </c>
      <c r="AA16" s="24">
        <f t="shared" si="5"/>
        <v>4.9821971459839975</v>
      </c>
      <c r="AB16" s="24">
        <f t="shared" si="6"/>
        <v>0</v>
      </c>
      <c r="AC16" s="24">
        <f t="shared" si="7"/>
        <v>0</v>
      </c>
      <c r="AD16" s="26">
        <v>407.39587848230002</v>
      </c>
      <c r="AE16" s="8">
        <v>215.64034757863999</v>
      </c>
      <c r="AF16" s="61">
        <f t="shared" si="21"/>
        <v>30.179351801049901</v>
      </c>
      <c r="AG16" s="61">
        <f t="shared" si="22"/>
        <v>30.179351801049901</v>
      </c>
      <c r="AH16" s="74">
        <f t="shared" si="23"/>
        <v>0.30070631086690869</v>
      </c>
      <c r="AI16" s="74">
        <f t="shared" si="24"/>
        <v>0.30070631086690869</v>
      </c>
      <c r="AJ16" s="74">
        <f t="shared" si="25"/>
        <v>0.30070631086690869</v>
      </c>
      <c r="AK16" s="74">
        <f t="shared" si="8"/>
        <v>0.30070631086690869</v>
      </c>
      <c r="AL16" s="74">
        <f t="shared" si="26"/>
        <v>0.29995941000076032</v>
      </c>
      <c r="AM16" s="74">
        <f t="shared" si="27"/>
        <v>0.29995941000076032</v>
      </c>
      <c r="AN16" s="74">
        <f t="shared" si="28"/>
        <v>7.4690086614835204E-4</v>
      </c>
      <c r="AO16" s="74">
        <f t="shared" si="29"/>
        <v>7.4690086614835204E-4</v>
      </c>
      <c r="AP16" s="74">
        <f t="shared" si="30"/>
        <v>0</v>
      </c>
      <c r="AQ16" s="74">
        <f t="shared" si="31"/>
        <v>0</v>
      </c>
      <c r="AR16" s="74">
        <f t="shared" si="32"/>
        <v>0.99751617828041206</v>
      </c>
      <c r="AS16" s="74">
        <f t="shared" si="33"/>
        <v>2.4838217195878114E-3</v>
      </c>
      <c r="AT16" s="74">
        <f t="shared" si="34"/>
        <v>0.69929368913309131</v>
      </c>
      <c r="AU16" s="74">
        <f t="shared" si="35"/>
        <v>0.69929368913309131</v>
      </c>
      <c r="AV16" s="74">
        <f t="shared" si="36"/>
        <v>2.6738958189682745E-2</v>
      </c>
      <c r="AW16" s="74">
        <f t="shared" si="37"/>
        <v>2.6738958189682745E-2</v>
      </c>
      <c r="AX16" s="74">
        <f t="shared" si="38"/>
        <v>0.67255473094340856</v>
      </c>
      <c r="AY16" s="74">
        <f t="shared" si="39"/>
        <v>0.67255473094340856</v>
      </c>
      <c r="AZ16" s="74">
        <f t="shared" si="40"/>
        <v>3.8237093520507547E-2</v>
      </c>
      <c r="BA16" s="74">
        <f t="shared" si="41"/>
        <v>0.96176290647949247</v>
      </c>
      <c r="BB16" s="74">
        <f t="shared" si="42"/>
        <v>0.1399522498452849</v>
      </c>
      <c r="BC16" s="74">
        <f t="shared" si="43"/>
        <v>0.1399522498452849</v>
      </c>
      <c r="BD16" s="74">
        <f t="shared" si="44"/>
        <v>7.4078687083136738E-2</v>
      </c>
      <c r="BE16" s="75">
        <f t="shared" si="45"/>
        <v>0.1399522498452849</v>
      </c>
    </row>
    <row r="17" spans="1:57" x14ac:dyDescent="0.35">
      <c r="A17" s="28" t="s">
        <v>42</v>
      </c>
      <c r="B17" s="22" t="s">
        <v>65</v>
      </c>
      <c r="C17" s="47">
        <f t="shared" si="9"/>
        <v>9</v>
      </c>
      <c r="D17" s="23">
        <f t="shared" si="10"/>
        <v>9</v>
      </c>
      <c r="E17" s="30">
        <v>0</v>
      </c>
      <c r="F17" s="24">
        <v>9</v>
      </c>
      <c r="G17" s="24">
        <v>0</v>
      </c>
      <c r="H17" s="25">
        <f t="shared" si="11"/>
        <v>9.6999999999999993</v>
      </c>
      <c r="I17" s="24">
        <v>0</v>
      </c>
      <c r="J17" s="24">
        <v>9.6999999999999993</v>
      </c>
      <c r="K17" s="24">
        <v>0</v>
      </c>
      <c r="L17" s="25">
        <f t="shared" si="12"/>
        <v>2.7059324055091158</v>
      </c>
      <c r="M17" s="25">
        <f t="shared" si="13"/>
        <v>2.7059324055091158</v>
      </c>
      <c r="N17" s="25">
        <f t="shared" si="14"/>
        <v>2.8932995220407594</v>
      </c>
      <c r="O17" s="25">
        <f t="shared" si="46"/>
        <v>2.8932995220407594</v>
      </c>
      <c r="P17" s="24">
        <f t="shared" si="15"/>
        <v>0</v>
      </c>
      <c r="Q17" s="24">
        <f t="shared" si="16"/>
        <v>0</v>
      </c>
      <c r="R17" s="24">
        <f t="shared" si="17"/>
        <v>2.7059324055091158</v>
      </c>
      <c r="S17" s="24">
        <f t="shared" si="0"/>
        <v>2.8932995220407594</v>
      </c>
      <c r="T17" s="24">
        <f t="shared" si="1"/>
        <v>0</v>
      </c>
      <c r="U17" s="24">
        <f t="shared" si="2"/>
        <v>0</v>
      </c>
      <c r="V17" s="25">
        <f t="shared" si="18"/>
        <v>2.9163938148264918</v>
      </c>
      <c r="W17" s="25">
        <f t="shared" si="19"/>
        <v>3.1183339293105963</v>
      </c>
      <c r="X17" s="24">
        <f t="shared" si="20"/>
        <v>0</v>
      </c>
      <c r="Y17" s="24">
        <f t="shared" si="3"/>
        <v>0</v>
      </c>
      <c r="Z17" s="24">
        <f t="shared" si="4"/>
        <v>2.9163938148264918</v>
      </c>
      <c r="AA17" s="24">
        <f t="shared" si="5"/>
        <v>3.1183339293105963</v>
      </c>
      <c r="AB17" s="24">
        <f t="shared" si="6"/>
        <v>0</v>
      </c>
      <c r="AC17" s="24">
        <f t="shared" si="7"/>
        <v>0</v>
      </c>
      <c r="AD17" s="26">
        <v>311.06354290107998</v>
      </c>
      <c r="AE17" s="8">
        <v>332.60254327404999</v>
      </c>
      <c r="AF17" s="61">
        <f t="shared" si="21"/>
        <v>18.7</v>
      </c>
      <c r="AG17" s="61">
        <f t="shared" si="22"/>
        <v>18.7</v>
      </c>
      <c r="AH17" s="74">
        <f t="shared" si="23"/>
        <v>0.48128342245989308</v>
      </c>
      <c r="AI17" s="74">
        <f t="shared" si="24"/>
        <v>0.48128342245989308</v>
      </c>
      <c r="AJ17" s="74">
        <f t="shared" si="25"/>
        <v>0.48128342245989308</v>
      </c>
      <c r="AK17" s="74">
        <f t="shared" si="8"/>
        <v>0.48128342245989308</v>
      </c>
      <c r="AL17" s="74">
        <f t="shared" si="26"/>
        <v>0.48128342245989308</v>
      </c>
      <c r="AM17" s="74">
        <f t="shared" si="27"/>
        <v>0.48128342245989308</v>
      </c>
      <c r="AN17" s="74">
        <f t="shared" si="28"/>
        <v>0</v>
      </c>
      <c r="AO17" s="74">
        <f t="shared" si="29"/>
        <v>0</v>
      </c>
      <c r="AP17" s="74">
        <f t="shared" si="30"/>
        <v>0</v>
      </c>
      <c r="AQ17" s="74">
        <f t="shared" si="31"/>
        <v>0</v>
      </c>
      <c r="AR17" s="74">
        <f t="shared" si="32"/>
        <v>1</v>
      </c>
      <c r="AS17" s="74">
        <f t="shared" si="33"/>
        <v>0</v>
      </c>
      <c r="AT17" s="74">
        <f t="shared" si="34"/>
        <v>0.51871657754010692</v>
      </c>
      <c r="AU17" s="74">
        <f t="shared" si="35"/>
        <v>0.51871657754010692</v>
      </c>
      <c r="AV17" s="74">
        <f t="shared" si="36"/>
        <v>0</v>
      </c>
      <c r="AW17" s="74">
        <f t="shared" si="37"/>
        <v>0</v>
      </c>
      <c r="AX17" s="74">
        <f t="shared" si="38"/>
        <v>0.51871657754010692</v>
      </c>
      <c r="AY17" s="74">
        <f t="shared" si="39"/>
        <v>0.51871657754010692</v>
      </c>
      <c r="AZ17" s="74">
        <f t="shared" si="40"/>
        <v>0</v>
      </c>
      <c r="BA17" s="74">
        <f t="shared" si="41"/>
        <v>1</v>
      </c>
      <c r="BB17" s="74">
        <f t="shared" si="42"/>
        <v>5.6223262203356078E-2</v>
      </c>
      <c r="BC17" s="74">
        <f t="shared" si="43"/>
        <v>5.6223262203356078E-2</v>
      </c>
      <c r="BD17" s="74">
        <f t="shared" si="44"/>
        <v>6.0116334513513559E-2</v>
      </c>
      <c r="BE17" s="75">
        <f t="shared" si="45"/>
        <v>5.6223262203356078E-2</v>
      </c>
    </row>
    <row r="18" spans="1:57" x14ac:dyDescent="0.35">
      <c r="A18" s="28" t="s">
        <v>43</v>
      </c>
      <c r="B18" s="22" t="s">
        <v>65</v>
      </c>
      <c r="C18" s="47">
        <f t="shared" si="9"/>
        <v>0</v>
      </c>
      <c r="D18" s="23">
        <f t="shared" si="10"/>
        <v>0</v>
      </c>
      <c r="E18" s="30">
        <v>0</v>
      </c>
      <c r="F18" s="24">
        <v>0</v>
      </c>
      <c r="G18" s="24">
        <v>0</v>
      </c>
      <c r="H18" s="25">
        <f t="shared" si="11"/>
        <v>0.34351350790000001</v>
      </c>
      <c r="I18" s="24">
        <v>0.166216216</v>
      </c>
      <c r="J18" s="24">
        <v>0.17729729189999999</v>
      </c>
      <c r="K18" s="24">
        <v>0</v>
      </c>
      <c r="L18" s="25">
        <f t="shared" si="12"/>
        <v>0</v>
      </c>
      <c r="M18" s="25">
        <f t="shared" si="13"/>
        <v>0</v>
      </c>
      <c r="N18" s="25">
        <f t="shared" si="14"/>
        <v>0</v>
      </c>
      <c r="O18" s="25">
        <f t="shared" si="46"/>
        <v>0</v>
      </c>
      <c r="P18" s="24">
        <f t="shared" si="15"/>
        <v>0</v>
      </c>
      <c r="Q18" s="24">
        <f t="shared" si="16"/>
        <v>0</v>
      </c>
      <c r="R18" s="24">
        <f t="shared" si="17"/>
        <v>0</v>
      </c>
      <c r="S18" s="24">
        <f t="shared" si="0"/>
        <v>0</v>
      </c>
      <c r="T18" s="24">
        <f t="shared" si="1"/>
        <v>0</v>
      </c>
      <c r="U18" s="24">
        <f t="shared" si="2"/>
        <v>0</v>
      </c>
      <c r="V18" s="25">
        <f t="shared" si="18"/>
        <v>1.2772080118792744</v>
      </c>
      <c r="W18" s="25">
        <f t="shared" si="19"/>
        <v>0.74820679582493232</v>
      </c>
      <c r="X18" s="24">
        <f t="shared" si="20"/>
        <v>0.61800388601095835</v>
      </c>
      <c r="Y18" s="24">
        <f t="shared" si="3"/>
        <v>0.36203555181215297</v>
      </c>
      <c r="Z18" s="24">
        <f t="shared" si="4"/>
        <v>0.659204125868316</v>
      </c>
      <c r="AA18" s="24">
        <f t="shared" si="5"/>
        <v>0.38617124401277941</v>
      </c>
      <c r="AB18" s="24">
        <f t="shared" si="6"/>
        <v>0</v>
      </c>
      <c r="AC18" s="24">
        <f t="shared" si="7"/>
        <v>0</v>
      </c>
      <c r="AD18" s="26">
        <v>45.911572818750003</v>
      </c>
      <c r="AE18" s="8">
        <v>26.895658710639999</v>
      </c>
      <c r="AF18" s="61">
        <f t="shared" si="21"/>
        <v>0.34351350790000001</v>
      </c>
      <c r="AG18" s="61">
        <f t="shared" si="22"/>
        <v>0.34351350790000001</v>
      </c>
      <c r="AH18" s="74">
        <f t="shared" si="23"/>
        <v>0</v>
      </c>
      <c r="AI18" s="74">
        <f t="shared" si="24"/>
        <v>0</v>
      </c>
      <c r="AJ18" s="74">
        <f t="shared" si="25"/>
        <v>0</v>
      </c>
      <c r="AK18" s="74">
        <f t="shared" si="8"/>
        <v>0</v>
      </c>
      <c r="AL18" s="74">
        <f t="shared" si="26"/>
        <v>0</v>
      </c>
      <c r="AM18" s="74">
        <f t="shared" si="27"/>
        <v>0</v>
      </c>
      <c r="AN18" s="74">
        <f t="shared" si="28"/>
        <v>0</v>
      </c>
      <c r="AO18" s="74">
        <f t="shared" si="29"/>
        <v>0</v>
      </c>
      <c r="AP18" s="74">
        <f t="shared" si="30"/>
        <v>0</v>
      </c>
      <c r="AQ18" s="74">
        <f t="shared" si="31"/>
        <v>0</v>
      </c>
      <c r="AR18" s="74" t="e">
        <f t="shared" si="32"/>
        <v>#DIV/0!</v>
      </c>
      <c r="AS18" s="74" t="e">
        <f t="shared" si="33"/>
        <v>#DIV/0!</v>
      </c>
      <c r="AT18" s="74">
        <f t="shared" si="34"/>
        <v>1</v>
      </c>
      <c r="AU18" s="74">
        <f t="shared" si="35"/>
        <v>1</v>
      </c>
      <c r="AV18" s="74">
        <f t="shared" si="36"/>
        <v>0.48387097501966964</v>
      </c>
      <c r="AW18" s="74">
        <f t="shared" si="37"/>
        <v>0.48387097501966964</v>
      </c>
      <c r="AX18" s="74">
        <f t="shared" si="38"/>
        <v>0.51612902498033031</v>
      </c>
      <c r="AY18" s="74">
        <f t="shared" si="39"/>
        <v>0.51612902498033031</v>
      </c>
      <c r="AZ18" s="74">
        <f t="shared" si="40"/>
        <v>0.48387097501966964</v>
      </c>
      <c r="BA18" s="74">
        <f t="shared" si="41"/>
        <v>0.51612902498033031</v>
      </c>
      <c r="BB18" s="74">
        <f t="shared" si="42"/>
        <v>1.2772080118792743E-2</v>
      </c>
      <c r="BC18" s="74">
        <f t="shared" si="43"/>
        <v>1.2772080118792743E-2</v>
      </c>
      <c r="BD18" s="74">
        <f t="shared" si="44"/>
        <v>7.4820679582493247E-3</v>
      </c>
      <c r="BE18" s="75">
        <f t="shared" si="45"/>
        <v>1.2772080118792743E-2</v>
      </c>
    </row>
    <row r="19" spans="1:57" x14ac:dyDescent="0.35">
      <c r="A19" s="28" t="s">
        <v>44</v>
      </c>
      <c r="B19" s="22" t="s">
        <v>65</v>
      </c>
      <c r="C19" s="47">
        <f t="shared" si="9"/>
        <v>8.8523525290000009</v>
      </c>
      <c r="D19" s="23">
        <f t="shared" si="10"/>
        <v>4.352352529</v>
      </c>
      <c r="E19" s="30">
        <v>2.8823529000000001E-2</v>
      </c>
      <c r="F19" s="24">
        <v>4.3235289999999997</v>
      </c>
      <c r="G19" s="24">
        <v>4.5</v>
      </c>
      <c r="H19" s="25">
        <f t="shared" si="11"/>
        <v>13.1</v>
      </c>
      <c r="I19" s="24">
        <v>1.1000000000000001</v>
      </c>
      <c r="J19" s="24">
        <v>12</v>
      </c>
      <c r="K19" s="24">
        <v>0</v>
      </c>
      <c r="L19" s="25">
        <f t="shared" si="12"/>
        <v>3.4749972442388337</v>
      </c>
      <c r="M19" s="25">
        <f t="shared" si="13"/>
        <v>1.7085190625524533</v>
      </c>
      <c r="N19" s="25">
        <f t="shared" si="14"/>
        <v>3.4862443675836436</v>
      </c>
      <c r="O19" s="25">
        <f t="shared" si="46"/>
        <v>1.7140488294221521</v>
      </c>
      <c r="P19" s="24">
        <f t="shared" si="15"/>
        <v>1.1314696688378813E-2</v>
      </c>
      <c r="Q19" s="24">
        <f t="shared" si="16"/>
        <v>1.1351317663970748E-2</v>
      </c>
      <c r="R19" s="24">
        <f t="shared" si="17"/>
        <v>1.6972043658640745</v>
      </c>
      <c r="S19" s="24">
        <f t="shared" si="0"/>
        <v>1.7026975117581813</v>
      </c>
      <c r="T19" s="24">
        <f t="shared" si="1"/>
        <v>1.7664781816863806</v>
      </c>
      <c r="U19" s="24">
        <f t="shared" si="2"/>
        <v>1.7721955381614918</v>
      </c>
      <c r="V19" s="25">
        <f t="shared" si="18"/>
        <v>5.1424142622425748</v>
      </c>
      <c r="W19" s="25">
        <f t="shared" si="19"/>
        <v>5.1590581222034544</v>
      </c>
      <c r="X19" s="24">
        <f t="shared" si="20"/>
        <v>0.43180577774555973</v>
      </c>
      <c r="Y19" s="24">
        <f t="shared" si="3"/>
        <v>0.43320335377280911</v>
      </c>
      <c r="Z19" s="24">
        <f t="shared" si="4"/>
        <v>4.7106084844970146</v>
      </c>
      <c r="AA19" s="24">
        <f t="shared" si="5"/>
        <v>4.7258547684306453</v>
      </c>
      <c r="AB19" s="24">
        <f t="shared" si="6"/>
        <v>0</v>
      </c>
      <c r="AC19" s="24">
        <f t="shared" si="7"/>
        <v>0</v>
      </c>
      <c r="AD19" s="26">
        <v>253.92231856471</v>
      </c>
      <c r="AE19" s="8">
        <v>254.7441596875</v>
      </c>
      <c r="AF19" s="61">
        <f t="shared" si="21"/>
        <v>17.452352528999999</v>
      </c>
      <c r="AG19" s="61">
        <f t="shared" si="22"/>
        <v>17.452352528999999</v>
      </c>
      <c r="AH19" s="74">
        <f t="shared" si="23"/>
        <v>0.24938486211345084</v>
      </c>
      <c r="AI19" s="74">
        <f t="shared" si="24"/>
        <v>0.24938486211345084</v>
      </c>
      <c r="AJ19" s="74">
        <f t="shared" si="25"/>
        <v>0.24938486211345084</v>
      </c>
      <c r="AK19" s="74">
        <f t="shared" si="8"/>
        <v>0.24938486211345084</v>
      </c>
      <c r="AL19" s="74">
        <f t="shared" si="26"/>
        <v>0.24773330660240411</v>
      </c>
      <c r="AM19" s="74">
        <f t="shared" si="27"/>
        <v>0.24773330660240411</v>
      </c>
      <c r="AN19" s="74">
        <f t="shared" si="28"/>
        <v>1.6515555110467137E-3</v>
      </c>
      <c r="AO19" s="74">
        <f t="shared" si="29"/>
        <v>1.6515555110467137E-3</v>
      </c>
      <c r="AP19" s="74">
        <f t="shared" si="30"/>
        <v>0.2578448946938528</v>
      </c>
      <c r="AQ19" s="74">
        <f t="shared" si="31"/>
        <v>0.2578448946938528</v>
      </c>
      <c r="AR19" s="74">
        <f t="shared" si="32"/>
        <v>0.99337748291115036</v>
      </c>
      <c r="AS19" s="74">
        <f t="shared" si="33"/>
        <v>6.6225170888495367E-3</v>
      </c>
      <c r="AT19" s="74">
        <f t="shared" si="34"/>
        <v>0.75061513788654921</v>
      </c>
      <c r="AU19" s="74">
        <f t="shared" si="35"/>
        <v>0.75061513788654921</v>
      </c>
      <c r="AV19" s="74">
        <f t="shared" si="36"/>
        <v>6.3028752036275129E-2</v>
      </c>
      <c r="AW19" s="74">
        <f t="shared" si="37"/>
        <v>6.3028752036275129E-2</v>
      </c>
      <c r="AX19" s="74">
        <f t="shared" si="38"/>
        <v>0.6875863858502741</v>
      </c>
      <c r="AY19" s="74">
        <f t="shared" si="39"/>
        <v>0.6875863858502741</v>
      </c>
      <c r="AZ19" s="74">
        <f t="shared" si="40"/>
        <v>8.3969465648854977E-2</v>
      </c>
      <c r="BA19" s="74">
        <f t="shared" si="41"/>
        <v>0.91603053435114501</v>
      </c>
      <c r="BB19" s="74">
        <f t="shared" si="42"/>
        <v>8.617411506481408E-2</v>
      </c>
      <c r="BC19" s="74">
        <f t="shared" si="43"/>
        <v>6.8509333247950277E-2</v>
      </c>
      <c r="BD19" s="74">
        <f t="shared" si="44"/>
        <v>6.8731069516256058E-2</v>
      </c>
      <c r="BE19" s="75">
        <f t="shared" si="45"/>
        <v>6.8509333247950277E-2</v>
      </c>
    </row>
    <row r="20" spans="1:57" x14ac:dyDescent="0.35">
      <c r="A20" s="28" t="s">
        <v>45</v>
      </c>
      <c r="B20" s="22" t="s">
        <v>65</v>
      </c>
      <c r="C20" s="47">
        <f t="shared" si="9"/>
        <v>6.3664610000000001</v>
      </c>
      <c r="D20" s="23">
        <f t="shared" si="10"/>
        <v>6.3664610000000001</v>
      </c>
      <c r="E20" s="30">
        <v>5.4100000000000003E-4</v>
      </c>
      <c r="F20" s="24">
        <v>6.36592</v>
      </c>
      <c r="G20" s="24">
        <v>0</v>
      </c>
      <c r="H20" s="25">
        <f t="shared" si="11"/>
        <v>2.2164000000000001</v>
      </c>
      <c r="I20" s="24">
        <v>1.1082000000000001</v>
      </c>
      <c r="J20" s="24">
        <v>1.1082000000000001</v>
      </c>
      <c r="K20" s="24">
        <v>0</v>
      </c>
      <c r="L20" s="25">
        <f t="shared" si="12"/>
        <v>3.1222987126848292</v>
      </c>
      <c r="M20" s="25">
        <f t="shared" si="13"/>
        <v>3.1222987126848292</v>
      </c>
      <c r="N20" s="25">
        <f t="shared" si="14"/>
        <v>2.1112823412204826</v>
      </c>
      <c r="O20" s="25">
        <f t="shared" si="46"/>
        <v>2.1112823412204826</v>
      </c>
      <c r="P20" s="24">
        <f t="shared" si="15"/>
        <v>2.6532222589009696E-4</v>
      </c>
      <c r="Q20" s="24">
        <f t="shared" si="16"/>
        <v>1.7940952541769769E-4</v>
      </c>
      <c r="R20" s="24">
        <f t="shared" si="17"/>
        <v>3.122033390458939</v>
      </c>
      <c r="S20" s="24">
        <f t="shared" si="0"/>
        <v>2.1111029316950649</v>
      </c>
      <c r="T20" s="24">
        <f t="shared" si="1"/>
        <v>0</v>
      </c>
      <c r="U20" s="24">
        <f t="shared" si="2"/>
        <v>0</v>
      </c>
      <c r="V20" s="25">
        <f t="shared" si="18"/>
        <v>1.0869873964192438</v>
      </c>
      <c r="W20" s="25">
        <f t="shared" si="19"/>
        <v>0.73501529045431646</v>
      </c>
      <c r="X20" s="24">
        <f t="shared" si="20"/>
        <v>0.5434936982096219</v>
      </c>
      <c r="Y20" s="24">
        <f t="shared" si="3"/>
        <v>0.36750764522715823</v>
      </c>
      <c r="Z20" s="24">
        <f t="shared" si="4"/>
        <v>0.5434936982096219</v>
      </c>
      <c r="AA20" s="24">
        <f t="shared" si="5"/>
        <v>0.36750764522715823</v>
      </c>
      <c r="AB20" s="24">
        <f t="shared" si="6"/>
        <v>0</v>
      </c>
      <c r="AC20" s="24">
        <f t="shared" si="7"/>
        <v>0</v>
      </c>
      <c r="AD20" s="26">
        <v>301.54474727050001</v>
      </c>
      <c r="AE20" s="8">
        <v>203.90300819506001</v>
      </c>
      <c r="AF20" s="61">
        <f t="shared" si="21"/>
        <v>8.5828610000000012</v>
      </c>
      <c r="AG20" s="61">
        <f t="shared" si="22"/>
        <v>8.5828610000000012</v>
      </c>
      <c r="AH20" s="74">
        <f t="shared" si="23"/>
        <v>0.74176443029894101</v>
      </c>
      <c r="AI20" s="74">
        <f t="shared" si="24"/>
        <v>0.74176443029894101</v>
      </c>
      <c r="AJ20" s="74">
        <f t="shared" si="25"/>
        <v>0.74176443029894101</v>
      </c>
      <c r="AK20" s="74">
        <f t="shared" si="8"/>
        <v>0.74176443029894101</v>
      </c>
      <c r="AL20" s="74">
        <f t="shared" si="26"/>
        <v>0.74170139770409882</v>
      </c>
      <c r="AM20" s="74">
        <f t="shared" si="27"/>
        <v>0.74170139770409882</v>
      </c>
      <c r="AN20" s="74">
        <f t="shared" si="28"/>
        <v>6.3032594842209373E-5</v>
      </c>
      <c r="AO20" s="74">
        <f t="shared" si="29"/>
        <v>6.3032594842209373E-5</v>
      </c>
      <c r="AP20" s="74">
        <f t="shared" si="30"/>
        <v>0</v>
      </c>
      <c r="AQ20" s="74">
        <f t="shared" si="31"/>
        <v>0</v>
      </c>
      <c r="AR20" s="74">
        <f t="shared" si="32"/>
        <v>0.99991502343295591</v>
      </c>
      <c r="AS20" s="74">
        <f t="shared" si="33"/>
        <v>8.4976567044076767E-5</v>
      </c>
      <c r="AT20" s="74">
        <f t="shared" si="34"/>
        <v>0.25823556970105888</v>
      </c>
      <c r="AU20" s="74">
        <f t="shared" si="35"/>
        <v>0.25823556970105888</v>
      </c>
      <c r="AV20" s="74">
        <f t="shared" si="36"/>
        <v>0.12911778485052944</v>
      </c>
      <c r="AW20" s="74">
        <f t="shared" si="37"/>
        <v>0.12911778485052944</v>
      </c>
      <c r="AX20" s="74">
        <f t="shared" si="38"/>
        <v>0.12911778485052944</v>
      </c>
      <c r="AY20" s="74">
        <f t="shared" si="39"/>
        <v>0.12911778485052944</v>
      </c>
      <c r="AZ20" s="74">
        <f t="shared" si="40"/>
        <v>0.5</v>
      </c>
      <c r="BA20" s="74">
        <f t="shared" si="41"/>
        <v>0.5</v>
      </c>
      <c r="BB20" s="74">
        <f t="shared" si="42"/>
        <v>4.2092861091040733E-2</v>
      </c>
      <c r="BC20" s="74">
        <f t="shared" si="43"/>
        <v>4.2092861091040733E-2</v>
      </c>
      <c r="BD20" s="74">
        <f t="shared" si="44"/>
        <v>2.8462976316747993E-2</v>
      </c>
      <c r="BE20" s="75">
        <f t="shared" si="45"/>
        <v>4.2092861091040733E-2</v>
      </c>
    </row>
    <row r="21" spans="1:57" x14ac:dyDescent="0.35">
      <c r="A21" s="28" t="s">
        <v>46</v>
      </c>
      <c r="B21" s="22" t="s">
        <v>65</v>
      </c>
      <c r="C21" s="47">
        <f t="shared" si="9"/>
        <v>0.88253820443329634</v>
      </c>
      <c r="D21" s="23">
        <f t="shared" si="10"/>
        <v>0.88253820443329634</v>
      </c>
      <c r="E21" s="30">
        <v>2.1328006607137996E-2</v>
      </c>
      <c r="F21" s="30">
        <v>0.86121019782615837</v>
      </c>
      <c r="G21" s="24">
        <v>0</v>
      </c>
      <c r="H21" s="25">
        <f t="shared" si="11"/>
        <v>0.91931062961801713</v>
      </c>
      <c r="I21" s="24">
        <v>0</v>
      </c>
      <c r="J21" s="30">
        <v>0.91931062961801713</v>
      </c>
      <c r="K21" s="24">
        <v>0</v>
      </c>
      <c r="L21" s="25">
        <f t="shared" si="12"/>
        <v>4.2572996227017779</v>
      </c>
      <c r="M21" s="25">
        <f t="shared" si="13"/>
        <v>4.2572996227017779</v>
      </c>
      <c r="N21" s="25">
        <f t="shared" si="14"/>
        <v>4.6280958337256317</v>
      </c>
      <c r="O21" s="25">
        <f t="shared" si="46"/>
        <v>4.6280958337256317</v>
      </c>
      <c r="P21" s="24">
        <f t="shared" si="15"/>
        <v>0.10288474088195963</v>
      </c>
      <c r="Q21" s="24">
        <f t="shared" si="16"/>
        <v>0.11184564931503611</v>
      </c>
      <c r="R21" s="24">
        <f t="shared" si="17"/>
        <v>4.1544148818198181</v>
      </c>
      <c r="S21" s="24">
        <f t="shared" si="0"/>
        <v>4.5162501844105956</v>
      </c>
      <c r="T21" s="24">
        <f t="shared" si="1"/>
        <v>0</v>
      </c>
      <c r="U21" s="24">
        <f t="shared" si="2"/>
        <v>0</v>
      </c>
      <c r="V21" s="25">
        <f t="shared" si="18"/>
        <v>4.434687106981019</v>
      </c>
      <c r="W21" s="25">
        <f t="shared" si="19"/>
        <v>4.8209331601308669</v>
      </c>
      <c r="X21" s="24">
        <f t="shared" si="20"/>
        <v>0</v>
      </c>
      <c r="Y21" s="24">
        <f t="shared" si="3"/>
        <v>0</v>
      </c>
      <c r="Z21" s="24">
        <f t="shared" si="4"/>
        <v>4.434687106981019</v>
      </c>
      <c r="AA21" s="24">
        <f t="shared" si="5"/>
        <v>4.8209331601308669</v>
      </c>
      <c r="AB21" s="24">
        <f t="shared" si="6"/>
        <v>0</v>
      </c>
      <c r="AC21" s="24">
        <f t="shared" si="7"/>
        <v>0</v>
      </c>
      <c r="AD21" s="26">
        <v>19.06914282116</v>
      </c>
      <c r="AE21" s="8">
        <v>20.729999827290001</v>
      </c>
      <c r="AF21" s="61">
        <f t="shared" si="21"/>
        <v>1.8018488340513135</v>
      </c>
      <c r="AG21" s="61">
        <f t="shared" si="22"/>
        <v>1.8018488340513135</v>
      </c>
      <c r="AH21" s="74">
        <f t="shared" si="23"/>
        <v>0.48979591836734693</v>
      </c>
      <c r="AI21" s="74">
        <f t="shared" si="24"/>
        <v>0.48979591836734693</v>
      </c>
      <c r="AJ21" s="74">
        <f t="shared" si="25"/>
        <v>0.48979591836734693</v>
      </c>
      <c r="AK21" s="74">
        <f t="shared" si="8"/>
        <v>0.48979591836734693</v>
      </c>
      <c r="AL21" s="74">
        <f t="shared" si="26"/>
        <v>0.4779591836734694</v>
      </c>
      <c r="AM21" s="74">
        <f t="shared" si="27"/>
        <v>0.4779591836734694</v>
      </c>
      <c r="AN21" s="74">
        <f t="shared" si="28"/>
        <v>1.1836734693877551E-2</v>
      </c>
      <c r="AO21" s="74">
        <f t="shared" si="29"/>
        <v>1.1836734693877551E-2</v>
      </c>
      <c r="AP21" s="74">
        <f t="shared" si="30"/>
        <v>0</v>
      </c>
      <c r="AQ21" s="74">
        <f t="shared" si="31"/>
        <v>0</v>
      </c>
      <c r="AR21" s="74">
        <f t="shared" si="32"/>
        <v>0.97583333333333333</v>
      </c>
      <c r="AS21" s="74">
        <f t="shared" si="33"/>
        <v>2.416666666666667E-2</v>
      </c>
      <c r="AT21" s="74">
        <f t="shared" si="34"/>
        <v>0.51020408163265307</v>
      </c>
      <c r="AU21" s="74">
        <f t="shared" si="35"/>
        <v>0.51020408163265307</v>
      </c>
      <c r="AV21" s="74">
        <f t="shared" si="36"/>
        <v>0</v>
      </c>
      <c r="AW21" s="74">
        <f t="shared" si="37"/>
        <v>0</v>
      </c>
      <c r="AX21" s="74">
        <f t="shared" si="38"/>
        <v>0.51020408163265307</v>
      </c>
      <c r="AY21" s="74">
        <f t="shared" si="39"/>
        <v>0.51020408163265307</v>
      </c>
      <c r="AZ21" s="74">
        <f t="shared" si="40"/>
        <v>0</v>
      </c>
      <c r="BA21" s="74">
        <f t="shared" si="41"/>
        <v>1</v>
      </c>
      <c r="BB21" s="74">
        <f t="shared" si="42"/>
        <v>8.6919867296827963E-2</v>
      </c>
      <c r="BC21" s="74">
        <f t="shared" si="43"/>
        <v>8.6919867296827963E-2</v>
      </c>
      <c r="BD21" s="74">
        <f t="shared" si="44"/>
        <v>9.4490289938564981E-2</v>
      </c>
      <c r="BE21" s="75">
        <f t="shared" si="45"/>
        <v>8.6919867296827963E-2</v>
      </c>
    </row>
    <row r="22" spans="1:57" x14ac:dyDescent="0.35">
      <c r="A22" s="28" t="s">
        <v>47</v>
      </c>
      <c r="B22" s="22" t="s">
        <v>65</v>
      </c>
      <c r="C22" s="47">
        <f t="shared" si="9"/>
        <v>26.292712146915665</v>
      </c>
      <c r="D22" s="23">
        <f t="shared" si="10"/>
        <v>23.434808652685703</v>
      </c>
      <c r="E22" s="30">
        <v>2.2863227953839709</v>
      </c>
      <c r="F22" s="30">
        <v>21.148485857301733</v>
      </c>
      <c r="G22" s="30">
        <v>2.8579034942299635</v>
      </c>
      <c r="H22" s="25">
        <f t="shared" si="11"/>
        <v>6.8589683861519131</v>
      </c>
      <c r="I22" s="30">
        <v>4.5726455907679417</v>
      </c>
      <c r="J22" s="30">
        <v>2.2863227953839709</v>
      </c>
      <c r="K22" s="24">
        <v>0</v>
      </c>
      <c r="L22" s="25">
        <f t="shared" si="12"/>
        <v>7.0780824927377148</v>
      </c>
      <c r="M22" s="25">
        <f t="shared" si="13"/>
        <v>6.308725700048833</v>
      </c>
      <c r="N22" s="25">
        <f t="shared" si="14"/>
        <v>6.2917668334244397</v>
      </c>
      <c r="O22" s="25">
        <f t="shared" si="46"/>
        <v>5.6078791341391749</v>
      </c>
      <c r="P22" s="24">
        <f t="shared" si="15"/>
        <v>0.61548543415110557</v>
      </c>
      <c r="Q22" s="24">
        <f t="shared" si="16"/>
        <v>0.54711015942821217</v>
      </c>
      <c r="R22" s="24">
        <f t="shared" si="17"/>
        <v>5.6932402658977272</v>
      </c>
      <c r="S22" s="24">
        <f t="shared" si="0"/>
        <v>5.060768974710963</v>
      </c>
      <c r="T22" s="24">
        <f t="shared" si="1"/>
        <v>0.76935679268888202</v>
      </c>
      <c r="U22" s="24">
        <f t="shared" si="2"/>
        <v>0.68388769928526516</v>
      </c>
      <c r="V22" s="25">
        <f t="shared" si="18"/>
        <v>1.8464563024533167</v>
      </c>
      <c r="W22" s="25">
        <f t="shared" si="19"/>
        <v>1.6413304782846365</v>
      </c>
      <c r="X22" s="24">
        <f t="shared" si="20"/>
        <v>1.2309708683022111</v>
      </c>
      <c r="Y22" s="24">
        <f t="shared" si="3"/>
        <v>1.0942203188564243</v>
      </c>
      <c r="Z22" s="24">
        <f t="shared" si="4"/>
        <v>0.61548543415110557</v>
      </c>
      <c r="AA22" s="24">
        <f t="shared" si="5"/>
        <v>0.54711015942821217</v>
      </c>
      <c r="AB22" s="24">
        <f t="shared" si="6"/>
        <v>0</v>
      </c>
      <c r="AC22" s="24">
        <f t="shared" si="7"/>
        <v>0</v>
      </c>
      <c r="AD22" s="26">
        <v>417.89075855828003</v>
      </c>
      <c r="AE22" s="8">
        <v>371.46659669328</v>
      </c>
      <c r="AF22" s="61">
        <f t="shared" si="21"/>
        <v>30.293777038837618</v>
      </c>
      <c r="AG22" s="61">
        <f t="shared" si="22"/>
        <v>30.293777038837618</v>
      </c>
      <c r="AH22" s="74">
        <f t="shared" si="23"/>
        <v>0.7735849056603773</v>
      </c>
      <c r="AI22" s="74">
        <f t="shared" si="24"/>
        <v>0.7735849056603773</v>
      </c>
      <c r="AJ22" s="74">
        <f t="shared" si="25"/>
        <v>0.7735849056603773</v>
      </c>
      <c r="AK22" s="74">
        <f t="shared" si="8"/>
        <v>0.7735849056603773</v>
      </c>
      <c r="AL22" s="74">
        <f t="shared" si="26"/>
        <v>0.69811320754716977</v>
      </c>
      <c r="AM22" s="74">
        <f t="shared" si="27"/>
        <v>0.69811320754716977</v>
      </c>
      <c r="AN22" s="74">
        <f t="shared" si="28"/>
        <v>7.5471698113207544E-2</v>
      </c>
      <c r="AO22" s="74">
        <f t="shared" si="29"/>
        <v>7.5471698113207544E-2</v>
      </c>
      <c r="AP22" s="74">
        <f t="shared" si="30"/>
        <v>9.4339622641509413E-2</v>
      </c>
      <c r="AQ22" s="74">
        <f t="shared" si="31"/>
        <v>9.4339622641509413E-2</v>
      </c>
      <c r="AR22" s="74">
        <f t="shared" si="32"/>
        <v>0.90243902439024393</v>
      </c>
      <c r="AS22" s="74">
        <f t="shared" si="33"/>
        <v>9.7560975609756087E-2</v>
      </c>
      <c r="AT22" s="74">
        <f t="shared" si="34"/>
        <v>0.22641509433962262</v>
      </c>
      <c r="AU22" s="74">
        <f t="shared" si="35"/>
        <v>0.22641509433962262</v>
      </c>
      <c r="AV22" s="74">
        <f t="shared" si="36"/>
        <v>0.15094339622641509</v>
      </c>
      <c r="AW22" s="74">
        <f t="shared" si="37"/>
        <v>0.15094339622641509</v>
      </c>
      <c r="AX22" s="74">
        <f t="shared" si="38"/>
        <v>7.5471698113207544E-2</v>
      </c>
      <c r="AY22" s="74">
        <f t="shared" si="39"/>
        <v>7.5471698113207544E-2</v>
      </c>
      <c r="AZ22" s="74">
        <f>(I22/H22)</f>
        <v>0.66666666666666663</v>
      </c>
      <c r="BA22" s="74">
        <f t="shared" si="41"/>
        <v>0.33333333333333331</v>
      </c>
      <c r="BB22" s="74">
        <f t="shared" si="42"/>
        <v>8.9245387951910324E-2</v>
      </c>
      <c r="BC22" s="74">
        <f t="shared" si="43"/>
        <v>8.155182002502151E-2</v>
      </c>
      <c r="BD22" s="74">
        <f t="shared" si="44"/>
        <v>7.2492096124238112E-2</v>
      </c>
      <c r="BE22" s="75">
        <f t="shared" si="45"/>
        <v>8.155182002502151E-2</v>
      </c>
    </row>
    <row r="23" spans="1:57" x14ac:dyDescent="0.35">
      <c r="A23" s="28" t="s">
        <v>48</v>
      </c>
      <c r="B23" s="22" t="s">
        <v>65</v>
      </c>
      <c r="C23" s="47">
        <f t="shared" si="9"/>
        <v>27.998705557429702</v>
      </c>
      <c r="D23" s="23">
        <f t="shared" si="10"/>
        <v>25.918306382883841</v>
      </c>
      <c r="E23" s="30">
        <v>4.0163261841927023</v>
      </c>
      <c r="F23" s="30">
        <v>21.901980198691138</v>
      </c>
      <c r="G23" s="30">
        <v>2.0803991745458603</v>
      </c>
      <c r="H23" s="25">
        <f t="shared" si="11"/>
        <v>11.153251130204193</v>
      </c>
      <c r="I23" s="30">
        <v>0.9535162883335192</v>
      </c>
      <c r="J23" s="30">
        <v>10.199734841870674</v>
      </c>
      <c r="K23" s="24">
        <v>0</v>
      </c>
      <c r="L23" s="25">
        <f t="shared" si="12"/>
        <v>7.810825703523264</v>
      </c>
      <c r="M23" s="25">
        <f t="shared" si="13"/>
        <v>7.2304547534162724</v>
      </c>
      <c r="N23" s="25">
        <f t="shared" si="14"/>
        <v>8.1772706328168336</v>
      </c>
      <c r="O23" s="25">
        <f t="shared" si="46"/>
        <v>7.5696715765084619</v>
      </c>
      <c r="P23" s="24">
        <f t="shared" si="15"/>
        <v>1.1204383620121092</v>
      </c>
      <c r="Q23" s="24">
        <f t="shared" si="16"/>
        <v>1.1730037337064394</v>
      </c>
      <c r="R23" s="24">
        <f t="shared" si="17"/>
        <v>6.1100163914041632</v>
      </c>
      <c r="S23" s="24">
        <f t="shared" si="0"/>
        <v>6.3966678428020227</v>
      </c>
      <c r="T23" s="24">
        <f t="shared" si="1"/>
        <v>0.5803709501069918</v>
      </c>
      <c r="U23" s="24">
        <f t="shared" si="2"/>
        <v>0.60759905630837163</v>
      </c>
      <c r="V23" s="25">
        <f t="shared" si="18"/>
        <v>3.1114331491847054</v>
      </c>
      <c r="W23" s="25">
        <f t="shared" si="19"/>
        <v>3.257406051875436</v>
      </c>
      <c r="X23" s="24">
        <f t="shared" si="20"/>
        <v>0.2660033521323712</v>
      </c>
      <c r="Y23" s="24">
        <f t="shared" si="3"/>
        <v>0.27848290080800364</v>
      </c>
      <c r="Z23" s="24">
        <f t="shared" si="4"/>
        <v>2.8454297970523341</v>
      </c>
      <c r="AA23" s="24">
        <f t="shared" si="5"/>
        <v>2.9789231510674323</v>
      </c>
      <c r="AB23" s="24">
        <f t="shared" si="6"/>
        <v>0</v>
      </c>
      <c r="AC23" s="24">
        <f t="shared" si="7"/>
        <v>0</v>
      </c>
      <c r="AD23" s="26">
        <v>342.39670930134002</v>
      </c>
      <c r="AE23" s="8">
        <v>358.46025273358998</v>
      </c>
      <c r="AF23" s="61">
        <f t="shared" si="21"/>
        <v>37.071557513088038</v>
      </c>
      <c r="AG23" s="61">
        <f t="shared" si="22"/>
        <v>37.071557513088038</v>
      </c>
      <c r="AH23" s="74">
        <f t="shared" si="23"/>
        <v>0.69914263445050662</v>
      </c>
      <c r="AI23" s="74">
        <f t="shared" si="24"/>
        <v>0.69914263445050662</v>
      </c>
      <c r="AJ23" s="74">
        <f t="shared" si="25"/>
        <v>0.69914263445050662</v>
      </c>
      <c r="AK23" s="74">
        <f t="shared" si="8"/>
        <v>0.69914263445050662</v>
      </c>
      <c r="AL23" s="74">
        <f t="shared" si="26"/>
        <v>0.59080280592361645</v>
      </c>
      <c r="AM23" s="74">
        <f t="shared" si="27"/>
        <v>0.59080280592361645</v>
      </c>
      <c r="AN23" s="74">
        <f t="shared" si="28"/>
        <v>0.1083398285268901</v>
      </c>
      <c r="AO23" s="74">
        <f t="shared" si="29"/>
        <v>0.1083398285268901</v>
      </c>
      <c r="AP23" s="74">
        <f t="shared" si="30"/>
        <v>5.6118472330475448E-2</v>
      </c>
      <c r="AQ23" s="74">
        <f t="shared" si="31"/>
        <v>5.6118472330475448E-2</v>
      </c>
      <c r="AR23" s="74">
        <f t="shared" si="32"/>
        <v>0.84503901895206235</v>
      </c>
      <c r="AS23" s="74">
        <f t="shared" si="33"/>
        <v>0.15496098104793757</v>
      </c>
      <c r="AT23" s="74">
        <f t="shared" si="34"/>
        <v>0.30085736554949333</v>
      </c>
      <c r="AU23" s="74">
        <f t="shared" si="35"/>
        <v>0.30085736554949333</v>
      </c>
      <c r="AV23" s="74">
        <f t="shared" si="36"/>
        <v>2.5720966484801246E-2</v>
      </c>
      <c r="AW23" s="74">
        <f t="shared" si="37"/>
        <v>2.5720966484801246E-2</v>
      </c>
      <c r="AX23" s="74">
        <f t="shared" si="38"/>
        <v>0.27513639906469206</v>
      </c>
      <c r="AY23" s="74">
        <f t="shared" si="39"/>
        <v>0.27513639906469206</v>
      </c>
      <c r="AZ23" s="74">
        <f t="shared" si="40"/>
        <v>8.5492227979274624E-2</v>
      </c>
      <c r="BA23" s="74">
        <f t="shared" si="41"/>
        <v>0.91450777202072542</v>
      </c>
      <c r="BB23" s="74">
        <f t="shared" si="42"/>
        <v>0.10922258852707971</v>
      </c>
      <c r="BC23" s="74">
        <f t="shared" si="43"/>
        <v>0.1034188790260098</v>
      </c>
      <c r="BD23" s="74">
        <f t="shared" si="44"/>
        <v>0.10827077628383899</v>
      </c>
      <c r="BE23" s="75">
        <f t="shared" si="45"/>
        <v>0.1034188790260098</v>
      </c>
    </row>
    <row r="24" spans="1:57" x14ac:dyDescent="0.35">
      <c r="A24" s="28" t="s">
        <v>49</v>
      </c>
      <c r="B24" s="22" t="s">
        <v>65</v>
      </c>
      <c r="C24" s="47">
        <f t="shared" si="9"/>
        <v>2.6412118346100706</v>
      </c>
      <c r="D24" s="23">
        <f t="shared" si="10"/>
        <v>2.6412118346100706</v>
      </c>
      <c r="E24" s="30">
        <v>0.2311060355223796</v>
      </c>
      <c r="F24" s="30">
        <v>2.4101057990876908</v>
      </c>
      <c r="G24" s="24">
        <v>0</v>
      </c>
      <c r="H24" s="25">
        <f t="shared" si="11"/>
        <v>1.0485610983298868</v>
      </c>
      <c r="I24" s="30">
        <v>0.2311060355223796</v>
      </c>
      <c r="J24" s="30">
        <v>0.81745506280750724</v>
      </c>
      <c r="K24" s="24">
        <v>0</v>
      </c>
      <c r="L24" s="25">
        <f t="shared" si="12"/>
        <v>8.7573111594010662</v>
      </c>
      <c r="M24" s="25">
        <f t="shared" si="13"/>
        <v>8.7573111594010662</v>
      </c>
      <c r="N24" s="25">
        <f t="shared" si="14"/>
        <v>4.7655871856594887</v>
      </c>
      <c r="O24" s="25">
        <f t="shared" si="46"/>
        <v>4.7655871856594887</v>
      </c>
      <c r="P24" s="24">
        <f t="shared" si="15"/>
        <v>0.76626472642769428</v>
      </c>
      <c r="Q24" s="24">
        <f t="shared" si="16"/>
        <v>0.41698887873437651</v>
      </c>
      <c r="R24" s="24">
        <f t="shared" si="17"/>
        <v>7.9910464329733726</v>
      </c>
      <c r="S24" s="24">
        <f t="shared" si="0"/>
        <v>4.348598306925112</v>
      </c>
      <c r="T24" s="24">
        <f t="shared" si="1"/>
        <v>0</v>
      </c>
      <c r="U24" s="24">
        <f t="shared" si="2"/>
        <v>0</v>
      </c>
      <c r="V24" s="25">
        <f t="shared" si="18"/>
        <v>3.4766525302480353</v>
      </c>
      <c r="W24" s="25">
        <f t="shared" si="19"/>
        <v>1.8919381126882124</v>
      </c>
      <c r="X24" s="24">
        <f t="shared" si="20"/>
        <v>0.76626472642769428</v>
      </c>
      <c r="Y24" s="24">
        <f t="shared" si="3"/>
        <v>0.41698887873437651</v>
      </c>
      <c r="Z24" s="24">
        <f t="shared" si="4"/>
        <v>2.7103878038203408</v>
      </c>
      <c r="AA24" s="24">
        <f t="shared" si="5"/>
        <v>1.4749492339538359</v>
      </c>
      <c r="AB24" s="24">
        <f t="shared" si="6"/>
        <v>0</v>
      </c>
      <c r="AC24" s="24">
        <f t="shared" si="7"/>
        <v>0</v>
      </c>
      <c r="AD24" s="32">
        <v>55.422589739999999</v>
      </c>
      <c r="AE24" s="8">
        <v>30.160077523049999</v>
      </c>
      <c r="AF24" s="61">
        <f t="shared" si="21"/>
        <v>3.6897729329399573</v>
      </c>
      <c r="AG24" s="61">
        <f t="shared" si="22"/>
        <v>3.6897729329399573</v>
      </c>
      <c r="AH24" s="74">
        <f t="shared" si="23"/>
        <v>0.71581961345940914</v>
      </c>
      <c r="AI24" s="74">
        <f t="shared" si="24"/>
        <v>0.71581961345940914</v>
      </c>
      <c r="AJ24" s="74">
        <f t="shared" si="25"/>
        <v>0.71581961345940914</v>
      </c>
      <c r="AK24" s="74">
        <f t="shared" si="8"/>
        <v>0.71581961345940914</v>
      </c>
      <c r="AL24" s="74">
        <f t="shared" si="26"/>
        <v>0.65318539728333735</v>
      </c>
      <c r="AM24" s="74">
        <f t="shared" si="27"/>
        <v>0.65318539728333735</v>
      </c>
      <c r="AN24" s="74">
        <f t="shared" si="28"/>
        <v>6.2634216176071761E-2</v>
      </c>
      <c r="AO24" s="74">
        <f t="shared" si="29"/>
        <v>6.2634216176071761E-2</v>
      </c>
      <c r="AP24" s="74">
        <f t="shared" si="30"/>
        <v>0</v>
      </c>
      <c r="AQ24" s="74">
        <f t="shared" si="31"/>
        <v>0</v>
      </c>
      <c r="AR24" s="74">
        <f t="shared" si="32"/>
        <v>0.91250000000227227</v>
      </c>
      <c r="AS24" s="74">
        <f t="shared" si="33"/>
        <v>8.7499999997727715E-2</v>
      </c>
      <c r="AT24" s="74">
        <f t="shared" si="34"/>
        <v>0.28418038654059086</v>
      </c>
      <c r="AU24" s="74">
        <f t="shared" si="35"/>
        <v>0.28418038654059086</v>
      </c>
      <c r="AV24" s="74">
        <f t="shared" si="36"/>
        <v>6.2634216176071761E-2</v>
      </c>
      <c r="AW24" s="74">
        <f t="shared" si="37"/>
        <v>6.2634216176071761E-2</v>
      </c>
      <c r="AX24" s="74">
        <f t="shared" si="38"/>
        <v>0.22154617036451915</v>
      </c>
      <c r="AY24" s="74">
        <f t="shared" si="39"/>
        <v>0.22154617036451915</v>
      </c>
      <c r="AZ24" s="74">
        <f t="shared" si="40"/>
        <v>0.22040302266646894</v>
      </c>
      <c r="BA24" s="74">
        <f t="shared" si="41"/>
        <v>0.77959697733353117</v>
      </c>
      <c r="BB24" s="74">
        <f t="shared" si="42"/>
        <v>0.12233963689649102</v>
      </c>
      <c r="BC24" s="74">
        <f t="shared" si="43"/>
        <v>0.12233963689649102</v>
      </c>
      <c r="BD24" s="74">
        <f t="shared" si="44"/>
        <v>6.657525298347701E-2</v>
      </c>
      <c r="BE24" s="75">
        <f t="shared" si="45"/>
        <v>0.12233963689649102</v>
      </c>
    </row>
    <row r="25" spans="1:57" x14ac:dyDescent="0.35">
      <c r="A25" s="28" t="s">
        <v>50</v>
      </c>
      <c r="B25" s="22" t="s">
        <v>65</v>
      </c>
      <c r="C25" s="47">
        <f t="shared" si="9"/>
        <v>5.0984998337062546</v>
      </c>
      <c r="D25" s="23">
        <f t="shared" si="10"/>
        <v>2.5949763727608071</v>
      </c>
      <c r="E25" s="30">
        <v>0.57158069884599272</v>
      </c>
      <c r="F25" s="30">
        <v>2.0233956739148145</v>
      </c>
      <c r="G25" s="30">
        <v>2.503523460945448</v>
      </c>
      <c r="H25" s="25">
        <f t="shared" si="11"/>
        <v>1.9662376040302147</v>
      </c>
      <c r="I25" s="30">
        <v>0.36581164726143534</v>
      </c>
      <c r="J25" s="30">
        <v>1.6004259567687795</v>
      </c>
      <c r="K25" s="24">
        <v>0</v>
      </c>
      <c r="L25" s="25">
        <f t="shared" si="12"/>
        <v>10.574121808189499</v>
      </c>
      <c r="M25" s="25">
        <f t="shared" si="13"/>
        <v>5.3818960772623692</v>
      </c>
      <c r="N25" s="25">
        <f t="shared" si="14"/>
        <v>5.2488222531081306</v>
      </c>
      <c r="O25" s="25">
        <f t="shared" si="46"/>
        <v>2.6714857655953939</v>
      </c>
      <c r="P25" s="24">
        <f t="shared" si="15"/>
        <v>1.1854396645952354</v>
      </c>
      <c r="Q25" s="24">
        <f t="shared" si="16"/>
        <v>0.5884329880166066</v>
      </c>
      <c r="R25" s="24">
        <f t="shared" si="17"/>
        <v>4.1964564126671338</v>
      </c>
      <c r="S25" s="24">
        <f t="shared" si="0"/>
        <v>2.0830527775787875</v>
      </c>
      <c r="T25" s="24">
        <f t="shared" si="1"/>
        <v>5.19222573092713</v>
      </c>
      <c r="U25" s="24">
        <f t="shared" si="2"/>
        <v>2.5773364875127363</v>
      </c>
      <c r="V25" s="25">
        <f t="shared" si="18"/>
        <v>4.0779124462076091</v>
      </c>
      <c r="W25" s="25">
        <f t="shared" si="19"/>
        <v>2.0242094787771263</v>
      </c>
      <c r="X25" s="24">
        <f t="shared" si="20"/>
        <v>0.75868138534095053</v>
      </c>
      <c r="Y25" s="24">
        <f t="shared" si="3"/>
        <v>0.3765971123306282</v>
      </c>
      <c r="Z25" s="24">
        <f t="shared" si="4"/>
        <v>3.3192310608666586</v>
      </c>
      <c r="AA25" s="24">
        <f t="shared" si="5"/>
        <v>1.6476123664464981</v>
      </c>
      <c r="AB25" s="24">
        <f t="shared" si="6"/>
        <v>0</v>
      </c>
      <c r="AC25" s="24">
        <f t="shared" si="7"/>
        <v>0</v>
      </c>
      <c r="AD25" s="26">
        <v>97.136073348400004</v>
      </c>
      <c r="AE25" s="8">
        <v>48.216768505140003</v>
      </c>
      <c r="AF25" s="61">
        <f t="shared" si="21"/>
        <v>4.5612139767910218</v>
      </c>
      <c r="AG25" s="61">
        <f t="shared" si="22"/>
        <v>4.5612139767910218</v>
      </c>
      <c r="AH25" s="74">
        <f t="shared" si="23"/>
        <v>0.56892230576441105</v>
      </c>
      <c r="AI25" s="74">
        <f t="shared" si="24"/>
        <v>0.56892230576441105</v>
      </c>
      <c r="AJ25" s="74">
        <f t="shared" si="25"/>
        <v>0.56892230576441105</v>
      </c>
      <c r="AK25" s="74">
        <f t="shared" si="8"/>
        <v>0.56892230576441105</v>
      </c>
      <c r="AL25" s="74">
        <f t="shared" si="26"/>
        <v>0.44360902255639101</v>
      </c>
      <c r="AM25" s="74">
        <f t="shared" si="27"/>
        <v>0.44360902255639101</v>
      </c>
      <c r="AN25" s="74">
        <f t="shared" si="28"/>
        <v>0.12531328320802004</v>
      </c>
      <c r="AO25" s="74">
        <f t="shared" si="29"/>
        <v>0.12531328320802004</v>
      </c>
      <c r="AP25" s="74">
        <f t="shared" si="30"/>
        <v>0.54887218045112784</v>
      </c>
      <c r="AQ25" s="74">
        <f t="shared" si="31"/>
        <v>0.54887218045112784</v>
      </c>
      <c r="AR25" s="74">
        <f t="shared" si="32"/>
        <v>0.77973568281938332</v>
      </c>
      <c r="AS25" s="74">
        <f t="shared" si="33"/>
        <v>0.22026431718061673</v>
      </c>
      <c r="AT25" s="74">
        <f t="shared" si="34"/>
        <v>0.43107769423558895</v>
      </c>
      <c r="AU25" s="74">
        <f t="shared" si="35"/>
        <v>0.43107769423558895</v>
      </c>
      <c r="AV25" s="74">
        <f t="shared" si="36"/>
        <v>8.0200501253132828E-2</v>
      </c>
      <c r="AW25" s="74">
        <f t="shared" si="37"/>
        <v>8.0200501253132828E-2</v>
      </c>
      <c r="AX25" s="74">
        <f t="shared" si="38"/>
        <v>0.35087719298245612</v>
      </c>
      <c r="AY25" s="74">
        <f t="shared" si="39"/>
        <v>0.35087719298245612</v>
      </c>
      <c r="AZ25" s="74">
        <f t="shared" si="40"/>
        <v>0.186046511627907</v>
      </c>
      <c r="BA25" s="74">
        <f t="shared" si="41"/>
        <v>0.81395348837209303</v>
      </c>
      <c r="BB25" s="74">
        <f t="shared" si="42"/>
        <v>0.14652034254397109</v>
      </c>
      <c r="BC25" s="74">
        <f t="shared" si="43"/>
        <v>9.4598085234699772E-2</v>
      </c>
      <c r="BD25" s="74">
        <f t="shared" si="44"/>
        <v>4.6956952443725199E-2</v>
      </c>
      <c r="BE25" s="75">
        <f t="shared" si="45"/>
        <v>9.4598085234699772E-2</v>
      </c>
    </row>
    <row r="26" spans="1:57" x14ac:dyDescent="0.35">
      <c r="A26" s="28" t="s">
        <v>51</v>
      </c>
      <c r="B26" s="22" t="s">
        <v>65</v>
      </c>
      <c r="C26" s="47">
        <f t="shared" si="9"/>
        <v>8.7583886403939886</v>
      </c>
      <c r="D26" s="23">
        <f t="shared" si="10"/>
        <v>3.5438003328451551</v>
      </c>
      <c r="E26" s="30">
        <v>0.2286322795383971</v>
      </c>
      <c r="F26" s="30">
        <v>3.315168053306758</v>
      </c>
      <c r="G26" s="30">
        <v>5.2145883075488326</v>
      </c>
      <c r="H26" s="25">
        <f t="shared" si="11"/>
        <v>2.8579034942299635</v>
      </c>
      <c r="I26" s="30">
        <v>0</v>
      </c>
      <c r="J26" s="30">
        <v>2.8579034942299635</v>
      </c>
      <c r="K26" s="30">
        <v>1.2574775374611842</v>
      </c>
      <c r="L26" s="25">
        <f t="shared" si="12"/>
        <v>13.159131848923685</v>
      </c>
      <c r="M26" s="25">
        <f t="shared" si="13"/>
        <v>5.3244195640159759</v>
      </c>
      <c r="N26" s="25">
        <f t="shared" si="14"/>
        <v>13.201580698565206</v>
      </c>
      <c r="O26" s="25">
        <f t="shared" si="46"/>
        <v>5.3415951260588308</v>
      </c>
      <c r="P26" s="24">
        <f t="shared" si="15"/>
        <v>0.34351093961393397</v>
      </c>
      <c r="Q26" s="24">
        <f t="shared" si="16"/>
        <v>0.34461904039089231</v>
      </c>
      <c r="R26" s="24">
        <f t="shared" si="17"/>
        <v>4.9809086244020424</v>
      </c>
      <c r="S26" s="24">
        <f t="shared" si="0"/>
        <v>4.9969760856679386</v>
      </c>
      <c r="T26" s="24">
        <f t="shared" si="1"/>
        <v>7.8347122849077095</v>
      </c>
      <c r="U26" s="24">
        <f t="shared" si="2"/>
        <v>7.8599855725063756</v>
      </c>
      <c r="V26" s="25">
        <f t="shared" si="18"/>
        <v>4.2938867451741736</v>
      </c>
      <c r="W26" s="25">
        <f t="shared" si="19"/>
        <v>4.3077380048861542</v>
      </c>
      <c r="X26" s="24">
        <f t="shared" si="20"/>
        <v>0</v>
      </c>
      <c r="Y26" s="24">
        <f t="shared" si="3"/>
        <v>0</v>
      </c>
      <c r="Z26" s="24">
        <f t="shared" si="4"/>
        <v>4.2938867451741736</v>
      </c>
      <c r="AA26" s="24">
        <f t="shared" si="5"/>
        <v>4.3077380048861542</v>
      </c>
      <c r="AB26" s="24">
        <f t="shared" si="6"/>
        <v>1.8893101678766371</v>
      </c>
      <c r="AC26" s="24">
        <f t="shared" si="7"/>
        <v>1.8954047221499077</v>
      </c>
      <c r="AD26" s="26">
        <v>66.343484468840003</v>
      </c>
      <c r="AE26" s="8">
        <v>66.557495896739994</v>
      </c>
      <c r="AF26" s="61">
        <f t="shared" si="21"/>
        <v>6.401703827075119</v>
      </c>
      <c r="AG26" s="61">
        <f t="shared" si="22"/>
        <v>6.401703827075119</v>
      </c>
      <c r="AH26" s="74">
        <f t="shared" si="23"/>
        <v>0.5535714285714286</v>
      </c>
      <c r="AI26" s="74">
        <f t="shared" si="24"/>
        <v>0.5535714285714286</v>
      </c>
      <c r="AJ26" s="74">
        <f t="shared" si="25"/>
        <v>0.5535714285714286</v>
      </c>
      <c r="AK26" s="74">
        <f t="shared" si="8"/>
        <v>0.5535714285714286</v>
      </c>
      <c r="AL26" s="74">
        <f t="shared" si="26"/>
        <v>0.5178571428571429</v>
      </c>
      <c r="AM26" s="74">
        <f t="shared" si="27"/>
        <v>0.5178571428571429</v>
      </c>
      <c r="AN26" s="74">
        <f t="shared" si="28"/>
        <v>3.5714285714285712E-2</v>
      </c>
      <c r="AO26" s="74">
        <f t="shared" si="29"/>
        <v>3.5714285714285712E-2</v>
      </c>
      <c r="AP26" s="74">
        <f t="shared" si="30"/>
        <v>0.81456256777991731</v>
      </c>
      <c r="AQ26" s="74">
        <f t="shared" si="31"/>
        <v>0.81456256777991731</v>
      </c>
      <c r="AR26" s="74">
        <f t="shared" si="32"/>
        <v>0.93548387096774199</v>
      </c>
      <c r="AS26" s="74">
        <f t="shared" si="33"/>
        <v>6.4516129032258063E-2</v>
      </c>
      <c r="AT26" s="74">
        <f t="shared" si="34"/>
        <v>0.4464285714285714</v>
      </c>
      <c r="AU26" s="74">
        <f t="shared" si="35"/>
        <v>0.4464285714285714</v>
      </c>
      <c r="AV26" s="74">
        <f t="shared" si="36"/>
        <v>0</v>
      </c>
      <c r="AW26" s="74">
        <f t="shared" si="37"/>
        <v>0</v>
      </c>
      <c r="AX26" s="74">
        <f t="shared" si="38"/>
        <v>0.4464285714285714</v>
      </c>
      <c r="AY26" s="74">
        <f t="shared" si="39"/>
        <v>0.4464285714285714</v>
      </c>
      <c r="AZ26" s="74">
        <f t="shared" si="40"/>
        <v>0</v>
      </c>
      <c r="BA26" s="74">
        <f t="shared" si="41"/>
        <v>1</v>
      </c>
      <c r="BB26" s="74">
        <f t="shared" si="42"/>
        <v>0.1745301859409786</v>
      </c>
      <c r="BC26" s="74">
        <f t="shared" si="43"/>
        <v>9.6183063091901513E-2</v>
      </c>
      <c r="BD26" s="74">
        <f t="shared" si="44"/>
        <v>9.6493331309449856E-2</v>
      </c>
      <c r="BE26" s="75">
        <f t="shared" si="45"/>
        <v>9.6183063091901513E-2</v>
      </c>
    </row>
    <row r="27" spans="1:57" x14ac:dyDescent="0.35">
      <c r="A27" s="28" t="s">
        <v>52</v>
      </c>
      <c r="B27" s="22" t="s">
        <v>65</v>
      </c>
      <c r="C27" s="47">
        <f t="shared" si="9"/>
        <v>67</v>
      </c>
      <c r="D27" s="23">
        <f t="shared" si="10"/>
        <v>22</v>
      </c>
      <c r="E27" s="30">
        <v>0</v>
      </c>
      <c r="F27" s="24">
        <v>22</v>
      </c>
      <c r="G27" s="24">
        <v>45</v>
      </c>
      <c r="H27" s="25">
        <f t="shared" si="11"/>
        <v>0</v>
      </c>
      <c r="I27" s="24">
        <v>0</v>
      </c>
      <c r="J27" s="24">
        <v>0</v>
      </c>
      <c r="K27" s="24">
        <v>0</v>
      </c>
      <c r="L27" s="25">
        <f t="shared" si="12"/>
        <v>7.9738132492564526</v>
      </c>
      <c r="M27" s="25">
        <f t="shared" si="13"/>
        <v>2.6182670370692831</v>
      </c>
      <c r="N27" s="25">
        <f t="shared" si="14"/>
        <v>7.1854455820296348</v>
      </c>
      <c r="O27" s="25">
        <f t="shared" si="46"/>
        <v>2.3594000418604768</v>
      </c>
      <c r="P27" s="24">
        <f t="shared" si="15"/>
        <v>0</v>
      </c>
      <c r="Q27" s="24">
        <f t="shared" si="16"/>
        <v>0</v>
      </c>
      <c r="R27" s="24">
        <f t="shared" si="17"/>
        <v>2.6182670370692831</v>
      </c>
      <c r="S27" s="24">
        <f t="shared" si="0"/>
        <v>2.3594000418604768</v>
      </c>
      <c r="T27" s="24">
        <f t="shared" si="1"/>
        <v>5.3555462121871695</v>
      </c>
      <c r="U27" s="24">
        <f t="shared" si="2"/>
        <v>4.826045540169158</v>
      </c>
      <c r="V27" s="25">
        <f t="shared" si="18"/>
        <v>0</v>
      </c>
      <c r="W27" s="25">
        <f t="shared" si="19"/>
        <v>0</v>
      </c>
      <c r="X27" s="24">
        <f t="shared" si="20"/>
        <v>0</v>
      </c>
      <c r="Y27" s="24">
        <f t="shared" si="3"/>
        <v>0</v>
      </c>
      <c r="Z27" s="24">
        <f t="shared" si="4"/>
        <v>0</v>
      </c>
      <c r="AA27" s="24">
        <f t="shared" si="5"/>
        <v>0</v>
      </c>
      <c r="AB27" s="24">
        <f t="shared" si="6"/>
        <v>0</v>
      </c>
      <c r="AC27" s="24">
        <f t="shared" si="7"/>
        <v>0</v>
      </c>
      <c r="AD27" s="26">
        <v>932.44043441874999</v>
      </c>
      <c r="AE27" s="8">
        <v>840.25042856688003</v>
      </c>
      <c r="AF27" s="61">
        <f t="shared" si="21"/>
        <v>22</v>
      </c>
      <c r="AG27" s="61">
        <f t="shared" si="22"/>
        <v>22</v>
      </c>
      <c r="AH27" s="74">
        <f t="shared" si="23"/>
        <v>1</v>
      </c>
      <c r="AI27" s="74">
        <f t="shared" si="24"/>
        <v>1</v>
      </c>
      <c r="AJ27" s="74">
        <f t="shared" si="25"/>
        <v>1</v>
      </c>
      <c r="AK27" s="74">
        <f t="shared" si="8"/>
        <v>1</v>
      </c>
      <c r="AL27" s="74">
        <f t="shared" si="26"/>
        <v>1</v>
      </c>
      <c r="AM27" s="74">
        <f t="shared" si="27"/>
        <v>1</v>
      </c>
      <c r="AN27" s="74">
        <f t="shared" si="28"/>
        <v>0</v>
      </c>
      <c r="AO27" s="74">
        <f t="shared" si="29"/>
        <v>0</v>
      </c>
      <c r="AP27" s="74">
        <f t="shared" si="30"/>
        <v>2.0454545454545454</v>
      </c>
      <c r="AQ27" s="74">
        <f t="shared" si="31"/>
        <v>2.0454545454545454</v>
      </c>
      <c r="AR27" s="74">
        <f t="shared" si="32"/>
        <v>1</v>
      </c>
      <c r="AS27" s="74">
        <f t="shared" si="33"/>
        <v>0</v>
      </c>
      <c r="AT27" s="74">
        <f t="shared" si="34"/>
        <v>0</v>
      </c>
      <c r="AU27" s="74">
        <f t="shared" si="35"/>
        <v>0</v>
      </c>
      <c r="AV27" s="74">
        <f t="shared" si="36"/>
        <v>0</v>
      </c>
      <c r="AW27" s="74">
        <f t="shared" si="37"/>
        <v>0</v>
      </c>
      <c r="AX27" s="74">
        <f t="shared" si="38"/>
        <v>0</v>
      </c>
      <c r="AY27" s="74">
        <f t="shared" si="39"/>
        <v>0</v>
      </c>
      <c r="AZ27" s="74" t="e">
        <f t="shared" si="40"/>
        <v>#DIV/0!</v>
      </c>
      <c r="BA27" s="74" t="e">
        <f t="shared" si="41"/>
        <v>#DIV/0!</v>
      </c>
      <c r="BB27" s="74">
        <f t="shared" si="42"/>
        <v>7.973813249256452E-2</v>
      </c>
      <c r="BC27" s="74">
        <f t="shared" si="43"/>
        <v>2.6182670370692829E-2</v>
      </c>
      <c r="BD27" s="74">
        <f t="shared" si="44"/>
        <v>2.3594000418604769E-2</v>
      </c>
      <c r="BE27" s="75">
        <f t="shared" si="45"/>
        <v>2.6182670370692829E-2</v>
      </c>
    </row>
    <row r="28" spans="1:57" x14ac:dyDescent="0.35">
      <c r="A28" s="28" t="s">
        <v>53</v>
      </c>
      <c r="B28" s="22" t="s">
        <v>65</v>
      </c>
      <c r="C28" s="47">
        <f t="shared" si="9"/>
        <v>11.088515533797038</v>
      </c>
      <c r="D28" s="23">
        <f t="shared" si="10"/>
        <v>11.088515533797038</v>
      </c>
      <c r="E28" s="49">
        <v>0.31570903379703813</v>
      </c>
      <c r="F28" s="24">
        <v>10.7728065</v>
      </c>
      <c r="G28" s="24">
        <v>0</v>
      </c>
      <c r="H28" s="25">
        <f t="shared" si="11"/>
        <v>6.6522016324629796</v>
      </c>
      <c r="I28" s="73">
        <v>2.7058387100000001</v>
      </c>
      <c r="J28" s="24">
        <v>3.9463629224629799</v>
      </c>
      <c r="K28" s="24">
        <v>0</v>
      </c>
      <c r="L28" s="25">
        <f t="shared" si="12"/>
        <v>5.4639624481968951</v>
      </c>
      <c r="M28" s="25">
        <f t="shared" si="13"/>
        <v>5.4639624481968951</v>
      </c>
      <c r="N28" s="25">
        <f t="shared" si="14"/>
        <v>5.7165015304406683</v>
      </c>
      <c r="O28" s="25">
        <f t="shared" si="46"/>
        <v>5.7165015304406683</v>
      </c>
      <c r="P28" s="24">
        <f t="shared" si="15"/>
        <v>0.15556837161527984</v>
      </c>
      <c r="Q28" s="24">
        <f t="shared" si="16"/>
        <v>0.16275859192999773</v>
      </c>
      <c r="R28" s="24">
        <f t="shared" si="17"/>
        <v>5.3083940765816156</v>
      </c>
      <c r="S28" s="24">
        <f t="shared" si="0"/>
        <v>5.5537429385106707</v>
      </c>
      <c r="T28" s="24">
        <f t="shared" si="1"/>
        <v>0</v>
      </c>
      <c r="U28" s="24">
        <f t="shared" si="2"/>
        <v>0</v>
      </c>
      <c r="V28" s="25">
        <f t="shared" si="18"/>
        <v>3.2779301978544808</v>
      </c>
      <c r="W28" s="25">
        <f t="shared" si="19"/>
        <v>3.4294329747629302</v>
      </c>
      <c r="X28" s="24">
        <f t="shared" si="20"/>
        <v>1.3333255526634809</v>
      </c>
      <c r="Y28" s="24">
        <f t="shared" si="3"/>
        <v>1.3949505756379568</v>
      </c>
      <c r="Z28" s="24">
        <f t="shared" si="4"/>
        <v>1.9446046451909997</v>
      </c>
      <c r="AA28" s="24">
        <f t="shared" si="5"/>
        <v>2.0344823991249732</v>
      </c>
      <c r="AB28" s="24">
        <f t="shared" si="6"/>
        <v>0</v>
      </c>
      <c r="AC28" s="24">
        <f t="shared" si="7"/>
        <v>0</v>
      </c>
      <c r="AD28" s="26">
        <v>193.97380504054999</v>
      </c>
      <c r="AE28" s="8">
        <v>202.93908750153</v>
      </c>
      <c r="AF28" s="61">
        <f t="shared" si="21"/>
        <v>17.740717166260019</v>
      </c>
      <c r="AG28" s="61">
        <f t="shared" si="22"/>
        <v>17.740717166260019</v>
      </c>
      <c r="AH28" s="74">
        <f t="shared" si="23"/>
        <v>0.62503197756207984</v>
      </c>
      <c r="AI28" s="74">
        <f t="shared" si="24"/>
        <v>0.62503197756207984</v>
      </c>
      <c r="AJ28" s="74">
        <f t="shared" si="25"/>
        <v>0.62503197756207984</v>
      </c>
      <c r="AK28" s="74">
        <f t="shared" si="8"/>
        <v>0.62503197756207984</v>
      </c>
      <c r="AL28" s="74">
        <f t="shared" si="26"/>
        <v>0.60723624637273055</v>
      </c>
      <c r="AM28" s="74">
        <f t="shared" si="27"/>
        <v>0.60723624637273055</v>
      </c>
      <c r="AN28" s="74">
        <f t="shared" si="28"/>
        <v>1.7795731189349309E-2</v>
      </c>
      <c r="AO28" s="74">
        <f t="shared" si="29"/>
        <v>1.7795731189349309E-2</v>
      </c>
      <c r="AP28" s="74">
        <f t="shared" si="30"/>
        <v>0</v>
      </c>
      <c r="AQ28" s="74">
        <f t="shared" si="31"/>
        <v>0</v>
      </c>
      <c r="AR28" s="74">
        <f t="shared" si="32"/>
        <v>0.97152828682660197</v>
      </c>
      <c r="AS28" s="74">
        <f t="shared" si="33"/>
        <v>2.8471713173398059E-2</v>
      </c>
      <c r="AT28" s="74">
        <f t="shared" si="34"/>
        <v>0.37496802243791999</v>
      </c>
      <c r="AU28" s="74">
        <f t="shared" si="35"/>
        <v>0.37496802243791999</v>
      </c>
      <c r="AV28" s="74">
        <f t="shared" si="36"/>
        <v>0.15252138257105347</v>
      </c>
      <c r="AW28" s="74">
        <f t="shared" si="37"/>
        <v>0.15252138257105347</v>
      </c>
      <c r="AX28" s="74">
        <f t="shared" si="38"/>
        <v>0.22244663986686655</v>
      </c>
      <c r="AY28" s="74">
        <f t="shared" si="39"/>
        <v>0.22244663986686655</v>
      </c>
      <c r="AZ28" s="74">
        <f t="shared" si="40"/>
        <v>0.40675837256577002</v>
      </c>
      <c r="BA28" s="74">
        <f t="shared" si="41"/>
        <v>0.59324162743423003</v>
      </c>
      <c r="BB28" s="74">
        <f t="shared" si="42"/>
        <v>8.741892646051376E-2</v>
      </c>
      <c r="BC28" s="74">
        <f t="shared" si="43"/>
        <v>8.741892646051376E-2</v>
      </c>
      <c r="BD28" s="74">
        <f t="shared" si="44"/>
        <v>9.1459345052035984E-2</v>
      </c>
      <c r="BE28" s="75">
        <f t="shared" si="45"/>
        <v>8.741892646051376E-2</v>
      </c>
    </row>
    <row r="29" spans="1:57" x14ac:dyDescent="0.35">
      <c r="A29" s="28" t="s">
        <v>54</v>
      </c>
      <c r="B29" s="22" t="s">
        <v>65</v>
      </c>
      <c r="C29" s="47">
        <f t="shared" si="9"/>
        <v>8.1</v>
      </c>
      <c r="D29" s="23">
        <f t="shared" si="10"/>
        <v>8.1</v>
      </c>
      <c r="E29" s="30">
        <v>0</v>
      </c>
      <c r="F29" s="24">
        <v>8.1</v>
      </c>
      <c r="G29" s="24">
        <v>0</v>
      </c>
      <c r="H29" s="25">
        <f t="shared" si="11"/>
        <v>10.6</v>
      </c>
      <c r="I29" s="24">
        <v>5.3</v>
      </c>
      <c r="J29" s="24">
        <v>5.3</v>
      </c>
      <c r="K29" s="24">
        <v>0</v>
      </c>
      <c r="L29" s="25">
        <f t="shared" si="12"/>
        <v>1.9744090578931335</v>
      </c>
      <c r="M29" s="25">
        <f t="shared" si="13"/>
        <v>1.9744090578931335</v>
      </c>
      <c r="N29" s="25">
        <f t="shared" si="14"/>
        <v>2.4511712488266704</v>
      </c>
      <c r="O29" s="25">
        <f t="shared" si="46"/>
        <v>2.4511712488266704</v>
      </c>
      <c r="P29" s="24">
        <f t="shared" si="15"/>
        <v>0</v>
      </c>
      <c r="Q29" s="24">
        <f t="shared" si="16"/>
        <v>0</v>
      </c>
      <c r="R29" s="24">
        <f t="shared" si="17"/>
        <v>1.9744090578931335</v>
      </c>
      <c r="S29" s="24">
        <f t="shared" si="0"/>
        <v>2.4511712488266704</v>
      </c>
      <c r="T29" s="24">
        <f t="shared" si="1"/>
        <v>0</v>
      </c>
      <c r="U29" s="24">
        <f t="shared" si="2"/>
        <v>0</v>
      </c>
      <c r="V29" s="25">
        <f t="shared" si="18"/>
        <v>2.5837945695885449</v>
      </c>
      <c r="W29" s="25">
        <f t="shared" si="19"/>
        <v>3.2077055848842844</v>
      </c>
      <c r="X29" s="24">
        <f t="shared" si="20"/>
        <v>1.2918972847942725</v>
      </c>
      <c r="Y29" s="24">
        <f t="shared" si="3"/>
        <v>1.6038527924421422</v>
      </c>
      <c r="Z29" s="24">
        <f t="shared" si="4"/>
        <v>1.2918972847942725</v>
      </c>
      <c r="AA29" s="24">
        <f t="shared" si="5"/>
        <v>1.6038527924421422</v>
      </c>
      <c r="AB29" s="24">
        <f t="shared" si="6"/>
        <v>0</v>
      </c>
      <c r="AC29" s="24">
        <f t="shared" si="7"/>
        <v>0</v>
      </c>
      <c r="AD29" s="26">
        <v>330.45426768437</v>
      </c>
      <c r="AE29" s="8">
        <v>410.24933347112</v>
      </c>
      <c r="AF29" s="61">
        <f t="shared" si="21"/>
        <v>18.7</v>
      </c>
      <c r="AG29" s="61">
        <f t="shared" si="22"/>
        <v>18.7</v>
      </c>
      <c r="AH29" s="74">
        <f t="shared" si="23"/>
        <v>0.43315508021390375</v>
      </c>
      <c r="AI29" s="74">
        <f t="shared" si="24"/>
        <v>0.43315508021390375</v>
      </c>
      <c r="AJ29" s="74">
        <f t="shared" si="25"/>
        <v>0.43315508021390375</v>
      </c>
      <c r="AK29" s="74">
        <f t="shared" si="8"/>
        <v>0.43315508021390375</v>
      </c>
      <c r="AL29" s="74">
        <f t="shared" si="26"/>
        <v>0.43315508021390375</v>
      </c>
      <c r="AM29" s="74">
        <f t="shared" si="27"/>
        <v>0.43315508021390375</v>
      </c>
      <c r="AN29" s="74">
        <f t="shared" si="28"/>
        <v>0</v>
      </c>
      <c r="AO29" s="74">
        <f t="shared" si="29"/>
        <v>0</v>
      </c>
      <c r="AP29" s="74">
        <f t="shared" si="30"/>
        <v>0</v>
      </c>
      <c r="AQ29" s="74">
        <f t="shared" si="31"/>
        <v>0</v>
      </c>
      <c r="AR29" s="74">
        <f t="shared" si="32"/>
        <v>1</v>
      </c>
      <c r="AS29" s="74">
        <f t="shared" si="33"/>
        <v>0</v>
      </c>
      <c r="AT29" s="74">
        <f t="shared" si="34"/>
        <v>0.5668449197860963</v>
      </c>
      <c r="AU29" s="74">
        <f t="shared" si="35"/>
        <v>0.5668449197860963</v>
      </c>
      <c r="AV29" s="74">
        <f t="shared" si="36"/>
        <v>0.28342245989304815</v>
      </c>
      <c r="AW29" s="74">
        <f t="shared" si="37"/>
        <v>0.28342245989304815</v>
      </c>
      <c r="AX29" s="74">
        <f t="shared" si="38"/>
        <v>0.28342245989304815</v>
      </c>
      <c r="AY29" s="74">
        <f t="shared" si="39"/>
        <v>0.28342245989304815</v>
      </c>
      <c r="AZ29" s="74">
        <f t="shared" si="40"/>
        <v>0.5</v>
      </c>
      <c r="BA29" s="74">
        <f t="shared" si="41"/>
        <v>0.5</v>
      </c>
      <c r="BB29" s="74">
        <f t="shared" si="42"/>
        <v>4.5582036274816787E-2</v>
      </c>
      <c r="BC29" s="74">
        <f t="shared" si="43"/>
        <v>4.5582036274816787E-2</v>
      </c>
      <c r="BD29" s="74">
        <f t="shared" si="44"/>
        <v>5.6588768337109546E-2</v>
      </c>
      <c r="BE29" s="75">
        <f t="shared" si="45"/>
        <v>4.5582036274816787E-2</v>
      </c>
    </row>
    <row r="30" spans="1:57" x14ac:dyDescent="0.35">
      <c r="A30" s="28" t="s">
        <v>55</v>
      </c>
      <c r="B30" s="22" t="s">
        <v>65</v>
      </c>
      <c r="C30" s="47">
        <f t="shared" si="9"/>
        <v>16.232891847226192</v>
      </c>
      <c r="D30" s="23">
        <f t="shared" si="10"/>
        <v>7.2019168054595077</v>
      </c>
      <c r="E30" s="30">
        <v>1.8290582363071768</v>
      </c>
      <c r="F30" s="30">
        <v>5.3728585691523305</v>
      </c>
      <c r="G30" s="30">
        <v>9.0309750417666859</v>
      </c>
      <c r="H30" s="25">
        <f t="shared" si="11"/>
        <v>14.861098169995811</v>
      </c>
      <c r="I30" s="30">
        <v>0</v>
      </c>
      <c r="J30" s="30">
        <v>14.861098169995811</v>
      </c>
      <c r="K30" s="30">
        <v>0</v>
      </c>
      <c r="L30" s="25">
        <f t="shared" si="12"/>
        <v>7.3001969797441815</v>
      </c>
      <c r="M30" s="25">
        <f t="shared" si="13"/>
        <v>3.2388197867879107</v>
      </c>
      <c r="N30" s="25">
        <f t="shared" si="14"/>
        <v>4.7573664135939167</v>
      </c>
      <c r="O30" s="25">
        <f t="shared" si="46"/>
        <v>2.1106625637775824</v>
      </c>
      <c r="P30" s="24">
        <f t="shared" si="15"/>
        <v>0.82255740616835848</v>
      </c>
      <c r="Q30" s="24">
        <f t="shared" si="16"/>
        <v>0.53604128603875123</v>
      </c>
      <c r="R30" s="24">
        <f t="shared" si="17"/>
        <v>2.4162623806195525</v>
      </c>
      <c r="S30" s="24">
        <f t="shared" si="0"/>
        <v>1.5746212777388313</v>
      </c>
      <c r="T30" s="24">
        <f t="shared" si="1"/>
        <v>4.0613771929562708</v>
      </c>
      <c r="U30" s="24">
        <f t="shared" si="2"/>
        <v>2.6467038498163342</v>
      </c>
      <c r="V30" s="25">
        <f t="shared" si="18"/>
        <v>6.6832789251179126</v>
      </c>
      <c r="W30" s="25">
        <f t="shared" si="19"/>
        <v>4.3553354490648539</v>
      </c>
      <c r="X30" s="24">
        <f t="shared" si="20"/>
        <v>0</v>
      </c>
      <c r="Y30" s="24">
        <f t="shared" si="3"/>
        <v>0</v>
      </c>
      <c r="Z30" s="24">
        <f t="shared" si="4"/>
        <v>6.6832789251179126</v>
      </c>
      <c r="AA30" s="24">
        <f t="shared" si="5"/>
        <v>4.3553354490648539</v>
      </c>
      <c r="AB30" s="24">
        <f t="shared" si="6"/>
        <v>0</v>
      </c>
      <c r="AC30" s="24">
        <f t="shared" si="7"/>
        <v>0</v>
      </c>
      <c r="AD30" s="26">
        <v>341.21592570296002</v>
      </c>
      <c r="AE30" s="8">
        <v>222.36238134761999</v>
      </c>
      <c r="AF30" s="61">
        <f t="shared" si="21"/>
        <v>22.063014975455317</v>
      </c>
      <c r="AG30" s="61">
        <f t="shared" si="22"/>
        <v>22.063014975455317</v>
      </c>
      <c r="AH30" s="74">
        <f t="shared" si="23"/>
        <v>0.32642487046632124</v>
      </c>
      <c r="AI30" s="74">
        <f t="shared" si="24"/>
        <v>0.32642487046632124</v>
      </c>
      <c r="AJ30" s="74">
        <f t="shared" si="25"/>
        <v>0.32642487046632124</v>
      </c>
      <c r="AK30" s="74">
        <f t="shared" si="8"/>
        <v>0.32642487046632124</v>
      </c>
      <c r="AL30" s="74">
        <f t="shared" si="26"/>
        <v>0.24352331606217614</v>
      </c>
      <c r="AM30" s="74">
        <f t="shared" si="27"/>
        <v>0.24352331606217614</v>
      </c>
      <c r="AN30" s="74">
        <f t="shared" si="28"/>
        <v>8.2901554404145095E-2</v>
      </c>
      <c r="AO30" s="74">
        <f t="shared" si="29"/>
        <v>8.2901554404145095E-2</v>
      </c>
      <c r="AP30" s="74">
        <f t="shared" si="30"/>
        <v>0.40932642487046639</v>
      </c>
      <c r="AQ30" s="74">
        <f t="shared" si="31"/>
        <v>0.40932642487046639</v>
      </c>
      <c r="AR30" s="74">
        <f t="shared" si="32"/>
        <v>0.74603174603174593</v>
      </c>
      <c r="AS30" s="74">
        <f t="shared" si="33"/>
        <v>0.25396825396825401</v>
      </c>
      <c r="AT30" s="74">
        <f t="shared" si="34"/>
        <v>0.67357512953367882</v>
      </c>
      <c r="AU30" s="74">
        <f t="shared" si="35"/>
        <v>0.67357512953367882</v>
      </c>
      <c r="AV30" s="74">
        <f t="shared" si="36"/>
        <v>0</v>
      </c>
      <c r="AW30" s="74">
        <f t="shared" si="37"/>
        <v>0</v>
      </c>
      <c r="AX30" s="74">
        <f t="shared" si="38"/>
        <v>0.67357512953367882</v>
      </c>
      <c r="AY30" s="74">
        <f t="shared" si="39"/>
        <v>0.67357512953367882</v>
      </c>
      <c r="AZ30" s="74">
        <f t="shared" si="40"/>
        <v>0</v>
      </c>
      <c r="BA30" s="74">
        <f t="shared" si="41"/>
        <v>1</v>
      </c>
      <c r="BB30" s="74">
        <f t="shared" si="42"/>
        <v>0.13983475904862094</v>
      </c>
      <c r="BC30" s="74">
        <f t="shared" si="43"/>
        <v>9.9220987119058232E-2</v>
      </c>
      <c r="BD30" s="74">
        <f t="shared" si="44"/>
        <v>6.465998012842436E-2</v>
      </c>
      <c r="BE30" s="75">
        <f t="shared" si="45"/>
        <v>9.9220987119058232E-2</v>
      </c>
    </row>
    <row r="31" spans="1:57" x14ac:dyDescent="0.35">
      <c r="A31" s="28" t="s">
        <v>56</v>
      </c>
      <c r="B31" s="22" t="s">
        <v>65</v>
      </c>
      <c r="C31" s="47">
        <f t="shared" si="9"/>
        <v>3.9210435940835104</v>
      </c>
      <c r="D31" s="23">
        <f t="shared" si="10"/>
        <v>2.5149550749223684</v>
      </c>
      <c r="E31" s="30">
        <v>0.18290582363071767</v>
      </c>
      <c r="F31" s="30">
        <v>2.3320492512916506</v>
      </c>
      <c r="G31" s="30">
        <v>1.4060885191611421</v>
      </c>
      <c r="H31" s="25">
        <f t="shared" si="11"/>
        <v>4.5840772047448617</v>
      </c>
      <c r="I31" s="30">
        <v>0</v>
      </c>
      <c r="J31" s="30">
        <v>4.5840772047448617</v>
      </c>
      <c r="K31" s="30">
        <v>0</v>
      </c>
      <c r="L31" s="25">
        <f t="shared" si="12"/>
        <v>3.9411806160659948</v>
      </c>
      <c r="M31" s="25">
        <f t="shared" si="13"/>
        <v>2.52787094908023</v>
      </c>
      <c r="N31" s="25">
        <f t="shared" si="14"/>
        <v>2.1578371948915001</v>
      </c>
      <c r="O31" s="25">
        <f t="shared" si="46"/>
        <v>1.3840355185893003</v>
      </c>
      <c r="P31" s="24">
        <f t="shared" si="15"/>
        <v>0.18384515993310763</v>
      </c>
      <c r="Q31" s="24">
        <f t="shared" si="16"/>
        <v>0.10065712862467636</v>
      </c>
      <c r="R31" s="24">
        <f t="shared" si="17"/>
        <v>2.3440257891471226</v>
      </c>
      <c r="S31" s="24">
        <f t="shared" si="0"/>
        <v>1.2833783899646238</v>
      </c>
      <c r="T31" s="24">
        <f t="shared" si="1"/>
        <v>1.4133096669857648</v>
      </c>
      <c r="U31" s="24">
        <f t="shared" si="2"/>
        <v>0.77380167630219954</v>
      </c>
      <c r="V31" s="25">
        <f t="shared" si="18"/>
        <v>4.6076193208235097</v>
      </c>
      <c r="W31" s="25">
        <f t="shared" si="19"/>
        <v>2.5227192861559513</v>
      </c>
      <c r="X31" s="24">
        <f t="shared" si="20"/>
        <v>0</v>
      </c>
      <c r="Y31" s="24">
        <f t="shared" si="3"/>
        <v>0</v>
      </c>
      <c r="Z31" s="24">
        <f t="shared" si="4"/>
        <v>4.6076193208235097</v>
      </c>
      <c r="AA31" s="24">
        <f t="shared" si="5"/>
        <v>2.5227192861559513</v>
      </c>
      <c r="AB31" s="24">
        <f t="shared" si="6"/>
        <v>0</v>
      </c>
      <c r="AC31" s="24">
        <f t="shared" si="7"/>
        <v>0</v>
      </c>
      <c r="AD31" s="26">
        <v>181.71174374815001</v>
      </c>
      <c r="AE31" s="8">
        <v>99.489061173690004</v>
      </c>
      <c r="AF31" s="61">
        <f t="shared" si="21"/>
        <v>7.09903227966723</v>
      </c>
      <c r="AG31" s="61">
        <f t="shared" si="22"/>
        <v>7.09903227966723</v>
      </c>
      <c r="AH31" s="74">
        <f t="shared" si="23"/>
        <v>0.35426731078904994</v>
      </c>
      <c r="AI31" s="74">
        <f t="shared" si="24"/>
        <v>0.35426731078904994</v>
      </c>
      <c r="AJ31" s="74">
        <f t="shared" si="25"/>
        <v>0.35426731078904994</v>
      </c>
      <c r="AK31" s="74">
        <f t="shared" si="8"/>
        <v>0.35426731078904994</v>
      </c>
      <c r="AL31" s="74">
        <f t="shared" si="26"/>
        <v>0.32850241545893721</v>
      </c>
      <c r="AM31" s="74">
        <f t="shared" si="27"/>
        <v>0.32850241545893721</v>
      </c>
      <c r="AN31" s="74">
        <f t="shared" si="28"/>
        <v>2.5764895330112718E-2</v>
      </c>
      <c r="AO31" s="74">
        <f t="shared" si="29"/>
        <v>2.5764895330112718E-2</v>
      </c>
      <c r="AP31" s="74">
        <f t="shared" si="30"/>
        <v>0.19806763285024154</v>
      </c>
      <c r="AQ31" s="74">
        <f t="shared" si="31"/>
        <v>0.19806763285024154</v>
      </c>
      <c r="AR31" s="74">
        <f t="shared" si="32"/>
        <v>0.92727272727272725</v>
      </c>
      <c r="AS31" s="74">
        <f t="shared" si="33"/>
        <v>7.272727272727271E-2</v>
      </c>
      <c r="AT31" s="74">
        <f t="shared" si="34"/>
        <v>0.64573268921095006</v>
      </c>
      <c r="AU31" s="74">
        <f t="shared" si="35"/>
        <v>0.64573268921095006</v>
      </c>
      <c r="AV31" s="74">
        <f t="shared" si="36"/>
        <v>0</v>
      </c>
      <c r="AW31" s="74">
        <f t="shared" si="37"/>
        <v>0</v>
      </c>
      <c r="AX31" s="74">
        <f t="shared" si="38"/>
        <v>0.64573268921095006</v>
      </c>
      <c r="AY31" s="74">
        <f t="shared" si="39"/>
        <v>0.64573268921095006</v>
      </c>
      <c r="AZ31" s="74">
        <f t="shared" si="40"/>
        <v>0</v>
      </c>
      <c r="BA31" s="74">
        <f t="shared" si="41"/>
        <v>1</v>
      </c>
      <c r="BB31" s="74">
        <f t="shared" si="42"/>
        <v>8.5487999368895048E-2</v>
      </c>
      <c r="BC31" s="74">
        <f t="shared" si="43"/>
        <v>7.1354902699037395E-2</v>
      </c>
      <c r="BD31" s="74">
        <f t="shared" si="44"/>
        <v>3.9067548047452515E-2</v>
      </c>
      <c r="BE31" s="75">
        <f t="shared" si="45"/>
        <v>7.1354902699037395E-2</v>
      </c>
    </row>
    <row r="32" spans="1:57" x14ac:dyDescent="0.35">
      <c r="A32" s="28" t="s">
        <v>57</v>
      </c>
      <c r="B32" s="22" t="s">
        <v>65</v>
      </c>
      <c r="C32" s="47">
        <f t="shared" si="9"/>
        <v>4.1153810316911672</v>
      </c>
      <c r="D32" s="23">
        <f t="shared" si="10"/>
        <v>4.1153810316911672</v>
      </c>
      <c r="E32" s="30">
        <v>0.11431613976919908</v>
      </c>
      <c r="F32" s="30">
        <v>4.0010648919219678</v>
      </c>
      <c r="G32" s="30">
        <v>0</v>
      </c>
      <c r="H32" s="25">
        <f t="shared" si="11"/>
        <v>3.3151680533067727</v>
      </c>
      <c r="I32" s="30">
        <v>0.68589683861519435</v>
      </c>
      <c r="J32" s="30">
        <v>2.6292712146915784</v>
      </c>
      <c r="K32" s="30">
        <v>0.11431613976919908</v>
      </c>
      <c r="L32" s="25">
        <f t="shared" si="12"/>
        <v>8.1625269737342627</v>
      </c>
      <c r="M32" s="25">
        <f t="shared" si="13"/>
        <v>8.1625269737342627</v>
      </c>
      <c r="N32" s="25">
        <f t="shared" si="14"/>
        <v>5.4123140293972885</v>
      </c>
      <c r="O32" s="25">
        <f t="shared" si="46"/>
        <v>5.4123140293972885</v>
      </c>
      <c r="P32" s="24">
        <f t="shared" si="15"/>
        <v>0.22673686038150731</v>
      </c>
      <c r="Q32" s="24">
        <f t="shared" si="16"/>
        <v>0.1503420563721469</v>
      </c>
      <c r="R32" s="24">
        <f t="shared" si="17"/>
        <v>7.9357901133527555</v>
      </c>
      <c r="S32" s="24">
        <f t="shared" si="0"/>
        <v>5.2619719730251413</v>
      </c>
      <c r="T32" s="24">
        <f t="shared" si="1"/>
        <v>0</v>
      </c>
      <c r="U32" s="24">
        <f t="shared" si="2"/>
        <v>0</v>
      </c>
      <c r="V32" s="25">
        <f t="shared" si="18"/>
        <v>6.5753689510637106</v>
      </c>
      <c r="W32" s="25">
        <f t="shared" si="19"/>
        <v>4.3599196347922593</v>
      </c>
      <c r="X32" s="24">
        <f t="shared" si="20"/>
        <v>1.3604211622890434</v>
      </c>
      <c r="Y32" s="24">
        <f t="shared" si="3"/>
        <v>0.90205233823288122</v>
      </c>
      <c r="Z32" s="24">
        <f t="shared" si="4"/>
        <v>5.2149477887746674</v>
      </c>
      <c r="AA32" s="24">
        <f t="shared" si="5"/>
        <v>3.4578672965593782</v>
      </c>
      <c r="AB32" s="24">
        <f t="shared" si="6"/>
        <v>0.22673686038150731</v>
      </c>
      <c r="AC32" s="24">
        <f t="shared" si="7"/>
        <v>0.1503420563721469</v>
      </c>
      <c r="AD32" s="26">
        <v>76.037366075549997</v>
      </c>
      <c r="AE32" s="8">
        <v>50.417977728389999</v>
      </c>
      <c r="AF32" s="61">
        <f t="shared" si="21"/>
        <v>7.4305490849979403</v>
      </c>
      <c r="AG32" s="61">
        <f t="shared" si="22"/>
        <v>7.4305490849979403</v>
      </c>
      <c r="AH32" s="74">
        <f t="shared" si="23"/>
        <v>0.55384615384615388</v>
      </c>
      <c r="AI32" s="74">
        <f t="shared" si="24"/>
        <v>0.55384615384615388</v>
      </c>
      <c r="AJ32" s="74">
        <f t="shared" si="25"/>
        <v>0.55384615384615388</v>
      </c>
      <c r="AK32" s="74">
        <f t="shared" si="8"/>
        <v>0.55384615384615388</v>
      </c>
      <c r="AL32" s="74">
        <f t="shared" si="26"/>
        <v>0.53846153846153844</v>
      </c>
      <c r="AM32" s="74">
        <f t="shared" si="27"/>
        <v>0.53846153846153844</v>
      </c>
      <c r="AN32" s="74">
        <f t="shared" si="28"/>
        <v>1.5384615384615384E-2</v>
      </c>
      <c r="AO32" s="74">
        <f t="shared" si="29"/>
        <v>1.5384615384615384E-2</v>
      </c>
      <c r="AP32" s="74">
        <f t="shared" si="30"/>
        <v>0</v>
      </c>
      <c r="AQ32" s="74">
        <f t="shared" si="31"/>
        <v>0</v>
      </c>
      <c r="AR32" s="74">
        <f t="shared" si="32"/>
        <v>0.9722222222222221</v>
      </c>
      <c r="AS32" s="74">
        <f t="shared" si="33"/>
        <v>2.7777777777777776E-2</v>
      </c>
      <c r="AT32" s="74">
        <f t="shared" si="34"/>
        <v>0.44615384615384607</v>
      </c>
      <c r="AU32" s="74">
        <f t="shared" si="35"/>
        <v>0.44615384615384607</v>
      </c>
      <c r="AV32" s="74">
        <f t="shared" si="36"/>
        <v>9.2307692307692285E-2</v>
      </c>
      <c r="AW32" s="74">
        <f t="shared" si="37"/>
        <v>9.2307692307692285E-2</v>
      </c>
      <c r="AX32" s="74">
        <f t="shared" si="38"/>
        <v>0.35384615384615381</v>
      </c>
      <c r="AY32" s="74">
        <f t="shared" si="39"/>
        <v>0.35384615384615381</v>
      </c>
      <c r="AZ32" s="74">
        <f t="shared" si="40"/>
        <v>0.20689655172413793</v>
      </c>
      <c r="BA32" s="74">
        <f t="shared" si="41"/>
        <v>0.7931034482758621</v>
      </c>
      <c r="BB32" s="74">
        <f t="shared" si="42"/>
        <v>0.14737895924797975</v>
      </c>
      <c r="BC32" s="74">
        <f t="shared" si="43"/>
        <v>0.14737895924797975</v>
      </c>
      <c r="BD32" s="74">
        <f t="shared" si="44"/>
        <v>9.7722336641895488E-2</v>
      </c>
      <c r="BE32" s="75">
        <f t="shared" si="45"/>
        <v>0.14737895924797975</v>
      </c>
    </row>
    <row r="33" spans="1:57" x14ac:dyDescent="0.35">
      <c r="A33" s="28" t="s">
        <v>58</v>
      </c>
      <c r="B33" s="22" t="s">
        <v>65</v>
      </c>
      <c r="C33" s="47">
        <f t="shared" si="9"/>
        <v>11</v>
      </c>
      <c r="D33" s="23">
        <f t="shared" si="10"/>
        <v>11</v>
      </c>
      <c r="E33" s="30">
        <v>0</v>
      </c>
      <c r="F33" s="24">
        <v>11</v>
      </c>
      <c r="G33" s="24">
        <v>0</v>
      </c>
      <c r="H33" s="25">
        <f t="shared" si="11"/>
        <v>25</v>
      </c>
      <c r="I33" s="24">
        <v>0</v>
      </c>
      <c r="J33" s="24">
        <v>25</v>
      </c>
      <c r="K33" s="24">
        <v>0</v>
      </c>
      <c r="L33" s="25">
        <f t="shared" si="12"/>
        <v>2.0006500950731745</v>
      </c>
      <c r="M33" s="25">
        <f t="shared" si="13"/>
        <v>2.0006500950731745</v>
      </c>
      <c r="N33" s="25">
        <f t="shared" si="14"/>
        <v>2.111306177863205</v>
      </c>
      <c r="O33" s="25">
        <f t="shared" si="46"/>
        <v>2.111306177863205</v>
      </c>
      <c r="P33" s="24">
        <f t="shared" si="15"/>
        <v>0</v>
      </c>
      <c r="Q33" s="24">
        <f t="shared" si="16"/>
        <v>0</v>
      </c>
      <c r="R33" s="24">
        <f t="shared" si="17"/>
        <v>2.0006500950731745</v>
      </c>
      <c r="S33" s="24">
        <f t="shared" si="0"/>
        <v>2.111306177863205</v>
      </c>
      <c r="T33" s="24">
        <f t="shared" si="1"/>
        <v>0</v>
      </c>
      <c r="U33" s="24">
        <f t="shared" si="2"/>
        <v>0</v>
      </c>
      <c r="V33" s="25">
        <f t="shared" si="18"/>
        <v>4.5469320342572148</v>
      </c>
      <c r="W33" s="25">
        <f t="shared" si="19"/>
        <v>4.7984231315072847</v>
      </c>
      <c r="X33" s="24">
        <f t="shared" si="20"/>
        <v>0</v>
      </c>
      <c r="Y33" s="24">
        <f t="shared" si="3"/>
        <v>0</v>
      </c>
      <c r="Z33" s="24">
        <f t="shared" si="4"/>
        <v>4.5469320342572148</v>
      </c>
      <c r="AA33" s="24">
        <f t="shared" si="5"/>
        <v>4.7984231315072847</v>
      </c>
      <c r="AB33" s="24">
        <f t="shared" si="6"/>
        <v>0</v>
      </c>
      <c r="AC33" s="24">
        <f t="shared" si="7"/>
        <v>0</v>
      </c>
      <c r="AD33" s="26">
        <v>521.00449074291998</v>
      </c>
      <c r="AE33" s="8">
        <v>549.82128194673999</v>
      </c>
      <c r="AF33" s="61">
        <f t="shared" si="21"/>
        <v>36</v>
      </c>
      <c r="AG33" s="61">
        <f t="shared" si="22"/>
        <v>36</v>
      </c>
      <c r="AH33" s="74">
        <f t="shared" si="23"/>
        <v>0.30555555555555558</v>
      </c>
      <c r="AI33" s="74">
        <f t="shared" si="24"/>
        <v>0.30555555555555558</v>
      </c>
      <c r="AJ33" s="74">
        <f t="shared" si="25"/>
        <v>0.30555555555555558</v>
      </c>
      <c r="AK33" s="74">
        <f t="shared" si="8"/>
        <v>0.30555555555555558</v>
      </c>
      <c r="AL33" s="74">
        <f t="shared" si="26"/>
        <v>0.30555555555555558</v>
      </c>
      <c r="AM33" s="74">
        <f t="shared" si="27"/>
        <v>0.30555555555555558</v>
      </c>
      <c r="AN33" s="74">
        <f t="shared" si="28"/>
        <v>0</v>
      </c>
      <c r="AO33" s="74">
        <f t="shared" si="29"/>
        <v>0</v>
      </c>
      <c r="AP33" s="74">
        <f t="shared" si="30"/>
        <v>0</v>
      </c>
      <c r="AQ33" s="74">
        <f t="shared" si="31"/>
        <v>0</v>
      </c>
      <c r="AR33" s="74">
        <f t="shared" si="32"/>
        <v>1</v>
      </c>
      <c r="AS33" s="74">
        <f t="shared" si="33"/>
        <v>0</v>
      </c>
      <c r="AT33" s="74">
        <f t="shared" si="34"/>
        <v>0.69444444444444442</v>
      </c>
      <c r="AU33" s="74">
        <f t="shared" si="35"/>
        <v>0.69444444444444442</v>
      </c>
      <c r="AV33" s="74">
        <f t="shared" si="36"/>
        <v>0</v>
      </c>
      <c r="AW33" s="74">
        <f t="shared" si="37"/>
        <v>0</v>
      </c>
      <c r="AX33" s="74">
        <f t="shared" si="38"/>
        <v>0.69444444444444442</v>
      </c>
      <c r="AY33" s="74">
        <f t="shared" si="39"/>
        <v>0.69444444444444442</v>
      </c>
      <c r="AZ33" s="74">
        <f t="shared" si="40"/>
        <v>0</v>
      </c>
      <c r="BA33" s="74">
        <f t="shared" si="41"/>
        <v>1</v>
      </c>
      <c r="BB33" s="74">
        <f t="shared" si="42"/>
        <v>6.5475821293303885E-2</v>
      </c>
      <c r="BC33" s="74">
        <f t="shared" si="43"/>
        <v>6.5475821293303885E-2</v>
      </c>
      <c r="BD33" s="74">
        <f t="shared" si="44"/>
        <v>6.9097293093704895E-2</v>
      </c>
      <c r="BE33" s="75">
        <f t="shared" si="45"/>
        <v>6.5475821293303885E-2</v>
      </c>
    </row>
    <row r="34" spans="1:57" x14ac:dyDescent="0.35">
      <c r="A34" s="28" t="s">
        <v>59</v>
      </c>
      <c r="B34" s="22" t="s">
        <v>65</v>
      </c>
      <c r="C34" s="47">
        <f t="shared" si="9"/>
        <v>1.6825977000000001</v>
      </c>
      <c r="D34" s="23">
        <f t="shared" si="10"/>
        <v>1.6825977000000001</v>
      </c>
      <c r="E34" s="30">
        <v>0</v>
      </c>
      <c r="F34" s="24">
        <v>1.6825977000000001</v>
      </c>
      <c r="G34" s="24">
        <v>0</v>
      </c>
      <c r="H34" s="25">
        <f t="shared" si="11"/>
        <v>0.21161296000000002</v>
      </c>
      <c r="I34" s="33">
        <f>0.0516129+0.05677419</f>
        <v>0.10838709000000001</v>
      </c>
      <c r="J34" s="33">
        <f>0.10322587</f>
        <v>0.10322587</v>
      </c>
      <c r="K34" s="24">
        <v>0</v>
      </c>
      <c r="L34" s="25">
        <f t="shared" si="12"/>
        <v>0.22521425078179022</v>
      </c>
      <c r="M34" s="25">
        <f t="shared" si="13"/>
        <v>0.22521425078179022</v>
      </c>
      <c r="N34" s="25">
        <f t="shared" si="14"/>
        <v>0.28479302795803385</v>
      </c>
      <c r="O34" s="25">
        <f t="shared" si="46"/>
        <v>0.28479302795803385</v>
      </c>
      <c r="P34" s="24">
        <f t="shared" si="15"/>
        <v>0</v>
      </c>
      <c r="Q34" s="24">
        <f t="shared" si="16"/>
        <v>0</v>
      </c>
      <c r="R34" s="24">
        <f t="shared" si="17"/>
        <v>0.22521425078179022</v>
      </c>
      <c r="S34" s="24">
        <f t="shared" si="0"/>
        <v>0.28479302795803385</v>
      </c>
      <c r="T34" s="24">
        <f t="shared" si="1"/>
        <v>0</v>
      </c>
      <c r="U34" s="24">
        <f t="shared" si="2"/>
        <v>0</v>
      </c>
      <c r="V34" s="25">
        <f t="shared" si="18"/>
        <v>2.8324212164391373E-2</v>
      </c>
      <c r="W34" s="25">
        <f t="shared" si="19"/>
        <v>3.5817174618485631E-2</v>
      </c>
      <c r="X34" s="24">
        <f t="shared" si="20"/>
        <v>1.4507518504731386E-2</v>
      </c>
      <c r="Y34" s="24">
        <f t="shared" si="3"/>
        <v>1.8345376053146827E-2</v>
      </c>
      <c r="Z34" s="24">
        <f t="shared" si="4"/>
        <v>1.3816693659659988E-2</v>
      </c>
      <c r="AA34" s="24">
        <f t="shared" si="5"/>
        <v>1.74717985653388E-2</v>
      </c>
      <c r="AB34" s="24">
        <f t="shared" si="6"/>
        <v>0</v>
      </c>
      <c r="AC34" s="24">
        <f t="shared" si="7"/>
        <v>0</v>
      </c>
      <c r="AD34" s="26">
        <v>590.81421763174001</v>
      </c>
      <c r="AE34" s="8">
        <v>747.10978286638999</v>
      </c>
      <c r="AF34" s="61">
        <f t="shared" si="21"/>
        <v>1.8942106600000002</v>
      </c>
      <c r="AG34" s="61">
        <f t="shared" si="22"/>
        <v>1.8942106600000002</v>
      </c>
      <c r="AH34" s="74">
        <f t="shared" si="23"/>
        <v>0.88828435798159844</v>
      </c>
      <c r="AI34" s="74">
        <f t="shared" si="24"/>
        <v>0.88828435798159844</v>
      </c>
      <c r="AJ34" s="74">
        <f t="shared" si="25"/>
        <v>0.88828435798159844</v>
      </c>
      <c r="AK34" s="74">
        <f t="shared" ref="AK34:AK58" si="47">$D34/(AF34)</f>
        <v>0.88828435798159844</v>
      </c>
      <c r="AL34" s="74">
        <f t="shared" si="26"/>
        <v>0.88828435798159844</v>
      </c>
      <c r="AM34" s="74">
        <f t="shared" ref="AM34:AM58" si="48">(F34/(AF34))</f>
        <v>0.88828435798159844</v>
      </c>
      <c r="AN34" s="74">
        <f t="shared" si="28"/>
        <v>0</v>
      </c>
      <c r="AO34" s="74">
        <f t="shared" si="29"/>
        <v>0</v>
      </c>
      <c r="AP34" s="74">
        <f t="shared" si="30"/>
        <v>0</v>
      </c>
      <c r="AQ34" s="74">
        <f t="shared" si="31"/>
        <v>0</v>
      </c>
      <c r="AR34" s="74">
        <f t="shared" si="32"/>
        <v>1</v>
      </c>
      <c r="AS34" s="74">
        <f t="shared" si="33"/>
        <v>0</v>
      </c>
      <c r="AT34" s="74">
        <f t="shared" si="34"/>
        <v>0.11171564201840148</v>
      </c>
      <c r="AU34" s="74">
        <f t="shared" si="35"/>
        <v>0.11171564201840148</v>
      </c>
      <c r="AV34" s="74">
        <f t="shared" si="36"/>
        <v>5.7220187959453252E-2</v>
      </c>
      <c r="AW34" s="74">
        <f t="shared" si="37"/>
        <v>5.7220187959453252E-2</v>
      </c>
      <c r="AX34" s="74">
        <f t="shared" si="38"/>
        <v>5.449545405894822E-2</v>
      </c>
      <c r="AY34" s="74">
        <f t="shared" si="39"/>
        <v>5.449545405894822E-2</v>
      </c>
      <c r="AZ34" s="74">
        <f t="shared" si="40"/>
        <v>0.51219495252086633</v>
      </c>
      <c r="BA34" s="74">
        <f t="shared" si="41"/>
        <v>0.48780504747913356</v>
      </c>
      <c r="BB34" s="74">
        <f t="shared" si="42"/>
        <v>2.5353846294618163E-3</v>
      </c>
      <c r="BC34" s="74">
        <f t="shared" si="43"/>
        <v>2.5353846294618163E-3</v>
      </c>
      <c r="BD34" s="74">
        <f t="shared" si="44"/>
        <v>3.2061020257651944E-3</v>
      </c>
      <c r="BE34" s="75">
        <f t="shared" si="45"/>
        <v>2.5353846294618163E-3</v>
      </c>
    </row>
    <row r="35" spans="1:57" x14ac:dyDescent="0.35">
      <c r="A35" s="22" t="s">
        <v>60</v>
      </c>
      <c r="B35" s="22" t="s">
        <v>65</v>
      </c>
      <c r="C35" s="47">
        <f t="shared" si="9"/>
        <v>9.3152702259999991</v>
      </c>
      <c r="D35" s="23">
        <f t="shared" si="10"/>
        <v>4.5999999999999996</v>
      </c>
      <c r="E35" s="30">
        <v>1</v>
      </c>
      <c r="F35" s="24">
        <v>3.6</v>
      </c>
      <c r="G35" s="24">
        <v>4.7152702260000003</v>
      </c>
      <c r="H35" s="25">
        <f t="shared" si="11"/>
        <v>2.4</v>
      </c>
      <c r="I35" s="24">
        <v>2.4</v>
      </c>
      <c r="J35" s="24">
        <v>0</v>
      </c>
      <c r="K35" s="24">
        <v>0</v>
      </c>
      <c r="L35" s="25">
        <f t="shared" si="12"/>
        <v>3.555996915907699</v>
      </c>
      <c r="M35" s="25">
        <f t="shared" si="13"/>
        <v>1.7559969186421984</v>
      </c>
      <c r="N35" s="25">
        <f t="shared" si="14"/>
        <v>2.1109243696967823</v>
      </c>
      <c r="O35" s="25">
        <f t="shared" si="46"/>
        <v>1.0424015476762831</v>
      </c>
      <c r="P35" s="24">
        <f t="shared" si="15"/>
        <v>0.38173846057439093</v>
      </c>
      <c r="Q35" s="24">
        <f t="shared" si="16"/>
        <v>0.2266090321035398</v>
      </c>
      <c r="R35" s="24">
        <f t="shared" si="17"/>
        <v>1.3742584580678074</v>
      </c>
      <c r="S35" s="24">
        <f t="shared" si="0"/>
        <v>0.81579251557274324</v>
      </c>
      <c r="T35" s="24">
        <f t="shared" si="1"/>
        <v>1.7999999972655005</v>
      </c>
      <c r="U35" s="24">
        <f t="shared" si="2"/>
        <v>1.0685228220204994</v>
      </c>
      <c r="V35" s="25">
        <f t="shared" si="18"/>
        <v>0.91617230537853822</v>
      </c>
      <c r="W35" s="25">
        <f t="shared" si="19"/>
        <v>0.54386167704849553</v>
      </c>
      <c r="X35" s="24">
        <f t="shared" si="20"/>
        <v>0.91617230537853822</v>
      </c>
      <c r="Y35" s="24">
        <f t="shared" si="3"/>
        <v>0.54386167704849553</v>
      </c>
      <c r="Z35" s="24">
        <f t="shared" si="4"/>
        <v>0</v>
      </c>
      <c r="AA35" s="24">
        <f t="shared" si="5"/>
        <v>0</v>
      </c>
      <c r="AB35" s="24">
        <f t="shared" si="6"/>
        <v>0</v>
      </c>
      <c r="AC35" s="24">
        <f t="shared" si="7"/>
        <v>0</v>
      </c>
      <c r="AD35" s="26">
        <v>441.28867711817003</v>
      </c>
      <c r="AE35" s="8">
        <v>261.95945739796002</v>
      </c>
      <c r="AF35" s="61">
        <f t="shared" si="21"/>
        <v>7</v>
      </c>
      <c r="AG35" s="61">
        <f t="shared" si="22"/>
        <v>7</v>
      </c>
      <c r="AH35" s="74">
        <f t="shared" si="23"/>
        <v>0.65714285714285714</v>
      </c>
      <c r="AI35" s="74">
        <f t="shared" ref="AI35:AI58" si="49">D35/AG35</f>
        <v>0.65714285714285714</v>
      </c>
      <c r="AJ35" s="74">
        <f t="shared" si="25"/>
        <v>0.65714285714285714</v>
      </c>
      <c r="AK35" s="74">
        <f t="shared" si="47"/>
        <v>0.65714285714285714</v>
      </c>
      <c r="AL35" s="74">
        <f t="shared" si="26"/>
        <v>0.51428571428571435</v>
      </c>
      <c r="AM35" s="74">
        <f t="shared" si="48"/>
        <v>0.51428571428571435</v>
      </c>
      <c r="AN35" s="74">
        <f t="shared" si="28"/>
        <v>0.14285714285714285</v>
      </c>
      <c r="AO35" s="74">
        <f t="shared" si="29"/>
        <v>0.14285714285714285</v>
      </c>
      <c r="AP35" s="74">
        <f t="shared" si="30"/>
        <v>0.67361003228571437</v>
      </c>
      <c r="AQ35" s="74">
        <f t="shared" si="31"/>
        <v>0.67361003228571437</v>
      </c>
      <c r="AR35" s="74">
        <f t="shared" si="32"/>
        <v>0.78260869565217395</v>
      </c>
      <c r="AS35" s="74">
        <f t="shared" si="33"/>
        <v>0.21739130434782611</v>
      </c>
      <c r="AT35" s="74">
        <f t="shared" si="34"/>
        <v>0.34285714285714286</v>
      </c>
      <c r="AU35" s="74">
        <f t="shared" si="35"/>
        <v>0.34285714285714286</v>
      </c>
      <c r="AV35" s="74">
        <f t="shared" si="36"/>
        <v>0.34285714285714286</v>
      </c>
      <c r="AW35" s="74">
        <f t="shared" si="37"/>
        <v>0.34285714285714286</v>
      </c>
      <c r="AX35" s="74">
        <f t="shared" si="38"/>
        <v>0</v>
      </c>
      <c r="AY35" s="74">
        <f t="shared" si="39"/>
        <v>0</v>
      </c>
      <c r="AZ35" s="74">
        <f t="shared" si="40"/>
        <v>1</v>
      </c>
      <c r="BA35" s="74">
        <f t="shared" si="41"/>
        <v>0</v>
      </c>
      <c r="BB35" s="74">
        <f t="shared" si="42"/>
        <v>4.4721692212862374E-2</v>
      </c>
      <c r="BC35" s="74">
        <f t="shared" si="43"/>
        <v>2.6721692240207363E-2</v>
      </c>
      <c r="BD35" s="74">
        <f t="shared" si="44"/>
        <v>1.5862632247247786E-2</v>
      </c>
      <c r="BE35" s="75">
        <f t="shared" si="45"/>
        <v>2.6721692240207363E-2</v>
      </c>
    </row>
    <row r="36" spans="1:57" x14ac:dyDescent="0.35">
      <c r="A36" s="22" t="s">
        <v>61</v>
      </c>
      <c r="B36" s="22" t="s">
        <v>65</v>
      </c>
      <c r="C36" s="47">
        <f t="shared" si="9"/>
        <v>0</v>
      </c>
      <c r="D36" s="23">
        <f t="shared" si="10"/>
        <v>0</v>
      </c>
      <c r="E36" s="30">
        <v>0</v>
      </c>
      <c r="F36" s="24">
        <v>0</v>
      </c>
      <c r="G36" s="24">
        <v>0</v>
      </c>
      <c r="H36" s="25">
        <f t="shared" si="11"/>
        <v>0.1</v>
      </c>
      <c r="I36" s="24">
        <v>0.1</v>
      </c>
      <c r="J36" s="24">
        <v>0</v>
      </c>
      <c r="K36" s="24">
        <v>0</v>
      </c>
      <c r="L36" s="25">
        <f t="shared" si="12"/>
        <v>0</v>
      </c>
      <c r="M36" s="25">
        <f t="shared" si="13"/>
        <v>0</v>
      </c>
      <c r="N36" s="25">
        <f t="shared" si="14"/>
        <v>0</v>
      </c>
      <c r="O36" s="25">
        <f t="shared" si="46"/>
        <v>0</v>
      </c>
      <c r="P36" s="24">
        <f t="shared" si="15"/>
        <v>0</v>
      </c>
      <c r="Q36" s="24">
        <f t="shared" si="16"/>
        <v>0</v>
      </c>
      <c r="R36" s="24">
        <f t="shared" si="17"/>
        <v>0</v>
      </c>
      <c r="S36" s="24">
        <f t="shared" si="0"/>
        <v>0</v>
      </c>
      <c r="T36" s="24">
        <f t="shared" si="1"/>
        <v>0</v>
      </c>
      <c r="U36" s="24">
        <f t="shared" si="2"/>
        <v>0</v>
      </c>
      <c r="V36" s="25">
        <f t="shared" si="18"/>
        <v>3.111333402933561E-2</v>
      </c>
      <c r="W36" s="25">
        <f t="shared" si="19"/>
        <v>1.4482906740415585E-2</v>
      </c>
      <c r="X36" s="24">
        <f t="shared" si="20"/>
        <v>3.111333402933561E-2</v>
      </c>
      <c r="Y36" s="24">
        <f t="shared" si="3"/>
        <v>1.4482906740415585E-2</v>
      </c>
      <c r="Z36" s="24">
        <f t="shared" si="4"/>
        <v>0</v>
      </c>
      <c r="AA36" s="24">
        <f t="shared" si="5"/>
        <v>0</v>
      </c>
      <c r="AB36" s="24">
        <f t="shared" si="6"/>
        <v>0</v>
      </c>
      <c r="AC36" s="24">
        <f t="shared" si="7"/>
        <v>0</v>
      </c>
      <c r="AD36" s="26">
        <v>690.46912883131995</v>
      </c>
      <c r="AE36" s="8">
        <v>321.40560669490998</v>
      </c>
      <c r="AF36" s="61">
        <f t="shared" si="21"/>
        <v>0.1</v>
      </c>
      <c r="AG36" s="61">
        <f t="shared" si="22"/>
        <v>0.1</v>
      </c>
      <c r="AH36" s="74">
        <f t="shared" si="23"/>
        <v>0</v>
      </c>
      <c r="AI36" s="74">
        <f t="shared" si="49"/>
        <v>0</v>
      </c>
      <c r="AJ36" s="74">
        <f t="shared" si="25"/>
        <v>0</v>
      </c>
      <c r="AK36" s="74">
        <f t="shared" si="47"/>
        <v>0</v>
      </c>
      <c r="AL36" s="74">
        <f t="shared" si="26"/>
        <v>0</v>
      </c>
      <c r="AM36" s="74">
        <f t="shared" si="48"/>
        <v>0</v>
      </c>
      <c r="AN36" s="74">
        <f t="shared" si="28"/>
        <v>0</v>
      </c>
      <c r="AO36" s="74">
        <f t="shared" si="29"/>
        <v>0</v>
      </c>
      <c r="AP36" s="74">
        <f t="shared" si="30"/>
        <v>0</v>
      </c>
      <c r="AQ36" s="74">
        <f t="shared" si="31"/>
        <v>0</v>
      </c>
      <c r="AR36" s="74" t="e">
        <f t="shared" si="32"/>
        <v>#DIV/0!</v>
      </c>
      <c r="AS36" s="74" t="e">
        <f t="shared" si="33"/>
        <v>#DIV/0!</v>
      </c>
      <c r="AT36" s="74">
        <f t="shared" si="34"/>
        <v>1</v>
      </c>
      <c r="AU36" s="74">
        <f t="shared" si="35"/>
        <v>1</v>
      </c>
      <c r="AV36" s="74">
        <f t="shared" si="36"/>
        <v>1</v>
      </c>
      <c r="AW36" s="74">
        <f t="shared" si="37"/>
        <v>1</v>
      </c>
      <c r="AX36" s="74">
        <f t="shared" si="38"/>
        <v>0</v>
      </c>
      <c r="AY36" s="74">
        <f t="shared" si="39"/>
        <v>0</v>
      </c>
      <c r="AZ36" s="74">
        <f t="shared" si="40"/>
        <v>1</v>
      </c>
      <c r="BA36" s="74">
        <f t="shared" si="41"/>
        <v>0</v>
      </c>
      <c r="BB36" s="74">
        <f t="shared" si="42"/>
        <v>3.1113334029335611E-4</v>
      </c>
      <c r="BC36" s="74">
        <f t="shared" si="43"/>
        <v>3.1113334029335611E-4</v>
      </c>
      <c r="BD36" s="74">
        <f t="shared" si="44"/>
        <v>1.4482906740415584E-4</v>
      </c>
      <c r="BE36" s="75">
        <f t="shared" si="45"/>
        <v>3.1113334029335611E-4</v>
      </c>
    </row>
    <row r="37" spans="1:57" x14ac:dyDescent="0.35">
      <c r="A37" s="22" t="s">
        <v>62</v>
      </c>
      <c r="B37" s="22" t="s">
        <v>65</v>
      </c>
      <c r="C37" s="47">
        <f t="shared" si="9"/>
        <v>0.71743400000000002</v>
      </c>
      <c r="D37" s="23">
        <f t="shared" si="10"/>
        <v>0.71743400000000002</v>
      </c>
      <c r="E37" s="30">
        <v>0.17</v>
      </c>
      <c r="F37" s="24">
        <v>0.54743399999999998</v>
      </c>
      <c r="G37" s="24">
        <v>0</v>
      </c>
      <c r="H37" s="25">
        <f t="shared" si="11"/>
        <v>0</v>
      </c>
      <c r="I37" s="24">
        <v>0</v>
      </c>
      <c r="J37" s="24">
        <v>0</v>
      </c>
      <c r="K37" s="24">
        <v>0</v>
      </c>
      <c r="L37" s="25">
        <f t="shared" si="12"/>
        <v>1.1143308580281421</v>
      </c>
      <c r="M37" s="25">
        <f t="shared" si="13"/>
        <v>1.1143308580281421</v>
      </c>
      <c r="N37" s="25">
        <f t="shared" si="14"/>
        <v>0.7863713384702169</v>
      </c>
      <c r="O37" s="25">
        <f t="shared" si="46"/>
        <v>0.7863713384702169</v>
      </c>
      <c r="P37" s="24">
        <f t="shared" si="15"/>
        <v>0.26404693095780818</v>
      </c>
      <c r="Q37" s="24">
        <f t="shared" si="16"/>
        <v>0.18633508802194609</v>
      </c>
      <c r="R37" s="24">
        <f t="shared" si="17"/>
        <v>0.85028392707033384</v>
      </c>
      <c r="S37" s="24">
        <f t="shared" si="0"/>
        <v>0.6000362504482708</v>
      </c>
      <c r="T37" s="24">
        <f t="shared" si="1"/>
        <v>0</v>
      </c>
      <c r="U37" s="24">
        <f t="shared" si="2"/>
        <v>0</v>
      </c>
      <c r="V37" s="25">
        <f t="shared" si="18"/>
        <v>0</v>
      </c>
      <c r="W37" s="25">
        <f t="shared" si="19"/>
        <v>0</v>
      </c>
      <c r="X37" s="24">
        <f t="shared" si="20"/>
        <v>0</v>
      </c>
      <c r="Y37" s="24">
        <f t="shared" si="3"/>
        <v>0</v>
      </c>
      <c r="Z37" s="24">
        <f t="shared" si="4"/>
        <v>0</v>
      </c>
      <c r="AA37" s="24">
        <f t="shared" si="5"/>
        <v>0</v>
      </c>
      <c r="AB37" s="24">
        <f t="shared" si="6"/>
        <v>0</v>
      </c>
      <c r="AC37" s="24">
        <f t="shared" si="7"/>
        <v>0</v>
      </c>
      <c r="AD37" s="26">
        <v>91.233487908610002</v>
      </c>
      <c r="AE37" s="8">
        <v>64.38249419652</v>
      </c>
      <c r="AF37" s="61">
        <f t="shared" si="21"/>
        <v>0.71743400000000002</v>
      </c>
      <c r="AG37" s="61">
        <f t="shared" si="22"/>
        <v>0.71743400000000002</v>
      </c>
      <c r="AH37" s="74">
        <f t="shared" si="23"/>
        <v>1</v>
      </c>
      <c r="AI37" s="74">
        <f t="shared" si="49"/>
        <v>1</v>
      </c>
      <c r="AJ37" s="74">
        <f t="shared" si="25"/>
        <v>1</v>
      </c>
      <c r="AK37" s="74">
        <f t="shared" si="47"/>
        <v>1</v>
      </c>
      <c r="AL37" s="74">
        <f t="shared" si="26"/>
        <v>0.76304440547841335</v>
      </c>
      <c r="AM37" s="74">
        <f t="shared" si="48"/>
        <v>0.76304440547841335</v>
      </c>
      <c r="AN37" s="74">
        <f t="shared" si="28"/>
        <v>0.23695559452158665</v>
      </c>
      <c r="AO37" s="74">
        <f t="shared" si="29"/>
        <v>0.23695559452158665</v>
      </c>
      <c r="AP37" s="74">
        <f t="shared" si="30"/>
        <v>0</v>
      </c>
      <c r="AQ37" s="74">
        <f t="shared" si="31"/>
        <v>0</v>
      </c>
      <c r="AR37" s="74">
        <f t="shared" si="32"/>
        <v>0.76304440547841335</v>
      </c>
      <c r="AS37" s="74">
        <f t="shared" si="33"/>
        <v>0.23695559452158665</v>
      </c>
      <c r="AT37" s="74">
        <f t="shared" si="34"/>
        <v>0</v>
      </c>
      <c r="AU37" s="74">
        <f t="shared" si="35"/>
        <v>0</v>
      </c>
      <c r="AV37" s="74">
        <f t="shared" si="36"/>
        <v>0</v>
      </c>
      <c r="AW37" s="74">
        <f t="shared" si="37"/>
        <v>0</v>
      </c>
      <c r="AX37" s="74">
        <f t="shared" si="38"/>
        <v>0</v>
      </c>
      <c r="AY37" s="74">
        <f t="shared" si="39"/>
        <v>0</v>
      </c>
      <c r="AZ37" s="74" t="e">
        <f t="shared" si="40"/>
        <v>#DIV/0!</v>
      </c>
      <c r="BA37" s="74" t="e">
        <f t="shared" si="41"/>
        <v>#DIV/0!</v>
      </c>
      <c r="BB37" s="74">
        <f t="shared" si="42"/>
        <v>1.1143308580281419E-2</v>
      </c>
      <c r="BC37" s="74">
        <f t="shared" si="43"/>
        <v>1.1143308580281419E-2</v>
      </c>
      <c r="BD37" s="74">
        <f t="shared" si="44"/>
        <v>7.863713384702169E-3</v>
      </c>
      <c r="BE37" s="75">
        <f t="shared" si="45"/>
        <v>1.1143308580281419E-2</v>
      </c>
    </row>
    <row r="38" spans="1:57" x14ac:dyDescent="0.35">
      <c r="A38" s="22" t="s">
        <v>63</v>
      </c>
      <c r="B38" s="22" t="s">
        <v>65</v>
      </c>
      <c r="C38" s="47">
        <f t="shared" si="9"/>
        <v>4.4197489986439065</v>
      </c>
      <c r="D38" s="23">
        <f t="shared" si="10"/>
        <v>4.4197489986439065</v>
      </c>
      <c r="E38" s="30">
        <v>0</v>
      </c>
      <c r="F38" s="31">
        <v>4.4197489986439065</v>
      </c>
      <c r="G38" s="24">
        <v>0</v>
      </c>
      <c r="H38" s="25">
        <f t="shared" si="11"/>
        <v>0</v>
      </c>
      <c r="I38" s="24">
        <v>0</v>
      </c>
      <c r="J38" s="24">
        <v>0</v>
      </c>
      <c r="K38" s="24">
        <v>0</v>
      </c>
      <c r="L38" s="25">
        <f t="shared" si="12"/>
        <v>2.998798899106466</v>
      </c>
      <c r="M38" s="25">
        <f t="shared" si="13"/>
        <v>2.998798899106466</v>
      </c>
      <c r="N38" s="25">
        <f t="shared" si="14"/>
        <v>1.4262400226188992</v>
      </c>
      <c r="O38" s="25">
        <f t="shared" si="46"/>
        <v>1.4262400226188992</v>
      </c>
      <c r="P38" s="24">
        <f t="shared" si="15"/>
        <v>0</v>
      </c>
      <c r="Q38" s="24">
        <f t="shared" si="16"/>
        <v>0</v>
      </c>
      <c r="R38" s="24">
        <f t="shared" si="17"/>
        <v>2.998798899106466</v>
      </c>
      <c r="S38" s="24">
        <f t="shared" si="0"/>
        <v>1.4262400226188992</v>
      </c>
      <c r="T38" s="24">
        <f t="shared" si="1"/>
        <v>0</v>
      </c>
      <c r="U38" s="24">
        <f t="shared" si="2"/>
        <v>0</v>
      </c>
      <c r="V38" s="25">
        <f t="shared" si="18"/>
        <v>0</v>
      </c>
      <c r="W38" s="25">
        <f t="shared" si="19"/>
        <v>0</v>
      </c>
      <c r="X38" s="24">
        <f t="shared" si="20"/>
        <v>0</v>
      </c>
      <c r="Y38" s="24">
        <f t="shared" si="3"/>
        <v>0</v>
      </c>
      <c r="Z38" s="24">
        <f t="shared" si="4"/>
        <v>0</v>
      </c>
      <c r="AA38" s="24">
        <f t="shared" si="5"/>
        <v>0</v>
      </c>
      <c r="AB38" s="24">
        <f t="shared" si="6"/>
        <v>0</v>
      </c>
      <c r="AC38" s="24">
        <f t="shared" si="7"/>
        <v>0</v>
      </c>
      <c r="AD38" s="26">
        <v>309.88816247970999</v>
      </c>
      <c r="AE38" s="8">
        <v>147.38397429586999</v>
      </c>
      <c r="AF38" s="61">
        <f t="shared" si="21"/>
        <v>4.4197489986439065</v>
      </c>
      <c r="AG38" s="61">
        <f t="shared" si="22"/>
        <v>4.4197489986439065</v>
      </c>
      <c r="AH38" s="74">
        <f t="shared" si="23"/>
        <v>1</v>
      </c>
      <c r="AI38" s="74">
        <f t="shared" si="49"/>
        <v>1</v>
      </c>
      <c r="AJ38" s="74">
        <f t="shared" si="25"/>
        <v>1</v>
      </c>
      <c r="AK38" s="74">
        <f t="shared" si="47"/>
        <v>1</v>
      </c>
      <c r="AL38" s="74">
        <f t="shared" si="26"/>
        <v>1</v>
      </c>
      <c r="AM38" s="74">
        <f t="shared" si="48"/>
        <v>1</v>
      </c>
      <c r="AN38" s="74">
        <f t="shared" si="28"/>
        <v>0</v>
      </c>
      <c r="AO38" s="74">
        <f t="shared" si="29"/>
        <v>0</v>
      </c>
      <c r="AP38" s="74">
        <f t="shared" si="30"/>
        <v>0</v>
      </c>
      <c r="AQ38" s="74">
        <f t="shared" si="31"/>
        <v>0</v>
      </c>
      <c r="AR38" s="74">
        <f t="shared" si="32"/>
        <v>1</v>
      </c>
      <c r="AS38" s="74">
        <f t="shared" si="33"/>
        <v>0</v>
      </c>
      <c r="AT38" s="74">
        <f t="shared" si="34"/>
        <v>0</v>
      </c>
      <c r="AU38" s="74">
        <f t="shared" si="35"/>
        <v>0</v>
      </c>
      <c r="AV38" s="74">
        <f t="shared" si="36"/>
        <v>0</v>
      </c>
      <c r="AW38" s="74">
        <f t="shared" si="37"/>
        <v>0</v>
      </c>
      <c r="AX38" s="74">
        <f t="shared" si="38"/>
        <v>0</v>
      </c>
      <c r="AY38" s="74">
        <f t="shared" si="39"/>
        <v>0</v>
      </c>
      <c r="AZ38" s="74" t="e">
        <f t="shared" si="40"/>
        <v>#DIV/0!</v>
      </c>
      <c r="BA38" s="74" t="e">
        <f t="shared" si="41"/>
        <v>#DIV/0!</v>
      </c>
      <c r="BB38" s="74">
        <f t="shared" si="42"/>
        <v>2.9987988991064661E-2</v>
      </c>
      <c r="BC38" s="74">
        <f t="shared" si="43"/>
        <v>2.9987988991064661E-2</v>
      </c>
      <c r="BD38" s="74">
        <f t="shared" si="44"/>
        <v>1.4262400226188991E-2</v>
      </c>
      <c r="BE38" s="75">
        <f t="shared" si="45"/>
        <v>2.9987988991064661E-2</v>
      </c>
    </row>
    <row r="39" spans="1:57" x14ac:dyDescent="0.35">
      <c r="A39" s="22" t="s">
        <v>64</v>
      </c>
      <c r="B39" s="22" t="s">
        <v>65</v>
      </c>
      <c r="C39" s="47">
        <f t="shared" si="9"/>
        <v>17</v>
      </c>
      <c r="D39" s="23">
        <f t="shared" si="10"/>
        <v>17</v>
      </c>
      <c r="E39" s="30">
        <v>8</v>
      </c>
      <c r="F39" s="24">
        <v>9</v>
      </c>
      <c r="G39" s="24">
        <v>0</v>
      </c>
      <c r="H39" s="25">
        <f t="shared" si="11"/>
        <v>17</v>
      </c>
      <c r="I39" s="24">
        <v>0</v>
      </c>
      <c r="J39" s="24">
        <v>17</v>
      </c>
      <c r="K39" s="24">
        <v>0</v>
      </c>
      <c r="L39" s="25">
        <f t="shared" si="12"/>
        <v>2.9746119470950942</v>
      </c>
      <c r="M39" s="25">
        <f t="shared" si="13"/>
        <v>2.9746119470950942</v>
      </c>
      <c r="N39" s="25">
        <f t="shared" si="14"/>
        <v>1.3986901541599801</v>
      </c>
      <c r="O39" s="25">
        <f t="shared" si="46"/>
        <v>1.3986901541599801</v>
      </c>
      <c r="P39" s="24">
        <f t="shared" si="15"/>
        <v>1.3998173868682795</v>
      </c>
      <c r="Q39" s="24">
        <f t="shared" si="16"/>
        <v>0.65820713136940245</v>
      </c>
      <c r="R39" s="24">
        <f t="shared" si="17"/>
        <v>1.5747945602268145</v>
      </c>
      <c r="S39" s="24">
        <f t="shared" si="0"/>
        <v>0.74048302279057776</v>
      </c>
      <c r="T39" s="24">
        <f t="shared" si="1"/>
        <v>0</v>
      </c>
      <c r="U39" s="24">
        <f t="shared" si="2"/>
        <v>0</v>
      </c>
      <c r="V39" s="25">
        <f t="shared" si="18"/>
        <v>2.9746119470950938</v>
      </c>
      <c r="W39" s="25">
        <f t="shared" si="19"/>
        <v>1.3986901541599803</v>
      </c>
      <c r="X39" s="24">
        <f t="shared" si="20"/>
        <v>0</v>
      </c>
      <c r="Y39" s="24">
        <f t="shared" si="3"/>
        <v>0</v>
      </c>
      <c r="Z39" s="24">
        <f t="shared" si="4"/>
        <v>2.9746119470950938</v>
      </c>
      <c r="AA39" s="24">
        <f t="shared" si="5"/>
        <v>1.3986901541599803</v>
      </c>
      <c r="AB39" s="24">
        <f t="shared" si="6"/>
        <v>0</v>
      </c>
      <c r="AC39" s="24">
        <f t="shared" si="7"/>
        <v>0</v>
      </c>
      <c r="AD39" s="26">
        <v>1215.4228689920101</v>
      </c>
      <c r="AE39" s="8">
        <v>571.50311712429004</v>
      </c>
      <c r="AF39" s="61">
        <f t="shared" si="21"/>
        <v>34</v>
      </c>
      <c r="AG39" s="61">
        <f t="shared" si="22"/>
        <v>34</v>
      </c>
      <c r="AH39" s="74">
        <f t="shared" si="23"/>
        <v>0.5</v>
      </c>
      <c r="AI39" s="74">
        <f t="shared" si="49"/>
        <v>0.5</v>
      </c>
      <c r="AJ39" s="74">
        <f t="shared" si="25"/>
        <v>0.5</v>
      </c>
      <c r="AK39" s="74">
        <f t="shared" si="47"/>
        <v>0.5</v>
      </c>
      <c r="AL39" s="74">
        <f t="shared" si="26"/>
        <v>0.26470588235294118</v>
      </c>
      <c r="AM39" s="74">
        <f t="shared" si="48"/>
        <v>0.26470588235294118</v>
      </c>
      <c r="AN39" s="74">
        <f t="shared" si="28"/>
        <v>0.23529411764705882</v>
      </c>
      <c r="AO39" s="74">
        <f t="shared" si="29"/>
        <v>0.23529411764705882</v>
      </c>
      <c r="AP39" s="74">
        <f t="shared" si="30"/>
        <v>0</v>
      </c>
      <c r="AQ39" s="74">
        <f t="shared" si="31"/>
        <v>0</v>
      </c>
      <c r="AR39" s="74">
        <f t="shared" si="32"/>
        <v>0.52941176470588236</v>
      </c>
      <c r="AS39" s="74">
        <f t="shared" si="33"/>
        <v>0.47058823529411764</v>
      </c>
      <c r="AT39" s="74">
        <f t="shared" si="34"/>
        <v>0.5</v>
      </c>
      <c r="AU39" s="74">
        <f t="shared" si="35"/>
        <v>0.5</v>
      </c>
      <c r="AV39" s="74">
        <f t="shared" si="36"/>
        <v>0</v>
      </c>
      <c r="AW39" s="74">
        <f t="shared" si="37"/>
        <v>0</v>
      </c>
      <c r="AX39" s="74">
        <f t="shared" si="38"/>
        <v>0.5</v>
      </c>
      <c r="AY39" s="74">
        <f t="shared" si="39"/>
        <v>0.5</v>
      </c>
      <c r="AZ39" s="74">
        <f t="shared" si="40"/>
        <v>0</v>
      </c>
      <c r="BA39" s="74">
        <f t="shared" si="41"/>
        <v>1</v>
      </c>
      <c r="BB39" s="74">
        <f t="shared" si="42"/>
        <v>5.9492238941901879E-2</v>
      </c>
      <c r="BC39" s="74">
        <f t="shared" si="43"/>
        <v>5.9492238941901879E-2</v>
      </c>
      <c r="BD39" s="74">
        <f t="shared" si="44"/>
        <v>2.7973803083199605E-2</v>
      </c>
      <c r="BE39" s="75">
        <f t="shared" si="45"/>
        <v>5.9492238941901879E-2</v>
      </c>
    </row>
    <row r="40" spans="1:57" x14ac:dyDescent="0.35">
      <c r="A40" s="34" t="s">
        <v>27</v>
      </c>
      <c r="B40" s="35" t="s">
        <v>66</v>
      </c>
      <c r="C40" s="47">
        <f t="shared" si="9"/>
        <v>0.36671521951269392</v>
      </c>
      <c r="D40" s="23">
        <f t="shared" si="10"/>
        <v>0.36671521951269392</v>
      </c>
      <c r="E40" s="50">
        <f>[1]data!E40-[1]data!E2</f>
        <v>1.1544452643601866</v>
      </c>
      <c r="F40" s="36">
        <f>[1]data!F40-[1]data!F2</f>
        <v>-0.78773004484749265</v>
      </c>
      <c r="G40" s="36">
        <f>[1]data!G40-[1]data!G2</f>
        <v>0</v>
      </c>
      <c r="H40" s="25">
        <f t="shared" si="11"/>
        <v>-1.1041831494786933</v>
      </c>
      <c r="I40" s="36">
        <f>[1]data!I40-[1]data!I2</f>
        <v>-0.51176420691943925</v>
      </c>
      <c r="J40" s="36">
        <f>[1]data!J40-[1]data!J2</f>
        <v>-0.59241894255925409</v>
      </c>
      <c r="K40" s="36">
        <f>[1]data!K40-[1]data!K2</f>
        <v>0</v>
      </c>
      <c r="L40" s="25">
        <f t="shared" si="12"/>
        <v>2.4533165212039229E-2</v>
      </c>
      <c r="M40" s="25">
        <f t="shared" si="13"/>
        <v>2.4533165212039229E-2</v>
      </c>
      <c r="N40" s="25">
        <f t="shared" si="14"/>
        <v>2.9898941722940581E-2</v>
      </c>
      <c r="O40" s="25">
        <f t="shared" si="46"/>
        <v>2.9898941722940581E-2</v>
      </c>
      <c r="P40" s="24">
        <f t="shared" si="15"/>
        <v>7.723212697973221E-2</v>
      </c>
      <c r="Q40" s="37">
        <f t="shared" si="16"/>
        <v>9.4123968258795279E-2</v>
      </c>
      <c r="R40" s="37">
        <f t="shared" si="17"/>
        <v>-5.2698961767692981E-2</v>
      </c>
      <c r="S40" s="37">
        <f t="shared" si="0"/>
        <v>-6.4225026535854698E-2</v>
      </c>
      <c r="T40" s="37">
        <f t="shared" si="1"/>
        <v>0</v>
      </c>
      <c r="U40" s="37">
        <f t="shared" si="2"/>
        <v>0</v>
      </c>
      <c r="V40" s="25">
        <f t="shared" si="18"/>
        <v>-7.3869602866517753E-2</v>
      </c>
      <c r="W40" s="25">
        <f t="shared" si="19"/>
        <v>-9.0026008960268022E-2</v>
      </c>
      <c r="X40" s="37">
        <f t="shared" si="20"/>
        <v>-3.4236909650618486E-2</v>
      </c>
      <c r="Y40" s="37">
        <f t="shared" si="3"/>
        <v>-4.1725042715445748E-2</v>
      </c>
      <c r="Z40" s="37">
        <f t="shared" si="4"/>
        <v>-3.963269321589926E-2</v>
      </c>
      <c r="AA40" s="37">
        <f t="shared" si="5"/>
        <v>-4.8300966244822267E-2</v>
      </c>
      <c r="AB40" s="37">
        <f t="shared" si="6"/>
        <v>0</v>
      </c>
      <c r="AC40" s="37">
        <f t="shared" si="7"/>
        <v>0</v>
      </c>
      <c r="AD40" s="26">
        <v>1226.51571721458</v>
      </c>
      <c r="AE40" s="8">
        <v>1494.77336635199</v>
      </c>
      <c r="AF40" s="61">
        <f t="shared" si="21"/>
        <v>-0.73746792996599941</v>
      </c>
      <c r="AG40" s="61">
        <f>(D40)+(H40*-1)</f>
        <v>1.4708983689913873</v>
      </c>
      <c r="AH40" s="74">
        <f t="shared" si="23"/>
        <v>0.24931377125950244</v>
      </c>
      <c r="AI40" s="74">
        <f t="shared" si="49"/>
        <v>0.24931377125950244</v>
      </c>
      <c r="AJ40" s="74">
        <f>(($D40)/(AF40))*-1</f>
        <v>0.49726259897105102</v>
      </c>
      <c r="AK40" s="74">
        <f t="shared" si="47"/>
        <v>-0.49726259897105102</v>
      </c>
      <c r="AL40" s="74">
        <f t="shared" si="26"/>
        <v>-0.53554348924028561</v>
      </c>
      <c r="AM40" s="74">
        <f t="shared" si="48"/>
        <v>1.0681549838835847</v>
      </c>
      <c r="AN40" s="74">
        <f t="shared" si="28"/>
        <v>0.78485726049978799</v>
      </c>
      <c r="AO40" s="74">
        <f t="shared" si="29"/>
        <v>-1.5654175828546357</v>
      </c>
      <c r="AP40" s="74">
        <f t="shared" si="30"/>
        <v>0</v>
      </c>
      <c r="AQ40" s="74">
        <f t="shared" si="31"/>
        <v>0</v>
      </c>
      <c r="AR40" s="74">
        <f t="shared" si="32"/>
        <v>-2.1480702270668242</v>
      </c>
      <c r="AS40" s="74">
        <f t="shared" si="33"/>
        <v>3.1480702270668242</v>
      </c>
      <c r="AT40" s="74">
        <f t="shared" si="34"/>
        <v>-0.75068622874049762</v>
      </c>
      <c r="AU40" s="74">
        <f t="shared" si="35"/>
        <v>1.4972625989710511</v>
      </c>
      <c r="AV40" s="74">
        <f t="shared" si="36"/>
        <v>-0.3479262862126648</v>
      </c>
      <c r="AW40" s="74">
        <f t="shared" si="37"/>
        <v>0.69394774487757571</v>
      </c>
      <c r="AX40" s="74">
        <f t="shared" si="38"/>
        <v>-0.40275994252783276</v>
      </c>
      <c r="AY40" s="74">
        <f t="shared" si="39"/>
        <v>0.80331485409347536</v>
      </c>
      <c r="AZ40" s="74">
        <f t="shared" si="40"/>
        <v>0.46347764604183034</v>
      </c>
      <c r="BA40" s="74">
        <f t="shared" si="41"/>
        <v>0.53652235395816972</v>
      </c>
      <c r="BB40" s="74">
        <f t="shared" si="42"/>
        <v>-4.9336437654478519E-4</v>
      </c>
      <c r="BC40" s="74">
        <f t="shared" si="43"/>
        <v>-4.9336437654478519E-4</v>
      </c>
      <c r="BD40" s="74">
        <f t="shared" si="44"/>
        <v>-6.0127067237327435E-4</v>
      </c>
      <c r="BE40" s="75">
        <f t="shared" si="45"/>
        <v>9.8402768078556958E-4</v>
      </c>
    </row>
    <row r="41" spans="1:57" x14ac:dyDescent="0.35">
      <c r="A41" s="34" t="s">
        <v>28</v>
      </c>
      <c r="B41" s="35" t="s">
        <v>66</v>
      </c>
      <c r="C41" s="47">
        <f t="shared" si="9"/>
        <v>5.3194664340988354</v>
      </c>
      <c r="D41" s="23">
        <f t="shared" si="10"/>
        <v>5.3821266931310277</v>
      </c>
      <c r="E41" s="50">
        <f>[1]data!E41-[1]data!E3</f>
        <v>0.47940422310436759</v>
      </c>
      <c r="F41" s="36">
        <f>[1]data!F41-[1]data!F3</f>
        <v>4.9027224700266601</v>
      </c>
      <c r="G41" s="36">
        <f>[1]data!G41-[1]data!G3</f>
        <v>-6.26602590321923E-2</v>
      </c>
      <c r="H41" s="25">
        <f t="shared" si="11"/>
        <v>-1.3104260956735714</v>
      </c>
      <c r="I41" s="36">
        <f>[1]data!I41-[1]data!I3</f>
        <v>-0.10074472111954114</v>
      </c>
      <c r="J41" s="36">
        <f>[1]data!J41-[1]data!J3</f>
        <v>-1.2096813745540302</v>
      </c>
      <c r="K41" s="36">
        <f>[1]data!K41-[1]data!K3</f>
        <v>0</v>
      </c>
      <c r="L41" s="25">
        <f t="shared" si="12"/>
        <v>0.31353592333773589</v>
      </c>
      <c r="M41" s="25">
        <f t="shared" si="13"/>
        <v>0.31722919641608521</v>
      </c>
      <c r="N41" s="25">
        <f t="shared" si="14"/>
        <v>0.30864537282771898</v>
      </c>
      <c r="O41" s="25">
        <f t="shared" si="46"/>
        <v>0.31228103803024765</v>
      </c>
      <c r="P41" s="24">
        <f t="shared" si="15"/>
        <v>2.8256677169634543E-2</v>
      </c>
      <c r="Q41" s="37">
        <f t="shared" si="16"/>
        <v>2.7815927971034798E-2</v>
      </c>
      <c r="R41" s="37">
        <f t="shared" si="17"/>
        <v>0.28897251924645068</v>
      </c>
      <c r="S41" s="37">
        <f t="shared" si="0"/>
        <v>0.28446511005921288</v>
      </c>
      <c r="T41" s="37">
        <f t="shared" si="1"/>
        <v>-3.6932730783493261E-3</v>
      </c>
      <c r="U41" s="37">
        <f t="shared" si="2"/>
        <v>-3.6356652025286767E-3</v>
      </c>
      <c r="V41" s="25">
        <f t="shared" si="18"/>
        <v>-7.7238132990020775E-2</v>
      </c>
      <c r="W41" s="25">
        <f t="shared" si="19"/>
        <v>-7.6033368359971654E-2</v>
      </c>
      <c r="X41" s="37">
        <f t="shared" si="20"/>
        <v>-5.9380183236308294E-3</v>
      </c>
      <c r="Y41" s="37">
        <f t="shared" si="3"/>
        <v>-5.8453967884906886E-3</v>
      </c>
      <c r="Z41" s="37">
        <f t="shared" si="4"/>
        <v>-7.1300114666389941E-2</v>
      </c>
      <c r="AA41" s="37">
        <f t="shared" si="5"/>
        <v>-7.0187971571480962E-2</v>
      </c>
      <c r="AB41" s="37">
        <f t="shared" si="6"/>
        <v>0</v>
      </c>
      <c r="AC41" s="37">
        <f t="shared" si="7"/>
        <v>0</v>
      </c>
      <c r="AD41" s="26">
        <v>1723.48815255626</v>
      </c>
      <c r="AE41" s="8">
        <v>1696.60508992738</v>
      </c>
      <c r="AF41" s="61">
        <f>D41+(H41*-1)</f>
        <v>6.6925527888045995</v>
      </c>
      <c r="AG41" s="61">
        <f t="shared" si="22"/>
        <v>4.0717005974574558</v>
      </c>
      <c r="AH41" s="74">
        <f t="shared" si="23"/>
        <v>1.3218375379790592</v>
      </c>
      <c r="AI41" s="74">
        <f t="shared" si="49"/>
        <v>1.3218375379790592</v>
      </c>
      <c r="AJ41" s="74">
        <f t="shared" si="25"/>
        <v>0.80419637513122466</v>
      </c>
      <c r="AK41" s="74">
        <f t="shared" si="47"/>
        <v>0.80419637513122466</v>
      </c>
      <c r="AL41" s="74">
        <f t="shared" si="26"/>
        <v>1.2040969989512809</v>
      </c>
      <c r="AM41" s="74">
        <f>(F41/(AF41))</f>
        <v>0.73256388477473144</v>
      </c>
      <c r="AN41" s="74">
        <f t="shared" si="28"/>
        <v>0.11774053902777824</v>
      </c>
      <c r="AO41" s="74">
        <f t="shared" si="29"/>
        <v>7.1632490356493272E-2</v>
      </c>
      <c r="AP41" s="74">
        <f t="shared" si="30"/>
        <v>-1.5389210854874755E-2</v>
      </c>
      <c r="AQ41" s="74">
        <f t="shared" si="31"/>
        <v>-9.362684316365992E-3</v>
      </c>
      <c r="AR41" s="74">
        <f t="shared" si="32"/>
        <v>0.91092661870702329</v>
      </c>
      <c r="AS41" s="74">
        <f t="shared" si="33"/>
        <v>8.907338129297665E-2</v>
      </c>
      <c r="AT41" s="74">
        <f t="shared" si="34"/>
        <v>-0.32183753797905906</v>
      </c>
      <c r="AU41" s="74">
        <f t="shared" si="35"/>
        <v>-0.19580362486877526</v>
      </c>
      <c r="AV41" s="74">
        <f t="shared" si="36"/>
        <v>-2.4742664326166432E-2</v>
      </c>
      <c r="AW41" s="74">
        <f t="shared" si="37"/>
        <v>-1.5053257598216989E-2</v>
      </c>
      <c r="AX41" s="74">
        <f t="shared" si="38"/>
        <v>-0.29709487365289261</v>
      </c>
      <c r="AY41" s="74">
        <f t="shared" si="39"/>
        <v>-0.18075036727055827</v>
      </c>
      <c r="AZ41" s="74">
        <f t="shared" si="40"/>
        <v>7.687936118805494E-2</v>
      </c>
      <c r="BA41" s="74">
        <f t="shared" si="41"/>
        <v>0.92312063881194506</v>
      </c>
      <c r="BB41" s="74">
        <f t="shared" si="42"/>
        <v>3.9077405632775668E-3</v>
      </c>
      <c r="BC41" s="74">
        <f t="shared" si="43"/>
        <v>3.9446732940610603E-3</v>
      </c>
      <c r="BD41" s="74">
        <f t="shared" si="44"/>
        <v>3.8831440639021937E-3</v>
      </c>
      <c r="BE41" s="75">
        <f t="shared" si="45"/>
        <v>2.3999106342606443E-3</v>
      </c>
    </row>
    <row r="42" spans="1:57" x14ac:dyDescent="0.35">
      <c r="A42" s="34" t="s">
        <v>29</v>
      </c>
      <c r="B42" s="35" t="s">
        <v>66</v>
      </c>
      <c r="C42" s="47">
        <f t="shared" si="9"/>
        <v>58.271457544134329</v>
      </c>
      <c r="D42" s="23">
        <f t="shared" si="10"/>
        <v>46.119277635451212</v>
      </c>
      <c r="E42" s="50">
        <f>[1]data!E42-[1]data!E4</f>
        <v>3.2426565634137816</v>
      </c>
      <c r="F42" s="36">
        <f>[1]data!F42-[1]data!F4</f>
        <v>42.87662107203743</v>
      </c>
      <c r="G42" s="36">
        <f>[1]data!G42-[1]data!G4</f>
        <v>12.152179908683117</v>
      </c>
      <c r="H42" s="25">
        <f t="shared" si="11"/>
        <v>32.305560508499525</v>
      </c>
      <c r="I42" s="36">
        <f>[1]data!I42-[1]data!I4</f>
        <v>22.949473478961178</v>
      </c>
      <c r="J42" s="36">
        <f>[1]data!J42-[1]data!J4</f>
        <v>9.3560870295383438</v>
      </c>
      <c r="K42" s="36">
        <f>[1]data!K42-[1]data!K4</f>
        <v>0</v>
      </c>
      <c r="L42" s="25">
        <f t="shared" si="12"/>
        <v>2.226810589683716</v>
      </c>
      <c r="M42" s="25">
        <f t="shared" si="13"/>
        <v>1.7624219498783402</v>
      </c>
      <c r="N42" s="25">
        <f t="shared" si="14"/>
        <v>2.0044598735088184</v>
      </c>
      <c r="O42" s="25">
        <f t="shared" si="46"/>
        <v>1.5864412065797067</v>
      </c>
      <c r="P42" s="24">
        <f t="shared" si="15"/>
        <v>0.12391627528191231</v>
      </c>
      <c r="Q42" s="37">
        <f t="shared" si="16"/>
        <v>0.11154303047954568</v>
      </c>
      <c r="R42" s="37">
        <f t="shared" si="17"/>
        <v>1.6385056745964279</v>
      </c>
      <c r="S42" s="37">
        <f t="shared" si="0"/>
        <v>1.4748981761001609</v>
      </c>
      <c r="T42" s="37">
        <f t="shared" si="1"/>
        <v>0.46438863980537598</v>
      </c>
      <c r="U42" s="37">
        <f t="shared" si="2"/>
        <v>0.41801866692911172</v>
      </c>
      <c r="V42" s="25">
        <f t="shared" si="18"/>
        <v>1.2345386108028833</v>
      </c>
      <c r="W42" s="25">
        <f t="shared" si="19"/>
        <v>1.1112678909988369</v>
      </c>
      <c r="X42" s="37">
        <f t="shared" si="20"/>
        <v>0.87700106920974974</v>
      </c>
      <c r="Y42" s="37">
        <f t="shared" si="3"/>
        <v>0.78943106360247617</v>
      </c>
      <c r="Z42" s="37">
        <f t="shared" si="4"/>
        <v>0.35753754159313361</v>
      </c>
      <c r="AA42" s="37">
        <f t="shared" si="5"/>
        <v>0.32183682739636077</v>
      </c>
      <c r="AB42" s="37">
        <f t="shared" si="6"/>
        <v>0</v>
      </c>
      <c r="AC42" s="37">
        <f t="shared" si="7"/>
        <v>0</v>
      </c>
      <c r="AD42" s="26">
        <v>2907.0902498102801</v>
      </c>
      <c r="AE42" s="8">
        <v>2616.8124857180101</v>
      </c>
      <c r="AF42" s="61">
        <f t="shared" si="21"/>
        <v>78.424838143950737</v>
      </c>
      <c r="AG42" s="61">
        <f t="shared" si="22"/>
        <v>78.424838143950737</v>
      </c>
      <c r="AH42" s="74">
        <f t="shared" si="23"/>
        <v>0.58806978410077348</v>
      </c>
      <c r="AI42" s="74">
        <f t="shared" si="49"/>
        <v>0.58806978410077348</v>
      </c>
      <c r="AJ42" s="74">
        <f t="shared" si="25"/>
        <v>0.58806978410077348</v>
      </c>
      <c r="AK42" s="74">
        <f t="shared" si="47"/>
        <v>0.58806978410077348</v>
      </c>
      <c r="AL42" s="74">
        <f t="shared" si="26"/>
        <v>0.54672246812083092</v>
      </c>
      <c r="AM42" s="74">
        <f t="shared" si="48"/>
        <v>0.54672246812083092</v>
      </c>
      <c r="AN42" s="74">
        <f t="shared" si="28"/>
        <v>4.1347315979942539E-2</v>
      </c>
      <c r="AO42" s="74">
        <f t="shared" si="29"/>
        <v>4.1347315979942539E-2</v>
      </c>
      <c r="AP42" s="74">
        <f t="shared" si="30"/>
        <v>0.15495320355494377</v>
      </c>
      <c r="AQ42" s="74">
        <f t="shared" si="31"/>
        <v>0.15495320355494377</v>
      </c>
      <c r="AR42" s="74">
        <f t="shared" si="32"/>
        <v>0.92968977985636969</v>
      </c>
      <c r="AS42" s="74">
        <f t="shared" si="33"/>
        <v>7.0310220143630336E-2</v>
      </c>
      <c r="AT42" s="74">
        <f t="shared" si="34"/>
        <v>0.41193021589922657</v>
      </c>
      <c r="AU42" s="74">
        <f t="shared" si="35"/>
        <v>0.41193021589922657</v>
      </c>
      <c r="AV42" s="74">
        <f t="shared" si="36"/>
        <v>0.29263016694834421</v>
      </c>
      <c r="AW42" s="74">
        <f t="shared" si="37"/>
        <v>0.29263016694834421</v>
      </c>
      <c r="AX42" s="74">
        <f t="shared" si="38"/>
        <v>0.1193000489508823</v>
      </c>
      <c r="AY42" s="74">
        <f t="shared" si="39"/>
        <v>0.1193000489508823</v>
      </c>
      <c r="AZ42" s="74">
        <f t="shared" si="40"/>
        <v>0.71038772018591723</v>
      </c>
      <c r="BA42" s="74">
        <f t="shared" si="41"/>
        <v>0.28961227981408266</v>
      </c>
      <c r="BB42" s="74">
        <f t="shared" si="42"/>
        <v>3.4613492004865999E-2</v>
      </c>
      <c r="BC42" s="74">
        <f t="shared" si="43"/>
        <v>2.9969605606812236E-2</v>
      </c>
      <c r="BD42" s="74">
        <f t="shared" si="44"/>
        <v>2.6977090975785437E-2</v>
      </c>
      <c r="BE42" s="75">
        <f t="shared" si="45"/>
        <v>2.9969605606812236E-2</v>
      </c>
    </row>
    <row r="43" spans="1:57" x14ac:dyDescent="0.35">
      <c r="A43" s="34" t="s">
        <v>30</v>
      </c>
      <c r="B43" s="35" t="s">
        <v>66</v>
      </c>
      <c r="C43" s="47">
        <f t="shared" si="9"/>
        <v>171.35497123588817</v>
      </c>
      <c r="D43" s="23">
        <f t="shared" si="10"/>
        <v>171.35497123588817</v>
      </c>
      <c r="E43" s="50">
        <f>[1]data!E43-[1]data!E5</f>
        <v>13.935137619814569</v>
      </c>
      <c r="F43" s="36">
        <f>[1]data!F43-[1]data!F5</f>
        <v>157.41983361607362</v>
      </c>
      <c r="G43" s="36">
        <f>[1]data!G43-[1]data!G5</f>
        <v>0</v>
      </c>
      <c r="H43" s="25">
        <f t="shared" si="11"/>
        <v>42.688711835254736</v>
      </c>
      <c r="I43" s="36">
        <f>[1]data!I43-[1]data!I5</f>
        <v>-4.4335859146559358</v>
      </c>
      <c r="J43" s="36">
        <f>[1]data!J43-[1]data!J5</f>
        <v>47.122297749910672</v>
      </c>
      <c r="K43" s="36">
        <f>[1]data!K43-[1]data!K5</f>
        <v>0</v>
      </c>
      <c r="L43" s="25">
        <f t="shared" si="12"/>
        <v>4.7634099291125596</v>
      </c>
      <c r="M43" s="25">
        <f t="shared" si="13"/>
        <v>4.7634099291125596</v>
      </c>
      <c r="N43" s="25">
        <f t="shared" si="14"/>
        <v>4.1173434703459435</v>
      </c>
      <c r="O43" s="25">
        <f t="shared" si="46"/>
        <v>4.1173434703459435</v>
      </c>
      <c r="P43" s="24">
        <f t="shared" si="15"/>
        <v>0.38737582238216656</v>
      </c>
      <c r="Q43" s="37">
        <f t="shared" si="16"/>
        <v>0.33483561914484444</v>
      </c>
      <c r="R43" s="37">
        <f t="shared" si="17"/>
        <v>4.3760341067303932</v>
      </c>
      <c r="S43" s="37">
        <f t="shared" si="0"/>
        <v>3.7825078512010992</v>
      </c>
      <c r="T43" s="37">
        <f t="shared" si="1"/>
        <v>0</v>
      </c>
      <c r="U43" s="37">
        <f t="shared" si="2"/>
        <v>0</v>
      </c>
      <c r="V43" s="25">
        <f t="shared" si="18"/>
        <v>1.1866818473398886</v>
      </c>
      <c r="W43" s="25">
        <f t="shared" si="19"/>
        <v>1.025730900391608</v>
      </c>
      <c r="X43" s="37">
        <f t="shared" si="20"/>
        <v>-0.12324700599653546</v>
      </c>
      <c r="Y43" s="37">
        <f t="shared" si="3"/>
        <v>-0.10653088080413488</v>
      </c>
      <c r="Z43" s="37">
        <f t="shared" si="4"/>
        <v>1.3099288533364239</v>
      </c>
      <c r="AA43" s="37">
        <f t="shared" si="5"/>
        <v>1.1322617811957429</v>
      </c>
      <c r="AB43" s="37">
        <f t="shared" si="6"/>
        <v>0</v>
      </c>
      <c r="AC43" s="37">
        <f t="shared" si="7"/>
        <v>0</v>
      </c>
      <c r="AD43" s="26">
        <v>4161.7847155581303</v>
      </c>
      <c r="AE43" s="8">
        <v>3597.3173374942398</v>
      </c>
      <c r="AF43" s="61">
        <f t="shared" si="21"/>
        <v>214.04368307114291</v>
      </c>
      <c r="AG43" s="61">
        <f t="shared" si="22"/>
        <v>214.04368307114291</v>
      </c>
      <c r="AH43" s="74">
        <f t="shared" si="23"/>
        <v>0.80056074898941987</v>
      </c>
      <c r="AI43" s="74">
        <f t="shared" si="49"/>
        <v>0.80056074898941987</v>
      </c>
      <c r="AJ43" s="74">
        <f t="shared" si="25"/>
        <v>0.80056074898941987</v>
      </c>
      <c r="AK43" s="74">
        <f t="shared" si="47"/>
        <v>0.80056074898941987</v>
      </c>
      <c r="AL43" s="74">
        <f t="shared" si="26"/>
        <v>0.73545657296389866</v>
      </c>
      <c r="AM43" s="74">
        <f t="shared" si="48"/>
        <v>0.73545657296389866</v>
      </c>
      <c r="AN43" s="74">
        <f t="shared" si="28"/>
        <v>6.5104176025521238E-2</v>
      </c>
      <c r="AO43" s="74">
        <f t="shared" si="29"/>
        <v>6.5104176025521238E-2</v>
      </c>
      <c r="AP43" s="74">
        <f t="shared" si="30"/>
        <v>0</v>
      </c>
      <c r="AQ43" s="74">
        <f t="shared" si="31"/>
        <v>0</v>
      </c>
      <c r="AR43" s="74">
        <f t="shared" si="32"/>
        <v>0.9186767823582348</v>
      </c>
      <c r="AS43" s="74">
        <f t="shared" si="33"/>
        <v>8.1323217641765311E-2</v>
      </c>
      <c r="AT43" s="74">
        <f t="shared" si="34"/>
        <v>0.19943925101058016</v>
      </c>
      <c r="AU43" s="74">
        <f t="shared" si="35"/>
        <v>0.19943925101058016</v>
      </c>
      <c r="AV43" s="74">
        <f t="shared" si="36"/>
        <v>-2.0713463023257359E-2</v>
      </c>
      <c r="AW43" s="74">
        <f t="shared" si="37"/>
        <v>-2.0713463023257359E-2</v>
      </c>
      <c r="AX43" s="74">
        <f t="shared" si="38"/>
        <v>0.22015271403383752</v>
      </c>
      <c r="AY43" s="74">
        <f t="shared" si="39"/>
        <v>0.22015271403383752</v>
      </c>
      <c r="AZ43" s="74">
        <f t="shared" si="40"/>
        <v>-0.10385850788297696</v>
      </c>
      <c r="BA43" s="74">
        <f t="shared" si="41"/>
        <v>1.103858507882977</v>
      </c>
      <c r="BB43" s="74">
        <f t="shared" si="42"/>
        <v>5.9500917764524479E-2</v>
      </c>
      <c r="BC43" s="74">
        <f t="shared" si="43"/>
        <v>5.9500917764524479E-2</v>
      </c>
      <c r="BD43" s="74">
        <f t="shared" si="44"/>
        <v>5.1430743707375513E-2</v>
      </c>
      <c r="BE43" s="75">
        <f t="shared" si="45"/>
        <v>5.9500917764524479E-2</v>
      </c>
    </row>
    <row r="44" spans="1:57" x14ac:dyDescent="0.35">
      <c r="A44" s="34" t="s">
        <v>31</v>
      </c>
      <c r="B44" s="35" t="s">
        <v>66</v>
      </c>
      <c r="C44" s="47">
        <f t="shared" si="9"/>
        <v>45.755588366456813</v>
      </c>
      <c r="D44" s="23">
        <f t="shared" si="10"/>
        <v>38.105763873469755</v>
      </c>
      <c r="E44" s="50">
        <f>[1]data!E44-[1]data!E6</f>
        <v>3.4734084577736981</v>
      </c>
      <c r="F44" s="36">
        <f>[1]data!F44-[1]data!F6</f>
        <v>34.632355415696054</v>
      </c>
      <c r="G44" s="36">
        <f>[1]data!G44-[1]data!G6</f>
        <v>7.6498244929870598</v>
      </c>
      <c r="H44" s="25">
        <f t="shared" si="11"/>
        <v>3.6063458324081847</v>
      </c>
      <c r="I44" s="36">
        <f>[1]data!I44-[1]data!I6</f>
        <v>3.6063458324081847</v>
      </c>
      <c r="J44" s="36">
        <f>[1]data!J44-[1]data!J6</f>
        <v>0</v>
      </c>
      <c r="K44" s="36">
        <f>[1]data!K44-[1]data!K6</f>
        <v>0</v>
      </c>
      <c r="L44" s="25">
        <f t="shared" si="12"/>
        <v>2.3853925220663665</v>
      </c>
      <c r="M44" s="25">
        <f t="shared" si="13"/>
        <v>1.9865814742322869</v>
      </c>
      <c r="N44" s="25">
        <f t="shared" si="14"/>
        <v>1.9573245027390862</v>
      </c>
      <c r="O44" s="25">
        <f t="shared" si="46"/>
        <v>1.6300816575185897</v>
      </c>
      <c r="P44" s="24">
        <f t="shared" si="15"/>
        <v>0.18108045065221948</v>
      </c>
      <c r="Q44" s="37">
        <f t="shared" si="16"/>
        <v>0.1485848554273132</v>
      </c>
      <c r="R44" s="37">
        <f t="shared" si="17"/>
        <v>1.8055010235800675</v>
      </c>
      <c r="S44" s="37">
        <f t="shared" si="0"/>
        <v>1.4814968020912764</v>
      </c>
      <c r="T44" s="37">
        <f t="shared" si="1"/>
        <v>0.39881104783407961</v>
      </c>
      <c r="U44" s="37">
        <f t="shared" si="2"/>
        <v>0.32724284522049651</v>
      </c>
      <c r="V44" s="25">
        <f t="shared" si="18"/>
        <v>0.18801092255035179</v>
      </c>
      <c r="W44" s="25">
        <f t="shared" si="19"/>
        <v>0.15427162703251979</v>
      </c>
      <c r="X44" s="37">
        <f t="shared" si="20"/>
        <v>0.18801092255035179</v>
      </c>
      <c r="Y44" s="37">
        <f t="shared" si="3"/>
        <v>0.15427162703251979</v>
      </c>
      <c r="Z44" s="37">
        <f t="shared" si="4"/>
        <v>0</v>
      </c>
      <c r="AA44" s="37">
        <f t="shared" si="5"/>
        <v>0</v>
      </c>
      <c r="AB44" s="37">
        <f t="shared" si="6"/>
        <v>0</v>
      </c>
      <c r="AC44" s="37">
        <f t="shared" si="7"/>
        <v>0</v>
      </c>
      <c r="AD44" s="26">
        <v>2337.6598158571201</v>
      </c>
      <c r="AE44" s="8">
        <v>1918.15761738117</v>
      </c>
      <c r="AF44" s="61">
        <f t="shared" si="21"/>
        <v>41.712109705877943</v>
      </c>
      <c r="AG44" s="61">
        <f t="shared" si="22"/>
        <v>41.712109705877943</v>
      </c>
      <c r="AH44" s="74">
        <f t="shared" si="23"/>
        <v>0.9135419939715973</v>
      </c>
      <c r="AI44" s="74">
        <f t="shared" si="49"/>
        <v>0.9135419939715973</v>
      </c>
      <c r="AJ44" s="74">
        <f t="shared" si="25"/>
        <v>0.9135419939715973</v>
      </c>
      <c r="AK44" s="74">
        <f t="shared" si="47"/>
        <v>0.9135419939715973</v>
      </c>
      <c r="AL44" s="74">
        <f t="shared" si="26"/>
        <v>0.83027100906420392</v>
      </c>
      <c r="AM44" s="74">
        <f t="shared" si="48"/>
        <v>0.83027100906420392</v>
      </c>
      <c r="AN44" s="74">
        <f t="shared" si="28"/>
        <v>8.3270984907393361E-2</v>
      </c>
      <c r="AO44" s="74">
        <f t="shared" si="29"/>
        <v>8.3270984907393361E-2</v>
      </c>
      <c r="AP44" s="74">
        <f t="shared" si="30"/>
        <v>0.18339577036327823</v>
      </c>
      <c r="AQ44" s="74">
        <f t="shared" si="31"/>
        <v>0.18339577036327823</v>
      </c>
      <c r="AR44" s="74">
        <f t="shared" si="32"/>
        <v>0.90884821337509047</v>
      </c>
      <c r="AS44" s="74">
        <f t="shared" si="33"/>
        <v>9.1151786624909456E-2</v>
      </c>
      <c r="AT44" s="74">
        <f t="shared" si="34"/>
        <v>8.6458006028402576E-2</v>
      </c>
      <c r="AU44" s="74">
        <f t="shared" si="35"/>
        <v>8.6458006028402576E-2</v>
      </c>
      <c r="AV44" s="74">
        <f t="shared" si="36"/>
        <v>8.6458006028402576E-2</v>
      </c>
      <c r="AW44" s="74">
        <f t="shared" si="37"/>
        <v>8.6458006028402576E-2</v>
      </c>
      <c r="AX44" s="74">
        <f t="shared" si="38"/>
        <v>0</v>
      </c>
      <c r="AY44" s="74">
        <f t="shared" si="39"/>
        <v>0</v>
      </c>
      <c r="AZ44" s="74">
        <f t="shared" si="40"/>
        <v>1</v>
      </c>
      <c r="BA44" s="74">
        <f t="shared" si="41"/>
        <v>0</v>
      </c>
      <c r="BB44" s="74">
        <f t="shared" si="42"/>
        <v>2.5734034446167182E-2</v>
      </c>
      <c r="BC44" s="74">
        <f t="shared" si="43"/>
        <v>2.1745923967826389E-2</v>
      </c>
      <c r="BD44" s="74">
        <f t="shared" si="44"/>
        <v>1.7843532845511097E-2</v>
      </c>
      <c r="BE44" s="75">
        <f t="shared" si="45"/>
        <v>2.1745923967826389E-2</v>
      </c>
    </row>
    <row r="45" spans="1:57" x14ac:dyDescent="0.35">
      <c r="A45" s="34" t="s">
        <v>32</v>
      </c>
      <c r="B45" s="35" t="s">
        <v>66</v>
      </c>
      <c r="C45" s="47">
        <f t="shared" si="9"/>
        <v>297.79351515490202</v>
      </c>
      <c r="D45" s="23">
        <f t="shared" si="10"/>
        <v>54.106824187597169</v>
      </c>
      <c r="E45" s="50">
        <f>[1]data!E45-[1]data!E7</f>
        <v>26.236916652536532</v>
      </c>
      <c r="F45" s="36">
        <f>[1]data!F45-[1]data!F7</f>
        <v>27.869907535060634</v>
      </c>
      <c r="G45" s="36">
        <f>[1]data!G45-[1]data!G7</f>
        <v>243.68669096730486</v>
      </c>
      <c r="H45" s="25">
        <f t="shared" si="11"/>
        <v>128.1492710841033</v>
      </c>
      <c r="I45" s="36">
        <f>[1]data!I45-[1]data!I7</f>
        <v>0</v>
      </c>
      <c r="J45" s="36">
        <f>[1]data!J45-[1]data!J7</f>
        <v>128.1492710841033</v>
      </c>
      <c r="K45" s="36">
        <f>[1]data!K45-[1]data!K7</f>
        <v>1021.6095890552396</v>
      </c>
      <c r="L45" s="25">
        <f t="shared" si="12"/>
        <v>6.5243606132234993</v>
      </c>
      <c r="M45" s="25">
        <f t="shared" si="13"/>
        <v>1.1854268634847285</v>
      </c>
      <c r="N45" s="25">
        <f t="shared" si="14"/>
        <v>5.592521677428735</v>
      </c>
      <c r="O45" s="25">
        <f t="shared" si="46"/>
        <v>1.0161187929447144</v>
      </c>
      <c r="P45" s="24">
        <f t="shared" si="15"/>
        <v>0.57482482629346554</v>
      </c>
      <c r="Q45" s="37">
        <f t="shared" si="16"/>
        <v>0.49272572323100217</v>
      </c>
      <c r="R45" s="37">
        <f t="shared" si="17"/>
        <v>0.61060203719126294</v>
      </c>
      <c r="S45" s="37">
        <f t="shared" si="0"/>
        <v>0.52339306971371213</v>
      </c>
      <c r="T45" s="37">
        <f t="shared" si="1"/>
        <v>5.3389337497387706</v>
      </c>
      <c r="U45" s="37">
        <f t="shared" si="2"/>
        <v>4.5764028844840201</v>
      </c>
      <c r="V45" s="25">
        <f t="shared" si="18"/>
        <v>2.8076234515701861</v>
      </c>
      <c r="W45" s="25">
        <f t="shared" si="19"/>
        <v>2.4066258666235489</v>
      </c>
      <c r="X45" s="37">
        <f t="shared" si="20"/>
        <v>0</v>
      </c>
      <c r="Y45" s="37">
        <f t="shared" si="3"/>
        <v>0</v>
      </c>
      <c r="Z45" s="37">
        <f t="shared" si="4"/>
        <v>2.8076234515701861</v>
      </c>
      <c r="AA45" s="37">
        <f t="shared" si="5"/>
        <v>2.4066258666235489</v>
      </c>
      <c r="AB45" s="37">
        <f t="shared" si="6"/>
        <v>22.382453027750998</v>
      </c>
      <c r="AC45" s="37">
        <f t="shared" si="7"/>
        <v>19.185689015721469</v>
      </c>
      <c r="AD45" s="26">
        <v>5324.8522282316499</v>
      </c>
      <c r="AE45" s="8">
        <v>4564.3325500944502</v>
      </c>
      <c r="AF45" s="61">
        <f t="shared" si="21"/>
        <v>182.25609527170047</v>
      </c>
      <c r="AG45" s="61">
        <f t="shared" si="22"/>
        <v>182.25609527170047</v>
      </c>
      <c r="AH45" s="74">
        <f t="shared" si="23"/>
        <v>0.2968725084718663</v>
      </c>
      <c r="AI45" s="74">
        <f t="shared" si="49"/>
        <v>0.2968725084718663</v>
      </c>
      <c r="AJ45" s="74">
        <f t="shared" si="25"/>
        <v>0.2968725084718663</v>
      </c>
      <c r="AK45" s="74">
        <f t="shared" si="47"/>
        <v>0.2968725084718663</v>
      </c>
      <c r="AL45" s="74">
        <f t="shared" si="26"/>
        <v>0.15291618913218366</v>
      </c>
      <c r="AM45" s="74">
        <f t="shared" si="48"/>
        <v>0.15291618913218366</v>
      </c>
      <c r="AN45" s="74">
        <f t="shared" si="28"/>
        <v>0.14395631933968261</v>
      </c>
      <c r="AO45" s="74">
        <f t="shared" si="29"/>
        <v>0.14395631933968261</v>
      </c>
      <c r="AP45" s="74">
        <f t="shared" si="30"/>
        <v>1.3370564677358305</v>
      </c>
      <c r="AQ45" s="74">
        <f t="shared" si="31"/>
        <v>1.3370564677358305</v>
      </c>
      <c r="AR45" s="74">
        <f t="shared" si="32"/>
        <v>0.51509043366565233</v>
      </c>
      <c r="AS45" s="74">
        <f t="shared" si="33"/>
        <v>0.48490956633434756</v>
      </c>
      <c r="AT45" s="74">
        <f t="shared" si="34"/>
        <v>0.7031274915281337</v>
      </c>
      <c r="AU45" s="74">
        <f t="shared" si="35"/>
        <v>0.7031274915281337</v>
      </c>
      <c r="AV45" s="74">
        <f t="shared" si="36"/>
        <v>0</v>
      </c>
      <c r="AW45" s="74">
        <f t="shared" si="37"/>
        <v>0</v>
      </c>
      <c r="AX45" s="74">
        <f t="shared" si="38"/>
        <v>0.7031274915281337</v>
      </c>
      <c r="AY45" s="74">
        <f t="shared" si="39"/>
        <v>0.7031274915281337</v>
      </c>
      <c r="AZ45" s="74">
        <f t="shared" si="40"/>
        <v>0</v>
      </c>
      <c r="BA45" s="74">
        <f t="shared" si="41"/>
        <v>1</v>
      </c>
      <c r="BB45" s="74">
        <f t="shared" si="42"/>
        <v>9.3319840647936844E-2</v>
      </c>
      <c r="BC45" s="74">
        <f t="shared" si="43"/>
        <v>3.9930503150549149E-2</v>
      </c>
      <c r="BD45" s="74">
        <f t="shared" si="44"/>
        <v>3.4227446595682637E-2</v>
      </c>
      <c r="BE45" s="75">
        <f t="shared" si="45"/>
        <v>3.9930503150549149E-2</v>
      </c>
    </row>
    <row r="46" spans="1:57" x14ac:dyDescent="0.35">
      <c r="A46" s="34" t="s">
        <v>33</v>
      </c>
      <c r="B46" s="35" t="s">
        <v>66</v>
      </c>
      <c r="C46" s="47">
        <f t="shared" si="9"/>
        <v>36.886000912551282</v>
      </c>
      <c r="D46" s="23">
        <f t="shared" si="10"/>
        <v>23.759348551253893</v>
      </c>
      <c r="E46" s="50">
        <f>[1]data!E46-[1]data!E8</f>
        <v>1.2812909352111514</v>
      </c>
      <c r="F46" s="36">
        <f>[1]data!F46-[1]data!F8</f>
        <v>22.47805761604274</v>
      </c>
      <c r="G46" s="36">
        <f>[1]data!G46-[1]data!G8</f>
        <v>13.126652361297392</v>
      </c>
      <c r="H46" s="25">
        <f t="shared" si="11"/>
        <v>0</v>
      </c>
      <c r="I46" s="36">
        <f>[1]data!I46-[1]data!I8</f>
        <v>0</v>
      </c>
      <c r="J46" s="36">
        <f>[1]data!J46-[1]data!J8</f>
        <v>0</v>
      </c>
      <c r="K46" s="36">
        <f>[1]data!K46-[1]data!K8</f>
        <v>120.83690597305201</v>
      </c>
      <c r="L46" s="25">
        <f t="shared" si="12"/>
        <v>2.2516905875257454</v>
      </c>
      <c r="M46" s="25">
        <f t="shared" si="13"/>
        <v>1.4503795525417806</v>
      </c>
      <c r="N46" s="25">
        <f t="shared" si="14"/>
        <v>1.7104254149197098</v>
      </c>
      <c r="O46" s="25">
        <f t="shared" si="46"/>
        <v>1.1017348749826728</v>
      </c>
      <c r="P46" s="24">
        <f t="shared" si="15"/>
        <v>7.821587234509067E-2</v>
      </c>
      <c r="Q46" s="37">
        <f t="shared" si="16"/>
        <v>5.9414209328007471E-2</v>
      </c>
      <c r="R46" s="37">
        <f t="shared" si="17"/>
        <v>1.3721636801966899</v>
      </c>
      <c r="S46" s="37">
        <f t="shared" si="0"/>
        <v>1.0423206656546653</v>
      </c>
      <c r="T46" s="37">
        <f t="shared" si="1"/>
        <v>0.80131103498396472</v>
      </c>
      <c r="U46" s="37">
        <f t="shared" si="2"/>
        <v>0.60869053993703703</v>
      </c>
      <c r="V46" s="25">
        <f t="shared" si="18"/>
        <v>0</v>
      </c>
      <c r="W46" s="25">
        <f t="shared" si="19"/>
        <v>0</v>
      </c>
      <c r="X46" s="37">
        <f t="shared" si="20"/>
        <v>0</v>
      </c>
      <c r="Y46" s="37">
        <f t="shared" si="3"/>
        <v>0</v>
      </c>
      <c r="Z46" s="37">
        <f t="shared" si="4"/>
        <v>0</v>
      </c>
      <c r="AA46" s="37">
        <f t="shared" si="5"/>
        <v>0</v>
      </c>
      <c r="AB46" s="37">
        <f t="shared" si="6"/>
        <v>7.3764386779232263</v>
      </c>
      <c r="AC46" s="37">
        <f t="shared" si="7"/>
        <v>5.6032779353492641</v>
      </c>
      <c r="AD46" s="26">
        <v>2156.5395714307001</v>
      </c>
      <c r="AE46" s="8">
        <v>1638.14696019506</v>
      </c>
      <c r="AF46" s="61">
        <f t="shared" si="21"/>
        <v>23.759348551253893</v>
      </c>
      <c r="AG46" s="61">
        <f t="shared" si="22"/>
        <v>23.759348551253893</v>
      </c>
      <c r="AH46" s="74">
        <f t="shared" si="23"/>
        <v>1</v>
      </c>
      <c r="AI46" s="74">
        <f t="shared" si="49"/>
        <v>1</v>
      </c>
      <c r="AJ46" s="74">
        <f t="shared" si="25"/>
        <v>1</v>
      </c>
      <c r="AK46" s="74">
        <f t="shared" si="47"/>
        <v>1</v>
      </c>
      <c r="AL46" s="74">
        <f t="shared" si="26"/>
        <v>0.9460721352503777</v>
      </c>
      <c r="AM46" s="74">
        <f t="shared" si="48"/>
        <v>0.9460721352503777</v>
      </c>
      <c r="AN46" s="74">
        <f t="shared" si="28"/>
        <v>5.3927864749622169E-2</v>
      </c>
      <c r="AO46" s="74">
        <f t="shared" si="29"/>
        <v>5.3927864749622169E-2</v>
      </c>
      <c r="AP46" s="74">
        <f t="shared" si="30"/>
        <v>0.55248368165400041</v>
      </c>
      <c r="AQ46" s="74">
        <f t="shared" si="31"/>
        <v>0.55248368165400041</v>
      </c>
      <c r="AR46" s="74">
        <f t="shared" si="32"/>
        <v>0.9460721352503777</v>
      </c>
      <c r="AS46" s="74">
        <f t="shared" si="33"/>
        <v>5.3927864749622169E-2</v>
      </c>
      <c r="AT46" s="74">
        <f t="shared" si="34"/>
        <v>0</v>
      </c>
      <c r="AU46" s="74">
        <f t="shared" si="35"/>
        <v>0</v>
      </c>
      <c r="AV46" s="74">
        <f t="shared" si="36"/>
        <v>0</v>
      </c>
      <c r="AW46" s="74">
        <f t="shared" si="37"/>
        <v>0</v>
      </c>
      <c r="AX46" s="74">
        <f t="shared" si="38"/>
        <v>0</v>
      </c>
      <c r="AY46" s="74">
        <f t="shared" si="39"/>
        <v>0</v>
      </c>
      <c r="AZ46" s="74" t="e">
        <f t="shared" si="40"/>
        <v>#DIV/0!</v>
      </c>
      <c r="BA46" s="74" t="e">
        <f t="shared" si="41"/>
        <v>#DIV/0!</v>
      </c>
      <c r="BB46" s="74">
        <f t="shared" si="42"/>
        <v>2.251690587525745E-2</v>
      </c>
      <c r="BC46" s="74">
        <f t="shared" si="43"/>
        <v>1.4503795525417806E-2</v>
      </c>
      <c r="BD46" s="74">
        <f t="shared" si="44"/>
        <v>1.1017348749826728E-2</v>
      </c>
      <c r="BE46" s="75">
        <f t="shared" si="45"/>
        <v>1.4503795525417806E-2</v>
      </c>
    </row>
    <row r="47" spans="1:57" x14ac:dyDescent="0.35">
      <c r="A47" s="34" t="s">
        <v>34</v>
      </c>
      <c r="B47" s="35" t="s">
        <v>66</v>
      </c>
      <c r="C47" s="47">
        <f t="shared" si="9"/>
        <v>24.886187363532706</v>
      </c>
      <c r="D47" s="23">
        <f t="shared" si="10"/>
        <v>24.886187363532706</v>
      </c>
      <c r="E47" s="50">
        <f>[1]data!E47-[1]data!E9</f>
        <v>0.52057790283490757</v>
      </c>
      <c r="F47" s="36">
        <f>[1]data!F47-[1]data!F9</f>
        <v>24.365609460697797</v>
      </c>
      <c r="G47" s="36">
        <f>[1]data!G47-[1]data!G9</f>
        <v>0</v>
      </c>
      <c r="H47" s="25">
        <f t="shared" si="11"/>
        <v>0</v>
      </c>
      <c r="I47" s="36">
        <f>[1]data!I47-[1]data!I9</f>
        <v>0</v>
      </c>
      <c r="J47" s="36">
        <f>[1]data!J47-[1]data!J9</f>
        <v>0</v>
      </c>
      <c r="K47" s="36">
        <f>[1]data!K47-[1]data!K9</f>
        <v>0</v>
      </c>
      <c r="L47" s="25">
        <f t="shared" si="12"/>
        <v>1.8797371249607484</v>
      </c>
      <c r="M47" s="25">
        <f t="shared" si="13"/>
        <v>1.8797371249607484</v>
      </c>
      <c r="N47" s="25">
        <f t="shared" si="14"/>
        <v>1.385238169458487</v>
      </c>
      <c r="O47" s="25">
        <f t="shared" si="46"/>
        <v>1.385238169458487</v>
      </c>
      <c r="P47" s="24">
        <f t="shared" si="15"/>
        <v>3.9320993453055619E-2</v>
      </c>
      <c r="Q47" s="37">
        <f t="shared" si="16"/>
        <v>2.89768927095789E-2</v>
      </c>
      <c r="R47" s="37">
        <f t="shared" si="17"/>
        <v>1.8404161315076928</v>
      </c>
      <c r="S47" s="37">
        <f t="shared" si="0"/>
        <v>1.3562612767489082</v>
      </c>
      <c r="T47" s="37">
        <f t="shared" si="1"/>
        <v>0</v>
      </c>
      <c r="U47" s="37">
        <f t="shared" si="2"/>
        <v>0</v>
      </c>
      <c r="V47" s="25">
        <f t="shared" si="18"/>
        <v>0</v>
      </c>
      <c r="W47" s="25">
        <f t="shared" si="19"/>
        <v>0</v>
      </c>
      <c r="X47" s="37">
        <f t="shared" si="20"/>
        <v>0</v>
      </c>
      <c r="Y47" s="37">
        <f t="shared" si="3"/>
        <v>0</v>
      </c>
      <c r="Z47" s="37">
        <f t="shared" si="4"/>
        <v>0</v>
      </c>
      <c r="AA47" s="37">
        <f t="shared" si="5"/>
        <v>0</v>
      </c>
      <c r="AB47" s="37">
        <f t="shared" si="6"/>
        <v>0</v>
      </c>
      <c r="AC47" s="37">
        <f t="shared" si="7"/>
        <v>0</v>
      </c>
      <c r="AD47" s="26">
        <v>1796.5276955414199</v>
      </c>
      <c r="AE47" s="8">
        <v>1323.9184901480501</v>
      </c>
      <c r="AF47" s="61">
        <f t="shared" si="21"/>
        <v>24.886187363532706</v>
      </c>
      <c r="AG47" s="61">
        <f t="shared" si="22"/>
        <v>24.886187363532706</v>
      </c>
      <c r="AH47" s="74">
        <f t="shared" si="23"/>
        <v>1</v>
      </c>
      <c r="AI47" s="74">
        <f t="shared" si="49"/>
        <v>1</v>
      </c>
      <c r="AJ47" s="74">
        <f t="shared" si="25"/>
        <v>1</v>
      </c>
      <c r="AK47" s="74">
        <f t="shared" si="47"/>
        <v>1</v>
      </c>
      <c r="AL47" s="74">
        <f t="shared" si="26"/>
        <v>0.97908165299768879</v>
      </c>
      <c r="AM47" s="74">
        <f t="shared" si="48"/>
        <v>0.97908165299768879</v>
      </c>
      <c r="AN47" s="74">
        <f t="shared" si="28"/>
        <v>2.0918347002311134E-2</v>
      </c>
      <c r="AO47" s="74">
        <f t="shared" si="29"/>
        <v>2.0918347002311134E-2</v>
      </c>
      <c r="AP47" s="74">
        <f t="shared" si="30"/>
        <v>0</v>
      </c>
      <c r="AQ47" s="74">
        <f t="shared" si="31"/>
        <v>0</v>
      </c>
      <c r="AR47" s="74">
        <f t="shared" si="32"/>
        <v>0.97908165299768879</v>
      </c>
      <c r="AS47" s="74">
        <f t="shared" si="33"/>
        <v>2.0918347002311134E-2</v>
      </c>
      <c r="AT47" s="74">
        <f t="shared" si="34"/>
        <v>0</v>
      </c>
      <c r="AU47" s="74">
        <f t="shared" si="35"/>
        <v>0</v>
      </c>
      <c r="AV47" s="74">
        <f t="shared" si="36"/>
        <v>0</v>
      </c>
      <c r="AW47" s="74">
        <f t="shared" si="37"/>
        <v>0</v>
      </c>
      <c r="AX47" s="74">
        <f t="shared" si="38"/>
        <v>0</v>
      </c>
      <c r="AY47" s="74">
        <f t="shared" si="39"/>
        <v>0</v>
      </c>
      <c r="AZ47" s="74" t="e">
        <f t="shared" si="40"/>
        <v>#DIV/0!</v>
      </c>
      <c r="BA47" s="74" t="e">
        <f t="shared" si="41"/>
        <v>#DIV/0!</v>
      </c>
      <c r="BB47" s="74">
        <f t="shared" si="42"/>
        <v>1.8797371249607484E-2</v>
      </c>
      <c r="BC47" s="74">
        <f t="shared" si="43"/>
        <v>1.8797371249607484E-2</v>
      </c>
      <c r="BD47" s="74">
        <f t="shared" si="44"/>
        <v>1.3852381694584869E-2</v>
      </c>
      <c r="BE47" s="75">
        <f t="shared" si="45"/>
        <v>1.8797371249607484E-2</v>
      </c>
    </row>
    <row r="48" spans="1:57" x14ac:dyDescent="0.35">
      <c r="A48" s="34" t="s">
        <v>35</v>
      </c>
      <c r="B48" s="35" t="s">
        <v>66</v>
      </c>
      <c r="C48" s="47">
        <f t="shared" si="9"/>
        <v>71.618784378598789</v>
      </c>
      <c r="D48" s="23">
        <f t="shared" si="10"/>
        <v>71.618784378598789</v>
      </c>
      <c r="E48" s="50">
        <f>[1]data!E48-[1]data!E10</f>
        <v>1.8120430642510197</v>
      </c>
      <c r="F48" s="36">
        <f>[1]data!F48-[1]data!F10</f>
        <v>69.806741314347775</v>
      </c>
      <c r="G48" s="36">
        <f>[1]data!G48-[1]data!G10</f>
        <v>0</v>
      </c>
      <c r="H48" s="25">
        <f t="shared" si="11"/>
        <v>0</v>
      </c>
      <c r="I48" s="36">
        <f>[1]data!I48-[1]data!I10</f>
        <v>0</v>
      </c>
      <c r="J48" s="36">
        <f>[1]data!J48-[1]data!J10</f>
        <v>0</v>
      </c>
      <c r="K48" s="36">
        <f>[1]data!K48-[1]data!K10</f>
        <v>0</v>
      </c>
      <c r="L48" s="25">
        <f t="shared" si="12"/>
        <v>2.2682920394272243</v>
      </c>
      <c r="M48" s="25">
        <f t="shared" si="13"/>
        <v>2.2682920394272243</v>
      </c>
      <c r="N48" s="25">
        <f t="shared" si="14"/>
        <v>2.434366699665794</v>
      </c>
      <c r="O48" s="25">
        <f t="shared" si="46"/>
        <v>2.434366699665794</v>
      </c>
      <c r="P48" s="24">
        <f t="shared" si="15"/>
        <v>5.7390569993647216E-2</v>
      </c>
      <c r="Q48" s="37">
        <f t="shared" si="16"/>
        <v>6.1592462539635059E-2</v>
      </c>
      <c r="R48" s="37">
        <f t="shared" si="17"/>
        <v>2.2109014694335771</v>
      </c>
      <c r="S48" s="37">
        <f t="shared" si="0"/>
        <v>2.3727742371261589</v>
      </c>
      <c r="T48" s="37">
        <f t="shared" si="1"/>
        <v>0</v>
      </c>
      <c r="U48" s="37">
        <f t="shared" si="2"/>
        <v>0</v>
      </c>
      <c r="V48" s="25">
        <f t="shared" si="18"/>
        <v>0</v>
      </c>
      <c r="W48" s="25">
        <f t="shared" si="19"/>
        <v>0</v>
      </c>
      <c r="X48" s="37">
        <f t="shared" si="20"/>
        <v>0</v>
      </c>
      <c r="Y48" s="37">
        <f t="shared" si="3"/>
        <v>0</v>
      </c>
      <c r="Z48" s="37">
        <f t="shared" si="4"/>
        <v>0</v>
      </c>
      <c r="AA48" s="37">
        <f t="shared" si="5"/>
        <v>0</v>
      </c>
      <c r="AB48" s="37">
        <f t="shared" si="6"/>
        <v>0</v>
      </c>
      <c r="AC48" s="37">
        <f t="shared" si="7"/>
        <v>0</v>
      </c>
      <c r="AD48" s="26">
        <v>2941.9883367789698</v>
      </c>
      <c r="AE48" s="8">
        <v>3157.38816403392</v>
      </c>
      <c r="AF48" s="61">
        <f t="shared" si="21"/>
        <v>71.618784378598789</v>
      </c>
      <c r="AG48" s="61">
        <f t="shared" si="22"/>
        <v>71.618784378598789</v>
      </c>
      <c r="AH48" s="74">
        <f t="shared" si="23"/>
        <v>1</v>
      </c>
      <c r="AI48" s="74">
        <f t="shared" si="49"/>
        <v>1</v>
      </c>
      <c r="AJ48" s="74">
        <f t="shared" si="25"/>
        <v>1</v>
      </c>
      <c r="AK48" s="74">
        <f t="shared" si="47"/>
        <v>1</v>
      </c>
      <c r="AL48" s="74">
        <f t="shared" si="26"/>
        <v>0.97469877379275249</v>
      </c>
      <c r="AM48" s="74">
        <f t="shared" si="48"/>
        <v>0.97469877379275249</v>
      </c>
      <c r="AN48" s="74">
        <f t="shared" si="28"/>
        <v>2.5301226207247614E-2</v>
      </c>
      <c r="AO48" s="74">
        <f t="shared" si="29"/>
        <v>2.5301226207247614E-2</v>
      </c>
      <c r="AP48" s="74">
        <f t="shared" si="30"/>
        <v>0</v>
      </c>
      <c r="AQ48" s="74">
        <f t="shared" si="31"/>
        <v>0</v>
      </c>
      <c r="AR48" s="74">
        <f t="shared" si="32"/>
        <v>0.97469877379275249</v>
      </c>
      <c r="AS48" s="74">
        <f t="shared" si="33"/>
        <v>2.5301226207247614E-2</v>
      </c>
      <c r="AT48" s="74">
        <f t="shared" si="34"/>
        <v>0</v>
      </c>
      <c r="AU48" s="74">
        <f t="shared" si="35"/>
        <v>0</v>
      </c>
      <c r="AV48" s="74">
        <f t="shared" si="36"/>
        <v>0</v>
      </c>
      <c r="AW48" s="74">
        <f t="shared" si="37"/>
        <v>0</v>
      </c>
      <c r="AX48" s="74">
        <f t="shared" si="38"/>
        <v>0</v>
      </c>
      <c r="AY48" s="74">
        <f t="shared" si="39"/>
        <v>0</v>
      </c>
      <c r="AZ48" s="74" t="e">
        <f t="shared" si="40"/>
        <v>#DIV/0!</v>
      </c>
      <c r="BA48" s="74" t="e">
        <f t="shared" si="41"/>
        <v>#DIV/0!</v>
      </c>
      <c r="BB48" s="74">
        <f t="shared" si="42"/>
        <v>2.2682920394272239E-2</v>
      </c>
      <c r="BC48" s="74">
        <f t="shared" si="43"/>
        <v>2.2682920394272239E-2</v>
      </c>
      <c r="BD48" s="74">
        <f t="shared" si="44"/>
        <v>2.434366699665794E-2</v>
      </c>
      <c r="BE48" s="75">
        <f t="shared" si="45"/>
        <v>2.2682920394272239E-2</v>
      </c>
    </row>
    <row r="49" spans="1:57" x14ac:dyDescent="0.35">
      <c r="A49" s="34" t="s">
        <v>36</v>
      </c>
      <c r="B49" s="35" t="s">
        <v>66</v>
      </c>
      <c r="C49" s="47">
        <f t="shared" si="9"/>
        <v>1048</v>
      </c>
      <c r="D49" s="23">
        <f t="shared" si="10"/>
        <v>1048</v>
      </c>
      <c r="E49" s="50">
        <f>[1]data!E49-[1]data!E11</f>
        <v>294.55</v>
      </c>
      <c r="F49" s="36">
        <f>[1]data!F49-[1]data!F11</f>
        <v>753.45</v>
      </c>
      <c r="G49" s="36">
        <f>[1]data!G49-[1]data!G11</f>
        <v>0</v>
      </c>
      <c r="H49" s="25">
        <f t="shared" si="11"/>
        <v>0</v>
      </c>
      <c r="I49" s="36">
        <f>[1]data!I49-[1]data!I11</f>
        <v>0</v>
      </c>
      <c r="J49" s="36">
        <f>[1]data!J49-[1]data!J11</f>
        <v>0</v>
      </c>
      <c r="K49" s="36">
        <f>[1]data!K49-[1]data!K11</f>
        <v>0</v>
      </c>
      <c r="L49" s="25">
        <f t="shared" si="12"/>
        <v>5.2586748171464448</v>
      </c>
      <c r="M49" s="25">
        <f t="shared" si="13"/>
        <v>5.2586748171464448</v>
      </c>
      <c r="N49" s="25">
        <f t="shared" si="14"/>
        <v>5.2467646833064396</v>
      </c>
      <c r="O49" s="25">
        <f t="shared" si="46"/>
        <v>5.2467646833064396</v>
      </c>
      <c r="P49" s="24">
        <f t="shared" si="15"/>
        <v>1.4779987284260356</v>
      </c>
      <c r="Q49" s="37">
        <f t="shared" si="16"/>
        <v>1.4746512762098396</v>
      </c>
      <c r="R49" s="37">
        <f t="shared" si="17"/>
        <v>3.7806760887204089</v>
      </c>
      <c r="S49" s="37">
        <f t="shared" si="0"/>
        <v>3.7721134070966</v>
      </c>
      <c r="T49" s="37">
        <f t="shared" si="1"/>
        <v>0</v>
      </c>
      <c r="U49" s="37">
        <f t="shared" si="2"/>
        <v>0</v>
      </c>
      <c r="V49" s="25">
        <f t="shared" si="18"/>
        <v>0</v>
      </c>
      <c r="W49" s="25">
        <f t="shared" si="19"/>
        <v>0</v>
      </c>
      <c r="X49" s="37">
        <f t="shared" si="20"/>
        <v>0</v>
      </c>
      <c r="Y49" s="37">
        <f t="shared" si="3"/>
        <v>0</v>
      </c>
      <c r="Z49" s="37">
        <f t="shared" si="4"/>
        <v>0</v>
      </c>
      <c r="AA49" s="37">
        <f t="shared" si="5"/>
        <v>0</v>
      </c>
      <c r="AB49" s="37">
        <f t="shared" si="6"/>
        <v>0</v>
      </c>
      <c r="AC49" s="37">
        <f t="shared" si="7"/>
        <v>0</v>
      </c>
      <c r="AD49" s="26">
        <v>19974.2138871676</v>
      </c>
      <c r="AE49" s="8">
        <v>19928.975197</v>
      </c>
      <c r="AF49" s="61">
        <f t="shared" si="21"/>
        <v>1048</v>
      </c>
      <c r="AG49" s="61">
        <f t="shared" si="22"/>
        <v>1048</v>
      </c>
      <c r="AH49" s="74">
        <f t="shared" si="23"/>
        <v>1</v>
      </c>
      <c r="AI49" s="74">
        <f t="shared" si="49"/>
        <v>1</v>
      </c>
      <c r="AJ49" s="74">
        <f t="shared" si="25"/>
        <v>1</v>
      </c>
      <c r="AK49" s="74">
        <f t="shared" si="47"/>
        <v>1</v>
      </c>
      <c r="AL49" s="74">
        <f t="shared" si="26"/>
        <v>0.7189408396946565</v>
      </c>
      <c r="AM49" s="74">
        <f t="shared" si="48"/>
        <v>0.7189408396946565</v>
      </c>
      <c r="AN49" s="74">
        <f t="shared" si="28"/>
        <v>0.2810591603053435</v>
      </c>
      <c r="AO49" s="74">
        <f t="shared" si="29"/>
        <v>0.2810591603053435</v>
      </c>
      <c r="AP49" s="74">
        <f t="shared" si="30"/>
        <v>0</v>
      </c>
      <c r="AQ49" s="74">
        <f t="shared" si="31"/>
        <v>0</v>
      </c>
      <c r="AR49" s="74">
        <f t="shared" si="32"/>
        <v>0.7189408396946565</v>
      </c>
      <c r="AS49" s="74">
        <f t="shared" si="33"/>
        <v>0.2810591603053435</v>
      </c>
      <c r="AT49" s="74">
        <f t="shared" si="34"/>
        <v>0</v>
      </c>
      <c r="AU49" s="74">
        <f t="shared" si="35"/>
        <v>0</v>
      </c>
      <c r="AV49" s="74">
        <f t="shared" si="36"/>
        <v>0</v>
      </c>
      <c r="AW49" s="74">
        <f t="shared" si="37"/>
        <v>0</v>
      </c>
      <c r="AX49" s="74">
        <f t="shared" si="38"/>
        <v>0</v>
      </c>
      <c r="AY49" s="74">
        <f t="shared" si="39"/>
        <v>0</v>
      </c>
      <c r="AZ49" s="74" t="e">
        <f t="shared" si="40"/>
        <v>#DIV/0!</v>
      </c>
      <c r="BA49" s="74" t="e">
        <f t="shared" si="41"/>
        <v>#DIV/0!</v>
      </c>
      <c r="BB49" s="74">
        <f t="shared" si="42"/>
        <v>5.2586748171464442E-2</v>
      </c>
      <c r="BC49" s="74">
        <f t="shared" si="43"/>
        <v>5.2586748171464442E-2</v>
      </c>
      <c r="BD49" s="74">
        <f t="shared" si="44"/>
        <v>5.2467646833064395E-2</v>
      </c>
      <c r="BE49" s="75">
        <f t="shared" si="45"/>
        <v>5.2586748171464442E-2</v>
      </c>
    </row>
    <row r="50" spans="1:57" x14ac:dyDescent="0.35">
      <c r="A50" s="34" t="s">
        <v>37</v>
      </c>
      <c r="B50" s="35" t="s">
        <v>66</v>
      </c>
      <c r="C50" s="47">
        <f t="shared" si="9"/>
        <v>7.1567951026174796</v>
      </c>
      <c r="D50" s="23">
        <f t="shared" si="10"/>
        <v>4.9963816139161317</v>
      </c>
      <c r="E50" s="50">
        <f>[1]data!E50-[1]data!E12</f>
        <v>4.2542129426514919E-4</v>
      </c>
      <c r="F50" s="36">
        <f>[1]data!F50-[1]data!F12</f>
        <v>4.9959561926218665</v>
      </c>
      <c r="G50" s="36">
        <f>[1]data!G50-[1]data!G12</f>
        <v>2.1604134887013475</v>
      </c>
      <c r="H50" s="25">
        <f t="shared" si="11"/>
        <v>-1.5306958497704479</v>
      </c>
      <c r="I50" s="36">
        <f>[1]data!I50-[1]data!I12</f>
        <v>-1.5306958497704479</v>
      </c>
      <c r="J50" s="36">
        <f>[1]data!J50-[1]data!J12</f>
        <v>0</v>
      </c>
      <c r="K50" s="36">
        <f>[1]data!K50-[1]data!K12</f>
        <v>3.026441309603181</v>
      </c>
      <c r="L50" s="25">
        <f t="shared" si="12"/>
        <v>0.55949557754856016</v>
      </c>
      <c r="M50" s="25">
        <f t="shared" si="13"/>
        <v>0.39060129242887259</v>
      </c>
      <c r="N50" s="25">
        <f t="shared" si="14"/>
        <v>0.30049513313121362</v>
      </c>
      <c r="O50" s="25">
        <f t="shared" si="46"/>
        <v>0.2097850136437423</v>
      </c>
      <c r="P50" s="24">
        <f t="shared" si="15"/>
        <v>3.3258089595059561E-5</v>
      </c>
      <c r="Q50" s="37">
        <f t="shared" si="16"/>
        <v>1.7862328964860953E-5</v>
      </c>
      <c r="R50" s="37">
        <f t="shared" si="17"/>
        <v>0.39056803433927756</v>
      </c>
      <c r="S50" s="37">
        <f t="shared" si="0"/>
        <v>0.20976715131477744</v>
      </c>
      <c r="T50" s="37">
        <f t="shared" si="1"/>
        <v>0.16889428511968757</v>
      </c>
      <c r="U50" s="37">
        <f t="shared" si="2"/>
        <v>9.0710119487471319E-2</v>
      </c>
      <c r="V50" s="25">
        <f t="shared" si="18"/>
        <v>-0.11966495424820536</v>
      </c>
      <c r="W50" s="25">
        <f t="shared" si="19"/>
        <v>-6.4269920622981327E-2</v>
      </c>
      <c r="X50" s="37">
        <f t="shared" si="20"/>
        <v>-0.11966495424820536</v>
      </c>
      <c r="Y50" s="37">
        <f t="shared" si="3"/>
        <v>-6.4269920622981327E-2</v>
      </c>
      <c r="Z50" s="37">
        <f t="shared" si="4"/>
        <v>0</v>
      </c>
      <c r="AA50" s="37">
        <f t="shared" si="5"/>
        <v>0</v>
      </c>
      <c r="AB50" s="37">
        <f t="shared" si="6"/>
        <v>0.23659759768921751</v>
      </c>
      <c r="AC50" s="37">
        <f t="shared" si="7"/>
        <v>0.12707236566132835</v>
      </c>
      <c r="AD50" s="26">
        <v>2381.6675591522499</v>
      </c>
      <c r="AE50" s="8">
        <v>1279.1513266244399</v>
      </c>
      <c r="AF50" s="61">
        <f t="shared" si="21"/>
        <v>3.4656857641456837</v>
      </c>
      <c r="AG50" s="61">
        <f>(D50)+(H50*-1)</f>
        <v>6.5270774636865792</v>
      </c>
      <c r="AH50" s="74">
        <f t="shared" si="23"/>
        <v>0.76548526376675019</v>
      </c>
      <c r="AI50" s="74">
        <f t="shared" si="49"/>
        <v>0.76548526376675019</v>
      </c>
      <c r="AJ50" s="74">
        <f t="shared" si="25"/>
        <v>1.4416718519625438</v>
      </c>
      <c r="AK50" s="74">
        <f t="shared" si="47"/>
        <v>1.4416718519625438</v>
      </c>
      <c r="AL50" s="74">
        <f t="shared" si="26"/>
        <v>0.7654200858526482</v>
      </c>
      <c r="AM50" s="74">
        <f t="shared" si="48"/>
        <v>1.4415490995483848</v>
      </c>
      <c r="AN50" s="74">
        <f t="shared" si="28"/>
        <v>6.5177914101982424E-5</v>
      </c>
      <c r="AO50" s="74">
        <f t="shared" si="29"/>
        <v>1.2275241415893879E-4</v>
      </c>
      <c r="AP50" s="74">
        <f t="shared" si="30"/>
        <v>0.3309924695579019</v>
      </c>
      <c r="AQ50" s="74">
        <f t="shared" si="31"/>
        <v>0.62337258358849068</v>
      </c>
      <c r="AR50" s="74">
        <f t="shared" si="32"/>
        <v>0.99991485412301573</v>
      </c>
      <c r="AS50" s="74">
        <f t="shared" si="33"/>
        <v>8.5145876984305595E-5</v>
      </c>
      <c r="AT50" s="74">
        <f t="shared" si="34"/>
        <v>-0.23451473623324992</v>
      </c>
      <c r="AU50" s="74">
        <f t="shared" si="35"/>
        <v>-0.44167185196254383</v>
      </c>
      <c r="AV50" s="74">
        <f t="shared" si="36"/>
        <v>-0.23451473623324992</v>
      </c>
      <c r="AW50" s="74">
        <f t="shared" si="37"/>
        <v>-0.44167185196254383</v>
      </c>
      <c r="AX50" s="74">
        <f t="shared" si="38"/>
        <v>0</v>
      </c>
      <c r="AY50" s="74">
        <f t="shared" si="39"/>
        <v>0</v>
      </c>
      <c r="AZ50" s="74">
        <f t="shared" si="40"/>
        <v>1</v>
      </c>
      <c r="BA50" s="74">
        <f t="shared" si="41"/>
        <v>0</v>
      </c>
      <c r="BB50" s="74">
        <f t="shared" si="42"/>
        <v>4.3983062330035481E-3</v>
      </c>
      <c r="BC50" s="74">
        <f t="shared" si="43"/>
        <v>2.7093633818066724E-3</v>
      </c>
      <c r="BD50" s="74">
        <f t="shared" si="44"/>
        <v>1.4551509302076098E-3</v>
      </c>
      <c r="BE50" s="75">
        <f t="shared" si="45"/>
        <v>5.1026624667707791E-3</v>
      </c>
    </row>
    <row r="51" spans="1:57" x14ac:dyDescent="0.35">
      <c r="A51" s="34" t="s">
        <v>38</v>
      </c>
      <c r="B51" s="35" t="s">
        <v>66</v>
      </c>
      <c r="C51" s="47">
        <f t="shared" si="9"/>
        <v>11.563909774436091</v>
      </c>
      <c r="D51" s="23">
        <f t="shared" si="10"/>
        <v>1.6541353383458646</v>
      </c>
      <c r="E51" s="50">
        <f>[1]data!E51-[1]data!E13</f>
        <v>0</v>
      </c>
      <c r="F51" s="36">
        <f>[1]data!F51-[1]data!F13</f>
        <v>1.6541353383458646</v>
      </c>
      <c r="G51" s="36">
        <f>[1]data!G51-[1]data!G13</f>
        <v>9.9097744360902258</v>
      </c>
      <c r="H51" s="25">
        <f t="shared" si="11"/>
        <v>44.019548872180451</v>
      </c>
      <c r="I51" s="36">
        <f>[1]data!I51-[1]data!I13</f>
        <v>3.007518796992481</v>
      </c>
      <c r="J51" s="36">
        <f>[1]data!J51-[1]data!J13</f>
        <v>41.012030075187972</v>
      </c>
      <c r="K51" s="36">
        <f>[1]data!K51-[1]data!K13</f>
        <v>15.473684210526315</v>
      </c>
      <c r="L51" s="25">
        <f t="shared" si="12"/>
        <v>1.1598082929248656</v>
      </c>
      <c r="M51" s="25">
        <f t="shared" si="13"/>
        <v>0.16590235659523436</v>
      </c>
      <c r="N51" s="25">
        <f t="shared" si="14"/>
        <v>0.49550055683283234</v>
      </c>
      <c r="O51" s="25">
        <f t="shared" si="46"/>
        <v>7.0877842979989017E-2</v>
      </c>
      <c r="P51" s="24">
        <f t="shared" si="15"/>
        <v>0</v>
      </c>
      <c r="Q51" s="37">
        <f t="shared" si="16"/>
        <v>0</v>
      </c>
      <c r="R51" s="37">
        <f t="shared" si="17"/>
        <v>0.16590235659523436</v>
      </c>
      <c r="S51" s="37">
        <f t="shared" si="0"/>
        <v>7.0877842979989017E-2</v>
      </c>
      <c r="T51" s="37">
        <f t="shared" si="1"/>
        <v>0.99390593632963131</v>
      </c>
      <c r="U51" s="37">
        <f t="shared" si="2"/>
        <v>0.42462271385284334</v>
      </c>
      <c r="V51" s="25">
        <f t="shared" si="18"/>
        <v>4.4149633496475413</v>
      </c>
      <c r="W51" s="25">
        <f t="shared" si="19"/>
        <v>1.8861882705029263</v>
      </c>
      <c r="X51" s="37">
        <f t="shared" si="20"/>
        <v>0.30164064835497151</v>
      </c>
      <c r="Y51" s="37">
        <f t="shared" si="3"/>
        <v>0.12886880541816187</v>
      </c>
      <c r="Z51" s="37">
        <f t="shared" si="4"/>
        <v>4.1133227012925699</v>
      </c>
      <c r="AA51" s="37">
        <f t="shared" si="5"/>
        <v>1.7573194650847643</v>
      </c>
      <c r="AB51" s="37">
        <f t="shared" si="6"/>
        <v>1.5519411357863286</v>
      </c>
      <c r="AC51" s="37">
        <f t="shared" si="7"/>
        <v>0.66303000387644273</v>
      </c>
      <c r="AD51" s="26">
        <v>2333.7834064911899</v>
      </c>
      <c r="AE51" s="8">
        <v>997.05355143423003</v>
      </c>
      <c r="AF51" s="61">
        <f t="shared" si="21"/>
        <v>45.673684210526318</v>
      </c>
      <c r="AG51" s="61">
        <f t="shared" si="22"/>
        <v>45.673684210526318</v>
      </c>
      <c r="AH51" s="74">
        <f t="shared" si="23"/>
        <v>3.6216376386922593E-2</v>
      </c>
      <c r="AI51" s="74">
        <f t="shared" si="49"/>
        <v>3.6216376386922593E-2</v>
      </c>
      <c r="AJ51" s="74">
        <f t="shared" si="25"/>
        <v>3.6216376386922593E-2</v>
      </c>
      <c r="AK51" s="74">
        <f t="shared" si="47"/>
        <v>3.6216376386922593E-2</v>
      </c>
      <c r="AL51" s="74">
        <f t="shared" si="26"/>
        <v>3.6216376386922593E-2</v>
      </c>
      <c r="AM51" s="74">
        <f t="shared" si="48"/>
        <v>3.6216376386922593E-2</v>
      </c>
      <c r="AN51" s="74">
        <f t="shared" si="28"/>
        <v>0</v>
      </c>
      <c r="AO51" s="74">
        <f t="shared" si="29"/>
        <v>0</v>
      </c>
      <c r="AP51" s="74">
        <f t="shared" si="30"/>
        <v>0.2169690185361999</v>
      </c>
      <c r="AQ51" s="74">
        <f t="shared" si="31"/>
        <v>0.2169690185361999</v>
      </c>
      <c r="AR51" s="74">
        <f t="shared" si="32"/>
        <v>1</v>
      </c>
      <c r="AS51" s="74">
        <f t="shared" si="33"/>
        <v>0</v>
      </c>
      <c r="AT51" s="74">
        <f t="shared" si="34"/>
        <v>0.96378362361307734</v>
      </c>
      <c r="AU51" s="74">
        <f t="shared" si="35"/>
        <v>0.96378362361307734</v>
      </c>
      <c r="AV51" s="74">
        <f t="shared" si="36"/>
        <v>6.5847957067131979E-2</v>
      </c>
      <c r="AW51" s="74">
        <f t="shared" si="37"/>
        <v>6.5847957067131979E-2</v>
      </c>
      <c r="AX51" s="74">
        <f t="shared" si="38"/>
        <v>0.89793566654594548</v>
      </c>
      <c r="AY51" s="74">
        <f t="shared" si="39"/>
        <v>0.89793566654594548</v>
      </c>
      <c r="AZ51" s="74">
        <f t="shared" si="40"/>
        <v>6.8322344822874317E-2</v>
      </c>
      <c r="BA51" s="74">
        <f t="shared" si="41"/>
        <v>0.93167765517712575</v>
      </c>
      <c r="BB51" s="74">
        <f t="shared" si="42"/>
        <v>5.574771642572407E-2</v>
      </c>
      <c r="BC51" s="74">
        <f t="shared" si="43"/>
        <v>4.5808657062427753E-2</v>
      </c>
      <c r="BD51" s="74">
        <f t="shared" si="44"/>
        <v>1.9570661134829154E-2</v>
      </c>
      <c r="BE51" s="75">
        <f t="shared" si="45"/>
        <v>4.5808657062427753E-2</v>
      </c>
    </row>
    <row r="52" spans="1:57" x14ac:dyDescent="0.35">
      <c r="A52" s="38" t="s">
        <v>39</v>
      </c>
      <c r="B52" s="35" t="s">
        <v>66</v>
      </c>
      <c r="C52" s="47">
        <f t="shared" si="9"/>
        <v>2.7587742102979611</v>
      </c>
      <c r="D52" s="23">
        <f t="shared" si="10"/>
        <v>2.7587742102979611</v>
      </c>
      <c r="E52" s="50">
        <f>[1]data!E52-[1]data!E14</f>
        <v>0</v>
      </c>
      <c r="F52" s="36">
        <f>[1]data!F52-[1]data!F14</f>
        <v>2.7587742102979611</v>
      </c>
      <c r="G52" s="36">
        <f>[1]data!G52-[1]data!G14</f>
        <v>0</v>
      </c>
      <c r="H52" s="25">
        <f t="shared" si="11"/>
        <v>8.4705999999999992</v>
      </c>
      <c r="I52" s="36">
        <f>[1]data!I52-[1]data!I14</f>
        <v>0</v>
      </c>
      <c r="J52" s="36">
        <f>[1]data!J52-[1]data!J14</f>
        <v>8.4705999999999992</v>
      </c>
      <c r="K52" s="36">
        <f>[1]data!K52-[1]data!K14</f>
        <v>0</v>
      </c>
      <c r="L52" s="25">
        <f t="shared" si="12"/>
        <v>0.66645181179244783</v>
      </c>
      <c r="M52" s="25">
        <f t="shared" si="13"/>
        <v>0.66645181179244783</v>
      </c>
      <c r="N52" s="25">
        <f t="shared" si="14"/>
        <v>0.58872794400447359</v>
      </c>
      <c r="O52" s="25">
        <f t="shared" si="46"/>
        <v>0.58872794400447359</v>
      </c>
      <c r="P52" s="24">
        <f t="shared" si="15"/>
        <v>0</v>
      </c>
      <c r="Q52" s="37">
        <f t="shared" si="16"/>
        <v>0</v>
      </c>
      <c r="R52" s="37">
        <f t="shared" si="17"/>
        <v>0.66645181179244783</v>
      </c>
      <c r="S52" s="37">
        <f t="shared" si="0"/>
        <v>0.58872794400447359</v>
      </c>
      <c r="T52" s="37">
        <f t="shared" si="1"/>
        <v>0</v>
      </c>
      <c r="U52" s="37">
        <f t="shared" si="2"/>
        <v>0</v>
      </c>
      <c r="V52" s="25">
        <f t="shared" si="18"/>
        <v>2.0462880564478647</v>
      </c>
      <c r="W52" s="25">
        <f t="shared" si="19"/>
        <v>1.8076430118381042</v>
      </c>
      <c r="X52" s="37">
        <f t="shared" si="20"/>
        <v>0</v>
      </c>
      <c r="Y52" s="37">
        <f t="shared" si="3"/>
        <v>0</v>
      </c>
      <c r="Z52" s="37">
        <f t="shared" si="4"/>
        <v>2.0462880564478647</v>
      </c>
      <c r="AA52" s="37">
        <f t="shared" si="5"/>
        <v>1.8076430118381042</v>
      </c>
      <c r="AB52" s="37">
        <f t="shared" si="6"/>
        <v>0</v>
      </c>
      <c r="AC52" s="37">
        <f t="shared" si="7"/>
        <v>0</v>
      </c>
      <c r="AD52" s="26">
        <v>468.59916169988998</v>
      </c>
      <c r="AE52" s="8">
        <v>413.94954015926999</v>
      </c>
      <c r="AF52" s="61">
        <f t="shared" si="21"/>
        <v>11.22937421029796</v>
      </c>
      <c r="AG52" s="61">
        <f t="shared" si="22"/>
        <v>11.22937421029796</v>
      </c>
      <c r="AH52" s="74">
        <f t="shared" si="23"/>
        <v>0.24567479528538749</v>
      </c>
      <c r="AI52" s="74">
        <f t="shared" si="49"/>
        <v>0.24567479528538749</v>
      </c>
      <c r="AJ52" s="74">
        <f t="shared" si="25"/>
        <v>0.24567479528538749</v>
      </c>
      <c r="AK52" s="74">
        <f t="shared" si="47"/>
        <v>0.24567479528538749</v>
      </c>
      <c r="AL52" s="74">
        <f t="shared" si="26"/>
        <v>0.24567479528538749</v>
      </c>
      <c r="AM52" s="74">
        <f t="shared" si="48"/>
        <v>0.24567479528538749</v>
      </c>
      <c r="AN52" s="74">
        <f t="shared" si="28"/>
        <v>0</v>
      </c>
      <c r="AO52" s="74">
        <f t="shared" si="29"/>
        <v>0</v>
      </c>
      <c r="AP52" s="74">
        <f t="shared" si="30"/>
        <v>0</v>
      </c>
      <c r="AQ52" s="74">
        <f t="shared" si="31"/>
        <v>0</v>
      </c>
      <c r="AR52" s="74">
        <f t="shared" si="32"/>
        <v>1</v>
      </c>
      <c r="AS52" s="74">
        <f t="shared" si="33"/>
        <v>0</v>
      </c>
      <c r="AT52" s="74">
        <f t="shared" si="34"/>
        <v>0.75432520471461251</v>
      </c>
      <c r="AU52" s="74">
        <f t="shared" si="35"/>
        <v>0.75432520471461251</v>
      </c>
      <c r="AV52" s="74">
        <f t="shared" si="36"/>
        <v>0</v>
      </c>
      <c r="AW52" s="74">
        <f t="shared" si="37"/>
        <v>0</v>
      </c>
      <c r="AX52" s="74">
        <f t="shared" si="38"/>
        <v>0.75432520471461251</v>
      </c>
      <c r="AY52" s="74">
        <f t="shared" si="39"/>
        <v>0.75432520471461251</v>
      </c>
      <c r="AZ52" s="74">
        <f t="shared" si="40"/>
        <v>0</v>
      </c>
      <c r="BA52" s="74">
        <f t="shared" si="41"/>
        <v>1</v>
      </c>
      <c r="BB52" s="74">
        <f t="shared" si="42"/>
        <v>2.7127398682403124E-2</v>
      </c>
      <c r="BC52" s="74">
        <f t="shared" si="43"/>
        <v>2.7127398682403124E-2</v>
      </c>
      <c r="BD52" s="74">
        <f t="shared" si="44"/>
        <v>2.3963709558425778E-2</v>
      </c>
      <c r="BE52" s="75">
        <f t="shared" si="45"/>
        <v>2.7127398682403124E-2</v>
      </c>
    </row>
    <row r="53" spans="1:57" x14ac:dyDescent="0.35">
      <c r="A53" s="34" t="s">
        <v>40</v>
      </c>
      <c r="B53" s="35" t="s">
        <v>66</v>
      </c>
      <c r="C53" s="47">
        <f t="shared" si="9"/>
        <v>27.757934588838758</v>
      </c>
      <c r="D53" s="23">
        <f t="shared" si="10"/>
        <v>15.736781814144809</v>
      </c>
      <c r="E53" s="50">
        <f>[1]data!E53-[1]data!E15</f>
        <v>2.2949473478961178</v>
      </c>
      <c r="F53" s="36">
        <f>[1]data!F53-[1]data!F15</f>
        <v>13.441834466248691</v>
      </c>
      <c r="G53" s="36">
        <f>[1]data!G53-[1]data!G15</f>
        <v>12.021152774693951</v>
      </c>
      <c r="H53" s="25">
        <f t="shared" si="11"/>
        <v>2.827267662189584</v>
      </c>
      <c r="I53" s="36">
        <f>[1]data!I53-[1]data!I15</f>
        <v>0</v>
      </c>
      <c r="J53" s="36">
        <f>[1]data!J53-[1]data!J15</f>
        <v>2.827267662189584</v>
      </c>
      <c r="K53" s="36">
        <f>[1]data!K53-[1]data!K15</f>
        <v>0</v>
      </c>
      <c r="L53" s="25">
        <f t="shared" si="12"/>
        <v>5.6058796601753951</v>
      </c>
      <c r="M53" s="25">
        <f t="shared" si="13"/>
        <v>3.1781365002569171</v>
      </c>
      <c r="N53" s="25">
        <f t="shared" si="14"/>
        <v>4.9985298940411731</v>
      </c>
      <c r="O53" s="25">
        <f t="shared" si="46"/>
        <v>2.8338122233934211</v>
      </c>
      <c r="P53" s="24">
        <f t="shared" si="15"/>
        <v>0.46347823962080037</v>
      </c>
      <c r="Q53" s="37">
        <f t="shared" si="16"/>
        <v>0.41326428257820719</v>
      </c>
      <c r="R53" s="37">
        <f t="shared" si="17"/>
        <v>2.7146582606361167</v>
      </c>
      <c r="S53" s="37">
        <f t="shared" si="0"/>
        <v>2.4205479408152137</v>
      </c>
      <c r="T53" s="37">
        <f t="shared" si="1"/>
        <v>2.427743159918478</v>
      </c>
      <c r="U53" s="37">
        <f t="shared" si="2"/>
        <v>2.164717670647752</v>
      </c>
      <c r="V53" s="25">
        <f t="shared" si="18"/>
        <v>0.57098348692388345</v>
      </c>
      <c r="W53" s="25">
        <f t="shared" si="19"/>
        <v>0.50912224332400335</v>
      </c>
      <c r="X53" s="37">
        <f t="shared" si="20"/>
        <v>0</v>
      </c>
      <c r="Y53" s="37">
        <f t="shared" si="3"/>
        <v>0</v>
      </c>
      <c r="Z53" s="37">
        <f t="shared" si="4"/>
        <v>0.57098348692388345</v>
      </c>
      <c r="AA53" s="37">
        <f t="shared" si="5"/>
        <v>0.50912224332400335</v>
      </c>
      <c r="AB53" s="37">
        <f t="shared" si="6"/>
        <v>0</v>
      </c>
      <c r="AC53" s="37">
        <f t="shared" si="7"/>
        <v>0</v>
      </c>
      <c r="AD53" s="26">
        <v>555.32196820367994</v>
      </c>
      <c r="AE53" s="8">
        <v>495.15751802582002</v>
      </c>
      <c r="AF53" s="61">
        <f t="shared" si="21"/>
        <v>18.564049476334393</v>
      </c>
      <c r="AG53" s="61">
        <f t="shared" si="22"/>
        <v>18.564049476334393</v>
      </c>
      <c r="AH53" s="74">
        <f t="shared" si="23"/>
        <v>0.84770199703497839</v>
      </c>
      <c r="AI53" s="74">
        <f t="shared" si="49"/>
        <v>0.84770199703497839</v>
      </c>
      <c r="AJ53" s="74">
        <f t="shared" si="25"/>
        <v>0.84770199703497839</v>
      </c>
      <c r="AK53" s="74">
        <f t="shared" si="47"/>
        <v>0.84770199703497839</v>
      </c>
      <c r="AL53" s="74">
        <f t="shared" si="26"/>
        <v>0.724078789134044</v>
      </c>
      <c r="AM53" s="74">
        <f t="shared" si="48"/>
        <v>0.724078789134044</v>
      </c>
      <c r="AN53" s="74">
        <f t="shared" si="28"/>
        <v>0.12362320790093433</v>
      </c>
      <c r="AO53" s="74">
        <f t="shared" si="29"/>
        <v>0.12362320790093433</v>
      </c>
      <c r="AP53" s="74">
        <f t="shared" si="30"/>
        <v>0.64755013662394179</v>
      </c>
      <c r="AQ53" s="74">
        <f t="shared" si="31"/>
        <v>0.64755013662394179</v>
      </c>
      <c r="AR53" s="74">
        <f t="shared" si="32"/>
        <v>0.85416666666666663</v>
      </c>
      <c r="AS53" s="74">
        <f t="shared" si="33"/>
        <v>0.14583333333333331</v>
      </c>
      <c r="AT53" s="74">
        <f t="shared" si="34"/>
        <v>0.15229800296502166</v>
      </c>
      <c r="AU53" s="74">
        <f t="shared" si="35"/>
        <v>0.15229800296502166</v>
      </c>
      <c r="AV53" s="74">
        <f t="shared" si="36"/>
        <v>0</v>
      </c>
      <c r="AW53" s="74">
        <f t="shared" si="37"/>
        <v>0</v>
      </c>
      <c r="AX53" s="74">
        <f t="shared" si="38"/>
        <v>0.15229800296502166</v>
      </c>
      <c r="AY53" s="74">
        <f t="shared" si="39"/>
        <v>0.15229800296502166</v>
      </c>
      <c r="AZ53" s="74">
        <f t="shared" si="40"/>
        <v>0</v>
      </c>
      <c r="BA53" s="74">
        <f t="shared" si="41"/>
        <v>1</v>
      </c>
      <c r="BB53" s="74">
        <f t="shared" si="42"/>
        <v>6.1768631470992784E-2</v>
      </c>
      <c r="BC53" s="74">
        <f t="shared" si="43"/>
        <v>3.7491199871808004E-2</v>
      </c>
      <c r="BD53" s="74">
        <f t="shared" si="44"/>
        <v>3.3429344667174246E-2</v>
      </c>
      <c r="BE53" s="75">
        <f t="shared" si="45"/>
        <v>3.7491199871808004E-2</v>
      </c>
    </row>
    <row r="54" spans="1:57" x14ac:dyDescent="0.35">
      <c r="A54" s="38" t="s">
        <v>41</v>
      </c>
      <c r="B54" s="35" t="s">
        <v>66</v>
      </c>
      <c r="C54" s="47">
        <f t="shared" si="9"/>
        <v>1.8854020040765493</v>
      </c>
      <c r="D54" s="23">
        <f t="shared" si="10"/>
        <v>1.8854020040765493</v>
      </c>
      <c r="E54" s="50">
        <f>[1]data!E54-[1]data!E16</f>
        <v>1.8854020040765493</v>
      </c>
      <c r="F54" s="36">
        <f>[1]data!F54-[1]data!F16</f>
        <v>0</v>
      </c>
      <c r="G54" s="36">
        <f>[1]data!G54-[1]data!G16</f>
        <v>0</v>
      </c>
      <c r="H54" s="25">
        <f t="shared" si="11"/>
        <v>-0.77448880067103743</v>
      </c>
      <c r="I54" s="36">
        <f>[1]data!I54-[1]data!I16</f>
        <v>-0.77448880067103743</v>
      </c>
      <c r="J54" s="36">
        <f>[1]data!J54-[1]data!J16</f>
        <v>0</v>
      </c>
      <c r="K54" s="36">
        <f>[1]data!K54-[1]data!K16</f>
        <v>0</v>
      </c>
      <c r="L54" s="25">
        <f t="shared" si="12"/>
        <v>0.87432710308954531</v>
      </c>
      <c r="M54" s="25">
        <f t="shared" si="13"/>
        <v>0.87432710308954531</v>
      </c>
      <c r="N54" s="25">
        <f t="shared" si="14"/>
        <v>0.46279358816794303</v>
      </c>
      <c r="O54" s="25">
        <f t="shared" si="46"/>
        <v>0.46279358816794303</v>
      </c>
      <c r="P54" s="24">
        <f t="shared" si="15"/>
        <v>0.87432710308954531</v>
      </c>
      <c r="Q54" s="37">
        <f t="shared" si="16"/>
        <v>0.46279358816794303</v>
      </c>
      <c r="R54" s="37">
        <f t="shared" si="17"/>
        <v>0</v>
      </c>
      <c r="S54" s="37">
        <f t="shared" si="0"/>
        <v>0</v>
      </c>
      <c r="T54" s="37">
        <f t="shared" si="1"/>
        <v>0</v>
      </c>
      <c r="U54" s="37">
        <f t="shared" si="2"/>
        <v>0</v>
      </c>
      <c r="V54" s="25">
        <f t="shared" si="18"/>
        <v>-0.35915764807817141</v>
      </c>
      <c r="W54" s="25">
        <f t="shared" si="19"/>
        <v>-0.19010717623268403</v>
      </c>
      <c r="X54" s="37">
        <f t="shared" si="20"/>
        <v>-0.35915764807817141</v>
      </c>
      <c r="Y54" s="37">
        <f t="shared" si="3"/>
        <v>-0.19010717623268403</v>
      </c>
      <c r="Z54" s="37">
        <f t="shared" si="4"/>
        <v>0</v>
      </c>
      <c r="AA54" s="37">
        <f t="shared" si="5"/>
        <v>0</v>
      </c>
      <c r="AB54" s="37">
        <f t="shared" si="6"/>
        <v>0</v>
      </c>
      <c r="AC54" s="37">
        <f t="shared" si="7"/>
        <v>0</v>
      </c>
      <c r="AD54" s="26">
        <v>407.39587848230002</v>
      </c>
      <c r="AE54" s="8">
        <v>215.64034757863999</v>
      </c>
      <c r="AF54" s="61">
        <f t="shared" si="21"/>
        <v>1.110913203405512</v>
      </c>
      <c r="AG54" s="61">
        <f>(D54)+(H54*-1)</f>
        <v>2.6598908047475867</v>
      </c>
      <c r="AH54" s="74">
        <f t="shared" si="23"/>
        <v>0.70882684383559369</v>
      </c>
      <c r="AI54" s="74">
        <f t="shared" si="49"/>
        <v>0.70882684383559369</v>
      </c>
      <c r="AJ54" s="74">
        <f t="shared" si="25"/>
        <v>1.6971640973361704</v>
      </c>
      <c r="AK54" s="74">
        <f t="shared" si="47"/>
        <v>1.6971640973361704</v>
      </c>
      <c r="AL54" s="74">
        <f t="shared" si="26"/>
        <v>0</v>
      </c>
      <c r="AM54" s="74">
        <f t="shared" si="48"/>
        <v>0</v>
      </c>
      <c r="AN54" s="74">
        <f t="shared" si="28"/>
        <v>0.70882684383559369</v>
      </c>
      <c r="AO54" s="74">
        <f t="shared" si="29"/>
        <v>1.6971640973361704</v>
      </c>
      <c r="AP54" s="74">
        <f t="shared" si="30"/>
        <v>0</v>
      </c>
      <c r="AQ54" s="74">
        <f t="shared" si="31"/>
        <v>0</v>
      </c>
      <c r="AR54" s="74">
        <f t="shared" si="32"/>
        <v>0</v>
      </c>
      <c r="AS54" s="74">
        <f t="shared" si="33"/>
        <v>1</v>
      </c>
      <c r="AT54" s="74">
        <f t="shared" si="34"/>
        <v>-0.29117315616440631</v>
      </c>
      <c r="AU54" s="74">
        <f t="shared" si="35"/>
        <v>-0.69716409733617057</v>
      </c>
      <c r="AV54" s="74">
        <f t="shared" si="36"/>
        <v>-0.29117315616440631</v>
      </c>
      <c r="AW54" s="74">
        <f t="shared" si="37"/>
        <v>-0.69716409733617057</v>
      </c>
      <c r="AX54" s="74">
        <f t="shared" si="38"/>
        <v>0</v>
      </c>
      <c r="AY54" s="74">
        <f t="shared" si="39"/>
        <v>0</v>
      </c>
      <c r="AZ54" s="74">
        <f t="shared" si="40"/>
        <v>1</v>
      </c>
      <c r="BA54" s="74">
        <f t="shared" si="41"/>
        <v>0</v>
      </c>
      <c r="BB54" s="74">
        <f t="shared" si="42"/>
        <v>5.1516945501137385E-3</v>
      </c>
      <c r="BC54" s="74">
        <f t="shared" si="43"/>
        <v>5.1516945501137385E-3</v>
      </c>
      <c r="BD54" s="74">
        <f t="shared" si="44"/>
        <v>2.7268641193525906E-3</v>
      </c>
      <c r="BE54" s="75">
        <f t="shared" si="45"/>
        <v>1.2334847511677165E-2</v>
      </c>
    </row>
    <row r="55" spans="1:57" x14ac:dyDescent="0.35">
      <c r="A55" s="38" t="s">
        <v>42</v>
      </c>
      <c r="B55" s="35" t="s">
        <v>66</v>
      </c>
      <c r="C55" s="47">
        <f t="shared" si="9"/>
        <v>33.672649112091527</v>
      </c>
      <c r="D55" s="23">
        <f t="shared" si="10"/>
        <v>9.3883508485756924</v>
      </c>
      <c r="E55" s="50">
        <f>[1]data!E55-[1]data!E17</f>
        <v>0.11675143395921074</v>
      </c>
      <c r="F55" s="36">
        <f>[1]data!F55-[1]data!F17</f>
        <v>9.2715994146164817</v>
      </c>
      <c r="G55" s="36">
        <f>[1]data!G55-[1]data!G17</f>
        <v>24.284298263515833</v>
      </c>
      <c r="H55" s="25">
        <f t="shared" si="11"/>
        <v>21.166160352966337</v>
      </c>
      <c r="I55" s="36">
        <f>[1]data!I55-[1]data!I17</f>
        <v>5.822977768715635</v>
      </c>
      <c r="J55" s="36">
        <f>[1]data!J55-[1]data!J17</f>
        <v>15.343182584250702</v>
      </c>
      <c r="K55" s="36">
        <f>[1]data!K55-[1]data!K17</f>
        <v>0</v>
      </c>
      <c r="L55" s="25">
        <f t="shared" si="12"/>
        <v>10.123990267971804</v>
      </c>
      <c r="M55" s="25">
        <f t="shared" si="13"/>
        <v>2.8226936439388859</v>
      </c>
      <c r="N55" s="25">
        <f t="shared" si="14"/>
        <v>10.825006620206736</v>
      </c>
      <c r="O55" s="25">
        <f t="shared" si="46"/>
        <v>3.0181456692150013</v>
      </c>
      <c r="P55" s="24">
        <f t="shared" si="15"/>
        <v>3.5102387615542872E-2</v>
      </c>
      <c r="Q55" s="37">
        <f t="shared" si="16"/>
        <v>3.7532985341306419E-2</v>
      </c>
      <c r="R55" s="37">
        <f t="shared" si="17"/>
        <v>2.7875912563233429</v>
      </c>
      <c r="S55" s="37">
        <f t="shared" si="0"/>
        <v>2.9806126838736948</v>
      </c>
      <c r="T55" s="37">
        <f t="shared" si="1"/>
        <v>7.3012966240329176</v>
      </c>
      <c r="U55" s="37">
        <f t="shared" si="2"/>
        <v>7.8068609509917337</v>
      </c>
      <c r="V55" s="25">
        <f t="shared" si="18"/>
        <v>6.3637999110326531</v>
      </c>
      <c r="W55" s="25">
        <f t="shared" si="19"/>
        <v>6.8044490702972862</v>
      </c>
      <c r="X55" s="37">
        <f t="shared" si="20"/>
        <v>1.7507315823252003</v>
      </c>
      <c r="Y55" s="37">
        <f t="shared" si="3"/>
        <v>1.8719576438976573</v>
      </c>
      <c r="Z55" s="37">
        <f t="shared" si="4"/>
        <v>4.6130683287074525</v>
      </c>
      <c r="AA55" s="37">
        <f t="shared" si="5"/>
        <v>4.9324914263996291</v>
      </c>
      <c r="AB55" s="37">
        <f t="shared" si="6"/>
        <v>0</v>
      </c>
      <c r="AC55" s="37">
        <f t="shared" si="7"/>
        <v>0</v>
      </c>
      <c r="AD55" s="26">
        <v>311.06354290107998</v>
      </c>
      <c r="AE55" s="8">
        <v>332.60254327404999</v>
      </c>
      <c r="AF55" s="61">
        <f t="shared" si="21"/>
        <v>30.554511201542027</v>
      </c>
      <c r="AG55" s="61">
        <f t="shared" si="22"/>
        <v>30.554511201542027</v>
      </c>
      <c r="AH55" s="74">
        <f t="shared" si="23"/>
        <v>0.30726562066886803</v>
      </c>
      <c r="AI55" s="74">
        <f t="shared" si="49"/>
        <v>0.30726562066886803</v>
      </c>
      <c r="AJ55" s="74">
        <f t="shared" si="25"/>
        <v>0.30726562066886803</v>
      </c>
      <c r="AK55" s="74">
        <f t="shared" si="47"/>
        <v>0.30726562066886803</v>
      </c>
      <c r="AL55" s="74">
        <f t="shared" si="26"/>
        <v>0.30344453404800537</v>
      </c>
      <c r="AM55" s="74">
        <f t="shared" si="48"/>
        <v>0.30344453404800537</v>
      </c>
      <c r="AN55" s="74">
        <f t="shared" si="28"/>
        <v>3.8210866208626673E-3</v>
      </c>
      <c r="AO55" s="74">
        <f t="shared" si="29"/>
        <v>3.8210866208626673E-3</v>
      </c>
      <c r="AP55" s="74">
        <f t="shared" si="30"/>
        <v>0.79478601713943475</v>
      </c>
      <c r="AQ55" s="74">
        <f t="shared" si="31"/>
        <v>0.79478601713943475</v>
      </c>
      <c r="AR55" s="74">
        <f t="shared" si="32"/>
        <v>0.98756422338254191</v>
      </c>
      <c r="AS55" s="74">
        <f t="shared" si="33"/>
        <v>1.2435776617458125E-2</v>
      </c>
      <c r="AT55" s="74">
        <f t="shared" si="34"/>
        <v>0.69273437933113202</v>
      </c>
      <c r="AU55" s="74">
        <f t="shared" si="35"/>
        <v>0.69273437933113202</v>
      </c>
      <c r="AV55" s="74">
        <f t="shared" si="36"/>
        <v>0.1905766952155255</v>
      </c>
      <c r="AW55" s="74">
        <f t="shared" si="37"/>
        <v>0.1905766952155255</v>
      </c>
      <c r="AX55" s="74">
        <f t="shared" si="38"/>
        <v>0.50215768411560646</v>
      </c>
      <c r="AY55" s="74">
        <f t="shared" si="39"/>
        <v>0.50215768411560646</v>
      </c>
      <c r="AZ55" s="74">
        <f t="shared" si="40"/>
        <v>0.27510789258003387</v>
      </c>
      <c r="BA55" s="74">
        <f t="shared" si="41"/>
        <v>0.72489210741996613</v>
      </c>
      <c r="BB55" s="74">
        <f t="shared" si="42"/>
        <v>0.16487790179004458</v>
      </c>
      <c r="BC55" s="74">
        <f t="shared" si="43"/>
        <v>9.1864935549715393E-2</v>
      </c>
      <c r="BD55" s="74">
        <f t="shared" si="44"/>
        <v>9.8225947395122859E-2</v>
      </c>
      <c r="BE55" s="75">
        <f t="shared" si="45"/>
        <v>9.1864935549715393E-2</v>
      </c>
    </row>
    <row r="56" spans="1:57" x14ac:dyDescent="0.35">
      <c r="A56" s="38" t="s">
        <v>43</v>
      </c>
      <c r="B56" s="35" t="s">
        <v>66</v>
      </c>
      <c r="C56" s="47">
        <f t="shared" si="9"/>
        <v>1.2481951410000001</v>
      </c>
      <c r="D56" s="23">
        <f t="shared" si="10"/>
        <v>1.2481951410000001</v>
      </c>
      <c r="E56" s="50">
        <f>[1]data!E56-[1]data!E18</f>
        <v>0.33243433</v>
      </c>
      <c r="F56" s="36">
        <f>[1]data!F56-[1]data!F18</f>
        <v>0.91576081099999995</v>
      </c>
      <c r="G56" s="36">
        <f>[1]data!G56-[1]data!G18</f>
        <v>0</v>
      </c>
      <c r="H56" s="25">
        <f t="shared" si="11"/>
        <v>0.67566216200000007</v>
      </c>
      <c r="I56" s="36">
        <f>[1]data!I56-[1]data!I18</f>
        <v>0.61666216200000001</v>
      </c>
      <c r="J56" s="36">
        <f>[1]data!J56-[1]data!J18</f>
        <v>5.9000000000000025E-2</v>
      </c>
      <c r="K56" s="36">
        <f>[1]data!K56-[1]data!K18</f>
        <v>0</v>
      </c>
      <c r="L56" s="25">
        <f t="shared" si="12"/>
        <v>4.6408796097126643</v>
      </c>
      <c r="M56" s="25">
        <f t="shared" si="13"/>
        <v>4.6408796097126643</v>
      </c>
      <c r="N56" s="25">
        <f t="shared" si="14"/>
        <v>2.7186939247924107</v>
      </c>
      <c r="O56" s="25">
        <f t="shared" si="46"/>
        <v>2.7186939247924107</v>
      </c>
      <c r="P56" s="24">
        <f t="shared" si="15"/>
        <v>1.2360148289228849</v>
      </c>
      <c r="Q56" s="37">
        <f t="shared" si="16"/>
        <v>0.72407523765824</v>
      </c>
      <c r="R56" s="37">
        <f t="shared" si="17"/>
        <v>3.4048647807897798</v>
      </c>
      <c r="S56" s="37">
        <f t="shared" si="0"/>
        <v>1.9946186871341705</v>
      </c>
      <c r="T56" s="37">
        <f t="shared" si="1"/>
        <v>0</v>
      </c>
      <c r="U56" s="37">
        <f t="shared" si="2"/>
        <v>0</v>
      </c>
      <c r="V56" s="25">
        <f t="shared" si="18"/>
        <v>2.5121606771902787</v>
      </c>
      <c r="W56" s="25">
        <f t="shared" si="19"/>
        <v>1.4716598027852006</v>
      </c>
      <c r="X56" s="37">
        <f t="shared" si="20"/>
        <v>2.2927944194802214</v>
      </c>
      <c r="Y56" s="37">
        <f t="shared" si="3"/>
        <v>1.3431518986170716</v>
      </c>
      <c r="Z56" s="37">
        <f t="shared" si="4"/>
        <v>0.21936625771005733</v>
      </c>
      <c r="AA56" s="37">
        <f t="shared" si="5"/>
        <v>0.12850790416812902</v>
      </c>
      <c r="AB56" s="37">
        <f t="shared" si="6"/>
        <v>0</v>
      </c>
      <c r="AC56" s="37">
        <f t="shared" si="7"/>
        <v>0</v>
      </c>
      <c r="AD56" s="26">
        <v>45.911572818750003</v>
      </c>
      <c r="AE56" s="8">
        <v>26.895658710639999</v>
      </c>
      <c r="AF56" s="61">
        <f t="shared" si="21"/>
        <v>1.9238573030000001</v>
      </c>
      <c r="AG56" s="61">
        <f t="shared" si="22"/>
        <v>1.9238573030000001</v>
      </c>
      <c r="AH56" s="74">
        <f t="shared" si="23"/>
        <v>0.64879819259651195</v>
      </c>
      <c r="AI56" s="74">
        <f t="shared" si="49"/>
        <v>0.64879819259651195</v>
      </c>
      <c r="AJ56" s="74">
        <f t="shared" si="25"/>
        <v>0.64879819259651195</v>
      </c>
      <c r="AK56" s="74">
        <f t="shared" si="47"/>
        <v>0.64879819259651195</v>
      </c>
      <c r="AL56" s="74">
        <f t="shared" si="26"/>
        <v>0.47600246108273858</v>
      </c>
      <c r="AM56" s="74">
        <f t="shared" si="48"/>
        <v>0.47600246108273858</v>
      </c>
      <c r="AN56" s="74">
        <f t="shared" si="28"/>
        <v>0.17279573151377328</v>
      </c>
      <c r="AO56" s="74">
        <f t="shared" si="29"/>
        <v>0.17279573151377328</v>
      </c>
      <c r="AP56" s="74">
        <f t="shared" si="30"/>
        <v>0</v>
      </c>
      <c r="AQ56" s="74">
        <f t="shared" si="31"/>
        <v>0</v>
      </c>
      <c r="AR56" s="74">
        <f t="shared" si="32"/>
        <v>0.73366798260913912</v>
      </c>
      <c r="AS56" s="74">
        <f t="shared" si="33"/>
        <v>0.26633201739086082</v>
      </c>
      <c r="AT56" s="74">
        <f t="shared" si="34"/>
        <v>0.35120180740348811</v>
      </c>
      <c r="AU56" s="74">
        <f t="shared" si="35"/>
        <v>0.35120180740348811</v>
      </c>
      <c r="AV56" s="74">
        <f t="shared" si="36"/>
        <v>0.32053425222255166</v>
      </c>
      <c r="AW56" s="74">
        <f t="shared" si="37"/>
        <v>0.32053425222255166</v>
      </c>
      <c r="AX56" s="74">
        <f t="shared" si="38"/>
        <v>3.0667555180936421E-2</v>
      </c>
      <c r="AY56" s="74">
        <f t="shared" si="39"/>
        <v>3.0667555180936421E-2</v>
      </c>
      <c r="AZ56" s="74">
        <f t="shared" si="40"/>
        <v>0.91267825354411358</v>
      </c>
      <c r="BA56" s="74">
        <f t="shared" si="41"/>
        <v>8.7321746455886362E-2</v>
      </c>
      <c r="BB56" s="74">
        <f t="shared" si="42"/>
        <v>7.1530402869029439E-2</v>
      </c>
      <c r="BC56" s="74">
        <f t="shared" si="43"/>
        <v>7.1530402869029439E-2</v>
      </c>
      <c r="BD56" s="74">
        <f t="shared" si="44"/>
        <v>4.1903537275776115E-2</v>
      </c>
      <c r="BE56" s="75">
        <f t="shared" si="45"/>
        <v>7.1530402869029439E-2</v>
      </c>
    </row>
    <row r="57" spans="1:57" x14ac:dyDescent="0.35">
      <c r="A57" s="38" t="s">
        <v>44</v>
      </c>
      <c r="B57" s="35" t="s">
        <v>66</v>
      </c>
      <c r="C57" s="47">
        <f t="shared" si="9"/>
        <v>4.4900342188398588</v>
      </c>
      <c r="D57" s="23">
        <f t="shared" si="10"/>
        <v>3.2526658490995644</v>
      </c>
      <c r="E57" s="50">
        <f>[1]data!E57-[1]data!E19</f>
        <v>1.5678041258934419</v>
      </c>
      <c r="F57" s="36">
        <f>[1]data!F57-[1]data!F19</f>
        <v>1.6848617232061223</v>
      </c>
      <c r="G57" s="36">
        <f>[1]data!G57-[1]data!G19</f>
        <v>1.2373683697402944</v>
      </c>
      <c r="H57" s="25">
        <f t="shared" si="11"/>
        <v>3.751470525980066</v>
      </c>
      <c r="I57" s="36">
        <f>[1]data!I57-[1]data!I19</f>
        <v>1.54465361043267</v>
      </c>
      <c r="J57" s="36">
        <f>[1]data!J57-[1]data!J19</f>
        <v>2.206816915547396</v>
      </c>
      <c r="K57" s="36">
        <f>[1]data!K57-[1]data!K19</f>
        <v>1.0928320704267227</v>
      </c>
      <c r="L57" s="25">
        <f t="shared" si="12"/>
        <v>1.7625661072457468</v>
      </c>
      <c r="M57" s="25">
        <f t="shared" si="13"/>
        <v>1.2768362788335077</v>
      </c>
      <c r="N57" s="25">
        <f t="shared" si="14"/>
        <v>1.7682708019600928</v>
      </c>
      <c r="O57" s="25">
        <f t="shared" si="46"/>
        <v>1.2809688677565574</v>
      </c>
      <c r="P57" s="24">
        <f t="shared" si="15"/>
        <v>0.6154426181219228</v>
      </c>
      <c r="Q57" s="37">
        <f t="shared" si="16"/>
        <v>0.61743455035989681</v>
      </c>
      <c r="R57" s="37">
        <f t="shared" si="17"/>
        <v>0.66139366071158501</v>
      </c>
      <c r="S57" s="37">
        <f t="shared" si="0"/>
        <v>0.66353431739666047</v>
      </c>
      <c r="T57" s="37">
        <f t="shared" si="1"/>
        <v>0.48572982841223916</v>
      </c>
      <c r="U57" s="37">
        <f t="shared" si="2"/>
        <v>0.48730193420353535</v>
      </c>
      <c r="V57" s="25">
        <f t="shared" si="18"/>
        <v>1.4726424074185149</v>
      </c>
      <c r="W57" s="25">
        <f t="shared" si="19"/>
        <v>1.4774087394858262</v>
      </c>
      <c r="X57" s="37">
        <f t="shared" si="20"/>
        <v>0.60635486690942353</v>
      </c>
      <c r="Y57" s="37">
        <f t="shared" si="3"/>
        <v>0.60831738586973705</v>
      </c>
      <c r="Z57" s="37">
        <f t="shared" si="4"/>
        <v>0.8662875405090914</v>
      </c>
      <c r="AA57" s="37">
        <f t="shared" si="5"/>
        <v>0.86909135361608914</v>
      </c>
      <c r="AB57" s="37">
        <f t="shared" si="6"/>
        <v>0.42899200192354664</v>
      </c>
      <c r="AC57" s="37">
        <f t="shared" si="7"/>
        <v>0.43038047092667181</v>
      </c>
      <c r="AD57" s="26">
        <v>253.92231856471</v>
      </c>
      <c r="AE57" s="8">
        <v>254.7441596875</v>
      </c>
      <c r="AF57" s="61">
        <f t="shared" si="21"/>
        <v>7.0041363750796304</v>
      </c>
      <c r="AG57" s="61">
        <f t="shared" si="22"/>
        <v>7.0041363750796304</v>
      </c>
      <c r="AH57" s="74">
        <f t="shared" si="23"/>
        <v>0.46439213557754072</v>
      </c>
      <c r="AI57" s="74">
        <f t="shared" si="49"/>
        <v>0.46439213557754072</v>
      </c>
      <c r="AJ57" s="74">
        <f t="shared" si="25"/>
        <v>0.46439213557754072</v>
      </c>
      <c r="AK57" s="74">
        <f t="shared" si="47"/>
        <v>0.46439213557754072</v>
      </c>
      <c r="AL57" s="74">
        <f t="shared" si="26"/>
        <v>0.24055238690108557</v>
      </c>
      <c r="AM57" s="74">
        <f t="shared" si="48"/>
        <v>0.24055238690108557</v>
      </c>
      <c r="AN57" s="74">
        <f t="shared" si="28"/>
        <v>0.22383974867645512</v>
      </c>
      <c r="AO57" s="74">
        <f t="shared" si="29"/>
        <v>0.22383974867645512</v>
      </c>
      <c r="AP57" s="74">
        <f t="shared" si="30"/>
        <v>0.17666251818608067</v>
      </c>
      <c r="AQ57" s="74">
        <f t="shared" si="31"/>
        <v>0.17666251818608067</v>
      </c>
      <c r="AR57" s="74">
        <f t="shared" si="32"/>
        <v>0.51799410126082968</v>
      </c>
      <c r="AS57" s="74">
        <f t="shared" si="33"/>
        <v>0.48200589873917027</v>
      </c>
      <c r="AT57" s="74">
        <f t="shared" si="34"/>
        <v>0.53560786442245922</v>
      </c>
      <c r="AU57" s="74">
        <f t="shared" si="35"/>
        <v>0.53560786442245922</v>
      </c>
      <c r="AV57" s="74">
        <f t="shared" si="36"/>
        <v>0.22053448529764083</v>
      </c>
      <c r="AW57" s="74">
        <f t="shared" si="37"/>
        <v>0.22053448529764083</v>
      </c>
      <c r="AX57" s="74">
        <f t="shared" si="38"/>
        <v>0.31507337912481848</v>
      </c>
      <c r="AY57" s="74">
        <f t="shared" si="39"/>
        <v>0.31507337912481848</v>
      </c>
      <c r="AZ57" s="74">
        <f t="shared" si="40"/>
        <v>0.41174616719909629</v>
      </c>
      <c r="BA57" s="74">
        <f t="shared" si="41"/>
        <v>0.58825383280090371</v>
      </c>
      <c r="BB57" s="74">
        <f t="shared" si="42"/>
        <v>3.2352085146642617E-2</v>
      </c>
      <c r="BC57" s="74">
        <f t="shared" si="43"/>
        <v>2.7494786862520229E-2</v>
      </c>
      <c r="BD57" s="74">
        <f t="shared" si="44"/>
        <v>2.7583776072423835E-2</v>
      </c>
      <c r="BE57" s="75">
        <f t="shared" si="45"/>
        <v>2.7494786862520229E-2</v>
      </c>
    </row>
    <row r="58" spans="1:57" x14ac:dyDescent="0.35">
      <c r="A58" s="38" t="s">
        <v>45</v>
      </c>
      <c r="B58" s="35" t="s">
        <v>66</v>
      </c>
      <c r="C58" s="47">
        <f t="shared" si="9"/>
        <v>4.02544590517134</v>
      </c>
      <c r="D58" s="23">
        <f t="shared" si="10"/>
        <v>4.02544590517134</v>
      </c>
      <c r="E58" s="50">
        <f>[1]data!E58-[1]data!E20</f>
        <v>0.707075905171339</v>
      </c>
      <c r="F58" s="36">
        <f>[1]data!F58-[1]data!F20</f>
        <v>3.3183700000000007</v>
      </c>
      <c r="G58" s="36">
        <f>[1]data!G58-[1]data!G20</f>
        <v>0</v>
      </c>
      <c r="H58" s="25">
        <f t="shared" si="11"/>
        <v>6.7446143999999997</v>
      </c>
      <c r="I58" s="36">
        <f>[1]data!I58-[1]data!I20</f>
        <v>5.3117944000000001</v>
      </c>
      <c r="J58" s="36">
        <f>[1]data!J58-[1]data!J20</f>
        <v>1.43282</v>
      </c>
      <c r="K58" s="36">
        <f>[1]data!K58-[1]data!K20</f>
        <v>0</v>
      </c>
      <c r="L58" s="25">
        <f t="shared" si="12"/>
        <v>1.974196428392303</v>
      </c>
      <c r="M58" s="25">
        <f t="shared" si="13"/>
        <v>1.974196428392303</v>
      </c>
      <c r="N58" s="25">
        <f t="shared" si="14"/>
        <v>1.3349414777105444</v>
      </c>
      <c r="O58" s="25">
        <f t="shared" si="46"/>
        <v>1.3349414777105444</v>
      </c>
      <c r="P58" s="24">
        <f t="shared" si="15"/>
        <v>0.34677070800982396</v>
      </c>
      <c r="Q58" s="37">
        <f t="shared" si="16"/>
        <v>0.23448457039016443</v>
      </c>
      <c r="R58" s="37">
        <f t="shared" si="17"/>
        <v>1.6274257203824791</v>
      </c>
      <c r="S58" s="37">
        <f t="shared" si="0"/>
        <v>1.10045690732038</v>
      </c>
      <c r="T58" s="37">
        <f t="shared" si="1"/>
        <v>0</v>
      </c>
      <c r="U58" s="37">
        <f t="shared" si="2"/>
        <v>0</v>
      </c>
      <c r="V58" s="25">
        <f t="shared" si="18"/>
        <v>3.3077562021781897</v>
      </c>
      <c r="W58" s="25">
        <f t="shared" si="19"/>
        <v>2.2366877423833085</v>
      </c>
      <c r="X58" s="37">
        <f t="shared" si="20"/>
        <v>2.6050593598494491</v>
      </c>
      <c r="Y58" s="37">
        <f t="shared" si="3"/>
        <v>1.7615277493907289</v>
      </c>
      <c r="Z58" s="37">
        <f t="shared" si="4"/>
        <v>0.70269684232874063</v>
      </c>
      <c r="AA58" s="37">
        <f t="shared" si="5"/>
        <v>0.47515999299257966</v>
      </c>
      <c r="AB58" s="37">
        <f t="shared" si="6"/>
        <v>0</v>
      </c>
      <c r="AC58" s="37">
        <f t="shared" si="7"/>
        <v>0</v>
      </c>
      <c r="AD58" s="26">
        <v>301.54474727050001</v>
      </c>
      <c r="AE58" s="8">
        <v>203.90300819506001</v>
      </c>
      <c r="AF58" s="61">
        <f t="shared" si="21"/>
        <v>10.77006030517134</v>
      </c>
      <c r="AG58" s="61">
        <f t="shared" si="22"/>
        <v>10.77006030517134</v>
      </c>
      <c r="AH58" s="74">
        <f t="shared" si="23"/>
        <v>0.37376261516739018</v>
      </c>
      <c r="AI58" s="74">
        <f t="shared" si="49"/>
        <v>0.37376261516739018</v>
      </c>
      <c r="AJ58" s="74">
        <f t="shared" si="25"/>
        <v>0.37376261516739018</v>
      </c>
      <c r="AK58" s="74">
        <f t="shared" si="47"/>
        <v>0.37376261516739018</v>
      </c>
      <c r="AL58" s="74">
        <f t="shared" si="26"/>
        <v>0.3081106238937823</v>
      </c>
      <c r="AM58" s="74">
        <f t="shared" si="48"/>
        <v>0.3081106238937823</v>
      </c>
      <c r="AN58" s="74">
        <f t="shared" si="28"/>
        <v>6.5651991273607838E-2</v>
      </c>
      <c r="AO58" s="74">
        <f t="shared" si="29"/>
        <v>6.5651991273607838E-2</v>
      </c>
      <c r="AP58" s="74">
        <f t="shared" si="30"/>
        <v>0</v>
      </c>
      <c r="AQ58" s="74">
        <f t="shared" si="31"/>
        <v>0</v>
      </c>
      <c r="AR58" s="74">
        <f t="shared" si="32"/>
        <v>0.82434842702444833</v>
      </c>
      <c r="AS58" s="74">
        <f t="shared" si="33"/>
        <v>0.17565157297555159</v>
      </c>
      <c r="AT58" s="74">
        <f t="shared" si="34"/>
        <v>0.62623738483260982</v>
      </c>
      <c r="AU58" s="74">
        <f t="shared" si="35"/>
        <v>0.62623738483260982</v>
      </c>
      <c r="AV58" s="74">
        <f t="shared" si="36"/>
        <v>0.4932000610478936</v>
      </c>
      <c r="AW58" s="74">
        <f t="shared" si="37"/>
        <v>0.4932000610478936</v>
      </c>
      <c r="AX58" s="74">
        <f t="shared" si="38"/>
        <v>0.1330373237847163</v>
      </c>
      <c r="AY58" s="74">
        <f t="shared" si="39"/>
        <v>0.1330373237847163</v>
      </c>
      <c r="AZ58" s="74">
        <f t="shared" si="40"/>
        <v>0.78756087227166027</v>
      </c>
      <c r="BA58" s="74">
        <f t="shared" si="41"/>
        <v>0.21243912772833981</v>
      </c>
      <c r="BB58" s="74">
        <f t="shared" si="42"/>
        <v>5.2819526305704925E-2</v>
      </c>
      <c r="BC58" s="74">
        <f t="shared" si="43"/>
        <v>5.2819526305704925E-2</v>
      </c>
      <c r="BD58" s="74">
        <f t="shared" si="44"/>
        <v>3.5716292200938533E-2</v>
      </c>
      <c r="BE58" s="75">
        <f t="shared" si="45"/>
        <v>5.2819526305704925E-2</v>
      </c>
    </row>
    <row r="59" spans="1:57" x14ac:dyDescent="0.35">
      <c r="A59" s="38" t="s">
        <v>46</v>
      </c>
      <c r="B59" s="35" t="s">
        <v>66</v>
      </c>
      <c r="C59" s="47">
        <f t="shared" si="9"/>
        <v>0</v>
      </c>
      <c r="D59" s="23">
        <f t="shared" si="10"/>
        <v>0</v>
      </c>
      <c r="E59" s="50">
        <f>[1]data!E59-[1]data!E21</f>
        <v>0</v>
      </c>
      <c r="F59" s="36">
        <f>[1]data!F59-[1]data!F21</f>
        <v>0</v>
      </c>
      <c r="G59" s="36">
        <f>[1]data!G59-[1]data!G21</f>
        <v>0</v>
      </c>
      <c r="H59" s="25">
        <f t="shared" si="11"/>
        <v>0</v>
      </c>
      <c r="I59" s="36">
        <f>[1]data!I59-[1]data!I21</f>
        <v>0</v>
      </c>
      <c r="J59" s="36">
        <f>[1]data!J59-[1]data!J21</f>
        <v>0</v>
      </c>
      <c r="K59" s="36">
        <f>[1]data!K59-[1]data!K21</f>
        <v>0</v>
      </c>
      <c r="L59" s="25">
        <f t="shared" si="12"/>
        <v>0</v>
      </c>
      <c r="M59" s="25">
        <f t="shared" si="13"/>
        <v>0</v>
      </c>
      <c r="N59" s="25">
        <f t="shared" si="14"/>
        <v>0</v>
      </c>
      <c r="O59" s="25">
        <f t="shared" si="46"/>
        <v>0</v>
      </c>
      <c r="P59" s="24">
        <f t="shared" si="15"/>
        <v>0</v>
      </c>
      <c r="Q59" s="37">
        <f t="shared" si="16"/>
        <v>0</v>
      </c>
      <c r="R59" s="37">
        <f t="shared" si="17"/>
        <v>0</v>
      </c>
      <c r="S59" s="37">
        <f t="shared" si="0"/>
        <v>0</v>
      </c>
      <c r="T59" s="37">
        <f t="shared" si="1"/>
        <v>0</v>
      </c>
      <c r="U59" s="37">
        <f t="shared" si="2"/>
        <v>0</v>
      </c>
      <c r="V59" s="25">
        <f t="shared" si="18"/>
        <v>0</v>
      </c>
      <c r="W59" s="25">
        <f t="shared" si="19"/>
        <v>0</v>
      </c>
      <c r="X59" s="37">
        <f t="shared" si="20"/>
        <v>0</v>
      </c>
      <c r="Y59" s="37">
        <f t="shared" si="3"/>
        <v>0</v>
      </c>
      <c r="Z59" s="37">
        <f t="shared" si="4"/>
        <v>0</v>
      </c>
      <c r="AA59" s="37">
        <f t="shared" si="5"/>
        <v>0</v>
      </c>
      <c r="AB59" s="37">
        <f t="shared" si="6"/>
        <v>0</v>
      </c>
      <c r="AC59" s="37">
        <f t="shared" si="7"/>
        <v>0</v>
      </c>
      <c r="AD59" s="26">
        <v>19.06914282116</v>
      </c>
      <c r="AE59" s="8">
        <v>20.729999827290001</v>
      </c>
      <c r="AF59" s="61">
        <f t="shared" si="21"/>
        <v>0</v>
      </c>
      <c r="AG59" s="61">
        <f t="shared" si="22"/>
        <v>0</v>
      </c>
      <c r="AH59" s="74">
        <v>0</v>
      </c>
      <c r="AI59" s="74">
        <v>0</v>
      </c>
      <c r="AJ59" s="74">
        <v>0</v>
      </c>
      <c r="AK59" s="74">
        <v>0</v>
      </c>
      <c r="AL59" s="74" t="e">
        <f t="shared" si="26"/>
        <v>#DIV/0!</v>
      </c>
      <c r="AM59" s="74">
        <v>0</v>
      </c>
      <c r="AN59" s="74" t="e">
        <f t="shared" si="28"/>
        <v>#DIV/0!</v>
      </c>
      <c r="AO59" s="74" t="e">
        <f t="shared" si="29"/>
        <v>#DIV/0!</v>
      </c>
      <c r="AP59" s="74" t="e">
        <f t="shared" si="30"/>
        <v>#DIV/0!</v>
      </c>
      <c r="AQ59" s="74" t="e">
        <f t="shared" si="31"/>
        <v>#DIV/0!</v>
      </c>
      <c r="AR59" s="74" t="e">
        <f t="shared" si="32"/>
        <v>#DIV/0!</v>
      </c>
      <c r="AS59" s="74" t="e">
        <f t="shared" si="33"/>
        <v>#DIV/0!</v>
      </c>
      <c r="AT59" s="74" t="e">
        <f t="shared" si="34"/>
        <v>#DIV/0!</v>
      </c>
      <c r="AU59" s="74" t="e">
        <f t="shared" si="35"/>
        <v>#DIV/0!</v>
      </c>
      <c r="AV59" s="74" t="e">
        <f t="shared" si="36"/>
        <v>#DIV/0!</v>
      </c>
      <c r="AW59" s="74" t="e">
        <f t="shared" si="37"/>
        <v>#DIV/0!</v>
      </c>
      <c r="AX59" s="74" t="e">
        <f t="shared" si="38"/>
        <v>#DIV/0!</v>
      </c>
      <c r="AY59" s="74" t="e">
        <f t="shared" si="39"/>
        <v>#DIV/0!</v>
      </c>
      <c r="AZ59" s="74" t="e">
        <f t="shared" si="40"/>
        <v>#DIV/0!</v>
      </c>
      <c r="BA59" s="74" t="e">
        <f t="shared" si="41"/>
        <v>#DIV/0!</v>
      </c>
      <c r="BB59" s="74">
        <f t="shared" si="42"/>
        <v>0</v>
      </c>
      <c r="BC59" s="74">
        <f t="shared" si="43"/>
        <v>0</v>
      </c>
      <c r="BD59" s="74">
        <f t="shared" si="44"/>
        <v>0</v>
      </c>
      <c r="BE59" s="75">
        <f t="shared" si="45"/>
        <v>0</v>
      </c>
    </row>
    <row r="60" spans="1:57" x14ac:dyDescent="0.35">
      <c r="A60" s="38" t="s">
        <v>47</v>
      </c>
      <c r="B60" s="35" t="s">
        <v>66</v>
      </c>
      <c r="C60" s="47">
        <f t="shared" si="9"/>
        <v>0</v>
      </c>
      <c r="D60" s="23">
        <f t="shared" si="10"/>
        <v>0</v>
      </c>
      <c r="E60" s="50">
        <f>[1]data!E60-[1]data!E22</f>
        <v>0</v>
      </c>
      <c r="F60" s="36">
        <f>[1]data!F60-[1]data!F22</f>
        <v>0</v>
      </c>
      <c r="G60" s="36">
        <f>[1]data!G60-[1]data!G22</f>
        <v>0</v>
      </c>
      <c r="H60" s="25">
        <f t="shared" si="11"/>
        <v>0</v>
      </c>
      <c r="I60" s="36">
        <f>[1]data!I60-[1]data!I22</f>
        <v>0</v>
      </c>
      <c r="J60" s="36">
        <f>[1]data!J60-[1]data!J22</f>
        <v>0</v>
      </c>
      <c r="K60" s="36">
        <f>[1]data!K60-[1]data!K22</f>
        <v>0</v>
      </c>
      <c r="L60" s="25">
        <f t="shared" si="12"/>
        <v>0</v>
      </c>
      <c r="M60" s="25">
        <f t="shared" si="13"/>
        <v>0</v>
      </c>
      <c r="N60" s="25">
        <f t="shared" si="14"/>
        <v>0</v>
      </c>
      <c r="O60" s="25">
        <f t="shared" si="46"/>
        <v>0</v>
      </c>
      <c r="P60" s="24">
        <f t="shared" si="15"/>
        <v>0</v>
      </c>
      <c r="Q60" s="37">
        <f t="shared" si="16"/>
        <v>0</v>
      </c>
      <c r="R60" s="37">
        <f t="shared" si="17"/>
        <v>0</v>
      </c>
      <c r="S60" s="37">
        <f t="shared" si="0"/>
        <v>0</v>
      </c>
      <c r="T60" s="37">
        <f t="shared" si="1"/>
        <v>0</v>
      </c>
      <c r="U60" s="37">
        <f t="shared" si="2"/>
        <v>0</v>
      </c>
      <c r="V60" s="25">
        <f t="shared" si="18"/>
        <v>0</v>
      </c>
      <c r="W60" s="25">
        <f t="shared" si="19"/>
        <v>0</v>
      </c>
      <c r="X60" s="37">
        <f t="shared" si="20"/>
        <v>0</v>
      </c>
      <c r="Y60" s="37">
        <f t="shared" si="3"/>
        <v>0</v>
      </c>
      <c r="Z60" s="37">
        <f t="shared" si="4"/>
        <v>0</v>
      </c>
      <c r="AA60" s="37">
        <f t="shared" si="5"/>
        <v>0</v>
      </c>
      <c r="AB60" s="37">
        <f t="shared" si="6"/>
        <v>0</v>
      </c>
      <c r="AC60" s="37">
        <f t="shared" si="7"/>
        <v>0</v>
      </c>
      <c r="AD60" s="26">
        <v>417.89075855828003</v>
      </c>
      <c r="AE60" s="8">
        <v>371.46659669328</v>
      </c>
      <c r="AF60" s="61">
        <f t="shared" si="21"/>
        <v>0</v>
      </c>
      <c r="AG60" s="61">
        <f t="shared" si="22"/>
        <v>0</v>
      </c>
      <c r="AH60" s="74">
        <v>0</v>
      </c>
      <c r="AI60" s="74">
        <v>0</v>
      </c>
      <c r="AJ60" s="74">
        <v>0</v>
      </c>
      <c r="AK60" s="74">
        <v>0</v>
      </c>
      <c r="AL60" s="74" t="e">
        <f t="shared" si="26"/>
        <v>#DIV/0!</v>
      </c>
      <c r="AM60" s="74">
        <v>0</v>
      </c>
      <c r="AN60" s="74" t="e">
        <f t="shared" si="28"/>
        <v>#DIV/0!</v>
      </c>
      <c r="AO60" s="74" t="e">
        <f t="shared" si="29"/>
        <v>#DIV/0!</v>
      </c>
      <c r="AP60" s="74" t="e">
        <f t="shared" si="30"/>
        <v>#DIV/0!</v>
      </c>
      <c r="AQ60" s="74" t="e">
        <f t="shared" si="31"/>
        <v>#DIV/0!</v>
      </c>
      <c r="AR60" s="74" t="e">
        <f t="shared" si="32"/>
        <v>#DIV/0!</v>
      </c>
      <c r="AS60" s="74" t="e">
        <f t="shared" si="33"/>
        <v>#DIV/0!</v>
      </c>
      <c r="AT60" s="74" t="e">
        <f t="shared" si="34"/>
        <v>#DIV/0!</v>
      </c>
      <c r="AU60" s="74" t="e">
        <f t="shared" si="35"/>
        <v>#DIV/0!</v>
      </c>
      <c r="AV60" s="74" t="e">
        <f t="shared" si="36"/>
        <v>#DIV/0!</v>
      </c>
      <c r="AW60" s="74" t="e">
        <f t="shared" si="37"/>
        <v>#DIV/0!</v>
      </c>
      <c r="AX60" s="74" t="e">
        <f t="shared" si="38"/>
        <v>#DIV/0!</v>
      </c>
      <c r="AY60" s="74" t="e">
        <f t="shared" si="39"/>
        <v>#DIV/0!</v>
      </c>
      <c r="AZ60" s="74" t="e">
        <f t="shared" si="40"/>
        <v>#DIV/0!</v>
      </c>
      <c r="BA60" s="74" t="e">
        <f t="shared" si="41"/>
        <v>#DIV/0!</v>
      </c>
      <c r="BB60" s="74">
        <f t="shared" si="42"/>
        <v>0</v>
      </c>
      <c r="BC60" s="74">
        <f t="shared" si="43"/>
        <v>0</v>
      </c>
      <c r="BD60" s="74">
        <f t="shared" si="44"/>
        <v>0</v>
      </c>
      <c r="BE60" s="75">
        <f t="shared" si="45"/>
        <v>0</v>
      </c>
    </row>
    <row r="61" spans="1:57" x14ac:dyDescent="0.35">
      <c r="A61" s="38" t="s">
        <v>48</v>
      </c>
      <c r="B61" s="35" t="s">
        <v>66</v>
      </c>
      <c r="C61" s="47">
        <f t="shared" si="9"/>
        <v>0</v>
      </c>
      <c r="D61" s="23">
        <f t="shared" si="10"/>
        <v>0</v>
      </c>
      <c r="E61" s="50">
        <f>[1]data!E61-[1]data!E23</f>
        <v>0</v>
      </c>
      <c r="F61" s="36">
        <f>[1]data!F61-[1]data!F23</f>
        <v>0</v>
      </c>
      <c r="G61" s="36">
        <f>[1]data!G61-[1]data!G23</f>
        <v>0</v>
      </c>
      <c r="H61" s="25">
        <f t="shared" si="11"/>
        <v>0</v>
      </c>
      <c r="I61" s="36">
        <f>[1]data!I61-[1]data!I23</f>
        <v>0</v>
      </c>
      <c r="J61" s="36">
        <f>[1]data!J61-[1]data!J23</f>
        <v>0</v>
      </c>
      <c r="K61" s="36">
        <f>[1]data!K61-[1]data!K23</f>
        <v>0</v>
      </c>
      <c r="L61" s="25">
        <f t="shared" si="12"/>
        <v>0</v>
      </c>
      <c r="M61" s="25">
        <f t="shared" si="13"/>
        <v>0</v>
      </c>
      <c r="N61" s="25">
        <f t="shared" si="14"/>
        <v>0</v>
      </c>
      <c r="O61" s="25">
        <f t="shared" si="46"/>
        <v>0</v>
      </c>
      <c r="P61" s="24">
        <f t="shared" si="15"/>
        <v>0</v>
      </c>
      <c r="Q61" s="37">
        <f t="shared" si="16"/>
        <v>0</v>
      </c>
      <c r="R61" s="37">
        <f t="shared" si="17"/>
        <v>0</v>
      </c>
      <c r="S61" s="37">
        <f t="shared" si="0"/>
        <v>0</v>
      </c>
      <c r="T61" s="37">
        <f t="shared" si="1"/>
        <v>0</v>
      </c>
      <c r="U61" s="37">
        <f t="shared" si="2"/>
        <v>0</v>
      </c>
      <c r="V61" s="25">
        <f t="shared" si="18"/>
        <v>0</v>
      </c>
      <c r="W61" s="25">
        <f t="shared" si="19"/>
        <v>0</v>
      </c>
      <c r="X61" s="37">
        <f t="shared" si="20"/>
        <v>0</v>
      </c>
      <c r="Y61" s="37">
        <f t="shared" si="3"/>
        <v>0</v>
      </c>
      <c r="Z61" s="37">
        <f t="shared" si="4"/>
        <v>0</v>
      </c>
      <c r="AA61" s="37">
        <f t="shared" si="5"/>
        <v>0</v>
      </c>
      <c r="AB61" s="37">
        <f t="shared" si="6"/>
        <v>0</v>
      </c>
      <c r="AC61" s="37">
        <f t="shared" si="7"/>
        <v>0</v>
      </c>
      <c r="AD61" s="26">
        <v>342.39670930134002</v>
      </c>
      <c r="AE61" s="8">
        <v>358.46025273358998</v>
      </c>
      <c r="AF61" s="61">
        <f t="shared" si="21"/>
        <v>0</v>
      </c>
      <c r="AG61" s="61">
        <f t="shared" si="22"/>
        <v>0</v>
      </c>
      <c r="AH61" s="74">
        <v>0</v>
      </c>
      <c r="AI61" s="74">
        <v>0</v>
      </c>
      <c r="AJ61" s="74">
        <v>0</v>
      </c>
      <c r="AK61" s="74">
        <v>0</v>
      </c>
      <c r="AL61" s="74" t="e">
        <f t="shared" si="26"/>
        <v>#DIV/0!</v>
      </c>
      <c r="AM61" s="74">
        <v>0</v>
      </c>
      <c r="AN61" s="74" t="e">
        <f t="shared" si="28"/>
        <v>#DIV/0!</v>
      </c>
      <c r="AO61" s="74" t="e">
        <f t="shared" si="29"/>
        <v>#DIV/0!</v>
      </c>
      <c r="AP61" s="74" t="e">
        <f t="shared" si="30"/>
        <v>#DIV/0!</v>
      </c>
      <c r="AQ61" s="74" t="e">
        <f t="shared" si="31"/>
        <v>#DIV/0!</v>
      </c>
      <c r="AR61" s="74" t="e">
        <f t="shared" si="32"/>
        <v>#DIV/0!</v>
      </c>
      <c r="AS61" s="74" t="e">
        <f t="shared" si="33"/>
        <v>#DIV/0!</v>
      </c>
      <c r="AT61" s="74" t="e">
        <f t="shared" si="34"/>
        <v>#DIV/0!</v>
      </c>
      <c r="AU61" s="74" t="e">
        <f t="shared" si="35"/>
        <v>#DIV/0!</v>
      </c>
      <c r="AV61" s="74" t="e">
        <f t="shared" si="36"/>
        <v>#DIV/0!</v>
      </c>
      <c r="AW61" s="74" t="e">
        <f t="shared" si="37"/>
        <v>#DIV/0!</v>
      </c>
      <c r="AX61" s="74" t="e">
        <f t="shared" si="38"/>
        <v>#DIV/0!</v>
      </c>
      <c r="AY61" s="74" t="e">
        <f t="shared" si="39"/>
        <v>#DIV/0!</v>
      </c>
      <c r="AZ61" s="74" t="e">
        <f t="shared" si="40"/>
        <v>#DIV/0!</v>
      </c>
      <c r="BA61" s="74" t="e">
        <f t="shared" si="41"/>
        <v>#DIV/0!</v>
      </c>
      <c r="BB61" s="74">
        <f t="shared" si="42"/>
        <v>0</v>
      </c>
      <c r="BC61" s="74">
        <f t="shared" si="43"/>
        <v>0</v>
      </c>
      <c r="BD61" s="74">
        <f t="shared" si="44"/>
        <v>0</v>
      </c>
      <c r="BE61" s="75">
        <f t="shared" si="45"/>
        <v>0</v>
      </c>
    </row>
    <row r="62" spans="1:57" x14ac:dyDescent="0.35">
      <c r="A62" s="38" t="s">
        <v>49</v>
      </c>
      <c r="B62" s="35" t="s">
        <v>66</v>
      </c>
      <c r="C62" s="47">
        <f t="shared" si="9"/>
        <v>0</v>
      </c>
      <c r="D62" s="23">
        <f t="shared" si="10"/>
        <v>0</v>
      </c>
      <c r="E62" s="50">
        <f>[1]data!E62-[1]data!E24</f>
        <v>0</v>
      </c>
      <c r="F62" s="36">
        <f>[1]data!F62-[1]data!F24</f>
        <v>0</v>
      </c>
      <c r="G62" s="36">
        <f>[1]data!G62-[1]data!G24</f>
        <v>0</v>
      </c>
      <c r="H62" s="25">
        <f t="shared" si="11"/>
        <v>0</v>
      </c>
      <c r="I62" s="36">
        <f>[1]data!I62-[1]data!I24</f>
        <v>0</v>
      </c>
      <c r="J62" s="36">
        <f>[1]data!J62-[1]data!J24</f>
        <v>0</v>
      </c>
      <c r="K62" s="36">
        <f>[1]data!K62-[1]data!K24</f>
        <v>0</v>
      </c>
      <c r="L62" s="25">
        <f t="shared" si="12"/>
        <v>0</v>
      </c>
      <c r="M62" s="25">
        <f t="shared" si="13"/>
        <v>0</v>
      </c>
      <c r="N62" s="25">
        <f t="shared" si="14"/>
        <v>0</v>
      </c>
      <c r="O62" s="25">
        <f t="shared" si="46"/>
        <v>0</v>
      </c>
      <c r="P62" s="24">
        <f t="shared" si="15"/>
        <v>0</v>
      </c>
      <c r="Q62" s="37">
        <f t="shared" si="16"/>
        <v>0</v>
      </c>
      <c r="R62" s="37">
        <f t="shared" si="17"/>
        <v>0</v>
      </c>
      <c r="S62" s="37">
        <f t="shared" si="0"/>
        <v>0</v>
      </c>
      <c r="T62" s="37">
        <f t="shared" si="1"/>
        <v>0</v>
      </c>
      <c r="U62" s="37">
        <f t="shared" si="2"/>
        <v>0</v>
      </c>
      <c r="V62" s="25">
        <f t="shared" si="18"/>
        <v>0</v>
      </c>
      <c r="W62" s="25">
        <f t="shared" si="19"/>
        <v>0</v>
      </c>
      <c r="X62" s="37">
        <f t="shared" si="20"/>
        <v>0</v>
      </c>
      <c r="Y62" s="37">
        <f t="shared" si="3"/>
        <v>0</v>
      </c>
      <c r="Z62" s="37">
        <f t="shared" si="4"/>
        <v>0</v>
      </c>
      <c r="AA62" s="37">
        <f t="shared" si="5"/>
        <v>0</v>
      </c>
      <c r="AB62" s="37">
        <f t="shared" si="6"/>
        <v>0</v>
      </c>
      <c r="AC62" s="37">
        <f t="shared" si="7"/>
        <v>0</v>
      </c>
      <c r="AD62" s="32">
        <v>55.422589739999999</v>
      </c>
      <c r="AE62" s="8">
        <v>30.160077523049999</v>
      </c>
      <c r="AF62" s="61">
        <f t="shared" si="21"/>
        <v>0</v>
      </c>
      <c r="AG62" s="61">
        <f t="shared" si="22"/>
        <v>0</v>
      </c>
      <c r="AH62" s="74">
        <v>0</v>
      </c>
      <c r="AI62" s="74">
        <v>0</v>
      </c>
      <c r="AJ62" s="74">
        <v>0</v>
      </c>
      <c r="AK62" s="74">
        <v>0</v>
      </c>
      <c r="AL62" s="74" t="e">
        <f t="shared" si="26"/>
        <v>#DIV/0!</v>
      </c>
      <c r="AM62" s="74">
        <v>0</v>
      </c>
      <c r="AN62" s="74" t="e">
        <f t="shared" si="28"/>
        <v>#DIV/0!</v>
      </c>
      <c r="AO62" s="74" t="e">
        <f t="shared" si="29"/>
        <v>#DIV/0!</v>
      </c>
      <c r="AP62" s="74" t="e">
        <f t="shared" si="30"/>
        <v>#DIV/0!</v>
      </c>
      <c r="AQ62" s="74" t="e">
        <f t="shared" si="31"/>
        <v>#DIV/0!</v>
      </c>
      <c r="AR62" s="74" t="e">
        <f t="shared" si="32"/>
        <v>#DIV/0!</v>
      </c>
      <c r="AS62" s="74" t="e">
        <f t="shared" si="33"/>
        <v>#DIV/0!</v>
      </c>
      <c r="AT62" s="74" t="e">
        <f t="shared" si="34"/>
        <v>#DIV/0!</v>
      </c>
      <c r="AU62" s="74" t="e">
        <f t="shared" si="35"/>
        <v>#DIV/0!</v>
      </c>
      <c r="AV62" s="74" t="e">
        <f t="shared" si="36"/>
        <v>#DIV/0!</v>
      </c>
      <c r="AW62" s="74" t="e">
        <f t="shared" si="37"/>
        <v>#DIV/0!</v>
      </c>
      <c r="AX62" s="74" t="e">
        <f t="shared" si="38"/>
        <v>#DIV/0!</v>
      </c>
      <c r="AY62" s="74" t="e">
        <f t="shared" si="39"/>
        <v>#DIV/0!</v>
      </c>
      <c r="AZ62" s="74" t="e">
        <f t="shared" si="40"/>
        <v>#DIV/0!</v>
      </c>
      <c r="BA62" s="74" t="e">
        <f t="shared" si="41"/>
        <v>#DIV/0!</v>
      </c>
      <c r="BB62" s="74">
        <f t="shared" si="42"/>
        <v>0</v>
      </c>
      <c r="BC62" s="74">
        <f t="shared" si="43"/>
        <v>0</v>
      </c>
      <c r="BD62" s="74">
        <f t="shared" si="44"/>
        <v>0</v>
      </c>
      <c r="BE62" s="75">
        <f t="shared" si="45"/>
        <v>0</v>
      </c>
    </row>
    <row r="63" spans="1:57" x14ac:dyDescent="0.35">
      <c r="A63" s="38" t="s">
        <v>50</v>
      </c>
      <c r="B63" s="35" t="s">
        <v>66</v>
      </c>
      <c r="C63" s="47">
        <f t="shared" si="9"/>
        <v>0</v>
      </c>
      <c r="D63" s="23">
        <f t="shared" si="10"/>
        <v>0</v>
      </c>
      <c r="E63" s="50">
        <f>[1]data!E63-[1]data!E25</f>
        <v>0</v>
      </c>
      <c r="F63" s="36">
        <f>[1]data!F63-[1]data!F25</f>
        <v>0</v>
      </c>
      <c r="G63" s="36">
        <f>[1]data!G63-[1]data!G25</f>
        <v>0</v>
      </c>
      <c r="H63" s="25">
        <f t="shared" si="11"/>
        <v>0</v>
      </c>
      <c r="I63" s="36">
        <f>[1]data!I63-[1]data!I25</f>
        <v>0</v>
      </c>
      <c r="J63" s="36">
        <f>[1]data!J63-[1]data!J25</f>
        <v>0</v>
      </c>
      <c r="K63" s="36">
        <f>[1]data!K63-[1]data!K25</f>
        <v>0</v>
      </c>
      <c r="L63" s="25">
        <f t="shared" si="12"/>
        <v>0</v>
      </c>
      <c r="M63" s="25">
        <f t="shared" si="13"/>
        <v>0</v>
      </c>
      <c r="N63" s="25">
        <f t="shared" si="14"/>
        <v>0</v>
      </c>
      <c r="O63" s="25">
        <f t="shared" si="46"/>
        <v>0</v>
      </c>
      <c r="P63" s="24">
        <f t="shared" si="15"/>
        <v>0</v>
      </c>
      <c r="Q63" s="37">
        <f t="shared" si="16"/>
        <v>0</v>
      </c>
      <c r="R63" s="37">
        <f t="shared" si="17"/>
        <v>0</v>
      </c>
      <c r="S63" s="37">
        <f t="shared" si="0"/>
        <v>0</v>
      </c>
      <c r="T63" s="37">
        <f t="shared" si="1"/>
        <v>0</v>
      </c>
      <c r="U63" s="37">
        <f t="shared" si="2"/>
        <v>0</v>
      </c>
      <c r="V63" s="25">
        <f t="shared" si="18"/>
        <v>0</v>
      </c>
      <c r="W63" s="25">
        <f t="shared" si="19"/>
        <v>0</v>
      </c>
      <c r="X63" s="37">
        <f t="shared" si="20"/>
        <v>0</v>
      </c>
      <c r="Y63" s="37">
        <f t="shared" si="3"/>
        <v>0</v>
      </c>
      <c r="Z63" s="37">
        <f t="shared" si="4"/>
        <v>0</v>
      </c>
      <c r="AA63" s="37">
        <f t="shared" si="5"/>
        <v>0</v>
      </c>
      <c r="AB63" s="37">
        <f t="shared" si="6"/>
        <v>0</v>
      </c>
      <c r="AC63" s="37">
        <f t="shared" si="7"/>
        <v>0</v>
      </c>
      <c r="AD63" s="26">
        <v>97.136073348400004</v>
      </c>
      <c r="AE63" s="8">
        <v>48.216768505140003</v>
      </c>
      <c r="AF63" s="61">
        <f t="shared" si="21"/>
        <v>0</v>
      </c>
      <c r="AG63" s="61">
        <f t="shared" si="22"/>
        <v>0</v>
      </c>
      <c r="AH63" s="74">
        <v>0</v>
      </c>
      <c r="AI63" s="74">
        <v>0</v>
      </c>
      <c r="AJ63" s="74">
        <v>0</v>
      </c>
      <c r="AK63" s="74">
        <v>0</v>
      </c>
      <c r="AL63" s="74" t="e">
        <f t="shared" si="26"/>
        <v>#DIV/0!</v>
      </c>
      <c r="AM63" s="74">
        <v>0</v>
      </c>
      <c r="AN63" s="74" t="e">
        <f t="shared" si="28"/>
        <v>#DIV/0!</v>
      </c>
      <c r="AO63" s="74" t="e">
        <f t="shared" si="29"/>
        <v>#DIV/0!</v>
      </c>
      <c r="AP63" s="74" t="e">
        <f t="shared" si="30"/>
        <v>#DIV/0!</v>
      </c>
      <c r="AQ63" s="74" t="e">
        <f t="shared" si="31"/>
        <v>#DIV/0!</v>
      </c>
      <c r="AR63" s="74" t="e">
        <f t="shared" si="32"/>
        <v>#DIV/0!</v>
      </c>
      <c r="AS63" s="74" t="e">
        <f t="shared" si="33"/>
        <v>#DIV/0!</v>
      </c>
      <c r="AT63" s="74" t="e">
        <f t="shared" si="34"/>
        <v>#DIV/0!</v>
      </c>
      <c r="AU63" s="74" t="e">
        <f t="shared" si="35"/>
        <v>#DIV/0!</v>
      </c>
      <c r="AV63" s="74" t="e">
        <f t="shared" si="36"/>
        <v>#DIV/0!</v>
      </c>
      <c r="AW63" s="74" t="e">
        <f t="shared" si="37"/>
        <v>#DIV/0!</v>
      </c>
      <c r="AX63" s="74" t="e">
        <f t="shared" si="38"/>
        <v>#DIV/0!</v>
      </c>
      <c r="AY63" s="74" t="e">
        <f t="shared" si="39"/>
        <v>#DIV/0!</v>
      </c>
      <c r="AZ63" s="74" t="e">
        <f t="shared" si="40"/>
        <v>#DIV/0!</v>
      </c>
      <c r="BA63" s="74" t="e">
        <f t="shared" si="41"/>
        <v>#DIV/0!</v>
      </c>
      <c r="BB63" s="74">
        <f t="shared" si="42"/>
        <v>0</v>
      </c>
      <c r="BC63" s="74">
        <f t="shared" si="43"/>
        <v>0</v>
      </c>
      <c r="BD63" s="74">
        <f t="shared" si="44"/>
        <v>0</v>
      </c>
      <c r="BE63" s="75">
        <f t="shared" si="45"/>
        <v>0</v>
      </c>
    </row>
    <row r="64" spans="1:57" x14ac:dyDescent="0.35">
      <c r="A64" s="38" t="s">
        <v>51</v>
      </c>
      <c r="B64" s="35" t="s">
        <v>66</v>
      </c>
      <c r="C64" s="47">
        <f t="shared" si="9"/>
        <v>0</v>
      </c>
      <c r="D64" s="23">
        <f t="shared" si="10"/>
        <v>0</v>
      </c>
      <c r="E64" s="50">
        <f>[1]data!E64-[1]data!E26</f>
        <v>0</v>
      </c>
      <c r="F64" s="36">
        <f>[1]data!F64-[1]data!F26</f>
        <v>0</v>
      </c>
      <c r="G64" s="36">
        <f>[1]data!G64-[1]data!G26</f>
        <v>0</v>
      </c>
      <c r="H64" s="25">
        <f t="shared" si="11"/>
        <v>0</v>
      </c>
      <c r="I64" s="36">
        <f>[1]data!I64-[1]data!I26</f>
        <v>0</v>
      </c>
      <c r="J64" s="36">
        <f>[1]data!J64-[1]data!J26</f>
        <v>0</v>
      </c>
      <c r="K64" s="36">
        <f>[1]data!K64-[1]data!K26</f>
        <v>0</v>
      </c>
      <c r="L64" s="25">
        <f t="shared" si="12"/>
        <v>0</v>
      </c>
      <c r="M64" s="25">
        <f t="shared" si="13"/>
        <v>0</v>
      </c>
      <c r="N64" s="25">
        <f t="shared" si="14"/>
        <v>0</v>
      </c>
      <c r="O64" s="25">
        <f t="shared" si="46"/>
        <v>0</v>
      </c>
      <c r="P64" s="24">
        <f t="shared" si="15"/>
        <v>0</v>
      </c>
      <c r="Q64" s="37">
        <f t="shared" si="16"/>
        <v>0</v>
      </c>
      <c r="R64" s="37">
        <f t="shared" si="17"/>
        <v>0</v>
      </c>
      <c r="S64" s="37">
        <f t="shared" si="0"/>
        <v>0</v>
      </c>
      <c r="T64" s="37">
        <f t="shared" si="1"/>
        <v>0</v>
      </c>
      <c r="U64" s="37">
        <f t="shared" si="2"/>
        <v>0</v>
      </c>
      <c r="V64" s="25">
        <f t="shared" si="18"/>
        <v>0</v>
      </c>
      <c r="W64" s="25">
        <f t="shared" si="19"/>
        <v>0</v>
      </c>
      <c r="X64" s="37">
        <f t="shared" si="20"/>
        <v>0</v>
      </c>
      <c r="Y64" s="37">
        <f t="shared" si="3"/>
        <v>0</v>
      </c>
      <c r="Z64" s="37">
        <f t="shared" si="4"/>
        <v>0</v>
      </c>
      <c r="AA64" s="37">
        <f t="shared" si="5"/>
        <v>0</v>
      </c>
      <c r="AB64" s="37">
        <f t="shared" si="6"/>
        <v>0</v>
      </c>
      <c r="AC64" s="37">
        <f t="shared" si="7"/>
        <v>0</v>
      </c>
      <c r="AD64" s="26">
        <v>66.343484468840003</v>
      </c>
      <c r="AE64" s="8">
        <v>66.557495896739994</v>
      </c>
      <c r="AF64" s="61">
        <f t="shared" si="21"/>
        <v>0</v>
      </c>
      <c r="AG64" s="61">
        <f t="shared" si="22"/>
        <v>0</v>
      </c>
      <c r="AH64" s="74">
        <v>0</v>
      </c>
      <c r="AI64" s="74">
        <v>0</v>
      </c>
      <c r="AJ64" s="74">
        <v>0</v>
      </c>
      <c r="AK64" s="74">
        <v>0</v>
      </c>
      <c r="AL64" s="74" t="e">
        <f t="shared" si="26"/>
        <v>#DIV/0!</v>
      </c>
      <c r="AM64" s="74">
        <v>0</v>
      </c>
      <c r="AN64" s="74" t="e">
        <f t="shared" si="28"/>
        <v>#DIV/0!</v>
      </c>
      <c r="AO64" s="74" t="e">
        <f t="shared" si="29"/>
        <v>#DIV/0!</v>
      </c>
      <c r="AP64" s="74" t="e">
        <f t="shared" si="30"/>
        <v>#DIV/0!</v>
      </c>
      <c r="AQ64" s="74" t="e">
        <f t="shared" si="31"/>
        <v>#DIV/0!</v>
      </c>
      <c r="AR64" s="74" t="e">
        <f t="shared" si="32"/>
        <v>#DIV/0!</v>
      </c>
      <c r="AS64" s="74" t="e">
        <f t="shared" si="33"/>
        <v>#DIV/0!</v>
      </c>
      <c r="AT64" s="74" t="e">
        <f t="shared" si="34"/>
        <v>#DIV/0!</v>
      </c>
      <c r="AU64" s="74" t="e">
        <f t="shared" si="35"/>
        <v>#DIV/0!</v>
      </c>
      <c r="AV64" s="74" t="e">
        <f t="shared" si="36"/>
        <v>#DIV/0!</v>
      </c>
      <c r="AW64" s="74" t="e">
        <f t="shared" si="37"/>
        <v>#DIV/0!</v>
      </c>
      <c r="AX64" s="74" t="e">
        <f t="shared" si="38"/>
        <v>#DIV/0!</v>
      </c>
      <c r="AY64" s="74" t="e">
        <f t="shared" si="39"/>
        <v>#DIV/0!</v>
      </c>
      <c r="AZ64" s="74" t="e">
        <f t="shared" si="40"/>
        <v>#DIV/0!</v>
      </c>
      <c r="BA64" s="74" t="e">
        <f t="shared" si="41"/>
        <v>#DIV/0!</v>
      </c>
      <c r="BB64" s="74">
        <f t="shared" si="42"/>
        <v>0</v>
      </c>
      <c r="BC64" s="74">
        <f t="shared" si="43"/>
        <v>0</v>
      </c>
      <c r="BD64" s="74">
        <f t="shared" si="44"/>
        <v>0</v>
      </c>
      <c r="BE64" s="75">
        <f t="shared" si="45"/>
        <v>0</v>
      </c>
    </row>
    <row r="65" spans="1:57" x14ac:dyDescent="0.35">
      <c r="A65" s="38" t="s">
        <v>52</v>
      </c>
      <c r="B65" s="35" t="s">
        <v>66</v>
      </c>
      <c r="C65" s="47">
        <f t="shared" si="9"/>
        <v>11.987077390271075</v>
      </c>
      <c r="D65" s="23">
        <f t="shared" si="10"/>
        <v>11.987077390271075</v>
      </c>
      <c r="E65" s="50">
        <f>[1]data!E65-[1]data!E27</f>
        <v>0.76498244929870585</v>
      </c>
      <c r="F65" s="36">
        <f>[1]data!F65-[1]data!F27</f>
        <v>11.222094940972369</v>
      </c>
      <c r="G65" s="36">
        <f>[1]data!G65-[1]data!G27</f>
        <v>0</v>
      </c>
      <c r="H65" s="25">
        <f t="shared" si="11"/>
        <v>33.440661355057721</v>
      </c>
      <c r="I65" s="36">
        <f>[1]data!I65-[1]data!I27</f>
        <v>0</v>
      </c>
      <c r="J65" s="36">
        <f>[1]data!J65-[1]data!J27</f>
        <v>33.440661355057721</v>
      </c>
      <c r="K65" s="36">
        <f>[1]data!K65-[1]data!K27</f>
        <v>0</v>
      </c>
      <c r="L65" s="25">
        <f t="shared" si="12"/>
        <v>1.4266077091702383</v>
      </c>
      <c r="M65" s="25">
        <f t="shared" si="13"/>
        <v>1.4266077091702383</v>
      </c>
      <c r="N65" s="25">
        <f t="shared" si="14"/>
        <v>1.2855595861995615</v>
      </c>
      <c r="O65" s="25">
        <f t="shared" si="46"/>
        <v>1.2855595861995615</v>
      </c>
      <c r="P65" s="24">
        <f t="shared" si="15"/>
        <v>9.1042196860696603E-2</v>
      </c>
      <c r="Q65" s="37">
        <f t="shared" si="16"/>
        <v>8.2040891949904396E-2</v>
      </c>
      <c r="R65" s="37">
        <f t="shared" si="17"/>
        <v>1.3355655123095416</v>
      </c>
      <c r="S65" s="37">
        <f t="shared" si="0"/>
        <v>1.203518694249657</v>
      </c>
      <c r="T65" s="37">
        <f t="shared" si="1"/>
        <v>0</v>
      </c>
      <c r="U65" s="37">
        <f t="shared" si="2"/>
        <v>0</v>
      </c>
      <c r="V65" s="25">
        <f t="shared" si="18"/>
        <v>3.9798446056247383</v>
      </c>
      <c r="W65" s="25">
        <f t="shared" si="19"/>
        <v>3.5863589909529647</v>
      </c>
      <c r="X65" s="37">
        <f t="shared" si="20"/>
        <v>0</v>
      </c>
      <c r="Y65" s="37">
        <f t="shared" si="3"/>
        <v>0</v>
      </c>
      <c r="Z65" s="37">
        <f t="shared" si="4"/>
        <v>3.9798446056247383</v>
      </c>
      <c r="AA65" s="37">
        <f t="shared" si="5"/>
        <v>3.5863589909529647</v>
      </c>
      <c r="AB65" s="37">
        <f t="shared" si="6"/>
        <v>0</v>
      </c>
      <c r="AC65" s="37">
        <f t="shared" si="7"/>
        <v>0</v>
      </c>
      <c r="AD65" s="26">
        <v>932.44043441874999</v>
      </c>
      <c r="AE65" s="8">
        <v>840.25042856688003</v>
      </c>
      <c r="AF65" s="61">
        <f t="shared" si="21"/>
        <v>45.427738745328796</v>
      </c>
      <c r="AG65" s="61">
        <f t="shared" si="22"/>
        <v>45.427738745328796</v>
      </c>
      <c r="AH65" s="74">
        <f t="shared" si="23"/>
        <v>0.2638713200644105</v>
      </c>
      <c r="AI65" s="74">
        <f>D65/AG65</f>
        <v>0.2638713200644105</v>
      </c>
      <c r="AJ65" s="74">
        <f t="shared" si="25"/>
        <v>0.2638713200644105</v>
      </c>
      <c r="AK65" s="74">
        <f>$D65/(AF65)</f>
        <v>0.2638713200644105</v>
      </c>
      <c r="AL65" s="74">
        <f t="shared" si="26"/>
        <v>0.24703177509856364</v>
      </c>
      <c r="AM65" s="74">
        <f t="shared" ref="AM65:AM96" si="50">(F65/(AF65))</f>
        <v>0.24703177509856364</v>
      </c>
      <c r="AN65" s="74">
        <f t="shared" si="28"/>
        <v>1.6839544965846814E-2</v>
      </c>
      <c r="AO65" s="74">
        <f t="shared" si="29"/>
        <v>1.6839544965846814E-2</v>
      </c>
      <c r="AP65" s="74">
        <f t="shared" si="30"/>
        <v>0</v>
      </c>
      <c r="AQ65" s="74">
        <f t="shared" si="31"/>
        <v>0</v>
      </c>
      <c r="AR65" s="74">
        <f t="shared" si="32"/>
        <v>0.93618273876169522</v>
      </c>
      <c r="AS65" s="74">
        <f t="shared" si="33"/>
        <v>6.3817261238304779E-2</v>
      </c>
      <c r="AT65" s="74">
        <f t="shared" si="34"/>
        <v>0.7361286799355895</v>
      </c>
      <c r="AU65" s="74">
        <f t="shared" si="35"/>
        <v>0.7361286799355895</v>
      </c>
      <c r="AV65" s="74">
        <f t="shared" si="36"/>
        <v>0</v>
      </c>
      <c r="AW65" s="74">
        <f t="shared" si="37"/>
        <v>0</v>
      </c>
      <c r="AX65" s="74">
        <f t="shared" si="38"/>
        <v>0.7361286799355895</v>
      </c>
      <c r="AY65" s="74">
        <f t="shared" si="39"/>
        <v>0.7361286799355895</v>
      </c>
      <c r="AZ65" s="74">
        <f t="shared" si="40"/>
        <v>0</v>
      </c>
      <c r="BA65" s="74">
        <f t="shared" si="41"/>
        <v>1</v>
      </c>
      <c r="BB65" s="74">
        <f t="shared" si="42"/>
        <v>5.4064523147949767E-2</v>
      </c>
      <c r="BC65" s="74">
        <f t="shared" si="43"/>
        <v>5.4064523147949767E-2</v>
      </c>
      <c r="BD65" s="74">
        <f t="shared" si="44"/>
        <v>4.8719185771525259E-2</v>
      </c>
      <c r="BE65" s="75">
        <f t="shared" si="45"/>
        <v>5.4064523147949767E-2</v>
      </c>
    </row>
    <row r="66" spans="1:57" x14ac:dyDescent="0.35">
      <c r="A66" s="38" t="s">
        <v>53</v>
      </c>
      <c r="B66" s="35" t="s">
        <v>66</v>
      </c>
      <c r="C66" s="47">
        <f t="shared" si="9"/>
        <v>28.122546463795096</v>
      </c>
      <c r="D66" s="23">
        <f t="shared" si="10"/>
        <v>28.122546463795096</v>
      </c>
      <c r="E66" s="50">
        <f>[1]data!E66-[1]data!E28</f>
        <v>0</v>
      </c>
      <c r="F66" s="36">
        <f>[1]data!F66-[1]data!F28</f>
        <v>28.122546463795096</v>
      </c>
      <c r="G66" s="36">
        <f>[1]data!G66-[1]data!G28</f>
        <v>0</v>
      </c>
      <c r="H66" s="25">
        <f t="shared" si="11"/>
        <v>1.1458115023238649</v>
      </c>
      <c r="I66" s="36">
        <f>[1]data!I66-[1]data!I28</f>
        <v>1.1458115023238649</v>
      </c>
      <c r="J66" s="36">
        <f>[1]data!J66-[1]data!J28</f>
        <v>0</v>
      </c>
      <c r="K66" s="36">
        <f>[1]data!K66-[1]data!K28</f>
        <v>0</v>
      </c>
      <c r="L66" s="25">
        <f t="shared" si="12"/>
        <v>13.857629306420863</v>
      </c>
      <c r="M66" s="25">
        <f t="shared" si="13"/>
        <v>13.857629306420863</v>
      </c>
      <c r="N66" s="25">
        <f t="shared" si="14"/>
        <v>14.498115587265051</v>
      </c>
      <c r="O66" s="25">
        <f t="shared" si="46"/>
        <v>14.498115587265051</v>
      </c>
      <c r="P66" s="24">
        <f t="shared" si="15"/>
        <v>0</v>
      </c>
      <c r="Q66" s="37">
        <f t="shared" ref="Q66:Q129" si="51">($E66/$AD66)*100</f>
        <v>0</v>
      </c>
      <c r="R66" s="37">
        <f t="shared" ref="R66:R129" si="52">($F66/$AE66)*100</f>
        <v>13.857629306420863</v>
      </c>
      <c r="S66" s="37">
        <f t="shared" ref="S66:S129" si="53">($F66/$AD66)*100</f>
        <v>14.498115587265051</v>
      </c>
      <c r="T66" s="39">
        <f t="shared" ref="T66:T129" si="54">($G66/$AE66)*100</f>
        <v>0</v>
      </c>
      <c r="U66" s="37">
        <f t="shared" ref="U66:U129" si="55">($G66/$AD66)*100</f>
        <v>0</v>
      </c>
      <c r="V66" s="25">
        <f t="shared" si="18"/>
        <v>0.5646085810429331</v>
      </c>
      <c r="W66" s="25">
        <f t="shared" si="19"/>
        <v>0.5907042459080154</v>
      </c>
      <c r="X66" s="37">
        <f t="shared" ref="X66:X129" si="56">($I66/$AE66)*100</f>
        <v>0.5646085810429331</v>
      </c>
      <c r="Y66" s="37">
        <f t="shared" ref="Y66:Y129" si="57">($I66/AD66)*100</f>
        <v>0.5907042459080154</v>
      </c>
      <c r="Z66" s="37">
        <f t="shared" ref="Z66:Z129" si="58">($J66/$AE66)*100</f>
        <v>0</v>
      </c>
      <c r="AA66" s="37">
        <f t="shared" ref="AA66:AA129" si="59">($J66/$AD66)*100</f>
        <v>0</v>
      </c>
      <c r="AB66" s="37">
        <f t="shared" ref="AB66:AB129" si="60">($K66/$AE66)*100</f>
        <v>0</v>
      </c>
      <c r="AC66" s="37">
        <f t="shared" ref="AC66:AC129" si="61">($K66/$AD66)*100</f>
        <v>0</v>
      </c>
      <c r="AD66" s="26">
        <v>193.97380504054999</v>
      </c>
      <c r="AE66" s="8">
        <v>202.93908750153</v>
      </c>
      <c r="AF66" s="61">
        <f t="shared" si="21"/>
        <v>29.268357966118963</v>
      </c>
      <c r="AG66" s="61">
        <f t="shared" si="22"/>
        <v>29.268357966118963</v>
      </c>
      <c r="AH66" s="74">
        <f t="shared" si="23"/>
        <v>0.96085152765829029</v>
      </c>
      <c r="AI66" s="74">
        <f>D66/AG66</f>
        <v>0.96085152765829029</v>
      </c>
      <c r="AJ66" s="74">
        <f t="shared" si="25"/>
        <v>0.96085152765829029</v>
      </c>
      <c r="AK66" s="74">
        <f>$D66/(AF66)</f>
        <v>0.96085152765829029</v>
      </c>
      <c r="AL66" s="74">
        <f t="shared" si="26"/>
        <v>0.96085152765829029</v>
      </c>
      <c r="AM66" s="74">
        <f t="shared" si="50"/>
        <v>0.96085152765829029</v>
      </c>
      <c r="AN66" s="74">
        <f t="shared" si="28"/>
        <v>0</v>
      </c>
      <c r="AO66" s="74">
        <f t="shared" si="29"/>
        <v>0</v>
      </c>
      <c r="AP66" s="74">
        <f t="shared" si="30"/>
        <v>0</v>
      </c>
      <c r="AQ66" s="74">
        <f t="shared" si="31"/>
        <v>0</v>
      </c>
      <c r="AR66" s="74">
        <f t="shared" si="32"/>
        <v>1</v>
      </c>
      <c r="AS66" s="74">
        <f t="shared" si="33"/>
        <v>0</v>
      </c>
      <c r="AT66" s="74">
        <f t="shared" si="34"/>
        <v>3.9148472341709629E-2</v>
      </c>
      <c r="AU66" s="74">
        <f t="shared" si="35"/>
        <v>3.9148472341709629E-2</v>
      </c>
      <c r="AV66" s="74">
        <f t="shared" si="36"/>
        <v>3.9148472341709629E-2</v>
      </c>
      <c r="AW66" s="74">
        <f t="shared" si="37"/>
        <v>3.9148472341709629E-2</v>
      </c>
      <c r="AX66" s="74">
        <f t="shared" si="38"/>
        <v>0</v>
      </c>
      <c r="AY66" s="74">
        <f t="shared" si="39"/>
        <v>0</v>
      </c>
      <c r="AZ66" s="74">
        <f t="shared" si="40"/>
        <v>1</v>
      </c>
      <c r="BA66" s="74">
        <f t="shared" si="41"/>
        <v>0</v>
      </c>
      <c r="BB66" s="74">
        <f t="shared" si="42"/>
        <v>0.14422237887463796</v>
      </c>
      <c r="BC66" s="74">
        <f t="shared" si="43"/>
        <v>0.14422237887463796</v>
      </c>
      <c r="BD66" s="74">
        <f t="shared" si="44"/>
        <v>0.15088819833173064</v>
      </c>
      <c r="BE66" s="75">
        <f t="shared" si="45"/>
        <v>0.14422237887463796</v>
      </c>
    </row>
    <row r="67" spans="1:57" x14ac:dyDescent="0.35">
      <c r="A67" s="38" t="s">
        <v>54</v>
      </c>
      <c r="B67" s="35" t="s">
        <v>66</v>
      </c>
      <c r="C67" s="47">
        <f t="shared" ref="C67:C130" si="62">D67+G67</f>
        <v>0</v>
      </c>
      <c r="D67" s="23">
        <f t="shared" ref="D67:D130" si="63">E67+F67</f>
        <v>0</v>
      </c>
      <c r="E67" s="50">
        <f>[1]data!E67-[1]data!E29</f>
        <v>0</v>
      </c>
      <c r="F67" s="36">
        <f>[1]data!F67-[1]data!F29</f>
        <v>0</v>
      </c>
      <c r="G67" s="36">
        <f>[1]data!G67-[1]data!G29</f>
        <v>0</v>
      </c>
      <c r="H67" s="25">
        <f t="shared" ref="H67:H130" si="64">I67+J67</f>
        <v>7.1492515149594515</v>
      </c>
      <c r="I67" s="36">
        <f>[1]data!I67-[1]data!I29</f>
        <v>-0.35867162723845958</v>
      </c>
      <c r="J67" s="36">
        <f>[1]data!J67-[1]data!J29</f>
        <v>7.5079231421979111</v>
      </c>
      <c r="K67" s="36">
        <f>[1]data!K67-[1]data!K29</f>
        <v>0</v>
      </c>
      <c r="L67" s="25">
        <f t="shared" ref="L67:L130" si="65">M67+T67</f>
        <v>0</v>
      </c>
      <c r="M67" s="25">
        <f t="shared" ref="M67:M130" si="66">P67+R67</f>
        <v>0</v>
      </c>
      <c r="N67" s="25">
        <f t="shared" ref="N67:N130" si="67">Q67+S67+U67</f>
        <v>0</v>
      </c>
      <c r="O67" s="25">
        <f t="shared" ref="O67:O130" si="68">Q67+S67</f>
        <v>0</v>
      </c>
      <c r="P67" s="24">
        <f t="shared" ref="P67:P130" si="69">($E67/$AE67)*100</f>
        <v>0</v>
      </c>
      <c r="Q67" s="37">
        <f t="shared" si="51"/>
        <v>0</v>
      </c>
      <c r="R67" s="37">
        <f t="shared" si="52"/>
        <v>0</v>
      </c>
      <c r="S67" s="37">
        <f t="shared" si="53"/>
        <v>0</v>
      </c>
      <c r="T67" s="37">
        <f t="shared" si="54"/>
        <v>0</v>
      </c>
      <c r="U67" s="37">
        <f t="shared" si="55"/>
        <v>0</v>
      </c>
      <c r="V67" s="25">
        <f t="shared" ref="V67:V130" si="70">X67+Z67</f>
        <v>1.7426601170731046</v>
      </c>
      <c r="W67" s="25">
        <f t="shared" ref="W67:W130" si="71">Y67+AA67</f>
        <v>2.1634616992714966</v>
      </c>
      <c r="X67" s="37">
        <f t="shared" si="56"/>
        <v>-8.7427717238133848E-2</v>
      </c>
      <c r="Y67" s="37">
        <f t="shared" si="57"/>
        <v>-0.10853896055022087</v>
      </c>
      <c r="Z67" s="37">
        <f t="shared" si="58"/>
        <v>1.8300878343112386</v>
      </c>
      <c r="AA67" s="37">
        <f t="shared" si="59"/>
        <v>2.2720006598217175</v>
      </c>
      <c r="AB67" s="37">
        <f t="shared" si="60"/>
        <v>0</v>
      </c>
      <c r="AC67" s="37">
        <f t="shared" si="61"/>
        <v>0</v>
      </c>
      <c r="AD67" s="26">
        <v>330.45426768437</v>
      </c>
      <c r="AE67" s="8">
        <v>410.24933347112</v>
      </c>
      <c r="AF67" s="61">
        <f t="shared" ref="AF67:AF130" si="72">D67+H67</f>
        <v>7.1492515149594515</v>
      </c>
      <c r="AG67" s="61">
        <f t="shared" ref="AG67:AG126" si="73">(D67)+(H67)</f>
        <v>7.1492515149594515</v>
      </c>
      <c r="AH67" s="74">
        <f t="shared" ref="AH67:AH130" si="74">($D67/$AG67)</f>
        <v>0</v>
      </c>
      <c r="AI67" s="74">
        <f>D67/AG67</f>
        <v>0</v>
      </c>
      <c r="AJ67" s="74">
        <f t="shared" ref="AJ67:AJ130" si="75">(($D67)/(AF67))</f>
        <v>0</v>
      </c>
      <c r="AK67" s="74">
        <f>$D67/(AF67)</f>
        <v>0</v>
      </c>
      <c r="AL67" s="74">
        <f t="shared" ref="AL67:AL130" si="76">($F67/(AG67))</f>
        <v>0</v>
      </c>
      <c r="AM67" s="74">
        <f t="shared" si="50"/>
        <v>0</v>
      </c>
      <c r="AN67" s="74">
        <f t="shared" ref="AN67:AN130" si="77">($E67/AG67)</f>
        <v>0</v>
      </c>
      <c r="AO67" s="74">
        <f t="shared" ref="AO67:AO130" si="78">(E67/AF67)</f>
        <v>0</v>
      </c>
      <c r="AP67" s="74">
        <f t="shared" ref="AP67:AP130" si="79">($G67/$AG67)</f>
        <v>0</v>
      </c>
      <c r="AQ67" s="74">
        <f t="shared" ref="AQ67:AQ130" si="80">($G67/$AF67)</f>
        <v>0</v>
      </c>
      <c r="AR67" s="74" t="e">
        <f t="shared" ref="AR67:AR130" si="81">(F67/D67)</f>
        <v>#DIV/0!</v>
      </c>
      <c r="AS67" s="74" t="e">
        <f t="shared" ref="AS67:AS130" si="82">(E67/D67)</f>
        <v>#DIV/0!</v>
      </c>
      <c r="AT67" s="74">
        <f t="shared" ref="AT67:AT130" si="83">($H67/(AG67))</f>
        <v>1</v>
      </c>
      <c r="AU67" s="74">
        <f t="shared" ref="AU67:AU130" si="84">($H67/(AF67))</f>
        <v>1</v>
      </c>
      <c r="AV67" s="74">
        <f t="shared" ref="AV67:AV130" si="85">($I67/(AG67))</f>
        <v>-5.0169115814146015E-2</v>
      </c>
      <c r="AW67" s="74">
        <f t="shared" ref="AW67:AW130" si="86">($I67/(AF67))</f>
        <v>-5.0169115814146015E-2</v>
      </c>
      <c r="AX67" s="74">
        <f t="shared" ref="AX67:AX130" si="87">($J67/(AG67))</f>
        <v>1.050169115814146</v>
      </c>
      <c r="AY67" s="74">
        <f t="shared" ref="AY67:AY130" si="88">(J67/(AF67))</f>
        <v>1.050169115814146</v>
      </c>
      <c r="AZ67" s="74">
        <f t="shared" ref="AZ67:AZ130" si="89">(I67/H67)</f>
        <v>-5.0169115814146015E-2</v>
      </c>
      <c r="BA67" s="74">
        <f t="shared" ref="BA67:BA130" si="90">J67/H67</f>
        <v>1.050169115814146</v>
      </c>
      <c r="BB67" s="74">
        <f t="shared" ref="BB67:BB130" si="91">((AF67+G67)/AE67)</f>
        <v>1.7426601170731047E-2</v>
      </c>
      <c r="BC67" s="74">
        <f t="shared" ref="BC67:BC130" si="92">(AF67/AE67)</f>
        <v>1.7426601170731047E-2</v>
      </c>
      <c r="BD67" s="74">
        <f t="shared" ref="BD67:BD130" si="93">(AF67)/AD67</f>
        <v>2.1634616992714968E-2</v>
      </c>
      <c r="BE67" s="75">
        <f t="shared" ref="BE67:BE130" si="94">(AG67/AE67)</f>
        <v>1.7426601170731047E-2</v>
      </c>
    </row>
    <row r="68" spans="1:57" x14ac:dyDescent="0.35">
      <c r="A68" s="38" t="s">
        <v>55</v>
      </c>
      <c r="B68" s="35" t="s">
        <v>66</v>
      </c>
      <c r="C68" s="47">
        <f t="shared" si="62"/>
        <v>0</v>
      </c>
      <c r="D68" s="23">
        <f t="shared" si="63"/>
        <v>0</v>
      </c>
      <c r="E68" s="50">
        <f>[1]data!E68-[1]data!E30</f>
        <v>0</v>
      </c>
      <c r="F68" s="36">
        <f>[1]data!F68-[1]data!F30</f>
        <v>0</v>
      </c>
      <c r="G68" s="36">
        <f>[1]data!G68-[1]data!G30</f>
        <v>0</v>
      </c>
      <c r="H68" s="25">
        <f t="shared" si="64"/>
        <v>0</v>
      </c>
      <c r="I68" s="36">
        <f>[1]data!I68-[1]data!I30</f>
        <v>0</v>
      </c>
      <c r="J68" s="36">
        <f>[1]data!J68-[1]data!J30</f>
        <v>0</v>
      </c>
      <c r="K68" s="36">
        <f>[1]data!K68-[1]data!K30</f>
        <v>0</v>
      </c>
      <c r="L68" s="25">
        <f t="shared" si="65"/>
        <v>0</v>
      </c>
      <c r="M68" s="25">
        <f t="shared" si="66"/>
        <v>0</v>
      </c>
      <c r="N68" s="25">
        <f t="shared" si="67"/>
        <v>0</v>
      </c>
      <c r="O68" s="25">
        <f t="shared" si="68"/>
        <v>0</v>
      </c>
      <c r="P68" s="24">
        <f t="shared" si="69"/>
        <v>0</v>
      </c>
      <c r="Q68" s="37">
        <f t="shared" si="51"/>
        <v>0</v>
      </c>
      <c r="R68" s="37">
        <f t="shared" si="52"/>
        <v>0</v>
      </c>
      <c r="S68" s="37">
        <f t="shared" si="53"/>
        <v>0</v>
      </c>
      <c r="T68" s="37">
        <f t="shared" si="54"/>
        <v>0</v>
      </c>
      <c r="U68" s="37">
        <f t="shared" si="55"/>
        <v>0</v>
      </c>
      <c r="V68" s="25">
        <f t="shared" si="70"/>
        <v>0</v>
      </c>
      <c r="W68" s="25">
        <f t="shared" si="71"/>
        <v>0</v>
      </c>
      <c r="X68" s="37">
        <f t="shared" si="56"/>
        <v>0</v>
      </c>
      <c r="Y68" s="37">
        <f t="shared" si="57"/>
        <v>0</v>
      </c>
      <c r="Z68" s="37">
        <f t="shared" si="58"/>
        <v>0</v>
      </c>
      <c r="AA68" s="37">
        <f t="shared" si="59"/>
        <v>0</v>
      </c>
      <c r="AB68" s="37">
        <f t="shared" si="60"/>
        <v>0</v>
      </c>
      <c r="AC68" s="37">
        <f t="shared" si="61"/>
        <v>0</v>
      </c>
      <c r="AD68" s="26">
        <v>341.21592570296002</v>
      </c>
      <c r="AE68" s="8">
        <v>222.36238134761999</v>
      </c>
      <c r="AF68" s="61">
        <f t="shared" si="72"/>
        <v>0</v>
      </c>
      <c r="AG68" s="61">
        <f t="shared" si="73"/>
        <v>0</v>
      </c>
      <c r="AH68" s="74">
        <v>0</v>
      </c>
      <c r="AI68" s="74">
        <v>0</v>
      </c>
      <c r="AJ68" s="74">
        <v>0</v>
      </c>
      <c r="AK68" s="74">
        <v>0</v>
      </c>
      <c r="AL68" s="74" t="e">
        <f t="shared" si="76"/>
        <v>#DIV/0!</v>
      </c>
      <c r="AM68" s="74" t="e">
        <f t="shared" si="50"/>
        <v>#DIV/0!</v>
      </c>
      <c r="AN68" s="74" t="e">
        <f t="shared" si="77"/>
        <v>#DIV/0!</v>
      </c>
      <c r="AO68" s="74" t="e">
        <f t="shared" si="78"/>
        <v>#DIV/0!</v>
      </c>
      <c r="AP68" s="74" t="e">
        <f t="shared" si="79"/>
        <v>#DIV/0!</v>
      </c>
      <c r="AQ68" s="74" t="e">
        <f t="shared" si="80"/>
        <v>#DIV/0!</v>
      </c>
      <c r="AR68" s="74" t="e">
        <f t="shared" si="81"/>
        <v>#DIV/0!</v>
      </c>
      <c r="AS68" s="74" t="e">
        <f t="shared" si="82"/>
        <v>#DIV/0!</v>
      </c>
      <c r="AT68" s="74" t="e">
        <f t="shared" si="83"/>
        <v>#DIV/0!</v>
      </c>
      <c r="AU68" s="74" t="e">
        <f t="shared" si="84"/>
        <v>#DIV/0!</v>
      </c>
      <c r="AV68" s="74" t="e">
        <f t="shared" si="85"/>
        <v>#DIV/0!</v>
      </c>
      <c r="AW68" s="74" t="e">
        <f t="shared" si="86"/>
        <v>#DIV/0!</v>
      </c>
      <c r="AX68" s="74" t="e">
        <f t="shared" si="87"/>
        <v>#DIV/0!</v>
      </c>
      <c r="AY68" s="74" t="e">
        <f t="shared" si="88"/>
        <v>#DIV/0!</v>
      </c>
      <c r="AZ68" s="74" t="e">
        <f t="shared" si="89"/>
        <v>#DIV/0!</v>
      </c>
      <c r="BA68" s="74" t="e">
        <f t="shared" si="90"/>
        <v>#DIV/0!</v>
      </c>
      <c r="BB68" s="74">
        <f t="shared" si="91"/>
        <v>0</v>
      </c>
      <c r="BC68" s="74">
        <f t="shared" si="92"/>
        <v>0</v>
      </c>
      <c r="BD68" s="74">
        <f t="shared" si="93"/>
        <v>0</v>
      </c>
      <c r="BE68" s="75">
        <f t="shared" si="94"/>
        <v>0</v>
      </c>
    </row>
    <row r="69" spans="1:57" x14ac:dyDescent="0.35">
      <c r="A69" s="38" t="s">
        <v>56</v>
      </c>
      <c r="B69" s="35" t="s">
        <v>66</v>
      </c>
      <c r="C69" s="47">
        <f t="shared" si="62"/>
        <v>0</v>
      </c>
      <c r="D69" s="23">
        <f t="shared" si="63"/>
        <v>0</v>
      </c>
      <c r="E69" s="50">
        <f>[1]data!E69-[1]data!E31</f>
        <v>0</v>
      </c>
      <c r="F69" s="36">
        <f>[1]data!F69-[1]data!F31</f>
        <v>0</v>
      </c>
      <c r="G69" s="36">
        <f>[1]data!G69-[1]data!G31</f>
        <v>0</v>
      </c>
      <c r="H69" s="25">
        <f t="shared" si="64"/>
        <v>0</v>
      </c>
      <c r="I69" s="36">
        <f>[1]data!I69-[1]data!I31</f>
        <v>0</v>
      </c>
      <c r="J69" s="36">
        <f>[1]data!J69-[1]data!J31</f>
        <v>0</v>
      </c>
      <c r="K69" s="36">
        <f>[1]data!K69-[1]data!K31</f>
        <v>0</v>
      </c>
      <c r="L69" s="25">
        <f t="shared" si="65"/>
        <v>0</v>
      </c>
      <c r="M69" s="25">
        <f t="shared" si="66"/>
        <v>0</v>
      </c>
      <c r="N69" s="25">
        <f t="shared" si="67"/>
        <v>0</v>
      </c>
      <c r="O69" s="25">
        <f t="shared" si="68"/>
        <v>0</v>
      </c>
      <c r="P69" s="24">
        <f t="shared" si="69"/>
        <v>0</v>
      </c>
      <c r="Q69" s="37">
        <f t="shared" si="51"/>
        <v>0</v>
      </c>
      <c r="R69" s="37">
        <f t="shared" si="52"/>
        <v>0</v>
      </c>
      <c r="S69" s="37">
        <f t="shared" si="53"/>
        <v>0</v>
      </c>
      <c r="T69" s="37">
        <f t="shared" si="54"/>
        <v>0</v>
      </c>
      <c r="U69" s="37">
        <f t="shared" si="55"/>
        <v>0</v>
      </c>
      <c r="V69" s="25">
        <f t="shared" si="70"/>
        <v>0</v>
      </c>
      <c r="W69" s="25">
        <f t="shared" si="71"/>
        <v>0</v>
      </c>
      <c r="X69" s="37">
        <f t="shared" si="56"/>
        <v>0</v>
      </c>
      <c r="Y69" s="37">
        <f t="shared" si="57"/>
        <v>0</v>
      </c>
      <c r="Z69" s="37">
        <f t="shared" si="58"/>
        <v>0</v>
      </c>
      <c r="AA69" s="37">
        <f t="shared" si="59"/>
        <v>0</v>
      </c>
      <c r="AB69" s="37">
        <f t="shared" si="60"/>
        <v>0</v>
      </c>
      <c r="AC69" s="37">
        <f t="shared" si="61"/>
        <v>0</v>
      </c>
      <c r="AD69" s="26">
        <v>181.71174374815001</v>
      </c>
      <c r="AE69" s="8">
        <v>99.489061173690004</v>
      </c>
      <c r="AF69" s="61">
        <f t="shared" si="72"/>
        <v>0</v>
      </c>
      <c r="AG69" s="61">
        <f t="shared" si="73"/>
        <v>0</v>
      </c>
      <c r="AH69" s="74">
        <v>0</v>
      </c>
      <c r="AI69" s="74">
        <v>0</v>
      </c>
      <c r="AJ69" s="74">
        <v>0</v>
      </c>
      <c r="AK69" s="74">
        <v>0</v>
      </c>
      <c r="AL69" s="74" t="e">
        <f t="shared" si="76"/>
        <v>#DIV/0!</v>
      </c>
      <c r="AM69" s="74" t="e">
        <f t="shared" si="50"/>
        <v>#DIV/0!</v>
      </c>
      <c r="AN69" s="74" t="e">
        <f t="shared" si="77"/>
        <v>#DIV/0!</v>
      </c>
      <c r="AO69" s="74" t="e">
        <f t="shared" si="78"/>
        <v>#DIV/0!</v>
      </c>
      <c r="AP69" s="74" t="e">
        <f t="shared" si="79"/>
        <v>#DIV/0!</v>
      </c>
      <c r="AQ69" s="74" t="e">
        <f t="shared" si="80"/>
        <v>#DIV/0!</v>
      </c>
      <c r="AR69" s="74" t="e">
        <f t="shared" si="81"/>
        <v>#DIV/0!</v>
      </c>
      <c r="AS69" s="74" t="e">
        <f t="shared" si="82"/>
        <v>#DIV/0!</v>
      </c>
      <c r="AT69" s="74" t="e">
        <f t="shared" si="83"/>
        <v>#DIV/0!</v>
      </c>
      <c r="AU69" s="74" t="e">
        <f t="shared" si="84"/>
        <v>#DIV/0!</v>
      </c>
      <c r="AV69" s="74" t="e">
        <f t="shared" si="85"/>
        <v>#DIV/0!</v>
      </c>
      <c r="AW69" s="74" t="e">
        <f t="shared" si="86"/>
        <v>#DIV/0!</v>
      </c>
      <c r="AX69" s="74" t="e">
        <f t="shared" si="87"/>
        <v>#DIV/0!</v>
      </c>
      <c r="AY69" s="74" t="e">
        <f t="shared" si="88"/>
        <v>#DIV/0!</v>
      </c>
      <c r="AZ69" s="74" t="e">
        <f t="shared" si="89"/>
        <v>#DIV/0!</v>
      </c>
      <c r="BA69" s="74" t="e">
        <f t="shared" si="90"/>
        <v>#DIV/0!</v>
      </c>
      <c r="BB69" s="74">
        <f t="shared" si="91"/>
        <v>0</v>
      </c>
      <c r="BC69" s="74">
        <f t="shared" si="92"/>
        <v>0</v>
      </c>
      <c r="BD69" s="74">
        <f t="shared" si="93"/>
        <v>0</v>
      </c>
      <c r="BE69" s="75">
        <f t="shared" si="94"/>
        <v>0</v>
      </c>
    </row>
    <row r="70" spans="1:57" x14ac:dyDescent="0.35">
      <c r="A70" s="38" t="s">
        <v>57</v>
      </c>
      <c r="B70" s="35" t="s">
        <v>66</v>
      </c>
      <c r="C70" s="47">
        <f t="shared" si="62"/>
        <v>0</v>
      </c>
      <c r="D70" s="23">
        <f t="shared" si="63"/>
        <v>0</v>
      </c>
      <c r="E70" s="50">
        <f>[1]data!E70-[1]data!E32</f>
        <v>0</v>
      </c>
      <c r="F70" s="36">
        <f>[1]data!F70-[1]data!F32</f>
        <v>0</v>
      </c>
      <c r="G70" s="36">
        <f>[1]data!G70-[1]data!G32</f>
        <v>0</v>
      </c>
      <c r="H70" s="25">
        <f t="shared" si="64"/>
        <v>0</v>
      </c>
      <c r="I70" s="36">
        <f>[1]data!I70-[1]data!I32</f>
        <v>0</v>
      </c>
      <c r="J70" s="36">
        <f>[1]data!J70-[1]data!J32</f>
        <v>0</v>
      </c>
      <c r="K70" s="36">
        <f>[1]data!K70-[1]data!K32</f>
        <v>0</v>
      </c>
      <c r="L70" s="25">
        <f t="shared" si="65"/>
        <v>0</v>
      </c>
      <c r="M70" s="25">
        <f t="shared" si="66"/>
        <v>0</v>
      </c>
      <c r="N70" s="25">
        <f t="shared" si="67"/>
        <v>0</v>
      </c>
      <c r="O70" s="25">
        <f t="shared" si="68"/>
        <v>0</v>
      </c>
      <c r="P70" s="24">
        <f t="shared" si="69"/>
        <v>0</v>
      </c>
      <c r="Q70" s="37">
        <f t="shared" si="51"/>
        <v>0</v>
      </c>
      <c r="R70" s="37">
        <f t="shared" si="52"/>
        <v>0</v>
      </c>
      <c r="S70" s="37">
        <f t="shared" si="53"/>
        <v>0</v>
      </c>
      <c r="T70" s="37">
        <f t="shared" si="54"/>
        <v>0</v>
      </c>
      <c r="U70" s="37">
        <f t="shared" si="55"/>
        <v>0</v>
      </c>
      <c r="V70" s="25">
        <f t="shared" si="70"/>
        <v>0</v>
      </c>
      <c r="W70" s="25">
        <f t="shared" si="71"/>
        <v>0</v>
      </c>
      <c r="X70" s="37">
        <f t="shared" si="56"/>
        <v>0</v>
      </c>
      <c r="Y70" s="37">
        <f t="shared" si="57"/>
        <v>0</v>
      </c>
      <c r="Z70" s="37">
        <f t="shared" si="58"/>
        <v>0</v>
      </c>
      <c r="AA70" s="37">
        <f t="shared" si="59"/>
        <v>0</v>
      </c>
      <c r="AB70" s="37">
        <f t="shared" si="60"/>
        <v>0</v>
      </c>
      <c r="AC70" s="37">
        <f t="shared" si="61"/>
        <v>0</v>
      </c>
      <c r="AD70" s="26">
        <v>76.037366075549997</v>
      </c>
      <c r="AE70" s="8">
        <v>50.417977728389999</v>
      </c>
      <c r="AF70" s="61">
        <f t="shared" si="72"/>
        <v>0</v>
      </c>
      <c r="AG70" s="61">
        <f t="shared" si="73"/>
        <v>0</v>
      </c>
      <c r="AH70" s="74">
        <v>0</v>
      </c>
      <c r="AI70" s="74">
        <v>0</v>
      </c>
      <c r="AJ70" s="74">
        <v>0</v>
      </c>
      <c r="AK70" s="74">
        <v>0</v>
      </c>
      <c r="AL70" s="74" t="e">
        <f t="shared" si="76"/>
        <v>#DIV/0!</v>
      </c>
      <c r="AM70" s="74" t="e">
        <f t="shared" si="50"/>
        <v>#DIV/0!</v>
      </c>
      <c r="AN70" s="74" t="e">
        <f t="shared" si="77"/>
        <v>#DIV/0!</v>
      </c>
      <c r="AO70" s="74" t="e">
        <f t="shared" si="78"/>
        <v>#DIV/0!</v>
      </c>
      <c r="AP70" s="74" t="e">
        <f t="shared" si="79"/>
        <v>#DIV/0!</v>
      </c>
      <c r="AQ70" s="74" t="e">
        <f t="shared" si="80"/>
        <v>#DIV/0!</v>
      </c>
      <c r="AR70" s="74" t="e">
        <f t="shared" si="81"/>
        <v>#DIV/0!</v>
      </c>
      <c r="AS70" s="74" t="e">
        <f t="shared" si="82"/>
        <v>#DIV/0!</v>
      </c>
      <c r="AT70" s="74" t="e">
        <f t="shared" si="83"/>
        <v>#DIV/0!</v>
      </c>
      <c r="AU70" s="74" t="e">
        <f t="shared" si="84"/>
        <v>#DIV/0!</v>
      </c>
      <c r="AV70" s="74" t="e">
        <f t="shared" si="85"/>
        <v>#DIV/0!</v>
      </c>
      <c r="AW70" s="74" t="e">
        <f t="shared" si="86"/>
        <v>#DIV/0!</v>
      </c>
      <c r="AX70" s="74" t="e">
        <f t="shared" si="87"/>
        <v>#DIV/0!</v>
      </c>
      <c r="AY70" s="74" t="e">
        <f t="shared" si="88"/>
        <v>#DIV/0!</v>
      </c>
      <c r="AZ70" s="74" t="e">
        <f t="shared" si="89"/>
        <v>#DIV/0!</v>
      </c>
      <c r="BA70" s="74" t="e">
        <f t="shared" si="90"/>
        <v>#DIV/0!</v>
      </c>
      <c r="BB70" s="74">
        <f t="shared" si="91"/>
        <v>0</v>
      </c>
      <c r="BC70" s="74">
        <f t="shared" si="92"/>
        <v>0</v>
      </c>
      <c r="BD70" s="74">
        <f t="shared" si="93"/>
        <v>0</v>
      </c>
      <c r="BE70" s="75">
        <f t="shared" si="94"/>
        <v>0</v>
      </c>
    </row>
    <row r="71" spans="1:57" x14ac:dyDescent="0.35">
      <c r="A71" s="38" t="s">
        <v>58</v>
      </c>
      <c r="B71" s="35" t="s">
        <v>66</v>
      </c>
      <c r="C71" s="47">
        <f t="shared" si="62"/>
        <v>42.195951638160842</v>
      </c>
      <c r="D71" s="23">
        <f t="shared" si="63"/>
        <v>8.0837953905423294</v>
      </c>
      <c r="E71" s="50">
        <f>[1]data!E71-[1]data!E33</f>
        <v>0.8349841230760352</v>
      </c>
      <c r="F71" s="36">
        <f>[1]data!F71-[1]data!F33</f>
        <v>7.2488112674662943</v>
      </c>
      <c r="G71" s="36">
        <f>[1]data!G71-[1]data!G33</f>
        <v>34.112156247618515</v>
      </c>
      <c r="H71" s="25">
        <f t="shared" si="64"/>
        <v>-1.5797136210380351</v>
      </c>
      <c r="I71" s="36">
        <f>[1]data!I71-[1]data!I33</f>
        <v>0</v>
      </c>
      <c r="J71" s="36">
        <f>[1]data!J71-[1]data!J33</f>
        <v>-1.5797136210380351</v>
      </c>
      <c r="K71" s="36">
        <f>[1]data!K71-[1]data!K33</f>
        <v>0</v>
      </c>
      <c r="L71" s="25">
        <f t="shared" si="65"/>
        <v>7.6744849687808703</v>
      </c>
      <c r="M71" s="25">
        <f t="shared" si="66"/>
        <v>1.4702587287855091</v>
      </c>
      <c r="N71" s="25">
        <f t="shared" si="67"/>
        <v>8.0989612158605482</v>
      </c>
      <c r="O71" s="25">
        <f t="shared" si="68"/>
        <v>1.5515788316940111</v>
      </c>
      <c r="P71" s="24">
        <f t="shared" si="69"/>
        <v>0.15186464229242372</v>
      </c>
      <c r="Q71" s="37">
        <f t="shared" si="51"/>
        <v>0.16026428522437489</v>
      </c>
      <c r="R71" s="37">
        <f t="shared" si="52"/>
        <v>1.3183940864930854</v>
      </c>
      <c r="S71" s="37">
        <f t="shared" si="53"/>
        <v>1.3913145464696361</v>
      </c>
      <c r="T71" s="37">
        <f t="shared" si="54"/>
        <v>6.2042262399953607</v>
      </c>
      <c r="U71" s="37">
        <f t="shared" si="55"/>
        <v>6.5473823841665366</v>
      </c>
      <c r="V71" s="25">
        <f t="shared" si="70"/>
        <v>-0.28731401873801216</v>
      </c>
      <c r="W71" s="25">
        <f t="shared" si="71"/>
        <v>-0.30320537521384161</v>
      </c>
      <c r="X71" s="37">
        <f t="shared" si="56"/>
        <v>0</v>
      </c>
      <c r="Y71" s="37">
        <f t="shared" si="57"/>
        <v>0</v>
      </c>
      <c r="Z71" s="37">
        <f t="shared" si="58"/>
        <v>-0.28731401873801216</v>
      </c>
      <c r="AA71" s="37">
        <f t="shared" si="59"/>
        <v>-0.30320537521384161</v>
      </c>
      <c r="AB71" s="37">
        <f t="shared" si="60"/>
        <v>0</v>
      </c>
      <c r="AC71" s="37">
        <f t="shared" si="61"/>
        <v>0</v>
      </c>
      <c r="AD71" s="26">
        <v>521.00449074291998</v>
      </c>
      <c r="AE71" s="8">
        <v>549.82128194673999</v>
      </c>
      <c r="AF71" s="61">
        <f t="shared" si="72"/>
        <v>6.5040817695042943</v>
      </c>
      <c r="AG71" s="61">
        <f>(D71)+(H71*-1)</f>
        <v>9.6635090115803646</v>
      </c>
      <c r="AH71" s="74">
        <f t="shared" si="74"/>
        <v>0.83652795075319231</v>
      </c>
      <c r="AI71" s="74">
        <f t="shared" ref="AI71:AI96" si="95">D71/AG71</f>
        <v>0.83652795075319231</v>
      </c>
      <c r="AJ71" s="74">
        <f t="shared" si="75"/>
        <v>1.2428803445314669</v>
      </c>
      <c r="AK71" s="74">
        <f t="shared" ref="AK71:AK96" si="96">$D71/(AF71)</f>
        <v>1.2428803445314669</v>
      </c>
      <c r="AL71" s="74">
        <f t="shared" si="76"/>
        <v>0.75012205802049825</v>
      </c>
      <c r="AM71" s="74">
        <f t="shared" si="50"/>
        <v>1.1145018658058414</v>
      </c>
      <c r="AN71" s="74">
        <f t="shared" si="77"/>
        <v>8.6405892732694042E-2</v>
      </c>
      <c r="AO71" s="74">
        <f t="shared" si="78"/>
        <v>0.12837847872562541</v>
      </c>
      <c r="AP71" s="74">
        <f t="shared" si="79"/>
        <v>3.5299968372503057</v>
      </c>
      <c r="AQ71" s="74">
        <f t="shared" si="80"/>
        <v>5.2447305333029908</v>
      </c>
      <c r="AR71" s="74">
        <f t="shared" si="81"/>
        <v>0.89670889937999565</v>
      </c>
      <c r="AS71" s="74">
        <f t="shared" si="82"/>
        <v>0.10329110062000436</v>
      </c>
      <c r="AT71" s="74">
        <f t="shared" si="83"/>
        <v>-0.16347204924680767</v>
      </c>
      <c r="AU71" s="74">
        <f t="shared" si="84"/>
        <v>-0.24288034453146679</v>
      </c>
      <c r="AV71" s="74">
        <f t="shared" si="85"/>
        <v>0</v>
      </c>
      <c r="AW71" s="74">
        <f t="shared" si="86"/>
        <v>0</v>
      </c>
      <c r="AX71" s="74">
        <f t="shared" si="87"/>
        <v>-0.16347204924680767</v>
      </c>
      <c r="AY71" s="74">
        <f t="shared" si="88"/>
        <v>-0.24288034453146679</v>
      </c>
      <c r="AZ71" s="74">
        <f t="shared" si="89"/>
        <v>0</v>
      </c>
      <c r="BA71" s="74">
        <f t="shared" si="90"/>
        <v>1</v>
      </c>
      <c r="BB71" s="74">
        <f t="shared" si="91"/>
        <v>7.3871709500428581E-2</v>
      </c>
      <c r="BC71" s="74">
        <f t="shared" si="92"/>
        <v>1.182944710047497E-2</v>
      </c>
      <c r="BD71" s="74">
        <f t="shared" si="93"/>
        <v>1.2483734564801693E-2</v>
      </c>
      <c r="BE71" s="75">
        <f t="shared" si="94"/>
        <v>1.7575727475235212E-2</v>
      </c>
    </row>
    <row r="72" spans="1:57" x14ac:dyDescent="0.35">
      <c r="A72" s="38" t="s">
        <v>59</v>
      </c>
      <c r="B72" s="35" t="s">
        <v>66</v>
      </c>
      <c r="C72" s="47">
        <f t="shared" si="62"/>
        <v>30.27282054763505</v>
      </c>
      <c r="D72" s="23">
        <f t="shared" si="63"/>
        <v>30.27282054763505</v>
      </c>
      <c r="E72" s="50">
        <f>[1]data!E72-[1]data!E34</f>
        <v>2.6975353066185432</v>
      </c>
      <c r="F72" s="36">
        <f>[1]data!F72-[1]data!F34</f>
        <v>27.575285241016505</v>
      </c>
      <c r="G72" s="36">
        <f>[1]data!G72-[1]data!G34</f>
        <v>0</v>
      </c>
      <c r="H72" s="25">
        <f t="shared" si="64"/>
        <v>42.741449230002949</v>
      </c>
      <c r="I72" s="36">
        <f>[1]data!I72-[1]data!I34</f>
        <v>-0.10838709000000001</v>
      </c>
      <c r="J72" s="36">
        <f>[1]data!J72-[1]data!J34</f>
        <v>42.84983632000295</v>
      </c>
      <c r="K72" s="36">
        <f>[1]data!K72-[1]data!K34</f>
        <v>0</v>
      </c>
      <c r="L72" s="25">
        <f t="shared" si="65"/>
        <v>4.051990917785762</v>
      </c>
      <c r="M72" s="25">
        <f t="shared" si="66"/>
        <v>4.051990917785762</v>
      </c>
      <c r="N72" s="25">
        <f t="shared" si="67"/>
        <v>5.1239153771523451</v>
      </c>
      <c r="O72" s="25">
        <f t="shared" si="68"/>
        <v>5.1239153771523451</v>
      </c>
      <c r="P72" s="24">
        <f t="shared" si="69"/>
        <v>0.3610627739699882</v>
      </c>
      <c r="Q72" s="37">
        <f t="shared" si="51"/>
        <v>0.45657928095087619</v>
      </c>
      <c r="R72" s="37">
        <f t="shared" si="52"/>
        <v>3.6909281438157735</v>
      </c>
      <c r="S72" s="37">
        <f t="shared" si="53"/>
        <v>4.6673360962014687</v>
      </c>
      <c r="T72" s="37">
        <f t="shared" si="54"/>
        <v>0</v>
      </c>
      <c r="U72" s="37">
        <f t="shared" si="55"/>
        <v>0</v>
      </c>
      <c r="V72" s="25">
        <f t="shared" si="70"/>
        <v>5.7209061118192652</v>
      </c>
      <c r="W72" s="25">
        <f t="shared" si="71"/>
        <v>7.2343298374454648</v>
      </c>
      <c r="X72" s="37">
        <f t="shared" si="56"/>
        <v>-1.4507518504731386E-2</v>
      </c>
      <c r="Y72" s="37">
        <f t="shared" si="57"/>
        <v>-1.8345376053146827E-2</v>
      </c>
      <c r="Z72" s="37">
        <f t="shared" si="58"/>
        <v>5.7354136303239969</v>
      </c>
      <c r="AA72" s="37">
        <f t="shared" si="59"/>
        <v>7.2526752134986117</v>
      </c>
      <c r="AB72" s="37">
        <f t="shared" si="60"/>
        <v>0</v>
      </c>
      <c r="AC72" s="37">
        <f t="shared" si="61"/>
        <v>0</v>
      </c>
      <c r="AD72" s="26">
        <v>590.81421763174001</v>
      </c>
      <c r="AE72" s="8">
        <v>747.10978286638999</v>
      </c>
      <c r="AF72" s="61">
        <f t="shared" si="72"/>
        <v>73.014269777637992</v>
      </c>
      <c r="AG72" s="61">
        <f t="shared" si="73"/>
        <v>73.014269777637992</v>
      </c>
      <c r="AH72" s="74">
        <f t="shared" si="74"/>
        <v>0.41461512441101855</v>
      </c>
      <c r="AI72" s="74">
        <f t="shared" si="95"/>
        <v>0.41461512441101855</v>
      </c>
      <c r="AJ72" s="74">
        <f t="shared" si="75"/>
        <v>0.41461512441101855</v>
      </c>
      <c r="AK72" s="74">
        <f t="shared" si="96"/>
        <v>0.41461512441101855</v>
      </c>
      <c r="AL72" s="74">
        <f t="shared" si="76"/>
        <v>0.37766980790187893</v>
      </c>
      <c r="AM72" s="74">
        <f t="shared" si="50"/>
        <v>0.37766980790187893</v>
      </c>
      <c r="AN72" s="74">
        <f t="shared" si="77"/>
        <v>3.6945316509139625E-2</v>
      </c>
      <c r="AO72" s="74">
        <f t="shared" si="78"/>
        <v>3.6945316509139625E-2</v>
      </c>
      <c r="AP72" s="74">
        <f t="shared" si="79"/>
        <v>0</v>
      </c>
      <c r="AQ72" s="74">
        <f t="shared" si="80"/>
        <v>0</v>
      </c>
      <c r="AR72" s="74">
        <f t="shared" si="81"/>
        <v>0.91089250166254232</v>
      </c>
      <c r="AS72" s="74">
        <f t="shared" si="82"/>
        <v>8.9107498337457625E-2</v>
      </c>
      <c r="AT72" s="74">
        <f t="shared" si="83"/>
        <v>0.58538487558898156</v>
      </c>
      <c r="AU72" s="74">
        <f t="shared" si="84"/>
        <v>0.58538487558898156</v>
      </c>
      <c r="AV72" s="74">
        <f t="shared" si="85"/>
        <v>-1.4844644797529102E-3</v>
      </c>
      <c r="AW72" s="74">
        <f t="shared" si="86"/>
        <v>-1.4844644797529102E-3</v>
      </c>
      <c r="AX72" s="74">
        <f t="shared" si="87"/>
        <v>0.58686934006873448</v>
      </c>
      <c r="AY72" s="74">
        <f t="shared" si="88"/>
        <v>0.58686934006873448</v>
      </c>
      <c r="AZ72" s="74">
        <f t="shared" si="89"/>
        <v>-2.5358777475405817E-3</v>
      </c>
      <c r="BA72" s="74">
        <f t="shared" si="90"/>
        <v>1.0025358777475406</v>
      </c>
      <c r="BB72" s="74">
        <f t="shared" si="91"/>
        <v>9.7728970296050266E-2</v>
      </c>
      <c r="BC72" s="74">
        <f t="shared" si="92"/>
        <v>9.7728970296050266E-2</v>
      </c>
      <c r="BD72" s="74">
        <f t="shared" si="93"/>
        <v>0.12358245214597809</v>
      </c>
      <c r="BE72" s="75">
        <f t="shared" si="94"/>
        <v>9.7728970296050266E-2</v>
      </c>
    </row>
    <row r="73" spans="1:57" x14ac:dyDescent="0.35">
      <c r="A73" s="34" t="s">
        <v>60</v>
      </c>
      <c r="B73" s="35" t="s">
        <v>66</v>
      </c>
      <c r="C73" s="47">
        <f t="shared" si="62"/>
        <v>12.693842633135697</v>
      </c>
      <c r="D73" s="23">
        <f t="shared" si="63"/>
        <v>13.597478788559124</v>
      </c>
      <c r="E73" s="50">
        <f>[1]data!E73-[1]data!E35</f>
        <v>0.72138312864748477</v>
      </c>
      <c r="F73" s="36">
        <f>[1]data!F73-[1]data!F35</f>
        <v>12.876095659911639</v>
      </c>
      <c r="G73" s="36">
        <f>[1]data!G73-[1]data!G35</f>
        <v>-0.90363615542342712</v>
      </c>
      <c r="H73" s="25">
        <f t="shared" si="64"/>
        <v>3.1944951681043254</v>
      </c>
      <c r="I73" s="36">
        <f>[1]data!I73-[1]data!I35</f>
        <v>0.18207469297122714</v>
      </c>
      <c r="J73" s="36">
        <f>[1]data!J73-[1]data!J35</f>
        <v>3.0124204751330983</v>
      </c>
      <c r="K73" s="36">
        <f>[1]data!K73-[1]data!K35</f>
        <v>0</v>
      </c>
      <c r="L73" s="25">
        <f t="shared" si="65"/>
        <v>4.8457279455467939</v>
      </c>
      <c r="M73" s="25">
        <f t="shared" si="66"/>
        <v>5.1906806204374938</v>
      </c>
      <c r="N73" s="25">
        <f t="shared" si="67"/>
        <v>2.8765393927695295</v>
      </c>
      <c r="O73" s="25">
        <f t="shared" si="68"/>
        <v>3.0813115073237962</v>
      </c>
      <c r="P73" s="24">
        <f t="shared" si="69"/>
        <v>0.2753796850142286</v>
      </c>
      <c r="Q73" s="37">
        <f t="shared" si="51"/>
        <v>0.16347193255862985</v>
      </c>
      <c r="R73" s="37">
        <f t="shared" si="52"/>
        <v>4.9153009354232653</v>
      </c>
      <c r="S73" s="37">
        <f t="shared" si="53"/>
        <v>2.9178395747651664</v>
      </c>
      <c r="T73" s="37">
        <f t="shared" si="54"/>
        <v>-0.34495267489070014</v>
      </c>
      <c r="U73" s="37">
        <f t="shared" si="55"/>
        <v>-0.20477211455426667</v>
      </c>
      <c r="V73" s="25">
        <f t="shared" si="70"/>
        <v>1.2194616677844754</v>
      </c>
      <c r="W73" s="25">
        <f t="shared" si="71"/>
        <v>0.72390145810355588</v>
      </c>
      <c r="X73" s="37">
        <f t="shared" si="56"/>
        <v>6.9504913004391114E-2</v>
      </c>
      <c r="Y73" s="37">
        <f t="shared" si="57"/>
        <v>4.1259769944758967E-2</v>
      </c>
      <c r="Z73" s="37">
        <f t="shared" si="58"/>
        <v>1.1499567547800842</v>
      </c>
      <c r="AA73" s="37">
        <f t="shared" si="59"/>
        <v>0.68264168815879689</v>
      </c>
      <c r="AB73" s="37">
        <f t="shared" si="60"/>
        <v>0</v>
      </c>
      <c r="AC73" s="37">
        <f t="shared" si="61"/>
        <v>0</v>
      </c>
      <c r="AD73" s="26">
        <v>441.28867711817003</v>
      </c>
      <c r="AE73" s="8">
        <v>261.95945739796002</v>
      </c>
      <c r="AF73" s="61">
        <f t="shared" si="72"/>
        <v>16.791973956663451</v>
      </c>
      <c r="AG73" s="61">
        <f t="shared" si="73"/>
        <v>16.791973956663451</v>
      </c>
      <c r="AH73" s="74">
        <f t="shared" si="74"/>
        <v>0.80976059298634895</v>
      </c>
      <c r="AI73" s="74">
        <f t="shared" si="95"/>
        <v>0.80976059298634895</v>
      </c>
      <c r="AJ73" s="74">
        <f t="shared" si="75"/>
        <v>0.80976059298634895</v>
      </c>
      <c r="AK73" s="74">
        <f t="shared" si="96"/>
        <v>0.80976059298634895</v>
      </c>
      <c r="AL73" s="74">
        <f t="shared" si="76"/>
        <v>0.76680059730572059</v>
      </c>
      <c r="AM73" s="74">
        <f t="shared" si="50"/>
        <v>0.76680059730572059</v>
      </c>
      <c r="AN73" s="74">
        <f t="shared" si="77"/>
        <v>4.2959995680628298E-2</v>
      </c>
      <c r="AO73" s="74">
        <f t="shared" si="78"/>
        <v>4.2959995680628298E-2</v>
      </c>
      <c r="AP73" s="74">
        <f t="shared" si="79"/>
        <v>-5.3813575328041943E-2</v>
      </c>
      <c r="AQ73" s="74">
        <f t="shared" si="80"/>
        <v>-5.3813575328041943E-2</v>
      </c>
      <c r="AR73" s="74">
        <f t="shared" si="81"/>
        <v>0.94694728781232196</v>
      </c>
      <c r="AS73" s="74">
        <f t="shared" si="82"/>
        <v>5.3052712187678076E-2</v>
      </c>
      <c r="AT73" s="74">
        <f t="shared" si="83"/>
        <v>0.19023940701365097</v>
      </c>
      <c r="AU73" s="74">
        <f t="shared" si="84"/>
        <v>0.19023940701365097</v>
      </c>
      <c r="AV73" s="74">
        <f t="shared" si="85"/>
        <v>1.0842959466297625E-2</v>
      </c>
      <c r="AW73" s="74">
        <f t="shared" si="86"/>
        <v>1.0842959466297625E-2</v>
      </c>
      <c r="AX73" s="74">
        <f t="shared" si="87"/>
        <v>0.17939644754735334</v>
      </c>
      <c r="AY73" s="74">
        <f t="shared" si="88"/>
        <v>0.17939644754735334</v>
      </c>
      <c r="AZ73" s="74">
        <f t="shared" si="89"/>
        <v>5.699639016179002E-2</v>
      </c>
      <c r="BA73" s="74">
        <f t="shared" si="90"/>
        <v>0.94300360983820997</v>
      </c>
      <c r="BB73" s="74">
        <f t="shared" si="91"/>
        <v>6.0651896133312698E-2</v>
      </c>
      <c r="BC73" s="74">
        <f t="shared" si="92"/>
        <v>6.4101422882219705E-2</v>
      </c>
      <c r="BD73" s="74">
        <f t="shared" si="93"/>
        <v>3.8052129654273521E-2</v>
      </c>
      <c r="BE73" s="75">
        <f t="shared" si="94"/>
        <v>6.4101422882219705E-2</v>
      </c>
    </row>
    <row r="74" spans="1:57" x14ac:dyDescent="0.35">
      <c r="A74" s="34" t="s">
        <v>61</v>
      </c>
      <c r="B74" s="35" t="s">
        <v>66</v>
      </c>
      <c r="C74" s="47">
        <f t="shared" si="62"/>
        <v>3.9294238314498187</v>
      </c>
      <c r="D74" s="23">
        <f t="shared" si="63"/>
        <v>3.824337949750285</v>
      </c>
      <c r="E74" s="50">
        <f>[1]data!E74-[1]data!E36</f>
        <v>1.9136139057485111</v>
      </c>
      <c r="F74" s="36">
        <f>[1]data!F74-[1]data!F36</f>
        <v>1.9107240440017739</v>
      </c>
      <c r="G74" s="36">
        <f>[1]data!G74-[1]data!G36</f>
        <v>0.10508588169953384</v>
      </c>
      <c r="H74" s="25">
        <f t="shared" si="64"/>
        <v>0.88649371445437386</v>
      </c>
      <c r="I74" s="36">
        <f>[1]data!I74-[1]data!I36</f>
        <v>0.88649371445437386</v>
      </c>
      <c r="J74" s="36">
        <f>[1]data!J74-[1]data!J36</f>
        <v>0</v>
      </c>
      <c r="K74" s="36">
        <f>[1]data!K74-[1]data!K36</f>
        <v>0</v>
      </c>
      <c r="L74" s="25">
        <f t="shared" si="65"/>
        <v>1.2225747621072998</v>
      </c>
      <c r="M74" s="25">
        <f t="shared" si="66"/>
        <v>1.1898790407164512</v>
      </c>
      <c r="N74" s="25">
        <f t="shared" si="67"/>
        <v>0.56909478894454213</v>
      </c>
      <c r="O74" s="25">
        <f t="shared" si="68"/>
        <v>0.55387529870065522</v>
      </c>
      <c r="P74" s="24">
        <f t="shared" si="69"/>
        <v>0.59538908652734979</v>
      </c>
      <c r="Q74" s="37">
        <f t="shared" si="51"/>
        <v>0.27714691734118102</v>
      </c>
      <c r="R74" s="37">
        <f t="shared" si="52"/>
        <v>0.59448995418910144</v>
      </c>
      <c r="S74" s="37">
        <f t="shared" si="53"/>
        <v>0.27672838135947414</v>
      </c>
      <c r="T74" s="37">
        <f t="shared" si="54"/>
        <v>3.2695721390848427E-2</v>
      </c>
      <c r="U74" s="37">
        <f t="shared" si="55"/>
        <v>1.5219490243886932E-2</v>
      </c>
      <c r="V74" s="25">
        <f t="shared" si="70"/>
        <v>0.27581775052725399</v>
      </c>
      <c r="W74" s="25">
        <f t="shared" si="71"/>
        <v>0.12839005792407299</v>
      </c>
      <c r="X74" s="37">
        <f t="shared" si="56"/>
        <v>0.27581775052725399</v>
      </c>
      <c r="Y74" s="37">
        <f t="shared" si="57"/>
        <v>0.12839005792407299</v>
      </c>
      <c r="Z74" s="37">
        <f t="shared" si="58"/>
        <v>0</v>
      </c>
      <c r="AA74" s="37">
        <f t="shared" si="59"/>
        <v>0</v>
      </c>
      <c r="AB74" s="37">
        <f t="shared" si="60"/>
        <v>0</v>
      </c>
      <c r="AC74" s="37">
        <f t="shared" si="61"/>
        <v>0</v>
      </c>
      <c r="AD74" s="26">
        <v>690.46912883131995</v>
      </c>
      <c r="AE74" s="8">
        <v>321.40560669490998</v>
      </c>
      <c r="AF74" s="61">
        <f t="shared" si="72"/>
        <v>4.710831664204659</v>
      </c>
      <c r="AG74" s="61">
        <f t="shared" si="73"/>
        <v>4.710831664204659</v>
      </c>
      <c r="AH74" s="74">
        <f t="shared" si="74"/>
        <v>0.81181800207585153</v>
      </c>
      <c r="AI74" s="74">
        <f t="shared" si="95"/>
        <v>0.81181800207585153</v>
      </c>
      <c r="AJ74" s="74">
        <f t="shared" si="75"/>
        <v>0.81181800207585153</v>
      </c>
      <c r="AK74" s="74">
        <f t="shared" si="96"/>
        <v>0.81181800207585153</v>
      </c>
      <c r="AL74" s="74">
        <f t="shared" si="76"/>
        <v>0.4056022758190333</v>
      </c>
      <c r="AM74" s="74">
        <f t="shared" si="50"/>
        <v>0.4056022758190333</v>
      </c>
      <c r="AN74" s="74">
        <f t="shared" si="77"/>
        <v>0.40621572625681818</v>
      </c>
      <c r="AO74" s="74">
        <f t="shared" si="78"/>
        <v>0.40621572625681818</v>
      </c>
      <c r="AP74" s="74">
        <f t="shared" si="79"/>
        <v>2.2307288646722583E-2</v>
      </c>
      <c r="AQ74" s="74">
        <f t="shared" si="80"/>
        <v>2.2307288646722583E-2</v>
      </c>
      <c r="AR74" s="74">
        <f t="shared" si="81"/>
        <v>0.49962217489867417</v>
      </c>
      <c r="AS74" s="74">
        <f t="shared" si="82"/>
        <v>0.50037782510132578</v>
      </c>
      <c r="AT74" s="74">
        <f t="shared" si="83"/>
        <v>0.18818199792414844</v>
      </c>
      <c r="AU74" s="74">
        <f t="shared" si="84"/>
        <v>0.18818199792414844</v>
      </c>
      <c r="AV74" s="74">
        <f t="shared" si="85"/>
        <v>0.18818199792414844</v>
      </c>
      <c r="AW74" s="74">
        <f t="shared" si="86"/>
        <v>0.18818199792414844</v>
      </c>
      <c r="AX74" s="74">
        <f t="shared" si="87"/>
        <v>0</v>
      </c>
      <c r="AY74" s="74">
        <f t="shared" si="88"/>
        <v>0</v>
      </c>
      <c r="AZ74" s="74">
        <f t="shared" si="89"/>
        <v>1</v>
      </c>
      <c r="BA74" s="74">
        <f t="shared" si="90"/>
        <v>0</v>
      </c>
      <c r="BB74" s="74">
        <f t="shared" si="91"/>
        <v>1.4983925126345537E-2</v>
      </c>
      <c r="BC74" s="74">
        <f t="shared" si="92"/>
        <v>1.4656967912437053E-2</v>
      </c>
      <c r="BD74" s="74">
        <f t="shared" si="93"/>
        <v>6.8226535662472823E-3</v>
      </c>
      <c r="BE74" s="75">
        <f t="shared" si="94"/>
        <v>1.4656967912437053E-2</v>
      </c>
    </row>
    <row r="75" spans="1:57" x14ac:dyDescent="0.35">
      <c r="A75" s="34" t="s">
        <v>62</v>
      </c>
      <c r="B75" s="35" t="s">
        <v>66</v>
      </c>
      <c r="C75" s="47">
        <f t="shared" si="62"/>
        <v>0.47734985167435312</v>
      </c>
      <c r="D75" s="23">
        <f t="shared" si="63"/>
        <v>7.0500000000000007E-2</v>
      </c>
      <c r="E75" s="50">
        <f>[1]data!E75-[1]data!E37</f>
        <v>0</v>
      </c>
      <c r="F75" s="36">
        <f>[1]data!F75-[1]data!F37</f>
        <v>7.0500000000000007E-2</v>
      </c>
      <c r="G75" s="36">
        <f>[1]data!G75-[1]data!G37</f>
        <v>0.40684985167435311</v>
      </c>
      <c r="H75" s="25">
        <f t="shared" si="64"/>
        <v>0</v>
      </c>
      <c r="I75" s="36">
        <f>[1]data!I75-[1]data!I37</f>
        <v>0</v>
      </c>
      <c r="J75" s="36">
        <f>[1]data!J75-[1]data!J37</f>
        <v>0</v>
      </c>
      <c r="K75" s="36">
        <f>[1]data!K75-[1]data!K37</f>
        <v>0</v>
      </c>
      <c r="L75" s="25">
        <f t="shared" si="65"/>
        <v>0.74142801957516391</v>
      </c>
      <c r="M75" s="25">
        <f t="shared" si="66"/>
        <v>0.10950181548544397</v>
      </c>
      <c r="N75" s="25">
        <f t="shared" si="67"/>
        <v>0.52321780370002058</v>
      </c>
      <c r="O75" s="25">
        <f t="shared" si="68"/>
        <v>7.7274257091454121E-2</v>
      </c>
      <c r="P75" s="24">
        <f t="shared" si="69"/>
        <v>0</v>
      </c>
      <c r="Q75" s="37">
        <f t="shared" si="51"/>
        <v>0</v>
      </c>
      <c r="R75" s="37">
        <f t="shared" si="52"/>
        <v>0.10950181548544397</v>
      </c>
      <c r="S75" s="37">
        <f t="shared" si="53"/>
        <v>7.7274257091454121E-2</v>
      </c>
      <c r="T75" s="37">
        <f t="shared" si="54"/>
        <v>0.63192620408972</v>
      </c>
      <c r="U75" s="37">
        <f t="shared" si="55"/>
        <v>0.4459435466085665</v>
      </c>
      <c r="V75" s="25">
        <f t="shared" si="70"/>
        <v>0</v>
      </c>
      <c r="W75" s="25">
        <f t="shared" si="71"/>
        <v>0</v>
      </c>
      <c r="X75" s="37">
        <f t="shared" si="56"/>
        <v>0</v>
      </c>
      <c r="Y75" s="37">
        <f t="shared" si="57"/>
        <v>0</v>
      </c>
      <c r="Z75" s="37">
        <f t="shared" si="58"/>
        <v>0</v>
      </c>
      <c r="AA75" s="37">
        <f t="shared" si="59"/>
        <v>0</v>
      </c>
      <c r="AB75" s="37">
        <f t="shared" si="60"/>
        <v>0</v>
      </c>
      <c r="AC75" s="37">
        <f t="shared" si="61"/>
        <v>0</v>
      </c>
      <c r="AD75" s="26">
        <v>91.233487908610002</v>
      </c>
      <c r="AE75" s="8">
        <v>64.38249419652</v>
      </c>
      <c r="AF75" s="61">
        <f t="shared" si="72"/>
        <v>7.0500000000000007E-2</v>
      </c>
      <c r="AG75" s="61">
        <f t="shared" si="73"/>
        <v>7.0500000000000007E-2</v>
      </c>
      <c r="AH75" s="74">
        <f t="shared" si="74"/>
        <v>1</v>
      </c>
      <c r="AI75" s="74">
        <f t="shared" si="95"/>
        <v>1</v>
      </c>
      <c r="AJ75" s="74">
        <f t="shared" si="75"/>
        <v>1</v>
      </c>
      <c r="AK75" s="74">
        <f t="shared" si="96"/>
        <v>1</v>
      </c>
      <c r="AL75" s="74">
        <f t="shared" si="76"/>
        <v>1</v>
      </c>
      <c r="AM75" s="74">
        <f t="shared" si="50"/>
        <v>1</v>
      </c>
      <c r="AN75" s="74">
        <f t="shared" si="77"/>
        <v>0</v>
      </c>
      <c r="AO75" s="74">
        <f t="shared" si="78"/>
        <v>0</v>
      </c>
      <c r="AP75" s="74">
        <f t="shared" si="79"/>
        <v>5.7709198819057175</v>
      </c>
      <c r="AQ75" s="74">
        <f t="shared" si="80"/>
        <v>5.7709198819057175</v>
      </c>
      <c r="AR75" s="74">
        <f t="shared" si="81"/>
        <v>1</v>
      </c>
      <c r="AS75" s="74">
        <f t="shared" si="82"/>
        <v>0</v>
      </c>
      <c r="AT75" s="74">
        <f t="shared" si="83"/>
        <v>0</v>
      </c>
      <c r="AU75" s="74">
        <f t="shared" si="84"/>
        <v>0</v>
      </c>
      <c r="AV75" s="74">
        <f t="shared" si="85"/>
        <v>0</v>
      </c>
      <c r="AW75" s="74">
        <f t="shared" si="86"/>
        <v>0</v>
      </c>
      <c r="AX75" s="74">
        <f t="shared" si="87"/>
        <v>0</v>
      </c>
      <c r="AY75" s="74">
        <f t="shared" si="88"/>
        <v>0</v>
      </c>
      <c r="AZ75" s="74" t="e">
        <f t="shared" si="89"/>
        <v>#DIV/0!</v>
      </c>
      <c r="BA75" s="74" t="e">
        <f t="shared" si="90"/>
        <v>#DIV/0!</v>
      </c>
      <c r="BB75" s="74">
        <f t="shared" si="91"/>
        <v>7.4142801957516402E-3</v>
      </c>
      <c r="BC75" s="74">
        <f t="shared" si="92"/>
        <v>1.0950181548544397E-3</v>
      </c>
      <c r="BD75" s="74">
        <f t="shared" si="93"/>
        <v>7.7274257091454121E-4</v>
      </c>
      <c r="BE75" s="75">
        <f t="shared" si="94"/>
        <v>1.0950181548544397E-3</v>
      </c>
    </row>
    <row r="76" spans="1:57" x14ac:dyDescent="0.35">
      <c r="A76" s="34" t="s">
        <v>63</v>
      </c>
      <c r="B76" s="35" t="s">
        <v>66</v>
      </c>
      <c r="C76" s="47">
        <f t="shared" si="62"/>
        <v>1.7694150329493317</v>
      </c>
      <c r="D76" s="23">
        <f t="shared" si="63"/>
        <v>1.7694150329493317</v>
      </c>
      <c r="E76" s="50">
        <f>[1]data!E76-[1]data!E38</f>
        <v>1.7694150329493317</v>
      </c>
      <c r="F76" s="36">
        <f>[1]data!F76-[1]data!F38</f>
        <v>0</v>
      </c>
      <c r="G76" s="36">
        <f>[1]data!G76-[1]data!G38</f>
        <v>0</v>
      </c>
      <c r="H76" s="25">
        <f t="shared" si="64"/>
        <v>6.6270225953158493</v>
      </c>
      <c r="I76" s="36">
        <f>[1]data!I76-[1]data!I38</f>
        <v>0</v>
      </c>
      <c r="J76" s="36">
        <f>[1]data!J76-[1]data!J38</f>
        <v>6.6270225953158493</v>
      </c>
      <c r="K76" s="36">
        <f>[1]data!K76-[1]data!K38</f>
        <v>0</v>
      </c>
      <c r="L76" s="25">
        <f t="shared" si="65"/>
        <v>1.2005477809936589</v>
      </c>
      <c r="M76" s="25">
        <f t="shared" si="66"/>
        <v>1.2005477809936589</v>
      </c>
      <c r="N76" s="25">
        <f t="shared" si="67"/>
        <v>0.57098503498505992</v>
      </c>
      <c r="O76" s="25">
        <f t="shared" si="68"/>
        <v>0.57098503498505992</v>
      </c>
      <c r="P76" s="24">
        <f t="shared" si="69"/>
        <v>1.2005477809936589</v>
      </c>
      <c r="Q76" s="37">
        <f t="shared" si="51"/>
        <v>0.57098503498505992</v>
      </c>
      <c r="R76" s="37">
        <f t="shared" si="52"/>
        <v>0</v>
      </c>
      <c r="S76" s="37">
        <f t="shared" si="53"/>
        <v>0</v>
      </c>
      <c r="T76" s="37">
        <f t="shared" si="54"/>
        <v>0</v>
      </c>
      <c r="U76" s="37">
        <f t="shared" si="55"/>
        <v>0</v>
      </c>
      <c r="V76" s="25">
        <f t="shared" si="70"/>
        <v>4.4964336366803703</v>
      </c>
      <c r="W76" s="25">
        <f t="shared" si="71"/>
        <v>2.1385207302811238</v>
      </c>
      <c r="X76" s="37">
        <f t="shared" si="56"/>
        <v>0</v>
      </c>
      <c r="Y76" s="37">
        <f t="shared" si="57"/>
        <v>0</v>
      </c>
      <c r="Z76" s="37">
        <f t="shared" si="58"/>
        <v>4.4964336366803703</v>
      </c>
      <c r="AA76" s="37">
        <f t="shared" si="59"/>
        <v>2.1385207302811238</v>
      </c>
      <c r="AB76" s="37">
        <f t="shared" si="60"/>
        <v>0</v>
      </c>
      <c r="AC76" s="37">
        <f t="shared" si="61"/>
        <v>0</v>
      </c>
      <c r="AD76" s="26">
        <v>309.88816247970999</v>
      </c>
      <c r="AE76" s="8">
        <v>147.38397429586999</v>
      </c>
      <c r="AF76" s="61">
        <f t="shared" si="72"/>
        <v>8.3964376282651809</v>
      </c>
      <c r="AG76" s="61">
        <f t="shared" si="73"/>
        <v>8.3964376282651809</v>
      </c>
      <c r="AH76" s="74">
        <f t="shared" si="74"/>
        <v>0.21073401736385161</v>
      </c>
      <c r="AI76" s="74">
        <f t="shared" si="95"/>
        <v>0.21073401736385161</v>
      </c>
      <c r="AJ76" s="74">
        <f t="shared" si="75"/>
        <v>0.21073401736385161</v>
      </c>
      <c r="AK76" s="74">
        <f t="shared" si="96"/>
        <v>0.21073401736385161</v>
      </c>
      <c r="AL76" s="74">
        <f t="shared" si="76"/>
        <v>0</v>
      </c>
      <c r="AM76" s="74">
        <f t="shared" si="50"/>
        <v>0</v>
      </c>
      <c r="AN76" s="74">
        <f t="shared" si="77"/>
        <v>0.21073401736385161</v>
      </c>
      <c r="AO76" s="74">
        <f t="shared" si="78"/>
        <v>0.21073401736385161</v>
      </c>
      <c r="AP76" s="74">
        <f t="shared" si="79"/>
        <v>0</v>
      </c>
      <c r="AQ76" s="74">
        <f t="shared" si="80"/>
        <v>0</v>
      </c>
      <c r="AR76" s="74">
        <f t="shared" si="81"/>
        <v>0</v>
      </c>
      <c r="AS76" s="74">
        <f t="shared" si="82"/>
        <v>1</v>
      </c>
      <c r="AT76" s="74">
        <f t="shared" si="83"/>
        <v>0.78926598263614844</v>
      </c>
      <c r="AU76" s="74">
        <f t="shared" si="84"/>
        <v>0.78926598263614844</v>
      </c>
      <c r="AV76" s="74">
        <f t="shared" si="85"/>
        <v>0</v>
      </c>
      <c r="AW76" s="74">
        <f t="shared" si="86"/>
        <v>0</v>
      </c>
      <c r="AX76" s="74">
        <f t="shared" si="87"/>
        <v>0.78926598263614844</v>
      </c>
      <c r="AY76" s="74">
        <f t="shared" si="88"/>
        <v>0.78926598263614844</v>
      </c>
      <c r="AZ76" s="74">
        <f t="shared" si="89"/>
        <v>0</v>
      </c>
      <c r="BA76" s="74">
        <f t="shared" si="90"/>
        <v>1</v>
      </c>
      <c r="BB76" s="74">
        <f t="shared" si="91"/>
        <v>5.696981417674029E-2</v>
      </c>
      <c r="BC76" s="74">
        <f t="shared" si="92"/>
        <v>5.696981417674029E-2</v>
      </c>
      <c r="BD76" s="74">
        <f t="shared" si="93"/>
        <v>2.7095057652661837E-2</v>
      </c>
      <c r="BE76" s="75">
        <f t="shared" si="94"/>
        <v>5.696981417674029E-2</v>
      </c>
    </row>
    <row r="77" spans="1:57" x14ac:dyDescent="0.35">
      <c r="A77" s="34" t="s">
        <v>64</v>
      </c>
      <c r="B77" s="35" t="s">
        <v>66</v>
      </c>
      <c r="C77" s="47">
        <f t="shared" si="62"/>
        <v>29.756747048701421</v>
      </c>
      <c r="D77" s="23">
        <f t="shared" si="63"/>
        <v>29.756747048701421</v>
      </c>
      <c r="E77" s="50">
        <f>[1]data!E77-[1]data!E39</f>
        <v>2.2057463058752034</v>
      </c>
      <c r="F77" s="36">
        <f>[1]data!F77-[1]data!F39</f>
        <v>27.551000742826218</v>
      </c>
      <c r="G77" s="36">
        <f>[1]data!G77-[1]data!G39</f>
        <v>0</v>
      </c>
      <c r="H77" s="25">
        <f t="shared" si="64"/>
        <v>2.2029678393841223</v>
      </c>
      <c r="I77" s="36">
        <f>[1]data!I77-[1]data!I39</f>
        <v>0</v>
      </c>
      <c r="J77" s="36">
        <f>[1]data!J77-[1]data!J39</f>
        <v>2.2029678393841223</v>
      </c>
      <c r="K77" s="36">
        <f>[1]data!K77-[1]data!K39</f>
        <v>9.8869334416288517</v>
      </c>
      <c r="L77" s="25">
        <f t="shared" si="65"/>
        <v>5.2067514869267022</v>
      </c>
      <c r="M77" s="25">
        <f t="shared" si="66"/>
        <v>5.2067514869267022</v>
      </c>
      <c r="N77" s="25">
        <f t="shared" si="67"/>
        <v>2.4482628892263372</v>
      </c>
      <c r="O77" s="25">
        <f t="shared" si="68"/>
        <v>2.4482628892263372</v>
      </c>
      <c r="P77" s="24">
        <f t="shared" si="69"/>
        <v>0.38595525374807349</v>
      </c>
      <c r="Q77" s="37">
        <f t="shared" si="51"/>
        <v>0.18147974356484678</v>
      </c>
      <c r="R77" s="37">
        <f t="shared" si="52"/>
        <v>4.8207962331786289</v>
      </c>
      <c r="S77" s="37">
        <f t="shared" si="53"/>
        <v>2.2667831456614902</v>
      </c>
      <c r="T77" s="37">
        <f t="shared" si="54"/>
        <v>0</v>
      </c>
      <c r="U77" s="37">
        <f t="shared" si="55"/>
        <v>0</v>
      </c>
      <c r="V77" s="25">
        <f t="shared" si="70"/>
        <v>0.38546908553519271</v>
      </c>
      <c r="W77" s="25">
        <f t="shared" si="71"/>
        <v>0.1812511427575092</v>
      </c>
      <c r="X77" s="37">
        <f t="shared" si="56"/>
        <v>0</v>
      </c>
      <c r="Y77" s="37">
        <f t="shared" si="57"/>
        <v>0</v>
      </c>
      <c r="Z77" s="37">
        <f t="shared" si="58"/>
        <v>0.38546908553519271</v>
      </c>
      <c r="AA77" s="37">
        <f t="shared" si="59"/>
        <v>0.1812511427575092</v>
      </c>
      <c r="AB77" s="37">
        <f t="shared" si="60"/>
        <v>1.7299876668001881</v>
      </c>
      <c r="AC77" s="37">
        <f t="shared" si="61"/>
        <v>0.81345626233184243</v>
      </c>
      <c r="AD77" s="26">
        <v>1215.4228689920101</v>
      </c>
      <c r="AE77" s="8">
        <v>571.50311712429004</v>
      </c>
      <c r="AF77" s="61">
        <f t="shared" si="72"/>
        <v>31.959714888085543</v>
      </c>
      <c r="AG77" s="61">
        <f t="shared" si="73"/>
        <v>31.959714888085543</v>
      </c>
      <c r="AH77" s="74">
        <f t="shared" si="74"/>
        <v>0.93107047897334716</v>
      </c>
      <c r="AI77" s="74">
        <f t="shared" si="95"/>
        <v>0.93107047897334716</v>
      </c>
      <c r="AJ77" s="74">
        <f t="shared" si="75"/>
        <v>0.93107047897334716</v>
      </c>
      <c r="AK77" s="74">
        <f t="shared" si="96"/>
        <v>0.93107047897334716</v>
      </c>
      <c r="AL77" s="74">
        <f t="shared" si="76"/>
        <v>0.86205402142361176</v>
      </c>
      <c r="AM77" s="74">
        <f t="shared" si="50"/>
        <v>0.86205402142361176</v>
      </c>
      <c r="AN77" s="74">
        <f t="shared" si="77"/>
        <v>6.9016457549735427E-2</v>
      </c>
      <c r="AO77" s="74">
        <f t="shared" si="78"/>
        <v>6.9016457549735427E-2</v>
      </c>
      <c r="AP77" s="74">
        <f t="shared" si="79"/>
        <v>0</v>
      </c>
      <c r="AQ77" s="74">
        <f t="shared" si="80"/>
        <v>0</v>
      </c>
      <c r="AR77" s="74">
        <f t="shared" si="81"/>
        <v>0.92587407816233525</v>
      </c>
      <c r="AS77" s="74">
        <f t="shared" si="82"/>
        <v>7.4125921837664768E-2</v>
      </c>
      <c r="AT77" s="74">
        <f t="shared" si="83"/>
        <v>6.892952102665284E-2</v>
      </c>
      <c r="AU77" s="74">
        <f t="shared" si="84"/>
        <v>6.892952102665284E-2</v>
      </c>
      <c r="AV77" s="74">
        <f t="shared" si="85"/>
        <v>0</v>
      </c>
      <c r="AW77" s="74">
        <f t="shared" si="86"/>
        <v>0</v>
      </c>
      <c r="AX77" s="74">
        <f t="shared" si="87"/>
        <v>6.892952102665284E-2</v>
      </c>
      <c r="AY77" s="74">
        <f t="shared" si="88"/>
        <v>6.892952102665284E-2</v>
      </c>
      <c r="AZ77" s="74">
        <f t="shared" si="89"/>
        <v>0</v>
      </c>
      <c r="BA77" s="74">
        <f t="shared" si="90"/>
        <v>1</v>
      </c>
      <c r="BB77" s="74">
        <f t="shared" si="91"/>
        <v>5.5922205724618944E-2</v>
      </c>
      <c r="BC77" s="74">
        <f t="shared" si="92"/>
        <v>5.5922205724618944E-2</v>
      </c>
      <c r="BD77" s="74">
        <f t="shared" si="93"/>
        <v>2.6295140319838459E-2</v>
      </c>
      <c r="BE77" s="75">
        <f t="shared" si="94"/>
        <v>5.5922205724618944E-2</v>
      </c>
    </row>
    <row r="78" spans="1:57" x14ac:dyDescent="0.35">
      <c r="A78" s="7" t="s">
        <v>27</v>
      </c>
      <c r="B78" s="11" t="s">
        <v>67</v>
      </c>
      <c r="C78" s="47">
        <f t="shared" si="62"/>
        <v>46.16341804345641</v>
      </c>
      <c r="D78" s="23">
        <f t="shared" si="63"/>
        <v>46.16341804345641</v>
      </c>
      <c r="E78" s="50">
        <f>[1]data!E78-[1]data!E40</f>
        <v>3.337102314023733</v>
      </c>
      <c r="F78" s="36">
        <f>[1]data!F78-[1]data!F40</f>
        <v>42.826315729432679</v>
      </c>
      <c r="G78" s="36">
        <f>[1]data!G78-[1]data!G40</f>
        <v>0</v>
      </c>
      <c r="H78" s="25">
        <f t="shared" si="64"/>
        <v>1.1942170290034007</v>
      </c>
      <c r="I78" s="36">
        <f>[1]data!I78-[1]data!I40</f>
        <v>0.5118072981443138</v>
      </c>
      <c r="J78" s="36">
        <f>[1]data!J78-[1]data!J40</f>
        <v>0.68240973085908685</v>
      </c>
      <c r="K78" s="36">
        <f>[1]data!K78-[1]data!K40</f>
        <v>0</v>
      </c>
      <c r="L78" s="25">
        <f t="shared" si="65"/>
        <v>3.0883222221251314</v>
      </c>
      <c r="M78" s="25">
        <f t="shared" si="66"/>
        <v>3.0883222221251314</v>
      </c>
      <c r="N78" s="25">
        <f t="shared" si="67"/>
        <v>3.7637852817975816</v>
      </c>
      <c r="O78" s="25">
        <f t="shared" si="68"/>
        <v>3.7637852817975816</v>
      </c>
      <c r="P78" s="24">
        <f t="shared" si="69"/>
        <v>0.22325138975201075</v>
      </c>
      <c r="Q78" s="40">
        <f t="shared" si="51"/>
        <v>0.27207986552363961</v>
      </c>
      <c r="R78" s="40">
        <f t="shared" si="52"/>
        <v>2.8650708323731209</v>
      </c>
      <c r="S78" s="40">
        <f t="shared" si="53"/>
        <v>3.491705416273942</v>
      </c>
      <c r="T78" s="40">
        <f t="shared" si="54"/>
        <v>0</v>
      </c>
      <c r="U78" s="40">
        <f t="shared" si="55"/>
        <v>0</v>
      </c>
      <c r="V78" s="25">
        <f t="shared" si="70"/>
        <v>7.9892849035563152E-2</v>
      </c>
      <c r="W78" s="25">
        <f t="shared" si="71"/>
        <v>9.7366630711872987E-2</v>
      </c>
      <c r="X78" s="40">
        <f t="shared" si="56"/>
        <v>3.4239792443812728E-2</v>
      </c>
      <c r="Y78" s="40">
        <f t="shared" si="57"/>
        <v>4.1728556019374079E-2</v>
      </c>
      <c r="Z78" s="40">
        <f t="shared" si="58"/>
        <v>4.5653056591750424E-2</v>
      </c>
      <c r="AA78" s="40">
        <f t="shared" si="59"/>
        <v>5.5638074692498915E-2</v>
      </c>
      <c r="AB78" s="40">
        <f t="shared" si="60"/>
        <v>0</v>
      </c>
      <c r="AC78" s="40">
        <f t="shared" si="61"/>
        <v>0</v>
      </c>
      <c r="AD78" s="26">
        <v>1226.51571721458</v>
      </c>
      <c r="AE78" s="8">
        <v>1494.77336635199</v>
      </c>
      <c r="AF78" s="61">
        <f t="shared" si="72"/>
        <v>47.357635072459814</v>
      </c>
      <c r="AG78" s="61">
        <f t="shared" si="73"/>
        <v>47.357635072459814</v>
      </c>
      <c r="AH78" s="74">
        <f t="shared" si="74"/>
        <v>0.97478300959969422</v>
      </c>
      <c r="AI78" s="74">
        <f t="shared" si="95"/>
        <v>0.97478300959969422</v>
      </c>
      <c r="AJ78" s="74">
        <f t="shared" si="75"/>
        <v>0.97478300959969422</v>
      </c>
      <c r="AK78" s="74">
        <f t="shared" si="96"/>
        <v>0.97478300959969422</v>
      </c>
      <c r="AL78" s="74">
        <f t="shared" si="76"/>
        <v>0.90431702647114953</v>
      </c>
      <c r="AM78" s="74">
        <f t="shared" si="50"/>
        <v>0.90431702647114953</v>
      </c>
      <c r="AN78" s="74">
        <f t="shared" si="77"/>
        <v>7.0465983128544768E-2</v>
      </c>
      <c r="AO78" s="74">
        <f t="shared" si="78"/>
        <v>7.0465983128544768E-2</v>
      </c>
      <c r="AP78" s="74">
        <f t="shared" si="79"/>
        <v>0</v>
      </c>
      <c r="AQ78" s="74">
        <f t="shared" si="80"/>
        <v>0</v>
      </c>
      <c r="AR78" s="74">
        <f t="shared" si="81"/>
        <v>0.92771110859073924</v>
      </c>
      <c r="AS78" s="74">
        <f t="shared" si="82"/>
        <v>7.2288891409260841E-2</v>
      </c>
      <c r="AT78" s="74">
        <f t="shared" si="83"/>
        <v>2.5216990400305721E-2</v>
      </c>
      <c r="AU78" s="74">
        <f t="shared" si="84"/>
        <v>2.5216990400305721E-2</v>
      </c>
      <c r="AV78" s="74">
        <f t="shared" si="85"/>
        <v>1.0807281600131008E-2</v>
      </c>
      <c r="AW78" s="74">
        <f t="shared" si="86"/>
        <v>1.0807281600131008E-2</v>
      </c>
      <c r="AX78" s="74">
        <f t="shared" si="87"/>
        <v>1.4409708800174713E-2</v>
      </c>
      <c r="AY78" s="74">
        <f t="shared" si="88"/>
        <v>1.4409708800174713E-2</v>
      </c>
      <c r="AZ78" s="74">
        <f t="shared" si="89"/>
        <v>0.42857142857142794</v>
      </c>
      <c r="BA78" s="74">
        <f t="shared" si="90"/>
        <v>0.57142857142857206</v>
      </c>
      <c r="BB78" s="74">
        <f t="shared" si="91"/>
        <v>3.1682150711606946E-2</v>
      </c>
      <c r="BC78" s="74">
        <f t="shared" si="92"/>
        <v>3.1682150711606946E-2</v>
      </c>
      <c r="BD78" s="74">
        <f t="shared" si="93"/>
        <v>3.861151912509455E-2</v>
      </c>
      <c r="BE78" s="75">
        <f t="shared" si="94"/>
        <v>3.1682150711606946E-2</v>
      </c>
    </row>
    <row r="79" spans="1:57" x14ac:dyDescent="0.35">
      <c r="A79" s="7" t="s">
        <v>28</v>
      </c>
      <c r="B79" s="11" t="s">
        <v>67</v>
      </c>
      <c r="C79" s="47">
        <f t="shared" si="62"/>
        <v>115.13396651601347</v>
      </c>
      <c r="D79" s="23">
        <f t="shared" si="63"/>
        <v>113.24279834523115</v>
      </c>
      <c r="E79" s="50">
        <f>[1]data!E79-[1]data!E41</f>
        <v>11.814177619868016</v>
      </c>
      <c r="F79" s="36">
        <f>[1]data!F79-[1]data!F41</f>
        <v>101.42862072536313</v>
      </c>
      <c r="G79" s="36">
        <f>[1]data!G79-[1]data!G41</f>
        <v>1.891168170782322</v>
      </c>
      <c r="H79" s="25">
        <f t="shared" si="64"/>
        <v>17.661004631055764</v>
      </c>
      <c r="I79" s="36">
        <f>[1]data!I79-[1]data!I41</f>
        <v>0.25966520513249014</v>
      </c>
      <c r="J79" s="36">
        <f>[1]data!J79-[1]data!J41</f>
        <v>17.401339425923275</v>
      </c>
      <c r="K79" s="36">
        <f>[1]data!K79-[1]data!K41</f>
        <v>0</v>
      </c>
      <c r="L79" s="25">
        <f t="shared" si="65"/>
        <v>6.7861382238893064</v>
      </c>
      <c r="M79" s="25">
        <f t="shared" si="66"/>
        <v>6.6746704355389088</v>
      </c>
      <c r="N79" s="25">
        <f t="shared" si="67"/>
        <v>6.6802876680787122</v>
      </c>
      <c r="O79" s="25">
        <f t="shared" si="68"/>
        <v>6.5705585603980268</v>
      </c>
      <c r="P79" s="24">
        <f t="shared" si="69"/>
        <v>0.69634222424581427</v>
      </c>
      <c r="Q79" s="40">
        <f t="shared" si="51"/>
        <v>0.6854806400812995</v>
      </c>
      <c r="R79" s="40">
        <f t="shared" si="52"/>
        <v>5.9783282112930944</v>
      </c>
      <c r="S79" s="40">
        <f t="shared" si="53"/>
        <v>5.8850779203167276</v>
      </c>
      <c r="T79" s="40">
        <f t="shared" si="54"/>
        <v>0.11146778835039743</v>
      </c>
      <c r="U79" s="40">
        <f t="shared" si="55"/>
        <v>0.10972910768068586</v>
      </c>
      <c r="V79" s="25">
        <f t="shared" si="70"/>
        <v>1.0409614315027023</v>
      </c>
      <c r="W79" s="25">
        <f t="shared" si="71"/>
        <v>1.0247244580626298</v>
      </c>
      <c r="X79" s="40">
        <f t="shared" si="56"/>
        <v>1.530498798300815E-2</v>
      </c>
      <c r="Y79" s="40">
        <f t="shared" si="57"/>
        <v>1.5066259941929821E-2</v>
      </c>
      <c r="Z79" s="40">
        <f t="shared" si="58"/>
        <v>1.0256564435196942</v>
      </c>
      <c r="AA79" s="40">
        <f t="shared" si="59"/>
        <v>1.0096581981207</v>
      </c>
      <c r="AB79" s="40">
        <f t="shared" si="60"/>
        <v>0</v>
      </c>
      <c r="AC79" s="40">
        <f t="shared" si="61"/>
        <v>0</v>
      </c>
      <c r="AD79" s="26">
        <v>1723.48815255626</v>
      </c>
      <c r="AE79" s="8">
        <v>1696.60508992738</v>
      </c>
      <c r="AF79" s="61">
        <f t="shared" si="72"/>
        <v>130.90380297628693</v>
      </c>
      <c r="AG79" s="61">
        <f t="shared" si="73"/>
        <v>130.90380297628693</v>
      </c>
      <c r="AH79" s="74">
        <f t="shared" si="74"/>
        <v>0.86508409817356458</v>
      </c>
      <c r="AI79" s="74">
        <f t="shared" si="95"/>
        <v>0.86508409817356458</v>
      </c>
      <c r="AJ79" s="74">
        <f t="shared" si="75"/>
        <v>0.86508409817356458</v>
      </c>
      <c r="AK79" s="74">
        <f t="shared" si="96"/>
        <v>0.86508409817356458</v>
      </c>
      <c r="AL79" s="74">
        <f t="shared" si="76"/>
        <v>0.77483326243575068</v>
      </c>
      <c r="AM79" s="74">
        <f t="shared" si="50"/>
        <v>0.77483326243575068</v>
      </c>
      <c r="AN79" s="74">
        <f t="shared" si="77"/>
        <v>9.0250835737813825E-2</v>
      </c>
      <c r="AO79" s="74">
        <f t="shared" si="78"/>
        <v>9.0250835737813825E-2</v>
      </c>
      <c r="AP79" s="74">
        <f t="shared" si="79"/>
        <v>1.4447007098219332E-2</v>
      </c>
      <c r="AQ79" s="74">
        <f t="shared" si="80"/>
        <v>1.4447007098219332E-2</v>
      </c>
      <c r="AR79" s="74">
        <f t="shared" si="81"/>
        <v>0.89567391664190954</v>
      </c>
      <c r="AS79" s="74">
        <f t="shared" si="82"/>
        <v>0.10432608335809047</v>
      </c>
      <c r="AT79" s="74">
        <f t="shared" si="83"/>
        <v>0.13491590182643537</v>
      </c>
      <c r="AU79" s="74">
        <f t="shared" si="84"/>
        <v>0.13491590182643537</v>
      </c>
      <c r="AV79" s="74">
        <f t="shared" si="85"/>
        <v>1.9836337770838346E-3</v>
      </c>
      <c r="AW79" s="74">
        <f t="shared" si="86"/>
        <v>1.9836337770838346E-3</v>
      </c>
      <c r="AX79" s="74">
        <f t="shared" si="87"/>
        <v>0.13293226804935154</v>
      </c>
      <c r="AY79" s="74">
        <f t="shared" si="88"/>
        <v>0.13293226804935154</v>
      </c>
      <c r="AZ79" s="74">
        <f t="shared" si="89"/>
        <v>1.4702742599131945E-2</v>
      </c>
      <c r="BA79" s="74">
        <f t="shared" si="90"/>
        <v>0.98529725740086815</v>
      </c>
      <c r="BB79" s="74">
        <f t="shared" si="91"/>
        <v>7.8270996553920086E-2</v>
      </c>
      <c r="BC79" s="74">
        <f t="shared" si="92"/>
        <v>7.7156318670416113E-2</v>
      </c>
      <c r="BD79" s="74">
        <f t="shared" si="93"/>
        <v>7.5952830184606579E-2</v>
      </c>
      <c r="BE79" s="75">
        <f t="shared" si="94"/>
        <v>7.7156318670416113E-2</v>
      </c>
    </row>
    <row r="80" spans="1:57" x14ac:dyDescent="0.35">
      <c r="A80" s="7" t="s">
        <v>29</v>
      </c>
      <c r="B80" s="11" t="s">
        <v>67</v>
      </c>
      <c r="C80" s="47">
        <f t="shared" si="62"/>
        <v>74.838412675886758</v>
      </c>
      <c r="D80" s="23">
        <f t="shared" si="63"/>
        <v>70.901973614972704</v>
      </c>
      <c r="E80" s="50">
        <f>[1]data!E80-[1]data!E42</f>
        <v>7.2616030042740149</v>
      </c>
      <c r="F80" s="36">
        <f>[1]data!F80-[1]data!F42</f>
        <v>63.640370610698689</v>
      </c>
      <c r="G80" s="36">
        <f>[1]data!G80-[1]data!G42</f>
        <v>3.9364390609140614</v>
      </c>
      <c r="H80" s="25">
        <f t="shared" si="64"/>
        <v>21.515670780233382</v>
      </c>
      <c r="I80" s="36">
        <f>[1]data!I80-[1]data!I42</f>
        <v>1.0569158725705172</v>
      </c>
      <c r="J80" s="36">
        <f>[1]data!J80-[1]data!J42</f>
        <v>20.458754907662865</v>
      </c>
      <c r="K80" s="36">
        <f>[1]data!K80-[1]data!K42</f>
        <v>0</v>
      </c>
      <c r="L80" s="25">
        <f t="shared" si="65"/>
        <v>2.8599073523356542</v>
      </c>
      <c r="M80" s="25">
        <f t="shared" si="66"/>
        <v>2.7094785737205154</v>
      </c>
      <c r="N80" s="25">
        <f t="shared" si="67"/>
        <v>2.5743408785045738</v>
      </c>
      <c r="O80" s="25">
        <f t="shared" si="68"/>
        <v>2.4389326619495164</v>
      </c>
      <c r="P80" s="24">
        <f t="shared" si="69"/>
        <v>0.27749802646946448</v>
      </c>
      <c r="Q80" s="40">
        <f t="shared" si="51"/>
        <v>0.24978939008680295</v>
      </c>
      <c r="R80" s="40">
        <f t="shared" si="52"/>
        <v>2.431980547251051</v>
      </c>
      <c r="S80" s="40">
        <f t="shared" si="53"/>
        <v>2.1891432718627133</v>
      </c>
      <c r="T80" s="40">
        <f t="shared" si="54"/>
        <v>0.15042877861513901</v>
      </c>
      <c r="U80" s="40">
        <f t="shared" si="55"/>
        <v>0.13540821655505733</v>
      </c>
      <c r="V80" s="25">
        <f t="shared" si="70"/>
        <v>0.82220911500771288</v>
      </c>
      <c r="W80" s="25">
        <f t="shared" si="71"/>
        <v>0.74011017654637723</v>
      </c>
      <c r="X80" s="40">
        <f t="shared" si="56"/>
        <v>4.0389438614303962E-2</v>
      </c>
      <c r="Y80" s="40">
        <f t="shared" si="57"/>
        <v>3.6356486443428877E-2</v>
      </c>
      <c r="Z80" s="40">
        <f t="shared" si="58"/>
        <v>0.78181967639340888</v>
      </c>
      <c r="AA80" s="40">
        <f t="shared" si="59"/>
        <v>0.7037536901029483</v>
      </c>
      <c r="AB80" s="40">
        <f t="shared" si="60"/>
        <v>0</v>
      </c>
      <c r="AC80" s="40">
        <f t="shared" si="61"/>
        <v>0</v>
      </c>
      <c r="AD80" s="26">
        <v>2907.0902498102801</v>
      </c>
      <c r="AE80" s="8">
        <v>2616.8124857180101</v>
      </c>
      <c r="AF80" s="61">
        <f t="shared" si="72"/>
        <v>92.417644395206082</v>
      </c>
      <c r="AG80" s="61">
        <f t="shared" si="73"/>
        <v>92.417644395206082</v>
      </c>
      <c r="AH80" s="74">
        <f t="shared" si="74"/>
        <v>0.76719087657952201</v>
      </c>
      <c r="AI80" s="74">
        <f t="shared" si="95"/>
        <v>0.76719087657952201</v>
      </c>
      <c r="AJ80" s="74">
        <f t="shared" si="75"/>
        <v>0.76719087657952201</v>
      </c>
      <c r="AK80" s="74">
        <f t="shared" si="96"/>
        <v>0.76719087657952201</v>
      </c>
      <c r="AL80" s="74">
        <f t="shared" si="76"/>
        <v>0.68861710366207796</v>
      </c>
      <c r="AM80" s="74">
        <f t="shared" si="50"/>
        <v>0.68861710366207796</v>
      </c>
      <c r="AN80" s="74">
        <f t="shared" si="77"/>
        <v>7.857377291744401E-2</v>
      </c>
      <c r="AO80" s="74">
        <f t="shared" si="78"/>
        <v>7.857377291744401E-2</v>
      </c>
      <c r="AP80" s="74">
        <f t="shared" si="79"/>
        <v>4.2594020727044775E-2</v>
      </c>
      <c r="AQ80" s="74">
        <f t="shared" si="80"/>
        <v>4.2594020727044775E-2</v>
      </c>
      <c r="AR80" s="74">
        <f t="shared" si="81"/>
        <v>0.89758249828548431</v>
      </c>
      <c r="AS80" s="74">
        <f t="shared" si="82"/>
        <v>0.10241750171451572</v>
      </c>
      <c r="AT80" s="74">
        <f t="shared" si="83"/>
        <v>0.23280912342047802</v>
      </c>
      <c r="AU80" s="74">
        <f t="shared" si="84"/>
        <v>0.23280912342047802</v>
      </c>
      <c r="AV80" s="74">
        <f t="shared" si="85"/>
        <v>1.1436299631819462E-2</v>
      </c>
      <c r="AW80" s="74">
        <f t="shared" si="86"/>
        <v>1.1436299631819462E-2</v>
      </c>
      <c r="AX80" s="74">
        <f t="shared" si="87"/>
        <v>0.22137282378865855</v>
      </c>
      <c r="AY80" s="74">
        <f t="shared" si="88"/>
        <v>0.22137282378865855</v>
      </c>
      <c r="AZ80" s="74">
        <f t="shared" si="89"/>
        <v>4.9123073287657582E-2</v>
      </c>
      <c r="BA80" s="74">
        <f t="shared" si="90"/>
        <v>0.95087692671234236</v>
      </c>
      <c r="BB80" s="74">
        <f t="shared" si="91"/>
        <v>3.6821164673433673E-2</v>
      </c>
      <c r="BC80" s="74">
        <f t="shared" si="92"/>
        <v>3.5316876887282279E-2</v>
      </c>
      <c r="BD80" s="74">
        <f t="shared" si="93"/>
        <v>3.1790428384958935E-2</v>
      </c>
      <c r="BE80" s="75">
        <f t="shared" si="94"/>
        <v>3.5316876887282279E-2</v>
      </c>
    </row>
    <row r="81" spans="1:57" x14ac:dyDescent="0.35">
      <c r="A81" s="7" t="s">
        <v>30</v>
      </c>
      <c r="B81" s="11" t="s">
        <v>67</v>
      </c>
      <c r="C81" s="47">
        <f t="shared" si="62"/>
        <v>1.1575745271012181</v>
      </c>
      <c r="D81" s="23">
        <f t="shared" si="63"/>
        <v>1.1575745271012181</v>
      </c>
      <c r="E81" s="50">
        <f>[1]data!E81-[1]data!E43</f>
        <v>1.1575745271012181</v>
      </c>
      <c r="F81" s="36">
        <f>[1]data!F81-[1]data!F43</f>
        <v>0</v>
      </c>
      <c r="G81" s="36">
        <f>[1]data!G81-[1]data!G43</f>
        <v>0</v>
      </c>
      <c r="H81" s="25">
        <f t="shared" si="64"/>
        <v>51.335913810575732</v>
      </c>
      <c r="I81" s="36">
        <f>[1]data!I81-[1]data!I43</f>
        <v>10.065865453054073</v>
      </c>
      <c r="J81" s="36">
        <f>[1]data!J81-[1]data!J43</f>
        <v>41.270048357521659</v>
      </c>
      <c r="K81" s="36">
        <f>[1]data!K81-[1]data!K43</f>
        <v>0</v>
      </c>
      <c r="L81" s="25">
        <f t="shared" si="65"/>
        <v>3.2178827123090073E-2</v>
      </c>
      <c r="M81" s="25">
        <f t="shared" si="66"/>
        <v>3.2178827123090073E-2</v>
      </c>
      <c r="N81" s="25">
        <f t="shared" si="67"/>
        <v>2.7814377874324472E-2</v>
      </c>
      <c r="O81" s="25">
        <f t="shared" si="68"/>
        <v>2.7814377874324472E-2</v>
      </c>
      <c r="P81" s="24">
        <f t="shared" si="69"/>
        <v>3.2178827123090073E-2</v>
      </c>
      <c r="Q81" s="40">
        <f t="shared" si="51"/>
        <v>2.7814377874324472E-2</v>
      </c>
      <c r="R81" s="40">
        <f t="shared" si="52"/>
        <v>0</v>
      </c>
      <c r="S81" s="40">
        <f t="shared" si="53"/>
        <v>0</v>
      </c>
      <c r="T81" s="40">
        <f t="shared" si="54"/>
        <v>0</v>
      </c>
      <c r="U81" s="40">
        <f t="shared" si="55"/>
        <v>0</v>
      </c>
      <c r="V81" s="25">
        <f t="shared" si="70"/>
        <v>1.4270610289370373</v>
      </c>
      <c r="W81" s="25">
        <f t="shared" si="71"/>
        <v>1.2335071926874321</v>
      </c>
      <c r="X81" s="40">
        <f t="shared" si="56"/>
        <v>0.2798158880268703</v>
      </c>
      <c r="Y81" s="40">
        <f t="shared" si="57"/>
        <v>0.24186415542890846</v>
      </c>
      <c r="Z81" s="40">
        <f t="shared" si="58"/>
        <v>1.1472451409101672</v>
      </c>
      <c r="AA81" s="40">
        <f t="shared" si="59"/>
        <v>0.99164303725852376</v>
      </c>
      <c r="AB81" s="40">
        <f t="shared" si="60"/>
        <v>0</v>
      </c>
      <c r="AC81" s="40">
        <f t="shared" si="61"/>
        <v>0</v>
      </c>
      <c r="AD81" s="26">
        <v>4161.7847155581303</v>
      </c>
      <c r="AE81" s="8">
        <v>3597.3173374942398</v>
      </c>
      <c r="AF81" s="61">
        <f t="shared" si="72"/>
        <v>52.493488337676951</v>
      </c>
      <c r="AG81" s="61">
        <f t="shared" si="73"/>
        <v>52.493488337676951</v>
      </c>
      <c r="AH81" s="74">
        <f t="shared" si="74"/>
        <v>2.2051773729626089E-2</v>
      </c>
      <c r="AI81" s="74">
        <f t="shared" si="95"/>
        <v>2.2051773729626089E-2</v>
      </c>
      <c r="AJ81" s="74">
        <f t="shared" si="75"/>
        <v>2.2051773729626089E-2</v>
      </c>
      <c r="AK81" s="74">
        <f t="shared" si="96"/>
        <v>2.2051773729626089E-2</v>
      </c>
      <c r="AL81" s="74">
        <f t="shared" si="76"/>
        <v>0</v>
      </c>
      <c r="AM81" s="74">
        <f t="shared" si="50"/>
        <v>0</v>
      </c>
      <c r="AN81" s="74">
        <f t="shared" si="77"/>
        <v>2.2051773729626089E-2</v>
      </c>
      <c r="AO81" s="74">
        <f t="shared" si="78"/>
        <v>2.2051773729626089E-2</v>
      </c>
      <c r="AP81" s="74">
        <f t="shared" si="79"/>
        <v>0</v>
      </c>
      <c r="AQ81" s="74">
        <f t="shared" si="80"/>
        <v>0</v>
      </c>
      <c r="AR81" s="74">
        <f t="shared" si="81"/>
        <v>0</v>
      </c>
      <c r="AS81" s="74">
        <f t="shared" si="82"/>
        <v>1</v>
      </c>
      <c r="AT81" s="74">
        <f t="shared" si="83"/>
        <v>0.97794822627037392</v>
      </c>
      <c r="AU81" s="74">
        <f t="shared" si="84"/>
        <v>0.97794822627037392</v>
      </c>
      <c r="AV81" s="74">
        <f t="shared" si="85"/>
        <v>0.1917545541706617</v>
      </c>
      <c r="AW81" s="74">
        <f t="shared" si="86"/>
        <v>0.1917545541706617</v>
      </c>
      <c r="AX81" s="74">
        <f t="shared" si="87"/>
        <v>0.78619367209971225</v>
      </c>
      <c r="AY81" s="74">
        <f t="shared" si="88"/>
        <v>0.78619367209971225</v>
      </c>
      <c r="AZ81" s="74">
        <f t="shared" si="89"/>
        <v>0.19607843137254918</v>
      </c>
      <c r="BA81" s="74">
        <f t="shared" si="90"/>
        <v>0.80392156862745079</v>
      </c>
      <c r="BB81" s="74">
        <f t="shared" si="91"/>
        <v>1.4592398560601273E-2</v>
      </c>
      <c r="BC81" s="74">
        <f t="shared" si="92"/>
        <v>1.4592398560601273E-2</v>
      </c>
      <c r="BD81" s="74">
        <f t="shared" si="93"/>
        <v>1.2613215705617568E-2</v>
      </c>
      <c r="BE81" s="75">
        <f t="shared" si="94"/>
        <v>1.4592398560601273E-2</v>
      </c>
    </row>
    <row r="82" spans="1:57" x14ac:dyDescent="0.35">
      <c r="A82" s="7" t="s">
        <v>31</v>
      </c>
      <c r="B82" s="11" t="s">
        <v>67</v>
      </c>
      <c r="C82" s="47">
        <f t="shared" si="62"/>
        <v>31.699453232745931</v>
      </c>
      <c r="D82" s="23">
        <f t="shared" si="63"/>
        <v>31.347147941889094</v>
      </c>
      <c r="E82" s="50">
        <f>[1]data!E82-[1]data!E44</f>
        <v>0.32714062722420767</v>
      </c>
      <c r="F82" s="36">
        <f>[1]data!F82-[1]data!F44</f>
        <v>31.020007314664888</v>
      </c>
      <c r="G82" s="36">
        <f>[1]data!G82-[1]data!G44</f>
        <v>0.35230529085683848</v>
      </c>
      <c r="H82" s="25">
        <f t="shared" si="64"/>
        <v>26.783472160680109</v>
      </c>
      <c r="I82" s="36">
        <f>[1]data!I82-[1]data!I44</f>
        <v>0.1089287100907681</v>
      </c>
      <c r="J82" s="36">
        <f>[1]data!J82-[1]data!J44</f>
        <v>26.67454345058934</v>
      </c>
      <c r="K82" s="36">
        <f>[1]data!K82-[1]data!K44</f>
        <v>0</v>
      </c>
      <c r="L82" s="25">
        <f t="shared" si="65"/>
        <v>1.6525989806835943</v>
      </c>
      <c r="M82" s="25">
        <f t="shared" si="66"/>
        <v>1.6342321224199947</v>
      </c>
      <c r="N82" s="25">
        <f t="shared" si="67"/>
        <v>1.3560336289188895</v>
      </c>
      <c r="O82" s="25">
        <f t="shared" si="68"/>
        <v>1.3409627752186617</v>
      </c>
      <c r="P82" s="24">
        <f t="shared" si="69"/>
        <v>1.7054939816199648E-2</v>
      </c>
      <c r="Q82" s="40">
        <f t="shared" si="51"/>
        <v>1.3994364150211443E-2</v>
      </c>
      <c r="R82" s="40">
        <f t="shared" si="52"/>
        <v>1.6171771826037951</v>
      </c>
      <c r="S82" s="40">
        <f t="shared" si="53"/>
        <v>1.3269684110684503</v>
      </c>
      <c r="T82" s="40">
        <f t="shared" si="54"/>
        <v>1.8366858263599593E-2</v>
      </c>
      <c r="U82" s="40">
        <f t="shared" si="55"/>
        <v>1.5070853700227687E-2</v>
      </c>
      <c r="V82" s="25">
        <f t="shared" si="70"/>
        <v>1.3963123738104044</v>
      </c>
      <c r="W82" s="25">
        <f t="shared" si="71"/>
        <v>1.1457386561979186</v>
      </c>
      <c r="X82" s="40">
        <f t="shared" si="56"/>
        <v>5.6788195664278481E-3</v>
      </c>
      <c r="Y82" s="40">
        <f t="shared" si="57"/>
        <v>4.6597331806736211E-3</v>
      </c>
      <c r="Z82" s="40">
        <f t="shared" si="58"/>
        <v>1.3906335542439765</v>
      </c>
      <c r="AA82" s="40">
        <f t="shared" si="59"/>
        <v>1.1410789230172449</v>
      </c>
      <c r="AB82" s="40">
        <f t="shared" si="60"/>
        <v>0</v>
      </c>
      <c r="AC82" s="40">
        <f t="shared" si="61"/>
        <v>0</v>
      </c>
      <c r="AD82" s="26">
        <v>2337.6598158571201</v>
      </c>
      <c r="AE82" s="8">
        <v>1918.15761738117</v>
      </c>
      <c r="AF82" s="61">
        <f t="shared" si="72"/>
        <v>58.130620102569203</v>
      </c>
      <c r="AG82" s="61">
        <f t="shared" si="73"/>
        <v>58.130620102569203</v>
      </c>
      <c r="AH82" s="74">
        <f t="shared" si="74"/>
        <v>0.53925363064385479</v>
      </c>
      <c r="AI82" s="74">
        <f t="shared" si="95"/>
        <v>0.53925363064385479</v>
      </c>
      <c r="AJ82" s="74">
        <f t="shared" si="75"/>
        <v>0.53925363064385479</v>
      </c>
      <c r="AK82" s="74">
        <f t="shared" si="96"/>
        <v>0.53925363064385479</v>
      </c>
      <c r="AL82" s="74">
        <f t="shared" si="76"/>
        <v>0.53362594893932491</v>
      </c>
      <c r="AM82" s="74">
        <f t="shared" si="50"/>
        <v>0.53362594893932491</v>
      </c>
      <c r="AN82" s="74">
        <f t="shared" si="77"/>
        <v>5.627681704529916E-3</v>
      </c>
      <c r="AO82" s="74">
        <f t="shared" si="78"/>
        <v>5.627681704529916E-3</v>
      </c>
      <c r="AP82" s="74">
        <f t="shared" si="79"/>
        <v>6.0605802971860539E-3</v>
      </c>
      <c r="AQ82" s="74">
        <f t="shared" si="80"/>
        <v>6.0605802971860539E-3</v>
      </c>
      <c r="AR82" s="74">
        <f t="shared" si="81"/>
        <v>0.98956394285596072</v>
      </c>
      <c r="AS82" s="74">
        <f t="shared" si="82"/>
        <v>1.0436057144039272E-2</v>
      </c>
      <c r="AT82" s="74">
        <f t="shared" si="83"/>
        <v>0.46074636935614521</v>
      </c>
      <c r="AU82" s="74">
        <f t="shared" si="84"/>
        <v>0.46074636935614521</v>
      </c>
      <c r="AV82" s="74">
        <f t="shared" si="85"/>
        <v>1.8738611406272229E-3</v>
      </c>
      <c r="AW82" s="74">
        <f t="shared" si="86"/>
        <v>1.8738611406272229E-3</v>
      </c>
      <c r="AX82" s="74">
        <f t="shared" si="87"/>
        <v>0.45887250821551795</v>
      </c>
      <c r="AY82" s="74">
        <f t="shared" si="88"/>
        <v>0.45887250821551795</v>
      </c>
      <c r="AZ82" s="74">
        <f t="shared" si="89"/>
        <v>4.0670122767235001E-3</v>
      </c>
      <c r="BA82" s="74">
        <f t="shared" si="90"/>
        <v>0.99593298772327643</v>
      </c>
      <c r="BB82" s="74">
        <f t="shared" si="91"/>
        <v>3.0489113544939987E-2</v>
      </c>
      <c r="BC82" s="74">
        <f t="shared" si="92"/>
        <v>3.0305444962303991E-2</v>
      </c>
      <c r="BD82" s="74">
        <f t="shared" si="93"/>
        <v>2.4867014314165804E-2</v>
      </c>
      <c r="BE82" s="75">
        <f t="shared" si="94"/>
        <v>3.0305444962303991E-2</v>
      </c>
    </row>
    <row r="83" spans="1:57" x14ac:dyDescent="0.35">
      <c r="A83" s="7" t="s">
        <v>32</v>
      </c>
      <c r="B83" s="11" t="s">
        <v>67</v>
      </c>
      <c r="C83" s="47">
        <f t="shared" si="62"/>
        <v>8.024143085375627</v>
      </c>
      <c r="D83" s="23">
        <f t="shared" si="63"/>
        <v>9.1514411801517923</v>
      </c>
      <c r="E83" s="50">
        <f>[1]data!E83-[1]data!E45</f>
        <v>9.1514411801517923</v>
      </c>
      <c r="F83" s="36">
        <f>[1]data!F83-[1]data!F45</f>
        <v>0</v>
      </c>
      <c r="G83" s="36">
        <f>[1]data!G83-[1]data!G45</f>
        <v>-1.1272980947761653</v>
      </c>
      <c r="H83" s="25">
        <f t="shared" si="64"/>
        <v>-0.68071461876866124</v>
      </c>
      <c r="I83" s="36">
        <f>[1]data!I83-[1]data!I45</f>
        <v>0</v>
      </c>
      <c r="J83" s="36">
        <f>[1]data!J83-[1]data!J45</f>
        <v>-0.68071461876866124</v>
      </c>
      <c r="K83" s="36">
        <f>[1]data!K83-[1]data!K45</f>
        <v>-4.7259804742539018</v>
      </c>
      <c r="L83" s="25">
        <f t="shared" si="65"/>
        <v>0.17580101794312911</v>
      </c>
      <c r="M83" s="25">
        <f t="shared" si="66"/>
        <v>0.20049900132632581</v>
      </c>
      <c r="N83" s="25">
        <f t="shared" si="67"/>
        <v>0.15069231485585083</v>
      </c>
      <c r="O83" s="25">
        <f t="shared" si="68"/>
        <v>0.17186281962214994</v>
      </c>
      <c r="P83" s="24">
        <f t="shared" si="69"/>
        <v>0.20049900132632581</v>
      </c>
      <c r="Q83" s="40">
        <f t="shared" si="51"/>
        <v>0.17186281962214994</v>
      </c>
      <c r="R83" s="40">
        <f t="shared" si="52"/>
        <v>0</v>
      </c>
      <c r="S83" s="40">
        <f t="shared" si="53"/>
        <v>0</v>
      </c>
      <c r="T83" s="40">
        <f t="shared" si="54"/>
        <v>-2.4697983383196693E-2</v>
      </c>
      <c r="U83" s="40">
        <f t="shared" si="55"/>
        <v>-2.11705047662991E-2</v>
      </c>
      <c r="V83" s="25">
        <f t="shared" si="70"/>
        <v>-1.4913782273699036E-2</v>
      </c>
      <c r="W83" s="25">
        <f t="shared" si="71"/>
        <v>-1.2783727878110945E-2</v>
      </c>
      <c r="X83" s="40">
        <f t="shared" si="56"/>
        <v>0</v>
      </c>
      <c r="Y83" s="40">
        <f t="shared" si="57"/>
        <v>0</v>
      </c>
      <c r="Z83" s="40">
        <f t="shared" si="58"/>
        <v>-1.4913782273699036E-2</v>
      </c>
      <c r="AA83" s="40">
        <f t="shared" si="59"/>
        <v>-1.2783727878110945E-2</v>
      </c>
      <c r="AB83" s="40">
        <f t="shared" si="60"/>
        <v>-0.10354154572186258</v>
      </c>
      <c r="AC83" s="40">
        <f t="shared" si="61"/>
        <v>-8.8753269981791963E-2</v>
      </c>
      <c r="AD83" s="26">
        <v>5324.8522282316499</v>
      </c>
      <c r="AE83" s="8">
        <v>4564.3325500944502</v>
      </c>
      <c r="AF83" s="61">
        <f t="shared" si="72"/>
        <v>8.4707265613831311</v>
      </c>
      <c r="AG83" s="61">
        <f t="shared" si="73"/>
        <v>8.4707265613831311</v>
      </c>
      <c r="AH83" s="74">
        <f t="shared" si="74"/>
        <v>1.0803608301880436</v>
      </c>
      <c r="AI83" s="74">
        <f t="shared" si="95"/>
        <v>1.0803608301880436</v>
      </c>
      <c r="AJ83" s="74">
        <f t="shared" si="75"/>
        <v>1.0803608301880436</v>
      </c>
      <c r="AK83" s="74">
        <f t="shared" si="96"/>
        <v>1.0803608301880436</v>
      </c>
      <c r="AL83" s="74">
        <f t="shared" si="76"/>
        <v>0</v>
      </c>
      <c r="AM83" s="74">
        <f t="shared" si="50"/>
        <v>0</v>
      </c>
      <c r="AN83" s="74">
        <f t="shared" si="77"/>
        <v>1.0803608301880436</v>
      </c>
      <c r="AO83" s="74">
        <f t="shared" si="78"/>
        <v>1.0803608301880436</v>
      </c>
      <c r="AP83" s="74">
        <f t="shared" si="79"/>
        <v>-0.13308162961077755</v>
      </c>
      <c r="AQ83" s="74">
        <f t="shared" si="80"/>
        <v>-0.13308162961077755</v>
      </c>
      <c r="AR83" s="74">
        <f t="shared" si="81"/>
        <v>0</v>
      </c>
      <c r="AS83" s="74">
        <f t="shared" si="82"/>
        <v>1</v>
      </c>
      <c r="AT83" s="74">
        <f t="shared" si="83"/>
        <v>-8.0360830188043714E-2</v>
      </c>
      <c r="AU83" s="74">
        <f t="shared" si="84"/>
        <v>-8.0360830188043714E-2</v>
      </c>
      <c r="AV83" s="74">
        <f t="shared" si="85"/>
        <v>0</v>
      </c>
      <c r="AW83" s="74">
        <f t="shared" si="86"/>
        <v>0</v>
      </c>
      <c r="AX83" s="74">
        <f t="shared" si="87"/>
        <v>-8.0360830188043714E-2</v>
      </c>
      <c r="AY83" s="74">
        <f t="shared" si="88"/>
        <v>-8.0360830188043714E-2</v>
      </c>
      <c r="AZ83" s="74">
        <f t="shared" si="89"/>
        <v>0</v>
      </c>
      <c r="BA83" s="74">
        <f t="shared" si="90"/>
        <v>1</v>
      </c>
      <c r="BB83" s="74">
        <f t="shared" si="91"/>
        <v>1.6088723566943007E-3</v>
      </c>
      <c r="BC83" s="74">
        <f t="shared" si="92"/>
        <v>1.8558521905262678E-3</v>
      </c>
      <c r="BD83" s="74">
        <f t="shared" si="93"/>
        <v>1.5907909174403901E-3</v>
      </c>
      <c r="BE83" s="75">
        <f t="shared" si="94"/>
        <v>1.8558521905262678E-3</v>
      </c>
    </row>
    <row r="84" spans="1:57" x14ac:dyDescent="0.35">
      <c r="A84" s="7" t="s">
        <v>33</v>
      </c>
      <c r="B84" s="11" t="s">
        <v>67</v>
      </c>
      <c r="C84" s="47">
        <f t="shared" si="62"/>
        <v>8.0444134093533837</v>
      </c>
      <c r="D84" s="23">
        <f t="shared" si="63"/>
        <v>7.6111093494739972</v>
      </c>
      <c r="E84" s="50">
        <f>[1]data!E84-[1]data!E46</f>
        <v>0.4779750571525323</v>
      </c>
      <c r="F84" s="36">
        <f>[1]data!F84-[1]data!F46</f>
        <v>7.1331342923214649</v>
      </c>
      <c r="G84" s="36">
        <f>[1]data!G84-[1]data!G46</f>
        <v>0.43330405987938647</v>
      </c>
      <c r="H84" s="25">
        <f t="shared" si="64"/>
        <v>31.181274689127051</v>
      </c>
      <c r="I84" s="36">
        <f>[1]data!I84-[1]data!I46</f>
        <v>0</v>
      </c>
      <c r="J84" s="36">
        <f>[1]data!J84-[1]data!J46</f>
        <v>31.181274689127051</v>
      </c>
      <c r="K84" s="36">
        <f>[1]data!K84-[1]data!K46</f>
        <v>-16.443131650412695</v>
      </c>
      <c r="L84" s="25">
        <f t="shared" si="65"/>
        <v>0.49106787149276926</v>
      </c>
      <c r="M84" s="25">
        <f t="shared" si="66"/>
        <v>0.46461700533679318</v>
      </c>
      <c r="N84" s="25">
        <f t="shared" si="67"/>
        <v>0.37302415016741503</v>
      </c>
      <c r="O84" s="25">
        <f t="shared" si="68"/>
        <v>0.35293158772990213</v>
      </c>
      <c r="P84" s="24">
        <f t="shared" si="69"/>
        <v>2.9177788609125649E-2</v>
      </c>
      <c r="Q84" s="40">
        <f t="shared" si="51"/>
        <v>2.2163982682470888E-2</v>
      </c>
      <c r="R84" s="40">
        <f t="shared" si="52"/>
        <v>0.43543921672766756</v>
      </c>
      <c r="S84" s="40">
        <f t="shared" si="53"/>
        <v>0.33076760504743125</v>
      </c>
      <c r="T84" s="40">
        <f t="shared" si="54"/>
        <v>2.64508661559761E-2</v>
      </c>
      <c r="U84" s="40">
        <f t="shared" si="55"/>
        <v>2.0092562437512899E-2</v>
      </c>
      <c r="V84" s="25">
        <f t="shared" si="70"/>
        <v>1.9034479473938153</v>
      </c>
      <c r="W84" s="25">
        <f t="shared" si="71"/>
        <v>1.445893926650307</v>
      </c>
      <c r="X84" s="40">
        <f t="shared" si="56"/>
        <v>0</v>
      </c>
      <c r="Y84" s="40">
        <f t="shared" si="57"/>
        <v>0</v>
      </c>
      <c r="Z84" s="40">
        <f t="shared" si="58"/>
        <v>1.9034479473938153</v>
      </c>
      <c r="AA84" s="40">
        <f t="shared" si="59"/>
        <v>1.445893926650307</v>
      </c>
      <c r="AB84" s="40">
        <f t="shared" si="60"/>
        <v>-1.0037641341076475</v>
      </c>
      <c r="AC84" s="40">
        <f t="shared" si="61"/>
        <v>-0.76247762240244576</v>
      </c>
      <c r="AD84" s="26">
        <v>2156.5395714307001</v>
      </c>
      <c r="AE84" s="8">
        <v>1638.14696019506</v>
      </c>
      <c r="AF84" s="61">
        <f t="shared" si="72"/>
        <v>38.79238403860105</v>
      </c>
      <c r="AG84" s="61">
        <f t="shared" si="73"/>
        <v>38.79238403860105</v>
      </c>
      <c r="AH84" s="74">
        <f t="shared" si="74"/>
        <v>0.19620112396032241</v>
      </c>
      <c r="AI84" s="74">
        <f t="shared" si="95"/>
        <v>0.19620112396032241</v>
      </c>
      <c r="AJ84" s="74">
        <f t="shared" si="75"/>
        <v>0.19620112396032241</v>
      </c>
      <c r="AK84" s="74">
        <f t="shared" si="96"/>
        <v>0.19620112396032241</v>
      </c>
      <c r="AL84" s="74">
        <f t="shared" si="76"/>
        <v>0.18387976065671843</v>
      </c>
      <c r="AM84" s="74">
        <f t="shared" si="50"/>
        <v>0.18387976065671843</v>
      </c>
      <c r="AN84" s="74">
        <f t="shared" si="77"/>
        <v>1.2321363303603994E-2</v>
      </c>
      <c r="AO84" s="74">
        <f t="shared" si="78"/>
        <v>1.2321363303603994E-2</v>
      </c>
      <c r="AP84" s="74">
        <f t="shared" si="79"/>
        <v>1.1169822907718679E-2</v>
      </c>
      <c r="AQ84" s="74">
        <f t="shared" si="80"/>
        <v>1.1169822907718679E-2</v>
      </c>
      <c r="AR84" s="74">
        <f t="shared" si="81"/>
        <v>0.93720034291905618</v>
      </c>
      <c r="AS84" s="74">
        <f t="shared" si="82"/>
        <v>6.2799657080943802E-2</v>
      </c>
      <c r="AT84" s="74">
        <f t="shared" si="83"/>
        <v>0.80379887603967759</v>
      </c>
      <c r="AU84" s="74">
        <f t="shared" si="84"/>
        <v>0.80379887603967759</v>
      </c>
      <c r="AV84" s="74">
        <f t="shared" si="85"/>
        <v>0</v>
      </c>
      <c r="AW84" s="74">
        <f t="shared" si="86"/>
        <v>0</v>
      </c>
      <c r="AX84" s="74">
        <f t="shared" si="87"/>
        <v>0.80379887603967759</v>
      </c>
      <c r="AY84" s="74">
        <f t="shared" si="88"/>
        <v>0.80379887603967759</v>
      </c>
      <c r="AZ84" s="74">
        <f t="shared" si="89"/>
        <v>0</v>
      </c>
      <c r="BA84" s="74">
        <f t="shared" si="90"/>
        <v>1</v>
      </c>
      <c r="BB84" s="74">
        <f t="shared" si="91"/>
        <v>2.3945158188865844E-2</v>
      </c>
      <c r="BC84" s="74">
        <f t="shared" si="92"/>
        <v>2.3680649527306086E-2</v>
      </c>
      <c r="BD84" s="74">
        <f t="shared" si="93"/>
        <v>1.7988255143802093E-2</v>
      </c>
      <c r="BE84" s="75">
        <f t="shared" si="94"/>
        <v>2.3680649527306086E-2</v>
      </c>
    </row>
    <row r="85" spans="1:57" x14ac:dyDescent="0.35">
      <c r="A85" s="7" t="s">
        <v>34</v>
      </c>
      <c r="B85" s="11" t="s">
        <v>67</v>
      </c>
      <c r="C85" s="47">
        <f t="shared" si="62"/>
        <v>3.775361888531938</v>
      </c>
      <c r="D85" s="23">
        <f t="shared" si="63"/>
        <v>3.775361888531938</v>
      </c>
      <c r="E85" s="50">
        <f>[1]data!E85-[1]data!E47</f>
        <v>1.3595775049326146</v>
      </c>
      <c r="F85" s="36">
        <f>[1]data!F85-[1]data!F47</f>
        <v>2.4157843835993233</v>
      </c>
      <c r="G85" s="36">
        <f>[1]data!G85-[1]data!G47</f>
        <v>0</v>
      </c>
      <c r="H85" s="25">
        <f t="shared" si="64"/>
        <v>50.527542741764954</v>
      </c>
      <c r="I85" s="36">
        <f>[1]data!I85-[1]data!I47</f>
        <v>0.55038566188227755</v>
      </c>
      <c r="J85" s="36">
        <f>[1]data!J85-[1]data!J47</f>
        <v>49.977157079882673</v>
      </c>
      <c r="K85" s="36">
        <f>[1]data!K85-[1]data!K47</f>
        <v>0.50329327265262691</v>
      </c>
      <c r="L85" s="25">
        <f t="shared" si="65"/>
        <v>0.28516573464501954</v>
      </c>
      <c r="M85" s="25">
        <f t="shared" si="66"/>
        <v>0.28516573464501954</v>
      </c>
      <c r="N85" s="25">
        <f t="shared" si="67"/>
        <v>0.21014771427690998</v>
      </c>
      <c r="O85" s="25">
        <f t="shared" si="68"/>
        <v>0.21014771427690998</v>
      </c>
      <c r="P85" s="24">
        <f t="shared" si="69"/>
        <v>0.10269344487972042</v>
      </c>
      <c r="Q85" s="40">
        <f t="shared" si="51"/>
        <v>7.5678070998113869E-2</v>
      </c>
      <c r="R85" s="40">
        <f t="shared" si="52"/>
        <v>0.18247228976529914</v>
      </c>
      <c r="S85" s="40">
        <f t="shared" si="53"/>
        <v>0.1344696432787961</v>
      </c>
      <c r="T85" s="40">
        <f t="shared" si="54"/>
        <v>0</v>
      </c>
      <c r="U85" s="40">
        <f t="shared" si="55"/>
        <v>0</v>
      </c>
      <c r="V85" s="25">
        <f t="shared" si="70"/>
        <v>3.8165146206330722</v>
      </c>
      <c r="W85" s="25">
        <f t="shared" si="71"/>
        <v>2.812511205207858</v>
      </c>
      <c r="X85" s="40">
        <f t="shared" si="56"/>
        <v>4.1572473379439659E-2</v>
      </c>
      <c r="Y85" s="40">
        <f t="shared" si="57"/>
        <v>3.0636079991876088E-2</v>
      </c>
      <c r="Z85" s="40">
        <f t="shared" si="58"/>
        <v>3.7749421472536326</v>
      </c>
      <c r="AA85" s="40">
        <f t="shared" si="59"/>
        <v>2.7818751252159819</v>
      </c>
      <c r="AB85" s="40">
        <f t="shared" si="60"/>
        <v>3.8015427414745527E-2</v>
      </c>
      <c r="AC85" s="40">
        <f t="shared" si="61"/>
        <v>2.8014779505024515E-2</v>
      </c>
      <c r="AD85" s="26">
        <v>1796.5276955414199</v>
      </c>
      <c r="AE85" s="8">
        <v>1323.9184901480501</v>
      </c>
      <c r="AF85" s="61">
        <f t="shared" si="72"/>
        <v>54.302904630296894</v>
      </c>
      <c r="AG85" s="61">
        <f t="shared" si="73"/>
        <v>54.302904630296894</v>
      </c>
      <c r="AH85" s="74">
        <f t="shared" si="74"/>
        <v>6.9524124247776847E-2</v>
      </c>
      <c r="AI85" s="74">
        <f t="shared" si="95"/>
        <v>6.9524124247776847E-2</v>
      </c>
      <c r="AJ85" s="74">
        <f t="shared" si="75"/>
        <v>6.9524124247776847E-2</v>
      </c>
      <c r="AK85" s="74">
        <f t="shared" si="96"/>
        <v>6.9524124247776847E-2</v>
      </c>
      <c r="AL85" s="74">
        <f t="shared" si="76"/>
        <v>4.448720377015522E-2</v>
      </c>
      <c r="AM85" s="74">
        <f t="shared" si="50"/>
        <v>4.448720377015522E-2</v>
      </c>
      <c r="AN85" s="74">
        <f t="shared" si="77"/>
        <v>2.5036920477621627E-2</v>
      </c>
      <c r="AO85" s="74">
        <f t="shared" si="78"/>
        <v>2.5036920477621627E-2</v>
      </c>
      <c r="AP85" s="74">
        <f t="shared" si="79"/>
        <v>0</v>
      </c>
      <c r="AQ85" s="74">
        <f t="shared" si="80"/>
        <v>0</v>
      </c>
      <c r="AR85" s="74">
        <f t="shared" si="81"/>
        <v>0.63988154114113527</v>
      </c>
      <c r="AS85" s="74">
        <f t="shared" si="82"/>
        <v>0.36011845885886473</v>
      </c>
      <c r="AT85" s="74">
        <f t="shared" si="83"/>
        <v>0.93047587575222312</v>
      </c>
      <c r="AU85" s="74">
        <f t="shared" si="84"/>
        <v>0.93047587575222312</v>
      </c>
      <c r="AV85" s="74">
        <f t="shared" si="85"/>
        <v>1.0135473703099192E-2</v>
      </c>
      <c r="AW85" s="74">
        <f t="shared" si="86"/>
        <v>1.0135473703099192E-2</v>
      </c>
      <c r="AX85" s="74">
        <f t="shared" si="87"/>
        <v>0.92034040204912382</v>
      </c>
      <c r="AY85" s="74">
        <f t="shared" si="88"/>
        <v>0.92034040204912382</v>
      </c>
      <c r="AZ85" s="74">
        <f t="shared" si="89"/>
        <v>1.0892785043895296E-2</v>
      </c>
      <c r="BA85" s="74">
        <f t="shared" si="90"/>
        <v>0.98910721495610465</v>
      </c>
      <c r="BB85" s="74">
        <f t="shared" si="91"/>
        <v>4.1016803552780923E-2</v>
      </c>
      <c r="BC85" s="74">
        <f t="shared" si="92"/>
        <v>4.1016803552780923E-2</v>
      </c>
      <c r="BD85" s="74">
        <f t="shared" si="93"/>
        <v>3.0226589194847685E-2</v>
      </c>
      <c r="BE85" s="75">
        <f t="shared" si="94"/>
        <v>4.1016803552780923E-2</v>
      </c>
    </row>
    <row r="86" spans="1:57" x14ac:dyDescent="0.35">
      <c r="A86" s="7" t="s">
        <v>35</v>
      </c>
      <c r="B86" s="11" t="s">
        <v>67</v>
      </c>
      <c r="C86" s="47">
        <f t="shared" si="62"/>
        <v>91.948787240177779</v>
      </c>
      <c r="D86" s="23">
        <f t="shared" si="63"/>
        <v>86.822642299974518</v>
      </c>
      <c r="E86" s="50">
        <f>[1]data!E86-[1]data!E48</f>
        <v>32.556193825364851</v>
      </c>
      <c r="F86" s="36">
        <f>[1]data!F86-[1]data!F48</f>
        <v>54.26644847460966</v>
      </c>
      <c r="G86" s="36">
        <f>[1]data!G86-[1]data!G48</f>
        <v>5.126144940203254</v>
      </c>
      <c r="H86" s="25">
        <f t="shared" si="64"/>
        <v>13.509836274357932</v>
      </c>
      <c r="I86" s="36">
        <f>[1]data!I86-[1]data!I48</f>
        <v>3.9618288194598339E-2</v>
      </c>
      <c r="J86" s="36">
        <f>[1]data!J86-[1]data!J48</f>
        <v>13.470217986163334</v>
      </c>
      <c r="K86" s="36">
        <f>[1]data!K86-[1]data!K48</f>
        <v>0</v>
      </c>
      <c r="L86" s="25">
        <f t="shared" si="65"/>
        <v>2.9121787522856484</v>
      </c>
      <c r="M86" s="25">
        <f t="shared" si="66"/>
        <v>2.7498247852126223</v>
      </c>
      <c r="N86" s="25">
        <f t="shared" si="67"/>
        <v>3.1253960490151949</v>
      </c>
      <c r="O86" s="25">
        <f t="shared" si="68"/>
        <v>2.9511552175299278</v>
      </c>
      <c r="P86" s="24">
        <f t="shared" si="69"/>
        <v>1.0311115432753961</v>
      </c>
      <c r="Q86" s="40">
        <f t="shared" si="51"/>
        <v>1.106605128863595</v>
      </c>
      <c r="R86" s="40">
        <f t="shared" si="52"/>
        <v>1.7187132419372264</v>
      </c>
      <c r="S86" s="40">
        <f t="shared" si="53"/>
        <v>1.8445500886663329</v>
      </c>
      <c r="T86" s="40">
        <f t="shared" si="54"/>
        <v>0.1623539670730261</v>
      </c>
      <c r="U86" s="40">
        <f t="shared" si="55"/>
        <v>0.17424083148526701</v>
      </c>
      <c r="V86" s="25">
        <f t="shared" si="70"/>
        <v>0.42788012029213385</v>
      </c>
      <c r="W86" s="25">
        <f t="shared" si="71"/>
        <v>0.45920767616465635</v>
      </c>
      <c r="X86" s="40">
        <f t="shared" si="56"/>
        <v>1.2547804114138915E-3</v>
      </c>
      <c r="Y86" s="40">
        <f t="shared" si="57"/>
        <v>1.3466500767292076E-3</v>
      </c>
      <c r="Z86" s="40">
        <f t="shared" si="58"/>
        <v>0.42662533988071993</v>
      </c>
      <c r="AA86" s="40">
        <f t="shared" si="59"/>
        <v>0.45786102608792717</v>
      </c>
      <c r="AB86" s="40">
        <f t="shared" si="60"/>
        <v>0</v>
      </c>
      <c r="AC86" s="40">
        <f t="shared" si="61"/>
        <v>0</v>
      </c>
      <c r="AD86" s="26">
        <v>2941.9883367789698</v>
      </c>
      <c r="AE86" s="8">
        <v>3157.38816403392</v>
      </c>
      <c r="AF86" s="61">
        <f t="shared" si="72"/>
        <v>100.33247857433246</v>
      </c>
      <c r="AG86" s="61">
        <f t="shared" si="73"/>
        <v>100.33247857433246</v>
      </c>
      <c r="AH86" s="74">
        <f t="shared" si="74"/>
        <v>0.86534932191125902</v>
      </c>
      <c r="AI86" s="74">
        <f t="shared" si="95"/>
        <v>0.86534932191125902</v>
      </c>
      <c r="AJ86" s="74">
        <f t="shared" si="75"/>
        <v>0.86534932191125902</v>
      </c>
      <c r="AK86" s="74">
        <f t="shared" si="96"/>
        <v>0.86534932191125902</v>
      </c>
      <c r="AL86" s="74">
        <f t="shared" si="76"/>
        <v>0.54086622044730759</v>
      </c>
      <c r="AM86" s="74">
        <f t="shared" si="50"/>
        <v>0.54086622044730759</v>
      </c>
      <c r="AN86" s="74">
        <f t="shared" si="77"/>
        <v>0.32448310146395143</v>
      </c>
      <c r="AO86" s="74">
        <f t="shared" si="78"/>
        <v>0.32448310146395143</v>
      </c>
      <c r="AP86" s="74">
        <f t="shared" si="79"/>
        <v>5.1091580842443668E-2</v>
      </c>
      <c r="AQ86" s="74">
        <f t="shared" si="80"/>
        <v>5.1091580842443668E-2</v>
      </c>
      <c r="AR86" s="74">
        <f t="shared" si="81"/>
        <v>0.62502645665997647</v>
      </c>
      <c r="AS86" s="74">
        <f t="shared" si="82"/>
        <v>0.37497354334002347</v>
      </c>
      <c r="AT86" s="74">
        <f t="shared" si="83"/>
        <v>0.1346506780887409</v>
      </c>
      <c r="AU86" s="74">
        <f t="shared" si="84"/>
        <v>0.1346506780887409</v>
      </c>
      <c r="AV86" s="74">
        <f t="shared" si="85"/>
        <v>3.9487002372065073E-4</v>
      </c>
      <c r="AW86" s="74">
        <f t="shared" si="86"/>
        <v>3.9487002372065073E-4</v>
      </c>
      <c r="AX86" s="74">
        <f t="shared" si="87"/>
        <v>0.13425580806502024</v>
      </c>
      <c r="AY86" s="74">
        <f t="shared" si="88"/>
        <v>0.13425580806502024</v>
      </c>
      <c r="AZ86" s="74">
        <f t="shared" si="89"/>
        <v>2.932551319648116E-3</v>
      </c>
      <c r="BA86" s="74">
        <f t="shared" si="90"/>
        <v>0.99706744868035191</v>
      </c>
      <c r="BB86" s="74">
        <f t="shared" si="91"/>
        <v>3.3400588725777829E-2</v>
      </c>
      <c r="BC86" s="74">
        <f t="shared" si="92"/>
        <v>3.1777049055047565E-2</v>
      </c>
      <c r="BD86" s="74">
        <f t="shared" si="93"/>
        <v>3.4103628936945844E-2</v>
      </c>
      <c r="BE86" s="75">
        <f t="shared" si="94"/>
        <v>3.1777049055047565E-2</v>
      </c>
    </row>
    <row r="87" spans="1:57" x14ac:dyDescent="0.35">
      <c r="A87" s="7" t="s">
        <v>36</v>
      </c>
      <c r="B87" s="11" t="s">
        <v>67</v>
      </c>
      <c r="C87" s="47">
        <f t="shared" si="62"/>
        <v>24</v>
      </c>
      <c r="D87" s="23">
        <f t="shared" si="63"/>
        <v>6</v>
      </c>
      <c r="E87" s="50">
        <f>[1]data!E87-[1]data!E49</f>
        <v>0</v>
      </c>
      <c r="F87" s="36">
        <f>[1]data!F87-[1]data!F49</f>
        <v>6</v>
      </c>
      <c r="G87" s="36">
        <f>[1]data!G87-[1]data!G49</f>
        <v>18</v>
      </c>
      <c r="H87" s="25">
        <f t="shared" si="64"/>
        <v>0</v>
      </c>
      <c r="I87" s="36">
        <f>[1]data!I87-[1]data!I49</f>
        <v>0</v>
      </c>
      <c r="J87" s="36">
        <f>[1]data!J87-[1]data!J49</f>
        <v>0</v>
      </c>
      <c r="K87" s="36">
        <f>[1]data!K87-[1]data!K49</f>
        <v>0</v>
      </c>
      <c r="L87" s="25">
        <f t="shared" si="65"/>
        <v>0.12042766756823919</v>
      </c>
      <c r="M87" s="25">
        <f t="shared" si="66"/>
        <v>3.0106916892059795E-2</v>
      </c>
      <c r="N87" s="25">
        <f t="shared" si="67"/>
        <v>0.12015491641159785</v>
      </c>
      <c r="O87" s="25">
        <f t="shared" si="68"/>
        <v>3.0038729102899463E-2</v>
      </c>
      <c r="P87" s="24">
        <f t="shared" si="69"/>
        <v>0</v>
      </c>
      <c r="Q87" s="40">
        <f t="shared" si="51"/>
        <v>0</v>
      </c>
      <c r="R87" s="40">
        <f t="shared" si="52"/>
        <v>3.0106916892059795E-2</v>
      </c>
      <c r="S87" s="40">
        <f t="shared" si="53"/>
        <v>3.0038729102899463E-2</v>
      </c>
      <c r="T87" s="40">
        <f t="shared" si="54"/>
        <v>9.0320750676179395E-2</v>
      </c>
      <c r="U87" s="40">
        <f t="shared" si="55"/>
        <v>9.0116187308698387E-2</v>
      </c>
      <c r="V87" s="25">
        <f t="shared" si="70"/>
        <v>0</v>
      </c>
      <c r="W87" s="25">
        <f t="shared" si="71"/>
        <v>0</v>
      </c>
      <c r="X87" s="40">
        <f t="shared" si="56"/>
        <v>0</v>
      </c>
      <c r="Y87" s="40">
        <f t="shared" si="57"/>
        <v>0</v>
      </c>
      <c r="Z87" s="40">
        <f t="shared" si="58"/>
        <v>0</v>
      </c>
      <c r="AA87" s="40">
        <f t="shared" si="59"/>
        <v>0</v>
      </c>
      <c r="AB87" s="40">
        <f t="shared" si="60"/>
        <v>0</v>
      </c>
      <c r="AC87" s="40">
        <f t="shared" si="61"/>
        <v>0</v>
      </c>
      <c r="AD87" s="26">
        <v>19974.2138871676</v>
      </c>
      <c r="AE87" s="8">
        <v>19928.975197</v>
      </c>
      <c r="AF87" s="61">
        <f t="shared" si="72"/>
        <v>6</v>
      </c>
      <c r="AG87" s="61">
        <f t="shared" si="73"/>
        <v>6</v>
      </c>
      <c r="AH87" s="74">
        <f t="shared" si="74"/>
        <v>1</v>
      </c>
      <c r="AI87" s="74">
        <f t="shared" si="95"/>
        <v>1</v>
      </c>
      <c r="AJ87" s="74">
        <f t="shared" si="75"/>
        <v>1</v>
      </c>
      <c r="AK87" s="74">
        <f t="shared" si="96"/>
        <v>1</v>
      </c>
      <c r="AL87" s="74">
        <f t="shared" si="76"/>
        <v>1</v>
      </c>
      <c r="AM87" s="74">
        <f t="shared" si="50"/>
        <v>1</v>
      </c>
      <c r="AN87" s="74">
        <f t="shared" si="77"/>
        <v>0</v>
      </c>
      <c r="AO87" s="74">
        <f t="shared" si="78"/>
        <v>0</v>
      </c>
      <c r="AP87" s="74">
        <f t="shared" si="79"/>
        <v>3</v>
      </c>
      <c r="AQ87" s="74">
        <f t="shared" si="80"/>
        <v>3</v>
      </c>
      <c r="AR87" s="74">
        <f t="shared" si="81"/>
        <v>1</v>
      </c>
      <c r="AS87" s="74">
        <f t="shared" si="82"/>
        <v>0</v>
      </c>
      <c r="AT87" s="74">
        <f t="shared" si="83"/>
        <v>0</v>
      </c>
      <c r="AU87" s="74">
        <f t="shared" si="84"/>
        <v>0</v>
      </c>
      <c r="AV87" s="74">
        <f t="shared" si="85"/>
        <v>0</v>
      </c>
      <c r="AW87" s="74">
        <f t="shared" si="86"/>
        <v>0</v>
      </c>
      <c r="AX87" s="74">
        <f t="shared" si="87"/>
        <v>0</v>
      </c>
      <c r="AY87" s="74">
        <f t="shared" si="88"/>
        <v>0</v>
      </c>
      <c r="AZ87" s="74" t="e">
        <f t="shared" si="89"/>
        <v>#DIV/0!</v>
      </c>
      <c r="BA87" s="74" t="e">
        <f t="shared" si="90"/>
        <v>#DIV/0!</v>
      </c>
      <c r="BB87" s="74">
        <f t="shared" si="91"/>
        <v>1.2042766756823918E-3</v>
      </c>
      <c r="BC87" s="74">
        <f t="shared" si="92"/>
        <v>3.0106916892059794E-4</v>
      </c>
      <c r="BD87" s="74">
        <f t="shared" si="93"/>
        <v>3.0038729102899463E-4</v>
      </c>
      <c r="BE87" s="75">
        <f t="shared" si="94"/>
        <v>3.0106916892059794E-4</v>
      </c>
    </row>
    <row r="88" spans="1:57" x14ac:dyDescent="0.35">
      <c r="A88" s="7" t="s">
        <v>37</v>
      </c>
      <c r="B88" s="11" t="s">
        <v>67</v>
      </c>
      <c r="C88" s="47">
        <f t="shared" si="62"/>
        <v>-0.14843950319521459</v>
      </c>
      <c r="D88" s="23">
        <f t="shared" si="63"/>
        <v>-0.11288146009630928</v>
      </c>
      <c r="E88" s="50">
        <f>[1]data!E88-[1]data!E50</f>
        <v>-3.0653485430090832E-2</v>
      </c>
      <c r="F88" s="36">
        <f>[1]data!F88-[1]data!F50</f>
        <v>-8.2227974666218451E-2</v>
      </c>
      <c r="G88" s="36">
        <f>[1]data!G88-[1]data!G50</f>
        <v>-3.5558043098905312E-2</v>
      </c>
      <c r="H88" s="25">
        <f t="shared" si="64"/>
        <v>-2.9120811158586113E-2</v>
      </c>
      <c r="I88" s="36">
        <f>[1]data!I88-[1]data!I50</f>
        <v>-2.9120811158586113E-2</v>
      </c>
      <c r="J88" s="36">
        <f>[1]data!J88-[1]data!J50</f>
        <v>0</v>
      </c>
      <c r="K88" s="36">
        <f>[1]data!K88-[1]data!K50</f>
        <v>-4.9811913823897491E-2</v>
      </c>
      <c r="L88" s="25">
        <f t="shared" si="65"/>
        <v>-1.1604530293294734E-2</v>
      </c>
      <c r="M88" s="25">
        <f t="shared" si="66"/>
        <v>-8.824715086227744E-3</v>
      </c>
      <c r="N88" s="25">
        <f t="shared" si="67"/>
        <v>-6.2325870218449533E-3</v>
      </c>
      <c r="O88" s="25">
        <f t="shared" si="68"/>
        <v>-4.7395976681350619E-3</v>
      </c>
      <c r="P88" s="24">
        <f t="shared" si="69"/>
        <v>-2.396392419885339E-3</v>
      </c>
      <c r="Q88" s="40">
        <f t="shared" si="51"/>
        <v>-1.2870597876809425E-3</v>
      </c>
      <c r="R88" s="40">
        <f t="shared" si="52"/>
        <v>-6.4283226663424051E-3</v>
      </c>
      <c r="S88" s="40">
        <f t="shared" si="53"/>
        <v>-3.4525378804541192E-3</v>
      </c>
      <c r="T88" s="40">
        <f t="shared" si="54"/>
        <v>-2.7798152070669891E-3</v>
      </c>
      <c r="U88" s="40">
        <f t="shared" si="55"/>
        <v>-1.4929893537098911E-3</v>
      </c>
      <c r="V88" s="25">
        <f t="shared" si="70"/>
        <v>-2.2765727988910581E-3</v>
      </c>
      <c r="W88" s="25">
        <f t="shared" si="71"/>
        <v>-1.2227067982968878E-3</v>
      </c>
      <c r="X88" s="40">
        <f t="shared" si="56"/>
        <v>-2.2765727988910581E-3</v>
      </c>
      <c r="Y88" s="40">
        <f t="shared" si="57"/>
        <v>-1.2227067982968878E-3</v>
      </c>
      <c r="Z88" s="40">
        <f t="shared" si="58"/>
        <v>0</v>
      </c>
      <c r="AA88" s="40">
        <f t="shared" si="59"/>
        <v>0</v>
      </c>
      <c r="AB88" s="40">
        <f t="shared" si="60"/>
        <v>-3.8941376823136671E-3</v>
      </c>
      <c r="AC88" s="40">
        <f t="shared" si="61"/>
        <v>-2.0914721549815268E-3</v>
      </c>
      <c r="AD88" s="26">
        <v>2381.6675591522499</v>
      </c>
      <c r="AE88" s="8">
        <v>1279.1513266244399</v>
      </c>
      <c r="AF88" s="61">
        <f t="shared" si="72"/>
        <v>-0.1420022712548954</v>
      </c>
      <c r="AG88" s="61">
        <f>(D88*-1)+(H88*-1)</f>
        <v>0.1420022712548954</v>
      </c>
      <c r="AH88" s="74">
        <f>($D88/$AG88)*-1</f>
        <v>0.7949271451699953</v>
      </c>
      <c r="AI88" s="74">
        <f t="shared" si="95"/>
        <v>-0.7949271451699953</v>
      </c>
      <c r="AJ88" s="74">
        <f t="shared" si="75"/>
        <v>0.7949271451699953</v>
      </c>
      <c r="AK88" s="74">
        <f t="shared" si="96"/>
        <v>0.7949271451699953</v>
      </c>
      <c r="AL88" s="74">
        <f t="shared" si="76"/>
        <v>-0.57906098219104163</v>
      </c>
      <c r="AM88" s="74">
        <f t="shared" si="50"/>
        <v>0.57906098219104163</v>
      </c>
      <c r="AN88" s="74">
        <f t="shared" si="77"/>
        <v>-0.21586616297895364</v>
      </c>
      <c r="AO88" s="74">
        <f t="shared" si="78"/>
        <v>0.21586616297895364</v>
      </c>
      <c r="AP88" s="74">
        <f t="shared" si="79"/>
        <v>-0.25040474905558585</v>
      </c>
      <c r="AQ88" s="74">
        <f t="shared" si="80"/>
        <v>0.25040474905558585</v>
      </c>
      <c r="AR88" s="74">
        <f t="shared" si="81"/>
        <v>0.72844534962661189</v>
      </c>
      <c r="AS88" s="74">
        <f t="shared" si="82"/>
        <v>0.27155465037338816</v>
      </c>
      <c r="AT88" s="74">
        <f t="shared" si="83"/>
        <v>-0.2050728548300047</v>
      </c>
      <c r="AU88" s="74">
        <f t="shared" si="84"/>
        <v>0.2050728548300047</v>
      </c>
      <c r="AV88" s="74">
        <f t="shared" si="85"/>
        <v>-0.2050728548300047</v>
      </c>
      <c r="AW88" s="74">
        <f t="shared" si="86"/>
        <v>0.2050728548300047</v>
      </c>
      <c r="AX88" s="74">
        <f t="shared" si="87"/>
        <v>0</v>
      </c>
      <c r="AY88" s="74">
        <f t="shared" si="88"/>
        <v>0</v>
      </c>
      <c r="AZ88" s="74">
        <f t="shared" si="89"/>
        <v>1</v>
      </c>
      <c r="BA88" s="74">
        <f t="shared" si="90"/>
        <v>0</v>
      </c>
      <c r="BB88" s="74">
        <f t="shared" si="91"/>
        <v>-1.3881103092185793E-4</v>
      </c>
      <c r="BC88" s="74">
        <f t="shared" si="92"/>
        <v>-1.1101287885118803E-4</v>
      </c>
      <c r="BD88" s="74">
        <f t="shared" si="93"/>
        <v>-5.9623044664319499E-5</v>
      </c>
      <c r="BE88" s="75">
        <f t="shared" si="94"/>
        <v>1.1101287885118803E-4</v>
      </c>
    </row>
    <row r="89" spans="1:57" x14ac:dyDescent="0.35">
      <c r="A89" s="7" t="s">
        <v>38</v>
      </c>
      <c r="B89" s="11" t="s">
        <v>67</v>
      </c>
      <c r="C89" s="47">
        <f t="shared" si="62"/>
        <v>2.9584598606921837</v>
      </c>
      <c r="D89" s="23">
        <f t="shared" si="63"/>
        <v>3.2493340902482437</v>
      </c>
      <c r="E89" s="50">
        <f>[1]data!E89-[1]data!E51</f>
        <v>1.9527090644843794</v>
      </c>
      <c r="F89" s="36">
        <f>[1]data!F89-[1]data!F51</f>
        <v>1.2966250257638643</v>
      </c>
      <c r="G89" s="36">
        <f>[1]data!G89-[1]data!G51</f>
        <v>-0.29087422955606002</v>
      </c>
      <c r="H89" s="25">
        <f t="shared" si="64"/>
        <v>21.277422987389031</v>
      </c>
      <c r="I89" s="36">
        <f>[1]data!I89-[1]data!I51</f>
        <v>-0.11461647923784479</v>
      </c>
      <c r="J89" s="36">
        <f>[1]data!J89-[1]data!J51</f>
        <v>21.392039466626876</v>
      </c>
      <c r="K89" s="36">
        <f>[1]data!K89-[1]data!K51</f>
        <v>-0.15576643801551526</v>
      </c>
      <c r="L89" s="25">
        <f t="shared" si="65"/>
        <v>0.29672025704502358</v>
      </c>
      <c r="M89" s="25">
        <f t="shared" si="66"/>
        <v>0.32589363786671033</v>
      </c>
      <c r="N89" s="25">
        <f t="shared" si="67"/>
        <v>0.12676668505155694</v>
      </c>
      <c r="O89" s="25">
        <f t="shared" si="68"/>
        <v>0.13923031936942132</v>
      </c>
      <c r="P89" s="24">
        <f t="shared" si="69"/>
        <v>0.19584796239634963</v>
      </c>
      <c r="Q89" s="40">
        <f t="shared" si="51"/>
        <v>8.3671392086048374E-2</v>
      </c>
      <c r="R89" s="40">
        <f t="shared" si="52"/>
        <v>0.13004567547036067</v>
      </c>
      <c r="S89" s="40">
        <f t="shared" si="53"/>
        <v>5.5558927283372944E-2</v>
      </c>
      <c r="T89" s="40">
        <f t="shared" si="54"/>
        <v>-2.9173380821686721E-2</v>
      </c>
      <c r="U89" s="40">
        <f t="shared" si="55"/>
        <v>-1.2463634317864366E-2</v>
      </c>
      <c r="V89" s="25">
        <f t="shared" si="70"/>
        <v>2.1340301086919684</v>
      </c>
      <c r="W89" s="25">
        <f t="shared" si="71"/>
        <v>0.91171369751828579</v>
      </c>
      <c r="X89" s="40">
        <f t="shared" si="56"/>
        <v>-1.1495518878897991E-2</v>
      </c>
      <c r="Y89" s="40">
        <f t="shared" si="57"/>
        <v>-4.9111875129050232E-3</v>
      </c>
      <c r="Z89" s="40">
        <f t="shared" si="58"/>
        <v>2.1455256275708665</v>
      </c>
      <c r="AA89" s="40">
        <f t="shared" si="59"/>
        <v>0.91662488503119077</v>
      </c>
      <c r="AB89" s="40">
        <f t="shared" si="60"/>
        <v>-1.5622675210519049E-2</v>
      </c>
      <c r="AC89" s="40">
        <f t="shared" si="61"/>
        <v>-6.6744170681077844E-3</v>
      </c>
      <c r="AD89" s="26">
        <v>2333.7834064911899</v>
      </c>
      <c r="AE89" s="8">
        <v>997.05355143423003</v>
      </c>
      <c r="AF89" s="61">
        <f t="shared" si="72"/>
        <v>24.526757077637274</v>
      </c>
      <c r="AG89" s="61">
        <f t="shared" si="73"/>
        <v>24.526757077637274</v>
      </c>
      <c r="AH89" s="74">
        <f t="shared" si="74"/>
        <v>0.13248119512754031</v>
      </c>
      <c r="AI89" s="74">
        <f t="shared" si="95"/>
        <v>0.13248119512754031</v>
      </c>
      <c r="AJ89" s="74">
        <f t="shared" si="75"/>
        <v>0.13248119512754031</v>
      </c>
      <c r="AK89" s="74">
        <f t="shared" si="96"/>
        <v>0.13248119512754031</v>
      </c>
      <c r="AL89" s="74">
        <f t="shared" si="76"/>
        <v>5.2865734416478821E-2</v>
      </c>
      <c r="AM89" s="74">
        <f t="shared" si="50"/>
        <v>5.2865734416478821E-2</v>
      </c>
      <c r="AN89" s="74">
        <f t="shared" si="77"/>
        <v>7.9615460711061473E-2</v>
      </c>
      <c r="AO89" s="74">
        <f t="shared" si="78"/>
        <v>7.9615460711061473E-2</v>
      </c>
      <c r="AP89" s="74">
        <f t="shared" si="79"/>
        <v>-1.1859465506806442E-2</v>
      </c>
      <c r="AQ89" s="74">
        <f t="shared" si="80"/>
        <v>-1.1859465506806442E-2</v>
      </c>
      <c r="AR89" s="74">
        <f t="shared" si="81"/>
        <v>0.39904330849057268</v>
      </c>
      <c r="AS89" s="74">
        <f t="shared" si="82"/>
        <v>0.60095669150942732</v>
      </c>
      <c r="AT89" s="74">
        <f t="shared" si="83"/>
        <v>0.86751880487245969</v>
      </c>
      <c r="AU89" s="74">
        <f t="shared" si="84"/>
        <v>0.86751880487245969</v>
      </c>
      <c r="AV89" s="74">
        <f t="shared" si="85"/>
        <v>-4.6731200082846865E-3</v>
      </c>
      <c r="AW89" s="74">
        <f t="shared" si="86"/>
        <v>-4.6731200082846865E-3</v>
      </c>
      <c r="AX89" s="74">
        <f t="shared" si="87"/>
        <v>0.87219192488074437</v>
      </c>
      <c r="AY89" s="74">
        <f t="shared" si="88"/>
        <v>0.87219192488074437</v>
      </c>
      <c r="AZ89" s="74">
        <f t="shared" si="89"/>
        <v>-5.3867650845582718E-3</v>
      </c>
      <c r="BA89" s="74">
        <f t="shared" si="90"/>
        <v>1.0053867650845583</v>
      </c>
      <c r="BB89" s="74">
        <f t="shared" si="91"/>
        <v>2.430750365736992E-2</v>
      </c>
      <c r="BC89" s="74">
        <f t="shared" si="92"/>
        <v>2.4599237465586787E-2</v>
      </c>
      <c r="BD89" s="74">
        <f t="shared" si="93"/>
        <v>1.050944016887707E-2</v>
      </c>
      <c r="BE89" s="75">
        <f t="shared" si="94"/>
        <v>2.4599237465586787E-2</v>
      </c>
    </row>
    <row r="90" spans="1:57" x14ac:dyDescent="0.35">
      <c r="A90" s="9" t="s">
        <v>39</v>
      </c>
      <c r="B90" s="11" t="s">
        <v>67</v>
      </c>
      <c r="C90" s="47">
        <f t="shared" si="62"/>
        <v>2.0576905158455738</v>
      </c>
      <c r="D90" s="23">
        <f t="shared" si="63"/>
        <v>2.0576905158455738</v>
      </c>
      <c r="E90" s="50">
        <f>[1]data!E90-[1]data!E52</f>
        <v>2.0576905158455738</v>
      </c>
      <c r="F90" s="36">
        <f>[1]data!F90-[1]data!F52</f>
        <v>0</v>
      </c>
      <c r="G90" s="36">
        <f>[1]data!G90-[1]data!G52</f>
        <v>0</v>
      </c>
      <c r="H90" s="25">
        <f t="shared" si="64"/>
        <v>1.8178525792278695</v>
      </c>
      <c r="I90" s="36">
        <f>[1]data!I90-[1]data!I52</f>
        <v>0</v>
      </c>
      <c r="J90" s="36">
        <f>[1]data!J90-[1]data!J52</f>
        <v>1.8178525792278695</v>
      </c>
      <c r="K90" s="36">
        <f>[1]data!K90-[1]data!K52</f>
        <v>0</v>
      </c>
      <c r="L90" s="25">
        <f t="shared" si="65"/>
        <v>0.49708728147248649</v>
      </c>
      <c r="M90" s="25">
        <f t="shared" si="66"/>
        <v>0.49708728147248649</v>
      </c>
      <c r="N90" s="25">
        <f t="shared" si="67"/>
        <v>0.43911527890513014</v>
      </c>
      <c r="O90" s="25">
        <f t="shared" si="68"/>
        <v>0.43911527890513014</v>
      </c>
      <c r="P90" s="24">
        <f t="shared" si="69"/>
        <v>0.49708728147248649</v>
      </c>
      <c r="Q90" s="40">
        <f t="shared" si="51"/>
        <v>0.43911527890513014</v>
      </c>
      <c r="R90" s="40">
        <f t="shared" si="52"/>
        <v>0</v>
      </c>
      <c r="S90" s="40">
        <f t="shared" si="53"/>
        <v>0</v>
      </c>
      <c r="T90" s="40">
        <f t="shared" si="54"/>
        <v>0</v>
      </c>
      <c r="U90" s="40">
        <f t="shared" si="55"/>
        <v>0</v>
      </c>
      <c r="V90" s="25">
        <f t="shared" si="70"/>
        <v>0.4391483509145675</v>
      </c>
      <c r="W90" s="25">
        <f t="shared" si="71"/>
        <v>0.38793338268754662</v>
      </c>
      <c r="X90" s="40">
        <f t="shared" si="56"/>
        <v>0</v>
      </c>
      <c r="Y90" s="40">
        <f t="shared" si="57"/>
        <v>0</v>
      </c>
      <c r="Z90" s="40">
        <f t="shared" si="58"/>
        <v>0.4391483509145675</v>
      </c>
      <c r="AA90" s="40">
        <f t="shared" si="59"/>
        <v>0.38793338268754662</v>
      </c>
      <c r="AB90" s="40">
        <f t="shared" si="60"/>
        <v>0</v>
      </c>
      <c r="AC90" s="40">
        <f t="shared" si="61"/>
        <v>0</v>
      </c>
      <c r="AD90" s="26">
        <v>468.59916169988998</v>
      </c>
      <c r="AE90" s="8">
        <v>413.94954015926999</v>
      </c>
      <c r="AF90" s="61">
        <f t="shared" si="72"/>
        <v>3.8755430950734433</v>
      </c>
      <c r="AG90" s="61">
        <f t="shared" si="73"/>
        <v>3.8755430950734433</v>
      </c>
      <c r="AH90" s="74">
        <f t="shared" si="74"/>
        <v>0.53094249383042391</v>
      </c>
      <c r="AI90" s="74">
        <f t="shared" si="95"/>
        <v>0.53094249383042391</v>
      </c>
      <c r="AJ90" s="74">
        <f t="shared" si="75"/>
        <v>0.53094249383042391</v>
      </c>
      <c r="AK90" s="74">
        <f t="shared" si="96"/>
        <v>0.53094249383042391</v>
      </c>
      <c r="AL90" s="74">
        <f t="shared" si="76"/>
        <v>0</v>
      </c>
      <c r="AM90" s="74">
        <f t="shared" si="50"/>
        <v>0</v>
      </c>
      <c r="AN90" s="74">
        <f t="shared" si="77"/>
        <v>0.53094249383042391</v>
      </c>
      <c r="AO90" s="74">
        <f t="shared" si="78"/>
        <v>0.53094249383042391</v>
      </c>
      <c r="AP90" s="74">
        <f t="shared" si="79"/>
        <v>0</v>
      </c>
      <c r="AQ90" s="74">
        <f t="shared" si="80"/>
        <v>0</v>
      </c>
      <c r="AR90" s="74">
        <f t="shared" si="81"/>
        <v>0</v>
      </c>
      <c r="AS90" s="74">
        <f t="shared" si="82"/>
        <v>1</v>
      </c>
      <c r="AT90" s="74">
        <f t="shared" si="83"/>
        <v>0.46905750616957603</v>
      </c>
      <c r="AU90" s="74">
        <f t="shared" si="84"/>
        <v>0.46905750616957603</v>
      </c>
      <c r="AV90" s="74">
        <f t="shared" si="85"/>
        <v>0</v>
      </c>
      <c r="AW90" s="74">
        <f t="shared" si="86"/>
        <v>0</v>
      </c>
      <c r="AX90" s="74">
        <f t="shared" si="87"/>
        <v>0.46905750616957603</v>
      </c>
      <c r="AY90" s="74">
        <f t="shared" si="88"/>
        <v>0.46905750616957603</v>
      </c>
      <c r="AZ90" s="74">
        <f t="shared" si="89"/>
        <v>0</v>
      </c>
      <c r="BA90" s="74">
        <f t="shared" si="90"/>
        <v>1</v>
      </c>
      <c r="BB90" s="74">
        <f t="shared" si="91"/>
        <v>9.3623563238705403E-3</v>
      </c>
      <c r="BC90" s="74">
        <f t="shared" si="92"/>
        <v>9.3623563238705403E-3</v>
      </c>
      <c r="BD90" s="74">
        <f t="shared" si="93"/>
        <v>8.2704866159267684E-3</v>
      </c>
      <c r="BE90" s="75">
        <f t="shared" si="94"/>
        <v>9.3623563238705403E-3</v>
      </c>
    </row>
    <row r="91" spans="1:57" x14ac:dyDescent="0.35">
      <c r="A91" s="7" t="s">
        <v>40</v>
      </c>
      <c r="B91" s="11" t="s">
        <v>67</v>
      </c>
      <c r="C91" s="47">
        <f t="shared" si="62"/>
        <v>10.537972233842755</v>
      </c>
      <c r="D91" s="23">
        <f t="shared" si="63"/>
        <v>4.1542265056957373</v>
      </c>
      <c r="E91" s="50">
        <f>[1]data!E91-[1]data!E53</f>
        <v>1.4774852644874343</v>
      </c>
      <c r="F91" s="36">
        <f>[1]data!F91-[1]data!F53</f>
        <v>2.6767412412083029</v>
      </c>
      <c r="G91" s="36">
        <f>[1]data!G91-[1]data!G53</f>
        <v>6.3837457281470176</v>
      </c>
      <c r="H91" s="25">
        <f t="shared" si="64"/>
        <v>3.8746025552548455</v>
      </c>
      <c r="I91" s="36">
        <f>[1]data!I91-[1]data!I53</f>
        <v>1.2574775374611842</v>
      </c>
      <c r="J91" s="36">
        <f>[1]data!J91-[1]data!J53</f>
        <v>2.6171250177936614</v>
      </c>
      <c r="K91" s="36">
        <f>[1]data!K91-[1]data!K53</f>
        <v>0</v>
      </c>
      <c r="L91" s="25">
        <f t="shared" si="65"/>
        <v>2.1282060455948182</v>
      </c>
      <c r="M91" s="25">
        <f t="shared" si="66"/>
        <v>0.83897070214313385</v>
      </c>
      <c r="N91" s="25">
        <f t="shared" si="67"/>
        <v>1.8976328755605176</v>
      </c>
      <c r="O91" s="25">
        <f t="shared" si="68"/>
        <v>0.74807530469820316</v>
      </c>
      <c r="P91" s="24">
        <f t="shared" si="69"/>
        <v>0.2983869194550714</v>
      </c>
      <c r="Q91" s="40">
        <f t="shared" si="51"/>
        <v>0.26605921412882499</v>
      </c>
      <c r="R91" s="40">
        <f t="shared" si="52"/>
        <v>0.54058378268806251</v>
      </c>
      <c r="S91" s="40">
        <f t="shared" si="53"/>
        <v>0.48201609056937811</v>
      </c>
      <c r="T91" s="40">
        <f t="shared" si="54"/>
        <v>1.2892353434516846</v>
      </c>
      <c r="U91" s="40">
        <f t="shared" si="55"/>
        <v>1.1495575708623145</v>
      </c>
      <c r="V91" s="25">
        <f t="shared" si="70"/>
        <v>0.78249898551531305</v>
      </c>
      <c r="W91" s="25">
        <f t="shared" si="71"/>
        <v>0.69772182213287237</v>
      </c>
      <c r="X91" s="40">
        <f t="shared" si="56"/>
        <v>0.25395505302529059</v>
      </c>
      <c r="Y91" s="40">
        <f t="shared" si="57"/>
        <v>0.22644116556901078</v>
      </c>
      <c r="Z91" s="40">
        <f t="shared" si="58"/>
        <v>0.52854393249002252</v>
      </c>
      <c r="AA91" s="40">
        <f t="shared" si="59"/>
        <v>0.47128065656386159</v>
      </c>
      <c r="AB91" s="40">
        <f t="shared" si="60"/>
        <v>0</v>
      </c>
      <c r="AC91" s="40">
        <f t="shared" si="61"/>
        <v>0</v>
      </c>
      <c r="AD91" s="26">
        <v>555.32196820367994</v>
      </c>
      <c r="AE91" s="8">
        <v>495.15751802582002</v>
      </c>
      <c r="AF91" s="61">
        <f t="shared" si="72"/>
        <v>8.0288290609505832</v>
      </c>
      <c r="AG91" s="61">
        <f t="shared" si="73"/>
        <v>8.0288290609505832</v>
      </c>
      <c r="AH91" s="74">
        <f t="shared" si="74"/>
        <v>0.51741374416606301</v>
      </c>
      <c r="AI91" s="74">
        <f t="shared" si="95"/>
        <v>0.51741374416606301</v>
      </c>
      <c r="AJ91" s="74">
        <f t="shared" si="75"/>
        <v>0.51741374416606301</v>
      </c>
      <c r="AK91" s="74">
        <f t="shared" si="96"/>
        <v>0.51741374416606301</v>
      </c>
      <c r="AL91" s="74">
        <f t="shared" si="76"/>
        <v>0.33339123561952966</v>
      </c>
      <c r="AM91" s="74">
        <f t="shared" si="50"/>
        <v>0.33339123561952966</v>
      </c>
      <c r="AN91" s="74">
        <f t="shared" si="77"/>
        <v>0.18402250854653338</v>
      </c>
      <c r="AO91" s="74">
        <f t="shared" si="78"/>
        <v>0.18402250854653338</v>
      </c>
      <c r="AP91" s="74">
        <f t="shared" si="79"/>
        <v>0.7951029570669681</v>
      </c>
      <c r="AQ91" s="74">
        <f t="shared" si="80"/>
        <v>0.7951029570669681</v>
      </c>
      <c r="AR91" s="74">
        <f t="shared" si="81"/>
        <v>0.64434166927063363</v>
      </c>
      <c r="AS91" s="74">
        <f t="shared" si="82"/>
        <v>0.35565833072936631</v>
      </c>
      <c r="AT91" s="74">
        <f t="shared" si="83"/>
        <v>0.48258625583393688</v>
      </c>
      <c r="AU91" s="74">
        <f t="shared" si="84"/>
        <v>0.48258625583393688</v>
      </c>
      <c r="AV91" s="74">
        <f t="shared" si="85"/>
        <v>0.15662029019612775</v>
      </c>
      <c r="AW91" s="74">
        <f t="shared" si="86"/>
        <v>0.15662029019612775</v>
      </c>
      <c r="AX91" s="74">
        <f t="shared" si="87"/>
        <v>0.32596596563780916</v>
      </c>
      <c r="AY91" s="74">
        <f t="shared" si="88"/>
        <v>0.32596596563780916</v>
      </c>
      <c r="AZ91" s="74">
        <f t="shared" si="89"/>
        <v>0.32454361951415056</v>
      </c>
      <c r="BA91" s="74">
        <f t="shared" si="90"/>
        <v>0.67545638048584944</v>
      </c>
      <c r="BB91" s="74">
        <f t="shared" si="91"/>
        <v>2.9107050311101317E-2</v>
      </c>
      <c r="BC91" s="74">
        <f t="shared" si="92"/>
        <v>1.6214696876584472E-2</v>
      </c>
      <c r="BD91" s="74">
        <f t="shared" si="93"/>
        <v>1.4457971268310756E-2</v>
      </c>
      <c r="BE91" s="75">
        <f t="shared" si="94"/>
        <v>1.6214696876584472E-2</v>
      </c>
    </row>
    <row r="92" spans="1:57" x14ac:dyDescent="0.35">
      <c r="A92" s="9" t="s">
        <v>41</v>
      </c>
      <c r="B92" s="11" t="s">
        <v>67</v>
      </c>
      <c r="C92" s="47">
        <f t="shared" si="62"/>
        <v>1.2020729771804093</v>
      </c>
      <c r="D92" s="23">
        <f t="shared" si="63"/>
        <v>-0.38718454813488146</v>
      </c>
      <c r="E92" s="50">
        <f>[1]data!E92-[1]data!E54</f>
        <v>0.62357924487103089</v>
      </c>
      <c r="F92" s="36">
        <f>[1]data!F92-[1]data!F54</f>
        <v>-1.0107637930059123</v>
      </c>
      <c r="G92" s="36">
        <f>[1]data!G92-[1]data!G54</f>
        <v>1.5892575253152907</v>
      </c>
      <c r="H92" s="25">
        <f t="shared" si="64"/>
        <v>17.056890492060301</v>
      </c>
      <c r="I92" s="36">
        <f>[1]data!I92-[1]data!I54</f>
        <v>1.0946711428285842E-2</v>
      </c>
      <c r="J92" s="36">
        <f>[1]data!J92-[1]data!J54</f>
        <v>17.045943780632015</v>
      </c>
      <c r="K92" s="36">
        <f>[1]data!K92-[1]data!K54</f>
        <v>0</v>
      </c>
      <c r="L92" s="25">
        <f t="shared" si="65"/>
        <v>0.55744344260159184</v>
      </c>
      <c r="M92" s="25">
        <f t="shared" si="66"/>
        <v>-0.17955106847232405</v>
      </c>
      <c r="N92" s="25">
        <f t="shared" si="67"/>
        <v>0.29506262597907829</v>
      </c>
      <c r="O92" s="25">
        <f t="shared" si="68"/>
        <v>-9.5038896705898657E-2</v>
      </c>
      <c r="P92" s="24">
        <f t="shared" si="69"/>
        <v>0.28917558883252276</v>
      </c>
      <c r="Q92" s="40">
        <f t="shared" si="51"/>
        <v>0.15306469157078703</v>
      </c>
      <c r="R92" s="40">
        <f t="shared" si="52"/>
        <v>-0.46872665730484681</v>
      </c>
      <c r="S92" s="40">
        <f t="shared" si="53"/>
        <v>-0.24810358827668569</v>
      </c>
      <c r="T92" s="40">
        <f t="shared" si="54"/>
        <v>0.73699451107391589</v>
      </c>
      <c r="U92" s="40">
        <f t="shared" si="55"/>
        <v>0.39010152268497694</v>
      </c>
      <c r="V92" s="25">
        <f t="shared" si="70"/>
        <v>7.9098789644827354</v>
      </c>
      <c r="W92" s="25">
        <f t="shared" si="71"/>
        <v>4.1868097820732775</v>
      </c>
      <c r="X92" s="40">
        <f t="shared" si="56"/>
        <v>5.0763744128606457E-3</v>
      </c>
      <c r="Y92" s="40">
        <f t="shared" si="57"/>
        <v>2.6869961151954657E-3</v>
      </c>
      <c r="Z92" s="40">
        <f t="shared" si="58"/>
        <v>7.9048025900698748</v>
      </c>
      <c r="AA92" s="40">
        <f t="shared" si="59"/>
        <v>4.1841227859580821</v>
      </c>
      <c r="AB92" s="40">
        <f t="shared" si="60"/>
        <v>0</v>
      </c>
      <c r="AC92" s="40">
        <f t="shared" si="61"/>
        <v>0</v>
      </c>
      <c r="AD92" s="26">
        <v>407.39587848230002</v>
      </c>
      <c r="AE92" s="8">
        <v>215.64034757863999</v>
      </c>
      <c r="AF92" s="61">
        <f t="shared" si="72"/>
        <v>16.669705943925418</v>
      </c>
      <c r="AG92" s="61">
        <f>(D92*-1)+(H92)</f>
        <v>17.444075040195184</v>
      </c>
      <c r="AH92" s="74">
        <f>($D92/$AG92)*-1</f>
        <v>2.2195762586592796E-2</v>
      </c>
      <c r="AI92" s="74">
        <f t="shared" si="95"/>
        <v>-2.2195762586592796E-2</v>
      </c>
      <c r="AJ92" s="74">
        <f>(($D92)/(AF92))*-1</f>
        <v>2.3226837320185288E-2</v>
      </c>
      <c r="AK92" s="74">
        <f t="shared" si="96"/>
        <v>-2.3226837320185288E-2</v>
      </c>
      <c r="AL92" s="74">
        <f t="shared" si="76"/>
        <v>-5.7943100489815526E-2</v>
      </c>
      <c r="AM92" s="74">
        <f t="shared" si="50"/>
        <v>-6.0634770427623726E-2</v>
      </c>
      <c r="AN92" s="74">
        <f t="shared" si="77"/>
        <v>3.574733790322273E-2</v>
      </c>
      <c r="AO92" s="74">
        <f t="shared" si="78"/>
        <v>3.7407933107438431E-2</v>
      </c>
      <c r="AP92" s="74">
        <f t="shared" si="79"/>
        <v>9.1105863833609621E-2</v>
      </c>
      <c r="AQ92" s="74">
        <f t="shared" si="80"/>
        <v>9.5338065989966039E-2</v>
      </c>
      <c r="AR92" s="74">
        <f t="shared" si="81"/>
        <v>2.6105478585725943</v>
      </c>
      <c r="AS92" s="74">
        <f t="shared" si="82"/>
        <v>-1.6105478585725943</v>
      </c>
      <c r="AT92" s="74">
        <f t="shared" si="83"/>
        <v>0.97780423741340716</v>
      </c>
      <c r="AU92" s="74">
        <f t="shared" si="84"/>
        <v>1.0232268373201854</v>
      </c>
      <c r="AV92" s="74">
        <f t="shared" si="85"/>
        <v>6.2753177815745955E-4</v>
      </c>
      <c r="AW92" s="74">
        <f t="shared" si="86"/>
        <v>6.5668293520647954E-4</v>
      </c>
      <c r="AX92" s="74">
        <f t="shared" si="87"/>
        <v>0.97717670563524972</v>
      </c>
      <c r="AY92" s="74">
        <f t="shared" si="88"/>
        <v>1.022570154384979</v>
      </c>
      <c r="AZ92" s="74">
        <f t="shared" si="89"/>
        <v>6.4177649691667745E-4</v>
      </c>
      <c r="BA92" s="74">
        <f t="shared" si="90"/>
        <v>0.99935822350308334</v>
      </c>
      <c r="BB92" s="74">
        <f t="shared" si="91"/>
        <v>8.4673224070843267E-2</v>
      </c>
      <c r="BC92" s="74">
        <f t="shared" si="92"/>
        <v>7.730327896010411E-2</v>
      </c>
      <c r="BD92" s="74">
        <f t="shared" si="93"/>
        <v>4.0917708853673788E-2</v>
      </c>
      <c r="BE92" s="75">
        <f t="shared" si="94"/>
        <v>8.0894300329550611E-2</v>
      </c>
    </row>
    <row r="93" spans="1:57" x14ac:dyDescent="0.35">
      <c r="A93" s="9" t="s">
        <v>42</v>
      </c>
      <c r="B93" s="11" t="s">
        <v>67</v>
      </c>
      <c r="C93" s="47">
        <f t="shared" si="62"/>
        <v>4.1281532170241393</v>
      </c>
      <c r="D93" s="23">
        <f t="shared" si="63"/>
        <v>1.6560605792137408</v>
      </c>
      <c r="E93" s="50">
        <f>[1]data!E93-[1]data!E55</f>
        <v>5.284556468731022E-3</v>
      </c>
      <c r="F93" s="36">
        <f>[1]data!F93-[1]data!F55</f>
        <v>1.6507760227450099</v>
      </c>
      <c r="G93" s="36">
        <f>[1]data!G93-[1]data!G55</f>
        <v>2.4720926378103982</v>
      </c>
      <c r="H93" s="25">
        <f t="shared" si="64"/>
        <v>-0.17410876033898326</v>
      </c>
      <c r="I93" s="36">
        <f>[1]data!I93-[1]data!I55</f>
        <v>3.1619220265415766</v>
      </c>
      <c r="J93" s="36">
        <f>[1]data!J93-[1]data!J55</f>
        <v>-3.3360307868805599</v>
      </c>
      <c r="K93" s="36">
        <f>[1]data!K93-[1]data!K55</f>
        <v>0</v>
      </c>
      <c r="L93" s="25">
        <f t="shared" si="65"/>
        <v>1.2411670627613696</v>
      </c>
      <c r="M93" s="25">
        <f t="shared" si="66"/>
        <v>0.49790977630896205</v>
      </c>
      <c r="N93" s="25">
        <f t="shared" si="67"/>
        <v>1.3271093033029961</v>
      </c>
      <c r="O93" s="25">
        <f t="shared" si="68"/>
        <v>0.53238658692329555</v>
      </c>
      <c r="P93" s="24">
        <f t="shared" si="69"/>
        <v>1.5888502886091216E-3</v>
      </c>
      <c r="Q93" s="40">
        <f t="shared" si="51"/>
        <v>1.6988671894640965E-3</v>
      </c>
      <c r="R93" s="40">
        <f t="shared" si="52"/>
        <v>0.49632092602035294</v>
      </c>
      <c r="S93" s="40">
        <f t="shared" si="53"/>
        <v>0.53068771973383144</v>
      </c>
      <c r="T93" s="40">
        <f t="shared" si="54"/>
        <v>0.74325728645240752</v>
      </c>
      <c r="U93" s="40">
        <f t="shared" si="55"/>
        <v>0.79472271637970071</v>
      </c>
      <c r="V93" s="25">
        <f t="shared" si="70"/>
        <v>-5.2347392964919304E-2</v>
      </c>
      <c r="W93" s="25">
        <f t="shared" si="71"/>
        <v>-5.5972088119098817E-2</v>
      </c>
      <c r="X93" s="40">
        <f t="shared" si="56"/>
        <v>0.95066080836798983</v>
      </c>
      <c r="Y93" s="40">
        <f t="shared" si="57"/>
        <v>1.0164874986803214</v>
      </c>
      <c r="Z93" s="40">
        <f t="shared" si="58"/>
        <v>-1.0030082013329091</v>
      </c>
      <c r="AA93" s="40">
        <f t="shared" si="59"/>
        <v>-1.0724595867994202</v>
      </c>
      <c r="AB93" s="40">
        <f t="shared" si="60"/>
        <v>0</v>
      </c>
      <c r="AC93" s="40">
        <f t="shared" si="61"/>
        <v>0</v>
      </c>
      <c r="AD93" s="26">
        <v>311.06354290107998</v>
      </c>
      <c r="AE93" s="8">
        <v>332.60254327404999</v>
      </c>
      <c r="AF93" s="61">
        <f t="shared" si="72"/>
        <v>1.4819518188747576</v>
      </c>
      <c r="AG93" s="61">
        <f t="shared" si="73"/>
        <v>1.4819518188747576</v>
      </c>
      <c r="AH93" s="74">
        <f t="shared" si="74"/>
        <v>1.1174861140028045</v>
      </c>
      <c r="AI93" s="74">
        <f t="shared" si="95"/>
        <v>1.1174861140028045</v>
      </c>
      <c r="AJ93" s="74">
        <f t="shared" si="75"/>
        <v>1.1174861140028045</v>
      </c>
      <c r="AK93" s="74">
        <f t="shared" si="96"/>
        <v>1.1174861140028045</v>
      </c>
      <c r="AL93" s="74">
        <f t="shared" si="76"/>
        <v>1.1139201704940989</v>
      </c>
      <c r="AM93" s="74">
        <f t="shared" si="50"/>
        <v>1.1139201704940989</v>
      </c>
      <c r="AN93" s="74">
        <f t="shared" si="77"/>
        <v>3.5659435087056833E-3</v>
      </c>
      <c r="AO93" s="74">
        <f t="shared" si="78"/>
        <v>3.5659435087056833E-3</v>
      </c>
      <c r="AP93" s="74">
        <f t="shared" si="79"/>
        <v>1.6681329354468839</v>
      </c>
      <c r="AQ93" s="74">
        <f t="shared" si="80"/>
        <v>1.6681329354468839</v>
      </c>
      <c r="AR93" s="74">
        <f t="shared" si="81"/>
        <v>0.99680895944565029</v>
      </c>
      <c r="AS93" s="74">
        <f t="shared" si="82"/>
        <v>3.1910405543497731E-3</v>
      </c>
      <c r="AT93" s="74">
        <f t="shared" si="83"/>
        <v>-0.11748611400280451</v>
      </c>
      <c r="AU93" s="74">
        <f t="shared" si="84"/>
        <v>-0.11748611400280451</v>
      </c>
      <c r="AV93" s="74">
        <f t="shared" si="85"/>
        <v>2.1336199910617988</v>
      </c>
      <c r="AW93" s="74">
        <f t="shared" si="86"/>
        <v>2.1336199910617988</v>
      </c>
      <c r="AX93" s="74">
        <f t="shared" si="87"/>
        <v>-2.2511061050646033</v>
      </c>
      <c r="AY93" s="74">
        <f t="shared" si="88"/>
        <v>-2.2511061050646033</v>
      </c>
      <c r="AZ93" s="74">
        <f t="shared" si="89"/>
        <v>-18.160614206806322</v>
      </c>
      <c r="BA93" s="74">
        <f t="shared" si="90"/>
        <v>19.160614206806322</v>
      </c>
      <c r="BB93" s="74">
        <f t="shared" si="91"/>
        <v>1.1888196697964501E-2</v>
      </c>
      <c r="BC93" s="74">
        <f t="shared" si="92"/>
        <v>4.4556238334404249E-3</v>
      </c>
      <c r="BD93" s="74">
        <f t="shared" si="93"/>
        <v>4.7641449880419674E-3</v>
      </c>
      <c r="BE93" s="75">
        <f t="shared" si="94"/>
        <v>4.4556238334404249E-3</v>
      </c>
    </row>
    <row r="94" spans="1:57" x14ac:dyDescent="0.35">
      <c r="A94" s="10" t="s">
        <v>43</v>
      </c>
      <c r="B94" s="12" t="s">
        <v>67</v>
      </c>
      <c r="C94" s="47">
        <f t="shared" si="62"/>
        <v>-0.17362342716953355</v>
      </c>
      <c r="D94" s="23">
        <f t="shared" si="63"/>
        <v>-0.17362342716953355</v>
      </c>
      <c r="E94" s="50">
        <f>[1]data!E94-[1]data!E56</f>
        <v>-6.9507208530843301E-2</v>
      </c>
      <c r="F94" s="36">
        <f>[1]data!F94-[1]data!F56</f>
        <v>-0.10411621863869025</v>
      </c>
      <c r="G94" s="36">
        <f>[1]data!G94-[1]data!G56</f>
        <v>0</v>
      </c>
      <c r="H94" s="25">
        <f t="shared" si="64"/>
        <v>0.30689155142270308</v>
      </c>
      <c r="I94" s="36">
        <f>[1]data!I94-[1]data!I56</f>
        <v>0.20024042401510744</v>
      </c>
      <c r="J94" s="36">
        <f>[1]data!J94-[1]data!J56</f>
        <v>0.10665112740759561</v>
      </c>
      <c r="K94" s="36">
        <f>[1]data!K94-[1]data!K56</f>
        <v>0</v>
      </c>
      <c r="L94" s="25">
        <f t="shared" si="65"/>
        <v>-0.64554443167754672</v>
      </c>
      <c r="M94" s="25">
        <f t="shared" si="66"/>
        <v>-0.64554443167754672</v>
      </c>
      <c r="N94" s="25">
        <f t="shared" si="67"/>
        <v>-0.37816919898380574</v>
      </c>
      <c r="O94" s="25">
        <f t="shared" si="68"/>
        <v>-0.37816919898380574</v>
      </c>
      <c r="P94" s="24">
        <f t="shared" si="69"/>
        <v>-0.25843281727599426</v>
      </c>
      <c r="Q94" s="40">
        <f t="shared" si="51"/>
        <v>-0.15139365581145367</v>
      </c>
      <c r="R94" s="40">
        <f t="shared" si="52"/>
        <v>-0.3871116144015524</v>
      </c>
      <c r="S94" s="40">
        <f t="shared" si="53"/>
        <v>-0.22677554317235205</v>
      </c>
      <c r="T94" s="40">
        <f t="shared" si="54"/>
        <v>0</v>
      </c>
      <c r="U94" s="40">
        <f t="shared" si="55"/>
        <v>0</v>
      </c>
      <c r="V94" s="25">
        <f t="shared" si="70"/>
        <v>1.1410449348886773</v>
      </c>
      <c r="W94" s="25">
        <f t="shared" si="71"/>
        <v>0.66844050983452785</v>
      </c>
      <c r="X94" s="40">
        <f t="shared" si="56"/>
        <v>0.74450834675371513</v>
      </c>
      <c r="Y94" s="40">
        <f t="shared" si="57"/>
        <v>0.43614368169354134</v>
      </c>
      <c r="Z94" s="40">
        <f t="shared" si="58"/>
        <v>0.39653658813496218</v>
      </c>
      <c r="AA94" s="40">
        <f t="shared" si="59"/>
        <v>0.23229682814098657</v>
      </c>
      <c r="AB94" s="40">
        <f t="shared" si="60"/>
        <v>0</v>
      </c>
      <c r="AC94" s="40">
        <f t="shared" si="61"/>
        <v>0</v>
      </c>
      <c r="AD94" s="26">
        <v>45.911572818750003</v>
      </c>
      <c r="AE94" s="8">
        <v>26.895658710639999</v>
      </c>
      <c r="AF94" s="61">
        <f t="shared" si="72"/>
        <v>0.13326812425316953</v>
      </c>
      <c r="AG94" s="61">
        <f>(D94*-1)+(H94)</f>
        <v>0.48051497859223663</v>
      </c>
      <c r="AH94" s="74">
        <f>($D94/$AG94)*-1</f>
        <v>0.3613278147503281</v>
      </c>
      <c r="AI94" s="74">
        <f t="shared" si="95"/>
        <v>-0.3613278147503281</v>
      </c>
      <c r="AJ94" s="74">
        <f>(($D94)/(AF94))*-1</f>
        <v>1.3028128679871043</v>
      </c>
      <c r="AK94" s="74">
        <f t="shared" si="96"/>
        <v>-1.3028128679871043</v>
      </c>
      <c r="AL94" s="74">
        <f t="shared" si="76"/>
        <v>-0.2166763228561974</v>
      </c>
      <c r="AM94" s="74">
        <f t="shared" si="50"/>
        <v>-0.78125372606656196</v>
      </c>
      <c r="AN94" s="74">
        <f t="shared" si="77"/>
        <v>-0.14465149189413071</v>
      </c>
      <c r="AO94" s="74">
        <f t="shared" si="78"/>
        <v>-0.5215591419205422</v>
      </c>
      <c r="AP94" s="74">
        <f t="shared" si="79"/>
        <v>0</v>
      </c>
      <c r="AQ94" s="74">
        <f t="shared" si="80"/>
        <v>0</v>
      </c>
      <c r="AR94" s="74">
        <f t="shared" si="81"/>
        <v>0.59966687869273883</v>
      </c>
      <c r="AS94" s="74">
        <f t="shared" si="82"/>
        <v>0.40033312130726117</v>
      </c>
      <c r="AT94" s="74">
        <f t="shared" si="83"/>
        <v>0.63867218524967195</v>
      </c>
      <c r="AU94" s="74">
        <f t="shared" si="84"/>
        <v>2.3028128679871043</v>
      </c>
      <c r="AV94" s="74">
        <f t="shared" si="85"/>
        <v>0.41672046228767157</v>
      </c>
      <c r="AW94" s="74">
        <f t="shared" si="86"/>
        <v>1.502538023531498</v>
      </c>
      <c r="AX94" s="74">
        <f t="shared" si="87"/>
        <v>0.2219517229620003</v>
      </c>
      <c r="AY94" s="74">
        <f t="shared" si="88"/>
        <v>0.80027484445560593</v>
      </c>
      <c r="AZ94" s="74">
        <f t="shared" si="89"/>
        <v>0.65247942827628502</v>
      </c>
      <c r="BA94" s="74">
        <f t="shared" si="90"/>
        <v>0.34752057172371487</v>
      </c>
      <c r="BB94" s="74">
        <f t="shared" si="91"/>
        <v>4.9550050321113077E-3</v>
      </c>
      <c r="BC94" s="74">
        <f t="shared" si="92"/>
        <v>4.9550050321113077E-3</v>
      </c>
      <c r="BD94" s="74">
        <f t="shared" si="93"/>
        <v>2.9027131085072226E-3</v>
      </c>
      <c r="BE94" s="75">
        <f t="shared" si="94"/>
        <v>1.7865893665662241E-2</v>
      </c>
    </row>
    <row r="95" spans="1:57" x14ac:dyDescent="0.35">
      <c r="A95" s="9" t="s">
        <v>44</v>
      </c>
      <c r="B95" s="11" t="s">
        <v>67</v>
      </c>
      <c r="C95" s="47">
        <f t="shared" si="62"/>
        <v>-1.5678243516124075</v>
      </c>
      <c r="D95" s="23">
        <f t="shared" si="63"/>
        <v>-0.74604999194765043</v>
      </c>
      <c r="E95" s="50">
        <f>[1]data!E95-[1]data!E57</f>
        <v>-0.11051783789386072</v>
      </c>
      <c r="F95" s="36">
        <f>[1]data!F95-[1]data!F57</f>
        <v>-0.63553215405378971</v>
      </c>
      <c r="G95" s="36">
        <f>[1]data!G95-[1]data!G57</f>
        <v>-0.82177435966475709</v>
      </c>
      <c r="H95" s="25">
        <f t="shared" si="64"/>
        <v>0.66176208666115244</v>
      </c>
      <c r="I95" s="36">
        <f>[1]data!I95-[1]data!I57</f>
        <v>0.12179697198193473</v>
      </c>
      <c r="J95" s="36">
        <f>[1]data!J95-[1]data!J57</f>
        <v>0.53996511467921771</v>
      </c>
      <c r="K95" s="36">
        <f>[1]data!K95-[1]data!K57</f>
        <v>5.0329327265262735E-2</v>
      </c>
      <c r="L95" s="25">
        <f t="shared" si="65"/>
        <v>-0.61545055774220314</v>
      </c>
      <c r="M95" s="25">
        <f t="shared" si="66"/>
        <v>-0.29286245182729431</v>
      </c>
      <c r="N95" s="25">
        <f t="shared" si="67"/>
        <v>-0.61744251567743169</v>
      </c>
      <c r="O95" s="25">
        <f t="shared" si="68"/>
        <v>-0.293810325994454</v>
      </c>
      <c r="P95" s="24">
        <f t="shared" si="69"/>
        <v>-4.3383855405923835E-2</v>
      </c>
      <c r="Q95" s="40">
        <f t="shared" si="51"/>
        <v>-4.3524270933945557E-2</v>
      </c>
      <c r="R95" s="40">
        <f t="shared" si="52"/>
        <v>-0.24947859642137049</v>
      </c>
      <c r="S95" s="40">
        <f t="shared" si="53"/>
        <v>-0.25028605506050844</v>
      </c>
      <c r="T95" s="40">
        <f t="shared" si="54"/>
        <v>-0.32258810591490888</v>
      </c>
      <c r="U95" s="40">
        <f t="shared" si="55"/>
        <v>-0.32363218968297763</v>
      </c>
      <c r="V95" s="25">
        <f t="shared" si="70"/>
        <v>0.25977517501203951</v>
      </c>
      <c r="W95" s="25">
        <f t="shared" si="71"/>
        <v>0.26061595940118509</v>
      </c>
      <c r="X95" s="40">
        <f t="shared" si="56"/>
        <v>4.7811487467012248E-2</v>
      </c>
      <c r="Y95" s="40">
        <f t="shared" si="57"/>
        <v>4.7966233401769989E-2</v>
      </c>
      <c r="Z95" s="40">
        <f t="shared" si="58"/>
        <v>0.21196368754502726</v>
      </c>
      <c r="AA95" s="40">
        <f t="shared" si="59"/>
        <v>0.21264972599941509</v>
      </c>
      <c r="AB95" s="40">
        <f t="shared" si="60"/>
        <v>1.9756813002897798E-2</v>
      </c>
      <c r="AC95" s="40">
        <f t="shared" si="61"/>
        <v>1.9820757604037363E-2</v>
      </c>
      <c r="AD95" s="26">
        <v>253.92231856471</v>
      </c>
      <c r="AE95" s="8">
        <v>254.7441596875</v>
      </c>
      <c r="AF95" s="61">
        <f t="shared" si="72"/>
        <v>-8.4287905286497988E-2</v>
      </c>
      <c r="AG95" s="61">
        <f>(D95*-1)+(H95)</f>
        <v>1.4078120786088029</v>
      </c>
      <c r="AH95" s="74">
        <f>($D95/$AG95)*-1</f>
        <v>0.52993577998343044</v>
      </c>
      <c r="AI95" s="74">
        <f t="shared" si="95"/>
        <v>-0.52993577998343044</v>
      </c>
      <c r="AJ95" s="74">
        <f t="shared" si="75"/>
        <v>8.8512104958807125</v>
      </c>
      <c r="AK95" s="74">
        <f t="shared" si="96"/>
        <v>8.8512104958807125</v>
      </c>
      <c r="AL95" s="74">
        <f t="shared" si="76"/>
        <v>-0.45143251980180576</v>
      </c>
      <c r="AM95" s="74">
        <f t="shared" si="50"/>
        <v>7.5400159951014363</v>
      </c>
      <c r="AN95" s="74">
        <f t="shared" si="77"/>
        <v>-7.8503260181624679E-2</v>
      </c>
      <c r="AO95" s="74">
        <f t="shared" si="78"/>
        <v>1.3111945007792771</v>
      </c>
      <c r="AP95" s="74">
        <f t="shared" si="79"/>
        <v>-0.5837244701557277</v>
      </c>
      <c r="AQ95" s="74">
        <f t="shared" si="80"/>
        <v>9.7496118437338417</v>
      </c>
      <c r="AR95" s="74">
        <f t="shared" si="81"/>
        <v>0.85186269139238102</v>
      </c>
      <c r="AS95" s="74">
        <f t="shared" si="82"/>
        <v>0.14813730860761895</v>
      </c>
      <c r="AT95" s="74">
        <f t="shared" si="83"/>
        <v>0.47006422001656956</v>
      </c>
      <c r="AU95" s="74">
        <f t="shared" si="84"/>
        <v>-7.8512104958807125</v>
      </c>
      <c r="AV95" s="74">
        <f t="shared" si="85"/>
        <v>8.6515078136205695E-2</v>
      </c>
      <c r="AW95" s="74">
        <f t="shared" si="86"/>
        <v>-1.4450112571660421</v>
      </c>
      <c r="AX95" s="74">
        <f t="shared" si="87"/>
        <v>0.38354914188036388</v>
      </c>
      <c r="AY95" s="74">
        <f t="shared" si="88"/>
        <v>-6.4061992387146711</v>
      </c>
      <c r="AZ95" s="74">
        <f t="shared" si="89"/>
        <v>0.18404948611735664</v>
      </c>
      <c r="BA95" s="74">
        <f t="shared" si="90"/>
        <v>0.81595051388264339</v>
      </c>
      <c r="BB95" s="74">
        <f t="shared" si="91"/>
        <v>-3.5567538273016371E-3</v>
      </c>
      <c r="BC95" s="74">
        <f t="shared" si="92"/>
        <v>-3.3087276815254853E-4</v>
      </c>
      <c r="BD95" s="74">
        <f t="shared" si="93"/>
        <v>-3.3194366593268922E-4</v>
      </c>
      <c r="BE95" s="75">
        <f t="shared" si="94"/>
        <v>5.5263762683933383E-3</v>
      </c>
    </row>
    <row r="96" spans="1:57" x14ac:dyDescent="0.35">
      <c r="A96" s="10" t="s">
        <v>45</v>
      </c>
      <c r="B96" s="12" t="s">
        <v>67</v>
      </c>
      <c r="C96" s="47">
        <f t="shared" si="62"/>
        <v>4.2405589852861407</v>
      </c>
      <c r="D96" s="23">
        <f t="shared" si="63"/>
        <v>2.8687653080557518</v>
      </c>
      <c r="E96" s="50">
        <f>[1]data!E96-[1]data!E58</f>
        <v>-0.36466848586374184</v>
      </c>
      <c r="F96" s="36">
        <f>[1]data!F96-[1]data!F58</f>
        <v>3.2334337939194935</v>
      </c>
      <c r="G96" s="36">
        <f>[1]data!G96-[1]data!G58</f>
        <v>1.3717936772303887</v>
      </c>
      <c r="H96" s="25">
        <f t="shared" si="64"/>
        <v>-5.9887947660008241</v>
      </c>
      <c r="I96" s="36">
        <f>[1]data!I96-[1]data!I58</f>
        <v>-6.4199944000000002</v>
      </c>
      <c r="J96" s="36">
        <f>[1]data!J96-[1]data!J58</f>
        <v>0.43119963399917571</v>
      </c>
      <c r="K96" s="36">
        <f>[1]data!K96-[1]data!K58</f>
        <v>0</v>
      </c>
      <c r="L96" s="25">
        <f t="shared" si="65"/>
        <v>2.079694175590332</v>
      </c>
      <c r="M96" s="25">
        <f t="shared" si="66"/>
        <v>1.4069264271527573</v>
      </c>
      <c r="N96" s="25">
        <f t="shared" si="67"/>
        <v>1.4062785121181887</v>
      </c>
      <c r="O96" s="25">
        <f t="shared" si="68"/>
        <v>0.95135641858232478</v>
      </c>
      <c r="P96" s="24">
        <f t="shared" si="69"/>
        <v>-0.17884409312632041</v>
      </c>
      <c r="Q96" s="40">
        <f t="shared" si="51"/>
        <v>-0.12093345653161613</v>
      </c>
      <c r="R96" s="40">
        <f t="shared" si="52"/>
        <v>1.5857705202790777</v>
      </c>
      <c r="S96" s="40">
        <f t="shared" si="53"/>
        <v>1.0722898751139409</v>
      </c>
      <c r="T96" s="40">
        <f t="shared" si="54"/>
        <v>0.6727677484375747</v>
      </c>
      <c r="U96" s="40">
        <f t="shared" si="55"/>
        <v>0.45492209353586399</v>
      </c>
      <c r="V96" s="25">
        <f t="shared" si="70"/>
        <v>-2.937080143649355</v>
      </c>
      <c r="W96" s="25">
        <f t="shared" si="71"/>
        <v>-1.9860384968432527</v>
      </c>
      <c r="X96" s="40">
        <f t="shared" si="56"/>
        <v>-3.148553058059071</v>
      </c>
      <c r="Y96" s="40">
        <f t="shared" si="57"/>
        <v>-2.1290353946178868</v>
      </c>
      <c r="Z96" s="40">
        <f t="shared" si="58"/>
        <v>0.21147291440971613</v>
      </c>
      <c r="AA96" s="40">
        <f t="shared" si="59"/>
        <v>0.14299689777463412</v>
      </c>
      <c r="AB96" s="40">
        <f t="shared" si="60"/>
        <v>0</v>
      </c>
      <c r="AC96" s="40">
        <f t="shared" si="61"/>
        <v>0</v>
      </c>
      <c r="AD96" s="26">
        <v>301.54474727050001</v>
      </c>
      <c r="AE96" s="8">
        <v>203.90300819506001</v>
      </c>
      <c r="AF96" s="61">
        <f t="shared" si="72"/>
        <v>-3.1200294579450722</v>
      </c>
      <c r="AG96" s="61">
        <f>(D96)+(H96*-1)</f>
        <v>8.8575600740565754</v>
      </c>
      <c r="AH96" s="74">
        <f t="shared" si="74"/>
        <v>0.32387760106287578</v>
      </c>
      <c r="AI96" s="74">
        <f t="shared" si="95"/>
        <v>0.32387760106287578</v>
      </c>
      <c r="AJ96" s="74">
        <f>(($D96)/(AF96))*-1</f>
        <v>0.91946737898596342</v>
      </c>
      <c r="AK96" s="74">
        <f t="shared" si="96"/>
        <v>-0.91946737898596342</v>
      </c>
      <c r="AL96" s="74">
        <f t="shared" si="76"/>
        <v>0.36504791013386251</v>
      </c>
      <c r="AM96" s="74">
        <f t="shared" si="50"/>
        <v>-1.0363472004040346</v>
      </c>
      <c r="AN96" s="74">
        <f t="shared" si="77"/>
        <v>-4.1170309070986788E-2</v>
      </c>
      <c r="AO96" s="74">
        <f t="shared" si="78"/>
        <v>0.11687982141807129</v>
      </c>
      <c r="AP96" s="74">
        <f t="shared" si="79"/>
        <v>0.1548726360037134</v>
      </c>
      <c r="AQ96" s="74">
        <f t="shared" si="80"/>
        <v>-0.43967330940967642</v>
      </c>
      <c r="AR96" s="74">
        <f t="shared" si="81"/>
        <v>1.1271168766715491</v>
      </c>
      <c r="AS96" s="74">
        <f t="shared" si="82"/>
        <v>-0.12711687667154919</v>
      </c>
      <c r="AT96" s="74">
        <f t="shared" si="83"/>
        <v>-0.67612239893712434</v>
      </c>
      <c r="AU96" s="74">
        <f t="shared" si="84"/>
        <v>1.9194673789859635</v>
      </c>
      <c r="AV96" s="74">
        <f t="shared" si="85"/>
        <v>-0.72480393543182353</v>
      </c>
      <c r="AW96" s="74">
        <f t="shared" si="86"/>
        <v>2.0576710850122439</v>
      </c>
      <c r="AX96" s="74">
        <f t="shared" si="87"/>
        <v>4.8681536494699196E-2</v>
      </c>
      <c r="AY96" s="74">
        <f t="shared" si="88"/>
        <v>-0.13820370602628038</v>
      </c>
      <c r="AZ96" s="74">
        <f t="shared" si="89"/>
        <v>1.0720010704736709</v>
      </c>
      <c r="BA96" s="74">
        <f t="shared" si="90"/>
        <v>-7.2001070473670728E-2</v>
      </c>
      <c r="BB96" s="74">
        <f t="shared" si="91"/>
        <v>-8.5738596805902262E-3</v>
      </c>
      <c r="BC96" s="74">
        <f t="shared" si="92"/>
        <v>-1.5301537164965974E-2</v>
      </c>
      <c r="BD96" s="74">
        <f t="shared" si="93"/>
        <v>-1.0346820782609279E-2</v>
      </c>
      <c r="BE96" s="75">
        <f t="shared" si="94"/>
        <v>4.3440065708021121E-2</v>
      </c>
    </row>
    <row r="97" spans="1:57" x14ac:dyDescent="0.35">
      <c r="A97" s="10" t="s">
        <v>46</v>
      </c>
      <c r="B97" s="12" t="s">
        <v>67</v>
      </c>
      <c r="C97" s="47">
        <f t="shared" si="62"/>
        <v>0</v>
      </c>
      <c r="D97" s="23">
        <f t="shared" si="63"/>
        <v>0</v>
      </c>
      <c r="E97" s="50">
        <f>[1]data!E97-[1]data!E59</f>
        <v>0</v>
      </c>
      <c r="F97" s="36">
        <f>[1]data!F97-[1]data!F59</f>
        <v>0</v>
      </c>
      <c r="G97" s="36">
        <f>[1]data!G97-[1]data!G59</f>
        <v>0</v>
      </c>
      <c r="H97" s="25">
        <f t="shared" si="64"/>
        <v>0</v>
      </c>
      <c r="I97" s="36">
        <f>[1]data!I97-[1]data!I59</f>
        <v>0</v>
      </c>
      <c r="J97" s="36">
        <f>[1]data!J97-[1]data!J59</f>
        <v>0</v>
      </c>
      <c r="K97" s="36">
        <f>[1]data!K97-[1]data!K59</f>
        <v>0</v>
      </c>
      <c r="L97" s="25">
        <f t="shared" si="65"/>
        <v>0</v>
      </c>
      <c r="M97" s="25">
        <f t="shared" si="66"/>
        <v>0</v>
      </c>
      <c r="N97" s="25">
        <f t="shared" si="67"/>
        <v>0</v>
      </c>
      <c r="O97" s="25">
        <f t="shared" si="68"/>
        <v>0</v>
      </c>
      <c r="P97" s="24">
        <f t="shared" si="69"/>
        <v>0</v>
      </c>
      <c r="Q97" s="40">
        <f t="shared" si="51"/>
        <v>0</v>
      </c>
      <c r="R97" s="40">
        <f t="shared" si="52"/>
        <v>0</v>
      </c>
      <c r="S97" s="40">
        <f t="shared" si="53"/>
        <v>0</v>
      </c>
      <c r="T97" s="40">
        <f t="shared" si="54"/>
        <v>0</v>
      </c>
      <c r="U97" s="40">
        <f t="shared" si="55"/>
        <v>0</v>
      </c>
      <c r="V97" s="25">
        <f t="shared" si="70"/>
        <v>0</v>
      </c>
      <c r="W97" s="25">
        <f t="shared" si="71"/>
        <v>0</v>
      </c>
      <c r="X97" s="40">
        <f t="shared" si="56"/>
        <v>0</v>
      </c>
      <c r="Y97" s="40">
        <f t="shared" si="57"/>
        <v>0</v>
      </c>
      <c r="Z97" s="40">
        <f t="shared" si="58"/>
        <v>0</v>
      </c>
      <c r="AA97" s="40">
        <f t="shared" si="59"/>
        <v>0</v>
      </c>
      <c r="AB97" s="40">
        <f t="shared" si="60"/>
        <v>0</v>
      </c>
      <c r="AC97" s="40">
        <f t="shared" si="61"/>
        <v>0</v>
      </c>
      <c r="AD97" s="26">
        <v>19.06914282116</v>
      </c>
      <c r="AE97" s="8">
        <v>20.729999827290001</v>
      </c>
      <c r="AF97" s="61">
        <f t="shared" si="72"/>
        <v>0</v>
      </c>
      <c r="AG97" s="61">
        <f t="shared" si="73"/>
        <v>0</v>
      </c>
      <c r="AH97" s="74">
        <v>0</v>
      </c>
      <c r="AI97" s="74">
        <v>0</v>
      </c>
      <c r="AJ97" s="74">
        <v>0</v>
      </c>
      <c r="AK97" s="74">
        <v>0</v>
      </c>
      <c r="AL97" s="74" t="e">
        <f t="shared" si="76"/>
        <v>#DIV/0!</v>
      </c>
      <c r="AM97" s="74">
        <v>0</v>
      </c>
      <c r="AN97" s="74" t="e">
        <f t="shared" si="77"/>
        <v>#DIV/0!</v>
      </c>
      <c r="AO97" s="74" t="e">
        <f t="shared" si="78"/>
        <v>#DIV/0!</v>
      </c>
      <c r="AP97" s="74" t="e">
        <f t="shared" si="79"/>
        <v>#DIV/0!</v>
      </c>
      <c r="AQ97" s="74" t="e">
        <f t="shared" si="80"/>
        <v>#DIV/0!</v>
      </c>
      <c r="AR97" s="74" t="e">
        <f t="shared" si="81"/>
        <v>#DIV/0!</v>
      </c>
      <c r="AS97" s="74" t="e">
        <f t="shared" si="82"/>
        <v>#DIV/0!</v>
      </c>
      <c r="AT97" s="74" t="e">
        <f t="shared" si="83"/>
        <v>#DIV/0!</v>
      </c>
      <c r="AU97" s="74" t="e">
        <f t="shared" si="84"/>
        <v>#DIV/0!</v>
      </c>
      <c r="AV97" s="74" t="e">
        <f t="shared" si="85"/>
        <v>#DIV/0!</v>
      </c>
      <c r="AW97" s="74" t="e">
        <f t="shared" si="86"/>
        <v>#DIV/0!</v>
      </c>
      <c r="AX97" s="74" t="e">
        <f t="shared" si="87"/>
        <v>#DIV/0!</v>
      </c>
      <c r="AY97" s="74" t="e">
        <f t="shared" si="88"/>
        <v>#DIV/0!</v>
      </c>
      <c r="AZ97" s="74" t="e">
        <f t="shared" si="89"/>
        <v>#DIV/0!</v>
      </c>
      <c r="BA97" s="74" t="e">
        <f t="shared" si="90"/>
        <v>#DIV/0!</v>
      </c>
      <c r="BB97" s="74">
        <f t="shared" si="91"/>
        <v>0</v>
      </c>
      <c r="BC97" s="74">
        <f t="shared" si="92"/>
        <v>0</v>
      </c>
      <c r="BD97" s="74">
        <f t="shared" si="93"/>
        <v>0</v>
      </c>
      <c r="BE97" s="75">
        <f t="shared" si="94"/>
        <v>0</v>
      </c>
    </row>
    <row r="98" spans="1:57" x14ac:dyDescent="0.35">
      <c r="A98" s="10" t="s">
        <v>47</v>
      </c>
      <c r="B98" s="12" t="s">
        <v>67</v>
      </c>
      <c r="C98" s="47">
        <f t="shared" si="62"/>
        <v>0</v>
      </c>
      <c r="D98" s="23">
        <f t="shared" si="63"/>
        <v>0</v>
      </c>
      <c r="E98" s="50">
        <f>[1]data!E98-[1]data!E60</f>
        <v>0</v>
      </c>
      <c r="F98" s="36">
        <f>[1]data!F98-[1]data!F60</f>
        <v>0</v>
      </c>
      <c r="G98" s="36">
        <f>[1]data!G98-[1]data!G60</f>
        <v>0</v>
      </c>
      <c r="H98" s="25">
        <f t="shared" si="64"/>
        <v>0</v>
      </c>
      <c r="I98" s="36">
        <f>[1]data!I98-[1]data!I60</f>
        <v>0</v>
      </c>
      <c r="J98" s="36">
        <f>[1]data!J98-[1]data!J60</f>
        <v>0</v>
      </c>
      <c r="K98" s="36">
        <f>[1]data!K98-[1]data!K60</f>
        <v>0</v>
      </c>
      <c r="L98" s="25">
        <f t="shared" si="65"/>
        <v>0</v>
      </c>
      <c r="M98" s="25">
        <f t="shared" si="66"/>
        <v>0</v>
      </c>
      <c r="N98" s="25">
        <f t="shared" si="67"/>
        <v>0</v>
      </c>
      <c r="O98" s="25">
        <f t="shared" si="68"/>
        <v>0</v>
      </c>
      <c r="P98" s="24">
        <f t="shared" si="69"/>
        <v>0</v>
      </c>
      <c r="Q98" s="40">
        <f t="shared" si="51"/>
        <v>0</v>
      </c>
      <c r="R98" s="40">
        <f t="shared" si="52"/>
        <v>0</v>
      </c>
      <c r="S98" s="40">
        <f t="shared" si="53"/>
        <v>0</v>
      </c>
      <c r="T98" s="40">
        <f t="shared" si="54"/>
        <v>0</v>
      </c>
      <c r="U98" s="40">
        <f t="shared" si="55"/>
        <v>0</v>
      </c>
      <c r="V98" s="25">
        <f t="shared" si="70"/>
        <v>0</v>
      </c>
      <c r="W98" s="25">
        <f t="shared" si="71"/>
        <v>0</v>
      </c>
      <c r="X98" s="40">
        <f t="shared" si="56"/>
        <v>0</v>
      </c>
      <c r="Y98" s="40">
        <f t="shared" si="57"/>
        <v>0</v>
      </c>
      <c r="Z98" s="40">
        <f t="shared" si="58"/>
        <v>0</v>
      </c>
      <c r="AA98" s="40">
        <f t="shared" si="59"/>
        <v>0</v>
      </c>
      <c r="AB98" s="40">
        <f t="shared" si="60"/>
        <v>0</v>
      </c>
      <c r="AC98" s="40">
        <f t="shared" si="61"/>
        <v>0</v>
      </c>
      <c r="AD98" s="26">
        <v>417.89075855828003</v>
      </c>
      <c r="AE98" s="8">
        <v>371.46659669328</v>
      </c>
      <c r="AF98" s="61">
        <f t="shared" si="72"/>
        <v>0</v>
      </c>
      <c r="AG98" s="61">
        <f t="shared" si="73"/>
        <v>0</v>
      </c>
      <c r="AH98" s="74">
        <v>0</v>
      </c>
      <c r="AI98" s="74">
        <v>0</v>
      </c>
      <c r="AJ98" s="74">
        <v>0</v>
      </c>
      <c r="AK98" s="74">
        <v>0</v>
      </c>
      <c r="AL98" s="74" t="e">
        <f t="shared" si="76"/>
        <v>#DIV/0!</v>
      </c>
      <c r="AM98" s="74">
        <v>0</v>
      </c>
      <c r="AN98" s="74" t="e">
        <f t="shared" si="77"/>
        <v>#DIV/0!</v>
      </c>
      <c r="AO98" s="74" t="e">
        <f t="shared" si="78"/>
        <v>#DIV/0!</v>
      </c>
      <c r="AP98" s="74" t="e">
        <f t="shared" si="79"/>
        <v>#DIV/0!</v>
      </c>
      <c r="AQ98" s="74" t="e">
        <f t="shared" si="80"/>
        <v>#DIV/0!</v>
      </c>
      <c r="AR98" s="74" t="e">
        <f t="shared" si="81"/>
        <v>#DIV/0!</v>
      </c>
      <c r="AS98" s="74" t="e">
        <f t="shared" si="82"/>
        <v>#DIV/0!</v>
      </c>
      <c r="AT98" s="74" t="e">
        <f t="shared" si="83"/>
        <v>#DIV/0!</v>
      </c>
      <c r="AU98" s="74" t="e">
        <f t="shared" si="84"/>
        <v>#DIV/0!</v>
      </c>
      <c r="AV98" s="74" t="e">
        <f t="shared" si="85"/>
        <v>#DIV/0!</v>
      </c>
      <c r="AW98" s="74" t="e">
        <f t="shared" si="86"/>
        <v>#DIV/0!</v>
      </c>
      <c r="AX98" s="74" t="e">
        <f t="shared" si="87"/>
        <v>#DIV/0!</v>
      </c>
      <c r="AY98" s="74" t="e">
        <f t="shared" si="88"/>
        <v>#DIV/0!</v>
      </c>
      <c r="AZ98" s="74" t="e">
        <f t="shared" si="89"/>
        <v>#DIV/0!</v>
      </c>
      <c r="BA98" s="74" t="e">
        <f t="shared" si="90"/>
        <v>#DIV/0!</v>
      </c>
      <c r="BB98" s="74">
        <f t="shared" si="91"/>
        <v>0</v>
      </c>
      <c r="BC98" s="74">
        <f t="shared" si="92"/>
        <v>0</v>
      </c>
      <c r="BD98" s="74">
        <f t="shared" si="93"/>
        <v>0</v>
      </c>
      <c r="BE98" s="75">
        <f t="shared" si="94"/>
        <v>0</v>
      </c>
    </row>
    <row r="99" spans="1:57" x14ac:dyDescent="0.35">
      <c r="A99" s="10" t="s">
        <v>48</v>
      </c>
      <c r="B99" s="12" t="s">
        <v>67</v>
      </c>
      <c r="C99" s="47">
        <f t="shared" si="62"/>
        <v>0</v>
      </c>
      <c r="D99" s="23">
        <f t="shared" si="63"/>
        <v>0</v>
      </c>
      <c r="E99" s="50">
        <f>[1]data!E99-[1]data!E61</f>
        <v>0</v>
      </c>
      <c r="F99" s="36">
        <f>[1]data!F99-[1]data!F61</f>
        <v>0</v>
      </c>
      <c r="G99" s="36">
        <f>[1]data!G99-[1]data!G61</f>
        <v>0</v>
      </c>
      <c r="H99" s="25">
        <f t="shared" si="64"/>
        <v>0</v>
      </c>
      <c r="I99" s="36">
        <f>[1]data!I99-[1]data!I61</f>
        <v>0</v>
      </c>
      <c r="J99" s="36">
        <f>[1]data!J99-[1]data!J61</f>
        <v>0</v>
      </c>
      <c r="K99" s="36">
        <f>[1]data!K99-[1]data!K61</f>
        <v>0</v>
      </c>
      <c r="L99" s="25">
        <f t="shared" si="65"/>
        <v>0</v>
      </c>
      <c r="M99" s="25">
        <f t="shared" si="66"/>
        <v>0</v>
      </c>
      <c r="N99" s="25">
        <f t="shared" si="67"/>
        <v>0</v>
      </c>
      <c r="O99" s="25">
        <f t="shared" si="68"/>
        <v>0</v>
      </c>
      <c r="P99" s="24">
        <f t="shared" si="69"/>
        <v>0</v>
      </c>
      <c r="Q99" s="40">
        <f t="shared" si="51"/>
        <v>0</v>
      </c>
      <c r="R99" s="40">
        <f t="shared" si="52"/>
        <v>0</v>
      </c>
      <c r="S99" s="40">
        <f t="shared" si="53"/>
        <v>0</v>
      </c>
      <c r="T99" s="40">
        <f t="shared" si="54"/>
        <v>0</v>
      </c>
      <c r="U99" s="40">
        <f t="shared" si="55"/>
        <v>0</v>
      </c>
      <c r="V99" s="25">
        <f t="shared" si="70"/>
        <v>0</v>
      </c>
      <c r="W99" s="25">
        <f t="shared" si="71"/>
        <v>0</v>
      </c>
      <c r="X99" s="40">
        <f t="shared" si="56"/>
        <v>0</v>
      </c>
      <c r="Y99" s="40">
        <f t="shared" si="57"/>
        <v>0</v>
      </c>
      <c r="Z99" s="40">
        <f t="shared" si="58"/>
        <v>0</v>
      </c>
      <c r="AA99" s="40">
        <f t="shared" si="59"/>
        <v>0</v>
      </c>
      <c r="AB99" s="40">
        <f t="shared" si="60"/>
        <v>0</v>
      </c>
      <c r="AC99" s="40">
        <f t="shared" si="61"/>
        <v>0</v>
      </c>
      <c r="AD99" s="26">
        <v>342.39670930134002</v>
      </c>
      <c r="AE99" s="8">
        <v>358.46025273358998</v>
      </c>
      <c r="AF99" s="61">
        <f t="shared" si="72"/>
        <v>0</v>
      </c>
      <c r="AG99" s="61">
        <f t="shared" si="73"/>
        <v>0</v>
      </c>
      <c r="AH99" s="74">
        <v>0</v>
      </c>
      <c r="AI99" s="74">
        <v>0</v>
      </c>
      <c r="AJ99" s="74">
        <v>0</v>
      </c>
      <c r="AK99" s="74">
        <v>0</v>
      </c>
      <c r="AL99" s="74" t="e">
        <f t="shared" si="76"/>
        <v>#DIV/0!</v>
      </c>
      <c r="AM99" s="74">
        <v>0</v>
      </c>
      <c r="AN99" s="74" t="e">
        <f t="shared" si="77"/>
        <v>#DIV/0!</v>
      </c>
      <c r="AO99" s="74" t="e">
        <f t="shared" si="78"/>
        <v>#DIV/0!</v>
      </c>
      <c r="AP99" s="74" t="e">
        <f t="shared" si="79"/>
        <v>#DIV/0!</v>
      </c>
      <c r="AQ99" s="74" t="e">
        <f t="shared" si="80"/>
        <v>#DIV/0!</v>
      </c>
      <c r="AR99" s="74" t="e">
        <f t="shared" si="81"/>
        <v>#DIV/0!</v>
      </c>
      <c r="AS99" s="74" t="e">
        <f t="shared" si="82"/>
        <v>#DIV/0!</v>
      </c>
      <c r="AT99" s="74" t="e">
        <f t="shared" si="83"/>
        <v>#DIV/0!</v>
      </c>
      <c r="AU99" s="74" t="e">
        <f t="shared" si="84"/>
        <v>#DIV/0!</v>
      </c>
      <c r="AV99" s="74" t="e">
        <f t="shared" si="85"/>
        <v>#DIV/0!</v>
      </c>
      <c r="AW99" s="74" t="e">
        <f t="shared" si="86"/>
        <v>#DIV/0!</v>
      </c>
      <c r="AX99" s="74" t="e">
        <f t="shared" si="87"/>
        <v>#DIV/0!</v>
      </c>
      <c r="AY99" s="74" t="e">
        <f t="shared" si="88"/>
        <v>#DIV/0!</v>
      </c>
      <c r="AZ99" s="74" t="e">
        <f t="shared" si="89"/>
        <v>#DIV/0!</v>
      </c>
      <c r="BA99" s="74" t="e">
        <f t="shared" si="90"/>
        <v>#DIV/0!</v>
      </c>
      <c r="BB99" s="74">
        <f t="shared" si="91"/>
        <v>0</v>
      </c>
      <c r="BC99" s="74">
        <f t="shared" si="92"/>
        <v>0</v>
      </c>
      <c r="BD99" s="74">
        <f t="shared" si="93"/>
        <v>0</v>
      </c>
      <c r="BE99" s="75">
        <f t="shared" si="94"/>
        <v>0</v>
      </c>
    </row>
    <row r="100" spans="1:57" x14ac:dyDescent="0.35">
      <c r="A100" s="10" t="s">
        <v>49</v>
      </c>
      <c r="B100" s="12" t="s">
        <v>67</v>
      </c>
      <c r="C100" s="47">
        <f t="shared" si="62"/>
        <v>0</v>
      </c>
      <c r="D100" s="23">
        <f t="shared" si="63"/>
        <v>0</v>
      </c>
      <c r="E100" s="50">
        <f>[1]data!E100-[1]data!E62</f>
        <v>0</v>
      </c>
      <c r="F100" s="36">
        <f>[1]data!F100-[1]data!F62</f>
        <v>0</v>
      </c>
      <c r="G100" s="36">
        <f>[1]data!G100-[1]data!G62</f>
        <v>0</v>
      </c>
      <c r="H100" s="25">
        <f t="shared" si="64"/>
        <v>0</v>
      </c>
      <c r="I100" s="36">
        <f>[1]data!I100-[1]data!I62</f>
        <v>0</v>
      </c>
      <c r="J100" s="36">
        <f>[1]data!J100-[1]data!J62</f>
        <v>0</v>
      </c>
      <c r="K100" s="36">
        <f>[1]data!K100-[1]data!K62</f>
        <v>0</v>
      </c>
      <c r="L100" s="25">
        <f t="shared" si="65"/>
        <v>0</v>
      </c>
      <c r="M100" s="25">
        <f t="shared" si="66"/>
        <v>0</v>
      </c>
      <c r="N100" s="25">
        <f t="shared" si="67"/>
        <v>0</v>
      </c>
      <c r="O100" s="25">
        <f t="shared" si="68"/>
        <v>0</v>
      </c>
      <c r="P100" s="24">
        <f t="shared" si="69"/>
        <v>0</v>
      </c>
      <c r="Q100" s="40">
        <f t="shared" si="51"/>
        <v>0</v>
      </c>
      <c r="R100" s="40">
        <f t="shared" si="52"/>
        <v>0</v>
      </c>
      <c r="S100" s="40">
        <f t="shared" si="53"/>
        <v>0</v>
      </c>
      <c r="T100" s="40">
        <f t="shared" si="54"/>
        <v>0</v>
      </c>
      <c r="U100" s="40">
        <f t="shared" si="55"/>
        <v>0</v>
      </c>
      <c r="V100" s="25">
        <f t="shared" si="70"/>
        <v>0</v>
      </c>
      <c r="W100" s="25">
        <f t="shared" si="71"/>
        <v>0</v>
      </c>
      <c r="X100" s="40">
        <f t="shared" si="56"/>
        <v>0</v>
      </c>
      <c r="Y100" s="40">
        <f t="shared" si="57"/>
        <v>0</v>
      </c>
      <c r="Z100" s="40">
        <f t="shared" si="58"/>
        <v>0</v>
      </c>
      <c r="AA100" s="40">
        <f t="shared" si="59"/>
        <v>0</v>
      </c>
      <c r="AB100" s="40">
        <f t="shared" si="60"/>
        <v>0</v>
      </c>
      <c r="AC100" s="40">
        <f t="shared" si="61"/>
        <v>0</v>
      </c>
      <c r="AD100" s="32">
        <v>55.422589739999999</v>
      </c>
      <c r="AE100" s="8">
        <v>30.160077523049999</v>
      </c>
      <c r="AF100" s="61">
        <f t="shared" si="72"/>
        <v>0</v>
      </c>
      <c r="AG100" s="61">
        <f t="shared" si="73"/>
        <v>0</v>
      </c>
      <c r="AH100" s="74">
        <v>0</v>
      </c>
      <c r="AI100" s="74">
        <v>0</v>
      </c>
      <c r="AJ100" s="74">
        <v>0</v>
      </c>
      <c r="AK100" s="74">
        <v>0</v>
      </c>
      <c r="AL100" s="74" t="e">
        <f t="shared" si="76"/>
        <v>#DIV/0!</v>
      </c>
      <c r="AM100" s="74">
        <v>0</v>
      </c>
      <c r="AN100" s="74" t="e">
        <f t="shared" si="77"/>
        <v>#DIV/0!</v>
      </c>
      <c r="AO100" s="74" t="e">
        <f t="shared" si="78"/>
        <v>#DIV/0!</v>
      </c>
      <c r="AP100" s="74" t="e">
        <f t="shared" si="79"/>
        <v>#DIV/0!</v>
      </c>
      <c r="AQ100" s="74" t="e">
        <f t="shared" si="80"/>
        <v>#DIV/0!</v>
      </c>
      <c r="AR100" s="74" t="e">
        <f t="shared" si="81"/>
        <v>#DIV/0!</v>
      </c>
      <c r="AS100" s="74" t="e">
        <f t="shared" si="82"/>
        <v>#DIV/0!</v>
      </c>
      <c r="AT100" s="74" t="e">
        <f t="shared" si="83"/>
        <v>#DIV/0!</v>
      </c>
      <c r="AU100" s="74" t="e">
        <f t="shared" si="84"/>
        <v>#DIV/0!</v>
      </c>
      <c r="AV100" s="74" t="e">
        <f t="shared" si="85"/>
        <v>#DIV/0!</v>
      </c>
      <c r="AW100" s="74" t="e">
        <f t="shared" si="86"/>
        <v>#DIV/0!</v>
      </c>
      <c r="AX100" s="74" t="e">
        <f t="shared" si="87"/>
        <v>#DIV/0!</v>
      </c>
      <c r="AY100" s="74" t="e">
        <f t="shared" si="88"/>
        <v>#DIV/0!</v>
      </c>
      <c r="AZ100" s="74" t="e">
        <f t="shared" si="89"/>
        <v>#DIV/0!</v>
      </c>
      <c r="BA100" s="74" t="e">
        <f t="shared" si="90"/>
        <v>#DIV/0!</v>
      </c>
      <c r="BB100" s="74">
        <f t="shared" si="91"/>
        <v>0</v>
      </c>
      <c r="BC100" s="74">
        <f t="shared" si="92"/>
        <v>0</v>
      </c>
      <c r="BD100" s="74">
        <f t="shared" si="93"/>
        <v>0</v>
      </c>
      <c r="BE100" s="75">
        <f t="shared" si="94"/>
        <v>0</v>
      </c>
    </row>
    <row r="101" spans="1:57" x14ac:dyDescent="0.35">
      <c r="A101" s="10" t="s">
        <v>50</v>
      </c>
      <c r="B101" s="12" t="s">
        <v>67</v>
      </c>
      <c r="C101" s="47">
        <f t="shared" si="62"/>
        <v>0</v>
      </c>
      <c r="D101" s="23">
        <f t="shared" si="63"/>
        <v>0</v>
      </c>
      <c r="E101" s="50">
        <f>[1]data!E101-[1]data!E63</f>
        <v>0</v>
      </c>
      <c r="F101" s="36">
        <f>[1]data!F101-[1]data!F63</f>
        <v>0</v>
      </c>
      <c r="G101" s="36">
        <f>[1]data!G101-[1]data!G63</f>
        <v>0</v>
      </c>
      <c r="H101" s="25">
        <f t="shared" si="64"/>
        <v>0</v>
      </c>
      <c r="I101" s="36">
        <f>[1]data!I101-[1]data!I63</f>
        <v>0</v>
      </c>
      <c r="J101" s="36">
        <f>[1]data!J101-[1]data!J63</f>
        <v>0</v>
      </c>
      <c r="K101" s="36">
        <f>[1]data!K101-[1]data!K63</f>
        <v>0</v>
      </c>
      <c r="L101" s="25">
        <f t="shared" si="65"/>
        <v>0</v>
      </c>
      <c r="M101" s="25">
        <f t="shared" si="66"/>
        <v>0</v>
      </c>
      <c r="N101" s="25">
        <f t="shared" si="67"/>
        <v>0</v>
      </c>
      <c r="O101" s="25">
        <f t="shared" si="68"/>
        <v>0</v>
      </c>
      <c r="P101" s="24">
        <f t="shared" si="69"/>
        <v>0</v>
      </c>
      <c r="Q101" s="40">
        <f t="shared" si="51"/>
        <v>0</v>
      </c>
      <c r="R101" s="40">
        <f t="shared" si="52"/>
        <v>0</v>
      </c>
      <c r="S101" s="40">
        <f t="shared" si="53"/>
        <v>0</v>
      </c>
      <c r="T101" s="40">
        <f t="shared" si="54"/>
        <v>0</v>
      </c>
      <c r="U101" s="40">
        <f t="shared" si="55"/>
        <v>0</v>
      </c>
      <c r="V101" s="25">
        <f t="shared" si="70"/>
        <v>0</v>
      </c>
      <c r="W101" s="25">
        <f t="shared" si="71"/>
        <v>0</v>
      </c>
      <c r="X101" s="40">
        <f t="shared" si="56"/>
        <v>0</v>
      </c>
      <c r="Y101" s="40">
        <f t="shared" si="57"/>
        <v>0</v>
      </c>
      <c r="Z101" s="40">
        <f t="shared" si="58"/>
        <v>0</v>
      </c>
      <c r="AA101" s="40">
        <f t="shared" si="59"/>
        <v>0</v>
      </c>
      <c r="AB101" s="40">
        <f t="shared" si="60"/>
        <v>0</v>
      </c>
      <c r="AC101" s="40">
        <f t="shared" si="61"/>
        <v>0</v>
      </c>
      <c r="AD101" s="26">
        <v>97.136073348400004</v>
      </c>
      <c r="AE101" s="8">
        <v>48.216768505140003</v>
      </c>
      <c r="AF101" s="61">
        <f t="shared" si="72"/>
        <v>0</v>
      </c>
      <c r="AG101" s="61">
        <f t="shared" si="73"/>
        <v>0</v>
      </c>
      <c r="AH101" s="74">
        <v>0</v>
      </c>
      <c r="AI101" s="74">
        <v>0</v>
      </c>
      <c r="AJ101" s="74">
        <v>0</v>
      </c>
      <c r="AK101" s="74">
        <v>0</v>
      </c>
      <c r="AL101" s="74" t="e">
        <f t="shared" si="76"/>
        <v>#DIV/0!</v>
      </c>
      <c r="AM101" s="74">
        <v>0</v>
      </c>
      <c r="AN101" s="74" t="e">
        <f t="shared" si="77"/>
        <v>#DIV/0!</v>
      </c>
      <c r="AO101" s="74" t="e">
        <f t="shared" si="78"/>
        <v>#DIV/0!</v>
      </c>
      <c r="AP101" s="74" t="e">
        <f t="shared" si="79"/>
        <v>#DIV/0!</v>
      </c>
      <c r="AQ101" s="74" t="e">
        <f t="shared" si="80"/>
        <v>#DIV/0!</v>
      </c>
      <c r="AR101" s="74" t="e">
        <f t="shared" si="81"/>
        <v>#DIV/0!</v>
      </c>
      <c r="AS101" s="74" t="e">
        <f t="shared" si="82"/>
        <v>#DIV/0!</v>
      </c>
      <c r="AT101" s="74" t="e">
        <f t="shared" si="83"/>
        <v>#DIV/0!</v>
      </c>
      <c r="AU101" s="74" t="e">
        <f t="shared" si="84"/>
        <v>#DIV/0!</v>
      </c>
      <c r="AV101" s="74" t="e">
        <f t="shared" si="85"/>
        <v>#DIV/0!</v>
      </c>
      <c r="AW101" s="74" t="e">
        <f t="shared" si="86"/>
        <v>#DIV/0!</v>
      </c>
      <c r="AX101" s="74" t="e">
        <f t="shared" si="87"/>
        <v>#DIV/0!</v>
      </c>
      <c r="AY101" s="74" t="e">
        <f t="shared" si="88"/>
        <v>#DIV/0!</v>
      </c>
      <c r="AZ101" s="74" t="e">
        <f t="shared" si="89"/>
        <v>#DIV/0!</v>
      </c>
      <c r="BA101" s="74" t="e">
        <f t="shared" si="90"/>
        <v>#DIV/0!</v>
      </c>
      <c r="BB101" s="74">
        <f t="shared" si="91"/>
        <v>0</v>
      </c>
      <c r="BC101" s="74">
        <f t="shared" si="92"/>
        <v>0</v>
      </c>
      <c r="BD101" s="74">
        <f t="shared" si="93"/>
        <v>0</v>
      </c>
      <c r="BE101" s="75">
        <f t="shared" si="94"/>
        <v>0</v>
      </c>
    </row>
    <row r="102" spans="1:57" x14ac:dyDescent="0.35">
      <c r="A102" s="10" t="s">
        <v>51</v>
      </c>
      <c r="B102" s="12" t="s">
        <v>67</v>
      </c>
      <c r="C102" s="47">
        <f t="shared" si="62"/>
        <v>0</v>
      </c>
      <c r="D102" s="23">
        <f t="shared" si="63"/>
        <v>0</v>
      </c>
      <c r="E102" s="50">
        <f>[1]data!E102-[1]data!E64</f>
        <v>0</v>
      </c>
      <c r="F102" s="36">
        <f>[1]data!F102-[1]data!F64</f>
        <v>0</v>
      </c>
      <c r="G102" s="36">
        <f>[1]data!G102-[1]data!G64</f>
        <v>0</v>
      </c>
      <c r="H102" s="25">
        <f t="shared" si="64"/>
        <v>0</v>
      </c>
      <c r="I102" s="36">
        <f>[1]data!I102-[1]data!I64</f>
        <v>0</v>
      </c>
      <c r="J102" s="36">
        <f>[1]data!J102-[1]data!J64</f>
        <v>0</v>
      </c>
      <c r="K102" s="36">
        <f>[1]data!K102-[1]data!K64</f>
        <v>0</v>
      </c>
      <c r="L102" s="25">
        <f t="shared" si="65"/>
        <v>0</v>
      </c>
      <c r="M102" s="25">
        <f t="shared" si="66"/>
        <v>0</v>
      </c>
      <c r="N102" s="25">
        <f t="shared" si="67"/>
        <v>0</v>
      </c>
      <c r="O102" s="25">
        <f t="shared" si="68"/>
        <v>0</v>
      </c>
      <c r="P102" s="24">
        <f t="shared" si="69"/>
        <v>0</v>
      </c>
      <c r="Q102" s="40">
        <f t="shared" si="51"/>
        <v>0</v>
      </c>
      <c r="R102" s="40">
        <f t="shared" si="52"/>
        <v>0</v>
      </c>
      <c r="S102" s="40">
        <f t="shared" si="53"/>
        <v>0</v>
      </c>
      <c r="T102" s="40">
        <f t="shared" si="54"/>
        <v>0</v>
      </c>
      <c r="U102" s="40">
        <f t="shared" si="55"/>
        <v>0</v>
      </c>
      <c r="V102" s="25">
        <f t="shared" si="70"/>
        <v>0</v>
      </c>
      <c r="W102" s="25">
        <f t="shared" si="71"/>
        <v>0</v>
      </c>
      <c r="X102" s="40">
        <f t="shared" si="56"/>
        <v>0</v>
      </c>
      <c r="Y102" s="40">
        <f t="shared" si="57"/>
        <v>0</v>
      </c>
      <c r="Z102" s="40">
        <f t="shared" si="58"/>
        <v>0</v>
      </c>
      <c r="AA102" s="40">
        <f t="shared" si="59"/>
        <v>0</v>
      </c>
      <c r="AB102" s="40">
        <f t="shared" si="60"/>
        <v>0</v>
      </c>
      <c r="AC102" s="40">
        <f t="shared" si="61"/>
        <v>0</v>
      </c>
      <c r="AD102" s="26">
        <v>66.343484468840003</v>
      </c>
      <c r="AE102" s="8">
        <v>66.557495896739994</v>
      </c>
      <c r="AF102" s="61">
        <f t="shared" si="72"/>
        <v>0</v>
      </c>
      <c r="AG102" s="61">
        <f t="shared" si="73"/>
        <v>0</v>
      </c>
      <c r="AH102" s="74">
        <v>0</v>
      </c>
      <c r="AI102" s="74">
        <v>0</v>
      </c>
      <c r="AJ102" s="74">
        <v>0</v>
      </c>
      <c r="AK102" s="74">
        <v>0</v>
      </c>
      <c r="AL102" s="74" t="e">
        <f t="shared" si="76"/>
        <v>#DIV/0!</v>
      </c>
      <c r="AM102" s="74">
        <v>0</v>
      </c>
      <c r="AN102" s="74" t="e">
        <f t="shared" si="77"/>
        <v>#DIV/0!</v>
      </c>
      <c r="AO102" s="74" t="e">
        <f t="shared" si="78"/>
        <v>#DIV/0!</v>
      </c>
      <c r="AP102" s="74" t="e">
        <f t="shared" si="79"/>
        <v>#DIV/0!</v>
      </c>
      <c r="AQ102" s="74" t="e">
        <f t="shared" si="80"/>
        <v>#DIV/0!</v>
      </c>
      <c r="AR102" s="74" t="e">
        <f t="shared" si="81"/>
        <v>#DIV/0!</v>
      </c>
      <c r="AS102" s="74" t="e">
        <f t="shared" si="82"/>
        <v>#DIV/0!</v>
      </c>
      <c r="AT102" s="74" t="e">
        <f t="shared" si="83"/>
        <v>#DIV/0!</v>
      </c>
      <c r="AU102" s="74" t="e">
        <f t="shared" si="84"/>
        <v>#DIV/0!</v>
      </c>
      <c r="AV102" s="74" t="e">
        <f t="shared" si="85"/>
        <v>#DIV/0!</v>
      </c>
      <c r="AW102" s="74" t="e">
        <f t="shared" si="86"/>
        <v>#DIV/0!</v>
      </c>
      <c r="AX102" s="74" t="e">
        <f t="shared" si="87"/>
        <v>#DIV/0!</v>
      </c>
      <c r="AY102" s="74" t="e">
        <f t="shared" si="88"/>
        <v>#DIV/0!</v>
      </c>
      <c r="AZ102" s="74" t="e">
        <f t="shared" si="89"/>
        <v>#DIV/0!</v>
      </c>
      <c r="BA102" s="74" t="e">
        <f t="shared" si="90"/>
        <v>#DIV/0!</v>
      </c>
      <c r="BB102" s="74">
        <f t="shared" si="91"/>
        <v>0</v>
      </c>
      <c r="BC102" s="74">
        <f t="shared" si="92"/>
        <v>0</v>
      </c>
      <c r="BD102" s="74">
        <f t="shared" si="93"/>
        <v>0</v>
      </c>
      <c r="BE102" s="75">
        <f t="shared" si="94"/>
        <v>0</v>
      </c>
    </row>
    <row r="103" spans="1:57" x14ac:dyDescent="0.35">
      <c r="A103" s="10" t="s">
        <v>52</v>
      </c>
      <c r="B103" s="12" t="s">
        <v>67</v>
      </c>
      <c r="C103" s="47">
        <f t="shared" si="62"/>
        <v>-13.919038874734969</v>
      </c>
      <c r="D103" s="23">
        <f t="shared" si="63"/>
        <v>6.7094683675636118</v>
      </c>
      <c r="E103" s="50">
        <f>[1]data!E103-[1]data!E65</f>
        <v>3.4647147221616406</v>
      </c>
      <c r="F103" s="36">
        <f>[1]data!F103-[1]data!F65</f>
        <v>3.2447536454019712</v>
      </c>
      <c r="G103" s="36">
        <f>[1]data!G103-[1]data!G65</f>
        <v>-20.628507242298582</v>
      </c>
      <c r="H103" s="25">
        <f t="shared" si="64"/>
        <v>4.2836647687777969</v>
      </c>
      <c r="I103" s="36">
        <f>[1]data!I103-[1]data!I65</f>
        <v>0</v>
      </c>
      <c r="J103" s="36">
        <f>[1]data!J103-[1]data!J65</f>
        <v>4.2836647687777969</v>
      </c>
      <c r="K103" s="36">
        <f>[1]data!K103-[1]data!K65</f>
        <v>0</v>
      </c>
      <c r="L103" s="25">
        <f t="shared" si="65"/>
        <v>-1.6565345760638406</v>
      </c>
      <c r="M103" s="25">
        <f t="shared" si="66"/>
        <v>0.79850817559322063</v>
      </c>
      <c r="N103" s="25">
        <f t="shared" si="67"/>
        <v>-1.4927536774412409</v>
      </c>
      <c r="O103" s="25">
        <f t="shared" si="68"/>
        <v>0.71955999760414235</v>
      </c>
      <c r="P103" s="24">
        <f t="shared" si="69"/>
        <v>0.41234310681293096</v>
      </c>
      <c r="Q103" s="40">
        <f t="shared" si="51"/>
        <v>0.37157491184103569</v>
      </c>
      <c r="R103" s="40">
        <f t="shared" si="52"/>
        <v>0.38616506878028972</v>
      </c>
      <c r="S103" s="40">
        <f t="shared" si="53"/>
        <v>0.34798508576310666</v>
      </c>
      <c r="T103" s="40">
        <f t="shared" si="54"/>
        <v>-2.4550427516570612</v>
      </c>
      <c r="U103" s="40">
        <f t="shared" si="55"/>
        <v>-2.2123136750453831</v>
      </c>
      <c r="V103" s="25">
        <f t="shared" si="70"/>
        <v>0.50980810281572353</v>
      </c>
      <c r="W103" s="25">
        <f t="shared" si="71"/>
        <v>0.45940358339866294</v>
      </c>
      <c r="X103" s="40">
        <f t="shared" si="56"/>
        <v>0</v>
      </c>
      <c r="Y103" s="40">
        <f t="shared" si="57"/>
        <v>0</v>
      </c>
      <c r="Z103" s="40">
        <f t="shared" si="58"/>
        <v>0.50980810281572353</v>
      </c>
      <c r="AA103" s="40">
        <f t="shared" si="59"/>
        <v>0.45940358339866294</v>
      </c>
      <c r="AB103" s="40">
        <f t="shared" si="60"/>
        <v>0</v>
      </c>
      <c r="AC103" s="40">
        <f t="shared" si="61"/>
        <v>0</v>
      </c>
      <c r="AD103" s="26">
        <v>932.44043441874999</v>
      </c>
      <c r="AE103" s="8">
        <v>840.25042856688003</v>
      </c>
      <c r="AF103" s="61">
        <f t="shared" si="72"/>
        <v>10.99313313634141</v>
      </c>
      <c r="AG103" s="61">
        <f t="shared" si="73"/>
        <v>10.99313313634141</v>
      </c>
      <c r="AH103" s="74">
        <f t="shared" si="74"/>
        <v>0.61033267625798704</v>
      </c>
      <c r="AI103" s="74">
        <f>D103/AG103</f>
        <v>0.61033267625798704</v>
      </c>
      <c r="AJ103" s="74">
        <f t="shared" si="75"/>
        <v>0.61033267625798704</v>
      </c>
      <c r="AK103" s="74">
        <f>$D103/(AF103)</f>
        <v>0.61033267625798704</v>
      </c>
      <c r="AL103" s="74">
        <f t="shared" si="76"/>
        <v>0.29516186196957561</v>
      </c>
      <c r="AM103" s="74">
        <f>(F103/(AF103))</f>
        <v>0.29516186196957561</v>
      </c>
      <c r="AN103" s="74">
        <f t="shared" si="77"/>
        <v>0.31517081428841148</v>
      </c>
      <c r="AO103" s="74">
        <f t="shared" si="78"/>
        <v>0.31517081428841148</v>
      </c>
      <c r="AP103" s="74">
        <f t="shared" si="79"/>
        <v>-1.8764902586419407</v>
      </c>
      <c r="AQ103" s="74">
        <f t="shared" si="80"/>
        <v>-1.8764902586419407</v>
      </c>
      <c r="AR103" s="74">
        <f t="shared" si="81"/>
        <v>0.48360815904408661</v>
      </c>
      <c r="AS103" s="74">
        <f t="shared" si="82"/>
        <v>0.51639184095591339</v>
      </c>
      <c r="AT103" s="74">
        <f t="shared" si="83"/>
        <v>0.38966732374201285</v>
      </c>
      <c r="AU103" s="74">
        <f t="shared" si="84"/>
        <v>0.38966732374201285</v>
      </c>
      <c r="AV103" s="74">
        <f t="shared" si="85"/>
        <v>0</v>
      </c>
      <c r="AW103" s="74">
        <f t="shared" si="86"/>
        <v>0</v>
      </c>
      <c r="AX103" s="74">
        <f t="shared" si="87"/>
        <v>0.38966732374201285</v>
      </c>
      <c r="AY103" s="74">
        <f t="shared" si="88"/>
        <v>0.38966732374201285</v>
      </c>
      <c r="AZ103" s="74">
        <f t="shared" si="89"/>
        <v>0</v>
      </c>
      <c r="BA103" s="74">
        <f t="shared" si="90"/>
        <v>1</v>
      </c>
      <c r="BB103" s="74">
        <f t="shared" si="91"/>
        <v>-1.1467264732481171E-2</v>
      </c>
      <c r="BC103" s="74">
        <f t="shared" si="92"/>
        <v>1.3083162784089443E-2</v>
      </c>
      <c r="BD103" s="74">
        <f t="shared" si="93"/>
        <v>1.1789635810028053E-2</v>
      </c>
      <c r="BE103" s="75">
        <f t="shared" si="94"/>
        <v>1.3083162784089443E-2</v>
      </c>
    </row>
    <row r="104" spans="1:57" x14ac:dyDescent="0.35">
      <c r="A104" s="10" t="s">
        <v>53</v>
      </c>
      <c r="B104" s="12" t="s">
        <v>67</v>
      </c>
      <c r="C104" s="47">
        <f t="shared" si="62"/>
        <v>-1.5631513525729281</v>
      </c>
      <c r="D104" s="23">
        <f t="shared" si="63"/>
        <v>-1.5631513525729281</v>
      </c>
      <c r="E104" s="50">
        <f>[1]data!E104-[1]data!E66</f>
        <v>0.199134188698951</v>
      </c>
      <c r="F104" s="36">
        <f>[1]data!F104-[1]data!F66</f>
        <v>-1.7622855412718792</v>
      </c>
      <c r="G104" s="36">
        <f>[1]data!G104-[1]data!G66</f>
        <v>0</v>
      </c>
      <c r="H104" s="25">
        <f t="shared" si="64"/>
        <v>0.14987911249498698</v>
      </c>
      <c r="I104" s="36">
        <f>[1]data!I104-[1]data!I66</f>
        <v>7.4029359208051648E-2</v>
      </c>
      <c r="J104" s="36">
        <f>[1]data!J104-[1]data!J66</f>
        <v>7.5849753286935329E-2</v>
      </c>
      <c r="K104" s="36">
        <f>[1]data!K104-[1]data!K66</f>
        <v>0</v>
      </c>
      <c r="L104" s="25">
        <f t="shared" si="65"/>
        <v>-0.77025642118408721</v>
      </c>
      <c r="M104" s="25">
        <f t="shared" si="66"/>
        <v>-0.77025642118408721</v>
      </c>
      <c r="N104" s="25">
        <f t="shared" si="67"/>
        <v>-0.80585693116972834</v>
      </c>
      <c r="O104" s="25">
        <f t="shared" si="68"/>
        <v>-0.80585693116972834</v>
      </c>
      <c r="P104" s="24">
        <f t="shared" si="69"/>
        <v>9.8125103029966909E-2</v>
      </c>
      <c r="Q104" s="40">
        <f t="shared" si="51"/>
        <v>0.10266035079186193</v>
      </c>
      <c r="R104" s="40">
        <f t="shared" si="52"/>
        <v>-0.86838152421405412</v>
      </c>
      <c r="S104" s="40">
        <f t="shared" si="53"/>
        <v>-0.90851728196159032</v>
      </c>
      <c r="T104" s="40">
        <f t="shared" si="54"/>
        <v>0</v>
      </c>
      <c r="U104" s="40">
        <f t="shared" si="55"/>
        <v>0</v>
      </c>
      <c r="V104" s="25">
        <f t="shared" si="70"/>
        <v>7.3854235938582813E-2</v>
      </c>
      <c r="W104" s="25">
        <f t="shared" si="71"/>
        <v>7.7267707597762969E-2</v>
      </c>
      <c r="X104" s="40">
        <f t="shared" si="56"/>
        <v>3.6478610463592194E-2</v>
      </c>
      <c r="Y104" s="40">
        <f t="shared" si="57"/>
        <v>3.8164616708207533E-2</v>
      </c>
      <c r="Z104" s="40">
        <f t="shared" si="58"/>
        <v>3.7375625474990612E-2</v>
      </c>
      <c r="AA104" s="40">
        <f t="shared" si="59"/>
        <v>3.9103090889555436E-2</v>
      </c>
      <c r="AB104" s="40">
        <f t="shared" si="60"/>
        <v>0</v>
      </c>
      <c r="AC104" s="40">
        <f t="shared" si="61"/>
        <v>0</v>
      </c>
      <c r="AD104" s="26">
        <v>193.97380504054999</v>
      </c>
      <c r="AE104" s="8">
        <v>202.93908750153</v>
      </c>
      <c r="AF104" s="61">
        <f t="shared" si="72"/>
        <v>-1.4132722400779412</v>
      </c>
      <c r="AG104" s="61">
        <f>(D104*-1)+(H104)</f>
        <v>1.7130304650679151</v>
      </c>
      <c r="AH104" s="74">
        <f>($D104/$AG104)*-1</f>
        <v>0.91250645242374906</v>
      </c>
      <c r="AI104" s="74">
        <f>D104/AG104</f>
        <v>-0.91250645242374906</v>
      </c>
      <c r="AJ104" s="74">
        <f t="shared" si="75"/>
        <v>1.1060511260638086</v>
      </c>
      <c r="AK104" s="74">
        <f>$D104/(AF104)</f>
        <v>1.1060511260638086</v>
      </c>
      <c r="AL104" s="74">
        <f t="shared" si="76"/>
        <v>-1.0287531816907947</v>
      </c>
      <c r="AM104" s="74">
        <f>(F104/(AF104))</f>
        <v>1.2469540484108639</v>
      </c>
      <c r="AN104" s="74">
        <f t="shared" si="77"/>
        <v>0.11624672926704552</v>
      </c>
      <c r="AO104" s="74">
        <f t="shared" si="78"/>
        <v>-0.14090292234705526</v>
      </c>
      <c r="AP104" s="74">
        <f t="shared" si="79"/>
        <v>0</v>
      </c>
      <c r="AQ104" s="74">
        <f t="shared" si="80"/>
        <v>0</v>
      </c>
      <c r="AR104" s="74">
        <f t="shared" si="81"/>
        <v>1.1273927750957569</v>
      </c>
      <c r="AS104" s="74">
        <f t="shared" si="82"/>
        <v>-0.12739277509575675</v>
      </c>
      <c r="AT104" s="74">
        <f t="shared" si="83"/>
        <v>8.7493547576250982E-2</v>
      </c>
      <c r="AU104" s="74">
        <f t="shared" si="84"/>
        <v>-0.10605112606380865</v>
      </c>
      <c r="AV104" s="74">
        <f t="shared" si="85"/>
        <v>4.3215436454667293E-2</v>
      </c>
      <c r="AW104" s="74">
        <f t="shared" si="86"/>
        <v>-5.2381527853380162E-2</v>
      </c>
      <c r="AX104" s="74">
        <f t="shared" si="87"/>
        <v>4.427811112158369E-2</v>
      </c>
      <c r="AY104" s="74">
        <f t="shared" si="88"/>
        <v>-5.3669598210428486E-2</v>
      </c>
      <c r="AZ104" s="74">
        <f t="shared" si="89"/>
        <v>0.4939271255060822</v>
      </c>
      <c r="BA104" s="74">
        <f t="shared" si="90"/>
        <v>0.5060728744939178</v>
      </c>
      <c r="BB104" s="74">
        <f t="shared" si="91"/>
        <v>-6.964021852455044E-3</v>
      </c>
      <c r="BC104" s="74">
        <f t="shared" si="92"/>
        <v>-6.964021852455044E-3</v>
      </c>
      <c r="BD104" s="74">
        <f t="shared" si="93"/>
        <v>-7.2858922357196543E-3</v>
      </c>
      <c r="BE104" s="75">
        <f t="shared" si="94"/>
        <v>8.4411065712266999E-3</v>
      </c>
    </row>
    <row r="105" spans="1:57" x14ac:dyDescent="0.35">
      <c r="A105" s="10" t="s">
        <v>54</v>
      </c>
      <c r="B105" s="12" t="s">
        <v>67</v>
      </c>
      <c r="C105" s="47">
        <f t="shared" si="62"/>
        <v>0</v>
      </c>
      <c r="D105" s="23">
        <f t="shared" si="63"/>
        <v>0</v>
      </c>
      <c r="E105" s="50">
        <f>[1]data!E105-[1]data!E67</f>
        <v>0</v>
      </c>
      <c r="F105" s="36">
        <f>[1]data!F105-[1]data!F67</f>
        <v>0</v>
      </c>
      <c r="G105" s="36">
        <f>[1]data!G105-[1]data!G67</f>
        <v>0</v>
      </c>
      <c r="H105" s="25">
        <f t="shared" si="64"/>
        <v>1.3754229037270846</v>
      </c>
      <c r="I105" s="36">
        <f>[1]data!I105-[1]data!I67</f>
        <v>0.38291283511333063</v>
      </c>
      <c r="J105" s="36">
        <f>[1]data!J105-[1]data!J67</f>
        <v>0.99251006861375402</v>
      </c>
      <c r="K105" s="36">
        <f>[1]data!K105-[1]data!K67</f>
        <v>0</v>
      </c>
      <c r="L105" s="25">
        <f t="shared" si="65"/>
        <v>0</v>
      </c>
      <c r="M105" s="25">
        <f t="shared" si="66"/>
        <v>0</v>
      </c>
      <c r="N105" s="25">
        <f t="shared" si="67"/>
        <v>0</v>
      </c>
      <c r="O105" s="25">
        <f t="shared" si="68"/>
        <v>0</v>
      </c>
      <c r="P105" s="24">
        <f t="shared" si="69"/>
        <v>0</v>
      </c>
      <c r="Q105" s="40">
        <f t="shared" si="51"/>
        <v>0</v>
      </c>
      <c r="R105" s="40">
        <f t="shared" si="52"/>
        <v>0</v>
      </c>
      <c r="S105" s="40">
        <f t="shared" si="53"/>
        <v>0</v>
      </c>
      <c r="T105" s="40">
        <f t="shared" si="54"/>
        <v>0</v>
      </c>
      <c r="U105" s="40">
        <f t="shared" si="55"/>
        <v>0</v>
      </c>
      <c r="V105" s="25">
        <f t="shared" si="70"/>
        <v>0.33526511599412728</v>
      </c>
      <c r="W105" s="25">
        <f t="shared" si="71"/>
        <v>0.41622186130784233</v>
      </c>
      <c r="X105" s="40">
        <f t="shared" si="56"/>
        <v>9.3336613584111092E-2</v>
      </c>
      <c r="Y105" s="40">
        <f t="shared" si="57"/>
        <v>0.11587468299216093</v>
      </c>
      <c r="Z105" s="40">
        <f t="shared" si="58"/>
        <v>0.24192850241001621</v>
      </c>
      <c r="AA105" s="40">
        <f t="shared" si="59"/>
        <v>0.30034717831568142</v>
      </c>
      <c r="AB105" s="40">
        <f t="shared" si="60"/>
        <v>0</v>
      </c>
      <c r="AC105" s="40">
        <f t="shared" si="61"/>
        <v>0</v>
      </c>
      <c r="AD105" s="26">
        <v>330.45426768437</v>
      </c>
      <c r="AE105" s="8">
        <v>410.24933347112</v>
      </c>
      <c r="AF105" s="61">
        <f t="shared" si="72"/>
        <v>1.3754229037270846</v>
      </c>
      <c r="AG105" s="61">
        <f t="shared" si="73"/>
        <v>1.3754229037270846</v>
      </c>
      <c r="AH105" s="74">
        <f t="shared" si="74"/>
        <v>0</v>
      </c>
      <c r="AI105" s="74">
        <f>D105/AG105</f>
        <v>0</v>
      </c>
      <c r="AJ105" s="74">
        <f t="shared" si="75"/>
        <v>0</v>
      </c>
      <c r="AK105" s="74">
        <f>$D105/(AF105)</f>
        <v>0</v>
      </c>
      <c r="AL105" s="74">
        <f t="shared" si="76"/>
        <v>0</v>
      </c>
      <c r="AM105" s="74">
        <f>(F105/(AF105))</f>
        <v>0</v>
      </c>
      <c r="AN105" s="74">
        <f t="shared" si="77"/>
        <v>0</v>
      </c>
      <c r="AO105" s="74">
        <f t="shared" si="78"/>
        <v>0</v>
      </c>
      <c r="AP105" s="74">
        <f t="shared" si="79"/>
        <v>0</v>
      </c>
      <c r="AQ105" s="74">
        <f t="shared" si="80"/>
        <v>0</v>
      </c>
      <c r="AR105" s="74" t="e">
        <f t="shared" si="81"/>
        <v>#DIV/0!</v>
      </c>
      <c r="AS105" s="74" t="e">
        <f t="shared" si="82"/>
        <v>#DIV/0!</v>
      </c>
      <c r="AT105" s="74">
        <f t="shared" si="83"/>
        <v>1</v>
      </c>
      <c r="AU105" s="74">
        <f t="shared" si="84"/>
        <v>1</v>
      </c>
      <c r="AV105" s="74">
        <f t="shared" si="85"/>
        <v>0.27839643652561225</v>
      </c>
      <c r="AW105" s="74">
        <f t="shared" si="86"/>
        <v>0.27839643652561225</v>
      </c>
      <c r="AX105" s="74">
        <f t="shared" si="87"/>
        <v>0.7216035634743877</v>
      </c>
      <c r="AY105" s="74">
        <f t="shared" si="88"/>
        <v>0.7216035634743877</v>
      </c>
      <c r="AZ105" s="74">
        <f t="shared" si="89"/>
        <v>0.27839643652561225</v>
      </c>
      <c r="BA105" s="74">
        <f t="shared" si="90"/>
        <v>0.7216035634743877</v>
      </c>
      <c r="BB105" s="74">
        <f t="shared" si="91"/>
        <v>3.3526511599412732E-3</v>
      </c>
      <c r="BC105" s="74">
        <f t="shared" si="92"/>
        <v>3.3526511599412732E-3</v>
      </c>
      <c r="BD105" s="74">
        <f t="shared" si="93"/>
        <v>4.1622186130784236E-3</v>
      </c>
      <c r="BE105" s="75">
        <f t="shared" si="94"/>
        <v>3.3526511599412732E-3</v>
      </c>
    </row>
    <row r="106" spans="1:57" x14ac:dyDescent="0.35">
      <c r="A106" s="10" t="s">
        <v>55</v>
      </c>
      <c r="B106" s="12" t="s">
        <v>67</v>
      </c>
      <c r="C106" s="47">
        <f t="shared" si="62"/>
        <v>0</v>
      </c>
      <c r="D106" s="23">
        <f t="shared" si="63"/>
        <v>0</v>
      </c>
      <c r="E106" s="50">
        <f>[1]data!E106-[1]data!E68</f>
        <v>0</v>
      </c>
      <c r="F106" s="36">
        <f>[1]data!F106-[1]data!F68</f>
        <v>0</v>
      </c>
      <c r="G106" s="36">
        <f>[1]data!G106-[1]data!G68</f>
        <v>0</v>
      </c>
      <c r="H106" s="25">
        <f t="shared" si="64"/>
        <v>0</v>
      </c>
      <c r="I106" s="36">
        <f>[1]data!I106-[1]data!I68</f>
        <v>0</v>
      </c>
      <c r="J106" s="36">
        <f>[1]data!J106-[1]data!J68</f>
        <v>0</v>
      </c>
      <c r="K106" s="36">
        <f>[1]data!K106-[1]data!K68</f>
        <v>0</v>
      </c>
      <c r="L106" s="25">
        <f t="shared" si="65"/>
        <v>0</v>
      </c>
      <c r="M106" s="25">
        <f t="shared" si="66"/>
        <v>0</v>
      </c>
      <c r="N106" s="25">
        <f t="shared" si="67"/>
        <v>0</v>
      </c>
      <c r="O106" s="25">
        <f t="shared" si="68"/>
        <v>0</v>
      </c>
      <c r="P106" s="24">
        <f t="shared" si="69"/>
        <v>0</v>
      </c>
      <c r="Q106" s="40">
        <f t="shared" si="51"/>
        <v>0</v>
      </c>
      <c r="R106" s="40">
        <f t="shared" si="52"/>
        <v>0</v>
      </c>
      <c r="S106" s="40">
        <f t="shared" si="53"/>
        <v>0</v>
      </c>
      <c r="T106" s="40">
        <f t="shared" si="54"/>
        <v>0</v>
      </c>
      <c r="U106" s="40">
        <f t="shared" si="55"/>
        <v>0</v>
      </c>
      <c r="V106" s="25">
        <f t="shared" si="70"/>
        <v>0</v>
      </c>
      <c r="W106" s="25">
        <f t="shared" si="71"/>
        <v>0</v>
      </c>
      <c r="X106" s="40">
        <f t="shared" si="56"/>
        <v>0</v>
      </c>
      <c r="Y106" s="40">
        <f t="shared" si="57"/>
        <v>0</v>
      </c>
      <c r="Z106" s="40">
        <f t="shared" si="58"/>
        <v>0</v>
      </c>
      <c r="AA106" s="40">
        <f t="shared" si="59"/>
        <v>0</v>
      </c>
      <c r="AB106" s="40">
        <f t="shared" si="60"/>
        <v>0</v>
      </c>
      <c r="AC106" s="40">
        <f t="shared" si="61"/>
        <v>0</v>
      </c>
      <c r="AD106" s="26">
        <v>341.21592570296002</v>
      </c>
      <c r="AE106" s="8">
        <v>222.36238134761999</v>
      </c>
      <c r="AF106" s="61">
        <f t="shared" si="72"/>
        <v>0</v>
      </c>
      <c r="AG106" s="61">
        <f t="shared" si="73"/>
        <v>0</v>
      </c>
      <c r="AH106" s="74">
        <v>0</v>
      </c>
      <c r="AI106" s="74">
        <v>0</v>
      </c>
      <c r="AJ106" s="74">
        <v>0</v>
      </c>
      <c r="AK106" s="74">
        <v>0</v>
      </c>
      <c r="AL106" s="74" t="e">
        <f t="shared" si="76"/>
        <v>#DIV/0!</v>
      </c>
      <c r="AM106" s="74">
        <v>0</v>
      </c>
      <c r="AN106" s="74" t="e">
        <f t="shared" si="77"/>
        <v>#DIV/0!</v>
      </c>
      <c r="AO106" s="74" t="e">
        <f t="shared" si="78"/>
        <v>#DIV/0!</v>
      </c>
      <c r="AP106" s="74" t="e">
        <f t="shared" si="79"/>
        <v>#DIV/0!</v>
      </c>
      <c r="AQ106" s="74" t="e">
        <f t="shared" si="80"/>
        <v>#DIV/0!</v>
      </c>
      <c r="AR106" s="74" t="e">
        <f t="shared" si="81"/>
        <v>#DIV/0!</v>
      </c>
      <c r="AS106" s="74" t="e">
        <f t="shared" si="82"/>
        <v>#DIV/0!</v>
      </c>
      <c r="AT106" s="74" t="e">
        <f t="shared" si="83"/>
        <v>#DIV/0!</v>
      </c>
      <c r="AU106" s="74" t="e">
        <f t="shared" si="84"/>
        <v>#DIV/0!</v>
      </c>
      <c r="AV106" s="74" t="e">
        <f t="shared" si="85"/>
        <v>#DIV/0!</v>
      </c>
      <c r="AW106" s="74" t="e">
        <f t="shared" si="86"/>
        <v>#DIV/0!</v>
      </c>
      <c r="AX106" s="74" t="e">
        <f t="shared" si="87"/>
        <v>#DIV/0!</v>
      </c>
      <c r="AY106" s="74" t="e">
        <f t="shared" si="88"/>
        <v>#DIV/0!</v>
      </c>
      <c r="AZ106" s="74" t="e">
        <f t="shared" si="89"/>
        <v>#DIV/0!</v>
      </c>
      <c r="BA106" s="74" t="e">
        <f t="shared" si="90"/>
        <v>#DIV/0!</v>
      </c>
      <c r="BB106" s="74">
        <f t="shared" si="91"/>
        <v>0</v>
      </c>
      <c r="BC106" s="74">
        <f t="shared" si="92"/>
        <v>0</v>
      </c>
      <c r="BD106" s="74">
        <f t="shared" si="93"/>
        <v>0</v>
      </c>
      <c r="BE106" s="75">
        <f t="shared" si="94"/>
        <v>0</v>
      </c>
    </row>
    <row r="107" spans="1:57" x14ac:dyDescent="0.35">
      <c r="A107" s="10" t="s">
        <v>56</v>
      </c>
      <c r="B107" s="12" t="s">
        <v>67</v>
      </c>
      <c r="C107" s="47">
        <f t="shared" si="62"/>
        <v>0</v>
      </c>
      <c r="D107" s="23">
        <f t="shared" si="63"/>
        <v>0</v>
      </c>
      <c r="E107" s="50">
        <f>[1]data!E107-[1]data!E69</f>
        <v>0</v>
      </c>
      <c r="F107" s="36">
        <f>[1]data!F107-[1]data!F69</f>
        <v>0</v>
      </c>
      <c r="G107" s="36">
        <f>[1]data!G107-[1]data!G69</f>
        <v>0</v>
      </c>
      <c r="H107" s="25">
        <f t="shared" si="64"/>
        <v>0</v>
      </c>
      <c r="I107" s="36">
        <f>[1]data!I107-[1]data!I69</f>
        <v>0</v>
      </c>
      <c r="J107" s="36">
        <f>[1]data!J107-[1]data!J69</f>
        <v>0</v>
      </c>
      <c r="K107" s="36">
        <f>[1]data!K107-[1]data!K69</f>
        <v>0</v>
      </c>
      <c r="L107" s="25">
        <f t="shared" si="65"/>
        <v>0</v>
      </c>
      <c r="M107" s="25">
        <f t="shared" si="66"/>
        <v>0</v>
      </c>
      <c r="N107" s="25">
        <f t="shared" si="67"/>
        <v>0</v>
      </c>
      <c r="O107" s="25">
        <f t="shared" si="68"/>
        <v>0</v>
      </c>
      <c r="P107" s="24">
        <f t="shared" si="69"/>
        <v>0</v>
      </c>
      <c r="Q107" s="40">
        <f t="shared" si="51"/>
        <v>0</v>
      </c>
      <c r="R107" s="40">
        <f t="shared" si="52"/>
        <v>0</v>
      </c>
      <c r="S107" s="40">
        <f t="shared" si="53"/>
        <v>0</v>
      </c>
      <c r="T107" s="40">
        <f t="shared" si="54"/>
        <v>0</v>
      </c>
      <c r="U107" s="40">
        <f t="shared" si="55"/>
        <v>0</v>
      </c>
      <c r="V107" s="25">
        <f t="shared" si="70"/>
        <v>0</v>
      </c>
      <c r="W107" s="25">
        <f t="shared" si="71"/>
        <v>0</v>
      </c>
      <c r="X107" s="40">
        <f t="shared" si="56"/>
        <v>0</v>
      </c>
      <c r="Y107" s="40">
        <f t="shared" si="57"/>
        <v>0</v>
      </c>
      <c r="Z107" s="40">
        <f t="shared" si="58"/>
        <v>0</v>
      </c>
      <c r="AA107" s="40">
        <f t="shared" si="59"/>
        <v>0</v>
      </c>
      <c r="AB107" s="40">
        <f t="shared" si="60"/>
        <v>0</v>
      </c>
      <c r="AC107" s="40">
        <f t="shared" si="61"/>
        <v>0</v>
      </c>
      <c r="AD107" s="26">
        <v>181.71174374815001</v>
      </c>
      <c r="AE107" s="8">
        <v>99.489061173690004</v>
      </c>
      <c r="AF107" s="61">
        <f t="shared" si="72"/>
        <v>0</v>
      </c>
      <c r="AG107" s="61">
        <f t="shared" si="73"/>
        <v>0</v>
      </c>
      <c r="AH107" s="74">
        <v>0</v>
      </c>
      <c r="AI107" s="74">
        <v>0</v>
      </c>
      <c r="AJ107" s="74">
        <v>0</v>
      </c>
      <c r="AK107" s="74">
        <v>0</v>
      </c>
      <c r="AL107" s="74" t="e">
        <f t="shared" si="76"/>
        <v>#DIV/0!</v>
      </c>
      <c r="AM107" s="74">
        <v>0</v>
      </c>
      <c r="AN107" s="74" t="e">
        <f t="shared" si="77"/>
        <v>#DIV/0!</v>
      </c>
      <c r="AO107" s="74" t="e">
        <f t="shared" si="78"/>
        <v>#DIV/0!</v>
      </c>
      <c r="AP107" s="74" t="e">
        <f t="shared" si="79"/>
        <v>#DIV/0!</v>
      </c>
      <c r="AQ107" s="74" t="e">
        <f t="shared" si="80"/>
        <v>#DIV/0!</v>
      </c>
      <c r="AR107" s="74" t="e">
        <f t="shared" si="81"/>
        <v>#DIV/0!</v>
      </c>
      <c r="AS107" s="74" t="e">
        <f t="shared" si="82"/>
        <v>#DIV/0!</v>
      </c>
      <c r="AT107" s="74" t="e">
        <f t="shared" si="83"/>
        <v>#DIV/0!</v>
      </c>
      <c r="AU107" s="74" t="e">
        <f t="shared" si="84"/>
        <v>#DIV/0!</v>
      </c>
      <c r="AV107" s="74" t="e">
        <f t="shared" si="85"/>
        <v>#DIV/0!</v>
      </c>
      <c r="AW107" s="74" t="e">
        <f t="shared" si="86"/>
        <v>#DIV/0!</v>
      </c>
      <c r="AX107" s="74" t="e">
        <f t="shared" si="87"/>
        <v>#DIV/0!</v>
      </c>
      <c r="AY107" s="74" t="e">
        <f t="shared" si="88"/>
        <v>#DIV/0!</v>
      </c>
      <c r="AZ107" s="74" t="e">
        <f t="shared" si="89"/>
        <v>#DIV/0!</v>
      </c>
      <c r="BA107" s="74" t="e">
        <f t="shared" si="90"/>
        <v>#DIV/0!</v>
      </c>
      <c r="BB107" s="74">
        <f t="shared" si="91"/>
        <v>0</v>
      </c>
      <c r="BC107" s="74">
        <f t="shared" si="92"/>
        <v>0</v>
      </c>
      <c r="BD107" s="74">
        <f t="shared" si="93"/>
        <v>0</v>
      </c>
      <c r="BE107" s="75">
        <f t="shared" si="94"/>
        <v>0</v>
      </c>
    </row>
    <row r="108" spans="1:57" x14ac:dyDescent="0.35">
      <c r="A108" s="10" t="s">
        <v>57</v>
      </c>
      <c r="B108" s="12" t="s">
        <v>67</v>
      </c>
      <c r="C108" s="47">
        <f t="shared" si="62"/>
        <v>0</v>
      </c>
      <c r="D108" s="23">
        <f t="shared" si="63"/>
        <v>0</v>
      </c>
      <c r="E108" s="50">
        <f>[1]data!E108-[1]data!E70</f>
        <v>0</v>
      </c>
      <c r="F108" s="36">
        <f>[1]data!F108-[1]data!F70</f>
        <v>0</v>
      </c>
      <c r="G108" s="36">
        <f>[1]data!G108-[1]data!G70</f>
        <v>0</v>
      </c>
      <c r="H108" s="25">
        <f t="shared" si="64"/>
        <v>0</v>
      </c>
      <c r="I108" s="36">
        <f>[1]data!I108-[1]data!I70</f>
        <v>0</v>
      </c>
      <c r="J108" s="36">
        <f>[1]data!J108-[1]data!J70</f>
        <v>0</v>
      </c>
      <c r="K108" s="36">
        <f>[1]data!K108-[1]data!K70</f>
        <v>0</v>
      </c>
      <c r="L108" s="25">
        <f t="shared" si="65"/>
        <v>0</v>
      </c>
      <c r="M108" s="25">
        <f t="shared" si="66"/>
        <v>0</v>
      </c>
      <c r="N108" s="25">
        <f t="shared" si="67"/>
        <v>0</v>
      </c>
      <c r="O108" s="25">
        <f t="shared" si="68"/>
        <v>0</v>
      </c>
      <c r="P108" s="24">
        <f t="shared" si="69"/>
        <v>0</v>
      </c>
      <c r="Q108" s="40">
        <f t="shared" si="51"/>
        <v>0</v>
      </c>
      <c r="R108" s="40">
        <f t="shared" si="52"/>
        <v>0</v>
      </c>
      <c r="S108" s="40">
        <f t="shared" si="53"/>
        <v>0</v>
      </c>
      <c r="T108" s="40">
        <f t="shared" si="54"/>
        <v>0</v>
      </c>
      <c r="U108" s="40">
        <f t="shared" si="55"/>
        <v>0</v>
      </c>
      <c r="V108" s="25">
        <f t="shared" si="70"/>
        <v>0</v>
      </c>
      <c r="W108" s="25">
        <f t="shared" si="71"/>
        <v>0</v>
      </c>
      <c r="X108" s="40">
        <f t="shared" si="56"/>
        <v>0</v>
      </c>
      <c r="Y108" s="40">
        <f t="shared" si="57"/>
        <v>0</v>
      </c>
      <c r="Z108" s="40">
        <f t="shared" si="58"/>
        <v>0</v>
      </c>
      <c r="AA108" s="40">
        <f t="shared" si="59"/>
        <v>0</v>
      </c>
      <c r="AB108" s="40">
        <f t="shared" si="60"/>
        <v>0</v>
      </c>
      <c r="AC108" s="40">
        <f t="shared" si="61"/>
        <v>0</v>
      </c>
      <c r="AD108" s="26">
        <v>76.037366075549997</v>
      </c>
      <c r="AE108" s="8">
        <v>50.417977728389999</v>
      </c>
      <c r="AF108" s="61">
        <f t="shared" si="72"/>
        <v>0</v>
      </c>
      <c r="AG108" s="61">
        <f t="shared" si="73"/>
        <v>0</v>
      </c>
      <c r="AH108" s="74">
        <v>0</v>
      </c>
      <c r="AI108" s="74">
        <v>0</v>
      </c>
      <c r="AJ108" s="74">
        <v>0</v>
      </c>
      <c r="AK108" s="74">
        <v>0</v>
      </c>
      <c r="AL108" s="74" t="e">
        <f t="shared" si="76"/>
        <v>#DIV/0!</v>
      </c>
      <c r="AM108" s="74">
        <v>0</v>
      </c>
      <c r="AN108" s="74" t="e">
        <f t="shared" si="77"/>
        <v>#DIV/0!</v>
      </c>
      <c r="AO108" s="74" t="e">
        <f t="shared" si="78"/>
        <v>#DIV/0!</v>
      </c>
      <c r="AP108" s="74" t="e">
        <f t="shared" si="79"/>
        <v>#DIV/0!</v>
      </c>
      <c r="AQ108" s="74" t="e">
        <f t="shared" si="80"/>
        <v>#DIV/0!</v>
      </c>
      <c r="AR108" s="74" t="e">
        <f t="shared" si="81"/>
        <v>#DIV/0!</v>
      </c>
      <c r="AS108" s="74" t="e">
        <f t="shared" si="82"/>
        <v>#DIV/0!</v>
      </c>
      <c r="AT108" s="74" t="e">
        <f t="shared" si="83"/>
        <v>#DIV/0!</v>
      </c>
      <c r="AU108" s="74" t="e">
        <f t="shared" si="84"/>
        <v>#DIV/0!</v>
      </c>
      <c r="AV108" s="74" t="e">
        <f t="shared" si="85"/>
        <v>#DIV/0!</v>
      </c>
      <c r="AW108" s="74" t="e">
        <f t="shared" si="86"/>
        <v>#DIV/0!</v>
      </c>
      <c r="AX108" s="74" t="e">
        <f t="shared" si="87"/>
        <v>#DIV/0!</v>
      </c>
      <c r="AY108" s="74" t="e">
        <f t="shared" si="88"/>
        <v>#DIV/0!</v>
      </c>
      <c r="AZ108" s="74" t="e">
        <f t="shared" si="89"/>
        <v>#DIV/0!</v>
      </c>
      <c r="BA108" s="74" t="e">
        <f t="shared" si="90"/>
        <v>#DIV/0!</v>
      </c>
      <c r="BB108" s="74">
        <f t="shared" si="91"/>
        <v>0</v>
      </c>
      <c r="BC108" s="74">
        <f t="shared" si="92"/>
        <v>0</v>
      </c>
      <c r="BD108" s="74">
        <f t="shared" si="93"/>
        <v>0</v>
      </c>
      <c r="BE108" s="75">
        <f t="shared" si="94"/>
        <v>0</v>
      </c>
    </row>
    <row r="109" spans="1:57" x14ac:dyDescent="0.35">
      <c r="A109" s="9" t="s">
        <v>58</v>
      </c>
      <c r="B109" s="11" t="s">
        <v>67</v>
      </c>
      <c r="C109" s="47">
        <f t="shared" si="62"/>
        <v>0.8706859438334652</v>
      </c>
      <c r="D109" s="23">
        <f t="shared" si="63"/>
        <v>0.71001324529060439</v>
      </c>
      <c r="E109" s="50">
        <f>[1]data!E109-[1]data!E71</f>
        <v>0.71001324529060439</v>
      </c>
      <c r="F109" s="36">
        <f>[1]data!F109-[1]data!F71</f>
        <v>0</v>
      </c>
      <c r="G109" s="36">
        <f>[1]data!G109-[1]data!G71</f>
        <v>0.16067269854286081</v>
      </c>
      <c r="H109" s="25">
        <f t="shared" si="64"/>
        <v>5.0533623042457538</v>
      </c>
      <c r="I109" s="36">
        <f>[1]data!I109-[1]data!I71</f>
        <v>1.272990789428851</v>
      </c>
      <c r="J109" s="36">
        <f>[1]data!J109-[1]data!J71</f>
        <v>3.7803715148169026</v>
      </c>
      <c r="K109" s="36">
        <f>[1]data!K109-[1]data!K71</f>
        <v>0</v>
      </c>
      <c r="L109" s="25">
        <f t="shared" si="65"/>
        <v>0.15835799239175444</v>
      </c>
      <c r="M109" s="25">
        <f t="shared" si="66"/>
        <v>0.12913527879035097</v>
      </c>
      <c r="N109" s="25">
        <f t="shared" si="67"/>
        <v>0.16711678292675006</v>
      </c>
      <c r="O109" s="25">
        <f t="shared" si="68"/>
        <v>0.13627775919515966</v>
      </c>
      <c r="P109" s="24">
        <f t="shared" si="69"/>
        <v>0.12913527879035097</v>
      </c>
      <c r="Q109" s="40">
        <f t="shared" si="51"/>
        <v>0.13627775919515966</v>
      </c>
      <c r="R109" s="40">
        <f t="shared" si="52"/>
        <v>0</v>
      </c>
      <c r="S109" s="40">
        <f t="shared" si="53"/>
        <v>0</v>
      </c>
      <c r="T109" s="40">
        <f t="shared" si="54"/>
        <v>2.9222713601403456E-2</v>
      </c>
      <c r="U109" s="40">
        <f t="shared" si="55"/>
        <v>3.0839023731590403E-2</v>
      </c>
      <c r="V109" s="25">
        <f t="shared" si="70"/>
        <v>0.91909179767531479</v>
      </c>
      <c r="W109" s="25">
        <f t="shared" si="71"/>
        <v>0.96992682290319099</v>
      </c>
      <c r="X109" s="40">
        <f t="shared" si="56"/>
        <v>0.23152810399073692</v>
      </c>
      <c r="Y109" s="40">
        <f t="shared" si="57"/>
        <v>0.24433393800764469</v>
      </c>
      <c r="Z109" s="40">
        <f t="shared" si="58"/>
        <v>0.68756369368457793</v>
      </c>
      <c r="AA109" s="40">
        <f t="shared" si="59"/>
        <v>0.7255928848955463</v>
      </c>
      <c r="AB109" s="40">
        <f t="shared" si="60"/>
        <v>0</v>
      </c>
      <c r="AC109" s="40">
        <f t="shared" si="61"/>
        <v>0</v>
      </c>
      <c r="AD109" s="26">
        <v>521.00449074291998</v>
      </c>
      <c r="AE109" s="8">
        <v>549.82128194673999</v>
      </c>
      <c r="AF109" s="61">
        <f t="shared" si="72"/>
        <v>5.7633755495363586</v>
      </c>
      <c r="AG109" s="61">
        <f t="shared" si="73"/>
        <v>5.7633755495363586</v>
      </c>
      <c r="AH109" s="74">
        <f t="shared" si="74"/>
        <v>0.12319399268501985</v>
      </c>
      <c r="AI109" s="74">
        <f>D109/AG109</f>
        <v>0.12319399268501985</v>
      </c>
      <c r="AJ109" s="74">
        <f t="shared" si="75"/>
        <v>0.12319399268501985</v>
      </c>
      <c r="AK109" s="74">
        <f>$D109/(AF109)</f>
        <v>0.12319399268501985</v>
      </c>
      <c r="AL109" s="74">
        <f t="shared" si="76"/>
        <v>0</v>
      </c>
      <c r="AM109" s="74">
        <f>(F109/(AF109))</f>
        <v>0</v>
      </c>
      <c r="AN109" s="74">
        <f t="shared" si="77"/>
        <v>0.12319399268501985</v>
      </c>
      <c r="AO109" s="74">
        <f t="shared" si="78"/>
        <v>0.12319399268501985</v>
      </c>
      <c r="AP109" s="74">
        <f t="shared" si="79"/>
        <v>2.7878228160194474E-2</v>
      </c>
      <c r="AQ109" s="74">
        <f t="shared" si="80"/>
        <v>2.7878228160194474E-2</v>
      </c>
      <c r="AR109" s="74">
        <f t="shared" si="81"/>
        <v>0</v>
      </c>
      <c r="AS109" s="74">
        <f t="shared" si="82"/>
        <v>1</v>
      </c>
      <c r="AT109" s="74">
        <f t="shared" si="83"/>
        <v>0.87680600731498015</v>
      </c>
      <c r="AU109" s="74">
        <f t="shared" si="84"/>
        <v>0.87680600731498015</v>
      </c>
      <c r="AV109" s="74">
        <f t="shared" si="85"/>
        <v>0.22087590483865974</v>
      </c>
      <c r="AW109" s="74">
        <f t="shared" si="86"/>
        <v>0.22087590483865974</v>
      </c>
      <c r="AX109" s="74">
        <f t="shared" si="87"/>
        <v>0.65593010247632033</v>
      </c>
      <c r="AY109" s="74">
        <f t="shared" si="88"/>
        <v>0.65593010247632033</v>
      </c>
      <c r="AZ109" s="74">
        <f t="shared" si="89"/>
        <v>0.25190966188181374</v>
      </c>
      <c r="BA109" s="74">
        <f t="shared" si="90"/>
        <v>0.74809033811818626</v>
      </c>
      <c r="BB109" s="74">
        <f t="shared" si="91"/>
        <v>1.0774497900670693E-2</v>
      </c>
      <c r="BC109" s="74">
        <f t="shared" si="92"/>
        <v>1.0482270764656659E-2</v>
      </c>
      <c r="BD109" s="74">
        <f t="shared" si="93"/>
        <v>1.1062045820983508E-2</v>
      </c>
      <c r="BE109" s="75">
        <f t="shared" si="94"/>
        <v>1.0482270764656659E-2</v>
      </c>
    </row>
    <row r="110" spans="1:57" x14ac:dyDescent="0.35">
      <c r="A110" s="9" t="s">
        <v>59</v>
      </c>
      <c r="B110" s="11" t="s">
        <v>67</v>
      </c>
      <c r="C110" s="47">
        <f t="shared" si="62"/>
        <v>1.8004263575689254</v>
      </c>
      <c r="D110" s="23">
        <f t="shared" si="63"/>
        <v>1.8004263575689254</v>
      </c>
      <c r="E110" s="50">
        <f>[1]data!E110-[1]data!E72</f>
        <v>7.9844312796973682E-2</v>
      </c>
      <c r="F110" s="36">
        <f>[1]data!F110-[1]data!F72</f>
        <v>1.7205820447719518</v>
      </c>
      <c r="G110" s="36">
        <f>[1]data!G110-[1]data!G72</f>
        <v>0</v>
      </c>
      <c r="H110" s="25">
        <f t="shared" si="64"/>
        <v>2.2594733452900289</v>
      </c>
      <c r="I110" s="36">
        <f>[1]data!I110-[1]data!I72</f>
        <v>1.014811784017208</v>
      </c>
      <c r="J110" s="36">
        <f>[1]data!J110-[1]data!J72</f>
        <v>1.2446615612728209</v>
      </c>
      <c r="K110" s="36">
        <f>[1]data!K110-[1]data!K72</f>
        <v>0</v>
      </c>
      <c r="L110" s="25">
        <f t="shared" si="65"/>
        <v>0.2409855149615818</v>
      </c>
      <c r="M110" s="25">
        <f t="shared" si="66"/>
        <v>0.2409855149615818</v>
      </c>
      <c r="N110" s="25">
        <f t="shared" si="67"/>
        <v>0.30473646432983231</v>
      </c>
      <c r="O110" s="25">
        <f t="shared" si="68"/>
        <v>0.30473646432983231</v>
      </c>
      <c r="P110" s="24">
        <f t="shared" si="69"/>
        <v>1.0687092396332965E-2</v>
      </c>
      <c r="Q110" s="40">
        <f t="shared" si="51"/>
        <v>1.3514284256229829E-2</v>
      </c>
      <c r="R110" s="40">
        <f t="shared" si="52"/>
        <v>0.23029842256524882</v>
      </c>
      <c r="S110" s="40">
        <f t="shared" si="53"/>
        <v>0.29122218007360251</v>
      </c>
      <c r="T110" s="40">
        <f t="shared" si="54"/>
        <v>0</v>
      </c>
      <c r="U110" s="40">
        <f t="shared" si="55"/>
        <v>0</v>
      </c>
      <c r="V110" s="25">
        <f t="shared" si="70"/>
        <v>0.30242855830655124</v>
      </c>
      <c r="W110" s="25">
        <f t="shared" si="71"/>
        <v>0.38243381385557307</v>
      </c>
      <c r="X110" s="40">
        <f t="shared" si="56"/>
        <v>0.13583168194154041</v>
      </c>
      <c r="Y110" s="40">
        <f t="shared" si="57"/>
        <v>0.17176495651798102</v>
      </c>
      <c r="Z110" s="40">
        <f t="shared" si="58"/>
        <v>0.16659687636501086</v>
      </c>
      <c r="AA110" s="40">
        <f t="shared" si="59"/>
        <v>0.21066885733759202</v>
      </c>
      <c r="AB110" s="40">
        <f t="shared" si="60"/>
        <v>0</v>
      </c>
      <c r="AC110" s="40">
        <f t="shared" si="61"/>
        <v>0</v>
      </c>
      <c r="AD110" s="26">
        <v>590.81421763174001</v>
      </c>
      <c r="AE110" s="8">
        <v>747.10978286638999</v>
      </c>
      <c r="AF110" s="61">
        <f t="shared" si="72"/>
        <v>4.0598997028589547</v>
      </c>
      <c r="AG110" s="61">
        <f t="shared" si="73"/>
        <v>4.0598997028589547</v>
      </c>
      <c r="AH110" s="74">
        <f t="shared" si="74"/>
        <v>0.44346572313130717</v>
      </c>
      <c r="AI110" s="74">
        <f>D110/AG110</f>
        <v>0.44346572313130717</v>
      </c>
      <c r="AJ110" s="74">
        <f t="shared" si="75"/>
        <v>0.44346572313130717</v>
      </c>
      <c r="AK110" s="74">
        <f>$D110/(AF110)</f>
        <v>0.44346572313130717</v>
      </c>
      <c r="AL110" s="74">
        <f t="shared" si="76"/>
        <v>0.42379915039781135</v>
      </c>
      <c r="AM110" s="74">
        <f>(F110/(AF110))</f>
        <v>0.42379915039781135</v>
      </c>
      <c r="AN110" s="74">
        <f t="shared" si="77"/>
        <v>1.9666572733495816E-2</v>
      </c>
      <c r="AO110" s="74">
        <f t="shared" si="78"/>
        <v>1.9666572733495816E-2</v>
      </c>
      <c r="AP110" s="74">
        <f t="shared" si="79"/>
        <v>0</v>
      </c>
      <c r="AQ110" s="74">
        <f t="shared" si="80"/>
        <v>0</v>
      </c>
      <c r="AR110" s="74">
        <f t="shared" si="81"/>
        <v>0.95565255281821937</v>
      </c>
      <c r="AS110" s="74">
        <f t="shared" si="82"/>
        <v>4.4347447181780672E-2</v>
      </c>
      <c r="AT110" s="74">
        <f t="shared" si="83"/>
        <v>0.55653427686869272</v>
      </c>
      <c r="AU110" s="74">
        <f t="shared" si="84"/>
        <v>0.55653427686869272</v>
      </c>
      <c r="AV110" s="74">
        <f t="shared" si="85"/>
        <v>0.24995981632319245</v>
      </c>
      <c r="AW110" s="74">
        <f t="shared" si="86"/>
        <v>0.24995981632319245</v>
      </c>
      <c r="AX110" s="74">
        <f t="shared" si="87"/>
        <v>0.30657446054550025</v>
      </c>
      <c r="AY110" s="74">
        <f t="shared" si="88"/>
        <v>0.30657446054550025</v>
      </c>
      <c r="AZ110" s="74">
        <f t="shared" si="89"/>
        <v>0.44913642647417262</v>
      </c>
      <c r="BA110" s="74">
        <f t="shared" si="90"/>
        <v>0.55086357352582738</v>
      </c>
      <c r="BB110" s="74">
        <f t="shared" si="91"/>
        <v>5.434140732681331E-3</v>
      </c>
      <c r="BC110" s="74">
        <f t="shared" si="92"/>
        <v>5.434140732681331E-3</v>
      </c>
      <c r="BD110" s="74">
        <f t="shared" si="93"/>
        <v>6.871702781854055E-3</v>
      </c>
      <c r="BE110" s="75">
        <f t="shared" si="94"/>
        <v>5.434140732681331E-3</v>
      </c>
    </row>
    <row r="111" spans="1:57" x14ac:dyDescent="0.35">
      <c r="A111" s="7" t="s">
        <v>60</v>
      </c>
      <c r="B111" s="11" t="s">
        <v>67</v>
      </c>
      <c r="C111" s="47">
        <f t="shared" si="62"/>
        <v>4.192131820042615</v>
      </c>
      <c r="D111" s="23">
        <f t="shared" si="63"/>
        <v>2.3892134593666929</v>
      </c>
      <c r="E111" s="50">
        <f>[1]data!E111-[1]data!E73</f>
        <v>2.5366516631069258E-2</v>
      </c>
      <c r="F111" s="36">
        <f>[1]data!F111-[1]data!F73</f>
        <v>2.3638469427356235</v>
      </c>
      <c r="G111" s="36">
        <f>[1]data!G111-[1]data!G73</f>
        <v>1.8029183606759216</v>
      </c>
      <c r="H111" s="25">
        <f t="shared" si="64"/>
        <v>-5.5944951681043253</v>
      </c>
      <c r="I111" s="36">
        <f>[1]data!I111-[1]data!I73</f>
        <v>-2.582074692971227</v>
      </c>
      <c r="J111" s="36">
        <f>[1]data!J111-[1]data!J73</f>
        <v>-3.0124204751330983</v>
      </c>
      <c r="K111" s="36">
        <f>[1]data!K111-[1]data!K73</f>
        <v>5.6145524312524948</v>
      </c>
      <c r="L111" s="25">
        <f t="shared" si="65"/>
        <v>1.600297947507987</v>
      </c>
      <c r="M111" s="25">
        <f t="shared" si="66"/>
        <v>0.91205466796225632</v>
      </c>
      <c r="N111" s="25">
        <f t="shared" si="67"/>
        <v>0.94997493419030743</v>
      </c>
      <c r="O111" s="25">
        <f t="shared" si="68"/>
        <v>0.5414173495158362</v>
      </c>
      <c r="P111" s="24">
        <f t="shared" si="69"/>
        <v>9.6833750088790634E-3</v>
      </c>
      <c r="Q111" s="40">
        <f t="shared" si="51"/>
        <v>5.7482817816049492E-3</v>
      </c>
      <c r="R111" s="40">
        <f t="shared" si="52"/>
        <v>0.90237129295337726</v>
      </c>
      <c r="S111" s="40">
        <f t="shared" si="53"/>
        <v>0.53566906773423129</v>
      </c>
      <c r="T111" s="40">
        <f t="shared" si="54"/>
        <v>0.68824327954573072</v>
      </c>
      <c r="U111" s="40">
        <f t="shared" si="55"/>
        <v>0.40855758467447129</v>
      </c>
      <c r="V111" s="25">
        <f t="shared" si="70"/>
        <v>-2.1356339731630136</v>
      </c>
      <c r="W111" s="25">
        <f t="shared" si="71"/>
        <v>-1.2677631351520513</v>
      </c>
      <c r="X111" s="40">
        <f t="shared" si="56"/>
        <v>-0.98567721838292932</v>
      </c>
      <c r="Y111" s="40">
        <f t="shared" si="57"/>
        <v>-0.58512144699325441</v>
      </c>
      <c r="Z111" s="40">
        <f t="shared" si="58"/>
        <v>-1.1499567547800842</v>
      </c>
      <c r="AA111" s="40">
        <f t="shared" si="59"/>
        <v>-0.68264168815879689</v>
      </c>
      <c r="AB111" s="40">
        <f t="shared" si="60"/>
        <v>2.1432906019205311</v>
      </c>
      <c r="AC111" s="40">
        <f t="shared" si="61"/>
        <v>1.2723082921407038</v>
      </c>
      <c r="AD111" s="26">
        <v>441.28867711817003</v>
      </c>
      <c r="AE111" s="8">
        <v>261.95945739796002</v>
      </c>
      <c r="AF111" s="61">
        <f t="shared" si="72"/>
        <v>-3.2052817087376324</v>
      </c>
      <c r="AG111" s="61">
        <f>(D111)+(H111*-1)</f>
        <v>7.9837086274710183</v>
      </c>
      <c r="AH111" s="74">
        <f t="shared" si="74"/>
        <v>0.29926110418730534</v>
      </c>
      <c r="AI111" s="74">
        <f>D111/AG111</f>
        <v>0.29926110418730534</v>
      </c>
      <c r="AJ111" s="74">
        <f>(($D111)/(AF111))*-1</f>
        <v>0.74539889983887264</v>
      </c>
      <c r="AK111" s="74">
        <f>$D111/(AF111)</f>
        <v>-0.74539889983887264</v>
      </c>
      <c r="AL111" s="74">
        <f t="shared" si="76"/>
        <v>0.29608381931699002</v>
      </c>
      <c r="AM111" s="74">
        <f>(F111/(AF111))</f>
        <v>-0.73748492567494184</v>
      </c>
      <c r="AN111" s="74">
        <f t="shared" si="77"/>
        <v>3.1772848703152828E-3</v>
      </c>
      <c r="AO111" s="74">
        <f t="shared" si="78"/>
        <v>-7.9139741639306961E-3</v>
      </c>
      <c r="AP111" s="74">
        <f t="shared" si="79"/>
        <v>0.22582466931123812</v>
      </c>
      <c r="AQ111" s="74">
        <f t="shared" si="80"/>
        <v>-0.56248358943338639</v>
      </c>
      <c r="AR111" s="74">
        <f t="shared" si="81"/>
        <v>0.98938290066480983</v>
      </c>
      <c r="AS111" s="74">
        <f t="shared" si="82"/>
        <v>1.0617099335190059E-2</v>
      </c>
      <c r="AT111" s="74">
        <f t="shared" si="83"/>
        <v>-0.70073889581269466</v>
      </c>
      <c r="AU111" s="74">
        <f t="shared" si="84"/>
        <v>1.7453988998388725</v>
      </c>
      <c r="AV111" s="74">
        <f t="shared" si="85"/>
        <v>-0.32341795191355138</v>
      </c>
      <c r="AW111" s="74">
        <f t="shared" si="86"/>
        <v>0.80556872300255655</v>
      </c>
      <c r="AX111" s="74">
        <f t="shared" si="87"/>
        <v>-0.37732094389914328</v>
      </c>
      <c r="AY111" s="74">
        <f t="shared" si="88"/>
        <v>0.93983017683631609</v>
      </c>
      <c r="AZ111" s="74">
        <f t="shared" si="89"/>
        <v>0.46153846153846151</v>
      </c>
      <c r="BA111" s="74">
        <f t="shared" si="90"/>
        <v>0.53846153846153844</v>
      </c>
      <c r="BB111" s="74">
        <f t="shared" si="91"/>
        <v>-5.3533602565502625E-3</v>
      </c>
      <c r="BC111" s="74">
        <f t="shared" si="92"/>
        <v>-1.223579305200757E-2</v>
      </c>
      <c r="BD111" s="74">
        <f t="shared" si="93"/>
        <v>-7.2634578563621505E-3</v>
      </c>
      <c r="BE111" s="75">
        <f t="shared" si="94"/>
        <v>3.04768864112527E-2</v>
      </c>
    </row>
    <row r="112" spans="1:57" x14ac:dyDescent="0.35">
      <c r="A112" s="7" t="s">
        <v>61</v>
      </c>
      <c r="B112" s="11" t="s">
        <v>67</v>
      </c>
      <c r="C112" s="47">
        <f t="shared" si="62"/>
        <v>3.2258738534714397</v>
      </c>
      <c r="D112" s="23">
        <f t="shared" si="63"/>
        <v>3.2258738534714397</v>
      </c>
      <c r="E112" s="50">
        <f>[1]data!E112-[1]data!E74</f>
        <v>0.45292015012499087</v>
      </c>
      <c r="F112" s="36">
        <f>[1]data!F112-[1]data!F74</f>
        <v>2.7729537033464489</v>
      </c>
      <c r="G112" s="36">
        <f>[1]data!G112-[1]data!G74</f>
        <v>0</v>
      </c>
      <c r="H112" s="25">
        <f t="shared" si="64"/>
        <v>5.9276318719664545</v>
      </c>
      <c r="I112" s="36">
        <f>[1]data!I112-[1]data!I74</f>
        <v>-6.620410547070632E-2</v>
      </c>
      <c r="J112" s="36">
        <f>[1]data!J112-[1]data!J74</f>
        <v>5.9938359774371612</v>
      </c>
      <c r="K112" s="36">
        <f>[1]data!K112-[1]data!K74</f>
        <v>0</v>
      </c>
      <c r="L112" s="25">
        <f t="shared" si="65"/>
        <v>1.0036769073955694</v>
      </c>
      <c r="M112" s="25">
        <f t="shared" si="66"/>
        <v>1.0036769073955694</v>
      </c>
      <c r="N112" s="25">
        <f t="shared" si="67"/>
        <v>0.46720030176171912</v>
      </c>
      <c r="O112" s="25">
        <f t="shared" si="68"/>
        <v>0.46720030176171912</v>
      </c>
      <c r="P112" s="24">
        <f t="shared" si="69"/>
        <v>0.14091855919455673</v>
      </c>
      <c r="Q112" s="40">
        <f t="shared" si="51"/>
        <v>6.5596002951152685E-2</v>
      </c>
      <c r="R112" s="40">
        <f t="shared" si="52"/>
        <v>0.86275834820101271</v>
      </c>
      <c r="S112" s="40">
        <f t="shared" si="53"/>
        <v>0.40160429881056642</v>
      </c>
      <c r="T112" s="40">
        <f t="shared" si="54"/>
        <v>0</v>
      </c>
      <c r="U112" s="40">
        <f t="shared" si="55"/>
        <v>0</v>
      </c>
      <c r="V112" s="25">
        <f t="shared" si="70"/>
        <v>1.8442839043542825</v>
      </c>
      <c r="W112" s="25">
        <f t="shared" si="71"/>
        <v>0.85849339593205221</v>
      </c>
      <c r="X112" s="40">
        <f t="shared" si="56"/>
        <v>-2.0598304476234508E-2</v>
      </c>
      <c r="Y112" s="40">
        <f t="shared" si="57"/>
        <v>-9.5882788536487684E-3</v>
      </c>
      <c r="Z112" s="40">
        <f t="shared" si="58"/>
        <v>1.864882208830517</v>
      </c>
      <c r="AA112" s="40">
        <f t="shared" si="59"/>
        <v>0.86808167478570097</v>
      </c>
      <c r="AB112" s="40">
        <f t="shared" si="60"/>
        <v>0</v>
      </c>
      <c r="AC112" s="40">
        <f t="shared" si="61"/>
        <v>0</v>
      </c>
      <c r="AD112" s="26">
        <v>690.46912883131995</v>
      </c>
      <c r="AE112" s="8">
        <v>321.40560669490998</v>
      </c>
      <c r="AF112" s="61">
        <f t="shared" si="72"/>
        <v>9.1535057254378938</v>
      </c>
      <c r="AG112" s="61">
        <f t="shared" si="73"/>
        <v>9.1535057254378938</v>
      </c>
      <c r="AH112" s="74">
        <f t="shared" si="74"/>
        <v>0.35241949371448256</v>
      </c>
      <c r="AI112" s="74">
        <f>D112/AG112</f>
        <v>0.35241949371448256</v>
      </c>
      <c r="AJ112" s="74">
        <f t="shared" si="75"/>
        <v>0.35241949371448256</v>
      </c>
      <c r="AK112" s="74">
        <f>$D112/(AF112)</f>
        <v>0.35241949371448256</v>
      </c>
      <c r="AL112" s="74">
        <f t="shared" si="76"/>
        <v>0.30293898168876643</v>
      </c>
      <c r="AM112" s="74">
        <f>(F112/(AF112))</f>
        <v>0.30293898168876643</v>
      </c>
      <c r="AN112" s="74">
        <f t="shared" si="77"/>
        <v>4.94805120257161E-2</v>
      </c>
      <c r="AO112" s="74">
        <f t="shared" si="78"/>
        <v>4.94805120257161E-2</v>
      </c>
      <c r="AP112" s="74">
        <f t="shared" si="79"/>
        <v>0</v>
      </c>
      <c r="AQ112" s="74">
        <f t="shared" si="80"/>
        <v>0</v>
      </c>
      <c r="AR112" s="74">
        <f t="shared" si="81"/>
        <v>0.85959768710807072</v>
      </c>
      <c r="AS112" s="74">
        <f t="shared" si="82"/>
        <v>0.14040231289192934</v>
      </c>
      <c r="AT112" s="74">
        <f t="shared" si="83"/>
        <v>0.64758050628551755</v>
      </c>
      <c r="AU112" s="74">
        <f t="shared" si="84"/>
        <v>0.64758050628551755</v>
      </c>
      <c r="AV112" s="74">
        <f t="shared" si="85"/>
        <v>-7.2326502496986404E-3</v>
      </c>
      <c r="AW112" s="74">
        <f t="shared" si="86"/>
        <v>-7.2326502496986404E-3</v>
      </c>
      <c r="AX112" s="74">
        <f t="shared" si="87"/>
        <v>0.65481315653521621</v>
      </c>
      <c r="AY112" s="74">
        <f t="shared" si="88"/>
        <v>0.65481315653521621</v>
      </c>
      <c r="AZ112" s="74">
        <f t="shared" si="89"/>
        <v>-1.1168727562824094E-2</v>
      </c>
      <c r="BA112" s="74">
        <f t="shared" si="90"/>
        <v>1.0111687275628243</v>
      </c>
      <c r="BB112" s="74">
        <f t="shared" si="91"/>
        <v>2.8479608117498518E-2</v>
      </c>
      <c r="BC112" s="74">
        <f t="shared" si="92"/>
        <v>2.8479608117498518E-2</v>
      </c>
      <c r="BD112" s="74">
        <f t="shared" si="93"/>
        <v>1.3256936976937712E-2</v>
      </c>
      <c r="BE112" s="75">
        <f t="shared" si="94"/>
        <v>2.8479608117498518E-2</v>
      </c>
    </row>
    <row r="113" spans="1:57" x14ac:dyDescent="0.35">
      <c r="A113" s="13" t="s">
        <v>62</v>
      </c>
      <c r="B113" s="12" t="s">
        <v>67</v>
      </c>
      <c r="C113" s="47">
        <f t="shared" si="62"/>
        <v>6.3692384436993293E-2</v>
      </c>
      <c r="D113" s="23">
        <f t="shared" si="63"/>
        <v>6.3692384436993293E-2</v>
      </c>
      <c r="E113" s="50">
        <f>[1]data!E113-[1]data!E75</f>
        <v>2.6529165639306157E-2</v>
      </c>
      <c r="F113" s="36">
        <f>[1]data!F113-[1]data!F75</f>
        <v>3.7163218797687136E-2</v>
      </c>
      <c r="G113" s="36">
        <f>[1]data!G113-[1]data!G75</f>
        <v>0</v>
      </c>
      <c r="H113" s="25">
        <f t="shared" si="64"/>
        <v>0</v>
      </c>
      <c r="I113" s="36">
        <f>[1]data!I113-[1]data!I75</f>
        <v>0</v>
      </c>
      <c r="J113" s="36">
        <f>[1]data!J113-[1]data!J75</f>
        <v>0</v>
      </c>
      <c r="K113" s="36">
        <f>[1]data!K113-[1]data!K75</f>
        <v>0</v>
      </c>
      <c r="L113" s="25">
        <f t="shared" si="65"/>
        <v>9.8928109623370244E-2</v>
      </c>
      <c r="M113" s="25">
        <f t="shared" si="66"/>
        <v>9.8928109623370244E-2</v>
      </c>
      <c r="N113" s="25">
        <f t="shared" si="67"/>
        <v>6.9812506237616326E-2</v>
      </c>
      <c r="O113" s="25">
        <f t="shared" si="68"/>
        <v>6.9812506237616326E-2</v>
      </c>
      <c r="P113" s="24">
        <f t="shared" si="69"/>
        <v>4.120555745841252E-2</v>
      </c>
      <c r="Q113" s="40">
        <f t="shared" si="51"/>
        <v>2.9078320085581769E-2</v>
      </c>
      <c r="R113" s="40">
        <f t="shared" si="52"/>
        <v>5.7722552164957724E-2</v>
      </c>
      <c r="S113" s="40">
        <f t="shared" si="53"/>
        <v>4.0734186152034557E-2</v>
      </c>
      <c r="T113" s="40">
        <f t="shared" si="54"/>
        <v>0</v>
      </c>
      <c r="U113" s="40">
        <f t="shared" si="55"/>
        <v>0</v>
      </c>
      <c r="V113" s="25">
        <f t="shared" si="70"/>
        <v>0</v>
      </c>
      <c r="W113" s="25">
        <f t="shared" si="71"/>
        <v>0</v>
      </c>
      <c r="X113" s="40">
        <f t="shared" si="56"/>
        <v>0</v>
      </c>
      <c r="Y113" s="40">
        <f t="shared" si="57"/>
        <v>0</v>
      </c>
      <c r="Z113" s="40">
        <f t="shared" si="58"/>
        <v>0</v>
      </c>
      <c r="AA113" s="40">
        <f t="shared" si="59"/>
        <v>0</v>
      </c>
      <c r="AB113" s="40">
        <f t="shared" si="60"/>
        <v>0</v>
      </c>
      <c r="AC113" s="40">
        <f t="shared" si="61"/>
        <v>0</v>
      </c>
      <c r="AD113" s="26">
        <v>91.233487908610002</v>
      </c>
      <c r="AE113" s="8">
        <v>64.38249419652</v>
      </c>
      <c r="AF113" s="61">
        <f t="shared" si="72"/>
        <v>6.3692384436993293E-2</v>
      </c>
      <c r="AG113" s="61">
        <f t="shared" si="73"/>
        <v>6.3692384436993293E-2</v>
      </c>
      <c r="AH113" s="74">
        <f t="shared" si="74"/>
        <v>1</v>
      </c>
      <c r="AI113" s="74">
        <f>D113/AG113</f>
        <v>1</v>
      </c>
      <c r="AJ113" s="74">
        <f t="shared" si="75"/>
        <v>1</v>
      </c>
      <c r="AK113" s="74">
        <f>$D113/(AF113)</f>
        <v>1</v>
      </c>
      <c r="AL113" s="74">
        <f t="shared" si="76"/>
        <v>0.58347978531798061</v>
      </c>
      <c r="AM113" s="74">
        <f>(F113/(AF113))</f>
        <v>0.58347978531798061</v>
      </c>
      <c r="AN113" s="74">
        <f t="shared" si="77"/>
        <v>0.41652021468201939</v>
      </c>
      <c r="AO113" s="74">
        <f t="shared" si="78"/>
        <v>0.41652021468201939</v>
      </c>
      <c r="AP113" s="74">
        <f t="shared" si="79"/>
        <v>0</v>
      </c>
      <c r="AQ113" s="74">
        <f t="shared" si="80"/>
        <v>0</v>
      </c>
      <c r="AR113" s="74">
        <f t="shared" si="81"/>
        <v>0.58347978531798061</v>
      </c>
      <c r="AS113" s="74">
        <f t="shared" si="82"/>
        <v>0.41652021468201939</v>
      </c>
      <c r="AT113" s="74">
        <f t="shared" si="83"/>
        <v>0</v>
      </c>
      <c r="AU113" s="74">
        <f t="shared" si="84"/>
        <v>0</v>
      </c>
      <c r="AV113" s="74">
        <f t="shared" si="85"/>
        <v>0</v>
      </c>
      <c r="AW113" s="74">
        <f t="shared" si="86"/>
        <v>0</v>
      </c>
      <c r="AX113" s="74">
        <f t="shared" si="87"/>
        <v>0</v>
      </c>
      <c r="AY113" s="74">
        <f t="shared" si="88"/>
        <v>0</v>
      </c>
      <c r="AZ113" s="74" t="e">
        <f t="shared" si="89"/>
        <v>#DIV/0!</v>
      </c>
      <c r="BA113" s="74" t="e">
        <f t="shared" si="90"/>
        <v>#DIV/0!</v>
      </c>
      <c r="BB113" s="74">
        <f t="shared" si="91"/>
        <v>9.8928109623370249E-4</v>
      </c>
      <c r="BC113" s="74">
        <f t="shared" si="92"/>
        <v>9.8928109623370249E-4</v>
      </c>
      <c r="BD113" s="74">
        <f t="shared" si="93"/>
        <v>6.9812506237616322E-4</v>
      </c>
      <c r="BE113" s="75">
        <f t="shared" si="94"/>
        <v>9.8928109623370249E-4</v>
      </c>
    </row>
    <row r="114" spans="1:57" x14ac:dyDescent="0.35">
      <c r="A114" s="13" t="s">
        <v>63</v>
      </c>
      <c r="B114" s="12" t="s">
        <v>67</v>
      </c>
      <c r="C114" s="47">
        <f t="shared" si="62"/>
        <v>0</v>
      </c>
      <c r="D114" s="23">
        <f t="shared" si="63"/>
        <v>0</v>
      </c>
      <c r="E114" s="50">
        <f>[1]data!E114-[1]data!E76</f>
        <v>0</v>
      </c>
      <c r="F114" s="36">
        <f>[1]data!F114-[1]data!F76</f>
        <v>0</v>
      </c>
      <c r="G114" s="36">
        <f>[1]data!G114-[1]data!G76</f>
        <v>0</v>
      </c>
      <c r="H114" s="25">
        <f t="shared" si="64"/>
        <v>0</v>
      </c>
      <c r="I114" s="36">
        <f>[1]data!I114-[1]data!I76</f>
        <v>0</v>
      </c>
      <c r="J114" s="36">
        <f>[1]data!J114-[1]data!J76</f>
        <v>0</v>
      </c>
      <c r="K114" s="36">
        <f>[1]data!K114-[1]data!K76</f>
        <v>0</v>
      </c>
      <c r="L114" s="25">
        <f t="shared" si="65"/>
        <v>0</v>
      </c>
      <c r="M114" s="25">
        <f t="shared" si="66"/>
        <v>0</v>
      </c>
      <c r="N114" s="25">
        <f t="shared" si="67"/>
        <v>0</v>
      </c>
      <c r="O114" s="25">
        <f t="shared" si="68"/>
        <v>0</v>
      </c>
      <c r="P114" s="24">
        <f t="shared" si="69"/>
        <v>0</v>
      </c>
      <c r="Q114" s="40">
        <f t="shared" si="51"/>
        <v>0</v>
      </c>
      <c r="R114" s="40">
        <f t="shared" si="52"/>
        <v>0</v>
      </c>
      <c r="S114" s="40">
        <f t="shared" si="53"/>
        <v>0</v>
      </c>
      <c r="T114" s="40">
        <f t="shared" si="54"/>
        <v>0</v>
      </c>
      <c r="U114" s="40">
        <f t="shared" si="55"/>
        <v>0</v>
      </c>
      <c r="V114" s="25">
        <f t="shared" si="70"/>
        <v>0</v>
      </c>
      <c r="W114" s="25">
        <f t="shared" si="71"/>
        <v>0</v>
      </c>
      <c r="X114" s="40">
        <f t="shared" si="56"/>
        <v>0</v>
      </c>
      <c r="Y114" s="40">
        <f t="shared" si="57"/>
        <v>0</v>
      </c>
      <c r="Z114" s="40">
        <f t="shared" si="58"/>
        <v>0</v>
      </c>
      <c r="AA114" s="40">
        <f t="shared" si="59"/>
        <v>0</v>
      </c>
      <c r="AB114" s="40">
        <f t="shared" si="60"/>
        <v>0</v>
      </c>
      <c r="AC114" s="40">
        <f t="shared" si="61"/>
        <v>0</v>
      </c>
      <c r="AD114" s="26">
        <v>309.88816247970999</v>
      </c>
      <c r="AE114" s="8">
        <v>147.38397429586999</v>
      </c>
      <c r="AF114" s="61">
        <f t="shared" si="72"/>
        <v>0</v>
      </c>
      <c r="AG114" s="61">
        <f t="shared" si="73"/>
        <v>0</v>
      </c>
      <c r="AH114" s="74">
        <v>0</v>
      </c>
      <c r="AI114" s="74">
        <v>0</v>
      </c>
      <c r="AJ114" s="74">
        <v>0</v>
      </c>
      <c r="AK114" s="74">
        <v>0</v>
      </c>
      <c r="AL114" s="74" t="e">
        <f t="shared" si="76"/>
        <v>#DIV/0!</v>
      </c>
      <c r="AM114" s="74">
        <v>0</v>
      </c>
      <c r="AN114" s="74" t="e">
        <f t="shared" si="77"/>
        <v>#DIV/0!</v>
      </c>
      <c r="AO114" s="74" t="e">
        <f t="shared" si="78"/>
        <v>#DIV/0!</v>
      </c>
      <c r="AP114" s="74" t="e">
        <f t="shared" si="79"/>
        <v>#DIV/0!</v>
      </c>
      <c r="AQ114" s="74" t="e">
        <f t="shared" si="80"/>
        <v>#DIV/0!</v>
      </c>
      <c r="AR114" s="74" t="e">
        <f t="shared" si="81"/>
        <v>#DIV/0!</v>
      </c>
      <c r="AS114" s="74" t="e">
        <f t="shared" si="82"/>
        <v>#DIV/0!</v>
      </c>
      <c r="AT114" s="74" t="e">
        <f t="shared" si="83"/>
        <v>#DIV/0!</v>
      </c>
      <c r="AU114" s="74" t="e">
        <f t="shared" si="84"/>
        <v>#DIV/0!</v>
      </c>
      <c r="AV114" s="74" t="e">
        <f t="shared" si="85"/>
        <v>#DIV/0!</v>
      </c>
      <c r="AW114" s="74" t="e">
        <f t="shared" si="86"/>
        <v>#DIV/0!</v>
      </c>
      <c r="AX114" s="74" t="e">
        <f t="shared" si="87"/>
        <v>#DIV/0!</v>
      </c>
      <c r="AY114" s="74" t="e">
        <f t="shared" si="88"/>
        <v>#DIV/0!</v>
      </c>
      <c r="AZ114" s="74" t="e">
        <f t="shared" si="89"/>
        <v>#DIV/0!</v>
      </c>
      <c r="BA114" s="74" t="e">
        <f t="shared" si="90"/>
        <v>#DIV/0!</v>
      </c>
      <c r="BB114" s="74">
        <f t="shared" si="91"/>
        <v>0</v>
      </c>
      <c r="BC114" s="74">
        <f t="shared" si="92"/>
        <v>0</v>
      </c>
      <c r="BD114" s="74">
        <f t="shared" si="93"/>
        <v>0</v>
      </c>
      <c r="BE114" s="75">
        <f t="shared" si="94"/>
        <v>0</v>
      </c>
    </row>
    <row r="115" spans="1:57" x14ac:dyDescent="0.35">
      <c r="A115" s="7" t="s">
        <v>64</v>
      </c>
      <c r="B115" s="11" t="s">
        <v>67</v>
      </c>
      <c r="C115" s="47">
        <f t="shared" si="62"/>
        <v>-3.616874781638435E-2</v>
      </c>
      <c r="D115" s="23">
        <f t="shared" si="63"/>
        <v>-3.616874781638435E-2</v>
      </c>
      <c r="E115" s="50">
        <f>[1]data!E115-[1]data!E77</f>
        <v>-3.616874781638435E-2</v>
      </c>
      <c r="F115" s="36">
        <f>[1]data!F115-[1]data!F77</f>
        <v>0</v>
      </c>
      <c r="G115" s="36">
        <f>[1]data!G115-[1]data!G77</f>
        <v>0</v>
      </c>
      <c r="H115" s="25">
        <f t="shared" si="64"/>
        <v>9.8948958804635705</v>
      </c>
      <c r="I115" s="36">
        <f>[1]data!I115-[1]data!I77</f>
        <v>10.209776743806207</v>
      </c>
      <c r="J115" s="36">
        <f>[1]data!J115-[1]data!J77</f>
        <v>-0.31488086334263699</v>
      </c>
      <c r="K115" s="36">
        <f>[1]data!K115-[1]data!K77</f>
        <v>-9.8869334416288517</v>
      </c>
      <c r="L115" s="25">
        <f t="shared" si="65"/>
        <v>-6.328705256828617E-3</v>
      </c>
      <c r="M115" s="25">
        <f t="shared" si="66"/>
        <v>-6.328705256828617E-3</v>
      </c>
      <c r="N115" s="25">
        <f t="shared" si="67"/>
        <v>-2.9758159681807102E-3</v>
      </c>
      <c r="O115" s="25">
        <f t="shared" si="68"/>
        <v>-2.9758159681807102E-3</v>
      </c>
      <c r="P115" s="24">
        <f t="shared" si="69"/>
        <v>-6.328705256828617E-3</v>
      </c>
      <c r="Q115" s="40">
        <f t="shared" si="51"/>
        <v>-2.9758159681807102E-3</v>
      </c>
      <c r="R115" s="40">
        <f t="shared" si="52"/>
        <v>0</v>
      </c>
      <c r="S115" s="40">
        <f t="shared" si="53"/>
        <v>0</v>
      </c>
      <c r="T115" s="40">
        <f t="shared" si="54"/>
        <v>0</v>
      </c>
      <c r="U115" s="40">
        <f t="shared" si="55"/>
        <v>0</v>
      </c>
      <c r="V115" s="25">
        <f t="shared" si="70"/>
        <v>1.7313809118405274</v>
      </c>
      <c r="W115" s="25">
        <f t="shared" si="71"/>
        <v>0.81411137908485554</v>
      </c>
      <c r="X115" s="40">
        <f t="shared" si="56"/>
        <v>1.7864778752529171</v>
      </c>
      <c r="Y115" s="40">
        <f t="shared" si="57"/>
        <v>0.84001848280784031</v>
      </c>
      <c r="Z115" s="40">
        <f t="shared" si="58"/>
        <v>-5.5096963412389739E-2</v>
      </c>
      <c r="AA115" s="40">
        <f t="shared" si="59"/>
        <v>-2.5907103722984739E-2</v>
      </c>
      <c r="AB115" s="40">
        <f t="shared" si="60"/>
        <v>-1.7299876668001881</v>
      </c>
      <c r="AC115" s="40">
        <f t="shared" si="61"/>
        <v>-0.81345626233184243</v>
      </c>
      <c r="AD115" s="26">
        <v>1215.4228689920101</v>
      </c>
      <c r="AE115" s="8">
        <v>571.50311712429004</v>
      </c>
      <c r="AF115" s="61">
        <f t="shared" si="72"/>
        <v>9.8587271326471857</v>
      </c>
      <c r="AG115" s="61">
        <f>(D115*-1)+(H115)</f>
        <v>9.9310646282799553</v>
      </c>
      <c r="AH115" s="74">
        <f>($D115/$AG115)*-1</f>
        <v>3.6419809124380574E-3</v>
      </c>
      <c r="AI115" s="74">
        <f t="shared" ref="AI115:AI141" si="97">D115/AG115</f>
        <v>-3.6419809124380574E-3</v>
      </c>
      <c r="AJ115" s="74">
        <f>(($D115)/(AF115))*-1</f>
        <v>3.6687036094762682E-3</v>
      </c>
      <c r="AK115" s="74">
        <f t="shared" ref="AK115:AK141" si="98">$D115/(AF115)</f>
        <v>-3.6687036094762682E-3</v>
      </c>
      <c r="AL115" s="74">
        <f t="shared" si="76"/>
        <v>0</v>
      </c>
      <c r="AM115" s="74">
        <f t="shared" ref="AM115:AM141" si="99">(F115/(AF115))</f>
        <v>0</v>
      </c>
      <c r="AN115" s="74">
        <f t="shared" si="77"/>
        <v>-3.6419809124380574E-3</v>
      </c>
      <c r="AO115" s="74">
        <f t="shared" si="78"/>
        <v>-3.6687036094762682E-3</v>
      </c>
      <c r="AP115" s="74">
        <f t="shared" si="79"/>
        <v>0</v>
      </c>
      <c r="AQ115" s="74">
        <f t="shared" si="80"/>
        <v>0</v>
      </c>
      <c r="AR115" s="74">
        <f t="shared" si="81"/>
        <v>0</v>
      </c>
      <c r="AS115" s="74">
        <f t="shared" si="82"/>
        <v>1</v>
      </c>
      <c r="AT115" s="74">
        <f t="shared" si="83"/>
        <v>0.99635801908756194</v>
      </c>
      <c r="AU115" s="74">
        <f t="shared" si="84"/>
        <v>1.0036687036094762</v>
      </c>
      <c r="AV115" s="74">
        <f t="shared" si="85"/>
        <v>1.0280646764429047</v>
      </c>
      <c r="AW115" s="74">
        <f t="shared" si="86"/>
        <v>1.035608005621387</v>
      </c>
      <c r="AX115" s="74">
        <f t="shared" si="87"/>
        <v>-3.1706657355342761E-2</v>
      </c>
      <c r="AY115" s="74">
        <f t="shared" si="88"/>
        <v>-3.1939302011910711E-2</v>
      </c>
      <c r="AZ115" s="74">
        <f t="shared" si="89"/>
        <v>1.0318225544913855</v>
      </c>
      <c r="BA115" s="74">
        <f t="shared" si="90"/>
        <v>-3.1822554491385407E-2</v>
      </c>
      <c r="BB115" s="74">
        <f t="shared" si="91"/>
        <v>1.7250522065836986E-2</v>
      </c>
      <c r="BC115" s="74">
        <f t="shared" si="92"/>
        <v>1.7250522065836986E-2</v>
      </c>
      <c r="BD115" s="74">
        <f t="shared" si="93"/>
        <v>8.111355631166748E-3</v>
      </c>
      <c r="BE115" s="75">
        <f t="shared" si="94"/>
        <v>1.737709617097356E-2</v>
      </c>
    </row>
    <row r="116" spans="1:57" x14ac:dyDescent="0.35">
      <c r="A116" s="7" t="s">
        <v>27</v>
      </c>
      <c r="B116" s="11" t="s">
        <v>68</v>
      </c>
      <c r="C116" s="47">
        <f t="shared" si="62"/>
        <v>61.912545774045505</v>
      </c>
      <c r="D116" s="23">
        <f t="shared" si="63"/>
        <v>61.912545774045505</v>
      </c>
      <c r="E116" s="50">
        <f>[1]data!E116-[1]data!E78</f>
        <v>4.8525662396136839</v>
      </c>
      <c r="F116" s="36">
        <f>[1]data!F116-[1]data!F78</f>
        <v>57.059979534431818</v>
      </c>
      <c r="G116" s="36">
        <f>[1]data!G116-[1]data!G78</f>
        <v>0</v>
      </c>
      <c r="H116" s="25">
        <f t="shared" si="64"/>
        <v>7.1643447578672692E-2</v>
      </c>
      <c r="I116" s="36">
        <f>[1]data!I116-[1]data!I78</f>
        <v>3.0704334676574518E-2</v>
      </c>
      <c r="J116" s="36">
        <f>[1]data!J116-[1]data!J78</f>
        <v>4.0939112902098174E-2</v>
      </c>
      <c r="K116" s="36">
        <f>[1]data!K116-[1]data!K78</f>
        <v>0</v>
      </c>
      <c r="L116" s="25">
        <f t="shared" si="65"/>
        <v>4.1419353038878208</v>
      </c>
      <c r="M116" s="25">
        <f t="shared" si="66"/>
        <v>4.1419353038878208</v>
      </c>
      <c r="N116" s="25">
        <f t="shared" si="67"/>
        <v>5.0478395755619854</v>
      </c>
      <c r="O116" s="25">
        <f t="shared" si="68"/>
        <v>5.0478395755619854</v>
      </c>
      <c r="P116" s="24">
        <f t="shared" si="69"/>
        <v>0.32463558348356325</v>
      </c>
      <c r="Q116" s="40">
        <f t="shared" si="51"/>
        <v>0.39563832501338614</v>
      </c>
      <c r="R116" s="40">
        <f t="shared" si="52"/>
        <v>3.8172997204042574</v>
      </c>
      <c r="S116" s="40">
        <f t="shared" si="53"/>
        <v>4.6522012505485995</v>
      </c>
      <c r="T116" s="40">
        <f t="shared" si="54"/>
        <v>0</v>
      </c>
      <c r="U116" s="40">
        <f t="shared" si="55"/>
        <v>0</v>
      </c>
      <c r="V116" s="25">
        <f t="shared" si="70"/>
        <v>4.792930432893602E-3</v>
      </c>
      <c r="W116" s="25">
        <f t="shared" si="71"/>
        <v>5.8412172443558352E-3</v>
      </c>
      <c r="X116" s="40">
        <f t="shared" si="56"/>
        <v>2.0541130426687203E-3</v>
      </c>
      <c r="Y116" s="40">
        <f t="shared" si="57"/>
        <v>2.5033788190096848E-3</v>
      </c>
      <c r="Z116" s="40">
        <f t="shared" si="58"/>
        <v>2.7388173902248812E-3</v>
      </c>
      <c r="AA116" s="40">
        <f t="shared" si="59"/>
        <v>3.3378384253461499E-3</v>
      </c>
      <c r="AB116" s="40">
        <f t="shared" si="60"/>
        <v>0</v>
      </c>
      <c r="AC116" s="40">
        <f t="shared" si="61"/>
        <v>0</v>
      </c>
      <c r="AD116" s="26">
        <v>1226.51571721458</v>
      </c>
      <c r="AE116" s="8">
        <v>1494.77336635199</v>
      </c>
      <c r="AF116" s="61">
        <f t="shared" si="72"/>
        <v>61.984189221624177</v>
      </c>
      <c r="AG116" s="61">
        <f t="shared" si="73"/>
        <v>61.984189221624177</v>
      </c>
      <c r="AH116" s="74">
        <f t="shared" si="74"/>
        <v>0.99884416577068524</v>
      </c>
      <c r="AI116" s="74">
        <f t="shared" si="97"/>
        <v>0.99884416577068524</v>
      </c>
      <c r="AJ116" s="74">
        <f t="shared" si="75"/>
        <v>0.99884416577068524</v>
      </c>
      <c r="AK116" s="74">
        <f t="shared" si="98"/>
        <v>0.99884416577068524</v>
      </c>
      <c r="AL116" s="74">
        <f t="shared" si="76"/>
        <v>0.92055700414849551</v>
      </c>
      <c r="AM116" s="74">
        <f t="shared" si="99"/>
        <v>0.92055700414849551</v>
      </c>
      <c r="AN116" s="74">
        <f t="shared" si="77"/>
        <v>7.8287161622189752E-2</v>
      </c>
      <c r="AO116" s="74">
        <f t="shared" si="78"/>
        <v>7.8287161622189752E-2</v>
      </c>
      <c r="AP116" s="74">
        <f t="shared" si="79"/>
        <v>0</v>
      </c>
      <c r="AQ116" s="74">
        <f t="shared" si="80"/>
        <v>0</v>
      </c>
      <c r="AR116" s="74">
        <f t="shared" si="81"/>
        <v>0.92162224668771509</v>
      </c>
      <c r="AS116" s="74">
        <f t="shared" si="82"/>
        <v>7.8377753312284873E-2</v>
      </c>
      <c r="AT116" s="74">
        <f t="shared" si="83"/>
        <v>1.1558342293147028E-3</v>
      </c>
      <c r="AU116" s="74">
        <f t="shared" si="84"/>
        <v>1.1558342293147028E-3</v>
      </c>
      <c r="AV116" s="74">
        <f t="shared" si="85"/>
        <v>4.953575268491666E-4</v>
      </c>
      <c r="AW116" s="74">
        <f t="shared" si="86"/>
        <v>4.953575268491666E-4</v>
      </c>
      <c r="AX116" s="74">
        <f t="shared" si="87"/>
        <v>6.6047670246553627E-4</v>
      </c>
      <c r="AY116" s="74">
        <f t="shared" si="88"/>
        <v>6.6047670246553627E-4</v>
      </c>
      <c r="AZ116" s="74">
        <f t="shared" si="89"/>
        <v>0.42857142857143565</v>
      </c>
      <c r="BA116" s="74">
        <f t="shared" si="90"/>
        <v>0.57142857142856429</v>
      </c>
      <c r="BB116" s="74">
        <f t="shared" si="91"/>
        <v>4.1467282343207144E-2</v>
      </c>
      <c r="BC116" s="74">
        <f t="shared" si="92"/>
        <v>4.1467282343207144E-2</v>
      </c>
      <c r="BD116" s="74">
        <f t="shared" si="93"/>
        <v>5.0536807928063421E-2</v>
      </c>
      <c r="BE116" s="75">
        <f t="shared" si="94"/>
        <v>4.1467282343207144E-2</v>
      </c>
    </row>
    <row r="117" spans="1:57" x14ac:dyDescent="0.35">
      <c r="A117" s="7" t="s">
        <v>28</v>
      </c>
      <c r="B117" s="11" t="s">
        <v>68</v>
      </c>
      <c r="C117" s="47">
        <f t="shared" si="62"/>
        <v>40.645124362128016</v>
      </c>
      <c r="D117" s="23">
        <f t="shared" si="63"/>
        <v>40.479513138385315</v>
      </c>
      <c r="E117" s="50">
        <f>[1]data!E117-[1]data!E79</f>
        <v>24.517772021033167</v>
      </c>
      <c r="F117" s="36">
        <f>[1]data!F117-[1]data!F79</f>
        <v>15.961741117352148</v>
      </c>
      <c r="G117" s="36">
        <f>[1]data!G117-[1]data!G79</f>
        <v>0.16561122374270099</v>
      </c>
      <c r="H117" s="25">
        <f t="shared" si="64"/>
        <v>-2.1278849423861357</v>
      </c>
      <c r="I117" s="36">
        <f>[1]data!I117-[1]data!I79</f>
        <v>1.0131510158376766E-2</v>
      </c>
      <c r="J117" s="36">
        <f>[1]data!J117-[1]data!J79</f>
        <v>-2.1380164525445124</v>
      </c>
      <c r="K117" s="36">
        <f>[1]data!K117-[1]data!K79</f>
        <v>0</v>
      </c>
      <c r="L117" s="25">
        <f t="shared" si="65"/>
        <v>2.3956738432199183</v>
      </c>
      <c r="M117" s="25">
        <f t="shared" si="66"/>
        <v>2.3859125130950751</v>
      </c>
      <c r="N117" s="25">
        <f t="shared" si="67"/>
        <v>2.35830599136081</v>
      </c>
      <c r="O117" s="25">
        <f t="shared" si="68"/>
        <v>2.3486969189980513</v>
      </c>
      <c r="P117" s="24">
        <f t="shared" si="69"/>
        <v>1.4451077723739827</v>
      </c>
      <c r="Q117" s="40">
        <f t="shared" si="51"/>
        <v>1.4225669021669025</v>
      </c>
      <c r="R117" s="40">
        <f t="shared" si="52"/>
        <v>0.94080474072109255</v>
      </c>
      <c r="S117" s="40">
        <f t="shared" si="53"/>
        <v>0.92613001683114882</v>
      </c>
      <c r="T117" s="40">
        <f t="shared" si="54"/>
        <v>9.7613301248429991E-3</v>
      </c>
      <c r="U117" s="40">
        <f t="shared" si="55"/>
        <v>9.6090723627585209E-3</v>
      </c>
      <c r="V117" s="25">
        <f t="shared" si="70"/>
        <v>-0.12542016731054459</v>
      </c>
      <c r="W117" s="25">
        <f t="shared" si="71"/>
        <v>-0.1234638566693991</v>
      </c>
      <c r="X117" s="40">
        <f t="shared" si="56"/>
        <v>5.9716372528449896E-4</v>
      </c>
      <c r="Y117" s="40">
        <f t="shared" si="57"/>
        <v>5.8784913278050761E-4</v>
      </c>
      <c r="Z117" s="40">
        <f t="shared" si="58"/>
        <v>-0.1260173310358291</v>
      </c>
      <c r="AA117" s="40">
        <f t="shared" si="59"/>
        <v>-0.12405170580217961</v>
      </c>
      <c r="AB117" s="40">
        <f t="shared" si="60"/>
        <v>0</v>
      </c>
      <c r="AC117" s="40">
        <f t="shared" si="61"/>
        <v>0</v>
      </c>
      <c r="AD117" s="26">
        <v>1723.48815255626</v>
      </c>
      <c r="AE117" s="8">
        <v>1696.60508992738</v>
      </c>
      <c r="AF117" s="61">
        <f t="shared" si="72"/>
        <v>38.351628195999176</v>
      </c>
      <c r="AG117" s="61">
        <f>(D117)+(H117*-1)</f>
        <v>42.607398080771453</v>
      </c>
      <c r="AH117" s="74">
        <f t="shared" si="74"/>
        <v>0.95005832230467868</v>
      </c>
      <c r="AI117" s="74">
        <f t="shared" si="97"/>
        <v>0.95005832230467868</v>
      </c>
      <c r="AJ117" s="74">
        <f t="shared" si="75"/>
        <v>1.0554835620410015</v>
      </c>
      <c r="AK117" s="74">
        <f t="shared" si="98"/>
        <v>1.0554835620410015</v>
      </c>
      <c r="AL117" s="74">
        <f t="shared" si="76"/>
        <v>0.37462370002254647</v>
      </c>
      <c r="AM117" s="74">
        <f t="shared" si="99"/>
        <v>0.41619461462700741</v>
      </c>
      <c r="AN117" s="74">
        <f t="shared" si="77"/>
        <v>0.57543462228213227</v>
      </c>
      <c r="AO117" s="74">
        <f t="shared" si="78"/>
        <v>0.639288947413994</v>
      </c>
      <c r="AP117" s="74">
        <f t="shared" si="79"/>
        <v>3.8869123955597904E-3</v>
      </c>
      <c r="AQ117" s="74">
        <f t="shared" si="80"/>
        <v>4.3182318856537488E-3</v>
      </c>
      <c r="AR117" s="74">
        <f t="shared" si="81"/>
        <v>0.39431652902505349</v>
      </c>
      <c r="AS117" s="74">
        <f t="shared" si="82"/>
        <v>0.60568347097494646</v>
      </c>
      <c r="AT117" s="74">
        <f t="shared" si="83"/>
        <v>-4.9941677695321214E-2</v>
      </c>
      <c r="AU117" s="74">
        <f t="shared" si="84"/>
        <v>-5.5483562041001314E-2</v>
      </c>
      <c r="AV117" s="74">
        <f t="shared" si="85"/>
        <v>2.3778758184600518E-4</v>
      </c>
      <c r="AW117" s="74">
        <f t="shared" si="86"/>
        <v>2.6417418594587024E-4</v>
      </c>
      <c r="AX117" s="74">
        <f t="shared" si="87"/>
        <v>-5.0179465277167219E-2</v>
      </c>
      <c r="AY117" s="74">
        <f t="shared" si="88"/>
        <v>-5.5747736226947189E-2</v>
      </c>
      <c r="AZ117" s="74">
        <f t="shared" si="89"/>
        <v>-4.7613054430544755E-3</v>
      </c>
      <c r="BA117" s="74">
        <f t="shared" si="90"/>
        <v>1.0047613054430544</v>
      </c>
      <c r="BB117" s="74">
        <f t="shared" si="91"/>
        <v>2.2702536759093735E-2</v>
      </c>
      <c r="BC117" s="74">
        <f t="shared" si="92"/>
        <v>2.2604923457845306E-2</v>
      </c>
      <c r="BD117" s="74">
        <f t="shared" si="93"/>
        <v>2.225233062328652E-2</v>
      </c>
      <c r="BE117" s="75">
        <f t="shared" si="94"/>
        <v>2.5113326804056202E-2</v>
      </c>
    </row>
    <row r="118" spans="1:57" x14ac:dyDescent="0.35">
      <c r="A118" s="7" t="s">
        <v>29</v>
      </c>
      <c r="B118" s="11" t="s">
        <v>68</v>
      </c>
      <c r="C118" s="47">
        <f t="shared" si="62"/>
        <v>62.552451494316109</v>
      </c>
      <c r="D118" s="23">
        <f t="shared" si="63"/>
        <v>64.536582715928361</v>
      </c>
      <c r="E118" s="50">
        <f>[1]data!E118-[1]data!E80</f>
        <v>4.2568291943873255</v>
      </c>
      <c r="F118" s="36">
        <f>[1]data!F118-[1]data!F80</f>
        <v>60.279753521541039</v>
      </c>
      <c r="G118" s="36">
        <f>[1]data!G118-[1]data!G80</f>
        <v>-1.9841312216122517</v>
      </c>
      <c r="H118" s="25">
        <f t="shared" si="64"/>
        <v>2.8314122459696556</v>
      </c>
      <c r="I118" s="36">
        <f>[1]data!I118-[1]data!I80</f>
        <v>-0.10285766593745294</v>
      </c>
      <c r="J118" s="36">
        <f>[1]data!J118-[1]data!J80</f>
        <v>2.9342699119071085</v>
      </c>
      <c r="K118" s="36">
        <f>[1]data!K118-[1]data!K80</f>
        <v>0</v>
      </c>
      <c r="L118" s="25">
        <f t="shared" si="65"/>
        <v>2.3904063373173927</v>
      </c>
      <c r="M118" s="25">
        <f t="shared" si="66"/>
        <v>2.4662287828476401</v>
      </c>
      <c r="N118" s="25">
        <f t="shared" si="67"/>
        <v>2.1517203154734657</v>
      </c>
      <c r="O118" s="25">
        <f t="shared" si="68"/>
        <v>2.2199717645553005</v>
      </c>
      <c r="P118" s="24">
        <f t="shared" si="69"/>
        <v>0.16267230524235754</v>
      </c>
      <c r="Q118" s="40">
        <f t="shared" si="51"/>
        <v>0.14642920682167096</v>
      </c>
      <c r="R118" s="40">
        <f t="shared" si="52"/>
        <v>2.3035564776052828</v>
      </c>
      <c r="S118" s="40">
        <f t="shared" si="53"/>
        <v>2.0735425577336297</v>
      </c>
      <c r="T118" s="40">
        <f t="shared" si="54"/>
        <v>-7.5822445530247418E-2</v>
      </c>
      <c r="U118" s="40">
        <f t="shared" si="55"/>
        <v>-6.8251449081834947E-2</v>
      </c>
      <c r="V118" s="25">
        <f t="shared" si="70"/>
        <v>0.10820080771636806</v>
      </c>
      <c r="W118" s="25">
        <f t="shared" si="71"/>
        <v>9.73967783131066E-2</v>
      </c>
      <c r="X118" s="40">
        <f t="shared" si="56"/>
        <v>-3.9306471708931224E-3</v>
      </c>
      <c r="Y118" s="40">
        <f t="shared" si="57"/>
        <v>-3.5381655572669459E-3</v>
      </c>
      <c r="Z118" s="40">
        <f t="shared" si="58"/>
        <v>0.11213145488726119</v>
      </c>
      <c r="AA118" s="40">
        <f t="shared" si="59"/>
        <v>0.10093494387037355</v>
      </c>
      <c r="AB118" s="40">
        <f t="shared" si="60"/>
        <v>0</v>
      </c>
      <c r="AC118" s="40">
        <f t="shared" si="61"/>
        <v>0</v>
      </c>
      <c r="AD118" s="26">
        <v>2907.0902498102801</v>
      </c>
      <c r="AE118" s="8">
        <v>2616.8124857180101</v>
      </c>
      <c r="AF118" s="61">
        <f t="shared" si="72"/>
        <v>67.36799496189802</v>
      </c>
      <c r="AG118" s="61">
        <f t="shared" si="73"/>
        <v>67.36799496189802</v>
      </c>
      <c r="AH118" s="74">
        <f t="shared" si="74"/>
        <v>0.95797095864926585</v>
      </c>
      <c r="AI118" s="74">
        <f t="shared" si="97"/>
        <v>0.95797095864926585</v>
      </c>
      <c r="AJ118" s="74">
        <f t="shared" si="75"/>
        <v>0.95797095864926585</v>
      </c>
      <c r="AK118" s="74">
        <f t="shared" si="98"/>
        <v>0.95797095864926585</v>
      </c>
      <c r="AL118" s="74">
        <f t="shared" si="76"/>
        <v>0.89478325064645392</v>
      </c>
      <c r="AM118" s="74">
        <f t="shared" si="99"/>
        <v>0.89478325064645392</v>
      </c>
      <c r="AN118" s="74">
        <f t="shared" si="77"/>
        <v>6.3187708002812051E-2</v>
      </c>
      <c r="AO118" s="74">
        <f t="shared" si="78"/>
        <v>6.3187708002812051E-2</v>
      </c>
      <c r="AP118" s="74">
        <f t="shared" si="79"/>
        <v>-2.9452134099202987E-2</v>
      </c>
      <c r="AQ118" s="74">
        <f t="shared" si="80"/>
        <v>-2.9452134099202987E-2</v>
      </c>
      <c r="AR118" s="74">
        <f t="shared" si="81"/>
        <v>0.9340400589054324</v>
      </c>
      <c r="AS118" s="74">
        <f t="shared" si="82"/>
        <v>6.5959941094567626E-2</v>
      </c>
      <c r="AT118" s="74">
        <f t="shared" si="83"/>
        <v>4.2029041350734056E-2</v>
      </c>
      <c r="AU118" s="74">
        <f t="shared" si="84"/>
        <v>4.2029041350734056E-2</v>
      </c>
      <c r="AV118" s="74">
        <f t="shared" si="85"/>
        <v>-1.5268031354596075E-3</v>
      </c>
      <c r="AW118" s="74">
        <f t="shared" si="86"/>
        <v>-1.5268031354596075E-3</v>
      </c>
      <c r="AX118" s="74">
        <f t="shared" si="87"/>
        <v>4.3555844486193665E-2</v>
      </c>
      <c r="AY118" s="74">
        <f t="shared" si="88"/>
        <v>4.3555844486193665E-2</v>
      </c>
      <c r="AZ118" s="74">
        <f t="shared" si="89"/>
        <v>-3.6327336679377799E-2</v>
      </c>
      <c r="BA118" s="74">
        <f t="shared" si="90"/>
        <v>1.0363273366793777</v>
      </c>
      <c r="BB118" s="74">
        <f t="shared" si="91"/>
        <v>2.498607145033761E-2</v>
      </c>
      <c r="BC118" s="74">
        <f t="shared" si="92"/>
        <v>2.5744295905640084E-2</v>
      </c>
      <c r="BD118" s="74">
        <f t="shared" si="93"/>
        <v>2.317368542868407E-2</v>
      </c>
      <c r="BE118" s="75">
        <f t="shared" si="94"/>
        <v>2.5744295905640084E-2</v>
      </c>
    </row>
    <row r="119" spans="1:57" x14ac:dyDescent="0.35">
      <c r="A119" s="7" t="s">
        <v>30</v>
      </c>
      <c r="B119" s="11" t="s">
        <v>68</v>
      </c>
      <c r="C119" s="47">
        <f t="shared" si="62"/>
        <v>102.23012702811141</v>
      </c>
      <c r="D119" s="23">
        <f t="shared" si="63"/>
        <v>102.23012702811141</v>
      </c>
      <c r="E119" s="50">
        <f>[1]data!E119-[1]data!E81</f>
        <v>19.237824397073407</v>
      </c>
      <c r="F119" s="36">
        <f>[1]data!F119-[1]data!F81</f>
        <v>82.992302631038001</v>
      </c>
      <c r="G119" s="36">
        <f>[1]data!G119-[1]data!G81</f>
        <v>0</v>
      </c>
      <c r="H119" s="25">
        <f t="shared" si="64"/>
        <v>-111.65122562840084</v>
      </c>
      <c r="I119" s="36">
        <f>[1]data!I119-[1]data!I81</f>
        <v>-114.80593817842517</v>
      </c>
      <c r="J119" s="36">
        <f>[1]data!J119-[1]data!J81</f>
        <v>3.1547125500243283</v>
      </c>
      <c r="K119" s="36">
        <f>[1]data!K119-[1]data!K81</f>
        <v>0</v>
      </c>
      <c r="L119" s="25">
        <f t="shared" si="65"/>
        <v>2.8418434471316667</v>
      </c>
      <c r="M119" s="25">
        <f t="shared" si="66"/>
        <v>2.8418434471316667</v>
      </c>
      <c r="N119" s="25">
        <f t="shared" si="67"/>
        <v>2.4564011359343341</v>
      </c>
      <c r="O119" s="25">
        <f t="shared" si="68"/>
        <v>2.4564011359343341</v>
      </c>
      <c r="P119" s="24">
        <f t="shared" si="69"/>
        <v>0.53478252242471813</v>
      </c>
      <c r="Q119" s="40">
        <f t="shared" si="51"/>
        <v>0.46224938846923158</v>
      </c>
      <c r="R119" s="40">
        <f t="shared" si="52"/>
        <v>2.3070609247069487</v>
      </c>
      <c r="S119" s="40">
        <f t="shared" si="53"/>
        <v>1.9941517474651025</v>
      </c>
      <c r="T119" s="40">
        <f t="shared" si="54"/>
        <v>0</v>
      </c>
      <c r="U119" s="40">
        <f t="shared" si="55"/>
        <v>0</v>
      </c>
      <c r="V119" s="25">
        <f t="shared" si="70"/>
        <v>-3.1037357884632168</v>
      </c>
      <c r="W119" s="25">
        <f t="shared" si="71"/>
        <v>-2.682772734759959</v>
      </c>
      <c r="X119" s="40">
        <f t="shared" si="56"/>
        <v>-3.1914320424784877</v>
      </c>
      <c r="Y119" s="40">
        <f t="shared" si="57"/>
        <v>-2.7585746506599085</v>
      </c>
      <c r="Z119" s="40">
        <f t="shared" si="58"/>
        <v>8.7696254015270897E-2</v>
      </c>
      <c r="AA119" s="40">
        <f t="shared" si="59"/>
        <v>7.5801915899949543E-2</v>
      </c>
      <c r="AB119" s="40">
        <f t="shared" si="60"/>
        <v>0</v>
      </c>
      <c r="AC119" s="40">
        <f t="shared" si="61"/>
        <v>0</v>
      </c>
      <c r="AD119" s="26">
        <v>4161.7847155581303</v>
      </c>
      <c r="AE119" s="8">
        <v>3597.3173374942398</v>
      </c>
      <c r="AF119" s="61">
        <f t="shared" si="72"/>
        <v>-9.4210986002894259</v>
      </c>
      <c r="AG119" s="61">
        <f>(D119)+(H119*-1)</f>
        <v>213.88135265651226</v>
      </c>
      <c r="AH119" s="74">
        <f t="shared" si="74"/>
        <v>0.47797587661739854</v>
      </c>
      <c r="AI119" s="74">
        <f t="shared" si="97"/>
        <v>0.47797587661739854</v>
      </c>
      <c r="AJ119" s="74">
        <f>(($D119)/(AF119))*-1</f>
        <v>10.851189586846145</v>
      </c>
      <c r="AK119" s="74">
        <f t="shared" si="98"/>
        <v>-10.851189586846145</v>
      </c>
      <c r="AL119" s="74">
        <f t="shared" si="76"/>
        <v>0.38802963231825743</v>
      </c>
      <c r="AM119" s="74">
        <f t="shared" si="99"/>
        <v>-8.8091958435174842</v>
      </c>
      <c r="AN119" s="74">
        <f t="shared" si="77"/>
        <v>8.9946244299141123E-2</v>
      </c>
      <c r="AO119" s="74">
        <f t="shared" si="78"/>
        <v>-2.0419937433286601</v>
      </c>
      <c r="AP119" s="74">
        <f t="shared" si="79"/>
        <v>0</v>
      </c>
      <c r="AQ119" s="74">
        <f t="shared" si="80"/>
        <v>0</v>
      </c>
      <c r="AR119" s="74">
        <f t="shared" si="81"/>
        <v>0.81181844377652623</v>
      </c>
      <c r="AS119" s="74">
        <f t="shared" si="82"/>
        <v>0.18818155622347371</v>
      </c>
      <c r="AT119" s="74">
        <f t="shared" si="83"/>
        <v>-0.5220241233826014</v>
      </c>
      <c r="AU119" s="74">
        <f t="shared" si="84"/>
        <v>11.851189586846145</v>
      </c>
      <c r="AV119" s="74">
        <f t="shared" si="85"/>
        <v>-0.53677394851153959</v>
      </c>
      <c r="AW119" s="74">
        <f t="shared" si="86"/>
        <v>12.186045709668957</v>
      </c>
      <c r="AX119" s="74">
        <f t="shared" si="87"/>
        <v>1.474982512893825E-2</v>
      </c>
      <c r="AY119" s="74">
        <f t="shared" si="88"/>
        <v>-0.33485612282281096</v>
      </c>
      <c r="AZ119" s="74">
        <f t="shared" si="89"/>
        <v>1.0282550642168846</v>
      </c>
      <c r="BA119" s="74">
        <f t="shared" si="90"/>
        <v>-2.8255064216884521E-2</v>
      </c>
      <c r="BB119" s="74">
        <f t="shared" si="91"/>
        <v>-2.618923413315496E-3</v>
      </c>
      <c r="BC119" s="74">
        <f t="shared" si="92"/>
        <v>-2.618923413315496E-3</v>
      </c>
      <c r="BD119" s="74">
        <f t="shared" si="93"/>
        <v>-2.2637159882562493E-3</v>
      </c>
      <c r="BE119" s="75">
        <f t="shared" si="94"/>
        <v>5.945579235594884E-2</v>
      </c>
    </row>
    <row r="120" spans="1:57" x14ac:dyDescent="0.35">
      <c r="A120" s="7" t="s">
        <v>31</v>
      </c>
      <c r="B120" s="11" t="s">
        <v>68</v>
      </c>
      <c r="C120" s="47">
        <f t="shared" si="62"/>
        <v>35.998304619164635</v>
      </c>
      <c r="D120" s="23">
        <f t="shared" si="63"/>
        <v>36.032590507810454</v>
      </c>
      <c r="E120" s="50">
        <f>[1]data!E120-[1]data!E82</f>
        <v>3.3829533441994899</v>
      </c>
      <c r="F120" s="36">
        <f>[1]data!F120-[1]data!F82</f>
        <v>32.649637163610961</v>
      </c>
      <c r="G120" s="36">
        <f>[1]data!G120-[1]data!G82</f>
        <v>-3.4285888645817053E-2</v>
      </c>
      <c r="H120" s="25">
        <f t="shared" si="64"/>
        <v>53.163057249189066</v>
      </c>
      <c r="I120" s="36">
        <f>[1]data!I120-[1]data!I82</f>
        <v>-1.5918448299843568E-2</v>
      </c>
      <c r="J120" s="36">
        <f>[1]data!J120-[1]data!J82</f>
        <v>53.178975697488909</v>
      </c>
      <c r="K120" s="36">
        <f>[1]data!K120-[1]data!K82</f>
        <v>0</v>
      </c>
      <c r="L120" s="25">
        <f t="shared" si="65"/>
        <v>1.8767125440042067</v>
      </c>
      <c r="M120" s="25">
        <f t="shared" si="66"/>
        <v>1.8784999825512343</v>
      </c>
      <c r="N120" s="25">
        <f t="shared" si="67"/>
        <v>1.5399291366081678</v>
      </c>
      <c r="O120" s="25">
        <f t="shared" si="68"/>
        <v>1.5413958123157812</v>
      </c>
      <c r="P120" s="24">
        <f t="shared" si="69"/>
        <v>0.17636472172803933</v>
      </c>
      <c r="Q120" s="40">
        <f t="shared" si="51"/>
        <v>0.14471538250569216</v>
      </c>
      <c r="R120" s="40">
        <f t="shared" si="52"/>
        <v>1.702135260823195</v>
      </c>
      <c r="S120" s="40">
        <f t="shared" si="53"/>
        <v>1.396680429810089</v>
      </c>
      <c r="T120" s="40">
        <f t="shared" si="54"/>
        <v>-1.7874385470275915E-3</v>
      </c>
      <c r="U120" s="40">
        <f t="shared" si="55"/>
        <v>-1.4666757076134229E-3</v>
      </c>
      <c r="V120" s="25">
        <f t="shared" si="70"/>
        <v>2.7715687578256336</v>
      </c>
      <c r="W120" s="25">
        <f t="shared" si="71"/>
        <v>2.2741999023367923</v>
      </c>
      <c r="X120" s="40">
        <f t="shared" si="56"/>
        <v>-8.2988218254852132E-4</v>
      </c>
      <c r="Y120" s="40">
        <f t="shared" si="57"/>
        <v>-6.8095657853480072E-4</v>
      </c>
      <c r="Z120" s="40">
        <f t="shared" si="58"/>
        <v>2.7723986400081819</v>
      </c>
      <c r="AA120" s="40">
        <f t="shared" si="59"/>
        <v>2.2748808589153269</v>
      </c>
      <c r="AB120" s="40">
        <f t="shared" si="60"/>
        <v>0</v>
      </c>
      <c r="AC120" s="40">
        <f t="shared" si="61"/>
        <v>0</v>
      </c>
      <c r="AD120" s="26">
        <v>2337.6598158571201</v>
      </c>
      <c r="AE120" s="8">
        <v>1918.15761738117</v>
      </c>
      <c r="AF120" s="61">
        <f t="shared" si="72"/>
        <v>89.19564775699952</v>
      </c>
      <c r="AG120" s="61">
        <f t="shared" si="73"/>
        <v>89.19564775699952</v>
      </c>
      <c r="AH120" s="74">
        <f t="shared" si="74"/>
        <v>0.4039725189952762</v>
      </c>
      <c r="AI120" s="74">
        <f t="shared" si="97"/>
        <v>0.4039725189952762</v>
      </c>
      <c r="AJ120" s="74">
        <f t="shared" si="75"/>
        <v>0.4039725189952762</v>
      </c>
      <c r="AK120" s="74">
        <f t="shared" si="98"/>
        <v>0.4039725189952762</v>
      </c>
      <c r="AL120" s="74">
        <f t="shared" si="76"/>
        <v>0.36604518252460161</v>
      </c>
      <c r="AM120" s="74">
        <f t="shared" si="99"/>
        <v>0.36604518252460161</v>
      </c>
      <c r="AN120" s="74">
        <f t="shared" si="77"/>
        <v>3.7927336470674568E-2</v>
      </c>
      <c r="AO120" s="74">
        <f t="shared" si="78"/>
        <v>3.7927336470674568E-2</v>
      </c>
      <c r="AP120" s="74">
        <f t="shared" si="79"/>
        <v>-3.8438970407192886E-4</v>
      </c>
      <c r="AQ120" s="74">
        <f t="shared" si="80"/>
        <v>-3.8438970407192886E-4</v>
      </c>
      <c r="AR120" s="74">
        <f t="shared" si="81"/>
        <v>0.90611406794451255</v>
      </c>
      <c r="AS120" s="74">
        <f t="shared" si="82"/>
        <v>9.3885932055487328E-2</v>
      </c>
      <c r="AT120" s="74">
        <f t="shared" si="83"/>
        <v>0.5960274810047238</v>
      </c>
      <c r="AU120" s="74">
        <f t="shared" si="84"/>
        <v>0.5960274810047238</v>
      </c>
      <c r="AV120" s="74">
        <f t="shared" si="85"/>
        <v>-1.7846664831910913E-4</v>
      </c>
      <c r="AW120" s="74">
        <f t="shared" si="86"/>
        <v>-1.7846664831910913E-4</v>
      </c>
      <c r="AX120" s="74">
        <f t="shared" si="87"/>
        <v>0.59620594765304291</v>
      </c>
      <c r="AY120" s="74">
        <f t="shared" si="88"/>
        <v>0.59620594765304291</v>
      </c>
      <c r="AZ120" s="74">
        <f t="shared" si="89"/>
        <v>-2.9942687880476219E-4</v>
      </c>
      <c r="BA120" s="74">
        <f t="shared" si="90"/>
        <v>1.0002994268788048</v>
      </c>
      <c r="BB120" s="74">
        <f t="shared" si="91"/>
        <v>4.6482813018298409E-2</v>
      </c>
      <c r="BC120" s="74">
        <f t="shared" si="92"/>
        <v>4.6500687403768684E-2</v>
      </c>
      <c r="BD120" s="74">
        <f t="shared" si="93"/>
        <v>3.815595714652574E-2</v>
      </c>
      <c r="BE120" s="75">
        <f t="shared" si="94"/>
        <v>4.6500687403768684E-2</v>
      </c>
    </row>
    <row r="121" spans="1:57" x14ac:dyDescent="0.35">
      <c r="A121" s="7" t="s">
        <v>32</v>
      </c>
      <c r="B121" s="11" t="s">
        <v>68</v>
      </c>
      <c r="C121" s="47">
        <f t="shared" si="62"/>
        <v>222.82458030794442</v>
      </c>
      <c r="D121" s="23">
        <f t="shared" si="63"/>
        <v>222.07468301392407</v>
      </c>
      <c r="E121" s="50">
        <f>[1]data!E121-[1]data!E83</f>
        <v>42.258318536499011</v>
      </c>
      <c r="F121" s="36">
        <f>[1]data!F121-[1]data!F83</f>
        <v>179.81636447742505</v>
      </c>
      <c r="G121" s="36">
        <f>[1]data!G121-[1]data!G83</f>
        <v>0.749897294020343</v>
      </c>
      <c r="H121" s="25">
        <f t="shared" si="64"/>
        <v>0.45282259677381376</v>
      </c>
      <c r="I121" s="36">
        <f>[1]data!I121-[1]data!I83</f>
        <v>0</v>
      </c>
      <c r="J121" s="36">
        <f>[1]data!J121-[1]data!J83</f>
        <v>0.45282259677381376</v>
      </c>
      <c r="K121" s="36">
        <f>[1]data!K121-[1]data!K83</f>
        <v>264.23338464211304</v>
      </c>
      <c r="L121" s="25">
        <f t="shared" si="65"/>
        <v>4.8818655928857222</v>
      </c>
      <c r="M121" s="25">
        <f t="shared" si="66"/>
        <v>4.8654360868015338</v>
      </c>
      <c r="N121" s="25">
        <f t="shared" si="67"/>
        <v>4.1846152861587118</v>
      </c>
      <c r="O121" s="25">
        <f t="shared" si="68"/>
        <v>4.1705323170568747</v>
      </c>
      <c r="P121" s="24">
        <f t="shared" si="69"/>
        <v>0.92583785411570318</v>
      </c>
      <c r="Q121" s="40">
        <f t="shared" si="51"/>
        <v>0.79360546969643764</v>
      </c>
      <c r="R121" s="40">
        <f t="shared" si="52"/>
        <v>3.9395982326858308</v>
      </c>
      <c r="S121" s="40">
        <f t="shared" si="53"/>
        <v>3.3769268473604375</v>
      </c>
      <c r="T121" s="40">
        <f t="shared" si="54"/>
        <v>1.6429506084188042E-2</v>
      </c>
      <c r="U121" s="40">
        <f t="shared" si="55"/>
        <v>1.4082969101837014E-2</v>
      </c>
      <c r="V121" s="25">
        <f t="shared" si="70"/>
        <v>9.9208940585287422E-3</v>
      </c>
      <c r="W121" s="25">
        <f t="shared" si="71"/>
        <v>8.5039467268783388E-3</v>
      </c>
      <c r="X121" s="40">
        <f t="shared" si="56"/>
        <v>0</v>
      </c>
      <c r="Y121" s="40">
        <f t="shared" si="57"/>
        <v>0</v>
      </c>
      <c r="Z121" s="40">
        <f t="shared" si="58"/>
        <v>9.9208940585287422E-3</v>
      </c>
      <c r="AA121" s="40">
        <f t="shared" si="59"/>
        <v>8.5039467268783388E-3</v>
      </c>
      <c r="AB121" s="40">
        <f t="shared" si="60"/>
        <v>5.7890914332402277</v>
      </c>
      <c r="AC121" s="40">
        <f t="shared" si="61"/>
        <v>4.9622669947756144</v>
      </c>
      <c r="AD121" s="26">
        <v>5324.8522282316499</v>
      </c>
      <c r="AE121" s="8">
        <v>4564.3325500944502</v>
      </c>
      <c r="AF121" s="61">
        <f t="shared" si="72"/>
        <v>222.52750561069789</v>
      </c>
      <c r="AG121" s="61">
        <f t="shared" si="73"/>
        <v>222.52750561069789</v>
      </c>
      <c r="AH121" s="74">
        <f t="shared" si="74"/>
        <v>0.99796509381826259</v>
      </c>
      <c r="AI121" s="74">
        <f t="shared" si="97"/>
        <v>0.99796509381826259</v>
      </c>
      <c r="AJ121" s="74">
        <f t="shared" si="75"/>
        <v>0.99796509381826259</v>
      </c>
      <c r="AK121" s="74">
        <f t="shared" si="98"/>
        <v>0.99796509381826259</v>
      </c>
      <c r="AL121" s="74">
        <f t="shared" si="76"/>
        <v>0.80806354245486356</v>
      </c>
      <c r="AM121" s="74">
        <f t="shared" si="99"/>
        <v>0.80806354245486356</v>
      </c>
      <c r="AN121" s="74">
        <f t="shared" si="77"/>
        <v>0.18990155136339903</v>
      </c>
      <c r="AO121" s="74">
        <f t="shared" si="78"/>
        <v>0.18990155136339903</v>
      </c>
      <c r="AP121" s="74">
        <f t="shared" si="79"/>
        <v>3.3699083264441721E-3</v>
      </c>
      <c r="AQ121" s="74">
        <f t="shared" si="80"/>
        <v>3.3699083264441721E-3</v>
      </c>
      <c r="AR121" s="74">
        <f t="shared" si="81"/>
        <v>0.80971122883985192</v>
      </c>
      <c r="AS121" s="74">
        <f t="shared" si="82"/>
        <v>0.19028877116014803</v>
      </c>
      <c r="AT121" s="74">
        <f t="shared" si="83"/>
        <v>2.0349061817374029E-3</v>
      </c>
      <c r="AU121" s="74">
        <f t="shared" si="84"/>
        <v>2.0349061817374029E-3</v>
      </c>
      <c r="AV121" s="74">
        <f t="shared" si="85"/>
        <v>0</v>
      </c>
      <c r="AW121" s="74">
        <f t="shared" si="86"/>
        <v>0</v>
      </c>
      <c r="AX121" s="74">
        <f t="shared" si="87"/>
        <v>2.0349061817374029E-3</v>
      </c>
      <c r="AY121" s="74">
        <f t="shared" si="88"/>
        <v>2.0349061817374029E-3</v>
      </c>
      <c r="AZ121" s="74">
        <f t="shared" si="89"/>
        <v>0</v>
      </c>
      <c r="BA121" s="74">
        <f t="shared" si="90"/>
        <v>1</v>
      </c>
      <c r="BB121" s="74">
        <f t="shared" si="91"/>
        <v>4.8917864869442503E-2</v>
      </c>
      <c r="BC121" s="74">
        <f t="shared" si="92"/>
        <v>4.8753569808600627E-2</v>
      </c>
      <c r="BD121" s="74">
        <f t="shared" si="93"/>
        <v>4.1790362637837537E-2</v>
      </c>
      <c r="BE121" s="75">
        <f t="shared" si="94"/>
        <v>4.8753569808600627E-2</v>
      </c>
    </row>
    <row r="122" spans="1:57" x14ac:dyDescent="0.35">
      <c r="A122" s="7" t="s">
        <v>33</v>
      </c>
      <c r="B122" s="11" t="s">
        <v>68</v>
      </c>
      <c r="C122" s="47">
        <f t="shared" si="62"/>
        <v>1.0631452400697414</v>
      </c>
      <c r="D122" s="23">
        <f t="shared" si="63"/>
        <v>0.70983413309792542</v>
      </c>
      <c r="E122" s="50">
        <f>[1]data!E122-[1]data!E84</f>
        <v>5.4602625622917067E-2</v>
      </c>
      <c r="F122" s="36">
        <f>[1]data!F122-[1]data!F84</f>
        <v>0.65523150747500836</v>
      </c>
      <c r="G122" s="36">
        <f>[1]data!G122-[1]data!G84</f>
        <v>0.353311106971816</v>
      </c>
      <c r="H122" s="25">
        <f t="shared" si="64"/>
        <v>0.75908356013035672</v>
      </c>
      <c r="I122" s="36">
        <f>[1]data!I122-[1]data!I84</f>
        <v>0</v>
      </c>
      <c r="J122" s="36">
        <f>[1]data!J122-[1]data!J84</f>
        <v>0.75908356013035672</v>
      </c>
      <c r="K122" s="36">
        <f>[1]data!K122-[1]data!K84</f>
        <v>1.3382996476205165</v>
      </c>
      <c r="L122" s="25">
        <f t="shared" si="65"/>
        <v>6.4899259095969566E-2</v>
      </c>
      <c r="M122" s="25">
        <f t="shared" si="66"/>
        <v>4.3331529487037168E-2</v>
      </c>
      <c r="N122" s="25">
        <f t="shared" si="67"/>
        <v>4.9298665981094211E-2</v>
      </c>
      <c r="O122" s="25">
        <f t="shared" si="68"/>
        <v>3.2915423510035777E-2</v>
      </c>
      <c r="P122" s="24">
        <f t="shared" si="69"/>
        <v>3.3331945759259192E-3</v>
      </c>
      <c r="Q122" s="40">
        <f t="shared" si="51"/>
        <v>2.5319556546181243E-3</v>
      </c>
      <c r="R122" s="40">
        <f t="shared" si="52"/>
        <v>3.9998334911111252E-2</v>
      </c>
      <c r="S122" s="40">
        <f t="shared" si="53"/>
        <v>3.0383467855417651E-2</v>
      </c>
      <c r="T122" s="40">
        <f t="shared" si="54"/>
        <v>2.1567729608932398E-2</v>
      </c>
      <c r="U122" s="40">
        <f t="shared" si="55"/>
        <v>1.6383242471058435E-2</v>
      </c>
      <c r="V122" s="25">
        <f t="shared" si="70"/>
        <v>4.6337940281009335E-2</v>
      </c>
      <c r="W122" s="25">
        <f t="shared" si="71"/>
        <v>3.519914821812254E-2</v>
      </c>
      <c r="X122" s="40">
        <f t="shared" si="56"/>
        <v>0</v>
      </c>
      <c r="Y122" s="40">
        <f t="shared" si="57"/>
        <v>0</v>
      </c>
      <c r="Z122" s="40">
        <f t="shared" si="58"/>
        <v>4.6337940281009335E-2</v>
      </c>
      <c r="AA122" s="40">
        <f t="shared" si="59"/>
        <v>3.519914821812254E-2</v>
      </c>
      <c r="AB122" s="40">
        <f t="shared" si="60"/>
        <v>8.1695945488380384E-2</v>
      </c>
      <c r="AC122" s="40">
        <f t="shared" si="61"/>
        <v>6.2057736632797164E-2</v>
      </c>
      <c r="AD122" s="26">
        <v>2156.5395714307001</v>
      </c>
      <c r="AE122" s="8">
        <v>1638.14696019506</v>
      </c>
      <c r="AF122" s="61">
        <f t="shared" si="72"/>
        <v>1.4689176932282821</v>
      </c>
      <c r="AG122" s="61">
        <f t="shared" si="73"/>
        <v>1.4689176932282821</v>
      </c>
      <c r="AH122" s="74">
        <f t="shared" si="74"/>
        <v>0.48323615160349986</v>
      </c>
      <c r="AI122" s="74">
        <f t="shared" si="97"/>
        <v>0.48323615160349986</v>
      </c>
      <c r="AJ122" s="74">
        <f t="shared" si="75"/>
        <v>0.48323615160349986</v>
      </c>
      <c r="AK122" s="74">
        <f t="shared" si="98"/>
        <v>0.48323615160349986</v>
      </c>
      <c r="AL122" s="74">
        <f t="shared" si="76"/>
        <v>0.44606413994169236</v>
      </c>
      <c r="AM122" s="74">
        <f t="shared" si="99"/>
        <v>0.44606413994169236</v>
      </c>
      <c r="AN122" s="74">
        <f t="shared" si="77"/>
        <v>3.7172011661807496E-2</v>
      </c>
      <c r="AO122" s="74">
        <f t="shared" si="78"/>
        <v>3.7172011661807496E-2</v>
      </c>
      <c r="AP122" s="74">
        <f t="shared" si="79"/>
        <v>0.24052478134110711</v>
      </c>
      <c r="AQ122" s="74">
        <f t="shared" si="80"/>
        <v>0.24052478134110711</v>
      </c>
      <c r="AR122" s="74">
        <f t="shared" si="81"/>
        <v>0.92307692307692346</v>
      </c>
      <c r="AS122" s="74">
        <f t="shared" si="82"/>
        <v>7.6923076923076539E-2</v>
      </c>
      <c r="AT122" s="74">
        <f t="shared" si="83"/>
        <v>0.51676384839650014</v>
      </c>
      <c r="AU122" s="74">
        <f t="shared" si="84"/>
        <v>0.51676384839650014</v>
      </c>
      <c r="AV122" s="74">
        <f t="shared" si="85"/>
        <v>0</v>
      </c>
      <c r="AW122" s="74">
        <f t="shared" si="86"/>
        <v>0</v>
      </c>
      <c r="AX122" s="74">
        <f t="shared" si="87"/>
        <v>0.51676384839650014</v>
      </c>
      <c r="AY122" s="74">
        <f t="shared" si="88"/>
        <v>0.51676384839650014</v>
      </c>
      <c r="AZ122" s="74">
        <f t="shared" si="89"/>
        <v>0</v>
      </c>
      <c r="BA122" s="74">
        <f t="shared" si="90"/>
        <v>1</v>
      </c>
      <c r="BB122" s="74">
        <f t="shared" si="91"/>
        <v>1.1123719937697889E-3</v>
      </c>
      <c r="BC122" s="74">
        <f t="shared" si="92"/>
        <v>8.9669469768046501E-4</v>
      </c>
      <c r="BD122" s="74">
        <f t="shared" si="93"/>
        <v>6.8114571728158317E-4</v>
      </c>
      <c r="BE122" s="75">
        <f t="shared" si="94"/>
        <v>8.9669469768046501E-4</v>
      </c>
    </row>
    <row r="123" spans="1:57" x14ac:dyDescent="0.35">
      <c r="A123" s="7" t="s">
        <v>34</v>
      </c>
      <c r="B123" s="11" t="s">
        <v>68</v>
      </c>
      <c r="C123" s="47">
        <f t="shared" si="62"/>
        <v>9.5341563582265767</v>
      </c>
      <c r="D123" s="23">
        <f t="shared" si="63"/>
        <v>8.919494114882724</v>
      </c>
      <c r="E123" s="50">
        <f>[1]data!E123-[1]data!E85</f>
        <v>-1.0503963879287284</v>
      </c>
      <c r="F123" s="36">
        <f>[1]data!F123-[1]data!F85</f>
        <v>9.9698905028114524</v>
      </c>
      <c r="G123" s="36">
        <f>[1]data!G123-[1]data!G85</f>
        <v>0.614662243343852</v>
      </c>
      <c r="H123" s="25">
        <f t="shared" si="64"/>
        <v>6.848682303147835</v>
      </c>
      <c r="I123" s="36">
        <f>[1]data!I123-[1]data!I85</f>
        <v>4.1453482675033571E-2</v>
      </c>
      <c r="J123" s="36">
        <f>[1]data!J123-[1]data!J85</f>
        <v>6.8072288204728011</v>
      </c>
      <c r="K123" s="36">
        <f>[1]data!K123-[1]data!K85</f>
        <v>-4.8979840922594775E-2</v>
      </c>
      <c r="L123" s="25">
        <f t="shared" si="65"/>
        <v>0.72014677861024501</v>
      </c>
      <c r="M123" s="25">
        <f t="shared" si="66"/>
        <v>0.67371927964275824</v>
      </c>
      <c r="N123" s="25">
        <f t="shared" si="67"/>
        <v>0.5306991026015474</v>
      </c>
      <c r="O123" s="25">
        <f t="shared" si="68"/>
        <v>0.49648519958912485</v>
      </c>
      <c r="P123" s="24">
        <f t="shared" si="69"/>
        <v>-7.9339959049236145E-2</v>
      </c>
      <c r="Q123" s="40">
        <f t="shared" si="51"/>
        <v>-5.8468143326461219E-2</v>
      </c>
      <c r="R123" s="40">
        <f t="shared" si="52"/>
        <v>0.75305923869199443</v>
      </c>
      <c r="S123" s="40">
        <f t="shared" si="53"/>
        <v>0.55495334291558607</v>
      </c>
      <c r="T123" s="40">
        <f t="shared" si="54"/>
        <v>4.6427498967486741E-2</v>
      </c>
      <c r="U123" s="40">
        <f t="shared" si="55"/>
        <v>3.4213903012422588E-2</v>
      </c>
      <c r="V123" s="25">
        <f t="shared" si="70"/>
        <v>0.51730392423040827</v>
      </c>
      <c r="W123" s="25">
        <f t="shared" si="71"/>
        <v>0.38121774132092329</v>
      </c>
      <c r="X123" s="40">
        <f t="shared" si="56"/>
        <v>3.1311204566980516E-3</v>
      </c>
      <c r="Y123" s="40">
        <f t="shared" si="57"/>
        <v>2.3074224114613901E-3</v>
      </c>
      <c r="Z123" s="40">
        <f t="shared" si="58"/>
        <v>0.51417280377371022</v>
      </c>
      <c r="AA123" s="40">
        <f t="shared" si="59"/>
        <v>0.37891031890946192</v>
      </c>
      <c r="AB123" s="40">
        <f t="shared" si="60"/>
        <v>-3.6996115158960808E-3</v>
      </c>
      <c r="AC123" s="40">
        <f t="shared" si="61"/>
        <v>-2.7263615831891594E-3</v>
      </c>
      <c r="AD123" s="26">
        <v>1796.5276955414199</v>
      </c>
      <c r="AE123" s="8">
        <v>1323.9184901480501</v>
      </c>
      <c r="AF123" s="61">
        <f t="shared" si="72"/>
        <v>15.76817641803056</v>
      </c>
      <c r="AG123" s="61">
        <f t="shared" si="73"/>
        <v>15.76817641803056</v>
      </c>
      <c r="AH123" s="74">
        <f t="shared" si="74"/>
        <v>0.56566427711218914</v>
      </c>
      <c r="AI123" s="74">
        <f t="shared" si="97"/>
        <v>0.56566427711218914</v>
      </c>
      <c r="AJ123" s="74">
        <f t="shared" si="75"/>
        <v>0.56566427711218914</v>
      </c>
      <c r="AK123" s="74">
        <f t="shared" si="98"/>
        <v>0.56566427711218914</v>
      </c>
      <c r="AL123" s="74">
        <f t="shared" si="76"/>
        <v>0.63227923372363493</v>
      </c>
      <c r="AM123" s="74">
        <f t="shared" si="99"/>
        <v>0.63227923372363493</v>
      </c>
      <c r="AN123" s="74">
        <f t="shared" si="77"/>
        <v>-6.6614956611445786E-2</v>
      </c>
      <c r="AO123" s="74">
        <f t="shared" si="78"/>
        <v>-6.6614956611445786E-2</v>
      </c>
      <c r="AP123" s="74">
        <f t="shared" si="79"/>
        <v>3.8981187617928945E-2</v>
      </c>
      <c r="AQ123" s="74">
        <f t="shared" si="80"/>
        <v>3.8981187617928945E-2</v>
      </c>
      <c r="AR123" s="74">
        <f t="shared" si="81"/>
        <v>1.1177641214176124</v>
      </c>
      <c r="AS123" s="74">
        <f t="shared" si="82"/>
        <v>-0.1177641214176124</v>
      </c>
      <c r="AT123" s="74">
        <f t="shared" si="83"/>
        <v>0.43433572288781086</v>
      </c>
      <c r="AU123" s="74">
        <f t="shared" si="84"/>
        <v>0.43433572288781086</v>
      </c>
      <c r="AV123" s="74">
        <f t="shared" si="85"/>
        <v>2.6289332118096063E-3</v>
      </c>
      <c r="AW123" s="74">
        <f t="shared" si="86"/>
        <v>2.6289332118096063E-3</v>
      </c>
      <c r="AX123" s="74">
        <f t="shared" si="87"/>
        <v>0.43170678967600123</v>
      </c>
      <c r="AY123" s="74">
        <f t="shared" si="88"/>
        <v>0.43170678967600123</v>
      </c>
      <c r="AZ123" s="74">
        <f t="shared" si="89"/>
        <v>6.0527676478700811E-3</v>
      </c>
      <c r="BA123" s="74">
        <f t="shared" si="90"/>
        <v>0.99394723235212989</v>
      </c>
      <c r="BB123" s="74">
        <f t="shared" si="91"/>
        <v>1.2374507028406532E-2</v>
      </c>
      <c r="BC123" s="74">
        <f t="shared" si="92"/>
        <v>1.1910232038731667E-2</v>
      </c>
      <c r="BD123" s="74">
        <f t="shared" si="93"/>
        <v>8.7770294091004831E-3</v>
      </c>
      <c r="BE123" s="75">
        <f t="shared" si="94"/>
        <v>1.1910232038731667E-2</v>
      </c>
    </row>
    <row r="124" spans="1:57" x14ac:dyDescent="0.35">
      <c r="A124" s="7" t="s">
        <v>35</v>
      </c>
      <c r="B124" s="11" t="s">
        <v>68</v>
      </c>
      <c r="C124" s="47">
        <f t="shared" si="62"/>
        <v>202.45504838486696</v>
      </c>
      <c r="D124" s="23">
        <f t="shared" si="63"/>
        <v>198.6165912845168</v>
      </c>
      <c r="E124" s="50">
        <f>[1]data!E124-[1]data!E86</f>
        <v>163.23905692925098</v>
      </c>
      <c r="F124" s="36">
        <f>[1]data!F124-[1]data!F86</f>
        <v>35.377534355265823</v>
      </c>
      <c r="G124" s="36">
        <f>[1]data!G124-[1]data!G86</f>
        <v>3.838457100350162</v>
      </c>
      <c r="H124" s="25">
        <f t="shared" si="64"/>
        <v>-0.29967103393953343</v>
      </c>
      <c r="I124" s="36">
        <f>[1]data!I124-[1]data!I86</f>
        <v>-8.7880068603984896E-4</v>
      </c>
      <c r="J124" s="36">
        <f>[1]data!J124-[1]data!J86</f>
        <v>-0.29879223325349358</v>
      </c>
      <c r="K124" s="36">
        <f>[1]data!K124-[1]data!K86</f>
        <v>0</v>
      </c>
      <c r="L124" s="25">
        <f t="shared" si="65"/>
        <v>6.4121051282528327</v>
      </c>
      <c r="M124" s="25">
        <f t="shared" si="66"/>
        <v>6.2905344850207348</v>
      </c>
      <c r="N124" s="25">
        <f t="shared" si="67"/>
        <v>6.8815720937399938</v>
      </c>
      <c r="O124" s="25">
        <f t="shared" si="68"/>
        <v>6.7511005669713766</v>
      </c>
      <c r="P124" s="24">
        <f t="shared" si="69"/>
        <v>5.1700661574880495</v>
      </c>
      <c r="Q124" s="40">
        <f t="shared" si="51"/>
        <v>5.5485963315535418</v>
      </c>
      <c r="R124" s="40">
        <f t="shared" si="52"/>
        <v>1.1204683275326854</v>
      </c>
      <c r="S124" s="40">
        <f t="shared" si="53"/>
        <v>1.2025042354178348</v>
      </c>
      <c r="T124" s="40">
        <f t="shared" si="54"/>
        <v>0.12157064323209787</v>
      </c>
      <c r="U124" s="40">
        <f t="shared" si="55"/>
        <v>0.13047152676861692</v>
      </c>
      <c r="V124" s="25">
        <f t="shared" si="70"/>
        <v>-9.4911052544350387E-3</v>
      </c>
      <c r="W124" s="25">
        <f t="shared" si="71"/>
        <v>-1.0186003465521135E-2</v>
      </c>
      <c r="X124" s="40">
        <f t="shared" si="56"/>
        <v>-2.7833153238817549E-5</v>
      </c>
      <c r="Y124" s="40">
        <f t="shared" si="57"/>
        <v>-2.9870977904759547E-5</v>
      </c>
      <c r="Z124" s="40">
        <f t="shared" si="58"/>
        <v>-9.4632721011962215E-3</v>
      </c>
      <c r="AA124" s="40">
        <f t="shared" si="59"/>
        <v>-1.0156132487616374E-2</v>
      </c>
      <c r="AB124" s="40">
        <f t="shared" si="60"/>
        <v>0</v>
      </c>
      <c r="AC124" s="40">
        <f t="shared" si="61"/>
        <v>0</v>
      </c>
      <c r="AD124" s="26">
        <v>2941.9883367789698</v>
      </c>
      <c r="AE124" s="8">
        <v>3157.38816403392</v>
      </c>
      <c r="AF124" s="61">
        <f t="shared" si="72"/>
        <v>198.31692025057725</v>
      </c>
      <c r="AG124" s="61">
        <f>(D124)+(H124*-1)</f>
        <v>198.91626231845635</v>
      </c>
      <c r="AH124" s="74">
        <f t="shared" si="74"/>
        <v>0.99849348147583938</v>
      </c>
      <c r="AI124" s="74">
        <f t="shared" si="97"/>
        <v>0.99849348147583938</v>
      </c>
      <c r="AJ124" s="74">
        <f t="shared" si="75"/>
        <v>1.001511071438387</v>
      </c>
      <c r="AK124" s="74">
        <f t="shared" si="98"/>
        <v>1.001511071438387</v>
      </c>
      <c r="AL124" s="74">
        <f t="shared" si="76"/>
        <v>0.17785139305819006</v>
      </c>
      <c r="AM124" s="74">
        <f t="shared" si="99"/>
        <v>0.17838888537884526</v>
      </c>
      <c r="AN124" s="74">
        <f t="shared" si="77"/>
        <v>0.8206420884176493</v>
      </c>
      <c r="AO124" s="74">
        <f t="shared" si="78"/>
        <v>0.8231221860595419</v>
      </c>
      <c r="AP124" s="74">
        <f t="shared" si="79"/>
        <v>1.9296849114352237E-2</v>
      </c>
      <c r="AQ124" s="74">
        <f t="shared" si="80"/>
        <v>1.9355166949447365E-2</v>
      </c>
      <c r="AR124" s="74">
        <f t="shared" si="81"/>
        <v>0.1781197337365828</v>
      </c>
      <c r="AS124" s="74">
        <f t="shared" si="82"/>
        <v>0.82188026626341726</v>
      </c>
      <c r="AT124" s="74">
        <f t="shared" si="83"/>
        <v>-1.5065185241605488E-3</v>
      </c>
      <c r="AU124" s="74">
        <f t="shared" si="84"/>
        <v>-1.5110714383870689E-3</v>
      </c>
      <c r="AV124" s="74">
        <f t="shared" si="85"/>
        <v>-4.417942886102128E-6</v>
      </c>
      <c r="AW124" s="74">
        <f t="shared" si="86"/>
        <v>-4.431294540725357E-6</v>
      </c>
      <c r="AX124" s="74">
        <f t="shared" si="87"/>
        <v>-1.5021005812744467E-3</v>
      </c>
      <c r="AY124" s="74">
        <f t="shared" si="88"/>
        <v>-1.5066401438463438E-3</v>
      </c>
      <c r="AZ124" s="74">
        <f t="shared" si="89"/>
        <v>2.9325513196486329E-3</v>
      </c>
      <c r="BA124" s="74">
        <f t="shared" si="90"/>
        <v>0.99706744868035135</v>
      </c>
      <c r="BB124" s="74">
        <f t="shared" si="91"/>
        <v>6.4026140229983972E-2</v>
      </c>
      <c r="BC124" s="74">
        <f t="shared" si="92"/>
        <v>6.2810433797663004E-2</v>
      </c>
      <c r="BD124" s="74">
        <f t="shared" si="93"/>
        <v>6.7409145635058551E-2</v>
      </c>
      <c r="BE124" s="75">
        <f t="shared" si="94"/>
        <v>6.3000255902751712E-2</v>
      </c>
    </row>
    <row r="125" spans="1:57" x14ac:dyDescent="0.35">
      <c r="A125" s="7" t="s">
        <v>36</v>
      </c>
      <c r="B125" s="11" t="s">
        <v>68</v>
      </c>
      <c r="C125" s="47">
        <f t="shared" si="62"/>
        <v>1054.3</v>
      </c>
      <c r="D125" s="23">
        <f t="shared" si="63"/>
        <v>1054.3</v>
      </c>
      <c r="E125" s="50">
        <f>[1]data!E125-[1]data!E87</f>
        <v>179.8</v>
      </c>
      <c r="F125" s="36">
        <f>[1]data!F125-[1]data!F87</f>
        <v>874.5</v>
      </c>
      <c r="G125" s="36">
        <f>[1]data!G125-[1]data!G87</f>
        <v>0</v>
      </c>
      <c r="H125" s="25">
        <f t="shared" si="64"/>
        <v>0</v>
      </c>
      <c r="I125" s="36">
        <f>[1]data!I125-[1]data!I87</f>
        <v>0</v>
      </c>
      <c r="J125" s="36">
        <f>[1]data!J125-[1]data!J87</f>
        <v>0</v>
      </c>
      <c r="K125" s="36">
        <f>[1]data!K125-[1]data!K87</f>
        <v>0</v>
      </c>
      <c r="L125" s="25">
        <f t="shared" si="65"/>
        <v>5.2902870798831074</v>
      </c>
      <c r="M125" s="25">
        <f t="shared" si="66"/>
        <v>5.2902870798831074</v>
      </c>
      <c r="N125" s="25">
        <f t="shared" si="67"/>
        <v>5.2783053488644844</v>
      </c>
      <c r="O125" s="25">
        <f t="shared" si="68"/>
        <v>5.2783053488644844</v>
      </c>
      <c r="P125" s="24">
        <f t="shared" si="69"/>
        <v>0.90220394286539185</v>
      </c>
      <c r="Q125" s="40">
        <f t="shared" si="51"/>
        <v>0.90016058211688732</v>
      </c>
      <c r="R125" s="40">
        <f t="shared" si="52"/>
        <v>4.3880831370177154</v>
      </c>
      <c r="S125" s="40">
        <f t="shared" si="53"/>
        <v>4.3781447667475968</v>
      </c>
      <c r="T125" s="40">
        <f t="shared" si="54"/>
        <v>0</v>
      </c>
      <c r="U125" s="40">
        <f t="shared" si="55"/>
        <v>0</v>
      </c>
      <c r="V125" s="25">
        <f t="shared" si="70"/>
        <v>0</v>
      </c>
      <c r="W125" s="25">
        <f t="shared" si="71"/>
        <v>0</v>
      </c>
      <c r="X125" s="40">
        <f t="shared" si="56"/>
        <v>0</v>
      </c>
      <c r="Y125" s="40">
        <f t="shared" si="57"/>
        <v>0</v>
      </c>
      <c r="Z125" s="40">
        <f t="shared" si="58"/>
        <v>0</v>
      </c>
      <c r="AA125" s="40">
        <f t="shared" si="59"/>
        <v>0</v>
      </c>
      <c r="AB125" s="40">
        <f t="shared" si="60"/>
        <v>0</v>
      </c>
      <c r="AC125" s="40">
        <f t="shared" si="61"/>
        <v>0</v>
      </c>
      <c r="AD125" s="26">
        <v>19974.2138871676</v>
      </c>
      <c r="AE125" s="8">
        <v>19928.975197</v>
      </c>
      <c r="AF125" s="61">
        <f t="shared" si="72"/>
        <v>1054.3</v>
      </c>
      <c r="AG125" s="61">
        <f t="shared" si="73"/>
        <v>1054.3</v>
      </c>
      <c r="AH125" s="74">
        <f t="shared" si="74"/>
        <v>1</v>
      </c>
      <c r="AI125" s="74">
        <f t="shared" si="97"/>
        <v>1</v>
      </c>
      <c r="AJ125" s="74">
        <f t="shared" si="75"/>
        <v>1</v>
      </c>
      <c r="AK125" s="74">
        <f t="shared" si="98"/>
        <v>1</v>
      </c>
      <c r="AL125" s="74">
        <f t="shared" si="76"/>
        <v>0.82946030541591576</v>
      </c>
      <c r="AM125" s="74">
        <f t="shared" si="99"/>
        <v>0.82946030541591576</v>
      </c>
      <c r="AN125" s="74">
        <f t="shared" si="77"/>
        <v>0.17053969458408424</v>
      </c>
      <c r="AO125" s="74">
        <f t="shared" si="78"/>
        <v>0.17053969458408424</v>
      </c>
      <c r="AP125" s="74">
        <f t="shared" si="79"/>
        <v>0</v>
      </c>
      <c r="AQ125" s="74">
        <f t="shared" si="80"/>
        <v>0</v>
      </c>
      <c r="AR125" s="74">
        <f t="shared" si="81"/>
        <v>0.82946030541591576</v>
      </c>
      <c r="AS125" s="74">
        <f t="shared" si="82"/>
        <v>0.17053969458408424</v>
      </c>
      <c r="AT125" s="74">
        <f t="shared" si="83"/>
        <v>0</v>
      </c>
      <c r="AU125" s="74">
        <f t="shared" si="84"/>
        <v>0</v>
      </c>
      <c r="AV125" s="74">
        <f t="shared" si="85"/>
        <v>0</v>
      </c>
      <c r="AW125" s="74">
        <f t="shared" si="86"/>
        <v>0</v>
      </c>
      <c r="AX125" s="74">
        <f t="shared" si="87"/>
        <v>0</v>
      </c>
      <c r="AY125" s="74">
        <f t="shared" si="88"/>
        <v>0</v>
      </c>
      <c r="AZ125" s="74" t="e">
        <f t="shared" si="89"/>
        <v>#DIV/0!</v>
      </c>
      <c r="BA125" s="74" t="e">
        <f t="shared" si="90"/>
        <v>#DIV/0!</v>
      </c>
      <c r="BB125" s="74">
        <f t="shared" si="91"/>
        <v>5.2902870798831068E-2</v>
      </c>
      <c r="BC125" s="74">
        <f t="shared" si="92"/>
        <v>5.2902870798831068E-2</v>
      </c>
      <c r="BD125" s="74">
        <f t="shared" si="93"/>
        <v>5.2783053488644836E-2</v>
      </c>
      <c r="BE125" s="75">
        <f t="shared" si="94"/>
        <v>5.2902870798831068E-2</v>
      </c>
    </row>
    <row r="126" spans="1:57" x14ac:dyDescent="0.35">
      <c r="A126" s="7" t="s">
        <v>37</v>
      </c>
      <c r="B126" s="11" t="s">
        <v>68</v>
      </c>
      <c r="C126" s="47">
        <f t="shared" si="62"/>
        <v>2.6756517035228971</v>
      </c>
      <c r="D126" s="23">
        <f t="shared" si="63"/>
        <v>0.48248815777999443</v>
      </c>
      <c r="E126" s="50">
        <f>[1]data!E126-[1]data!E88</f>
        <v>0.51497751595394803</v>
      </c>
      <c r="F126" s="36">
        <f>[1]data!F126-[1]data!F88</f>
        <v>-3.2489358173953597E-2</v>
      </c>
      <c r="G126" s="36">
        <f>[1]data!G126-[1]data!G88</f>
        <v>2.1931635457429026</v>
      </c>
      <c r="H126" s="25">
        <f t="shared" si="64"/>
        <v>1.2548321813173946</v>
      </c>
      <c r="I126" s="36">
        <f>[1]data!I126-[1]data!I88</f>
        <v>0.10436173005807836</v>
      </c>
      <c r="J126" s="36">
        <f>[1]data!J126-[1]data!J88</f>
        <v>1.1504704512593162</v>
      </c>
      <c r="K126" s="36">
        <f>[1]data!K126-[1]data!K88</f>
        <v>7.6165976297277194</v>
      </c>
      <c r="L126" s="25">
        <f t="shared" si="65"/>
        <v>0.20917397713870886</v>
      </c>
      <c r="M126" s="25">
        <f t="shared" si="66"/>
        <v>3.7719396269809247E-2</v>
      </c>
      <c r="N126" s="25">
        <f t="shared" si="67"/>
        <v>0.11234362634872896</v>
      </c>
      <c r="O126" s="25">
        <f t="shared" si="68"/>
        <v>2.0258417507762302E-2</v>
      </c>
      <c r="P126" s="24">
        <f t="shared" si="69"/>
        <v>4.0259311407112815E-2</v>
      </c>
      <c r="Q126" s="40">
        <f t="shared" si="51"/>
        <v>2.1622560796740808E-2</v>
      </c>
      <c r="R126" s="40">
        <f t="shared" si="52"/>
        <v>-2.5399151373035715E-3</v>
      </c>
      <c r="S126" s="40">
        <f t="shared" si="53"/>
        <v>-1.3641432889785058E-3</v>
      </c>
      <c r="T126" s="40">
        <f t="shared" si="54"/>
        <v>0.17145458086889961</v>
      </c>
      <c r="U126" s="40">
        <f t="shared" si="55"/>
        <v>9.2085208840966659E-2</v>
      </c>
      <c r="V126" s="25">
        <f t="shared" si="70"/>
        <v>9.8098806231845817E-2</v>
      </c>
      <c r="W126" s="25">
        <f t="shared" si="71"/>
        <v>5.2687125728162067E-2</v>
      </c>
      <c r="X126" s="40">
        <f t="shared" si="56"/>
        <v>8.1586695714477471E-3</v>
      </c>
      <c r="Y126" s="40">
        <f t="shared" si="57"/>
        <v>4.3818764569823389E-3</v>
      </c>
      <c r="Z126" s="40">
        <f t="shared" si="58"/>
        <v>8.9940136660398073E-2</v>
      </c>
      <c r="AA126" s="40">
        <f t="shared" si="59"/>
        <v>4.8305249271179726E-2</v>
      </c>
      <c r="AB126" s="40">
        <f t="shared" si="60"/>
        <v>0.59544148305167333</v>
      </c>
      <c r="AC126" s="40">
        <f t="shared" si="61"/>
        <v>0.31980104026100237</v>
      </c>
      <c r="AD126" s="26">
        <v>2381.6675591522499</v>
      </c>
      <c r="AE126" s="8">
        <v>1279.1513266244399</v>
      </c>
      <c r="AF126" s="61">
        <f t="shared" si="72"/>
        <v>1.737320339097389</v>
      </c>
      <c r="AG126" s="61">
        <f t="shared" si="73"/>
        <v>1.737320339097389</v>
      </c>
      <c r="AH126" s="74">
        <f t="shared" si="74"/>
        <v>0.27771974282570555</v>
      </c>
      <c r="AI126" s="74">
        <f t="shared" si="97"/>
        <v>0.27771974282570555</v>
      </c>
      <c r="AJ126" s="74">
        <f t="shared" si="75"/>
        <v>0.27771974282570555</v>
      </c>
      <c r="AK126" s="74">
        <f t="shared" si="98"/>
        <v>0.27771974282570555</v>
      </c>
      <c r="AL126" s="74">
        <f t="shared" si="76"/>
        <v>-1.8700844883237356E-2</v>
      </c>
      <c r="AM126" s="74">
        <f t="shared" si="99"/>
        <v>-1.8700844883237356E-2</v>
      </c>
      <c r="AN126" s="74">
        <f t="shared" si="77"/>
        <v>0.29642058770894292</v>
      </c>
      <c r="AO126" s="74">
        <f t="shared" si="78"/>
        <v>0.29642058770894292</v>
      </c>
      <c r="AP126" s="74">
        <f t="shared" si="79"/>
        <v>1.262382933295044</v>
      </c>
      <c r="AQ126" s="74">
        <f t="shared" si="80"/>
        <v>1.262382933295044</v>
      </c>
      <c r="AR126" s="74">
        <f t="shared" si="81"/>
        <v>-6.7337110041088583E-2</v>
      </c>
      <c r="AS126" s="74">
        <f t="shared" si="82"/>
        <v>1.0673371100410887</v>
      </c>
      <c r="AT126" s="74">
        <f t="shared" si="83"/>
        <v>0.72228025717429445</v>
      </c>
      <c r="AU126" s="74">
        <f t="shared" si="84"/>
        <v>0.72228025717429445</v>
      </c>
      <c r="AV126" s="74">
        <f t="shared" si="85"/>
        <v>6.007051647843982E-2</v>
      </c>
      <c r="AW126" s="74">
        <f t="shared" si="86"/>
        <v>6.007051647843982E-2</v>
      </c>
      <c r="AX126" s="74">
        <f t="shared" si="87"/>
        <v>0.66220974069585459</v>
      </c>
      <c r="AY126" s="74">
        <f t="shared" si="88"/>
        <v>0.66220974069585459</v>
      </c>
      <c r="AZ126" s="74">
        <f t="shared" si="89"/>
        <v>8.3167878232540585E-2</v>
      </c>
      <c r="BA126" s="74">
        <f t="shared" si="90"/>
        <v>0.91683212176745943</v>
      </c>
      <c r="BB126" s="74">
        <f t="shared" si="91"/>
        <v>3.0727278337055468E-3</v>
      </c>
      <c r="BC126" s="74">
        <f t="shared" si="92"/>
        <v>1.3581820250165508E-3</v>
      </c>
      <c r="BD126" s="74">
        <f t="shared" si="93"/>
        <v>7.2945543235924373E-4</v>
      </c>
      <c r="BE126" s="75">
        <f t="shared" si="94"/>
        <v>1.3581820250165508E-3</v>
      </c>
    </row>
    <row r="127" spans="1:57" x14ac:dyDescent="0.35">
      <c r="A127" s="7" t="s">
        <v>38</v>
      </c>
      <c r="B127" s="11" t="s">
        <v>68</v>
      </c>
      <c r="C127" s="47">
        <f t="shared" si="62"/>
        <v>2.9555531427100137</v>
      </c>
      <c r="D127" s="23">
        <f t="shared" si="63"/>
        <v>2.7067390270690295</v>
      </c>
      <c r="E127" s="50">
        <f>[1]data!E127-[1]data!E89</f>
        <v>6.3428250262197894E-2</v>
      </c>
      <c r="F127" s="36">
        <f>[1]data!F127-[1]data!F89</f>
        <v>2.6433107768068318</v>
      </c>
      <c r="G127" s="36">
        <f>[1]data!G127-[1]data!G89</f>
        <v>0.24881411564098421</v>
      </c>
      <c r="H127" s="25">
        <f t="shared" si="64"/>
        <v>-22.669021019982804</v>
      </c>
      <c r="I127" s="36">
        <f>[1]data!I127-[1]data!I89</f>
        <v>8.8709204053682544E-2</v>
      </c>
      <c r="J127" s="36">
        <f>[1]data!J127-[1]data!J89</f>
        <v>-22.757730224036486</v>
      </c>
      <c r="K127" s="36">
        <f>[1]data!K127-[1]data!K89</f>
        <v>2.2309957558467346</v>
      </c>
      <c r="L127" s="25">
        <f t="shared" si="65"/>
        <v>0.29642872626636196</v>
      </c>
      <c r="M127" s="25">
        <f t="shared" si="66"/>
        <v>0.27147378625505836</v>
      </c>
      <c r="N127" s="25">
        <f t="shared" si="67"/>
        <v>0.12664213544793543</v>
      </c>
      <c r="O127" s="25">
        <f t="shared" si="68"/>
        <v>0.11598072981153694</v>
      </c>
      <c r="P127" s="24">
        <f t="shared" si="69"/>
        <v>6.3615690622593297E-3</v>
      </c>
      <c r="Q127" s="40">
        <f t="shared" si="51"/>
        <v>2.7178293446503405E-3</v>
      </c>
      <c r="R127" s="40">
        <f t="shared" si="52"/>
        <v>0.26511221719279904</v>
      </c>
      <c r="S127" s="40">
        <f t="shared" si="53"/>
        <v>0.1132629004668866</v>
      </c>
      <c r="T127" s="40">
        <f t="shared" si="54"/>
        <v>2.4954940011303602E-2</v>
      </c>
      <c r="U127" s="40">
        <f t="shared" si="55"/>
        <v>1.0661405636398481E-2</v>
      </c>
      <c r="V127" s="25">
        <f t="shared" si="70"/>
        <v>-2.2736011508483305</v>
      </c>
      <c r="W127" s="25">
        <f t="shared" si="71"/>
        <v>-0.97134211156575812</v>
      </c>
      <c r="X127" s="40">
        <f t="shared" si="56"/>
        <v>8.8971353570805843E-3</v>
      </c>
      <c r="Y127" s="40">
        <f t="shared" si="57"/>
        <v>3.8010898443680153E-3</v>
      </c>
      <c r="Z127" s="40">
        <f t="shared" si="58"/>
        <v>-2.2824982862054108</v>
      </c>
      <c r="AA127" s="40">
        <f t="shared" si="59"/>
        <v>-0.97514320141012611</v>
      </c>
      <c r="AB127" s="40">
        <f t="shared" si="60"/>
        <v>0.2237588695850406</v>
      </c>
      <c r="AC127" s="40">
        <f t="shared" si="61"/>
        <v>9.5595664518028478E-2</v>
      </c>
      <c r="AD127" s="26">
        <v>2333.7834064911899</v>
      </c>
      <c r="AE127" s="8">
        <v>997.05355143423003</v>
      </c>
      <c r="AF127" s="61">
        <f t="shared" si="72"/>
        <v>-19.962281992913773</v>
      </c>
      <c r="AG127" s="61">
        <f>(D127)+(H127*-1)</f>
        <v>25.375760047051834</v>
      </c>
      <c r="AH127" s="74">
        <f t="shared" si="74"/>
        <v>0.10666632337514949</v>
      </c>
      <c r="AI127" s="74">
        <f t="shared" si="97"/>
        <v>0.10666632337514949</v>
      </c>
      <c r="AJ127" s="74">
        <f>(($D127)/(AF127))*-1</f>
        <v>0.13559266560956656</v>
      </c>
      <c r="AK127" s="74">
        <f t="shared" si="98"/>
        <v>-0.13559266560956656</v>
      </c>
      <c r="AL127" s="74">
        <f t="shared" si="76"/>
        <v>0.10416676276515835</v>
      </c>
      <c r="AM127" s="74">
        <f t="shared" si="99"/>
        <v>-0.13241526082765268</v>
      </c>
      <c r="AN127" s="74">
        <f t="shared" si="77"/>
        <v>2.4995606099911484E-3</v>
      </c>
      <c r="AO127" s="74">
        <f t="shared" si="78"/>
        <v>-3.1774047819138965E-3</v>
      </c>
      <c r="AP127" s="74">
        <f t="shared" si="79"/>
        <v>9.8051886989643702E-3</v>
      </c>
      <c r="AQ127" s="74">
        <f t="shared" si="80"/>
        <v>-1.2464212043959125E-2</v>
      </c>
      <c r="AR127" s="74">
        <f t="shared" si="81"/>
        <v>0.9765665438640827</v>
      </c>
      <c r="AS127" s="74">
        <f t="shared" si="82"/>
        <v>2.3433456135917418E-2</v>
      </c>
      <c r="AT127" s="74">
        <f t="shared" si="83"/>
        <v>-0.89333367662485053</v>
      </c>
      <c r="AU127" s="74">
        <f t="shared" si="84"/>
        <v>1.1355926656095665</v>
      </c>
      <c r="AV127" s="74">
        <f t="shared" si="85"/>
        <v>3.4958245147809403E-3</v>
      </c>
      <c r="AW127" s="74">
        <f t="shared" si="86"/>
        <v>-4.4438408437057755E-3</v>
      </c>
      <c r="AX127" s="74">
        <f t="shared" si="87"/>
        <v>-0.89682950113963145</v>
      </c>
      <c r="AY127" s="74">
        <f t="shared" si="88"/>
        <v>1.1400365064532725</v>
      </c>
      <c r="AZ127" s="74">
        <f t="shared" si="89"/>
        <v>-3.9132348933588771E-3</v>
      </c>
      <c r="BA127" s="74">
        <f t="shared" si="90"/>
        <v>1.0039132348933588</v>
      </c>
      <c r="BB127" s="74">
        <f t="shared" si="91"/>
        <v>-1.9771724245819685E-2</v>
      </c>
      <c r="BC127" s="74">
        <f t="shared" si="92"/>
        <v>-2.002127364593272E-2</v>
      </c>
      <c r="BD127" s="74">
        <f t="shared" si="93"/>
        <v>-8.5536138175422109E-3</v>
      </c>
      <c r="BE127" s="75">
        <f t="shared" si="94"/>
        <v>2.5450749371033889E-2</v>
      </c>
    </row>
    <row r="128" spans="1:57" x14ac:dyDescent="0.35">
      <c r="A128" s="9" t="s">
        <v>39</v>
      </c>
      <c r="B128" s="11" t="s">
        <v>68</v>
      </c>
      <c r="C128" s="47">
        <f t="shared" si="62"/>
        <v>-0.15673549095230843</v>
      </c>
      <c r="D128" s="23">
        <f t="shared" si="63"/>
        <v>-0.15673549095230843</v>
      </c>
      <c r="E128" s="50">
        <f>[1]data!E128-[1]data!E90</f>
        <v>-8.8163713660671661E-3</v>
      </c>
      <c r="F128" s="36">
        <f>[1]data!F128-[1]data!F90</f>
        <v>-0.14791911958624127</v>
      </c>
      <c r="G128" s="36">
        <f>[1]data!G128-[1]data!G90</f>
        <v>0</v>
      </c>
      <c r="H128" s="25">
        <f t="shared" si="64"/>
        <v>-4.4081856830334942E-2</v>
      </c>
      <c r="I128" s="36">
        <f>[1]data!I128-[1]data!I90</f>
        <v>0</v>
      </c>
      <c r="J128" s="36">
        <f>[1]data!J128-[1]data!J90</f>
        <v>-4.4081856830334942E-2</v>
      </c>
      <c r="K128" s="36">
        <f>[1]data!K128-[1]data!K90</f>
        <v>0</v>
      </c>
      <c r="L128" s="25">
        <f t="shared" si="65"/>
        <v>-3.7863429173517947E-2</v>
      </c>
      <c r="M128" s="25">
        <f t="shared" si="66"/>
        <v>-3.7863429173517947E-2</v>
      </c>
      <c r="N128" s="25">
        <f t="shared" si="67"/>
        <v>-3.3447667807115757E-2</v>
      </c>
      <c r="O128" s="25">
        <f t="shared" si="68"/>
        <v>-3.3447667807115757E-2</v>
      </c>
      <c r="P128" s="24">
        <f t="shared" si="69"/>
        <v>-2.1298178910103406E-3</v>
      </c>
      <c r="Q128" s="40">
        <f t="shared" si="51"/>
        <v>-1.8814313141502224E-3</v>
      </c>
      <c r="R128" s="40">
        <f t="shared" si="52"/>
        <v>-3.5733611282507606E-2</v>
      </c>
      <c r="S128" s="40">
        <f t="shared" si="53"/>
        <v>-3.1566236492965534E-2</v>
      </c>
      <c r="T128" s="40">
        <f t="shared" si="54"/>
        <v>0</v>
      </c>
      <c r="U128" s="40">
        <f t="shared" si="55"/>
        <v>0</v>
      </c>
      <c r="V128" s="25">
        <f t="shared" si="70"/>
        <v>-1.0649089455051487E-2</v>
      </c>
      <c r="W128" s="25">
        <f t="shared" si="71"/>
        <v>-9.4071565707509221E-3</v>
      </c>
      <c r="X128" s="40">
        <f t="shared" si="56"/>
        <v>0</v>
      </c>
      <c r="Y128" s="40">
        <f t="shared" si="57"/>
        <v>0</v>
      </c>
      <c r="Z128" s="40">
        <f t="shared" si="58"/>
        <v>-1.0649089455051487E-2</v>
      </c>
      <c r="AA128" s="40">
        <f t="shared" si="59"/>
        <v>-9.4071565707509221E-3</v>
      </c>
      <c r="AB128" s="40">
        <f t="shared" si="60"/>
        <v>0</v>
      </c>
      <c r="AC128" s="40">
        <f t="shared" si="61"/>
        <v>0</v>
      </c>
      <c r="AD128" s="26">
        <v>468.59916169988998</v>
      </c>
      <c r="AE128" s="8">
        <v>413.94954015926999</v>
      </c>
      <c r="AF128" s="61">
        <f t="shared" si="72"/>
        <v>-0.20081734778264337</v>
      </c>
      <c r="AG128" s="61">
        <f>(D128*-1)+(H128*-1)</f>
        <v>0.20081734778264337</v>
      </c>
      <c r="AH128" s="74">
        <f>($D128/$AG128)*-1</f>
        <v>0.7804878048780558</v>
      </c>
      <c r="AI128" s="74">
        <f t="shared" si="97"/>
        <v>-0.7804878048780558</v>
      </c>
      <c r="AJ128" s="74">
        <f t="shared" si="75"/>
        <v>0.7804878048780558</v>
      </c>
      <c r="AK128" s="74">
        <f t="shared" si="98"/>
        <v>0.7804878048780558</v>
      </c>
      <c r="AL128" s="74">
        <f t="shared" si="76"/>
        <v>-0.73658536585366607</v>
      </c>
      <c r="AM128" s="74">
        <f t="shared" si="99"/>
        <v>0.73658536585366607</v>
      </c>
      <c r="AN128" s="74">
        <f t="shared" si="77"/>
        <v>-4.3902439024389728E-2</v>
      </c>
      <c r="AO128" s="74">
        <f t="shared" si="78"/>
        <v>4.3902439024389728E-2</v>
      </c>
      <c r="AP128" s="74">
        <f t="shared" si="79"/>
        <v>0</v>
      </c>
      <c r="AQ128" s="74">
        <f t="shared" si="80"/>
        <v>0</v>
      </c>
      <c r="AR128" s="74">
        <f t="shared" si="81"/>
        <v>0.9437500000000012</v>
      </c>
      <c r="AS128" s="74">
        <f t="shared" si="82"/>
        <v>5.6249999999998829E-2</v>
      </c>
      <c r="AT128" s="74">
        <f t="shared" si="83"/>
        <v>-0.2195121951219442</v>
      </c>
      <c r="AU128" s="74">
        <f t="shared" si="84"/>
        <v>0.2195121951219442</v>
      </c>
      <c r="AV128" s="74">
        <f t="shared" si="85"/>
        <v>0</v>
      </c>
      <c r="AW128" s="74">
        <f t="shared" si="86"/>
        <v>0</v>
      </c>
      <c r="AX128" s="74">
        <f t="shared" si="87"/>
        <v>-0.2195121951219442</v>
      </c>
      <c r="AY128" s="74">
        <f t="shared" si="88"/>
        <v>0.2195121951219442</v>
      </c>
      <c r="AZ128" s="74">
        <f t="shared" si="89"/>
        <v>0</v>
      </c>
      <c r="BA128" s="74">
        <f t="shared" si="90"/>
        <v>1</v>
      </c>
      <c r="BB128" s="74">
        <f t="shared" si="91"/>
        <v>-4.8512518628569438E-4</v>
      </c>
      <c r="BC128" s="74">
        <f t="shared" si="92"/>
        <v>-4.8512518628569438E-4</v>
      </c>
      <c r="BD128" s="74">
        <f t="shared" si="93"/>
        <v>-4.2854824377866685E-4</v>
      </c>
      <c r="BE128" s="75">
        <f t="shared" si="94"/>
        <v>4.8512518628569438E-4</v>
      </c>
    </row>
    <row r="129" spans="1:57" x14ac:dyDescent="0.35">
      <c r="A129" s="7" t="s">
        <v>40</v>
      </c>
      <c r="B129" s="11" t="s">
        <v>68</v>
      </c>
      <c r="C129" s="47">
        <f t="shared" si="62"/>
        <v>13.950383861545903</v>
      </c>
      <c r="D129" s="23">
        <f t="shared" si="63"/>
        <v>16.647247256710653</v>
      </c>
      <c r="E129" s="50">
        <f>[1]data!E129-[1]data!E91</f>
        <v>5.4475010377742272</v>
      </c>
      <c r="F129" s="36">
        <f>[1]data!F129-[1]data!F91</f>
        <v>11.199746218936426</v>
      </c>
      <c r="G129" s="36">
        <f>[1]data!G129-[1]data!G91</f>
        <v>-2.6968633951647494</v>
      </c>
      <c r="H129" s="25">
        <f t="shared" si="64"/>
        <v>-0.37390929665895545</v>
      </c>
      <c r="I129" s="36">
        <f>[1]data!I129-[1]data!I91</f>
        <v>-0.11921412386145835</v>
      </c>
      <c r="J129" s="36">
        <f>[1]data!J129-[1]data!J91</f>
        <v>-0.25469517279749709</v>
      </c>
      <c r="K129" s="36">
        <f>[1]data!K129-[1]data!K91</f>
        <v>0</v>
      </c>
      <c r="L129" s="25">
        <f t="shared" si="65"/>
        <v>2.8173628297447078</v>
      </c>
      <c r="M129" s="25">
        <f t="shared" si="66"/>
        <v>3.3620104008685541</v>
      </c>
      <c r="N129" s="25">
        <f t="shared" si="67"/>
        <v>2.5121253363470766</v>
      </c>
      <c r="O129" s="25">
        <f t="shared" si="68"/>
        <v>2.9977649381601279</v>
      </c>
      <c r="P129" s="24">
        <f t="shared" si="69"/>
        <v>1.100155170720879</v>
      </c>
      <c r="Q129" s="40">
        <f t="shared" si="51"/>
        <v>0.98096263963686792</v>
      </c>
      <c r="R129" s="40">
        <f t="shared" si="52"/>
        <v>2.2618552301476749</v>
      </c>
      <c r="S129" s="40">
        <f t="shared" si="53"/>
        <v>2.0168022985232601</v>
      </c>
      <c r="T129" s="40">
        <f t="shared" si="54"/>
        <v>-0.5446475711238461</v>
      </c>
      <c r="U129" s="40">
        <f t="shared" si="55"/>
        <v>-0.4856396018130511</v>
      </c>
      <c r="V129" s="25">
        <f t="shared" si="70"/>
        <v>-7.5513201970500612E-2</v>
      </c>
      <c r="W129" s="25">
        <f t="shared" si="71"/>
        <v>-6.7331983618161798E-2</v>
      </c>
      <c r="X129" s="40">
        <f t="shared" si="56"/>
        <v>-2.4075999963963372E-2</v>
      </c>
      <c r="Y129" s="40">
        <f t="shared" si="57"/>
        <v>-2.1467568489516916E-2</v>
      </c>
      <c r="Z129" s="40">
        <f t="shared" si="58"/>
        <v>-5.1437202006537237E-2</v>
      </c>
      <c r="AA129" s="40">
        <f t="shared" si="59"/>
        <v>-4.5864415128644878E-2</v>
      </c>
      <c r="AB129" s="40">
        <f t="shared" si="60"/>
        <v>0</v>
      </c>
      <c r="AC129" s="40">
        <f t="shared" si="61"/>
        <v>0</v>
      </c>
      <c r="AD129" s="26">
        <v>555.32196820367994</v>
      </c>
      <c r="AE129" s="8">
        <v>495.15751802582002</v>
      </c>
      <c r="AF129" s="61">
        <f t="shared" si="72"/>
        <v>16.273337960051698</v>
      </c>
      <c r="AG129" s="61">
        <f>(D129)+(H129*-1)</f>
        <v>17.021156553369607</v>
      </c>
      <c r="AH129" s="74">
        <f t="shared" si="74"/>
        <v>0.97803267389694892</v>
      </c>
      <c r="AI129" s="74">
        <f t="shared" si="97"/>
        <v>0.97803267389694892</v>
      </c>
      <c r="AJ129" s="74">
        <f t="shared" si="75"/>
        <v>1.0229768039953966</v>
      </c>
      <c r="AK129" s="74">
        <f t="shared" si="98"/>
        <v>1.0229768039953966</v>
      </c>
      <c r="AL129" s="74">
        <f t="shared" si="76"/>
        <v>0.65798973082820622</v>
      </c>
      <c r="AM129" s="74">
        <f t="shared" si="99"/>
        <v>0.68822673298065307</v>
      </c>
      <c r="AN129" s="74">
        <f t="shared" si="77"/>
        <v>0.32004294306874276</v>
      </c>
      <c r="AO129" s="74">
        <f t="shared" si="78"/>
        <v>0.33475007101474352</v>
      </c>
      <c r="AP129" s="74">
        <f t="shared" si="79"/>
        <v>-0.15844184187536084</v>
      </c>
      <c r="AQ129" s="74">
        <f t="shared" si="80"/>
        <v>-0.16572281616624041</v>
      </c>
      <c r="AR129" s="74">
        <f t="shared" si="81"/>
        <v>0.67276865936028607</v>
      </c>
      <c r="AS129" s="74">
        <f t="shared" si="82"/>
        <v>0.32723134063971393</v>
      </c>
      <c r="AT129" s="74">
        <f t="shared" si="83"/>
        <v>-2.1967326103051098E-2</v>
      </c>
      <c r="AU129" s="74">
        <f t="shared" si="84"/>
        <v>-2.2976803995396627E-2</v>
      </c>
      <c r="AV129" s="74">
        <f t="shared" si="85"/>
        <v>-7.0038791716452451E-3</v>
      </c>
      <c r="AW129" s="74">
        <f t="shared" si="86"/>
        <v>-7.325732689513911E-3</v>
      </c>
      <c r="AX129" s="74">
        <f t="shared" si="87"/>
        <v>-1.4963446931405854E-2</v>
      </c>
      <c r="AY129" s="74">
        <f t="shared" si="88"/>
        <v>-1.5651071305882714E-2</v>
      </c>
      <c r="AZ129" s="74">
        <f t="shared" si="89"/>
        <v>0.31883166566514703</v>
      </c>
      <c r="BA129" s="74">
        <f t="shared" si="90"/>
        <v>0.68116833433485302</v>
      </c>
      <c r="BB129" s="74">
        <f t="shared" si="91"/>
        <v>2.7418496277742073E-2</v>
      </c>
      <c r="BC129" s="74">
        <f t="shared" si="92"/>
        <v>3.2864971988980536E-2</v>
      </c>
      <c r="BD129" s="74">
        <f t="shared" si="93"/>
        <v>2.9304329545419665E-2</v>
      </c>
      <c r="BE129" s="75">
        <f t="shared" si="94"/>
        <v>3.4375236028390543E-2</v>
      </c>
    </row>
    <row r="130" spans="1:57" x14ac:dyDescent="0.35">
      <c r="A130" s="9" t="s">
        <v>41</v>
      </c>
      <c r="B130" s="11" t="s">
        <v>68</v>
      </c>
      <c r="C130" s="47">
        <f t="shared" si="62"/>
        <v>2.4619885799198746</v>
      </c>
      <c r="D130" s="23">
        <f t="shared" si="63"/>
        <v>2.4930645985307551</v>
      </c>
      <c r="E130" s="50">
        <f>[1]data!E130-[1]data!E92</f>
        <v>0.32729011819604903</v>
      </c>
      <c r="F130" s="36">
        <f>[1]data!F130-[1]data!F92</f>
        <v>2.1657744803347061</v>
      </c>
      <c r="G130" s="36">
        <f>[1]data!G130-[1]data!G92</f>
        <v>-3.1076018610880274E-2</v>
      </c>
      <c r="H130" s="25">
        <f t="shared" si="64"/>
        <v>-0.2564114714256952</v>
      </c>
      <c r="I130" s="36">
        <f>[1]data!I130-[1]data!I92</f>
        <v>-4.9722637971640754E-4</v>
      </c>
      <c r="J130" s="36">
        <f>[1]data!J130-[1]data!J92</f>
        <v>-0.25591424504597882</v>
      </c>
      <c r="K130" s="36">
        <f>[1]data!K130-[1]data!K92</f>
        <v>0</v>
      </c>
      <c r="L130" s="25">
        <f t="shared" si="65"/>
        <v>1.141710541447738</v>
      </c>
      <c r="M130" s="25">
        <f t="shared" si="66"/>
        <v>1.1561215823126889</v>
      </c>
      <c r="N130" s="25">
        <f t="shared" si="67"/>
        <v>0.60432338910538086</v>
      </c>
      <c r="O130" s="25">
        <f t="shared" si="68"/>
        <v>0.61195135498629505</v>
      </c>
      <c r="P130" s="24">
        <f t="shared" si="69"/>
        <v>0.15177591850091618</v>
      </c>
      <c r="Q130" s="40">
        <f t="shared" ref="Q130:Q193" si="100">($E130/$AD130)*100</f>
        <v>8.0337120595162986E-2</v>
      </c>
      <c r="R130" s="40">
        <f t="shared" ref="R130:R193" si="101">($F130/$AE130)*100</f>
        <v>1.0043456638117727</v>
      </c>
      <c r="S130" s="40">
        <f t="shared" ref="S130:S193" si="102">($F130/$AD130)*100</f>
        <v>0.53161423439113209</v>
      </c>
      <c r="T130" s="40">
        <f t="shared" ref="T130:T193" si="103">($G130/$AE130)*100</f>
        <v>-1.4411040864951041E-2</v>
      </c>
      <c r="U130" s="40">
        <f t="shared" ref="U130:U193" si="104">($G130/$AD130)*100</f>
        <v>-7.6279658809141389E-3</v>
      </c>
      <c r="V130" s="25">
        <f t="shared" si="70"/>
        <v>-0.11890700154440567</v>
      </c>
      <c r="W130" s="25">
        <f t="shared" si="71"/>
        <v>-6.2939142237010984E-2</v>
      </c>
      <c r="X130" s="40">
        <f t="shared" ref="X130:X193" si="105">($I130/$AE130)*100</f>
        <v>-2.3058132918983467E-4</v>
      </c>
      <c r="Y130" s="40">
        <f t="shared" ref="Y130:Y193" si="106">($I130/AD130)*100</f>
        <v>-1.22049928823227E-4</v>
      </c>
      <c r="Z130" s="40">
        <f t="shared" ref="Z130:Z193" si="107">($J130/$AE130)*100</f>
        <v>-0.11867642021521584</v>
      </c>
      <c r="AA130" s="40">
        <f t="shared" ref="AA130:AA193" si="108">($J130/$AD130)*100</f>
        <v>-6.2817092308187758E-2</v>
      </c>
      <c r="AB130" s="40">
        <f t="shared" ref="AB130:AB193" si="109">($K130/$AE130)*100</f>
        <v>0</v>
      </c>
      <c r="AC130" s="40">
        <f t="shared" ref="AC130:AC193" si="110">($K130/$AD130)*100</f>
        <v>0</v>
      </c>
      <c r="AD130" s="26">
        <v>407.39587848230002</v>
      </c>
      <c r="AE130" s="8">
        <v>215.64034757863999</v>
      </c>
      <c r="AF130" s="61">
        <f t="shared" si="72"/>
        <v>2.2366531271050598</v>
      </c>
      <c r="AG130" s="61">
        <f>(D130)+(H130*-1)</f>
        <v>2.7494760699564504</v>
      </c>
      <c r="AH130" s="74">
        <f t="shared" si="74"/>
        <v>0.90674169736281551</v>
      </c>
      <c r="AI130" s="74">
        <f t="shared" si="97"/>
        <v>0.90674169736281551</v>
      </c>
      <c r="AJ130" s="74">
        <f t="shared" si="75"/>
        <v>1.1146406961000579</v>
      </c>
      <c r="AK130" s="74">
        <f t="shared" si="98"/>
        <v>1.1146406961000579</v>
      </c>
      <c r="AL130" s="74">
        <f t="shared" si="76"/>
        <v>0.78770442994581524</v>
      </c>
      <c r="AM130" s="74">
        <f t="shared" si="99"/>
        <v>0.9683103982859903</v>
      </c>
      <c r="AN130" s="74">
        <f t="shared" si="77"/>
        <v>0.11903726741700031</v>
      </c>
      <c r="AO130" s="74">
        <f t="shared" si="78"/>
        <v>0.14633029781406762</v>
      </c>
      <c r="AP130" s="74">
        <f t="shared" si="79"/>
        <v>-1.130252376096239E-2</v>
      </c>
      <c r="AQ130" s="74">
        <f t="shared" si="80"/>
        <v>-1.3893982144250737E-2</v>
      </c>
      <c r="AR130" s="74">
        <f t="shared" si="81"/>
        <v>0.86871976025453501</v>
      </c>
      <c r="AS130" s="74">
        <f t="shared" si="82"/>
        <v>0.13128023974546502</v>
      </c>
      <c r="AT130" s="74">
        <f t="shared" si="83"/>
        <v>-9.3258302637184459E-2</v>
      </c>
      <c r="AU130" s="74">
        <f t="shared" si="84"/>
        <v>-0.11464069610005784</v>
      </c>
      <c r="AV130" s="74">
        <f t="shared" si="85"/>
        <v>-1.8084404703485316E-4</v>
      </c>
      <c r="AW130" s="74">
        <f t="shared" si="86"/>
        <v>-2.223082219101075E-4</v>
      </c>
      <c r="AX130" s="74">
        <f t="shared" si="87"/>
        <v>-9.3077458590149612E-2</v>
      </c>
      <c r="AY130" s="74">
        <f t="shared" si="88"/>
        <v>-0.11441838787814775</v>
      </c>
      <c r="AZ130" s="74">
        <f t="shared" si="89"/>
        <v>1.9391736920026897E-3</v>
      </c>
      <c r="BA130" s="74">
        <f t="shared" si="90"/>
        <v>0.99806082630799742</v>
      </c>
      <c r="BB130" s="74">
        <f t="shared" si="91"/>
        <v>1.0228035399033324E-2</v>
      </c>
      <c r="BC130" s="74">
        <f t="shared" si="92"/>
        <v>1.0372145807682833E-2</v>
      </c>
      <c r="BD130" s="74">
        <f t="shared" si="93"/>
        <v>5.490122127492841E-3</v>
      </c>
      <c r="BE130" s="75">
        <f t="shared" si="94"/>
        <v>1.2750285838570947E-2</v>
      </c>
    </row>
    <row r="131" spans="1:57" x14ac:dyDescent="0.35">
      <c r="A131" s="9" t="s">
        <v>42</v>
      </c>
      <c r="B131" s="11" t="s">
        <v>68</v>
      </c>
      <c r="C131" s="47">
        <f t="shared" ref="C131:C194" si="111">D131+G131</f>
        <v>-2.089443275765086</v>
      </c>
      <c r="D131" s="23">
        <f t="shared" ref="D131:D194" si="112">E131+F131</f>
        <v>-2.0690166573157049</v>
      </c>
      <c r="E131" s="50">
        <f>[1]data!E131-[1]data!E93</f>
        <v>-9.3165876622045007E-5</v>
      </c>
      <c r="F131" s="36">
        <f>[1]data!F131-[1]data!F93</f>
        <v>-2.0689234914390831</v>
      </c>
      <c r="G131" s="36">
        <f>[1]data!G131-[1]data!G93</f>
        <v>-2.0426618449381095E-2</v>
      </c>
      <c r="H131" s="25">
        <f t="shared" ref="H131:H194" si="113">I131+J131</f>
        <v>-15.907093829902594</v>
      </c>
      <c r="I131" s="36">
        <f>[1]data!I131-[1]data!I93</f>
        <v>-0.28382197792848274</v>
      </c>
      <c r="J131" s="36">
        <f>[1]data!J131-[1]data!J93</f>
        <v>-15.623271851974112</v>
      </c>
      <c r="K131" s="36">
        <f>[1]data!K131-[1]data!K93</f>
        <v>0</v>
      </c>
      <c r="L131" s="25">
        <f t="shared" ref="L131:L194" si="114">M131+T131</f>
        <v>-0.62821025215176296</v>
      </c>
      <c r="M131" s="25">
        <f t="shared" ref="M131:M194" si="115">P131+R131</f>
        <v>-0.62206880228541284</v>
      </c>
      <c r="N131" s="25">
        <f t="shared" ref="N131:N194" si="116">Q131+S131+U131</f>
        <v>-0.67170947012248916</v>
      </c>
      <c r="O131" s="25">
        <f t="shared" ref="O131:O194" si="117">Q131+S131</f>
        <v>-0.66514276730065547</v>
      </c>
      <c r="P131" s="24">
        <f t="shared" ref="P131:P194" si="118">($E131/$AE131)*100</f>
        <v>-2.8011173848806197E-5</v>
      </c>
      <c r="Q131" s="40">
        <f t="shared" si="100"/>
        <v>-2.9950754033452352E-5</v>
      </c>
      <c r="R131" s="40">
        <f t="shared" si="101"/>
        <v>-0.62204079111156407</v>
      </c>
      <c r="S131" s="40">
        <f t="shared" si="102"/>
        <v>-0.66511281654662202</v>
      </c>
      <c r="T131" s="40">
        <f t="shared" si="103"/>
        <v>-6.1414498663500752E-3</v>
      </c>
      <c r="U131" s="40">
        <f t="shared" si="104"/>
        <v>-6.5667028218336972E-3</v>
      </c>
      <c r="V131" s="25">
        <f t="shared" ref="V131:V194" si="119">X131+Z131</f>
        <v>-4.7826134079786167</v>
      </c>
      <c r="W131" s="25">
        <f t="shared" ref="W131:W194" si="120">Y131+AA131</f>
        <v>-5.1137763305682995</v>
      </c>
      <c r="X131" s="40">
        <f t="shared" si="105"/>
        <v>-8.5333676385819388E-2</v>
      </c>
      <c r="Y131" s="40">
        <f t="shared" si="106"/>
        <v>-9.1242443676126897E-2</v>
      </c>
      <c r="Z131" s="40">
        <f t="shared" si="107"/>
        <v>-4.697279731592797</v>
      </c>
      <c r="AA131" s="40">
        <f t="shared" si="108"/>
        <v>-5.0225338868921723</v>
      </c>
      <c r="AB131" s="40">
        <f t="shared" si="109"/>
        <v>0</v>
      </c>
      <c r="AC131" s="40">
        <f t="shared" si="110"/>
        <v>0</v>
      </c>
      <c r="AD131" s="26">
        <v>311.06354290107998</v>
      </c>
      <c r="AE131" s="8">
        <v>332.60254327404999</v>
      </c>
      <c r="AF131" s="61">
        <f t="shared" ref="AF131:AF194" si="121">D131+H131</f>
        <v>-17.9761104872183</v>
      </c>
      <c r="AG131" s="61">
        <f>(D131*-1)+(H131*-1)</f>
        <v>17.9761104872183</v>
      </c>
      <c r="AH131" s="74">
        <f>($D131/$AG131)*-1</f>
        <v>0.11509812752802419</v>
      </c>
      <c r="AI131" s="74">
        <f t="shared" si="97"/>
        <v>-0.11509812752802419</v>
      </c>
      <c r="AJ131" s="74">
        <f t="shared" ref="AJ131:AJ194" si="122">(($D131)/(AF131))</f>
        <v>0.11509812752802419</v>
      </c>
      <c r="AK131" s="74">
        <f t="shared" si="98"/>
        <v>0.11509812752802419</v>
      </c>
      <c r="AL131" s="74">
        <f t="shared" ref="AL131:AL194" si="123">($F131/(AG131))</f>
        <v>-0.11509294476745492</v>
      </c>
      <c r="AM131" s="74">
        <f t="shared" si="99"/>
        <v>0.11509294476745492</v>
      </c>
      <c r="AN131" s="74">
        <f t="shared" ref="AN131:AN194" si="124">($E131/AG131)</f>
        <v>-5.1827605692727304E-6</v>
      </c>
      <c r="AO131" s="74">
        <f t="shared" ref="AO131:AO194" si="125">(E131/AF131)</f>
        <v>5.1827605692727304E-6</v>
      </c>
      <c r="AP131" s="74">
        <f t="shared" ref="AP131:AP194" si="126">($G131/$AG131)</f>
        <v>-1.1363202548129196E-3</v>
      </c>
      <c r="AQ131" s="74">
        <f t="shared" ref="AQ131:AQ194" si="127">($G131/$AF131)</f>
        <v>1.1363202548129196E-3</v>
      </c>
      <c r="AR131" s="74">
        <f t="shared" ref="AR131:AR194" si="128">(F131/D131)</f>
        <v>0.9999549709393144</v>
      </c>
      <c r="AS131" s="74">
        <f t="shared" ref="AS131:AS194" si="129">(E131/D131)</f>
        <v>4.502906068572512E-5</v>
      </c>
      <c r="AT131" s="74">
        <f t="shared" ref="AT131:AT194" si="130">($H131/(AG131))</f>
        <v>-0.88490187247197583</v>
      </c>
      <c r="AU131" s="74">
        <f t="shared" ref="AU131:AU194" si="131">($H131/(AF131))</f>
        <v>0.88490187247197583</v>
      </c>
      <c r="AV131" s="74">
        <f t="shared" ref="AV131:AV194" si="132">($I131/(AG131))</f>
        <v>-1.5788842538005703E-2</v>
      </c>
      <c r="AW131" s="74">
        <f t="shared" ref="AW131:AW194" si="133">($I131/(AF131))</f>
        <v>1.5788842538005703E-2</v>
      </c>
      <c r="AX131" s="74">
        <f t="shared" ref="AX131:AX194" si="134">($J131/(AG131))</f>
        <v>-0.8691130299339701</v>
      </c>
      <c r="AY131" s="74">
        <f t="shared" ref="AY131:AY194" si="135">(J131/(AF131))</f>
        <v>0.8691130299339701</v>
      </c>
      <c r="AZ131" s="74">
        <f t="shared" ref="AZ131:AZ194" si="136">(I131/H131)</f>
        <v>1.7842478391304033E-2</v>
      </c>
      <c r="BA131" s="74">
        <f t="shared" ref="BA131:BA194" si="137">J131/H131</f>
        <v>0.98215752160869596</v>
      </c>
      <c r="BB131" s="74">
        <f t="shared" ref="BB131:BB194" si="138">((AF131+G131)/AE131)</f>
        <v>-5.4108236601303795E-2</v>
      </c>
      <c r="BC131" s="74">
        <f t="shared" ref="BC131:BC194" si="139">(AF131/AE131)</f>
        <v>-5.4046822102640293E-2</v>
      </c>
      <c r="BD131" s="74">
        <f t="shared" ref="BD131:BD194" si="140">(AF131)/AD131</f>
        <v>-5.7789190978689543E-2</v>
      </c>
      <c r="BE131" s="75">
        <f t="shared" ref="BE131:BE194" si="141">(AG131/AE131)</f>
        <v>5.4046822102640293E-2</v>
      </c>
    </row>
    <row r="132" spans="1:57" x14ac:dyDescent="0.35">
      <c r="A132" s="9" t="s">
        <v>43</v>
      </c>
      <c r="B132" s="11" t="s">
        <v>68</v>
      </c>
      <c r="C132" s="47">
        <f t="shared" si="111"/>
        <v>-6.8806318739235151E-3</v>
      </c>
      <c r="D132" s="23">
        <f t="shared" si="112"/>
        <v>-6.8806318739235151E-3</v>
      </c>
      <c r="E132" s="50">
        <f>[1]data!E132-[1]data!E94</f>
        <v>-1.1265363412197305E-3</v>
      </c>
      <c r="F132" s="36">
        <f>[1]data!F132-[1]data!F94</f>
        <v>-5.7540955327037846E-3</v>
      </c>
      <c r="G132" s="36">
        <f>[1]data!G132-[1]data!G94</f>
        <v>0</v>
      </c>
      <c r="H132" s="25">
        <f t="shared" si="113"/>
        <v>-5.6816615470210996E-3</v>
      </c>
      <c r="I132" s="36">
        <f>[1]data!I132-[1]data!I94</f>
        <v>-4.2122663193432386E-3</v>
      </c>
      <c r="J132" s="36">
        <f>[1]data!J132-[1]data!J94</f>
        <v>-1.469395227677861E-3</v>
      </c>
      <c r="K132" s="36">
        <f>[1]data!K132-[1]data!K94</f>
        <v>0</v>
      </c>
      <c r="L132" s="25">
        <f t="shared" si="114"/>
        <v>-2.5582685845137964E-2</v>
      </c>
      <c r="M132" s="25">
        <f t="shared" si="115"/>
        <v>-2.5582685845137964E-2</v>
      </c>
      <c r="N132" s="25">
        <f t="shared" si="116"/>
        <v>-1.4986704770683673E-2</v>
      </c>
      <c r="O132" s="25">
        <f t="shared" si="117"/>
        <v>-1.4986704770683673E-2</v>
      </c>
      <c r="P132" s="24">
        <f t="shared" si="118"/>
        <v>-4.1885434126737687E-3</v>
      </c>
      <c r="Q132" s="40">
        <f t="shared" si="100"/>
        <v>-2.4537088843962669E-3</v>
      </c>
      <c r="R132" s="40">
        <f t="shared" si="101"/>
        <v>-2.1394142432464194E-2</v>
      </c>
      <c r="S132" s="40">
        <f t="shared" si="102"/>
        <v>-1.2532995886287406E-2</v>
      </c>
      <c r="T132" s="40">
        <f t="shared" si="103"/>
        <v>0</v>
      </c>
      <c r="U132" s="40">
        <f t="shared" si="104"/>
        <v>0</v>
      </c>
      <c r="V132" s="25">
        <f t="shared" si="119"/>
        <v>-2.1124827646528017E-2</v>
      </c>
      <c r="W132" s="25">
        <f t="shared" si="120"/>
        <v>-1.237522741695476E-2</v>
      </c>
      <c r="X132" s="40">
        <f t="shared" si="105"/>
        <v>-1.5661510151736325E-2</v>
      </c>
      <c r="Y132" s="40">
        <f t="shared" si="106"/>
        <v>-9.1747375677423432E-3</v>
      </c>
      <c r="Z132" s="40">
        <f t="shared" si="107"/>
        <v>-5.4633174947916925E-3</v>
      </c>
      <c r="AA132" s="40">
        <f t="shared" si="108"/>
        <v>-3.2004898492124169E-3</v>
      </c>
      <c r="AB132" s="40">
        <f t="shared" si="109"/>
        <v>0</v>
      </c>
      <c r="AC132" s="40">
        <f t="shared" si="110"/>
        <v>0</v>
      </c>
      <c r="AD132" s="26">
        <v>45.911572818750003</v>
      </c>
      <c r="AE132" s="8">
        <v>26.895658710639999</v>
      </c>
      <c r="AF132" s="61">
        <f t="shared" si="121"/>
        <v>-1.2562293420944615E-2</v>
      </c>
      <c r="AG132" s="61">
        <f>(D132*-1)+(H132*-1)</f>
        <v>1.2562293420944615E-2</v>
      </c>
      <c r="AH132" s="74">
        <f>($D132/$AG132)*-1</f>
        <v>0.54772099674504571</v>
      </c>
      <c r="AI132" s="74">
        <f t="shared" si="97"/>
        <v>-0.54772099674504571</v>
      </c>
      <c r="AJ132" s="74">
        <f t="shared" si="122"/>
        <v>0.54772099674504571</v>
      </c>
      <c r="AK132" s="74">
        <f t="shared" si="98"/>
        <v>0.54772099674504571</v>
      </c>
      <c r="AL132" s="74">
        <f t="shared" si="123"/>
        <v>-0.45804498747897487</v>
      </c>
      <c r="AM132" s="74">
        <f t="shared" si="99"/>
        <v>0.45804498747897487</v>
      </c>
      <c r="AN132" s="74">
        <f t="shared" si="124"/>
        <v>-8.9676009266070875E-2</v>
      </c>
      <c r="AO132" s="74">
        <f t="shared" si="125"/>
        <v>8.9676009266070875E-2</v>
      </c>
      <c r="AP132" s="74">
        <f t="shared" si="126"/>
        <v>0</v>
      </c>
      <c r="AQ132" s="74">
        <f t="shared" si="127"/>
        <v>0</v>
      </c>
      <c r="AR132" s="74">
        <f t="shared" si="128"/>
        <v>0.8362742896493095</v>
      </c>
      <c r="AS132" s="74">
        <f t="shared" si="129"/>
        <v>0.16372571035069053</v>
      </c>
      <c r="AT132" s="74">
        <f t="shared" si="130"/>
        <v>-0.45227900325495424</v>
      </c>
      <c r="AU132" s="74">
        <f t="shared" si="131"/>
        <v>0.45227900325495424</v>
      </c>
      <c r="AV132" s="74">
        <f t="shared" si="132"/>
        <v>-0.33531029551660474</v>
      </c>
      <c r="AW132" s="74">
        <f t="shared" si="133"/>
        <v>0.33531029551660474</v>
      </c>
      <c r="AX132" s="74">
        <f t="shared" si="134"/>
        <v>-0.11696870773834947</v>
      </c>
      <c r="AY132" s="74">
        <f t="shared" si="135"/>
        <v>0.11696870773834947</v>
      </c>
      <c r="AZ132" s="74">
        <f t="shared" si="136"/>
        <v>0.74137931034482929</v>
      </c>
      <c r="BA132" s="74">
        <f t="shared" si="137"/>
        <v>0.25862068965517071</v>
      </c>
      <c r="BB132" s="74">
        <f t="shared" si="138"/>
        <v>-4.6707513491665983E-4</v>
      </c>
      <c r="BC132" s="74">
        <f t="shared" si="139"/>
        <v>-4.6707513491665983E-4</v>
      </c>
      <c r="BD132" s="74">
        <f t="shared" si="140"/>
        <v>-2.7361932187638433E-4</v>
      </c>
      <c r="BE132" s="75">
        <f t="shared" si="141"/>
        <v>4.6707513491665983E-4</v>
      </c>
    </row>
    <row r="133" spans="1:57" x14ac:dyDescent="0.35">
      <c r="A133" s="9" t="s">
        <v>44</v>
      </c>
      <c r="B133" s="11" t="s">
        <v>68</v>
      </c>
      <c r="C133" s="47">
        <f t="shared" si="111"/>
        <v>0.9739878360894787</v>
      </c>
      <c r="D133" s="23">
        <f t="shared" si="112"/>
        <v>1.0519623383661809</v>
      </c>
      <c r="E133" s="50">
        <f>[1]data!E133-[1]data!E95</f>
        <v>0.6196774981599118</v>
      </c>
      <c r="F133" s="36">
        <f>[1]data!F133-[1]data!F95</f>
        <v>0.43228484020626912</v>
      </c>
      <c r="G133" s="36">
        <f>[1]data!G133-[1]data!G95</f>
        <v>-7.7974502276702218E-2</v>
      </c>
      <c r="H133" s="25">
        <f t="shared" si="113"/>
        <v>-7.5037116293417583E-2</v>
      </c>
      <c r="I133" s="36">
        <f>[1]data!I133-[1]data!I95</f>
        <v>-1.1853121503268227E-2</v>
      </c>
      <c r="J133" s="36">
        <f>[1]data!J133-[1]data!J95</f>
        <v>-6.3183994790149356E-2</v>
      </c>
      <c r="K133" s="36">
        <f>[1]data!K133-[1]data!K95</f>
        <v>-4.8979840922596107E-3</v>
      </c>
      <c r="L133" s="25">
        <f t="shared" si="114"/>
        <v>0.38233961370666558</v>
      </c>
      <c r="M133" s="25">
        <f t="shared" si="115"/>
        <v>0.41294855970658767</v>
      </c>
      <c r="N133" s="25">
        <f t="shared" si="116"/>
        <v>0.38357708829807563</v>
      </c>
      <c r="O133" s="25">
        <f t="shared" si="117"/>
        <v>0.41428510274810559</v>
      </c>
      <c r="P133" s="24">
        <f t="shared" si="118"/>
        <v>0.24325484004033035</v>
      </c>
      <c r="Q133" s="40">
        <f t="shared" si="100"/>
        <v>0.24404215496401593</v>
      </c>
      <c r="R133" s="40">
        <f t="shared" si="101"/>
        <v>0.16969371966625732</v>
      </c>
      <c r="S133" s="40">
        <f t="shared" si="102"/>
        <v>0.17024294778408969</v>
      </c>
      <c r="T133" s="40">
        <f t="shared" si="103"/>
        <v>-3.0608945999922105E-2</v>
      </c>
      <c r="U133" s="40">
        <f t="shared" si="104"/>
        <v>-3.0708014450029946E-2</v>
      </c>
      <c r="V133" s="25">
        <f t="shared" si="119"/>
        <v>-2.9455873055330171E-2</v>
      </c>
      <c r="W133" s="25">
        <f t="shared" si="120"/>
        <v>-2.9551209487044362E-2</v>
      </c>
      <c r="X133" s="40">
        <f t="shared" si="105"/>
        <v>-4.6529512267557771E-3</v>
      </c>
      <c r="Y133" s="40">
        <f t="shared" si="106"/>
        <v>-4.6680108980839971E-3</v>
      </c>
      <c r="Z133" s="40">
        <f t="shared" si="107"/>
        <v>-2.4802921828574395E-2</v>
      </c>
      <c r="AA133" s="40">
        <f t="shared" si="108"/>
        <v>-2.4883198588960365E-2</v>
      </c>
      <c r="AB133" s="40">
        <f t="shared" si="109"/>
        <v>-1.9227071184941278E-3</v>
      </c>
      <c r="AC133" s="40">
        <f t="shared" si="110"/>
        <v>-1.9289301231752106E-3</v>
      </c>
      <c r="AD133" s="26">
        <v>253.92231856471</v>
      </c>
      <c r="AE133" s="8">
        <v>254.7441596875</v>
      </c>
      <c r="AF133" s="61">
        <f t="shared" si="121"/>
        <v>0.97692522207276333</v>
      </c>
      <c r="AG133" s="61">
        <f>(D133)+(H133*-1)</f>
        <v>1.1269994546595985</v>
      </c>
      <c r="AH133" s="74">
        <f t="shared" ref="AH133:AH194" si="142">($D133/$AG133)</f>
        <v>0.93341867559635872</v>
      </c>
      <c r="AI133" s="74">
        <f t="shared" si="97"/>
        <v>0.93341867559635872</v>
      </c>
      <c r="AJ133" s="74">
        <f t="shared" si="122"/>
        <v>1.0768094779395805</v>
      </c>
      <c r="AK133" s="74">
        <f t="shared" si="98"/>
        <v>1.0768094779395805</v>
      </c>
      <c r="AL133" s="74">
        <f t="shared" si="123"/>
        <v>0.38357147238978695</v>
      </c>
      <c r="AM133" s="74">
        <f t="shared" si="99"/>
        <v>0.44249532148333837</v>
      </c>
      <c r="AN133" s="74">
        <f t="shared" si="124"/>
        <v>0.54984720320657177</v>
      </c>
      <c r="AO133" s="74">
        <f t="shared" si="125"/>
        <v>0.63431415645624201</v>
      </c>
      <c r="AP133" s="74">
        <f t="shared" si="126"/>
        <v>-6.9187701870054422E-2</v>
      </c>
      <c r="AQ133" s="74">
        <f t="shared" si="127"/>
        <v>-7.9816244391010843E-2</v>
      </c>
      <c r="AR133" s="74">
        <f t="shared" si="128"/>
        <v>0.41093185985884001</v>
      </c>
      <c r="AS133" s="74">
        <f t="shared" si="129"/>
        <v>0.58906814014115993</v>
      </c>
      <c r="AT133" s="74">
        <f t="shared" si="130"/>
        <v>-6.6581324403641312E-2</v>
      </c>
      <c r="AU133" s="74">
        <f t="shared" si="131"/>
        <v>-7.6809477939580387E-2</v>
      </c>
      <c r="AV133" s="74">
        <f t="shared" si="132"/>
        <v>-1.0517415473682169E-2</v>
      </c>
      <c r="AW133" s="74">
        <f t="shared" si="133"/>
        <v>-1.2133089857296553E-2</v>
      </c>
      <c r="AX133" s="74">
        <f t="shared" si="134"/>
        <v>-5.6063908929959147E-2</v>
      </c>
      <c r="AY133" s="74">
        <f t="shared" si="135"/>
        <v>-6.4676388082283834E-2</v>
      </c>
      <c r="AZ133" s="74">
        <f t="shared" si="136"/>
        <v>0.15796344647519467</v>
      </c>
      <c r="BA133" s="74">
        <f t="shared" si="137"/>
        <v>0.84203655352480533</v>
      </c>
      <c r="BB133" s="74">
        <f t="shared" si="138"/>
        <v>3.5288374065133537E-3</v>
      </c>
      <c r="BC133" s="74">
        <f t="shared" si="139"/>
        <v>3.8349268665125746E-3</v>
      </c>
      <c r="BD133" s="74">
        <f t="shared" si="140"/>
        <v>3.8473389326106129E-3</v>
      </c>
      <c r="BE133" s="75">
        <f t="shared" si="141"/>
        <v>4.4240443276191786E-3</v>
      </c>
    </row>
    <row r="134" spans="1:57" x14ac:dyDescent="0.35">
      <c r="A134" s="10" t="s">
        <v>45</v>
      </c>
      <c r="B134" s="12" t="s">
        <v>68</v>
      </c>
      <c r="C134" s="47">
        <f t="shared" si="111"/>
        <v>8.3725140766960351</v>
      </c>
      <c r="D134" s="23">
        <f t="shared" si="112"/>
        <v>7.9529738437430826</v>
      </c>
      <c r="E134" s="50">
        <f>[1]data!E134-[1]data!E96</f>
        <v>0.36466848586374184</v>
      </c>
      <c r="F134" s="36">
        <f>[1]data!F134-[1]data!F96</f>
        <v>7.5883053578793405</v>
      </c>
      <c r="G134" s="36">
        <f>[1]data!G134-[1]data!G96</f>
        <v>0.41954023295295251</v>
      </c>
      <c r="H134" s="25">
        <f t="shared" si="113"/>
        <v>6.360550016758193</v>
      </c>
      <c r="I134" s="36">
        <f>[1]data!I134-[1]data!I96</f>
        <v>6.41999440943819</v>
      </c>
      <c r="J134" s="36">
        <f>[1]data!J134-[1]data!J96</f>
        <v>-5.9444392679996572E-2</v>
      </c>
      <c r="K134" s="36">
        <f>[1]data!K134-[1]data!K96</f>
        <v>0</v>
      </c>
      <c r="L134" s="25">
        <f t="shared" si="114"/>
        <v>4.1061258246306132</v>
      </c>
      <c r="M134" s="25">
        <f t="shared" si="115"/>
        <v>3.9003710215667922</v>
      </c>
      <c r="N134" s="25">
        <f t="shared" si="116"/>
        <v>2.7765411775471884</v>
      </c>
      <c r="O134" s="25">
        <f t="shared" si="117"/>
        <v>2.6374108372741394</v>
      </c>
      <c r="P134" s="24">
        <f t="shared" si="118"/>
        <v>0.17884409312632041</v>
      </c>
      <c r="Q134" s="40">
        <f t="shared" si="100"/>
        <v>0.12093345653161613</v>
      </c>
      <c r="R134" s="40">
        <f t="shared" si="101"/>
        <v>3.7215269284404719</v>
      </c>
      <c r="S134" s="40">
        <f t="shared" si="102"/>
        <v>2.5164773807425234</v>
      </c>
      <c r="T134" s="40">
        <f t="shared" si="103"/>
        <v>0.20575480306382099</v>
      </c>
      <c r="U134" s="40">
        <f t="shared" si="104"/>
        <v>0.13913034027304907</v>
      </c>
      <c r="V134" s="25">
        <f t="shared" si="119"/>
        <v>3.1193997935888671</v>
      </c>
      <c r="W134" s="25">
        <f t="shared" si="120"/>
        <v>2.1093221070279422</v>
      </c>
      <c r="X134" s="40">
        <f t="shared" si="105"/>
        <v>3.1485530626878351</v>
      </c>
      <c r="Y134" s="40">
        <f t="shared" si="106"/>
        <v>2.1290353977478338</v>
      </c>
      <c r="Z134" s="40">
        <f t="shared" si="107"/>
        <v>-2.9153269098967975E-2</v>
      </c>
      <c r="AA134" s="40">
        <f t="shared" si="108"/>
        <v>-1.9713290719891769E-2</v>
      </c>
      <c r="AB134" s="40">
        <f t="shared" si="109"/>
        <v>0</v>
      </c>
      <c r="AC134" s="40">
        <f t="shared" si="110"/>
        <v>0</v>
      </c>
      <c r="AD134" s="26">
        <v>301.54474727050001</v>
      </c>
      <c r="AE134" s="8">
        <v>203.90300819506001</v>
      </c>
      <c r="AF134" s="61">
        <f t="shared" si="121"/>
        <v>14.313523860501276</v>
      </c>
      <c r="AG134" s="61">
        <f t="shared" ref="AG134:AG192" si="143">(D134)+(H134)</f>
        <v>14.313523860501276</v>
      </c>
      <c r="AH134" s="74">
        <f t="shared" si="142"/>
        <v>0.5556265474003661</v>
      </c>
      <c r="AI134" s="74">
        <f t="shared" si="97"/>
        <v>0.5556265474003661</v>
      </c>
      <c r="AJ134" s="74">
        <f t="shared" si="122"/>
        <v>0.5556265474003661</v>
      </c>
      <c r="AK134" s="74">
        <f t="shared" si="98"/>
        <v>0.5556265474003661</v>
      </c>
      <c r="AL134" s="74">
        <f t="shared" si="123"/>
        <v>0.53014934909352152</v>
      </c>
      <c r="AM134" s="74">
        <f t="shared" si="99"/>
        <v>0.53014934909352152</v>
      </c>
      <c r="AN134" s="74">
        <f t="shared" si="124"/>
        <v>2.5477198306844528E-2</v>
      </c>
      <c r="AO134" s="74">
        <f t="shared" si="125"/>
        <v>2.5477198306844528E-2</v>
      </c>
      <c r="AP134" s="74">
        <f t="shared" si="126"/>
        <v>2.9310757926682893E-2</v>
      </c>
      <c r="AQ134" s="74">
        <f t="shared" si="127"/>
        <v>2.9310757926682893E-2</v>
      </c>
      <c r="AR134" s="74">
        <f t="shared" si="128"/>
        <v>0.95414690240045974</v>
      </c>
      <c r="AS134" s="74">
        <f t="shared" si="129"/>
        <v>4.5853097599540191E-2</v>
      </c>
      <c r="AT134" s="74">
        <f t="shared" si="130"/>
        <v>0.44437345259963396</v>
      </c>
      <c r="AU134" s="74">
        <f t="shared" si="131"/>
        <v>0.44437345259963396</v>
      </c>
      <c r="AV134" s="74">
        <f t="shared" si="132"/>
        <v>0.44852647552112684</v>
      </c>
      <c r="AW134" s="74">
        <f t="shared" si="133"/>
        <v>0.44852647552112684</v>
      </c>
      <c r="AX134" s="74">
        <f t="shared" si="134"/>
        <v>-4.1530229214928466E-3</v>
      </c>
      <c r="AY134" s="74">
        <f t="shared" si="135"/>
        <v>-4.1530229214928466E-3</v>
      </c>
      <c r="AZ134" s="74">
        <f t="shared" si="136"/>
        <v>1.0093457943925255</v>
      </c>
      <c r="BA134" s="74">
        <f t="shared" si="137"/>
        <v>-9.3457943925254802E-3</v>
      </c>
      <c r="BB134" s="74">
        <f t="shared" si="138"/>
        <v>7.2255256182194805E-2</v>
      </c>
      <c r="BC134" s="74">
        <f t="shared" si="139"/>
        <v>7.0197708151556598E-2</v>
      </c>
      <c r="BD134" s="74">
        <f t="shared" si="140"/>
        <v>4.7467329443020817E-2</v>
      </c>
      <c r="BE134" s="75">
        <f t="shared" si="141"/>
        <v>7.0197708151556598E-2</v>
      </c>
    </row>
    <row r="135" spans="1:57" x14ac:dyDescent="0.35">
      <c r="A135" s="9" t="s">
        <v>46</v>
      </c>
      <c r="B135" s="11" t="s">
        <v>68</v>
      </c>
      <c r="C135" s="47">
        <f t="shared" si="111"/>
        <v>2.6266750867859151E-2</v>
      </c>
      <c r="D135" s="23">
        <f t="shared" si="112"/>
        <v>2.6266750867859151E-2</v>
      </c>
      <c r="E135" s="50">
        <f>[1]data!E135-[1]data!E97</f>
        <v>2.8942786299298612E-2</v>
      </c>
      <c r="F135" s="36">
        <f>[1]data!F135-[1]data!F97</f>
        <v>-2.6760354314394608E-3</v>
      </c>
      <c r="G135" s="36">
        <f>[1]data!G135-[1]data!G97</f>
        <v>0</v>
      </c>
      <c r="H135" s="25">
        <f t="shared" si="113"/>
        <v>-2.8565706996578344E-3</v>
      </c>
      <c r="I135" s="36">
        <f>[1]data!I135-[1]data!I97</f>
        <v>0</v>
      </c>
      <c r="J135" s="36">
        <f>[1]data!J135-[1]data!J97</f>
        <v>-2.8565706996578344E-3</v>
      </c>
      <c r="K135" s="36">
        <f>[1]data!K135-[1]data!K97</f>
        <v>0</v>
      </c>
      <c r="L135" s="25">
        <f t="shared" si="114"/>
        <v>0.12670888126723617</v>
      </c>
      <c r="M135" s="25">
        <f t="shared" si="115"/>
        <v>0.12670888126723617</v>
      </c>
      <c r="N135" s="25">
        <f t="shared" si="116"/>
        <v>0.13774479070297987</v>
      </c>
      <c r="O135" s="25">
        <f t="shared" si="117"/>
        <v>0.13774479070297987</v>
      </c>
      <c r="P135" s="24">
        <f t="shared" si="118"/>
        <v>0.1396178800792699</v>
      </c>
      <c r="Q135" s="40">
        <f t="shared" si="100"/>
        <v>0.15177811908347744</v>
      </c>
      <c r="R135" s="40">
        <f t="shared" si="101"/>
        <v>-1.290899881203373E-2</v>
      </c>
      <c r="S135" s="40">
        <f t="shared" si="102"/>
        <v>-1.4033328380497567E-2</v>
      </c>
      <c r="T135" s="40">
        <f t="shared" si="103"/>
        <v>0</v>
      </c>
      <c r="U135" s="40">
        <f t="shared" si="104"/>
        <v>0</v>
      </c>
      <c r="V135" s="25">
        <f t="shared" si="119"/>
        <v>-1.3779887715663667E-2</v>
      </c>
      <c r="W135" s="25">
        <f t="shared" si="120"/>
        <v>-1.4980068723844534E-2</v>
      </c>
      <c r="X135" s="40">
        <f t="shared" si="105"/>
        <v>0</v>
      </c>
      <c r="Y135" s="40">
        <f t="shared" si="106"/>
        <v>0</v>
      </c>
      <c r="Z135" s="40">
        <f t="shared" si="107"/>
        <v>-1.3779887715663667E-2</v>
      </c>
      <c r="AA135" s="40">
        <f t="shared" si="108"/>
        <v>-1.4980068723844534E-2</v>
      </c>
      <c r="AB135" s="40">
        <f t="shared" si="109"/>
        <v>0</v>
      </c>
      <c r="AC135" s="40">
        <f t="shared" si="110"/>
        <v>0</v>
      </c>
      <c r="AD135" s="26">
        <v>19.06914282116</v>
      </c>
      <c r="AE135" s="8">
        <v>20.729999827290001</v>
      </c>
      <c r="AF135" s="61">
        <f t="shared" si="121"/>
        <v>2.3410180168201317E-2</v>
      </c>
      <c r="AG135" s="61">
        <f>(D135)+(H135*-1)</f>
        <v>2.9123321567516985E-2</v>
      </c>
      <c r="AH135" s="74">
        <f t="shared" si="142"/>
        <v>0.9019146668062773</v>
      </c>
      <c r="AI135" s="74">
        <f t="shared" si="97"/>
        <v>0.9019146668062773</v>
      </c>
      <c r="AJ135" s="74">
        <f t="shared" si="122"/>
        <v>1.1220225850093197</v>
      </c>
      <c r="AK135" s="74">
        <f t="shared" si="98"/>
        <v>1.1220225850093197</v>
      </c>
      <c r="AL135" s="74">
        <f t="shared" si="123"/>
        <v>-9.1886340135879485E-2</v>
      </c>
      <c r="AM135" s="74">
        <f t="shared" si="99"/>
        <v>-0.11431075763673072</v>
      </c>
      <c r="AN135" s="74">
        <f t="shared" si="124"/>
        <v>0.99380100694215678</v>
      </c>
      <c r="AO135" s="74">
        <f t="shared" si="125"/>
        <v>1.2363333426460503</v>
      </c>
      <c r="AP135" s="74">
        <f t="shared" si="126"/>
        <v>0</v>
      </c>
      <c r="AQ135" s="74">
        <f t="shared" si="127"/>
        <v>0</v>
      </c>
      <c r="AR135" s="74">
        <f t="shared" si="128"/>
        <v>-0.10187919491458476</v>
      </c>
      <c r="AS135" s="74">
        <f t="shared" si="129"/>
        <v>1.1018791949145847</v>
      </c>
      <c r="AT135" s="74">
        <f t="shared" si="130"/>
        <v>-9.8085333193722715E-2</v>
      </c>
      <c r="AU135" s="74">
        <f t="shared" si="131"/>
        <v>-0.12202258500931966</v>
      </c>
      <c r="AV135" s="74">
        <f t="shared" si="132"/>
        <v>0</v>
      </c>
      <c r="AW135" s="74">
        <f t="shared" si="133"/>
        <v>0</v>
      </c>
      <c r="AX135" s="74">
        <f t="shared" si="134"/>
        <v>-9.8085333193722715E-2</v>
      </c>
      <c r="AY135" s="74">
        <f t="shared" si="135"/>
        <v>-0.12202258500931966</v>
      </c>
      <c r="AZ135" s="74">
        <f t="shared" si="136"/>
        <v>0</v>
      </c>
      <c r="BA135" s="74">
        <f t="shared" si="137"/>
        <v>1</v>
      </c>
      <c r="BB135" s="74">
        <f t="shared" si="138"/>
        <v>1.1292899355157251E-3</v>
      </c>
      <c r="BC135" s="74">
        <f t="shared" si="139"/>
        <v>1.1292899355157251E-3</v>
      </c>
      <c r="BD135" s="74">
        <f t="shared" si="140"/>
        <v>1.2276472197913532E-3</v>
      </c>
      <c r="BE135" s="75">
        <f t="shared" si="141"/>
        <v>1.4048876898289985E-3</v>
      </c>
    </row>
    <row r="136" spans="1:57" x14ac:dyDescent="0.35">
      <c r="A136" s="9" t="s">
        <v>47</v>
      </c>
      <c r="B136" s="11" t="s">
        <v>68</v>
      </c>
      <c r="C136" s="47">
        <f t="shared" si="111"/>
        <v>-1.4467121469156701</v>
      </c>
      <c r="D136" s="23">
        <f t="shared" si="112"/>
        <v>-1.0488086526857066</v>
      </c>
      <c r="E136" s="50">
        <f>[1]data!E136-[1]data!E98</f>
        <v>0.78867720461602975</v>
      </c>
      <c r="F136" s="36">
        <f>[1]data!F136-[1]data!F98</f>
        <v>-1.8374858573017363</v>
      </c>
      <c r="G136" s="36">
        <f>[1]data!G136-[1]data!G98</f>
        <v>-0.39790349422996352</v>
      </c>
      <c r="H136" s="25">
        <f t="shared" si="113"/>
        <v>-0.70896838615191271</v>
      </c>
      <c r="I136" s="36">
        <f>[1]data!I136-[1]data!I98</f>
        <v>-0.8826455907679418</v>
      </c>
      <c r="J136" s="36">
        <f>[1]data!J136-[1]data!J98</f>
        <v>0.17367720461602909</v>
      </c>
      <c r="K136" s="36">
        <f>[1]data!K136-[1]data!K98</f>
        <v>0</v>
      </c>
      <c r="L136" s="25">
        <f t="shared" si="114"/>
        <v>-0.38945955297030932</v>
      </c>
      <c r="M136" s="25">
        <f t="shared" si="115"/>
        <v>-0.28234265530790326</v>
      </c>
      <c r="N136" s="25">
        <f t="shared" si="116"/>
        <v>-0.34619385982758177</v>
      </c>
      <c r="O136" s="25">
        <f t="shared" si="117"/>
        <v>-0.25097675198755021</v>
      </c>
      <c r="P136" s="24">
        <f t="shared" si="118"/>
        <v>0.21231443463198943</v>
      </c>
      <c r="Q136" s="40">
        <f t="shared" si="100"/>
        <v>0.18872807987832996</v>
      </c>
      <c r="R136" s="40">
        <f t="shared" si="101"/>
        <v>-0.49465708993989266</v>
      </c>
      <c r="S136" s="40">
        <f t="shared" si="102"/>
        <v>-0.43970483186588016</v>
      </c>
      <c r="T136" s="40">
        <f t="shared" si="103"/>
        <v>-0.10711689766240609</v>
      </c>
      <c r="U136" s="40">
        <f t="shared" si="104"/>
        <v>-9.5217107840031595E-2</v>
      </c>
      <c r="V136" s="25">
        <f t="shared" si="119"/>
        <v>-0.1908565648871271</v>
      </c>
      <c r="W136" s="25">
        <f t="shared" si="120"/>
        <v>-0.16965399967155251</v>
      </c>
      <c r="X136" s="40">
        <f t="shared" si="105"/>
        <v>-0.23761102576249737</v>
      </c>
      <c r="Y136" s="40">
        <f t="shared" si="106"/>
        <v>-0.21121443168857393</v>
      </c>
      <c r="Z136" s="40">
        <f t="shared" si="107"/>
        <v>4.6754460875370274E-2</v>
      </c>
      <c r="AA136" s="40">
        <f t="shared" si="108"/>
        <v>4.156043201702142E-2</v>
      </c>
      <c r="AB136" s="40">
        <f t="shared" si="109"/>
        <v>0</v>
      </c>
      <c r="AC136" s="40">
        <f t="shared" si="110"/>
        <v>0</v>
      </c>
      <c r="AD136" s="26">
        <v>417.89075855828003</v>
      </c>
      <c r="AE136" s="8">
        <v>371.46659669328</v>
      </c>
      <c r="AF136" s="61">
        <f t="shared" si="121"/>
        <v>-1.7577770388376193</v>
      </c>
      <c r="AG136" s="61">
        <f>(D136*-1)+(H136*-1)</f>
        <v>1.7577770388376193</v>
      </c>
      <c r="AH136" s="74">
        <f>($D136/$AG136)*-1</f>
        <v>0.59666762593466438</v>
      </c>
      <c r="AI136" s="74">
        <f t="shared" si="97"/>
        <v>-0.59666762593466438</v>
      </c>
      <c r="AJ136" s="74">
        <f t="shared" si="122"/>
        <v>0.59666762593466438</v>
      </c>
      <c r="AK136" s="74">
        <f t="shared" si="98"/>
        <v>0.59666762593466438</v>
      </c>
      <c r="AL136" s="74">
        <f t="shared" si="123"/>
        <v>-1.0453463759640567</v>
      </c>
      <c r="AM136" s="74">
        <f t="shared" si="99"/>
        <v>1.0453463759640567</v>
      </c>
      <c r="AN136" s="74">
        <f t="shared" si="124"/>
        <v>0.44867875002939239</v>
      </c>
      <c r="AO136" s="74">
        <f t="shared" si="125"/>
        <v>-0.44867875002939239</v>
      </c>
      <c r="AP136" s="74">
        <f t="shared" si="126"/>
        <v>-0.22636744333234018</v>
      </c>
      <c r="AQ136" s="74">
        <f t="shared" si="127"/>
        <v>0.22636744333234018</v>
      </c>
      <c r="AR136" s="74">
        <f t="shared" si="128"/>
        <v>1.7519743497504976</v>
      </c>
      <c r="AS136" s="74">
        <f t="shared" si="129"/>
        <v>-0.75197434975049771</v>
      </c>
      <c r="AT136" s="74">
        <f t="shared" si="130"/>
        <v>-0.40333237406533567</v>
      </c>
      <c r="AU136" s="74">
        <f t="shared" si="131"/>
        <v>0.40333237406533567</v>
      </c>
      <c r="AV136" s="74">
        <f t="shared" si="132"/>
        <v>-0.50213739926402534</v>
      </c>
      <c r="AW136" s="74">
        <f t="shared" si="133"/>
        <v>0.50213739926402534</v>
      </c>
      <c r="AX136" s="74">
        <f t="shared" si="134"/>
        <v>9.880502519868968E-2</v>
      </c>
      <c r="AY136" s="74">
        <f t="shared" si="135"/>
        <v>-9.880502519868968E-2</v>
      </c>
      <c r="AZ136" s="74">
        <f t="shared" si="136"/>
        <v>1.2449717194848442</v>
      </c>
      <c r="BA136" s="74">
        <f t="shared" si="137"/>
        <v>-0.24497171948484425</v>
      </c>
      <c r="BB136" s="74">
        <f t="shared" si="138"/>
        <v>-5.8031611785743639E-3</v>
      </c>
      <c r="BC136" s="74">
        <f t="shared" si="139"/>
        <v>-4.7319922019503037E-3</v>
      </c>
      <c r="BD136" s="74">
        <f t="shared" si="140"/>
        <v>-4.2063075165910272E-3</v>
      </c>
      <c r="BE136" s="75">
        <f t="shared" si="141"/>
        <v>4.7319922019503037E-3</v>
      </c>
    </row>
    <row r="137" spans="1:57" x14ac:dyDescent="0.35">
      <c r="A137" s="9" t="s">
        <v>48</v>
      </c>
      <c r="B137" s="11" t="s">
        <v>68</v>
      </c>
      <c r="C137" s="47">
        <f t="shared" si="111"/>
        <v>0.97733203671214808</v>
      </c>
      <c r="D137" s="23">
        <f t="shared" si="112"/>
        <v>0.973540694996057</v>
      </c>
      <c r="E137" s="50">
        <f>[1]data!E137-[1]data!E99</f>
        <v>0.44152575336758204</v>
      </c>
      <c r="F137" s="36">
        <f>[1]data!F137-[1]data!F99</f>
        <v>0.53201494162847496</v>
      </c>
      <c r="G137" s="36">
        <f>[1]data!G137-[1]data!G99</f>
        <v>3.791341716091079E-3</v>
      </c>
      <c r="H137" s="25">
        <f t="shared" si="113"/>
        <v>-8.6212863034831333E-3</v>
      </c>
      <c r="I137" s="36">
        <f>[1]data!I137-[1]data!I99</f>
        <v>-2.7209392217096395E-2</v>
      </c>
      <c r="J137" s="36">
        <f>[1]data!J137-[1]data!J99</f>
        <v>1.8588105913613262E-2</v>
      </c>
      <c r="K137" s="36">
        <f>[1]data!K137-[1]data!K99</f>
        <v>0</v>
      </c>
      <c r="L137" s="25">
        <f t="shared" si="114"/>
        <v>0.27264725426573516</v>
      </c>
      <c r="M137" s="25">
        <f t="shared" si="115"/>
        <v>0.27158958003625544</v>
      </c>
      <c r="N137" s="25">
        <f t="shared" si="116"/>
        <v>0.28543850164518014</v>
      </c>
      <c r="O137" s="25">
        <f t="shared" si="117"/>
        <v>0.28433120662361661</v>
      </c>
      <c r="P137" s="24">
        <f t="shared" si="118"/>
        <v>0.1231728622631215</v>
      </c>
      <c r="Q137" s="40">
        <f t="shared" si="100"/>
        <v>0.12895151774925487</v>
      </c>
      <c r="R137" s="40">
        <f t="shared" si="101"/>
        <v>0.14841671777313395</v>
      </c>
      <c r="S137" s="40">
        <f t="shared" si="102"/>
        <v>0.15537968887436174</v>
      </c>
      <c r="T137" s="40">
        <f t="shared" si="103"/>
        <v>1.0576742294797267E-3</v>
      </c>
      <c r="U137" s="40">
        <f t="shared" si="104"/>
        <v>1.1072950215635269E-3</v>
      </c>
      <c r="V137" s="25">
        <f t="shared" si="119"/>
        <v>-2.40508849662909E-3</v>
      </c>
      <c r="W137" s="25">
        <f t="shared" si="120"/>
        <v>-2.5179232362001541E-3</v>
      </c>
      <c r="X137" s="40">
        <f t="shared" si="105"/>
        <v>-7.5906302050505435E-3</v>
      </c>
      <c r="Y137" s="40">
        <f t="shared" si="106"/>
        <v>-7.9467446613657941E-3</v>
      </c>
      <c r="Z137" s="40">
        <f t="shared" si="107"/>
        <v>5.1855417084214536E-3</v>
      </c>
      <c r="AA137" s="40">
        <f t="shared" si="108"/>
        <v>5.42882142516564E-3</v>
      </c>
      <c r="AB137" s="40">
        <f t="shared" si="109"/>
        <v>0</v>
      </c>
      <c r="AC137" s="40">
        <f t="shared" si="110"/>
        <v>0</v>
      </c>
      <c r="AD137" s="26">
        <v>342.39670930134002</v>
      </c>
      <c r="AE137" s="8">
        <v>358.46025273358998</v>
      </c>
      <c r="AF137" s="61">
        <f t="shared" si="121"/>
        <v>0.96491940869257387</v>
      </c>
      <c r="AG137" s="61">
        <f>(D137)+(H137*-1)</f>
        <v>0.98216198129954013</v>
      </c>
      <c r="AH137" s="74">
        <f t="shared" si="142"/>
        <v>0.99122213395790792</v>
      </c>
      <c r="AI137" s="74">
        <f t="shared" si="97"/>
        <v>0.99122213395790792</v>
      </c>
      <c r="AJ137" s="74">
        <f t="shared" si="122"/>
        <v>1.0089347216211193</v>
      </c>
      <c r="AK137" s="74">
        <f t="shared" si="98"/>
        <v>1.0089347216211193</v>
      </c>
      <c r="AL137" s="74">
        <f t="shared" si="123"/>
        <v>0.54167739309614027</v>
      </c>
      <c r="AM137" s="74">
        <f t="shared" si="99"/>
        <v>0.55135686652767546</v>
      </c>
      <c r="AN137" s="74">
        <f t="shared" si="124"/>
        <v>0.44954474086176766</v>
      </c>
      <c r="AO137" s="74">
        <f t="shared" si="125"/>
        <v>0.45757785509344379</v>
      </c>
      <c r="AP137" s="74">
        <f t="shared" si="126"/>
        <v>3.860200036530221E-3</v>
      </c>
      <c r="AQ137" s="74">
        <f t="shared" si="127"/>
        <v>3.9291796619866847E-3</v>
      </c>
      <c r="AR137" s="74">
        <f t="shared" si="128"/>
        <v>0.54647427104280388</v>
      </c>
      <c r="AS137" s="74">
        <f t="shared" si="129"/>
        <v>0.45352572895719606</v>
      </c>
      <c r="AT137" s="74">
        <f t="shared" si="130"/>
        <v>-8.7778660420921046E-3</v>
      </c>
      <c r="AU137" s="74">
        <f t="shared" si="131"/>
        <v>-8.9347216211192407E-3</v>
      </c>
      <c r="AV137" s="74">
        <f t="shared" si="132"/>
        <v>-2.7703568998969492E-2</v>
      </c>
      <c r="AW137" s="74">
        <f t="shared" si="133"/>
        <v>-2.8198616352804018E-2</v>
      </c>
      <c r="AX137" s="74">
        <f t="shared" si="134"/>
        <v>1.8925702956877389E-2</v>
      </c>
      <c r="AY137" s="74">
        <f t="shared" si="135"/>
        <v>1.9263894731684775E-2</v>
      </c>
      <c r="AZ137" s="74">
        <f t="shared" si="136"/>
        <v>3.1560710617049543</v>
      </c>
      <c r="BA137" s="74">
        <f t="shared" si="137"/>
        <v>-2.1560710617049543</v>
      </c>
      <c r="BB137" s="74">
        <f t="shared" si="138"/>
        <v>2.7024216576910609E-3</v>
      </c>
      <c r="BC137" s="74">
        <f t="shared" si="139"/>
        <v>2.6918449153962637E-3</v>
      </c>
      <c r="BD137" s="74">
        <f t="shared" si="140"/>
        <v>2.8181328338741647E-3</v>
      </c>
      <c r="BE137" s="75">
        <f t="shared" si="141"/>
        <v>2.7399466853288454E-3</v>
      </c>
    </row>
    <row r="138" spans="1:57" x14ac:dyDescent="0.35">
      <c r="A138" s="10" t="s">
        <v>49</v>
      </c>
      <c r="B138" s="11" t="s">
        <v>68</v>
      </c>
      <c r="C138" s="47">
        <f t="shared" si="111"/>
        <v>-2.3205983330700924E-2</v>
      </c>
      <c r="D138" s="23">
        <f t="shared" si="112"/>
        <v>-2.3205983330700924E-2</v>
      </c>
      <c r="E138" s="50">
        <f>[1]data!E138-[1]data!E100</f>
        <v>7.9292813335628265E-3</v>
      </c>
      <c r="F138" s="36">
        <f>[1]data!F138-[1]data!F100</f>
        <v>-3.1135264664263751E-2</v>
      </c>
      <c r="G138" s="36">
        <f>[1]data!G138-[1]data!G100</f>
        <v>0</v>
      </c>
      <c r="H138" s="25">
        <f t="shared" si="113"/>
        <v>-6.9654562634122508E-2</v>
      </c>
      <c r="I138" s="36">
        <f>[1]data!I138-[1]data!I100</f>
        <v>-3.4533528024344173E-3</v>
      </c>
      <c r="J138" s="36">
        <f>[1]data!J138-[1]data!J100</f>
        <v>-6.620120983168809E-2</v>
      </c>
      <c r="K138" s="36">
        <f>[1]data!K138-[1]data!K100</f>
        <v>0</v>
      </c>
      <c r="L138" s="25">
        <f t="shared" si="114"/>
        <v>-7.6942717779706057E-2</v>
      </c>
      <c r="M138" s="25">
        <f t="shared" si="115"/>
        <v>-7.6942717779706057E-2</v>
      </c>
      <c r="N138" s="25">
        <f t="shared" si="116"/>
        <v>-4.1870983365384903E-2</v>
      </c>
      <c r="O138" s="25">
        <f t="shared" si="117"/>
        <v>-4.1870983365384903E-2</v>
      </c>
      <c r="P138" s="24">
        <f t="shared" si="118"/>
        <v>2.6290653024690771E-2</v>
      </c>
      <c r="Q138" s="40">
        <f t="shared" si="100"/>
        <v>1.4306948431606846E-2</v>
      </c>
      <c r="R138" s="40">
        <f t="shared" si="101"/>
        <v>-0.10323337080439683</v>
      </c>
      <c r="S138" s="40">
        <f t="shared" si="102"/>
        <v>-5.6177931796991751E-2</v>
      </c>
      <c r="T138" s="40">
        <f t="shared" si="103"/>
        <v>0</v>
      </c>
      <c r="U138" s="40">
        <f t="shared" si="104"/>
        <v>0</v>
      </c>
      <c r="V138" s="25">
        <f t="shared" si="119"/>
        <v>-0.23094954772874388</v>
      </c>
      <c r="W138" s="25">
        <f t="shared" si="120"/>
        <v>-0.12567901096085177</v>
      </c>
      <c r="X138" s="40">
        <f t="shared" si="105"/>
        <v>-1.1450079330184659E-2</v>
      </c>
      <c r="Y138" s="40">
        <f t="shared" si="106"/>
        <v>-6.230948100106621E-3</v>
      </c>
      <c r="Z138" s="40">
        <f t="shared" si="107"/>
        <v>-0.21949946839855922</v>
      </c>
      <c r="AA138" s="40">
        <f t="shared" si="108"/>
        <v>-0.11944806286074514</v>
      </c>
      <c r="AB138" s="40">
        <f t="shared" si="109"/>
        <v>0</v>
      </c>
      <c r="AC138" s="40">
        <f t="shared" si="110"/>
        <v>0</v>
      </c>
      <c r="AD138" s="32">
        <v>55.422589739999999</v>
      </c>
      <c r="AE138" s="8">
        <v>30.160077523049999</v>
      </c>
      <c r="AF138" s="61">
        <f t="shared" si="121"/>
        <v>-9.2860545964823432E-2</v>
      </c>
      <c r="AG138" s="61">
        <f>(D138*-1)+(H138*-1)</f>
        <v>9.2860545964823432E-2</v>
      </c>
      <c r="AH138" s="74">
        <f>($D138/$AG138)*-1</f>
        <v>0.24990143111469104</v>
      </c>
      <c r="AI138" s="74">
        <f t="shared" si="97"/>
        <v>-0.24990143111469104</v>
      </c>
      <c r="AJ138" s="74">
        <f t="shared" si="122"/>
        <v>0.24990143111469104</v>
      </c>
      <c r="AK138" s="74">
        <f t="shared" si="98"/>
        <v>0.24990143111469104</v>
      </c>
      <c r="AL138" s="74">
        <f t="shared" si="123"/>
        <v>-0.33529056221635961</v>
      </c>
      <c r="AM138" s="74">
        <f t="shared" si="99"/>
        <v>0.33529056221635961</v>
      </c>
      <c r="AN138" s="74">
        <f t="shared" si="124"/>
        <v>8.5389131101668556E-2</v>
      </c>
      <c r="AO138" s="74">
        <f t="shared" si="125"/>
        <v>-8.5389131101668556E-2</v>
      </c>
      <c r="AP138" s="74">
        <f t="shared" si="126"/>
        <v>0</v>
      </c>
      <c r="AQ138" s="74">
        <f t="shared" si="127"/>
        <v>0</v>
      </c>
      <c r="AR138" s="74">
        <f t="shared" si="128"/>
        <v>1.3416912449071956</v>
      </c>
      <c r="AS138" s="74">
        <f t="shared" si="129"/>
        <v>-0.34169124490719555</v>
      </c>
      <c r="AT138" s="74">
        <f t="shared" si="130"/>
        <v>-0.7500985688853089</v>
      </c>
      <c r="AU138" s="74">
        <f t="shared" si="131"/>
        <v>0.7500985688853089</v>
      </c>
      <c r="AV138" s="74">
        <f t="shared" si="132"/>
        <v>-3.7188590337844711E-2</v>
      </c>
      <c r="AW138" s="74">
        <f t="shared" si="133"/>
        <v>3.7188590337844711E-2</v>
      </c>
      <c r="AX138" s="74">
        <f t="shared" si="134"/>
        <v>-0.7129099785474643</v>
      </c>
      <c r="AY138" s="74">
        <f t="shared" si="135"/>
        <v>0.7129099785474643</v>
      </c>
      <c r="AZ138" s="74">
        <f t="shared" si="136"/>
        <v>4.9578271283878282E-2</v>
      </c>
      <c r="BA138" s="74">
        <f t="shared" si="137"/>
        <v>0.95042172871612174</v>
      </c>
      <c r="BB138" s="74">
        <f t="shared" si="138"/>
        <v>-3.0789226550844992E-3</v>
      </c>
      <c r="BC138" s="74">
        <f t="shared" si="139"/>
        <v>-3.0789226550844992E-3</v>
      </c>
      <c r="BD138" s="74">
        <f t="shared" si="140"/>
        <v>-1.6754999432623669E-3</v>
      </c>
      <c r="BE138" s="75">
        <f t="shared" si="141"/>
        <v>3.0789226550844992E-3</v>
      </c>
    </row>
    <row r="139" spans="1:57" x14ac:dyDescent="0.35">
      <c r="A139" s="9" t="s">
        <v>50</v>
      </c>
      <c r="B139" s="11" t="s">
        <v>68</v>
      </c>
      <c r="C139" s="47">
        <f t="shared" si="111"/>
        <v>-1.84302188106783E-2</v>
      </c>
      <c r="D139" s="23">
        <f t="shared" si="112"/>
        <v>-7.7036336486301371E-3</v>
      </c>
      <c r="E139" s="50">
        <f>[1]data!E139-[1]data!E101</f>
        <v>-2.4489920461298054E-3</v>
      </c>
      <c r="F139" s="36">
        <f>[1]data!F139-[1]data!F101</f>
        <v>-5.2546416025003317E-3</v>
      </c>
      <c r="G139" s="36">
        <f>[1]data!G139-[1]data!G101</f>
        <v>-1.0726585162048163E-2</v>
      </c>
      <c r="H139" s="25">
        <f t="shared" si="113"/>
        <v>-8.4245326386863106E-3</v>
      </c>
      <c r="I139" s="36">
        <f>[1]data!I139-[1]data!I101</f>
        <v>-1.5673549095230332E-3</v>
      </c>
      <c r="J139" s="36">
        <f>[1]data!J139-[1]data!J101</f>
        <v>-6.8571777291632774E-3</v>
      </c>
      <c r="K139" s="36">
        <f>[1]data!K139-[1]data!K101</f>
        <v>0</v>
      </c>
      <c r="L139" s="25">
        <f t="shared" si="114"/>
        <v>-3.8223670689821534E-2</v>
      </c>
      <c r="M139" s="25">
        <f t="shared" si="115"/>
        <v>-1.597708408809876E-2</v>
      </c>
      <c r="N139" s="25">
        <f t="shared" si="116"/>
        <v>-1.8973609057238956E-2</v>
      </c>
      <c r="O139" s="25">
        <f t="shared" si="117"/>
        <v>-7.9307649394055185E-3</v>
      </c>
      <c r="P139" s="24">
        <f t="shared" si="118"/>
        <v>-5.0791293611241036E-3</v>
      </c>
      <c r="Q139" s="40">
        <f t="shared" si="100"/>
        <v>-2.5211972871766741E-3</v>
      </c>
      <c r="R139" s="40">
        <f t="shared" si="101"/>
        <v>-1.0897954726974655E-2</v>
      </c>
      <c r="S139" s="40">
        <f t="shared" si="102"/>
        <v>-5.4095676522288453E-3</v>
      </c>
      <c r="T139" s="40">
        <f t="shared" si="103"/>
        <v>-2.2246586601722778E-2</v>
      </c>
      <c r="U139" s="40">
        <f t="shared" si="104"/>
        <v>-1.1042844117833437E-2</v>
      </c>
      <c r="V139" s="25">
        <f t="shared" si="119"/>
        <v>-1.7472205002266459E-2</v>
      </c>
      <c r="W139" s="25">
        <f t="shared" si="120"/>
        <v>-8.6729186678875317E-3</v>
      </c>
      <c r="X139" s="40">
        <f t="shared" si="105"/>
        <v>-3.2506427911193386E-3</v>
      </c>
      <c r="Y139" s="40">
        <f t="shared" si="106"/>
        <v>-1.6135662637930283E-3</v>
      </c>
      <c r="Z139" s="40">
        <f t="shared" si="107"/>
        <v>-1.4221562211147121E-2</v>
      </c>
      <c r="AA139" s="40">
        <f t="shared" si="108"/>
        <v>-7.059352404094504E-3</v>
      </c>
      <c r="AB139" s="40">
        <f t="shared" si="109"/>
        <v>0</v>
      </c>
      <c r="AC139" s="40">
        <f t="shared" si="110"/>
        <v>0</v>
      </c>
      <c r="AD139" s="26">
        <v>97.136073348400004</v>
      </c>
      <c r="AE139" s="8">
        <v>48.216768505140003</v>
      </c>
      <c r="AF139" s="61">
        <f t="shared" si="121"/>
        <v>-1.6128166287316448E-2</v>
      </c>
      <c r="AG139" s="61">
        <f>(D139*-1)+(H139*-1)</f>
        <v>1.6128166287316448E-2</v>
      </c>
      <c r="AH139" s="74">
        <f>($D139/$AG139)*-1</f>
        <v>0.47765093138259912</v>
      </c>
      <c r="AI139" s="74">
        <f t="shared" si="97"/>
        <v>-0.47765093138259912</v>
      </c>
      <c r="AJ139" s="74">
        <f t="shared" si="122"/>
        <v>0.47765093138259912</v>
      </c>
      <c r="AK139" s="74">
        <f t="shared" si="98"/>
        <v>0.47765093138259912</v>
      </c>
      <c r="AL139" s="74">
        <f t="shared" si="123"/>
        <v>-0.32580527190079256</v>
      </c>
      <c r="AM139" s="74">
        <f t="shared" si="99"/>
        <v>0.32580527190079256</v>
      </c>
      <c r="AN139" s="74">
        <f t="shared" si="124"/>
        <v>-0.15184565948180653</v>
      </c>
      <c r="AO139" s="74">
        <f t="shared" si="125"/>
        <v>0.15184565948180653</v>
      </c>
      <c r="AP139" s="74">
        <f t="shared" si="126"/>
        <v>-0.66508398853028883</v>
      </c>
      <c r="AQ139" s="74">
        <f t="shared" si="127"/>
        <v>0.66508398853028883</v>
      </c>
      <c r="AR139" s="74">
        <f t="shared" si="128"/>
        <v>0.68209910312060518</v>
      </c>
      <c r="AS139" s="74">
        <f t="shared" si="129"/>
        <v>0.31790089687939482</v>
      </c>
      <c r="AT139" s="74">
        <f t="shared" si="130"/>
        <v>-0.52234906861740082</v>
      </c>
      <c r="AU139" s="74">
        <f t="shared" si="131"/>
        <v>0.52234906861740082</v>
      </c>
      <c r="AV139" s="74">
        <f t="shared" si="132"/>
        <v>-9.718122206835357E-2</v>
      </c>
      <c r="AW139" s="74">
        <f t="shared" si="133"/>
        <v>9.718122206835357E-2</v>
      </c>
      <c r="AX139" s="74">
        <f t="shared" si="134"/>
        <v>-0.42516784654904732</v>
      </c>
      <c r="AY139" s="74">
        <f t="shared" si="135"/>
        <v>0.42516784654904732</v>
      </c>
      <c r="AZ139" s="74">
        <f t="shared" si="136"/>
        <v>0.18604651162790684</v>
      </c>
      <c r="BA139" s="74">
        <f t="shared" si="137"/>
        <v>0.81395348837209314</v>
      </c>
      <c r="BB139" s="74">
        <f t="shared" si="138"/>
        <v>-5.5695875692088001E-4</v>
      </c>
      <c r="BC139" s="74">
        <f t="shared" si="139"/>
        <v>-3.3449289090365221E-4</v>
      </c>
      <c r="BD139" s="74">
        <f t="shared" si="140"/>
        <v>-1.6603683607293053E-4</v>
      </c>
      <c r="BE139" s="75">
        <f t="shared" si="141"/>
        <v>3.3449289090365221E-4</v>
      </c>
    </row>
    <row r="140" spans="1:57" x14ac:dyDescent="0.35">
      <c r="A140" s="9" t="s">
        <v>51</v>
      </c>
      <c r="B140" s="11" t="s">
        <v>68</v>
      </c>
      <c r="C140" s="47">
        <f t="shared" si="111"/>
        <v>-0.56289206247596135</v>
      </c>
      <c r="D140" s="23">
        <f t="shared" si="112"/>
        <v>-0.58431545748586744</v>
      </c>
      <c r="E140" s="50">
        <f>[1]data!E140-[1]data!E102</f>
        <v>-9.795968184519166E-4</v>
      </c>
      <c r="F140" s="36">
        <f>[1]data!F140-[1]data!F102</f>
        <v>-0.5833358606674155</v>
      </c>
      <c r="G140" s="36">
        <f>[1]data!G140-[1]data!G102</f>
        <v>2.1423395009906088E-2</v>
      </c>
      <c r="H140" s="25">
        <f t="shared" si="113"/>
        <v>0.44306040520924167</v>
      </c>
      <c r="I140" s="36">
        <f>[1]data!I140-[1]data!I102</f>
        <v>0.45530536543989036</v>
      </c>
      <c r="J140" s="36">
        <f>[1]data!J140-[1]data!J102</f>
        <v>-1.2244960230648694E-2</v>
      </c>
      <c r="K140" s="36">
        <f>[1]data!K140-[1]data!K102</f>
        <v>-0.23304046522143085</v>
      </c>
      <c r="L140" s="25">
        <f t="shared" si="114"/>
        <v>-0.84572301720794152</v>
      </c>
      <c r="M140" s="25">
        <f t="shared" si="115"/>
        <v>-0.87791081922973513</v>
      </c>
      <c r="N140" s="25">
        <f t="shared" si="116"/>
        <v>-0.84845115836557949</v>
      </c>
      <c r="O140" s="25">
        <f t="shared" si="117"/>
        <v>-0.88074279209785378</v>
      </c>
      <c r="P140" s="24">
        <f t="shared" si="118"/>
        <v>-1.4718053996077361E-3</v>
      </c>
      <c r="Q140" s="40">
        <f t="shared" si="100"/>
        <v>-1.4765531631248741E-3</v>
      </c>
      <c r="R140" s="40">
        <f t="shared" si="101"/>
        <v>-0.87643901383012734</v>
      </c>
      <c r="S140" s="40">
        <f t="shared" si="102"/>
        <v>-0.87926623893472888</v>
      </c>
      <c r="T140" s="40">
        <f t="shared" si="103"/>
        <v>3.2187802021793631E-2</v>
      </c>
      <c r="U140" s="40">
        <f t="shared" si="104"/>
        <v>3.2291633732274283E-2</v>
      </c>
      <c r="V140" s="25">
        <f t="shared" si="119"/>
        <v>0.66568070093355602</v>
      </c>
      <c r="W140" s="25">
        <f t="shared" si="120"/>
        <v>0.66782805991647431</v>
      </c>
      <c r="X140" s="40">
        <f t="shared" si="105"/>
        <v>0.68407826842865238</v>
      </c>
      <c r="Y140" s="40">
        <f t="shared" si="106"/>
        <v>0.68628497445553482</v>
      </c>
      <c r="Z140" s="40">
        <f t="shared" si="107"/>
        <v>-1.8397567495096304E-2</v>
      </c>
      <c r="AA140" s="40">
        <f t="shared" si="108"/>
        <v>-1.8456914539060527E-2</v>
      </c>
      <c r="AB140" s="40">
        <f t="shared" si="109"/>
        <v>-0.35013406391216895</v>
      </c>
      <c r="AC140" s="40">
        <f t="shared" si="110"/>
        <v>-0.35126352962495444</v>
      </c>
      <c r="AD140" s="26">
        <v>66.343484468840003</v>
      </c>
      <c r="AE140" s="8">
        <v>66.557495896739994</v>
      </c>
      <c r="AF140" s="61">
        <f t="shared" si="121"/>
        <v>-0.14125505227662577</v>
      </c>
      <c r="AG140" s="61">
        <f>(D140*-1)+(H140)</f>
        <v>1.0273758626951091</v>
      </c>
      <c r="AH140" s="74">
        <f>($D140/$AG140)*-1</f>
        <v>0.56874555720341347</v>
      </c>
      <c r="AI140" s="74">
        <f t="shared" si="97"/>
        <v>-0.56874555720341347</v>
      </c>
      <c r="AJ140" s="74">
        <f t="shared" si="122"/>
        <v>4.1365986424441488</v>
      </c>
      <c r="AK140" s="74">
        <f t="shared" si="98"/>
        <v>4.1365986424441488</v>
      </c>
      <c r="AL140" s="74">
        <f t="shared" si="123"/>
        <v>-0.56779206310838759</v>
      </c>
      <c r="AM140" s="74">
        <f t="shared" si="99"/>
        <v>4.1296636917810492</v>
      </c>
      <c r="AN140" s="74">
        <f t="shared" si="124"/>
        <v>-9.5349409502589052E-4</v>
      </c>
      <c r="AO140" s="74">
        <f t="shared" si="125"/>
        <v>6.9349506630993311E-3</v>
      </c>
      <c r="AP140" s="74">
        <f t="shared" si="126"/>
        <v>2.0852538771648988E-2</v>
      </c>
      <c r="AQ140" s="74">
        <f t="shared" si="127"/>
        <v>-0.15166462837698536</v>
      </c>
      <c r="AR140" s="74">
        <f t="shared" si="128"/>
        <v>0.99832351376999873</v>
      </c>
      <c r="AS140" s="74">
        <f t="shared" si="129"/>
        <v>1.6764862300012141E-3</v>
      </c>
      <c r="AT140" s="74">
        <f t="shared" si="130"/>
        <v>0.43125444279658653</v>
      </c>
      <c r="AU140" s="74">
        <f t="shared" si="131"/>
        <v>-3.1365986424441488</v>
      </c>
      <c r="AV140" s="74">
        <f t="shared" si="132"/>
        <v>0.44317311898440992</v>
      </c>
      <c r="AW140" s="74">
        <f t="shared" si="133"/>
        <v>-3.2232855257328885</v>
      </c>
      <c r="AX140" s="74">
        <f t="shared" si="134"/>
        <v>-1.1918676187823374E-2</v>
      </c>
      <c r="AY140" s="74">
        <f t="shared" si="135"/>
        <v>8.6686883288739774E-2</v>
      </c>
      <c r="AZ140" s="74">
        <f t="shared" si="136"/>
        <v>1.0276372252782684</v>
      </c>
      <c r="BA140" s="74">
        <f t="shared" si="137"/>
        <v>-2.7637225278268399E-2</v>
      </c>
      <c r="BB140" s="74">
        <f t="shared" si="138"/>
        <v>-1.8004231627438538E-3</v>
      </c>
      <c r="BC140" s="74">
        <f t="shared" si="139"/>
        <v>-2.1223011829617899E-3</v>
      </c>
      <c r="BD140" s="74">
        <f t="shared" si="140"/>
        <v>-2.1291473218137944E-3</v>
      </c>
      <c r="BE140" s="75">
        <f t="shared" si="141"/>
        <v>1.5435915201632913E-2</v>
      </c>
    </row>
    <row r="141" spans="1:57" x14ac:dyDescent="0.35">
      <c r="A141" s="9" t="s">
        <v>52</v>
      </c>
      <c r="B141" s="11" t="s">
        <v>68</v>
      </c>
      <c r="C141" s="47">
        <f t="shared" si="111"/>
        <v>-0.1743682336844401</v>
      </c>
      <c r="D141" s="23">
        <f t="shared" si="112"/>
        <v>-0.1743682336844401</v>
      </c>
      <c r="E141" s="50">
        <f>[1]data!E141-[1]data!E103</f>
        <v>2.4860569687780369</v>
      </c>
      <c r="F141" s="36">
        <f>[1]data!F141-[1]data!F103</f>
        <v>-2.660425202462477</v>
      </c>
      <c r="G141" s="36">
        <f>[1]data!G141-[1]data!G103</f>
        <v>0</v>
      </c>
      <c r="H141" s="25">
        <f t="shared" si="113"/>
        <v>36.262795760146666</v>
      </c>
      <c r="I141" s="36">
        <f>[1]data!I141-[1]data!I103</f>
        <v>0</v>
      </c>
      <c r="J141" s="36">
        <f>[1]data!J141-[1]data!J103</f>
        <v>36.262795760146666</v>
      </c>
      <c r="K141" s="36">
        <f>[1]data!K141-[1]data!K103</f>
        <v>0</v>
      </c>
      <c r="L141" s="25">
        <f t="shared" si="114"/>
        <v>-2.0751936298543772E-2</v>
      </c>
      <c r="M141" s="25">
        <f t="shared" si="115"/>
        <v>-2.0751936298543772E-2</v>
      </c>
      <c r="N141" s="25">
        <f t="shared" si="116"/>
        <v>-1.8700200811554768E-2</v>
      </c>
      <c r="O141" s="25">
        <f t="shared" si="117"/>
        <v>-1.8700200811554768E-2</v>
      </c>
      <c r="P141" s="24">
        <f t="shared" si="118"/>
        <v>0.29587095516490514</v>
      </c>
      <c r="Q141" s="40">
        <f t="shared" si="100"/>
        <v>0.26661831437283778</v>
      </c>
      <c r="R141" s="40">
        <f t="shared" si="101"/>
        <v>-0.31662289146344891</v>
      </c>
      <c r="S141" s="40">
        <f t="shared" si="102"/>
        <v>-0.28531851518439255</v>
      </c>
      <c r="T141" s="40">
        <f t="shared" si="103"/>
        <v>0</v>
      </c>
      <c r="U141" s="40">
        <f t="shared" si="104"/>
        <v>0</v>
      </c>
      <c r="V141" s="25">
        <f t="shared" si="119"/>
        <v>4.3157128550348984</v>
      </c>
      <c r="W141" s="25">
        <f t="shared" si="120"/>
        <v>3.8890200833849078</v>
      </c>
      <c r="X141" s="40">
        <f t="shared" si="105"/>
        <v>0</v>
      </c>
      <c r="Y141" s="40">
        <f t="shared" si="106"/>
        <v>0</v>
      </c>
      <c r="Z141" s="40">
        <f t="shared" si="107"/>
        <v>4.3157128550348984</v>
      </c>
      <c r="AA141" s="40">
        <f t="shared" si="108"/>
        <v>3.8890200833849078</v>
      </c>
      <c r="AB141" s="40">
        <f t="shared" si="109"/>
        <v>0</v>
      </c>
      <c r="AC141" s="40">
        <f t="shared" si="110"/>
        <v>0</v>
      </c>
      <c r="AD141" s="26">
        <v>932.44043441874999</v>
      </c>
      <c r="AE141" s="8">
        <v>840.25042856688003</v>
      </c>
      <c r="AF141" s="61">
        <f t="shared" si="121"/>
        <v>36.088427526462226</v>
      </c>
      <c r="AG141" s="61">
        <f>(D141*-1)+(H141)</f>
        <v>36.437163993831106</v>
      </c>
      <c r="AH141" s="74">
        <f>($D141/$AG141)*-1</f>
        <v>4.7854501989770945E-3</v>
      </c>
      <c r="AI141" s="74">
        <f t="shared" si="97"/>
        <v>-4.7854501989770945E-3</v>
      </c>
      <c r="AJ141" s="74">
        <f>(($D141)/(AF141))*-1</f>
        <v>4.8316938596613202E-3</v>
      </c>
      <c r="AK141" s="74">
        <f t="shared" si="98"/>
        <v>-4.8316938596613202E-3</v>
      </c>
      <c r="AL141" s="74">
        <f t="shared" si="123"/>
        <v>-7.3014057924839948E-2</v>
      </c>
      <c r="AM141" s="74">
        <f t="shared" si="99"/>
        <v>-7.3719621075528763E-2</v>
      </c>
      <c r="AN141" s="74">
        <f t="shared" si="124"/>
        <v>6.8228607725862853E-2</v>
      </c>
      <c r="AO141" s="74">
        <f t="shared" si="125"/>
        <v>6.8887927215867437E-2</v>
      </c>
      <c r="AP141" s="74">
        <f t="shared" si="126"/>
        <v>0</v>
      </c>
      <c r="AQ141" s="74">
        <f t="shared" si="127"/>
        <v>0</v>
      </c>
      <c r="AR141" s="74">
        <f t="shared" si="128"/>
        <v>15.257510764702335</v>
      </c>
      <c r="AS141" s="74">
        <f t="shared" si="129"/>
        <v>-14.257510764702335</v>
      </c>
      <c r="AT141" s="74">
        <f t="shared" si="130"/>
        <v>0.99521454980102286</v>
      </c>
      <c r="AU141" s="74">
        <f t="shared" si="131"/>
        <v>1.0048316938596613</v>
      </c>
      <c r="AV141" s="74">
        <f t="shared" si="132"/>
        <v>0</v>
      </c>
      <c r="AW141" s="74">
        <f t="shared" si="133"/>
        <v>0</v>
      </c>
      <c r="AX141" s="74">
        <f t="shared" si="134"/>
        <v>0.99521454980102286</v>
      </c>
      <c r="AY141" s="74">
        <f t="shared" si="135"/>
        <v>1.0048316938596613</v>
      </c>
      <c r="AZ141" s="74">
        <f t="shared" si="136"/>
        <v>0</v>
      </c>
      <c r="BA141" s="74">
        <f t="shared" si="137"/>
        <v>1</v>
      </c>
      <c r="BB141" s="74">
        <f t="shared" si="138"/>
        <v>4.2949609187363541E-2</v>
      </c>
      <c r="BC141" s="74">
        <f t="shared" si="139"/>
        <v>4.2949609187363541E-2</v>
      </c>
      <c r="BD141" s="74">
        <f t="shared" si="140"/>
        <v>3.8703198825733531E-2</v>
      </c>
      <c r="BE141" s="75">
        <f t="shared" si="141"/>
        <v>4.3364647913334421E-2</v>
      </c>
    </row>
    <row r="142" spans="1:57" x14ac:dyDescent="0.35">
      <c r="A142" s="9" t="s">
        <v>53</v>
      </c>
      <c r="B142" s="11" t="s">
        <v>68</v>
      </c>
      <c r="C142" s="47">
        <f t="shared" si="111"/>
        <v>2.2603788228926915</v>
      </c>
      <c r="D142" s="57">
        <f t="shared" si="112"/>
        <v>2.2603788228926915</v>
      </c>
      <c r="E142" s="50">
        <f>[1]data!E142-[1]data!E104</f>
        <v>2.0118179613490823</v>
      </c>
      <c r="F142" s="36">
        <f>[1]data!F142-[1]data!F104</f>
        <v>0.24856086154360924</v>
      </c>
      <c r="G142" s="36">
        <f>[1]data!G142-[1]data!G104</f>
        <v>0</v>
      </c>
      <c r="H142" s="58">
        <f t="shared" si="113"/>
        <v>-2.2630761631776855</v>
      </c>
      <c r="I142" s="36">
        <v>-2.29</v>
      </c>
      <c r="J142" s="36">
        <f>[1]data!J142-[1]data!J104</f>
        <v>2.6923836822314584E-2</v>
      </c>
      <c r="K142" s="36">
        <f>[1]data!K142-[1]data!K104</f>
        <v>0</v>
      </c>
      <c r="L142" s="25">
        <f t="shared" si="114"/>
        <v>1.1138213198458626</v>
      </c>
      <c r="M142" s="25">
        <f t="shared" si="115"/>
        <v>1.1138213198458626</v>
      </c>
      <c r="N142" s="25">
        <f t="shared" si="116"/>
        <v>1.1653010685747811</v>
      </c>
      <c r="O142" s="25">
        <f t="shared" si="117"/>
        <v>1.1653010685747811</v>
      </c>
      <c r="P142" s="24">
        <f t="shared" si="118"/>
        <v>0.99134079398771058</v>
      </c>
      <c r="Q142" s="40">
        <f t="shared" si="100"/>
        <v>1.0371596107672962</v>
      </c>
      <c r="R142" s="40">
        <f t="shared" si="101"/>
        <v>0.12248052585815204</v>
      </c>
      <c r="S142" s="40">
        <f t="shared" si="102"/>
        <v>0.12814145780748482</v>
      </c>
      <c r="T142" s="40">
        <f t="shared" si="103"/>
        <v>0</v>
      </c>
      <c r="U142" s="40">
        <f t="shared" si="104"/>
        <v>0</v>
      </c>
      <c r="V142" s="25">
        <f t="shared" si="119"/>
        <v>-1.1151504577257072</v>
      </c>
      <c r="W142" s="25">
        <f t="shared" si="120"/>
        <v>-1.1666916379273955</v>
      </c>
      <c r="X142" s="40">
        <f t="shared" si="105"/>
        <v>-1.1284174124330459</v>
      </c>
      <c r="Y142" s="40">
        <f t="shared" si="106"/>
        <v>-1.1805717785044627</v>
      </c>
      <c r="Z142" s="40">
        <f t="shared" si="107"/>
        <v>1.3266954707338774E-2</v>
      </c>
      <c r="AA142" s="40">
        <f t="shared" si="108"/>
        <v>1.3880140577067192E-2</v>
      </c>
      <c r="AB142" s="40">
        <f t="shared" si="109"/>
        <v>0</v>
      </c>
      <c r="AC142" s="40">
        <f t="shared" si="110"/>
        <v>0</v>
      </c>
      <c r="AD142" s="26">
        <v>193.97380504054999</v>
      </c>
      <c r="AE142" s="8">
        <v>202.93908750153</v>
      </c>
      <c r="AF142" s="61">
        <v>0</v>
      </c>
      <c r="AG142" s="61">
        <v>0</v>
      </c>
      <c r="AH142" s="74">
        <v>0</v>
      </c>
      <c r="AI142" s="74">
        <v>0</v>
      </c>
      <c r="AJ142" s="74">
        <v>0</v>
      </c>
      <c r="AK142" s="74">
        <v>0</v>
      </c>
      <c r="AL142" s="74" t="e">
        <f t="shared" si="123"/>
        <v>#DIV/0!</v>
      </c>
      <c r="AM142" s="74">
        <v>0</v>
      </c>
      <c r="AN142" s="74" t="e">
        <f t="shared" si="124"/>
        <v>#DIV/0!</v>
      </c>
      <c r="AO142" s="74" t="e">
        <f t="shared" si="125"/>
        <v>#DIV/0!</v>
      </c>
      <c r="AP142" s="74" t="e">
        <f t="shared" si="126"/>
        <v>#DIV/0!</v>
      </c>
      <c r="AQ142" s="74" t="e">
        <f t="shared" si="127"/>
        <v>#DIV/0!</v>
      </c>
      <c r="AR142" s="74">
        <f t="shared" si="128"/>
        <v>0.10996424980902829</v>
      </c>
      <c r="AS142" s="74">
        <f t="shared" si="129"/>
        <v>0.8900357501909717</v>
      </c>
      <c r="AT142" s="74" t="e">
        <f t="shared" si="130"/>
        <v>#DIV/0!</v>
      </c>
      <c r="AU142" s="74" t="e">
        <f t="shared" si="131"/>
        <v>#DIV/0!</v>
      </c>
      <c r="AV142" s="74" t="e">
        <f t="shared" si="132"/>
        <v>#DIV/0!</v>
      </c>
      <c r="AW142" s="74" t="e">
        <f t="shared" si="133"/>
        <v>#DIV/0!</v>
      </c>
      <c r="AX142" s="74" t="e">
        <f t="shared" si="134"/>
        <v>#DIV/0!</v>
      </c>
      <c r="AY142" s="74" t="e">
        <f t="shared" si="135"/>
        <v>#DIV/0!</v>
      </c>
      <c r="AZ142" s="74">
        <f t="shared" si="136"/>
        <v>1.0118970087089378</v>
      </c>
      <c r="BA142" s="74">
        <f t="shared" si="137"/>
        <v>-1.1897008708937852E-2</v>
      </c>
      <c r="BB142" s="74">
        <f t="shared" si="138"/>
        <v>0</v>
      </c>
      <c r="BC142" s="74">
        <f>(AF142/AE142)</f>
        <v>0</v>
      </c>
      <c r="BD142" s="74">
        <f t="shared" si="140"/>
        <v>0</v>
      </c>
      <c r="BE142" s="75">
        <f t="shared" si="141"/>
        <v>0</v>
      </c>
    </row>
    <row r="143" spans="1:57" x14ac:dyDescent="0.35">
      <c r="A143" s="9" t="s">
        <v>54</v>
      </c>
      <c r="B143" s="11" t="s">
        <v>68</v>
      </c>
      <c r="C143" s="47">
        <f t="shared" si="111"/>
        <v>13.348965621899447</v>
      </c>
      <c r="D143" s="23">
        <f t="shared" si="112"/>
        <v>13.348965621899447</v>
      </c>
      <c r="E143" s="50">
        <f>[1]data!E143-[1]data!E105</f>
        <v>1.1414792455781</v>
      </c>
      <c r="F143" s="36">
        <f>[1]data!F143-[1]data!F105</f>
        <v>12.207486376321347</v>
      </c>
      <c r="G143" s="36">
        <f>[1]data!G143-[1]data!G105</f>
        <v>0</v>
      </c>
      <c r="H143" s="25">
        <f t="shared" si="113"/>
        <v>-5.384646462653853</v>
      </c>
      <c r="I143" s="36">
        <f>[1]data!I143-[1]data!I105</f>
        <v>0.17176997453820242</v>
      </c>
      <c r="J143" s="36">
        <f>[1]data!J143-[1]data!J105</f>
        <v>-5.5564164371920555</v>
      </c>
      <c r="K143" s="36">
        <f>[1]data!K143-[1]data!K105</f>
        <v>0</v>
      </c>
      <c r="L143" s="25">
        <f t="shared" si="114"/>
        <v>3.2538664984422607</v>
      </c>
      <c r="M143" s="25">
        <f t="shared" si="115"/>
        <v>3.2538664984422607</v>
      </c>
      <c r="N143" s="25">
        <f t="shared" si="116"/>
        <v>4.0395803375278465</v>
      </c>
      <c r="O143" s="25">
        <f t="shared" si="117"/>
        <v>4.0395803375278465</v>
      </c>
      <c r="P143" s="24">
        <f t="shared" si="118"/>
        <v>0.27824036566252114</v>
      </c>
      <c r="Q143" s="40">
        <f t="shared" si="100"/>
        <v>0.34542729727078975</v>
      </c>
      <c r="R143" s="40">
        <f t="shared" si="101"/>
        <v>2.9756261327797398</v>
      </c>
      <c r="S143" s="40">
        <f t="shared" si="102"/>
        <v>3.6941530402570568</v>
      </c>
      <c r="T143" s="40">
        <f t="shared" si="103"/>
        <v>0</v>
      </c>
      <c r="U143" s="40">
        <f t="shared" si="104"/>
        <v>0</v>
      </c>
      <c r="V143" s="25">
        <f t="shared" si="119"/>
        <v>-1.3125302159772825</v>
      </c>
      <c r="W143" s="25">
        <f t="shared" si="120"/>
        <v>-1.6294679746115255</v>
      </c>
      <c r="X143" s="40">
        <f t="shared" si="105"/>
        <v>4.1869653531148118E-2</v>
      </c>
      <c r="Y143" s="40">
        <f t="shared" si="106"/>
        <v>5.1979953456756905E-2</v>
      </c>
      <c r="Z143" s="40">
        <f t="shared" si="107"/>
        <v>-1.3543998695084305</v>
      </c>
      <c r="AA143" s="40">
        <f t="shared" si="108"/>
        <v>-1.6814479280682824</v>
      </c>
      <c r="AB143" s="40">
        <f t="shared" si="109"/>
        <v>0</v>
      </c>
      <c r="AC143" s="40">
        <f t="shared" si="110"/>
        <v>0</v>
      </c>
      <c r="AD143" s="26">
        <v>330.45426768437</v>
      </c>
      <c r="AE143" s="8">
        <v>410.24933347112</v>
      </c>
      <c r="AF143" s="61">
        <f t="shared" si="121"/>
        <v>7.9643191592455942</v>
      </c>
      <c r="AG143" s="61">
        <f>(D143)+(H143*-1)</f>
        <v>18.7336120845533</v>
      </c>
      <c r="AH143" s="74">
        <f t="shared" si="142"/>
        <v>0.71256763306774484</v>
      </c>
      <c r="AI143" s="74">
        <f t="shared" ref="AI143:AI181" si="144">D143/AG143</f>
        <v>0.71256763306774484</v>
      </c>
      <c r="AJ143" s="74">
        <f t="shared" si="122"/>
        <v>1.6760962682419553</v>
      </c>
      <c r="AK143" s="74">
        <f t="shared" ref="AK143:AK181" si="145">$D143/(AF143)</f>
        <v>1.6760962682419553</v>
      </c>
      <c r="AL143" s="74">
        <f t="shared" si="123"/>
        <v>0.65163548392180948</v>
      </c>
      <c r="AM143" s="74">
        <f t="shared" ref="AM143:AM181" si="146">(F143/(AF143))</f>
        <v>1.5327721217889614</v>
      </c>
      <c r="AN143" s="74">
        <f t="shared" si="124"/>
        <v>6.0932149145935428E-2</v>
      </c>
      <c r="AO143" s="74">
        <f t="shared" si="125"/>
        <v>0.14332414645299379</v>
      </c>
      <c r="AP143" s="74">
        <f t="shared" si="126"/>
        <v>0</v>
      </c>
      <c r="AQ143" s="74">
        <f t="shared" si="127"/>
        <v>0</v>
      </c>
      <c r="AR143" s="74">
        <f t="shared" si="128"/>
        <v>0.91448931116389542</v>
      </c>
      <c r="AS143" s="74">
        <f t="shared" si="129"/>
        <v>8.5510688836104506E-2</v>
      </c>
      <c r="AT143" s="74">
        <f t="shared" si="130"/>
        <v>-0.2874323669322551</v>
      </c>
      <c r="AU143" s="74">
        <f t="shared" si="131"/>
        <v>-0.67609626824195523</v>
      </c>
      <c r="AV143" s="74">
        <f t="shared" si="132"/>
        <v>9.1690792871618413E-3</v>
      </c>
      <c r="AW143" s="74">
        <f t="shared" si="133"/>
        <v>2.1567439865691297E-2</v>
      </c>
      <c r="AX143" s="74">
        <f t="shared" si="134"/>
        <v>-0.29660144621941698</v>
      </c>
      <c r="AY143" s="74">
        <f t="shared" si="135"/>
        <v>-0.69766370810764655</v>
      </c>
      <c r="AZ143" s="74">
        <f t="shared" si="136"/>
        <v>-3.18999540136094E-2</v>
      </c>
      <c r="BA143" s="74">
        <f t="shared" si="137"/>
        <v>1.0318999540136093</v>
      </c>
      <c r="BB143" s="74">
        <f t="shared" si="138"/>
        <v>1.9413362824649786E-2</v>
      </c>
      <c r="BC143" s="74">
        <f t="shared" si="139"/>
        <v>1.9413362824649786E-2</v>
      </c>
      <c r="BD143" s="74">
        <f t="shared" si="140"/>
        <v>2.410112362916321E-2</v>
      </c>
      <c r="BE143" s="75">
        <f t="shared" si="141"/>
        <v>4.5663967144195433E-2</v>
      </c>
    </row>
    <row r="144" spans="1:57" x14ac:dyDescent="0.35">
      <c r="A144" s="9" t="s">
        <v>55</v>
      </c>
      <c r="B144" s="11" t="s">
        <v>68</v>
      </c>
      <c r="C144" s="47">
        <f t="shared" si="111"/>
        <v>3.572891549409039</v>
      </c>
      <c r="D144" s="23">
        <f t="shared" si="112"/>
        <v>3.6115856237378892</v>
      </c>
      <c r="E144" s="50">
        <f>[1]data!E144-[1]data!E106</f>
        <v>0.6751212736122203</v>
      </c>
      <c r="F144" s="36">
        <f>[1]data!F144-[1]data!F106</f>
        <v>2.9364643501256689</v>
      </c>
      <c r="G144" s="36">
        <f>[1]data!G144-[1]data!G106</f>
        <v>-3.8694074328850192E-2</v>
      </c>
      <c r="H144" s="25">
        <f t="shared" si="113"/>
        <v>-6.3673793199374273E-2</v>
      </c>
      <c r="I144" s="36">
        <f>[1]data!I144-[1]data!I106</f>
        <v>0</v>
      </c>
      <c r="J144" s="36">
        <f>[1]data!J144-[1]data!J106</f>
        <v>-6.3673793199374273E-2</v>
      </c>
      <c r="K144" s="36">
        <f>[1]data!K144-[1]data!K106</f>
        <v>0</v>
      </c>
      <c r="L144" s="25">
        <f t="shared" si="114"/>
        <v>1.606787770375387</v>
      </c>
      <c r="M144" s="25">
        <f t="shared" si="115"/>
        <v>1.6241891285072554</v>
      </c>
      <c r="N144" s="25">
        <f t="shared" si="116"/>
        <v>1.0471057416350964</v>
      </c>
      <c r="O144" s="25">
        <f t="shared" si="117"/>
        <v>1.0584457968359591</v>
      </c>
      <c r="P144" s="24">
        <f t="shared" si="118"/>
        <v>0.30361307947894323</v>
      </c>
      <c r="Q144" s="40">
        <f t="shared" si="100"/>
        <v>0.19785749220859525</v>
      </c>
      <c r="R144" s="40">
        <f t="shared" si="101"/>
        <v>1.3205760490283123</v>
      </c>
      <c r="S144" s="40">
        <f t="shared" si="102"/>
        <v>0.8605883046273638</v>
      </c>
      <c r="T144" s="40">
        <f t="shared" si="103"/>
        <v>-1.7401358131868355E-2</v>
      </c>
      <c r="U144" s="40">
        <f t="shared" si="104"/>
        <v>-1.1340055200862661E-2</v>
      </c>
      <c r="V144" s="25">
        <f t="shared" si="119"/>
        <v>-2.8635146292948169E-2</v>
      </c>
      <c r="W144" s="25">
        <f t="shared" si="120"/>
        <v>-1.8660850330533652E-2</v>
      </c>
      <c r="X144" s="40">
        <f t="shared" si="105"/>
        <v>0</v>
      </c>
      <c r="Y144" s="40">
        <f t="shared" si="106"/>
        <v>0</v>
      </c>
      <c r="Z144" s="40">
        <f t="shared" si="107"/>
        <v>-2.8635146292948169E-2</v>
      </c>
      <c r="AA144" s="40">
        <f t="shared" si="108"/>
        <v>-1.8660850330533652E-2</v>
      </c>
      <c r="AB144" s="40">
        <f t="shared" si="109"/>
        <v>0</v>
      </c>
      <c r="AC144" s="40">
        <f t="shared" si="110"/>
        <v>0</v>
      </c>
      <c r="AD144" s="26">
        <v>341.21592570296002</v>
      </c>
      <c r="AE144" s="8">
        <v>222.36238134761999</v>
      </c>
      <c r="AF144" s="61">
        <f t="shared" si="121"/>
        <v>3.5479118305385149</v>
      </c>
      <c r="AG144" s="61">
        <f>(D144)+(H144*-1)</f>
        <v>3.6752594169372634</v>
      </c>
      <c r="AH144" s="74">
        <f t="shared" si="142"/>
        <v>0.98267502073297563</v>
      </c>
      <c r="AI144" s="74">
        <f t="shared" si="144"/>
        <v>0.98267502073297563</v>
      </c>
      <c r="AJ144" s="74">
        <f t="shared" si="122"/>
        <v>1.017946836404249</v>
      </c>
      <c r="AK144" s="74">
        <f t="shared" si="145"/>
        <v>1.017946836404249</v>
      </c>
      <c r="AL144" s="74">
        <f t="shared" si="123"/>
        <v>0.79898151858154787</v>
      </c>
      <c r="AM144" s="74">
        <f t="shared" si="146"/>
        <v>0.82765989978955079</v>
      </c>
      <c r="AN144" s="74">
        <f t="shared" si="124"/>
        <v>0.18369350215142774</v>
      </c>
      <c r="AO144" s="74">
        <f t="shared" si="125"/>
        <v>0.19028693661469823</v>
      </c>
      <c r="AP144" s="74">
        <f t="shared" si="126"/>
        <v>-1.0528256631499354E-2</v>
      </c>
      <c r="AQ144" s="74">
        <f t="shared" si="127"/>
        <v>-1.0906154430274291E-2</v>
      </c>
      <c r="AR144" s="74">
        <f t="shared" si="128"/>
        <v>0.81306790314623945</v>
      </c>
      <c r="AS144" s="74">
        <f t="shared" si="129"/>
        <v>0.18693209685376055</v>
      </c>
      <c r="AT144" s="74">
        <f t="shared" si="130"/>
        <v>-1.73249792670244E-2</v>
      </c>
      <c r="AU144" s="74">
        <f t="shared" si="131"/>
        <v>-1.7946836404248986E-2</v>
      </c>
      <c r="AV144" s="74">
        <f t="shared" si="132"/>
        <v>0</v>
      </c>
      <c r="AW144" s="74">
        <f t="shared" si="133"/>
        <v>0</v>
      </c>
      <c r="AX144" s="74">
        <f t="shared" si="134"/>
        <v>-1.73249792670244E-2</v>
      </c>
      <c r="AY144" s="74">
        <f t="shared" si="135"/>
        <v>-1.7946836404248986E-2</v>
      </c>
      <c r="AZ144" s="74">
        <f t="shared" si="136"/>
        <v>0</v>
      </c>
      <c r="BA144" s="74">
        <f t="shared" si="137"/>
        <v>1</v>
      </c>
      <c r="BB144" s="74">
        <f t="shared" si="138"/>
        <v>1.5781526240824389E-2</v>
      </c>
      <c r="BC144" s="74">
        <f t="shared" si="139"/>
        <v>1.5955539822143074E-2</v>
      </c>
      <c r="BD144" s="74">
        <f t="shared" si="140"/>
        <v>1.0397849465054254E-2</v>
      </c>
      <c r="BE144" s="75">
        <f t="shared" si="141"/>
        <v>1.6528242748002037E-2</v>
      </c>
    </row>
    <row r="145" spans="1:57" x14ac:dyDescent="0.35">
      <c r="A145" s="9" t="s">
        <v>56</v>
      </c>
      <c r="B145" s="11" t="s">
        <v>68</v>
      </c>
      <c r="C145" s="47">
        <f t="shared" si="111"/>
        <v>0.59079391103845713</v>
      </c>
      <c r="D145" s="23">
        <f t="shared" si="112"/>
        <v>1.4522233867921304</v>
      </c>
      <c r="E145" s="50">
        <f>[1]data!E145-[1]data!E107</f>
        <v>-2.9240262794754668E-2</v>
      </c>
      <c r="F145" s="36">
        <f>[1]data!F145-[1]data!F107</f>
        <v>1.4814636495868849</v>
      </c>
      <c r="G145" s="36">
        <f>[1]data!G145-[1]data!G107</f>
        <v>-0.86142947575367323</v>
      </c>
      <c r="H145" s="25">
        <f t="shared" si="113"/>
        <v>-1.9640916209961112E-2</v>
      </c>
      <c r="I145" s="36">
        <f>[1]data!I145-[1]data!I107</f>
        <v>0</v>
      </c>
      <c r="J145" s="36">
        <f>[1]data!J145-[1]data!J107</f>
        <v>-1.9640916209961112E-2</v>
      </c>
      <c r="K145" s="36">
        <f>[1]data!K145-[1]data!K107</f>
        <v>0</v>
      </c>
      <c r="L145" s="25">
        <f t="shared" si="114"/>
        <v>0.59382800889741749</v>
      </c>
      <c r="M145" s="25">
        <f t="shared" si="115"/>
        <v>1.4596814661431063</v>
      </c>
      <c r="N145" s="25">
        <f t="shared" si="116"/>
        <v>0.32512698345864177</v>
      </c>
      <c r="O145" s="25">
        <f t="shared" si="117"/>
        <v>0.79919071648164475</v>
      </c>
      <c r="P145" s="24">
        <f t="shared" si="118"/>
        <v>-2.9390429912396529E-2</v>
      </c>
      <c r="Q145" s="40">
        <f t="shared" si="100"/>
        <v>-1.6091564690106808E-2</v>
      </c>
      <c r="R145" s="40">
        <f t="shared" si="101"/>
        <v>1.4890718960555029</v>
      </c>
      <c r="S145" s="40">
        <f t="shared" si="102"/>
        <v>0.8152822811717515</v>
      </c>
      <c r="T145" s="40">
        <f t="shared" si="103"/>
        <v>-0.86585345724568885</v>
      </c>
      <c r="U145" s="40">
        <f t="shared" si="104"/>
        <v>-0.47406373302300298</v>
      </c>
      <c r="V145" s="25">
        <f t="shared" si="119"/>
        <v>-1.9741784652758564E-2</v>
      </c>
      <c r="W145" s="25">
        <f t="shared" si="120"/>
        <v>-1.0808831506885518E-2</v>
      </c>
      <c r="X145" s="40">
        <f t="shared" si="105"/>
        <v>0</v>
      </c>
      <c r="Y145" s="40">
        <f t="shared" si="106"/>
        <v>0</v>
      </c>
      <c r="Z145" s="40">
        <f t="shared" si="107"/>
        <v>-1.9741784652758564E-2</v>
      </c>
      <c r="AA145" s="40">
        <f t="shared" si="108"/>
        <v>-1.0808831506885518E-2</v>
      </c>
      <c r="AB145" s="40">
        <f t="shared" si="109"/>
        <v>0</v>
      </c>
      <c r="AC145" s="40">
        <f t="shared" si="110"/>
        <v>0</v>
      </c>
      <c r="AD145" s="26">
        <v>181.71174374815001</v>
      </c>
      <c r="AE145" s="8">
        <v>99.489061173690004</v>
      </c>
      <c r="AF145" s="61">
        <f t="shared" si="121"/>
        <v>1.4325824705821693</v>
      </c>
      <c r="AG145" s="61">
        <f>(D145)+(H145*-1)</f>
        <v>1.4718643030020915</v>
      </c>
      <c r="AH145" s="74">
        <f t="shared" si="142"/>
        <v>0.98665575612513978</v>
      </c>
      <c r="AI145" s="74">
        <f t="shared" si="144"/>
        <v>0.98665575612513978</v>
      </c>
      <c r="AJ145" s="74">
        <f t="shared" si="122"/>
        <v>1.0137101469641601</v>
      </c>
      <c r="AK145" s="74">
        <f t="shared" si="145"/>
        <v>1.0137101469641601</v>
      </c>
      <c r="AL145" s="74">
        <f t="shared" si="123"/>
        <v>1.0065218964582632</v>
      </c>
      <c r="AM145" s="74">
        <f t="shared" si="146"/>
        <v>1.0341210227044391</v>
      </c>
      <c r="AN145" s="74">
        <f t="shared" si="124"/>
        <v>-1.9866140333123575E-2</v>
      </c>
      <c r="AO145" s="74">
        <f t="shared" si="125"/>
        <v>-2.041087574027908E-2</v>
      </c>
      <c r="AP145" s="74">
        <f t="shared" si="126"/>
        <v>-0.58526419452979228</v>
      </c>
      <c r="AQ145" s="74">
        <f t="shared" si="127"/>
        <v>-0.60131231076952074</v>
      </c>
      <c r="AR145" s="74">
        <f t="shared" si="128"/>
        <v>1.020134824339487</v>
      </c>
      <c r="AS145" s="74">
        <f t="shared" si="129"/>
        <v>-2.0134824339487163E-2</v>
      </c>
      <c r="AT145" s="74">
        <f t="shared" si="130"/>
        <v>-1.3344243874860251E-2</v>
      </c>
      <c r="AU145" s="74">
        <f t="shared" si="131"/>
        <v>-1.3710146964160105E-2</v>
      </c>
      <c r="AV145" s="74">
        <f t="shared" si="132"/>
        <v>0</v>
      </c>
      <c r="AW145" s="74">
        <f t="shared" si="133"/>
        <v>0</v>
      </c>
      <c r="AX145" s="74">
        <f t="shared" si="134"/>
        <v>-1.3344243874860251E-2</v>
      </c>
      <c r="AY145" s="74">
        <f t="shared" si="135"/>
        <v>-1.3710146964160105E-2</v>
      </c>
      <c r="AZ145" s="74">
        <f t="shared" si="136"/>
        <v>0</v>
      </c>
      <c r="BA145" s="74">
        <f t="shared" si="137"/>
        <v>1</v>
      </c>
      <c r="BB145" s="74">
        <f t="shared" si="138"/>
        <v>5.7408622424465908E-3</v>
      </c>
      <c r="BC145" s="74">
        <f t="shared" si="139"/>
        <v>1.439939681490348E-2</v>
      </c>
      <c r="BD145" s="74">
        <f t="shared" si="140"/>
        <v>7.8838188497475925E-3</v>
      </c>
      <c r="BE145" s="75">
        <f t="shared" si="141"/>
        <v>1.479423250795865E-2</v>
      </c>
    </row>
    <row r="146" spans="1:57" x14ac:dyDescent="0.35">
      <c r="A146" s="10" t="s">
        <v>57</v>
      </c>
      <c r="B146" s="12" t="s">
        <v>68</v>
      </c>
      <c r="C146" s="47">
        <f t="shared" si="111"/>
        <v>-1.249400936643823</v>
      </c>
      <c r="D146" s="23">
        <f t="shared" si="112"/>
        <v>-1.3494009366438231</v>
      </c>
      <c r="E146" s="50">
        <f>[1]data!E146-[1]data!E108</f>
        <v>0.34098922567069284</v>
      </c>
      <c r="F146" s="36">
        <f>[1]data!F146-[1]data!F108</f>
        <v>-1.6903901623145159</v>
      </c>
      <c r="G146" s="36">
        <f>[1]data!G146-[1]data!G108</f>
        <v>0.1</v>
      </c>
      <c r="H146" s="25">
        <f t="shared" si="113"/>
        <v>0.18483194669322722</v>
      </c>
      <c r="I146" s="36">
        <f>[1]data!I146-[1]data!I108</f>
        <v>0.31410316138480565</v>
      </c>
      <c r="J146" s="36">
        <f>[1]data!J146-[1]data!J108</f>
        <v>-0.12927121469157843</v>
      </c>
      <c r="K146" s="36">
        <f>[1]data!K146-[1]data!K108</f>
        <v>-0.11431613976919908</v>
      </c>
      <c r="L146" s="25">
        <f t="shared" si="114"/>
        <v>-2.4780861766700615</v>
      </c>
      <c r="M146" s="25">
        <f t="shared" si="115"/>
        <v>-2.6764281263188883</v>
      </c>
      <c r="N146" s="25">
        <f t="shared" si="116"/>
        <v>-1.6431407360986576</v>
      </c>
      <c r="O146" s="25">
        <f t="shared" si="117"/>
        <v>-1.7746550232987706</v>
      </c>
      <c r="P146" s="24">
        <f t="shared" si="118"/>
        <v>0.67632467828768994</v>
      </c>
      <c r="Q146" s="40">
        <f t="shared" si="100"/>
        <v>0.44844954956999594</v>
      </c>
      <c r="R146" s="40">
        <f t="shared" si="101"/>
        <v>-3.3527528046065784</v>
      </c>
      <c r="S146" s="40">
        <f t="shared" si="102"/>
        <v>-2.2231045728687664</v>
      </c>
      <c r="T146" s="40">
        <f t="shared" si="103"/>
        <v>0.19834194964882682</v>
      </c>
      <c r="U146" s="40">
        <f t="shared" si="104"/>
        <v>0.13151428720011285</v>
      </c>
      <c r="V146" s="25">
        <f t="shared" si="119"/>
        <v>0.36659928664522717</v>
      </c>
      <c r="W146" s="25">
        <f t="shared" si="120"/>
        <v>0.24308041721169035</v>
      </c>
      <c r="X146" s="40">
        <f t="shared" si="105"/>
        <v>0.62299833419922446</v>
      </c>
      <c r="Y146" s="40">
        <f t="shared" si="106"/>
        <v>0.41309053376824728</v>
      </c>
      <c r="Z146" s="40">
        <f t="shared" si="107"/>
        <v>-0.25639904755399728</v>
      </c>
      <c r="AA146" s="40">
        <f t="shared" si="108"/>
        <v>-0.17001011655655693</v>
      </c>
      <c r="AB146" s="40">
        <f t="shared" si="109"/>
        <v>-0.22673686038150731</v>
      </c>
      <c r="AC146" s="40">
        <f t="shared" si="110"/>
        <v>-0.1503420563721469</v>
      </c>
      <c r="AD146" s="26">
        <v>76.037366075549997</v>
      </c>
      <c r="AE146" s="8">
        <v>50.417977728389999</v>
      </c>
      <c r="AF146" s="61">
        <f t="shared" si="121"/>
        <v>-1.1645689899505958</v>
      </c>
      <c r="AG146" s="61">
        <f>(D146*-1)+(H146)</f>
        <v>1.5342328833370504</v>
      </c>
      <c r="AH146" s="74">
        <f>($D146/$AG146)*-1</f>
        <v>0.87952810247997915</v>
      </c>
      <c r="AI146" s="74">
        <f t="shared" si="144"/>
        <v>-0.87952810247997915</v>
      </c>
      <c r="AJ146" s="74">
        <f t="shared" si="122"/>
        <v>1.1587127497711136</v>
      </c>
      <c r="AK146" s="74">
        <f t="shared" si="145"/>
        <v>1.1587127497711136</v>
      </c>
      <c r="AL146" s="74">
        <f t="shared" si="123"/>
        <v>-1.1017819919475418</v>
      </c>
      <c r="AM146" s="74">
        <f t="shared" si="146"/>
        <v>1.4515156911281202</v>
      </c>
      <c r="AN146" s="74">
        <f t="shared" si="124"/>
        <v>0.22225388946756272</v>
      </c>
      <c r="AO146" s="74">
        <f t="shared" si="125"/>
        <v>-0.29280294135700674</v>
      </c>
      <c r="AP146" s="74">
        <f t="shared" si="126"/>
        <v>6.5179153103858578E-2</v>
      </c>
      <c r="AQ146" s="74">
        <f t="shared" si="127"/>
        <v>-8.5868678337590182E-2</v>
      </c>
      <c r="AR146" s="74">
        <f t="shared" si="128"/>
        <v>1.2526967459491971</v>
      </c>
      <c r="AS146" s="74">
        <f t="shared" si="129"/>
        <v>-0.25269674594919717</v>
      </c>
      <c r="AT146" s="74">
        <f t="shared" si="130"/>
        <v>0.12047189752002084</v>
      </c>
      <c r="AU146" s="74">
        <f t="shared" si="131"/>
        <v>-0.15871274977111344</v>
      </c>
      <c r="AV146" s="74">
        <f t="shared" si="132"/>
        <v>0.20472978046306245</v>
      </c>
      <c r="AW146" s="74">
        <f t="shared" si="133"/>
        <v>-0.26971623329772054</v>
      </c>
      <c r="AX146" s="74">
        <f t="shared" si="134"/>
        <v>-8.4257882943041623E-2</v>
      </c>
      <c r="AY146" s="74">
        <f t="shared" si="135"/>
        <v>0.11100348352660711</v>
      </c>
      <c r="AZ146" s="74">
        <f t="shared" si="136"/>
        <v>1.6993986537735</v>
      </c>
      <c r="BA146" s="74">
        <f t="shared" si="137"/>
        <v>-0.69939865377349997</v>
      </c>
      <c r="BB146" s="74">
        <f t="shared" si="138"/>
        <v>-2.1114868900248343E-2</v>
      </c>
      <c r="BC146" s="74">
        <f t="shared" si="139"/>
        <v>-2.3098288396736614E-2</v>
      </c>
      <c r="BD146" s="74">
        <f t="shared" si="140"/>
        <v>-1.5315746060870798E-2</v>
      </c>
      <c r="BE146" s="75">
        <f t="shared" si="141"/>
        <v>3.0430274129641163E-2</v>
      </c>
    </row>
    <row r="147" spans="1:57" x14ac:dyDescent="0.35">
      <c r="A147" s="9" t="s">
        <v>58</v>
      </c>
      <c r="B147" s="11" t="s">
        <v>68</v>
      </c>
      <c r="C147" s="47">
        <f t="shared" si="111"/>
        <v>4.5178914015691998</v>
      </c>
      <c r="D147" s="23">
        <f t="shared" si="112"/>
        <v>2.5312199052560214</v>
      </c>
      <c r="E147" s="50">
        <f>[1]data!E147-[1]data!E109</f>
        <v>2.5312199052560214</v>
      </c>
      <c r="F147" s="36">
        <f>[1]data!F147-[1]data!F109</f>
        <v>0</v>
      </c>
      <c r="G147" s="36">
        <f>[1]data!G147-[1]data!G109</f>
        <v>1.9866714963131784</v>
      </c>
      <c r="H147" s="25">
        <f t="shared" si="113"/>
        <v>-0.14794341217610496</v>
      </c>
      <c r="I147" s="36">
        <f>[1]data!I147-[1]data!I109</f>
        <v>-6.6142068110832675E-3</v>
      </c>
      <c r="J147" s="36">
        <f>[1]data!J147-[1]data!J109</f>
        <v>-0.14132920536502169</v>
      </c>
      <c r="K147" s="36">
        <f>[1]data!K147-[1]data!K109</f>
        <v>0</v>
      </c>
      <c r="L147" s="25">
        <f t="shared" si="114"/>
        <v>0.82170180564360884</v>
      </c>
      <c r="M147" s="25">
        <f t="shared" si="115"/>
        <v>0.46037139491832463</v>
      </c>
      <c r="N147" s="25">
        <f t="shared" si="116"/>
        <v>0.86715018427710056</v>
      </c>
      <c r="O147" s="25">
        <f t="shared" si="117"/>
        <v>0.48583456577248674</v>
      </c>
      <c r="P147" s="24">
        <f t="shared" si="118"/>
        <v>0.46037139491832463</v>
      </c>
      <c r="Q147" s="40">
        <f t="shared" si="100"/>
        <v>0.48583456577248674</v>
      </c>
      <c r="R147" s="40">
        <f t="shared" si="101"/>
        <v>0</v>
      </c>
      <c r="S147" s="40">
        <f t="shared" si="102"/>
        <v>0</v>
      </c>
      <c r="T147" s="40">
        <f t="shared" si="103"/>
        <v>0.36133041072528421</v>
      </c>
      <c r="U147" s="40">
        <f t="shared" si="104"/>
        <v>0.38131561850461376</v>
      </c>
      <c r="V147" s="25">
        <f t="shared" si="119"/>
        <v>-2.690754560323402E-2</v>
      </c>
      <c r="W147" s="25">
        <f t="shared" si="120"/>
        <v>-2.8395803645597534E-2</v>
      </c>
      <c r="X147" s="40">
        <f t="shared" si="105"/>
        <v>-1.2029739532206706E-3</v>
      </c>
      <c r="Y147" s="40">
        <f t="shared" si="106"/>
        <v>-1.2695105183549991E-3</v>
      </c>
      <c r="Z147" s="40">
        <f t="shared" si="107"/>
        <v>-2.5704571650013348E-2</v>
      </c>
      <c r="AA147" s="40">
        <f t="shared" si="108"/>
        <v>-2.7126293127242535E-2</v>
      </c>
      <c r="AB147" s="40">
        <f t="shared" si="109"/>
        <v>0</v>
      </c>
      <c r="AC147" s="40">
        <f t="shared" si="110"/>
        <v>0</v>
      </c>
      <c r="AD147" s="26">
        <v>521.00449074291998</v>
      </c>
      <c r="AE147" s="8">
        <v>549.82128194673999</v>
      </c>
      <c r="AF147" s="61">
        <f t="shared" si="121"/>
        <v>2.3832764930799164</v>
      </c>
      <c r="AG147" s="61">
        <f>(D147)+(H147*-1)</f>
        <v>2.6791633174321263</v>
      </c>
      <c r="AH147" s="74">
        <f t="shared" si="142"/>
        <v>0.94477999485380271</v>
      </c>
      <c r="AI147" s="74">
        <f t="shared" si="144"/>
        <v>0.94477999485380271</v>
      </c>
      <c r="AJ147" s="74">
        <f t="shared" si="122"/>
        <v>1.0620756394004949</v>
      </c>
      <c r="AK147" s="74">
        <f t="shared" si="145"/>
        <v>1.0620756394004949</v>
      </c>
      <c r="AL147" s="74">
        <f t="shared" si="123"/>
        <v>0</v>
      </c>
      <c r="AM147" s="74">
        <f t="shared" si="146"/>
        <v>0</v>
      </c>
      <c r="AN147" s="74">
        <f t="shared" si="124"/>
        <v>0.94477999485380271</v>
      </c>
      <c r="AO147" s="74">
        <f t="shared" si="125"/>
        <v>1.0620756394004949</v>
      </c>
      <c r="AP147" s="74">
        <f t="shared" si="126"/>
        <v>0.74152683540670661</v>
      </c>
      <c r="AQ147" s="74">
        <f t="shared" si="127"/>
        <v>0.83358834028770035</v>
      </c>
      <c r="AR147" s="74">
        <f t="shared" si="128"/>
        <v>0</v>
      </c>
      <c r="AS147" s="74">
        <f t="shared" si="129"/>
        <v>1</v>
      </c>
      <c r="AT147" s="74">
        <f t="shared" si="130"/>
        <v>-5.5220005146197265E-2</v>
      </c>
      <c r="AU147" s="74">
        <f t="shared" si="131"/>
        <v>-6.2075639400494896E-2</v>
      </c>
      <c r="AV147" s="74">
        <f t="shared" si="132"/>
        <v>-2.4687583500593488E-3</v>
      </c>
      <c r="AW147" s="74">
        <f t="shared" si="133"/>
        <v>-2.7752578562698386E-3</v>
      </c>
      <c r="AX147" s="74">
        <f t="shared" si="134"/>
        <v>-5.2751246796137921E-2</v>
      </c>
      <c r="AY147" s="74">
        <f t="shared" si="135"/>
        <v>-5.930038154422506E-2</v>
      </c>
      <c r="AZ147" s="74">
        <f t="shared" si="136"/>
        <v>4.4707680550250005E-2</v>
      </c>
      <c r="BA147" s="74">
        <f t="shared" si="137"/>
        <v>0.95529231944975002</v>
      </c>
      <c r="BB147" s="74">
        <f t="shared" si="138"/>
        <v>7.9479426004037488E-3</v>
      </c>
      <c r="BC147" s="74">
        <f t="shared" si="139"/>
        <v>4.3346384931509056E-3</v>
      </c>
      <c r="BD147" s="74">
        <f t="shared" si="140"/>
        <v>4.5743876212688923E-3</v>
      </c>
      <c r="BE147" s="75">
        <f t="shared" si="141"/>
        <v>4.8727894052155865E-3</v>
      </c>
    </row>
    <row r="148" spans="1:57" x14ac:dyDescent="0.35">
      <c r="A148" s="9" t="s">
        <v>59</v>
      </c>
      <c r="B148" s="11" t="s">
        <v>68</v>
      </c>
      <c r="C148" s="47">
        <f t="shared" si="111"/>
        <v>5.7337721328573297</v>
      </c>
      <c r="D148" s="23">
        <f t="shared" si="112"/>
        <v>5.7337721328573297</v>
      </c>
      <c r="E148" s="50">
        <f>[1]data!E148-[1]data!E110</f>
        <v>0.41206821103311331</v>
      </c>
      <c r="F148" s="36">
        <f>[1]data!F148-[1]data!F110</f>
        <v>5.3217039218242164</v>
      </c>
      <c r="G148" s="36">
        <f>[1]data!G148-[1]data!G110</f>
        <v>0</v>
      </c>
      <c r="H148" s="25">
        <f t="shared" si="113"/>
        <v>-0.34763605364891981</v>
      </c>
      <c r="I148" s="36">
        <f>[1]data!I148-[1]data!I110</f>
        <v>-0.16429236256423985</v>
      </c>
      <c r="J148" s="36">
        <f>[1]data!J148-[1]data!J110</f>
        <v>-0.18334369108467996</v>
      </c>
      <c r="K148" s="36">
        <f>[1]data!K148-[1]data!K110</f>
        <v>0</v>
      </c>
      <c r="L148" s="25">
        <f t="shared" si="114"/>
        <v>0.76746045418638742</v>
      </c>
      <c r="M148" s="25">
        <f t="shared" si="115"/>
        <v>0.76746045418638742</v>
      </c>
      <c r="N148" s="25">
        <f t="shared" si="116"/>
        <v>0.970486484878609</v>
      </c>
      <c r="O148" s="25">
        <f t="shared" si="117"/>
        <v>0.970486484878609</v>
      </c>
      <c r="P148" s="24">
        <f t="shared" si="118"/>
        <v>5.515497460790255E-2</v>
      </c>
      <c r="Q148" s="40">
        <f t="shared" si="100"/>
        <v>6.9745818352996924E-2</v>
      </c>
      <c r="R148" s="40">
        <f t="shared" si="101"/>
        <v>0.71230547957848489</v>
      </c>
      <c r="S148" s="40">
        <f t="shared" si="102"/>
        <v>0.90074066652561213</v>
      </c>
      <c r="T148" s="40">
        <f t="shared" si="103"/>
        <v>0</v>
      </c>
      <c r="U148" s="40">
        <f t="shared" si="104"/>
        <v>0</v>
      </c>
      <c r="V148" s="25">
        <f t="shared" si="119"/>
        <v>-4.6530785919462331E-2</v>
      </c>
      <c r="W148" s="25">
        <f t="shared" si="120"/>
        <v>-5.8840163840743018E-2</v>
      </c>
      <c r="X148" s="40">
        <f t="shared" si="105"/>
        <v>-2.199039101508074E-2</v>
      </c>
      <c r="Y148" s="40">
        <f t="shared" si="106"/>
        <v>-2.7807787568620228E-2</v>
      </c>
      <c r="Z148" s="40">
        <f t="shared" si="107"/>
        <v>-2.4540394904381591E-2</v>
      </c>
      <c r="AA148" s="40">
        <f t="shared" si="108"/>
        <v>-3.1032376272122787E-2</v>
      </c>
      <c r="AB148" s="40">
        <f t="shared" si="109"/>
        <v>0</v>
      </c>
      <c r="AC148" s="40">
        <f t="shared" si="110"/>
        <v>0</v>
      </c>
      <c r="AD148" s="26">
        <v>590.81421763174001</v>
      </c>
      <c r="AE148" s="8">
        <v>747.10978286638999</v>
      </c>
      <c r="AF148" s="61">
        <f t="shared" si="121"/>
        <v>5.3861360792084101</v>
      </c>
      <c r="AG148" s="61">
        <f>(D148)+(H148*-1)</f>
        <v>6.0814081865062493</v>
      </c>
      <c r="AH148" s="74">
        <f t="shared" si="142"/>
        <v>0.94283625716486641</v>
      </c>
      <c r="AI148" s="74">
        <f t="shared" si="144"/>
        <v>0.94283625716486641</v>
      </c>
      <c r="AJ148" s="74">
        <f t="shared" si="122"/>
        <v>1.0645427535689018</v>
      </c>
      <c r="AK148" s="74">
        <f t="shared" si="145"/>
        <v>1.0645427535689018</v>
      </c>
      <c r="AL148" s="74">
        <f t="shared" si="123"/>
        <v>0.87507757391327468</v>
      </c>
      <c r="AM148" s="74">
        <f t="shared" si="146"/>
        <v>0.98803740632678871</v>
      </c>
      <c r="AN148" s="74">
        <f t="shared" si="124"/>
        <v>6.775868325159165E-2</v>
      </c>
      <c r="AO148" s="74">
        <f t="shared" si="125"/>
        <v>7.650534724211315E-2</v>
      </c>
      <c r="AP148" s="74">
        <f t="shared" si="126"/>
        <v>0</v>
      </c>
      <c r="AQ148" s="74">
        <f t="shared" si="127"/>
        <v>0</v>
      </c>
      <c r="AR148" s="74">
        <f t="shared" si="128"/>
        <v>0.92813313792646901</v>
      </c>
      <c r="AS148" s="74">
        <f t="shared" si="129"/>
        <v>7.186686207353099E-2</v>
      </c>
      <c r="AT148" s="74">
        <f t="shared" si="130"/>
        <v>-5.716374283513366E-2</v>
      </c>
      <c r="AU148" s="74">
        <f t="shared" si="131"/>
        <v>-6.4542753568901878E-2</v>
      </c>
      <c r="AV148" s="74">
        <f t="shared" si="132"/>
        <v>-2.7015513105793563E-2</v>
      </c>
      <c r="AW148" s="74">
        <f t="shared" si="133"/>
        <v>-3.0502824315642909E-2</v>
      </c>
      <c r="AX148" s="74">
        <f t="shared" si="134"/>
        <v>-3.0148229729340097E-2</v>
      </c>
      <c r="AY148" s="74">
        <f t="shared" si="135"/>
        <v>-3.4039929253258973E-2</v>
      </c>
      <c r="AZ148" s="74">
        <f t="shared" si="136"/>
        <v>0.4725987446922289</v>
      </c>
      <c r="BA148" s="74">
        <f t="shared" si="137"/>
        <v>0.52740125530777104</v>
      </c>
      <c r="BB148" s="74">
        <f t="shared" si="138"/>
        <v>7.2092966826692514E-3</v>
      </c>
      <c r="BC148" s="74">
        <f t="shared" si="139"/>
        <v>7.2092966826692514E-3</v>
      </c>
      <c r="BD148" s="74">
        <f t="shared" si="140"/>
        <v>9.1164632103786624E-3</v>
      </c>
      <c r="BE148" s="75">
        <f t="shared" si="141"/>
        <v>8.1399124010584981E-3</v>
      </c>
    </row>
    <row r="149" spans="1:57" x14ac:dyDescent="0.35">
      <c r="A149" s="7" t="s">
        <v>60</v>
      </c>
      <c r="B149" s="11" t="s">
        <v>68</v>
      </c>
      <c r="C149" s="47">
        <f t="shared" si="111"/>
        <v>-2.4256874147586847</v>
      </c>
      <c r="D149" s="23">
        <f t="shared" si="112"/>
        <v>0.14886501649381012</v>
      </c>
      <c r="E149" s="50">
        <f>[1]data!E149-[1]data!E111</f>
        <v>0.46869556347929597</v>
      </c>
      <c r="F149" s="36">
        <f>[1]data!F149-[1]data!F111</f>
        <v>-0.31983054698548585</v>
      </c>
      <c r="G149" s="36">
        <f>[1]data!G149-[1]data!G111</f>
        <v>-2.5745524312524948</v>
      </c>
      <c r="H149" s="25">
        <f t="shared" si="113"/>
        <v>0</v>
      </c>
      <c r="I149" s="36">
        <f>[1]data!I149-[1]data!I111</f>
        <v>0</v>
      </c>
      <c r="J149" s="36">
        <f>[1]data!J149-[1]data!J111</f>
        <v>0</v>
      </c>
      <c r="K149" s="36">
        <f>[1]data!K149-[1]data!K111</f>
        <v>-1.1142321069096255</v>
      </c>
      <c r="L149" s="25">
        <f t="shared" si="114"/>
        <v>-0.92597817954465433</v>
      </c>
      <c r="M149" s="25">
        <f t="shared" si="115"/>
        <v>5.6827502229728391E-2</v>
      </c>
      <c r="N149" s="25">
        <f t="shared" si="116"/>
        <v>-0.54968267724420317</v>
      </c>
      <c r="O149" s="25">
        <f t="shared" si="117"/>
        <v>3.3734157301739787E-2</v>
      </c>
      <c r="P149" s="24">
        <f t="shared" si="118"/>
        <v>0.17891912288063316</v>
      </c>
      <c r="Q149" s="40">
        <f t="shared" si="100"/>
        <v>0.10621064799126645</v>
      </c>
      <c r="R149" s="40">
        <f t="shared" si="101"/>
        <v>-0.12209162065090477</v>
      </c>
      <c r="S149" s="40">
        <f t="shared" si="102"/>
        <v>-7.2476490689526663E-2</v>
      </c>
      <c r="T149" s="40">
        <f t="shared" si="103"/>
        <v>-0.98280568177438277</v>
      </c>
      <c r="U149" s="40">
        <f t="shared" si="104"/>
        <v>-0.58341683454594295</v>
      </c>
      <c r="V149" s="25">
        <f t="shared" si="119"/>
        <v>0</v>
      </c>
      <c r="W149" s="25">
        <f t="shared" si="120"/>
        <v>0</v>
      </c>
      <c r="X149" s="40">
        <f t="shared" si="105"/>
        <v>0</v>
      </c>
      <c r="Y149" s="40">
        <f t="shared" si="106"/>
        <v>0</v>
      </c>
      <c r="Z149" s="40">
        <f t="shared" si="107"/>
        <v>0</v>
      </c>
      <c r="AA149" s="40">
        <f t="shared" si="108"/>
        <v>0</v>
      </c>
      <c r="AB149" s="40">
        <f t="shared" si="109"/>
        <v>-0.42534524921424061</v>
      </c>
      <c r="AC149" s="40">
        <f t="shared" si="110"/>
        <v>-0.25249505928547811</v>
      </c>
      <c r="AD149" s="26">
        <v>441.28867711817003</v>
      </c>
      <c r="AE149" s="8">
        <v>261.95945739796002</v>
      </c>
      <c r="AF149" s="61">
        <f t="shared" si="121"/>
        <v>0.14886501649381012</v>
      </c>
      <c r="AG149" s="61">
        <f>(D149)+(H149)</f>
        <v>0.14886501649381012</v>
      </c>
      <c r="AH149" s="74">
        <f t="shared" si="142"/>
        <v>1</v>
      </c>
      <c r="AI149" s="74">
        <f t="shared" si="144"/>
        <v>1</v>
      </c>
      <c r="AJ149" s="74">
        <f t="shared" si="122"/>
        <v>1</v>
      </c>
      <c r="AK149" s="74">
        <f t="shared" si="145"/>
        <v>1</v>
      </c>
      <c r="AL149" s="74">
        <f t="shared" si="123"/>
        <v>-2.148460091688396</v>
      </c>
      <c r="AM149" s="74">
        <f t="shared" si="146"/>
        <v>-2.148460091688396</v>
      </c>
      <c r="AN149" s="74">
        <f t="shared" si="124"/>
        <v>3.148460091688396</v>
      </c>
      <c r="AO149" s="74">
        <f t="shared" si="125"/>
        <v>3.148460091688396</v>
      </c>
      <c r="AP149" s="74">
        <f t="shared" si="126"/>
        <v>-17.294543015481047</v>
      </c>
      <c r="AQ149" s="74">
        <f t="shared" si="127"/>
        <v>-17.294543015481047</v>
      </c>
      <c r="AR149" s="74">
        <f t="shared" si="128"/>
        <v>-2.148460091688396</v>
      </c>
      <c r="AS149" s="74">
        <f t="shared" si="129"/>
        <v>3.148460091688396</v>
      </c>
      <c r="AT149" s="74">
        <f t="shared" si="130"/>
        <v>0</v>
      </c>
      <c r="AU149" s="74">
        <f t="shared" si="131"/>
        <v>0</v>
      </c>
      <c r="AV149" s="74">
        <f t="shared" si="132"/>
        <v>0</v>
      </c>
      <c r="AW149" s="74">
        <f t="shared" si="133"/>
        <v>0</v>
      </c>
      <c r="AX149" s="74">
        <f t="shared" si="134"/>
        <v>0</v>
      </c>
      <c r="AY149" s="74">
        <f t="shared" si="135"/>
        <v>0</v>
      </c>
      <c r="AZ149" s="74" t="e">
        <f t="shared" si="136"/>
        <v>#DIV/0!</v>
      </c>
      <c r="BA149" s="74" t="e">
        <f t="shared" si="137"/>
        <v>#DIV/0!</v>
      </c>
      <c r="BB149" s="74">
        <f t="shared" si="138"/>
        <v>-9.2597817954465436E-3</v>
      </c>
      <c r="BC149" s="74">
        <f t="shared" si="139"/>
        <v>5.6827502229728384E-4</v>
      </c>
      <c r="BD149" s="74">
        <f t="shared" si="140"/>
        <v>3.3734157301739797E-4</v>
      </c>
      <c r="BE149" s="75">
        <f t="shared" si="141"/>
        <v>5.6827502229728384E-4</v>
      </c>
    </row>
    <row r="150" spans="1:57" x14ac:dyDescent="0.35">
      <c r="A150" s="7" t="s">
        <v>61</v>
      </c>
      <c r="B150" s="11" t="s">
        <v>68</v>
      </c>
      <c r="C150" s="47">
        <f t="shared" si="111"/>
        <v>4.0123179589086631</v>
      </c>
      <c r="D150" s="23">
        <f t="shared" si="112"/>
        <v>4.0098421863494309</v>
      </c>
      <c r="E150" s="50">
        <f>[1]data!E150-[1]data!E112</f>
        <v>0.54698847303368625</v>
      </c>
      <c r="F150" s="36">
        <f>[1]data!F150-[1]data!F112</f>
        <v>3.4628537133157442</v>
      </c>
      <c r="G150" s="36">
        <f>[1]data!G150-[1]data!G112</f>
        <v>2.4757725592319257E-3</v>
      </c>
      <c r="H150" s="25">
        <f t="shared" si="113"/>
        <v>8.4973082357751295</v>
      </c>
      <c r="I150" s="36">
        <f>[1]data!I150-[1]data!I112</f>
        <v>7.6160721771276307</v>
      </c>
      <c r="J150" s="36">
        <f>[1]data!J150-[1]data!J112</f>
        <v>0.88123605864749965</v>
      </c>
      <c r="K150" s="36">
        <f>[1]data!K150-[1]data!K112</f>
        <v>0</v>
      </c>
      <c r="L150" s="25">
        <f t="shared" si="114"/>
        <v>1.2483658888742728</v>
      </c>
      <c r="M150" s="25">
        <f t="shared" si="115"/>
        <v>1.2475955934881124</v>
      </c>
      <c r="N150" s="25">
        <f t="shared" si="116"/>
        <v>0.58110026811768767</v>
      </c>
      <c r="O150" s="25">
        <f t="shared" si="117"/>
        <v>0.58074170428682936</v>
      </c>
      <c r="P150" s="24">
        <f t="shared" si="118"/>
        <v>0.17018635071693314</v>
      </c>
      <c r="Q150" s="40">
        <f t="shared" si="100"/>
        <v>7.9219830430292029E-2</v>
      </c>
      <c r="R150" s="40">
        <f t="shared" si="101"/>
        <v>1.0774092427711792</v>
      </c>
      <c r="S150" s="40">
        <f t="shared" si="102"/>
        <v>0.50152187385653735</v>
      </c>
      <c r="T150" s="40">
        <f t="shared" si="103"/>
        <v>7.7029538616046E-4</v>
      </c>
      <c r="U150" s="40">
        <f t="shared" si="104"/>
        <v>3.5856383085835998E-4</v>
      </c>
      <c r="V150" s="25">
        <f t="shared" si="119"/>
        <v>2.6437958948989611</v>
      </c>
      <c r="W150" s="25">
        <f t="shared" si="120"/>
        <v>1.2306572272329648</v>
      </c>
      <c r="X150" s="40">
        <f t="shared" si="105"/>
        <v>2.3696139763850126</v>
      </c>
      <c r="Y150" s="40">
        <f t="shared" si="106"/>
        <v>1.1030286306961334</v>
      </c>
      <c r="Z150" s="40">
        <f t="shared" si="107"/>
        <v>0.27418191851394846</v>
      </c>
      <c r="AA150" s="40">
        <f t="shared" si="108"/>
        <v>0.12762859653683137</v>
      </c>
      <c r="AB150" s="40">
        <f t="shared" si="109"/>
        <v>0</v>
      </c>
      <c r="AC150" s="40">
        <f t="shared" si="110"/>
        <v>0</v>
      </c>
      <c r="AD150" s="26">
        <v>690.46912883131995</v>
      </c>
      <c r="AE150" s="8">
        <v>321.40560669490998</v>
      </c>
      <c r="AF150" s="61">
        <f t="shared" si="121"/>
        <v>12.50715042212456</v>
      </c>
      <c r="AG150" s="61">
        <f>(D150)+(H150)</f>
        <v>12.50715042212456</v>
      </c>
      <c r="AH150" s="74">
        <f t="shared" si="142"/>
        <v>0.32060397860540707</v>
      </c>
      <c r="AI150" s="74">
        <f t="shared" si="144"/>
        <v>0.32060397860540707</v>
      </c>
      <c r="AJ150" s="74">
        <f t="shared" si="122"/>
        <v>0.32060397860540707</v>
      </c>
      <c r="AK150" s="74">
        <f t="shared" si="145"/>
        <v>0.32060397860540707</v>
      </c>
      <c r="AL150" s="74">
        <f t="shared" si="123"/>
        <v>0.27686991812220624</v>
      </c>
      <c r="AM150" s="74">
        <f t="shared" si="146"/>
        <v>0.27686991812220624</v>
      </c>
      <c r="AN150" s="74">
        <f t="shared" si="124"/>
        <v>4.3734060483200825E-2</v>
      </c>
      <c r="AO150" s="74">
        <f t="shared" si="125"/>
        <v>4.3734060483200825E-2</v>
      </c>
      <c r="AP150" s="74">
        <f t="shared" si="126"/>
        <v>1.9794857147095637E-4</v>
      </c>
      <c r="AQ150" s="74">
        <f t="shared" si="127"/>
        <v>1.9794857147095637E-4</v>
      </c>
      <c r="AR150" s="74">
        <f t="shared" si="128"/>
        <v>0.86358852852219947</v>
      </c>
      <c r="AS150" s="74">
        <f t="shared" si="129"/>
        <v>0.13641147147780042</v>
      </c>
      <c r="AT150" s="74">
        <f t="shared" si="130"/>
        <v>0.67939602139459287</v>
      </c>
      <c r="AU150" s="74">
        <f t="shared" si="131"/>
        <v>0.67939602139459287</v>
      </c>
      <c r="AV150" s="74">
        <f t="shared" si="132"/>
        <v>0.60893744138993944</v>
      </c>
      <c r="AW150" s="74">
        <f t="shared" si="133"/>
        <v>0.60893744138993944</v>
      </c>
      <c r="AX150" s="74">
        <f t="shared" si="134"/>
        <v>7.0458580004653548E-2</v>
      </c>
      <c r="AY150" s="74">
        <f t="shared" si="135"/>
        <v>7.0458580004653548E-2</v>
      </c>
      <c r="AZ150" s="74">
        <f t="shared" si="136"/>
        <v>0.89629232761766331</v>
      </c>
      <c r="BA150" s="74">
        <f t="shared" si="137"/>
        <v>0.10370767238233683</v>
      </c>
      <c r="BB150" s="74">
        <f t="shared" si="138"/>
        <v>3.8921617837732334E-2</v>
      </c>
      <c r="BC150" s="74">
        <f t="shared" si="139"/>
        <v>3.8913914883870734E-2</v>
      </c>
      <c r="BD150" s="74">
        <f t="shared" si="140"/>
        <v>1.8113989315197941E-2</v>
      </c>
      <c r="BE150" s="75">
        <f t="shared" si="141"/>
        <v>3.8913914883870734E-2</v>
      </c>
    </row>
    <row r="151" spans="1:57" x14ac:dyDescent="0.35">
      <c r="A151" s="7" t="s">
        <v>62</v>
      </c>
      <c r="B151" s="11" t="s">
        <v>68</v>
      </c>
      <c r="C151" s="47">
        <f t="shared" si="111"/>
        <v>-7.3367331368357214E-3</v>
      </c>
      <c r="D151" s="23">
        <f t="shared" si="112"/>
        <v>-4.9648577665709903E-3</v>
      </c>
      <c r="E151" s="50">
        <f>[1]data!E151-[1]data!E113</f>
        <v>-1.145736407670267E-3</v>
      </c>
      <c r="F151" s="36">
        <f>[1]data!F151-[1]data!F113</f>
        <v>-3.8191213589007234E-3</v>
      </c>
      <c r="G151" s="36">
        <f>[1]data!G151-[1]data!G113</f>
        <v>-2.3718753702647311E-3</v>
      </c>
      <c r="H151" s="25">
        <f t="shared" si="113"/>
        <v>0</v>
      </c>
      <c r="I151" s="36">
        <f>[1]data!I151-[1]data!I113</f>
        <v>0</v>
      </c>
      <c r="J151" s="36">
        <f>[1]data!J151-[1]data!J113</f>
        <v>0</v>
      </c>
      <c r="K151" s="36">
        <f>[1]data!K151-[1]data!K113</f>
        <v>0</v>
      </c>
      <c r="L151" s="25">
        <f t="shared" si="114"/>
        <v>-1.1395540400223088E-2</v>
      </c>
      <c r="M151" s="25">
        <f t="shared" si="115"/>
        <v>-7.711502681794752E-3</v>
      </c>
      <c r="N151" s="25">
        <f t="shared" si="116"/>
        <v>-8.0417106755636056E-3</v>
      </c>
      <c r="O151" s="25">
        <f t="shared" si="117"/>
        <v>-5.4419247585320487E-3</v>
      </c>
      <c r="P151" s="24">
        <f t="shared" si="118"/>
        <v>-1.7795775419526946E-3</v>
      </c>
      <c r="Q151" s="40">
        <f t="shared" si="100"/>
        <v>-1.2558287904305149E-3</v>
      </c>
      <c r="R151" s="40">
        <f t="shared" si="101"/>
        <v>-5.9319251398420574E-3</v>
      </c>
      <c r="S151" s="40">
        <f t="shared" si="102"/>
        <v>-4.1860959681015338E-3</v>
      </c>
      <c r="T151" s="40">
        <f t="shared" si="103"/>
        <v>-3.6840377184283357E-3</v>
      </c>
      <c r="U151" s="40">
        <f t="shared" si="104"/>
        <v>-2.5997859170315569E-3</v>
      </c>
      <c r="V151" s="25">
        <f t="shared" si="119"/>
        <v>0</v>
      </c>
      <c r="W151" s="25">
        <f t="shared" si="120"/>
        <v>0</v>
      </c>
      <c r="X151" s="40">
        <f t="shared" si="105"/>
        <v>0</v>
      </c>
      <c r="Y151" s="40">
        <f t="shared" si="106"/>
        <v>0</v>
      </c>
      <c r="Z151" s="40">
        <f t="shared" si="107"/>
        <v>0</v>
      </c>
      <c r="AA151" s="40">
        <f t="shared" si="108"/>
        <v>0</v>
      </c>
      <c r="AB151" s="40">
        <f t="shared" si="109"/>
        <v>0</v>
      </c>
      <c r="AC151" s="40">
        <f t="shared" si="110"/>
        <v>0</v>
      </c>
      <c r="AD151" s="26">
        <v>91.233487908610002</v>
      </c>
      <c r="AE151" s="8">
        <v>64.38249419652</v>
      </c>
      <c r="AF151" s="61">
        <f t="shared" si="121"/>
        <v>-4.9648577665709903E-3</v>
      </c>
      <c r="AG151" s="61">
        <f>(D151*-1)+(H151)</f>
        <v>4.9648577665709903E-3</v>
      </c>
      <c r="AH151" s="74">
        <v>1</v>
      </c>
      <c r="AI151" s="74">
        <f t="shared" si="144"/>
        <v>-1</v>
      </c>
      <c r="AJ151" s="74">
        <f t="shared" si="122"/>
        <v>1</v>
      </c>
      <c r="AK151" s="74">
        <f t="shared" si="145"/>
        <v>1</v>
      </c>
      <c r="AL151" s="74">
        <f t="shared" si="123"/>
        <v>-0.7692307692307615</v>
      </c>
      <c r="AM151" s="74">
        <f t="shared" si="146"/>
        <v>0.7692307692307615</v>
      </c>
      <c r="AN151" s="74">
        <f t="shared" si="124"/>
        <v>-0.2307692307692385</v>
      </c>
      <c r="AO151" s="74">
        <f t="shared" si="125"/>
        <v>0.2307692307692385</v>
      </c>
      <c r="AP151" s="74">
        <f t="shared" si="126"/>
        <v>-0.47773279352227677</v>
      </c>
      <c r="AQ151" s="74">
        <f t="shared" si="127"/>
        <v>0.47773279352227677</v>
      </c>
      <c r="AR151" s="74">
        <f t="shared" si="128"/>
        <v>0.7692307692307615</v>
      </c>
      <c r="AS151" s="74">
        <f t="shared" si="129"/>
        <v>0.2307692307692385</v>
      </c>
      <c r="AT151" s="74">
        <f t="shared" si="130"/>
        <v>0</v>
      </c>
      <c r="AU151" s="74">
        <f t="shared" si="131"/>
        <v>0</v>
      </c>
      <c r="AV151" s="74">
        <f t="shared" si="132"/>
        <v>0</v>
      </c>
      <c r="AW151" s="74">
        <f t="shared" si="133"/>
        <v>0</v>
      </c>
      <c r="AX151" s="74">
        <f t="shared" si="134"/>
        <v>0</v>
      </c>
      <c r="AY151" s="74">
        <f t="shared" si="135"/>
        <v>0</v>
      </c>
      <c r="AZ151" s="74" t="e">
        <f t="shared" si="136"/>
        <v>#DIV/0!</v>
      </c>
      <c r="BA151" s="74" t="e">
        <f t="shared" si="137"/>
        <v>#DIV/0!</v>
      </c>
      <c r="BB151" s="74">
        <f t="shared" si="138"/>
        <v>-1.1395540400223088E-4</v>
      </c>
      <c r="BC151" s="74">
        <f t="shared" si="139"/>
        <v>-7.7115026817947517E-5</v>
      </c>
      <c r="BD151" s="74">
        <f t="shared" si="140"/>
        <v>-5.4419247585320486E-5</v>
      </c>
      <c r="BE151" s="75">
        <f t="shared" si="141"/>
        <v>7.7115026817947517E-5</v>
      </c>
    </row>
    <row r="152" spans="1:57" x14ac:dyDescent="0.35">
      <c r="A152" s="7" t="s">
        <v>63</v>
      </c>
      <c r="B152" s="11" t="s">
        <v>68</v>
      </c>
      <c r="C152" s="47">
        <f t="shared" si="111"/>
        <v>-0.19161498549824252</v>
      </c>
      <c r="D152" s="23">
        <f t="shared" si="112"/>
        <v>-0.19161498549824252</v>
      </c>
      <c r="E152" s="50">
        <f>[1]data!E152-[1]data!E114</f>
        <v>0</v>
      </c>
      <c r="F152" s="36">
        <f>[1]data!F152-[1]data!F114</f>
        <v>-0.19161498549824252</v>
      </c>
      <c r="G152" s="36">
        <f>[1]data!G152-[1]data!G114</f>
        <v>0</v>
      </c>
      <c r="H152" s="25">
        <f t="shared" si="113"/>
        <v>0</v>
      </c>
      <c r="I152" s="36">
        <f>[1]data!I152-[1]data!I114</f>
        <v>0</v>
      </c>
      <c r="J152" s="36">
        <f>[1]data!J152-[1]data!J114</f>
        <v>0</v>
      </c>
      <c r="K152" s="36">
        <f>[1]data!K152-[1]data!K114</f>
        <v>0</v>
      </c>
      <c r="L152" s="25">
        <f t="shared" si="114"/>
        <v>-0.13001073313003475</v>
      </c>
      <c r="M152" s="25">
        <f t="shared" si="115"/>
        <v>-0.13001073313003475</v>
      </c>
      <c r="N152" s="25">
        <f t="shared" si="116"/>
        <v>-6.183359311467361E-2</v>
      </c>
      <c r="O152" s="25">
        <f t="shared" si="117"/>
        <v>-6.183359311467361E-2</v>
      </c>
      <c r="P152" s="24">
        <f t="shared" si="118"/>
        <v>0</v>
      </c>
      <c r="Q152" s="40">
        <f t="shared" si="100"/>
        <v>0</v>
      </c>
      <c r="R152" s="40">
        <f t="shared" si="101"/>
        <v>-0.13001073313003475</v>
      </c>
      <c r="S152" s="40">
        <f t="shared" si="102"/>
        <v>-6.183359311467361E-2</v>
      </c>
      <c r="T152" s="40">
        <f t="shared" si="103"/>
        <v>0</v>
      </c>
      <c r="U152" s="40">
        <f t="shared" si="104"/>
        <v>0</v>
      </c>
      <c r="V152" s="25">
        <f t="shared" si="119"/>
        <v>0</v>
      </c>
      <c r="W152" s="25">
        <f t="shared" si="120"/>
        <v>0</v>
      </c>
      <c r="X152" s="40">
        <f t="shared" si="105"/>
        <v>0</v>
      </c>
      <c r="Y152" s="40">
        <f t="shared" si="106"/>
        <v>0</v>
      </c>
      <c r="Z152" s="40">
        <f t="shared" si="107"/>
        <v>0</v>
      </c>
      <c r="AA152" s="40">
        <f t="shared" si="108"/>
        <v>0</v>
      </c>
      <c r="AB152" s="40">
        <f t="shared" si="109"/>
        <v>0</v>
      </c>
      <c r="AC152" s="40">
        <f t="shared" si="110"/>
        <v>0</v>
      </c>
      <c r="AD152" s="26">
        <v>309.88816247970999</v>
      </c>
      <c r="AE152" s="8">
        <v>147.38397429586999</v>
      </c>
      <c r="AF152" s="61">
        <f t="shared" si="121"/>
        <v>-0.19161498549824252</v>
      </c>
      <c r="AG152" s="61">
        <f>(D152*-1)+(H152)</f>
        <v>0.19161498549824252</v>
      </c>
      <c r="AH152" s="74">
        <v>1</v>
      </c>
      <c r="AI152" s="74">
        <f t="shared" si="144"/>
        <v>-1</v>
      </c>
      <c r="AJ152" s="74">
        <f t="shared" si="122"/>
        <v>1</v>
      </c>
      <c r="AK152" s="74">
        <f t="shared" si="145"/>
        <v>1</v>
      </c>
      <c r="AL152" s="74">
        <f t="shared" si="123"/>
        <v>-1</v>
      </c>
      <c r="AM152" s="74">
        <f t="shared" si="146"/>
        <v>1</v>
      </c>
      <c r="AN152" s="74">
        <f t="shared" si="124"/>
        <v>0</v>
      </c>
      <c r="AO152" s="74">
        <f t="shared" si="125"/>
        <v>0</v>
      </c>
      <c r="AP152" s="74">
        <f t="shared" si="126"/>
        <v>0</v>
      </c>
      <c r="AQ152" s="74">
        <f t="shared" si="127"/>
        <v>0</v>
      </c>
      <c r="AR152" s="74">
        <f t="shared" si="128"/>
        <v>1</v>
      </c>
      <c r="AS152" s="74">
        <f t="shared" si="129"/>
        <v>0</v>
      </c>
      <c r="AT152" s="74">
        <f t="shared" si="130"/>
        <v>0</v>
      </c>
      <c r="AU152" s="74">
        <f t="shared" si="131"/>
        <v>0</v>
      </c>
      <c r="AV152" s="74">
        <f t="shared" si="132"/>
        <v>0</v>
      </c>
      <c r="AW152" s="74">
        <f t="shared" si="133"/>
        <v>0</v>
      </c>
      <c r="AX152" s="74">
        <f t="shared" si="134"/>
        <v>0</v>
      </c>
      <c r="AY152" s="74">
        <f t="shared" si="135"/>
        <v>0</v>
      </c>
      <c r="AZ152" s="74" t="e">
        <f t="shared" si="136"/>
        <v>#DIV/0!</v>
      </c>
      <c r="BA152" s="74" t="e">
        <f t="shared" si="137"/>
        <v>#DIV/0!</v>
      </c>
      <c r="BB152" s="74">
        <f t="shared" si="138"/>
        <v>-1.3001073313003474E-3</v>
      </c>
      <c r="BC152" s="74">
        <f t="shared" si="139"/>
        <v>-1.3001073313003474E-3</v>
      </c>
      <c r="BD152" s="74">
        <f t="shared" si="140"/>
        <v>-6.1833593114673613E-4</v>
      </c>
      <c r="BE152" s="75">
        <f t="shared" si="141"/>
        <v>1.3001073313003474E-3</v>
      </c>
    </row>
    <row r="153" spans="1:57" x14ac:dyDescent="0.35">
      <c r="A153" s="7" t="s">
        <v>64</v>
      </c>
      <c r="B153" s="11" t="s">
        <v>68</v>
      </c>
      <c r="C153" s="47">
        <f t="shared" si="111"/>
        <v>5.9891531238189888</v>
      </c>
      <c r="D153" s="23">
        <f t="shared" si="112"/>
        <v>5.9891531238189888</v>
      </c>
      <c r="E153" s="50">
        <f>[1]data!E153-[1]data!E115</f>
        <v>-4.1489705375412633E-3</v>
      </c>
      <c r="F153" s="36">
        <f>[1]data!F153-[1]data!F115</f>
        <v>5.9933020943565296</v>
      </c>
      <c r="G153" s="36">
        <f>[1]data!G153-[1]data!G115</f>
        <v>0</v>
      </c>
      <c r="H153" s="25">
        <f t="shared" si="113"/>
        <v>2.4919180275215354</v>
      </c>
      <c r="I153" s="36">
        <f>[1]data!I153-[1]data!I115</f>
        <v>2.5280384769071915</v>
      </c>
      <c r="J153" s="36">
        <f>[1]data!J153-[1]data!J115</f>
        <v>-3.6120449385656173E-2</v>
      </c>
      <c r="K153" s="36">
        <f>[1]data!K153-[1]data!K115</f>
        <v>0</v>
      </c>
      <c r="L153" s="25">
        <f t="shared" si="114"/>
        <v>1.0479650844172863</v>
      </c>
      <c r="M153" s="25">
        <f t="shared" si="115"/>
        <v>1.0479650844172863</v>
      </c>
      <c r="N153" s="25">
        <f t="shared" si="116"/>
        <v>0.49276291212012396</v>
      </c>
      <c r="O153" s="25">
        <f t="shared" si="117"/>
        <v>0.49276291212012396</v>
      </c>
      <c r="P153" s="24">
        <f t="shared" si="118"/>
        <v>-7.2597513700681162E-4</v>
      </c>
      <c r="Q153" s="40">
        <f t="shared" si="100"/>
        <v>-3.4136024945640033E-4</v>
      </c>
      <c r="R153" s="40">
        <f t="shared" si="101"/>
        <v>1.0486910595542931</v>
      </c>
      <c r="S153" s="40">
        <f t="shared" si="102"/>
        <v>0.49310427236958038</v>
      </c>
      <c r="T153" s="40">
        <f t="shared" si="103"/>
        <v>0</v>
      </c>
      <c r="U153" s="40">
        <f t="shared" si="104"/>
        <v>0</v>
      </c>
      <c r="V153" s="25">
        <f t="shared" si="119"/>
        <v>0.43602877269689411</v>
      </c>
      <c r="W153" s="25">
        <f t="shared" si="120"/>
        <v>0.2050247770628312</v>
      </c>
      <c r="X153" s="40">
        <f t="shared" si="105"/>
        <v>0.44234902683083627</v>
      </c>
      <c r="Y153" s="40">
        <f t="shared" si="106"/>
        <v>0.2079966192345695</v>
      </c>
      <c r="Z153" s="40">
        <f t="shared" si="107"/>
        <v>-6.3202541339421473E-3</v>
      </c>
      <c r="AA153" s="40">
        <f t="shared" si="108"/>
        <v>-2.9718421717383056E-3</v>
      </c>
      <c r="AB153" s="40">
        <f t="shared" si="109"/>
        <v>0</v>
      </c>
      <c r="AC153" s="40">
        <f t="shared" si="110"/>
        <v>0</v>
      </c>
      <c r="AD153" s="26">
        <v>1215.4228689920101</v>
      </c>
      <c r="AE153" s="8">
        <v>571.50311712429004</v>
      </c>
      <c r="AF153" s="61">
        <f t="shared" si="121"/>
        <v>8.4810711513405241</v>
      </c>
      <c r="AG153" s="61">
        <f>(D153)+(H153)</f>
        <v>8.4810711513405241</v>
      </c>
      <c r="AH153" s="74">
        <f t="shared" si="142"/>
        <v>0.70617885606022057</v>
      </c>
      <c r="AI153" s="74">
        <f t="shared" si="144"/>
        <v>0.70617885606022057</v>
      </c>
      <c r="AJ153" s="74">
        <f t="shared" si="122"/>
        <v>0.70617885606022057</v>
      </c>
      <c r="AK153" s="74">
        <f t="shared" si="145"/>
        <v>0.70617885606022057</v>
      </c>
      <c r="AL153" s="74">
        <f t="shared" si="123"/>
        <v>0.70666805966003765</v>
      </c>
      <c r="AM153" s="74">
        <f t="shared" si="146"/>
        <v>0.70666805966003765</v>
      </c>
      <c r="AN153" s="74">
        <f t="shared" si="124"/>
        <v>-4.8920359981716155E-4</v>
      </c>
      <c r="AO153" s="74">
        <f t="shared" si="125"/>
        <v>-4.8920359981716155E-4</v>
      </c>
      <c r="AP153" s="74">
        <f t="shared" si="126"/>
        <v>0</v>
      </c>
      <c r="AQ153" s="74">
        <f t="shared" si="127"/>
        <v>0</v>
      </c>
      <c r="AR153" s="74">
        <f t="shared" si="128"/>
        <v>1.0006927474472209</v>
      </c>
      <c r="AS153" s="74">
        <f t="shared" si="129"/>
        <v>-6.9274744722099685E-4</v>
      </c>
      <c r="AT153" s="74">
        <f t="shared" si="130"/>
        <v>0.29382114393977948</v>
      </c>
      <c r="AU153" s="74">
        <f t="shared" si="131"/>
        <v>0.29382114393977948</v>
      </c>
      <c r="AV153" s="74">
        <f t="shared" si="132"/>
        <v>0.29808009292642335</v>
      </c>
      <c r="AW153" s="74">
        <f t="shared" si="133"/>
        <v>0.29808009292642335</v>
      </c>
      <c r="AX153" s="74">
        <f t="shared" si="134"/>
        <v>-4.2589489866438571E-3</v>
      </c>
      <c r="AY153" s="74">
        <f t="shared" si="135"/>
        <v>-4.2589489866438571E-3</v>
      </c>
      <c r="AZ153" s="74">
        <f t="shared" si="136"/>
        <v>1.0144950391572798</v>
      </c>
      <c r="BA153" s="74">
        <f t="shared" si="137"/>
        <v>-1.4495039157279831E-2</v>
      </c>
      <c r="BB153" s="74">
        <f t="shared" si="138"/>
        <v>1.4839938571141804E-2</v>
      </c>
      <c r="BC153" s="74">
        <f t="shared" si="139"/>
        <v>1.4839938571141804E-2</v>
      </c>
      <c r="BD153" s="74">
        <f t="shared" si="140"/>
        <v>6.9778768918295521E-3</v>
      </c>
      <c r="BE153" s="75">
        <f t="shared" si="141"/>
        <v>1.4839938571141804E-2</v>
      </c>
    </row>
    <row r="154" spans="1:57" s="45" customFormat="1" x14ac:dyDescent="0.35">
      <c r="A154" s="41" t="s">
        <v>27</v>
      </c>
      <c r="B154" s="42" t="s">
        <v>69</v>
      </c>
      <c r="C154" s="47">
        <f t="shared" si="111"/>
        <v>0.83038838202100074</v>
      </c>
      <c r="D154" s="23">
        <f t="shared" si="112"/>
        <v>0.83038838202100074</v>
      </c>
      <c r="E154" s="50">
        <f>[1]data!E154-[1]data!E116</f>
        <v>9.8710831084147799E-5</v>
      </c>
      <c r="F154" s="36">
        <f>[1]data!F154-[1]data!F116</f>
        <v>0.83028967118991659</v>
      </c>
      <c r="G154" s="36">
        <f>[1]data!G154-[1]data!G116</f>
        <v>0</v>
      </c>
      <c r="H154" s="25">
        <f t="shared" si="113"/>
        <v>2.0812524626023787E-4</v>
      </c>
      <c r="I154" s="36">
        <f>[1]data!I154-[1]data!I116</f>
        <v>8.9196534112545578E-5</v>
      </c>
      <c r="J154" s="36">
        <f>[1]data!J154-[1]data!J116</f>
        <v>1.1892871214769229E-4</v>
      </c>
      <c r="K154" s="36">
        <f>[1]data!K154-[1]data!K116</f>
        <v>0</v>
      </c>
      <c r="L154" s="25">
        <f t="shared" si="114"/>
        <v>5.5552794872681756E-2</v>
      </c>
      <c r="M154" s="25">
        <f t="shared" si="115"/>
        <v>5.5552794872681756E-2</v>
      </c>
      <c r="N154" s="25">
        <f t="shared" si="116"/>
        <v>6.7703036362780133E-2</v>
      </c>
      <c r="O154" s="25">
        <f t="shared" si="117"/>
        <v>6.7703036362780133E-2</v>
      </c>
      <c r="P154" s="24">
        <f t="shared" si="118"/>
        <v>6.6037322651160567E-6</v>
      </c>
      <c r="Q154" s="43">
        <f t="shared" si="100"/>
        <v>8.0480689891459609E-6</v>
      </c>
      <c r="R154" s="43">
        <f t="shared" si="101"/>
        <v>5.5546191140416638E-2</v>
      </c>
      <c r="S154" s="43">
        <f t="shared" si="102"/>
        <v>6.7694988293790989E-2</v>
      </c>
      <c r="T154" s="43">
        <f t="shared" si="103"/>
        <v>0</v>
      </c>
      <c r="U154" s="43">
        <f t="shared" si="104"/>
        <v>0</v>
      </c>
      <c r="V154" s="25">
        <f t="shared" si="119"/>
        <v>1.3923531884179185E-5</v>
      </c>
      <c r="W154" s="25">
        <f t="shared" si="120"/>
        <v>1.6968820157713981E-5</v>
      </c>
      <c r="X154" s="43">
        <f t="shared" si="105"/>
        <v>5.9672279504304157E-6</v>
      </c>
      <c r="Y154" s="43">
        <f t="shared" si="106"/>
        <v>7.2723514962458939E-6</v>
      </c>
      <c r="Z154" s="43">
        <f t="shared" si="107"/>
        <v>7.9563039337487705E-6</v>
      </c>
      <c r="AA154" s="43">
        <f t="shared" si="108"/>
        <v>9.6964686614680865E-6</v>
      </c>
      <c r="AB154" s="43">
        <f t="shared" si="109"/>
        <v>0</v>
      </c>
      <c r="AC154" s="43">
        <f t="shared" si="110"/>
        <v>0</v>
      </c>
      <c r="AD154" s="44">
        <v>1226.51571721458</v>
      </c>
      <c r="AE154" s="45">
        <v>1494.77336635199</v>
      </c>
      <c r="AF154" s="61">
        <f t="shared" si="121"/>
        <v>0.83059650726726098</v>
      </c>
      <c r="AG154" s="61">
        <f t="shared" si="143"/>
        <v>0.83059650726726098</v>
      </c>
      <c r="AH154" s="74">
        <f t="shared" si="142"/>
        <v>0.99974942677408429</v>
      </c>
      <c r="AI154" s="74">
        <f t="shared" si="144"/>
        <v>0.99974942677408429</v>
      </c>
      <c r="AJ154" s="74">
        <f t="shared" si="122"/>
        <v>0.99974942677408429</v>
      </c>
      <c r="AK154" s="74">
        <f t="shared" si="145"/>
        <v>0.99974942677408429</v>
      </c>
      <c r="AL154" s="74">
        <f t="shared" si="123"/>
        <v>0.99963058347264921</v>
      </c>
      <c r="AM154" s="74">
        <f t="shared" si="146"/>
        <v>0.99963058347264921</v>
      </c>
      <c r="AN154" s="74">
        <f t="shared" si="124"/>
        <v>1.1884330143515234E-4</v>
      </c>
      <c r="AO154" s="74">
        <f t="shared" si="125"/>
        <v>1.1884330143515234E-4</v>
      </c>
      <c r="AP154" s="74">
        <f t="shared" si="126"/>
        <v>0</v>
      </c>
      <c r="AQ154" s="74">
        <f t="shared" si="127"/>
        <v>0</v>
      </c>
      <c r="AR154" s="74">
        <f t="shared" si="128"/>
        <v>0.9998811269121517</v>
      </c>
      <c r="AS154" s="74">
        <f t="shared" si="129"/>
        <v>1.1887308784824903E-4</v>
      </c>
      <c r="AT154" s="74">
        <f t="shared" si="130"/>
        <v>2.5057322591566045E-4</v>
      </c>
      <c r="AU154" s="74">
        <f t="shared" si="131"/>
        <v>2.5057322591566045E-4</v>
      </c>
      <c r="AV154" s="74">
        <f t="shared" si="132"/>
        <v>1.0738852539364799E-4</v>
      </c>
      <c r="AW154" s="74">
        <f t="shared" si="133"/>
        <v>1.0738852539364799E-4</v>
      </c>
      <c r="AX154" s="74">
        <f t="shared" si="134"/>
        <v>1.4318470052201244E-4</v>
      </c>
      <c r="AY154" s="74">
        <f t="shared" si="135"/>
        <v>1.4318470052201244E-4</v>
      </c>
      <c r="AZ154" s="74">
        <f t="shared" si="136"/>
        <v>0.42857142857630576</v>
      </c>
      <c r="BA154" s="74">
        <f t="shared" si="137"/>
        <v>0.5714285714236943</v>
      </c>
      <c r="BB154" s="74">
        <f t="shared" si="138"/>
        <v>5.5566718404565928E-4</v>
      </c>
      <c r="BC154" s="74">
        <f t="shared" si="139"/>
        <v>5.5566718404565928E-4</v>
      </c>
      <c r="BD154" s="74">
        <f t="shared" si="140"/>
        <v>6.7720005182937855E-4</v>
      </c>
      <c r="BE154" s="75">
        <f t="shared" si="141"/>
        <v>5.5566718404565928E-4</v>
      </c>
    </row>
    <row r="155" spans="1:57" x14ac:dyDescent="0.35">
      <c r="A155" s="7" t="s">
        <v>28</v>
      </c>
      <c r="B155" s="11" t="s">
        <v>69</v>
      </c>
      <c r="C155" s="47">
        <f t="shared" si="111"/>
        <v>0.64367895118510177</v>
      </c>
      <c r="D155" s="23">
        <f t="shared" si="112"/>
        <v>0.50948049435230303</v>
      </c>
      <c r="E155" s="50">
        <f>[1]data!E155-[1]data!E117</f>
        <v>8.3203043236338203E-2</v>
      </c>
      <c r="F155" s="36">
        <f>[1]data!F155-[1]data!F117</f>
        <v>0.42627745111596482</v>
      </c>
      <c r="G155" s="36">
        <f>[1]data!G155-[1]data!G117</f>
        <v>0.13419845683279874</v>
      </c>
      <c r="H155" s="25">
        <f t="shared" si="113"/>
        <v>0.13988215618101352</v>
      </c>
      <c r="I155" s="36">
        <f>[1]data!I155-[1]data!I117</f>
        <v>8.2097879474187785E-3</v>
      </c>
      <c r="J155" s="36">
        <f>[1]data!J155-[1]data!J117</f>
        <v>0.13167236823359474</v>
      </c>
      <c r="K155" s="36">
        <f>[1]data!K155-[1]data!K117</f>
        <v>0</v>
      </c>
      <c r="L155" s="25">
        <f t="shared" si="114"/>
        <v>3.7939232589043644E-2</v>
      </c>
      <c r="M155" s="25">
        <f t="shared" si="115"/>
        <v>3.0029409753457147E-2</v>
      </c>
      <c r="N155" s="25">
        <f t="shared" si="116"/>
        <v>3.7347454360530635E-2</v>
      </c>
      <c r="O155" s="25">
        <f t="shared" si="117"/>
        <v>2.9561009374891659E-2</v>
      </c>
      <c r="P155" s="24">
        <f t="shared" si="118"/>
        <v>4.9040901580638049E-3</v>
      </c>
      <c r="Q155" s="40">
        <f t="shared" si="100"/>
        <v>4.8275958910963387E-3</v>
      </c>
      <c r="R155" s="40">
        <f t="shared" si="101"/>
        <v>2.5125319595393342E-2</v>
      </c>
      <c r="S155" s="40">
        <f t="shared" si="102"/>
        <v>2.4733413483795319E-2</v>
      </c>
      <c r="T155" s="40">
        <f t="shared" si="103"/>
        <v>7.9098228355864979E-3</v>
      </c>
      <c r="U155" s="40">
        <f t="shared" si="104"/>
        <v>7.7864449856389767E-3</v>
      </c>
      <c r="V155" s="25">
        <f t="shared" si="119"/>
        <v>8.2448270968585209E-3</v>
      </c>
      <c r="W155" s="25">
        <f t="shared" si="120"/>
        <v>8.1162238320896928E-3</v>
      </c>
      <c r="X155" s="40">
        <f t="shared" si="105"/>
        <v>4.8389504405943891E-4</v>
      </c>
      <c r="Y155" s="40">
        <f t="shared" si="106"/>
        <v>4.7634722265088418E-4</v>
      </c>
      <c r="Z155" s="40">
        <f t="shared" si="107"/>
        <v>7.7609320527990818E-3</v>
      </c>
      <c r="AA155" s="40">
        <f t="shared" si="108"/>
        <v>7.6398766094388079E-3</v>
      </c>
      <c r="AB155" s="40">
        <f t="shared" si="109"/>
        <v>0</v>
      </c>
      <c r="AC155" s="40">
        <f t="shared" si="110"/>
        <v>0</v>
      </c>
      <c r="AD155" s="26">
        <v>1723.48815255626</v>
      </c>
      <c r="AE155" s="8">
        <v>1696.60508992738</v>
      </c>
      <c r="AF155" s="61">
        <f t="shared" si="121"/>
        <v>0.64936265053331654</v>
      </c>
      <c r="AG155" s="61">
        <f t="shared" si="143"/>
        <v>0.64936265053331654</v>
      </c>
      <c r="AH155" s="74">
        <f t="shared" si="142"/>
        <v>0.78458546073426094</v>
      </c>
      <c r="AI155" s="74">
        <f t="shared" si="144"/>
        <v>0.78458546073426094</v>
      </c>
      <c r="AJ155" s="74">
        <f t="shared" si="122"/>
        <v>0.78458546073426094</v>
      </c>
      <c r="AK155" s="74">
        <f t="shared" si="145"/>
        <v>0.78458546073426094</v>
      </c>
      <c r="AL155" s="74">
        <f t="shared" si="123"/>
        <v>0.65645514223195067</v>
      </c>
      <c r="AM155" s="74">
        <f t="shared" si="146"/>
        <v>0.65645514223195067</v>
      </c>
      <c r="AN155" s="74">
        <f t="shared" si="124"/>
        <v>0.12813031850231021</v>
      </c>
      <c r="AO155" s="74">
        <f t="shared" si="125"/>
        <v>0.12813031850231021</v>
      </c>
      <c r="AP155" s="74">
        <f t="shared" si="126"/>
        <v>0.20666180403597678</v>
      </c>
      <c r="AQ155" s="74">
        <f t="shared" si="127"/>
        <v>0.20666180403597678</v>
      </c>
      <c r="AR155" s="74">
        <f t="shared" si="128"/>
        <v>0.83669042454291931</v>
      </c>
      <c r="AS155" s="74">
        <f t="shared" si="129"/>
        <v>0.16330957545708069</v>
      </c>
      <c r="AT155" s="74">
        <f t="shared" si="130"/>
        <v>0.21541453926573909</v>
      </c>
      <c r="AU155" s="74">
        <f t="shared" si="131"/>
        <v>0.21541453926573909</v>
      </c>
      <c r="AV155" s="74">
        <f t="shared" si="132"/>
        <v>1.2642839776319354E-2</v>
      </c>
      <c r="AW155" s="74">
        <f t="shared" si="133"/>
        <v>1.2642839776319354E-2</v>
      </c>
      <c r="AX155" s="74">
        <f t="shared" si="134"/>
        <v>0.20277169948941973</v>
      </c>
      <c r="AY155" s="74">
        <f t="shared" si="135"/>
        <v>0.20277169948941973</v>
      </c>
      <c r="AZ155" s="74">
        <f t="shared" si="136"/>
        <v>5.8690744920995928E-2</v>
      </c>
      <c r="BA155" s="74">
        <f t="shared" si="137"/>
        <v>0.94130925507900409</v>
      </c>
      <c r="BB155" s="74">
        <f t="shared" si="138"/>
        <v>4.6184059685902166E-4</v>
      </c>
      <c r="BC155" s="74">
        <f t="shared" si="139"/>
        <v>3.8274236850315669E-4</v>
      </c>
      <c r="BD155" s="74">
        <f t="shared" si="140"/>
        <v>3.7677233206981348E-4</v>
      </c>
      <c r="BE155" s="75">
        <f t="shared" si="141"/>
        <v>3.8274236850315669E-4</v>
      </c>
    </row>
    <row r="156" spans="1:57" x14ac:dyDescent="0.35">
      <c r="A156" s="7" t="s">
        <v>29</v>
      </c>
      <c r="B156" s="11" t="s">
        <v>69</v>
      </c>
      <c r="C156" s="47">
        <f t="shared" si="111"/>
        <v>17.239811038462239</v>
      </c>
      <c r="D156" s="23">
        <f t="shared" si="112"/>
        <v>0.52520956131548857</v>
      </c>
      <c r="E156" s="50">
        <f>[1]data!E156-[1]data!E118</f>
        <v>1.1950101937878337</v>
      </c>
      <c r="F156" s="36">
        <f>[1]data!F156-[1]data!F118</f>
        <v>-0.66980063247234511</v>
      </c>
      <c r="G156" s="36">
        <f>[1]data!G156-[1]data!G118</f>
        <v>16.714601477146751</v>
      </c>
      <c r="H156" s="25">
        <f t="shared" si="113"/>
        <v>1.0730574657911198</v>
      </c>
      <c r="I156" s="36">
        <f>[1]data!I156-[1]data!I118</f>
        <v>6.3387360848420116E-2</v>
      </c>
      <c r="J156" s="36">
        <f>[1]data!J156-[1]data!J118</f>
        <v>1.0096701049426997</v>
      </c>
      <c r="K156" s="36">
        <f>[1]data!K156-[1]data!K118</f>
        <v>0</v>
      </c>
      <c r="L156" s="25">
        <f t="shared" si="114"/>
        <v>0.65880956822673986</v>
      </c>
      <c r="M156" s="25">
        <f t="shared" si="115"/>
        <v>2.0070584506225325E-2</v>
      </c>
      <c r="N156" s="25">
        <f t="shared" si="116"/>
        <v>0.59302634445515845</v>
      </c>
      <c r="O156" s="25">
        <f t="shared" si="117"/>
        <v>1.8066503485736789E-2</v>
      </c>
      <c r="P156" s="24">
        <f t="shared" si="118"/>
        <v>4.566663451469824E-2</v>
      </c>
      <c r="Q156" s="40">
        <f t="shared" si="100"/>
        <v>4.1106745614994972E-2</v>
      </c>
      <c r="R156" s="40">
        <f t="shared" si="101"/>
        <v>-2.5596050008472915E-2</v>
      </c>
      <c r="S156" s="40">
        <f t="shared" si="102"/>
        <v>-2.3040242129258183E-2</v>
      </c>
      <c r="T156" s="40">
        <f t="shared" si="103"/>
        <v>0.63873898372051452</v>
      </c>
      <c r="U156" s="40">
        <f t="shared" si="104"/>
        <v>0.57495984096942165</v>
      </c>
      <c r="V156" s="25">
        <f t="shared" si="119"/>
        <v>4.1006280413580745E-2</v>
      </c>
      <c r="W156" s="25">
        <f t="shared" si="120"/>
        <v>3.6911735569996447E-2</v>
      </c>
      <c r="X156" s="40">
        <f t="shared" si="105"/>
        <v>2.4223119231650899E-3</v>
      </c>
      <c r="Y156" s="40">
        <f t="shared" si="106"/>
        <v>2.1804400758647534E-3</v>
      </c>
      <c r="Z156" s="40">
        <f t="shared" si="107"/>
        <v>3.8583968490415656E-2</v>
      </c>
      <c r="AA156" s="40">
        <f t="shared" si="108"/>
        <v>3.4731295494131696E-2</v>
      </c>
      <c r="AB156" s="40">
        <f t="shared" si="109"/>
        <v>0</v>
      </c>
      <c r="AC156" s="40">
        <f t="shared" si="110"/>
        <v>0</v>
      </c>
      <c r="AD156" s="26">
        <v>2907.0902498102801</v>
      </c>
      <c r="AE156" s="8">
        <v>2616.8124857180101</v>
      </c>
      <c r="AF156" s="61">
        <f t="shared" si="121"/>
        <v>1.5982670271066084</v>
      </c>
      <c r="AG156" s="61">
        <f t="shared" si="143"/>
        <v>1.5982670271066084</v>
      </c>
      <c r="AH156" s="74">
        <f t="shared" si="142"/>
        <v>0.32861189801699875</v>
      </c>
      <c r="AI156" s="74">
        <f t="shared" si="144"/>
        <v>0.32861189801699875</v>
      </c>
      <c r="AJ156" s="74">
        <f t="shared" si="122"/>
        <v>0.32861189801699875</v>
      </c>
      <c r="AK156" s="74">
        <f t="shared" si="145"/>
        <v>0.32861189801699875</v>
      </c>
      <c r="AL156" s="74">
        <f t="shared" si="123"/>
        <v>-0.41907930346589561</v>
      </c>
      <c r="AM156" s="74">
        <f t="shared" si="146"/>
        <v>-0.41907930346589561</v>
      </c>
      <c r="AN156" s="74">
        <f t="shared" si="124"/>
        <v>0.74769120148289436</v>
      </c>
      <c r="AO156" s="74">
        <f t="shared" si="125"/>
        <v>0.74769120148289436</v>
      </c>
      <c r="AP156" s="74">
        <f t="shared" si="126"/>
        <v>10.457953016402838</v>
      </c>
      <c r="AQ156" s="74">
        <f t="shared" si="127"/>
        <v>10.457953016402838</v>
      </c>
      <c r="AR156" s="74">
        <f t="shared" si="128"/>
        <v>-1.2753016734781071</v>
      </c>
      <c r="AS156" s="74">
        <f t="shared" si="129"/>
        <v>2.2753016734781073</v>
      </c>
      <c r="AT156" s="74">
        <f t="shared" si="130"/>
        <v>0.67138810198300125</v>
      </c>
      <c r="AU156" s="74">
        <f t="shared" si="131"/>
        <v>0.67138810198300125</v>
      </c>
      <c r="AV156" s="74">
        <f t="shared" si="132"/>
        <v>3.9660056657223414E-2</v>
      </c>
      <c r="AW156" s="74">
        <f t="shared" si="133"/>
        <v>3.9660056657223414E-2</v>
      </c>
      <c r="AX156" s="74">
        <f t="shared" si="134"/>
        <v>0.63172804532577786</v>
      </c>
      <c r="AY156" s="74">
        <f t="shared" si="135"/>
        <v>0.63172804532577786</v>
      </c>
      <c r="AZ156" s="74">
        <f t="shared" si="136"/>
        <v>5.9071729957805477E-2</v>
      </c>
      <c r="BA156" s="74">
        <f t="shared" si="137"/>
        <v>0.94092827004219448</v>
      </c>
      <c r="BB156" s="74">
        <f t="shared" si="138"/>
        <v>6.998158486403205E-3</v>
      </c>
      <c r="BC156" s="74">
        <f t="shared" si="139"/>
        <v>6.1076864919806068E-4</v>
      </c>
      <c r="BD156" s="74">
        <f t="shared" si="140"/>
        <v>5.4978239055733242E-4</v>
      </c>
      <c r="BE156" s="75">
        <f t="shared" si="141"/>
        <v>6.1076864919806068E-4</v>
      </c>
    </row>
    <row r="157" spans="1:57" x14ac:dyDescent="0.35">
      <c r="A157" s="7" t="s">
        <v>30</v>
      </c>
      <c r="B157" s="11" t="s">
        <v>69</v>
      </c>
      <c r="C157" s="47">
        <f t="shared" si="111"/>
        <v>1.1077695919685908</v>
      </c>
      <c r="D157" s="23">
        <f t="shared" si="112"/>
        <v>1.1077695919685908</v>
      </c>
      <c r="E157" s="50">
        <f>[1]data!E157-[1]data!E119</f>
        <v>0.12073783018730921</v>
      </c>
      <c r="F157" s="36">
        <f>[1]data!F157-[1]data!F119</f>
        <v>0.9870317617812816</v>
      </c>
      <c r="G157" s="36">
        <f>[1]data!G157-[1]data!G119</f>
        <v>0</v>
      </c>
      <c r="H157" s="25">
        <f t="shared" si="113"/>
        <v>2.7959863025625822</v>
      </c>
      <c r="I157" s="36">
        <f>[1]data!I157-[1]data!I119</f>
        <v>0.30184457546828014</v>
      </c>
      <c r="J157" s="36">
        <f>[1]data!J157-[1]data!J119</f>
        <v>2.494141727094302</v>
      </c>
      <c r="K157" s="36">
        <f>[1]data!K157-[1]data!K119</f>
        <v>0</v>
      </c>
      <c r="L157" s="25">
        <f t="shared" si="114"/>
        <v>3.0794324993863979E-2</v>
      </c>
      <c r="M157" s="25">
        <f t="shared" si="115"/>
        <v>3.0794324993863979E-2</v>
      </c>
      <c r="N157" s="25">
        <f t="shared" si="116"/>
        <v>2.6617657271587859E-2</v>
      </c>
      <c r="O157" s="25">
        <f t="shared" si="117"/>
        <v>2.6617657271587859E-2</v>
      </c>
      <c r="P157" s="24">
        <f t="shared" si="118"/>
        <v>3.3563296996036158E-3</v>
      </c>
      <c r="Q157" s="40">
        <f t="shared" si="100"/>
        <v>2.9011070595735332E-3</v>
      </c>
      <c r="R157" s="40">
        <f t="shared" si="101"/>
        <v>2.7437995294260362E-2</v>
      </c>
      <c r="S157" s="40">
        <f t="shared" si="102"/>
        <v>2.3716550212014326E-2</v>
      </c>
      <c r="T157" s="40">
        <f t="shared" si="103"/>
        <v>0</v>
      </c>
      <c r="U157" s="40">
        <f t="shared" si="104"/>
        <v>0</v>
      </c>
      <c r="V157" s="25">
        <f t="shared" si="119"/>
        <v>7.7724205018569872E-2</v>
      </c>
      <c r="W157" s="25">
        <f t="shared" si="120"/>
        <v>6.7182386732073357E-2</v>
      </c>
      <c r="X157" s="40">
        <f t="shared" si="105"/>
        <v>8.3908242490092367E-3</v>
      </c>
      <c r="Y157" s="40">
        <f t="shared" si="106"/>
        <v>7.252767648934004E-3</v>
      </c>
      <c r="Z157" s="40">
        <f t="shared" si="107"/>
        <v>6.9333380769560637E-2</v>
      </c>
      <c r="AA157" s="40">
        <f t="shared" si="108"/>
        <v>5.9929619083139346E-2</v>
      </c>
      <c r="AB157" s="40">
        <f t="shared" si="109"/>
        <v>0</v>
      </c>
      <c r="AC157" s="40">
        <f t="shared" si="110"/>
        <v>0</v>
      </c>
      <c r="AD157" s="26">
        <v>4161.7847155581303</v>
      </c>
      <c r="AE157" s="8">
        <v>3597.3173374942398</v>
      </c>
      <c r="AF157" s="61">
        <f t="shared" si="121"/>
        <v>3.903755894531173</v>
      </c>
      <c r="AG157" s="61">
        <f t="shared" si="143"/>
        <v>3.903755894531173</v>
      </c>
      <c r="AH157" s="74">
        <f t="shared" si="142"/>
        <v>0.2837702002629009</v>
      </c>
      <c r="AI157" s="74">
        <f t="shared" si="144"/>
        <v>0.2837702002629009</v>
      </c>
      <c r="AJ157" s="74">
        <f t="shared" si="122"/>
        <v>0.2837702002629009</v>
      </c>
      <c r="AK157" s="74">
        <f t="shared" si="145"/>
        <v>0.2837702002629009</v>
      </c>
      <c r="AL157" s="74">
        <f t="shared" si="123"/>
        <v>0.25284156808165908</v>
      </c>
      <c r="AM157" s="74">
        <f t="shared" si="146"/>
        <v>0.25284156808165908</v>
      </c>
      <c r="AN157" s="74">
        <f t="shared" si="124"/>
        <v>3.09286321812418E-2</v>
      </c>
      <c r="AO157" s="74">
        <f t="shared" si="125"/>
        <v>3.09286321812418E-2</v>
      </c>
      <c r="AP157" s="74">
        <f t="shared" si="126"/>
        <v>0</v>
      </c>
      <c r="AQ157" s="74">
        <f t="shared" si="127"/>
        <v>0</v>
      </c>
      <c r="AR157" s="74">
        <f t="shared" si="128"/>
        <v>0.89100817438692381</v>
      </c>
      <c r="AS157" s="74">
        <f t="shared" si="129"/>
        <v>0.10899182561307619</v>
      </c>
      <c r="AT157" s="74">
        <f t="shared" si="130"/>
        <v>0.7162297997370991</v>
      </c>
      <c r="AU157" s="74">
        <f t="shared" si="131"/>
        <v>0.7162297997370991</v>
      </c>
      <c r="AV157" s="74">
        <f t="shared" si="132"/>
        <v>7.7321580453106331E-2</v>
      </c>
      <c r="AW157" s="74">
        <f t="shared" si="133"/>
        <v>7.7321580453106331E-2</v>
      </c>
      <c r="AX157" s="74">
        <f t="shared" si="134"/>
        <v>0.63890821928399277</v>
      </c>
      <c r="AY157" s="74">
        <f t="shared" si="135"/>
        <v>0.63890821928399277</v>
      </c>
      <c r="AZ157" s="74">
        <f t="shared" si="136"/>
        <v>0.10795638562021317</v>
      </c>
      <c r="BA157" s="74">
        <f t="shared" si="137"/>
        <v>0.89204361437978685</v>
      </c>
      <c r="BB157" s="74">
        <f t="shared" si="138"/>
        <v>1.0851853001243386E-3</v>
      </c>
      <c r="BC157" s="74">
        <f t="shared" si="139"/>
        <v>1.0851853001243386E-3</v>
      </c>
      <c r="BD157" s="74">
        <f t="shared" si="140"/>
        <v>9.3800044003661221E-4</v>
      </c>
      <c r="BE157" s="75">
        <f t="shared" si="141"/>
        <v>1.0851853001243386E-3</v>
      </c>
    </row>
    <row r="158" spans="1:57" x14ac:dyDescent="0.35">
      <c r="A158" s="7" t="s">
        <v>31</v>
      </c>
      <c r="B158" s="11" t="s">
        <v>69</v>
      </c>
      <c r="C158" s="47">
        <f t="shared" si="111"/>
        <v>32.315087106731255</v>
      </c>
      <c r="D158" s="23">
        <f t="shared" si="112"/>
        <v>32.293957986448447</v>
      </c>
      <c r="E158" s="50">
        <f>[1]data!E158-[1]data!E120</f>
        <v>0.59931616434672996</v>
      </c>
      <c r="F158" s="36">
        <f>[1]data!F158-[1]data!F120</f>
        <v>31.694641822101715</v>
      </c>
      <c r="G158" s="36">
        <f>[1]data!G158-[1]data!G120</f>
        <v>2.1129120282806113E-2</v>
      </c>
      <c r="H158" s="25">
        <f t="shared" si="113"/>
        <v>1.7574900406663474</v>
      </c>
      <c r="I158" s="36">
        <f>[1]data!I158-[1]data!I120</f>
        <v>9.8099487027312193E-3</v>
      </c>
      <c r="J158" s="36">
        <f>[1]data!J158-[1]data!J120</f>
        <v>1.7476800919636162</v>
      </c>
      <c r="K158" s="36">
        <f>[1]data!K158-[1]data!K120</f>
        <v>0</v>
      </c>
      <c r="L158" s="25">
        <f t="shared" si="114"/>
        <v>1.6846940425495651</v>
      </c>
      <c r="M158" s="25">
        <f t="shared" si="115"/>
        <v>1.6835925105330434</v>
      </c>
      <c r="N158" s="25">
        <f t="shared" si="116"/>
        <v>1.3823691063826875</v>
      </c>
      <c r="O158" s="25">
        <f t="shared" si="117"/>
        <v>1.381465248595533</v>
      </c>
      <c r="P158" s="24">
        <f t="shared" si="118"/>
        <v>3.1244364848649234E-2</v>
      </c>
      <c r="Q158" s="40">
        <f t="shared" si="100"/>
        <v>2.5637441354014395E-2</v>
      </c>
      <c r="R158" s="40">
        <f t="shared" si="101"/>
        <v>1.652348145684394</v>
      </c>
      <c r="S158" s="40">
        <f t="shared" si="102"/>
        <v>1.3558278072415186</v>
      </c>
      <c r="T158" s="40">
        <f t="shared" si="103"/>
        <v>1.1015320165218415E-3</v>
      </c>
      <c r="U158" s="40">
        <f t="shared" si="104"/>
        <v>9.0385778715449956E-4</v>
      </c>
      <c r="V158" s="25">
        <f t="shared" si="119"/>
        <v>9.1623859517124581E-2</v>
      </c>
      <c r="W158" s="25">
        <f t="shared" si="120"/>
        <v>7.5181599510104544E-2</v>
      </c>
      <c r="X158" s="40">
        <f t="shared" si="105"/>
        <v>5.1142557909941656E-4</v>
      </c>
      <c r="Y158" s="40">
        <f t="shared" si="106"/>
        <v>4.1964825832172372E-4</v>
      </c>
      <c r="Z158" s="40">
        <f t="shared" si="107"/>
        <v>9.1112433938025164E-2</v>
      </c>
      <c r="AA158" s="40">
        <f t="shared" si="108"/>
        <v>7.4761951251782824E-2</v>
      </c>
      <c r="AB158" s="40">
        <f t="shared" si="109"/>
        <v>0</v>
      </c>
      <c r="AC158" s="40">
        <f t="shared" si="110"/>
        <v>0</v>
      </c>
      <c r="AD158" s="26">
        <v>2337.6598158571201</v>
      </c>
      <c r="AE158" s="8">
        <v>1918.15761738117</v>
      </c>
      <c r="AF158" s="61">
        <f t="shared" si="121"/>
        <v>34.051448027114795</v>
      </c>
      <c r="AG158" s="61">
        <f t="shared" si="143"/>
        <v>34.051448027114795</v>
      </c>
      <c r="AH158" s="74">
        <f t="shared" si="142"/>
        <v>0.9483872157428701</v>
      </c>
      <c r="AI158" s="74">
        <f t="shared" si="144"/>
        <v>0.9483872157428701</v>
      </c>
      <c r="AJ158" s="74">
        <f t="shared" si="122"/>
        <v>0.9483872157428701</v>
      </c>
      <c r="AK158" s="74">
        <f t="shared" si="145"/>
        <v>0.9483872157428701</v>
      </c>
      <c r="AL158" s="74">
        <f t="shared" si="123"/>
        <v>0.93078690212714654</v>
      </c>
      <c r="AM158" s="74">
        <f t="shared" si="146"/>
        <v>0.93078690212714654</v>
      </c>
      <c r="AN158" s="74">
        <f t="shared" si="124"/>
        <v>1.760031361572351E-2</v>
      </c>
      <c r="AO158" s="74">
        <f t="shared" si="125"/>
        <v>1.760031361572351E-2</v>
      </c>
      <c r="AP158" s="74">
        <f t="shared" si="126"/>
        <v>6.2050577896074273E-4</v>
      </c>
      <c r="AQ158" s="74">
        <f t="shared" si="127"/>
        <v>6.2050577896074273E-4</v>
      </c>
      <c r="AR158" s="74">
        <f t="shared" si="128"/>
        <v>0.98144184851549554</v>
      </c>
      <c r="AS158" s="74">
        <f t="shared" si="129"/>
        <v>1.8558151484504369E-2</v>
      </c>
      <c r="AT158" s="74">
        <f t="shared" si="130"/>
        <v>5.1612784257129896E-2</v>
      </c>
      <c r="AU158" s="74">
        <f t="shared" si="131"/>
        <v>5.1612784257129896E-2</v>
      </c>
      <c r="AV158" s="74">
        <f t="shared" si="132"/>
        <v>2.8809196880319639E-4</v>
      </c>
      <c r="AW158" s="74">
        <f t="shared" si="133"/>
        <v>2.8809196880319639E-4</v>
      </c>
      <c r="AX158" s="74">
        <f t="shared" si="134"/>
        <v>5.1324692288326701E-2</v>
      </c>
      <c r="AY158" s="74">
        <f t="shared" si="135"/>
        <v>5.1324692288326701E-2</v>
      </c>
      <c r="AZ158" s="74">
        <f t="shared" si="136"/>
        <v>5.5817947616999325E-3</v>
      </c>
      <c r="BA158" s="74">
        <f t="shared" si="137"/>
        <v>0.99441820523830005</v>
      </c>
      <c r="BB158" s="74">
        <f t="shared" si="138"/>
        <v>1.7763179020666899E-2</v>
      </c>
      <c r="BC158" s="74">
        <f t="shared" si="139"/>
        <v>1.7752163700501679E-2</v>
      </c>
      <c r="BD158" s="74">
        <f t="shared" si="140"/>
        <v>1.4566468481056378E-2</v>
      </c>
      <c r="BE158" s="75">
        <f t="shared" si="141"/>
        <v>1.7752163700501679E-2</v>
      </c>
    </row>
    <row r="159" spans="1:57" x14ac:dyDescent="0.35">
      <c r="A159" s="7" t="s">
        <v>32</v>
      </c>
      <c r="B159" s="11" t="s">
        <v>69</v>
      </c>
      <c r="C159" s="47">
        <f t="shared" si="111"/>
        <v>18.613778543454202</v>
      </c>
      <c r="D159" s="23">
        <f t="shared" si="112"/>
        <v>18.419423468894877</v>
      </c>
      <c r="E159" s="50">
        <f>[1]data!E159-[1]data!E121</f>
        <v>7.1761873683442445E-2</v>
      </c>
      <c r="F159" s="36">
        <f>[1]data!F159-[1]data!F121</f>
        <v>18.347661595211434</v>
      </c>
      <c r="G159" s="36">
        <f>[1]data!G159-[1]data!G121</f>
        <v>0.19435507455932566</v>
      </c>
      <c r="H159" s="25">
        <f t="shared" si="113"/>
        <v>0.117360564253147</v>
      </c>
      <c r="I159" s="36">
        <f>[1]data!I159-[1]data!I121</f>
        <v>0</v>
      </c>
      <c r="J159" s="36">
        <f>[1]data!J159-[1]data!J121</f>
        <v>0.117360564253147</v>
      </c>
      <c r="K159" s="36">
        <f>[1]data!K159-[1]data!K121</f>
        <v>1.0233542195064729</v>
      </c>
      <c r="L159" s="25">
        <f t="shared" si="114"/>
        <v>0.40780942972853779</v>
      </c>
      <c r="M159" s="25">
        <f t="shared" si="115"/>
        <v>0.40355130277511708</v>
      </c>
      <c r="N159" s="25">
        <f t="shared" si="116"/>
        <v>0.34956422724308578</v>
      </c>
      <c r="O159" s="25">
        <f t="shared" si="117"/>
        <v>0.34591426539947101</v>
      </c>
      <c r="P159" s="24">
        <f t="shared" si="118"/>
        <v>1.5722314904937737E-3</v>
      </c>
      <c r="Q159" s="40">
        <f t="shared" si="100"/>
        <v>1.3476782191808186E-3</v>
      </c>
      <c r="R159" s="40">
        <f t="shared" si="101"/>
        <v>0.40197907128462329</v>
      </c>
      <c r="S159" s="40">
        <f t="shared" si="102"/>
        <v>0.34456658718029021</v>
      </c>
      <c r="T159" s="40">
        <f t="shared" si="103"/>
        <v>4.2581269534206889E-3</v>
      </c>
      <c r="U159" s="40">
        <f t="shared" si="104"/>
        <v>3.649961843614762E-3</v>
      </c>
      <c r="V159" s="25">
        <f t="shared" si="119"/>
        <v>2.5712535834120686E-3</v>
      </c>
      <c r="W159" s="25">
        <f t="shared" si="120"/>
        <v>2.2040154209522866E-3</v>
      </c>
      <c r="X159" s="40">
        <f t="shared" si="105"/>
        <v>0</v>
      </c>
      <c r="Y159" s="40">
        <f t="shared" si="106"/>
        <v>0</v>
      </c>
      <c r="Z159" s="40">
        <f t="shared" si="107"/>
        <v>2.5712535834120686E-3</v>
      </c>
      <c r="AA159" s="40">
        <f t="shared" si="108"/>
        <v>2.2040154209522866E-3</v>
      </c>
      <c r="AB159" s="40">
        <f t="shared" si="109"/>
        <v>2.2420676150893003E-2</v>
      </c>
      <c r="AC159" s="40">
        <f t="shared" si="110"/>
        <v>1.9218452938107589E-2</v>
      </c>
      <c r="AD159" s="26">
        <v>5324.8522282316499</v>
      </c>
      <c r="AE159" s="8">
        <v>4564.3325500944502</v>
      </c>
      <c r="AF159" s="61">
        <f t="shared" si="121"/>
        <v>18.536784033148024</v>
      </c>
      <c r="AG159" s="61">
        <f t="shared" si="143"/>
        <v>18.536784033148024</v>
      </c>
      <c r="AH159" s="74">
        <f t="shared" si="142"/>
        <v>0.99366877425753686</v>
      </c>
      <c r="AI159" s="74">
        <f t="shared" si="144"/>
        <v>0.99366877425753686</v>
      </c>
      <c r="AJ159" s="74">
        <f t="shared" si="122"/>
        <v>0.99366877425753686</v>
      </c>
      <c r="AK159" s="74">
        <f t="shared" si="145"/>
        <v>0.99366877425753686</v>
      </c>
      <c r="AL159" s="74">
        <f t="shared" si="123"/>
        <v>0.98979745151055354</v>
      </c>
      <c r="AM159" s="74">
        <f t="shared" si="146"/>
        <v>0.98979745151055354</v>
      </c>
      <c r="AN159" s="74">
        <f t="shared" si="124"/>
        <v>3.8713227469832816E-3</v>
      </c>
      <c r="AO159" s="74">
        <f t="shared" si="125"/>
        <v>3.8713227469832816E-3</v>
      </c>
      <c r="AP159" s="74">
        <f t="shared" si="126"/>
        <v>1.0484832439746516E-2</v>
      </c>
      <c r="AQ159" s="74">
        <f t="shared" si="127"/>
        <v>1.0484832439746516E-2</v>
      </c>
      <c r="AR159" s="74">
        <f t="shared" si="128"/>
        <v>0.99610401086632117</v>
      </c>
      <c r="AS159" s="74">
        <f t="shared" si="129"/>
        <v>3.8959891336787858E-3</v>
      </c>
      <c r="AT159" s="74">
        <f t="shared" si="130"/>
        <v>6.3312257424631684E-3</v>
      </c>
      <c r="AU159" s="74">
        <f t="shared" si="131"/>
        <v>6.3312257424631684E-3</v>
      </c>
      <c r="AV159" s="74">
        <f t="shared" si="132"/>
        <v>0</v>
      </c>
      <c r="AW159" s="74">
        <f t="shared" si="133"/>
        <v>0</v>
      </c>
      <c r="AX159" s="74">
        <f t="shared" si="134"/>
        <v>6.3312257424631684E-3</v>
      </c>
      <c r="AY159" s="74">
        <f t="shared" si="135"/>
        <v>6.3312257424631684E-3</v>
      </c>
      <c r="AZ159" s="74">
        <f t="shared" si="136"/>
        <v>0</v>
      </c>
      <c r="BA159" s="74">
        <f t="shared" si="137"/>
        <v>1</v>
      </c>
      <c r="BB159" s="74">
        <f t="shared" si="138"/>
        <v>4.1038068331194985E-3</v>
      </c>
      <c r="BC159" s="74">
        <f t="shared" si="139"/>
        <v>4.0612255635852912E-3</v>
      </c>
      <c r="BD159" s="74">
        <f t="shared" si="140"/>
        <v>3.4811828082042333E-3</v>
      </c>
      <c r="BE159" s="75">
        <f t="shared" si="141"/>
        <v>4.0612255635852912E-3</v>
      </c>
    </row>
    <row r="160" spans="1:57" x14ac:dyDescent="0.35">
      <c r="A160" s="7" t="s">
        <v>33</v>
      </c>
      <c r="B160" s="11" t="s">
        <v>69</v>
      </c>
      <c r="C160" s="47">
        <f t="shared" si="111"/>
        <v>29.05580927286822</v>
      </c>
      <c r="D160" s="23">
        <f t="shared" si="112"/>
        <v>17.393323243391993</v>
      </c>
      <c r="E160" s="50">
        <f>[1]data!E160-[1]data!E122</f>
        <v>4.1605968119116481</v>
      </c>
      <c r="F160" s="36">
        <f>[1]data!F160-[1]data!F122</f>
        <v>13.232726431480344</v>
      </c>
      <c r="G160" s="36">
        <f>[1]data!G160-[1]data!G122</f>
        <v>11.662486029476227</v>
      </c>
      <c r="H160" s="25">
        <f t="shared" si="113"/>
        <v>0.11272754204720314</v>
      </c>
      <c r="I160" s="36">
        <f>[1]data!I160-[1]data!I122</f>
        <v>0</v>
      </c>
      <c r="J160" s="36">
        <f>[1]data!J160-[1]data!J122</f>
        <v>0.11272754204720314</v>
      </c>
      <c r="K160" s="36">
        <f>[1]data!K160-[1]data!K122</f>
        <v>0.19874390346826942</v>
      </c>
      <c r="L160" s="25">
        <f t="shared" si="114"/>
        <v>1.7736997948833868</v>
      </c>
      <c r="M160" s="25">
        <f t="shared" si="115"/>
        <v>1.0617681847861138</v>
      </c>
      <c r="N160" s="25">
        <f t="shared" si="116"/>
        <v>1.3473348533823519</v>
      </c>
      <c r="O160" s="25">
        <f t="shared" si="117"/>
        <v>0.80653856176878991</v>
      </c>
      <c r="P160" s="24">
        <f t="shared" si="118"/>
        <v>0.2539819022962525</v>
      </c>
      <c r="Q160" s="40">
        <f t="shared" si="100"/>
        <v>0.1929293052179612</v>
      </c>
      <c r="R160" s="40">
        <f t="shared" si="101"/>
        <v>0.80778628248986128</v>
      </c>
      <c r="S160" s="40">
        <f t="shared" si="102"/>
        <v>0.61360925655082865</v>
      </c>
      <c r="T160" s="40">
        <f t="shared" si="103"/>
        <v>0.71193161009727313</v>
      </c>
      <c r="U160" s="40">
        <f t="shared" si="104"/>
        <v>0.54079629161356191</v>
      </c>
      <c r="V160" s="25">
        <f t="shared" si="119"/>
        <v>6.8814059291591439E-3</v>
      </c>
      <c r="W160" s="25">
        <f t="shared" si="120"/>
        <v>5.2272419917811664E-3</v>
      </c>
      <c r="X160" s="40">
        <f t="shared" si="105"/>
        <v>0</v>
      </c>
      <c r="Y160" s="40">
        <f t="shared" si="106"/>
        <v>0</v>
      </c>
      <c r="Z160" s="40">
        <f t="shared" si="107"/>
        <v>6.8814059291591439E-3</v>
      </c>
      <c r="AA160" s="40">
        <f t="shared" si="108"/>
        <v>5.2272419917811664E-3</v>
      </c>
      <c r="AB160" s="40">
        <f t="shared" si="109"/>
        <v>1.2132238944215619E-2</v>
      </c>
      <c r="AC160" s="40">
        <f t="shared" si="110"/>
        <v>9.2158709305027002E-3</v>
      </c>
      <c r="AD160" s="26">
        <v>2156.5395714307001</v>
      </c>
      <c r="AE160" s="8">
        <v>1638.14696019506</v>
      </c>
      <c r="AF160" s="61">
        <f t="shared" si="121"/>
        <v>17.506050785439196</v>
      </c>
      <c r="AG160" s="61">
        <f t="shared" si="143"/>
        <v>17.506050785439196</v>
      </c>
      <c r="AH160" s="74">
        <f t="shared" si="142"/>
        <v>0.99356065263211935</v>
      </c>
      <c r="AI160" s="74">
        <f t="shared" si="144"/>
        <v>0.99356065263211935</v>
      </c>
      <c r="AJ160" s="74">
        <f t="shared" si="122"/>
        <v>0.99356065263211935</v>
      </c>
      <c r="AK160" s="74">
        <f t="shared" si="145"/>
        <v>0.99356065263211935</v>
      </c>
      <c r="AL160" s="74">
        <f t="shared" si="123"/>
        <v>0.75589443865242156</v>
      </c>
      <c r="AM160" s="74">
        <f t="shared" si="146"/>
        <v>0.75589443865242156</v>
      </c>
      <c r="AN160" s="74">
        <f t="shared" si="124"/>
        <v>0.23766621397969775</v>
      </c>
      <c r="AO160" s="74">
        <f t="shared" si="125"/>
        <v>0.23766621397969775</v>
      </c>
      <c r="AP160" s="74">
        <f t="shared" si="126"/>
        <v>0.66619742924409864</v>
      </c>
      <c r="AQ160" s="74">
        <f t="shared" si="127"/>
        <v>0.66619742924409864</v>
      </c>
      <c r="AR160" s="74">
        <f t="shared" si="128"/>
        <v>0.76079345196483206</v>
      </c>
      <c r="AS160" s="74">
        <f t="shared" si="129"/>
        <v>0.23920654803516783</v>
      </c>
      <c r="AT160" s="74">
        <f t="shared" si="130"/>
        <v>6.4393473678806649E-3</v>
      </c>
      <c r="AU160" s="74">
        <f t="shared" si="131"/>
        <v>6.4393473678806649E-3</v>
      </c>
      <c r="AV160" s="74">
        <f t="shared" si="132"/>
        <v>0</v>
      </c>
      <c r="AW160" s="74">
        <f t="shared" si="133"/>
        <v>0</v>
      </c>
      <c r="AX160" s="74">
        <f t="shared" si="134"/>
        <v>6.4393473678806649E-3</v>
      </c>
      <c r="AY160" s="74">
        <f t="shared" si="135"/>
        <v>6.4393473678806649E-3</v>
      </c>
      <c r="AZ160" s="74">
        <f t="shared" si="136"/>
        <v>0</v>
      </c>
      <c r="BA160" s="74">
        <f t="shared" si="137"/>
        <v>1</v>
      </c>
      <c r="BB160" s="74">
        <f t="shared" si="138"/>
        <v>1.7805812008125463E-2</v>
      </c>
      <c r="BC160" s="74">
        <f t="shared" si="139"/>
        <v>1.068649590715273E-2</v>
      </c>
      <c r="BD160" s="74">
        <f t="shared" si="140"/>
        <v>8.11765803760571E-3</v>
      </c>
      <c r="BE160" s="75">
        <f t="shared" si="141"/>
        <v>1.068649590715273E-2</v>
      </c>
    </row>
    <row r="161" spans="1:57" x14ac:dyDescent="0.35">
      <c r="A161" s="7" t="s">
        <v>34</v>
      </c>
      <c r="B161" s="11" t="s">
        <v>69</v>
      </c>
      <c r="C161" s="47">
        <f t="shared" si="111"/>
        <v>43.971710118504802</v>
      </c>
      <c r="D161" s="23">
        <f t="shared" si="112"/>
        <v>44.535014678177703</v>
      </c>
      <c r="E161" s="50">
        <f>[1]data!E161-[1]data!E123</f>
        <v>11.083715197058423</v>
      </c>
      <c r="F161" s="36">
        <f>[1]data!F161-[1]data!F123</f>
        <v>33.451299481119278</v>
      </c>
      <c r="G161" s="36">
        <f>[1]data!G161-[1]data!G123</f>
        <v>-0.56330455967290338</v>
      </c>
      <c r="H161" s="25">
        <f t="shared" si="113"/>
        <v>0.45650671749307503</v>
      </c>
      <c r="I161" s="36">
        <f>[1]data!I161-[1]data!I123</f>
        <v>1.9287868372448447E-3</v>
      </c>
      <c r="J161" s="36">
        <f>[1]data!J161-[1]data!J123</f>
        <v>0.45457793065583019</v>
      </c>
      <c r="K161" s="36">
        <f>[1]data!K161-[1]data!K123</f>
        <v>3.0184457546866383E-2</v>
      </c>
      <c r="L161" s="25">
        <f t="shared" si="114"/>
        <v>3.3213306140612602</v>
      </c>
      <c r="M161" s="25">
        <f t="shared" si="115"/>
        <v>3.3638788950819376</v>
      </c>
      <c r="N161" s="25">
        <f t="shared" si="116"/>
        <v>2.4475943358754084</v>
      </c>
      <c r="O161" s="25">
        <f t="shared" si="117"/>
        <v>2.4789495196040479</v>
      </c>
      <c r="P161" s="24">
        <f t="shared" si="118"/>
        <v>0.83719015026513921</v>
      </c>
      <c r="Q161" s="40">
        <f t="shared" si="100"/>
        <v>0.61695209178047883</v>
      </c>
      <c r="R161" s="40">
        <f t="shared" si="101"/>
        <v>2.5266887448167985</v>
      </c>
      <c r="S161" s="40">
        <f t="shared" si="102"/>
        <v>1.8619974278235689</v>
      </c>
      <c r="T161" s="40">
        <f t="shared" si="103"/>
        <v>-4.2548281020677536E-2</v>
      </c>
      <c r="U161" s="40">
        <f t="shared" si="104"/>
        <v>-3.135518372863938E-2</v>
      </c>
      <c r="V161" s="25">
        <f t="shared" si="119"/>
        <v>3.4481482122213213E-2</v>
      </c>
      <c r="W161" s="25">
        <f t="shared" si="120"/>
        <v>2.5410502639398359E-2</v>
      </c>
      <c r="X161" s="40">
        <f t="shared" si="105"/>
        <v>1.4568773316468703E-4</v>
      </c>
      <c r="Y161" s="40">
        <f t="shared" si="106"/>
        <v>1.0736193168809267E-4</v>
      </c>
      <c r="Z161" s="40">
        <f t="shared" si="107"/>
        <v>3.4335794389048525E-2</v>
      </c>
      <c r="AA161" s="40">
        <f t="shared" si="108"/>
        <v>2.5303140707710267E-2</v>
      </c>
      <c r="AB161" s="40">
        <f t="shared" si="109"/>
        <v>2.2799332263643314E-3</v>
      </c>
      <c r="AC161" s="40">
        <f t="shared" si="110"/>
        <v>1.6801554254786864E-3</v>
      </c>
      <c r="AD161" s="26">
        <v>1796.5276955414199</v>
      </c>
      <c r="AE161" s="8">
        <v>1323.9184901480501</v>
      </c>
      <c r="AF161" s="61">
        <f t="shared" si="121"/>
        <v>44.99152139567078</v>
      </c>
      <c r="AG161" s="61">
        <f t="shared" si="143"/>
        <v>44.99152139567078</v>
      </c>
      <c r="AH161" s="74">
        <f t="shared" si="142"/>
        <v>0.98985349454004012</v>
      </c>
      <c r="AI161" s="74">
        <f t="shared" si="144"/>
        <v>0.98985349454004012</v>
      </c>
      <c r="AJ161" s="74">
        <f t="shared" si="122"/>
        <v>0.98985349454004012</v>
      </c>
      <c r="AK161" s="74">
        <f t="shared" si="145"/>
        <v>0.98985349454004012</v>
      </c>
      <c r="AL161" s="74">
        <f t="shared" si="123"/>
        <v>0.74350229650909438</v>
      </c>
      <c r="AM161" s="74">
        <f t="shared" si="146"/>
        <v>0.74350229650909438</v>
      </c>
      <c r="AN161" s="74">
        <f t="shared" si="124"/>
        <v>0.24635119803094568</v>
      </c>
      <c r="AO161" s="74">
        <f t="shared" si="125"/>
        <v>0.24635119803094568</v>
      </c>
      <c r="AP161" s="74">
        <f t="shared" si="126"/>
        <v>-1.2520238084838497E-2</v>
      </c>
      <c r="AQ161" s="74">
        <f t="shared" si="127"/>
        <v>-1.2520238084838497E-2</v>
      </c>
      <c r="AR161" s="74">
        <f t="shared" si="128"/>
        <v>0.75112357597381729</v>
      </c>
      <c r="AS161" s="74">
        <f t="shared" si="129"/>
        <v>0.24887642402618265</v>
      </c>
      <c r="AT161" s="74">
        <f t="shared" si="130"/>
        <v>1.0146505459959874E-2</v>
      </c>
      <c r="AU161" s="74">
        <f t="shared" si="131"/>
        <v>1.0146505459959874E-2</v>
      </c>
      <c r="AV161" s="74">
        <f t="shared" si="132"/>
        <v>4.28700070015956E-5</v>
      </c>
      <c r="AW161" s="74">
        <f t="shared" si="133"/>
        <v>4.28700070015956E-5</v>
      </c>
      <c r="AX161" s="74">
        <f t="shared" si="134"/>
        <v>1.0103635452958278E-2</v>
      </c>
      <c r="AY161" s="74">
        <f t="shared" si="135"/>
        <v>1.0103635452958278E-2</v>
      </c>
      <c r="AZ161" s="74">
        <f t="shared" si="136"/>
        <v>4.2251006684783411E-3</v>
      </c>
      <c r="BA161" s="74">
        <f t="shared" si="137"/>
        <v>0.99577489933152163</v>
      </c>
      <c r="BB161" s="74">
        <f t="shared" si="138"/>
        <v>3.3558120961834741E-2</v>
      </c>
      <c r="BC161" s="74">
        <f t="shared" si="139"/>
        <v>3.3983603772041515E-2</v>
      </c>
      <c r="BD161" s="74">
        <f t="shared" si="140"/>
        <v>2.5043600222434466E-2</v>
      </c>
      <c r="BE161" s="75">
        <f t="shared" si="141"/>
        <v>3.3983603772041515E-2</v>
      </c>
    </row>
    <row r="162" spans="1:57" x14ac:dyDescent="0.35">
      <c r="A162" s="7" t="s">
        <v>35</v>
      </c>
      <c r="B162" s="11" t="s">
        <v>69</v>
      </c>
      <c r="C162" s="47">
        <f t="shared" si="111"/>
        <v>5.1480457660034098</v>
      </c>
      <c r="D162" s="23">
        <f t="shared" si="112"/>
        <v>0</v>
      </c>
      <c r="E162" s="50">
        <f>[1]data!E162-[1]data!E124</f>
        <v>0</v>
      </c>
      <c r="F162" s="36">
        <f>[1]data!F162-[1]data!F124</f>
        <v>0</v>
      </c>
      <c r="G162" s="36">
        <f>[1]data!G162-[1]data!G124</f>
        <v>5.1480457660034098</v>
      </c>
      <c r="H162" s="25">
        <f t="shared" si="113"/>
        <v>0.78789688487376397</v>
      </c>
      <c r="I162" s="36">
        <f>[1]data!I162-[1]data!I124</f>
        <v>2.3105480494831632E-3</v>
      </c>
      <c r="J162" s="36">
        <f>[1]data!J162-[1]data!J124</f>
        <v>0.78558633682428081</v>
      </c>
      <c r="K162" s="36">
        <f>[1]data!K162-[1]data!K124</f>
        <v>0</v>
      </c>
      <c r="L162" s="25">
        <f t="shared" si="114"/>
        <v>0.16304760449301869</v>
      </c>
      <c r="M162" s="25">
        <f t="shared" si="115"/>
        <v>0</v>
      </c>
      <c r="N162" s="25">
        <f t="shared" si="116"/>
        <v>0.17498525407615101</v>
      </c>
      <c r="O162" s="25">
        <f t="shared" si="117"/>
        <v>0</v>
      </c>
      <c r="P162" s="24">
        <f t="shared" si="118"/>
        <v>0</v>
      </c>
      <c r="Q162" s="40">
        <f t="shared" si="100"/>
        <v>0</v>
      </c>
      <c r="R162" s="40">
        <f t="shared" si="101"/>
        <v>0</v>
      </c>
      <c r="S162" s="40">
        <f t="shared" si="102"/>
        <v>0</v>
      </c>
      <c r="T162" s="40">
        <f t="shared" si="103"/>
        <v>0.16304760449301869</v>
      </c>
      <c r="U162" s="40">
        <f t="shared" si="104"/>
        <v>0.17498525407615101</v>
      </c>
      <c r="V162" s="25">
        <f t="shared" si="119"/>
        <v>2.4954071021382959E-2</v>
      </c>
      <c r="W162" s="25">
        <f t="shared" si="120"/>
        <v>2.6781101577594672E-2</v>
      </c>
      <c r="X162" s="40">
        <f t="shared" si="105"/>
        <v>7.3179093904348366E-5</v>
      </c>
      <c r="Y162" s="40">
        <f t="shared" si="106"/>
        <v>7.8536954773004373E-5</v>
      </c>
      <c r="Z162" s="40">
        <f t="shared" si="107"/>
        <v>2.488089192747861E-2</v>
      </c>
      <c r="AA162" s="40">
        <f t="shared" si="108"/>
        <v>2.6702564622821667E-2</v>
      </c>
      <c r="AB162" s="40">
        <f t="shared" si="109"/>
        <v>0</v>
      </c>
      <c r="AC162" s="40">
        <f t="shared" si="110"/>
        <v>0</v>
      </c>
      <c r="AD162" s="26">
        <v>2941.9883367789698</v>
      </c>
      <c r="AE162" s="8">
        <v>3157.38816403392</v>
      </c>
      <c r="AF162" s="61">
        <f t="shared" si="121"/>
        <v>0.78789688487376397</v>
      </c>
      <c r="AG162" s="61">
        <f t="shared" si="143"/>
        <v>0.78789688487376397</v>
      </c>
      <c r="AH162" s="74">
        <f t="shared" si="142"/>
        <v>0</v>
      </c>
      <c r="AI162" s="74">
        <f t="shared" si="144"/>
        <v>0</v>
      </c>
      <c r="AJ162" s="74">
        <f t="shared" si="122"/>
        <v>0</v>
      </c>
      <c r="AK162" s="74">
        <f t="shared" si="145"/>
        <v>0</v>
      </c>
      <c r="AL162" s="74">
        <f t="shared" si="123"/>
        <v>0</v>
      </c>
      <c r="AM162" s="74">
        <f t="shared" si="146"/>
        <v>0</v>
      </c>
      <c r="AN162" s="74">
        <f t="shared" si="124"/>
        <v>0</v>
      </c>
      <c r="AO162" s="74">
        <f t="shared" si="125"/>
        <v>0</v>
      </c>
      <c r="AP162" s="74">
        <f t="shared" si="126"/>
        <v>6.5339080085691981</v>
      </c>
      <c r="AQ162" s="74">
        <f t="shared" si="127"/>
        <v>6.5339080085691981</v>
      </c>
      <c r="AR162" s="74" t="e">
        <f t="shared" si="128"/>
        <v>#DIV/0!</v>
      </c>
      <c r="AS162" s="74" t="e">
        <f t="shared" si="129"/>
        <v>#DIV/0!</v>
      </c>
      <c r="AT162" s="74">
        <f t="shared" si="130"/>
        <v>1</v>
      </c>
      <c r="AU162" s="74">
        <f t="shared" si="131"/>
        <v>1</v>
      </c>
      <c r="AV162" s="74">
        <f t="shared" si="132"/>
        <v>2.9325513196480739E-3</v>
      </c>
      <c r="AW162" s="74">
        <f t="shared" si="133"/>
        <v>2.9325513196480739E-3</v>
      </c>
      <c r="AX162" s="74">
        <f t="shared" si="134"/>
        <v>0.99706744868035191</v>
      </c>
      <c r="AY162" s="74">
        <f t="shared" si="135"/>
        <v>0.99706744868035191</v>
      </c>
      <c r="AZ162" s="74">
        <f t="shared" si="136"/>
        <v>2.9325513196480739E-3</v>
      </c>
      <c r="BA162" s="74">
        <f t="shared" si="137"/>
        <v>0.99706744868035191</v>
      </c>
      <c r="BB162" s="74">
        <f t="shared" si="138"/>
        <v>1.8800167551440163E-3</v>
      </c>
      <c r="BC162" s="74">
        <f t="shared" si="139"/>
        <v>2.4954071021382961E-4</v>
      </c>
      <c r="BD162" s="74">
        <f t="shared" si="140"/>
        <v>2.6781101577594675E-4</v>
      </c>
      <c r="BE162" s="75">
        <f t="shared" si="141"/>
        <v>2.4954071021382961E-4</v>
      </c>
    </row>
    <row r="163" spans="1:57" x14ac:dyDescent="0.35">
      <c r="A163" s="7" t="s">
        <v>36</v>
      </c>
      <c r="B163" s="11" t="s">
        <v>69</v>
      </c>
      <c r="C163" s="47">
        <f t="shared" si="111"/>
        <v>1824.7079999999996</v>
      </c>
      <c r="D163" s="23">
        <f t="shared" si="112"/>
        <v>1824.7279999999996</v>
      </c>
      <c r="E163" s="50">
        <f>[1]data!E163-[1]data!E125</f>
        <v>206.59999999999997</v>
      </c>
      <c r="F163" s="36">
        <f>[1]data!F163-[1]data!F125</f>
        <v>1618.1279999999997</v>
      </c>
      <c r="G163" s="36">
        <f>[1]data!G163-[1]data!G125</f>
        <v>-1.9999999999999574E-2</v>
      </c>
      <c r="H163" s="25">
        <f t="shared" si="113"/>
        <v>0</v>
      </c>
      <c r="I163" s="36">
        <f>[1]data!I163-[1]data!I125</f>
        <v>0</v>
      </c>
      <c r="J163" s="36">
        <f>[1]data!J163-[1]data!J125</f>
        <v>0</v>
      </c>
      <c r="K163" s="36">
        <f>[1]data!K163-[1]data!K125</f>
        <v>0</v>
      </c>
      <c r="L163" s="25">
        <f t="shared" si="114"/>
        <v>9.1560553513794396</v>
      </c>
      <c r="M163" s="25">
        <f t="shared" si="115"/>
        <v>9.1561557077690789</v>
      </c>
      <c r="N163" s="25">
        <f t="shared" si="116"/>
        <v>9.1353182173155769</v>
      </c>
      <c r="O163" s="25">
        <f t="shared" si="117"/>
        <v>9.1354183464125871</v>
      </c>
      <c r="P163" s="24">
        <f t="shared" si="118"/>
        <v>1.0366815049832587</v>
      </c>
      <c r="Q163" s="40">
        <f t="shared" si="100"/>
        <v>1.0343335721098381</v>
      </c>
      <c r="R163" s="40">
        <f t="shared" si="101"/>
        <v>8.1194742027858204</v>
      </c>
      <c r="S163" s="40">
        <f t="shared" si="102"/>
        <v>8.1010847743027483</v>
      </c>
      <c r="T163" s="40">
        <f t="shared" si="103"/>
        <v>-1.003563896401972E-4</v>
      </c>
      <c r="U163" s="40">
        <f t="shared" si="104"/>
        <v>-1.0012909700966276E-4</v>
      </c>
      <c r="V163" s="25">
        <f t="shared" si="119"/>
        <v>0</v>
      </c>
      <c r="W163" s="25">
        <f t="shared" si="120"/>
        <v>0</v>
      </c>
      <c r="X163" s="40">
        <f t="shared" si="105"/>
        <v>0</v>
      </c>
      <c r="Y163" s="40">
        <f t="shared" si="106"/>
        <v>0</v>
      </c>
      <c r="Z163" s="40">
        <f t="shared" si="107"/>
        <v>0</v>
      </c>
      <c r="AA163" s="40">
        <f t="shared" si="108"/>
        <v>0</v>
      </c>
      <c r="AB163" s="40">
        <f t="shared" si="109"/>
        <v>0</v>
      </c>
      <c r="AC163" s="40">
        <f t="shared" si="110"/>
        <v>0</v>
      </c>
      <c r="AD163" s="26">
        <v>19974.2138871676</v>
      </c>
      <c r="AE163" s="8">
        <v>19928.975197</v>
      </c>
      <c r="AF163" s="61">
        <f t="shared" si="121"/>
        <v>1824.7279999999996</v>
      </c>
      <c r="AG163" s="61">
        <f t="shared" si="143"/>
        <v>1824.7279999999996</v>
      </c>
      <c r="AH163" s="74">
        <f t="shared" si="142"/>
        <v>1</v>
      </c>
      <c r="AI163" s="74">
        <f t="shared" si="144"/>
        <v>1</v>
      </c>
      <c r="AJ163" s="74">
        <f t="shared" si="122"/>
        <v>1</v>
      </c>
      <c r="AK163" s="74">
        <f t="shared" si="145"/>
        <v>1</v>
      </c>
      <c r="AL163" s="74">
        <f t="shared" si="123"/>
        <v>0.8867776457641906</v>
      </c>
      <c r="AM163" s="74">
        <f t="shared" si="146"/>
        <v>0.8867776457641906</v>
      </c>
      <c r="AN163" s="74">
        <f t="shared" si="124"/>
        <v>0.1132223542358094</v>
      </c>
      <c r="AO163" s="74">
        <f t="shared" si="125"/>
        <v>0.1132223542358094</v>
      </c>
      <c r="AP163" s="74">
        <f t="shared" si="126"/>
        <v>-1.0960537680136205E-5</v>
      </c>
      <c r="AQ163" s="74">
        <f t="shared" si="127"/>
        <v>-1.0960537680136205E-5</v>
      </c>
      <c r="AR163" s="74">
        <f t="shared" si="128"/>
        <v>0.8867776457641906</v>
      </c>
      <c r="AS163" s="74">
        <f t="shared" si="129"/>
        <v>0.1132223542358094</v>
      </c>
      <c r="AT163" s="74">
        <f t="shared" si="130"/>
        <v>0</v>
      </c>
      <c r="AU163" s="74">
        <f t="shared" si="131"/>
        <v>0</v>
      </c>
      <c r="AV163" s="74">
        <f t="shared" si="132"/>
        <v>0</v>
      </c>
      <c r="AW163" s="74">
        <f t="shared" si="133"/>
        <v>0</v>
      </c>
      <c r="AX163" s="74">
        <f t="shared" si="134"/>
        <v>0</v>
      </c>
      <c r="AY163" s="74">
        <f t="shared" si="135"/>
        <v>0</v>
      </c>
      <c r="AZ163" s="74" t="e">
        <f t="shared" si="136"/>
        <v>#DIV/0!</v>
      </c>
      <c r="BA163" s="74" t="e">
        <f t="shared" si="137"/>
        <v>#DIV/0!</v>
      </c>
      <c r="BB163" s="74">
        <f t="shared" si="138"/>
        <v>9.1560553513794399E-2</v>
      </c>
      <c r="BC163" s="74">
        <f t="shared" si="139"/>
        <v>9.15615570776908E-2</v>
      </c>
      <c r="BD163" s="74">
        <f t="shared" si="140"/>
        <v>9.1354183464125868E-2</v>
      </c>
      <c r="BE163" s="75">
        <f t="shared" si="141"/>
        <v>9.15615570776908E-2</v>
      </c>
    </row>
    <row r="164" spans="1:57" x14ac:dyDescent="0.35">
      <c r="A164" s="7" t="s">
        <v>37</v>
      </c>
      <c r="B164" s="11" t="s">
        <v>69</v>
      </c>
      <c r="C164" s="47">
        <f t="shared" si="111"/>
        <v>-0.23611110498627808</v>
      </c>
      <c r="D164" s="23">
        <f t="shared" si="112"/>
        <v>-0.20002812274470783</v>
      </c>
      <c r="E164" s="50">
        <f>[1]data!E164-[1]data!E126</f>
        <v>2.4564657236113296</v>
      </c>
      <c r="F164" s="36">
        <f>[1]data!F164-[1]data!F126</f>
        <v>-2.6564938463560375</v>
      </c>
      <c r="G164" s="36">
        <f>[1]data!G164-[1]data!G126</f>
        <v>-3.6082982241570249E-2</v>
      </c>
      <c r="H164" s="25">
        <f t="shared" si="113"/>
        <v>-1.9245315181124167</v>
      </c>
      <c r="I164" s="36">
        <f>[1]data!I164-[1]data!I126</f>
        <v>-0.95092364114216943</v>
      </c>
      <c r="J164" s="36">
        <f>[1]data!J164-[1]data!J126</f>
        <v>-0.97360787697024731</v>
      </c>
      <c r="K164" s="36">
        <f>[1]data!K164-[1]data!K126</f>
        <v>1.196059834340673</v>
      </c>
      <c r="L164" s="25">
        <f t="shared" si="114"/>
        <v>-1.8458418489808635E-2</v>
      </c>
      <c r="M164" s="25">
        <f t="shared" si="115"/>
        <v>-1.5637565202903964E-2</v>
      </c>
      <c r="N164" s="25">
        <f t="shared" si="116"/>
        <v>-9.9136885867614957E-3</v>
      </c>
      <c r="O164" s="25">
        <f t="shared" si="117"/>
        <v>-8.3986584095685907E-3</v>
      </c>
      <c r="P164" s="24">
        <f t="shared" si="118"/>
        <v>0.19203871133009037</v>
      </c>
      <c r="Q164" s="40">
        <f t="shared" si="100"/>
        <v>0.10314057955618727</v>
      </c>
      <c r="R164" s="40">
        <f t="shared" si="101"/>
        <v>-0.20767627653299434</v>
      </c>
      <c r="S164" s="40">
        <f t="shared" si="102"/>
        <v>-0.11153923796575586</v>
      </c>
      <c r="T164" s="40">
        <f t="shared" si="103"/>
        <v>-2.8208532869046735E-3</v>
      </c>
      <c r="U164" s="40">
        <f t="shared" si="104"/>
        <v>-1.5150301771929043E-3</v>
      </c>
      <c r="V164" s="25">
        <f t="shared" si="119"/>
        <v>-0.15045377963145884</v>
      </c>
      <c r="W164" s="25">
        <f t="shared" si="120"/>
        <v>-8.0806051655565647E-2</v>
      </c>
      <c r="X164" s="40">
        <f t="shared" si="105"/>
        <v>-7.434019895453399E-2</v>
      </c>
      <c r="Y164" s="40">
        <f t="shared" si="106"/>
        <v>-3.9926799921675422E-2</v>
      </c>
      <c r="Z164" s="40">
        <f t="shared" si="107"/>
        <v>-7.6113580676924836E-2</v>
      </c>
      <c r="AA164" s="40">
        <f t="shared" si="108"/>
        <v>-4.0879251733890232E-2</v>
      </c>
      <c r="AB164" s="40">
        <f t="shared" si="109"/>
        <v>9.3504170260837113E-2</v>
      </c>
      <c r="AC164" s="40">
        <f t="shared" si="110"/>
        <v>5.0219428389342818E-2</v>
      </c>
      <c r="AD164" s="26">
        <v>2381.6675591522499</v>
      </c>
      <c r="AE164" s="8">
        <v>1279.1513266244399</v>
      </c>
      <c r="AF164" s="61">
        <f t="shared" si="121"/>
        <v>-2.1245596408571243</v>
      </c>
      <c r="AG164" s="61">
        <f>(D164*-1)+(H164*-1)</f>
        <v>2.1245596408571243</v>
      </c>
      <c r="AH164" s="74">
        <f>($D164/$AG164)*-1</f>
        <v>9.4150391873211545E-2</v>
      </c>
      <c r="AI164" s="74">
        <f t="shared" si="144"/>
        <v>-9.4150391873211545E-2</v>
      </c>
      <c r="AJ164" s="74">
        <f t="shared" si="122"/>
        <v>9.4150391873211545E-2</v>
      </c>
      <c r="AK164" s="74">
        <f t="shared" si="145"/>
        <v>9.4150391873211545E-2</v>
      </c>
      <c r="AL164" s="74">
        <f t="shared" si="123"/>
        <v>-1.2503738634912183</v>
      </c>
      <c r="AM164" s="74">
        <f t="shared" si="146"/>
        <v>1.2503738634912183</v>
      </c>
      <c r="AN164" s="74">
        <f t="shared" si="124"/>
        <v>1.1562234716180066</v>
      </c>
      <c r="AO164" s="74">
        <f t="shared" si="125"/>
        <v>-1.1562234716180066</v>
      </c>
      <c r="AP164" s="74">
        <f t="shared" si="126"/>
        <v>-1.6983746442162981E-2</v>
      </c>
      <c r="AQ164" s="74">
        <f t="shared" si="127"/>
        <v>1.6983746442162981E-2</v>
      </c>
      <c r="AR164" s="74">
        <f t="shared" si="128"/>
        <v>13.280601796910684</v>
      </c>
      <c r="AS164" s="74">
        <f t="shared" si="129"/>
        <v>-12.280601796910684</v>
      </c>
      <c r="AT164" s="74">
        <f t="shared" si="130"/>
        <v>-0.90584960812678861</v>
      </c>
      <c r="AU164" s="74">
        <f t="shared" si="131"/>
        <v>0.90584960812678861</v>
      </c>
      <c r="AV164" s="74">
        <f t="shared" si="132"/>
        <v>-0.4475862305087055</v>
      </c>
      <c r="AW164" s="74">
        <f t="shared" si="133"/>
        <v>0.4475862305087055</v>
      </c>
      <c r="AX164" s="74">
        <f t="shared" si="134"/>
        <v>-0.45826337761808306</v>
      </c>
      <c r="AY164" s="74">
        <f t="shared" si="135"/>
        <v>0.45826337761808306</v>
      </c>
      <c r="AZ164" s="74">
        <f t="shared" si="136"/>
        <v>0.49410655642305962</v>
      </c>
      <c r="BA164" s="74">
        <f t="shared" si="137"/>
        <v>0.50589344357694033</v>
      </c>
      <c r="BB164" s="74">
        <f t="shared" si="138"/>
        <v>-1.6891219812126743E-3</v>
      </c>
      <c r="BC164" s="74">
        <f t="shared" si="139"/>
        <v>-1.6609134483436276E-3</v>
      </c>
      <c r="BD164" s="74">
        <f t="shared" si="140"/>
        <v>-8.9204710065134249E-4</v>
      </c>
      <c r="BE164" s="75">
        <f t="shared" si="141"/>
        <v>1.6609134483436276E-3</v>
      </c>
    </row>
    <row r="165" spans="1:57" x14ac:dyDescent="0.35">
      <c r="A165" s="7" t="s">
        <v>38</v>
      </c>
      <c r="B165" s="11" t="s">
        <v>69</v>
      </c>
      <c r="C165" s="47">
        <f t="shared" si="111"/>
        <v>6.0872373355272114</v>
      </c>
      <c r="D165" s="23">
        <f t="shared" si="112"/>
        <v>5.9126558224667001</v>
      </c>
      <c r="E165" s="50">
        <f>[1]data!E165-[1]data!E127</f>
        <v>0.38031964593465961</v>
      </c>
      <c r="F165" s="36">
        <f>[1]data!F165-[1]data!F127</f>
        <v>5.5323361765320405</v>
      </c>
      <c r="G165" s="36">
        <f>[1]data!G165-[1]data!G127</f>
        <v>0.17458151306051128</v>
      </c>
      <c r="H165" s="25">
        <f t="shared" si="113"/>
        <v>2.499712107655244</v>
      </c>
      <c r="I165" s="36">
        <f>[1]data!I165-[1]data!I127</f>
        <v>1.3959679043227258E-2</v>
      </c>
      <c r="J165" s="36">
        <f>[1]data!J165-[1]data!J127</f>
        <v>2.4857524286120167</v>
      </c>
      <c r="K165" s="36">
        <f>[1]data!K165-[1]data!K127</f>
        <v>0.92377554356033542</v>
      </c>
      <c r="L165" s="25">
        <f t="shared" si="114"/>
        <v>0.61052260701252326</v>
      </c>
      <c r="M165" s="25">
        <f t="shared" si="115"/>
        <v>0.59301286414972709</v>
      </c>
      <c r="N165" s="25">
        <f t="shared" si="116"/>
        <v>0.26083128873897021</v>
      </c>
      <c r="O165" s="25">
        <f t="shared" si="117"/>
        <v>0.25335066681943264</v>
      </c>
      <c r="P165" s="24">
        <f t="shared" si="118"/>
        <v>3.8144354973469762E-2</v>
      </c>
      <c r="Q165" s="40">
        <f t="shared" si="100"/>
        <v>1.6296270034178741E-2</v>
      </c>
      <c r="R165" s="40">
        <f t="shared" si="101"/>
        <v>0.5548685091762573</v>
      </c>
      <c r="S165" s="40">
        <f t="shared" si="102"/>
        <v>0.23705439678525392</v>
      </c>
      <c r="T165" s="40">
        <f t="shared" si="103"/>
        <v>1.7509742862796215E-2</v>
      </c>
      <c r="U165" s="40">
        <f t="shared" si="104"/>
        <v>7.4806219195376021E-3</v>
      </c>
      <c r="V165" s="25">
        <f t="shared" si="119"/>
        <v>0.25070991463392184</v>
      </c>
      <c r="W165" s="25">
        <f t="shared" si="120"/>
        <v>0.1071098586399466</v>
      </c>
      <c r="X165" s="40">
        <f t="shared" si="105"/>
        <v>1.400093206944271E-3</v>
      </c>
      <c r="Y165" s="40">
        <f t="shared" si="106"/>
        <v>5.9815658147194717E-4</v>
      </c>
      <c r="Z165" s="40">
        <f t="shared" si="107"/>
        <v>0.24930982142697755</v>
      </c>
      <c r="AA165" s="40">
        <f t="shared" si="108"/>
        <v>0.10651170205847466</v>
      </c>
      <c r="AB165" s="40">
        <f t="shared" si="109"/>
        <v>9.2650544419756939E-2</v>
      </c>
      <c r="AC165" s="40">
        <f t="shared" si="110"/>
        <v>3.9582745382066915E-2</v>
      </c>
      <c r="AD165" s="26">
        <v>2333.7834064911899</v>
      </c>
      <c r="AE165" s="8">
        <v>997.05355143423003</v>
      </c>
      <c r="AF165" s="61">
        <f t="shared" si="121"/>
        <v>8.4123679301219436</v>
      </c>
      <c r="AG165" s="61">
        <f t="shared" si="143"/>
        <v>8.4123679301219436</v>
      </c>
      <c r="AH165" s="74">
        <f t="shared" si="142"/>
        <v>0.70285273677764493</v>
      </c>
      <c r="AI165" s="74">
        <f t="shared" si="144"/>
        <v>0.70285273677764493</v>
      </c>
      <c r="AJ165" s="74">
        <f t="shared" si="122"/>
        <v>0.70285273677764493</v>
      </c>
      <c r="AK165" s="74">
        <f t="shared" si="145"/>
        <v>0.70285273677764493</v>
      </c>
      <c r="AL165" s="74">
        <f t="shared" si="123"/>
        <v>0.65764315380483429</v>
      </c>
      <c r="AM165" s="74">
        <f t="shared" si="146"/>
        <v>0.65764315380483429</v>
      </c>
      <c r="AN165" s="74">
        <f t="shared" si="124"/>
        <v>4.5209582972810677E-2</v>
      </c>
      <c r="AO165" s="74">
        <f t="shared" si="125"/>
        <v>4.5209582972810677E-2</v>
      </c>
      <c r="AP165" s="74">
        <f t="shared" si="126"/>
        <v>2.0752957373083015E-2</v>
      </c>
      <c r="AQ165" s="74">
        <f t="shared" si="127"/>
        <v>2.0752957373083015E-2</v>
      </c>
      <c r="AR165" s="74">
        <f t="shared" si="128"/>
        <v>0.93567701937096781</v>
      </c>
      <c r="AS165" s="74">
        <f t="shared" si="129"/>
        <v>6.4322980629032134E-2</v>
      </c>
      <c r="AT165" s="74">
        <f t="shared" si="130"/>
        <v>0.29714726322235513</v>
      </c>
      <c r="AU165" s="74">
        <f t="shared" si="131"/>
        <v>0.29714726322235513</v>
      </c>
      <c r="AV165" s="74">
        <f t="shared" si="132"/>
        <v>1.6594232633646709E-3</v>
      </c>
      <c r="AW165" s="74">
        <f t="shared" si="133"/>
        <v>1.6594232633646709E-3</v>
      </c>
      <c r="AX165" s="74">
        <f t="shared" si="134"/>
        <v>0.29548783995899047</v>
      </c>
      <c r="AY165" s="74">
        <f t="shared" si="135"/>
        <v>0.29548783995899047</v>
      </c>
      <c r="AZ165" s="74">
        <f t="shared" si="136"/>
        <v>5.5845147129049118E-3</v>
      </c>
      <c r="BA165" s="74">
        <f t="shared" si="137"/>
        <v>0.99441548528709511</v>
      </c>
      <c r="BB165" s="74">
        <f t="shared" si="138"/>
        <v>8.6123252164644511E-3</v>
      </c>
      <c r="BC165" s="74">
        <f t="shared" si="139"/>
        <v>8.437227787836489E-3</v>
      </c>
      <c r="BD165" s="74">
        <f t="shared" si="140"/>
        <v>3.6046052545937925E-3</v>
      </c>
      <c r="BE165" s="75">
        <f t="shared" si="141"/>
        <v>8.437227787836489E-3</v>
      </c>
    </row>
    <row r="166" spans="1:57" x14ac:dyDescent="0.35">
      <c r="A166" s="9" t="s">
        <v>39</v>
      </c>
      <c r="B166" s="11" t="s">
        <v>69</v>
      </c>
      <c r="C166" s="47">
        <f t="shared" si="111"/>
        <v>13.791972576402923</v>
      </c>
      <c r="D166" s="23">
        <f t="shared" si="112"/>
        <v>13.791972576402923</v>
      </c>
      <c r="E166" s="50">
        <f>[1]data!E166-[1]data!E128</f>
        <v>0.80433050390652472</v>
      </c>
      <c r="F166" s="36">
        <f>[1]data!F166-[1]data!F128</f>
        <v>12.987642072496399</v>
      </c>
      <c r="G166" s="36">
        <f>[1]data!G166-[1]data!G128</f>
        <v>0</v>
      </c>
      <c r="H166" s="25">
        <f t="shared" si="113"/>
        <v>2.7166011792179035E-2</v>
      </c>
      <c r="I166" s="36">
        <f>[1]data!I166-[1]data!I128</f>
        <v>0</v>
      </c>
      <c r="J166" s="36">
        <f>[1]data!J166-[1]data!J128</f>
        <v>2.7166011792179035E-2</v>
      </c>
      <c r="K166" s="36">
        <f>[1]data!K166-[1]data!K128</f>
        <v>0</v>
      </c>
      <c r="L166" s="25">
        <f t="shared" si="114"/>
        <v>3.3318004342018028</v>
      </c>
      <c r="M166" s="25">
        <f t="shared" si="115"/>
        <v>3.3318004342018028</v>
      </c>
      <c r="N166" s="25">
        <f t="shared" si="116"/>
        <v>2.9432345816350112</v>
      </c>
      <c r="O166" s="25">
        <f t="shared" si="117"/>
        <v>2.9432345816350112</v>
      </c>
      <c r="P166" s="24">
        <f t="shared" si="118"/>
        <v>0.19430641319158198</v>
      </c>
      <c r="Q166" s="40">
        <f t="shared" si="100"/>
        <v>0.17164574110391831</v>
      </c>
      <c r="R166" s="40">
        <f t="shared" si="101"/>
        <v>3.1374940210102209</v>
      </c>
      <c r="S166" s="40">
        <f t="shared" si="102"/>
        <v>2.7715888405310927</v>
      </c>
      <c r="T166" s="40">
        <f t="shared" si="103"/>
        <v>0</v>
      </c>
      <c r="U166" s="40">
        <f t="shared" si="104"/>
        <v>0</v>
      </c>
      <c r="V166" s="25">
        <f t="shared" si="119"/>
        <v>6.5626384756283882E-3</v>
      </c>
      <c r="W166" s="25">
        <f t="shared" si="120"/>
        <v>5.7972813467338756E-3</v>
      </c>
      <c r="X166" s="40">
        <f t="shared" si="105"/>
        <v>0</v>
      </c>
      <c r="Y166" s="40">
        <f t="shared" si="106"/>
        <v>0</v>
      </c>
      <c r="Z166" s="40">
        <f t="shared" si="107"/>
        <v>6.5626384756283882E-3</v>
      </c>
      <c r="AA166" s="40">
        <f t="shared" si="108"/>
        <v>5.7972813467338756E-3</v>
      </c>
      <c r="AB166" s="40">
        <f t="shared" si="109"/>
        <v>0</v>
      </c>
      <c r="AC166" s="40">
        <f t="shared" si="110"/>
        <v>0</v>
      </c>
      <c r="AD166" s="26">
        <v>468.59916169988998</v>
      </c>
      <c r="AE166" s="8">
        <v>413.94954015926999</v>
      </c>
      <c r="AF166" s="61">
        <f t="shared" si="121"/>
        <v>13.819138588195102</v>
      </c>
      <c r="AG166" s="61">
        <f t="shared" si="143"/>
        <v>13.819138588195102</v>
      </c>
      <c r="AH166" s="74">
        <f t="shared" si="142"/>
        <v>0.99803417473391687</v>
      </c>
      <c r="AI166" s="74">
        <f t="shared" si="144"/>
        <v>0.99803417473391687</v>
      </c>
      <c r="AJ166" s="74">
        <f t="shared" si="122"/>
        <v>0.99803417473391687</v>
      </c>
      <c r="AK166" s="74">
        <f t="shared" si="145"/>
        <v>0.99803417473391687</v>
      </c>
      <c r="AL166" s="74">
        <f t="shared" si="123"/>
        <v>0.93983007620974268</v>
      </c>
      <c r="AM166" s="74">
        <f t="shared" si="146"/>
        <v>0.93983007620974268</v>
      </c>
      <c r="AN166" s="74">
        <f t="shared" si="124"/>
        <v>5.8204098524174158E-2</v>
      </c>
      <c r="AO166" s="74">
        <f t="shared" si="125"/>
        <v>5.8204098524174158E-2</v>
      </c>
      <c r="AP166" s="74">
        <f t="shared" si="126"/>
        <v>0</v>
      </c>
      <c r="AQ166" s="74">
        <f t="shared" si="127"/>
        <v>0</v>
      </c>
      <c r="AR166" s="74">
        <f t="shared" si="128"/>
        <v>0.94168125701738448</v>
      </c>
      <c r="AS166" s="74">
        <f t="shared" si="129"/>
        <v>5.83187429826156E-2</v>
      </c>
      <c r="AT166" s="74">
        <f t="shared" si="130"/>
        <v>1.9658252660831842E-3</v>
      </c>
      <c r="AU166" s="74">
        <f t="shared" si="131"/>
        <v>1.9658252660831842E-3</v>
      </c>
      <c r="AV166" s="74">
        <f t="shared" si="132"/>
        <v>0</v>
      </c>
      <c r="AW166" s="74">
        <f t="shared" si="133"/>
        <v>0</v>
      </c>
      <c r="AX166" s="74">
        <f t="shared" si="134"/>
        <v>1.9658252660831842E-3</v>
      </c>
      <c r="AY166" s="74">
        <f t="shared" si="135"/>
        <v>1.9658252660831842E-3</v>
      </c>
      <c r="AZ166" s="74">
        <f t="shared" si="136"/>
        <v>0</v>
      </c>
      <c r="BA166" s="74">
        <f t="shared" si="137"/>
        <v>1</v>
      </c>
      <c r="BB166" s="74">
        <f t="shared" si="138"/>
        <v>3.3383630726774312E-2</v>
      </c>
      <c r="BC166" s="74">
        <f t="shared" si="139"/>
        <v>3.3383630726774312E-2</v>
      </c>
      <c r="BD166" s="74">
        <f t="shared" si="140"/>
        <v>2.9490318629817443E-2</v>
      </c>
      <c r="BE166" s="75">
        <f t="shared" si="141"/>
        <v>3.3383630726774312E-2</v>
      </c>
    </row>
    <row r="167" spans="1:57" x14ac:dyDescent="0.35">
      <c r="A167" s="7" t="s">
        <v>40</v>
      </c>
      <c r="B167" s="11" t="s">
        <v>69</v>
      </c>
      <c r="C167" s="47">
        <f t="shared" si="111"/>
        <v>4.4754177256868832</v>
      </c>
      <c r="D167" s="23">
        <f t="shared" si="112"/>
        <v>4.6620195461430924</v>
      </c>
      <c r="E167" s="50">
        <f>[1]data!E167-[1]data!E129</f>
        <v>0.36683396841928584</v>
      </c>
      <c r="F167" s="36">
        <f>[1]data!F167-[1]data!F129</f>
        <v>4.2951855777238066</v>
      </c>
      <c r="G167" s="36">
        <f>[1]data!G167-[1]data!G129</f>
        <v>-0.18660182045620921</v>
      </c>
      <c r="H167" s="25">
        <f t="shared" si="113"/>
        <v>0.27410581093382747</v>
      </c>
      <c r="I167" s="36">
        <f>[1]data!I167-[1]data!I129</f>
        <v>0.11714663169012796</v>
      </c>
      <c r="J167" s="36">
        <f>[1]data!J167-[1]data!J129</f>
        <v>0.15695917924369951</v>
      </c>
      <c r="K167" s="36">
        <f>[1]data!K167-[1]data!K129</f>
        <v>0</v>
      </c>
      <c r="L167" s="25">
        <f t="shared" si="114"/>
        <v>0.90383717559823307</v>
      </c>
      <c r="M167" s="25">
        <f t="shared" si="115"/>
        <v>0.94152252090010502</v>
      </c>
      <c r="N167" s="25">
        <f t="shared" si="116"/>
        <v>0.80591404301250302</v>
      </c>
      <c r="O167" s="25">
        <f t="shared" si="117"/>
        <v>0.83951649909033776</v>
      </c>
      <c r="P167" s="24">
        <f t="shared" si="118"/>
        <v>7.4084297433641561E-2</v>
      </c>
      <c r="Q167" s="40">
        <f t="shared" si="100"/>
        <v>6.6057888832652692E-2</v>
      </c>
      <c r="R167" s="40">
        <f t="shared" si="101"/>
        <v>0.86743822346646349</v>
      </c>
      <c r="S167" s="40">
        <f t="shared" si="102"/>
        <v>0.77345861025768503</v>
      </c>
      <c r="T167" s="40">
        <f t="shared" si="103"/>
        <v>-3.7685345301871967E-2</v>
      </c>
      <c r="U167" s="40">
        <f t="shared" si="104"/>
        <v>-3.3602456077834783E-2</v>
      </c>
      <c r="V167" s="25">
        <f t="shared" si="119"/>
        <v>5.5357295598919734E-2</v>
      </c>
      <c r="W167" s="25">
        <f t="shared" si="120"/>
        <v>4.9359799652891001E-2</v>
      </c>
      <c r="X167" s="40">
        <f t="shared" si="105"/>
        <v>2.3658457647414602E-2</v>
      </c>
      <c r="Y167" s="40">
        <f t="shared" si="106"/>
        <v>2.109526336029284E-2</v>
      </c>
      <c r="Z167" s="40">
        <f t="shared" si="107"/>
        <v>3.1698837951505132E-2</v>
      </c>
      <c r="AA167" s="40">
        <f t="shared" si="108"/>
        <v>2.8264536292598157E-2</v>
      </c>
      <c r="AB167" s="40">
        <f t="shared" si="109"/>
        <v>0</v>
      </c>
      <c r="AC167" s="40">
        <f t="shared" si="110"/>
        <v>0</v>
      </c>
      <c r="AD167" s="26">
        <v>555.32196820367994</v>
      </c>
      <c r="AE167" s="8">
        <v>495.15751802582002</v>
      </c>
      <c r="AF167" s="61">
        <f t="shared" si="121"/>
        <v>4.9361253570769197</v>
      </c>
      <c r="AG167" s="61">
        <f t="shared" si="143"/>
        <v>4.9361253570769197</v>
      </c>
      <c r="AH167" s="74">
        <f t="shared" si="142"/>
        <v>0.94446943886041268</v>
      </c>
      <c r="AI167" s="74">
        <f t="shared" si="144"/>
        <v>0.94446943886041268</v>
      </c>
      <c r="AJ167" s="74">
        <f t="shared" si="122"/>
        <v>0.94446943886041268</v>
      </c>
      <c r="AK167" s="74">
        <f t="shared" si="145"/>
        <v>0.94446943886041268</v>
      </c>
      <c r="AL167" s="74">
        <f t="shared" si="123"/>
        <v>0.87015326131574067</v>
      </c>
      <c r="AM167" s="74">
        <f t="shared" si="146"/>
        <v>0.87015326131574067</v>
      </c>
      <c r="AN167" s="74">
        <f t="shared" si="124"/>
        <v>7.4316177544671999E-2</v>
      </c>
      <c r="AO167" s="74">
        <f t="shared" si="125"/>
        <v>7.4316177544671999E-2</v>
      </c>
      <c r="AP167" s="74">
        <f t="shared" si="126"/>
        <v>-3.780329853022843E-2</v>
      </c>
      <c r="AQ167" s="74">
        <f t="shared" si="127"/>
        <v>-3.780329853022843E-2</v>
      </c>
      <c r="AR167" s="74">
        <f t="shared" si="128"/>
        <v>0.92131436498957431</v>
      </c>
      <c r="AS167" s="74">
        <f t="shared" si="129"/>
        <v>7.8685635010425692E-2</v>
      </c>
      <c r="AT167" s="74">
        <f t="shared" si="130"/>
        <v>5.5530561139587375E-2</v>
      </c>
      <c r="AU167" s="74">
        <f t="shared" si="131"/>
        <v>5.5530561139587375E-2</v>
      </c>
      <c r="AV167" s="74">
        <f t="shared" si="132"/>
        <v>2.3732507425520487E-2</v>
      </c>
      <c r="AW167" s="74">
        <f t="shared" si="133"/>
        <v>2.3732507425520487E-2</v>
      </c>
      <c r="AX167" s="74">
        <f t="shared" si="134"/>
        <v>3.1798053714066889E-2</v>
      </c>
      <c r="AY167" s="74">
        <f t="shared" si="135"/>
        <v>3.1798053714066889E-2</v>
      </c>
      <c r="AZ167" s="74">
        <f t="shared" si="136"/>
        <v>0.42737741053730743</v>
      </c>
      <c r="BA167" s="74">
        <f t="shared" si="137"/>
        <v>0.57262258946269251</v>
      </c>
      <c r="BB167" s="74">
        <f t="shared" si="138"/>
        <v>9.5919447119715267E-3</v>
      </c>
      <c r="BC167" s="74">
        <f t="shared" si="139"/>
        <v>9.9687981649902464E-3</v>
      </c>
      <c r="BD167" s="74">
        <f t="shared" si="140"/>
        <v>8.8887629874322867E-3</v>
      </c>
      <c r="BE167" s="75">
        <f t="shared" si="141"/>
        <v>9.9687981649902464E-3</v>
      </c>
    </row>
    <row r="168" spans="1:57" x14ac:dyDescent="0.35">
      <c r="A168" s="9" t="s">
        <v>41</v>
      </c>
      <c r="B168" s="11" t="s">
        <v>69</v>
      </c>
      <c r="C168" s="47">
        <f t="shared" si="111"/>
        <v>5.4274449959136106E-2</v>
      </c>
      <c r="D168" s="23">
        <f t="shared" si="112"/>
        <v>4.8491759810862956E-2</v>
      </c>
      <c r="E168" s="50">
        <f>[1]data!E168-[1]data!E130</f>
        <v>1.0609563743112727E-2</v>
      </c>
      <c r="F168" s="36">
        <f>[1]data!F168-[1]data!F130</f>
        <v>3.7882196067750229E-2</v>
      </c>
      <c r="G168" s="36">
        <f>[1]data!G168-[1]data!G130</f>
        <v>5.7826901482731508E-3</v>
      </c>
      <c r="H168" s="25">
        <f t="shared" si="113"/>
        <v>0.1377968864533404</v>
      </c>
      <c r="I168" s="36">
        <f>[1]data!I168-[1]data!I130</f>
        <v>1.5930275890559814E-4</v>
      </c>
      <c r="J168" s="36">
        <f>[1]data!J168-[1]data!J130</f>
        <v>0.1376375836944348</v>
      </c>
      <c r="K168" s="36">
        <f>[1]data!K168-[1]data!K130</f>
        <v>0</v>
      </c>
      <c r="L168" s="25">
        <f t="shared" si="114"/>
        <v>2.5168967945269717E-2</v>
      </c>
      <c r="M168" s="25">
        <f t="shared" si="115"/>
        <v>2.2487331501438484E-2</v>
      </c>
      <c r="N168" s="25">
        <f t="shared" si="116"/>
        <v>1.3322287442211851E-2</v>
      </c>
      <c r="O168" s="25">
        <f t="shared" si="117"/>
        <v>1.1902859693012274E-2</v>
      </c>
      <c r="P168" s="24">
        <f t="shared" si="118"/>
        <v>4.9200271944672214E-3</v>
      </c>
      <c r="Q168" s="40">
        <f t="shared" si="100"/>
        <v>2.604239341506661E-3</v>
      </c>
      <c r="R168" s="40">
        <f t="shared" si="101"/>
        <v>1.7567304306971263E-2</v>
      </c>
      <c r="S168" s="40">
        <f t="shared" si="102"/>
        <v>9.2986203515056133E-3</v>
      </c>
      <c r="T168" s="40">
        <f t="shared" si="103"/>
        <v>2.6816364438312324E-3</v>
      </c>
      <c r="U168" s="40">
        <f t="shared" si="104"/>
        <v>1.4194277491995759E-3</v>
      </c>
      <c r="V168" s="25">
        <f t="shared" si="119"/>
        <v>6.3901254102314259E-2</v>
      </c>
      <c r="W168" s="25">
        <f t="shared" si="120"/>
        <v>3.3823829285334117E-2</v>
      </c>
      <c r="X168" s="40">
        <f t="shared" si="105"/>
        <v>7.3874282199208288E-5</v>
      </c>
      <c r="Y168" s="40">
        <f t="shared" si="106"/>
        <v>3.9102692815415734E-5</v>
      </c>
      <c r="Z168" s="40">
        <f t="shared" si="107"/>
        <v>6.3827379820115049E-2</v>
      </c>
      <c r="AA168" s="40">
        <f t="shared" si="108"/>
        <v>3.3784726592518702E-2</v>
      </c>
      <c r="AB168" s="40">
        <f t="shared" si="109"/>
        <v>0</v>
      </c>
      <c r="AC168" s="40">
        <f t="shared" si="110"/>
        <v>0</v>
      </c>
      <c r="AD168" s="26">
        <v>407.39587848230002</v>
      </c>
      <c r="AE168" s="8">
        <v>215.64034757863999</v>
      </c>
      <c r="AF168" s="61">
        <f t="shared" si="121"/>
        <v>0.18628864626420336</v>
      </c>
      <c r="AG168" s="61">
        <f t="shared" si="143"/>
        <v>0.18628864626420336</v>
      </c>
      <c r="AH168" s="74">
        <f t="shared" si="142"/>
        <v>0.26030442962202671</v>
      </c>
      <c r="AI168" s="74">
        <f t="shared" si="144"/>
        <v>0.26030442962202671</v>
      </c>
      <c r="AJ168" s="74">
        <f t="shared" si="122"/>
        <v>0.26030442962202671</v>
      </c>
      <c r="AK168" s="74">
        <f t="shared" si="145"/>
        <v>0.26030442962202671</v>
      </c>
      <c r="AL168" s="74">
        <f t="shared" si="123"/>
        <v>0.20335214639986116</v>
      </c>
      <c r="AM168" s="74">
        <f t="shared" si="146"/>
        <v>0.20335214639986116</v>
      </c>
      <c r="AN168" s="74">
        <f t="shared" si="124"/>
        <v>5.6952283222165577E-2</v>
      </c>
      <c r="AO168" s="74">
        <f t="shared" si="125"/>
        <v>5.6952283222165577E-2</v>
      </c>
      <c r="AP168" s="74">
        <f t="shared" si="126"/>
        <v>3.1041559774243388E-2</v>
      </c>
      <c r="AQ168" s="74">
        <f t="shared" si="127"/>
        <v>3.1041559774243388E-2</v>
      </c>
      <c r="AR168" s="74">
        <f t="shared" si="128"/>
        <v>0.78120893561103533</v>
      </c>
      <c r="AS168" s="74">
        <f t="shared" si="129"/>
        <v>0.21879106438896467</v>
      </c>
      <c r="AT168" s="74">
        <f t="shared" si="130"/>
        <v>0.73969557037797329</v>
      </c>
      <c r="AU168" s="74">
        <f t="shared" si="131"/>
        <v>0.73969557037797329</v>
      </c>
      <c r="AV168" s="74">
        <f t="shared" si="132"/>
        <v>8.5513938772021269E-4</v>
      </c>
      <c r="AW168" s="74">
        <f t="shared" si="133"/>
        <v>8.5513938772021269E-4</v>
      </c>
      <c r="AX168" s="74">
        <f t="shared" si="134"/>
        <v>0.73884043099025298</v>
      </c>
      <c r="AY168" s="74">
        <f t="shared" si="135"/>
        <v>0.73884043099025298</v>
      </c>
      <c r="AZ168" s="74">
        <f t="shared" si="136"/>
        <v>1.1560693641618665E-3</v>
      </c>
      <c r="BA168" s="74">
        <f t="shared" si="137"/>
        <v>0.9988439306358381</v>
      </c>
      <c r="BB168" s="74">
        <f t="shared" si="138"/>
        <v>8.9070222047583968E-4</v>
      </c>
      <c r="BC168" s="74">
        <f t="shared" si="139"/>
        <v>8.6388585603752743E-4</v>
      </c>
      <c r="BD168" s="74">
        <f t="shared" si="140"/>
        <v>4.5726688978346393E-4</v>
      </c>
      <c r="BE168" s="75">
        <f t="shared" si="141"/>
        <v>8.6388585603752743E-4</v>
      </c>
    </row>
    <row r="169" spans="1:57" x14ac:dyDescent="0.35">
      <c r="A169" s="9" t="s">
        <v>42</v>
      </c>
      <c r="B169" s="11" t="s">
        <v>69</v>
      </c>
      <c r="C169" s="47">
        <f t="shared" si="111"/>
        <v>21.994517908982804</v>
      </c>
      <c r="D169" s="23">
        <f t="shared" si="112"/>
        <v>3.4109288650499558E-4</v>
      </c>
      <c r="E169" s="50">
        <f>[1]data!E169-[1]data!E131</f>
        <v>3.4109288650499558E-4</v>
      </c>
      <c r="F169" s="36">
        <f>[1]data!F169-[1]data!F131</f>
        <v>0</v>
      </c>
      <c r="G169" s="36">
        <f>[1]data!G169-[1]data!G131</f>
        <v>21.994176816096299</v>
      </c>
      <c r="H169" s="25">
        <f t="shared" si="113"/>
        <v>33.062446307244088</v>
      </c>
      <c r="I169" s="36">
        <f>[1]data!I169-[1]data!I131</f>
        <v>25.12571084390953</v>
      </c>
      <c r="J169" s="36">
        <f>[1]data!J169-[1]data!J131</f>
        <v>7.9367354633345588</v>
      </c>
      <c r="K169" s="36">
        <f>[1]data!K169-[1]data!K131</f>
        <v>0</v>
      </c>
      <c r="L169" s="25">
        <f t="shared" si="114"/>
        <v>6.612853194829686</v>
      </c>
      <c r="M169" s="25">
        <f t="shared" si="115"/>
        <v>1.0255269943139007E-4</v>
      </c>
      <c r="N169" s="25">
        <f t="shared" si="116"/>
        <v>7.0707475726196529</v>
      </c>
      <c r="O169" s="25">
        <f t="shared" si="117"/>
        <v>1.0965376505515631E-4</v>
      </c>
      <c r="P169" s="24">
        <f t="shared" si="118"/>
        <v>1.0255269943139007E-4</v>
      </c>
      <c r="Q169" s="40">
        <f t="shared" si="100"/>
        <v>1.0965376505515631E-4</v>
      </c>
      <c r="R169" s="40">
        <f t="shared" si="101"/>
        <v>0</v>
      </c>
      <c r="S169" s="40">
        <f t="shared" si="102"/>
        <v>0</v>
      </c>
      <c r="T169" s="40">
        <f t="shared" si="103"/>
        <v>6.6127506421302549</v>
      </c>
      <c r="U169" s="40">
        <f t="shared" si="104"/>
        <v>7.0706379188545974</v>
      </c>
      <c r="V169" s="25">
        <f t="shared" si="119"/>
        <v>9.9405272075752222</v>
      </c>
      <c r="W169" s="25">
        <f t="shared" si="120"/>
        <v>10.628840010916399</v>
      </c>
      <c r="X169" s="40">
        <f t="shared" si="105"/>
        <v>7.5542750204429563</v>
      </c>
      <c r="Y169" s="40">
        <f t="shared" si="106"/>
        <v>8.0773563528464187</v>
      </c>
      <c r="Z169" s="40">
        <f t="shared" si="107"/>
        <v>2.3862521871322659</v>
      </c>
      <c r="AA169" s="40">
        <f t="shared" si="108"/>
        <v>2.5514836580699809</v>
      </c>
      <c r="AB169" s="40">
        <f t="shared" si="109"/>
        <v>0</v>
      </c>
      <c r="AC169" s="40">
        <f t="shared" si="110"/>
        <v>0</v>
      </c>
      <c r="AD169" s="26">
        <v>311.06354290107998</v>
      </c>
      <c r="AE169" s="8">
        <v>332.60254327404999</v>
      </c>
      <c r="AF169" s="61">
        <f t="shared" si="121"/>
        <v>33.062787400130595</v>
      </c>
      <c r="AG169" s="61">
        <f t="shared" si="143"/>
        <v>33.062787400130595</v>
      </c>
      <c r="AH169" s="74">
        <f t="shared" si="142"/>
        <v>1.0316519365927638E-5</v>
      </c>
      <c r="AI169" s="74">
        <f t="shared" si="144"/>
        <v>1.0316519365927638E-5</v>
      </c>
      <c r="AJ169" s="74">
        <f t="shared" si="122"/>
        <v>1.0316519365927638E-5</v>
      </c>
      <c r="AK169" s="74">
        <f t="shared" si="145"/>
        <v>1.0316519365927638E-5</v>
      </c>
      <c r="AL169" s="74">
        <f t="shared" si="123"/>
        <v>0</v>
      </c>
      <c r="AM169" s="74">
        <f t="shared" si="146"/>
        <v>0</v>
      </c>
      <c r="AN169" s="74">
        <f t="shared" si="124"/>
        <v>1.0316519365927638E-5</v>
      </c>
      <c r="AO169" s="74">
        <f t="shared" si="125"/>
        <v>1.0316519365927638E-5</v>
      </c>
      <c r="AP169" s="74">
        <f t="shared" si="126"/>
        <v>0.66522451812424699</v>
      </c>
      <c r="AQ169" s="74">
        <f t="shared" si="127"/>
        <v>0.66522451812424699</v>
      </c>
      <c r="AR169" s="74">
        <f t="shared" si="128"/>
        <v>0</v>
      </c>
      <c r="AS169" s="74">
        <f t="shared" si="129"/>
        <v>1</v>
      </c>
      <c r="AT169" s="74">
        <f t="shared" si="130"/>
        <v>0.999989683480634</v>
      </c>
      <c r="AU169" s="74">
        <f t="shared" si="131"/>
        <v>0.999989683480634</v>
      </c>
      <c r="AV169" s="74">
        <f t="shared" si="132"/>
        <v>0.75993927976593667</v>
      </c>
      <c r="AW169" s="74">
        <f t="shared" si="133"/>
        <v>0.75993927976593667</v>
      </c>
      <c r="AX169" s="74">
        <f t="shared" si="134"/>
        <v>0.24005040371469738</v>
      </c>
      <c r="AY169" s="74">
        <f t="shared" si="135"/>
        <v>0.24005040371469738</v>
      </c>
      <c r="AZ169" s="74">
        <f t="shared" si="136"/>
        <v>0.75994711977511498</v>
      </c>
      <c r="BA169" s="74">
        <f t="shared" si="137"/>
        <v>0.24005288022488508</v>
      </c>
      <c r="BB169" s="74">
        <f t="shared" si="138"/>
        <v>0.16553380402404907</v>
      </c>
      <c r="BC169" s="74">
        <f t="shared" si="139"/>
        <v>9.9406297602746538E-2</v>
      </c>
      <c r="BD169" s="74">
        <f t="shared" si="140"/>
        <v>0.10628949664681456</v>
      </c>
      <c r="BE169" s="75">
        <f t="shared" si="141"/>
        <v>9.9406297602746538E-2</v>
      </c>
    </row>
    <row r="170" spans="1:57" x14ac:dyDescent="0.35">
      <c r="A170" s="9" t="s">
        <v>43</v>
      </c>
      <c r="B170" s="11" t="s">
        <v>69</v>
      </c>
      <c r="C170" s="47">
        <f t="shared" si="111"/>
        <v>-9.4391081956542833E-2</v>
      </c>
      <c r="D170" s="23">
        <f t="shared" si="112"/>
        <v>-9.4391081956542833E-2</v>
      </c>
      <c r="E170" s="50">
        <f>[1]data!E170-[1]data!E132</f>
        <v>-3.7900585127936981E-2</v>
      </c>
      <c r="F170" s="36">
        <f>[1]data!F170-[1]data!F132</f>
        <v>-5.6490496828605852E-2</v>
      </c>
      <c r="G170" s="36">
        <f>[1]data!G170-[1]data!G132</f>
        <v>0</v>
      </c>
      <c r="H170" s="25">
        <f t="shared" si="113"/>
        <v>0.22987065939187656</v>
      </c>
      <c r="I170" s="36">
        <f>[1]data!I170-[1]data!I132</f>
        <v>0.1682830664882291</v>
      </c>
      <c r="J170" s="36">
        <f>[1]data!J170-[1]data!J132</f>
        <v>6.1587592903647459E-2</v>
      </c>
      <c r="K170" s="36">
        <f>[1]data!K170-[1]data!K132</f>
        <v>0</v>
      </c>
      <c r="L170" s="25">
        <f t="shared" si="114"/>
        <v>-0.35095285440695101</v>
      </c>
      <c r="M170" s="25">
        <f t="shared" si="115"/>
        <v>-0.35095285440695101</v>
      </c>
      <c r="N170" s="25">
        <f t="shared" si="116"/>
        <v>-0.20559322227792226</v>
      </c>
      <c r="O170" s="25">
        <f t="shared" si="117"/>
        <v>-0.20559322227792226</v>
      </c>
      <c r="P170" s="24">
        <f t="shared" si="118"/>
        <v>-0.14091711058537265</v>
      </c>
      <c r="Q170" s="40">
        <f t="shared" si="100"/>
        <v>-8.2551267144693893E-2</v>
      </c>
      <c r="R170" s="40">
        <f t="shared" si="101"/>
        <v>-0.21003574382157833</v>
      </c>
      <c r="S170" s="40">
        <f t="shared" si="102"/>
        <v>-0.12304195513322838</v>
      </c>
      <c r="T170" s="40">
        <f t="shared" si="103"/>
        <v>0</v>
      </c>
      <c r="U170" s="40">
        <f t="shared" si="104"/>
        <v>0</v>
      </c>
      <c r="V170" s="25">
        <f t="shared" si="119"/>
        <v>0.85467570013795224</v>
      </c>
      <c r="W170" s="25">
        <f t="shared" si="120"/>
        <v>0.5006812994609473</v>
      </c>
      <c r="X170" s="40">
        <f t="shared" si="105"/>
        <v>0.62568858527958582</v>
      </c>
      <c r="Y170" s="40">
        <f t="shared" si="106"/>
        <v>0.36653735900658002</v>
      </c>
      <c r="Z170" s="40">
        <f t="shared" si="107"/>
        <v>0.22898711485836645</v>
      </c>
      <c r="AA170" s="40">
        <f t="shared" si="108"/>
        <v>0.13414394045436726</v>
      </c>
      <c r="AB170" s="40">
        <f t="shared" si="109"/>
        <v>0</v>
      </c>
      <c r="AC170" s="40">
        <f t="shared" si="110"/>
        <v>0</v>
      </c>
      <c r="AD170" s="26">
        <v>45.911572818750003</v>
      </c>
      <c r="AE170" s="8">
        <v>26.895658710639999</v>
      </c>
      <c r="AF170" s="61">
        <f t="shared" si="121"/>
        <v>0.13547957743533373</v>
      </c>
      <c r="AG170" s="61">
        <f>(D170*-1)+(H170)</f>
        <v>0.3242617413484194</v>
      </c>
      <c r="AH170" s="74">
        <f>($D170/$AG170)*-1</f>
        <v>0.29109534033840756</v>
      </c>
      <c r="AI170" s="74">
        <f t="shared" si="144"/>
        <v>-0.29109534033840756</v>
      </c>
      <c r="AJ170" s="74">
        <f>(($D170)/(AF170))*-1</f>
        <v>0.69671816035591783</v>
      </c>
      <c r="AK170" s="74">
        <f t="shared" si="145"/>
        <v>-0.69671816035591783</v>
      </c>
      <c r="AL170" s="74">
        <f t="shared" si="123"/>
        <v>-0.17421264868835323</v>
      </c>
      <c r="AM170" s="74">
        <f t="shared" si="146"/>
        <v>-0.41696688089811579</v>
      </c>
      <c r="AN170" s="74">
        <f t="shared" si="124"/>
        <v>-0.11688269165005434</v>
      </c>
      <c r="AO170" s="74">
        <f t="shared" si="125"/>
        <v>-0.27975127945780204</v>
      </c>
      <c r="AP170" s="74">
        <f t="shared" si="126"/>
        <v>0</v>
      </c>
      <c r="AQ170" s="74">
        <f t="shared" si="127"/>
        <v>0</v>
      </c>
      <c r="AR170" s="74">
        <f t="shared" si="128"/>
        <v>0.59847281816955744</v>
      </c>
      <c r="AS170" s="74">
        <f t="shared" si="129"/>
        <v>0.40152718183044256</v>
      </c>
      <c r="AT170" s="74">
        <f t="shared" si="130"/>
        <v>0.70890465966159244</v>
      </c>
      <c r="AU170" s="74">
        <f t="shared" si="131"/>
        <v>1.6967181603559178</v>
      </c>
      <c r="AV170" s="74">
        <f t="shared" si="132"/>
        <v>0.51897293152265189</v>
      </c>
      <c r="AW170" s="74">
        <f t="shared" si="133"/>
        <v>1.2421286637726112</v>
      </c>
      <c r="AX170" s="74">
        <f t="shared" si="134"/>
        <v>0.18993172813894058</v>
      </c>
      <c r="AY170" s="74">
        <f t="shared" si="135"/>
        <v>0.45458949658330655</v>
      </c>
      <c r="AZ170" s="74">
        <f t="shared" si="136"/>
        <v>0.73207719042274644</v>
      </c>
      <c r="BA170" s="74">
        <f t="shared" si="137"/>
        <v>0.26792280957725356</v>
      </c>
      <c r="BB170" s="74">
        <f t="shared" si="138"/>
        <v>5.0372284573100131E-3</v>
      </c>
      <c r="BC170" s="74">
        <f t="shared" si="139"/>
        <v>5.0372284573100131E-3</v>
      </c>
      <c r="BD170" s="74">
        <f t="shared" si="140"/>
        <v>2.9508807718302498E-3</v>
      </c>
      <c r="BE170" s="75">
        <f t="shared" si="141"/>
        <v>1.2056285545449033E-2</v>
      </c>
    </row>
    <row r="171" spans="1:57" x14ac:dyDescent="0.35">
      <c r="A171" s="9" t="s">
        <v>44</v>
      </c>
      <c r="B171" s="11" t="s">
        <v>69</v>
      </c>
      <c r="C171" s="47">
        <f t="shared" si="111"/>
        <v>-3.5155799901397318</v>
      </c>
      <c r="D171" s="23">
        <f t="shared" si="112"/>
        <v>-1.074652386985163</v>
      </c>
      <c r="E171" s="50">
        <f>[1]data!E171-[1]data!E133</f>
        <v>5.5841246461700855E-3</v>
      </c>
      <c r="F171" s="36">
        <f>[1]data!F171-[1]data!F133</f>
        <v>-1.0802365116313331</v>
      </c>
      <c r="G171" s="36">
        <f>[1]data!G171-[1]data!G133</f>
        <v>-2.4409276031545688</v>
      </c>
      <c r="H171" s="25">
        <f t="shared" si="113"/>
        <v>-1.6885058372569091</v>
      </c>
      <c r="I171" s="36">
        <f>[1]data!I171-[1]data!I133</f>
        <v>-0.92854648594427647</v>
      </c>
      <c r="J171" s="36">
        <f>[1]data!J171-[1]data!J133</f>
        <v>-0.75995935131263259</v>
      </c>
      <c r="K171" s="36">
        <f>[1]data!K171-[1]data!K133</f>
        <v>3.4268640238179242</v>
      </c>
      <c r="L171" s="25">
        <f t="shared" si="114"/>
        <v>-1.3800434107900128</v>
      </c>
      <c r="M171" s="25">
        <f t="shared" si="115"/>
        <v>-0.42185555433477318</v>
      </c>
      <c r="N171" s="25">
        <f t="shared" si="116"/>
        <v>-1.3845100383501008</v>
      </c>
      <c r="O171" s="25">
        <f t="shared" si="117"/>
        <v>-0.42322092561993391</v>
      </c>
      <c r="P171" s="24">
        <f t="shared" si="118"/>
        <v>2.1920520780614747E-3</v>
      </c>
      <c r="Q171" s="40">
        <f t="shared" si="100"/>
        <v>2.1991468405511659E-3</v>
      </c>
      <c r="R171" s="40">
        <f t="shared" si="101"/>
        <v>-0.42404760641283468</v>
      </c>
      <c r="S171" s="40">
        <f t="shared" si="102"/>
        <v>-0.42542007246048508</v>
      </c>
      <c r="T171" s="40">
        <f t="shared" si="103"/>
        <v>-0.95818785645523963</v>
      </c>
      <c r="U171" s="40">
        <f t="shared" si="104"/>
        <v>-0.96128911273016693</v>
      </c>
      <c r="V171" s="25">
        <f t="shared" si="119"/>
        <v>-0.66282416025876101</v>
      </c>
      <c r="W171" s="25">
        <f t="shared" si="120"/>
        <v>-0.6649694468769618</v>
      </c>
      <c r="X171" s="40">
        <f t="shared" si="105"/>
        <v>-0.3645015795782498</v>
      </c>
      <c r="Y171" s="40">
        <f t="shared" si="106"/>
        <v>-0.36568131985910646</v>
      </c>
      <c r="Z171" s="40">
        <f t="shared" si="107"/>
        <v>-0.29832258068051121</v>
      </c>
      <c r="AA171" s="40">
        <f t="shared" si="108"/>
        <v>-0.2992881270178554</v>
      </c>
      <c r="AB171" s="40">
        <f t="shared" si="109"/>
        <v>1.3452178954845246</v>
      </c>
      <c r="AC171" s="40">
        <f t="shared" si="110"/>
        <v>1.3495718073102803</v>
      </c>
      <c r="AD171" s="26">
        <v>253.92231856471</v>
      </c>
      <c r="AE171" s="8">
        <v>254.7441596875</v>
      </c>
      <c r="AF171" s="61">
        <f t="shared" si="121"/>
        <v>-2.7631582242420718</v>
      </c>
      <c r="AG171" s="61">
        <f>(D171*-1)+(H171*-1)</f>
        <v>2.7631582242420718</v>
      </c>
      <c r="AH171" s="74">
        <f>($D171/$AG171)*-1</f>
        <v>0.38892176986351829</v>
      </c>
      <c r="AI171" s="74">
        <f t="shared" si="144"/>
        <v>-0.38892176986351829</v>
      </c>
      <c r="AJ171" s="74">
        <f t="shared" si="122"/>
        <v>0.38892176986351829</v>
      </c>
      <c r="AK171" s="74">
        <f t="shared" si="145"/>
        <v>0.38892176986351829</v>
      </c>
      <c r="AL171" s="74">
        <f t="shared" si="123"/>
        <v>-0.39094269092304318</v>
      </c>
      <c r="AM171" s="74">
        <f t="shared" si="146"/>
        <v>0.39094269092304318</v>
      </c>
      <c r="AN171" s="74">
        <f t="shared" si="124"/>
        <v>2.0209210595248479E-3</v>
      </c>
      <c r="AO171" s="74">
        <f t="shared" si="125"/>
        <v>-2.0209210595248479E-3</v>
      </c>
      <c r="AP171" s="74">
        <f t="shared" si="126"/>
        <v>-0.883383217703398</v>
      </c>
      <c r="AQ171" s="74">
        <f t="shared" si="127"/>
        <v>0.883383217703398</v>
      </c>
      <c r="AR171" s="74">
        <f t="shared" si="128"/>
        <v>1.0051962148075024</v>
      </c>
      <c r="AS171" s="74">
        <f t="shared" si="129"/>
        <v>-5.1962148075023838E-3</v>
      </c>
      <c r="AT171" s="74">
        <f t="shared" si="130"/>
        <v>-0.61107823013648177</v>
      </c>
      <c r="AU171" s="74">
        <f t="shared" si="131"/>
        <v>0.61107823013648177</v>
      </c>
      <c r="AV171" s="74">
        <f t="shared" si="132"/>
        <v>-0.33604535483992226</v>
      </c>
      <c r="AW171" s="74">
        <f t="shared" si="133"/>
        <v>0.33604535483992226</v>
      </c>
      <c r="AX171" s="74">
        <f t="shared" si="134"/>
        <v>-0.27503287529655951</v>
      </c>
      <c r="AY171" s="74">
        <f t="shared" si="135"/>
        <v>0.27503287529655951</v>
      </c>
      <c r="AZ171" s="74">
        <f t="shared" si="136"/>
        <v>0.54992198750864996</v>
      </c>
      <c r="BA171" s="74">
        <f t="shared" si="137"/>
        <v>0.45007801249135004</v>
      </c>
      <c r="BB171" s="74">
        <f t="shared" si="138"/>
        <v>-2.0428675710487738E-2</v>
      </c>
      <c r="BC171" s="74">
        <f t="shared" si="139"/>
        <v>-1.0846797145935342E-2</v>
      </c>
      <c r="BD171" s="74">
        <f t="shared" si="140"/>
        <v>-1.0881903724968956E-2</v>
      </c>
      <c r="BE171" s="75">
        <f t="shared" si="141"/>
        <v>1.0846797145935342E-2</v>
      </c>
    </row>
    <row r="172" spans="1:57" x14ac:dyDescent="0.35">
      <c r="A172" s="9" t="s">
        <v>45</v>
      </c>
      <c r="B172" s="11" t="s">
        <v>69</v>
      </c>
      <c r="C172" s="47">
        <f t="shared" si="111"/>
        <v>3.1760258864367081</v>
      </c>
      <c r="D172" s="23">
        <f t="shared" si="112"/>
        <v>4.1228112206977841</v>
      </c>
      <c r="E172" s="50">
        <f>[1]data!E172-[1]data!E134</f>
        <v>0.35377522402826478</v>
      </c>
      <c r="F172" s="36">
        <f>[1]data!F172-[1]data!F134</f>
        <v>3.7690359966695191</v>
      </c>
      <c r="G172" s="36">
        <f>[1]data!G172-[1]data!G134</f>
        <v>-0.94678533426107592</v>
      </c>
      <c r="H172" s="25">
        <f t="shared" si="113"/>
        <v>-2.0856298438568497</v>
      </c>
      <c r="I172" s="36">
        <f>[1]data!I172-[1]data!I134</f>
        <v>-2.5396360876331876</v>
      </c>
      <c r="J172" s="36">
        <f>[1]data!J172-[1]data!J134</f>
        <v>0.45400624377633791</v>
      </c>
      <c r="K172" s="36">
        <f>[1]data!K172-[1]data!K134</f>
        <v>0</v>
      </c>
      <c r="L172" s="25">
        <f t="shared" si="114"/>
        <v>1.5576160030941879</v>
      </c>
      <c r="M172" s="25">
        <f t="shared" si="115"/>
        <v>2.0219472273571233</v>
      </c>
      <c r="N172" s="25">
        <f t="shared" si="116"/>
        <v>1.0532519353048657</v>
      </c>
      <c r="O172" s="25">
        <f t="shared" si="117"/>
        <v>1.3672303225363185</v>
      </c>
      <c r="P172" s="24">
        <f t="shared" si="118"/>
        <v>0.17350171886126972</v>
      </c>
      <c r="Q172" s="40">
        <f t="shared" si="100"/>
        <v>0.11732097051284782</v>
      </c>
      <c r="R172" s="40">
        <f t="shared" si="101"/>
        <v>1.8484455084958538</v>
      </c>
      <c r="S172" s="40">
        <f t="shared" si="102"/>
        <v>1.2499093520234708</v>
      </c>
      <c r="T172" s="40">
        <f t="shared" si="103"/>
        <v>-0.46433122426293549</v>
      </c>
      <c r="U172" s="40">
        <f t="shared" si="104"/>
        <v>-0.31397838723145272</v>
      </c>
      <c r="V172" s="25">
        <f t="shared" si="119"/>
        <v>-1.0228538864231325</v>
      </c>
      <c r="W172" s="25">
        <f t="shared" si="120"/>
        <v>-0.69164854063464776</v>
      </c>
      <c r="X172" s="40">
        <f t="shared" si="105"/>
        <v>-1.2455118294300456</v>
      </c>
      <c r="Y172" s="40">
        <f t="shared" si="106"/>
        <v>-0.84220869725679992</v>
      </c>
      <c r="Z172" s="40">
        <f t="shared" si="107"/>
        <v>0.22265794300691302</v>
      </c>
      <c r="AA172" s="40">
        <f t="shared" si="108"/>
        <v>0.15056015662215222</v>
      </c>
      <c r="AB172" s="40">
        <f t="shared" si="109"/>
        <v>0</v>
      </c>
      <c r="AC172" s="40">
        <f t="shared" si="110"/>
        <v>0</v>
      </c>
      <c r="AD172" s="26">
        <v>301.54474727050001</v>
      </c>
      <c r="AE172" s="8">
        <v>203.90300819506001</v>
      </c>
      <c r="AF172" s="61">
        <f t="shared" si="121"/>
        <v>2.0371813768409344</v>
      </c>
      <c r="AG172" s="61">
        <f>(D172)+(H172*-1)</f>
        <v>6.2084410645546342</v>
      </c>
      <c r="AH172" s="74">
        <f t="shared" si="142"/>
        <v>0.6640654518307062</v>
      </c>
      <c r="AI172" s="74">
        <f t="shared" si="144"/>
        <v>0.6640654518307062</v>
      </c>
      <c r="AJ172" s="74">
        <f t="shared" si="122"/>
        <v>2.0237821077527443</v>
      </c>
      <c r="AK172" s="74">
        <f t="shared" si="145"/>
        <v>2.0237821077527443</v>
      </c>
      <c r="AL172" s="74">
        <f t="shared" si="123"/>
        <v>0.60708251193488505</v>
      </c>
      <c r="AM172" s="74">
        <f t="shared" si="146"/>
        <v>1.8501229392319396</v>
      </c>
      <c r="AN172" s="74">
        <f t="shared" si="124"/>
        <v>5.6982939895821177E-2</v>
      </c>
      <c r="AO172" s="74">
        <f t="shared" si="125"/>
        <v>0.17365916852080471</v>
      </c>
      <c r="AP172" s="74">
        <f t="shared" si="126"/>
        <v>-0.15249968944160286</v>
      </c>
      <c r="AQ172" s="74">
        <f t="shared" si="127"/>
        <v>-0.4647525964179291</v>
      </c>
      <c r="AR172" s="74">
        <f t="shared" si="128"/>
        <v>0.91419077782358693</v>
      </c>
      <c r="AS172" s="74">
        <f t="shared" si="129"/>
        <v>8.5809222176413028E-2</v>
      </c>
      <c r="AT172" s="74">
        <f t="shared" si="130"/>
        <v>-0.33593454816929369</v>
      </c>
      <c r="AU172" s="74">
        <f t="shared" si="131"/>
        <v>-1.0237821077527445</v>
      </c>
      <c r="AV172" s="74">
        <f t="shared" si="132"/>
        <v>-0.40906180170293194</v>
      </c>
      <c r="AW172" s="74">
        <f t="shared" si="133"/>
        <v>-1.2466421088000579</v>
      </c>
      <c r="AX172" s="74">
        <f t="shared" si="134"/>
        <v>7.312725353363829E-2</v>
      </c>
      <c r="AY172" s="74">
        <f t="shared" si="135"/>
        <v>0.22286000104731338</v>
      </c>
      <c r="AZ172" s="74">
        <f t="shared" si="136"/>
        <v>1.2176830395449114</v>
      </c>
      <c r="BA172" s="74">
        <f t="shared" si="137"/>
        <v>-0.21768303954491136</v>
      </c>
      <c r="BB172" s="74">
        <f t="shared" si="138"/>
        <v>5.3476211667105537E-3</v>
      </c>
      <c r="BC172" s="74">
        <f t="shared" si="139"/>
        <v>9.9909334093399096E-3</v>
      </c>
      <c r="BD172" s="74">
        <f t="shared" si="140"/>
        <v>6.7558178190167103E-3</v>
      </c>
      <c r="BE172" s="75">
        <f t="shared" si="141"/>
        <v>3.0448011137802562E-2</v>
      </c>
    </row>
    <row r="173" spans="1:57" x14ac:dyDescent="0.35">
      <c r="A173" s="9" t="s">
        <v>46</v>
      </c>
      <c r="B173" s="11" t="s">
        <v>69</v>
      </c>
      <c r="C173" s="47">
        <f t="shared" si="111"/>
        <v>1.1003161672985489</v>
      </c>
      <c r="D173" s="23">
        <f t="shared" si="112"/>
        <v>1.1003161672985489</v>
      </c>
      <c r="E173" s="50">
        <f>[1]data!E173-[1]data!E135</f>
        <v>5.4677508422957787E-2</v>
      </c>
      <c r="F173" s="36">
        <f>[1]data!F173-[1]data!F135</f>
        <v>1.045638658875591</v>
      </c>
      <c r="G173" s="36">
        <f>[1]data!G173-[1]data!G135</f>
        <v>0</v>
      </c>
      <c r="H173" s="25">
        <f t="shared" si="113"/>
        <v>-0.58381004119310087</v>
      </c>
      <c r="I173" s="36">
        <f>[1]data!I173-[1]data!I135</f>
        <v>0.1</v>
      </c>
      <c r="J173" s="36">
        <f>[1]data!J173-[1]data!J135</f>
        <v>-0.68381004119310085</v>
      </c>
      <c r="K173" s="36">
        <f>[1]data!K173-[1]data!K135</f>
        <v>0</v>
      </c>
      <c r="L173" s="25">
        <f t="shared" si="114"/>
        <v>5.307844556033416</v>
      </c>
      <c r="M173" s="25">
        <f t="shared" si="115"/>
        <v>5.307844556033416</v>
      </c>
      <c r="N173" s="25">
        <f t="shared" si="116"/>
        <v>5.7701396314342315</v>
      </c>
      <c r="O173" s="25">
        <f t="shared" si="117"/>
        <v>5.7701396314342315</v>
      </c>
      <c r="P173" s="24">
        <f t="shared" si="118"/>
        <v>0.26376029367341142</v>
      </c>
      <c r="Q173" s="40">
        <f t="shared" si="100"/>
        <v>0.28673291157211905</v>
      </c>
      <c r="R173" s="40">
        <f t="shared" si="101"/>
        <v>5.0440842623600046</v>
      </c>
      <c r="S173" s="40">
        <f t="shared" si="102"/>
        <v>5.4834067198621126</v>
      </c>
      <c r="T173" s="40">
        <f t="shared" si="103"/>
        <v>0</v>
      </c>
      <c r="U173" s="40">
        <f t="shared" si="104"/>
        <v>0</v>
      </c>
      <c r="V173" s="25">
        <f t="shared" si="119"/>
        <v>-2.8162568550750513</v>
      </c>
      <c r="W173" s="25">
        <f t="shared" si="120"/>
        <v>-3.0615431782559117</v>
      </c>
      <c r="X173" s="40">
        <f t="shared" si="105"/>
        <v>0.48239267165046013</v>
      </c>
      <c r="Y173" s="40">
        <f t="shared" si="106"/>
        <v>0.52440742060537404</v>
      </c>
      <c r="Z173" s="40">
        <f t="shared" si="107"/>
        <v>-3.2986495267255114</v>
      </c>
      <c r="AA173" s="40">
        <f t="shared" si="108"/>
        <v>-3.5859505988612859</v>
      </c>
      <c r="AB173" s="40">
        <f t="shared" si="109"/>
        <v>0</v>
      </c>
      <c r="AC173" s="40">
        <f t="shared" si="110"/>
        <v>0</v>
      </c>
      <c r="AD173" s="26">
        <v>19.06914282116</v>
      </c>
      <c r="AE173" s="8">
        <v>20.729999827290001</v>
      </c>
      <c r="AF173" s="61">
        <f t="shared" si="121"/>
        <v>0.51650612610544799</v>
      </c>
      <c r="AG173" s="61">
        <f>(D173)+(H173*-1)</f>
        <v>1.6841262084916497</v>
      </c>
      <c r="AH173" s="74">
        <f t="shared" si="142"/>
        <v>0.65334543322855987</v>
      </c>
      <c r="AI173" s="74">
        <f t="shared" si="144"/>
        <v>0.65334543322855987</v>
      </c>
      <c r="AJ173" s="74">
        <f t="shared" si="122"/>
        <v>2.1303061313040699</v>
      </c>
      <c r="AK173" s="74">
        <f t="shared" si="145"/>
        <v>2.1303061313040699</v>
      </c>
      <c r="AL173" s="74">
        <f t="shared" si="123"/>
        <v>0.62087903721425608</v>
      </c>
      <c r="AM173" s="74">
        <f t="shared" si="146"/>
        <v>2.0244458023371386</v>
      </c>
      <c r="AN173" s="74">
        <f t="shared" si="124"/>
        <v>3.2466396014303754E-2</v>
      </c>
      <c r="AO173" s="74">
        <f t="shared" si="125"/>
        <v>0.10586032896693083</v>
      </c>
      <c r="AP173" s="74">
        <f t="shared" si="126"/>
        <v>0</v>
      </c>
      <c r="AQ173" s="74">
        <f t="shared" si="127"/>
        <v>0</v>
      </c>
      <c r="AR173" s="74">
        <f t="shared" si="128"/>
        <v>0.95030745703100972</v>
      </c>
      <c r="AS173" s="74">
        <f t="shared" si="129"/>
        <v>4.9692542968990235E-2</v>
      </c>
      <c r="AT173" s="74">
        <f t="shared" si="130"/>
        <v>-0.34665456677144013</v>
      </c>
      <c r="AU173" s="74">
        <f t="shared" si="131"/>
        <v>-1.1303061313040697</v>
      </c>
      <c r="AV173" s="74">
        <f t="shared" si="132"/>
        <v>5.9377972681490886E-2</v>
      </c>
      <c r="AW173" s="74">
        <f t="shared" si="133"/>
        <v>0.1936085458540803</v>
      </c>
      <c r="AX173" s="74">
        <f t="shared" si="134"/>
        <v>-0.406032539452931</v>
      </c>
      <c r="AY173" s="74">
        <f t="shared" si="135"/>
        <v>-1.3239146771581498</v>
      </c>
      <c r="AZ173" s="74">
        <f t="shared" si="136"/>
        <v>-0.17128859208319788</v>
      </c>
      <c r="BA173" s="74">
        <f t="shared" si="137"/>
        <v>1.1712885920831979</v>
      </c>
      <c r="BB173" s="74">
        <f t="shared" si="138"/>
        <v>2.4915877009583649E-2</v>
      </c>
      <c r="BC173" s="74">
        <f t="shared" si="139"/>
        <v>2.4915877009583649E-2</v>
      </c>
      <c r="BD173" s="74">
        <f t="shared" si="140"/>
        <v>2.7085964531783201E-2</v>
      </c>
      <c r="BE173" s="75">
        <f t="shared" si="141"/>
        <v>8.124101411108467E-2</v>
      </c>
    </row>
    <row r="174" spans="1:57" x14ac:dyDescent="0.35">
      <c r="A174" s="9" t="s">
        <v>47</v>
      </c>
      <c r="B174" s="11" t="s">
        <v>69</v>
      </c>
      <c r="C174" s="47">
        <f t="shared" si="111"/>
        <v>14.072171034417476</v>
      </c>
      <c r="D174" s="23">
        <f t="shared" si="112"/>
        <v>14.159111825001776</v>
      </c>
      <c r="E174" s="50">
        <f>[1]data!E174-[1]data!E136</f>
        <v>2.8576480235392485</v>
      </c>
      <c r="F174" s="36">
        <f>[1]data!F174-[1]data!F136</f>
        <v>11.301463801462528</v>
      </c>
      <c r="G174" s="36">
        <f>[1]data!G174-[1]data!G136</f>
        <v>-8.6940790584300487E-2</v>
      </c>
      <c r="H174" s="25">
        <f t="shared" si="113"/>
        <v>1.6810953910718083</v>
      </c>
      <c r="I174" s="36">
        <f>[1]data!I174-[1]data!I136</f>
        <v>1.7680361816561088</v>
      </c>
      <c r="J174" s="36">
        <f>[1]data!J174-[1]data!J136</f>
        <v>-8.6940790584300487E-2</v>
      </c>
      <c r="K174" s="36">
        <f>[1]data!K174-[1]data!K136</f>
        <v>0</v>
      </c>
      <c r="L174" s="25">
        <f t="shared" si="114"/>
        <v>3.7882736051330261</v>
      </c>
      <c r="M174" s="25">
        <f t="shared" si="115"/>
        <v>3.8116783449826466</v>
      </c>
      <c r="N174" s="25">
        <f t="shared" si="116"/>
        <v>3.3674281486784636</v>
      </c>
      <c r="O174" s="25">
        <f t="shared" si="117"/>
        <v>3.3882328180337384</v>
      </c>
      <c r="P174" s="24">
        <f t="shared" si="118"/>
        <v>0.76928801915904399</v>
      </c>
      <c r="Q174" s="40">
        <f t="shared" si="100"/>
        <v>0.68382656591835456</v>
      </c>
      <c r="R174" s="40">
        <f t="shared" si="101"/>
        <v>3.0423903258236025</v>
      </c>
      <c r="S174" s="40">
        <f t="shared" si="102"/>
        <v>2.7044062521153838</v>
      </c>
      <c r="T174" s="40">
        <f t="shared" si="103"/>
        <v>-2.3404739849620316E-2</v>
      </c>
      <c r="U174" s="40">
        <f t="shared" si="104"/>
        <v>-2.0804669355274946E-2</v>
      </c>
      <c r="V174" s="25">
        <f t="shared" si="119"/>
        <v>0.45255627451743369</v>
      </c>
      <c r="W174" s="25">
        <f t="shared" si="120"/>
        <v>0.40228106428377941</v>
      </c>
      <c r="X174" s="40">
        <f t="shared" si="105"/>
        <v>0.47596101436705401</v>
      </c>
      <c r="Y174" s="40">
        <f t="shared" si="106"/>
        <v>0.42308573363905438</v>
      </c>
      <c r="Z174" s="40">
        <f t="shared" si="107"/>
        <v>-2.3404739849620316E-2</v>
      </c>
      <c r="AA174" s="40">
        <f t="shared" si="108"/>
        <v>-2.0804669355274946E-2</v>
      </c>
      <c r="AB174" s="40">
        <f t="shared" si="109"/>
        <v>0</v>
      </c>
      <c r="AC174" s="40">
        <f t="shared" si="110"/>
        <v>0</v>
      </c>
      <c r="AD174" s="26">
        <v>417.89075855828003</v>
      </c>
      <c r="AE174" s="8">
        <v>371.46659669328</v>
      </c>
      <c r="AF174" s="61">
        <f t="shared" si="121"/>
        <v>15.840207216073585</v>
      </c>
      <c r="AG174" s="61">
        <f>(D174)+(H174)</f>
        <v>15.840207216073585</v>
      </c>
      <c r="AH174" s="74">
        <f t="shared" si="142"/>
        <v>0.89387162881518711</v>
      </c>
      <c r="AI174" s="74">
        <f t="shared" si="144"/>
        <v>0.89387162881518711</v>
      </c>
      <c r="AJ174" s="74">
        <f t="shared" si="122"/>
        <v>0.89387162881518711</v>
      </c>
      <c r="AK174" s="74">
        <f t="shared" si="145"/>
        <v>0.89387162881518711</v>
      </c>
      <c r="AL174" s="74">
        <f t="shared" si="123"/>
        <v>0.71346691664453465</v>
      </c>
      <c r="AM174" s="74">
        <f t="shared" si="146"/>
        <v>0.71346691664453465</v>
      </c>
      <c r="AN174" s="74">
        <f t="shared" si="124"/>
        <v>0.18040471217065254</v>
      </c>
      <c r="AO174" s="74">
        <f t="shared" si="125"/>
        <v>0.18040471217065254</v>
      </c>
      <c r="AP174" s="74">
        <f t="shared" si="126"/>
        <v>-5.4886144731792885E-3</v>
      </c>
      <c r="AQ174" s="74">
        <f t="shared" si="127"/>
        <v>-5.4886144731792885E-3</v>
      </c>
      <c r="AR174" s="74">
        <f t="shared" si="128"/>
        <v>0.79817603965149209</v>
      </c>
      <c r="AS174" s="74">
        <f t="shared" si="129"/>
        <v>0.20182396034850794</v>
      </c>
      <c r="AT174" s="74">
        <f t="shared" si="130"/>
        <v>0.10612837118481284</v>
      </c>
      <c r="AU174" s="74">
        <f t="shared" si="131"/>
        <v>0.10612837118481284</v>
      </c>
      <c r="AV174" s="74">
        <f t="shared" si="132"/>
        <v>0.11161698565799212</v>
      </c>
      <c r="AW174" s="74">
        <f t="shared" si="133"/>
        <v>0.11161698565799212</v>
      </c>
      <c r="AX174" s="74">
        <f t="shared" si="134"/>
        <v>-5.4886144731792885E-3</v>
      </c>
      <c r="AY174" s="74">
        <f t="shared" si="135"/>
        <v>-5.4886144731792885E-3</v>
      </c>
      <c r="AZ174" s="74">
        <f t="shared" si="136"/>
        <v>1.0517167503081846</v>
      </c>
      <c r="BA174" s="74">
        <f t="shared" si="137"/>
        <v>-5.1716750308184505E-2</v>
      </c>
      <c r="BB174" s="74">
        <f t="shared" si="138"/>
        <v>4.2408298796504595E-2</v>
      </c>
      <c r="BC174" s="74">
        <f t="shared" si="139"/>
        <v>4.2642346195000798E-2</v>
      </c>
      <c r="BD174" s="74">
        <f t="shared" si="140"/>
        <v>3.7905138823175179E-2</v>
      </c>
      <c r="BE174" s="75">
        <f t="shared" si="141"/>
        <v>4.2642346195000798E-2</v>
      </c>
    </row>
    <row r="175" spans="1:57" x14ac:dyDescent="0.35">
      <c r="A175" s="9" t="s">
        <v>48</v>
      </c>
      <c r="B175" s="11" t="s">
        <v>69</v>
      </c>
      <c r="C175" s="47">
        <f t="shared" si="111"/>
        <v>13.357727297596252</v>
      </c>
      <c r="D175" s="23">
        <f t="shared" si="112"/>
        <v>13.341642509066695</v>
      </c>
      <c r="E175" s="50">
        <f>[1]data!E175-[1]data!E137</f>
        <v>0.55317835395472414</v>
      </c>
      <c r="F175" s="36">
        <f>[1]data!F175-[1]data!F137</f>
        <v>12.788464155111971</v>
      </c>
      <c r="G175" s="36">
        <f>[1]data!G175-[1]data!G137</f>
        <v>1.608478852955697E-2</v>
      </c>
      <c r="H175" s="25">
        <f t="shared" si="113"/>
        <v>7.040326460379843</v>
      </c>
      <c r="I175" s="36">
        <f>[1]data!I175-[1]data!I137</f>
        <v>2.6177261216507137</v>
      </c>
      <c r="J175" s="36">
        <f>[1]data!J175-[1]data!J137</f>
        <v>4.4226003387291293</v>
      </c>
      <c r="K175" s="36">
        <f>[1]data!K175-[1]data!K137</f>
        <v>0</v>
      </c>
      <c r="L175" s="25">
        <f t="shared" si="114"/>
        <v>3.7264179768136811</v>
      </c>
      <c r="M175" s="25">
        <f t="shared" si="115"/>
        <v>3.7219307879532995</v>
      </c>
      <c r="N175" s="25">
        <f t="shared" si="116"/>
        <v>3.9012428959532564</v>
      </c>
      <c r="O175" s="25">
        <f t="shared" si="117"/>
        <v>3.8965451906036992</v>
      </c>
      <c r="P175" s="24">
        <f t="shared" si="118"/>
        <v>0.15432069517784164</v>
      </c>
      <c r="Q175" s="40">
        <f t="shared" si="100"/>
        <v>0.161560651410314</v>
      </c>
      <c r="R175" s="40">
        <f t="shared" si="101"/>
        <v>3.5676100927754577</v>
      </c>
      <c r="S175" s="40">
        <f t="shared" si="102"/>
        <v>3.7349845391933854</v>
      </c>
      <c r="T175" s="40">
        <f t="shared" si="103"/>
        <v>4.4871888603814853E-3</v>
      </c>
      <c r="U175" s="40">
        <f t="shared" si="104"/>
        <v>4.6977053495572303E-3</v>
      </c>
      <c r="V175" s="25">
        <f t="shared" si="119"/>
        <v>1.9640466151242326</v>
      </c>
      <c r="W175" s="25">
        <f t="shared" si="120"/>
        <v>2.056189872486105</v>
      </c>
      <c r="X175" s="40">
        <f t="shared" si="105"/>
        <v>0.73026956313514202</v>
      </c>
      <c r="Y175" s="40">
        <f t="shared" si="106"/>
        <v>0.76453016356149561</v>
      </c>
      <c r="Z175" s="40">
        <f t="shared" si="107"/>
        <v>1.2337770519890905</v>
      </c>
      <c r="AA175" s="40">
        <f t="shared" si="108"/>
        <v>1.2916597089246094</v>
      </c>
      <c r="AB175" s="40">
        <f t="shared" si="109"/>
        <v>0</v>
      </c>
      <c r="AC175" s="40">
        <f t="shared" si="110"/>
        <v>0</v>
      </c>
      <c r="AD175" s="26">
        <v>342.39670930134002</v>
      </c>
      <c r="AE175" s="8">
        <v>358.46025273358998</v>
      </c>
      <c r="AF175" s="61">
        <f t="shared" si="121"/>
        <v>20.38196896944654</v>
      </c>
      <c r="AG175" s="61">
        <f t="shared" si="143"/>
        <v>20.38196896944654</v>
      </c>
      <c r="AH175" s="74">
        <f t="shared" si="142"/>
        <v>0.65458065062636483</v>
      </c>
      <c r="AI175" s="74">
        <f t="shared" si="144"/>
        <v>0.65458065062636483</v>
      </c>
      <c r="AJ175" s="74">
        <f t="shared" si="122"/>
        <v>0.65458065062636483</v>
      </c>
      <c r="AK175" s="74">
        <f t="shared" si="145"/>
        <v>0.65458065062636483</v>
      </c>
      <c r="AL175" s="74">
        <f t="shared" si="123"/>
        <v>0.62744007579848815</v>
      </c>
      <c r="AM175" s="74">
        <f t="shared" si="146"/>
        <v>0.62744007579848815</v>
      </c>
      <c r="AN175" s="74">
        <f t="shared" si="124"/>
        <v>2.7140574827876671E-2</v>
      </c>
      <c r="AO175" s="74">
        <f t="shared" si="125"/>
        <v>2.7140574827876671E-2</v>
      </c>
      <c r="AP175" s="74">
        <f t="shared" si="126"/>
        <v>7.8916755067524489E-4</v>
      </c>
      <c r="AQ175" s="74">
        <f t="shared" si="127"/>
        <v>7.8916755067524489E-4</v>
      </c>
      <c r="AR175" s="74">
        <f t="shared" si="128"/>
        <v>0.95853746241673043</v>
      </c>
      <c r="AS175" s="74">
        <f t="shared" si="129"/>
        <v>4.1462537583269524E-2</v>
      </c>
      <c r="AT175" s="74">
        <f t="shared" si="130"/>
        <v>0.34541934937363505</v>
      </c>
      <c r="AU175" s="74">
        <f t="shared" si="131"/>
        <v>0.34541934937363505</v>
      </c>
      <c r="AV175" s="74">
        <f t="shared" si="132"/>
        <v>0.12843342689682236</v>
      </c>
      <c r="AW175" s="74">
        <f t="shared" si="133"/>
        <v>0.12843342689682236</v>
      </c>
      <c r="AX175" s="74">
        <f t="shared" si="134"/>
        <v>0.21698592247681273</v>
      </c>
      <c r="AY175" s="74">
        <f t="shared" si="135"/>
        <v>0.21698592247681273</v>
      </c>
      <c r="AZ175" s="74">
        <f t="shared" si="136"/>
        <v>0.37181885476223797</v>
      </c>
      <c r="BA175" s="74">
        <f t="shared" si="137"/>
        <v>0.62818114523776203</v>
      </c>
      <c r="BB175" s="74">
        <f t="shared" si="138"/>
        <v>5.6904645919379139E-2</v>
      </c>
      <c r="BC175" s="74">
        <f t="shared" si="139"/>
        <v>5.6859774030775329E-2</v>
      </c>
      <c r="BD175" s="74">
        <f t="shared" si="140"/>
        <v>5.9527350630898049E-2</v>
      </c>
      <c r="BE175" s="75">
        <f t="shared" si="141"/>
        <v>5.6859774030775329E-2</v>
      </c>
    </row>
    <row r="176" spans="1:57" x14ac:dyDescent="0.35">
      <c r="A176" s="10" t="s">
        <v>49</v>
      </c>
      <c r="B176" s="11" t="s">
        <v>69</v>
      </c>
      <c r="C176" s="47">
        <f t="shared" si="111"/>
        <v>0.29461204530702118</v>
      </c>
      <c r="D176" s="23">
        <f t="shared" si="112"/>
        <v>0.29461204530702118</v>
      </c>
      <c r="E176" s="50">
        <f>[1]data!E176-[1]data!E138</f>
        <v>0.44007731725619964</v>
      </c>
      <c r="F176" s="36">
        <f>[1]data!F176-[1]data!F138</f>
        <v>-0.14546527194917847</v>
      </c>
      <c r="G176" s="36">
        <f>[1]data!G176-[1]data!G138</f>
        <v>0</v>
      </c>
      <c r="H176" s="25">
        <f t="shared" si="113"/>
        <v>6.6639612864809267E-2</v>
      </c>
      <c r="I176" s="36">
        <f>[1]data!I176-[1]data!I138</f>
        <v>6.1972289180490719E-2</v>
      </c>
      <c r="J176" s="36">
        <f>[1]data!J176-[1]data!J138</f>
        <v>4.6673236843185473E-3</v>
      </c>
      <c r="K176" s="36">
        <f>[1]data!K176-[1]data!K138</f>
        <v>0</v>
      </c>
      <c r="L176" s="25">
        <f t="shared" si="114"/>
        <v>0.97682787811756222</v>
      </c>
      <c r="M176" s="25">
        <f t="shared" si="115"/>
        <v>0.97682787811756222</v>
      </c>
      <c r="N176" s="25">
        <f t="shared" si="116"/>
        <v>0.53157394248286383</v>
      </c>
      <c r="O176" s="25">
        <f t="shared" si="117"/>
        <v>0.53157394248286383</v>
      </c>
      <c r="P176" s="24">
        <f t="shared" si="118"/>
        <v>1.4591385480354557</v>
      </c>
      <c r="Q176" s="40">
        <f t="shared" si="100"/>
        <v>0.79403961330696138</v>
      </c>
      <c r="R176" s="40">
        <f t="shared" si="101"/>
        <v>-0.48231066991789351</v>
      </c>
      <c r="S176" s="40">
        <f t="shared" si="102"/>
        <v>-0.26246567082409755</v>
      </c>
      <c r="T176" s="40">
        <f t="shared" si="103"/>
        <v>0</v>
      </c>
      <c r="U176" s="40">
        <f t="shared" si="104"/>
        <v>0</v>
      </c>
      <c r="V176" s="25">
        <f t="shared" si="119"/>
        <v>0.22095305562089348</v>
      </c>
      <c r="W176" s="25">
        <f t="shared" si="120"/>
        <v>0.12023908153233344</v>
      </c>
      <c r="X176" s="40">
        <f t="shared" si="105"/>
        <v>0.20547788424326185</v>
      </c>
      <c r="Y176" s="40">
        <f t="shared" si="106"/>
        <v>0.11181774339888637</v>
      </c>
      <c r="Z176" s="40">
        <f t="shared" si="107"/>
        <v>1.5475171377631641E-2</v>
      </c>
      <c r="AA176" s="40">
        <f t="shared" si="108"/>
        <v>8.4213381334470767E-3</v>
      </c>
      <c r="AB176" s="40">
        <f t="shared" si="109"/>
        <v>0</v>
      </c>
      <c r="AC176" s="40">
        <f t="shared" si="110"/>
        <v>0</v>
      </c>
      <c r="AD176" s="32">
        <v>55.422589739999999</v>
      </c>
      <c r="AE176" s="8">
        <v>30.160077523049999</v>
      </c>
      <c r="AF176" s="61">
        <f t="shared" si="121"/>
        <v>0.36125165817183047</v>
      </c>
      <c r="AG176" s="61">
        <f t="shared" si="143"/>
        <v>0.36125165817183047</v>
      </c>
      <c r="AH176" s="74">
        <f t="shared" si="142"/>
        <v>0.8155313301479381</v>
      </c>
      <c r="AI176" s="74">
        <f t="shared" si="144"/>
        <v>0.8155313301479381</v>
      </c>
      <c r="AJ176" s="74">
        <f t="shared" si="122"/>
        <v>0.8155313301479381</v>
      </c>
      <c r="AK176" s="74">
        <f t="shared" si="145"/>
        <v>0.8155313301479381</v>
      </c>
      <c r="AL176" s="74">
        <f t="shared" si="123"/>
        <v>-0.40267018478289573</v>
      </c>
      <c r="AM176" s="74">
        <f t="shared" si="146"/>
        <v>-0.40267018478289573</v>
      </c>
      <c r="AN176" s="74">
        <f t="shared" si="124"/>
        <v>1.2182015149308338</v>
      </c>
      <c r="AO176" s="74">
        <f t="shared" si="125"/>
        <v>1.2182015149308338</v>
      </c>
      <c r="AP176" s="74">
        <f t="shared" si="126"/>
        <v>0</v>
      </c>
      <c r="AQ176" s="74">
        <f t="shared" si="127"/>
        <v>0</v>
      </c>
      <c r="AR176" s="74">
        <f t="shared" si="128"/>
        <v>-0.49375195028969765</v>
      </c>
      <c r="AS176" s="74">
        <f t="shared" si="129"/>
        <v>1.4937519502896976</v>
      </c>
      <c r="AT176" s="74">
        <f t="shared" si="130"/>
        <v>0.18446866985206176</v>
      </c>
      <c r="AU176" s="74">
        <f t="shared" si="131"/>
        <v>0.18446866985206176</v>
      </c>
      <c r="AV176" s="74">
        <f t="shared" si="132"/>
        <v>0.17154880200166003</v>
      </c>
      <c r="AW176" s="74">
        <f t="shared" si="133"/>
        <v>0.17154880200166003</v>
      </c>
      <c r="AX176" s="74">
        <f t="shared" si="134"/>
        <v>1.2919867850401728E-2</v>
      </c>
      <c r="AY176" s="74">
        <f t="shared" si="135"/>
        <v>1.2919867850401728E-2</v>
      </c>
      <c r="AZ176" s="74">
        <f t="shared" si="136"/>
        <v>0.92996172271007826</v>
      </c>
      <c r="BA176" s="74">
        <f t="shared" si="137"/>
        <v>7.0038277289921735E-2</v>
      </c>
      <c r="BB176" s="74">
        <f t="shared" si="138"/>
        <v>1.197780933738456E-2</v>
      </c>
      <c r="BC176" s="74">
        <f t="shared" si="139"/>
        <v>1.197780933738456E-2</v>
      </c>
      <c r="BD176" s="74">
        <f t="shared" si="140"/>
        <v>6.5181302401519734E-3</v>
      </c>
      <c r="BE176" s="75">
        <f t="shared" si="141"/>
        <v>1.197780933738456E-2</v>
      </c>
    </row>
    <row r="177" spans="1:57" x14ac:dyDescent="0.35">
      <c r="A177" s="9" t="s">
        <v>50</v>
      </c>
      <c r="B177" s="11" t="s">
        <v>69</v>
      </c>
      <c r="C177" s="47">
        <f t="shared" si="111"/>
        <v>2.1460296418646996E-2</v>
      </c>
      <c r="D177" s="23">
        <f t="shared" si="112"/>
        <v>1.0191779364477664</v>
      </c>
      <c r="E177" s="50">
        <f>[1]data!E177-[1]data!E139</f>
        <v>0.1612886831869611</v>
      </c>
      <c r="F177" s="36">
        <f>[1]data!F177-[1]data!F139</f>
        <v>0.85788925326080534</v>
      </c>
      <c r="G177" s="36">
        <f>[1]data!G177-[1]data!G139</f>
        <v>-0.99771764002911945</v>
      </c>
      <c r="H177" s="25">
        <f t="shared" si="113"/>
        <v>-0.39425692407598339</v>
      </c>
      <c r="I177" s="36">
        <f>[1]data!I177-[1]data!I139</f>
        <v>5.8029995609220342E-2</v>
      </c>
      <c r="J177" s="36">
        <f>[1]data!J177-[1]data!J139</f>
        <v>-0.45228691968520374</v>
      </c>
      <c r="K177" s="36">
        <f>[1]data!K177-[1]data!K139</f>
        <v>0</v>
      </c>
      <c r="L177" s="25">
        <f t="shared" si="114"/>
        <v>4.4507952490344227E-2</v>
      </c>
      <c r="M177" s="25">
        <f t="shared" si="115"/>
        <v>2.1137416878925017</v>
      </c>
      <c r="N177" s="25">
        <f t="shared" si="116"/>
        <v>2.2093024433543773E-2</v>
      </c>
      <c r="O177" s="25">
        <f t="shared" si="117"/>
        <v>1.0492270289661179</v>
      </c>
      <c r="P177" s="24">
        <f t="shared" si="118"/>
        <v>0.33450745080472866</v>
      </c>
      <c r="Q177" s="40">
        <f t="shared" si="100"/>
        <v>0.16604406337124991</v>
      </c>
      <c r="R177" s="40">
        <f t="shared" si="101"/>
        <v>1.779234237087773</v>
      </c>
      <c r="S177" s="40">
        <f t="shared" si="102"/>
        <v>0.88318296559486797</v>
      </c>
      <c r="T177" s="40">
        <f t="shared" si="103"/>
        <v>-2.0692337354021575</v>
      </c>
      <c r="U177" s="40">
        <f t="shared" si="104"/>
        <v>-1.0271340045325741</v>
      </c>
      <c r="V177" s="25">
        <f t="shared" si="119"/>
        <v>-0.81767595859095121</v>
      </c>
      <c r="W177" s="25">
        <f t="shared" si="120"/>
        <v>-0.40588105992497114</v>
      </c>
      <c r="X177" s="40">
        <f t="shared" si="105"/>
        <v>0.12035231187887308</v>
      </c>
      <c r="Y177" s="40">
        <f t="shared" si="106"/>
        <v>5.9740932085120359E-2</v>
      </c>
      <c r="Z177" s="40">
        <f t="shared" si="107"/>
        <v>-0.93802827046982429</v>
      </c>
      <c r="AA177" s="40">
        <f t="shared" si="108"/>
        <v>-0.46562199201009152</v>
      </c>
      <c r="AB177" s="40">
        <f t="shared" si="109"/>
        <v>0</v>
      </c>
      <c r="AC177" s="40">
        <f t="shared" si="110"/>
        <v>0</v>
      </c>
      <c r="AD177" s="26">
        <v>97.136073348400004</v>
      </c>
      <c r="AE177" s="8">
        <v>48.216768505140003</v>
      </c>
      <c r="AF177" s="61">
        <f t="shared" si="121"/>
        <v>0.62492101237178299</v>
      </c>
      <c r="AG177" s="61">
        <f>(D177)+(H177*-1)</f>
        <v>1.4134348605237499</v>
      </c>
      <c r="AH177" s="74">
        <f t="shared" si="142"/>
        <v>0.7210646665882493</v>
      </c>
      <c r="AI177" s="74">
        <f t="shared" si="144"/>
        <v>0.7210646665882493</v>
      </c>
      <c r="AJ177" s="74">
        <f t="shared" si="122"/>
        <v>1.6308908106316466</v>
      </c>
      <c r="AK177" s="74">
        <f t="shared" si="145"/>
        <v>1.6308908106316466</v>
      </c>
      <c r="AL177" s="74">
        <f t="shared" si="123"/>
        <v>0.60695351248299723</v>
      </c>
      <c r="AM177" s="74">
        <f t="shared" si="146"/>
        <v>1.3727962994952441</v>
      </c>
      <c r="AN177" s="74">
        <f t="shared" si="124"/>
        <v>0.11411115410525208</v>
      </c>
      <c r="AO177" s="74">
        <f t="shared" si="125"/>
        <v>0.25809451113640253</v>
      </c>
      <c r="AP177" s="74">
        <f t="shared" si="126"/>
        <v>-0.70588158527476397</v>
      </c>
      <c r="AQ177" s="74">
        <f t="shared" si="127"/>
        <v>-1.5965499963626593</v>
      </c>
      <c r="AR177" s="74">
        <f t="shared" si="128"/>
        <v>0.84174629628549924</v>
      </c>
      <c r="AS177" s="74">
        <f t="shared" si="129"/>
        <v>0.15825370371450076</v>
      </c>
      <c r="AT177" s="74">
        <f t="shared" si="130"/>
        <v>-0.27893533341175059</v>
      </c>
      <c r="AU177" s="74">
        <f t="shared" si="131"/>
        <v>-0.63089081063164654</v>
      </c>
      <c r="AV177" s="74">
        <f t="shared" si="132"/>
        <v>4.105600988765571E-2</v>
      </c>
      <c r="AW177" s="74">
        <f t="shared" si="133"/>
        <v>9.2859728606303732E-2</v>
      </c>
      <c r="AX177" s="74">
        <f t="shared" si="134"/>
        <v>-0.31999134329940632</v>
      </c>
      <c r="AY177" s="74">
        <f t="shared" si="135"/>
        <v>-0.7237505392379503</v>
      </c>
      <c r="AZ177" s="74">
        <f t="shared" si="136"/>
        <v>-0.14718827258449488</v>
      </c>
      <c r="BA177" s="74">
        <f t="shared" si="137"/>
        <v>1.1471882725844949</v>
      </c>
      <c r="BB177" s="74">
        <f t="shared" si="138"/>
        <v>-7.7316800610060712E-3</v>
      </c>
      <c r="BC177" s="74">
        <f t="shared" si="139"/>
        <v>1.2960657293015503E-2</v>
      </c>
      <c r="BD177" s="74">
        <f t="shared" si="140"/>
        <v>6.4334596904114666E-3</v>
      </c>
      <c r="BE177" s="75">
        <f t="shared" si="141"/>
        <v>2.9314176464834529E-2</v>
      </c>
    </row>
    <row r="178" spans="1:57" x14ac:dyDescent="0.35">
      <c r="A178" s="9" t="s">
        <v>51</v>
      </c>
      <c r="B178" s="11" t="s">
        <v>69</v>
      </c>
      <c r="C178" s="47">
        <f t="shared" si="111"/>
        <v>0.1244481767756411</v>
      </c>
      <c r="D178" s="23">
        <f t="shared" si="112"/>
        <v>0.12197614489762618</v>
      </c>
      <c r="E178" s="50">
        <f>[1]data!E178-[1]data!E140</f>
        <v>0.11473187508637858</v>
      </c>
      <c r="F178" s="36">
        <f>[1]data!F178-[1]data!F140</f>
        <v>7.2442698112475945E-3</v>
      </c>
      <c r="G178" s="36">
        <f>[1]data!G178-[1]data!G140</f>
        <v>2.4720318780149242E-3</v>
      </c>
      <c r="H178" s="25">
        <f t="shared" si="113"/>
        <v>8.7534926885912689E-3</v>
      </c>
      <c r="I178" s="36">
        <f>[1]data!I178-[1]data!I140</f>
        <v>1.2073783018746731E-3</v>
      </c>
      <c r="J178" s="36">
        <f>[1]data!J178-[1]data!J140</f>
        <v>7.5461143867165958E-3</v>
      </c>
      <c r="K178" s="36">
        <f>[1]data!K178-[1]data!K140</f>
        <v>-8.696217414326135E-3</v>
      </c>
      <c r="L178" s="25">
        <f t="shared" si="114"/>
        <v>0.18697845389002474</v>
      </c>
      <c r="M178" s="25">
        <f t="shared" si="115"/>
        <v>0.18326432395663581</v>
      </c>
      <c r="N178" s="25">
        <f t="shared" si="116"/>
        <v>0.18758161072183588</v>
      </c>
      <c r="O178" s="25">
        <f t="shared" si="117"/>
        <v>0.18385549971363888</v>
      </c>
      <c r="P178" s="24">
        <f t="shared" si="118"/>
        <v>0.17238009564599346</v>
      </c>
      <c r="Q178" s="40">
        <f t="shared" si="100"/>
        <v>0.17293616095830103</v>
      </c>
      <c r="R178" s="40">
        <f t="shared" si="101"/>
        <v>1.088422831064235E-2</v>
      </c>
      <c r="S178" s="40">
        <f t="shared" si="102"/>
        <v>1.091933875533785E-2</v>
      </c>
      <c r="T178" s="40">
        <f t="shared" si="103"/>
        <v>3.7141299333889226E-3</v>
      </c>
      <c r="U178" s="40">
        <f t="shared" si="104"/>
        <v>3.7261110081970145E-3</v>
      </c>
      <c r="V178" s="25">
        <f t="shared" si="119"/>
        <v>1.3151775875360145E-2</v>
      </c>
      <c r="W178" s="25">
        <f t="shared" si="120"/>
        <v>1.3194200996033877E-2</v>
      </c>
      <c r="X178" s="40">
        <f t="shared" si="105"/>
        <v>1.8140380517738361E-3</v>
      </c>
      <c r="Y178" s="40">
        <f t="shared" si="106"/>
        <v>1.8198897925564201E-3</v>
      </c>
      <c r="Z178" s="40">
        <f t="shared" si="107"/>
        <v>1.1337737823586309E-2</v>
      </c>
      <c r="AA178" s="40">
        <f t="shared" si="108"/>
        <v>1.1374311203477457E-2</v>
      </c>
      <c r="AB178" s="40">
        <f t="shared" si="109"/>
        <v>-1.306572204551956E-2</v>
      </c>
      <c r="AC178" s="40">
        <f t="shared" si="110"/>
        <v>-1.3107869572950374E-2</v>
      </c>
      <c r="AD178" s="26">
        <v>66.343484468840003</v>
      </c>
      <c r="AE178" s="8">
        <v>66.557495896739994</v>
      </c>
      <c r="AF178" s="61">
        <f t="shared" si="121"/>
        <v>0.13072963758621745</v>
      </c>
      <c r="AG178" s="61">
        <f t="shared" si="143"/>
        <v>0.13072963758621745</v>
      </c>
      <c r="AH178" s="74">
        <f t="shared" si="142"/>
        <v>0.93304125330556154</v>
      </c>
      <c r="AI178" s="74">
        <f t="shared" si="144"/>
        <v>0.93304125330556154</v>
      </c>
      <c r="AJ178" s="74">
        <f t="shared" si="122"/>
        <v>0.93304125330556154</v>
      </c>
      <c r="AK178" s="74">
        <f t="shared" si="145"/>
        <v>0.93304125330556154</v>
      </c>
      <c r="AL178" s="74">
        <f t="shared" si="123"/>
        <v>5.5414135195394613E-2</v>
      </c>
      <c r="AM178" s="74">
        <f t="shared" si="146"/>
        <v>5.5414135195394613E-2</v>
      </c>
      <c r="AN178" s="74">
        <f t="shared" si="124"/>
        <v>0.87762711811016703</v>
      </c>
      <c r="AO178" s="74">
        <f t="shared" si="125"/>
        <v>0.87762711811016703</v>
      </c>
      <c r="AP178" s="74">
        <f t="shared" si="126"/>
        <v>1.8909498440126828E-2</v>
      </c>
      <c r="AQ178" s="74">
        <f t="shared" si="127"/>
        <v>1.8909498440126828E-2</v>
      </c>
      <c r="AR178" s="74">
        <f t="shared" si="128"/>
        <v>5.9390873660810195E-2</v>
      </c>
      <c r="AS178" s="74">
        <f t="shared" si="129"/>
        <v>0.9406091263391898</v>
      </c>
      <c r="AT178" s="74">
        <f t="shared" si="130"/>
        <v>6.6958746694438409E-2</v>
      </c>
      <c r="AU178" s="74">
        <f t="shared" si="131"/>
        <v>6.6958746694438409E-2</v>
      </c>
      <c r="AV178" s="74">
        <f t="shared" si="132"/>
        <v>9.2356891992330017E-3</v>
      </c>
      <c r="AW178" s="74">
        <f t="shared" si="133"/>
        <v>9.2356891992330017E-3</v>
      </c>
      <c r="AX178" s="74">
        <f t="shared" si="134"/>
        <v>5.7723057495205413E-2</v>
      </c>
      <c r="AY178" s="74">
        <f t="shared" si="135"/>
        <v>5.7723057495205413E-2</v>
      </c>
      <c r="AZ178" s="74">
        <f t="shared" si="136"/>
        <v>0.13793103448276037</v>
      </c>
      <c r="BA178" s="74">
        <f t="shared" si="137"/>
        <v>0.86206896551723966</v>
      </c>
      <c r="BB178" s="74">
        <f t="shared" si="138"/>
        <v>2.001302297653849E-3</v>
      </c>
      <c r="BC178" s="74">
        <f t="shared" si="139"/>
        <v>1.9641609983199596E-3</v>
      </c>
      <c r="BD178" s="74">
        <f t="shared" si="140"/>
        <v>1.9704970070967276E-3</v>
      </c>
      <c r="BE178" s="75">
        <f t="shared" si="141"/>
        <v>1.9641609983199596E-3</v>
      </c>
    </row>
    <row r="179" spans="1:57" x14ac:dyDescent="0.35">
      <c r="A179" s="9" t="s">
        <v>52</v>
      </c>
      <c r="B179" s="11" t="s">
        <v>69</v>
      </c>
      <c r="C179" s="47">
        <f t="shared" si="111"/>
        <v>0.71613001505309626</v>
      </c>
      <c r="D179" s="23">
        <f t="shared" si="112"/>
        <v>0.67809759854404561</v>
      </c>
      <c r="E179" s="50">
        <f>[1]data!E179-[1]data!E141</f>
        <v>8.6285741513915326E-2</v>
      </c>
      <c r="F179" s="36">
        <f>[1]data!F179-[1]data!F141</f>
        <v>0.59181185703013028</v>
      </c>
      <c r="G179" s="36">
        <f>[1]data!G179-[1]data!G141</f>
        <v>3.8032416509050648E-2</v>
      </c>
      <c r="H179" s="25">
        <f t="shared" si="113"/>
        <v>0.19619897405462439</v>
      </c>
      <c r="I179" s="36">
        <f>[1]data!I179-[1]data!I141</f>
        <v>0</v>
      </c>
      <c r="J179" s="36">
        <f>[1]data!J179-[1]data!J141</f>
        <v>0.19619897405462439</v>
      </c>
      <c r="K179" s="36">
        <f>[1]data!K179-[1]data!K141</f>
        <v>0</v>
      </c>
      <c r="L179" s="25">
        <f t="shared" si="114"/>
        <v>8.5228164212247784E-2</v>
      </c>
      <c r="M179" s="25">
        <f t="shared" si="115"/>
        <v>8.0701845008350648E-2</v>
      </c>
      <c r="N179" s="25">
        <f t="shared" si="116"/>
        <v>7.6801690340628143E-2</v>
      </c>
      <c r="O179" s="25">
        <f t="shared" si="117"/>
        <v>7.2722886472286821E-2</v>
      </c>
      <c r="P179" s="24">
        <f t="shared" si="118"/>
        <v>1.0269050580680231E-2</v>
      </c>
      <c r="Q179" s="40">
        <f t="shared" si="100"/>
        <v>9.2537537336315513E-3</v>
      </c>
      <c r="R179" s="40">
        <f t="shared" si="101"/>
        <v>7.043279442767042E-2</v>
      </c>
      <c r="S179" s="40">
        <f t="shared" si="102"/>
        <v>6.3469132738655273E-2</v>
      </c>
      <c r="T179" s="40">
        <f t="shared" si="103"/>
        <v>4.5263192038971327E-3</v>
      </c>
      <c r="U179" s="40">
        <f t="shared" si="104"/>
        <v>4.0788038683413266E-3</v>
      </c>
      <c r="V179" s="25">
        <f t="shared" si="119"/>
        <v>2.3350059385183385E-2</v>
      </c>
      <c r="W179" s="25">
        <f t="shared" si="120"/>
        <v>2.1041448527157426E-2</v>
      </c>
      <c r="X179" s="40">
        <f t="shared" si="105"/>
        <v>0</v>
      </c>
      <c r="Y179" s="40">
        <f t="shared" si="106"/>
        <v>0</v>
      </c>
      <c r="Z179" s="40">
        <f t="shared" si="107"/>
        <v>2.3350059385183385E-2</v>
      </c>
      <c r="AA179" s="40">
        <f t="shared" si="108"/>
        <v>2.1041448527157426E-2</v>
      </c>
      <c r="AB179" s="40">
        <f t="shared" si="109"/>
        <v>0</v>
      </c>
      <c r="AC179" s="40">
        <f t="shared" si="110"/>
        <v>0</v>
      </c>
      <c r="AD179" s="26">
        <v>932.44043441874999</v>
      </c>
      <c r="AE179" s="8">
        <v>840.25042856688003</v>
      </c>
      <c r="AF179" s="61">
        <f t="shared" si="121"/>
        <v>0.87429657259867</v>
      </c>
      <c r="AG179" s="61">
        <f t="shared" si="143"/>
        <v>0.87429657259867</v>
      </c>
      <c r="AH179" s="74">
        <f t="shared" si="142"/>
        <v>0.77559219582496752</v>
      </c>
      <c r="AI179" s="74">
        <f t="shared" si="144"/>
        <v>0.77559219582496752</v>
      </c>
      <c r="AJ179" s="74">
        <f t="shared" si="122"/>
        <v>0.77559219582496752</v>
      </c>
      <c r="AK179" s="74">
        <f t="shared" si="145"/>
        <v>0.77559219582496752</v>
      </c>
      <c r="AL179" s="74">
        <f t="shared" si="123"/>
        <v>0.67690057993832575</v>
      </c>
      <c r="AM179" s="74">
        <f t="shared" si="146"/>
        <v>0.67690057993832575</v>
      </c>
      <c r="AN179" s="74">
        <f t="shared" si="124"/>
        <v>9.8691615886641743E-2</v>
      </c>
      <c r="AO179" s="74">
        <f t="shared" si="125"/>
        <v>9.8691615886641743E-2</v>
      </c>
      <c r="AP179" s="74">
        <f t="shared" si="126"/>
        <v>4.3500589732391348E-2</v>
      </c>
      <c r="AQ179" s="74">
        <f t="shared" si="127"/>
        <v>4.3500589732391348E-2</v>
      </c>
      <c r="AR179" s="74">
        <f t="shared" si="128"/>
        <v>0.87275321178075127</v>
      </c>
      <c r="AS179" s="74">
        <f t="shared" si="129"/>
        <v>0.12724678821924873</v>
      </c>
      <c r="AT179" s="74">
        <f t="shared" si="130"/>
        <v>0.22440780417503245</v>
      </c>
      <c r="AU179" s="74">
        <f t="shared" si="131"/>
        <v>0.22440780417503245</v>
      </c>
      <c r="AV179" s="74">
        <f t="shared" si="132"/>
        <v>0</v>
      </c>
      <c r="AW179" s="74">
        <f t="shared" si="133"/>
        <v>0</v>
      </c>
      <c r="AX179" s="74">
        <f t="shared" si="134"/>
        <v>0.22440780417503245</v>
      </c>
      <c r="AY179" s="74">
        <f t="shared" si="135"/>
        <v>0.22440780417503245</v>
      </c>
      <c r="AZ179" s="74">
        <f t="shared" si="136"/>
        <v>0</v>
      </c>
      <c r="BA179" s="74">
        <f t="shared" si="137"/>
        <v>1</v>
      </c>
      <c r="BB179" s="74">
        <f t="shared" si="138"/>
        <v>1.0857822359743117E-3</v>
      </c>
      <c r="BC179" s="74">
        <f t="shared" si="139"/>
        <v>1.0405190439353403E-3</v>
      </c>
      <c r="BD179" s="74">
        <f t="shared" si="140"/>
        <v>9.3764334999444244E-4</v>
      </c>
      <c r="BE179" s="75">
        <f t="shared" si="141"/>
        <v>1.0405190439353403E-3</v>
      </c>
    </row>
    <row r="180" spans="1:57" x14ac:dyDescent="0.35">
      <c r="A180" s="9" t="s">
        <v>53</v>
      </c>
      <c r="B180" s="11" t="s">
        <v>69</v>
      </c>
      <c r="C180" s="47">
        <f t="shared" si="111"/>
        <v>0.45804418199202646</v>
      </c>
      <c r="D180" s="23">
        <f t="shared" si="112"/>
        <v>0.45804418199202646</v>
      </c>
      <c r="E180" s="50">
        <f>[1]data!E180-[1]data!E142</f>
        <v>8.4225719459962711E-3</v>
      </c>
      <c r="F180" s="36">
        <f>[1]data!F180-[1]data!F142</f>
        <v>0.44962161004603018</v>
      </c>
      <c r="G180" s="36">
        <f>[1]data!G180-[1]data!G142</f>
        <v>0</v>
      </c>
      <c r="H180" s="25">
        <f t="shared" si="113"/>
        <v>0.14890109120145767</v>
      </c>
      <c r="I180" s="36">
        <f>[1]data!I180-[1]data!I142</f>
        <v>0.13540337974953975</v>
      </c>
      <c r="J180" s="36">
        <f>[1]data!J180-[1]data!J142</f>
        <v>1.3497711451917915E-2</v>
      </c>
      <c r="K180" s="36">
        <f>[1]data!K180-[1]data!K142</f>
        <v>0</v>
      </c>
      <c r="L180" s="25">
        <f t="shared" si="114"/>
        <v>0.22570525354735974</v>
      </c>
      <c r="M180" s="25">
        <f t="shared" si="115"/>
        <v>0.22570525354735974</v>
      </c>
      <c r="N180" s="25">
        <f t="shared" si="116"/>
        <v>0.23613713299910413</v>
      </c>
      <c r="O180" s="25">
        <f t="shared" si="117"/>
        <v>0.23613713299910413</v>
      </c>
      <c r="P180" s="24">
        <f t="shared" si="118"/>
        <v>4.1502955639005582E-3</v>
      </c>
      <c r="Q180" s="40">
        <f t="shared" si="100"/>
        <v>4.3421182278893496E-3</v>
      </c>
      <c r="R180" s="40">
        <f t="shared" si="101"/>
        <v>0.22155495798345917</v>
      </c>
      <c r="S180" s="40">
        <f t="shared" si="102"/>
        <v>0.23179501477121478</v>
      </c>
      <c r="T180" s="40">
        <f t="shared" si="103"/>
        <v>0</v>
      </c>
      <c r="U180" s="40">
        <f t="shared" si="104"/>
        <v>0</v>
      </c>
      <c r="V180" s="25">
        <f t="shared" si="119"/>
        <v>7.3372307441923967E-2</v>
      </c>
      <c r="W180" s="25">
        <f t="shared" si="120"/>
        <v>7.6763504830113571E-2</v>
      </c>
      <c r="X180" s="40">
        <f t="shared" si="105"/>
        <v>6.6721192756185488E-2</v>
      </c>
      <c r="Y180" s="40">
        <f t="shared" si="106"/>
        <v>6.9804982029008422E-2</v>
      </c>
      <c r="Z180" s="40">
        <f t="shared" si="107"/>
        <v>6.6511146857384743E-3</v>
      </c>
      <c r="AA180" s="40">
        <f t="shared" si="108"/>
        <v>6.9585228011051466E-3</v>
      </c>
      <c r="AB180" s="40">
        <f t="shared" si="109"/>
        <v>0</v>
      </c>
      <c r="AC180" s="40">
        <f t="shared" si="110"/>
        <v>0</v>
      </c>
      <c r="AD180" s="26">
        <v>193.97380504054999</v>
      </c>
      <c r="AE180" s="8">
        <v>202.93908750153</v>
      </c>
      <c r="AF180" s="61">
        <f t="shared" si="121"/>
        <v>0.60694527319348412</v>
      </c>
      <c r="AG180" s="61">
        <f t="shared" si="143"/>
        <v>0.60694527319348412</v>
      </c>
      <c r="AH180" s="74">
        <f t="shared" si="142"/>
        <v>0.75467130600094412</v>
      </c>
      <c r="AI180" s="74">
        <f t="shared" si="144"/>
        <v>0.75467130600094412</v>
      </c>
      <c r="AJ180" s="74">
        <f t="shared" si="122"/>
        <v>0.75467130600094412</v>
      </c>
      <c r="AK180" s="74">
        <f t="shared" si="145"/>
        <v>0.75467130600094412</v>
      </c>
      <c r="AL180" s="74">
        <f t="shared" si="123"/>
        <v>0.74079431853932276</v>
      </c>
      <c r="AM180" s="74">
        <f t="shared" si="146"/>
        <v>0.74079431853932276</v>
      </c>
      <c r="AN180" s="74">
        <f t="shared" si="124"/>
        <v>1.3876987461621262E-2</v>
      </c>
      <c r="AO180" s="74">
        <f t="shared" si="125"/>
        <v>1.3876987461621262E-2</v>
      </c>
      <c r="AP180" s="74">
        <f t="shared" si="126"/>
        <v>0</v>
      </c>
      <c r="AQ180" s="74">
        <f t="shared" si="127"/>
        <v>0</v>
      </c>
      <c r="AR180" s="74">
        <f t="shared" si="128"/>
        <v>0.98161187877255285</v>
      </c>
      <c r="AS180" s="74">
        <f t="shared" si="129"/>
        <v>1.8388121227447204E-2</v>
      </c>
      <c r="AT180" s="74">
        <f t="shared" si="130"/>
        <v>0.24532869399905594</v>
      </c>
      <c r="AU180" s="74">
        <f t="shared" si="131"/>
        <v>0.24532869399905594</v>
      </c>
      <c r="AV180" s="74">
        <f t="shared" si="132"/>
        <v>0.22308993204132821</v>
      </c>
      <c r="AW180" s="74">
        <f t="shared" si="133"/>
        <v>0.22308993204132821</v>
      </c>
      <c r="AX180" s="74">
        <f t="shared" si="134"/>
        <v>2.2238761957727723E-2</v>
      </c>
      <c r="AY180" s="74">
        <f t="shared" si="135"/>
        <v>2.2238761957727723E-2</v>
      </c>
      <c r="AZ180" s="74">
        <f t="shared" si="136"/>
        <v>0.90935115825540858</v>
      </c>
      <c r="BA180" s="74">
        <f t="shared" si="137"/>
        <v>9.0648841744591452E-2</v>
      </c>
      <c r="BB180" s="74">
        <f t="shared" si="138"/>
        <v>2.9907756098928365E-3</v>
      </c>
      <c r="BC180" s="74">
        <f t="shared" si="139"/>
        <v>2.9907756098928365E-3</v>
      </c>
      <c r="BD180" s="74">
        <f t="shared" si="140"/>
        <v>3.1290063782921768E-3</v>
      </c>
      <c r="BE180" s="75">
        <f t="shared" si="141"/>
        <v>2.9907756098928365E-3</v>
      </c>
    </row>
    <row r="181" spans="1:57" x14ac:dyDescent="0.35">
      <c r="A181" s="9" t="s">
        <v>54</v>
      </c>
      <c r="B181" s="11" t="s">
        <v>69</v>
      </c>
      <c r="C181" s="47">
        <f t="shared" si="111"/>
        <v>6.4610800792816336E-2</v>
      </c>
      <c r="D181" s="23">
        <f t="shared" si="112"/>
        <v>6.4610800792816336E-2</v>
      </c>
      <c r="E181" s="50">
        <f>[1]data!E181-[1]data!E143</f>
        <v>5.5249140820461395E-3</v>
      </c>
      <c r="F181" s="36">
        <f>[1]data!F181-[1]data!F143</f>
        <v>5.9085886710770197E-2</v>
      </c>
      <c r="G181" s="36">
        <f>[1]data!G181-[1]data!G143</f>
        <v>0</v>
      </c>
      <c r="H181" s="25">
        <f t="shared" si="113"/>
        <v>2.4021959889068967E-2</v>
      </c>
      <c r="I181" s="36">
        <f>[1]data!I181-[1]data!I143</f>
        <v>-1.5880197370153226E-2</v>
      </c>
      <c r="J181" s="36">
        <f>[1]data!J181-[1]data!J143</f>
        <v>3.9902157259222193E-2</v>
      </c>
      <c r="K181" s="36">
        <f>[1]data!K181-[1]data!K143</f>
        <v>0</v>
      </c>
      <c r="L181" s="25">
        <f t="shared" si="114"/>
        <v>1.5749154360872274E-2</v>
      </c>
      <c r="M181" s="25">
        <f t="shared" si="115"/>
        <v>1.5749154360872274E-2</v>
      </c>
      <c r="N181" s="25">
        <f t="shared" si="116"/>
        <v>1.9552115711977631E-2</v>
      </c>
      <c r="O181" s="25">
        <f t="shared" si="117"/>
        <v>1.9552115711977631E-2</v>
      </c>
      <c r="P181" s="24">
        <f t="shared" si="118"/>
        <v>1.3467210379843489E-3</v>
      </c>
      <c r="Q181" s="40">
        <f t="shared" si="100"/>
        <v>1.6719148827344559E-3</v>
      </c>
      <c r="R181" s="40">
        <f t="shared" si="101"/>
        <v>1.4402433322887926E-2</v>
      </c>
      <c r="S181" s="40">
        <f t="shared" si="102"/>
        <v>1.7880200829243176E-2</v>
      </c>
      <c r="T181" s="40">
        <f t="shared" si="103"/>
        <v>0</v>
      </c>
      <c r="U181" s="40">
        <f t="shared" si="104"/>
        <v>0</v>
      </c>
      <c r="V181" s="25">
        <f t="shared" si="119"/>
        <v>5.8554537275707762E-3</v>
      </c>
      <c r="W181" s="25">
        <f t="shared" si="120"/>
        <v>7.2693749901917726E-3</v>
      </c>
      <c r="X181" s="40">
        <f t="shared" si="105"/>
        <v>-3.8708648800939815E-3</v>
      </c>
      <c r="Y181" s="40">
        <f t="shared" si="106"/>
        <v>-4.8055658295570979E-3</v>
      </c>
      <c r="Z181" s="40">
        <f t="shared" si="107"/>
        <v>9.7263186076647582E-3</v>
      </c>
      <c r="AA181" s="40">
        <f t="shared" si="108"/>
        <v>1.207494081974887E-2</v>
      </c>
      <c r="AB181" s="40">
        <f t="shared" si="109"/>
        <v>0</v>
      </c>
      <c r="AC181" s="40">
        <f t="shared" si="110"/>
        <v>0</v>
      </c>
      <c r="AD181" s="26">
        <v>330.45426768437</v>
      </c>
      <c r="AE181" s="8">
        <v>410.24933347112</v>
      </c>
      <c r="AF181" s="61">
        <f t="shared" si="121"/>
        <v>8.8632760681885303E-2</v>
      </c>
      <c r="AG181" s="61">
        <f t="shared" si="143"/>
        <v>8.8632760681885303E-2</v>
      </c>
      <c r="AH181" s="74">
        <f t="shared" si="142"/>
        <v>0.72897199969560966</v>
      </c>
      <c r="AI181" s="74">
        <f t="shared" si="144"/>
        <v>0.72897199969560966</v>
      </c>
      <c r="AJ181" s="74">
        <f t="shared" si="122"/>
        <v>0.72897199969560966</v>
      </c>
      <c r="AK181" s="74">
        <f t="shared" si="145"/>
        <v>0.72897199969560966</v>
      </c>
      <c r="AL181" s="74">
        <f t="shared" si="123"/>
        <v>0.6666371018594045</v>
      </c>
      <c r="AM181" s="74">
        <f t="shared" si="146"/>
        <v>0.6666371018594045</v>
      </c>
      <c r="AN181" s="74">
        <f t="shared" si="124"/>
        <v>6.2334897836205133E-2</v>
      </c>
      <c r="AO181" s="74">
        <f t="shared" si="125"/>
        <v>6.2334897836205133E-2</v>
      </c>
      <c r="AP181" s="74">
        <f t="shared" si="126"/>
        <v>0</v>
      </c>
      <c r="AQ181" s="74">
        <f t="shared" si="127"/>
        <v>0</v>
      </c>
      <c r="AR181" s="74">
        <f t="shared" si="128"/>
        <v>0.91448931116389409</v>
      </c>
      <c r="AS181" s="74">
        <f t="shared" si="129"/>
        <v>8.5510688836105866E-2</v>
      </c>
      <c r="AT181" s="74">
        <f t="shared" si="130"/>
        <v>0.27102800030439034</v>
      </c>
      <c r="AU181" s="74">
        <f t="shared" si="131"/>
        <v>0.27102800030439034</v>
      </c>
      <c r="AV181" s="74">
        <f t="shared" si="132"/>
        <v>-0.17916848406820313</v>
      </c>
      <c r="AW181" s="74">
        <f t="shared" si="133"/>
        <v>-0.17916848406820313</v>
      </c>
      <c r="AX181" s="74">
        <f t="shared" si="134"/>
        <v>0.45019648437259346</v>
      </c>
      <c r="AY181" s="74">
        <f t="shared" si="135"/>
        <v>0.45019648437259346</v>
      </c>
      <c r="AZ181" s="74">
        <f t="shared" si="136"/>
        <v>-0.66107001441541013</v>
      </c>
      <c r="BA181" s="74">
        <f t="shared" si="137"/>
        <v>1.6610700144154102</v>
      </c>
      <c r="BB181" s="74">
        <f t="shared" si="138"/>
        <v>2.1604608088443054E-4</v>
      </c>
      <c r="BC181" s="74">
        <f t="shared" si="139"/>
        <v>2.1604608088443054E-4</v>
      </c>
      <c r="BD181" s="74">
        <f t="shared" si="140"/>
        <v>2.682149070216941E-4</v>
      </c>
      <c r="BE181" s="75">
        <f t="shared" si="141"/>
        <v>2.1604608088443054E-4</v>
      </c>
    </row>
    <row r="182" spans="1:57" x14ac:dyDescent="0.35">
      <c r="A182" s="9" t="s">
        <v>55</v>
      </c>
      <c r="B182" s="11" t="s">
        <v>69</v>
      </c>
      <c r="C182" s="47">
        <f t="shared" si="111"/>
        <v>-5.9962728984468416</v>
      </c>
      <c r="D182" s="23">
        <f t="shared" si="112"/>
        <v>1.7405980237011405</v>
      </c>
      <c r="E182" s="60">
        <f>[1]data!E182-[1]data!E144</f>
        <v>-0.33574397714601334</v>
      </c>
      <c r="F182" s="59">
        <f>[1]data!F182-[1]data!F144</f>
        <v>2.0763420008471538</v>
      </c>
      <c r="G182" s="36">
        <f>[1]data!G182-[1]data!G144</f>
        <v>-7.7368709221479817</v>
      </c>
      <c r="H182" s="25">
        <f>I182+J182</f>
        <v>-1.7405980240000001</v>
      </c>
      <c r="I182" s="36">
        <f>[1]data!I182-[1]data!I144</f>
        <v>0</v>
      </c>
      <c r="J182" s="36">
        <v>-1.7405980240000001</v>
      </c>
      <c r="K182" s="36">
        <f>[1]data!K182-[1]data!K144</f>
        <v>0</v>
      </c>
      <c r="L182" s="25">
        <f t="shared" si="114"/>
        <v>-2.6966220014854239</v>
      </c>
      <c r="M182" s="25">
        <f t="shared" si="115"/>
        <v>0.78277540164496462</v>
      </c>
      <c r="N182" s="25">
        <f t="shared" si="116"/>
        <v>-1.7573250387107662</v>
      </c>
      <c r="O182" s="25">
        <f t="shared" si="117"/>
        <v>0.51011629076668297</v>
      </c>
      <c r="P182" s="24">
        <f t="shared" si="118"/>
        <v>-0.15098955817582446</v>
      </c>
      <c r="Q182" s="40">
        <f t="shared" si="100"/>
        <v>-9.8396338463489469E-2</v>
      </c>
      <c r="R182" s="40">
        <f t="shared" si="101"/>
        <v>0.93376495982078911</v>
      </c>
      <c r="S182" s="40">
        <f t="shared" si="102"/>
        <v>0.60851262923017246</v>
      </c>
      <c r="T182" s="40">
        <f t="shared" si="103"/>
        <v>-3.4793974031303887</v>
      </c>
      <c r="U182" s="40">
        <f t="shared" si="104"/>
        <v>-2.2674413294774491</v>
      </c>
      <c r="V182" s="25">
        <f t="shared" si="119"/>
        <v>-0.78277540177936689</v>
      </c>
      <c r="W182" s="25">
        <f t="shared" si="120"/>
        <v>-0.51011629085426957</v>
      </c>
      <c r="X182" s="40">
        <f t="shared" si="105"/>
        <v>0</v>
      </c>
      <c r="Y182" s="40">
        <f t="shared" si="106"/>
        <v>0</v>
      </c>
      <c r="Z182" s="40">
        <f t="shared" si="107"/>
        <v>-0.78277540177936689</v>
      </c>
      <c r="AA182" s="40">
        <f t="shared" si="108"/>
        <v>-0.51011629085426957</v>
      </c>
      <c r="AB182" s="40">
        <f t="shared" si="109"/>
        <v>0</v>
      </c>
      <c r="AC182" s="40">
        <f t="shared" si="110"/>
        <v>0</v>
      </c>
      <c r="AD182" s="26">
        <v>341.21592570296002</v>
      </c>
      <c r="AE182" s="8">
        <v>222.36238134761999</v>
      </c>
      <c r="AF182" s="61">
        <v>0</v>
      </c>
      <c r="AG182" s="61">
        <v>0</v>
      </c>
      <c r="AH182" s="74">
        <v>0</v>
      </c>
      <c r="AI182" s="74">
        <v>0</v>
      </c>
      <c r="AJ182" s="74">
        <v>0</v>
      </c>
      <c r="AK182" s="74">
        <v>0</v>
      </c>
      <c r="AL182" s="74" t="e">
        <f t="shared" si="123"/>
        <v>#DIV/0!</v>
      </c>
      <c r="AM182" s="74">
        <v>0</v>
      </c>
      <c r="AN182" s="74" t="e">
        <f t="shared" si="124"/>
        <v>#DIV/0!</v>
      </c>
      <c r="AO182" s="74" t="e">
        <f t="shared" si="125"/>
        <v>#DIV/0!</v>
      </c>
      <c r="AP182" s="74" t="e">
        <f t="shared" si="126"/>
        <v>#DIV/0!</v>
      </c>
      <c r="AQ182" s="74" t="e">
        <f t="shared" si="127"/>
        <v>#DIV/0!</v>
      </c>
      <c r="AR182" s="74">
        <f t="shared" si="128"/>
        <v>1.1928900139919154</v>
      </c>
      <c r="AS182" s="74">
        <f t="shared" si="129"/>
        <v>-0.19289001399191544</v>
      </c>
      <c r="AT182" s="74" t="e">
        <f t="shared" si="130"/>
        <v>#DIV/0!</v>
      </c>
      <c r="AU182" s="74" t="e">
        <f t="shared" si="131"/>
        <v>#DIV/0!</v>
      </c>
      <c r="AV182" s="74">
        <v>0</v>
      </c>
      <c r="AW182" s="74" t="e">
        <f t="shared" si="133"/>
        <v>#DIV/0!</v>
      </c>
      <c r="AX182" s="74" t="e">
        <f t="shared" si="134"/>
        <v>#DIV/0!</v>
      </c>
      <c r="AY182" s="74" t="e">
        <f t="shared" si="135"/>
        <v>#DIV/0!</v>
      </c>
      <c r="AZ182" s="74">
        <f t="shared" si="136"/>
        <v>0</v>
      </c>
      <c r="BA182" s="74">
        <f t="shared" si="137"/>
        <v>1</v>
      </c>
      <c r="BB182" s="74">
        <f t="shared" si="138"/>
        <v>-3.4793974031303888E-2</v>
      </c>
      <c r="BC182" s="74">
        <f t="shared" si="139"/>
        <v>0</v>
      </c>
      <c r="BD182" s="74">
        <f t="shared" si="140"/>
        <v>0</v>
      </c>
      <c r="BE182" s="75">
        <f t="shared" si="141"/>
        <v>0</v>
      </c>
    </row>
    <row r="183" spans="1:57" x14ac:dyDescent="0.35">
      <c r="A183" s="9" t="s">
        <v>56</v>
      </c>
      <c r="B183" s="11" t="s">
        <v>69</v>
      </c>
      <c r="C183" s="47">
        <f t="shared" si="111"/>
        <v>0.70849942834870971</v>
      </c>
      <c r="D183" s="23">
        <f t="shared" si="112"/>
        <v>0.65254641160964366</v>
      </c>
      <c r="E183" s="50">
        <f>[1]data!E183-[1]data!E145</f>
        <v>0.12712771106513487</v>
      </c>
      <c r="F183" s="36">
        <f>[1]data!F183-[1]data!F145</f>
        <v>0.52541870054450879</v>
      </c>
      <c r="G183" s="36">
        <f>[1]data!G183-[1]data!G145</f>
        <v>5.5953016739066053E-2</v>
      </c>
      <c r="H183" s="25">
        <f t="shared" si="113"/>
        <v>1.7931727792675822E-2</v>
      </c>
      <c r="I183" s="36">
        <f>[1]data!I183-[1]data!I145</f>
        <v>0</v>
      </c>
      <c r="J183" s="36">
        <f>[1]data!J183-[1]data!J145</f>
        <v>1.7931727792675822E-2</v>
      </c>
      <c r="K183" s="36">
        <f>[1]data!K183-[1]data!K145</f>
        <v>0</v>
      </c>
      <c r="L183" s="25">
        <f t="shared" si="114"/>
        <v>0.71213801797948129</v>
      </c>
      <c r="M183" s="25">
        <f t="shared" si="115"/>
        <v>0.65589764735081268</v>
      </c>
      <c r="N183" s="25">
        <f t="shared" si="116"/>
        <v>0.38990293843125529</v>
      </c>
      <c r="O183" s="25">
        <f t="shared" si="117"/>
        <v>0.35911075319053898</v>
      </c>
      <c r="P183" s="24">
        <f t="shared" si="118"/>
        <v>0.1277805917207247</v>
      </c>
      <c r="Q183" s="40">
        <f t="shared" si="100"/>
        <v>6.9961197027161956E-2</v>
      </c>
      <c r="R183" s="40">
        <f t="shared" si="101"/>
        <v>0.52811705563008804</v>
      </c>
      <c r="S183" s="40">
        <f t="shared" si="102"/>
        <v>0.28914955616337701</v>
      </c>
      <c r="T183" s="40">
        <f t="shared" si="103"/>
        <v>5.6240370628668566E-2</v>
      </c>
      <c r="U183" s="40">
        <f t="shared" si="104"/>
        <v>3.0792185240716287E-2</v>
      </c>
      <c r="V183" s="25">
        <f t="shared" si="119"/>
        <v>1.8023818479270051E-2</v>
      </c>
      <c r="W183" s="25">
        <f t="shared" si="120"/>
        <v>9.8682272388123417E-3</v>
      </c>
      <c r="X183" s="40">
        <f t="shared" si="105"/>
        <v>0</v>
      </c>
      <c r="Y183" s="40">
        <f t="shared" si="106"/>
        <v>0</v>
      </c>
      <c r="Z183" s="40">
        <f t="shared" si="107"/>
        <v>1.8023818479270051E-2</v>
      </c>
      <c r="AA183" s="40">
        <f t="shared" si="108"/>
        <v>9.8682272388123417E-3</v>
      </c>
      <c r="AB183" s="40">
        <f t="shared" si="109"/>
        <v>0</v>
      </c>
      <c r="AC183" s="40">
        <f t="shared" si="110"/>
        <v>0</v>
      </c>
      <c r="AD183" s="26">
        <v>181.71174374815001</v>
      </c>
      <c r="AE183" s="8">
        <v>99.489061173690004</v>
      </c>
      <c r="AF183" s="61">
        <f t="shared" si="121"/>
        <v>0.67047813940231948</v>
      </c>
      <c r="AG183" s="61">
        <f>(D183)+(H183)</f>
        <v>0.67047813940231948</v>
      </c>
      <c r="AH183" s="74">
        <f t="shared" si="142"/>
        <v>0.97325531327738646</v>
      </c>
      <c r="AI183" s="74">
        <f>D183/AG183</f>
        <v>0.97325531327738646</v>
      </c>
      <c r="AJ183" s="74">
        <f t="shared" si="122"/>
        <v>0.97325531327738646</v>
      </c>
      <c r="AK183" s="74">
        <f>$D183/(AF183)</f>
        <v>0.97325531327738646</v>
      </c>
      <c r="AL183" s="74">
        <f t="shared" si="123"/>
        <v>0.78364777263712104</v>
      </c>
      <c r="AM183" s="74">
        <f>(F183/(AF183))</f>
        <v>0.78364777263712104</v>
      </c>
      <c r="AN183" s="74">
        <f t="shared" si="124"/>
        <v>0.18960754064026547</v>
      </c>
      <c r="AO183" s="74">
        <f t="shared" si="125"/>
        <v>0.18960754064026547</v>
      </c>
      <c r="AP183" s="74">
        <f t="shared" si="126"/>
        <v>8.3452410229129817E-2</v>
      </c>
      <c r="AQ183" s="74">
        <f t="shared" si="127"/>
        <v>8.3452410229129817E-2</v>
      </c>
      <c r="AR183" s="74">
        <f t="shared" si="128"/>
        <v>0.80518211608650558</v>
      </c>
      <c r="AS183" s="74">
        <f t="shared" si="129"/>
        <v>0.19481788391349436</v>
      </c>
      <c r="AT183" s="74">
        <f t="shared" si="130"/>
        <v>2.6744686722613507E-2</v>
      </c>
      <c r="AU183" s="74">
        <f t="shared" si="131"/>
        <v>2.6744686722613507E-2</v>
      </c>
      <c r="AV183" s="74">
        <f t="shared" si="132"/>
        <v>0</v>
      </c>
      <c r="AW183" s="74">
        <f t="shared" si="133"/>
        <v>0</v>
      </c>
      <c r="AX183" s="74">
        <f t="shared" si="134"/>
        <v>2.6744686722613507E-2</v>
      </c>
      <c r="AY183" s="74">
        <f t="shared" si="135"/>
        <v>2.6744686722613507E-2</v>
      </c>
      <c r="AZ183" s="74">
        <f t="shared" si="136"/>
        <v>0</v>
      </c>
      <c r="BA183" s="74">
        <f t="shared" si="137"/>
        <v>1</v>
      </c>
      <c r="BB183" s="74">
        <f t="shared" si="138"/>
        <v>7.301618364587514E-3</v>
      </c>
      <c r="BC183" s="74">
        <f t="shared" si="139"/>
        <v>6.7392146583008282E-3</v>
      </c>
      <c r="BD183" s="74">
        <f t="shared" si="140"/>
        <v>3.6897898042935135E-3</v>
      </c>
      <c r="BE183" s="75">
        <f t="shared" si="141"/>
        <v>6.7392146583008282E-3</v>
      </c>
    </row>
    <row r="184" spans="1:57" x14ac:dyDescent="0.35">
      <c r="A184" s="9" t="s">
        <v>57</v>
      </c>
      <c r="B184" s="11" t="s">
        <v>69</v>
      </c>
      <c r="C184" s="47">
        <f t="shared" si="111"/>
        <v>1.0573141337899383</v>
      </c>
      <c r="D184" s="23">
        <f t="shared" si="112"/>
        <v>1.0573141337899383</v>
      </c>
      <c r="E184" s="50">
        <f>[1]data!E184-[1]data!E146</f>
        <v>1.2073783018731188E-3</v>
      </c>
      <c r="F184" s="36">
        <f>[1]data!F184-[1]data!F146</f>
        <v>1.0561067554880652</v>
      </c>
      <c r="G184" s="36">
        <f>[1]data!G184-[1]data!G146</f>
        <v>0</v>
      </c>
      <c r="H184" s="25">
        <f t="shared" si="113"/>
        <v>0</v>
      </c>
      <c r="I184" s="36">
        <f>[1]data!I184-[1]data!I146</f>
        <v>0</v>
      </c>
      <c r="J184" s="36">
        <f>[1]data!J184-[1]data!J146</f>
        <v>0</v>
      </c>
      <c r="K184" s="36">
        <f>[1]data!K184-[1]data!K146</f>
        <v>0</v>
      </c>
      <c r="L184" s="25">
        <f t="shared" si="114"/>
        <v>2.0970974668715687</v>
      </c>
      <c r="M184" s="25">
        <f t="shared" si="115"/>
        <v>2.0970974668715687</v>
      </c>
      <c r="N184" s="25">
        <f t="shared" si="116"/>
        <v>1.390519146519885</v>
      </c>
      <c r="O184" s="25">
        <f t="shared" si="117"/>
        <v>1.390519146519885</v>
      </c>
      <c r="P184" s="24">
        <f t="shared" si="118"/>
        <v>2.3947376635720416E-3</v>
      </c>
      <c r="Q184" s="40">
        <f t="shared" si="100"/>
        <v>1.587874967517259E-3</v>
      </c>
      <c r="R184" s="40">
        <f t="shared" si="101"/>
        <v>2.0947027292079965</v>
      </c>
      <c r="S184" s="40">
        <f t="shared" si="102"/>
        <v>1.3889312715523676</v>
      </c>
      <c r="T184" s="40">
        <f t="shared" si="103"/>
        <v>0</v>
      </c>
      <c r="U184" s="40">
        <f t="shared" si="104"/>
        <v>0</v>
      </c>
      <c r="V184" s="25">
        <f t="shared" si="119"/>
        <v>0</v>
      </c>
      <c r="W184" s="25">
        <f t="shared" si="120"/>
        <v>0</v>
      </c>
      <c r="X184" s="40">
        <f t="shared" si="105"/>
        <v>0</v>
      </c>
      <c r="Y184" s="40">
        <f t="shared" si="106"/>
        <v>0</v>
      </c>
      <c r="Z184" s="40">
        <f t="shared" si="107"/>
        <v>0</v>
      </c>
      <c r="AA184" s="40">
        <f t="shared" si="108"/>
        <v>0</v>
      </c>
      <c r="AB184" s="40">
        <f t="shared" si="109"/>
        <v>0</v>
      </c>
      <c r="AC184" s="40">
        <f t="shared" si="110"/>
        <v>0</v>
      </c>
      <c r="AD184" s="26">
        <v>76.037366075549997</v>
      </c>
      <c r="AE184" s="8">
        <v>50.417977728389999</v>
      </c>
      <c r="AF184" s="61">
        <f t="shared" si="121"/>
        <v>1.0573141337899383</v>
      </c>
      <c r="AG184" s="61">
        <f t="shared" si="143"/>
        <v>1.0573141337899383</v>
      </c>
      <c r="AH184" s="74">
        <f t="shared" si="142"/>
        <v>1</v>
      </c>
      <c r="AI184" s="74">
        <f>D184/AG184</f>
        <v>1</v>
      </c>
      <c r="AJ184" s="74">
        <f t="shared" si="122"/>
        <v>1</v>
      </c>
      <c r="AK184" s="74">
        <f>$D184/(AF184)</f>
        <v>1</v>
      </c>
      <c r="AL184" s="74">
        <f t="shared" si="123"/>
        <v>0.99885807040378316</v>
      </c>
      <c r="AM184" s="74">
        <f>(F184/(AF184))</f>
        <v>0.99885807040378316</v>
      </c>
      <c r="AN184" s="74">
        <f t="shared" si="124"/>
        <v>1.1419295962168557E-3</v>
      </c>
      <c r="AO184" s="74">
        <f t="shared" si="125"/>
        <v>1.1419295962168557E-3</v>
      </c>
      <c r="AP184" s="74">
        <f t="shared" si="126"/>
        <v>0</v>
      </c>
      <c r="AQ184" s="74">
        <f t="shared" si="127"/>
        <v>0</v>
      </c>
      <c r="AR184" s="74">
        <f t="shared" si="128"/>
        <v>0.99885807040378316</v>
      </c>
      <c r="AS184" s="74">
        <f t="shared" si="129"/>
        <v>1.1419295962168557E-3</v>
      </c>
      <c r="AT184" s="74">
        <f t="shared" si="130"/>
        <v>0</v>
      </c>
      <c r="AU184" s="74">
        <f t="shared" si="131"/>
        <v>0</v>
      </c>
      <c r="AV184" s="74">
        <f t="shared" si="132"/>
        <v>0</v>
      </c>
      <c r="AW184" s="74">
        <f t="shared" si="133"/>
        <v>0</v>
      </c>
      <c r="AX184" s="74">
        <f t="shared" si="134"/>
        <v>0</v>
      </c>
      <c r="AY184" s="74">
        <f t="shared" si="135"/>
        <v>0</v>
      </c>
      <c r="AZ184" s="74" t="e">
        <f t="shared" si="136"/>
        <v>#DIV/0!</v>
      </c>
      <c r="BA184" s="74" t="e">
        <f t="shared" si="137"/>
        <v>#DIV/0!</v>
      </c>
      <c r="BB184" s="74">
        <f t="shared" si="138"/>
        <v>2.0970974668715687E-2</v>
      </c>
      <c r="BC184" s="74">
        <f t="shared" si="139"/>
        <v>2.0970974668715687E-2</v>
      </c>
      <c r="BD184" s="74">
        <f t="shared" si="140"/>
        <v>1.3905191465198849E-2</v>
      </c>
      <c r="BE184" s="75">
        <f t="shared" si="141"/>
        <v>2.0970974668715687E-2</v>
      </c>
    </row>
    <row r="185" spans="1:57" x14ac:dyDescent="0.35">
      <c r="A185" s="9" t="s">
        <v>58</v>
      </c>
      <c r="B185" s="11" t="s">
        <v>69</v>
      </c>
      <c r="C185" s="47">
        <f t="shared" si="111"/>
        <v>0.2625735759179717</v>
      </c>
      <c r="D185" s="23">
        <f t="shared" si="112"/>
        <v>0.14978738107463396</v>
      </c>
      <c r="E185" s="50">
        <f>[1]data!E185-[1]data!E147</f>
        <v>4.9594344938770796E-2</v>
      </c>
      <c r="F185" s="36">
        <f>[1]data!F185-[1]data!F147</f>
        <v>0.10019303613586317</v>
      </c>
      <c r="G185" s="36">
        <f>[1]data!G185-[1]data!G147</f>
        <v>0.11278619484333774</v>
      </c>
      <c r="H185" s="25">
        <f t="shared" si="113"/>
        <v>8.8107902061195453E-2</v>
      </c>
      <c r="I185" s="36">
        <f>[1]data!I185-[1]data!I147</f>
        <v>3.9390999393047466E-3</v>
      </c>
      <c r="J185" s="36">
        <f>[1]data!J185-[1]data!J147</f>
        <v>8.4168802121890707E-2</v>
      </c>
      <c r="K185" s="36">
        <f>[1]data!K185-[1]data!K147</f>
        <v>0</v>
      </c>
      <c r="L185" s="25">
        <f t="shared" si="114"/>
        <v>4.7756168147635766E-2</v>
      </c>
      <c r="M185" s="25">
        <f t="shared" si="115"/>
        <v>2.7242921653429841E-2</v>
      </c>
      <c r="N185" s="25">
        <f t="shared" si="116"/>
        <v>5.0397564816295176E-2</v>
      </c>
      <c r="O185" s="25">
        <f t="shared" si="117"/>
        <v>2.8749729366256797E-2</v>
      </c>
      <c r="P185" s="24">
        <f t="shared" si="118"/>
        <v>9.0200846288039632E-3</v>
      </c>
      <c r="Q185" s="40">
        <f t="shared" si="100"/>
        <v>9.5189860778459607E-3</v>
      </c>
      <c r="R185" s="40">
        <f t="shared" si="101"/>
        <v>1.8222837024625876E-2</v>
      </c>
      <c r="S185" s="40">
        <f t="shared" si="102"/>
        <v>1.9230743288410838E-2</v>
      </c>
      <c r="T185" s="40">
        <f t="shared" si="103"/>
        <v>2.0513246494205929E-2</v>
      </c>
      <c r="U185" s="40">
        <f t="shared" si="104"/>
        <v>2.1647835450038375E-2</v>
      </c>
      <c r="V185" s="25">
        <f t="shared" si="119"/>
        <v>1.6024825694129875E-2</v>
      </c>
      <c r="W185" s="25">
        <f t="shared" si="120"/>
        <v>1.6911159812760743E-2</v>
      </c>
      <c r="X185" s="40">
        <f t="shared" si="105"/>
        <v>7.1643278800661604E-4</v>
      </c>
      <c r="Y185" s="40">
        <f t="shared" si="106"/>
        <v>7.5605873064315339E-4</v>
      </c>
      <c r="Z185" s="40">
        <f t="shared" si="107"/>
        <v>1.5308392906123259E-2</v>
      </c>
      <c r="AA185" s="40">
        <f t="shared" si="108"/>
        <v>1.6155101082117589E-2</v>
      </c>
      <c r="AB185" s="40">
        <f t="shared" si="109"/>
        <v>0</v>
      </c>
      <c r="AC185" s="40">
        <f t="shared" si="110"/>
        <v>0</v>
      </c>
      <c r="AD185" s="26">
        <v>521.00449074291998</v>
      </c>
      <c r="AE185" s="8">
        <v>549.82128194673999</v>
      </c>
      <c r="AF185" s="61">
        <f t="shared" si="121"/>
        <v>0.23789528313582942</v>
      </c>
      <c r="AG185" s="61">
        <f t="shared" si="143"/>
        <v>0.23789528313582942</v>
      </c>
      <c r="AH185" s="74">
        <f t="shared" si="142"/>
        <v>0.62963577545634186</v>
      </c>
      <c r="AI185" s="74">
        <f>D185/AG185</f>
        <v>0.62963577545634186</v>
      </c>
      <c r="AJ185" s="74">
        <f t="shared" si="122"/>
        <v>0.62963577545634186</v>
      </c>
      <c r="AK185" s="74">
        <f>$D185/(AF185)</f>
        <v>0.62963577545634186</v>
      </c>
      <c r="AL185" s="74">
        <f t="shared" si="123"/>
        <v>0.4211644502369416</v>
      </c>
      <c r="AM185" s="74">
        <f>(F185/(AF185))</f>
        <v>0.4211644502369416</v>
      </c>
      <c r="AN185" s="74">
        <f t="shared" si="124"/>
        <v>0.20847132521940023</v>
      </c>
      <c r="AO185" s="74">
        <f t="shared" si="125"/>
        <v>0.20847132521940023</v>
      </c>
      <c r="AP185" s="74">
        <f t="shared" si="126"/>
        <v>0.47410017280141276</v>
      </c>
      <c r="AQ185" s="74">
        <f t="shared" si="127"/>
        <v>0.47410017280141276</v>
      </c>
      <c r="AR185" s="74">
        <f t="shared" si="128"/>
        <v>0.6689017153316833</v>
      </c>
      <c r="AS185" s="74">
        <f t="shared" si="129"/>
        <v>0.33109828466831676</v>
      </c>
      <c r="AT185" s="74">
        <f t="shared" si="130"/>
        <v>0.37036422454365814</v>
      </c>
      <c r="AU185" s="74">
        <f t="shared" si="131"/>
        <v>0.37036422454365814</v>
      </c>
      <c r="AV185" s="74">
        <f t="shared" si="132"/>
        <v>1.6558125438139375E-2</v>
      </c>
      <c r="AW185" s="74">
        <f t="shared" si="133"/>
        <v>1.6558125438139375E-2</v>
      </c>
      <c r="AX185" s="74">
        <f t="shared" si="134"/>
        <v>0.35380609910551875</v>
      </c>
      <c r="AY185" s="74">
        <f t="shared" si="135"/>
        <v>0.35380609910551875</v>
      </c>
      <c r="AZ185" s="74">
        <f t="shared" si="136"/>
        <v>4.4707680550251212E-2</v>
      </c>
      <c r="BA185" s="74">
        <f t="shared" si="137"/>
        <v>0.95529231944974879</v>
      </c>
      <c r="BB185" s="74">
        <f t="shared" si="138"/>
        <v>6.3780993841765644E-4</v>
      </c>
      <c r="BC185" s="74">
        <f t="shared" si="139"/>
        <v>4.3267747347559718E-4</v>
      </c>
      <c r="BD185" s="74">
        <f t="shared" si="140"/>
        <v>4.5660889179017545E-4</v>
      </c>
      <c r="BE185" s="75">
        <f t="shared" si="141"/>
        <v>4.3267747347559718E-4</v>
      </c>
    </row>
    <row r="186" spans="1:57" x14ac:dyDescent="0.35">
      <c r="A186" s="9" t="s">
        <v>59</v>
      </c>
      <c r="B186" s="11" t="s">
        <v>69</v>
      </c>
      <c r="C186" s="47">
        <f t="shared" si="111"/>
        <v>14.861503111824637</v>
      </c>
      <c r="D186" s="23">
        <f t="shared" si="112"/>
        <v>14.861503111824637</v>
      </c>
      <c r="E186" s="50">
        <f>[1]data!E186-[1]data!E148</f>
        <v>1.5501657954967438</v>
      </c>
      <c r="F186" s="36">
        <f>[1]data!F186-[1]data!F148</f>
        <v>13.311337316327894</v>
      </c>
      <c r="G186" s="36">
        <f>[1]data!G186-[1]data!G148</f>
        <v>0</v>
      </c>
      <c r="H186" s="25">
        <f t="shared" si="113"/>
        <v>1.759052535380373</v>
      </c>
      <c r="I186" s="36">
        <f>[1]data!I186-[1]data!I148</f>
        <v>0.21456229224262158</v>
      </c>
      <c r="J186" s="36">
        <f>[1]data!J186-[1]data!J148</f>
        <v>1.5444902431377514</v>
      </c>
      <c r="K186" s="36">
        <f>[1]data!K186-[1]data!K148</f>
        <v>0</v>
      </c>
      <c r="L186" s="25">
        <f t="shared" si="114"/>
        <v>1.9891993723876062</v>
      </c>
      <c r="M186" s="25">
        <f t="shared" si="115"/>
        <v>1.9891993723876062</v>
      </c>
      <c r="N186" s="25">
        <f t="shared" si="116"/>
        <v>2.5154274674357873</v>
      </c>
      <c r="O186" s="25">
        <f t="shared" si="117"/>
        <v>2.5154274674357873</v>
      </c>
      <c r="P186" s="24">
        <f t="shared" si="118"/>
        <v>0.20748835459620382</v>
      </c>
      <c r="Q186" s="40">
        <f t="shared" si="100"/>
        <v>0.2623778760285313</v>
      </c>
      <c r="R186" s="40">
        <f t="shared" si="101"/>
        <v>1.7817110177914024</v>
      </c>
      <c r="S186" s="40">
        <f t="shared" si="102"/>
        <v>2.2530495914072559</v>
      </c>
      <c r="T186" s="40">
        <f t="shared" si="103"/>
        <v>0</v>
      </c>
      <c r="U186" s="40">
        <f t="shared" si="104"/>
        <v>0</v>
      </c>
      <c r="V186" s="25">
        <f t="shared" si="119"/>
        <v>0.23544766454958263</v>
      </c>
      <c r="W186" s="25">
        <f t="shared" si="120"/>
        <v>0.29773361623413175</v>
      </c>
      <c r="X186" s="40">
        <f t="shared" si="105"/>
        <v>2.8718977741052146E-2</v>
      </c>
      <c r="Y186" s="40">
        <f t="shared" si="106"/>
        <v>3.6316372531231177E-2</v>
      </c>
      <c r="Z186" s="40">
        <f t="shared" si="107"/>
        <v>0.20672868680853049</v>
      </c>
      <c r="AA186" s="40">
        <f t="shared" si="108"/>
        <v>0.26141724370290059</v>
      </c>
      <c r="AB186" s="40">
        <f t="shared" si="109"/>
        <v>0</v>
      </c>
      <c r="AC186" s="40">
        <f t="shared" si="110"/>
        <v>0</v>
      </c>
      <c r="AD186" s="26">
        <v>590.81421763174001</v>
      </c>
      <c r="AE186" s="8">
        <v>747.10978286638999</v>
      </c>
      <c r="AF186" s="61">
        <f t="shared" si="121"/>
        <v>16.620555647205009</v>
      </c>
      <c r="AG186" s="61">
        <f t="shared" si="143"/>
        <v>16.620555647205009</v>
      </c>
      <c r="AH186" s="74">
        <f t="shared" si="142"/>
        <v>0.89416403562439373</v>
      </c>
      <c r="AI186" s="74">
        <f>D186/AG186</f>
        <v>0.89416403562439373</v>
      </c>
      <c r="AJ186" s="74">
        <f t="shared" si="122"/>
        <v>0.89416403562439373</v>
      </c>
      <c r="AK186" s="74">
        <f>$D186/(AF186)</f>
        <v>0.89416403562439373</v>
      </c>
      <c r="AL186" s="74">
        <f t="shared" si="123"/>
        <v>0.80089604697219563</v>
      </c>
      <c r="AM186" s="74">
        <f>(F186/(AF186))</f>
        <v>0.80089604697219563</v>
      </c>
      <c r="AN186" s="74">
        <f t="shared" si="124"/>
        <v>9.3267988652198097E-2</v>
      </c>
      <c r="AO186" s="74">
        <f t="shared" si="125"/>
        <v>9.3267988652198097E-2</v>
      </c>
      <c r="AP186" s="74">
        <f t="shared" si="126"/>
        <v>0</v>
      </c>
      <c r="AQ186" s="74">
        <f t="shared" si="127"/>
        <v>0</v>
      </c>
      <c r="AR186" s="74">
        <f t="shared" si="128"/>
        <v>0.89569252962956714</v>
      </c>
      <c r="AS186" s="74">
        <f t="shared" si="129"/>
        <v>0.10430747037043284</v>
      </c>
      <c r="AT186" s="74">
        <f t="shared" si="130"/>
        <v>0.1058359643756064</v>
      </c>
      <c r="AU186" s="74">
        <f t="shared" si="131"/>
        <v>0.1058359643756064</v>
      </c>
      <c r="AV186" s="74">
        <f t="shared" si="132"/>
        <v>1.2909453618580037E-2</v>
      </c>
      <c r="AW186" s="74">
        <f t="shared" si="133"/>
        <v>1.2909453618580037E-2</v>
      </c>
      <c r="AX186" s="74">
        <f t="shared" si="134"/>
        <v>9.2926510757026348E-2</v>
      </c>
      <c r="AY186" s="74">
        <f t="shared" si="135"/>
        <v>9.2926510757026348E-2</v>
      </c>
      <c r="AZ186" s="74">
        <f t="shared" si="136"/>
        <v>0.12197605695512964</v>
      </c>
      <c r="BA186" s="74">
        <f t="shared" si="137"/>
        <v>0.8780239430448703</v>
      </c>
      <c r="BB186" s="74">
        <f t="shared" si="138"/>
        <v>2.2246470369371888E-2</v>
      </c>
      <c r="BC186" s="74">
        <f t="shared" si="139"/>
        <v>2.2246470369371888E-2</v>
      </c>
      <c r="BD186" s="74">
        <f t="shared" si="140"/>
        <v>2.8131610836699187E-2</v>
      </c>
      <c r="BE186" s="75">
        <f t="shared" si="141"/>
        <v>2.2246470369371888E-2</v>
      </c>
    </row>
    <row r="187" spans="1:57" x14ac:dyDescent="0.35">
      <c r="A187" s="7" t="s">
        <v>60</v>
      </c>
      <c r="B187" s="11" t="s">
        <v>69</v>
      </c>
      <c r="C187" s="47">
        <f t="shared" si="111"/>
        <v>-2.3244291230595238E-4</v>
      </c>
      <c r="D187" s="23">
        <f t="shared" si="112"/>
        <v>0</v>
      </c>
      <c r="E187" s="50">
        <f>[1]data!E187-[1]data!E149</f>
        <v>0</v>
      </c>
      <c r="F187" s="36">
        <f>[1]data!F187-[1]data!F149</f>
        <v>0</v>
      </c>
      <c r="G187" s="36">
        <f>[1]data!G187-[1]data!G149</f>
        <v>-2.3244291230595238E-4</v>
      </c>
      <c r="H187" s="25">
        <f t="shared" si="113"/>
        <v>0</v>
      </c>
      <c r="I187" s="36">
        <f>[1]data!I187-[1]data!I149</f>
        <v>0</v>
      </c>
      <c r="J187" s="36">
        <f>[1]data!J187-[1]data!J149</f>
        <v>0</v>
      </c>
      <c r="K187" s="36">
        <f>[1]data!K187-[1]data!K149</f>
        <v>0</v>
      </c>
      <c r="L187" s="25">
        <f t="shared" si="114"/>
        <v>-8.8732399515102401E-5</v>
      </c>
      <c r="M187" s="25">
        <f t="shared" si="115"/>
        <v>0</v>
      </c>
      <c r="N187" s="25">
        <f t="shared" si="116"/>
        <v>-5.2673663376979842E-5</v>
      </c>
      <c r="O187" s="25">
        <f t="shared" si="117"/>
        <v>0</v>
      </c>
      <c r="P187" s="24">
        <f t="shared" si="118"/>
        <v>0</v>
      </c>
      <c r="Q187" s="40">
        <f t="shared" si="100"/>
        <v>0</v>
      </c>
      <c r="R187" s="40">
        <f t="shared" si="101"/>
        <v>0</v>
      </c>
      <c r="S187" s="40">
        <f t="shared" si="102"/>
        <v>0</v>
      </c>
      <c r="T187" s="40">
        <f t="shared" si="103"/>
        <v>-8.8732399515102401E-5</v>
      </c>
      <c r="U187" s="40">
        <f t="shared" si="104"/>
        <v>-5.2673663376979842E-5</v>
      </c>
      <c r="V187" s="25">
        <f t="shared" si="119"/>
        <v>0</v>
      </c>
      <c r="W187" s="25">
        <f t="shared" si="120"/>
        <v>0</v>
      </c>
      <c r="X187" s="40">
        <f t="shared" si="105"/>
        <v>0</v>
      </c>
      <c r="Y187" s="40">
        <f t="shared" si="106"/>
        <v>0</v>
      </c>
      <c r="Z187" s="40">
        <f t="shared" si="107"/>
        <v>0</v>
      </c>
      <c r="AA187" s="40">
        <f t="shared" si="108"/>
        <v>0</v>
      </c>
      <c r="AB187" s="40">
        <f t="shared" si="109"/>
        <v>0</v>
      </c>
      <c r="AC187" s="40">
        <f t="shared" si="110"/>
        <v>0</v>
      </c>
      <c r="AD187" s="26">
        <v>441.28867711817003</v>
      </c>
      <c r="AE187" s="8">
        <v>261.95945739796002</v>
      </c>
      <c r="AF187" s="61">
        <f t="shared" si="121"/>
        <v>0</v>
      </c>
      <c r="AG187" s="61">
        <f t="shared" si="143"/>
        <v>0</v>
      </c>
      <c r="AH187" s="74">
        <v>0</v>
      </c>
      <c r="AI187" s="74">
        <v>0</v>
      </c>
      <c r="AJ187" s="74">
        <v>0</v>
      </c>
      <c r="AK187" s="74">
        <v>0</v>
      </c>
      <c r="AL187" s="74" t="e">
        <f t="shared" si="123"/>
        <v>#DIV/0!</v>
      </c>
      <c r="AM187" s="74">
        <v>0</v>
      </c>
      <c r="AN187" s="74" t="e">
        <f t="shared" si="124"/>
        <v>#DIV/0!</v>
      </c>
      <c r="AO187" s="74" t="e">
        <f t="shared" si="125"/>
        <v>#DIV/0!</v>
      </c>
      <c r="AP187" s="74" t="e">
        <f t="shared" si="126"/>
        <v>#DIV/0!</v>
      </c>
      <c r="AQ187" s="74" t="e">
        <f t="shared" si="127"/>
        <v>#DIV/0!</v>
      </c>
      <c r="AR187" s="74" t="e">
        <f t="shared" si="128"/>
        <v>#DIV/0!</v>
      </c>
      <c r="AS187" s="74" t="e">
        <f t="shared" si="129"/>
        <v>#DIV/0!</v>
      </c>
      <c r="AT187" s="74" t="e">
        <f t="shared" si="130"/>
        <v>#DIV/0!</v>
      </c>
      <c r="AU187" s="74" t="e">
        <f t="shared" si="131"/>
        <v>#DIV/0!</v>
      </c>
      <c r="AV187" s="74">
        <v>0</v>
      </c>
      <c r="AW187" s="74" t="e">
        <f t="shared" si="133"/>
        <v>#DIV/0!</v>
      </c>
      <c r="AX187" s="74" t="e">
        <f t="shared" si="134"/>
        <v>#DIV/0!</v>
      </c>
      <c r="AY187" s="74" t="e">
        <f t="shared" si="135"/>
        <v>#DIV/0!</v>
      </c>
      <c r="AZ187" s="74" t="e">
        <f t="shared" si="136"/>
        <v>#DIV/0!</v>
      </c>
      <c r="BA187" s="74" t="e">
        <f t="shared" si="137"/>
        <v>#DIV/0!</v>
      </c>
      <c r="BB187" s="74">
        <f t="shared" si="138"/>
        <v>-8.8732399515102404E-7</v>
      </c>
      <c r="BC187" s="74">
        <f t="shared" si="139"/>
        <v>0</v>
      </c>
      <c r="BD187" s="74">
        <f t="shared" si="140"/>
        <v>0</v>
      </c>
      <c r="BE187" s="75">
        <f t="shared" si="141"/>
        <v>0</v>
      </c>
    </row>
    <row r="188" spans="1:57" x14ac:dyDescent="0.35">
      <c r="A188" s="7" t="s">
        <v>61</v>
      </c>
      <c r="B188" s="11" t="s">
        <v>69</v>
      </c>
      <c r="C188" s="47">
        <f t="shared" si="111"/>
        <v>7.717133502874006E-2</v>
      </c>
      <c r="D188" s="23">
        <f t="shared" si="112"/>
        <v>7.6428054034678006E-2</v>
      </c>
      <c r="E188" s="50">
        <f>[1]data!E188-[1]data!E150</f>
        <v>2.0133252286158587E-2</v>
      </c>
      <c r="F188" s="36">
        <f>[1]data!F188-[1]data!F150</f>
        <v>5.6294801748519419E-2</v>
      </c>
      <c r="G188" s="36">
        <f>[1]data!G188-[1]data!G150</f>
        <v>7.4328099406205383E-4</v>
      </c>
      <c r="H188" s="25">
        <f t="shared" si="113"/>
        <v>0.10649730082921138</v>
      </c>
      <c r="I188" s="36">
        <f>[1]data!I188-[1]data!I150</f>
        <v>5.8988637891250306E-2</v>
      </c>
      <c r="J188" s="36">
        <f>[1]data!J188-[1]data!J150</f>
        <v>4.7508662937961077E-2</v>
      </c>
      <c r="K188" s="36">
        <f>[1]data!K188-[1]data!K150</f>
        <v>0</v>
      </c>
      <c r="L188" s="25">
        <f t="shared" si="114"/>
        <v>2.4010575242389573E-2</v>
      </c>
      <c r="M188" s="25">
        <f t="shared" si="115"/>
        <v>2.3779315743930479E-2</v>
      </c>
      <c r="N188" s="25">
        <f t="shared" si="116"/>
        <v>1.1176652482546085E-2</v>
      </c>
      <c r="O188" s="25">
        <f t="shared" si="117"/>
        <v>1.1069003789356845E-2</v>
      </c>
      <c r="P188" s="24">
        <f t="shared" si="118"/>
        <v>6.2641260347613692E-3</v>
      </c>
      <c r="Q188" s="40">
        <f t="shared" si="100"/>
        <v>2.9158801524169367E-3</v>
      </c>
      <c r="R188" s="40">
        <f t="shared" si="101"/>
        <v>1.7515189709169109E-2</v>
      </c>
      <c r="S188" s="40">
        <f t="shared" si="102"/>
        <v>8.1531236369399088E-3</v>
      </c>
      <c r="T188" s="40">
        <f t="shared" si="103"/>
        <v>2.31259498459093E-4</v>
      </c>
      <c r="U188" s="40">
        <f t="shared" si="104"/>
        <v>1.0764869318924115E-4</v>
      </c>
      <c r="V188" s="25">
        <f t="shared" si="119"/>
        <v>3.3134860939218941E-2</v>
      </c>
      <c r="W188" s="25">
        <f t="shared" si="120"/>
        <v>1.5423904760154516E-2</v>
      </c>
      <c r="X188" s="40">
        <f t="shared" si="105"/>
        <v>1.8353331946459942E-2</v>
      </c>
      <c r="Y188" s="40">
        <f t="shared" si="106"/>
        <v>8.5432694132312314E-3</v>
      </c>
      <c r="Z188" s="40">
        <f t="shared" si="107"/>
        <v>1.4781528992759E-2</v>
      </c>
      <c r="AA188" s="40">
        <f t="shared" si="108"/>
        <v>6.8806353469232848E-3</v>
      </c>
      <c r="AB188" s="40">
        <f t="shared" si="109"/>
        <v>0</v>
      </c>
      <c r="AC188" s="40">
        <f t="shared" si="110"/>
        <v>0</v>
      </c>
      <c r="AD188" s="26">
        <v>690.46912883131995</v>
      </c>
      <c r="AE188" s="8">
        <v>321.40560669490998</v>
      </c>
      <c r="AF188" s="61">
        <f t="shared" si="121"/>
        <v>0.18292535486388939</v>
      </c>
      <c r="AG188" s="61">
        <f t="shared" si="143"/>
        <v>0.18292535486388939</v>
      </c>
      <c r="AH188" s="74">
        <f t="shared" si="142"/>
        <v>0.41781006297102108</v>
      </c>
      <c r="AI188" s="74">
        <f t="shared" ref="AI188:AI201" si="147">D188/AG188</f>
        <v>0.41781006297102108</v>
      </c>
      <c r="AJ188" s="74">
        <f t="shared" si="122"/>
        <v>0.41781006297102108</v>
      </c>
      <c r="AK188" s="74">
        <f t="shared" ref="AK188:AK201" si="148">$D188/(AF188)</f>
        <v>0.41781006297102108</v>
      </c>
      <c r="AL188" s="74">
        <f t="shared" si="123"/>
        <v>0.30774739669307793</v>
      </c>
      <c r="AM188" s="74">
        <f t="shared" ref="AM188:AM203" si="149">(F188/(AF188))</f>
        <v>0.30774739669307793</v>
      </c>
      <c r="AN188" s="74">
        <f t="shared" si="124"/>
        <v>0.11006266627794317</v>
      </c>
      <c r="AO188" s="74">
        <f t="shared" si="125"/>
        <v>0.11006266627794317</v>
      </c>
      <c r="AP188" s="74">
        <f t="shared" si="126"/>
        <v>4.063302184736022E-3</v>
      </c>
      <c r="AQ188" s="74">
        <f t="shared" si="127"/>
        <v>4.063302184736022E-3</v>
      </c>
      <c r="AR188" s="74">
        <f t="shared" si="128"/>
        <v>0.73657248584370016</v>
      </c>
      <c r="AS188" s="74">
        <f t="shared" si="129"/>
        <v>0.26342751415629984</v>
      </c>
      <c r="AT188" s="74">
        <f t="shared" si="130"/>
        <v>0.58218993702897892</v>
      </c>
      <c r="AU188" s="74">
        <f t="shared" si="131"/>
        <v>0.58218993702897892</v>
      </c>
      <c r="AV188" s="74">
        <f t="shared" si="132"/>
        <v>0.3224738196361156</v>
      </c>
      <c r="AW188" s="74">
        <f t="shared" si="133"/>
        <v>0.3224738196361156</v>
      </c>
      <c r="AX188" s="74">
        <f t="shared" si="134"/>
        <v>0.25971611739286332</v>
      </c>
      <c r="AY188" s="74">
        <f t="shared" si="135"/>
        <v>0.25971611739286332</v>
      </c>
      <c r="AZ188" s="74">
        <f t="shared" si="136"/>
        <v>0.55389796203238773</v>
      </c>
      <c r="BA188" s="74">
        <f t="shared" si="137"/>
        <v>0.44610203796761222</v>
      </c>
      <c r="BB188" s="74">
        <f t="shared" si="138"/>
        <v>5.7145436181608522E-4</v>
      </c>
      <c r="BC188" s="74">
        <f t="shared" si="139"/>
        <v>5.6914176683149425E-4</v>
      </c>
      <c r="BD188" s="74">
        <f t="shared" si="140"/>
        <v>2.649290854951136E-4</v>
      </c>
      <c r="BE188" s="75">
        <f t="shared" si="141"/>
        <v>5.6914176683149425E-4</v>
      </c>
    </row>
    <row r="189" spans="1:57" x14ac:dyDescent="0.35">
      <c r="A189" s="7" t="s">
        <v>62</v>
      </c>
      <c r="B189" s="11" t="s">
        <v>69</v>
      </c>
      <c r="C189" s="47">
        <f t="shared" si="111"/>
        <v>-0.39634581993233942</v>
      </c>
      <c r="D189" s="23">
        <f t="shared" si="112"/>
        <v>8.1321563717489387E-3</v>
      </c>
      <c r="E189" s="50">
        <f>[1]data!E189-[1]data!E151</f>
        <v>4.6165707683641088E-3</v>
      </c>
      <c r="F189" s="36">
        <f>[1]data!F189-[1]data!F151</f>
        <v>3.5155856033848298E-3</v>
      </c>
      <c r="G189" s="36">
        <f>[1]data!G189-[1]data!G151</f>
        <v>-0.40447797630408838</v>
      </c>
      <c r="H189" s="25">
        <f t="shared" si="113"/>
        <v>0</v>
      </c>
      <c r="I189" s="36">
        <f>[1]data!I189-[1]data!I151</f>
        <v>0</v>
      </c>
      <c r="J189" s="36">
        <f>[1]data!J189-[1]data!J151</f>
        <v>0</v>
      </c>
      <c r="K189" s="36">
        <f>[1]data!K189-[1]data!K151</f>
        <v>0</v>
      </c>
      <c r="L189" s="25">
        <f t="shared" si="114"/>
        <v>-0.61561116088876644</v>
      </c>
      <c r="M189" s="25">
        <f t="shared" si="115"/>
        <v>1.2631005482525246E-2</v>
      </c>
      <c r="N189" s="25">
        <f t="shared" si="116"/>
        <v>-0.43443019555425222</v>
      </c>
      <c r="O189" s="25">
        <f t="shared" si="117"/>
        <v>8.9135651372827546E-3</v>
      </c>
      <c r="P189" s="24">
        <f t="shared" si="118"/>
        <v>7.170537311388666E-3</v>
      </c>
      <c r="Q189" s="40">
        <f t="shared" si="100"/>
        <v>5.0601712969568797E-3</v>
      </c>
      <c r="R189" s="40">
        <f t="shared" si="101"/>
        <v>5.4604681711365793E-3</v>
      </c>
      <c r="S189" s="40">
        <f t="shared" si="102"/>
        <v>3.853393840325875E-3</v>
      </c>
      <c r="T189" s="40">
        <f t="shared" si="103"/>
        <v>-0.62824216637129171</v>
      </c>
      <c r="U189" s="40">
        <f t="shared" si="104"/>
        <v>-0.44334376069153497</v>
      </c>
      <c r="V189" s="25">
        <f t="shared" si="119"/>
        <v>0</v>
      </c>
      <c r="W189" s="25">
        <f t="shared" si="120"/>
        <v>0</v>
      </c>
      <c r="X189" s="40">
        <f t="shared" si="105"/>
        <v>0</v>
      </c>
      <c r="Y189" s="40">
        <f t="shared" si="106"/>
        <v>0</v>
      </c>
      <c r="Z189" s="40">
        <f t="shared" si="107"/>
        <v>0</v>
      </c>
      <c r="AA189" s="40">
        <f t="shared" si="108"/>
        <v>0</v>
      </c>
      <c r="AB189" s="40">
        <f t="shared" si="109"/>
        <v>0</v>
      </c>
      <c r="AC189" s="40">
        <f t="shared" si="110"/>
        <v>0</v>
      </c>
      <c r="AD189" s="26">
        <v>91.233487908610002</v>
      </c>
      <c r="AE189" s="8">
        <v>64.38249419652</v>
      </c>
      <c r="AF189" s="61">
        <f t="shared" si="121"/>
        <v>8.1321563717489387E-3</v>
      </c>
      <c r="AG189" s="61">
        <f t="shared" si="143"/>
        <v>8.1321563717489387E-3</v>
      </c>
      <c r="AH189" s="74">
        <f t="shared" si="142"/>
        <v>1</v>
      </c>
      <c r="AI189" s="74">
        <f t="shared" si="147"/>
        <v>1</v>
      </c>
      <c r="AJ189" s="74">
        <f t="shared" si="122"/>
        <v>1</v>
      </c>
      <c r="AK189" s="74">
        <f t="shared" si="148"/>
        <v>1</v>
      </c>
      <c r="AL189" s="74">
        <f t="shared" si="123"/>
        <v>0.43230668996945909</v>
      </c>
      <c r="AM189" s="74">
        <f t="shared" si="149"/>
        <v>0.43230668996945909</v>
      </c>
      <c r="AN189" s="74">
        <f t="shared" si="124"/>
        <v>0.56769331003054091</v>
      </c>
      <c r="AO189" s="74">
        <f t="shared" si="125"/>
        <v>0.56769331003054091</v>
      </c>
      <c r="AP189" s="74">
        <f t="shared" si="126"/>
        <v>-49.738096245817701</v>
      </c>
      <c r="AQ189" s="74">
        <f t="shared" si="127"/>
        <v>-49.738096245817701</v>
      </c>
      <c r="AR189" s="74">
        <f t="shared" si="128"/>
        <v>0.43230668996945909</v>
      </c>
      <c r="AS189" s="74">
        <f t="shared" si="129"/>
        <v>0.56769331003054091</v>
      </c>
      <c r="AT189" s="74">
        <f t="shared" si="130"/>
        <v>0</v>
      </c>
      <c r="AU189" s="74">
        <f t="shared" si="131"/>
        <v>0</v>
      </c>
      <c r="AV189" s="74">
        <f t="shared" si="132"/>
        <v>0</v>
      </c>
      <c r="AW189" s="74">
        <f t="shared" si="133"/>
        <v>0</v>
      </c>
      <c r="AX189" s="74">
        <f t="shared" si="134"/>
        <v>0</v>
      </c>
      <c r="AY189" s="74">
        <f t="shared" si="135"/>
        <v>0</v>
      </c>
      <c r="AZ189" s="74" t="e">
        <f t="shared" si="136"/>
        <v>#DIV/0!</v>
      </c>
      <c r="BA189" s="74" t="e">
        <f t="shared" si="137"/>
        <v>#DIV/0!</v>
      </c>
      <c r="BB189" s="74">
        <f t="shared" si="138"/>
        <v>-6.1561116088876639E-3</v>
      </c>
      <c r="BC189" s="74">
        <f t="shared" si="139"/>
        <v>1.2631005482525244E-4</v>
      </c>
      <c r="BD189" s="74">
        <f t="shared" si="140"/>
        <v>8.9135651372827549E-5</v>
      </c>
      <c r="BE189" s="75">
        <f t="shared" si="141"/>
        <v>1.2631005482525244E-4</v>
      </c>
    </row>
    <row r="190" spans="1:57" x14ac:dyDescent="0.35">
      <c r="A190" s="7" t="s">
        <v>63</v>
      </c>
      <c r="B190" s="11" t="s">
        <v>69</v>
      </c>
      <c r="C190" s="47">
        <f t="shared" si="111"/>
        <v>10.602450953905004</v>
      </c>
      <c r="D190" s="23">
        <f t="shared" si="112"/>
        <v>7.7024509539050046</v>
      </c>
      <c r="E190" s="50">
        <f>[1]data!E190-[1]data!E152</f>
        <v>2.4305849670506685</v>
      </c>
      <c r="F190" s="36">
        <f>[1]data!F190-[1]data!F152</f>
        <v>5.2718659868543361</v>
      </c>
      <c r="G190" s="36">
        <f>[1]data!G190-[1]data!G152</f>
        <v>2.9</v>
      </c>
      <c r="H190" s="25">
        <f t="shared" si="113"/>
        <v>-0.12702259531584925</v>
      </c>
      <c r="I190" s="36">
        <f>[1]data!I190-[1]data!I152</f>
        <v>0</v>
      </c>
      <c r="J190" s="36">
        <f>[1]data!J190-[1]data!J152</f>
        <v>-0.12702259531584925</v>
      </c>
      <c r="K190" s="36">
        <f>[1]data!K190-[1]data!K152</f>
        <v>0</v>
      </c>
      <c r="L190" s="25">
        <f t="shared" si="114"/>
        <v>7.1937610615797514</v>
      </c>
      <c r="M190" s="25">
        <f t="shared" si="115"/>
        <v>5.2261115841824903</v>
      </c>
      <c r="N190" s="25">
        <f t="shared" si="116"/>
        <v>3.4213797871673148</v>
      </c>
      <c r="O190" s="25">
        <f t="shared" si="117"/>
        <v>2.4855583034441739</v>
      </c>
      <c r="P190" s="24">
        <f t="shared" si="118"/>
        <v>1.6491514621334098</v>
      </c>
      <c r="Q190" s="40">
        <f t="shared" si="100"/>
        <v>0.78434263109673041</v>
      </c>
      <c r="R190" s="40">
        <f t="shared" si="101"/>
        <v>3.5769601220490803</v>
      </c>
      <c r="S190" s="40">
        <f t="shared" si="102"/>
        <v>1.7012156723474434</v>
      </c>
      <c r="T190" s="40">
        <f t="shared" si="103"/>
        <v>1.9676494773972615</v>
      </c>
      <c r="U190" s="40">
        <f t="shared" si="104"/>
        <v>0.93582148372314089</v>
      </c>
      <c r="V190" s="25">
        <f t="shared" si="119"/>
        <v>-8.6184808031336074E-2</v>
      </c>
      <c r="W190" s="25">
        <f t="shared" si="120"/>
        <v>-4.0989818487876598E-2</v>
      </c>
      <c r="X190" s="40">
        <f t="shared" si="105"/>
        <v>0</v>
      </c>
      <c r="Y190" s="40">
        <f t="shared" si="106"/>
        <v>0</v>
      </c>
      <c r="Z190" s="40">
        <f t="shared" si="107"/>
        <v>-8.6184808031336074E-2</v>
      </c>
      <c r="AA190" s="40">
        <f t="shared" si="108"/>
        <v>-4.0989818487876598E-2</v>
      </c>
      <c r="AB190" s="40">
        <f t="shared" si="109"/>
        <v>0</v>
      </c>
      <c r="AC190" s="40">
        <f t="shared" si="110"/>
        <v>0</v>
      </c>
      <c r="AD190" s="26">
        <v>309.88816247970999</v>
      </c>
      <c r="AE190" s="8">
        <v>147.38397429586999</v>
      </c>
      <c r="AF190" s="61">
        <f t="shared" si="121"/>
        <v>7.5754283585891553</v>
      </c>
      <c r="AG190" s="61">
        <f>(D190)+(H190*-1)</f>
        <v>7.8294735492208538</v>
      </c>
      <c r="AH190" s="74">
        <f t="shared" si="142"/>
        <v>0.98377635552156761</v>
      </c>
      <c r="AI190" s="74">
        <f t="shared" si="147"/>
        <v>0.98377635552156761</v>
      </c>
      <c r="AJ190" s="74">
        <f t="shared" si="122"/>
        <v>1.0167677112505233</v>
      </c>
      <c r="AK190" s="74">
        <f t="shared" si="148"/>
        <v>1.0167677112505233</v>
      </c>
      <c r="AL190" s="74">
        <f t="shared" si="123"/>
        <v>0.67333594700999577</v>
      </c>
      <c r="AM190" s="74">
        <f t="shared" si="149"/>
        <v>0.69591655247811834</v>
      </c>
      <c r="AN190" s="74">
        <f t="shared" si="124"/>
        <v>0.3104404085115719</v>
      </c>
      <c r="AO190" s="74">
        <f t="shared" si="125"/>
        <v>0.320851158772405</v>
      </c>
      <c r="AP190" s="74">
        <f t="shared" si="126"/>
        <v>0.37039527393110511</v>
      </c>
      <c r="AQ190" s="74">
        <f t="shared" si="127"/>
        <v>0.38281663593477566</v>
      </c>
      <c r="AR190" s="74">
        <f t="shared" si="128"/>
        <v>0.68444005919720841</v>
      </c>
      <c r="AS190" s="74">
        <f t="shared" si="129"/>
        <v>0.31555994080279154</v>
      </c>
      <c r="AT190" s="74">
        <f t="shared" si="130"/>
        <v>-1.6223644478432376E-2</v>
      </c>
      <c r="AU190" s="74">
        <f t="shared" si="131"/>
        <v>-1.6767711250523381E-2</v>
      </c>
      <c r="AV190" s="74">
        <f t="shared" si="132"/>
        <v>0</v>
      </c>
      <c r="AW190" s="74">
        <f t="shared" si="133"/>
        <v>0</v>
      </c>
      <c r="AX190" s="74">
        <f t="shared" si="134"/>
        <v>-1.6223644478432376E-2</v>
      </c>
      <c r="AY190" s="74">
        <f t="shared" si="135"/>
        <v>-1.6767711250523381E-2</v>
      </c>
      <c r="AZ190" s="74">
        <f t="shared" si="136"/>
        <v>0</v>
      </c>
      <c r="BA190" s="74">
        <f t="shared" si="137"/>
        <v>1</v>
      </c>
      <c r="BB190" s="74">
        <f t="shared" si="138"/>
        <v>7.1075762535484158E-2</v>
      </c>
      <c r="BC190" s="74">
        <f t="shared" si="139"/>
        <v>5.1399267761511533E-2</v>
      </c>
      <c r="BD190" s="74">
        <f t="shared" si="140"/>
        <v>2.4445684849562971E-2</v>
      </c>
      <c r="BE190" s="75">
        <f t="shared" si="141"/>
        <v>5.3122963922138257E-2</v>
      </c>
    </row>
    <row r="191" spans="1:57" x14ac:dyDescent="0.35">
      <c r="A191" s="7" t="s">
        <v>64</v>
      </c>
      <c r="B191" s="11" t="s">
        <v>69</v>
      </c>
      <c r="C191" s="47">
        <f t="shared" si="111"/>
        <v>1.5765726587907909</v>
      </c>
      <c r="D191" s="23">
        <f t="shared" si="112"/>
        <v>1.5765726587907909</v>
      </c>
      <c r="E191" s="50">
        <f>[1]data!E191-[1]data!E153</f>
        <v>1.4258862393990324E-2</v>
      </c>
      <c r="F191" s="36">
        <f>[1]data!F191-[1]data!F153</f>
        <v>1.5623137963968006</v>
      </c>
      <c r="G191" s="36">
        <f>[1]data!G191-[1]data!G153</f>
        <v>0</v>
      </c>
      <c r="H191" s="25">
        <f t="shared" si="113"/>
        <v>0.20801163962997826</v>
      </c>
      <c r="I191" s="36">
        <f>[1]data!I191-[1]data!I153</f>
        <v>8.3875661141119551E-2</v>
      </c>
      <c r="J191" s="36">
        <f>[1]data!J191-[1]data!J153</f>
        <v>0.12413597848885871</v>
      </c>
      <c r="K191" s="36">
        <f>[1]data!K191-[1]data!K153</f>
        <v>0</v>
      </c>
      <c r="L191" s="25">
        <f t="shared" si="114"/>
        <v>0.27586422742956257</v>
      </c>
      <c r="M191" s="25">
        <f t="shared" si="115"/>
        <v>0.27586422742956257</v>
      </c>
      <c r="N191" s="25">
        <f t="shared" si="116"/>
        <v>0.12971392089226477</v>
      </c>
      <c r="O191" s="25">
        <f t="shared" si="117"/>
        <v>0.12971392089226477</v>
      </c>
      <c r="P191" s="24">
        <f t="shared" si="118"/>
        <v>2.4949754370087395E-3</v>
      </c>
      <c r="Q191" s="40">
        <f t="shared" si="100"/>
        <v>1.1731606141174276E-3</v>
      </c>
      <c r="R191" s="40">
        <f t="shared" si="101"/>
        <v>0.27336925199255385</v>
      </c>
      <c r="S191" s="40">
        <f t="shared" si="102"/>
        <v>0.12854076027814734</v>
      </c>
      <c r="T191" s="40">
        <f t="shared" si="103"/>
        <v>0</v>
      </c>
      <c r="U191" s="40">
        <f t="shared" si="104"/>
        <v>0</v>
      </c>
      <c r="V191" s="25">
        <f t="shared" si="119"/>
        <v>3.6397288728127808E-2</v>
      </c>
      <c r="W191" s="25">
        <f t="shared" si="120"/>
        <v>1.7114343076536736E-2</v>
      </c>
      <c r="X191" s="40">
        <f t="shared" si="105"/>
        <v>1.467632610005141E-2</v>
      </c>
      <c r="Y191" s="40">
        <f t="shared" si="106"/>
        <v>6.9009447889260443E-3</v>
      </c>
      <c r="Z191" s="40">
        <f t="shared" si="107"/>
        <v>2.1720962628076396E-2</v>
      </c>
      <c r="AA191" s="40">
        <f t="shared" si="108"/>
        <v>1.0213398287610692E-2</v>
      </c>
      <c r="AB191" s="40">
        <f t="shared" si="109"/>
        <v>0</v>
      </c>
      <c r="AC191" s="40">
        <f t="shared" si="110"/>
        <v>0</v>
      </c>
      <c r="AD191" s="26">
        <v>1215.4228689920101</v>
      </c>
      <c r="AE191" s="8">
        <v>571.50311712429004</v>
      </c>
      <c r="AF191" s="61">
        <f t="shared" si="121"/>
        <v>1.7845842984207692</v>
      </c>
      <c r="AG191" s="61">
        <f t="shared" si="143"/>
        <v>1.7845842984207692</v>
      </c>
      <c r="AH191" s="74">
        <f t="shared" si="142"/>
        <v>0.88343972329351217</v>
      </c>
      <c r="AI191" s="74">
        <f t="shared" si="147"/>
        <v>0.88343972329351217</v>
      </c>
      <c r="AJ191" s="74">
        <f t="shared" si="122"/>
        <v>0.88343972329351217</v>
      </c>
      <c r="AK191" s="74">
        <f t="shared" si="148"/>
        <v>0.88343972329351217</v>
      </c>
      <c r="AL191" s="74">
        <f t="shared" si="123"/>
        <v>0.87544970432572877</v>
      </c>
      <c r="AM191" s="74">
        <f t="shared" si="149"/>
        <v>0.87544970432572877</v>
      </c>
      <c r="AN191" s="74">
        <f t="shared" si="124"/>
        <v>7.9900189677833706E-3</v>
      </c>
      <c r="AO191" s="74">
        <f t="shared" si="125"/>
        <v>7.9900189677833706E-3</v>
      </c>
      <c r="AP191" s="74">
        <f t="shared" si="126"/>
        <v>0</v>
      </c>
      <c r="AQ191" s="74">
        <f t="shared" si="127"/>
        <v>0</v>
      </c>
      <c r="AR191" s="74">
        <f t="shared" si="128"/>
        <v>0.99095578480669155</v>
      </c>
      <c r="AS191" s="74">
        <f t="shared" si="129"/>
        <v>9.0442151933084209E-3</v>
      </c>
      <c r="AT191" s="74">
        <f t="shared" si="130"/>
        <v>0.1165602767064878</v>
      </c>
      <c r="AU191" s="74">
        <f t="shared" si="131"/>
        <v>0.1165602767064878</v>
      </c>
      <c r="AV191" s="74">
        <f t="shared" si="132"/>
        <v>4.7000111575196298E-2</v>
      </c>
      <c r="AW191" s="74">
        <f t="shared" si="133"/>
        <v>4.7000111575196298E-2</v>
      </c>
      <c r="AX191" s="74">
        <f t="shared" si="134"/>
        <v>6.9560165131291513E-2</v>
      </c>
      <c r="AY191" s="74">
        <f t="shared" si="135"/>
        <v>6.9560165131291513E-2</v>
      </c>
      <c r="AZ191" s="74">
        <f t="shared" si="136"/>
        <v>0.40322580645160944</v>
      </c>
      <c r="BA191" s="74">
        <f t="shared" si="137"/>
        <v>0.59677419354839056</v>
      </c>
      <c r="BB191" s="74">
        <f t="shared" si="138"/>
        <v>3.1226151615769038E-3</v>
      </c>
      <c r="BC191" s="74">
        <f t="shared" si="139"/>
        <v>3.1226151615769038E-3</v>
      </c>
      <c r="BD191" s="74">
        <f t="shared" si="140"/>
        <v>1.4682826396880152E-3</v>
      </c>
      <c r="BE191" s="75">
        <f t="shared" si="141"/>
        <v>3.1226151615769038E-3</v>
      </c>
    </row>
    <row r="192" spans="1:57" s="45" customFormat="1" x14ac:dyDescent="0.35">
      <c r="A192" s="41" t="s">
        <v>27</v>
      </c>
      <c r="B192" s="42" t="s">
        <v>70</v>
      </c>
      <c r="C192" s="47">
        <f t="shared" si="111"/>
        <v>30.447629669960548</v>
      </c>
      <c r="D192" s="23">
        <f t="shared" si="112"/>
        <v>30.447629669960548</v>
      </c>
      <c r="E192" s="50">
        <f>[1]data!E192-[1]data!E154</f>
        <v>2.3474363010853931</v>
      </c>
      <c r="F192" s="36">
        <f>[1]data!F192-[1]data!F154</f>
        <v>28.100193368875154</v>
      </c>
      <c r="G192" s="36">
        <f>[1]data!G192-[1]data!G154</f>
        <v>0</v>
      </c>
      <c r="H192" s="25">
        <f t="shared" si="113"/>
        <v>0</v>
      </c>
      <c r="I192" s="36">
        <f>[1]data!I192-[1]data!I154</f>
        <v>0</v>
      </c>
      <c r="J192" s="36">
        <f>[1]data!J192-[1]data!J154</f>
        <v>0</v>
      </c>
      <c r="K192" s="36">
        <f>[1]data!K192-[1]data!K154</f>
        <v>0</v>
      </c>
      <c r="L192" s="25">
        <f t="shared" si="114"/>
        <v>2.0369395358085827</v>
      </c>
      <c r="M192" s="25">
        <f t="shared" si="115"/>
        <v>2.0369395358085827</v>
      </c>
      <c r="N192" s="25">
        <f t="shared" si="116"/>
        <v>2.482449204899484</v>
      </c>
      <c r="O192" s="25">
        <f t="shared" si="117"/>
        <v>2.482449204899484</v>
      </c>
      <c r="P192" s="24">
        <f t="shared" si="118"/>
        <v>0.15704295740927843</v>
      </c>
      <c r="Q192" s="43">
        <f t="shared" si="100"/>
        <v>0.19139064164757924</v>
      </c>
      <c r="R192" s="43">
        <f t="shared" si="101"/>
        <v>1.8798965783993042</v>
      </c>
      <c r="S192" s="43">
        <f t="shared" si="102"/>
        <v>2.2910585632519047</v>
      </c>
      <c r="T192" s="43">
        <f t="shared" si="103"/>
        <v>0</v>
      </c>
      <c r="U192" s="43">
        <f t="shared" si="104"/>
        <v>0</v>
      </c>
      <c r="V192" s="25">
        <f t="shared" si="119"/>
        <v>0</v>
      </c>
      <c r="W192" s="25">
        <f t="shared" si="120"/>
        <v>0</v>
      </c>
      <c r="X192" s="43">
        <f t="shared" si="105"/>
        <v>0</v>
      </c>
      <c r="Y192" s="43">
        <f t="shared" si="106"/>
        <v>0</v>
      </c>
      <c r="Z192" s="43">
        <f t="shared" si="107"/>
        <v>0</v>
      </c>
      <c r="AA192" s="43">
        <f t="shared" si="108"/>
        <v>0</v>
      </c>
      <c r="AB192" s="43">
        <f t="shared" si="109"/>
        <v>0</v>
      </c>
      <c r="AC192" s="43">
        <f t="shared" si="110"/>
        <v>0</v>
      </c>
      <c r="AD192" s="44">
        <v>1226.51571721458</v>
      </c>
      <c r="AE192" s="45">
        <v>1494.77336635199</v>
      </c>
      <c r="AF192" s="61">
        <f t="shared" si="121"/>
        <v>30.447629669960548</v>
      </c>
      <c r="AG192" s="61">
        <f t="shared" si="143"/>
        <v>30.447629669960548</v>
      </c>
      <c r="AH192" s="74">
        <f t="shared" si="142"/>
        <v>1</v>
      </c>
      <c r="AI192" s="74">
        <f t="shared" si="147"/>
        <v>1</v>
      </c>
      <c r="AJ192" s="74">
        <f t="shared" si="122"/>
        <v>1</v>
      </c>
      <c r="AK192" s="74">
        <f t="shared" si="148"/>
        <v>1</v>
      </c>
      <c r="AL192" s="74">
        <f t="shared" si="123"/>
        <v>0.92290249433106575</v>
      </c>
      <c r="AM192" s="74">
        <f t="shared" si="149"/>
        <v>0.92290249433106575</v>
      </c>
      <c r="AN192" s="74">
        <f t="shared" si="124"/>
        <v>7.7097505668934224E-2</v>
      </c>
      <c r="AO192" s="74">
        <f t="shared" si="125"/>
        <v>7.7097505668934224E-2</v>
      </c>
      <c r="AP192" s="74">
        <f t="shared" si="126"/>
        <v>0</v>
      </c>
      <c r="AQ192" s="74">
        <f t="shared" si="127"/>
        <v>0</v>
      </c>
      <c r="AR192" s="74">
        <f t="shared" si="128"/>
        <v>0.92290249433106575</v>
      </c>
      <c r="AS192" s="74">
        <f t="shared" si="129"/>
        <v>7.7097505668934224E-2</v>
      </c>
      <c r="AT192" s="74">
        <f t="shared" si="130"/>
        <v>0</v>
      </c>
      <c r="AU192" s="74">
        <f t="shared" si="131"/>
        <v>0</v>
      </c>
      <c r="AV192" s="74">
        <f t="shared" si="132"/>
        <v>0</v>
      </c>
      <c r="AW192" s="74">
        <f t="shared" si="133"/>
        <v>0</v>
      </c>
      <c r="AX192" s="74">
        <f t="shared" si="134"/>
        <v>0</v>
      </c>
      <c r="AY192" s="74">
        <f t="shared" si="135"/>
        <v>0</v>
      </c>
      <c r="AZ192" s="74" t="e">
        <f t="shared" si="136"/>
        <v>#DIV/0!</v>
      </c>
      <c r="BA192" s="74" t="e">
        <f t="shared" si="137"/>
        <v>#DIV/0!</v>
      </c>
      <c r="BB192" s="74">
        <f t="shared" si="138"/>
        <v>2.0369395358085827E-2</v>
      </c>
      <c r="BC192" s="74">
        <f t="shared" si="139"/>
        <v>2.0369395358085827E-2</v>
      </c>
      <c r="BD192" s="74">
        <f t="shared" si="140"/>
        <v>2.4824492048994843E-2</v>
      </c>
      <c r="BE192" s="75">
        <f t="shared" si="141"/>
        <v>2.0369395358085827E-2</v>
      </c>
    </row>
    <row r="193" spans="1:57" x14ac:dyDescent="0.35">
      <c r="A193" s="7" t="s">
        <v>28</v>
      </c>
      <c r="B193" s="11" t="s">
        <v>70</v>
      </c>
      <c r="C193" s="47">
        <f t="shared" si="111"/>
        <v>20.579312535860986</v>
      </c>
      <c r="D193" s="23">
        <f t="shared" si="112"/>
        <v>20.504749809281783</v>
      </c>
      <c r="E193" s="50">
        <f>[1]data!E193-[1]data!E155</f>
        <v>5.6667672200197003</v>
      </c>
      <c r="F193" s="36">
        <f>[1]data!F193-[1]data!F155</f>
        <v>14.837982589262083</v>
      </c>
      <c r="G193" s="36">
        <f>[1]data!G193-[1]data!G155</f>
        <v>7.4562726579202376E-2</v>
      </c>
      <c r="H193" s="25">
        <f t="shared" si="113"/>
        <v>-1.1184408986880996</v>
      </c>
      <c r="I193" s="36">
        <f>[1]data!I193-[1]data!I155</f>
        <v>0</v>
      </c>
      <c r="J193" s="36">
        <f>[1]data!J193-[1]data!J155</f>
        <v>-1.1184408986880996</v>
      </c>
      <c r="K193" s="36">
        <f>[1]data!K193-[1]data!K155</f>
        <v>0</v>
      </c>
      <c r="L193" s="25">
        <f t="shared" si="114"/>
        <v>1.2129701047131625</v>
      </c>
      <c r="M193" s="25">
        <f t="shared" si="115"/>
        <v>1.2085752854931875</v>
      </c>
      <c r="N193" s="25">
        <f t="shared" si="116"/>
        <v>1.1940501305644577</v>
      </c>
      <c r="O193" s="25">
        <f t="shared" si="117"/>
        <v>1.1897238619754564</v>
      </c>
      <c r="P193" s="24">
        <f t="shared" si="118"/>
        <v>0.33400626071811768</v>
      </c>
      <c r="Q193" s="40">
        <f t="shared" si="100"/>
        <v>0.32879641276412658</v>
      </c>
      <c r="R193" s="40">
        <f t="shared" si="101"/>
        <v>0.8745690247750697</v>
      </c>
      <c r="S193" s="40">
        <f t="shared" si="102"/>
        <v>0.8609274492113298</v>
      </c>
      <c r="T193" s="40">
        <f t="shared" si="103"/>
        <v>4.3948192199749847E-3</v>
      </c>
      <c r="U193" s="40">
        <f t="shared" si="104"/>
        <v>4.3262685890014209E-3</v>
      </c>
      <c r="V193" s="25">
        <f t="shared" si="119"/>
        <v>-6.592228829962854E-2</v>
      </c>
      <c r="W193" s="25">
        <f t="shared" si="120"/>
        <v>-6.4894028835025028E-2</v>
      </c>
      <c r="X193" s="40">
        <f t="shared" si="105"/>
        <v>0</v>
      </c>
      <c r="Y193" s="40">
        <f t="shared" si="106"/>
        <v>0</v>
      </c>
      <c r="Z193" s="40">
        <f t="shared" si="107"/>
        <v>-6.592228829962854E-2</v>
      </c>
      <c r="AA193" s="40">
        <f t="shared" si="108"/>
        <v>-6.4894028835025028E-2</v>
      </c>
      <c r="AB193" s="40">
        <f t="shared" si="109"/>
        <v>0</v>
      </c>
      <c r="AC193" s="40">
        <f t="shared" si="110"/>
        <v>0</v>
      </c>
      <c r="AD193" s="26">
        <v>1723.48815255626</v>
      </c>
      <c r="AE193" s="8">
        <v>1696.60508992738</v>
      </c>
      <c r="AF193" s="61">
        <f t="shared" si="121"/>
        <v>19.386308910593684</v>
      </c>
      <c r="AG193" s="61">
        <f>(D193)+(H193*-1)</f>
        <v>21.623190707969883</v>
      </c>
      <c r="AH193" s="74">
        <f t="shared" si="142"/>
        <v>0.94827586206896541</v>
      </c>
      <c r="AI193" s="74">
        <f t="shared" si="147"/>
        <v>0.94827586206896541</v>
      </c>
      <c r="AJ193" s="74">
        <f t="shared" si="122"/>
        <v>1.0576923076923077</v>
      </c>
      <c r="AK193" s="74">
        <f t="shared" si="148"/>
        <v>1.0576923076923077</v>
      </c>
      <c r="AL193" s="74">
        <f t="shared" si="123"/>
        <v>0.68620689655172373</v>
      </c>
      <c r="AM193" s="74">
        <f t="shared" si="149"/>
        <v>0.76538461538461511</v>
      </c>
      <c r="AN193" s="74">
        <f t="shared" si="124"/>
        <v>0.26206896551724168</v>
      </c>
      <c r="AO193" s="74">
        <f t="shared" si="125"/>
        <v>0.29230769230769271</v>
      </c>
      <c r="AP193" s="74">
        <f t="shared" si="126"/>
        <v>3.4482758620687751E-3</v>
      </c>
      <c r="AQ193" s="74">
        <f t="shared" si="127"/>
        <v>3.8461538461536347E-3</v>
      </c>
      <c r="AR193" s="74">
        <f t="shared" si="128"/>
        <v>0.7236363636363633</v>
      </c>
      <c r="AS193" s="74">
        <f t="shared" si="129"/>
        <v>0.27636363636363676</v>
      </c>
      <c r="AT193" s="74">
        <f t="shared" si="130"/>
        <v>-5.1724137931034586E-2</v>
      </c>
      <c r="AU193" s="74">
        <f t="shared" si="131"/>
        <v>-5.769230769230782E-2</v>
      </c>
      <c r="AV193" s="74">
        <f t="shared" si="132"/>
        <v>0</v>
      </c>
      <c r="AW193" s="74">
        <f t="shared" si="133"/>
        <v>0</v>
      </c>
      <c r="AX193" s="74">
        <f t="shared" si="134"/>
        <v>-5.1724137931034586E-2</v>
      </c>
      <c r="AY193" s="74">
        <f t="shared" si="135"/>
        <v>-5.769230769230782E-2</v>
      </c>
      <c r="AZ193" s="74">
        <f t="shared" si="136"/>
        <v>0</v>
      </c>
      <c r="BA193" s="74">
        <f t="shared" si="137"/>
        <v>1</v>
      </c>
      <c r="BB193" s="74">
        <f t="shared" si="138"/>
        <v>1.1470478164135338E-2</v>
      </c>
      <c r="BC193" s="74">
        <f t="shared" si="139"/>
        <v>1.1426529971935589E-2</v>
      </c>
      <c r="BD193" s="74">
        <f t="shared" si="140"/>
        <v>1.1248298331404314E-2</v>
      </c>
      <c r="BE193" s="75">
        <f t="shared" si="141"/>
        <v>1.274497573792816E-2</v>
      </c>
    </row>
    <row r="194" spans="1:57" x14ac:dyDescent="0.35">
      <c r="A194" s="7" t="s">
        <v>29</v>
      </c>
      <c r="B194" s="11" t="s">
        <v>70</v>
      </c>
      <c r="C194" s="47">
        <f t="shared" si="111"/>
        <v>53.297862831851091</v>
      </c>
      <c r="D194" s="23">
        <f t="shared" si="112"/>
        <v>53.297862831851091</v>
      </c>
      <c r="E194" s="50">
        <f>[1]data!E194-[1]data!E156</f>
        <v>14.266023241930156</v>
      </c>
      <c r="F194" s="36">
        <f>[1]data!F194-[1]data!F156</f>
        <v>39.031839589920935</v>
      </c>
      <c r="G194" s="36">
        <f>[1]data!G194-[1]data!G156</f>
        <v>0</v>
      </c>
      <c r="H194" s="25">
        <f t="shared" si="113"/>
        <v>-5.9346656686429426</v>
      </c>
      <c r="I194" s="36">
        <f>[1]data!I194-[1]data!I156</f>
        <v>-5.9346656686429426</v>
      </c>
      <c r="J194" s="36">
        <f>[1]data!J194-[1]data!J156</f>
        <v>0</v>
      </c>
      <c r="K194" s="36">
        <f>[1]data!K194-[1]data!K156</f>
        <v>0</v>
      </c>
      <c r="L194" s="25">
        <f t="shared" si="114"/>
        <v>2.0367474980625917</v>
      </c>
      <c r="M194" s="25">
        <f t="shared" si="115"/>
        <v>2.0367474980625917</v>
      </c>
      <c r="N194" s="25">
        <f t="shared" si="116"/>
        <v>1.8333748955791573</v>
      </c>
      <c r="O194" s="25">
        <f t="shared" si="117"/>
        <v>1.8333748955791573</v>
      </c>
      <c r="P194" s="24">
        <f t="shared" si="118"/>
        <v>0.54516795986686051</v>
      </c>
      <c r="Q194" s="40">
        <f t="shared" ref="Q194:Q257" si="150">($E194/$AD194)*100</f>
        <v>0.49073203843125174</v>
      </c>
      <c r="R194" s="40">
        <f t="shared" ref="R194:R257" si="151">($F194/$AE194)*100</f>
        <v>1.4915795381957313</v>
      </c>
      <c r="S194" s="40">
        <f t="shared" ref="S194:S257" si="152">($F194/$AD194)*100</f>
        <v>1.3426428571479057</v>
      </c>
      <c r="T194" s="40">
        <f t="shared" ref="T194:T257" si="153">($G194/$AE194)*100</f>
        <v>0</v>
      </c>
      <c r="U194" s="40">
        <f t="shared" ref="U194:U257" si="154">($G194/$AD194)*100</f>
        <v>0</v>
      </c>
      <c r="V194" s="25">
        <f t="shared" si="119"/>
        <v>-0.22678987130461389</v>
      </c>
      <c r="W194" s="25">
        <f t="shared" si="120"/>
        <v>-0.20414452798740065</v>
      </c>
      <c r="X194" s="40">
        <f t="shared" ref="X194:X257" si="155">($I194/$AE194)*100</f>
        <v>-0.22678987130461389</v>
      </c>
      <c r="Y194" s="40">
        <f t="shared" ref="Y194:Y257" si="156">($I194/AD194)*100</f>
        <v>-0.20414452798740065</v>
      </c>
      <c r="Z194" s="40">
        <f t="shared" ref="Z194:Z257" si="157">($J194/$AE194)*100</f>
        <v>0</v>
      </c>
      <c r="AA194" s="40">
        <f t="shared" ref="AA194:AA257" si="158">($J194/$AD194)*100</f>
        <v>0</v>
      </c>
      <c r="AB194" s="40">
        <f t="shared" ref="AB194:AB257" si="159">($K194/$AE194)*100</f>
        <v>0</v>
      </c>
      <c r="AC194" s="40">
        <f t="shared" ref="AC194:AC257" si="160">($K194/$AD194)*100</f>
        <v>0</v>
      </c>
      <c r="AD194" s="26">
        <v>2907.0902498102801</v>
      </c>
      <c r="AE194" s="8">
        <v>2616.8124857180101</v>
      </c>
      <c r="AF194" s="61">
        <f t="shared" si="121"/>
        <v>47.363197163208149</v>
      </c>
      <c r="AG194" s="61">
        <f>(D194)+(H194*-1)</f>
        <v>59.232528500494034</v>
      </c>
      <c r="AH194" s="74">
        <f t="shared" si="142"/>
        <v>0.89980732177263978</v>
      </c>
      <c r="AI194" s="74">
        <f t="shared" si="147"/>
        <v>0.89980732177263978</v>
      </c>
      <c r="AJ194" s="74">
        <f t="shared" si="122"/>
        <v>1.125301204819277</v>
      </c>
      <c r="AK194" s="74">
        <f t="shared" si="148"/>
        <v>1.125301204819277</v>
      </c>
      <c r="AL194" s="74">
        <f t="shared" si="123"/>
        <v>0.65895953757225456</v>
      </c>
      <c r="AM194" s="74">
        <f t="shared" si="149"/>
        <v>0.82409638554216869</v>
      </c>
      <c r="AN194" s="74">
        <f t="shared" si="124"/>
        <v>0.24084778420038525</v>
      </c>
      <c r="AO194" s="74">
        <f t="shared" si="125"/>
        <v>0.30120481927710824</v>
      </c>
      <c r="AP194" s="74">
        <f t="shared" si="126"/>
        <v>0</v>
      </c>
      <c r="AQ194" s="74">
        <f t="shared" si="127"/>
        <v>0</v>
      </c>
      <c r="AR194" s="74">
        <f t="shared" si="128"/>
        <v>0.7323340471092078</v>
      </c>
      <c r="AS194" s="74">
        <f t="shared" si="129"/>
        <v>0.26766595289079215</v>
      </c>
      <c r="AT194" s="74">
        <f t="shared" si="130"/>
        <v>-0.10019267822736022</v>
      </c>
      <c r="AU194" s="74">
        <f t="shared" si="131"/>
        <v>-0.12530120481927698</v>
      </c>
      <c r="AV194" s="74">
        <f t="shared" si="132"/>
        <v>-0.10019267822736022</v>
      </c>
      <c r="AW194" s="74">
        <f t="shared" si="133"/>
        <v>-0.12530120481927698</v>
      </c>
      <c r="AX194" s="74">
        <f t="shared" si="134"/>
        <v>0</v>
      </c>
      <c r="AY194" s="74">
        <f t="shared" si="135"/>
        <v>0</v>
      </c>
      <c r="AZ194" s="74">
        <f t="shared" si="136"/>
        <v>1</v>
      </c>
      <c r="BA194" s="74">
        <f t="shared" si="137"/>
        <v>0</v>
      </c>
      <c r="BB194" s="74">
        <f t="shared" si="138"/>
        <v>1.809957626757978E-2</v>
      </c>
      <c r="BC194" s="74">
        <f t="shared" si="139"/>
        <v>1.809957626757978E-2</v>
      </c>
      <c r="BD194" s="74">
        <f t="shared" si="140"/>
        <v>1.6292303675917569E-2</v>
      </c>
      <c r="BE194" s="75">
        <f t="shared" si="141"/>
        <v>2.2635373693672058E-2</v>
      </c>
    </row>
    <row r="195" spans="1:57" x14ac:dyDescent="0.35">
      <c r="A195" s="7" t="s">
        <v>30</v>
      </c>
      <c r="B195" s="11" t="s">
        <v>70</v>
      </c>
      <c r="C195" s="47">
        <f t="shared" ref="C195:C258" si="161">D195+G195</f>
        <v>100.43280362318828</v>
      </c>
      <c r="D195" s="23">
        <f t="shared" ref="D195:D258" si="162">E195+F195</f>
        <v>100.43280362318828</v>
      </c>
      <c r="E195" s="50">
        <f>[1]data!E195-[1]data!E157</f>
        <v>23.966919046442662</v>
      </c>
      <c r="F195" s="36">
        <f>[1]data!F195-[1]data!F157</f>
        <v>76.465884576745623</v>
      </c>
      <c r="G195" s="36">
        <f>[1]data!G195-[1]data!G157</f>
        <v>0</v>
      </c>
      <c r="H195" s="25">
        <f t="shared" ref="H195:H258" si="163">I195+J195</f>
        <v>0.79889730154820882</v>
      </c>
      <c r="I195" s="36">
        <f>[1]data!I195-[1]data!I157</f>
        <v>0</v>
      </c>
      <c r="J195" s="36">
        <f>[1]data!J195-[1]data!J157</f>
        <v>0.79889730154820882</v>
      </c>
      <c r="K195" s="36">
        <f>[1]data!K195-[1]data!K157</f>
        <v>0</v>
      </c>
      <c r="L195" s="25">
        <f t="shared" ref="L195:L258" si="164">M195+T195</f>
        <v>2.7918805654534253</v>
      </c>
      <c r="M195" s="25">
        <f t="shared" ref="M195:M258" si="165">P195+R195</f>
        <v>2.7918805654534253</v>
      </c>
      <c r="N195" s="25">
        <f t="shared" ref="N195:N258" si="166">Q195+S195+U195</f>
        <v>2.4132147741265229</v>
      </c>
      <c r="O195" s="25">
        <f t="shared" ref="O195:O258" si="167">Q195+S195</f>
        <v>2.4132147741265229</v>
      </c>
      <c r="P195" s="24">
        <f t="shared" ref="P195:P258" si="168">($E195/$AE195)*100</f>
        <v>0.66624422584684018</v>
      </c>
      <c r="Q195" s="40">
        <f t="shared" si="150"/>
        <v>0.57588079837110207</v>
      </c>
      <c r="R195" s="40">
        <f t="shared" si="151"/>
        <v>2.1256363396065852</v>
      </c>
      <c r="S195" s="40">
        <f t="shared" si="152"/>
        <v>1.8373339757554206</v>
      </c>
      <c r="T195" s="40">
        <f t="shared" si="153"/>
        <v>0</v>
      </c>
      <c r="U195" s="40">
        <f t="shared" si="154"/>
        <v>0</v>
      </c>
      <c r="V195" s="25">
        <f t="shared" ref="V195:V258" si="169">X195+Z195</f>
        <v>2.2208140861564678E-2</v>
      </c>
      <c r="W195" s="25">
        <f t="shared" ref="W195:W258" si="170">Y195+AA195</f>
        <v>1.9196026612372956E-2</v>
      </c>
      <c r="X195" s="40">
        <f t="shared" si="155"/>
        <v>0</v>
      </c>
      <c r="Y195" s="40">
        <f t="shared" si="156"/>
        <v>0</v>
      </c>
      <c r="Z195" s="40">
        <f t="shared" si="157"/>
        <v>2.2208140861564678E-2</v>
      </c>
      <c r="AA195" s="40">
        <f t="shared" si="158"/>
        <v>1.9196026612372956E-2</v>
      </c>
      <c r="AB195" s="40">
        <f t="shared" si="159"/>
        <v>0</v>
      </c>
      <c r="AC195" s="40">
        <f t="shared" si="160"/>
        <v>0</v>
      </c>
      <c r="AD195" s="26">
        <v>4161.7847155581303</v>
      </c>
      <c r="AE195" s="8">
        <v>3597.3173374942398</v>
      </c>
      <c r="AF195" s="61">
        <f t="shared" ref="AF195:AF258" si="171">D195+H195</f>
        <v>101.23170092473649</v>
      </c>
      <c r="AG195" s="61">
        <f t="shared" ref="AG195:AG257" si="172">(D195)+(H195)</f>
        <v>101.23170092473649</v>
      </c>
      <c r="AH195" s="74">
        <f t="shared" ref="AH195:AH258" si="173">($D195/$AG195)</f>
        <v>0.99210822998872483</v>
      </c>
      <c r="AI195" s="74">
        <f t="shared" si="147"/>
        <v>0.99210822998872483</v>
      </c>
      <c r="AJ195" s="74">
        <f t="shared" ref="AJ195:AJ258" si="174">(($D195)/(AF195))</f>
        <v>0.99210822998872483</v>
      </c>
      <c r="AK195" s="74">
        <f t="shared" si="148"/>
        <v>0.99210822998872483</v>
      </c>
      <c r="AL195" s="74">
        <f t="shared" ref="AL195:AL258" si="175">($F195/(AG195))</f>
        <v>0.75535512965050644</v>
      </c>
      <c r="AM195" s="74">
        <f t="shared" si="149"/>
        <v>0.75535512965050644</v>
      </c>
      <c r="AN195" s="74">
        <f t="shared" ref="AN195:AN258" si="176">($E195/AG195)</f>
        <v>0.23675310033821848</v>
      </c>
      <c r="AO195" s="74">
        <f t="shared" ref="AO195:AO258" si="177">(E195/AF195)</f>
        <v>0.23675310033821848</v>
      </c>
      <c r="AP195" s="74">
        <f t="shared" ref="AP195:AP258" si="178">($G195/$AG195)</f>
        <v>0</v>
      </c>
      <c r="AQ195" s="74">
        <f t="shared" ref="AQ195:AQ258" si="179">($G195/$AF195)</f>
        <v>0</v>
      </c>
      <c r="AR195" s="74">
        <f t="shared" ref="AR195:AR258" si="180">(F195/D195)</f>
        <v>0.76136363636363635</v>
      </c>
      <c r="AS195" s="74">
        <f t="shared" ref="AS195:AS258" si="181">(E195/D195)</f>
        <v>0.23863636363636367</v>
      </c>
      <c r="AT195" s="74">
        <f t="shared" ref="AT195:AT258" si="182">($H195/(AG195))</f>
        <v>7.8917700112751364E-3</v>
      </c>
      <c r="AU195" s="74">
        <f t="shared" ref="AU195:AU258" si="183">($H195/(AF195))</f>
        <v>7.8917700112751364E-3</v>
      </c>
      <c r="AV195" s="74">
        <f t="shared" ref="AV195:AV258" si="184">($I195/(AG195))</f>
        <v>0</v>
      </c>
      <c r="AW195" s="74">
        <f t="shared" ref="AW195:AW258" si="185">($I195/(AF195))</f>
        <v>0</v>
      </c>
      <c r="AX195" s="74">
        <f t="shared" ref="AX195:AX258" si="186">($J195/(AG195))</f>
        <v>7.8917700112751364E-3</v>
      </c>
      <c r="AY195" s="74">
        <f t="shared" ref="AY195:AY258" si="187">(J195/(AF195))</f>
        <v>7.8917700112751364E-3</v>
      </c>
      <c r="AZ195" s="74">
        <f t="shared" ref="AZ195:AZ258" si="188">(I195/H195)</f>
        <v>0</v>
      </c>
      <c r="BA195" s="74">
        <f t="shared" ref="BA195:BA258" si="189">J195/H195</f>
        <v>1</v>
      </c>
      <c r="BB195" s="74">
        <f t="shared" ref="BB195:BB258" si="190">((AF195+G195)/AE195)</f>
        <v>2.8140887063149898E-2</v>
      </c>
      <c r="BC195" s="74">
        <f t="shared" ref="BC195:BC258" si="191">(AF195/AE195)</f>
        <v>2.8140887063149898E-2</v>
      </c>
      <c r="BD195" s="74">
        <f t="shared" ref="BD195:BD258" si="192">(AF195)/AD195</f>
        <v>2.4324108007388955E-2</v>
      </c>
      <c r="BE195" s="75">
        <f t="shared" ref="BE195:BE258" si="193">(AG195/AE195)</f>
        <v>2.8140887063149898E-2</v>
      </c>
    </row>
    <row r="196" spans="1:57" x14ac:dyDescent="0.35">
      <c r="A196" s="7" t="s">
        <v>31</v>
      </c>
      <c r="B196" s="11" t="s">
        <v>70</v>
      </c>
      <c r="C196" s="47">
        <f t="shared" si="161"/>
        <v>45.651274374176516</v>
      </c>
      <c r="D196" s="23">
        <f t="shared" si="162"/>
        <v>45.651274374176516</v>
      </c>
      <c r="E196" s="50">
        <f>[1]data!E196-[1]data!E158</f>
        <v>11.412818593544126</v>
      </c>
      <c r="F196" s="36">
        <f>[1]data!F196-[1]data!F158</f>
        <v>34.238455780632393</v>
      </c>
      <c r="G196" s="36">
        <f>[1]data!G196-[1]data!G158</f>
        <v>0</v>
      </c>
      <c r="H196" s="25">
        <f t="shared" si="163"/>
        <v>0</v>
      </c>
      <c r="I196" s="36">
        <f>[1]data!I196-[1]data!I158</f>
        <v>0</v>
      </c>
      <c r="J196" s="36">
        <f>[1]data!J196-[1]data!J158</f>
        <v>0</v>
      </c>
      <c r="K196" s="36">
        <f>[1]data!K196-[1]data!K158</f>
        <v>0</v>
      </c>
      <c r="L196" s="25">
        <f t="shared" si="164"/>
        <v>2.3799542832409921</v>
      </c>
      <c r="M196" s="25">
        <f t="shared" si="165"/>
        <v>2.3799542832409921</v>
      </c>
      <c r="N196" s="25">
        <f t="shared" si="166"/>
        <v>1.9528621771443739</v>
      </c>
      <c r="O196" s="25">
        <f t="shared" si="167"/>
        <v>1.9528621771443739</v>
      </c>
      <c r="P196" s="24">
        <f t="shared" si="168"/>
        <v>0.59498857081024792</v>
      </c>
      <c r="Q196" s="40">
        <f t="shared" si="150"/>
        <v>0.48821554428609326</v>
      </c>
      <c r="R196" s="40">
        <f t="shared" si="151"/>
        <v>1.7849657124307443</v>
      </c>
      <c r="S196" s="40">
        <f t="shared" si="152"/>
        <v>1.4646466328582808</v>
      </c>
      <c r="T196" s="40">
        <f t="shared" si="153"/>
        <v>0</v>
      </c>
      <c r="U196" s="40">
        <f t="shared" si="154"/>
        <v>0</v>
      </c>
      <c r="V196" s="25">
        <f t="shared" si="169"/>
        <v>0</v>
      </c>
      <c r="W196" s="25">
        <f t="shared" si="170"/>
        <v>0</v>
      </c>
      <c r="X196" s="40">
        <f t="shared" si="155"/>
        <v>0</v>
      </c>
      <c r="Y196" s="40">
        <f t="shared" si="156"/>
        <v>0</v>
      </c>
      <c r="Z196" s="40">
        <f t="shared" si="157"/>
        <v>0</v>
      </c>
      <c r="AA196" s="40">
        <f t="shared" si="158"/>
        <v>0</v>
      </c>
      <c r="AB196" s="40">
        <f t="shared" si="159"/>
        <v>0</v>
      </c>
      <c r="AC196" s="40">
        <f t="shared" si="160"/>
        <v>0</v>
      </c>
      <c r="AD196" s="26">
        <v>2337.6598158571201</v>
      </c>
      <c r="AE196" s="8">
        <v>1918.15761738117</v>
      </c>
      <c r="AF196" s="61">
        <f t="shared" si="171"/>
        <v>45.651274374176516</v>
      </c>
      <c r="AG196" s="61">
        <f t="shared" si="172"/>
        <v>45.651274374176516</v>
      </c>
      <c r="AH196" s="74">
        <f t="shared" si="173"/>
        <v>1</v>
      </c>
      <c r="AI196" s="74">
        <f t="shared" si="147"/>
        <v>1</v>
      </c>
      <c r="AJ196" s="74">
        <f t="shared" si="174"/>
        <v>1</v>
      </c>
      <c r="AK196" s="74">
        <f t="shared" si="148"/>
        <v>1</v>
      </c>
      <c r="AL196" s="74">
        <f t="shared" si="175"/>
        <v>0.75000000000000011</v>
      </c>
      <c r="AM196" s="74">
        <f t="shared" si="149"/>
        <v>0.75000000000000011</v>
      </c>
      <c r="AN196" s="74">
        <f t="shared" si="176"/>
        <v>0.24999999999999992</v>
      </c>
      <c r="AO196" s="74">
        <f t="shared" si="177"/>
        <v>0.24999999999999992</v>
      </c>
      <c r="AP196" s="74">
        <f t="shared" si="178"/>
        <v>0</v>
      </c>
      <c r="AQ196" s="74">
        <f t="shared" si="179"/>
        <v>0</v>
      </c>
      <c r="AR196" s="74">
        <f t="shared" si="180"/>
        <v>0.75000000000000011</v>
      </c>
      <c r="AS196" s="74">
        <f t="shared" si="181"/>
        <v>0.24999999999999992</v>
      </c>
      <c r="AT196" s="74">
        <f t="shared" si="182"/>
        <v>0</v>
      </c>
      <c r="AU196" s="74">
        <f t="shared" si="183"/>
        <v>0</v>
      </c>
      <c r="AV196" s="74">
        <f t="shared" si="184"/>
        <v>0</v>
      </c>
      <c r="AW196" s="74">
        <f t="shared" si="185"/>
        <v>0</v>
      </c>
      <c r="AX196" s="74">
        <f t="shared" si="186"/>
        <v>0</v>
      </c>
      <c r="AY196" s="74">
        <f t="shared" si="187"/>
        <v>0</v>
      </c>
      <c r="AZ196" s="74" t="e">
        <f t="shared" si="188"/>
        <v>#DIV/0!</v>
      </c>
      <c r="BA196" s="74" t="e">
        <f t="shared" si="189"/>
        <v>#DIV/0!</v>
      </c>
      <c r="BB196" s="74">
        <f t="shared" si="190"/>
        <v>2.3799542832409922E-2</v>
      </c>
      <c r="BC196" s="74">
        <f t="shared" si="191"/>
        <v>2.3799542832409922E-2</v>
      </c>
      <c r="BD196" s="74">
        <f t="shared" si="192"/>
        <v>1.9528621771443738E-2</v>
      </c>
      <c r="BE196" s="75">
        <f t="shared" si="193"/>
        <v>2.3799542832409922E-2</v>
      </c>
    </row>
    <row r="197" spans="1:57" x14ac:dyDescent="0.35">
      <c r="A197" s="7" t="s">
        <v>32</v>
      </c>
      <c r="B197" s="11" t="s">
        <v>70</v>
      </c>
      <c r="C197" s="47">
        <f t="shared" si="161"/>
        <v>29.96967941429034</v>
      </c>
      <c r="D197" s="23">
        <f t="shared" si="162"/>
        <v>29.96967941429034</v>
      </c>
      <c r="E197" s="50">
        <f>[1]data!E197-[1]data!E159</f>
        <v>4.6827624084828585</v>
      </c>
      <c r="F197" s="36">
        <f>[1]data!F197-[1]data!F159</f>
        <v>25.286917005807481</v>
      </c>
      <c r="G197" s="36">
        <f>[1]data!G197-[1]data!G159</f>
        <v>0</v>
      </c>
      <c r="H197" s="25">
        <f t="shared" si="163"/>
        <v>0</v>
      </c>
      <c r="I197" s="36">
        <f>[1]data!I197-[1]data!I159</f>
        <v>0</v>
      </c>
      <c r="J197" s="36">
        <f>[1]data!J197-[1]data!J159</f>
        <v>0</v>
      </c>
      <c r="K197" s="36">
        <f>[1]data!K197-[1]data!K159</f>
        <v>0</v>
      </c>
      <c r="L197" s="25">
        <f t="shared" si="164"/>
        <v>0.65660595684839329</v>
      </c>
      <c r="M197" s="25">
        <f t="shared" si="165"/>
        <v>0.65660595684839329</v>
      </c>
      <c r="N197" s="25">
        <f t="shared" si="166"/>
        <v>0.56282649977393051</v>
      </c>
      <c r="O197" s="25">
        <f t="shared" si="167"/>
        <v>0.56282649977393051</v>
      </c>
      <c r="P197" s="24">
        <f t="shared" si="168"/>
        <v>0.10259468075756131</v>
      </c>
      <c r="Q197" s="40">
        <f t="shared" si="150"/>
        <v>8.7941640589676504E-2</v>
      </c>
      <c r="R197" s="40">
        <f t="shared" si="151"/>
        <v>0.55401127609083201</v>
      </c>
      <c r="S197" s="40">
        <f t="shared" si="152"/>
        <v>0.47488485918425405</v>
      </c>
      <c r="T197" s="40">
        <f t="shared" si="153"/>
        <v>0</v>
      </c>
      <c r="U197" s="40">
        <f t="shared" si="154"/>
        <v>0</v>
      </c>
      <c r="V197" s="25">
        <f t="shared" si="169"/>
        <v>0</v>
      </c>
      <c r="W197" s="25">
        <f t="shared" si="170"/>
        <v>0</v>
      </c>
      <c r="X197" s="40">
        <f t="shared" si="155"/>
        <v>0</v>
      </c>
      <c r="Y197" s="40">
        <f t="shared" si="156"/>
        <v>0</v>
      </c>
      <c r="Z197" s="40">
        <f t="shared" si="157"/>
        <v>0</v>
      </c>
      <c r="AA197" s="40">
        <f t="shared" si="158"/>
        <v>0</v>
      </c>
      <c r="AB197" s="40">
        <f t="shared" si="159"/>
        <v>0</v>
      </c>
      <c r="AC197" s="40">
        <f t="shared" si="160"/>
        <v>0</v>
      </c>
      <c r="AD197" s="26">
        <v>5324.8522282316499</v>
      </c>
      <c r="AE197" s="8">
        <v>4564.3325500944502</v>
      </c>
      <c r="AF197" s="61">
        <f t="shared" si="171"/>
        <v>29.96967941429034</v>
      </c>
      <c r="AG197" s="61">
        <f t="shared" si="172"/>
        <v>29.96967941429034</v>
      </c>
      <c r="AH197" s="74">
        <f t="shared" si="173"/>
        <v>1</v>
      </c>
      <c r="AI197" s="74">
        <f t="shared" si="147"/>
        <v>1</v>
      </c>
      <c r="AJ197" s="74">
        <f t="shared" si="174"/>
        <v>1</v>
      </c>
      <c r="AK197" s="74">
        <f t="shared" si="148"/>
        <v>1</v>
      </c>
      <c r="AL197" s="74">
        <f t="shared" si="175"/>
        <v>0.84375000000000022</v>
      </c>
      <c r="AM197" s="74">
        <f t="shared" si="149"/>
        <v>0.84375000000000022</v>
      </c>
      <c r="AN197" s="74">
        <f t="shared" si="176"/>
        <v>0.15624999999999975</v>
      </c>
      <c r="AO197" s="74">
        <f t="shared" si="177"/>
        <v>0.15624999999999975</v>
      </c>
      <c r="AP197" s="74">
        <f t="shared" si="178"/>
        <v>0</v>
      </c>
      <c r="AQ197" s="74">
        <f t="shared" si="179"/>
        <v>0</v>
      </c>
      <c r="AR197" s="74">
        <f t="shared" si="180"/>
        <v>0.84375000000000022</v>
      </c>
      <c r="AS197" s="74">
        <f t="shared" si="181"/>
        <v>0.15624999999999975</v>
      </c>
      <c r="AT197" s="74">
        <f t="shared" si="182"/>
        <v>0</v>
      </c>
      <c r="AU197" s="74">
        <f t="shared" si="183"/>
        <v>0</v>
      </c>
      <c r="AV197" s="74">
        <f t="shared" si="184"/>
        <v>0</v>
      </c>
      <c r="AW197" s="74">
        <f t="shared" si="185"/>
        <v>0</v>
      </c>
      <c r="AX197" s="74">
        <f t="shared" si="186"/>
        <v>0</v>
      </c>
      <c r="AY197" s="74">
        <f t="shared" si="187"/>
        <v>0</v>
      </c>
      <c r="AZ197" s="74" t="e">
        <f t="shared" si="188"/>
        <v>#DIV/0!</v>
      </c>
      <c r="BA197" s="74" t="e">
        <f t="shared" si="189"/>
        <v>#DIV/0!</v>
      </c>
      <c r="BB197" s="74">
        <f t="shared" si="190"/>
        <v>6.5660595684839344E-3</v>
      </c>
      <c r="BC197" s="74">
        <f t="shared" si="191"/>
        <v>6.5660595684839344E-3</v>
      </c>
      <c r="BD197" s="74">
        <f t="shared" si="192"/>
        <v>5.6282649977393052E-3</v>
      </c>
      <c r="BE197" s="75">
        <f t="shared" si="193"/>
        <v>6.5660595684839344E-3</v>
      </c>
    </row>
    <row r="198" spans="1:57" x14ac:dyDescent="0.35">
      <c r="A198" s="7" t="s">
        <v>33</v>
      </c>
      <c r="B198" s="11" t="s">
        <v>70</v>
      </c>
      <c r="C198" s="47">
        <f t="shared" si="161"/>
        <v>9.7954529108257304E-4</v>
      </c>
      <c r="D198" s="23">
        <f t="shared" si="162"/>
        <v>6.3663101002653377E-4</v>
      </c>
      <c r="E198" s="50">
        <f>[1]data!E198-[1]data!E160</f>
        <v>7.3429182238626822E-5</v>
      </c>
      <c r="F198" s="36">
        <f>[1]data!F198-[1]data!F160</f>
        <v>5.6320182778790695E-4</v>
      </c>
      <c r="G198" s="36">
        <f>[1]data!G198-[1]data!G160</f>
        <v>3.4291428105603927E-4</v>
      </c>
      <c r="H198" s="25">
        <f t="shared" si="163"/>
        <v>5.20612902079165E-4</v>
      </c>
      <c r="I198" s="36">
        <f>[1]data!I198-[1]data!I160</f>
        <v>0</v>
      </c>
      <c r="J198" s="36">
        <f>[1]data!J198-[1]data!J160</f>
        <v>5.20612902079165E-4</v>
      </c>
      <c r="K198" s="36">
        <f>[1]data!K198-[1]data!K160</f>
        <v>9.1786477798905253E-4</v>
      </c>
      <c r="L198" s="25">
        <f t="shared" si="164"/>
        <v>5.979593497313178E-5</v>
      </c>
      <c r="M198" s="25">
        <f t="shared" si="165"/>
        <v>3.8862875278951031E-5</v>
      </c>
      <c r="N198" s="25">
        <f t="shared" si="166"/>
        <v>4.54220874988498E-5</v>
      </c>
      <c r="O198" s="25">
        <f t="shared" si="167"/>
        <v>2.9520951920403551E-5</v>
      </c>
      <c r="P198" s="24">
        <f t="shared" si="168"/>
        <v>4.4824538959485871E-6</v>
      </c>
      <c r="Q198" s="40">
        <f t="shared" si="150"/>
        <v>3.4049540853039923E-6</v>
      </c>
      <c r="R198" s="40">
        <f t="shared" si="151"/>
        <v>3.4380421383002445E-5</v>
      </c>
      <c r="S198" s="40">
        <f t="shared" si="152"/>
        <v>2.6115997835099558E-5</v>
      </c>
      <c r="T198" s="40">
        <f t="shared" si="153"/>
        <v>2.0933059694180748E-5</v>
      </c>
      <c r="U198" s="40">
        <f t="shared" si="154"/>
        <v>1.5901135578446248E-5</v>
      </c>
      <c r="V198" s="25">
        <f t="shared" si="169"/>
        <v>3.1780598122721162E-5</v>
      </c>
      <c r="W198" s="25">
        <f t="shared" si="170"/>
        <v>2.4141124465143847E-5</v>
      </c>
      <c r="X198" s="40">
        <f t="shared" si="155"/>
        <v>0</v>
      </c>
      <c r="Y198" s="40">
        <f t="shared" si="156"/>
        <v>0</v>
      </c>
      <c r="Z198" s="40">
        <f t="shared" si="157"/>
        <v>3.1780598122721162E-5</v>
      </c>
      <c r="AA198" s="40">
        <f t="shared" si="158"/>
        <v>2.4141124465143847E-5</v>
      </c>
      <c r="AB198" s="40">
        <f t="shared" si="159"/>
        <v>5.603067369973687E-5</v>
      </c>
      <c r="AC198" s="40">
        <f t="shared" si="160"/>
        <v>4.2561926066588195E-5</v>
      </c>
      <c r="AD198" s="26">
        <v>2156.5395714307001</v>
      </c>
      <c r="AE198" s="8">
        <v>1638.14696019506</v>
      </c>
      <c r="AF198" s="61">
        <f t="shared" si="171"/>
        <v>1.1572439121056988E-3</v>
      </c>
      <c r="AG198" s="61">
        <f t="shared" si="172"/>
        <v>1.1572439121056988E-3</v>
      </c>
      <c r="AH198" s="74">
        <f t="shared" si="173"/>
        <v>0.55012690355668603</v>
      </c>
      <c r="AI198" s="74">
        <f t="shared" si="147"/>
        <v>0.55012690355668603</v>
      </c>
      <c r="AJ198" s="74">
        <f t="shared" si="174"/>
        <v>0.55012690355668603</v>
      </c>
      <c r="AK198" s="74">
        <f t="shared" si="148"/>
        <v>0.55012690355668603</v>
      </c>
      <c r="AL198" s="74">
        <f t="shared" si="175"/>
        <v>0.48667512690830728</v>
      </c>
      <c r="AM198" s="74">
        <f t="shared" si="149"/>
        <v>0.48667512690830728</v>
      </c>
      <c r="AN198" s="74">
        <f t="shared" si="176"/>
        <v>6.3451776648378727E-2</v>
      </c>
      <c r="AO198" s="74">
        <f t="shared" si="177"/>
        <v>6.3451776648378727E-2</v>
      </c>
      <c r="AP198" s="74">
        <f t="shared" si="178"/>
        <v>0.29631979694935617</v>
      </c>
      <c r="AQ198" s="74">
        <f t="shared" si="179"/>
        <v>0.29631979694935617</v>
      </c>
      <c r="AR198" s="74">
        <f t="shared" si="180"/>
        <v>0.8846597462546375</v>
      </c>
      <c r="AS198" s="74">
        <f t="shared" si="181"/>
        <v>0.1153402537453625</v>
      </c>
      <c r="AT198" s="74">
        <f t="shared" si="182"/>
        <v>0.44987309644331397</v>
      </c>
      <c r="AU198" s="74">
        <f t="shared" si="183"/>
        <v>0.44987309644331397</v>
      </c>
      <c r="AV198" s="74">
        <f t="shared" si="184"/>
        <v>0</v>
      </c>
      <c r="AW198" s="74">
        <f t="shared" si="185"/>
        <v>0</v>
      </c>
      <c r="AX198" s="74">
        <f t="shared" si="186"/>
        <v>0.44987309644331397</v>
      </c>
      <c r="AY198" s="74">
        <f t="shared" si="187"/>
        <v>0.44987309644331397</v>
      </c>
      <c r="AZ198" s="74">
        <f t="shared" si="188"/>
        <v>0</v>
      </c>
      <c r="BA198" s="74">
        <f t="shared" si="189"/>
        <v>1</v>
      </c>
      <c r="BB198" s="74">
        <f t="shared" si="190"/>
        <v>9.1576533095852938E-7</v>
      </c>
      <c r="BC198" s="74">
        <f t="shared" si="191"/>
        <v>7.0643473401672194E-7</v>
      </c>
      <c r="BD198" s="74">
        <f t="shared" si="192"/>
        <v>5.3662076385547396E-7</v>
      </c>
      <c r="BE198" s="75">
        <f t="shared" si="193"/>
        <v>7.0643473401672194E-7</v>
      </c>
    </row>
    <row r="199" spans="1:57" x14ac:dyDescent="0.35">
      <c r="A199" s="7" t="s">
        <v>34</v>
      </c>
      <c r="B199" s="11" t="s">
        <v>70</v>
      </c>
      <c r="C199" s="47">
        <f t="shared" si="161"/>
        <v>1.1412818593541374E-2</v>
      </c>
      <c r="D199" s="23">
        <f t="shared" si="162"/>
        <v>1.1412818593541374E-2</v>
      </c>
      <c r="E199" s="50">
        <f>[1]data!E199-[1]data!E161</f>
        <v>0</v>
      </c>
      <c r="F199" s="36">
        <f>[1]data!F199-[1]data!F161</f>
        <v>1.1412818593541374E-2</v>
      </c>
      <c r="G199" s="36">
        <f>[1]data!G199-[1]data!G161</f>
        <v>0</v>
      </c>
      <c r="H199" s="25">
        <f t="shared" si="163"/>
        <v>0</v>
      </c>
      <c r="I199" s="36">
        <f>[1]data!I199-[1]data!I161</f>
        <v>0</v>
      </c>
      <c r="J199" s="36">
        <f>[1]data!J199-[1]data!J161</f>
        <v>0</v>
      </c>
      <c r="K199" s="36">
        <f>[1]data!K199-[1]data!K161</f>
        <v>0</v>
      </c>
      <c r="L199" s="25">
        <f t="shared" si="164"/>
        <v>8.62048432624059E-4</v>
      </c>
      <c r="M199" s="25">
        <f t="shared" si="165"/>
        <v>8.62048432624059E-4</v>
      </c>
      <c r="N199" s="25">
        <f t="shared" si="166"/>
        <v>6.3527095195166979E-4</v>
      </c>
      <c r="O199" s="25">
        <f t="shared" si="167"/>
        <v>6.3527095195166979E-4</v>
      </c>
      <c r="P199" s="24">
        <f t="shared" si="168"/>
        <v>0</v>
      </c>
      <c r="Q199" s="40">
        <f t="shared" si="150"/>
        <v>0</v>
      </c>
      <c r="R199" s="40">
        <f t="shared" si="151"/>
        <v>8.62048432624059E-4</v>
      </c>
      <c r="S199" s="40">
        <f t="shared" si="152"/>
        <v>6.3527095195166979E-4</v>
      </c>
      <c r="T199" s="40">
        <f t="shared" si="153"/>
        <v>0</v>
      </c>
      <c r="U199" s="40">
        <f t="shared" si="154"/>
        <v>0</v>
      </c>
      <c r="V199" s="25">
        <f t="shared" si="169"/>
        <v>0</v>
      </c>
      <c r="W199" s="25">
        <f t="shared" si="170"/>
        <v>0</v>
      </c>
      <c r="X199" s="40">
        <f t="shared" si="155"/>
        <v>0</v>
      </c>
      <c r="Y199" s="40">
        <f t="shared" si="156"/>
        <v>0</v>
      </c>
      <c r="Z199" s="40">
        <f t="shared" si="157"/>
        <v>0</v>
      </c>
      <c r="AA199" s="40">
        <f t="shared" si="158"/>
        <v>0</v>
      </c>
      <c r="AB199" s="40">
        <f t="shared" si="159"/>
        <v>0</v>
      </c>
      <c r="AC199" s="40">
        <f t="shared" si="160"/>
        <v>0</v>
      </c>
      <c r="AD199" s="26">
        <v>1796.5276955414199</v>
      </c>
      <c r="AE199" s="8">
        <v>1323.9184901480501</v>
      </c>
      <c r="AF199" s="61">
        <f t="shared" si="171"/>
        <v>1.1412818593541374E-2</v>
      </c>
      <c r="AG199" s="61">
        <f t="shared" si="172"/>
        <v>1.1412818593541374E-2</v>
      </c>
      <c r="AH199" s="74">
        <f t="shared" si="173"/>
        <v>1</v>
      </c>
      <c r="AI199" s="74">
        <f t="shared" si="147"/>
        <v>1</v>
      </c>
      <c r="AJ199" s="74">
        <f t="shared" si="174"/>
        <v>1</v>
      </c>
      <c r="AK199" s="74">
        <f t="shared" si="148"/>
        <v>1</v>
      </c>
      <c r="AL199" s="74">
        <f t="shared" si="175"/>
        <v>1</v>
      </c>
      <c r="AM199" s="74">
        <f t="shared" si="149"/>
        <v>1</v>
      </c>
      <c r="AN199" s="74">
        <f t="shared" si="176"/>
        <v>0</v>
      </c>
      <c r="AO199" s="74">
        <f t="shared" si="177"/>
        <v>0</v>
      </c>
      <c r="AP199" s="74">
        <f t="shared" si="178"/>
        <v>0</v>
      </c>
      <c r="AQ199" s="74">
        <f t="shared" si="179"/>
        <v>0</v>
      </c>
      <c r="AR199" s="74">
        <f t="shared" si="180"/>
        <v>1</v>
      </c>
      <c r="AS199" s="74">
        <f t="shared" si="181"/>
        <v>0</v>
      </c>
      <c r="AT199" s="74">
        <f t="shared" si="182"/>
        <v>0</v>
      </c>
      <c r="AU199" s="74">
        <f t="shared" si="183"/>
        <v>0</v>
      </c>
      <c r="AV199" s="74">
        <f t="shared" si="184"/>
        <v>0</v>
      </c>
      <c r="AW199" s="74">
        <f t="shared" si="185"/>
        <v>0</v>
      </c>
      <c r="AX199" s="74">
        <f t="shared" si="186"/>
        <v>0</v>
      </c>
      <c r="AY199" s="74">
        <f t="shared" si="187"/>
        <v>0</v>
      </c>
      <c r="AZ199" s="74" t="e">
        <f t="shared" si="188"/>
        <v>#DIV/0!</v>
      </c>
      <c r="BA199" s="74" t="e">
        <f t="shared" si="189"/>
        <v>#DIV/0!</v>
      </c>
      <c r="BB199" s="74">
        <f t="shared" si="190"/>
        <v>8.6204843262405904E-6</v>
      </c>
      <c r="BC199" s="74">
        <f t="shared" si="191"/>
        <v>8.6204843262405904E-6</v>
      </c>
      <c r="BD199" s="74">
        <f t="shared" si="192"/>
        <v>6.3527095195166974E-6</v>
      </c>
      <c r="BE199" s="75">
        <f t="shared" si="193"/>
        <v>8.6204843262405904E-6</v>
      </c>
    </row>
    <row r="200" spans="1:57" x14ac:dyDescent="0.35">
      <c r="A200" s="7" t="s">
        <v>35</v>
      </c>
      <c r="B200" s="11" t="s">
        <v>70</v>
      </c>
      <c r="C200" s="47">
        <f t="shared" si="161"/>
        <v>0</v>
      </c>
      <c r="D200" s="23">
        <f t="shared" si="162"/>
        <v>0</v>
      </c>
      <c r="E200" s="50">
        <f>[1]data!E200-[1]data!E162</f>
        <v>0</v>
      </c>
      <c r="F200" s="36">
        <f>[1]data!F200-[1]data!F162</f>
        <v>0</v>
      </c>
      <c r="G200" s="36">
        <f>[1]data!G200-[1]data!G162</f>
        <v>0</v>
      </c>
      <c r="H200" s="25">
        <f t="shared" si="163"/>
        <v>15.395615788971099</v>
      </c>
      <c r="I200" s="36">
        <f>[1]data!I200-[1]data!I162</f>
        <v>0</v>
      </c>
      <c r="J200" s="36">
        <f>[1]data!J200-[1]data!J162</f>
        <v>15.395615788971099</v>
      </c>
      <c r="K200" s="36">
        <f>[1]data!K200-[1]data!K162</f>
        <v>0</v>
      </c>
      <c r="L200" s="25">
        <f t="shared" si="164"/>
        <v>0</v>
      </c>
      <c r="M200" s="25">
        <f t="shared" si="165"/>
        <v>0</v>
      </c>
      <c r="N200" s="25">
        <f t="shared" si="166"/>
        <v>0</v>
      </c>
      <c r="O200" s="25">
        <f t="shared" si="167"/>
        <v>0</v>
      </c>
      <c r="P200" s="24">
        <f t="shared" si="168"/>
        <v>0</v>
      </c>
      <c r="Q200" s="40">
        <f t="shared" si="150"/>
        <v>0</v>
      </c>
      <c r="R200" s="40">
        <f t="shared" si="151"/>
        <v>0</v>
      </c>
      <c r="S200" s="40">
        <f t="shared" si="152"/>
        <v>0</v>
      </c>
      <c r="T200" s="40">
        <f t="shared" si="153"/>
        <v>0</v>
      </c>
      <c r="U200" s="40">
        <f t="shared" si="154"/>
        <v>0</v>
      </c>
      <c r="V200" s="25">
        <f t="shared" si="169"/>
        <v>0.48760605250706524</v>
      </c>
      <c r="W200" s="25">
        <f t="shared" si="170"/>
        <v>0.52330648617822051</v>
      </c>
      <c r="X200" s="40">
        <f t="shared" si="155"/>
        <v>0</v>
      </c>
      <c r="Y200" s="40">
        <f t="shared" si="156"/>
        <v>0</v>
      </c>
      <c r="Z200" s="40">
        <f t="shared" si="157"/>
        <v>0.48760605250706524</v>
      </c>
      <c r="AA200" s="40">
        <f t="shared" si="158"/>
        <v>0.52330648617822051</v>
      </c>
      <c r="AB200" s="40">
        <f t="shared" si="159"/>
        <v>0</v>
      </c>
      <c r="AC200" s="40">
        <f t="shared" si="160"/>
        <v>0</v>
      </c>
      <c r="AD200" s="26">
        <v>2941.9883367789698</v>
      </c>
      <c r="AE200" s="8">
        <v>3157.38816403392</v>
      </c>
      <c r="AF200" s="61">
        <f t="shared" si="171"/>
        <v>15.395615788971099</v>
      </c>
      <c r="AG200" s="61">
        <f t="shared" si="172"/>
        <v>15.395615788971099</v>
      </c>
      <c r="AH200" s="74">
        <f t="shared" si="173"/>
        <v>0</v>
      </c>
      <c r="AI200" s="74">
        <f t="shared" si="147"/>
        <v>0</v>
      </c>
      <c r="AJ200" s="74">
        <f t="shared" si="174"/>
        <v>0</v>
      </c>
      <c r="AK200" s="74">
        <f t="shared" si="148"/>
        <v>0</v>
      </c>
      <c r="AL200" s="74">
        <f t="shared" si="175"/>
        <v>0</v>
      </c>
      <c r="AM200" s="74">
        <f t="shared" si="149"/>
        <v>0</v>
      </c>
      <c r="AN200" s="74">
        <f t="shared" si="176"/>
        <v>0</v>
      </c>
      <c r="AO200" s="74">
        <f t="shared" si="177"/>
        <v>0</v>
      </c>
      <c r="AP200" s="74">
        <f t="shared" si="178"/>
        <v>0</v>
      </c>
      <c r="AQ200" s="74">
        <f t="shared" si="179"/>
        <v>0</v>
      </c>
      <c r="AR200" s="74" t="e">
        <f t="shared" si="180"/>
        <v>#DIV/0!</v>
      </c>
      <c r="AS200" s="74" t="e">
        <f t="shared" si="181"/>
        <v>#DIV/0!</v>
      </c>
      <c r="AT200" s="74">
        <f t="shared" si="182"/>
        <v>1</v>
      </c>
      <c r="AU200" s="74">
        <f t="shared" si="183"/>
        <v>1</v>
      </c>
      <c r="AV200" s="74">
        <f t="shared" si="184"/>
        <v>0</v>
      </c>
      <c r="AW200" s="74">
        <f t="shared" si="185"/>
        <v>0</v>
      </c>
      <c r="AX200" s="74">
        <f t="shared" si="186"/>
        <v>1</v>
      </c>
      <c r="AY200" s="74">
        <f t="shared" si="187"/>
        <v>1</v>
      </c>
      <c r="AZ200" s="74">
        <f t="shared" si="188"/>
        <v>0</v>
      </c>
      <c r="BA200" s="74">
        <f t="shared" si="189"/>
        <v>1</v>
      </c>
      <c r="BB200" s="74">
        <f t="shared" si="190"/>
        <v>4.8760605250706525E-3</v>
      </c>
      <c r="BC200" s="74">
        <f t="shared" si="191"/>
        <v>4.8760605250706525E-3</v>
      </c>
      <c r="BD200" s="74">
        <f t="shared" si="192"/>
        <v>5.2330648617822054E-3</v>
      </c>
      <c r="BE200" s="75">
        <f t="shared" si="193"/>
        <v>4.8760605250706525E-3</v>
      </c>
    </row>
    <row r="201" spans="1:57" x14ac:dyDescent="0.35">
      <c r="A201" s="7" t="s">
        <v>36</v>
      </c>
      <c r="B201" s="11" t="s">
        <v>70</v>
      </c>
      <c r="C201" s="47">
        <f t="shared" si="161"/>
        <v>0.27200000000027558</v>
      </c>
      <c r="D201" s="23">
        <f t="shared" si="162"/>
        <v>0.27200000000027558</v>
      </c>
      <c r="E201" s="50">
        <f>[1]data!E201-[1]data!E163</f>
        <v>-3.1000000000000227</v>
      </c>
      <c r="F201" s="36">
        <f>[1]data!F201-[1]data!F163</f>
        <v>3.3720000000002983</v>
      </c>
      <c r="G201" s="36">
        <f>[1]data!G201-[1]data!G163</f>
        <v>0</v>
      </c>
      <c r="H201" s="25">
        <f t="shared" si="163"/>
        <v>0</v>
      </c>
      <c r="I201" s="36">
        <f>[1]data!I201-[1]data!I163</f>
        <v>0</v>
      </c>
      <c r="J201" s="36">
        <f>[1]data!J201-[1]data!J163</f>
        <v>0</v>
      </c>
      <c r="K201" s="36">
        <f>[1]data!K201-[1]data!K163</f>
        <v>0</v>
      </c>
      <c r="L201" s="25">
        <f t="shared" si="164"/>
        <v>1.3648468991080947E-3</v>
      </c>
      <c r="M201" s="25">
        <f t="shared" si="165"/>
        <v>1.3648468991080947E-3</v>
      </c>
      <c r="N201" s="25">
        <f t="shared" si="166"/>
        <v>1.36175571933282E-3</v>
      </c>
      <c r="O201" s="25">
        <f t="shared" si="167"/>
        <v>1.36175571933282E-3</v>
      </c>
      <c r="P201" s="24">
        <f t="shared" si="168"/>
        <v>-1.5555240394231009E-2</v>
      </c>
      <c r="Q201" s="40">
        <f t="shared" si="150"/>
        <v>-1.5520010036498172E-2</v>
      </c>
      <c r="R201" s="40">
        <f t="shared" si="151"/>
        <v>1.6920087293339103E-2</v>
      </c>
      <c r="S201" s="40">
        <f t="shared" si="152"/>
        <v>1.6881765755830992E-2</v>
      </c>
      <c r="T201" s="40">
        <f t="shared" si="153"/>
        <v>0</v>
      </c>
      <c r="U201" s="40">
        <f t="shared" si="154"/>
        <v>0</v>
      </c>
      <c r="V201" s="25">
        <f t="shared" si="169"/>
        <v>0</v>
      </c>
      <c r="W201" s="25">
        <f t="shared" si="170"/>
        <v>0</v>
      </c>
      <c r="X201" s="40">
        <f t="shared" si="155"/>
        <v>0</v>
      </c>
      <c r="Y201" s="40">
        <f t="shared" si="156"/>
        <v>0</v>
      </c>
      <c r="Z201" s="40">
        <f t="shared" si="157"/>
        <v>0</v>
      </c>
      <c r="AA201" s="40">
        <f t="shared" si="158"/>
        <v>0</v>
      </c>
      <c r="AB201" s="40">
        <f t="shared" si="159"/>
        <v>0</v>
      </c>
      <c r="AC201" s="40">
        <f t="shared" si="160"/>
        <v>0</v>
      </c>
      <c r="AD201" s="26">
        <v>19974.2138871676</v>
      </c>
      <c r="AE201" s="8">
        <v>19928.975197</v>
      </c>
      <c r="AF201" s="61">
        <f t="shared" si="171"/>
        <v>0.27200000000027558</v>
      </c>
      <c r="AG201" s="61">
        <f t="shared" si="172"/>
        <v>0.27200000000027558</v>
      </c>
      <c r="AH201" s="74">
        <f t="shared" si="173"/>
        <v>1</v>
      </c>
      <c r="AI201" s="74">
        <f t="shared" si="147"/>
        <v>1</v>
      </c>
      <c r="AJ201" s="74">
        <f t="shared" si="174"/>
        <v>1</v>
      </c>
      <c r="AK201" s="74">
        <f t="shared" si="148"/>
        <v>1</v>
      </c>
      <c r="AL201" s="74">
        <f t="shared" si="175"/>
        <v>12.397058823517948</v>
      </c>
      <c r="AM201" s="74">
        <f t="shared" si="149"/>
        <v>12.397058823517948</v>
      </c>
      <c r="AN201" s="74">
        <f t="shared" si="176"/>
        <v>-11.397058823517948</v>
      </c>
      <c r="AO201" s="74">
        <f t="shared" si="177"/>
        <v>-11.397058823517948</v>
      </c>
      <c r="AP201" s="74">
        <f t="shared" si="178"/>
        <v>0</v>
      </c>
      <c r="AQ201" s="74">
        <f t="shared" si="179"/>
        <v>0</v>
      </c>
      <c r="AR201" s="74">
        <f t="shared" si="180"/>
        <v>12.397058823517948</v>
      </c>
      <c r="AS201" s="74">
        <f t="shared" si="181"/>
        <v>-11.397058823517948</v>
      </c>
      <c r="AT201" s="74">
        <f t="shared" si="182"/>
        <v>0</v>
      </c>
      <c r="AU201" s="74">
        <f t="shared" si="183"/>
        <v>0</v>
      </c>
      <c r="AV201" s="74">
        <f t="shared" si="184"/>
        <v>0</v>
      </c>
      <c r="AW201" s="74">
        <f t="shared" si="185"/>
        <v>0</v>
      </c>
      <c r="AX201" s="74">
        <f t="shared" si="186"/>
        <v>0</v>
      </c>
      <c r="AY201" s="74">
        <f t="shared" si="187"/>
        <v>0</v>
      </c>
      <c r="AZ201" s="74" t="e">
        <f t="shared" si="188"/>
        <v>#DIV/0!</v>
      </c>
      <c r="BA201" s="74" t="e">
        <f t="shared" si="189"/>
        <v>#DIV/0!</v>
      </c>
      <c r="BB201" s="74">
        <f t="shared" si="190"/>
        <v>1.3648468991080936E-5</v>
      </c>
      <c r="BC201" s="74">
        <f t="shared" si="191"/>
        <v>1.3648468991080936E-5</v>
      </c>
      <c r="BD201" s="74">
        <f t="shared" si="192"/>
        <v>1.361755719332822E-5</v>
      </c>
      <c r="BE201" s="75">
        <f t="shared" si="193"/>
        <v>1.3648468991080936E-5</v>
      </c>
    </row>
    <row r="202" spans="1:57" x14ac:dyDescent="0.35">
      <c r="A202" s="7" t="s">
        <v>37</v>
      </c>
      <c r="B202" s="11" t="s">
        <v>70</v>
      </c>
      <c r="C202" s="47">
        <f t="shared" si="161"/>
        <v>-2.6645352591003757E-14</v>
      </c>
      <c r="D202" s="23">
        <f t="shared" si="162"/>
        <v>-1.6875389974302379E-14</v>
      </c>
      <c r="E202" s="59">
        <f>[1]data!E202-[1]data!E164</f>
        <v>-1.1546319456101628E-14</v>
      </c>
      <c r="F202" s="59">
        <f>[1]data!F202-[1]data!F164</f>
        <v>-5.3290705182007514E-15</v>
      </c>
      <c r="G202" s="59">
        <f>[1]data!G202-[1]data!G164</f>
        <v>-9.7699626167013776E-15</v>
      </c>
      <c r="H202" s="62">
        <f t="shared" si="163"/>
        <v>-2.4147350785597155E-15</v>
      </c>
      <c r="I202" s="63">
        <f>[1]data!I202-[1]data!I164</f>
        <v>-1.9984014443252818E-15</v>
      </c>
      <c r="J202" s="63">
        <f>[1]data!J202-[1]data!J164</f>
        <v>-4.163336342344337E-16</v>
      </c>
      <c r="K202" s="36">
        <f>[1]data!K202-[1]data!K164</f>
        <v>-2.6645352591003757E-14</v>
      </c>
      <c r="L202" s="25">
        <f t="shared" si="164"/>
        <v>-2.0830492871643526E-15</v>
      </c>
      <c r="M202" s="25">
        <f t="shared" si="165"/>
        <v>-1.3192645485374235E-15</v>
      </c>
      <c r="N202" s="25">
        <f t="shared" si="166"/>
        <v>-1.1187687588308135E-15</v>
      </c>
      <c r="O202" s="25">
        <f t="shared" si="167"/>
        <v>-7.0855354725951526E-16</v>
      </c>
      <c r="P202" s="24">
        <f t="shared" si="168"/>
        <v>-9.0265469110455291E-16</v>
      </c>
      <c r="Q202" s="40">
        <f t="shared" si="150"/>
        <v>-4.8479979549335257E-16</v>
      </c>
      <c r="R202" s="40">
        <f t="shared" si="151"/>
        <v>-4.1660985743287051E-16</v>
      </c>
      <c r="S202" s="40">
        <f t="shared" si="152"/>
        <v>-2.2375375176616269E-16</v>
      </c>
      <c r="T202" s="40">
        <f t="shared" si="153"/>
        <v>-7.6378473862692931E-16</v>
      </c>
      <c r="U202" s="40">
        <f t="shared" si="154"/>
        <v>-4.1021521157129828E-16</v>
      </c>
      <c r="V202" s="25">
        <f t="shared" si="169"/>
        <v>-1.8877634164926947E-16</v>
      </c>
      <c r="W202" s="25">
        <f t="shared" si="170"/>
        <v>-1.0138841876904248E-16</v>
      </c>
      <c r="X202" s="40">
        <f t="shared" si="155"/>
        <v>-1.5622869653732645E-16</v>
      </c>
      <c r="Y202" s="40">
        <f t="shared" si="156"/>
        <v>-8.390765691231102E-17</v>
      </c>
      <c r="Z202" s="40">
        <f t="shared" si="157"/>
        <v>-3.2547645111943016E-17</v>
      </c>
      <c r="AA202" s="40">
        <f t="shared" si="158"/>
        <v>-1.7480761856731461E-17</v>
      </c>
      <c r="AB202" s="40">
        <f t="shared" si="159"/>
        <v>-2.083049287164353E-15</v>
      </c>
      <c r="AC202" s="40">
        <f t="shared" si="160"/>
        <v>-1.1187687588308135E-15</v>
      </c>
      <c r="AD202" s="26">
        <v>2381.6675591522499</v>
      </c>
      <c r="AE202" s="8">
        <v>1279.1513266244399</v>
      </c>
      <c r="AF202" s="61">
        <v>0</v>
      </c>
      <c r="AG202" s="61">
        <v>0</v>
      </c>
      <c r="AH202" s="74">
        <v>0</v>
      </c>
      <c r="AI202" s="74">
        <v>0</v>
      </c>
      <c r="AJ202" s="74">
        <v>0</v>
      </c>
      <c r="AK202" s="74">
        <v>0</v>
      </c>
      <c r="AL202" s="74" t="e">
        <f t="shared" si="175"/>
        <v>#DIV/0!</v>
      </c>
      <c r="AM202" s="74" t="e">
        <f t="shared" si="149"/>
        <v>#DIV/0!</v>
      </c>
      <c r="AN202" s="74" t="e">
        <f t="shared" si="176"/>
        <v>#DIV/0!</v>
      </c>
      <c r="AO202" s="74" t="e">
        <f t="shared" si="177"/>
        <v>#DIV/0!</v>
      </c>
      <c r="AP202" s="74" t="e">
        <f t="shared" si="178"/>
        <v>#DIV/0!</v>
      </c>
      <c r="AQ202" s="74" t="e">
        <f t="shared" si="179"/>
        <v>#DIV/0!</v>
      </c>
      <c r="AR202" s="74">
        <f t="shared" si="180"/>
        <v>0.31578947368421051</v>
      </c>
      <c r="AS202" s="74">
        <f t="shared" si="181"/>
        <v>0.68421052631578949</v>
      </c>
      <c r="AT202" s="74" t="e">
        <f t="shared" si="182"/>
        <v>#DIV/0!</v>
      </c>
      <c r="AU202" s="74" t="e">
        <f t="shared" si="183"/>
        <v>#DIV/0!</v>
      </c>
      <c r="AV202" s="74">
        <v>0</v>
      </c>
      <c r="AW202" s="74" t="e">
        <f t="shared" si="185"/>
        <v>#DIV/0!</v>
      </c>
      <c r="AX202" s="74" t="e">
        <f t="shared" si="186"/>
        <v>#DIV/0!</v>
      </c>
      <c r="AY202" s="74" t="e">
        <f t="shared" si="187"/>
        <v>#DIV/0!</v>
      </c>
      <c r="AZ202" s="74">
        <f t="shared" si="188"/>
        <v>0.82758620689655171</v>
      </c>
      <c r="BA202" s="74">
        <f t="shared" si="189"/>
        <v>0.17241379310344829</v>
      </c>
      <c r="BB202" s="74">
        <f t="shared" si="190"/>
        <v>-7.6378473862692933E-18</v>
      </c>
      <c r="BC202" s="74">
        <f t="shared" si="191"/>
        <v>0</v>
      </c>
      <c r="BD202" s="74">
        <f t="shared" si="192"/>
        <v>0</v>
      </c>
      <c r="BE202" s="75">
        <f t="shared" si="193"/>
        <v>0</v>
      </c>
    </row>
    <row r="203" spans="1:57" x14ac:dyDescent="0.35">
      <c r="A203" s="7" t="s">
        <v>38</v>
      </c>
      <c r="B203" s="11" t="s">
        <v>70</v>
      </c>
      <c r="C203" s="47">
        <f t="shared" si="161"/>
        <v>6.4348398866345011</v>
      </c>
      <c r="D203" s="23">
        <f t="shared" si="162"/>
        <v>6.4771357218701624</v>
      </c>
      <c r="E203" s="50">
        <f>[1]data!E203-[1]data!E165</f>
        <v>0.60354303931876307</v>
      </c>
      <c r="F203" s="36">
        <f>[1]data!F203-[1]data!F165</f>
        <v>5.8735926825513989</v>
      </c>
      <c r="G203" s="36">
        <f>[1]data!G203-[1]data!G165</f>
        <v>-4.2295835235661272E-2</v>
      </c>
      <c r="H203" s="25">
        <f t="shared" si="163"/>
        <v>7.2337052758077114E-2</v>
      </c>
      <c r="I203" s="36">
        <f>[1]data!I203-[1]data!I165</f>
        <v>4.4287991484539546E-3</v>
      </c>
      <c r="J203" s="36">
        <f>[1]data!J203-[1]data!J165</f>
        <v>6.7908253609623159E-2</v>
      </c>
      <c r="K203" s="36">
        <f>[1]data!K203-[1]data!K165</f>
        <v>0.5273109280821302</v>
      </c>
      <c r="L203" s="25">
        <f t="shared" si="164"/>
        <v>0.64538558409206681</v>
      </c>
      <c r="M203" s="25">
        <f t="shared" si="165"/>
        <v>0.64962766669383076</v>
      </c>
      <c r="N203" s="25">
        <f t="shared" si="166"/>
        <v>0.27572566797486964</v>
      </c>
      <c r="O203" s="25">
        <f t="shared" si="167"/>
        <v>0.2775379970503965</v>
      </c>
      <c r="P203" s="24">
        <f t="shared" si="168"/>
        <v>6.0532660302005395E-2</v>
      </c>
      <c r="Q203" s="40">
        <f t="shared" si="150"/>
        <v>2.586114193973902E-2</v>
      </c>
      <c r="R203" s="40">
        <f t="shared" si="151"/>
        <v>0.58909500639182533</v>
      </c>
      <c r="S203" s="40">
        <f t="shared" si="152"/>
        <v>0.25167685511065746</v>
      </c>
      <c r="T203" s="40">
        <f t="shared" si="153"/>
        <v>-4.2420826017639723E-3</v>
      </c>
      <c r="U203" s="40">
        <f t="shared" si="154"/>
        <v>-1.8123290755268696E-3</v>
      </c>
      <c r="V203" s="25">
        <f t="shared" si="169"/>
        <v>7.25508200176636E-3</v>
      </c>
      <c r="W203" s="25">
        <f t="shared" si="170"/>
        <v>3.099561534154313E-3</v>
      </c>
      <c r="X203" s="40">
        <f t="shared" si="155"/>
        <v>4.4418869398572092E-4</v>
      </c>
      <c r="Y203" s="40">
        <f t="shared" si="156"/>
        <v>1.8976907351966269E-4</v>
      </c>
      <c r="Z203" s="40">
        <f t="shared" si="157"/>
        <v>6.8108933077806388E-3</v>
      </c>
      <c r="AA203" s="40">
        <f t="shared" si="158"/>
        <v>2.9097924606346502E-3</v>
      </c>
      <c r="AB203" s="40">
        <f t="shared" si="159"/>
        <v>5.2886921401925711E-2</v>
      </c>
      <c r="AC203" s="40">
        <f t="shared" si="160"/>
        <v>2.2594681520807222E-2</v>
      </c>
      <c r="AD203" s="26">
        <v>2333.7834064911899</v>
      </c>
      <c r="AE203" s="8">
        <v>997.05355143423003</v>
      </c>
      <c r="AF203" s="61">
        <f t="shared" si="171"/>
        <v>6.5494727746282395</v>
      </c>
      <c r="AG203" s="61">
        <f>(D203)+(H203)</f>
        <v>6.5494727746282395</v>
      </c>
      <c r="AH203" s="74">
        <f t="shared" si="173"/>
        <v>0.98895528613565642</v>
      </c>
      <c r="AI203" s="74">
        <f>D203/AG203</f>
        <v>0.98895528613565642</v>
      </c>
      <c r="AJ203" s="74">
        <f t="shared" si="174"/>
        <v>0.98895528613565642</v>
      </c>
      <c r="AK203" s="74">
        <f>$D203/(AF203)</f>
        <v>0.98895528613565642</v>
      </c>
      <c r="AL203" s="74">
        <f t="shared" si="175"/>
        <v>0.8968038931782254</v>
      </c>
      <c r="AM203" s="74">
        <f t="shared" si="149"/>
        <v>0.8968038931782254</v>
      </c>
      <c r="AN203" s="74">
        <f t="shared" si="176"/>
        <v>9.2151392957431036E-2</v>
      </c>
      <c r="AO203" s="74">
        <f t="shared" si="177"/>
        <v>9.2151392957431036E-2</v>
      </c>
      <c r="AP203" s="74">
        <f t="shared" si="178"/>
        <v>-6.4578992372499883E-3</v>
      </c>
      <c r="AQ203" s="74">
        <f t="shared" si="179"/>
        <v>-6.4578992372499883E-3</v>
      </c>
      <c r="AR203" s="74">
        <f t="shared" si="180"/>
        <v>0.90681945458068913</v>
      </c>
      <c r="AS203" s="74">
        <f t="shared" si="181"/>
        <v>9.3180545419310798E-2</v>
      </c>
      <c r="AT203" s="74">
        <f t="shared" si="182"/>
        <v>1.1044713864343546E-2</v>
      </c>
      <c r="AU203" s="74">
        <f t="shared" si="183"/>
        <v>1.1044713864343546E-2</v>
      </c>
      <c r="AV203" s="74">
        <f t="shared" si="184"/>
        <v>6.7620697128637831E-4</v>
      </c>
      <c r="AW203" s="74">
        <f t="shared" si="185"/>
        <v>6.7620697128637831E-4</v>
      </c>
      <c r="AX203" s="74">
        <f t="shared" si="186"/>
        <v>1.0368506893057168E-2</v>
      </c>
      <c r="AY203" s="74">
        <f t="shared" si="187"/>
        <v>1.0368506893057168E-2</v>
      </c>
      <c r="AZ203" s="74">
        <f t="shared" si="188"/>
        <v>6.1224489795921877E-2</v>
      </c>
      <c r="BA203" s="74">
        <f t="shared" si="189"/>
        <v>0.93877551020407812</v>
      </c>
      <c r="BB203" s="74">
        <f t="shared" si="190"/>
        <v>6.5264066609383312E-3</v>
      </c>
      <c r="BC203" s="74">
        <f t="shared" si="191"/>
        <v>6.5688274869559714E-3</v>
      </c>
      <c r="BD203" s="74">
        <f t="shared" si="192"/>
        <v>2.8063755858455087E-3</v>
      </c>
      <c r="BE203" s="75">
        <f t="shared" si="193"/>
        <v>6.5688274869559714E-3</v>
      </c>
    </row>
    <row r="204" spans="1:57" x14ac:dyDescent="0.35">
      <c r="A204" s="9" t="s">
        <v>39</v>
      </c>
      <c r="B204" s="11" t="s">
        <v>70</v>
      </c>
      <c r="C204" s="47">
        <f t="shared" si="161"/>
        <v>0</v>
      </c>
      <c r="D204" s="23">
        <f t="shared" si="162"/>
        <v>0</v>
      </c>
      <c r="E204" s="50">
        <f>[1]data!E204-[1]data!E166</f>
        <v>0</v>
      </c>
      <c r="F204" s="36">
        <f>[1]data!F204-[1]data!F166</f>
        <v>0</v>
      </c>
      <c r="G204" s="36">
        <f>[1]data!G204-[1]data!G166</f>
        <v>0</v>
      </c>
      <c r="H204" s="25">
        <f t="shared" si="163"/>
        <v>0</v>
      </c>
      <c r="I204" s="36">
        <f>[1]data!I204-[1]data!I166</f>
        <v>0</v>
      </c>
      <c r="J204" s="36">
        <f>[1]data!J204-[1]data!J166</f>
        <v>0</v>
      </c>
      <c r="K204" s="36">
        <f>[1]data!K204-[1]data!K166</f>
        <v>0</v>
      </c>
      <c r="L204" s="25">
        <f t="shared" si="164"/>
        <v>0</v>
      </c>
      <c r="M204" s="25">
        <f t="shared" si="165"/>
        <v>0</v>
      </c>
      <c r="N204" s="25">
        <f t="shared" si="166"/>
        <v>0</v>
      </c>
      <c r="O204" s="25">
        <f t="shared" si="167"/>
        <v>0</v>
      </c>
      <c r="P204" s="24">
        <f t="shared" si="168"/>
        <v>0</v>
      </c>
      <c r="Q204" s="40">
        <f t="shared" si="150"/>
        <v>0</v>
      </c>
      <c r="R204" s="40">
        <f t="shared" si="151"/>
        <v>0</v>
      </c>
      <c r="S204" s="40">
        <f t="shared" si="152"/>
        <v>0</v>
      </c>
      <c r="T204" s="40">
        <f t="shared" si="153"/>
        <v>0</v>
      </c>
      <c r="U204" s="40">
        <f t="shared" si="154"/>
        <v>0</v>
      </c>
      <c r="V204" s="25">
        <f t="shared" si="169"/>
        <v>0</v>
      </c>
      <c r="W204" s="25">
        <f t="shared" si="170"/>
        <v>0</v>
      </c>
      <c r="X204" s="40">
        <f t="shared" si="155"/>
        <v>0</v>
      </c>
      <c r="Y204" s="40">
        <f t="shared" si="156"/>
        <v>0</v>
      </c>
      <c r="Z204" s="40">
        <f t="shared" si="157"/>
        <v>0</v>
      </c>
      <c r="AA204" s="40">
        <f t="shared" si="158"/>
        <v>0</v>
      </c>
      <c r="AB204" s="40">
        <f t="shared" si="159"/>
        <v>0</v>
      </c>
      <c r="AC204" s="40">
        <f t="shared" si="160"/>
        <v>0</v>
      </c>
      <c r="AD204" s="26">
        <v>468.59916169988998</v>
      </c>
      <c r="AE204" s="8">
        <v>413.94954015926999</v>
      </c>
      <c r="AF204" s="61">
        <f t="shared" si="171"/>
        <v>0</v>
      </c>
      <c r="AG204" s="61">
        <f t="shared" si="172"/>
        <v>0</v>
      </c>
      <c r="AH204" s="74">
        <v>0</v>
      </c>
      <c r="AI204" s="74">
        <v>0</v>
      </c>
      <c r="AJ204" s="74">
        <v>0</v>
      </c>
      <c r="AK204" s="74">
        <v>0</v>
      </c>
      <c r="AL204" s="74" t="e">
        <f t="shared" si="175"/>
        <v>#DIV/0!</v>
      </c>
      <c r="AM204" s="74">
        <v>0</v>
      </c>
      <c r="AN204" s="74" t="e">
        <f t="shared" si="176"/>
        <v>#DIV/0!</v>
      </c>
      <c r="AO204" s="74" t="e">
        <f t="shared" si="177"/>
        <v>#DIV/0!</v>
      </c>
      <c r="AP204" s="74" t="e">
        <f t="shared" si="178"/>
        <v>#DIV/0!</v>
      </c>
      <c r="AQ204" s="74" t="e">
        <f t="shared" si="179"/>
        <v>#DIV/0!</v>
      </c>
      <c r="AR204" s="74" t="e">
        <f t="shared" si="180"/>
        <v>#DIV/0!</v>
      </c>
      <c r="AS204" s="74" t="e">
        <f t="shared" si="181"/>
        <v>#DIV/0!</v>
      </c>
      <c r="AT204" s="74" t="e">
        <f t="shared" si="182"/>
        <v>#DIV/0!</v>
      </c>
      <c r="AU204" s="74" t="e">
        <f t="shared" si="183"/>
        <v>#DIV/0!</v>
      </c>
      <c r="AV204" s="76" t="s">
        <v>102</v>
      </c>
      <c r="AW204" s="74" t="e">
        <f t="shared" si="185"/>
        <v>#DIV/0!</v>
      </c>
      <c r="AX204" s="74" t="e">
        <f t="shared" si="186"/>
        <v>#DIV/0!</v>
      </c>
      <c r="AY204" s="74" t="e">
        <f t="shared" si="187"/>
        <v>#DIV/0!</v>
      </c>
      <c r="AZ204" s="74" t="e">
        <f t="shared" si="188"/>
        <v>#DIV/0!</v>
      </c>
      <c r="BA204" s="74" t="e">
        <f t="shared" si="189"/>
        <v>#DIV/0!</v>
      </c>
      <c r="BB204" s="74">
        <f t="shared" si="190"/>
        <v>0</v>
      </c>
      <c r="BC204" s="74">
        <f t="shared" si="191"/>
        <v>0</v>
      </c>
      <c r="BD204" s="74">
        <f t="shared" si="192"/>
        <v>0</v>
      </c>
      <c r="BE204" s="75">
        <f t="shared" si="193"/>
        <v>0</v>
      </c>
    </row>
    <row r="205" spans="1:57" x14ac:dyDescent="0.35">
      <c r="A205" s="7" t="s">
        <v>40</v>
      </c>
      <c r="B205" s="11" t="s">
        <v>70</v>
      </c>
      <c r="C205" s="47">
        <f t="shared" si="161"/>
        <v>0.68476911561264764</v>
      </c>
      <c r="D205" s="23">
        <f t="shared" si="162"/>
        <v>1.1412818593544127</v>
      </c>
      <c r="E205" s="50">
        <f>[1]data!E205-[1]data!E167</f>
        <v>0.91302548748352841</v>
      </c>
      <c r="F205" s="36">
        <f>[1]data!F205-[1]data!F167</f>
        <v>0.22825637187088432</v>
      </c>
      <c r="G205" s="36">
        <f>[1]data!G205-[1]data!G167</f>
        <v>-0.45651274374176509</v>
      </c>
      <c r="H205" s="25">
        <f t="shared" si="163"/>
        <v>0.57064092967720637</v>
      </c>
      <c r="I205" s="36">
        <f>[1]data!I205-[1]data!I167</f>
        <v>0.57064092967720637</v>
      </c>
      <c r="J205" s="36">
        <f>[1]data!J205-[1]data!J167</f>
        <v>0</v>
      </c>
      <c r="K205" s="36">
        <f>[1]data!K205-[1]data!K167</f>
        <v>0</v>
      </c>
      <c r="L205" s="25">
        <f t="shared" si="164"/>
        <v>0.13829318765931375</v>
      </c>
      <c r="M205" s="25">
        <f t="shared" si="165"/>
        <v>0.23048864609885628</v>
      </c>
      <c r="N205" s="25">
        <f t="shared" si="166"/>
        <v>0.12331028751261092</v>
      </c>
      <c r="O205" s="25">
        <f t="shared" si="167"/>
        <v>0.20551714585435155</v>
      </c>
      <c r="P205" s="24">
        <f t="shared" si="168"/>
        <v>0.18439091687908465</v>
      </c>
      <c r="Q205" s="40">
        <f t="shared" si="150"/>
        <v>0.16441371668348093</v>
      </c>
      <c r="R205" s="40">
        <f t="shared" si="151"/>
        <v>4.6097729219771608E-2</v>
      </c>
      <c r="S205" s="40">
        <f t="shared" si="152"/>
        <v>4.1103429170870634E-2</v>
      </c>
      <c r="T205" s="40">
        <f t="shared" si="153"/>
        <v>-9.2195458439542508E-2</v>
      </c>
      <c r="U205" s="40">
        <f t="shared" si="154"/>
        <v>-8.220685834174063E-2</v>
      </c>
      <c r="V205" s="25">
        <f t="shared" si="169"/>
        <v>0.11524432304942814</v>
      </c>
      <c r="W205" s="25">
        <f t="shared" si="170"/>
        <v>0.10275857292717579</v>
      </c>
      <c r="X205" s="40">
        <f t="shared" si="155"/>
        <v>0.11524432304942814</v>
      </c>
      <c r="Y205" s="40">
        <f t="shared" si="156"/>
        <v>0.10275857292717579</v>
      </c>
      <c r="Z205" s="40">
        <f t="shared" si="157"/>
        <v>0</v>
      </c>
      <c r="AA205" s="40">
        <f t="shared" si="158"/>
        <v>0</v>
      </c>
      <c r="AB205" s="40">
        <f t="shared" si="159"/>
        <v>0</v>
      </c>
      <c r="AC205" s="40">
        <f t="shared" si="160"/>
        <v>0</v>
      </c>
      <c r="AD205" s="26">
        <v>555.32196820367994</v>
      </c>
      <c r="AE205" s="8">
        <v>495.15751802582002</v>
      </c>
      <c r="AF205" s="61">
        <f t="shared" si="171"/>
        <v>1.7119227890316191</v>
      </c>
      <c r="AG205" s="61">
        <f t="shared" si="172"/>
        <v>1.7119227890316191</v>
      </c>
      <c r="AH205" s="74">
        <f t="shared" si="173"/>
        <v>0.66666666666666663</v>
      </c>
      <c r="AI205" s="74">
        <f t="shared" ref="AI205:AI213" si="194">D205/AG205</f>
        <v>0.66666666666666663</v>
      </c>
      <c r="AJ205" s="74">
        <f t="shared" si="174"/>
        <v>0.66666666666666663</v>
      </c>
      <c r="AK205" s="74">
        <f t="shared" ref="AK205:AK212" si="195">$D205/(AF205)</f>
        <v>0.66666666666666663</v>
      </c>
      <c r="AL205" s="74">
        <f t="shared" si="175"/>
        <v>0.13333333333333436</v>
      </c>
      <c r="AM205" s="74">
        <f t="shared" ref="AM205:AM236" si="196">(F205/(AF205))</f>
        <v>0.13333333333333436</v>
      </c>
      <c r="AN205" s="74">
        <f t="shared" si="176"/>
        <v>0.53333333333333233</v>
      </c>
      <c r="AO205" s="74">
        <f t="shared" si="177"/>
        <v>0.53333333333333233</v>
      </c>
      <c r="AP205" s="74">
        <f t="shared" si="178"/>
        <v>-0.26666666666666666</v>
      </c>
      <c r="AQ205" s="74">
        <f t="shared" si="179"/>
        <v>-0.26666666666666666</v>
      </c>
      <c r="AR205" s="74">
        <f t="shared" si="180"/>
        <v>0.20000000000000157</v>
      </c>
      <c r="AS205" s="74">
        <f t="shared" si="181"/>
        <v>0.79999999999999849</v>
      </c>
      <c r="AT205" s="74">
        <f t="shared" si="182"/>
        <v>0.33333333333333331</v>
      </c>
      <c r="AU205" s="74">
        <f t="shared" si="183"/>
        <v>0.33333333333333331</v>
      </c>
      <c r="AV205" s="74">
        <f t="shared" si="184"/>
        <v>0.33333333333333331</v>
      </c>
      <c r="AW205" s="74">
        <f t="shared" si="185"/>
        <v>0.33333333333333331</v>
      </c>
      <c r="AX205" s="74">
        <f t="shared" si="186"/>
        <v>0</v>
      </c>
      <c r="AY205" s="74">
        <f t="shared" si="187"/>
        <v>0</v>
      </c>
      <c r="AZ205" s="74">
        <f t="shared" si="188"/>
        <v>1</v>
      </c>
      <c r="BA205" s="74">
        <f t="shared" si="189"/>
        <v>0</v>
      </c>
      <c r="BB205" s="74">
        <f t="shared" si="190"/>
        <v>2.5353751070874191E-3</v>
      </c>
      <c r="BC205" s="74">
        <f t="shared" si="191"/>
        <v>3.4573296914828439E-3</v>
      </c>
      <c r="BD205" s="74">
        <f t="shared" si="192"/>
        <v>3.0827571878152735E-3</v>
      </c>
      <c r="BE205" s="75">
        <f t="shared" si="193"/>
        <v>3.4573296914828439E-3</v>
      </c>
    </row>
    <row r="206" spans="1:57" x14ac:dyDescent="0.35">
      <c r="A206" s="9" t="s">
        <v>41</v>
      </c>
      <c r="B206" s="11" t="s">
        <v>70</v>
      </c>
      <c r="C206" s="47">
        <f t="shared" si="161"/>
        <v>10.27563253304036</v>
      </c>
      <c r="D206" s="23">
        <f t="shared" si="162"/>
        <v>10.27563253304036</v>
      </c>
      <c r="E206" s="50">
        <f>[1]data!E206-[1]data!E168</f>
        <v>3.6363244687153311</v>
      </c>
      <c r="F206" s="36">
        <f>[1]data!F206-[1]data!F168</f>
        <v>6.6393080643250286</v>
      </c>
      <c r="G206" s="36">
        <f>[1]data!G206-[1]data!G168</f>
        <v>0</v>
      </c>
      <c r="H206" s="25">
        <f t="shared" si="163"/>
        <v>0.49977919238267532</v>
      </c>
      <c r="I206" s="36">
        <f>[1]data!I206-[1]data!I168</f>
        <v>0</v>
      </c>
      <c r="J206" s="36">
        <f>[1]data!J206-[1]data!J168</f>
        <v>0.49977919238267532</v>
      </c>
      <c r="K206" s="36">
        <f>[1]data!K206-[1]data!K168</f>
        <v>0</v>
      </c>
      <c r="L206" s="25">
        <f t="shared" si="164"/>
        <v>4.7651715685039084</v>
      </c>
      <c r="M206" s="25">
        <f t="shared" si="165"/>
        <v>4.7651715685039084</v>
      </c>
      <c r="N206" s="25">
        <f t="shared" si="166"/>
        <v>2.5222720885937489</v>
      </c>
      <c r="O206" s="25">
        <f t="shared" si="167"/>
        <v>2.5222720885937489</v>
      </c>
      <c r="P206" s="24">
        <f t="shared" si="168"/>
        <v>1.6862913223552618</v>
      </c>
      <c r="Q206" s="40">
        <f t="shared" si="150"/>
        <v>0.89257762799711715</v>
      </c>
      <c r="R206" s="40">
        <f t="shared" si="151"/>
        <v>3.0788802461486466</v>
      </c>
      <c r="S206" s="40">
        <f t="shared" si="152"/>
        <v>1.6296944605966317</v>
      </c>
      <c r="T206" s="40">
        <f t="shared" si="153"/>
        <v>0</v>
      </c>
      <c r="U206" s="40">
        <f t="shared" si="154"/>
        <v>0</v>
      </c>
      <c r="V206" s="25">
        <f t="shared" si="169"/>
        <v>0.23176515804882719</v>
      </c>
      <c r="W206" s="25">
        <f t="shared" si="170"/>
        <v>0.12267654602803965</v>
      </c>
      <c r="X206" s="40">
        <f t="shared" si="155"/>
        <v>0</v>
      </c>
      <c r="Y206" s="40">
        <f t="shared" si="156"/>
        <v>0</v>
      </c>
      <c r="Z206" s="40">
        <f t="shared" si="157"/>
        <v>0.23176515804882719</v>
      </c>
      <c r="AA206" s="40">
        <f t="shared" si="158"/>
        <v>0.12267654602803965</v>
      </c>
      <c r="AB206" s="40">
        <f t="shared" si="159"/>
        <v>0</v>
      </c>
      <c r="AC206" s="40">
        <f t="shared" si="160"/>
        <v>0</v>
      </c>
      <c r="AD206" s="26">
        <v>407.39587848230002</v>
      </c>
      <c r="AE206" s="8">
        <v>215.64034757863999</v>
      </c>
      <c r="AF206" s="61">
        <f t="shared" si="171"/>
        <v>10.775411725423035</v>
      </c>
      <c r="AG206" s="61">
        <f t="shared" si="172"/>
        <v>10.775411725423035</v>
      </c>
      <c r="AH206" s="74">
        <f t="shared" si="173"/>
        <v>0.95361855257896844</v>
      </c>
      <c r="AI206" s="74">
        <f t="shared" si="194"/>
        <v>0.95361855257896844</v>
      </c>
      <c r="AJ206" s="74">
        <f t="shared" si="174"/>
        <v>0.95361855257896844</v>
      </c>
      <c r="AK206" s="74">
        <f t="shared" si="195"/>
        <v>0.95361855257896844</v>
      </c>
      <c r="AL206" s="74">
        <f t="shared" si="175"/>
        <v>0.61615353858456612</v>
      </c>
      <c r="AM206" s="74">
        <f t="shared" si="196"/>
        <v>0.61615353858456612</v>
      </c>
      <c r="AN206" s="74">
        <f t="shared" si="176"/>
        <v>0.33746501399440226</v>
      </c>
      <c r="AO206" s="74">
        <f t="shared" si="177"/>
        <v>0.33746501399440226</v>
      </c>
      <c r="AP206" s="74">
        <f t="shared" si="178"/>
        <v>0</v>
      </c>
      <c r="AQ206" s="74">
        <f t="shared" si="179"/>
        <v>0</v>
      </c>
      <c r="AR206" s="74">
        <f t="shared" si="180"/>
        <v>0.64612159329140451</v>
      </c>
      <c r="AS206" s="74">
        <f t="shared" si="181"/>
        <v>0.35387840670859544</v>
      </c>
      <c r="AT206" s="74">
        <f t="shared" si="182"/>
        <v>4.6381447421031542E-2</v>
      </c>
      <c r="AU206" s="74">
        <f t="shared" si="183"/>
        <v>4.6381447421031542E-2</v>
      </c>
      <c r="AV206" s="74">
        <f t="shared" si="184"/>
        <v>0</v>
      </c>
      <c r="AW206" s="74">
        <f t="shared" si="185"/>
        <v>0</v>
      </c>
      <c r="AX206" s="74">
        <f t="shared" si="186"/>
        <v>4.6381447421031542E-2</v>
      </c>
      <c r="AY206" s="74">
        <f t="shared" si="187"/>
        <v>4.6381447421031542E-2</v>
      </c>
      <c r="AZ206" s="74">
        <f t="shared" si="188"/>
        <v>0</v>
      </c>
      <c r="BA206" s="74">
        <f t="shared" si="189"/>
        <v>1</v>
      </c>
      <c r="BB206" s="74">
        <f t="shared" si="190"/>
        <v>4.9969367265527365E-2</v>
      </c>
      <c r="BC206" s="74">
        <f t="shared" si="191"/>
        <v>4.9969367265527365E-2</v>
      </c>
      <c r="BD206" s="74">
        <f t="shared" si="192"/>
        <v>2.6449486346217885E-2</v>
      </c>
      <c r="BE206" s="75">
        <f t="shared" si="193"/>
        <v>4.9969367265527365E-2</v>
      </c>
    </row>
    <row r="207" spans="1:57" x14ac:dyDescent="0.35">
      <c r="A207" s="9" t="s">
        <v>42</v>
      </c>
      <c r="B207" s="11" t="s">
        <v>70</v>
      </c>
      <c r="C207" s="47">
        <f t="shared" si="161"/>
        <v>-5.7014876505385779</v>
      </c>
      <c r="D207" s="23">
        <f t="shared" si="162"/>
        <v>-5.7014876505385779</v>
      </c>
      <c r="E207" s="50">
        <f>[1]data!E207-[1]data!E169</f>
        <v>0</v>
      </c>
      <c r="F207" s="36">
        <f>[1]data!F207-[1]data!F169</f>
        <v>-5.7014876505385779</v>
      </c>
      <c r="G207" s="36">
        <f>[1]data!G207-[1]data!G169</f>
        <v>0</v>
      </c>
      <c r="H207" s="25">
        <f t="shared" si="163"/>
        <v>7.8223493436008482</v>
      </c>
      <c r="I207" s="36">
        <f>[1]data!I207-[1]data!I169</f>
        <v>9.2782922355949466</v>
      </c>
      <c r="J207" s="36">
        <f>[1]data!J207-[1]data!J169</f>
        <v>-1.4559428919940984</v>
      </c>
      <c r="K207" s="36">
        <f>[1]data!K207-[1]data!K169</f>
        <v>0</v>
      </c>
      <c r="L207" s="25">
        <f t="shared" si="164"/>
        <v>-1.7142044659113749</v>
      </c>
      <c r="M207" s="25">
        <f t="shared" si="165"/>
        <v>-1.7142044659113749</v>
      </c>
      <c r="N207" s="25">
        <f t="shared" si="166"/>
        <v>-1.8329012771360624</v>
      </c>
      <c r="O207" s="25">
        <f t="shared" si="167"/>
        <v>-1.8329012771360624</v>
      </c>
      <c r="P207" s="24">
        <f t="shared" si="168"/>
        <v>0</v>
      </c>
      <c r="Q207" s="40">
        <f t="shared" si="150"/>
        <v>0</v>
      </c>
      <c r="R207" s="40">
        <f t="shared" si="151"/>
        <v>-1.7142044659113749</v>
      </c>
      <c r="S207" s="40">
        <f t="shared" si="152"/>
        <v>-1.8329012771360624</v>
      </c>
      <c r="T207" s="40">
        <f t="shared" si="153"/>
        <v>0</v>
      </c>
      <c r="U207" s="40">
        <f t="shared" si="154"/>
        <v>0</v>
      </c>
      <c r="V207" s="25">
        <f t="shared" si="169"/>
        <v>2.3518609528958336</v>
      </c>
      <c r="W207" s="25">
        <f t="shared" si="170"/>
        <v>2.5147110685640204</v>
      </c>
      <c r="X207" s="40">
        <f t="shared" si="155"/>
        <v>2.7896035142311102</v>
      </c>
      <c r="Y207" s="40">
        <f t="shared" si="156"/>
        <v>2.9827642767334832</v>
      </c>
      <c r="Z207" s="40">
        <f t="shared" si="157"/>
        <v>-0.43774256133527667</v>
      </c>
      <c r="AA207" s="40">
        <f t="shared" si="158"/>
        <v>-0.46805320816946289</v>
      </c>
      <c r="AB207" s="40">
        <f t="shared" si="159"/>
        <v>0</v>
      </c>
      <c r="AC207" s="40">
        <f t="shared" si="160"/>
        <v>0</v>
      </c>
      <c r="AD207" s="26">
        <v>311.06354290107998</v>
      </c>
      <c r="AE207" s="8">
        <v>332.60254327404999</v>
      </c>
      <c r="AF207" s="61">
        <f t="shared" si="171"/>
        <v>2.1208616930622703</v>
      </c>
      <c r="AG207" s="61">
        <f>(D207*-1)+(H207)</f>
        <v>13.523836994139426</v>
      </c>
      <c r="AH207" s="74">
        <f>($D207/$AG207)*-1</f>
        <v>0.42158801921446742</v>
      </c>
      <c r="AI207" s="74">
        <f t="shared" si="194"/>
        <v>-0.42158801921446742</v>
      </c>
      <c r="AJ207" s="74">
        <f>(($D207)/(AF207)*-1)</f>
        <v>2.688288288288291</v>
      </c>
      <c r="AK207" s="74">
        <f t="shared" si="195"/>
        <v>-2.688288288288291</v>
      </c>
      <c r="AL207" s="74">
        <f t="shared" si="175"/>
        <v>-0.42158801921446742</v>
      </c>
      <c r="AM207" s="74">
        <f t="shared" si="196"/>
        <v>-2.688288288288291</v>
      </c>
      <c r="AN207" s="74">
        <f t="shared" si="176"/>
        <v>0</v>
      </c>
      <c r="AO207" s="74">
        <f t="shared" si="177"/>
        <v>0</v>
      </c>
      <c r="AP207" s="74">
        <f t="shared" si="178"/>
        <v>0</v>
      </c>
      <c r="AQ207" s="74">
        <f t="shared" si="179"/>
        <v>0</v>
      </c>
      <c r="AR207" s="74">
        <f t="shared" si="180"/>
        <v>1</v>
      </c>
      <c r="AS207" s="74">
        <f t="shared" si="181"/>
        <v>0</v>
      </c>
      <c r="AT207" s="74">
        <f t="shared" si="182"/>
        <v>0.57841198078553258</v>
      </c>
      <c r="AU207" s="74">
        <f t="shared" si="183"/>
        <v>3.688288288288291</v>
      </c>
      <c r="AV207" s="74">
        <f t="shared" si="184"/>
        <v>0.68606951116134485</v>
      </c>
      <c r="AW207" s="74">
        <f t="shared" si="185"/>
        <v>4.3747747747747772</v>
      </c>
      <c r="AX207" s="74">
        <f t="shared" si="186"/>
        <v>-0.10765753037581223</v>
      </c>
      <c r="AY207" s="74">
        <f t="shared" si="187"/>
        <v>-0.68648648648648614</v>
      </c>
      <c r="AZ207" s="74">
        <f t="shared" si="188"/>
        <v>1.1861260381045431</v>
      </c>
      <c r="BA207" s="74">
        <f t="shared" si="189"/>
        <v>-0.18612603810454301</v>
      </c>
      <c r="BB207" s="74">
        <f t="shared" si="190"/>
        <v>6.3765648698445847E-3</v>
      </c>
      <c r="BC207" s="74">
        <f t="shared" si="191"/>
        <v>6.3765648698445847E-3</v>
      </c>
      <c r="BD207" s="74">
        <f t="shared" si="192"/>
        <v>6.8180979142795804E-3</v>
      </c>
      <c r="BE207" s="75">
        <f t="shared" si="193"/>
        <v>4.0660654188072083E-2</v>
      </c>
    </row>
    <row r="208" spans="1:57" x14ac:dyDescent="0.35">
      <c r="A208" s="9" t="s">
        <v>43</v>
      </c>
      <c r="B208" s="11" t="s">
        <v>70</v>
      </c>
      <c r="C208" s="47">
        <f t="shared" si="161"/>
        <v>0.6137999999999999</v>
      </c>
      <c r="D208" s="23">
        <f t="shared" si="162"/>
        <v>0.6137999999999999</v>
      </c>
      <c r="E208" s="50">
        <f>[1]data!E208-[1]data!E170</f>
        <v>0.21110000000000001</v>
      </c>
      <c r="F208" s="36">
        <f>[1]data!F208-[1]data!F170</f>
        <v>0.40269999999999984</v>
      </c>
      <c r="G208" s="36">
        <f>[1]data!G208-[1]data!G170</f>
        <v>0</v>
      </c>
      <c r="H208" s="25">
        <f t="shared" si="163"/>
        <v>-0.17325621916755868</v>
      </c>
      <c r="I208" s="36">
        <f>[1]data!I208-[1]data!I170</f>
        <v>-0.12018960218399344</v>
      </c>
      <c r="J208" s="36">
        <f>[1]data!J208-[1]data!J170</f>
        <v>-5.306661698356524E-2</v>
      </c>
      <c r="K208" s="36">
        <f>[1]data!K208-[1]data!K170</f>
        <v>0</v>
      </c>
      <c r="L208" s="25">
        <f t="shared" si="164"/>
        <v>2.2821526946175101</v>
      </c>
      <c r="M208" s="25">
        <f t="shared" si="165"/>
        <v>2.2821526946175101</v>
      </c>
      <c r="N208" s="25">
        <f t="shared" si="166"/>
        <v>1.3369178233626702</v>
      </c>
      <c r="O208" s="25">
        <f t="shared" si="167"/>
        <v>1.3369178233626702</v>
      </c>
      <c r="P208" s="24">
        <f t="shared" si="168"/>
        <v>0.78488503394225573</v>
      </c>
      <c r="Q208" s="40">
        <f t="shared" si="150"/>
        <v>0.45979692491342417</v>
      </c>
      <c r="R208" s="40">
        <f t="shared" si="151"/>
        <v>1.4972676606752544</v>
      </c>
      <c r="S208" s="40">
        <f t="shared" si="152"/>
        <v>0.87712089844924601</v>
      </c>
      <c r="T208" s="40">
        <f t="shared" si="153"/>
        <v>0</v>
      </c>
      <c r="U208" s="40">
        <f t="shared" si="154"/>
        <v>0</v>
      </c>
      <c r="V208" s="25">
        <f t="shared" si="169"/>
        <v>-0.64417912582679382</v>
      </c>
      <c r="W208" s="25">
        <f t="shared" si="170"/>
        <v>-0.37736938320876234</v>
      </c>
      <c r="X208" s="40">
        <f t="shared" si="155"/>
        <v>-0.44687361435191802</v>
      </c>
      <c r="Y208" s="40">
        <f t="shared" si="156"/>
        <v>-0.26178498100790121</v>
      </c>
      <c r="Z208" s="40">
        <f t="shared" si="157"/>
        <v>-0.19730551147487582</v>
      </c>
      <c r="AA208" s="40">
        <f t="shared" si="158"/>
        <v>-0.11558440220086114</v>
      </c>
      <c r="AB208" s="40">
        <f t="shared" si="159"/>
        <v>0</v>
      </c>
      <c r="AC208" s="40">
        <f t="shared" si="160"/>
        <v>0</v>
      </c>
      <c r="AD208" s="26">
        <v>45.911572818750003</v>
      </c>
      <c r="AE208" s="8">
        <v>26.895658710639999</v>
      </c>
      <c r="AF208" s="61">
        <f t="shared" si="171"/>
        <v>0.44054378083244122</v>
      </c>
      <c r="AG208" s="61">
        <f>(D208)+(H208*-1)</f>
        <v>0.78705621916755852</v>
      </c>
      <c r="AH208" s="74">
        <f t="shared" si="173"/>
        <v>0.77986805141975046</v>
      </c>
      <c r="AI208" s="74">
        <f t="shared" si="194"/>
        <v>0.77986805141975046</v>
      </c>
      <c r="AJ208" s="74">
        <f t="shared" si="174"/>
        <v>1.393278095630309</v>
      </c>
      <c r="AK208" s="74">
        <f t="shared" si="195"/>
        <v>1.393278095630309</v>
      </c>
      <c r="AL208" s="74">
        <f t="shared" si="175"/>
        <v>0.51165341203443049</v>
      </c>
      <c r="AM208" s="74">
        <f t="shared" si="196"/>
        <v>0.91409757104973166</v>
      </c>
      <c r="AN208" s="74">
        <f t="shared" si="176"/>
        <v>0.26821463938531992</v>
      </c>
      <c r="AO208" s="74">
        <f t="shared" si="177"/>
        <v>0.47918052458057719</v>
      </c>
      <c r="AP208" s="74">
        <f t="shared" si="178"/>
        <v>0</v>
      </c>
      <c r="AQ208" s="74">
        <f t="shared" si="179"/>
        <v>0</v>
      </c>
      <c r="AR208" s="74">
        <f t="shared" si="180"/>
        <v>0.65607689801238167</v>
      </c>
      <c r="AS208" s="74">
        <f t="shared" si="181"/>
        <v>0.34392310198761816</v>
      </c>
      <c r="AT208" s="74">
        <f t="shared" si="182"/>
        <v>-0.22013194858024962</v>
      </c>
      <c r="AU208" s="74">
        <f t="shared" si="183"/>
        <v>-0.39327809563030891</v>
      </c>
      <c r="AV208" s="74">
        <f t="shared" si="184"/>
        <v>-0.15270777265582594</v>
      </c>
      <c r="AW208" s="74">
        <f t="shared" si="185"/>
        <v>-0.27282101669188469</v>
      </c>
      <c r="AX208" s="74">
        <f t="shared" si="186"/>
        <v>-6.7424175924423693E-2</v>
      </c>
      <c r="AY208" s="74">
        <f t="shared" si="187"/>
        <v>-0.12045707893842424</v>
      </c>
      <c r="AZ208" s="74">
        <f t="shared" si="188"/>
        <v>0.69371017537763702</v>
      </c>
      <c r="BA208" s="74">
        <f t="shared" si="189"/>
        <v>0.30628982462236304</v>
      </c>
      <c r="BB208" s="74">
        <f t="shared" si="190"/>
        <v>1.6379735687907165E-2</v>
      </c>
      <c r="BC208" s="74">
        <f t="shared" si="191"/>
        <v>1.6379735687907165E-2</v>
      </c>
      <c r="BD208" s="74">
        <f t="shared" si="192"/>
        <v>9.5954844015390794E-3</v>
      </c>
      <c r="BE208" s="75">
        <f t="shared" si="193"/>
        <v>2.9263318204443039E-2</v>
      </c>
    </row>
    <row r="209" spans="1:57" x14ac:dyDescent="0.35">
      <c r="A209" s="9" t="s">
        <v>44</v>
      </c>
      <c r="B209" s="11" t="s">
        <v>70</v>
      </c>
      <c r="C209" s="47">
        <f t="shared" si="161"/>
        <v>4.7477325349143555</v>
      </c>
      <c r="D209" s="23">
        <f t="shared" si="162"/>
        <v>4.7477325349143555</v>
      </c>
      <c r="E209" s="50">
        <f>[1]data!E209-[1]data!E171</f>
        <v>1.9972432538702218</v>
      </c>
      <c r="F209" s="36">
        <f>[1]data!F209-[1]data!F171</f>
        <v>2.7504892810441337</v>
      </c>
      <c r="G209" s="36">
        <f>[1]data!G209-[1]data!G171</f>
        <v>0</v>
      </c>
      <c r="H209" s="25">
        <f t="shared" si="163"/>
        <v>0</v>
      </c>
      <c r="I209" s="36">
        <f>[1]data!I209-[1]data!I171</f>
        <v>0</v>
      </c>
      <c r="J209" s="36">
        <f>[1]data!J209-[1]data!J171</f>
        <v>0</v>
      </c>
      <c r="K209" s="36">
        <f>[1]data!K209-[1]data!K171</f>
        <v>0</v>
      </c>
      <c r="L209" s="25">
        <f t="shared" si="164"/>
        <v>1.8637257634241737</v>
      </c>
      <c r="M209" s="25">
        <f t="shared" si="165"/>
        <v>1.8637257634241737</v>
      </c>
      <c r="N209" s="25">
        <f t="shared" si="166"/>
        <v>1.8697578699465267</v>
      </c>
      <c r="O209" s="25">
        <f t="shared" si="167"/>
        <v>1.8697578699465267</v>
      </c>
      <c r="P209" s="24">
        <f t="shared" si="168"/>
        <v>0.7840192514404577</v>
      </c>
      <c r="Q209" s="40">
        <f t="shared" si="150"/>
        <v>0.78655679625154373</v>
      </c>
      <c r="R209" s="40">
        <f t="shared" si="151"/>
        <v>1.0797065119837159</v>
      </c>
      <c r="S209" s="40">
        <f t="shared" si="152"/>
        <v>1.0832010736949829</v>
      </c>
      <c r="T209" s="40">
        <f t="shared" si="153"/>
        <v>0</v>
      </c>
      <c r="U209" s="40">
        <f t="shared" si="154"/>
        <v>0</v>
      </c>
      <c r="V209" s="25">
        <f t="shared" si="169"/>
        <v>0</v>
      </c>
      <c r="W209" s="25">
        <f t="shared" si="170"/>
        <v>0</v>
      </c>
      <c r="X209" s="40">
        <f t="shared" si="155"/>
        <v>0</v>
      </c>
      <c r="Y209" s="40">
        <f t="shared" si="156"/>
        <v>0</v>
      </c>
      <c r="Z209" s="40">
        <f t="shared" si="157"/>
        <v>0</v>
      </c>
      <c r="AA209" s="40">
        <f t="shared" si="158"/>
        <v>0</v>
      </c>
      <c r="AB209" s="40">
        <f t="shared" si="159"/>
        <v>0</v>
      </c>
      <c r="AC209" s="40">
        <f t="shared" si="160"/>
        <v>0</v>
      </c>
      <c r="AD209" s="26">
        <v>253.92231856471</v>
      </c>
      <c r="AE209" s="8">
        <v>254.7441596875</v>
      </c>
      <c r="AF209" s="61">
        <f t="shared" si="171"/>
        <v>4.7477325349143555</v>
      </c>
      <c r="AG209" s="61">
        <f t="shared" si="172"/>
        <v>4.7477325349143555</v>
      </c>
      <c r="AH209" s="74">
        <f t="shared" si="173"/>
        <v>1</v>
      </c>
      <c r="AI209" s="74">
        <f t="shared" si="194"/>
        <v>1</v>
      </c>
      <c r="AJ209" s="74">
        <f t="shared" si="174"/>
        <v>1</v>
      </c>
      <c r="AK209" s="74">
        <f t="shared" si="195"/>
        <v>1</v>
      </c>
      <c r="AL209" s="74">
        <f t="shared" si="175"/>
        <v>0.57932692307692302</v>
      </c>
      <c r="AM209" s="74">
        <f t="shared" si="196"/>
        <v>0.57932692307692302</v>
      </c>
      <c r="AN209" s="74">
        <f t="shared" si="176"/>
        <v>0.42067307692307698</v>
      </c>
      <c r="AO209" s="74">
        <f t="shared" si="177"/>
        <v>0.42067307692307698</v>
      </c>
      <c r="AP209" s="74">
        <f t="shared" si="178"/>
        <v>0</v>
      </c>
      <c r="AQ209" s="74">
        <f t="shared" si="179"/>
        <v>0</v>
      </c>
      <c r="AR209" s="74">
        <f t="shared" si="180"/>
        <v>0.57932692307692302</v>
      </c>
      <c r="AS209" s="74">
        <f t="shared" si="181"/>
        <v>0.42067307692307698</v>
      </c>
      <c r="AT209" s="74">
        <f t="shared" si="182"/>
        <v>0</v>
      </c>
      <c r="AU209" s="74">
        <f t="shared" si="183"/>
        <v>0</v>
      </c>
      <c r="AV209" s="74">
        <f t="shared" si="184"/>
        <v>0</v>
      </c>
      <c r="AW209" s="74">
        <f t="shared" si="185"/>
        <v>0</v>
      </c>
      <c r="AX209" s="74">
        <f t="shared" si="186"/>
        <v>0</v>
      </c>
      <c r="AY209" s="74">
        <f t="shared" si="187"/>
        <v>0</v>
      </c>
      <c r="AZ209" s="74" t="e">
        <f t="shared" si="188"/>
        <v>#DIV/0!</v>
      </c>
      <c r="BA209" s="74" t="e">
        <f t="shared" si="189"/>
        <v>#DIV/0!</v>
      </c>
      <c r="BB209" s="74">
        <f t="shared" si="190"/>
        <v>1.8637257634241736E-2</v>
      </c>
      <c r="BC209" s="74">
        <f t="shared" si="191"/>
        <v>1.8637257634241736E-2</v>
      </c>
      <c r="BD209" s="74">
        <f t="shared" si="192"/>
        <v>1.8697578699465266E-2</v>
      </c>
      <c r="BE209" s="75">
        <f t="shared" si="193"/>
        <v>1.8637257634241736E-2</v>
      </c>
    </row>
    <row r="210" spans="1:57" x14ac:dyDescent="0.35">
      <c r="A210" s="9" t="s">
        <v>45</v>
      </c>
      <c r="B210" s="11" t="s">
        <v>70</v>
      </c>
      <c r="C210" s="47">
        <f t="shared" si="161"/>
        <v>14.505692432394584</v>
      </c>
      <c r="D210" s="23">
        <f t="shared" si="162"/>
        <v>13.558428489130421</v>
      </c>
      <c r="E210" s="50">
        <f>[1]data!E210-[1]data!E172</f>
        <v>4.5651274374176376E-2</v>
      </c>
      <c r="F210" s="36">
        <f>[1]data!F210-[1]data!F172</f>
        <v>13.512777214756245</v>
      </c>
      <c r="G210" s="36">
        <f>[1]data!G210-[1]data!G172</f>
        <v>0.94726394326416252</v>
      </c>
      <c r="H210" s="25">
        <f t="shared" si="163"/>
        <v>5.6949964781785178</v>
      </c>
      <c r="I210" s="36">
        <f>[1]data!I210-[1]data!I172</f>
        <v>2.5907098207345163</v>
      </c>
      <c r="J210" s="36">
        <f>[1]data!J210-[1]data!J172</f>
        <v>3.1042866574440016</v>
      </c>
      <c r="K210" s="36">
        <f>[1]data!K210-[1]data!K172</f>
        <v>0</v>
      </c>
      <c r="L210" s="25">
        <f t="shared" si="164"/>
        <v>7.1140159043254432</v>
      </c>
      <c r="M210" s="25">
        <f t="shared" si="165"/>
        <v>6.64944995620663</v>
      </c>
      <c r="N210" s="25">
        <f t="shared" si="166"/>
        <v>4.8104609891885417</v>
      </c>
      <c r="O210" s="25">
        <f t="shared" si="167"/>
        <v>4.4963238828922005</v>
      </c>
      <c r="P210" s="24">
        <f t="shared" si="168"/>
        <v>2.2388720391268057E-2</v>
      </c>
      <c r="Q210" s="40">
        <f t="shared" si="150"/>
        <v>1.5139137652835652E-2</v>
      </c>
      <c r="R210" s="40">
        <f t="shared" si="151"/>
        <v>6.6270612358153622</v>
      </c>
      <c r="S210" s="40">
        <f t="shared" si="152"/>
        <v>4.4811847452393652</v>
      </c>
      <c r="T210" s="40">
        <f t="shared" si="153"/>
        <v>0.46456594811881352</v>
      </c>
      <c r="U210" s="40">
        <f t="shared" si="154"/>
        <v>0.31413710629634073</v>
      </c>
      <c r="V210" s="25">
        <f t="shared" si="169"/>
        <v>2.7929928688106975</v>
      </c>
      <c r="W210" s="25">
        <f t="shared" si="170"/>
        <v>1.8886074221912525</v>
      </c>
      <c r="X210" s="40">
        <f t="shared" si="155"/>
        <v>1.2705598822044657</v>
      </c>
      <c r="Y210" s="40">
        <f t="shared" si="156"/>
        <v>0.85914606179842568</v>
      </c>
      <c r="Z210" s="40">
        <f t="shared" si="157"/>
        <v>1.5224329866062318</v>
      </c>
      <c r="AA210" s="40">
        <f t="shared" si="158"/>
        <v>1.0294613603928269</v>
      </c>
      <c r="AB210" s="40">
        <f t="shared" si="159"/>
        <v>0</v>
      </c>
      <c r="AC210" s="40">
        <f t="shared" si="160"/>
        <v>0</v>
      </c>
      <c r="AD210" s="26">
        <v>301.54474727050001</v>
      </c>
      <c r="AE210" s="8">
        <v>203.90300819506001</v>
      </c>
      <c r="AF210" s="61">
        <f t="shared" si="171"/>
        <v>19.253424967308938</v>
      </c>
      <c r="AG210" s="61">
        <f t="shared" si="172"/>
        <v>19.253424967308938</v>
      </c>
      <c r="AH210" s="74">
        <f t="shared" si="173"/>
        <v>0.70420865441612335</v>
      </c>
      <c r="AI210" s="74">
        <f t="shared" si="194"/>
        <v>0.70420865441612335</v>
      </c>
      <c r="AJ210" s="74">
        <f t="shared" si="174"/>
        <v>0.70420865441612335</v>
      </c>
      <c r="AK210" s="74">
        <f t="shared" si="195"/>
        <v>0.70420865441612335</v>
      </c>
      <c r="AL210" s="74">
        <f t="shared" si="175"/>
        <v>0.70183758150563136</v>
      </c>
      <c r="AM210" s="74">
        <f t="shared" si="196"/>
        <v>0.70183758150563136</v>
      </c>
      <c r="AN210" s="74">
        <f t="shared" si="176"/>
        <v>2.3710729104919914E-3</v>
      </c>
      <c r="AO210" s="74">
        <f t="shared" si="177"/>
        <v>2.3710729104919914E-3</v>
      </c>
      <c r="AP210" s="74">
        <f t="shared" si="178"/>
        <v>4.9199762892708963E-2</v>
      </c>
      <c r="AQ210" s="74">
        <f t="shared" si="179"/>
        <v>4.9199762892708963E-2</v>
      </c>
      <c r="AR210" s="74">
        <f t="shared" si="180"/>
        <v>0.99663299663299665</v>
      </c>
      <c r="AS210" s="74">
        <f t="shared" si="181"/>
        <v>3.3670033670033577E-3</v>
      </c>
      <c r="AT210" s="74">
        <f t="shared" si="182"/>
        <v>0.29579134558387671</v>
      </c>
      <c r="AU210" s="74">
        <f t="shared" si="183"/>
        <v>0.29579134558387671</v>
      </c>
      <c r="AV210" s="74">
        <f t="shared" si="184"/>
        <v>0.13455838767042086</v>
      </c>
      <c r="AW210" s="74">
        <f t="shared" si="185"/>
        <v>0.13455838767042086</v>
      </c>
      <c r="AX210" s="74">
        <f t="shared" si="186"/>
        <v>0.16123295791345582</v>
      </c>
      <c r="AY210" s="74">
        <f t="shared" si="187"/>
        <v>0.16123295791345582</v>
      </c>
      <c r="AZ210" s="74">
        <f t="shared" si="188"/>
        <v>0.45490981963927857</v>
      </c>
      <c r="BA210" s="74">
        <f t="shared" si="189"/>
        <v>0.54509018036072143</v>
      </c>
      <c r="BB210" s="74">
        <f t="shared" si="190"/>
        <v>9.9070087731361403E-2</v>
      </c>
      <c r="BC210" s="74">
        <f t="shared" si="191"/>
        <v>9.4424428250173276E-2</v>
      </c>
      <c r="BD210" s="74">
        <f t="shared" si="192"/>
        <v>6.3849313050834536E-2</v>
      </c>
      <c r="BE210" s="75">
        <f t="shared" si="193"/>
        <v>9.4424428250173276E-2</v>
      </c>
    </row>
    <row r="211" spans="1:57" x14ac:dyDescent="0.35">
      <c r="A211" s="9" t="s">
        <v>46</v>
      </c>
      <c r="B211" s="11" t="s">
        <v>70</v>
      </c>
      <c r="C211" s="47">
        <f t="shared" si="161"/>
        <v>0</v>
      </c>
      <c r="D211" s="23">
        <f t="shared" si="162"/>
        <v>0</v>
      </c>
      <c r="E211" s="50">
        <f>[1]data!E211-[1]data!E173</f>
        <v>0</v>
      </c>
      <c r="F211" s="36">
        <f>[1]data!F211-[1]data!F173</f>
        <v>0</v>
      </c>
      <c r="G211" s="36">
        <f>[1]data!G211-[1]data!G173</f>
        <v>0</v>
      </c>
      <c r="H211" s="25">
        <f t="shared" si="163"/>
        <v>-1.1373707533234856E-2</v>
      </c>
      <c r="I211" s="36">
        <f>[1]data!I211-[1]data!I173</f>
        <v>-1.1373707533234856E-2</v>
      </c>
      <c r="J211" s="36">
        <f>[1]data!J211-[1]data!J173</f>
        <v>0</v>
      </c>
      <c r="K211" s="36">
        <f>[1]data!K211-[1]data!K173</f>
        <v>0</v>
      </c>
      <c r="L211" s="25">
        <f t="shared" si="164"/>
        <v>0</v>
      </c>
      <c r="M211" s="25">
        <f t="shared" si="165"/>
        <v>0</v>
      </c>
      <c r="N211" s="25">
        <f t="shared" si="166"/>
        <v>0</v>
      </c>
      <c r="O211" s="25">
        <f t="shared" si="167"/>
        <v>0</v>
      </c>
      <c r="P211" s="24">
        <f t="shared" si="168"/>
        <v>0</v>
      </c>
      <c r="Q211" s="40">
        <f t="shared" si="150"/>
        <v>0</v>
      </c>
      <c r="R211" s="40">
        <f t="shared" si="151"/>
        <v>0</v>
      </c>
      <c r="S211" s="40">
        <f t="shared" si="152"/>
        <v>0</v>
      </c>
      <c r="T211" s="40">
        <f t="shared" si="153"/>
        <v>0</v>
      </c>
      <c r="U211" s="40">
        <f t="shared" si="154"/>
        <v>0</v>
      </c>
      <c r="V211" s="25">
        <f t="shared" si="169"/>
        <v>-5.4865931635281258E-2</v>
      </c>
      <c r="W211" s="25">
        <f t="shared" si="170"/>
        <v>-5.964456630223601E-2</v>
      </c>
      <c r="X211" s="40">
        <f t="shared" si="155"/>
        <v>-5.4865931635281258E-2</v>
      </c>
      <c r="Y211" s="40">
        <f t="shared" si="156"/>
        <v>-5.964456630223601E-2</v>
      </c>
      <c r="Z211" s="40">
        <f t="shared" si="157"/>
        <v>0</v>
      </c>
      <c r="AA211" s="40">
        <f t="shared" si="158"/>
        <v>0</v>
      </c>
      <c r="AB211" s="40">
        <f t="shared" si="159"/>
        <v>0</v>
      </c>
      <c r="AC211" s="40">
        <f t="shared" si="160"/>
        <v>0</v>
      </c>
      <c r="AD211" s="26">
        <v>19.06914282116</v>
      </c>
      <c r="AE211" s="8">
        <v>20.729999827290001</v>
      </c>
      <c r="AF211" s="61">
        <f t="shared" si="171"/>
        <v>-1.1373707533234856E-2</v>
      </c>
      <c r="AG211" s="61">
        <f>(D211)+(H211*-1)</f>
        <v>1.1373707533234856E-2</v>
      </c>
      <c r="AH211" s="74">
        <f t="shared" si="173"/>
        <v>0</v>
      </c>
      <c r="AI211" s="74">
        <f t="shared" si="194"/>
        <v>0</v>
      </c>
      <c r="AJ211" s="74">
        <f t="shared" si="174"/>
        <v>0</v>
      </c>
      <c r="AK211" s="74">
        <f t="shared" si="195"/>
        <v>0</v>
      </c>
      <c r="AL211" s="74">
        <f t="shared" si="175"/>
        <v>0</v>
      </c>
      <c r="AM211" s="74">
        <f t="shared" si="196"/>
        <v>0</v>
      </c>
      <c r="AN211" s="74">
        <f t="shared" si="176"/>
        <v>0</v>
      </c>
      <c r="AO211" s="74">
        <f t="shared" si="177"/>
        <v>0</v>
      </c>
      <c r="AP211" s="74">
        <f t="shared" si="178"/>
        <v>0</v>
      </c>
      <c r="AQ211" s="74">
        <f t="shared" si="179"/>
        <v>0</v>
      </c>
      <c r="AR211" s="74" t="e">
        <f t="shared" si="180"/>
        <v>#DIV/0!</v>
      </c>
      <c r="AS211" s="74" t="e">
        <f t="shared" si="181"/>
        <v>#DIV/0!</v>
      </c>
      <c r="AT211" s="74">
        <f t="shared" si="182"/>
        <v>-1</v>
      </c>
      <c r="AU211" s="74">
        <f t="shared" si="183"/>
        <v>1</v>
      </c>
      <c r="AV211" s="74">
        <f t="shared" si="184"/>
        <v>-1</v>
      </c>
      <c r="AW211" s="74">
        <f t="shared" si="185"/>
        <v>1</v>
      </c>
      <c r="AX211" s="74">
        <f t="shared" si="186"/>
        <v>0</v>
      </c>
      <c r="AY211" s="74">
        <f t="shared" si="187"/>
        <v>0</v>
      </c>
      <c r="AZ211" s="74">
        <f t="shared" si="188"/>
        <v>1</v>
      </c>
      <c r="BA211" s="74">
        <f t="shared" si="189"/>
        <v>0</v>
      </c>
      <c r="BB211" s="74">
        <f t="shared" si="190"/>
        <v>-5.486593163528126E-4</v>
      </c>
      <c r="BC211" s="74">
        <f t="shared" si="191"/>
        <v>-5.486593163528126E-4</v>
      </c>
      <c r="BD211" s="74">
        <f t="shared" si="192"/>
        <v>-5.9644566302236013E-4</v>
      </c>
      <c r="BE211" s="75">
        <f t="shared" si="193"/>
        <v>5.486593163528126E-4</v>
      </c>
    </row>
    <row r="212" spans="1:57" x14ac:dyDescent="0.35">
      <c r="A212" s="9" t="s">
        <v>47</v>
      </c>
      <c r="B212" s="11" t="s">
        <v>70</v>
      </c>
      <c r="C212" s="47">
        <f t="shared" si="161"/>
        <v>7.075487897565349</v>
      </c>
      <c r="D212" s="23">
        <f t="shared" si="162"/>
        <v>6.5953424585950176</v>
      </c>
      <c r="E212" s="50">
        <f>[1]data!E212-[1]data!E174</f>
        <v>-0.91100784237983401</v>
      </c>
      <c r="F212" s="36">
        <f>[1]data!F212-[1]data!F174</f>
        <v>7.5063503009748516</v>
      </c>
      <c r="G212" s="36">
        <f>[1]data!G212-[1]data!G174</f>
        <v>0.48014543897033191</v>
      </c>
      <c r="H212" s="25">
        <f t="shared" si="163"/>
        <v>5.8642869211811419</v>
      </c>
      <c r="I212" s="36">
        <f>[1]data!I212-[1]data!I174</f>
        <v>2.5309368338247786</v>
      </c>
      <c r="J212" s="36">
        <f>[1]data!J212-[1]data!J174</f>
        <v>3.3333500873563633</v>
      </c>
      <c r="K212" s="36">
        <f>[1]data!K212-[1]data!K174</f>
        <v>0</v>
      </c>
      <c r="L212" s="25">
        <f t="shared" si="164"/>
        <v>1.9047440498149506</v>
      </c>
      <c r="M212" s="25">
        <f t="shared" si="165"/>
        <v>1.7754873566844003</v>
      </c>
      <c r="N212" s="25">
        <f t="shared" si="166"/>
        <v>1.6931429452940594</v>
      </c>
      <c r="O212" s="25">
        <f t="shared" si="167"/>
        <v>1.5782455877581258</v>
      </c>
      <c r="P212" s="24">
        <f t="shared" si="168"/>
        <v>-0.2452462349211047</v>
      </c>
      <c r="Q212" s="40">
        <f t="shared" si="150"/>
        <v>-0.2180014330833264</v>
      </c>
      <c r="R212" s="40">
        <f t="shared" si="151"/>
        <v>2.0207335916055049</v>
      </c>
      <c r="S212" s="40">
        <f t="shared" si="152"/>
        <v>1.7962470208414523</v>
      </c>
      <c r="T212" s="40">
        <f t="shared" si="153"/>
        <v>0.12925669313055033</v>
      </c>
      <c r="U212" s="40">
        <f t="shared" si="154"/>
        <v>0.11489735753593357</v>
      </c>
      <c r="V212" s="25">
        <f t="shared" si="169"/>
        <v>1.5786848597919247</v>
      </c>
      <c r="W212" s="25">
        <f t="shared" si="170"/>
        <v>1.403306199307419</v>
      </c>
      <c r="X212" s="40">
        <f t="shared" si="155"/>
        <v>0.68133631835396857</v>
      </c>
      <c r="Y212" s="40">
        <f t="shared" si="156"/>
        <v>0.60564556214559317</v>
      </c>
      <c r="Z212" s="40">
        <f t="shared" si="157"/>
        <v>0.89734854143795617</v>
      </c>
      <c r="AA212" s="40">
        <f t="shared" si="158"/>
        <v>0.79766063716182578</v>
      </c>
      <c r="AB212" s="40">
        <f t="shared" si="159"/>
        <v>0</v>
      </c>
      <c r="AC212" s="40">
        <f t="shared" si="160"/>
        <v>0</v>
      </c>
      <c r="AD212" s="26">
        <v>417.89075855828003</v>
      </c>
      <c r="AE212" s="8">
        <v>371.46659669328</v>
      </c>
      <c r="AF212" s="61">
        <f t="shared" si="171"/>
        <v>12.45962937977616</v>
      </c>
      <c r="AG212" s="61">
        <f t="shared" si="172"/>
        <v>12.45962937977616</v>
      </c>
      <c r="AH212" s="74">
        <f t="shared" si="173"/>
        <v>0.52933696962930887</v>
      </c>
      <c r="AI212" s="74">
        <f t="shared" si="194"/>
        <v>0.52933696962930887</v>
      </c>
      <c r="AJ212" s="74">
        <f t="shared" si="174"/>
        <v>0.52933696962930887</v>
      </c>
      <c r="AK212" s="74">
        <f t="shared" si="195"/>
        <v>0.52933696962930887</v>
      </c>
      <c r="AL212" s="74">
        <f t="shared" si="175"/>
        <v>0.60245373856454987</v>
      </c>
      <c r="AM212" s="74">
        <f t="shared" si="196"/>
        <v>0.60245373856454987</v>
      </c>
      <c r="AN212" s="74">
        <f t="shared" si="176"/>
        <v>-7.3116768935241022E-2</v>
      </c>
      <c r="AO212" s="74">
        <f t="shared" si="177"/>
        <v>-7.3116768935241022E-2</v>
      </c>
      <c r="AP212" s="74">
        <f t="shared" si="178"/>
        <v>3.85360931962936E-2</v>
      </c>
      <c r="AQ212" s="74">
        <f t="shared" si="179"/>
        <v>3.85360931962936E-2</v>
      </c>
      <c r="AR212" s="74">
        <f t="shared" si="180"/>
        <v>1.1381289672369648</v>
      </c>
      <c r="AS212" s="74">
        <f t="shared" si="181"/>
        <v>-0.1381289672369648</v>
      </c>
      <c r="AT212" s="74">
        <f t="shared" si="182"/>
        <v>0.47066303037069107</v>
      </c>
      <c r="AU212" s="74">
        <f t="shared" si="183"/>
        <v>0.47066303037069107</v>
      </c>
      <c r="AV212" s="74">
        <f t="shared" si="184"/>
        <v>0.20313098862578266</v>
      </c>
      <c r="AW212" s="74">
        <f t="shared" si="185"/>
        <v>0.20313098862578266</v>
      </c>
      <c r="AX212" s="74">
        <f t="shared" si="186"/>
        <v>0.26753204174490841</v>
      </c>
      <c r="AY212" s="74">
        <f t="shared" si="187"/>
        <v>0.26753204174490841</v>
      </c>
      <c r="AZ212" s="74">
        <f t="shared" si="188"/>
        <v>0.43158475494835025</v>
      </c>
      <c r="BA212" s="74">
        <f t="shared" si="189"/>
        <v>0.56841524505164975</v>
      </c>
      <c r="BB212" s="74">
        <f t="shared" si="190"/>
        <v>3.4834289096068755E-2</v>
      </c>
      <c r="BC212" s="74">
        <f t="shared" si="191"/>
        <v>3.3541722164763248E-2</v>
      </c>
      <c r="BD212" s="74">
        <f t="shared" si="192"/>
        <v>2.981551787065545E-2</v>
      </c>
      <c r="BE212" s="75">
        <f t="shared" si="193"/>
        <v>3.3541722164763248E-2</v>
      </c>
    </row>
    <row r="213" spans="1:57" x14ac:dyDescent="0.35">
      <c r="A213" s="9" t="s">
        <v>48</v>
      </c>
      <c r="B213" s="11" t="s">
        <v>70</v>
      </c>
      <c r="C213" s="47">
        <f t="shared" si="161"/>
        <v>1.166235108261898</v>
      </c>
      <c r="D213" s="23">
        <f t="shared" si="162"/>
        <v>1.1665104130534063</v>
      </c>
      <c r="E213" s="50">
        <f>[1]data!E213-[1]data!E175</f>
        <v>1.4889697084849915</v>
      </c>
      <c r="F213" s="36">
        <f>[1]data!F213-[1]data!F175</f>
        <v>-0.32245929543158525</v>
      </c>
      <c r="G213" s="36">
        <f>[1]data!G213-[1]data!G175</f>
        <v>-2.7530479150827958E-4</v>
      </c>
      <c r="H213" s="25">
        <f t="shared" si="163"/>
        <v>-1.1609232865134158</v>
      </c>
      <c r="I213" s="36">
        <v>0.18</v>
      </c>
      <c r="J213" s="36">
        <f>[1]data!J213-[1]data!J175</f>
        <v>-1.3409232865134157</v>
      </c>
      <c r="K213" s="36">
        <f>[1]data!K213-[1]data!K175</f>
        <v>0</v>
      </c>
      <c r="L213" s="25">
        <f t="shared" si="164"/>
        <v>0.32534572504713694</v>
      </c>
      <c r="M213" s="25">
        <f t="shared" si="165"/>
        <v>0.32542252708848152</v>
      </c>
      <c r="N213" s="25">
        <f t="shared" si="166"/>
        <v>0.34060932146269718</v>
      </c>
      <c r="O213" s="25">
        <f t="shared" si="167"/>
        <v>0.34068972667221864</v>
      </c>
      <c r="P213" s="24">
        <f t="shared" si="168"/>
        <v>0.41537930555207286</v>
      </c>
      <c r="Q213" s="40">
        <f t="shared" si="150"/>
        <v>0.43486682787437764</v>
      </c>
      <c r="R213" s="40">
        <f t="shared" si="151"/>
        <v>-8.9956778463591361E-2</v>
      </c>
      <c r="S213" s="40">
        <f t="shared" si="152"/>
        <v>-9.4177101202159025E-2</v>
      </c>
      <c r="T213" s="40">
        <f t="shared" si="153"/>
        <v>-7.6802041344563773E-5</v>
      </c>
      <c r="U213" s="40">
        <f t="shared" si="154"/>
        <v>-8.0405209521446227E-5</v>
      </c>
      <c r="V213" s="25">
        <f t="shared" si="169"/>
        <v>-0.32386388104686786</v>
      </c>
      <c r="W213" s="25">
        <f t="shared" si="170"/>
        <v>-0.33905795674329869</v>
      </c>
      <c r="X213" s="40">
        <f t="shared" si="155"/>
        <v>5.0214772384757862E-2</v>
      </c>
      <c r="Y213" s="40">
        <f t="shared" si="156"/>
        <v>5.2570598697426071E-2</v>
      </c>
      <c r="Z213" s="40">
        <f t="shared" si="157"/>
        <v>-0.37407865343162572</v>
      </c>
      <c r="AA213" s="40">
        <f t="shared" si="158"/>
        <v>-0.39162855544072478</v>
      </c>
      <c r="AB213" s="40">
        <f t="shared" si="159"/>
        <v>0</v>
      </c>
      <c r="AC213" s="40">
        <f t="shared" si="160"/>
        <v>0</v>
      </c>
      <c r="AD213" s="26">
        <v>342.39670930134002</v>
      </c>
      <c r="AE213" s="8">
        <v>358.46025273358998</v>
      </c>
      <c r="AF213" s="61">
        <v>0</v>
      </c>
      <c r="AG213" s="61">
        <f>(D213)+(H213*-1)</f>
        <v>2.3274336995668223</v>
      </c>
      <c r="AH213" s="74">
        <f t="shared" si="173"/>
        <v>0.50120027619713292</v>
      </c>
      <c r="AI213" s="74">
        <f t="shared" si="194"/>
        <v>0.50120027619713292</v>
      </c>
      <c r="AJ213" s="74">
        <v>0</v>
      </c>
      <c r="AK213" s="74">
        <v>0</v>
      </c>
      <c r="AL213" s="74">
        <f t="shared" si="175"/>
        <v>-0.13854714550691638</v>
      </c>
      <c r="AM213" s="74" t="e">
        <f t="shared" si="196"/>
        <v>#DIV/0!</v>
      </c>
      <c r="AN213" s="74">
        <f t="shared" si="176"/>
        <v>0.6397474217040493</v>
      </c>
      <c r="AO213" s="74" t="e">
        <f t="shared" si="177"/>
        <v>#DIV/0!</v>
      </c>
      <c r="AP213" s="74">
        <f t="shared" si="178"/>
        <v>-1.1828684596236567E-4</v>
      </c>
      <c r="AQ213" s="74" t="e">
        <f t="shared" si="179"/>
        <v>#DIV/0!</v>
      </c>
      <c r="AR213" s="74">
        <f t="shared" si="180"/>
        <v>-0.27643070462399899</v>
      </c>
      <c r="AS213" s="74">
        <f t="shared" si="181"/>
        <v>1.2764307046239991</v>
      </c>
      <c r="AT213" s="74">
        <f t="shared" si="182"/>
        <v>-0.49879972380286697</v>
      </c>
      <c r="AU213" s="74" t="e">
        <f t="shared" si="183"/>
        <v>#DIV/0!</v>
      </c>
      <c r="AV213" s="74">
        <f t="shared" si="184"/>
        <v>7.7338400674314051E-2</v>
      </c>
      <c r="AW213" s="74" t="e">
        <f t="shared" si="185"/>
        <v>#DIV/0!</v>
      </c>
      <c r="AX213" s="74">
        <f t="shared" si="186"/>
        <v>-0.57613812447718094</v>
      </c>
      <c r="AY213" s="74" t="e">
        <f t="shared" si="187"/>
        <v>#DIV/0!</v>
      </c>
      <c r="AZ213" s="74">
        <f t="shared" si="188"/>
        <v>-0.15504900460786811</v>
      </c>
      <c r="BA213" s="74">
        <f t="shared" si="189"/>
        <v>1.1550490046078681</v>
      </c>
      <c r="BB213" s="74">
        <f t="shared" si="190"/>
        <v>-7.6802041344563773E-7</v>
      </c>
      <c r="BC213" s="74">
        <f t="shared" si="191"/>
        <v>0</v>
      </c>
      <c r="BD213" s="74">
        <f t="shared" si="192"/>
        <v>0</v>
      </c>
      <c r="BE213" s="75">
        <f t="shared" si="193"/>
        <v>6.4928640813534952E-3</v>
      </c>
    </row>
    <row r="214" spans="1:57" x14ac:dyDescent="0.35">
      <c r="A214" s="10" t="s">
        <v>49</v>
      </c>
      <c r="B214" s="11" t="s">
        <v>70</v>
      </c>
      <c r="C214" s="47">
        <f t="shared" si="161"/>
        <v>0</v>
      </c>
      <c r="D214" s="23">
        <f t="shared" si="162"/>
        <v>0</v>
      </c>
      <c r="E214" s="50">
        <f>[1]data!E214-[1]data!E176</f>
        <v>0</v>
      </c>
      <c r="F214" s="36">
        <f>[1]data!F214-[1]data!F176</f>
        <v>0</v>
      </c>
      <c r="G214" s="36">
        <f>[1]data!G214-[1]data!G176</f>
        <v>0</v>
      </c>
      <c r="H214" s="25">
        <f t="shared" si="163"/>
        <v>0</v>
      </c>
      <c r="I214" s="36">
        <f>[1]data!I214-[1]data!I176</f>
        <v>0</v>
      </c>
      <c r="J214" s="36">
        <f>[1]data!J214-[1]data!J176</f>
        <v>0</v>
      </c>
      <c r="K214" s="36">
        <f>[1]data!K214-[1]data!K176</f>
        <v>0</v>
      </c>
      <c r="L214" s="25">
        <f t="shared" si="164"/>
        <v>0</v>
      </c>
      <c r="M214" s="25">
        <f t="shared" si="165"/>
        <v>0</v>
      </c>
      <c r="N214" s="25">
        <f t="shared" si="166"/>
        <v>0</v>
      </c>
      <c r="O214" s="25">
        <f t="shared" si="167"/>
        <v>0</v>
      </c>
      <c r="P214" s="24">
        <f t="shared" si="168"/>
        <v>0</v>
      </c>
      <c r="Q214" s="40">
        <f t="shared" si="150"/>
        <v>0</v>
      </c>
      <c r="R214" s="40">
        <f t="shared" si="151"/>
        <v>0</v>
      </c>
      <c r="S214" s="40">
        <f t="shared" si="152"/>
        <v>0</v>
      </c>
      <c r="T214" s="40">
        <f t="shared" si="153"/>
        <v>0</v>
      </c>
      <c r="U214" s="40">
        <f t="shared" si="154"/>
        <v>0</v>
      </c>
      <c r="V214" s="25">
        <f t="shared" si="169"/>
        <v>0</v>
      </c>
      <c r="W214" s="25">
        <f t="shared" si="170"/>
        <v>0</v>
      </c>
      <c r="X214" s="40">
        <f t="shared" si="155"/>
        <v>0</v>
      </c>
      <c r="Y214" s="40">
        <f t="shared" si="156"/>
        <v>0</v>
      </c>
      <c r="Z214" s="40">
        <f t="shared" si="157"/>
        <v>0</v>
      </c>
      <c r="AA214" s="40">
        <f t="shared" si="158"/>
        <v>0</v>
      </c>
      <c r="AB214" s="40">
        <f t="shared" si="159"/>
        <v>0</v>
      </c>
      <c r="AC214" s="40">
        <f t="shared" si="160"/>
        <v>0</v>
      </c>
      <c r="AD214" s="32">
        <v>55.422589739999999</v>
      </c>
      <c r="AE214" s="8">
        <v>30.160077523049999</v>
      </c>
      <c r="AF214" s="61">
        <f t="shared" si="171"/>
        <v>0</v>
      </c>
      <c r="AG214" s="61">
        <f t="shared" si="172"/>
        <v>0</v>
      </c>
      <c r="AH214" s="74">
        <v>0</v>
      </c>
      <c r="AI214" s="74">
        <v>0</v>
      </c>
      <c r="AJ214" s="74">
        <v>0</v>
      </c>
      <c r="AK214" s="74">
        <v>0</v>
      </c>
      <c r="AL214" s="74" t="e">
        <f t="shared" si="175"/>
        <v>#DIV/0!</v>
      </c>
      <c r="AM214" s="74" t="e">
        <f t="shared" si="196"/>
        <v>#DIV/0!</v>
      </c>
      <c r="AN214" s="74" t="e">
        <f t="shared" si="176"/>
        <v>#DIV/0!</v>
      </c>
      <c r="AO214" s="74" t="e">
        <f t="shared" si="177"/>
        <v>#DIV/0!</v>
      </c>
      <c r="AP214" s="74" t="e">
        <f t="shared" si="178"/>
        <v>#DIV/0!</v>
      </c>
      <c r="AQ214" s="74" t="e">
        <f t="shared" si="179"/>
        <v>#DIV/0!</v>
      </c>
      <c r="AR214" s="74" t="e">
        <f t="shared" si="180"/>
        <v>#DIV/0!</v>
      </c>
      <c r="AS214" s="74" t="e">
        <f t="shared" si="181"/>
        <v>#DIV/0!</v>
      </c>
      <c r="AT214" s="74" t="e">
        <f t="shared" si="182"/>
        <v>#DIV/0!</v>
      </c>
      <c r="AU214" s="74" t="e">
        <f t="shared" si="183"/>
        <v>#DIV/0!</v>
      </c>
      <c r="AV214" s="74" t="e">
        <f t="shared" si="184"/>
        <v>#DIV/0!</v>
      </c>
      <c r="AW214" s="74" t="e">
        <f t="shared" si="185"/>
        <v>#DIV/0!</v>
      </c>
      <c r="AX214" s="74" t="e">
        <f t="shared" si="186"/>
        <v>#DIV/0!</v>
      </c>
      <c r="AY214" s="74" t="e">
        <f t="shared" si="187"/>
        <v>#DIV/0!</v>
      </c>
      <c r="AZ214" s="74" t="e">
        <f t="shared" si="188"/>
        <v>#DIV/0!</v>
      </c>
      <c r="BA214" s="74" t="e">
        <f t="shared" si="189"/>
        <v>#DIV/0!</v>
      </c>
      <c r="BB214" s="74">
        <f t="shared" si="190"/>
        <v>0</v>
      </c>
      <c r="BC214" s="74">
        <f t="shared" si="191"/>
        <v>0</v>
      </c>
      <c r="BD214" s="74">
        <f t="shared" si="192"/>
        <v>0</v>
      </c>
      <c r="BE214" s="75">
        <f t="shared" si="193"/>
        <v>0</v>
      </c>
    </row>
    <row r="215" spans="1:57" x14ac:dyDescent="0.35">
      <c r="A215" s="9" t="s">
        <v>50</v>
      </c>
      <c r="B215" s="11" t="s">
        <v>70</v>
      </c>
      <c r="C215" s="47">
        <f t="shared" si="161"/>
        <v>0.65929308868577619</v>
      </c>
      <c r="D215" s="23">
        <f t="shared" si="162"/>
        <v>0.55575232444005662</v>
      </c>
      <c r="E215" s="50">
        <f>[1]data!E215-[1]data!E177</f>
        <v>0.35618561001317595</v>
      </c>
      <c r="F215" s="36">
        <f>[1]data!F215-[1]data!F177</f>
        <v>0.19956671442688068</v>
      </c>
      <c r="G215" s="36">
        <f>[1]data!G215-[1]data!G177</f>
        <v>0.10354076424571956</v>
      </c>
      <c r="H215" s="25">
        <f t="shared" si="163"/>
        <v>0</v>
      </c>
      <c r="I215" s="36">
        <f>[1]data!I215-[1]data!I177</f>
        <v>0</v>
      </c>
      <c r="J215" s="36">
        <f>[1]data!J215-[1]data!J177</f>
        <v>0</v>
      </c>
      <c r="K215" s="36">
        <f>[1]data!K215-[1]data!K177</f>
        <v>0</v>
      </c>
      <c r="L215" s="25">
        <f t="shared" si="164"/>
        <v>1.3673522907606181</v>
      </c>
      <c r="M215" s="25">
        <f t="shared" si="165"/>
        <v>1.1526121340562512</v>
      </c>
      <c r="N215" s="25">
        <f t="shared" si="166"/>
        <v>0.67873145985742667</v>
      </c>
      <c r="O215" s="25">
        <f t="shared" si="167"/>
        <v>0.57213793525164225</v>
      </c>
      <c r="P215" s="24">
        <f t="shared" si="168"/>
        <v>0.73871729909731676</v>
      </c>
      <c r="Q215" s="40">
        <f t="shared" si="150"/>
        <v>0.36668726430358933</v>
      </c>
      <c r="R215" s="40">
        <f t="shared" si="151"/>
        <v>0.41389483495893442</v>
      </c>
      <c r="S215" s="40">
        <f t="shared" si="152"/>
        <v>0.20545067094805297</v>
      </c>
      <c r="T215" s="40">
        <f t="shared" si="153"/>
        <v>0.21474015670436708</v>
      </c>
      <c r="U215" s="40">
        <f t="shared" si="154"/>
        <v>0.10659352460578443</v>
      </c>
      <c r="V215" s="25">
        <f t="shared" si="169"/>
        <v>0</v>
      </c>
      <c r="W215" s="25">
        <f t="shared" si="170"/>
        <v>0</v>
      </c>
      <c r="X215" s="40">
        <f t="shared" si="155"/>
        <v>0</v>
      </c>
      <c r="Y215" s="40">
        <f t="shared" si="156"/>
        <v>0</v>
      </c>
      <c r="Z215" s="40">
        <f t="shared" si="157"/>
        <v>0</v>
      </c>
      <c r="AA215" s="40">
        <f t="shared" si="158"/>
        <v>0</v>
      </c>
      <c r="AB215" s="40">
        <f t="shared" si="159"/>
        <v>0</v>
      </c>
      <c r="AC215" s="40">
        <f t="shared" si="160"/>
        <v>0</v>
      </c>
      <c r="AD215" s="26">
        <v>97.136073348400004</v>
      </c>
      <c r="AE215" s="8">
        <v>48.216768505140003</v>
      </c>
      <c r="AF215" s="61">
        <f t="shared" si="171"/>
        <v>0.55575232444005662</v>
      </c>
      <c r="AG215" s="61">
        <f t="shared" si="172"/>
        <v>0.55575232444005662</v>
      </c>
      <c r="AH215" s="74">
        <f t="shared" si="173"/>
        <v>1</v>
      </c>
      <c r="AI215" s="74">
        <f>D215/AG215</f>
        <v>1</v>
      </c>
      <c r="AJ215" s="74">
        <f t="shared" si="174"/>
        <v>1</v>
      </c>
      <c r="AK215" s="74">
        <f>$D215/(AF215)</f>
        <v>1</v>
      </c>
      <c r="AL215" s="74">
        <f t="shared" si="175"/>
        <v>0.35909290101116964</v>
      </c>
      <c r="AM215" s="74">
        <f t="shared" si="196"/>
        <v>0.35909290101116964</v>
      </c>
      <c r="AN215" s="74">
        <f t="shared" si="176"/>
        <v>0.64090709898883036</v>
      </c>
      <c r="AO215" s="74">
        <f t="shared" si="177"/>
        <v>0.64090709898883036</v>
      </c>
      <c r="AP215" s="74">
        <f t="shared" si="178"/>
        <v>0.18630738854766132</v>
      </c>
      <c r="AQ215" s="74">
        <f t="shared" si="179"/>
        <v>0.18630738854766132</v>
      </c>
      <c r="AR215" s="74">
        <f t="shared" si="180"/>
        <v>0.35909290101116964</v>
      </c>
      <c r="AS215" s="74">
        <f t="shared" si="181"/>
        <v>0.64090709898883036</v>
      </c>
      <c r="AT215" s="74">
        <f t="shared" si="182"/>
        <v>0</v>
      </c>
      <c r="AU215" s="74">
        <f t="shared" si="183"/>
        <v>0</v>
      </c>
      <c r="AV215" s="74">
        <f t="shared" si="184"/>
        <v>0</v>
      </c>
      <c r="AW215" s="74">
        <f t="shared" si="185"/>
        <v>0</v>
      </c>
      <c r="AX215" s="74">
        <f t="shared" si="186"/>
        <v>0</v>
      </c>
      <c r="AY215" s="74">
        <f t="shared" si="187"/>
        <v>0</v>
      </c>
      <c r="AZ215" s="74" t="e">
        <f t="shared" si="188"/>
        <v>#DIV/0!</v>
      </c>
      <c r="BA215" s="74" t="e">
        <f t="shared" si="189"/>
        <v>#DIV/0!</v>
      </c>
      <c r="BB215" s="74">
        <f t="shared" si="190"/>
        <v>1.3673522907606183E-2</v>
      </c>
      <c r="BC215" s="74">
        <f t="shared" si="191"/>
        <v>1.1526121340562513E-2</v>
      </c>
      <c r="BD215" s="74">
        <f t="shared" si="192"/>
        <v>5.7213793525164236E-3</v>
      </c>
      <c r="BE215" s="75">
        <f t="shared" si="193"/>
        <v>1.1526121340562513E-2</v>
      </c>
    </row>
    <row r="216" spans="1:57" x14ac:dyDescent="0.35">
      <c r="A216" s="9" t="s">
        <v>51</v>
      </c>
      <c r="B216" s="11" t="s">
        <v>70</v>
      </c>
      <c r="C216" s="47">
        <f t="shared" si="161"/>
        <v>0</v>
      </c>
      <c r="D216" s="23">
        <f t="shared" si="162"/>
        <v>0</v>
      </c>
      <c r="E216" s="50">
        <f>[1]data!E216-[1]data!E178</f>
        <v>0</v>
      </c>
      <c r="F216" s="36">
        <f>[1]data!F216-[1]data!F178</f>
        <v>0</v>
      </c>
      <c r="G216" s="36">
        <f>[1]data!G216-[1]data!G178</f>
        <v>0</v>
      </c>
      <c r="H216" s="25">
        <f t="shared" si="163"/>
        <v>0</v>
      </c>
      <c r="I216" s="36">
        <f>[1]data!I216-[1]data!I178</f>
        <v>0</v>
      </c>
      <c r="J216" s="36">
        <f>[1]data!J216-[1]data!J178</f>
        <v>0</v>
      </c>
      <c r="K216" s="36">
        <f>[1]data!K216-[1]data!K178</f>
        <v>0</v>
      </c>
      <c r="L216" s="25">
        <f t="shared" si="164"/>
        <v>0</v>
      </c>
      <c r="M216" s="25">
        <f t="shared" si="165"/>
        <v>0</v>
      </c>
      <c r="N216" s="25">
        <f t="shared" si="166"/>
        <v>0</v>
      </c>
      <c r="O216" s="25">
        <f t="shared" si="167"/>
        <v>0</v>
      </c>
      <c r="P216" s="24">
        <f t="shared" si="168"/>
        <v>0</v>
      </c>
      <c r="Q216" s="40">
        <f t="shared" si="150"/>
        <v>0</v>
      </c>
      <c r="R216" s="40">
        <f t="shared" si="151"/>
        <v>0</v>
      </c>
      <c r="S216" s="40">
        <f t="shared" si="152"/>
        <v>0</v>
      </c>
      <c r="T216" s="40">
        <f t="shared" si="153"/>
        <v>0</v>
      </c>
      <c r="U216" s="40">
        <f t="shared" si="154"/>
        <v>0</v>
      </c>
      <c r="V216" s="25">
        <f t="shared" si="169"/>
        <v>0</v>
      </c>
      <c r="W216" s="25">
        <f t="shared" si="170"/>
        <v>0</v>
      </c>
      <c r="X216" s="40">
        <f t="shared" si="155"/>
        <v>0</v>
      </c>
      <c r="Y216" s="40">
        <f t="shared" si="156"/>
        <v>0</v>
      </c>
      <c r="Z216" s="40">
        <f t="shared" si="157"/>
        <v>0</v>
      </c>
      <c r="AA216" s="40">
        <f t="shared" si="158"/>
        <v>0</v>
      </c>
      <c r="AB216" s="40">
        <f t="shared" si="159"/>
        <v>0</v>
      </c>
      <c r="AC216" s="40">
        <f t="shared" si="160"/>
        <v>0</v>
      </c>
      <c r="AD216" s="26">
        <v>66.343484468840003</v>
      </c>
      <c r="AE216" s="8">
        <v>66.557495896739994</v>
      </c>
      <c r="AF216" s="61">
        <f t="shared" si="171"/>
        <v>0</v>
      </c>
      <c r="AG216" s="61">
        <f t="shared" si="172"/>
        <v>0</v>
      </c>
      <c r="AH216" s="74">
        <v>0</v>
      </c>
      <c r="AI216" s="74">
        <v>0</v>
      </c>
      <c r="AJ216" s="74">
        <v>0</v>
      </c>
      <c r="AK216" s="74">
        <v>0</v>
      </c>
      <c r="AL216" s="74" t="e">
        <f t="shared" si="175"/>
        <v>#DIV/0!</v>
      </c>
      <c r="AM216" s="74" t="e">
        <f t="shared" si="196"/>
        <v>#DIV/0!</v>
      </c>
      <c r="AN216" s="74" t="e">
        <f t="shared" si="176"/>
        <v>#DIV/0!</v>
      </c>
      <c r="AO216" s="74" t="e">
        <f t="shared" si="177"/>
        <v>#DIV/0!</v>
      </c>
      <c r="AP216" s="74" t="e">
        <f t="shared" si="178"/>
        <v>#DIV/0!</v>
      </c>
      <c r="AQ216" s="74" t="e">
        <f t="shared" si="179"/>
        <v>#DIV/0!</v>
      </c>
      <c r="AR216" s="74" t="e">
        <f t="shared" si="180"/>
        <v>#DIV/0!</v>
      </c>
      <c r="AS216" s="74" t="e">
        <f t="shared" si="181"/>
        <v>#DIV/0!</v>
      </c>
      <c r="AT216" s="74" t="e">
        <f t="shared" si="182"/>
        <v>#DIV/0!</v>
      </c>
      <c r="AU216" s="74" t="e">
        <f t="shared" si="183"/>
        <v>#DIV/0!</v>
      </c>
      <c r="AV216" s="74" t="e">
        <f t="shared" si="184"/>
        <v>#DIV/0!</v>
      </c>
      <c r="AW216" s="74" t="e">
        <f t="shared" si="185"/>
        <v>#DIV/0!</v>
      </c>
      <c r="AX216" s="74" t="e">
        <f t="shared" si="186"/>
        <v>#DIV/0!</v>
      </c>
      <c r="AY216" s="74" t="e">
        <f t="shared" si="187"/>
        <v>#DIV/0!</v>
      </c>
      <c r="AZ216" s="74" t="e">
        <f t="shared" si="188"/>
        <v>#DIV/0!</v>
      </c>
      <c r="BA216" s="74" t="e">
        <f t="shared" si="189"/>
        <v>#DIV/0!</v>
      </c>
      <c r="BB216" s="74">
        <f t="shared" si="190"/>
        <v>0</v>
      </c>
      <c r="BC216" s="74">
        <f t="shared" si="191"/>
        <v>0</v>
      </c>
      <c r="BD216" s="74">
        <f t="shared" si="192"/>
        <v>0</v>
      </c>
      <c r="BE216" s="75">
        <f t="shared" si="193"/>
        <v>0</v>
      </c>
    </row>
    <row r="217" spans="1:57" x14ac:dyDescent="0.35">
      <c r="A217" s="9" t="s">
        <v>52</v>
      </c>
      <c r="B217" s="11" t="s">
        <v>70</v>
      </c>
      <c r="C217" s="47">
        <f t="shared" si="161"/>
        <v>52.727221902173859</v>
      </c>
      <c r="D217" s="23">
        <f t="shared" si="162"/>
        <v>52.727221902173859</v>
      </c>
      <c r="E217" s="50">
        <f>[1]data!E217-[1]data!E179</f>
        <v>12.143238983530951</v>
      </c>
      <c r="F217" s="36">
        <f>[1]data!F217-[1]data!F179</f>
        <v>40.58398291864291</v>
      </c>
      <c r="G217" s="36">
        <f>[1]data!G217-[1]data!G179</f>
        <v>0</v>
      </c>
      <c r="H217" s="25">
        <f t="shared" si="163"/>
        <v>0</v>
      </c>
      <c r="I217" s="36">
        <f>[1]data!I217-[1]data!I179</f>
        <v>0</v>
      </c>
      <c r="J217" s="36">
        <f>[1]data!J217-[1]data!J179</f>
        <v>0</v>
      </c>
      <c r="K217" s="36">
        <f>[1]data!K217-[1]data!K179</f>
        <v>0</v>
      </c>
      <c r="L217" s="25">
        <f t="shared" si="164"/>
        <v>6.2751794119408792</v>
      </c>
      <c r="M217" s="25">
        <f t="shared" si="165"/>
        <v>6.2751794119408792</v>
      </c>
      <c r="N217" s="25">
        <f t="shared" si="166"/>
        <v>5.6547549801443484</v>
      </c>
      <c r="O217" s="25">
        <f t="shared" si="167"/>
        <v>5.6547549801443484</v>
      </c>
      <c r="P217" s="24">
        <f t="shared" si="168"/>
        <v>1.4451928342651723</v>
      </c>
      <c r="Q217" s="40">
        <f t="shared" si="150"/>
        <v>1.3023072075483955</v>
      </c>
      <c r="R217" s="40">
        <f t="shared" si="151"/>
        <v>4.8299865776757072</v>
      </c>
      <c r="S217" s="40">
        <f t="shared" si="152"/>
        <v>4.3524477725959532</v>
      </c>
      <c r="T217" s="40">
        <f t="shared" si="153"/>
        <v>0</v>
      </c>
      <c r="U217" s="40">
        <f t="shared" si="154"/>
        <v>0</v>
      </c>
      <c r="V217" s="25">
        <f t="shared" si="169"/>
        <v>0</v>
      </c>
      <c r="W217" s="25">
        <f t="shared" si="170"/>
        <v>0</v>
      </c>
      <c r="X217" s="40">
        <f t="shared" si="155"/>
        <v>0</v>
      </c>
      <c r="Y217" s="40">
        <f t="shared" si="156"/>
        <v>0</v>
      </c>
      <c r="Z217" s="40">
        <f t="shared" si="157"/>
        <v>0</v>
      </c>
      <c r="AA217" s="40">
        <f t="shared" si="158"/>
        <v>0</v>
      </c>
      <c r="AB217" s="40">
        <f t="shared" si="159"/>
        <v>0</v>
      </c>
      <c r="AC217" s="40">
        <f t="shared" si="160"/>
        <v>0</v>
      </c>
      <c r="AD217" s="26">
        <v>932.44043441874999</v>
      </c>
      <c r="AE217" s="8">
        <v>840.25042856688003</v>
      </c>
      <c r="AF217" s="61">
        <f t="shared" si="171"/>
        <v>52.727221902173859</v>
      </c>
      <c r="AG217" s="61">
        <f t="shared" si="172"/>
        <v>52.727221902173859</v>
      </c>
      <c r="AH217" s="74">
        <f t="shared" si="173"/>
        <v>1</v>
      </c>
      <c r="AI217" s="74">
        <f>D217/AG217</f>
        <v>1</v>
      </c>
      <c r="AJ217" s="74">
        <f t="shared" si="174"/>
        <v>1</v>
      </c>
      <c r="AK217" s="74">
        <f>$D217/(AF217)</f>
        <v>1</v>
      </c>
      <c r="AL217" s="74">
        <f t="shared" si="175"/>
        <v>0.76969696969696966</v>
      </c>
      <c r="AM217" s="74">
        <f t="shared" si="196"/>
        <v>0.76969696969696966</v>
      </c>
      <c r="AN217" s="74">
        <f t="shared" si="176"/>
        <v>0.23030303030303034</v>
      </c>
      <c r="AO217" s="74">
        <f t="shared" si="177"/>
        <v>0.23030303030303034</v>
      </c>
      <c r="AP217" s="74">
        <f t="shared" si="178"/>
        <v>0</v>
      </c>
      <c r="AQ217" s="74">
        <f t="shared" si="179"/>
        <v>0</v>
      </c>
      <c r="AR217" s="74">
        <f t="shared" si="180"/>
        <v>0.76969696969696966</v>
      </c>
      <c r="AS217" s="74">
        <f t="shared" si="181"/>
        <v>0.23030303030303034</v>
      </c>
      <c r="AT217" s="74">
        <f t="shared" si="182"/>
        <v>0</v>
      </c>
      <c r="AU217" s="74">
        <f t="shared" si="183"/>
        <v>0</v>
      </c>
      <c r="AV217" s="74">
        <f t="shared" si="184"/>
        <v>0</v>
      </c>
      <c r="AW217" s="74">
        <f t="shared" si="185"/>
        <v>0</v>
      </c>
      <c r="AX217" s="74">
        <f t="shared" si="186"/>
        <v>0</v>
      </c>
      <c r="AY217" s="74">
        <f t="shared" si="187"/>
        <v>0</v>
      </c>
      <c r="AZ217" s="74" t="e">
        <f t="shared" si="188"/>
        <v>#DIV/0!</v>
      </c>
      <c r="BA217" s="74" t="e">
        <f t="shared" si="189"/>
        <v>#DIV/0!</v>
      </c>
      <c r="BB217" s="74">
        <f t="shared" si="190"/>
        <v>6.2751794119408788E-2</v>
      </c>
      <c r="BC217" s="74">
        <f t="shared" si="191"/>
        <v>6.2751794119408788E-2</v>
      </c>
      <c r="BD217" s="74">
        <f t="shared" si="192"/>
        <v>5.6547549801443484E-2</v>
      </c>
      <c r="BE217" s="75">
        <f t="shared" si="193"/>
        <v>6.2751794119408788E-2</v>
      </c>
    </row>
    <row r="218" spans="1:57" x14ac:dyDescent="0.35">
      <c r="A218" s="9" t="s">
        <v>53</v>
      </c>
      <c r="B218" s="11" t="s">
        <v>70</v>
      </c>
      <c r="C218" s="47">
        <f t="shared" si="161"/>
        <v>0</v>
      </c>
      <c r="D218" s="23">
        <v>0</v>
      </c>
      <c r="E218" s="50">
        <v>0.780026</v>
      </c>
      <c r="F218" s="50">
        <v>-0.78007000000000004</v>
      </c>
      <c r="G218" s="36">
        <f>[1]data!G218-[1]data!G180</f>
        <v>0</v>
      </c>
      <c r="H218" s="25">
        <f t="shared" si="163"/>
        <v>-2.3725783868301029</v>
      </c>
      <c r="I218" s="36">
        <f>[1]data!I218-[1]data!I180</f>
        <v>6.500214758438605E-2</v>
      </c>
      <c r="J218" s="36">
        <f>[1]data!J218-[1]data!J180</f>
        <v>-2.4375805344144887</v>
      </c>
      <c r="K218" s="36">
        <f>[1]data!K218-[1]data!K180</f>
        <v>0</v>
      </c>
      <c r="L218" s="25">
        <f t="shared" si="164"/>
        <v>-2.168138259700525E-5</v>
      </c>
      <c r="M218" s="25">
        <f t="shared" si="165"/>
        <v>-2.168138259700525E-5</v>
      </c>
      <c r="N218" s="25">
        <f t="shared" si="166"/>
        <v>-2.2683475220219851E-5</v>
      </c>
      <c r="O218" s="25">
        <f t="shared" si="167"/>
        <v>-2.2683475220219851E-5</v>
      </c>
      <c r="P218" s="24">
        <f t="shared" si="168"/>
        <v>0.38436459412685553</v>
      </c>
      <c r="Q218" s="40">
        <f t="shared" si="150"/>
        <v>0.40212955550206197</v>
      </c>
      <c r="R218" s="40">
        <f t="shared" si="151"/>
        <v>-0.38438627550945254</v>
      </c>
      <c r="S218" s="40">
        <f t="shared" si="152"/>
        <v>-0.40215223897728219</v>
      </c>
      <c r="T218" s="40">
        <f t="shared" si="153"/>
        <v>0</v>
      </c>
      <c r="U218" s="40">
        <f t="shared" si="154"/>
        <v>0</v>
      </c>
      <c r="V218" s="25">
        <f t="shared" si="169"/>
        <v>-1.1691086305944958</v>
      </c>
      <c r="W218" s="25">
        <f t="shared" si="170"/>
        <v>-1.2231437055813377</v>
      </c>
      <c r="X218" s="40">
        <f t="shared" si="155"/>
        <v>3.2030373440944927E-2</v>
      </c>
      <c r="Y218" s="40">
        <f t="shared" si="156"/>
        <v>3.3510786454283056E-2</v>
      </c>
      <c r="Z218" s="40">
        <f t="shared" si="157"/>
        <v>-1.2011390040354406</v>
      </c>
      <c r="AA218" s="40">
        <f t="shared" si="158"/>
        <v>-1.2566544920356206</v>
      </c>
      <c r="AB218" s="40">
        <f t="shared" si="159"/>
        <v>0</v>
      </c>
      <c r="AC218" s="40">
        <f t="shared" si="160"/>
        <v>0</v>
      </c>
      <c r="AD218" s="26">
        <v>193.97380504054999</v>
      </c>
      <c r="AE218" s="8">
        <v>202.93908750153</v>
      </c>
      <c r="AF218" s="61">
        <f t="shared" si="171"/>
        <v>-2.3725783868301029</v>
      </c>
      <c r="AG218" s="61">
        <f>(D218)+(H218*-1)</f>
        <v>2.3725783868301029</v>
      </c>
      <c r="AH218" s="74">
        <f t="shared" si="173"/>
        <v>0</v>
      </c>
      <c r="AI218" s="74">
        <f>D218/AG218</f>
        <v>0</v>
      </c>
      <c r="AJ218" s="74">
        <f t="shared" si="174"/>
        <v>0</v>
      </c>
      <c r="AK218" s="74">
        <f>$D218/(AF218)</f>
        <v>0</v>
      </c>
      <c r="AL218" s="74">
        <f t="shared" si="175"/>
        <v>-0.32878576502680573</v>
      </c>
      <c r="AM218" s="74">
        <f t="shared" si="196"/>
        <v>0.32878576502680573</v>
      </c>
      <c r="AN218" s="74">
        <f t="shared" si="176"/>
        <v>0.32876721980181156</v>
      </c>
      <c r="AO218" s="74">
        <f t="shared" si="177"/>
        <v>-0.32876721980181156</v>
      </c>
      <c r="AP218" s="74">
        <f t="shared" si="178"/>
        <v>0</v>
      </c>
      <c r="AQ218" s="74">
        <f t="shared" si="179"/>
        <v>0</v>
      </c>
      <c r="AR218" s="74" t="e">
        <f t="shared" si="180"/>
        <v>#DIV/0!</v>
      </c>
      <c r="AS218" s="74" t="e">
        <f t="shared" si="181"/>
        <v>#DIV/0!</v>
      </c>
      <c r="AT218" s="74">
        <f t="shared" si="182"/>
        <v>-1</v>
      </c>
      <c r="AU218" s="74">
        <f t="shared" si="183"/>
        <v>1</v>
      </c>
      <c r="AV218" s="74">
        <f t="shared" si="184"/>
        <v>2.7397260273972462E-2</v>
      </c>
      <c r="AW218" s="74">
        <f t="shared" si="185"/>
        <v>-2.7397260273972462E-2</v>
      </c>
      <c r="AX218" s="74">
        <f t="shared" si="186"/>
        <v>-1.0273972602739723</v>
      </c>
      <c r="AY218" s="74">
        <f t="shared" si="187"/>
        <v>1.0273972602739723</v>
      </c>
      <c r="AZ218" s="74">
        <f t="shared" si="188"/>
        <v>-2.7397260273972462E-2</v>
      </c>
      <c r="BA218" s="74">
        <f t="shared" si="189"/>
        <v>1.0273972602739723</v>
      </c>
      <c r="BB218" s="74">
        <f t="shared" si="190"/>
        <v>-1.1691086305944958E-2</v>
      </c>
      <c r="BC218" s="74">
        <f t="shared" si="191"/>
        <v>-1.1691086305944958E-2</v>
      </c>
      <c r="BD218" s="74">
        <f t="shared" si="192"/>
        <v>-1.2231437055813378E-2</v>
      </c>
      <c r="BE218" s="75">
        <f t="shared" si="193"/>
        <v>1.1691086305944958E-2</v>
      </c>
    </row>
    <row r="219" spans="1:57" x14ac:dyDescent="0.35">
      <c r="A219" s="9" t="s">
        <v>54</v>
      </c>
      <c r="B219" s="11" t="s">
        <v>70</v>
      </c>
      <c r="C219" s="47">
        <f t="shared" si="161"/>
        <v>10.503584387998931</v>
      </c>
      <c r="D219" s="23">
        <f t="shared" si="162"/>
        <v>10.503584387998931</v>
      </c>
      <c r="E219" s="50">
        <f>[1]data!E219-[1]data!E181</f>
        <v>1.4762368351181505</v>
      </c>
      <c r="F219" s="36">
        <f>[1]data!F219-[1]data!F181</f>
        <v>9.0273475528807801</v>
      </c>
      <c r="G219" s="36">
        <f>[1]data!G219-[1]data!G181</f>
        <v>0</v>
      </c>
      <c r="H219" s="25">
        <f t="shared" si="163"/>
        <v>0.83901230197362509</v>
      </c>
      <c r="I219" s="36">
        <f>[1]data!I219-[1]data!I181</f>
        <v>0.83901230197362509</v>
      </c>
      <c r="J219" s="36">
        <f>[1]data!J219-[1]data!J181</f>
        <v>0</v>
      </c>
      <c r="K219" s="36">
        <f>[1]data!K219-[1]data!K181</f>
        <v>0</v>
      </c>
      <c r="L219" s="25">
        <f t="shared" si="164"/>
        <v>2.5602928587666662</v>
      </c>
      <c r="M219" s="25">
        <f t="shared" si="165"/>
        <v>2.5602928587666662</v>
      </c>
      <c r="N219" s="25">
        <f t="shared" si="166"/>
        <v>3.1785288964799574</v>
      </c>
      <c r="O219" s="25">
        <f t="shared" si="167"/>
        <v>3.1785288964799574</v>
      </c>
      <c r="P219" s="24">
        <f t="shared" si="168"/>
        <v>0.35983893566083563</v>
      </c>
      <c r="Q219" s="40">
        <f t="shared" si="150"/>
        <v>0.44672954156796152</v>
      </c>
      <c r="R219" s="40">
        <f t="shared" si="151"/>
        <v>2.2004539231058304</v>
      </c>
      <c r="S219" s="40">
        <f t="shared" si="152"/>
        <v>2.7317993549119959</v>
      </c>
      <c r="T219" s="40">
        <f t="shared" si="153"/>
        <v>0</v>
      </c>
      <c r="U219" s="40">
        <f t="shared" si="154"/>
        <v>0</v>
      </c>
      <c r="V219" s="25">
        <f t="shared" si="169"/>
        <v>0.2045127763827771</v>
      </c>
      <c r="W219" s="25">
        <f t="shared" si="170"/>
        <v>0.25389664592711481</v>
      </c>
      <c r="X219" s="40">
        <f t="shared" si="155"/>
        <v>0.2045127763827771</v>
      </c>
      <c r="Y219" s="40">
        <f t="shared" si="156"/>
        <v>0.25389664592711481</v>
      </c>
      <c r="Z219" s="40">
        <f t="shared" si="157"/>
        <v>0</v>
      </c>
      <c r="AA219" s="40">
        <f t="shared" si="158"/>
        <v>0</v>
      </c>
      <c r="AB219" s="40">
        <f t="shared" si="159"/>
        <v>0</v>
      </c>
      <c r="AC219" s="40">
        <f t="shared" si="160"/>
        <v>0</v>
      </c>
      <c r="AD219" s="26">
        <v>330.45426768437</v>
      </c>
      <c r="AE219" s="8">
        <v>410.24933347112</v>
      </c>
      <c r="AF219" s="61">
        <f t="shared" si="171"/>
        <v>11.342596689972556</v>
      </c>
      <c r="AG219" s="61">
        <f>(D219)+(H219)</f>
        <v>11.342596689972556</v>
      </c>
      <c r="AH219" s="74">
        <f t="shared" si="173"/>
        <v>0.92602996254681647</v>
      </c>
      <c r="AI219" s="74">
        <f>D219/AG219</f>
        <v>0.92602996254681647</v>
      </c>
      <c r="AJ219" s="74">
        <f t="shared" si="174"/>
        <v>0.92602996254681647</v>
      </c>
      <c r="AK219" s="74">
        <f>$D219/(AF219)</f>
        <v>0.92602996254681647</v>
      </c>
      <c r="AL219" s="74">
        <f t="shared" si="175"/>
        <v>0.79588014981273414</v>
      </c>
      <c r="AM219" s="74">
        <f t="shared" si="196"/>
        <v>0.79588014981273414</v>
      </c>
      <c r="AN219" s="74">
        <f t="shared" si="176"/>
        <v>0.13014981273408235</v>
      </c>
      <c r="AO219" s="74">
        <f t="shared" si="177"/>
        <v>0.13014981273408235</v>
      </c>
      <c r="AP219" s="74">
        <f t="shared" si="178"/>
        <v>0</v>
      </c>
      <c r="AQ219" s="74">
        <f t="shared" si="179"/>
        <v>0</v>
      </c>
      <c r="AR219" s="74">
        <f t="shared" si="180"/>
        <v>0.85945399393326594</v>
      </c>
      <c r="AS219" s="74">
        <f t="shared" si="181"/>
        <v>0.14054600606673404</v>
      </c>
      <c r="AT219" s="74">
        <f t="shared" si="182"/>
        <v>7.3970037453183493E-2</v>
      </c>
      <c r="AU219" s="74">
        <f t="shared" si="183"/>
        <v>7.3970037453183493E-2</v>
      </c>
      <c r="AV219" s="74">
        <f t="shared" si="184"/>
        <v>7.3970037453183493E-2</v>
      </c>
      <c r="AW219" s="74">
        <f t="shared" si="185"/>
        <v>7.3970037453183493E-2</v>
      </c>
      <c r="AX219" s="74">
        <f t="shared" si="186"/>
        <v>0</v>
      </c>
      <c r="AY219" s="74">
        <f t="shared" si="187"/>
        <v>0</v>
      </c>
      <c r="AZ219" s="74">
        <f t="shared" si="188"/>
        <v>1</v>
      </c>
      <c r="BA219" s="74">
        <f t="shared" si="189"/>
        <v>0</v>
      </c>
      <c r="BB219" s="74">
        <f t="shared" si="190"/>
        <v>2.7648056351494431E-2</v>
      </c>
      <c r="BC219" s="74">
        <f t="shared" si="191"/>
        <v>2.7648056351494431E-2</v>
      </c>
      <c r="BD219" s="74">
        <f t="shared" si="192"/>
        <v>3.4324255424070721E-2</v>
      </c>
      <c r="BE219" s="75">
        <f t="shared" si="193"/>
        <v>2.7648056351494431E-2</v>
      </c>
    </row>
    <row r="220" spans="1:57" x14ac:dyDescent="0.35">
      <c r="A220" s="9" t="s">
        <v>55</v>
      </c>
      <c r="B220" s="11" t="s">
        <v>70</v>
      </c>
      <c r="C220" s="47">
        <f t="shared" si="161"/>
        <v>0.45651274374176509</v>
      </c>
      <c r="D220" s="23">
        <f t="shared" si="162"/>
        <v>0.45651274374176509</v>
      </c>
      <c r="E220" s="50">
        <f>[1]data!E220-[1]data!E182</f>
        <v>0</v>
      </c>
      <c r="F220" s="36">
        <f>[1]data!F220-[1]data!F182</f>
        <v>0.45651274374176509</v>
      </c>
      <c r="G220" s="36">
        <f>[1]data!G220-[1]data!G182</f>
        <v>0</v>
      </c>
      <c r="H220" s="25">
        <f t="shared" si="163"/>
        <v>0</v>
      </c>
      <c r="I220" s="36">
        <f>[1]data!I220-[1]data!I182</f>
        <v>0</v>
      </c>
      <c r="J220" s="36">
        <f>[1]data!J220-[1]data!J182</f>
        <v>0</v>
      </c>
      <c r="K220" s="36">
        <f>[1]data!K220-[1]data!K182</f>
        <v>0</v>
      </c>
      <c r="L220" s="25">
        <f t="shared" si="164"/>
        <v>0.20530124788873211</v>
      </c>
      <c r="M220" s="25">
        <f t="shared" si="165"/>
        <v>0.20530124788873211</v>
      </c>
      <c r="N220" s="25">
        <f t="shared" si="166"/>
        <v>0.13378998732291728</v>
      </c>
      <c r="O220" s="25">
        <f t="shared" si="167"/>
        <v>0.13378998732291728</v>
      </c>
      <c r="P220" s="24">
        <f t="shared" si="168"/>
        <v>0</v>
      </c>
      <c r="Q220" s="40">
        <f t="shared" si="150"/>
        <v>0</v>
      </c>
      <c r="R220" s="40">
        <f t="shared" si="151"/>
        <v>0.20530124788873211</v>
      </c>
      <c r="S220" s="40">
        <f t="shared" si="152"/>
        <v>0.13378998732291728</v>
      </c>
      <c r="T220" s="40">
        <f t="shared" si="153"/>
        <v>0</v>
      </c>
      <c r="U220" s="40">
        <f t="shared" si="154"/>
        <v>0</v>
      </c>
      <c r="V220" s="25">
        <f t="shared" si="169"/>
        <v>0</v>
      </c>
      <c r="W220" s="25">
        <f t="shared" si="170"/>
        <v>0</v>
      </c>
      <c r="X220" s="40">
        <f t="shared" si="155"/>
        <v>0</v>
      </c>
      <c r="Y220" s="40">
        <f t="shared" si="156"/>
        <v>0</v>
      </c>
      <c r="Z220" s="40">
        <f t="shared" si="157"/>
        <v>0</v>
      </c>
      <c r="AA220" s="40">
        <f t="shared" si="158"/>
        <v>0</v>
      </c>
      <c r="AB220" s="40">
        <f t="shared" si="159"/>
        <v>0</v>
      </c>
      <c r="AC220" s="40">
        <f t="shared" si="160"/>
        <v>0</v>
      </c>
      <c r="AD220" s="26">
        <v>341.21592570296002</v>
      </c>
      <c r="AE220" s="8">
        <v>222.36238134761999</v>
      </c>
      <c r="AF220" s="61">
        <f t="shared" si="171"/>
        <v>0.45651274374176509</v>
      </c>
      <c r="AG220" s="61">
        <f t="shared" si="172"/>
        <v>0.45651274374176509</v>
      </c>
      <c r="AH220" s="74">
        <f t="shared" si="173"/>
        <v>1</v>
      </c>
      <c r="AI220" s="74">
        <f>D220/AG220</f>
        <v>1</v>
      </c>
      <c r="AJ220" s="74">
        <f t="shared" si="174"/>
        <v>1</v>
      </c>
      <c r="AK220" s="74">
        <f>$D220/(AF220)</f>
        <v>1</v>
      </c>
      <c r="AL220" s="74">
        <f t="shared" si="175"/>
        <v>1</v>
      </c>
      <c r="AM220" s="74">
        <f t="shared" si="196"/>
        <v>1</v>
      </c>
      <c r="AN220" s="74">
        <f t="shared" si="176"/>
        <v>0</v>
      </c>
      <c r="AO220" s="74">
        <f t="shared" si="177"/>
        <v>0</v>
      </c>
      <c r="AP220" s="74">
        <f t="shared" si="178"/>
        <v>0</v>
      </c>
      <c r="AQ220" s="74">
        <f t="shared" si="179"/>
        <v>0</v>
      </c>
      <c r="AR220" s="74">
        <f t="shared" si="180"/>
        <v>1</v>
      </c>
      <c r="AS220" s="74">
        <f t="shared" si="181"/>
        <v>0</v>
      </c>
      <c r="AT220" s="74">
        <f t="shared" si="182"/>
        <v>0</v>
      </c>
      <c r="AU220" s="74">
        <f t="shared" si="183"/>
        <v>0</v>
      </c>
      <c r="AV220" s="74">
        <f t="shared" si="184"/>
        <v>0</v>
      </c>
      <c r="AW220" s="74">
        <f t="shared" si="185"/>
        <v>0</v>
      </c>
      <c r="AX220" s="74">
        <f t="shared" si="186"/>
        <v>0</v>
      </c>
      <c r="AY220" s="74">
        <f t="shared" si="187"/>
        <v>0</v>
      </c>
      <c r="AZ220" s="74" t="e">
        <f t="shared" si="188"/>
        <v>#DIV/0!</v>
      </c>
      <c r="BA220" s="74" t="e">
        <f t="shared" si="189"/>
        <v>#DIV/0!</v>
      </c>
      <c r="BB220" s="74">
        <f t="shared" si="190"/>
        <v>2.0530124788873212E-3</v>
      </c>
      <c r="BC220" s="74">
        <f t="shared" si="191"/>
        <v>2.0530124788873212E-3</v>
      </c>
      <c r="BD220" s="74">
        <f t="shared" si="192"/>
        <v>1.3378998732291728E-3</v>
      </c>
      <c r="BE220" s="75">
        <f t="shared" si="193"/>
        <v>2.0530124788873212E-3</v>
      </c>
    </row>
    <row r="221" spans="1:57" x14ac:dyDescent="0.35">
      <c r="A221" s="9" t="s">
        <v>56</v>
      </c>
      <c r="B221" s="11" t="s">
        <v>70</v>
      </c>
      <c r="C221" s="47">
        <f t="shared" si="161"/>
        <v>0</v>
      </c>
      <c r="D221" s="23">
        <f t="shared" si="162"/>
        <v>0</v>
      </c>
      <c r="E221" s="50">
        <f>[1]data!E221-[1]data!E183</f>
        <v>0</v>
      </c>
      <c r="F221" s="36">
        <f>[1]data!F221-[1]data!F183</f>
        <v>0</v>
      </c>
      <c r="G221" s="36">
        <f>[1]data!G221-[1]data!G183</f>
        <v>0</v>
      </c>
      <c r="H221" s="25">
        <f t="shared" si="163"/>
        <v>0</v>
      </c>
      <c r="I221" s="36">
        <f>[1]data!I221-[1]data!I183</f>
        <v>0</v>
      </c>
      <c r="J221" s="36">
        <f>[1]data!J221-[1]data!J183</f>
        <v>0</v>
      </c>
      <c r="K221" s="36">
        <f>[1]data!K221-[1]data!K183</f>
        <v>0</v>
      </c>
      <c r="L221" s="25">
        <f t="shared" si="164"/>
        <v>0</v>
      </c>
      <c r="M221" s="25">
        <f t="shared" si="165"/>
        <v>0</v>
      </c>
      <c r="N221" s="25">
        <f t="shared" si="166"/>
        <v>0</v>
      </c>
      <c r="O221" s="25">
        <f t="shared" si="167"/>
        <v>0</v>
      </c>
      <c r="P221" s="24">
        <f t="shared" si="168"/>
        <v>0</v>
      </c>
      <c r="Q221" s="40">
        <f t="shared" si="150"/>
        <v>0</v>
      </c>
      <c r="R221" s="40">
        <f t="shared" si="151"/>
        <v>0</v>
      </c>
      <c r="S221" s="40">
        <f t="shared" si="152"/>
        <v>0</v>
      </c>
      <c r="T221" s="40">
        <f t="shared" si="153"/>
        <v>0</v>
      </c>
      <c r="U221" s="40">
        <f t="shared" si="154"/>
        <v>0</v>
      </c>
      <c r="V221" s="25">
        <f t="shared" si="169"/>
        <v>0</v>
      </c>
      <c r="W221" s="25">
        <f t="shared" si="170"/>
        <v>0</v>
      </c>
      <c r="X221" s="40">
        <f t="shared" si="155"/>
        <v>0</v>
      </c>
      <c r="Y221" s="40">
        <f t="shared" si="156"/>
        <v>0</v>
      </c>
      <c r="Z221" s="40">
        <f t="shared" si="157"/>
        <v>0</v>
      </c>
      <c r="AA221" s="40">
        <f t="shared" si="158"/>
        <v>0</v>
      </c>
      <c r="AB221" s="40">
        <f t="shared" si="159"/>
        <v>0</v>
      </c>
      <c r="AC221" s="40">
        <f t="shared" si="160"/>
        <v>0</v>
      </c>
      <c r="AD221" s="26">
        <v>181.71174374815001</v>
      </c>
      <c r="AE221" s="8">
        <v>99.489061173690004</v>
      </c>
      <c r="AF221" s="61">
        <f t="shared" si="171"/>
        <v>0</v>
      </c>
      <c r="AG221" s="61">
        <f t="shared" si="172"/>
        <v>0</v>
      </c>
      <c r="AH221" s="74">
        <v>0</v>
      </c>
      <c r="AI221" s="74">
        <v>0</v>
      </c>
      <c r="AJ221" s="74">
        <v>0</v>
      </c>
      <c r="AK221" s="74">
        <v>0</v>
      </c>
      <c r="AL221" s="74" t="e">
        <f t="shared" si="175"/>
        <v>#DIV/0!</v>
      </c>
      <c r="AM221" s="74" t="e">
        <f t="shared" si="196"/>
        <v>#DIV/0!</v>
      </c>
      <c r="AN221" s="74" t="e">
        <f t="shared" si="176"/>
        <v>#DIV/0!</v>
      </c>
      <c r="AO221" s="74" t="e">
        <f t="shared" si="177"/>
        <v>#DIV/0!</v>
      </c>
      <c r="AP221" s="74" t="e">
        <f t="shared" si="178"/>
        <v>#DIV/0!</v>
      </c>
      <c r="AQ221" s="74" t="e">
        <f t="shared" si="179"/>
        <v>#DIV/0!</v>
      </c>
      <c r="AR221" s="74" t="e">
        <f t="shared" si="180"/>
        <v>#DIV/0!</v>
      </c>
      <c r="AS221" s="74" t="e">
        <f t="shared" si="181"/>
        <v>#DIV/0!</v>
      </c>
      <c r="AT221" s="74" t="e">
        <f t="shared" si="182"/>
        <v>#DIV/0!</v>
      </c>
      <c r="AU221" s="74" t="e">
        <f t="shared" si="183"/>
        <v>#DIV/0!</v>
      </c>
      <c r="AV221" s="74">
        <v>0</v>
      </c>
      <c r="AW221" s="74" t="e">
        <f t="shared" si="185"/>
        <v>#DIV/0!</v>
      </c>
      <c r="AX221" s="74" t="e">
        <f t="shared" si="186"/>
        <v>#DIV/0!</v>
      </c>
      <c r="AY221" s="74" t="e">
        <f t="shared" si="187"/>
        <v>#DIV/0!</v>
      </c>
      <c r="AZ221" s="74" t="e">
        <f t="shared" si="188"/>
        <v>#DIV/0!</v>
      </c>
      <c r="BA221" s="74" t="e">
        <f t="shared" si="189"/>
        <v>#DIV/0!</v>
      </c>
      <c r="BB221" s="74">
        <f t="shared" si="190"/>
        <v>0</v>
      </c>
      <c r="BC221" s="74">
        <f t="shared" si="191"/>
        <v>0</v>
      </c>
      <c r="BD221" s="74">
        <f t="shared" si="192"/>
        <v>0</v>
      </c>
      <c r="BE221" s="75">
        <f t="shared" si="193"/>
        <v>0</v>
      </c>
    </row>
    <row r="222" spans="1:57" x14ac:dyDescent="0.35">
      <c r="A222" s="9" t="s">
        <v>57</v>
      </c>
      <c r="B222" s="11" t="s">
        <v>70</v>
      </c>
      <c r="C222" s="47">
        <f t="shared" si="161"/>
        <v>0.72970577116271818</v>
      </c>
      <c r="D222" s="23">
        <f t="shared" si="162"/>
        <v>0.35570577116271818</v>
      </c>
      <c r="E222" s="50">
        <f>[1]data!E222-[1]data!E184</f>
        <v>-4.451274374176506E-2</v>
      </c>
      <c r="F222" s="36">
        <f>[1]data!F222-[1]data!F184</f>
        <v>0.40021851490448324</v>
      </c>
      <c r="G222" s="36">
        <f>[1]data!G222-[1]data!G184</f>
        <v>0.374</v>
      </c>
      <c r="H222" s="25">
        <f t="shared" si="163"/>
        <v>0</v>
      </c>
      <c r="I222" s="36">
        <f>[1]data!I222-[1]data!I184</f>
        <v>0</v>
      </c>
      <c r="J222" s="36">
        <f>[1]data!J222-[1]data!J184</f>
        <v>0</v>
      </c>
      <c r="K222" s="36">
        <f>[1]data!K222-[1]data!K184</f>
        <v>0</v>
      </c>
      <c r="L222" s="25">
        <f t="shared" si="164"/>
        <v>1.4473126532241418</v>
      </c>
      <c r="M222" s="25">
        <f t="shared" si="165"/>
        <v>0.70551376153752954</v>
      </c>
      <c r="N222" s="25">
        <f t="shared" si="166"/>
        <v>0.95966734360273553</v>
      </c>
      <c r="O222" s="25">
        <f t="shared" si="167"/>
        <v>0.4678039094743135</v>
      </c>
      <c r="P222" s="24">
        <f t="shared" si="168"/>
        <v>-8.8287443779602959E-2</v>
      </c>
      <c r="Q222" s="40">
        <f t="shared" si="150"/>
        <v>-5.8540617645195157E-2</v>
      </c>
      <c r="R222" s="40">
        <f t="shared" si="151"/>
        <v>0.7938012053171325</v>
      </c>
      <c r="S222" s="40">
        <f t="shared" si="152"/>
        <v>0.52634452711950863</v>
      </c>
      <c r="T222" s="40">
        <f t="shared" si="153"/>
        <v>0.74179889168661228</v>
      </c>
      <c r="U222" s="40">
        <f t="shared" si="154"/>
        <v>0.49186343412842204</v>
      </c>
      <c r="V222" s="25">
        <f t="shared" si="169"/>
        <v>0</v>
      </c>
      <c r="W222" s="25">
        <f t="shared" si="170"/>
        <v>0</v>
      </c>
      <c r="X222" s="40">
        <f t="shared" si="155"/>
        <v>0</v>
      </c>
      <c r="Y222" s="40">
        <f t="shared" si="156"/>
        <v>0</v>
      </c>
      <c r="Z222" s="40">
        <f t="shared" si="157"/>
        <v>0</v>
      </c>
      <c r="AA222" s="40">
        <f t="shared" si="158"/>
        <v>0</v>
      </c>
      <c r="AB222" s="40">
        <f t="shared" si="159"/>
        <v>0</v>
      </c>
      <c r="AC222" s="40">
        <f t="shared" si="160"/>
        <v>0</v>
      </c>
      <c r="AD222" s="26">
        <v>76.037366075549997</v>
      </c>
      <c r="AE222" s="8">
        <v>50.417977728389999</v>
      </c>
      <c r="AF222" s="61">
        <f t="shared" si="171"/>
        <v>0.35570577116271818</v>
      </c>
      <c r="AG222" s="61">
        <f t="shared" si="172"/>
        <v>0.35570577116271818</v>
      </c>
      <c r="AH222" s="74">
        <f t="shared" si="173"/>
        <v>1</v>
      </c>
      <c r="AI222" s="74">
        <f>D222/AG222</f>
        <v>1</v>
      </c>
      <c r="AJ222" s="74">
        <f t="shared" si="174"/>
        <v>1</v>
      </c>
      <c r="AK222" s="74">
        <f>$D222/(AF222)</f>
        <v>1</v>
      </c>
      <c r="AL222" s="74">
        <f t="shared" si="175"/>
        <v>1.1251392227802868</v>
      </c>
      <c r="AM222" s="74">
        <f t="shared" si="196"/>
        <v>1.1251392227802868</v>
      </c>
      <c r="AN222" s="74">
        <f t="shared" si="176"/>
        <v>-0.12513922278028666</v>
      </c>
      <c r="AO222" s="74">
        <f t="shared" si="177"/>
        <v>-0.12513922278028666</v>
      </c>
      <c r="AP222" s="74">
        <f t="shared" si="178"/>
        <v>1.0514307900529201</v>
      </c>
      <c r="AQ222" s="74">
        <f t="shared" si="179"/>
        <v>1.0514307900529201</v>
      </c>
      <c r="AR222" s="74">
        <f t="shared" si="180"/>
        <v>1.1251392227802868</v>
      </c>
      <c r="AS222" s="74">
        <f t="shared" si="181"/>
        <v>-0.12513922278028666</v>
      </c>
      <c r="AT222" s="74">
        <f t="shared" si="182"/>
        <v>0</v>
      </c>
      <c r="AU222" s="74">
        <f t="shared" si="183"/>
        <v>0</v>
      </c>
      <c r="AV222" s="74">
        <f t="shared" si="184"/>
        <v>0</v>
      </c>
      <c r="AW222" s="74">
        <f t="shared" si="185"/>
        <v>0</v>
      </c>
      <c r="AX222" s="74">
        <f t="shared" si="186"/>
        <v>0</v>
      </c>
      <c r="AY222" s="74">
        <f t="shared" si="187"/>
        <v>0</v>
      </c>
      <c r="AZ222" s="74" t="e">
        <f t="shared" si="188"/>
        <v>#DIV/0!</v>
      </c>
      <c r="BA222" s="74" t="e">
        <f t="shared" si="189"/>
        <v>#DIV/0!</v>
      </c>
      <c r="BB222" s="74">
        <f t="shared" si="190"/>
        <v>1.4473126532241417E-2</v>
      </c>
      <c r="BC222" s="74">
        <f t="shared" si="191"/>
        <v>7.0551376153752954E-3</v>
      </c>
      <c r="BD222" s="74">
        <f t="shared" si="192"/>
        <v>4.6780390947431336E-3</v>
      </c>
      <c r="BE222" s="75">
        <f t="shared" si="193"/>
        <v>7.0551376153752954E-3</v>
      </c>
    </row>
    <row r="223" spans="1:57" x14ac:dyDescent="0.35">
      <c r="A223" s="9" t="s">
        <v>58</v>
      </c>
      <c r="B223" s="11" t="s">
        <v>70</v>
      </c>
      <c r="C223" s="47">
        <f t="shared" si="161"/>
        <v>0</v>
      </c>
      <c r="D223" s="23">
        <f t="shared" si="162"/>
        <v>0</v>
      </c>
      <c r="E223" s="50">
        <f>[1]data!E223-[1]data!E185</f>
        <v>0</v>
      </c>
      <c r="F223" s="36">
        <f>[1]data!F223-[1]data!F185</f>
        <v>0</v>
      </c>
      <c r="G223" s="36">
        <f>[1]data!G223-[1]data!G185</f>
        <v>0</v>
      </c>
      <c r="H223" s="25">
        <f t="shared" si="163"/>
        <v>0</v>
      </c>
      <c r="I223" s="36">
        <f>[1]data!I223-[1]data!I185</f>
        <v>0</v>
      </c>
      <c r="J223" s="36">
        <f>[1]data!J223-[1]data!J185</f>
        <v>0</v>
      </c>
      <c r="K223" s="36">
        <f>[1]data!K223-[1]data!K185</f>
        <v>0</v>
      </c>
      <c r="L223" s="25">
        <f t="shared" si="164"/>
        <v>0</v>
      </c>
      <c r="M223" s="25">
        <f t="shared" si="165"/>
        <v>0</v>
      </c>
      <c r="N223" s="25">
        <f t="shared" si="166"/>
        <v>0</v>
      </c>
      <c r="O223" s="25">
        <f t="shared" si="167"/>
        <v>0</v>
      </c>
      <c r="P223" s="24">
        <f t="shared" si="168"/>
        <v>0</v>
      </c>
      <c r="Q223" s="40">
        <f t="shared" si="150"/>
        <v>0</v>
      </c>
      <c r="R223" s="40">
        <f t="shared" si="151"/>
        <v>0</v>
      </c>
      <c r="S223" s="40">
        <f t="shared" si="152"/>
        <v>0</v>
      </c>
      <c r="T223" s="40">
        <f t="shared" si="153"/>
        <v>0</v>
      </c>
      <c r="U223" s="40">
        <f t="shared" si="154"/>
        <v>0</v>
      </c>
      <c r="V223" s="25">
        <f t="shared" si="169"/>
        <v>0</v>
      </c>
      <c r="W223" s="25">
        <f t="shared" si="170"/>
        <v>0</v>
      </c>
      <c r="X223" s="40">
        <f t="shared" si="155"/>
        <v>0</v>
      </c>
      <c r="Y223" s="40">
        <f t="shared" si="156"/>
        <v>0</v>
      </c>
      <c r="Z223" s="40">
        <f t="shared" si="157"/>
        <v>0</v>
      </c>
      <c r="AA223" s="40">
        <f t="shared" si="158"/>
        <v>0</v>
      </c>
      <c r="AB223" s="40">
        <f t="shared" si="159"/>
        <v>0</v>
      </c>
      <c r="AC223" s="40">
        <f t="shared" si="160"/>
        <v>0</v>
      </c>
      <c r="AD223" s="26">
        <v>521.00449074291998</v>
      </c>
      <c r="AE223" s="8">
        <v>549.82128194673999</v>
      </c>
      <c r="AF223" s="61">
        <f t="shared" si="171"/>
        <v>0</v>
      </c>
      <c r="AG223" s="61">
        <f t="shared" si="172"/>
        <v>0</v>
      </c>
      <c r="AH223" s="74">
        <v>0</v>
      </c>
      <c r="AI223" s="74">
        <v>0</v>
      </c>
      <c r="AJ223" s="74">
        <v>0</v>
      </c>
      <c r="AK223" s="74">
        <v>0</v>
      </c>
      <c r="AL223" s="74" t="e">
        <f t="shared" si="175"/>
        <v>#DIV/0!</v>
      </c>
      <c r="AM223" s="74" t="e">
        <f t="shared" si="196"/>
        <v>#DIV/0!</v>
      </c>
      <c r="AN223" s="74" t="e">
        <f t="shared" si="176"/>
        <v>#DIV/0!</v>
      </c>
      <c r="AO223" s="74" t="e">
        <f t="shared" si="177"/>
        <v>#DIV/0!</v>
      </c>
      <c r="AP223" s="74" t="e">
        <f t="shared" si="178"/>
        <v>#DIV/0!</v>
      </c>
      <c r="AQ223" s="74" t="e">
        <f t="shared" si="179"/>
        <v>#DIV/0!</v>
      </c>
      <c r="AR223" s="74" t="e">
        <f t="shared" si="180"/>
        <v>#DIV/0!</v>
      </c>
      <c r="AS223" s="74" t="e">
        <f t="shared" si="181"/>
        <v>#DIV/0!</v>
      </c>
      <c r="AT223" s="74" t="e">
        <f t="shared" si="182"/>
        <v>#DIV/0!</v>
      </c>
      <c r="AU223" s="74" t="e">
        <f t="shared" si="183"/>
        <v>#DIV/0!</v>
      </c>
      <c r="AV223" s="74">
        <v>0</v>
      </c>
      <c r="AW223" s="74" t="e">
        <f t="shared" si="185"/>
        <v>#DIV/0!</v>
      </c>
      <c r="AX223" s="74" t="e">
        <f t="shared" si="186"/>
        <v>#DIV/0!</v>
      </c>
      <c r="AY223" s="74" t="e">
        <f t="shared" si="187"/>
        <v>#DIV/0!</v>
      </c>
      <c r="AZ223" s="74" t="e">
        <f t="shared" si="188"/>
        <v>#DIV/0!</v>
      </c>
      <c r="BA223" s="74" t="e">
        <f t="shared" si="189"/>
        <v>#DIV/0!</v>
      </c>
      <c r="BB223" s="74">
        <f t="shared" si="190"/>
        <v>0</v>
      </c>
      <c r="BC223" s="74">
        <f t="shared" si="191"/>
        <v>0</v>
      </c>
      <c r="BD223" s="74">
        <f t="shared" si="192"/>
        <v>0</v>
      </c>
      <c r="BE223" s="75">
        <f t="shared" si="193"/>
        <v>0</v>
      </c>
    </row>
    <row r="224" spans="1:57" s="71" customFormat="1" x14ac:dyDescent="0.35">
      <c r="A224" s="64" t="s">
        <v>59</v>
      </c>
      <c r="B224" s="65" t="s">
        <v>70</v>
      </c>
      <c r="C224" s="66">
        <f t="shared" si="161"/>
        <v>3.8322799069066686</v>
      </c>
      <c r="D224" s="67">
        <f t="shared" si="162"/>
        <v>3.8322799069066686</v>
      </c>
      <c r="E224" s="36">
        <f>[1]data!E224-[1]data!E186</f>
        <v>2.2988468883408597</v>
      </c>
      <c r="F224" s="36">
        <f>[1]data!F224-[1]data!F186</f>
        <v>1.5334330185658089</v>
      </c>
      <c r="G224" s="36">
        <f>[1]data!G224-[1]data!G186</f>
        <v>0</v>
      </c>
      <c r="H224" s="68">
        <f t="shared" si="163"/>
        <v>2.6534631329331315E-3</v>
      </c>
      <c r="I224" s="36">
        <f>[1]data!I224-[1]data!I186</f>
        <v>6.0615948210829274E-5</v>
      </c>
      <c r="J224" s="36">
        <f>[1]data!J224-[1]data!J186</f>
        <v>2.5928471847223022E-3</v>
      </c>
      <c r="K224" s="36">
        <f>[1]data!K224-[1]data!K186</f>
        <v>0</v>
      </c>
      <c r="L224" s="25">
        <f t="shared" si="164"/>
        <v>0.51294735991859142</v>
      </c>
      <c r="M224" s="68">
        <f t="shared" si="165"/>
        <v>0.51294735991859142</v>
      </c>
      <c r="N224" s="25">
        <f t="shared" si="166"/>
        <v>0.64864381941725113</v>
      </c>
      <c r="O224" s="25">
        <f t="shared" si="167"/>
        <v>0.64864381941725113</v>
      </c>
      <c r="P224" s="24">
        <f t="shared" si="168"/>
        <v>0.30769867308135301</v>
      </c>
      <c r="Q224" s="69">
        <f t="shared" si="150"/>
        <v>0.38909809881619206</v>
      </c>
      <c r="R224" s="69">
        <f t="shared" si="151"/>
        <v>0.20524868683723846</v>
      </c>
      <c r="S224" s="69">
        <f t="shared" si="152"/>
        <v>0.25954572060105907</v>
      </c>
      <c r="T224" s="69">
        <f t="shared" si="153"/>
        <v>0</v>
      </c>
      <c r="U224" s="69">
        <f t="shared" si="154"/>
        <v>0</v>
      </c>
      <c r="V224" s="68">
        <f t="shared" si="169"/>
        <v>3.5516375153765934E-4</v>
      </c>
      <c r="W224" s="68">
        <f t="shared" si="170"/>
        <v>4.4911971542754234E-4</v>
      </c>
      <c r="X224" s="69">
        <f t="shared" si="155"/>
        <v>8.1133923823441052E-6</v>
      </c>
      <c r="Y224" s="69">
        <f t="shared" si="156"/>
        <v>1.0259730792161092E-5</v>
      </c>
      <c r="Z224" s="69">
        <f t="shared" si="157"/>
        <v>3.4705035915531525E-4</v>
      </c>
      <c r="AA224" s="69">
        <f t="shared" si="158"/>
        <v>4.3885998463538125E-4</v>
      </c>
      <c r="AB224" s="69">
        <f t="shared" si="159"/>
        <v>0</v>
      </c>
      <c r="AC224" s="69">
        <f t="shared" si="160"/>
        <v>0</v>
      </c>
      <c r="AD224" s="70">
        <v>590.81421763174001</v>
      </c>
      <c r="AE224" s="71">
        <v>747.10978286638999</v>
      </c>
      <c r="AF224" s="71">
        <f t="shared" si="171"/>
        <v>3.834933370039602</v>
      </c>
      <c r="AG224" s="71">
        <f t="shared" si="172"/>
        <v>3.834933370039602</v>
      </c>
      <c r="AH224" s="74">
        <f t="shared" si="173"/>
        <v>0.99930808103377666</v>
      </c>
      <c r="AI224" s="74">
        <f t="shared" ref="AI224:AI229" si="197">D224/AG224</f>
        <v>0.99930808103377666</v>
      </c>
      <c r="AJ224" s="74">
        <f t="shared" si="174"/>
        <v>0.99930808103377666</v>
      </c>
      <c r="AK224" s="74">
        <f t="shared" ref="AK224:AK229" si="198">$D224/(AF224)</f>
        <v>0.99930808103377666</v>
      </c>
      <c r="AL224" s="74">
        <f t="shared" si="175"/>
        <v>0.39985910330170188</v>
      </c>
      <c r="AM224" s="74">
        <f t="shared" si="196"/>
        <v>0.39985910330170188</v>
      </c>
      <c r="AN224" s="74">
        <f t="shared" si="176"/>
        <v>0.59944897773207473</v>
      </c>
      <c r="AO224" s="74">
        <f t="shared" si="177"/>
        <v>0.59944897773207473</v>
      </c>
      <c r="AP224" s="74">
        <f t="shared" si="178"/>
        <v>0</v>
      </c>
      <c r="AQ224" s="74">
        <f t="shared" si="179"/>
        <v>0</v>
      </c>
      <c r="AR224" s="74">
        <f t="shared" si="180"/>
        <v>0.4001359649649292</v>
      </c>
      <c r="AS224" s="74">
        <f t="shared" si="181"/>
        <v>0.5998640350350708</v>
      </c>
      <c r="AT224" s="74">
        <f t="shared" si="182"/>
        <v>6.9191896622332457E-4</v>
      </c>
      <c r="AU224" s="74">
        <f t="shared" si="183"/>
        <v>6.9191896622332457E-4</v>
      </c>
      <c r="AV224" s="74">
        <f t="shared" si="184"/>
        <v>1.5806258508789506E-5</v>
      </c>
      <c r="AW224" s="74">
        <f t="shared" si="185"/>
        <v>1.5806258508789506E-5</v>
      </c>
      <c r="AX224" s="74">
        <f t="shared" si="186"/>
        <v>6.7611270771453507E-4</v>
      </c>
      <c r="AY224" s="74">
        <f t="shared" si="187"/>
        <v>6.7611270771453507E-4</v>
      </c>
      <c r="AZ224" s="74">
        <f t="shared" si="188"/>
        <v>2.2844089091912333E-2</v>
      </c>
      <c r="BA224" s="74">
        <f t="shared" si="189"/>
        <v>0.97715591090808762</v>
      </c>
      <c r="BB224" s="74">
        <f t="shared" si="190"/>
        <v>5.1330252367012916E-3</v>
      </c>
      <c r="BC224" s="74">
        <f t="shared" si="191"/>
        <v>5.1330252367012916E-3</v>
      </c>
      <c r="BD224" s="74">
        <f t="shared" si="192"/>
        <v>6.4909293913267873E-3</v>
      </c>
      <c r="BE224" s="75">
        <f t="shared" si="193"/>
        <v>5.1330252367012916E-3</v>
      </c>
    </row>
    <row r="225" spans="1:57" x14ac:dyDescent="0.35">
      <c r="A225" s="7" t="s">
        <v>60</v>
      </c>
      <c r="B225" s="11" t="s">
        <v>70</v>
      </c>
      <c r="C225" s="47">
        <f t="shared" si="161"/>
        <v>15.149146169941273</v>
      </c>
      <c r="D225" s="23">
        <f t="shared" si="162"/>
        <v>14.902985591190403</v>
      </c>
      <c r="E225" s="50">
        <f>[1]data!E225-[1]data!E187</f>
        <v>-0.69891173880890034</v>
      </c>
      <c r="F225" s="36">
        <f>[1]data!F225-[1]data!F187</f>
        <v>15.601897329999304</v>
      </c>
      <c r="G225" s="36">
        <f>[1]data!G225-[1]data!G187</f>
        <v>0.2461605787508705</v>
      </c>
      <c r="H225" s="25">
        <f t="shared" si="163"/>
        <v>3.2859281358385646</v>
      </c>
      <c r="I225" s="36">
        <f>[1]data!I225-[1]data!I187</f>
        <v>3.2859281358385646</v>
      </c>
      <c r="J225" s="36">
        <f>[1]data!J225-[1]data!J187</f>
        <v>0</v>
      </c>
      <c r="K225" s="36">
        <f>[1]data!K225-[1]data!K187</f>
        <v>-1.4672521220830275</v>
      </c>
      <c r="L225" s="25">
        <f t="shared" si="164"/>
        <v>5.7830117379298125</v>
      </c>
      <c r="M225" s="25">
        <f t="shared" si="165"/>
        <v>5.6890427775433539</v>
      </c>
      <c r="N225" s="25">
        <f t="shared" si="166"/>
        <v>3.4329333507654392</v>
      </c>
      <c r="O225" s="25">
        <f t="shared" si="167"/>
        <v>3.3771511402726571</v>
      </c>
      <c r="P225" s="24">
        <f t="shared" si="168"/>
        <v>-0.26680149125028041</v>
      </c>
      <c r="Q225" s="40">
        <f t="shared" si="150"/>
        <v>-0.15837971265728693</v>
      </c>
      <c r="R225" s="40">
        <f t="shared" si="151"/>
        <v>5.9558442687936344</v>
      </c>
      <c r="S225" s="40">
        <f t="shared" si="152"/>
        <v>3.5355308529299441</v>
      </c>
      <c r="T225" s="40">
        <f t="shared" si="153"/>
        <v>9.3968960386458425E-2</v>
      </c>
      <c r="U225" s="40">
        <f t="shared" si="154"/>
        <v>5.5782210492781953E-2</v>
      </c>
      <c r="V225" s="25">
        <f t="shared" si="169"/>
        <v>1.2543651481330917</v>
      </c>
      <c r="W225" s="25">
        <f t="shared" si="170"/>
        <v>0.74462099442416596</v>
      </c>
      <c r="X225" s="40">
        <f t="shared" si="155"/>
        <v>1.2543651481330917</v>
      </c>
      <c r="Y225" s="40">
        <f t="shared" si="156"/>
        <v>0.74462099442416596</v>
      </c>
      <c r="Z225" s="40">
        <f t="shared" si="157"/>
        <v>0</v>
      </c>
      <c r="AA225" s="40">
        <f t="shared" si="158"/>
        <v>0</v>
      </c>
      <c r="AB225" s="40">
        <f t="shared" si="159"/>
        <v>-0.56010656635848322</v>
      </c>
      <c r="AC225" s="40">
        <f t="shared" si="160"/>
        <v>-0.33249258323709968</v>
      </c>
      <c r="AD225" s="26">
        <v>441.28867711817003</v>
      </c>
      <c r="AE225" s="8">
        <v>261.95945739796002</v>
      </c>
      <c r="AF225" s="61">
        <f t="shared" si="171"/>
        <v>18.188913727028968</v>
      </c>
      <c r="AG225" s="61">
        <f t="shared" si="172"/>
        <v>18.188913727028968</v>
      </c>
      <c r="AH225" s="74">
        <f t="shared" si="173"/>
        <v>0.81934445425646107</v>
      </c>
      <c r="AI225" s="74">
        <f t="shared" si="197"/>
        <v>0.81934445425646107</v>
      </c>
      <c r="AJ225" s="74">
        <f t="shared" si="174"/>
        <v>0.81934445425646107</v>
      </c>
      <c r="AK225" s="74">
        <f t="shared" si="198"/>
        <v>0.81934445425646107</v>
      </c>
      <c r="AL225" s="74">
        <f t="shared" si="175"/>
        <v>0.85776960428454152</v>
      </c>
      <c r="AM225" s="74">
        <f t="shared" si="196"/>
        <v>0.85776960428454152</v>
      </c>
      <c r="AN225" s="74">
        <f t="shared" si="176"/>
        <v>-3.8425150028080467E-2</v>
      </c>
      <c r="AO225" s="74">
        <f t="shared" si="177"/>
        <v>-3.8425150028080467E-2</v>
      </c>
      <c r="AP225" s="74">
        <f t="shared" si="178"/>
        <v>1.3533550295808628E-2</v>
      </c>
      <c r="AQ225" s="74">
        <f t="shared" si="179"/>
        <v>1.3533550295808628E-2</v>
      </c>
      <c r="AR225" s="74">
        <f t="shared" si="180"/>
        <v>1.0468974310236232</v>
      </c>
      <c r="AS225" s="74">
        <f t="shared" si="181"/>
        <v>-4.6897431023623065E-2</v>
      </c>
      <c r="AT225" s="74">
        <f t="shared" si="182"/>
        <v>0.18065554574353893</v>
      </c>
      <c r="AU225" s="74">
        <f t="shared" si="183"/>
        <v>0.18065554574353893</v>
      </c>
      <c r="AV225" s="74">
        <f t="shared" si="184"/>
        <v>0.18065554574353893</v>
      </c>
      <c r="AW225" s="74">
        <f t="shared" si="185"/>
        <v>0.18065554574353893</v>
      </c>
      <c r="AX225" s="74">
        <f t="shared" si="186"/>
        <v>0</v>
      </c>
      <c r="AY225" s="74">
        <f t="shared" si="187"/>
        <v>0</v>
      </c>
      <c r="AZ225" s="74">
        <f t="shared" si="188"/>
        <v>1</v>
      </c>
      <c r="BA225" s="74">
        <f t="shared" si="189"/>
        <v>0</v>
      </c>
      <c r="BB225" s="74">
        <f t="shared" si="190"/>
        <v>7.0373768860629043E-2</v>
      </c>
      <c r="BC225" s="74">
        <f t="shared" si="191"/>
        <v>6.9434079256764453E-2</v>
      </c>
      <c r="BD225" s="74">
        <f t="shared" si="192"/>
        <v>4.1217721346968231E-2</v>
      </c>
      <c r="BE225" s="75">
        <f t="shared" si="193"/>
        <v>6.9434079256764453E-2</v>
      </c>
    </row>
    <row r="226" spans="1:57" x14ac:dyDescent="0.35">
      <c r="A226" s="7" t="s">
        <v>61</v>
      </c>
      <c r="B226" s="11" t="s">
        <v>70</v>
      </c>
      <c r="C226" s="47">
        <f t="shared" si="161"/>
        <v>2.014715481806916</v>
      </c>
      <c r="D226" s="23">
        <f t="shared" si="162"/>
        <v>1.6410634551846601</v>
      </c>
      <c r="E226" s="50">
        <f>[1]data!E226-[1]data!E188</f>
        <v>0.95449139438317188</v>
      </c>
      <c r="F226" s="36">
        <f>[1]data!F226-[1]data!F188</f>
        <v>0.68657206080148825</v>
      </c>
      <c r="G226" s="36">
        <f>[1]data!G226-[1]data!G188</f>
        <v>0.37365202662225599</v>
      </c>
      <c r="H226" s="25">
        <f t="shared" si="163"/>
        <v>6.5253723489827387E-2</v>
      </c>
      <c r="I226" s="36">
        <f>[1]data!I226-[1]data!I188</f>
        <v>6.3087624784770924E-2</v>
      </c>
      <c r="J226" s="36">
        <f>[1]data!J226-[1]data!J188</f>
        <v>2.1660987050564628E-3</v>
      </c>
      <c r="K226" s="36">
        <f>[1]data!K226-[1]data!K188</f>
        <v>0</v>
      </c>
      <c r="L226" s="25">
        <f t="shared" si="164"/>
        <v>0.62684515759532411</v>
      </c>
      <c r="M226" s="25">
        <f t="shared" si="165"/>
        <v>0.51058955444495957</v>
      </c>
      <c r="N226" s="25">
        <f t="shared" si="166"/>
        <v>0.29178936431481017</v>
      </c>
      <c r="O226" s="25">
        <f t="shared" si="167"/>
        <v>0.23767368976543601</v>
      </c>
      <c r="P226" s="24">
        <f t="shared" si="168"/>
        <v>0.29697409581569939</v>
      </c>
      <c r="Q226" s="40">
        <f t="shared" si="150"/>
        <v>0.13823809849380708</v>
      </c>
      <c r="R226" s="40">
        <f t="shared" si="151"/>
        <v>0.21361545862926021</v>
      </c>
      <c r="S226" s="40">
        <f t="shared" si="152"/>
        <v>9.9435591271628918E-2</v>
      </c>
      <c r="T226" s="40">
        <f t="shared" si="153"/>
        <v>0.11625560315036453</v>
      </c>
      <c r="U226" s="40">
        <f t="shared" si="154"/>
        <v>5.4115674549374146E-2</v>
      </c>
      <c r="V226" s="25">
        <f t="shared" si="169"/>
        <v>2.0302608955969029E-2</v>
      </c>
      <c r="W226" s="25">
        <f t="shared" si="170"/>
        <v>9.4506359176803577E-3</v>
      </c>
      <c r="X226" s="40">
        <f t="shared" si="155"/>
        <v>1.96286634304597E-2</v>
      </c>
      <c r="Y226" s="40">
        <f t="shared" si="156"/>
        <v>9.1369218623216803E-3</v>
      </c>
      <c r="Z226" s="40">
        <f t="shared" si="157"/>
        <v>6.739455255093304E-4</v>
      </c>
      <c r="AA226" s="40">
        <f t="shared" si="158"/>
        <v>3.1371405535867715E-4</v>
      </c>
      <c r="AB226" s="40">
        <f t="shared" si="159"/>
        <v>0</v>
      </c>
      <c r="AC226" s="40">
        <f t="shared" si="160"/>
        <v>0</v>
      </c>
      <c r="AD226" s="26">
        <v>690.46912883131995</v>
      </c>
      <c r="AE226" s="8">
        <v>321.40560669490998</v>
      </c>
      <c r="AF226" s="61">
        <f t="shared" si="171"/>
        <v>1.7063171786744875</v>
      </c>
      <c r="AG226" s="61">
        <f t="shared" si="172"/>
        <v>1.7063171786744875</v>
      </c>
      <c r="AH226" s="74">
        <f t="shared" si="173"/>
        <v>0.96175756517875644</v>
      </c>
      <c r="AI226" s="74">
        <f t="shared" si="197"/>
        <v>0.96175756517875644</v>
      </c>
      <c r="AJ226" s="74">
        <f t="shared" si="174"/>
        <v>0.96175756517875644</v>
      </c>
      <c r="AK226" s="74">
        <f t="shared" si="198"/>
        <v>0.96175756517875644</v>
      </c>
      <c r="AL226" s="74">
        <f t="shared" si="175"/>
        <v>0.40237071359431292</v>
      </c>
      <c r="AM226" s="74">
        <f t="shared" si="196"/>
        <v>0.40237071359431292</v>
      </c>
      <c r="AN226" s="74">
        <f t="shared" si="176"/>
        <v>0.55938685158444346</v>
      </c>
      <c r="AO226" s="74">
        <f t="shared" si="177"/>
        <v>0.55938685158444346</v>
      </c>
      <c r="AP226" s="74">
        <f t="shared" si="178"/>
        <v>0.2189815769847191</v>
      </c>
      <c r="AQ226" s="74">
        <f t="shared" si="179"/>
        <v>0.2189815769847191</v>
      </c>
      <c r="AR226" s="74">
        <f t="shared" si="180"/>
        <v>0.41837020904486105</v>
      </c>
      <c r="AS226" s="74">
        <f t="shared" si="181"/>
        <v>0.58162979095513889</v>
      </c>
      <c r="AT226" s="74">
        <f t="shared" si="182"/>
        <v>3.8242434821243614E-2</v>
      </c>
      <c r="AU226" s="74">
        <f t="shared" si="183"/>
        <v>3.8242434821243614E-2</v>
      </c>
      <c r="AV226" s="74">
        <f t="shared" si="184"/>
        <v>3.6972976403940955E-2</v>
      </c>
      <c r="AW226" s="74">
        <f t="shared" si="185"/>
        <v>3.6972976403940955E-2</v>
      </c>
      <c r="AX226" s="74">
        <f t="shared" si="186"/>
        <v>1.2694584173026646E-3</v>
      </c>
      <c r="AY226" s="74">
        <f t="shared" si="187"/>
        <v>1.2694584173026646E-3</v>
      </c>
      <c r="AZ226" s="74">
        <f t="shared" si="188"/>
        <v>0.96680497925311282</v>
      </c>
      <c r="BA226" s="74">
        <f t="shared" si="189"/>
        <v>3.3195020746887231E-2</v>
      </c>
      <c r="BB226" s="74">
        <f t="shared" si="190"/>
        <v>6.471477665512931E-3</v>
      </c>
      <c r="BC226" s="74">
        <f t="shared" si="191"/>
        <v>5.3089216340092863E-3</v>
      </c>
      <c r="BD226" s="74">
        <f t="shared" si="192"/>
        <v>2.4712432568311637E-3</v>
      </c>
      <c r="BE226" s="75">
        <f t="shared" si="193"/>
        <v>5.3089216340092863E-3</v>
      </c>
    </row>
    <row r="227" spans="1:57" x14ac:dyDescent="0.35">
      <c r="A227" s="7" t="s">
        <v>62</v>
      </c>
      <c r="B227" s="11" t="s">
        <v>70</v>
      </c>
      <c r="C227" s="47">
        <f t="shared" si="161"/>
        <v>-1.4030908431417188E-4</v>
      </c>
      <c r="D227" s="23">
        <f t="shared" si="162"/>
        <v>-1.4030908431417188E-4</v>
      </c>
      <c r="E227" s="50">
        <f>[1]data!E227-[1]data!E189</f>
        <v>0</v>
      </c>
      <c r="F227" s="36">
        <f>[1]data!F227-[1]data!F189</f>
        <v>-1.4030908431417188E-4</v>
      </c>
      <c r="G227" s="36">
        <f>[1]data!G227-[1]data!G189</f>
        <v>0</v>
      </c>
      <c r="H227" s="25">
        <f t="shared" si="163"/>
        <v>0</v>
      </c>
      <c r="I227" s="36">
        <f>[1]data!I227-[1]data!I189</f>
        <v>0</v>
      </c>
      <c r="J227" s="36">
        <f>[1]data!J227-[1]data!J189</f>
        <v>0</v>
      </c>
      <c r="K227" s="36">
        <f>[1]data!K227-[1]data!K189</f>
        <v>0</v>
      </c>
      <c r="L227" s="25">
        <f t="shared" si="164"/>
        <v>-2.179304888156319E-4</v>
      </c>
      <c r="M227" s="25">
        <f t="shared" si="165"/>
        <v>-2.179304888156319E-4</v>
      </c>
      <c r="N227" s="25">
        <f t="shared" si="166"/>
        <v>-1.5379120927035221E-4</v>
      </c>
      <c r="O227" s="25">
        <f t="shared" si="167"/>
        <v>-1.5379120927035221E-4</v>
      </c>
      <c r="P227" s="24">
        <f t="shared" si="168"/>
        <v>0</v>
      </c>
      <c r="Q227" s="40">
        <f t="shared" si="150"/>
        <v>0</v>
      </c>
      <c r="R227" s="40">
        <f t="shared" si="151"/>
        <v>-2.179304888156319E-4</v>
      </c>
      <c r="S227" s="40">
        <f t="shared" si="152"/>
        <v>-1.5379120927035221E-4</v>
      </c>
      <c r="T227" s="40">
        <f t="shared" si="153"/>
        <v>0</v>
      </c>
      <c r="U227" s="40">
        <f t="shared" si="154"/>
        <v>0</v>
      </c>
      <c r="V227" s="25">
        <f t="shared" si="169"/>
        <v>0</v>
      </c>
      <c r="W227" s="25">
        <f t="shared" si="170"/>
        <v>0</v>
      </c>
      <c r="X227" s="40">
        <f t="shared" si="155"/>
        <v>0</v>
      </c>
      <c r="Y227" s="40">
        <f t="shared" si="156"/>
        <v>0</v>
      </c>
      <c r="Z227" s="40">
        <f t="shared" si="157"/>
        <v>0</v>
      </c>
      <c r="AA227" s="40">
        <f t="shared" si="158"/>
        <v>0</v>
      </c>
      <c r="AB227" s="40">
        <f t="shared" si="159"/>
        <v>0</v>
      </c>
      <c r="AC227" s="40">
        <f t="shared" si="160"/>
        <v>0</v>
      </c>
      <c r="AD227" s="26">
        <v>91.233487908610002</v>
      </c>
      <c r="AE227" s="8">
        <v>64.38249419652</v>
      </c>
      <c r="AF227" s="61">
        <f t="shared" si="171"/>
        <v>-1.4030908431417188E-4</v>
      </c>
      <c r="AG227" s="61">
        <f>(D227*-1)+(H227)</f>
        <v>1.4030908431417188E-4</v>
      </c>
      <c r="AH227" s="74">
        <f>($D227/$AG227)*-1</f>
        <v>1</v>
      </c>
      <c r="AI227" s="74">
        <f t="shared" si="197"/>
        <v>-1</v>
      </c>
      <c r="AJ227" s="74">
        <f t="shared" si="174"/>
        <v>1</v>
      </c>
      <c r="AK227" s="74">
        <f t="shared" si="198"/>
        <v>1</v>
      </c>
      <c r="AL227" s="74">
        <f t="shared" si="175"/>
        <v>-1</v>
      </c>
      <c r="AM227" s="74">
        <f t="shared" si="196"/>
        <v>1</v>
      </c>
      <c r="AN227" s="74">
        <f t="shared" si="176"/>
        <v>0</v>
      </c>
      <c r="AO227" s="74">
        <f t="shared" si="177"/>
        <v>0</v>
      </c>
      <c r="AP227" s="74">
        <f t="shared" si="178"/>
        <v>0</v>
      </c>
      <c r="AQ227" s="74">
        <f t="shared" si="179"/>
        <v>0</v>
      </c>
      <c r="AR227" s="74">
        <f t="shared" si="180"/>
        <v>1</v>
      </c>
      <c r="AS227" s="74">
        <f t="shared" si="181"/>
        <v>0</v>
      </c>
      <c r="AT227" s="74">
        <f t="shared" si="182"/>
        <v>0</v>
      </c>
      <c r="AU227" s="74">
        <f t="shared" si="183"/>
        <v>0</v>
      </c>
      <c r="AV227" s="74">
        <f t="shared" si="184"/>
        <v>0</v>
      </c>
      <c r="AW227" s="74">
        <f t="shared" si="185"/>
        <v>0</v>
      </c>
      <c r="AX227" s="74">
        <f t="shared" si="186"/>
        <v>0</v>
      </c>
      <c r="AY227" s="74">
        <f t="shared" si="187"/>
        <v>0</v>
      </c>
      <c r="AZ227" s="74" t="e">
        <f t="shared" si="188"/>
        <v>#DIV/0!</v>
      </c>
      <c r="BA227" s="74" t="e">
        <f t="shared" si="189"/>
        <v>#DIV/0!</v>
      </c>
      <c r="BB227" s="74">
        <f t="shared" si="190"/>
        <v>-2.1793048881563191E-6</v>
      </c>
      <c r="BC227" s="74">
        <f t="shared" si="191"/>
        <v>-2.1793048881563191E-6</v>
      </c>
      <c r="BD227" s="74">
        <f t="shared" si="192"/>
        <v>-1.537912092703522E-6</v>
      </c>
      <c r="BE227" s="75">
        <f t="shared" si="193"/>
        <v>2.1793048881563191E-6</v>
      </c>
    </row>
    <row r="228" spans="1:57" x14ac:dyDescent="0.35">
      <c r="A228" s="7" t="s">
        <v>63</v>
      </c>
      <c r="B228" s="11" t="s">
        <v>70</v>
      </c>
      <c r="C228" s="47">
        <f t="shared" si="161"/>
        <v>-0.31086267167395443</v>
      </c>
      <c r="D228" s="23">
        <f t="shared" si="162"/>
        <v>2.5891373283260455</v>
      </c>
      <c r="E228" s="50">
        <f>[1]data!E228-[1]data!E190</f>
        <v>2.8357904306323585</v>
      </c>
      <c r="F228" s="36">
        <f>[1]data!F228-[1]data!F190</f>
        <v>-0.24665310230631299</v>
      </c>
      <c r="G228" s="36">
        <f>[1]data!G228-[1]data!G190</f>
        <v>-2.9</v>
      </c>
      <c r="H228" s="25">
        <f t="shared" si="163"/>
        <v>-6.4232296886403972E-3</v>
      </c>
      <c r="I228" s="36">
        <f>[1]data!I228-[1]data!I190</f>
        <v>0</v>
      </c>
      <c r="J228" s="36">
        <f>[1]data!J228-[1]data!J190</f>
        <v>-6.4232296886403972E-3</v>
      </c>
      <c r="K228" s="36">
        <f>[1]data!K228-[1]data!K190</f>
        <v>0</v>
      </c>
      <c r="L228" s="25">
        <f t="shared" si="164"/>
        <v>-0.21092026671088715</v>
      </c>
      <c r="M228" s="25">
        <f t="shared" si="165"/>
        <v>1.7567292106863743</v>
      </c>
      <c r="N228" s="25">
        <f t="shared" si="166"/>
        <v>-0.10031447125519277</v>
      </c>
      <c r="O228" s="25">
        <f t="shared" si="167"/>
        <v>0.83550701246794812</v>
      </c>
      <c r="P228" s="24">
        <f t="shared" si="168"/>
        <v>1.9240832961523846</v>
      </c>
      <c r="Q228" s="40">
        <f t="shared" si="150"/>
        <v>0.91510124424905481</v>
      </c>
      <c r="R228" s="40">
        <f t="shared" si="151"/>
        <v>-0.16735408546601035</v>
      </c>
      <c r="S228" s="40">
        <f t="shared" si="152"/>
        <v>-7.9594231781106722E-2</v>
      </c>
      <c r="T228" s="40">
        <f t="shared" si="153"/>
        <v>-1.9676494773972615</v>
      </c>
      <c r="U228" s="40">
        <f t="shared" si="154"/>
        <v>-0.93582148372314089</v>
      </c>
      <c r="V228" s="25">
        <f t="shared" si="169"/>
        <v>-4.3581601862261558E-3</v>
      </c>
      <c r="W228" s="25">
        <f t="shared" si="170"/>
        <v>-2.0727573577648227E-3</v>
      </c>
      <c r="X228" s="40">
        <f t="shared" si="155"/>
        <v>0</v>
      </c>
      <c r="Y228" s="40">
        <f t="shared" si="156"/>
        <v>0</v>
      </c>
      <c r="Z228" s="40">
        <f t="shared" si="157"/>
        <v>-4.3581601862261558E-3</v>
      </c>
      <c r="AA228" s="40">
        <f t="shared" si="158"/>
        <v>-2.0727573577648227E-3</v>
      </c>
      <c r="AB228" s="40">
        <f t="shared" si="159"/>
        <v>0</v>
      </c>
      <c r="AC228" s="40">
        <f t="shared" si="160"/>
        <v>0</v>
      </c>
      <c r="AD228" s="26">
        <v>309.88816247970999</v>
      </c>
      <c r="AE228" s="8">
        <v>147.38397429586999</v>
      </c>
      <c r="AF228" s="61">
        <f t="shared" si="171"/>
        <v>2.5827140986374051</v>
      </c>
      <c r="AG228" s="61">
        <f>(D228)+(H228*-1)</f>
        <v>2.5955605580146859</v>
      </c>
      <c r="AH228" s="74">
        <f t="shared" si="173"/>
        <v>0.99752530155044683</v>
      </c>
      <c r="AI228" s="74">
        <f t="shared" si="197"/>
        <v>0.99752530155044683</v>
      </c>
      <c r="AJ228" s="74">
        <f t="shared" si="174"/>
        <v>1.0024870076374419</v>
      </c>
      <c r="AK228" s="74">
        <f t="shared" si="198"/>
        <v>1.0024870076374419</v>
      </c>
      <c r="AL228" s="74">
        <f t="shared" si="175"/>
        <v>-9.5028837429620636E-2</v>
      </c>
      <c r="AM228" s="74">
        <f t="shared" si="196"/>
        <v>-9.550151231855003E-2</v>
      </c>
      <c r="AN228" s="74">
        <f t="shared" si="176"/>
        <v>1.0925541389800675</v>
      </c>
      <c r="AO228" s="74">
        <f t="shared" si="177"/>
        <v>1.097988519955992</v>
      </c>
      <c r="AP228" s="74">
        <f t="shared" si="178"/>
        <v>-1.1172923671710346</v>
      </c>
      <c r="AQ228" s="74">
        <f t="shared" si="179"/>
        <v>-1.1228497964718547</v>
      </c>
      <c r="AR228" s="74">
        <f t="shared" si="180"/>
        <v>-9.5264588559225469E-2</v>
      </c>
      <c r="AS228" s="74">
        <f t="shared" si="181"/>
        <v>1.0952645885592254</v>
      </c>
      <c r="AT228" s="74">
        <f t="shared" si="182"/>
        <v>-2.4746984495532059E-3</v>
      </c>
      <c r="AU228" s="74">
        <f t="shared" si="183"/>
        <v>-2.4870076374420153E-3</v>
      </c>
      <c r="AV228" s="74">
        <f t="shared" si="184"/>
        <v>0</v>
      </c>
      <c r="AW228" s="74">
        <f t="shared" si="185"/>
        <v>0</v>
      </c>
      <c r="AX228" s="74">
        <f t="shared" si="186"/>
        <v>-2.4746984495532059E-3</v>
      </c>
      <c r="AY228" s="74">
        <f t="shared" si="187"/>
        <v>-2.4870076374420153E-3</v>
      </c>
      <c r="AZ228" s="74">
        <f t="shared" si="188"/>
        <v>0</v>
      </c>
      <c r="BA228" s="74">
        <f t="shared" si="189"/>
        <v>1</v>
      </c>
      <c r="BB228" s="74">
        <f t="shared" si="190"/>
        <v>-2.1527842689711336E-3</v>
      </c>
      <c r="BC228" s="74">
        <f t="shared" si="191"/>
        <v>1.752371050500148E-2</v>
      </c>
      <c r="BD228" s="74">
        <f t="shared" si="192"/>
        <v>8.3343425511018324E-3</v>
      </c>
      <c r="BE228" s="75">
        <f t="shared" si="193"/>
        <v>1.7610873708726004E-2</v>
      </c>
    </row>
    <row r="229" spans="1:57" x14ac:dyDescent="0.35">
      <c r="A229" s="7" t="s">
        <v>64</v>
      </c>
      <c r="B229" s="11" t="s">
        <v>70</v>
      </c>
      <c r="C229" s="47">
        <f t="shared" si="161"/>
        <v>-7.7699446744038436</v>
      </c>
      <c r="D229" s="23">
        <f t="shared" si="162"/>
        <v>-7.7699446744038436</v>
      </c>
      <c r="E229" s="50">
        <f>[1]data!E229-[1]data!E191</f>
        <v>1.5898896693499602</v>
      </c>
      <c r="F229" s="36">
        <f>[1]data!F229-[1]data!F191</f>
        <v>-9.3598343437538034</v>
      </c>
      <c r="G229" s="36">
        <f>[1]data!G229-[1]data!G191</f>
        <v>0</v>
      </c>
      <c r="H229" s="25">
        <f t="shared" si="163"/>
        <v>-3.0772058116450847</v>
      </c>
      <c r="I229" s="36">
        <f>[1]data!I229-[1]data!I191</f>
        <v>-3.0772058116450847</v>
      </c>
      <c r="J229" s="36">
        <f>[1]data!J229-[1]data!J191</f>
        <v>0</v>
      </c>
      <c r="K229" s="36">
        <f>[1]data!K229-[1]data!K191</f>
        <v>0</v>
      </c>
      <c r="L229" s="25">
        <f t="shared" si="164"/>
        <v>-1.3595629562793865</v>
      </c>
      <c r="M229" s="25">
        <f t="shared" si="165"/>
        <v>-1.3595629562793865</v>
      </c>
      <c r="N229" s="25">
        <f t="shared" si="166"/>
        <v>-0.63927912437978984</v>
      </c>
      <c r="O229" s="25">
        <f t="shared" si="167"/>
        <v>-0.63927912437978984</v>
      </c>
      <c r="P229" s="24">
        <f t="shared" si="168"/>
        <v>0.27819440029479181</v>
      </c>
      <c r="Q229" s="40">
        <f t="shared" si="150"/>
        <v>0.13080958980708565</v>
      </c>
      <c r="R229" s="40">
        <f t="shared" si="151"/>
        <v>-1.6377573565741783</v>
      </c>
      <c r="S229" s="40">
        <f t="shared" si="152"/>
        <v>-0.77008871418687552</v>
      </c>
      <c r="T229" s="40">
        <f t="shared" si="153"/>
        <v>0</v>
      </c>
      <c r="U229" s="40">
        <f t="shared" si="154"/>
        <v>0</v>
      </c>
      <c r="V229" s="25">
        <f t="shared" si="169"/>
        <v>-0.53844077476411323</v>
      </c>
      <c r="W229" s="25">
        <f t="shared" si="170"/>
        <v>-0.25317985123952064</v>
      </c>
      <c r="X229" s="40">
        <f t="shared" si="155"/>
        <v>-0.53844077476411323</v>
      </c>
      <c r="Y229" s="40">
        <f t="shared" si="156"/>
        <v>-0.25317985123952064</v>
      </c>
      <c r="Z229" s="40">
        <f t="shared" si="157"/>
        <v>0</v>
      </c>
      <c r="AA229" s="40">
        <f t="shared" si="158"/>
        <v>0</v>
      </c>
      <c r="AB229" s="40">
        <f t="shared" si="159"/>
        <v>0</v>
      </c>
      <c r="AC229" s="40">
        <f t="shared" si="160"/>
        <v>0</v>
      </c>
      <c r="AD229" s="26">
        <v>1215.4228689920101</v>
      </c>
      <c r="AE229" s="8">
        <v>571.50311712429004</v>
      </c>
      <c r="AF229" s="61">
        <f t="shared" si="171"/>
        <v>-10.847150486048928</v>
      </c>
      <c r="AG229" s="61">
        <f>(D229*-1)+(H229*-1)</f>
        <v>10.847150486048928</v>
      </c>
      <c r="AH229" s="74">
        <f>($D229/$AG229)*-1</f>
        <v>0.7163120567375888</v>
      </c>
      <c r="AI229" s="74">
        <f t="shared" si="197"/>
        <v>-0.7163120567375888</v>
      </c>
      <c r="AJ229" s="74">
        <f t="shared" si="174"/>
        <v>0.7163120567375888</v>
      </c>
      <c r="AK229" s="74">
        <f t="shared" si="198"/>
        <v>0.7163120567375888</v>
      </c>
      <c r="AL229" s="74">
        <f t="shared" si="175"/>
        <v>-0.86288416075650121</v>
      </c>
      <c r="AM229" s="74">
        <f t="shared" si="196"/>
        <v>0.86288416075650121</v>
      </c>
      <c r="AN229" s="74">
        <f t="shared" si="176"/>
        <v>0.14657210401891244</v>
      </c>
      <c r="AO229" s="74">
        <f t="shared" si="177"/>
        <v>-0.14657210401891244</v>
      </c>
      <c r="AP229" s="74">
        <f t="shared" si="178"/>
        <v>0</v>
      </c>
      <c r="AQ229" s="74">
        <f t="shared" si="179"/>
        <v>0</v>
      </c>
      <c r="AR229" s="74">
        <f t="shared" si="180"/>
        <v>1.2046204620462044</v>
      </c>
      <c r="AS229" s="74">
        <f t="shared" si="181"/>
        <v>-0.20462046204620446</v>
      </c>
      <c r="AT229" s="74">
        <f t="shared" si="182"/>
        <v>-0.2836879432624112</v>
      </c>
      <c r="AU229" s="74">
        <f t="shared" si="183"/>
        <v>0.2836879432624112</v>
      </c>
      <c r="AV229" s="74">
        <f t="shared" si="184"/>
        <v>-0.2836879432624112</v>
      </c>
      <c r="AW229" s="74">
        <f t="shared" si="185"/>
        <v>0.2836879432624112</v>
      </c>
      <c r="AX229" s="74">
        <f t="shared" si="186"/>
        <v>0</v>
      </c>
      <c r="AY229" s="74">
        <f t="shared" si="187"/>
        <v>0</v>
      </c>
      <c r="AZ229" s="74">
        <f t="shared" si="188"/>
        <v>1</v>
      </c>
      <c r="BA229" s="74">
        <f t="shared" si="189"/>
        <v>0</v>
      </c>
      <c r="BB229" s="74">
        <f t="shared" si="190"/>
        <v>-1.8980037310434999E-2</v>
      </c>
      <c r="BC229" s="74">
        <f t="shared" si="191"/>
        <v>-1.8980037310434999E-2</v>
      </c>
      <c r="BD229" s="74">
        <f t="shared" si="192"/>
        <v>-8.9245897561931065E-3</v>
      </c>
      <c r="BE229" s="75">
        <f t="shared" si="193"/>
        <v>1.8980037310434999E-2</v>
      </c>
    </row>
    <row r="230" spans="1:57" s="45" customFormat="1" x14ac:dyDescent="0.35">
      <c r="A230" s="41" t="s">
        <v>27</v>
      </c>
      <c r="B230" s="42" t="s">
        <v>71</v>
      </c>
      <c r="C230" s="47">
        <f t="shared" si="161"/>
        <v>0</v>
      </c>
      <c r="D230" s="23">
        <f t="shared" si="162"/>
        <v>0</v>
      </c>
      <c r="E230" s="50">
        <f>[1]data!E230-[1]data!E192</f>
        <v>0</v>
      </c>
      <c r="F230" s="36">
        <f>[1]data!F230-[1]data!F192</f>
        <v>0</v>
      </c>
      <c r="G230" s="36">
        <f>[1]data!G230-[1]data!G192</f>
        <v>0</v>
      </c>
      <c r="H230" s="25">
        <f t="shared" si="163"/>
        <v>0</v>
      </c>
      <c r="I230" s="36">
        <f>[1]data!I230-[1]data!I192</f>
        <v>0</v>
      </c>
      <c r="J230" s="36">
        <f>[1]data!J230-[1]data!J192</f>
        <v>0</v>
      </c>
      <c r="K230" s="36">
        <f>[1]data!K230-[1]data!K192</f>
        <v>0</v>
      </c>
      <c r="L230" s="25">
        <f t="shared" si="164"/>
        <v>0</v>
      </c>
      <c r="M230" s="25">
        <f t="shared" si="165"/>
        <v>0</v>
      </c>
      <c r="N230" s="25">
        <f t="shared" si="166"/>
        <v>0</v>
      </c>
      <c r="O230" s="25">
        <f t="shared" si="167"/>
        <v>0</v>
      </c>
      <c r="P230" s="24">
        <f t="shared" si="168"/>
        <v>0</v>
      </c>
      <c r="Q230" s="43">
        <f t="shared" si="150"/>
        <v>0</v>
      </c>
      <c r="R230" s="43">
        <f t="shared" si="151"/>
        <v>0</v>
      </c>
      <c r="S230" s="43">
        <f t="shared" si="152"/>
        <v>0</v>
      </c>
      <c r="T230" s="43">
        <f t="shared" si="153"/>
        <v>0</v>
      </c>
      <c r="U230" s="43">
        <f t="shared" si="154"/>
        <v>0</v>
      </c>
      <c r="V230" s="25">
        <f t="shared" si="169"/>
        <v>0</v>
      </c>
      <c r="W230" s="25">
        <f t="shared" si="170"/>
        <v>0</v>
      </c>
      <c r="X230" s="43">
        <f t="shared" si="155"/>
        <v>0</v>
      </c>
      <c r="Y230" s="43">
        <f t="shared" si="156"/>
        <v>0</v>
      </c>
      <c r="Z230" s="43">
        <f t="shared" si="157"/>
        <v>0</v>
      </c>
      <c r="AA230" s="43">
        <f t="shared" si="158"/>
        <v>0</v>
      </c>
      <c r="AB230" s="43">
        <f t="shared" si="159"/>
        <v>0</v>
      </c>
      <c r="AC230" s="43">
        <f t="shared" si="160"/>
        <v>0</v>
      </c>
      <c r="AD230" s="44">
        <v>1226.51571721458</v>
      </c>
      <c r="AE230" s="45">
        <v>1494.77336635199</v>
      </c>
      <c r="AF230" s="61">
        <f t="shared" si="171"/>
        <v>0</v>
      </c>
      <c r="AG230" s="61">
        <f t="shared" si="172"/>
        <v>0</v>
      </c>
      <c r="AH230" s="74">
        <v>0</v>
      </c>
      <c r="AI230" s="74">
        <v>0</v>
      </c>
      <c r="AJ230" s="74">
        <v>0</v>
      </c>
      <c r="AK230" s="74">
        <v>0</v>
      </c>
      <c r="AL230" s="74" t="e">
        <f t="shared" si="175"/>
        <v>#DIV/0!</v>
      </c>
      <c r="AM230" s="74" t="e">
        <f t="shared" si="196"/>
        <v>#DIV/0!</v>
      </c>
      <c r="AN230" s="74" t="e">
        <f t="shared" si="176"/>
        <v>#DIV/0!</v>
      </c>
      <c r="AO230" s="74" t="e">
        <f t="shared" si="177"/>
        <v>#DIV/0!</v>
      </c>
      <c r="AP230" s="74" t="e">
        <f t="shared" si="178"/>
        <v>#DIV/0!</v>
      </c>
      <c r="AQ230" s="74" t="e">
        <f t="shared" si="179"/>
        <v>#DIV/0!</v>
      </c>
      <c r="AR230" s="74" t="e">
        <f t="shared" si="180"/>
        <v>#DIV/0!</v>
      </c>
      <c r="AS230" s="74" t="e">
        <f t="shared" si="181"/>
        <v>#DIV/0!</v>
      </c>
      <c r="AT230" s="74" t="e">
        <f t="shared" si="182"/>
        <v>#DIV/0!</v>
      </c>
      <c r="AU230" s="74" t="e">
        <f t="shared" si="183"/>
        <v>#DIV/0!</v>
      </c>
      <c r="AV230" s="74" t="e">
        <f t="shared" si="184"/>
        <v>#DIV/0!</v>
      </c>
      <c r="AW230" s="74" t="e">
        <f t="shared" si="185"/>
        <v>#DIV/0!</v>
      </c>
      <c r="AX230" s="74" t="e">
        <f t="shared" si="186"/>
        <v>#DIV/0!</v>
      </c>
      <c r="AY230" s="74" t="e">
        <f t="shared" si="187"/>
        <v>#DIV/0!</v>
      </c>
      <c r="AZ230" s="74" t="e">
        <f t="shared" si="188"/>
        <v>#DIV/0!</v>
      </c>
      <c r="BA230" s="74" t="e">
        <f t="shared" si="189"/>
        <v>#DIV/0!</v>
      </c>
      <c r="BB230" s="74">
        <f t="shared" si="190"/>
        <v>0</v>
      </c>
      <c r="BC230" s="74">
        <f t="shared" si="191"/>
        <v>0</v>
      </c>
      <c r="BD230" s="74">
        <f t="shared" si="192"/>
        <v>0</v>
      </c>
      <c r="BE230" s="75">
        <f t="shared" si="193"/>
        <v>0</v>
      </c>
    </row>
    <row r="231" spans="1:57" x14ac:dyDescent="0.35">
      <c r="A231" s="7" t="s">
        <v>28</v>
      </c>
      <c r="B231" s="11" t="s">
        <v>71</v>
      </c>
      <c r="C231" s="47">
        <f t="shared" si="161"/>
        <v>5.2454879528363705</v>
      </c>
      <c r="D231" s="23">
        <f t="shared" si="162"/>
        <v>0.67106453921286402</v>
      </c>
      <c r="E231" s="50">
        <f>[1]data!E231-[1]data!E193</f>
        <v>0.67106453921286402</v>
      </c>
      <c r="F231" s="36">
        <f>[1]data!F231-[1]data!F193</f>
        <v>0</v>
      </c>
      <c r="G231" s="36">
        <f>[1]data!G231-[1]data!G193</f>
        <v>4.5744234136235065</v>
      </c>
      <c r="H231" s="25">
        <f t="shared" si="163"/>
        <v>0</v>
      </c>
      <c r="I231" s="36">
        <f>[1]data!I231-[1]data!I193</f>
        <v>0</v>
      </c>
      <c r="J231" s="36">
        <f>[1]data!J231-[1]data!J193</f>
        <v>0</v>
      </c>
      <c r="K231" s="36">
        <f>[1]data!K231-[1]data!K193</f>
        <v>0</v>
      </c>
      <c r="L231" s="25">
        <f t="shared" si="164"/>
        <v>0.30917554025851079</v>
      </c>
      <c r="M231" s="25">
        <f t="shared" si="165"/>
        <v>3.9553372979777374E-2</v>
      </c>
      <c r="N231" s="25">
        <f t="shared" si="166"/>
        <v>0.30435300324265741</v>
      </c>
      <c r="O231" s="25">
        <f t="shared" si="167"/>
        <v>3.8936417301015262E-2</v>
      </c>
      <c r="P231" s="24">
        <f t="shared" si="168"/>
        <v>3.9553372979777374E-2</v>
      </c>
      <c r="Q231" s="40">
        <f t="shared" si="150"/>
        <v>3.8936417301015262E-2</v>
      </c>
      <c r="R231" s="40">
        <f t="shared" si="151"/>
        <v>0</v>
      </c>
      <c r="S231" s="40">
        <f t="shared" si="152"/>
        <v>0</v>
      </c>
      <c r="T231" s="40">
        <f t="shared" si="153"/>
        <v>0.26962216727873345</v>
      </c>
      <c r="U231" s="40">
        <f t="shared" si="154"/>
        <v>0.26541658594164214</v>
      </c>
      <c r="V231" s="25">
        <f t="shared" si="169"/>
        <v>0</v>
      </c>
      <c r="W231" s="25">
        <f t="shared" si="170"/>
        <v>0</v>
      </c>
      <c r="X231" s="40">
        <f t="shared" si="155"/>
        <v>0</v>
      </c>
      <c r="Y231" s="40">
        <f t="shared" si="156"/>
        <v>0</v>
      </c>
      <c r="Z231" s="40">
        <f t="shared" si="157"/>
        <v>0</v>
      </c>
      <c r="AA231" s="40">
        <f t="shared" si="158"/>
        <v>0</v>
      </c>
      <c r="AB231" s="40">
        <f t="shared" si="159"/>
        <v>0</v>
      </c>
      <c r="AC231" s="40">
        <f t="shared" si="160"/>
        <v>0</v>
      </c>
      <c r="AD231" s="26">
        <v>1723.48815255626</v>
      </c>
      <c r="AE231" s="8">
        <v>1696.60508992738</v>
      </c>
      <c r="AF231" s="61">
        <f t="shared" si="171"/>
        <v>0.67106453921286402</v>
      </c>
      <c r="AG231" s="61">
        <f t="shared" si="172"/>
        <v>0.67106453921286402</v>
      </c>
      <c r="AH231" s="74">
        <f t="shared" si="173"/>
        <v>1</v>
      </c>
      <c r="AI231" s="74">
        <f>D231/AG231</f>
        <v>1</v>
      </c>
      <c r="AJ231" s="74">
        <f t="shared" si="174"/>
        <v>1</v>
      </c>
      <c r="AK231" s="74">
        <f>$D231/(AF231)</f>
        <v>1</v>
      </c>
      <c r="AL231" s="74">
        <f t="shared" si="175"/>
        <v>0</v>
      </c>
      <c r="AM231" s="74">
        <f t="shared" si="196"/>
        <v>0</v>
      </c>
      <c r="AN231" s="74">
        <f t="shared" si="176"/>
        <v>1</v>
      </c>
      <c r="AO231" s="74">
        <f t="shared" si="177"/>
        <v>1</v>
      </c>
      <c r="AP231" s="74">
        <f t="shared" si="178"/>
        <v>6.8166668722939079</v>
      </c>
      <c r="AQ231" s="74">
        <f t="shared" si="179"/>
        <v>6.8166668722939079</v>
      </c>
      <c r="AR231" s="74">
        <f t="shared" si="180"/>
        <v>0</v>
      </c>
      <c r="AS231" s="74">
        <f t="shared" si="181"/>
        <v>1</v>
      </c>
      <c r="AT231" s="74">
        <f t="shared" si="182"/>
        <v>0</v>
      </c>
      <c r="AU231" s="74">
        <f t="shared" si="183"/>
        <v>0</v>
      </c>
      <c r="AV231" s="74">
        <f t="shared" si="184"/>
        <v>0</v>
      </c>
      <c r="AW231" s="74">
        <f t="shared" si="185"/>
        <v>0</v>
      </c>
      <c r="AX231" s="74">
        <f t="shared" si="186"/>
        <v>0</v>
      </c>
      <c r="AY231" s="74">
        <f t="shared" si="187"/>
        <v>0</v>
      </c>
      <c r="AZ231" s="74" t="e">
        <f t="shared" si="188"/>
        <v>#DIV/0!</v>
      </c>
      <c r="BA231" s="74" t="e">
        <f t="shared" si="189"/>
        <v>#DIV/0!</v>
      </c>
      <c r="BB231" s="74">
        <f t="shared" si="190"/>
        <v>3.0917554025851083E-3</v>
      </c>
      <c r="BC231" s="74">
        <f t="shared" si="191"/>
        <v>3.9553372979777375E-4</v>
      </c>
      <c r="BD231" s="74">
        <f t="shared" si="192"/>
        <v>3.8936417301015265E-4</v>
      </c>
      <c r="BE231" s="75">
        <f t="shared" si="193"/>
        <v>3.9553372979777375E-4</v>
      </c>
    </row>
    <row r="232" spans="1:57" x14ac:dyDescent="0.35">
      <c r="A232" s="7" t="s">
        <v>29</v>
      </c>
      <c r="B232" s="11" t="s">
        <v>71</v>
      </c>
      <c r="C232" s="47">
        <f t="shared" si="161"/>
        <v>0.88915929744339195</v>
      </c>
      <c r="D232" s="23">
        <f t="shared" si="162"/>
        <v>1.0037314865231579</v>
      </c>
      <c r="E232" s="50">
        <f>[1]data!E232-[1]data!E194</f>
        <v>2.9114479823818513</v>
      </c>
      <c r="F232" s="36">
        <f>[1]data!F232-[1]data!F194</f>
        <v>-1.9077164958586934</v>
      </c>
      <c r="G232" s="36">
        <f>[1]data!G232-[1]data!G194</f>
        <v>-0.11457218907976596</v>
      </c>
      <c r="H232" s="25">
        <f t="shared" si="163"/>
        <v>-0.57747680337614682</v>
      </c>
      <c r="I232" s="36">
        <f>[1]data!I232-[1]data!I194</f>
        <v>-2.6046627157700897E-2</v>
      </c>
      <c r="J232" s="36">
        <f>[1]data!J232-[1]data!J194</f>
        <v>-0.55143017621844592</v>
      </c>
      <c r="K232" s="36">
        <f>[1]data!K232-[1]data!K194</f>
        <v>0</v>
      </c>
      <c r="L232" s="25">
        <f t="shared" si="164"/>
        <v>3.3978716560557121E-2</v>
      </c>
      <c r="M232" s="25">
        <f t="shared" si="165"/>
        <v>3.8357027566984822E-2</v>
      </c>
      <c r="N232" s="25">
        <f t="shared" si="166"/>
        <v>3.0585885577560569E-2</v>
      </c>
      <c r="O232" s="25">
        <f t="shared" si="167"/>
        <v>3.4527014996822425E-2</v>
      </c>
      <c r="P232" s="24">
        <f t="shared" si="168"/>
        <v>0.11125932783766117</v>
      </c>
      <c r="Q232" s="40">
        <f t="shared" si="150"/>
        <v>0.10014990014747067</v>
      </c>
      <c r="R232" s="40">
        <f t="shared" si="151"/>
        <v>-7.2902300270676346E-2</v>
      </c>
      <c r="S232" s="40">
        <f t="shared" si="152"/>
        <v>-6.562288515064825E-2</v>
      </c>
      <c r="T232" s="40">
        <f t="shared" si="153"/>
        <v>-4.3783110064277023E-3</v>
      </c>
      <c r="U232" s="40">
        <f t="shared" si="154"/>
        <v>-3.9411294192618568E-3</v>
      </c>
      <c r="V232" s="25">
        <f t="shared" si="169"/>
        <v>-2.206794741800908E-2</v>
      </c>
      <c r="W232" s="25">
        <f t="shared" si="170"/>
        <v>-1.9864426411042229E-2</v>
      </c>
      <c r="X232" s="40">
        <f t="shared" si="155"/>
        <v>-9.9535703455473743E-4</v>
      </c>
      <c r="Y232" s="40">
        <f t="shared" si="156"/>
        <v>-8.9596899027819064E-4</v>
      </c>
      <c r="Z232" s="40">
        <f t="shared" si="157"/>
        <v>-2.1072590383454343E-2</v>
      </c>
      <c r="AA232" s="40">
        <f t="shared" si="158"/>
        <v>-1.8968457420764039E-2</v>
      </c>
      <c r="AB232" s="40">
        <f t="shared" si="159"/>
        <v>0</v>
      </c>
      <c r="AC232" s="40">
        <f t="shared" si="160"/>
        <v>0</v>
      </c>
      <c r="AD232" s="26">
        <v>2907.0902498102801</v>
      </c>
      <c r="AE232" s="8">
        <v>2616.8124857180101</v>
      </c>
      <c r="AF232" s="61">
        <f t="shared" si="171"/>
        <v>0.42625468314701109</v>
      </c>
      <c r="AG232" s="61">
        <f>(D232)+(H232*-1)</f>
        <v>1.5812082898993047</v>
      </c>
      <c r="AH232" s="74">
        <f t="shared" si="173"/>
        <v>0.63478764495161988</v>
      </c>
      <c r="AI232" s="74">
        <f>D232/AG232</f>
        <v>0.63478764495161988</v>
      </c>
      <c r="AJ232" s="74">
        <f t="shared" si="174"/>
        <v>2.3547694047902827</v>
      </c>
      <c r="AK232" s="74">
        <f>$D232/(AF232)</f>
        <v>2.3547694047902827</v>
      </c>
      <c r="AL232" s="74">
        <f t="shared" si="175"/>
        <v>-1.206492849832062</v>
      </c>
      <c r="AM232" s="74">
        <f t="shared" si="196"/>
        <v>-4.4755320499334914</v>
      </c>
      <c r="AN232" s="74">
        <f t="shared" si="176"/>
        <v>1.8412804947836818</v>
      </c>
      <c r="AO232" s="74">
        <f t="shared" si="177"/>
        <v>6.8303014547237746</v>
      </c>
      <c r="AP232" s="74">
        <f t="shared" si="178"/>
        <v>-7.245863167531344E-2</v>
      </c>
      <c r="AQ232" s="74">
        <f t="shared" si="179"/>
        <v>-0.26878810628867889</v>
      </c>
      <c r="AR232" s="74">
        <f t="shared" si="180"/>
        <v>-1.9006243417418975</v>
      </c>
      <c r="AS232" s="74">
        <f t="shared" si="181"/>
        <v>2.9006243417418975</v>
      </c>
      <c r="AT232" s="74">
        <f t="shared" si="182"/>
        <v>-0.36521235504838012</v>
      </c>
      <c r="AU232" s="74">
        <f t="shared" si="183"/>
        <v>-1.3547694047902827</v>
      </c>
      <c r="AV232" s="74">
        <f t="shared" si="184"/>
        <v>-1.6472609790933748E-2</v>
      </c>
      <c r="AW232" s="74">
        <f t="shared" si="185"/>
        <v>-6.1105785314545552E-2</v>
      </c>
      <c r="AX232" s="74">
        <f t="shared" si="186"/>
        <v>-0.34873974525744633</v>
      </c>
      <c r="AY232" s="74">
        <f t="shared" si="187"/>
        <v>-1.2936636194757374</v>
      </c>
      <c r="AZ232" s="74">
        <f t="shared" si="188"/>
        <v>4.5104196403080624E-2</v>
      </c>
      <c r="BA232" s="74">
        <f t="shared" si="189"/>
        <v>0.95489580359691939</v>
      </c>
      <c r="BB232" s="74">
        <f t="shared" si="190"/>
        <v>1.1910769142548042E-4</v>
      </c>
      <c r="BC232" s="74">
        <f t="shared" si="191"/>
        <v>1.6289080148975744E-4</v>
      </c>
      <c r="BD232" s="74">
        <f t="shared" si="192"/>
        <v>1.4662588585780196E-4</v>
      </c>
      <c r="BE232" s="75">
        <f t="shared" si="193"/>
        <v>6.0424974984993904E-4</v>
      </c>
    </row>
    <row r="233" spans="1:57" x14ac:dyDescent="0.35">
      <c r="A233" s="7" t="s">
        <v>30</v>
      </c>
      <c r="B233" s="11" t="s">
        <v>71</v>
      </c>
      <c r="C233" s="47">
        <f t="shared" si="161"/>
        <v>69.618193420619207</v>
      </c>
      <c r="D233" s="23">
        <f t="shared" si="162"/>
        <v>69.618193420619207</v>
      </c>
      <c r="E233" s="50">
        <f>[1]data!E233-[1]data!E195</f>
        <v>0</v>
      </c>
      <c r="F233" s="36">
        <f>[1]data!F233-[1]data!F195</f>
        <v>69.618193420619207</v>
      </c>
      <c r="G233" s="36">
        <f>[1]data!G233-[1]data!G195</f>
        <v>0</v>
      </c>
      <c r="H233" s="25">
        <f t="shared" si="163"/>
        <v>0</v>
      </c>
      <c r="I233" s="36">
        <f>[1]data!I233-[1]data!I195</f>
        <v>0</v>
      </c>
      <c r="J233" s="36">
        <f>[1]data!J233-[1]data!J195</f>
        <v>0</v>
      </c>
      <c r="K233" s="36">
        <f>[1]data!K233-[1]data!K195</f>
        <v>0</v>
      </c>
      <c r="L233" s="25">
        <f t="shared" si="164"/>
        <v>1.9352808465074895</v>
      </c>
      <c r="M233" s="25">
        <f t="shared" si="165"/>
        <v>1.9352808465074895</v>
      </c>
      <c r="N233" s="25">
        <f t="shared" si="166"/>
        <v>1.67279660479225</v>
      </c>
      <c r="O233" s="25">
        <f t="shared" si="167"/>
        <v>1.67279660479225</v>
      </c>
      <c r="P233" s="24">
        <f t="shared" si="168"/>
        <v>0</v>
      </c>
      <c r="Q233" s="40">
        <f t="shared" si="150"/>
        <v>0</v>
      </c>
      <c r="R233" s="40">
        <f t="shared" si="151"/>
        <v>1.9352808465074895</v>
      </c>
      <c r="S233" s="40">
        <f t="shared" si="152"/>
        <v>1.67279660479225</v>
      </c>
      <c r="T233" s="40">
        <f t="shared" si="153"/>
        <v>0</v>
      </c>
      <c r="U233" s="40">
        <f t="shared" si="154"/>
        <v>0</v>
      </c>
      <c r="V233" s="25">
        <f t="shared" si="169"/>
        <v>0</v>
      </c>
      <c r="W233" s="25">
        <f t="shared" si="170"/>
        <v>0</v>
      </c>
      <c r="X233" s="40">
        <f t="shared" si="155"/>
        <v>0</v>
      </c>
      <c r="Y233" s="40">
        <f t="shared" si="156"/>
        <v>0</v>
      </c>
      <c r="Z233" s="40">
        <f t="shared" si="157"/>
        <v>0</v>
      </c>
      <c r="AA233" s="40">
        <f t="shared" si="158"/>
        <v>0</v>
      </c>
      <c r="AB233" s="40">
        <f t="shared" si="159"/>
        <v>0</v>
      </c>
      <c r="AC233" s="40">
        <f t="shared" si="160"/>
        <v>0</v>
      </c>
      <c r="AD233" s="26">
        <v>4161.7847155581303</v>
      </c>
      <c r="AE233" s="8">
        <v>3597.3173374942398</v>
      </c>
      <c r="AF233" s="61">
        <f t="shared" si="171"/>
        <v>69.618193420619207</v>
      </c>
      <c r="AG233" s="61">
        <f t="shared" si="172"/>
        <v>69.618193420619207</v>
      </c>
      <c r="AH233" s="74">
        <f t="shared" si="173"/>
        <v>1</v>
      </c>
      <c r="AI233" s="74">
        <f>D233/AG233</f>
        <v>1</v>
      </c>
      <c r="AJ233" s="74">
        <f t="shared" si="174"/>
        <v>1</v>
      </c>
      <c r="AK233" s="74">
        <f>$D233/(AF233)</f>
        <v>1</v>
      </c>
      <c r="AL233" s="74">
        <f t="shared" si="175"/>
        <v>1</v>
      </c>
      <c r="AM233" s="74">
        <f t="shared" si="196"/>
        <v>1</v>
      </c>
      <c r="AN233" s="74">
        <f t="shared" si="176"/>
        <v>0</v>
      </c>
      <c r="AO233" s="74">
        <f t="shared" si="177"/>
        <v>0</v>
      </c>
      <c r="AP233" s="74">
        <f t="shared" si="178"/>
        <v>0</v>
      </c>
      <c r="AQ233" s="74">
        <f t="shared" si="179"/>
        <v>0</v>
      </c>
      <c r="AR233" s="74">
        <f t="shared" si="180"/>
        <v>1</v>
      </c>
      <c r="AS233" s="74">
        <f t="shared" si="181"/>
        <v>0</v>
      </c>
      <c r="AT233" s="74">
        <f t="shared" si="182"/>
        <v>0</v>
      </c>
      <c r="AU233" s="74">
        <f t="shared" si="183"/>
        <v>0</v>
      </c>
      <c r="AV233" s="74">
        <f t="shared" si="184"/>
        <v>0</v>
      </c>
      <c r="AW233" s="74">
        <f t="shared" si="185"/>
        <v>0</v>
      </c>
      <c r="AX233" s="74">
        <f t="shared" si="186"/>
        <v>0</v>
      </c>
      <c r="AY233" s="74">
        <f t="shared" si="187"/>
        <v>0</v>
      </c>
      <c r="AZ233" s="74" t="e">
        <f t="shared" si="188"/>
        <v>#DIV/0!</v>
      </c>
      <c r="BA233" s="74" t="e">
        <f t="shared" si="189"/>
        <v>#DIV/0!</v>
      </c>
      <c r="BB233" s="74">
        <f t="shared" si="190"/>
        <v>1.9352808465074894E-2</v>
      </c>
      <c r="BC233" s="74">
        <f t="shared" si="191"/>
        <v>1.9352808465074894E-2</v>
      </c>
      <c r="BD233" s="74">
        <f t="shared" si="192"/>
        <v>1.67279660479225E-2</v>
      </c>
      <c r="BE233" s="75">
        <f t="shared" si="193"/>
        <v>1.9352808465074894E-2</v>
      </c>
    </row>
    <row r="234" spans="1:57" x14ac:dyDescent="0.35">
      <c r="A234" s="7" t="s">
        <v>31</v>
      </c>
      <c r="B234" s="11" t="s">
        <v>71</v>
      </c>
      <c r="C234" s="47">
        <f t="shared" si="161"/>
        <v>0</v>
      </c>
      <c r="D234" s="23">
        <f t="shared" si="162"/>
        <v>0</v>
      </c>
      <c r="E234" s="50">
        <f>[1]data!E234-[1]data!E196</f>
        <v>0</v>
      </c>
      <c r="F234" s="36">
        <f>[1]data!F234-[1]data!F196</f>
        <v>0</v>
      </c>
      <c r="G234" s="36">
        <f>[1]data!G234-[1]data!G196</f>
        <v>0</v>
      </c>
      <c r="H234" s="25">
        <f t="shared" si="163"/>
        <v>0</v>
      </c>
      <c r="I234" s="36">
        <f>[1]data!I234-[1]data!I196</f>
        <v>0</v>
      </c>
      <c r="J234" s="36">
        <f>[1]data!J234-[1]data!J196</f>
        <v>0</v>
      </c>
      <c r="K234" s="36">
        <f>[1]data!K234-[1]data!K196</f>
        <v>0</v>
      </c>
      <c r="L234" s="25">
        <f t="shared" si="164"/>
        <v>0</v>
      </c>
      <c r="M234" s="25">
        <f t="shared" si="165"/>
        <v>0</v>
      </c>
      <c r="N234" s="25">
        <f t="shared" si="166"/>
        <v>0</v>
      </c>
      <c r="O234" s="25">
        <f t="shared" si="167"/>
        <v>0</v>
      </c>
      <c r="P234" s="24">
        <f t="shared" si="168"/>
        <v>0</v>
      </c>
      <c r="Q234" s="40">
        <f t="shared" si="150"/>
        <v>0</v>
      </c>
      <c r="R234" s="40">
        <f t="shared" si="151"/>
        <v>0</v>
      </c>
      <c r="S234" s="40">
        <f t="shared" si="152"/>
        <v>0</v>
      </c>
      <c r="T234" s="40">
        <f t="shared" si="153"/>
        <v>0</v>
      </c>
      <c r="U234" s="40">
        <f t="shared" si="154"/>
        <v>0</v>
      </c>
      <c r="V234" s="25">
        <f t="shared" si="169"/>
        <v>0</v>
      </c>
      <c r="W234" s="25">
        <f t="shared" si="170"/>
        <v>0</v>
      </c>
      <c r="X234" s="40">
        <f t="shared" si="155"/>
        <v>0</v>
      </c>
      <c r="Y234" s="40">
        <f t="shared" si="156"/>
        <v>0</v>
      </c>
      <c r="Z234" s="40">
        <f t="shared" si="157"/>
        <v>0</v>
      </c>
      <c r="AA234" s="40">
        <f t="shared" si="158"/>
        <v>0</v>
      </c>
      <c r="AB234" s="40">
        <f t="shared" si="159"/>
        <v>0</v>
      </c>
      <c r="AC234" s="40">
        <f t="shared" si="160"/>
        <v>0</v>
      </c>
      <c r="AD234" s="26">
        <v>2337.6598158571201</v>
      </c>
      <c r="AE234" s="8">
        <v>1918.15761738117</v>
      </c>
      <c r="AF234" s="61">
        <f t="shared" si="171"/>
        <v>0</v>
      </c>
      <c r="AG234" s="61">
        <f t="shared" si="172"/>
        <v>0</v>
      </c>
      <c r="AH234" s="74">
        <v>0</v>
      </c>
      <c r="AI234" s="74">
        <v>0</v>
      </c>
      <c r="AJ234" s="74">
        <v>0</v>
      </c>
      <c r="AK234" s="74">
        <v>0</v>
      </c>
      <c r="AL234" s="74" t="e">
        <f t="shared" si="175"/>
        <v>#DIV/0!</v>
      </c>
      <c r="AM234" s="74" t="e">
        <f t="shared" si="196"/>
        <v>#DIV/0!</v>
      </c>
      <c r="AN234" s="74" t="e">
        <f t="shared" si="176"/>
        <v>#DIV/0!</v>
      </c>
      <c r="AO234" s="74" t="e">
        <f t="shared" si="177"/>
        <v>#DIV/0!</v>
      </c>
      <c r="AP234" s="74" t="e">
        <f t="shared" si="178"/>
        <v>#DIV/0!</v>
      </c>
      <c r="AQ234" s="74" t="e">
        <f t="shared" si="179"/>
        <v>#DIV/0!</v>
      </c>
      <c r="AR234" s="74" t="e">
        <f t="shared" si="180"/>
        <v>#DIV/0!</v>
      </c>
      <c r="AS234" s="74" t="e">
        <f t="shared" si="181"/>
        <v>#DIV/0!</v>
      </c>
      <c r="AT234" s="74" t="e">
        <f t="shared" si="182"/>
        <v>#DIV/0!</v>
      </c>
      <c r="AU234" s="74" t="e">
        <f t="shared" si="183"/>
        <v>#DIV/0!</v>
      </c>
      <c r="AV234" s="74" t="e">
        <f t="shared" si="184"/>
        <v>#DIV/0!</v>
      </c>
      <c r="AW234" s="74" t="e">
        <f t="shared" si="185"/>
        <v>#DIV/0!</v>
      </c>
      <c r="AX234" s="74" t="e">
        <f t="shared" si="186"/>
        <v>#DIV/0!</v>
      </c>
      <c r="AY234" s="74" t="e">
        <f t="shared" si="187"/>
        <v>#DIV/0!</v>
      </c>
      <c r="AZ234" s="74" t="e">
        <f t="shared" si="188"/>
        <v>#DIV/0!</v>
      </c>
      <c r="BA234" s="74" t="e">
        <f t="shared" si="189"/>
        <v>#DIV/0!</v>
      </c>
      <c r="BB234" s="74">
        <f t="shared" si="190"/>
        <v>0</v>
      </c>
      <c r="BC234" s="74">
        <f t="shared" si="191"/>
        <v>0</v>
      </c>
      <c r="BD234" s="74">
        <f t="shared" si="192"/>
        <v>0</v>
      </c>
      <c r="BE234" s="75">
        <f t="shared" si="193"/>
        <v>0</v>
      </c>
    </row>
    <row r="235" spans="1:57" x14ac:dyDescent="0.35">
      <c r="A235" s="7" t="s">
        <v>32</v>
      </c>
      <c r="B235" s="11" t="s">
        <v>71</v>
      </c>
      <c r="C235" s="47">
        <f t="shared" si="161"/>
        <v>13.111734743751953</v>
      </c>
      <c r="D235" s="23">
        <f t="shared" si="162"/>
        <v>13.111734743751953</v>
      </c>
      <c r="E235" s="50">
        <f>[1]data!E235-[1]data!E197</f>
        <v>10.302077298662283</v>
      </c>
      <c r="F235" s="36">
        <f>[1]data!F235-[1]data!F197</f>
        <v>2.8096574450896696</v>
      </c>
      <c r="G235" s="36">
        <f>[1]data!G235-[1]data!G197</f>
        <v>0</v>
      </c>
      <c r="H235" s="25">
        <f t="shared" si="163"/>
        <v>0</v>
      </c>
      <c r="I235" s="36">
        <f>[1]data!I235-[1]data!I197</f>
        <v>0</v>
      </c>
      <c r="J235" s="36">
        <f>[1]data!J235-[1]data!J197</f>
        <v>0</v>
      </c>
      <c r="K235" s="36">
        <f>[1]data!K235-[1]data!K197</f>
        <v>0</v>
      </c>
      <c r="L235" s="25">
        <f t="shared" si="164"/>
        <v>0.28726510612117057</v>
      </c>
      <c r="M235" s="25">
        <f t="shared" si="165"/>
        <v>0.28726510612117057</v>
      </c>
      <c r="N235" s="25">
        <f t="shared" si="166"/>
        <v>0.24623659365109327</v>
      </c>
      <c r="O235" s="25">
        <f t="shared" si="167"/>
        <v>0.24623659365109327</v>
      </c>
      <c r="P235" s="24">
        <f t="shared" si="168"/>
        <v>0.22570829766663478</v>
      </c>
      <c r="Q235" s="40">
        <f t="shared" si="150"/>
        <v>0.19347160929728821</v>
      </c>
      <c r="R235" s="40">
        <f t="shared" si="151"/>
        <v>6.1556808454535795E-2</v>
      </c>
      <c r="S235" s="40">
        <f t="shared" si="152"/>
        <v>5.2764984353805056E-2</v>
      </c>
      <c r="T235" s="40">
        <f t="shared" si="153"/>
        <v>0</v>
      </c>
      <c r="U235" s="40">
        <f t="shared" si="154"/>
        <v>0</v>
      </c>
      <c r="V235" s="25">
        <f t="shared" si="169"/>
        <v>0</v>
      </c>
      <c r="W235" s="25">
        <f t="shared" si="170"/>
        <v>0</v>
      </c>
      <c r="X235" s="40">
        <f t="shared" si="155"/>
        <v>0</v>
      </c>
      <c r="Y235" s="40">
        <f t="shared" si="156"/>
        <v>0</v>
      </c>
      <c r="Z235" s="40">
        <f t="shared" si="157"/>
        <v>0</v>
      </c>
      <c r="AA235" s="40">
        <f t="shared" si="158"/>
        <v>0</v>
      </c>
      <c r="AB235" s="40">
        <f t="shared" si="159"/>
        <v>0</v>
      </c>
      <c r="AC235" s="40">
        <f t="shared" si="160"/>
        <v>0</v>
      </c>
      <c r="AD235" s="26">
        <v>5324.8522282316499</v>
      </c>
      <c r="AE235" s="8">
        <v>4564.3325500944502</v>
      </c>
      <c r="AF235" s="61">
        <f t="shared" si="171"/>
        <v>13.111734743751953</v>
      </c>
      <c r="AG235" s="61">
        <f t="shared" si="172"/>
        <v>13.111734743751953</v>
      </c>
      <c r="AH235" s="74">
        <f t="shared" si="173"/>
        <v>1</v>
      </c>
      <c r="AI235" s="74">
        <f>D235/AG235</f>
        <v>1</v>
      </c>
      <c r="AJ235" s="74">
        <f t="shared" si="174"/>
        <v>1</v>
      </c>
      <c r="AK235" s="74">
        <f>$D235/(AF235)</f>
        <v>1</v>
      </c>
      <c r="AL235" s="74">
        <f t="shared" si="175"/>
        <v>0.21428571428571166</v>
      </c>
      <c r="AM235" s="74">
        <f t="shared" si="196"/>
        <v>0.21428571428571166</v>
      </c>
      <c r="AN235" s="74">
        <f t="shared" si="176"/>
        <v>0.78571428571428836</v>
      </c>
      <c r="AO235" s="74">
        <f t="shared" si="177"/>
        <v>0.78571428571428836</v>
      </c>
      <c r="AP235" s="74">
        <f t="shared" si="178"/>
        <v>0</v>
      </c>
      <c r="AQ235" s="74">
        <f t="shared" si="179"/>
        <v>0</v>
      </c>
      <c r="AR235" s="74">
        <f t="shared" si="180"/>
        <v>0.21428571428571166</v>
      </c>
      <c r="AS235" s="74">
        <f t="shared" si="181"/>
        <v>0.78571428571428836</v>
      </c>
      <c r="AT235" s="74">
        <f t="shared" si="182"/>
        <v>0</v>
      </c>
      <c r="AU235" s="74">
        <f t="shared" si="183"/>
        <v>0</v>
      </c>
      <c r="AV235" s="74">
        <f t="shared" si="184"/>
        <v>0</v>
      </c>
      <c r="AW235" s="74">
        <f t="shared" si="185"/>
        <v>0</v>
      </c>
      <c r="AX235" s="74">
        <f t="shared" si="186"/>
        <v>0</v>
      </c>
      <c r="AY235" s="74">
        <f t="shared" si="187"/>
        <v>0</v>
      </c>
      <c r="AZ235" s="74" t="e">
        <f t="shared" si="188"/>
        <v>#DIV/0!</v>
      </c>
      <c r="BA235" s="74" t="e">
        <f t="shared" si="189"/>
        <v>#DIV/0!</v>
      </c>
      <c r="BB235" s="74">
        <f t="shared" si="190"/>
        <v>2.8726510612117058E-3</v>
      </c>
      <c r="BC235" s="74">
        <f t="shared" si="191"/>
        <v>2.8726510612117058E-3</v>
      </c>
      <c r="BD235" s="74">
        <f t="shared" si="192"/>
        <v>2.4623659365109324E-3</v>
      </c>
      <c r="BE235" s="75">
        <f t="shared" si="193"/>
        <v>2.8726510612117058E-3</v>
      </c>
    </row>
    <row r="236" spans="1:57" x14ac:dyDescent="0.35">
      <c r="A236" s="7" t="s">
        <v>33</v>
      </c>
      <c r="B236" s="11" t="s">
        <v>71</v>
      </c>
      <c r="C236" s="47">
        <f t="shared" si="161"/>
        <v>19.745675541657533</v>
      </c>
      <c r="D236" s="23">
        <f t="shared" si="162"/>
        <v>31.3557937785978</v>
      </c>
      <c r="E236" s="50">
        <f>[1]data!E236-[1]data!E198</f>
        <v>3.4745609322229996</v>
      </c>
      <c r="F236" s="36">
        <f>[1]data!F236-[1]data!F198</f>
        <v>27.8812328463748</v>
      </c>
      <c r="G236" s="36">
        <f>[1]data!G236-[1]data!G198</f>
        <v>-11.610118236940266</v>
      </c>
      <c r="H236" s="25">
        <f t="shared" si="163"/>
        <v>0</v>
      </c>
      <c r="I236" s="36">
        <f>[1]data!I236-[1]data!I198</f>
        <v>0</v>
      </c>
      <c r="J236" s="36">
        <f>[1]data!J236-[1]data!J198</f>
        <v>0</v>
      </c>
      <c r="K236" s="36">
        <f>[1]data!K236-[1]data!K198</f>
        <v>0</v>
      </c>
      <c r="L236" s="25">
        <f t="shared" si="164"/>
        <v>1.2053665526630373</v>
      </c>
      <c r="M236" s="25">
        <f t="shared" si="165"/>
        <v>1.9141013926408748</v>
      </c>
      <c r="N236" s="25">
        <f t="shared" si="166"/>
        <v>0.91561851232610492</v>
      </c>
      <c r="O236" s="25">
        <f t="shared" si="167"/>
        <v>1.4539864788011108</v>
      </c>
      <c r="P236" s="24">
        <f t="shared" si="168"/>
        <v>0.21210312729263747</v>
      </c>
      <c r="Q236" s="40">
        <f t="shared" si="150"/>
        <v>0.16111742062390688</v>
      </c>
      <c r="R236" s="40">
        <f t="shared" si="151"/>
        <v>1.7019982653482373</v>
      </c>
      <c r="S236" s="40">
        <f t="shared" si="152"/>
        <v>1.2928690581772038</v>
      </c>
      <c r="T236" s="40">
        <f t="shared" si="153"/>
        <v>-0.70873483997783737</v>
      </c>
      <c r="U236" s="40">
        <f t="shared" si="154"/>
        <v>-0.53836796647500584</v>
      </c>
      <c r="V236" s="25">
        <f t="shared" si="169"/>
        <v>0</v>
      </c>
      <c r="W236" s="25">
        <f t="shared" si="170"/>
        <v>0</v>
      </c>
      <c r="X236" s="40">
        <f t="shared" si="155"/>
        <v>0</v>
      </c>
      <c r="Y236" s="40">
        <f t="shared" si="156"/>
        <v>0</v>
      </c>
      <c r="Z236" s="40">
        <f t="shared" si="157"/>
        <v>0</v>
      </c>
      <c r="AA236" s="40">
        <f t="shared" si="158"/>
        <v>0</v>
      </c>
      <c r="AB236" s="40">
        <f t="shared" si="159"/>
        <v>0</v>
      </c>
      <c r="AC236" s="40">
        <f t="shared" si="160"/>
        <v>0</v>
      </c>
      <c r="AD236" s="26">
        <v>2156.5395714307001</v>
      </c>
      <c r="AE236" s="8">
        <v>1638.14696019506</v>
      </c>
      <c r="AF236" s="61">
        <f t="shared" si="171"/>
        <v>31.3557937785978</v>
      </c>
      <c r="AG236" s="61">
        <f t="shared" si="172"/>
        <v>31.3557937785978</v>
      </c>
      <c r="AH236" s="74">
        <f t="shared" si="173"/>
        <v>1</v>
      </c>
      <c r="AI236" s="74">
        <f>D236/AG236</f>
        <v>1</v>
      </c>
      <c r="AJ236" s="74">
        <f t="shared" si="174"/>
        <v>1</v>
      </c>
      <c r="AK236" s="74">
        <f>$D236/(AF236)</f>
        <v>1</v>
      </c>
      <c r="AL236" s="74">
        <f t="shared" si="175"/>
        <v>0.88918918918918921</v>
      </c>
      <c r="AM236" s="74">
        <f t="shared" si="196"/>
        <v>0.88918918918918921</v>
      </c>
      <c r="AN236" s="74">
        <f t="shared" si="176"/>
        <v>0.11081081081081082</v>
      </c>
      <c r="AO236" s="74">
        <f t="shared" si="177"/>
        <v>0.11081081081081082</v>
      </c>
      <c r="AP236" s="74">
        <f t="shared" si="178"/>
        <v>-0.37027027027027026</v>
      </c>
      <c r="AQ236" s="74">
        <f t="shared" si="179"/>
        <v>-0.37027027027027026</v>
      </c>
      <c r="AR236" s="74">
        <f t="shared" si="180"/>
        <v>0.88918918918918921</v>
      </c>
      <c r="AS236" s="74">
        <f t="shared" si="181"/>
        <v>0.11081081081081082</v>
      </c>
      <c r="AT236" s="74">
        <f t="shared" si="182"/>
        <v>0</v>
      </c>
      <c r="AU236" s="74">
        <f t="shared" si="183"/>
        <v>0</v>
      </c>
      <c r="AV236" s="74">
        <f t="shared" si="184"/>
        <v>0</v>
      </c>
      <c r="AW236" s="74">
        <f t="shared" si="185"/>
        <v>0</v>
      </c>
      <c r="AX236" s="74">
        <f t="shared" si="186"/>
        <v>0</v>
      </c>
      <c r="AY236" s="74">
        <f t="shared" si="187"/>
        <v>0</v>
      </c>
      <c r="AZ236" s="74" t="e">
        <f t="shared" si="188"/>
        <v>#DIV/0!</v>
      </c>
      <c r="BA236" s="74" t="e">
        <f t="shared" si="189"/>
        <v>#DIV/0!</v>
      </c>
      <c r="BB236" s="74">
        <f t="shared" si="190"/>
        <v>1.2053665526630373E-2</v>
      </c>
      <c r="BC236" s="74">
        <f t="shared" si="191"/>
        <v>1.9141013926408747E-2</v>
      </c>
      <c r="BD236" s="74">
        <f t="shared" si="192"/>
        <v>1.4539864788011107E-2</v>
      </c>
      <c r="BE236" s="75">
        <f t="shared" si="193"/>
        <v>1.9141013926408747E-2</v>
      </c>
    </row>
    <row r="237" spans="1:57" x14ac:dyDescent="0.35">
      <c r="A237" s="7" t="s">
        <v>34</v>
      </c>
      <c r="B237" s="11" t="s">
        <v>71</v>
      </c>
      <c r="C237" s="47">
        <f t="shared" si="161"/>
        <v>10.431316194499331</v>
      </c>
      <c r="D237" s="23">
        <f t="shared" si="162"/>
        <v>10.431316194499331</v>
      </c>
      <c r="E237" s="50">
        <f>[1]data!E237-[1]data!E199</f>
        <v>5.831950301301049</v>
      </c>
      <c r="F237" s="36">
        <f>[1]data!F237-[1]data!F199</f>
        <v>4.5993658931982822</v>
      </c>
      <c r="G237" s="36">
        <f>[1]data!G237-[1]data!G199</f>
        <v>0</v>
      </c>
      <c r="H237" s="25">
        <f t="shared" si="163"/>
        <v>0</v>
      </c>
      <c r="I237" s="36">
        <f>[1]data!I237-[1]data!I199</f>
        <v>0</v>
      </c>
      <c r="J237" s="36">
        <f>[1]data!J237-[1]data!J199</f>
        <v>0</v>
      </c>
      <c r="K237" s="36">
        <f>[1]data!K237-[1]data!K199</f>
        <v>0</v>
      </c>
      <c r="L237" s="25">
        <f t="shared" si="164"/>
        <v>0.78791226741858011</v>
      </c>
      <c r="M237" s="25">
        <f t="shared" si="165"/>
        <v>0.78791226741858011</v>
      </c>
      <c r="N237" s="25">
        <f t="shared" si="166"/>
        <v>0.58063765008396617</v>
      </c>
      <c r="O237" s="25">
        <f t="shared" si="167"/>
        <v>0.58063765008396617</v>
      </c>
      <c r="P237" s="24">
        <f t="shared" si="168"/>
        <v>0.44050674907100051</v>
      </c>
      <c r="Q237" s="40">
        <f t="shared" si="150"/>
        <v>0.32462345644738155</v>
      </c>
      <c r="R237" s="40">
        <f t="shared" si="151"/>
        <v>0.34740551834757954</v>
      </c>
      <c r="S237" s="40">
        <f t="shared" si="152"/>
        <v>0.25601419363658462</v>
      </c>
      <c r="T237" s="40">
        <f t="shared" si="153"/>
        <v>0</v>
      </c>
      <c r="U237" s="40">
        <f t="shared" si="154"/>
        <v>0</v>
      </c>
      <c r="V237" s="25">
        <f t="shared" si="169"/>
        <v>0</v>
      </c>
      <c r="W237" s="25">
        <f t="shared" si="170"/>
        <v>0</v>
      </c>
      <c r="X237" s="40">
        <f t="shared" si="155"/>
        <v>0</v>
      </c>
      <c r="Y237" s="40">
        <f t="shared" si="156"/>
        <v>0</v>
      </c>
      <c r="Z237" s="40">
        <f t="shared" si="157"/>
        <v>0</v>
      </c>
      <c r="AA237" s="40">
        <f t="shared" si="158"/>
        <v>0</v>
      </c>
      <c r="AB237" s="40">
        <f t="shared" si="159"/>
        <v>0</v>
      </c>
      <c r="AC237" s="40">
        <f t="shared" si="160"/>
        <v>0</v>
      </c>
      <c r="AD237" s="26">
        <v>1796.5276955414199</v>
      </c>
      <c r="AE237" s="8">
        <v>1323.9184901480501</v>
      </c>
      <c r="AF237" s="61">
        <f t="shared" si="171"/>
        <v>10.431316194499331</v>
      </c>
      <c r="AG237" s="61">
        <f t="shared" si="172"/>
        <v>10.431316194499331</v>
      </c>
      <c r="AH237" s="74">
        <f t="shared" si="173"/>
        <v>1</v>
      </c>
      <c r="AI237" s="74">
        <f>D237/AG237</f>
        <v>1</v>
      </c>
      <c r="AJ237" s="74">
        <f t="shared" si="174"/>
        <v>1</v>
      </c>
      <c r="AK237" s="74">
        <f>$D237/(AF237)</f>
        <v>1</v>
      </c>
      <c r="AL237" s="74">
        <f t="shared" si="175"/>
        <v>0.44091903719912467</v>
      </c>
      <c r="AM237" s="74">
        <f t="shared" ref="AM237:AM258" si="199">(F237/(AF237))</f>
        <v>0.44091903719912467</v>
      </c>
      <c r="AN237" s="74">
        <f t="shared" si="176"/>
        <v>0.55908096280087538</v>
      </c>
      <c r="AO237" s="74">
        <f t="shared" si="177"/>
        <v>0.55908096280087538</v>
      </c>
      <c r="AP237" s="74">
        <f t="shared" si="178"/>
        <v>0</v>
      </c>
      <c r="AQ237" s="74">
        <f t="shared" si="179"/>
        <v>0</v>
      </c>
      <c r="AR237" s="74">
        <f t="shared" si="180"/>
        <v>0.44091903719912467</v>
      </c>
      <c r="AS237" s="74">
        <f t="shared" si="181"/>
        <v>0.55908096280087538</v>
      </c>
      <c r="AT237" s="74">
        <f t="shared" si="182"/>
        <v>0</v>
      </c>
      <c r="AU237" s="74">
        <f t="shared" si="183"/>
        <v>0</v>
      </c>
      <c r="AV237" s="74">
        <f t="shared" si="184"/>
        <v>0</v>
      </c>
      <c r="AW237" s="74">
        <f t="shared" si="185"/>
        <v>0</v>
      </c>
      <c r="AX237" s="74">
        <f t="shared" si="186"/>
        <v>0</v>
      </c>
      <c r="AY237" s="74">
        <f t="shared" si="187"/>
        <v>0</v>
      </c>
      <c r="AZ237" s="74" t="e">
        <f t="shared" si="188"/>
        <v>#DIV/0!</v>
      </c>
      <c r="BA237" s="74" t="e">
        <f t="shared" si="189"/>
        <v>#DIV/0!</v>
      </c>
      <c r="BB237" s="74">
        <f t="shared" si="190"/>
        <v>7.8791226741857998E-3</v>
      </c>
      <c r="BC237" s="74">
        <f t="shared" si="191"/>
        <v>7.8791226741857998E-3</v>
      </c>
      <c r="BD237" s="74">
        <f t="shared" si="192"/>
        <v>5.8063765008396617E-3</v>
      </c>
      <c r="BE237" s="75">
        <f t="shared" si="193"/>
        <v>7.8791226741857998E-3</v>
      </c>
    </row>
    <row r="238" spans="1:57" x14ac:dyDescent="0.35">
      <c r="A238" s="7" t="s">
        <v>35</v>
      </c>
      <c r="B238" s="11" t="s">
        <v>71</v>
      </c>
      <c r="C238" s="47">
        <f t="shared" si="161"/>
        <v>84.034402848133311</v>
      </c>
      <c r="D238" s="23">
        <f t="shared" si="162"/>
        <v>82.109950874511924</v>
      </c>
      <c r="E238" s="50">
        <f>[1]data!E238-[1]data!E200</f>
        <v>4.8708250023871642</v>
      </c>
      <c r="F238" s="36">
        <f>[1]data!F238-[1]data!F200</f>
        <v>77.23912587212476</v>
      </c>
      <c r="G238" s="36">
        <f>[1]data!G238-[1]data!G200</f>
        <v>1.9244519736213839</v>
      </c>
      <c r="H238" s="25">
        <f t="shared" si="163"/>
        <v>3.8489039472427766E-2</v>
      </c>
      <c r="I238" s="36">
        <f>[1]data!I238-[1]data!I200</f>
        <v>3.8489039472427766E-2</v>
      </c>
      <c r="J238" s="36">
        <f>[1]data!J238-[1]data!J200</f>
        <v>0</v>
      </c>
      <c r="K238" s="36">
        <f>[1]data!K238-[1]data!K200</f>
        <v>0</v>
      </c>
      <c r="L238" s="25">
        <f t="shared" si="164"/>
        <v>2.6615163699343785</v>
      </c>
      <c r="M238" s="25">
        <f t="shared" si="165"/>
        <v>2.6005656133709953</v>
      </c>
      <c r="N238" s="25">
        <f t="shared" si="166"/>
        <v>2.8563812370560999</v>
      </c>
      <c r="O238" s="25">
        <f t="shared" si="167"/>
        <v>2.7909679262838223</v>
      </c>
      <c r="P238" s="24">
        <f t="shared" si="168"/>
        <v>0.15426753852665792</v>
      </c>
      <c r="Q238" s="40">
        <f t="shared" si="150"/>
        <v>0.16556234916009141</v>
      </c>
      <c r="R238" s="40">
        <f t="shared" si="151"/>
        <v>2.4462980748443375</v>
      </c>
      <c r="S238" s="40">
        <f t="shared" si="152"/>
        <v>2.6254055771237308</v>
      </c>
      <c r="T238" s="40">
        <f t="shared" si="153"/>
        <v>6.095075656338305E-2</v>
      </c>
      <c r="U238" s="40">
        <f t="shared" si="154"/>
        <v>6.5413310772277453E-2</v>
      </c>
      <c r="V238" s="25">
        <f t="shared" si="169"/>
        <v>1.2190151312676638E-3</v>
      </c>
      <c r="W238" s="25">
        <f t="shared" si="170"/>
        <v>1.308266215445552E-3</v>
      </c>
      <c r="X238" s="40">
        <f t="shared" si="155"/>
        <v>1.2190151312676638E-3</v>
      </c>
      <c r="Y238" s="40">
        <f t="shared" si="156"/>
        <v>1.308266215445552E-3</v>
      </c>
      <c r="Z238" s="40">
        <f t="shared" si="157"/>
        <v>0</v>
      </c>
      <c r="AA238" s="40">
        <f t="shared" si="158"/>
        <v>0</v>
      </c>
      <c r="AB238" s="40">
        <f t="shared" si="159"/>
        <v>0</v>
      </c>
      <c r="AC238" s="40">
        <f t="shared" si="160"/>
        <v>0</v>
      </c>
      <c r="AD238" s="26">
        <v>2941.9883367789698</v>
      </c>
      <c r="AE238" s="8">
        <v>3157.38816403392</v>
      </c>
      <c r="AF238" s="61">
        <f t="shared" si="171"/>
        <v>82.148439913984348</v>
      </c>
      <c r="AG238" s="61">
        <f>(D238)+(H238)</f>
        <v>82.148439913984348</v>
      </c>
      <c r="AH238" s="74">
        <f t="shared" si="173"/>
        <v>0.99953146962361394</v>
      </c>
      <c r="AI238" s="74">
        <f>D238/AG238</f>
        <v>0.99953146962361394</v>
      </c>
      <c r="AJ238" s="74">
        <f t="shared" si="174"/>
        <v>0.99953146962361394</v>
      </c>
      <c r="AK238" s="74">
        <f>$D238/(AF238)</f>
        <v>0.99953146962361394</v>
      </c>
      <c r="AL238" s="74">
        <f t="shared" si="175"/>
        <v>0.94023849939207593</v>
      </c>
      <c r="AM238" s="74">
        <f t="shared" si="199"/>
        <v>0.94023849939207593</v>
      </c>
      <c r="AN238" s="74">
        <f t="shared" si="176"/>
        <v>5.9292970231538025E-2</v>
      </c>
      <c r="AO238" s="74">
        <f t="shared" si="177"/>
        <v>5.9292970231538025E-2</v>
      </c>
      <c r="AP238" s="74">
        <f t="shared" si="178"/>
        <v>2.3426518819303584E-2</v>
      </c>
      <c r="AQ238" s="74">
        <f t="shared" si="179"/>
        <v>2.3426518819303584E-2</v>
      </c>
      <c r="AR238" s="74">
        <f t="shared" si="180"/>
        <v>0.94067923618866589</v>
      </c>
      <c r="AS238" s="74">
        <f t="shared" si="181"/>
        <v>5.9320763811334061E-2</v>
      </c>
      <c r="AT238" s="74">
        <f t="shared" si="182"/>
        <v>4.6853037638607274E-4</v>
      </c>
      <c r="AU238" s="74">
        <f t="shared" si="183"/>
        <v>4.6853037638607274E-4</v>
      </c>
      <c r="AV238" s="74">
        <f t="shared" si="184"/>
        <v>4.6853037638607274E-4</v>
      </c>
      <c r="AW238" s="74">
        <f t="shared" si="185"/>
        <v>4.6853037638607274E-4</v>
      </c>
      <c r="AX238" s="74">
        <f t="shared" si="186"/>
        <v>0</v>
      </c>
      <c r="AY238" s="74">
        <f t="shared" si="187"/>
        <v>0</v>
      </c>
      <c r="AZ238" s="74">
        <f t="shared" si="188"/>
        <v>1</v>
      </c>
      <c r="BA238" s="74">
        <f t="shared" si="189"/>
        <v>0</v>
      </c>
      <c r="BB238" s="74">
        <f t="shared" si="190"/>
        <v>2.6627353850656461E-2</v>
      </c>
      <c r="BC238" s="74">
        <f t="shared" si="191"/>
        <v>2.6017846285022631E-2</v>
      </c>
      <c r="BD238" s="74">
        <f t="shared" si="192"/>
        <v>2.7922761924992677E-2</v>
      </c>
      <c r="BE238" s="75">
        <f t="shared" si="193"/>
        <v>2.6017846285022631E-2</v>
      </c>
    </row>
    <row r="239" spans="1:57" x14ac:dyDescent="0.35">
      <c r="A239" s="7" t="s">
        <v>36</v>
      </c>
      <c r="B239" s="11" t="s">
        <v>71</v>
      </c>
      <c r="C239" s="47">
        <f t="shared" si="161"/>
        <v>0</v>
      </c>
      <c r="D239" s="23">
        <f t="shared" si="162"/>
        <v>0</v>
      </c>
      <c r="E239" s="50">
        <f>[1]data!E239-[1]data!E201</f>
        <v>0</v>
      </c>
      <c r="F239" s="36">
        <f>[1]data!F239-[1]data!F201</f>
        <v>0</v>
      </c>
      <c r="G239" s="36">
        <f>[1]data!G239-[1]data!G201</f>
        <v>0</v>
      </c>
      <c r="H239" s="25">
        <f t="shared" si="163"/>
        <v>0</v>
      </c>
      <c r="I239" s="36">
        <f>[1]data!I239-[1]data!I201</f>
        <v>0</v>
      </c>
      <c r="J239" s="36">
        <f>[1]data!J239-[1]data!J201</f>
        <v>0</v>
      </c>
      <c r="K239" s="36">
        <f>[1]data!K239-[1]data!K201</f>
        <v>0</v>
      </c>
      <c r="L239" s="25">
        <f t="shared" si="164"/>
        <v>0</v>
      </c>
      <c r="M239" s="25">
        <f t="shared" si="165"/>
        <v>0</v>
      </c>
      <c r="N239" s="25">
        <f t="shared" si="166"/>
        <v>0</v>
      </c>
      <c r="O239" s="25">
        <f t="shared" si="167"/>
        <v>0</v>
      </c>
      <c r="P239" s="24">
        <f t="shared" si="168"/>
        <v>0</v>
      </c>
      <c r="Q239" s="40">
        <f t="shared" si="150"/>
        <v>0</v>
      </c>
      <c r="R239" s="40">
        <f t="shared" si="151"/>
        <v>0</v>
      </c>
      <c r="S239" s="40">
        <f t="shared" si="152"/>
        <v>0</v>
      </c>
      <c r="T239" s="40">
        <f t="shared" si="153"/>
        <v>0</v>
      </c>
      <c r="U239" s="40">
        <f t="shared" si="154"/>
        <v>0</v>
      </c>
      <c r="V239" s="25">
        <f t="shared" si="169"/>
        <v>0</v>
      </c>
      <c r="W239" s="25">
        <f t="shared" si="170"/>
        <v>0</v>
      </c>
      <c r="X239" s="40">
        <f t="shared" si="155"/>
        <v>0</v>
      </c>
      <c r="Y239" s="40">
        <f t="shared" si="156"/>
        <v>0</v>
      </c>
      <c r="Z239" s="40">
        <f t="shared" si="157"/>
        <v>0</v>
      </c>
      <c r="AA239" s="40">
        <f t="shared" si="158"/>
        <v>0</v>
      </c>
      <c r="AB239" s="40">
        <f t="shared" si="159"/>
        <v>0</v>
      </c>
      <c r="AC239" s="40">
        <f t="shared" si="160"/>
        <v>0</v>
      </c>
      <c r="AD239" s="26">
        <v>19974.2138871676</v>
      </c>
      <c r="AE239" s="8">
        <v>19928.975197</v>
      </c>
      <c r="AF239" s="61">
        <f t="shared" si="171"/>
        <v>0</v>
      </c>
      <c r="AG239" s="61">
        <f t="shared" si="172"/>
        <v>0</v>
      </c>
      <c r="AH239" s="74">
        <v>0</v>
      </c>
      <c r="AI239" s="74">
        <v>0</v>
      </c>
      <c r="AJ239" s="74">
        <v>0</v>
      </c>
      <c r="AK239" s="74">
        <v>0</v>
      </c>
      <c r="AL239" s="74" t="e">
        <f t="shared" si="175"/>
        <v>#DIV/0!</v>
      </c>
      <c r="AM239" s="74" t="e">
        <f t="shared" si="199"/>
        <v>#DIV/0!</v>
      </c>
      <c r="AN239" s="74" t="e">
        <f t="shared" si="176"/>
        <v>#DIV/0!</v>
      </c>
      <c r="AO239" s="74" t="e">
        <f t="shared" si="177"/>
        <v>#DIV/0!</v>
      </c>
      <c r="AP239" s="74" t="e">
        <f t="shared" si="178"/>
        <v>#DIV/0!</v>
      </c>
      <c r="AQ239" s="74" t="e">
        <f t="shared" si="179"/>
        <v>#DIV/0!</v>
      </c>
      <c r="AR239" s="74" t="e">
        <f t="shared" si="180"/>
        <v>#DIV/0!</v>
      </c>
      <c r="AS239" s="74" t="e">
        <f t="shared" si="181"/>
        <v>#DIV/0!</v>
      </c>
      <c r="AT239" s="74" t="e">
        <f t="shared" si="182"/>
        <v>#DIV/0!</v>
      </c>
      <c r="AU239" s="74" t="e">
        <f t="shared" si="183"/>
        <v>#DIV/0!</v>
      </c>
      <c r="AV239" s="74" t="e">
        <f t="shared" si="184"/>
        <v>#DIV/0!</v>
      </c>
      <c r="AW239" s="74" t="e">
        <f t="shared" si="185"/>
        <v>#DIV/0!</v>
      </c>
      <c r="AX239" s="74" t="e">
        <f t="shared" si="186"/>
        <v>#DIV/0!</v>
      </c>
      <c r="AY239" s="74" t="e">
        <f t="shared" si="187"/>
        <v>#DIV/0!</v>
      </c>
      <c r="AZ239" s="74" t="e">
        <f t="shared" si="188"/>
        <v>#DIV/0!</v>
      </c>
      <c r="BA239" s="74" t="e">
        <f t="shared" si="189"/>
        <v>#DIV/0!</v>
      </c>
      <c r="BB239" s="74">
        <f t="shared" si="190"/>
        <v>0</v>
      </c>
      <c r="BC239" s="74">
        <f t="shared" si="191"/>
        <v>0</v>
      </c>
      <c r="BD239" s="74">
        <f t="shared" si="192"/>
        <v>0</v>
      </c>
      <c r="BE239" s="75">
        <f t="shared" si="193"/>
        <v>0</v>
      </c>
    </row>
    <row r="240" spans="1:57" x14ac:dyDescent="0.35">
      <c r="A240" s="7" t="s">
        <v>37</v>
      </c>
      <c r="B240" s="11" t="s">
        <v>71</v>
      </c>
      <c r="C240" s="47">
        <f t="shared" si="161"/>
        <v>0</v>
      </c>
      <c r="D240" s="23">
        <f t="shared" si="162"/>
        <v>0</v>
      </c>
      <c r="E240" s="50">
        <f>[1]data!E240-[1]data!E202</f>
        <v>0</v>
      </c>
      <c r="F240" s="36">
        <f>[1]data!F240-[1]data!F202</f>
        <v>0</v>
      </c>
      <c r="G240" s="36">
        <f>[1]data!G240-[1]data!G202</f>
        <v>0</v>
      </c>
      <c r="H240" s="25">
        <f t="shared" si="163"/>
        <v>0.10239412195682918</v>
      </c>
      <c r="I240" s="36">
        <f>[1]data!I240-[1]data!I202</f>
        <v>0</v>
      </c>
      <c r="J240" s="36">
        <f>[1]data!J240-[1]data!J202</f>
        <v>0.10239412195682918</v>
      </c>
      <c r="K240" s="36">
        <f>[1]data!K240-[1]data!K202</f>
        <v>0.45146499226420111</v>
      </c>
      <c r="L240" s="25">
        <f t="shared" si="164"/>
        <v>0</v>
      </c>
      <c r="M240" s="25">
        <f t="shared" si="165"/>
        <v>0</v>
      </c>
      <c r="N240" s="25">
        <f t="shared" si="166"/>
        <v>0</v>
      </c>
      <c r="O240" s="25">
        <f t="shared" si="167"/>
        <v>0</v>
      </c>
      <c r="P240" s="24">
        <f t="shared" si="168"/>
        <v>0</v>
      </c>
      <c r="Q240" s="40">
        <f t="shared" si="150"/>
        <v>0</v>
      </c>
      <c r="R240" s="40">
        <f t="shared" si="151"/>
        <v>0</v>
      </c>
      <c r="S240" s="40">
        <f t="shared" si="152"/>
        <v>0</v>
      </c>
      <c r="T240" s="40">
        <f t="shared" si="153"/>
        <v>0</v>
      </c>
      <c r="U240" s="40">
        <f t="shared" si="154"/>
        <v>0</v>
      </c>
      <c r="V240" s="25">
        <f t="shared" si="169"/>
        <v>8.0048482009581808E-3</v>
      </c>
      <c r="W240" s="25">
        <f t="shared" si="170"/>
        <v>4.2992617321149628E-3</v>
      </c>
      <c r="X240" s="40">
        <f t="shared" si="155"/>
        <v>0</v>
      </c>
      <c r="Y240" s="40">
        <f t="shared" si="156"/>
        <v>0</v>
      </c>
      <c r="Z240" s="40">
        <f t="shared" si="157"/>
        <v>8.0048482009581808E-3</v>
      </c>
      <c r="AA240" s="40">
        <f t="shared" si="158"/>
        <v>4.2992617321149628E-3</v>
      </c>
      <c r="AB240" s="40">
        <f t="shared" si="159"/>
        <v>3.5294103431497408E-2</v>
      </c>
      <c r="AC240" s="40">
        <f t="shared" si="160"/>
        <v>1.895583581887051E-2</v>
      </c>
      <c r="AD240" s="26">
        <v>2381.6675591522499</v>
      </c>
      <c r="AE240" s="8">
        <v>1279.1513266244399</v>
      </c>
      <c r="AF240" s="61">
        <f t="shared" si="171"/>
        <v>0.10239412195682918</v>
      </c>
      <c r="AG240" s="61">
        <f t="shared" si="172"/>
        <v>0.10239412195682918</v>
      </c>
      <c r="AH240" s="74">
        <f t="shared" si="173"/>
        <v>0</v>
      </c>
      <c r="AI240" s="74">
        <f t="shared" ref="AI240:AI245" si="200">D240/AG240</f>
        <v>0</v>
      </c>
      <c r="AJ240" s="74">
        <f t="shared" si="174"/>
        <v>0</v>
      </c>
      <c r="AK240" s="74">
        <f t="shared" ref="AK240:AK245" si="201">$D240/(AF240)</f>
        <v>0</v>
      </c>
      <c r="AL240" s="74">
        <f t="shared" si="175"/>
        <v>0</v>
      </c>
      <c r="AM240" s="74">
        <f t="shared" si="199"/>
        <v>0</v>
      </c>
      <c r="AN240" s="74">
        <f t="shared" si="176"/>
        <v>0</v>
      </c>
      <c r="AO240" s="74">
        <f t="shared" si="177"/>
        <v>0</v>
      </c>
      <c r="AP240" s="74">
        <f t="shared" si="178"/>
        <v>0</v>
      </c>
      <c r="AQ240" s="74">
        <f t="shared" si="179"/>
        <v>0</v>
      </c>
      <c r="AR240" s="74" t="e">
        <f t="shared" si="180"/>
        <v>#DIV/0!</v>
      </c>
      <c r="AS240" s="74" t="e">
        <f t="shared" si="181"/>
        <v>#DIV/0!</v>
      </c>
      <c r="AT240" s="74">
        <f t="shared" si="182"/>
        <v>1</v>
      </c>
      <c r="AU240" s="74">
        <f t="shared" si="183"/>
        <v>1</v>
      </c>
      <c r="AV240" s="74">
        <f t="shared" si="184"/>
        <v>0</v>
      </c>
      <c r="AW240" s="74">
        <f t="shared" si="185"/>
        <v>0</v>
      </c>
      <c r="AX240" s="74">
        <f t="shared" si="186"/>
        <v>1</v>
      </c>
      <c r="AY240" s="74">
        <f t="shared" si="187"/>
        <v>1</v>
      </c>
      <c r="AZ240" s="74">
        <f t="shared" si="188"/>
        <v>0</v>
      </c>
      <c r="BA240" s="74">
        <f t="shared" si="189"/>
        <v>1</v>
      </c>
      <c r="BB240" s="74">
        <f t="shared" si="190"/>
        <v>8.0048482009581801E-5</v>
      </c>
      <c r="BC240" s="74">
        <f t="shared" si="191"/>
        <v>8.0048482009581801E-5</v>
      </c>
      <c r="BD240" s="74">
        <f t="shared" si="192"/>
        <v>4.2992617321149627E-5</v>
      </c>
      <c r="BE240" s="75">
        <f t="shared" si="193"/>
        <v>8.0048482009581801E-5</v>
      </c>
    </row>
    <row r="241" spans="1:57" x14ac:dyDescent="0.35">
      <c r="A241" s="7" t="s">
        <v>38</v>
      </c>
      <c r="B241" s="11" t="s">
        <v>71</v>
      </c>
      <c r="C241" s="47">
        <f t="shared" si="161"/>
        <v>5.2478877966865269</v>
      </c>
      <c r="D241" s="23">
        <f t="shared" si="162"/>
        <v>5.2341212109827868</v>
      </c>
      <c r="E241" s="50">
        <f>[1]data!E241-[1]data!E203</f>
        <v>-0.23266279540380985</v>
      </c>
      <c r="F241" s="36">
        <f>[1]data!F241-[1]data!F203</f>
        <v>5.4667840063865967</v>
      </c>
      <c r="G241" s="36">
        <f>[1]data!G241-[1]data!G203</f>
        <v>1.376658570374012E-2</v>
      </c>
      <c r="H241" s="25">
        <f t="shared" si="163"/>
        <v>-7.2337052758077114E-2</v>
      </c>
      <c r="I241" s="36">
        <f>[1]data!I241-[1]data!I203</f>
        <v>-4.4287991484539546E-3</v>
      </c>
      <c r="J241" s="36">
        <f>[1]data!J241-[1]data!J203</f>
        <v>-6.7908253609623159E-2</v>
      </c>
      <c r="K241" s="36">
        <f>[1]data!K241-[1]data!K203</f>
        <v>1.4269426648543515</v>
      </c>
      <c r="L241" s="25">
        <f t="shared" si="164"/>
        <v>0.5263396122643168</v>
      </c>
      <c r="M241" s="25">
        <f t="shared" si="165"/>
        <v>0.52495888545341107</v>
      </c>
      <c r="N241" s="25">
        <f t="shared" si="166"/>
        <v>0.2248661029164078</v>
      </c>
      <c r="O241" s="25">
        <f t="shared" si="167"/>
        <v>0.22427622016784382</v>
      </c>
      <c r="P241" s="24">
        <f t="shared" si="168"/>
        <v>-2.333503502085036E-2</v>
      </c>
      <c r="Q241" s="40">
        <f t="shared" si="150"/>
        <v>-9.9693396892222771E-3</v>
      </c>
      <c r="R241" s="40">
        <f t="shared" si="151"/>
        <v>0.5482939204742614</v>
      </c>
      <c r="S241" s="40">
        <f t="shared" si="152"/>
        <v>0.2342455598570661</v>
      </c>
      <c r="T241" s="40">
        <f t="shared" si="153"/>
        <v>1.3807268109057253E-3</v>
      </c>
      <c r="U241" s="40">
        <f t="shared" si="154"/>
        <v>5.8988274856397167E-4</v>
      </c>
      <c r="V241" s="25">
        <f t="shared" si="169"/>
        <v>-7.25508200176636E-3</v>
      </c>
      <c r="W241" s="25">
        <f t="shared" si="170"/>
        <v>-3.099561534154313E-3</v>
      </c>
      <c r="X241" s="40">
        <f t="shared" si="155"/>
        <v>-4.4418869398572092E-4</v>
      </c>
      <c r="Y241" s="40">
        <f t="shared" si="156"/>
        <v>-1.8976907351966269E-4</v>
      </c>
      <c r="Z241" s="40">
        <f t="shared" si="157"/>
        <v>-6.8108933077806388E-3</v>
      </c>
      <c r="AA241" s="40">
        <f t="shared" si="158"/>
        <v>-2.9097924606346502E-3</v>
      </c>
      <c r="AB241" s="40">
        <f t="shared" si="159"/>
        <v>0.14311595027185245</v>
      </c>
      <c r="AC241" s="40">
        <f t="shared" si="160"/>
        <v>6.1142891876146278E-2</v>
      </c>
      <c r="AD241" s="26">
        <v>2333.7834064911899</v>
      </c>
      <c r="AE241" s="8">
        <v>997.05355143423003</v>
      </c>
      <c r="AF241" s="61">
        <f t="shared" si="171"/>
        <v>5.1617841582247097</v>
      </c>
      <c r="AG241" s="61">
        <f>(D241)+(H241*-1)</f>
        <v>5.3064582637408639</v>
      </c>
      <c r="AH241" s="74">
        <f t="shared" si="173"/>
        <v>0.98636811048673323</v>
      </c>
      <c r="AI241" s="74">
        <f t="shared" si="200"/>
        <v>0.98636811048673323</v>
      </c>
      <c r="AJ241" s="74">
        <f t="shared" si="174"/>
        <v>1.0140139631066938</v>
      </c>
      <c r="AK241" s="74">
        <f t="shared" si="201"/>
        <v>1.0140139631066938</v>
      </c>
      <c r="AL241" s="74">
        <f t="shared" si="175"/>
        <v>1.0302133239681242</v>
      </c>
      <c r="AM241" s="74">
        <f t="shared" si="199"/>
        <v>1.0590880669963514</v>
      </c>
      <c r="AN241" s="74">
        <f t="shared" si="176"/>
        <v>-4.3845213481391046E-2</v>
      </c>
      <c r="AO241" s="74">
        <f t="shared" si="177"/>
        <v>-4.5074103889657692E-2</v>
      </c>
      <c r="AP241" s="74">
        <f t="shared" si="178"/>
        <v>2.594307732109659E-3</v>
      </c>
      <c r="AQ241" s="74">
        <f t="shared" si="179"/>
        <v>2.6670207978000491E-3</v>
      </c>
      <c r="AR241" s="74">
        <f t="shared" si="180"/>
        <v>1.044451166876994</v>
      </c>
      <c r="AS241" s="74">
        <f t="shared" si="181"/>
        <v>-4.4451166876994012E-2</v>
      </c>
      <c r="AT241" s="74">
        <f t="shared" si="182"/>
        <v>-1.3631889513266816E-2</v>
      </c>
      <c r="AU241" s="74">
        <f t="shared" si="183"/>
        <v>-1.4013963106693707E-2</v>
      </c>
      <c r="AV241" s="74">
        <f t="shared" si="184"/>
        <v>-8.3460548040413854E-4</v>
      </c>
      <c r="AW241" s="74">
        <f t="shared" si="185"/>
        <v>-8.5799774122619446E-4</v>
      </c>
      <c r="AX241" s="74">
        <f t="shared" si="186"/>
        <v>-1.2797284032862677E-2</v>
      </c>
      <c r="AY241" s="74">
        <f t="shared" si="187"/>
        <v>-1.3155965365467513E-2</v>
      </c>
      <c r="AZ241" s="74">
        <f t="shared" si="188"/>
        <v>6.1224489795921877E-2</v>
      </c>
      <c r="BA241" s="74">
        <f t="shared" si="189"/>
        <v>0.93877551020407812</v>
      </c>
      <c r="BB241" s="74">
        <f t="shared" si="190"/>
        <v>5.1908453026255049E-3</v>
      </c>
      <c r="BC241" s="74">
        <f t="shared" si="191"/>
        <v>5.1770380345164471E-3</v>
      </c>
      <c r="BD241" s="74">
        <f t="shared" si="192"/>
        <v>2.2117665863368953E-3</v>
      </c>
      <c r="BE241" s="75">
        <f t="shared" si="193"/>
        <v>5.3221396745517747E-3</v>
      </c>
    </row>
    <row r="242" spans="1:57" x14ac:dyDescent="0.35">
      <c r="A242" s="9" t="s">
        <v>39</v>
      </c>
      <c r="B242" s="11" t="s">
        <v>71</v>
      </c>
      <c r="C242" s="47">
        <f t="shared" si="161"/>
        <v>15.521433287220011</v>
      </c>
      <c r="D242" s="23">
        <f t="shared" si="162"/>
        <v>15.521433287220011</v>
      </c>
      <c r="E242" s="50">
        <f>[1]data!E242-[1]data!E204</f>
        <v>4.7933838092885335</v>
      </c>
      <c r="F242" s="36">
        <f>[1]data!F242-[1]data!F204</f>
        <v>10.728049477931478</v>
      </c>
      <c r="G242" s="36">
        <f>[1]data!G242-[1]data!G204</f>
        <v>0</v>
      </c>
      <c r="H242" s="25">
        <f t="shared" si="163"/>
        <v>1.9401791609025008</v>
      </c>
      <c r="I242" s="36">
        <f>[1]data!I242-[1]data!I204</f>
        <v>0</v>
      </c>
      <c r="J242" s="36">
        <f>[1]data!J242-[1]data!J204</f>
        <v>1.9401791609025008</v>
      </c>
      <c r="K242" s="36">
        <f>[1]data!K242-[1]data!K204</f>
        <v>0</v>
      </c>
      <c r="L242" s="25">
        <f t="shared" si="164"/>
        <v>3.7495954896454364</v>
      </c>
      <c r="M242" s="25">
        <f t="shared" si="165"/>
        <v>3.7495954896454364</v>
      </c>
      <c r="N242" s="25">
        <f t="shared" si="166"/>
        <v>3.3123049625002468</v>
      </c>
      <c r="O242" s="25">
        <f t="shared" si="167"/>
        <v>3.3123049625002468</v>
      </c>
      <c r="P242" s="24">
        <f t="shared" si="168"/>
        <v>1.1579633129787377</v>
      </c>
      <c r="Q242" s="40">
        <f t="shared" si="150"/>
        <v>1.0229177090074293</v>
      </c>
      <c r="R242" s="40">
        <f t="shared" si="151"/>
        <v>2.5916321766666988</v>
      </c>
      <c r="S242" s="40">
        <f t="shared" si="152"/>
        <v>2.2893872534928175</v>
      </c>
      <c r="T242" s="40">
        <f t="shared" si="153"/>
        <v>0</v>
      </c>
      <c r="U242" s="40">
        <f t="shared" si="154"/>
        <v>0</v>
      </c>
      <c r="V242" s="25">
        <f t="shared" si="169"/>
        <v>0.46869943620567944</v>
      </c>
      <c r="W242" s="25">
        <f t="shared" si="170"/>
        <v>0.41403812031253068</v>
      </c>
      <c r="X242" s="40">
        <f t="shared" si="155"/>
        <v>0</v>
      </c>
      <c r="Y242" s="40">
        <f t="shared" si="156"/>
        <v>0</v>
      </c>
      <c r="Z242" s="40">
        <f t="shared" si="157"/>
        <v>0.46869943620567944</v>
      </c>
      <c r="AA242" s="40">
        <f t="shared" si="158"/>
        <v>0.41403812031253068</v>
      </c>
      <c r="AB242" s="40">
        <f t="shared" si="159"/>
        <v>0</v>
      </c>
      <c r="AC242" s="40">
        <f t="shared" si="160"/>
        <v>0</v>
      </c>
      <c r="AD242" s="26">
        <v>468.59916169988998</v>
      </c>
      <c r="AE242" s="8">
        <v>413.94954015926999</v>
      </c>
      <c r="AF242" s="61">
        <f t="shared" si="171"/>
        <v>17.461612448122512</v>
      </c>
      <c r="AG242" s="61">
        <f t="shared" si="172"/>
        <v>17.461612448122512</v>
      </c>
      <c r="AH242" s="74">
        <f t="shared" si="173"/>
        <v>0.88888888888888895</v>
      </c>
      <c r="AI242" s="74">
        <f t="shared" si="200"/>
        <v>0.88888888888888895</v>
      </c>
      <c r="AJ242" s="74">
        <f t="shared" si="174"/>
        <v>0.88888888888888895</v>
      </c>
      <c r="AK242" s="74">
        <f t="shared" si="201"/>
        <v>0.88888888888888895</v>
      </c>
      <c r="AL242" s="74">
        <f t="shared" si="175"/>
        <v>0.6143790849673203</v>
      </c>
      <c r="AM242" s="74">
        <f t="shared" si="199"/>
        <v>0.6143790849673203</v>
      </c>
      <c r="AN242" s="74">
        <f t="shared" si="176"/>
        <v>0.27450980392156865</v>
      </c>
      <c r="AO242" s="74">
        <f t="shared" si="177"/>
        <v>0.27450980392156865</v>
      </c>
      <c r="AP242" s="74">
        <f t="shared" si="178"/>
        <v>0</v>
      </c>
      <c r="AQ242" s="74">
        <f t="shared" si="179"/>
        <v>0</v>
      </c>
      <c r="AR242" s="74">
        <f t="shared" si="180"/>
        <v>0.69117647058823528</v>
      </c>
      <c r="AS242" s="74">
        <f t="shared" si="181"/>
        <v>0.30882352941176472</v>
      </c>
      <c r="AT242" s="74">
        <f t="shared" si="182"/>
        <v>0.11111111111111108</v>
      </c>
      <c r="AU242" s="74">
        <f t="shared" si="183"/>
        <v>0.11111111111111108</v>
      </c>
      <c r="AV242" s="74">
        <f t="shared" si="184"/>
        <v>0</v>
      </c>
      <c r="AW242" s="74">
        <f t="shared" si="185"/>
        <v>0</v>
      </c>
      <c r="AX242" s="74">
        <f t="shared" si="186"/>
        <v>0.11111111111111108</v>
      </c>
      <c r="AY242" s="74">
        <f t="shared" si="187"/>
        <v>0.11111111111111108</v>
      </c>
      <c r="AZ242" s="74">
        <f t="shared" si="188"/>
        <v>0</v>
      </c>
      <c r="BA242" s="74">
        <f t="shared" si="189"/>
        <v>1</v>
      </c>
      <c r="BB242" s="74">
        <f t="shared" si="190"/>
        <v>4.2182949258511154E-2</v>
      </c>
      <c r="BC242" s="74">
        <f t="shared" si="191"/>
        <v>4.2182949258511154E-2</v>
      </c>
      <c r="BD242" s="74">
        <f t="shared" si="192"/>
        <v>3.7263430828127775E-2</v>
      </c>
      <c r="BE242" s="75">
        <f t="shared" si="193"/>
        <v>4.2182949258511154E-2</v>
      </c>
    </row>
    <row r="243" spans="1:57" x14ac:dyDescent="0.35">
      <c r="A243" s="7" t="s">
        <v>40</v>
      </c>
      <c r="B243" s="11" t="s">
        <v>71</v>
      </c>
      <c r="C243" s="47">
        <f t="shared" si="161"/>
        <v>-0.57064092967720548</v>
      </c>
      <c r="D243" s="23">
        <f t="shared" si="162"/>
        <v>-0.22825637187088255</v>
      </c>
      <c r="E243" s="50">
        <f>[1]data!E243-[1]data!E205</f>
        <v>0.45651274374176687</v>
      </c>
      <c r="F243" s="36">
        <f>[1]data!F243-[1]data!F205</f>
        <v>-0.68476911561264941</v>
      </c>
      <c r="G243" s="36">
        <f>[1]data!G243-[1]data!G205</f>
        <v>-0.34238455780632293</v>
      </c>
      <c r="H243" s="25">
        <f t="shared" si="163"/>
        <v>0</v>
      </c>
      <c r="I243" s="36">
        <f>[1]data!I243-[1]data!I205</f>
        <v>0</v>
      </c>
      <c r="J243" s="36">
        <f>[1]data!J243-[1]data!J205</f>
        <v>0</v>
      </c>
      <c r="K243" s="36">
        <f>[1]data!K243-[1]data!K205</f>
        <v>0</v>
      </c>
      <c r="L243" s="25">
        <f t="shared" si="164"/>
        <v>-0.11524432304942794</v>
      </c>
      <c r="M243" s="25">
        <f t="shared" si="165"/>
        <v>-4.6097729219771247E-2</v>
      </c>
      <c r="N243" s="25">
        <f t="shared" si="166"/>
        <v>-0.10275857292717562</v>
      </c>
      <c r="O243" s="25">
        <f t="shared" si="167"/>
        <v>-4.1103429170870315E-2</v>
      </c>
      <c r="P243" s="24">
        <f t="shared" si="168"/>
        <v>9.2195458439542868E-2</v>
      </c>
      <c r="Q243" s="40">
        <f t="shared" si="150"/>
        <v>8.2206858341740949E-2</v>
      </c>
      <c r="R243" s="40">
        <f t="shared" si="151"/>
        <v>-0.13829318765931412</v>
      </c>
      <c r="S243" s="40">
        <f t="shared" si="152"/>
        <v>-0.12331028751261126</v>
      </c>
      <c r="T243" s="40">
        <f t="shared" si="153"/>
        <v>-6.9146593829656697E-2</v>
      </c>
      <c r="U243" s="40">
        <f t="shared" si="154"/>
        <v>-6.1655143756305306E-2</v>
      </c>
      <c r="V243" s="25">
        <f t="shared" si="169"/>
        <v>0</v>
      </c>
      <c r="W243" s="25">
        <f t="shared" si="170"/>
        <v>0</v>
      </c>
      <c r="X243" s="40">
        <f t="shared" si="155"/>
        <v>0</v>
      </c>
      <c r="Y243" s="40">
        <f t="shared" si="156"/>
        <v>0</v>
      </c>
      <c r="Z243" s="40">
        <f t="shared" si="157"/>
        <v>0</v>
      </c>
      <c r="AA243" s="40">
        <f t="shared" si="158"/>
        <v>0</v>
      </c>
      <c r="AB243" s="40">
        <f t="shared" si="159"/>
        <v>0</v>
      </c>
      <c r="AC243" s="40">
        <f t="shared" si="160"/>
        <v>0</v>
      </c>
      <c r="AD243" s="26">
        <v>555.32196820367994</v>
      </c>
      <c r="AE243" s="8">
        <v>495.15751802582002</v>
      </c>
      <c r="AF243" s="61">
        <f t="shared" si="171"/>
        <v>-0.22825637187088255</v>
      </c>
      <c r="AG243" s="61">
        <f>(D243*-1)+(H243)</f>
        <v>0.22825637187088255</v>
      </c>
      <c r="AH243" s="74">
        <v>1</v>
      </c>
      <c r="AI243" s="74">
        <f t="shared" si="200"/>
        <v>-1</v>
      </c>
      <c r="AJ243" s="74">
        <f t="shared" si="174"/>
        <v>1</v>
      </c>
      <c r="AK243" s="74">
        <f>$D243/(AF243)</f>
        <v>1</v>
      </c>
      <c r="AL243" s="74">
        <f>($F243/(AG243))</f>
        <v>-3.000000000000008</v>
      </c>
      <c r="AM243" s="74">
        <f t="shared" si="199"/>
        <v>3.000000000000008</v>
      </c>
      <c r="AN243" s="74">
        <f t="shared" si="176"/>
        <v>2.000000000000008</v>
      </c>
      <c r="AO243" s="74">
        <f t="shared" si="177"/>
        <v>-2.000000000000008</v>
      </c>
      <c r="AP243" s="74">
        <f t="shared" si="178"/>
        <v>-1.499999999999996</v>
      </c>
      <c r="AQ243" s="74">
        <f t="shared" si="179"/>
        <v>1.499999999999996</v>
      </c>
      <c r="AR243" s="74">
        <f>(F243/D243)</f>
        <v>3.000000000000008</v>
      </c>
      <c r="AS243" s="74">
        <f t="shared" si="181"/>
        <v>-2.000000000000008</v>
      </c>
      <c r="AT243" s="74">
        <f t="shared" si="182"/>
        <v>0</v>
      </c>
      <c r="AU243" s="74">
        <f t="shared" si="183"/>
        <v>0</v>
      </c>
      <c r="AV243" s="74">
        <f t="shared" si="184"/>
        <v>0</v>
      </c>
      <c r="AW243" s="74">
        <f t="shared" si="185"/>
        <v>0</v>
      </c>
      <c r="AX243" s="74">
        <f t="shared" si="186"/>
        <v>0</v>
      </c>
      <c r="AY243" s="74">
        <f t="shared" si="187"/>
        <v>0</v>
      </c>
      <c r="AZ243" s="74" t="e">
        <f t="shared" si="188"/>
        <v>#DIV/0!</v>
      </c>
      <c r="BA243" s="74" t="e">
        <f t="shared" si="189"/>
        <v>#DIV/0!</v>
      </c>
      <c r="BB243" s="74">
        <f t="shared" si="190"/>
        <v>-1.1524432304942794E-3</v>
      </c>
      <c r="BC243" s="74">
        <f t="shared" si="191"/>
        <v>-4.6097729219771253E-4</v>
      </c>
      <c r="BD243" s="74">
        <f t="shared" si="192"/>
        <v>-4.1103429170870315E-4</v>
      </c>
      <c r="BE243" s="75">
        <f t="shared" si="193"/>
        <v>4.6097729219771253E-4</v>
      </c>
    </row>
    <row r="244" spans="1:57" x14ac:dyDescent="0.35">
      <c r="A244" s="9" t="s">
        <v>41</v>
      </c>
      <c r="B244" s="11" t="s">
        <v>71</v>
      </c>
      <c r="C244" s="47">
        <f t="shared" si="161"/>
        <v>-1.7880031451621603</v>
      </c>
      <c r="D244" s="23">
        <f t="shared" si="162"/>
        <v>-0.84014605616053384</v>
      </c>
      <c r="E244" s="50">
        <f>[1]data!E244-[1]data!E206</f>
        <v>-0.11201947415473779</v>
      </c>
      <c r="F244" s="36">
        <f>[1]data!F244-[1]data!F206</f>
        <v>-0.72812658200579605</v>
      </c>
      <c r="G244" s="36">
        <f>[1]data!G244-[1]data!G206</f>
        <v>-0.94785708900162635</v>
      </c>
      <c r="H244" s="25">
        <f t="shared" si="163"/>
        <v>0.20249674174125293</v>
      </c>
      <c r="I244" s="36">
        <f>[1]data!I244-[1]data!I206</f>
        <v>-4.3084413136437599E-3</v>
      </c>
      <c r="J244" s="36">
        <f>[1]data!J244-[1]data!J206</f>
        <v>0.2068051830548967</v>
      </c>
      <c r="K244" s="36">
        <f>[1]data!K244-[1]data!K206</f>
        <v>0</v>
      </c>
      <c r="L244" s="25">
        <f t="shared" si="164"/>
        <v>-0.82915983267468485</v>
      </c>
      <c r="M244" s="25">
        <f t="shared" si="165"/>
        <v>-0.38960522258208119</v>
      </c>
      <c r="N244" s="25">
        <f t="shared" si="166"/>
        <v>-0.43888591897962537</v>
      </c>
      <c r="O244" s="25">
        <f t="shared" si="167"/>
        <v>-0.20622350409886028</v>
      </c>
      <c r="P244" s="24">
        <f t="shared" si="168"/>
        <v>-5.1947363010944131E-2</v>
      </c>
      <c r="Q244" s="40">
        <f t="shared" si="150"/>
        <v>-2.7496467213181358E-2</v>
      </c>
      <c r="R244" s="40">
        <f t="shared" si="151"/>
        <v>-0.33765785957113709</v>
      </c>
      <c r="S244" s="40">
        <f t="shared" si="152"/>
        <v>-0.17872703688567892</v>
      </c>
      <c r="T244" s="40">
        <f t="shared" si="153"/>
        <v>-0.43955461009260366</v>
      </c>
      <c r="U244" s="40">
        <f t="shared" si="154"/>
        <v>-0.23266241488076506</v>
      </c>
      <c r="V244" s="25">
        <f t="shared" si="169"/>
        <v>9.3904848519781856E-2</v>
      </c>
      <c r="W244" s="25">
        <f t="shared" si="170"/>
        <v>4.9705152269980749E-2</v>
      </c>
      <c r="X244" s="40">
        <f t="shared" si="155"/>
        <v>-1.9979755004209273E-3</v>
      </c>
      <c r="Y244" s="40">
        <f t="shared" si="156"/>
        <v>-1.0575564312762058E-3</v>
      </c>
      <c r="Z244" s="40">
        <f t="shared" si="157"/>
        <v>9.5902824020202782E-2</v>
      </c>
      <c r="AA244" s="40">
        <f t="shared" si="158"/>
        <v>5.0762708701256952E-2</v>
      </c>
      <c r="AB244" s="40">
        <f t="shared" si="159"/>
        <v>0</v>
      </c>
      <c r="AC244" s="40">
        <f t="shared" si="160"/>
        <v>0</v>
      </c>
      <c r="AD244" s="26">
        <v>407.39587848230002</v>
      </c>
      <c r="AE244" s="8">
        <v>215.64034757863999</v>
      </c>
      <c r="AF244" s="61">
        <f t="shared" si="171"/>
        <v>-0.63764931441928097</v>
      </c>
      <c r="AG244" s="61">
        <f>(D244*-1)+(H244)</f>
        <v>1.0426427979017867</v>
      </c>
      <c r="AH244" s="74">
        <f>($D244/$AG244)*-1</f>
        <v>0.80578512396694524</v>
      </c>
      <c r="AI244" s="74">
        <f t="shared" si="200"/>
        <v>-0.80578512396694524</v>
      </c>
      <c r="AJ244" s="74">
        <f t="shared" si="174"/>
        <v>1.3175675675675593</v>
      </c>
      <c r="AK244" s="74">
        <f t="shared" si="201"/>
        <v>1.3175675675675593</v>
      </c>
      <c r="AL244" s="74">
        <f t="shared" si="175"/>
        <v>-0.69834710743801931</v>
      </c>
      <c r="AM244" s="74">
        <f t="shared" si="199"/>
        <v>1.1418918918918848</v>
      </c>
      <c r="AN244" s="74">
        <f t="shared" si="176"/>
        <v>-0.10743801652892597</v>
      </c>
      <c r="AO244" s="74">
        <f t="shared" si="177"/>
        <v>0.17567567567567449</v>
      </c>
      <c r="AP244" s="74">
        <f t="shared" si="178"/>
        <v>-0.90909090909091106</v>
      </c>
      <c r="AQ244" s="74">
        <f t="shared" si="179"/>
        <v>1.4864864864864746</v>
      </c>
      <c r="AR244" s="74">
        <f t="shared" si="180"/>
        <v>0.8666666666666667</v>
      </c>
      <c r="AS244" s="74">
        <f t="shared" si="181"/>
        <v>0.13333333333333328</v>
      </c>
      <c r="AT244" s="74">
        <f t="shared" si="182"/>
        <v>0.19421487603305482</v>
      </c>
      <c r="AU244" s="74">
        <f t="shared" si="183"/>
        <v>-0.31756756756755938</v>
      </c>
      <c r="AV244" s="74">
        <f t="shared" si="184"/>
        <v>-4.1322314049586899E-3</v>
      </c>
      <c r="AW244" s="74">
        <f t="shared" si="185"/>
        <v>6.7567567567567094E-3</v>
      </c>
      <c r="AX244" s="74">
        <f t="shared" si="186"/>
        <v>0.19834710743801351</v>
      </c>
      <c r="AY244" s="74">
        <f t="shared" si="187"/>
        <v>-0.32432432432431613</v>
      </c>
      <c r="AZ244" s="74">
        <f t="shared" si="188"/>
        <v>-2.127659574468125E-2</v>
      </c>
      <c r="BA244" s="74">
        <f t="shared" si="189"/>
        <v>1.0212765957446812</v>
      </c>
      <c r="BB244" s="74">
        <f t="shared" si="190"/>
        <v>-7.3525498415490309E-3</v>
      </c>
      <c r="BC244" s="74">
        <f t="shared" si="191"/>
        <v>-2.9570037406229936E-3</v>
      </c>
      <c r="BD244" s="74">
        <f t="shared" si="192"/>
        <v>-1.5651835182887955E-3</v>
      </c>
      <c r="BE244" s="75">
        <f t="shared" si="193"/>
        <v>4.8351007110186296E-3</v>
      </c>
    </row>
    <row r="245" spans="1:57" x14ac:dyDescent="0.35">
      <c r="A245" s="9" t="s">
        <v>42</v>
      </c>
      <c r="B245" s="11" t="s">
        <v>71</v>
      </c>
      <c r="C245" s="47">
        <f t="shared" si="161"/>
        <v>-0.12228391743782471</v>
      </c>
      <c r="D245" s="23">
        <f t="shared" si="162"/>
        <v>-0.12228391743782471</v>
      </c>
      <c r="E245" s="50">
        <f>[1]data!E245-[1]data!E207</f>
        <v>-0.12228391743782471</v>
      </c>
      <c r="F245" s="36">
        <f>[1]data!F245-[1]data!F207</f>
        <v>0</v>
      </c>
      <c r="G245" s="36">
        <f>[1]data!G245-[1]data!G207</f>
        <v>0</v>
      </c>
      <c r="H245" s="25">
        <f t="shared" si="163"/>
        <v>0</v>
      </c>
      <c r="I245" s="36">
        <f>[1]data!I245-[1]data!I207</f>
        <v>0</v>
      </c>
      <c r="J245" s="36">
        <f>[1]data!J245-[1]data!J207</f>
        <v>0</v>
      </c>
      <c r="K245" s="36">
        <f>[1]data!K245-[1]data!K207</f>
        <v>0</v>
      </c>
      <c r="L245" s="25">
        <f t="shared" si="164"/>
        <v>-3.6765779429734573E-2</v>
      </c>
      <c r="M245" s="25">
        <f t="shared" si="165"/>
        <v>-3.6765779429734573E-2</v>
      </c>
      <c r="N245" s="25">
        <f t="shared" si="166"/>
        <v>-3.9311555541792213E-2</v>
      </c>
      <c r="O245" s="25">
        <f t="shared" si="167"/>
        <v>-3.9311555541792213E-2</v>
      </c>
      <c r="P245" s="24">
        <f t="shared" si="168"/>
        <v>-3.6765779429734573E-2</v>
      </c>
      <c r="Q245" s="40">
        <f t="shared" si="150"/>
        <v>-3.9311555541792213E-2</v>
      </c>
      <c r="R245" s="40">
        <f t="shared" si="151"/>
        <v>0</v>
      </c>
      <c r="S245" s="40">
        <f t="shared" si="152"/>
        <v>0</v>
      </c>
      <c r="T245" s="40">
        <f t="shared" si="153"/>
        <v>0</v>
      </c>
      <c r="U245" s="40">
        <f t="shared" si="154"/>
        <v>0</v>
      </c>
      <c r="V245" s="25">
        <f t="shared" si="169"/>
        <v>0</v>
      </c>
      <c r="W245" s="25">
        <f t="shared" si="170"/>
        <v>0</v>
      </c>
      <c r="X245" s="40">
        <f t="shared" si="155"/>
        <v>0</v>
      </c>
      <c r="Y245" s="40">
        <f t="shared" si="156"/>
        <v>0</v>
      </c>
      <c r="Z245" s="40">
        <f t="shared" si="157"/>
        <v>0</v>
      </c>
      <c r="AA245" s="40">
        <f t="shared" si="158"/>
        <v>0</v>
      </c>
      <c r="AB245" s="40">
        <f t="shared" si="159"/>
        <v>0</v>
      </c>
      <c r="AC245" s="40">
        <f t="shared" si="160"/>
        <v>0</v>
      </c>
      <c r="AD245" s="26">
        <v>311.06354290107998</v>
      </c>
      <c r="AE245" s="8">
        <v>332.60254327404999</v>
      </c>
      <c r="AF245" s="61">
        <f t="shared" si="171"/>
        <v>-0.12228391743782471</v>
      </c>
      <c r="AG245" s="61">
        <f t="shared" ref="AG245" si="202">(D245*-1)+(H245)</f>
        <v>0.12228391743782471</v>
      </c>
      <c r="AH245" s="74">
        <v>1</v>
      </c>
      <c r="AI245" s="74">
        <f t="shared" si="200"/>
        <v>-1</v>
      </c>
      <c r="AJ245" s="74">
        <f t="shared" si="174"/>
        <v>1</v>
      </c>
      <c r="AK245" s="74">
        <f t="shared" si="201"/>
        <v>1</v>
      </c>
      <c r="AL245" s="74">
        <f t="shared" si="175"/>
        <v>0</v>
      </c>
      <c r="AM245" s="74">
        <f t="shared" si="199"/>
        <v>0</v>
      </c>
      <c r="AN245" s="74">
        <f t="shared" si="176"/>
        <v>-1</v>
      </c>
      <c r="AO245" s="74">
        <f t="shared" si="177"/>
        <v>1</v>
      </c>
      <c r="AP245" s="74">
        <f t="shared" si="178"/>
        <v>0</v>
      </c>
      <c r="AQ245" s="74">
        <f t="shared" si="179"/>
        <v>0</v>
      </c>
      <c r="AR245" s="74">
        <f t="shared" si="180"/>
        <v>0</v>
      </c>
      <c r="AS245" s="74">
        <f t="shared" si="181"/>
        <v>1</v>
      </c>
      <c r="AT245" s="74">
        <f t="shared" si="182"/>
        <v>0</v>
      </c>
      <c r="AU245" s="74">
        <f t="shared" si="183"/>
        <v>0</v>
      </c>
      <c r="AV245" s="74">
        <f t="shared" si="184"/>
        <v>0</v>
      </c>
      <c r="AW245" s="74">
        <f t="shared" si="185"/>
        <v>0</v>
      </c>
      <c r="AX245" s="74">
        <f t="shared" si="186"/>
        <v>0</v>
      </c>
      <c r="AY245" s="74">
        <f t="shared" si="187"/>
        <v>0</v>
      </c>
      <c r="AZ245" s="74" t="e">
        <f t="shared" si="188"/>
        <v>#DIV/0!</v>
      </c>
      <c r="BA245" s="74" t="e">
        <f t="shared" si="189"/>
        <v>#DIV/0!</v>
      </c>
      <c r="BB245" s="74">
        <f t="shared" si="190"/>
        <v>-3.6765779429734574E-4</v>
      </c>
      <c r="BC245" s="74">
        <f t="shared" si="191"/>
        <v>-3.6765779429734574E-4</v>
      </c>
      <c r="BD245" s="74">
        <f t="shared" si="192"/>
        <v>-3.9311555541792214E-4</v>
      </c>
      <c r="BE245" s="75">
        <f t="shared" si="193"/>
        <v>3.6765779429734574E-4</v>
      </c>
    </row>
    <row r="246" spans="1:57" x14ac:dyDescent="0.35">
      <c r="A246" s="9" t="s">
        <v>43</v>
      </c>
      <c r="B246" s="11" t="s">
        <v>71</v>
      </c>
      <c r="C246" s="47">
        <f t="shared" si="161"/>
        <v>0</v>
      </c>
      <c r="D246" s="23">
        <f t="shared" si="162"/>
        <v>0</v>
      </c>
      <c r="E246" s="50">
        <f>[1]data!E246-[1]data!E208</f>
        <v>0</v>
      </c>
      <c r="F246" s="36">
        <f>[1]data!F246-[1]data!F208</f>
        <v>0</v>
      </c>
      <c r="G246" s="36">
        <f>[1]data!G246-[1]data!G208</f>
        <v>0</v>
      </c>
      <c r="H246" s="25">
        <f t="shared" si="163"/>
        <v>0</v>
      </c>
      <c r="I246" s="36">
        <f>[1]data!I246-[1]data!I208</f>
        <v>0</v>
      </c>
      <c r="J246" s="36">
        <f>[1]data!J246-[1]data!J208</f>
        <v>0</v>
      </c>
      <c r="K246" s="36">
        <f>[1]data!K246-[1]data!K208</f>
        <v>0</v>
      </c>
      <c r="L246" s="25">
        <f t="shared" si="164"/>
        <v>0</v>
      </c>
      <c r="M246" s="25">
        <f t="shared" si="165"/>
        <v>0</v>
      </c>
      <c r="N246" s="25">
        <f t="shared" si="166"/>
        <v>0</v>
      </c>
      <c r="O246" s="25">
        <f t="shared" si="167"/>
        <v>0</v>
      </c>
      <c r="P246" s="24">
        <f t="shared" si="168"/>
        <v>0</v>
      </c>
      <c r="Q246" s="40">
        <f t="shared" si="150"/>
        <v>0</v>
      </c>
      <c r="R246" s="40">
        <f t="shared" si="151"/>
        <v>0</v>
      </c>
      <c r="S246" s="40">
        <f t="shared" si="152"/>
        <v>0</v>
      </c>
      <c r="T246" s="40">
        <f t="shared" si="153"/>
        <v>0</v>
      </c>
      <c r="U246" s="40">
        <f t="shared" si="154"/>
        <v>0</v>
      </c>
      <c r="V246" s="25">
        <f t="shared" si="169"/>
        <v>0</v>
      </c>
      <c r="W246" s="25">
        <f t="shared" si="170"/>
        <v>0</v>
      </c>
      <c r="X246" s="40">
        <f t="shared" si="155"/>
        <v>0</v>
      </c>
      <c r="Y246" s="40">
        <f t="shared" si="156"/>
        <v>0</v>
      </c>
      <c r="Z246" s="40">
        <f t="shared" si="157"/>
        <v>0</v>
      </c>
      <c r="AA246" s="40">
        <f t="shared" si="158"/>
        <v>0</v>
      </c>
      <c r="AB246" s="40">
        <f t="shared" si="159"/>
        <v>0</v>
      </c>
      <c r="AC246" s="40">
        <f t="shared" si="160"/>
        <v>0</v>
      </c>
      <c r="AD246" s="26">
        <v>45.911572818750003</v>
      </c>
      <c r="AE246" s="8">
        <v>26.895658710639999</v>
      </c>
      <c r="AF246" s="61">
        <f t="shared" si="171"/>
        <v>0</v>
      </c>
      <c r="AG246" s="61">
        <f t="shared" si="172"/>
        <v>0</v>
      </c>
      <c r="AH246" s="74">
        <v>0</v>
      </c>
      <c r="AI246" s="74">
        <v>0</v>
      </c>
      <c r="AJ246" s="74">
        <v>0</v>
      </c>
      <c r="AK246" s="74">
        <v>0</v>
      </c>
      <c r="AL246" s="74" t="e">
        <f t="shared" si="175"/>
        <v>#DIV/0!</v>
      </c>
      <c r="AM246" s="74" t="e">
        <f t="shared" si="199"/>
        <v>#DIV/0!</v>
      </c>
      <c r="AN246" s="74" t="e">
        <f t="shared" si="176"/>
        <v>#DIV/0!</v>
      </c>
      <c r="AO246" s="74" t="e">
        <f t="shared" si="177"/>
        <v>#DIV/0!</v>
      </c>
      <c r="AP246" s="74" t="e">
        <f t="shared" si="178"/>
        <v>#DIV/0!</v>
      </c>
      <c r="AQ246" s="74" t="e">
        <f t="shared" si="179"/>
        <v>#DIV/0!</v>
      </c>
      <c r="AR246" s="74" t="e">
        <f t="shared" si="180"/>
        <v>#DIV/0!</v>
      </c>
      <c r="AS246" s="74" t="e">
        <f t="shared" si="181"/>
        <v>#DIV/0!</v>
      </c>
      <c r="AT246" s="74" t="e">
        <f t="shared" si="182"/>
        <v>#DIV/0!</v>
      </c>
      <c r="AU246" s="74" t="e">
        <f t="shared" si="183"/>
        <v>#DIV/0!</v>
      </c>
      <c r="AV246" s="74" t="e">
        <f t="shared" si="184"/>
        <v>#DIV/0!</v>
      </c>
      <c r="AW246" s="74" t="e">
        <f t="shared" si="185"/>
        <v>#DIV/0!</v>
      </c>
      <c r="AX246" s="74" t="e">
        <f t="shared" si="186"/>
        <v>#DIV/0!</v>
      </c>
      <c r="AY246" s="74" t="e">
        <f t="shared" si="187"/>
        <v>#DIV/0!</v>
      </c>
      <c r="AZ246" s="74" t="e">
        <f t="shared" si="188"/>
        <v>#DIV/0!</v>
      </c>
      <c r="BA246" s="74" t="e">
        <f t="shared" si="189"/>
        <v>#DIV/0!</v>
      </c>
      <c r="BB246" s="74">
        <f t="shared" si="190"/>
        <v>0</v>
      </c>
      <c r="BC246" s="74">
        <f t="shared" si="191"/>
        <v>0</v>
      </c>
      <c r="BD246" s="74">
        <f t="shared" si="192"/>
        <v>0</v>
      </c>
      <c r="BE246" s="75">
        <f t="shared" si="193"/>
        <v>0</v>
      </c>
    </row>
    <row r="247" spans="1:57" x14ac:dyDescent="0.35">
      <c r="A247" s="9" t="s">
        <v>44</v>
      </c>
      <c r="B247" s="11" t="s">
        <v>71</v>
      </c>
      <c r="C247" s="47">
        <f t="shared" si="161"/>
        <v>-0.51357683670948573</v>
      </c>
      <c r="D247" s="23">
        <f t="shared" si="162"/>
        <v>1.3124741382575742</v>
      </c>
      <c r="E247" s="50">
        <f>[1]data!E247-[1]data!E209</f>
        <v>0.57064092967720637</v>
      </c>
      <c r="F247" s="36">
        <f>[1]data!F247-[1]data!F209</f>
        <v>0.74183320858036783</v>
      </c>
      <c r="G247" s="36">
        <f>[1]data!G247-[1]data!G209</f>
        <v>-1.8260509749670599</v>
      </c>
      <c r="H247" s="25">
        <f t="shared" si="163"/>
        <v>-0.45651274374176509</v>
      </c>
      <c r="I247" s="36">
        <f>[1]data!I247-[1]data!I209</f>
        <v>-0.45651274374176509</v>
      </c>
      <c r="J247" s="36">
        <f>[1]data!J247-[1]data!J209</f>
        <v>0</v>
      </c>
      <c r="K247" s="36">
        <f>[1]data!K247-[1]data!K209</f>
        <v>0</v>
      </c>
      <c r="L247" s="25">
        <f t="shared" si="164"/>
        <v>-0.20160495037040349</v>
      </c>
      <c r="M247" s="25">
        <f t="shared" si="165"/>
        <v>0.51521265094658641</v>
      </c>
      <c r="N247" s="25">
        <f t="shared" si="166"/>
        <v>-0.20225746189325422</v>
      </c>
      <c r="O247" s="25">
        <f t="shared" si="167"/>
        <v>0.51688018039387151</v>
      </c>
      <c r="P247" s="24">
        <f t="shared" si="168"/>
        <v>0.22400550041155939</v>
      </c>
      <c r="Q247" s="40">
        <f t="shared" si="150"/>
        <v>0.22473051321472681</v>
      </c>
      <c r="R247" s="40">
        <f t="shared" si="151"/>
        <v>0.29120715053502705</v>
      </c>
      <c r="S247" s="40">
        <f t="shared" si="152"/>
        <v>0.2921496671791447</v>
      </c>
      <c r="T247" s="40">
        <f t="shared" si="153"/>
        <v>-0.71681760131698991</v>
      </c>
      <c r="U247" s="40">
        <f t="shared" si="154"/>
        <v>-0.71913764228712573</v>
      </c>
      <c r="V247" s="25">
        <f t="shared" si="169"/>
        <v>-0.17920440032924753</v>
      </c>
      <c r="W247" s="25">
        <f t="shared" si="170"/>
        <v>-0.17978441057178149</v>
      </c>
      <c r="X247" s="40">
        <f t="shared" si="155"/>
        <v>-0.17920440032924753</v>
      </c>
      <c r="Y247" s="40">
        <f t="shared" si="156"/>
        <v>-0.17978441057178149</v>
      </c>
      <c r="Z247" s="40">
        <f t="shared" si="157"/>
        <v>0</v>
      </c>
      <c r="AA247" s="40">
        <f t="shared" si="158"/>
        <v>0</v>
      </c>
      <c r="AB247" s="40">
        <f t="shared" si="159"/>
        <v>0</v>
      </c>
      <c r="AC247" s="40">
        <f t="shared" si="160"/>
        <v>0</v>
      </c>
      <c r="AD247" s="26">
        <v>253.92231856471</v>
      </c>
      <c r="AE247" s="8">
        <v>254.7441596875</v>
      </c>
      <c r="AF247" s="61">
        <f t="shared" si="171"/>
        <v>0.8559613945158091</v>
      </c>
      <c r="AG247" s="61">
        <f>(D247)+(H247*-1)</f>
        <v>1.7689868819993393</v>
      </c>
      <c r="AH247" s="74">
        <f t="shared" si="173"/>
        <v>0.74193548387096764</v>
      </c>
      <c r="AI247" s="74">
        <f t="shared" ref="AI247:AI253" si="203">D247/AG247</f>
        <v>0.74193548387096764</v>
      </c>
      <c r="AJ247" s="74">
        <f t="shared" si="174"/>
        <v>1.5333333333333337</v>
      </c>
      <c r="AK247" s="74">
        <f t="shared" ref="AK247:AK253" si="204">$D247/(AF247)</f>
        <v>1.5333333333333337</v>
      </c>
      <c r="AL247" s="74">
        <f t="shared" si="175"/>
        <v>0.41935483870967727</v>
      </c>
      <c r="AM247" s="74">
        <f t="shared" si="199"/>
        <v>0.86666666666666659</v>
      </c>
      <c r="AN247" s="74">
        <f t="shared" si="176"/>
        <v>0.32258064516129042</v>
      </c>
      <c r="AO247" s="74">
        <f t="shared" si="177"/>
        <v>0.66666666666666696</v>
      </c>
      <c r="AP247" s="74">
        <f t="shared" si="178"/>
        <v>-1.032258064516129</v>
      </c>
      <c r="AQ247" s="74">
        <f t="shared" si="179"/>
        <v>-2.1333333333333337</v>
      </c>
      <c r="AR247" s="74">
        <f t="shared" si="180"/>
        <v>0.56521739130434767</v>
      </c>
      <c r="AS247" s="74">
        <f t="shared" si="181"/>
        <v>0.43478260869565233</v>
      </c>
      <c r="AT247" s="74">
        <f t="shared" si="182"/>
        <v>-0.25806451612903231</v>
      </c>
      <c r="AU247" s="74">
        <f t="shared" si="183"/>
        <v>-0.53333333333333366</v>
      </c>
      <c r="AV247" s="74">
        <f t="shared" si="184"/>
        <v>-0.25806451612903231</v>
      </c>
      <c r="AW247" s="74">
        <f t="shared" si="185"/>
        <v>-0.53333333333333366</v>
      </c>
      <c r="AX247" s="74">
        <f t="shared" si="186"/>
        <v>0</v>
      </c>
      <c r="AY247" s="74">
        <f t="shared" si="187"/>
        <v>0</v>
      </c>
      <c r="AZ247" s="74">
        <f t="shared" si="188"/>
        <v>1</v>
      </c>
      <c r="BA247" s="74">
        <f t="shared" si="189"/>
        <v>0</v>
      </c>
      <c r="BB247" s="74">
        <f t="shared" si="190"/>
        <v>-3.8080935069965097E-3</v>
      </c>
      <c r="BC247" s="74">
        <f t="shared" si="191"/>
        <v>3.3600825061733891E-3</v>
      </c>
      <c r="BD247" s="74">
        <f t="shared" si="192"/>
        <v>3.3709576982209007E-3</v>
      </c>
      <c r="BE247" s="75">
        <f t="shared" si="193"/>
        <v>6.9441705127583396E-3</v>
      </c>
    </row>
    <row r="248" spans="1:57" x14ac:dyDescent="0.35">
      <c r="A248" s="9" t="s">
        <v>45</v>
      </c>
      <c r="B248" s="11" t="s">
        <v>71</v>
      </c>
      <c r="C248" s="47">
        <f t="shared" si="161"/>
        <v>-5.6493452038043417</v>
      </c>
      <c r="D248" s="23">
        <f t="shared" si="162"/>
        <v>-5.7977118455204151</v>
      </c>
      <c r="E248" s="50">
        <f>[1]data!E248-[1]data!E210</f>
        <v>0.44295659642621987</v>
      </c>
      <c r="F248" s="36">
        <f>[1]data!F248-[1]data!F210</f>
        <v>-6.2406684419466352</v>
      </c>
      <c r="G248" s="36">
        <f>[1]data!G248-[1]data!G210</f>
        <v>0.14836664171607339</v>
      </c>
      <c r="H248" s="25">
        <f t="shared" si="163"/>
        <v>-5.9803169430171215</v>
      </c>
      <c r="I248" s="36">
        <f>[1]data!I248-[1]data!I210</f>
        <v>-2.7048380066699576</v>
      </c>
      <c r="J248" s="36">
        <f>[1]data!J248-[1]data!J210</f>
        <v>-3.2754789363471639</v>
      </c>
      <c r="K248" s="36">
        <f>[1]data!K248-[1]data!K210</f>
        <v>0</v>
      </c>
      <c r="L248" s="25">
        <f t="shared" si="164"/>
        <v>-2.7706041484194293</v>
      </c>
      <c r="M248" s="25">
        <f t="shared" si="165"/>
        <v>-2.8433674896910506</v>
      </c>
      <c r="N248" s="25">
        <f t="shared" si="166"/>
        <v>-1.8734682845384172</v>
      </c>
      <c r="O248" s="25">
        <f t="shared" si="167"/>
        <v>-1.922670481910133</v>
      </c>
      <c r="P248" s="24">
        <f t="shared" si="168"/>
        <v>0.217238872710732</v>
      </c>
      <c r="Q248" s="40">
        <f t="shared" si="150"/>
        <v>0.14689580914134334</v>
      </c>
      <c r="R248" s="40">
        <f t="shared" si="151"/>
        <v>-3.0606063624017827</v>
      </c>
      <c r="S248" s="40">
        <f t="shared" si="152"/>
        <v>-2.0695662910514763</v>
      </c>
      <c r="T248" s="40">
        <f t="shared" si="153"/>
        <v>7.2763341271621262E-2</v>
      </c>
      <c r="U248" s="40">
        <f t="shared" si="154"/>
        <v>4.9202197371715925E-2</v>
      </c>
      <c r="V248" s="25">
        <f t="shared" si="169"/>
        <v>-2.9329223712561232</v>
      </c>
      <c r="W248" s="25">
        <f t="shared" si="170"/>
        <v>-1.983227032521476</v>
      </c>
      <c r="X248" s="40">
        <f t="shared" si="155"/>
        <v>-1.3265316831826359</v>
      </c>
      <c r="Y248" s="40">
        <f t="shared" si="156"/>
        <v>-0.89699390593051487</v>
      </c>
      <c r="Z248" s="40">
        <f t="shared" si="157"/>
        <v>-1.6063906880734873</v>
      </c>
      <c r="AA248" s="40">
        <f t="shared" si="158"/>
        <v>-1.0862331265909611</v>
      </c>
      <c r="AB248" s="40">
        <f t="shared" si="159"/>
        <v>0</v>
      </c>
      <c r="AC248" s="40">
        <f t="shared" si="160"/>
        <v>0</v>
      </c>
      <c r="AD248" s="26">
        <v>301.54474727050001</v>
      </c>
      <c r="AE248" s="8">
        <v>203.90300819506001</v>
      </c>
      <c r="AF248" s="61">
        <f t="shared" si="171"/>
        <v>-11.778028788537537</v>
      </c>
      <c r="AG248" s="61">
        <f>(D248*-1)+(H248*-1)</f>
        <v>11.778028788537537</v>
      </c>
      <c r="AH248" s="74">
        <f>($D248/$AG248)*-1</f>
        <v>0.49224806201550386</v>
      </c>
      <c r="AI248" s="74">
        <f t="shared" si="203"/>
        <v>-0.49224806201550386</v>
      </c>
      <c r="AJ248" s="74">
        <f t="shared" si="174"/>
        <v>0.49224806201550386</v>
      </c>
      <c r="AK248" s="74">
        <f t="shared" si="204"/>
        <v>0.49224806201550386</v>
      </c>
      <c r="AL248" s="74">
        <f t="shared" si="175"/>
        <v>-0.52985678282770876</v>
      </c>
      <c r="AM248" s="74">
        <f t="shared" si="199"/>
        <v>0.52985678282770876</v>
      </c>
      <c r="AN248" s="74">
        <f t="shared" si="176"/>
        <v>3.7608720812204878E-2</v>
      </c>
      <c r="AO248" s="74">
        <f t="shared" si="177"/>
        <v>-3.7608720812204878E-2</v>
      </c>
      <c r="AP248" s="74">
        <f t="shared" si="178"/>
        <v>1.2596899224806182E-2</v>
      </c>
      <c r="AQ248" s="74">
        <f t="shared" si="179"/>
        <v>-1.2596899224806182E-2</v>
      </c>
      <c r="AR248" s="74">
        <f t="shared" si="180"/>
        <v>1.0764019682641643</v>
      </c>
      <c r="AS248" s="74">
        <f t="shared" si="181"/>
        <v>-7.6401968264164247E-2</v>
      </c>
      <c r="AT248" s="74">
        <f t="shared" si="182"/>
        <v>-0.50775193798449614</v>
      </c>
      <c r="AU248" s="74">
        <f t="shared" si="183"/>
        <v>0.50775193798449614</v>
      </c>
      <c r="AV248" s="74">
        <f t="shared" si="184"/>
        <v>-0.22965116279069767</v>
      </c>
      <c r="AW248" s="74">
        <f t="shared" si="185"/>
        <v>0.22965116279069767</v>
      </c>
      <c r="AX248" s="74">
        <f t="shared" si="186"/>
        <v>-0.27810077519379844</v>
      </c>
      <c r="AY248" s="74">
        <f t="shared" si="187"/>
        <v>0.27810077519379844</v>
      </c>
      <c r="AZ248" s="74">
        <f t="shared" si="188"/>
        <v>0.45229007633587787</v>
      </c>
      <c r="BA248" s="74">
        <f t="shared" si="189"/>
        <v>0.54770992366412219</v>
      </c>
      <c r="BB248" s="74">
        <f t="shared" si="190"/>
        <v>-5.7035265196755523E-2</v>
      </c>
      <c r="BC248" s="74">
        <f t="shared" si="191"/>
        <v>-5.7762898609471737E-2</v>
      </c>
      <c r="BD248" s="74">
        <f t="shared" si="192"/>
        <v>-3.905897514431609E-2</v>
      </c>
      <c r="BE248" s="75">
        <f t="shared" si="193"/>
        <v>5.7762898609471737E-2</v>
      </c>
    </row>
    <row r="249" spans="1:57" x14ac:dyDescent="0.35">
      <c r="A249" s="9" t="s">
        <v>46</v>
      </c>
      <c r="B249" s="11" t="s">
        <v>71</v>
      </c>
      <c r="C249" s="47">
        <f t="shared" si="161"/>
        <v>0.2704247219044934</v>
      </c>
      <c r="D249" s="23">
        <f t="shared" si="162"/>
        <v>0.19510445104624002</v>
      </c>
      <c r="E249" s="50">
        <f>[1]data!E249-[1]data!E211</f>
        <v>1.9965198850822666E-2</v>
      </c>
      <c r="F249" s="36">
        <f>[1]data!F249-[1]data!F211</f>
        <v>0.17513925219541737</v>
      </c>
      <c r="G249" s="36">
        <f>[1]data!G249-[1]data!G211</f>
        <v>7.5320270858253366E-2</v>
      </c>
      <c r="H249" s="25">
        <f t="shared" si="163"/>
        <v>-8.6448289280998403E-2</v>
      </c>
      <c r="I249" s="36">
        <f>[1]data!I249-[1]data!I211</f>
        <v>-8.862629246676515E-2</v>
      </c>
      <c r="J249" s="36">
        <f>[1]data!J249-[1]data!J211</f>
        <v>2.178003185766747E-3</v>
      </c>
      <c r="K249" s="36">
        <f>[1]data!K249-[1]data!K211</f>
        <v>0</v>
      </c>
      <c r="L249" s="25">
        <f t="shared" si="164"/>
        <v>1.3045090407984126</v>
      </c>
      <c r="M249" s="25">
        <f t="shared" si="165"/>
        <v>0.94116957391092138</v>
      </c>
      <c r="N249" s="25">
        <f t="shared" si="166"/>
        <v>1.4181273088186097</v>
      </c>
      <c r="O249" s="25">
        <f t="shared" si="167"/>
        <v>1.0231422192178621</v>
      </c>
      <c r="P249" s="24">
        <f t="shared" si="168"/>
        <v>9.6310656136810419E-2</v>
      </c>
      <c r="Q249" s="40">
        <f t="shared" si="150"/>
        <v>0.1046989843123329</v>
      </c>
      <c r="R249" s="40">
        <f t="shared" si="151"/>
        <v>0.84485891777411093</v>
      </c>
      <c r="S249" s="40">
        <f t="shared" si="152"/>
        <v>0.91844323490552915</v>
      </c>
      <c r="T249" s="40">
        <f t="shared" si="153"/>
        <v>0.3633394668874913</v>
      </c>
      <c r="U249" s="40">
        <f t="shared" si="154"/>
        <v>0.39498508960074769</v>
      </c>
      <c r="V249" s="25">
        <f t="shared" si="169"/>
        <v>-0.41702021225872654</v>
      </c>
      <c r="W249" s="25">
        <f t="shared" si="170"/>
        <v>-0.45334124397595577</v>
      </c>
      <c r="X249" s="40">
        <f t="shared" si="155"/>
        <v>-0.42752674001517887</v>
      </c>
      <c r="Y249" s="40">
        <f t="shared" si="156"/>
        <v>-0.46476285430313802</v>
      </c>
      <c r="Z249" s="40">
        <f t="shared" si="157"/>
        <v>1.0506527756452345E-2</v>
      </c>
      <c r="AA249" s="40">
        <f t="shared" si="158"/>
        <v>1.142161032718227E-2</v>
      </c>
      <c r="AB249" s="40">
        <f t="shared" si="159"/>
        <v>0</v>
      </c>
      <c r="AC249" s="40">
        <f t="shared" si="160"/>
        <v>0</v>
      </c>
      <c r="AD249" s="26">
        <v>19.06914282116</v>
      </c>
      <c r="AE249" s="8">
        <v>20.729999827290001</v>
      </c>
      <c r="AF249" s="61">
        <f t="shared" si="171"/>
        <v>0.10865616176524162</v>
      </c>
      <c r="AG249" s="61">
        <f t="shared" si="172"/>
        <v>0.10865616176524162</v>
      </c>
      <c r="AH249" s="74">
        <f t="shared" si="173"/>
        <v>1.7956133170595083</v>
      </c>
      <c r="AI249" s="74">
        <f t="shared" si="203"/>
        <v>1.7956133170595083</v>
      </c>
      <c r="AJ249" s="74">
        <f t="shared" si="174"/>
        <v>1.7956133170595083</v>
      </c>
      <c r="AK249" s="74">
        <f t="shared" si="204"/>
        <v>1.7956133170595083</v>
      </c>
      <c r="AL249" s="74">
        <f t="shared" si="175"/>
        <v>1.6118667303361645</v>
      </c>
      <c r="AM249" s="74">
        <f t="shared" si="199"/>
        <v>1.6118667303361645</v>
      </c>
      <c r="AN249" s="74">
        <f t="shared" si="176"/>
        <v>0.18374658672334401</v>
      </c>
      <c r="AO249" s="74">
        <f t="shared" si="177"/>
        <v>0.18374658672334401</v>
      </c>
      <c r="AP249" s="74">
        <f t="shared" si="178"/>
        <v>0.69319833900434924</v>
      </c>
      <c r="AQ249" s="74">
        <f t="shared" si="179"/>
        <v>0.69319833900434924</v>
      </c>
      <c r="AR249" s="74">
        <f t="shared" si="180"/>
        <v>0.89766917800306423</v>
      </c>
      <c r="AS249" s="74">
        <f t="shared" si="181"/>
        <v>0.10233082199693581</v>
      </c>
      <c r="AT249" s="74">
        <f t="shared" si="182"/>
        <v>-0.79561331705950833</v>
      </c>
      <c r="AU249" s="74">
        <f t="shared" si="183"/>
        <v>-0.79561331705950833</v>
      </c>
      <c r="AV249" s="74">
        <f t="shared" si="184"/>
        <v>-0.81565822892076523</v>
      </c>
      <c r="AW249" s="74">
        <f t="shared" si="185"/>
        <v>-0.81565822892076523</v>
      </c>
      <c r="AX249" s="74">
        <f t="shared" si="186"/>
        <v>2.0044911861256964E-2</v>
      </c>
      <c r="AY249" s="74">
        <f t="shared" si="187"/>
        <v>2.0044911861256964E-2</v>
      </c>
      <c r="AZ249" s="74">
        <f t="shared" si="188"/>
        <v>1.025194289023895</v>
      </c>
      <c r="BA249" s="74">
        <f t="shared" si="189"/>
        <v>-2.5194289023894874E-2</v>
      </c>
      <c r="BB249" s="74">
        <f t="shared" si="190"/>
        <v>8.8748882853968616E-3</v>
      </c>
      <c r="BC249" s="74">
        <f t="shared" si="191"/>
        <v>5.2414936165219479E-3</v>
      </c>
      <c r="BD249" s="74">
        <f t="shared" si="192"/>
        <v>5.6980097524190615E-3</v>
      </c>
      <c r="BE249" s="75">
        <f t="shared" si="193"/>
        <v>5.2414936165219479E-3</v>
      </c>
    </row>
    <row r="250" spans="1:57" x14ac:dyDescent="0.35">
      <c r="A250" s="9" t="s">
        <v>47</v>
      </c>
      <c r="B250" s="11" t="s">
        <v>71</v>
      </c>
      <c r="C250" s="47">
        <f t="shared" si="161"/>
        <v>6.4596553239459826</v>
      </c>
      <c r="D250" s="23">
        <f t="shared" si="162"/>
        <v>6.0031425802042184</v>
      </c>
      <c r="E250" s="50">
        <f>[1]data!E250-[1]data!E212</f>
        <v>0.11412818593544127</v>
      </c>
      <c r="F250" s="36">
        <f>[1]data!F250-[1]data!F212</f>
        <v>5.8890143942687772</v>
      </c>
      <c r="G250" s="36">
        <f>[1]data!G250-[1]data!G212</f>
        <v>0.45651274374176465</v>
      </c>
      <c r="H250" s="25">
        <f t="shared" si="163"/>
        <v>-2.2825637187088246</v>
      </c>
      <c r="I250" s="36">
        <f>[1]data!I250-[1]data!I212</f>
        <v>-2.2825637187088246</v>
      </c>
      <c r="J250" s="36">
        <f>[1]data!J250-[1]data!J212</f>
        <v>0</v>
      </c>
      <c r="K250" s="36">
        <f>[1]data!K250-[1]data!K212</f>
        <v>0</v>
      </c>
      <c r="L250" s="25">
        <f t="shared" si="164"/>
        <v>1.7389599445679689</v>
      </c>
      <c r="M250" s="25">
        <f t="shared" si="165"/>
        <v>1.6160652488387841</v>
      </c>
      <c r="N250" s="25">
        <f t="shared" si="166"/>
        <v>1.5457760650730219</v>
      </c>
      <c r="O250" s="25">
        <f t="shared" si="167"/>
        <v>1.4365339403328792</v>
      </c>
      <c r="P250" s="24">
        <f t="shared" si="168"/>
        <v>3.072367393229624E-2</v>
      </c>
      <c r="Q250" s="40">
        <f t="shared" si="150"/>
        <v>2.7310531185035691E-2</v>
      </c>
      <c r="R250" s="40">
        <f t="shared" si="151"/>
        <v>1.5853415749064879</v>
      </c>
      <c r="S250" s="40">
        <f t="shared" si="152"/>
        <v>1.4092234091478435</v>
      </c>
      <c r="T250" s="40">
        <f t="shared" si="153"/>
        <v>0.12289469572918485</v>
      </c>
      <c r="U250" s="40">
        <f t="shared" si="154"/>
        <v>0.10924212474014265</v>
      </c>
      <c r="V250" s="25">
        <f t="shared" si="169"/>
        <v>-0.61447347864592461</v>
      </c>
      <c r="W250" s="25">
        <f t="shared" si="170"/>
        <v>-0.5462106237007136</v>
      </c>
      <c r="X250" s="40">
        <f t="shared" si="155"/>
        <v>-0.61447347864592461</v>
      </c>
      <c r="Y250" s="40">
        <f t="shared" si="156"/>
        <v>-0.5462106237007136</v>
      </c>
      <c r="Z250" s="40">
        <f t="shared" si="157"/>
        <v>0</v>
      </c>
      <c r="AA250" s="40">
        <f t="shared" si="158"/>
        <v>0</v>
      </c>
      <c r="AB250" s="40">
        <f t="shared" si="159"/>
        <v>0</v>
      </c>
      <c r="AC250" s="40">
        <f t="shared" si="160"/>
        <v>0</v>
      </c>
      <c r="AD250" s="26">
        <v>417.89075855828003</v>
      </c>
      <c r="AE250" s="8">
        <v>371.46659669328</v>
      </c>
      <c r="AF250" s="61">
        <f t="shared" si="171"/>
        <v>3.7205788614953939</v>
      </c>
      <c r="AG250" s="61">
        <f>(D250)+(H250*-1)</f>
        <v>8.285706298913043</v>
      </c>
      <c r="AH250" s="74">
        <f t="shared" si="173"/>
        <v>0.72451790633608848</v>
      </c>
      <c r="AI250" s="74">
        <f t="shared" si="203"/>
        <v>0.72451790633608848</v>
      </c>
      <c r="AJ250" s="74">
        <f t="shared" si="174"/>
        <v>1.6134969325153359</v>
      </c>
      <c r="AK250" s="74">
        <f t="shared" si="204"/>
        <v>1.6134969325153359</v>
      </c>
      <c r="AL250" s="74">
        <f t="shared" si="175"/>
        <v>0.71074380165289286</v>
      </c>
      <c r="AM250" s="74">
        <f t="shared" si="199"/>
        <v>1.582822085889569</v>
      </c>
      <c r="AN250" s="74">
        <f t="shared" si="176"/>
        <v>1.3774104683195581E-2</v>
      </c>
      <c r="AO250" s="74">
        <f t="shared" si="177"/>
        <v>3.0674846625766802E-2</v>
      </c>
      <c r="AP250" s="74">
        <f t="shared" si="178"/>
        <v>5.5096418732782274E-2</v>
      </c>
      <c r="AQ250" s="74">
        <f t="shared" si="179"/>
        <v>0.1226993865030671</v>
      </c>
      <c r="AR250" s="74">
        <f t="shared" si="180"/>
        <v>0.9809885931558936</v>
      </c>
      <c r="AS250" s="74">
        <f t="shared" si="181"/>
        <v>1.9011406844106439E-2</v>
      </c>
      <c r="AT250" s="74">
        <f t="shared" si="182"/>
        <v>-0.27548209366391152</v>
      </c>
      <c r="AU250" s="74">
        <f t="shared" si="183"/>
        <v>-0.61349693251533577</v>
      </c>
      <c r="AV250" s="74">
        <f t="shared" si="184"/>
        <v>-0.27548209366391152</v>
      </c>
      <c r="AW250" s="74">
        <f t="shared" si="185"/>
        <v>-0.61349693251533577</v>
      </c>
      <c r="AX250" s="74">
        <f t="shared" si="186"/>
        <v>0</v>
      </c>
      <c r="AY250" s="74">
        <f t="shared" si="187"/>
        <v>0</v>
      </c>
      <c r="AZ250" s="74">
        <f t="shared" si="188"/>
        <v>1</v>
      </c>
      <c r="BA250" s="74">
        <f t="shared" si="189"/>
        <v>0</v>
      </c>
      <c r="BB250" s="74">
        <f t="shared" si="190"/>
        <v>1.1244864659220446E-2</v>
      </c>
      <c r="BC250" s="74">
        <f t="shared" si="191"/>
        <v>1.0015917701928596E-2</v>
      </c>
      <c r="BD250" s="74">
        <f t="shared" si="192"/>
        <v>8.9032331663216561E-3</v>
      </c>
      <c r="BE250" s="75">
        <f t="shared" si="193"/>
        <v>2.2305387274847089E-2</v>
      </c>
    </row>
    <row r="251" spans="1:57" x14ac:dyDescent="0.35">
      <c r="A251" s="9" t="s">
        <v>48</v>
      </c>
      <c r="B251" s="11" t="s">
        <v>71</v>
      </c>
      <c r="C251" s="47">
        <f t="shared" si="161"/>
        <v>1.5000000000000018</v>
      </c>
      <c r="D251" s="23">
        <f t="shared" si="162"/>
        <v>1.5000000000000018</v>
      </c>
      <c r="E251" s="50">
        <f>[1]data!E251-[1]data!E213</f>
        <v>2.9000000000000004</v>
      </c>
      <c r="F251" s="36">
        <f>[1]data!F251-[1]data!F213</f>
        <v>-1.3999999999999986</v>
      </c>
      <c r="G251" s="36">
        <f>[1]data!G251-[1]data!G213</f>
        <v>0</v>
      </c>
      <c r="H251" s="25">
        <f t="shared" si="163"/>
        <v>-1.7000000000000002</v>
      </c>
      <c r="I251" s="36">
        <f>[1]data!I251-[1]data!I213</f>
        <v>-1.7000000000000002</v>
      </c>
      <c r="J251" s="36">
        <f>[1]data!J251-[1]data!J213</f>
        <v>0</v>
      </c>
      <c r="K251" s="36">
        <f>[1]data!K251-[1]data!K213</f>
        <v>0</v>
      </c>
      <c r="L251" s="25">
        <f t="shared" si="164"/>
        <v>0.41845643653964942</v>
      </c>
      <c r="M251" s="25">
        <f t="shared" si="165"/>
        <v>0.41845643653964942</v>
      </c>
      <c r="N251" s="25">
        <f t="shared" si="166"/>
        <v>0.43808832247855112</v>
      </c>
      <c r="O251" s="25">
        <f t="shared" si="167"/>
        <v>0.43808832247855112</v>
      </c>
      <c r="P251" s="24">
        <f t="shared" si="168"/>
        <v>0.80901577730998797</v>
      </c>
      <c r="Q251" s="40">
        <f t="shared" si="150"/>
        <v>0.84697075679186462</v>
      </c>
      <c r="R251" s="40">
        <f t="shared" si="151"/>
        <v>-0.39055934077033855</v>
      </c>
      <c r="S251" s="40">
        <f t="shared" si="152"/>
        <v>-0.4088824343133135</v>
      </c>
      <c r="T251" s="40">
        <f t="shared" si="153"/>
        <v>0</v>
      </c>
      <c r="U251" s="40">
        <f t="shared" si="154"/>
        <v>0</v>
      </c>
      <c r="V251" s="25">
        <f t="shared" si="169"/>
        <v>-0.47425062807826873</v>
      </c>
      <c r="W251" s="25">
        <f t="shared" si="170"/>
        <v>-0.49650009880902407</v>
      </c>
      <c r="X251" s="40">
        <f t="shared" si="155"/>
        <v>-0.47425062807826873</v>
      </c>
      <c r="Y251" s="40">
        <f t="shared" si="156"/>
        <v>-0.49650009880902407</v>
      </c>
      <c r="Z251" s="40">
        <f t="shared" si="157"/>
        <v>0</v>
      </c>
      <c r="AA251" s="40">
        <f t="shared" si="158"/>
        <v>0</v>
      </c>
      <c r="AB251" s="40">
        <f t="shared" si="159"/>
        <v>0</v>
      </c>
      <c r="AC251" s="40">
        <f t="shared" si="160"/>
        <v>0</v>
      </c>
      <c r="AD251" s="26">
        <v>342.39670930134002</v>
      </c>
      <c r="AE251" s="8">
        <v>358.46025273358998</v>
      </c>
      <c r="AF251" s="61">
        <f t="shared" si="171"/>
        <v>-0.1999999999999984</v>
      </c>
      <c r="AG251" s="61">
        <f>(D251)+(H251*-1)</f>
        <v>3.200000000000002</v>
      </c>
      <c r="AH251" s="74">
        <f t="shared" si="173"/>
        <v>0.46875000000000028</v>
      </c>
      <c r="AI251" s="74">
        <f t="shared" si="203"/>
        <v>0.46875000000000028</v>
      </c>
      <c r="AJ251" s="74">
        <f>(($D251)/(AF251))*-1</f>
        <v>7.5000000000000693</v>
      </c>
      <c r="AK251" s="74">
        <f t="shared" si="204"/>
        <v>-7.5000000000000693</v>
      </c>
      <c r="AL251" s="74">
        <f t="shared" si="175"/>
        <v>-0.43749999999999928</v>
      </c>
      <c r="AM251" s="74">
        <f t="shared" si="199"/>
        <v>7.0000000000000488</v>
      </c>
      <c r="AN251" s="74">
        <f t="shared" si="176"/>
        <v>0.90624999999999956</v>
      </c>
      <c r="AO251" s="74">
        <f t="shared" si="177"/>
        <v>-14.500000000000117</v>
      </c>
      <c r="AP251" s="74">
        <f t="shared" si="178"/>
        <v>0</v>
      </c>
      <c r="AQ251" s="74">
        <f t="shared" si="179"/>
        <v>0</v>
      </c>
      <c r="AR251" s="74">
        <f t="shared" si="180"/>
        <v>-0.93333333333333124</v>
      </c>
      <c r="AS251" s="74">
        <f t="shared" si="181"/>
        <v>1.9333333333333313</v>
      </c>
      <c r="AT251" s="74">
        <f t="shared" si="182"/>
        <v>-0.53124999999999978</v>
      </c>
      <c r="AU251" s="74">
        <f t="shared" si="183"/>
        <v>8.5000000000000693</v>
      </c>
      <c r="AV251" s="74">
        <f t="shared" si="184"/>
        <v>-0.53124999999999978</v>
      </c>
      <c r="AW251" s="74">
        <f t="shared" si="185"/>
        <v>8.5000000000000693</v>
      </c>
      <c r="AX251" s="74">
        <f t="shared" si="186"/>
        <v>0</v>
      </c>
      <c r="AY251" s="74">
        <f t="shared" si="187"/>
        <v>0</v>
      </c>
      <c r="AZ251" s="74">
        <f t="shared" si="188"/>
        <v>1</v>
      </c>
      <c r="BA251" s="74">
        <f t="shared" si="189"/>
        <v>0</v>
      </c>
      <c r="BB251" s="74">
        <f t="shared" si="190"/>
        <v>-5.5794191538619409E-4</v>
      </c>
      <c r="BC251" s="74">
        <f t="shared" si="191"/>
        <v>-5.5794191538619409E-4</v>
      </c>
      <c r="BD251" s="74">
        <f t="shared" si="192"/>
        <v>-5.8411776330472953E-4</v>
      </c>
      <c r="BE251" s="75">
        <f t="shared" si="193"/>
        <v>8.9270706461791818E-3</v>
      </c>
    </row>
    <row r="252" spans="1:57" x14ac:dyDescent="0.35">
      <c r="A252" s="10" t="s">
        <v>49</v>
      </c>
      <c r="B252" s="11" t="s">
        <v>71</v>
      </c>
      <c r="C252" s="47">
        <f t="shared" si="161"/>
        <v>0.63608896592116526</v>
      </c>
      <c r="D252" s="23">
        <f t="shared" si="162"/>
        <v>0.63608896592116526</v>
      </c>
      <c r="E252" s="50">
        <f>[1]data!E252-[1]data!E214</f>
        <v>0</v>
      </c>
      <c r="F252" s="36">
        <f>[1]data!F252-[1]data!F214</f>
        <v>0.63608896592116526</v>
      </c>
      <c r="G252" s="36">
        <f>[1]data!G252-[1]data!G214</f>
        <v>0</v>
      </c>
      <c r="H252" s="25">
        <f t="shared" si="163"/>
        <v>-0.37597881601197808</v>
      </c>
      <c r="I252" s="36">
        <f>[1]data!I252-[1]data!I214</f>
        <v>-2.1798038880997683E-2</v>
      </c>
      <c r="J252" s="36">
        <f>[1]data!J252-[1]data!J214</f>
        <v>-0.3541807771309804</v>
      </c>
      <c r="K252" s="36">
        <f>[1]data!K252-[1]data!K214</f>
        <v>0</v>
      </c>
      <c r="L252" s="25">
        <f t="shared" si="164"/>
        <v>2.1090428744257399</v>
      </c>
      <c r="M252" s="25">
        <f t="shared" si="165"/>
        <v>2.1090428744257399</v>
      </c>
      <c r="N252" s="25">
        <f t="shared" si="166"/>
        <v>1.1477070431122105</v>
      </c>
      <c r="O252" s="25">
        <f t="shared" si="167"/>
        <v>1.1477070431122105</v>
      </c>
      <c r="P252" s="24">
        <f t="shared" si="168"/>
        <v>0</v>
      </c>
      <c r="Q252" s="40">
        <f t="shared" si="150"/>
        <v>0</v>
      </c>
      <c r="R252" s="40">
        <f t="shared" si="151"/>
        <v>2.1090428744257399</v>
      </c>
      <c r="S252" s="40">
        <f t="shared" si="152"/>
        <v>1.1477070431122105</v>
      </c>
      <c r="T252" s="40">
        <f t="shared" si="153"/>
        <v>0</v>
      </c>
      <c r="U252" s="40">
        <f t="shared" si="154"/>
        <v>0</v>
      </c>
      <c r="V252" s="25">
        <f t="shared" si="169"/>
        <v>-1.2466109071657203</v>
      </c>
      <c r="W252" s="25">
        <f t="shared" si="170"/>
        <v>-0.67838550629947181</v>
      </c>
      <c r="X252" s="40">
        <f t="shared" si="155"/>
        <v>-7.2274478950985502E-2</v>
      </c>
      <c r="Y252" s="40">
        <f t="shared" si="156"/>
        <v>-3.9330603249067307E-2</v>
      </c>
      <c r="Z252" s="40">
        <f t="shared" si="157"/>
        <v>-1.1743364282147348</v>
      </c>
      <c r="AA252" s="40">
        <f t="shared" si="158"/>
        <v>-0.63905490305040447</v>
      </c>
      <c r="AB252" s="40">
        <f t="shared" si="159"/>
        <v>0</v>
      </c>
      <c r="AC252" s="40">
        <f t="shared" si="160"/>
        <v>0</v>
      </c>
      <c r="AD252" s="32">
        <v>55.422589739999999</v>
      </c>
      <c r="AE252" s="8">
        <v>30.160077523049999</v>
      </c>
      <c r="AF252" s="61">
        <f t="shared" si="171"/>
        <v>0.26011014990918718</v>
      </c>
      <c r="AG252" s="61">
        <f t="shared" si="172"/>
        <v>0.26011014990918718</v>
      </c>
      <c r="AH252" s="74">
        <f t="shared" si="173"/>
        <v>2.4454599950953253</v>
      </c>
      <c r="AI252" s="74">
        <f t="shared" si="203"/>
        <v>2.4454599950953253</v>
      </c>
      <c r="AJ252" s="74">
        <f t="shared" si="174"/>
        <v>2.4454599950953253</v>
      </c>
      <c r="AK252" s="74">
        <f t="shared" si="204"/>
        <v>2.4454599950953253</v>
      </c>
      <c r="AL252" s="74">
        <f t="shared" si="175"/>
        <v>2.4454599950953253</v>
      </c>
      <c r="AM252" s="74">
        <f t="shared" si="199"/>
        <v>2.4454599950953253</v>
      </c>
      <c r="AN252" s="74">
        <f t="shared" si="176"/>
        <v>0</v>
      </c>
      <c r="AO252" s="74">
        <f t="shared" si="177"/>
        <v>0</v>
      </c>
      <c r="AP252" s="74">
        <f t="shared" si="178"/>
        <v>0</v>
      </c>
      <c r="AQ252" s="74">
        <f t="shared" si="179"/>
        <v>0</v>
      </c>
      <c r="AR252" s="74">
        <f t="shared" si="180"/>
        <v>1</v>
      </c>
      <c r="AS252" s="74">
        <f t="shared" si="181"/>
        <v>0</v>
      </c>
      <c r="AT252" s="74">
        <f t="shared" si="182"/>
        <v>-1.4454599950953255</v>
      </c>
      <c r="AU252" s="74">
        <f t="shared" si="183"/>
        <v>-1.4454599950953255</v>
      </c>
      <c r="AV252" s="74">
        <f t="shared" si="184"/>
        <v>-8.3803107601176194E-2</v>
      </c>
      <c r="AW252" s="74">
        <f t="shared" si="185"/>
        <v>-8.3803107601176194E-2</v>
      </c>
      <c r="AX252" s="74">
        <f t="shared" si="186"/>
        <v>-1.3616568874941493</v>
      </c>
      <c r="AY252" s="74">
        <f t="shared" si="187"/>
        <v>-1.3616568874941493</v>
      </c>
      <c r="AZ252" s="74">
        <f t="shared" si="188"/>
        <v>5.7976774096504501E-2</v>
      </c>
      <c r="BA252" s="74">
        <f t="shared" si="189"/>
        <v>0.94202322590349552</v>
      </c>
      <c r="BB252" s="74">
        <f t="shared" si="190"/>
        <v>8.6243196726001996E-3</v>
      </c>
      <c r="BC252" s="74">
        <f t="shared" si="191"/>
        <v>8.6243196726001996E-3</v>
      </c>
      <c r="BD252" s="74">
        <f t="shared" si="192"/>
        <v>4.6932153681273859E-3</v>
      </c>
      <c r="BE252" s="75">
        <f t="shared" si="193"/>
        <v>8.6243196726001996E-3</v>
      </c>
    </row>
    <row r="253" spans="1:57" x14ac:dyDescent="0.35">
      <c r="A253" s="9" t="s">
        <v>50</v>
      </c>
      <c r="B253" s="11" t="s">
        <v>71</v>
      </c>
      <c r="C253" s="47">
        <f t="shared" si="161"/>
        <v>0.23917700000000042</v>
      </c>
      <c r="D253" s="23">
        <f t="shared" si="162"/>
        <v>0.23779700000000026</v>
      </c>
      <c r="E253" s="50">
        <f>[1]data!E253-[1]data!E215</f>
        <v>1.3394000000000128E-2</v>
      </c>
      <c r="F253" s="36">
        <f>[1]data!F253-[1]data!F215</f>
        <v>0.22440300000000013</v>
      </c>
      <c r="G253" s="36">
        <f>[1]data!G253-[1]data!G215</f>
        <v>1.3800000000001589E-3</v>
      </c>
      <c r="H253" s="25">
        <f t="shared" si="163"/>
        <v>1.1412818593544094E-2</v>
      </c>
      <c r="I253" s="36">
        <f>[1]data!I253-[1]data!I215</f>
        <v>1.1412818593544094E-2</v>
      </c>
      <c r="J253" s="36">
        <f>[1]data!J253-[1]data!J215</f>
        <v>0</v>
      </c>
      <c r="K253" s="36">
        <f>[1]data!K253-[1]data!K215</f>
        <v>0</v>
      </c>
      <c r="L253" s="25">
        <f t="shared" si="164"/>
        <v>0.49604527100256357</v>
      </c>
      <c r="M253" s="25">
        <f t="shared" si="165"/>
        <v>0.49318319616265999</v>
      </c>
      <c r="N253" s="25">
        <f t="shared" si="166"/>
        <v>0.24622881258761534</v>
      </c>
      <c r="O253" s="25">
        <f t="shared" si="167"/>
        <v>0.2448081251412014</v>
      </c>
      <c r="P253" s="24">
        <f t="shared" si="168"/>
        <v>2.7778717685264E-2</v>
      </c>
      <c r="Q253" s="40">
        <f t="shared" si="150"/>
        <v>1.3788904099468367E-2</v>
      </c>
      <c r="R253" s="40">
        <f t="shared" si="151"/>
        <v>0.46540447847739597</v>
      </c>
      <c r="S253" s="40">
        <f t="shared" si="152"/>
        <v>0.23101922104173303</v>
      </c>
      <c r="T253" s="40">
        <f t="shared" si="153"/>
        <v>2.8620748399035664E-3</v>
      </c>
      <c r="U253" s="40">
        <f t="shared" si="154"/>
        <v>1.4206874464139433E-3</v>
      </c>
      <c r="V253" s="25">
        <f t="shared" si="169"/>
        <v>2.3669812281856811E-2</v>
      </c>
      <c r="W253" s="25">
        <f t="shared" si="170"/>
        <v>1.1749310220323089E-2</v>
      </c>
      <c r="X253" s="40">
        <f t="shared" si="155"/>
        <v>2.3669812281856811E-2</v>
      </c>
      <c r="Y253" s="40">
        <f t="shared" si="156"/>
        <v>1.1749310220323089E-2</v>
      </c>
      <c r="Z253" s="40">
        <f t="shared" si="157"/>
        <v>0</v>
      </c>
      <c r="AA253" s="40">
        <f t="shared" si="158"/>
        <v>0</v>
      </c>
      <c r="AB253" s="40">
        <f t="shared" si="159"/>
        <v>0</v>
      </c>
      <c r="AC253" s="40">
        <f t="shared" si="160"/>
        <v>0</v>
      </c>
      <c r="AD253" s="26">
        <v>97.136073348400004</v>
      </c>
      <c r="AE253" s="8">
        <v>48.216768505140003</v>
      </c>
      <c r="AF253" s="61">
        <f t="shared" si="171"/>
        <v>0.24920981859354435</v>
      </c>
      <c r="AG253" s="61">
        <f t="shared" si="172"/>
        <v>0.24920981859354435</v>
      </c>
      <c r="AH253" s="74">
        <f t="shared" si="173"/>
        <v>0.95420397696224746</v>
      </c>
      <c r="AI253" s="74">
        <f t="shared" si="203"/>
        <v>0.95420397696224746</v>
      </c>
      <c r="AJ253" s="74">
        <f t="shared" si="174"/>
        <v>0.95420397696224746</v>
      </c>
      <c r="AK253" s="74">
        <f t="shared" si="204"/>
        <v>0.95420397696224746</v>
      </c>
      <c r="AL253" s="74">
        <f t="shared" si="175"/>
        <v>0.90045810099479429</v>
      </c>
      <c r="AM253" s="74">
        <f t="shared" si="199"/>
        <v>0.90045810099479429</v>
      </c>
      <c r="AN253" s="74">
        <f t="shared" si="176"/>
        <v>5.3745875967453123E-2</v>
      </c>
      <c r="AO253" s="74">
        <f t="shared" si="177"/>
        <v>5.3745875967453123E-2</v>
      </c>
      <c r="AP253" s="74">
        <f t="shared" si="178"/>
        <v>5.5375025261380573E-3</v>
      </c>
      <c r="AQ253" s="74">
        <f t="shared" si="179"/>
        <v>5.5375025261380573E-3</v>
      </c>
      <c r="AR253" s="74">
        <f t="shared" si="180"/>
        <v>0.94367464686265967</v>
      </c>
      <c r="AS253" s="74">
        <f t="shared" si="181"/>
        <v>5.6325353137340307E-2</v>
      </c>
      <c r="AT253" s="74">
        <f t="shared" si="182"/>
        <v>4.5796023037752563E-2</v>
      </c>
      <c r="AU253" s="74">
        <f t="shared" si="183"/>
        <v>4.5796023037752563E-2</v>
      </c>
      <c r="AV253" s="74">
        <f t="shared" si="184"/>
        <v>4.5796023037752563E-2</v>
      </c>
      <c r="AW253" s="74">
        <f t="shared" si="185"/>
        <v>4.5796023037752563E-2</v>
      </c>
      <c r="AX253" s="74">
        <f t="shared" si="186"/>
        <v>0</v>
      </c>
      <c r="AY253" s="74">
        <f t="shared" si="187"/>
        <v>0</v>
      </c>
      <c r="AZ253" s="74">
        <f t="shared" si="188"/>
        <v>1</v>
      </c>
      <c r="BA253" s="74">
        <f t="shared" si="189"/>
        <v>0</v>
      </c>
      <c r="BB253" s="74">
        <f t="shared" si="190"/>
        <v>5.1971508328442035E-3</v>
      </c>
      <c r="BC253" s="74">
        <f t="shared" si="191"/>
        <v>5.1685300844451672E-3</v>
      </c>
      <c r="BD253" s="74">
        <f t="shared" si="192"/>
        <v>2.5655743536152449E-3</v>
      </c>
      <c r="BE253" s="75">
        <f t="shared" si="193"/>
        <v>5.1685300844451672E-3</v>
      </c>
    </row>
    <row r="254" spans="1:57" x14ac:dyDescent="0.35">
      <c r="A254" s="9" t="s">
        <v>51</v>
      </c>
      <c r="B254" s="11" t="s">
        <v>71</v>
      </c>
      <c r="C254" s="47">
        <f t="shared" si="161"/>
        <v>0</v>
      </c>
      <c r="D254" s="23">
        <f t="shared" si="162"/>
        <v>0</v>
      </c>
      <c r="E254" s="50">
        <f>[1]data!E254-[1]data!E216</f>
        <v>0</v>
      </c>
      <c r="F254" s="36">
        <f>[1]data!F254-[1]data!F216</f>
        <v>0</v>
      </c>
      <c r="G254" s="36">
        <f>[1]data!G254-[1]data!G216</f>
        <v>0</v>
      </c>
      <c r="H254" s="25">
        <f t="shared" si="163"/>
        <v>0</v>
      </c>
      <c r="I254" s="36">
        <f>[1]data!I254-[1]data!I216</f>
        <v>0</v>
      </c>
      <c r="J254" s="36">
        <f>[1]data!J254-[1]data!J216</f>
        <v>0</v>
      </c>
      <c r="K254" s="36">
        <f>[1]data!K254-[1]data!K216</f>
        <v>0</v>
      </c>
      <c r="L254" s="25">
        <f t="shared" si="164"/>
        <v>0</v>
      </c>
      <c r="M254" s="25">
        <f t="shared" si="165"/>
        <v>0</v>
      </c>
      <c r="N254" s="25">
        <f t="shared" si="166"/>
        <v>0</v>
      </c>
      <c r="O254" s="25">
        <f t="shared" si="167"/>
        <v>0</v>
      </c>
      <c r="P254" s="24">
        <f t="shared" si="168"/>
        <v>0</v>
      </c>
      <c r="Q254" s="40">
        <f t="shared" si="150"/>
        <v>0</v>
      </c>
      <c r="R254" s="40">
        <f t="shared" si="151"/>
        <v>0</v>
      </c>
      <c r="S254" s="40">
        <f t="shared" si="152"/>
        <v>0</v>
      </c>
      <c r="T254" s="40">
        <f t="shared" si="153"/>
        <v>0</v>
      </c>
      <c r="U254" s="40">
        <f t="shared" si="154"/>
        <v>0</v>
      </c>
      <c r="V254" s="25">
        <f t="shared" si="169"/>
        <v>0</v>
      </c>
      <c r="W254" s="25">
        <f t="shared" si="170"/>
        <v>0</v>
      </c>
      <c r="X254" s="40">
        <f t="shared" si="155"/>
        <v>0</v>
      </c>
      <c r="Y254" s="40">
        <f t="shared" si="156"/>
        <v>0</v>
      </c>
      <c r="Z254" s="40">
        <f t="shared" si="157"/>
        <v>0</v>
      </c>
      <c r="AA254" s="40">
        <f t="shared" si="158"/>
        <v>0</v>
      </c>
      <c r="AB254" s="40">
        <f t="shared" si="159"/>
        <v>0</v>
      </c>
      <c r="AC254" s="40">
        <f t="shared" si="160"/>
        <v>0</v>
      </c>
      <c r="AD254" s="26">
        <v>66.343484468840003</v>
      </c>
      <c r="AE254" s="8">
        <v>66.557495896739994</v>
      </c>
      <c r="AF254" s="61">
        <f t="shared" si="171"/>
        <v>0</v>
      </c>
      <c r="AG254" s="61">
        <f t="shared" si="172"/>
        <v>0</v>
      </c>
      <c r="AH254" s="74">
        <v>0</v>
      </c>
      <c r="AI254" s="74">
        <v>0</v>
      </c>
      <c r="AJ254" s="74">
        <v>0</v>
      </c>
      <c r="AK254" s="74">
        <v>0</v>
      </c>
      <c r="AL254" s="74" t="e">
        <f t="shared" si="175"/>
        <v>#DIV/0!</v>
      </c>
      <c r="AM254" s="74" t="e">
        <f t="shared" si="199"/>
        <v>#DIV/0!</v>
      </c>
      <c r="AN254" s="74" t="e">
        <f t="shared" si="176"/>
        <v>#DIV/0!</v>
      </c>
      <c r="AO254" s="74" t="e">
        <f t="shared" si="177"/>
        <v>#DIV/0!</v>
      </c>
      <c r="AP254" s="74" t="e">
        <f t="shared" si="178"/>
        <v>#DIV/0!</v>
      </c>
      <c r="AQ254" s="74" t="e">
        <f t="shared" si="179"/>
        <v>#DIV/0!</v>
      </c>
      <c r="AR254" s="74" t="e">
        <f t="shared" si="180"/>
        <v>#DIV/0!</v>
      </c>
      <c r="AS254" s="74" t="e">
        <f t="shared" si="181"/>
        <v>#DIV/0!</v>
      </c>
      <c r="AT254" s="74" t="e">
        <f t="shared" si="182"/>
        <v>#DIV/0!</v>
      </c>
      <c r="AU254" s="74" t="e">
        <f t="shared" si="183"/>
        <v>#DIV/0!</v>
      </c>
      <c r="AV254" s="74" t="e">
        <f t="shared" si="184"/>
        <v>#DIV/0!</v>
      </c>
      <c r="AW254" s="74" t="e">
        <f t="shared" si="185"/>
        <v>#DIV/0!</v>
      </c>
      <c r="AX254" s="74" t="e">
        <f t="shared" si="186"/>
        <v>#DIV/0!</v>
      </c>
      <c r="AY254" s="74" t="e">
        <f t="shared" si="187"/>
        <v>#DIV/0!</v>
      </c>
      <c r="AZ254" s="74" t="e">
        <f t="shared" si="188"/>
        <v>#DIV/0!</v>
      </c>
      <c r="BA254" s="74" t="e">
        <f t="shared" si="189"/>
        <v>#DIV/0!</v>
      </c>
      <c r="BB254" s="74">
        <f t="shared" si="190"/>
        <v>0</v>
      </c>
      <c r="BC254" s="74">
        <f t="shared" si="191"/>
        <v>0</v>
      </c>
      <c r="BD254" s="74">
        <f t="shared" si="192"/>
        <v>0</v>
      </c>
      <c r="BE254" s="75">
        <f t="shared" si="193"/>
        <v>0</v>
      </c>
    </row>
    <row r="255" spans="1:57" x14ac:dyDescent="0.35">
      <c r="A255" s="9" t="s">
        <v>52</v>
      </c>
      <c r="B255" s="11" t="s">
        <v>71</v>
      </c>
      <c r="C255" s="47">
        <f t="shared" si="161"/>
        <v>-1.2554100452898531</v>
      </c>
      <c r="D255" s="23">
        <f t="shared" si="162"/>
        <v>0</v>
      </c>
      <c r="E255" s="50">
        <f>[1]data!E255-[1]data!E217</f>
        <v>0</v>
      </c>
      <c r="F255" s="36">
        <f>[1]data!F255-[1]data!F217</f>
        <v>0</v>
      </c>
      <c r="G255" s="36">
        <f>[1]data!G255-[1]data!G217</f>
        <v>-1.2554100452898531</v>
      </c>
      <c r="H255" s="25">
        <f t="shared" si="163"/>
        <v>-34.466712152503256</v>
      </c>
      <c r="I255" s="36">
        <f>[1]data!I255-[1]data!I217</f>
        <v>0</v>
      </c>
      <c r="J255" s="36">
        <f>[1]data!J255-[1]data!J217</f>
        <v>-34.466712152503256</v>
      </c>
      <c r="K255" s="36">
        <f>[1]data!K255-[1]data!K217</f>
        <v>0</v>
      </c>
      <c r="L255" s="25">
        <f t="shared" si="164"/>
        <v>-0.14940903361763991</v>
      </c>
      <c r="M255" s="25">
        <f t="shared" si="165"/>
        <v>0</v>
      </c>
      <c r="N255" s="25">
        <f t="shared" si="166"/>
        <v>-0.13463702333677011</v>
      </c>
      <c r="O255" s="25">
        <f t="shared" si="167"/>
        <v>0</v>
      </c>
      <c r="P255" s="24">
        <f t="shared" si="168"/>
        <v>0</v>
      </c>
      <c r="Q255" s="40">
        <f t="shared" si="150"/>
        <v>0</v>
      </c>
      <c r="R255" s="40">
        <f t="shared" si="151"/>
        <v>0</v>
      </c>
      <c r="S255" s="40">
        <f t="shared" si="152"/>
        <v>0</v>
      </c>
      <c r="T255" s="40">
        <f t="shared" si="153"/>
        <v>-0.14940903361763991</v>
      </c>
      <c r="U255" s="40">
        <f t="shared" si="154"/>
        <v>-0.13463702333677011</v>
      </c>
      <c r="V255" s="25">
        <f t="shared" si="169"/>
        <v>-4.1019571047752068</v>
      </c>
      <c r="W255" s="25">
        <f t="shared" si="170"/>
        <v>-3.6963982770640542</v>
      </c>
      <c r="X255" s="40">
        <f t="shared" si="155"/>
        <v>0</v>
      </c>
      <c r="Y255" s="40">
        <f t="shared" si="156"/>
        <v>0</v>
      </c>
      <c r="Z255" s="40">
        <f t="shared" si="157"/>
        <v>-4.1019571047752068</v>
      </c>
      <c r="AA255" s="40">
        <f t="shared" si="158"/>
        <v>-3.6963982770640542</v>
      </c>
      <c r="AB255" s="40">
        <f t="shared" si="159"/>
        <v>0</v>
      </c>
      <c r="AC255" s="40">
        <f t="shared" si="160"/>
        <v>0</v>
      </c>
      <c r="AD255" s="26">
        <v>932.44043441874999</v>
      </c>
      <c r="AE255" s="8">
        <v>840.25042856688003</v>
      </c>
      <c r="AF255" s="61">
        <f t="shared" si="171"/>
        <v>-34.466712152503256</v>
      </c>
      <c r="AG255" s="61">
        <f>(D255)+(H255*-1)</f>
        <v>34.466712152503256</v>
      </c>
      <c r="AH255" s="74">
        <f t="shared" si="173"/>
        <v>0</v>
      </c>
      <c r="AI255" s="74">
        <f>D255/AG255</f>
        <v>0</v>
      </c>
      <c r="AJ255" s="74">
        <f t="shared" si="174"/>
        <v>0</v>
      </c>
      <c r="AK255" s="74">
        <f>$D255/(AF255)</f>
        <v>0</v>
      </c>
      <c r="AL255" s="74">
        <f t="shared" si="175"/>
        <v>0</v>
      </c>
      <c r="AM255" s="74">
        <f t="shared" si="199"/>
        <v>0</v>
      </c>
      <c r="AN255" s="74">
        <f t="shared" si="176"/>
        <v>0</v>
      </c>
      <c r="AO255" s="74">
        <f t="shared" si="177"/>
        <v>0</v>
      </c>
      <c r="AP255" s="74">
        <f t="shared" si="178"/>
        <v>-3.6423841059602634E-2</v>
      </c>
      <c r="AQ255" s="74">
        <f t="shared" si="179"/>
        <v>3.6423841059602634E-2</v>
      </c>
      <c r="AR255" s="74" t="e">
        <f t="shared" si="180"/>
        <v>#DIV/0!</v>
      </c>
      <c r="AS255" s="74" t="e">
        <f t="shared" si="181"/>
        <v>#DIV/0!</v>
      </c>
      <c r="AT255" s="74">
        <f t="shared" si="182"/>
        <v>-1</v>
      </c>
      <c r="AU255" s="74">
        <f t="shared" si="183"/>
        <v>1</v>
      </c>
      <c r="AV255" s="74">
        <f t="shared" si="184"/>
        <v>0</v>
      </c>
      <c r="AW255" s="74">
        <f t="shared" si="185"/>
        <v>0</v>
      </c>
      <c r="AX255" s="74">
        <f t="shared" si="186"/>
        <v>-1</v>
      </c>
      <c r="AY255" s="74">
        <f t="shared" si="187"/>
        <v>1</v>
      </c>
      <c r="AZ255" s="74">
        <f t="shared" si="188"/>
        <v>0</v>
      </c>
      <c r="BA255" s="74">
        <f t="shared" si="189"/>
        <v>1</v>
      </c>
      <c r="BB255" s="74">
        <f t="shared" si="190"/>
        <v>-4.2513661383928467E-2</v>
      </c>
      <c r="BC255" s="74">
        <f t="shared" si="191"/>
        <v>-4.1019571047752064E-2</v>
      </c>
      <c r="BD255" s="74">
        <f t="shared" si="192"/>
        <v>-3.6963982770640544E-2</v>
      </c>
      <c r="BE255" s="75">
        <f t="shared" si="193"/>
        <v>4.1019571047752064E-2</v>
      </c>
    </row>
    <row r="256" spans="1:57" x14ac:dyDescent="0.35">
      <c r="A256" s="9" t="s">
        <v>53</v>
      </c>
      <c r="B256" s="11" t="s">
        <v>71</v>
      </c>
      <c r="C256" s="47">
        <f t="shared" si="161"/>
        <v>0</v>
      </c>
      <c r="D256" s="23">
        <f t="shared" si="162"/>
        <v>0</v>
      </c>
      <c r="E256" s="50">
        <f>[1]data!E256-[1]data!E218</f>
        <v>0</v>
      </c>
      <c r="F256" s="36">
        <f>[1]data!F256-[1]data!F218</f>
        <v>0</v>
      </c>
      <c r="G256" s="36">
        <f>[1]data!G256-[1]data!G218</f>
        <v>0</v>
      </c>
      <c r="H256" s="25">
        <f t="shared" si="163"/>
        <v>0.65002147584386338</v>
      </c>
      <c r="I256" s="36">
        <f>[1]data!I256-[1]data!I218</f>
        <v>0.39001288550631807</v>
      </c>
      <c r="J256" s="36">
        <f>[1]data!J256-[1]data!J218</f>
        <v>0.26000859033754531</v>
      </c>
      <c r="K256" s="36">
        <f>[1]data!K256-[1]data!K218</f>
        <v>0</v>
      </c>
      <c r="L256" s="25">
        <f t="shared" si="164"/>
        <v>0</v>
      </c>
      <c r="M256" s="25">
        <f t="shared" si="165"/>
        <v>0</v>
      </c>
      <c r="N256" s="25">
        <f t="shared" si="166"/>
        <v>0</v>
      </c>
      <c r="O256" s="25">
        <f t="shared" si="167"/>
        <v>0</v>
      </c>
      <c r="P256" s="24">
        <f t="shared" si="168"/>
        <v>0</v>
      </c>
      <c r="Q256" s="40">
        <f t="shared" si="150"/>
        <v>0</v>
      </c>
      <c r="R256" s="40">
        <f t="shared" si="151"/>
        <v>0</v>
      </c>
      <c r="S256" s="40">
        <f t="shared" si="152"/>
        <v>0</v>
      </c>
      <c r="T256" s="40">
        <f t="shared" si="153"/>
        <v>0</v>
      </c>
      <c r="U256" s="40">
        <f t="shared" si="154"/>
        <v>0</v>
      </c>
      <c r="V256" s="25">
        <f t="shared" si="169"/>
        <v>0.3203037344094507</v>
      </c>
      <c r="W256" s="25">
        <f t="shared" si="170"/>
        <v>0.33510786454283203</v>
      </c>
      <c r="X256" s="40">
        <f t="shared" si="155"/>
        <v>0.19218224064567044</v>
      </c>
      <c r="Y256" s="40">
        <f t="shared" si="156"/>
        <v>0.20106471872569925</v>
      </c>
      <c r="Z256" s="40">
        <f t="shared" si="157"/>
        <v>0.12812149376378026</v>
      </c>
      <c r="AA256" s="40">
        <f t="shared" si="158"/>
        <v>0.13404314581713278</v>
      </c>
      <c r="AB256" s="40">
        <f t="shared" si="159"/>
        <v>0</v>
      </c>
      <c r="AC256" s="40">
        <f t="shared" si="160"/>
        <v>0</v>
      </c>
      <c r="AD256" s="26">
        <v>193.97380504054999</v>
      </c>
      <c r="AE256" s="8">
        <v>202.93908750153</v>
      </c>
      <c r="AF256" s="61">
        <f t="shared" si="171"/>
        <v>0.65002147584386338</v>
      </c>
      <c r="AG256" s="61">
        <f t="shared" si="172"/>
        <v>0.65002147584386338</v>
      </c>
      <c r="AH256" s="74">
        <f t="shared" si="173"/>
        <v>0</v>
      </c>
      <c r="AI256" s="74">
        <f>D256/AG256</f>
        <v>0</v>
      </c>
      <c r="AJ256" s="74">
        <f t="shared" si="174"/>
        <v>0</v>
      </c>
      <c r="AK256" s="74">
        <f>$D256/(AF256)</f>
        <v>0</v>
      </c>
      <c r="AL256" s="74">
        <f t="shared" si="175"/>
        <v>0</v>
      </c>
      <c r="AM256" s="74">
        <f t="shared" si="199"/>
        <v>0</v>
      </c>
      <c r="AN256" s="74">
        <f t="shared" si="176"/>
        <v>0</v>
      </c>
      <c r="AO256" s="74">
        <f t="shared" si="177"/>
        <v>0</v>
      </c>
      <c r="AP256" s="74">
        <f t="shared" si="178"/>
        <v>0</v>
      </c>
      <c r="AQ256" s="74">
        <f t="shared" si="179"/>
        <v>0</v>
      </c>
      <c r="AR256" s="74" t="e">
        <f t="shared" si="180"/>
        <v>#DIV/0!</v>
      </c>
      <c r="AS256" s="74" t="e">
        <f t="shared" si="181"/>
        <v>#DIV/0!</v>
      </c>
      <c r="AT256" s="74">
        <f t="shared" si="182"/>
        <v>1</v>
      </c>
      <c r="AU256" s="74">
        <f t="shared" si="183"/>
        <v>1</v>
      </c>
      <c r="AV256" s="74">
        <f t="shared" si="184"/>
        <v>0.60000000000000009</v>
      </c>
      <c r="AW256" s="74">
        <f t="shared" si="185"/>
        <v>0.60000000000000009</v>
      </c>
      <c r="AX256" s="74">
        <f t="shared" si="186"/>
        <v>0.39999999999999991</v>
      </c>
      <c r="AY256" s="74">
        <f t="shared" si="187"/>
        <v>0.39999999999999991</v>
      </c>
      <c r="AZ256" s="74">
        <f t="shared" si="188"/>
        <v>0.60000000000000009</v>
      </c>
      <c r="BA256" s="74">
        <f t="shared" si="189"/>
        <v>0.39999999999999991</v>
      </c>
      <c r="BB256" s="74">
        <f t="shared" si="190"/>
        <v>3.203037344094507E-3</v>
      </c>
      <c r="BC256" s="74">
        <f t="shared" si="191"/>
        <v>3.203037344094507E-3</v>
      </c>
      <c r="BD256" s="74">
        <f t="shared" si="192"/>
        <v>3.3510786454283206E-3</v>
      </c>
      <c r="BE256" s="75">
        <f t="shared" si="193"/>
        <v>3.203037344094507E-3</v>
      </c>
    </row>
    <row r="257" spans="1:57" x14ac:dyDescent="0.35">
      <c r="A257" s="9" t="s">
        <v>54</v>
      </c>
      <c r="B257" s="11" t="s">
        <v>71</v>
      </c>
      <c r="C257" s="47">
        <f t="shared" si="161"/>
        <v>0</v>
      </c>
      <c r="D257" s="23">
        <f t="shared" si="162"/>
        <v>0</v>
      </c>
      <c r="E257" s="50">
        <f>[1]data!E257-[1]data!E219</f>
        <v>0</v>
      </c>
      <c r="F257" s="36">
        <f>[1]data!F257-[1]data!F219</f>
        <v>0</v>
      </c>
      <c r="G257" s="36">
        <f>[1]data!G257-[1]data!G219</f>
        <v>0</v>
      </c>
      <c r="H257" s="25">
        <f t="shared" si="163"/>
        <v>0</v>
      </c>
      <c r="I257" s="36">
        <f>[1]data!I257-[1]data!I219</f>
        <v>0</v>
      </c>
      <c r="J257" s="36">
        <f>[1]data!J257-[1]data!J219</f>
        <v>0</v>
      </c>
      <c r="K257" s="36">
        <f>[1]data!K257-[1]data!K219</f>
        <v>0</v>
      </c>
      <c r="L257" s="25">
        <f t="shared" si="164"/>
        <v>0</v>
      </c>
      <c r="M257" s="25">
        <f t="shared" si="165"/>
        <v>0</v>
      </c>
      <c r="N257" s="25">
        <f t="shared" si="166"/>
        <v>0</v>
      </c>
      <c r="O257" s="25">
        <f t="shared" si="167"/>
        <v>0</v>
      </c>
      <c r="P257" s="24">
        <f t="shared" si="168"/>
        <v>0</v>
      </c>
      <c r="Q257" s="40">
        <f t="shared" si="150"/>
        <v>0</v>
      </c>
      <c r="R257" s="40">
        <f t="shared" si="151"/>
        <v>0</v>
      </c>
      <c r="S257" s="40">
        <f t="shared" si="152"/>
        <v>0</v>
      </c>
      <c r="T257" s="40">
        <f t="shared" si="153"/>
        <v>0</v>
      </c>
      <c r="U257" s="40">
        <f t="shared" si="154"/>
        <v>0</v>
      </c>
      <c r="V257" s="25">
        <f t="shared" si="169"/>
        <v>0</v>
      </c>
      <c r="W257" s="25">
        <f t="shared" si="170"/>
        <v>0</v>
      </c>
      <c r="X257" s="40">
        <f t="shared" si="155"/>
        <v>0</v>
      </c>
      <c r="Y257" s="40">
        <f t="shared" si="156"/>
        <v>0</v>
      </c>
      <c r="Z257" s="40">
        <f t="shared" si="157"/>
        <v>0</v>
      </c>
      <c r="AA257" s="40">
        <f t="shared" si="158"/>
        <v>0</v>
      </c>
      <c r="AB257" s="40">
        <f t="shared" si="159"/>
        <v>0</v>
      </c>
      <c r="AC257" s="40">
        <f t="shared" si="160"/>
        <v>0</v>
      </c>
      <c r="AD257" s="26">
        <v>330.45426768437</v>
      </c>
      <c r="AE257" s="8">
        <v>410.24933347112</v>
      </c>
      <c r="AF257" s="61">
        <f t="shared" si="171"/>
        <v>0</v>
      </c>
      <c r="AG257" s="61">
        <f t="shared" si="172"/>
        <v>0</v>
      </c>
      <c r="AH257" s="74">
        <v>0</v>
      </c>
      <c r="AI257" s="74">
        <v>0</v>
      </c>
      <c r="AJ257" s="74">
        <v>0</v>
      </c>
      <c r="AK257" s="74">
        <v>0</v>
      </c>
      <c r="AL257" s="74" t="e">
        <f t="shared" si="175"/>
        <v>#DIV/0!</v>
      </c>
      <c r="AM257" s="74" t="e">
        <f t="shared" si="199"/>
        <v>#DIV/0!</v>
      </c>
      <c r="AN257" s="74" t="e">
        <f t="shared" si="176"/>
        <v>#DIV/0!</v>
      </c>
      <c r="AO257" s="74" t="e">
        <f t="shared" si="177"/>
        <v>#DIV/0!</v>
      </c>
      <c r="AP257" s="74" t="e">
        <f t="shared" si="178"/>
        <v>#DIV/0!</v>
      </c>
      <c r="AQ257" s="74" t="e">
        <f t="shared" si="179"/>
        <v>#DIV/0!</v>
      </c>
      <c r="AR257" s="74" t="e">
        <f t="shared" si="180"/>
        <v>#DIV/0!</v>
      </c>
      <c r="AS257" s="74" t="e">
        <f t="shared" si="181"/>
        <v>#DIV/0!</v>
      </c>
      <c r="AT257" s="74" t="e">
        <f t="shared" si="182"/>
        <v>#DIV/0!</v>
      </c>
      <c r="AU257" s="74" t="e">
        <f t="shared" si="183"/>
        <v>#DIV/0!</v>
      </c>
      <c r="AV257" s="74" t="e">
        <f t="shared" si="184"/>
        <v>#DIV/0!</v>
      </c>
      <c r="AW257" s="74" t="e">
        <f t="shared" si="185"/>
        <v>#DIV/0!</v>
      </c>
      <c r="AX257" s="74" t="e">
        <f t="shared" si="186"/>
        <v>#DIV/0!</v>
      </c>
      <c r="AY257" s="74" t="e">
        <f t="shared" si="187"/>
        <v>#DIV/0!</v>
      </c>
      <c r="AZ257" s="74" t="e">
        <f t="shared" si="188"/>
        <v>#DIV/0!</v>
      </c>
      <c r="BA257" s="74" t="e">
        <f t="shared" si="189"/>
        <v>#DIV/0!</v>
      </c>
      <c r="BB257" s="74">
        <f t="shared" si="190"/>
        <v>0</v>
      </c>
      <c r="BC257" s="74">
        <f t="shared" si="191"/>
        <v>0</v>
      </c>
      <c r="BD257" s="74">
        <f t="shared" si="192"/>
        <v>0</v>
      </c>
      <c r="BE257" s="75">
        <f t="shared" si="193"/>
        <v>0</v>
      </c>
    </row>
    <row r="258" spans="1:57" x14ac:dyDescent="0.35">
      <c r="A258" s="9" t="s">
        <v>55</v>
      </c>
      <c r="B258" s="11" t="s">
        <v>71</v>
      </c>
      <c r="C258" s="47">
        <f t="shared" si="161"/>
        <v>0.79889730154809069</v>
      </c>
      <c r="D258" s="23">
        <f t="shared" si="162"/>
        <v>0.79889730154809069</v>
      </c>
      <c r="E258" s="50">
        <f>[1]data!E258-[1]data!E220</f>
        <v>0.34238455780632382</v>
      </c>
      <c r="F258" s="36">
        <f>[1]data!F258-[1]data!F220</f>
        <v>0.45651274374176687</v>
      </c>
      <c r="G258" s="36">
        <f>[1]data!G258-[1]data!G220</f>
        <v>0</v>
      </c>
      <c r="H258" s="25">
        <f t="shared" si="163"/>
        <v>0</v>
      </c>
      <c r="I258" s="36">
        <f>[1]data!I258-[1]data!I220</f>
        <v>0</v>
      </c>
      <c r="J258" s="36">
        <f>[1]data!J258-[1]data!J220</f>
        <v>0</v>
      </c>
      <c r="K258" s="36">
        <f>[1]data!K258-[1]data!K220</f>
        <v>0</v>
      </c>
      <c r="L258" s="25">
        <f t="shared" si="164"/>
        <v>0.35927718380528195</v>
      </c>
      <c r="M258" s="25">
        <f t="shared" si="165"/>
        <v>0.35927718380528195</v>
      </c>
      <c r="N258" s="25">
        <f t="shared" si="166"/>
        <v>0.23413247781510577</v>
      </c>
      <c r="O258" s="25">
        <f t="shared" si="167"/>
        <v>0.23413247781510577</v>
      </c>
      <c r="P258" s="24">
        <f t="shared" si="168"/>
        <v>0.15397593591654907</v>
      </c>
      <c r="Q258" s="40">
        <f t="shared" ref="Q258:Q267" si="205">($E258/$AD258)*100</f>
        <v>0.10034249049218798</v>
      </c>
      <c r="R258" s="40">
        <f t="shared" ref="R258:R267" si="206">($F258/$AE258)*100</f>
        <v>0.20530124788873289</v>
      </c>
      <c r="S258" s="40">
        <f t="shared" ref="S258:S267" si="207">($F258/$AD258)*100</f>
        <v>0.1337899873229178</v>
      </c>
      <c r="T258" s="40">
        <f t="shared" ref="T258:T267" si="208">($G258/$AE258)*100</f>
        <v>0</v>
      </c>
      <c r="U258" s="40">
        <f t="shared" ref="U258:U267" si="209">($G258/$AD258)*100</f>
        <v>0</v>
      </c>
      <c r="V258" s="25">
        <f t="shared" si="169"/>
        <v>0</v>
      </c>
      <c r="W258" s="25">
        <f t="shared" si="170"/>
        <v>0</v>
      </c>
      <c r="X258" s="40">
        <f t="shared" ref="X258:X267" si="210">($I258/$AE258)*100</f>
        <v>0</v>
      </c>
      <c r="Y258" s="40">
        <f t="shared" ref="Y258:Y267" si="211">($I258/AD258)*100</f>
        <v>0</v>
      </c>
      <c r="Z258" s="40">
        <f t="shared" ref="Z258:Z267" si="212">($J258/$AE258)*100</f>
        <v>0</v>
      </c>
      <c r="AA258" s="40">
        <f t="shared" ref="AA258:AA267" si="213">($J258/$AD258)*100</f>
        <v>0</v>
      </c>
      <c r="AB258" s="40">
        <f t="shared" ref="AB258:AB267" si="214">($K258/$AE258)*100</f>
        <v>0</v>
      </c>
      <c r="AC258" s="40">
        <f t="shared" ref="AC258:AC267" si="215">($K258/$AD258)*100</f>
        <v>0</v>
      </c>
      <c r="AD258" s="26">
        <v>341.21592570296002</v>
      </c>
      <c r="AE258" s="8">
        <v>222.36238134761999</v>
      </c>
      <c r="AF258" s="61">
        <f t="shared" si="171"/>
        <v>0.79889730154809069</v>
      </c>
      <c r="AG258" s="61">
        <f>(D258)+(H258)</f>
        <v>0.79889730154809069</v>
      </c>
      <c r="AH258" s="74">
        <f t="shared" si="173"/>
        <v>1</v>
      </c>
      <c r="AI258" s="74">
        <f>D258/AG258</f>
        <v>1</v>
      </c>
      <c r="AJ258" s="74">
        <f t="shared" si="174"/>
        <v>1</v>
      </c>
      <c r="AK258" s="74">
        <f>$D258/(AF258)</f>
        <v>1</v>
      </c>
      <c r="AL258" s="74">
        <f t="shared" si="175"/>
        <v>0.5714285714285724</v>
      </c>
      <c r="AM258" s="74">
        <f t="shared" si="199"/>
        <v>0.5714285714285724</v>
      </c>
      <c r="AN258" s="74">
        <f t="shared" si="176"/>
        <v>0.4285714285714276</v>
      </c>
      <c r="AO258" s="74">
        <f t="shared" si="177"/>
        <v>0.4285714285714276</v>
      </c>
      <c r="AP258" s="74">
        <f t="shared" si="178"/>
        <v>0</v>
      </c>
      <c r="AQ258" s="74">
        <f t="shared" si="179"/>
        <v>0</v>
      </c>
      <c r="AR258" s="74">
        <f t="shared" si="180"/>
        <v>0.5714285714285724</v>
      </c>
      <c r="AS258" s="74">
        <f t="shared" si="181"/>
        <v>0.4285714285714276</v>
      </c>
      <c r="AT258" s="74">
        <f t="shared" si="182"/>
        <v>0</v>
      </c>
      <c r="AU258" s="74">
        <f t="shared" si="183"/>
        <v>0</v>
      </c>
      <c r="AV258" s="74">
        <f t="shared" si="184"/>
        <v>0</v>
      </c>
      <c r="AW258" s="74">
        <f t="shared" si="185"/>
        <v>0</v>
      </c>
      <c r="AX258" s="74">
        <f t="shared" si="186"/>
        <v>0</v>
      </c>
      <c r="AY258" s="74">
        <f t="shared" si="187"/>
        <v>0</v>
      </c>
      <c r="AZ258" s="74" t="e">
        <f t="shared" si="188"/>
        <v>#DIV/0!</v>
      </c>
      <c r="BA258" s="74" t="e">
        <f t="shared" si="189"/>
        <v>#DIV/0!</v>
      </c>
      <c r="BB258" s="74">
        <f t="shared" si="190"/>
        <v>3.5927718380528197E-3</v>
      </c>
      <c r="BC258" s="74">
        <f t="shared" si="191"/>
        <v>3.5927718380528197E-3</v>
      </c>
      <c r="BD258" s="74">
        <f t="shared" si="192"/>
        <v>2.3413247781510576E-3</v>
      </c>
      <c r="BE258" s="75">
        <f t="shared" si="193"/>
        <v>3.5927718380528197E-3</v>
      </c>
    </row>
    <row r="259" spans="1:57" x14ac:dyDescent="0.35">
      <c r="A259" s="9" t="s">
        <v>56</v>
      </c>
      <c r="B259" s="11" t="s">
        <v>71</v>
      </c>
      <c r="C259" s="47">
        <f t="shared" ref="C259:C267" si="216">D259+G259</f>
        <v>1.6802751266758578</v>
      </c>
      <c r="D259" s="23">
        <f t="shared" ref="D259:D267" si="217">E259+F259</f>
        <v>1.6802751266758578</v>
      </c>
      <c r="E259" s="50">
        <f>[1]data!E259-[1]data!E221</f>
        <v>1.0192067280989021</v>
      </c>
      <c r="F259" s="36">
        <f>[1]data!F259-[1]data!F221</f>
        <v>0.66106839857695565</v>
      </c>
      <c r="G259" s="36">
        <f>[1]data!G259-[1]data!G221</f>
        <v>0</v>
      </c>
      <c r="H259" s="25">
        <f t="shared" ref="H259:H267" si="218">I259+J259</f>
        <v>-2.7823680163275766</v>
      </c>
      <c r="I259" s="36">
        <f>[1]data!I259-[1]data!I221</f>
        <v>0</v>
      </c>
      <c r="J259" s="36">
        <f>[1]data!J259-[1]data!J221</f>
        <v>-2.7823680163275766</v>
      </c>
      <c r="K259" s="36">
        <f>[1]data!K259-[1]data!K221</f>
        <v>0</v>
      </c>
      <c r="L259" s="25">
        <f t="shared" ref="L259:L267" si="219">M259+T259</f>
        <v>1.6889043949690103</v>
      </c>
      <c r="M259" s="25">
        <f t="shared" ref="M259:M267" si="220">P259+R259</f>
        <v>1.6889043949690103</v>
      </c>
      <c r="N259" s="25">
        <f t="shared" ref="N259:N267" si="221">Q259+S259+U259</f>
        <v>0.92469264342358415</v>
      </c>
      <c r="O259" s="25">
        <f t="shared" ref="O259:O267" si="222">Q259+S259</f>
        <v>0.92469264342358415</v>
      </c>
      <c r="P259" s="24">
        <f t="shared" ref="P259:P267" si="223">($E259/$AE259)*100</f>
        <v>1.0244409948944542</v>
      </c>
      <c r="Q259" s="40">
        <f t="shared" si="205"/>
        <v>0.56089205192566349</v>
      </c>
      <c r="R259" s="40">
        <f t="shared" si="206"/>
        <v>0.66446340007455607</v>
      </c>
      <c r="S259" s="40">
        <f t="shared" si="207"/>
        <v>0.36380059149792066</v>
      </c>
      <c r="T259" s="40">
        <f t="shared" si="208"/>
        <v>0</v>
      </c>
      <c r="U259" s="40">
        <f t="shared" si="209"/>
        <v>0</v>
      </c>
      <c r="V259" s="25">
        <f t="shared" ref="V259:V267" si="224">X259+Z259</f>
        <v>-2.7966572239234044</v>
      </c>
      <c r="W259" s="25">
        <f t="shared" ref="W259:W267" si="225">Y259+AA259</f>
        <v>-1.531198787120716</v>
      </c>
      <c r="X259" s="40">
        <f t="shared" si="210"/>
        <v>0</v>
      </c>
      <c r="Y259" s="40">
        <f t="shared" si="211"/>
        <v>0</v>
      </c>
      <c r="Z259" s="40">
        <f t="shared" si="212"/>
        <v>-2.7966572239234044</v>
      </c>
      <c r="AA259" s="40">
        <f t="shared" si="213"/>
        <v>-1.531198787120716</v>
      </c>
      <c r="AB259" s="40">
        <f t="shared" si="214"/>
        <v>0</v>
      </c>
      <c r="AC259" s="40">
        <f t="shared" si="215"/>
        <v>0</v>
      </c>
      <c r="AD259" s="26">
        <v>181.71174374815001</v>
      </c>
      <c r="AE259" s="8">
        <v>99.489061173690004</v>
      </c>
      <c r="AF259" s="61">
        <f t="shared" ref="AF259:AF267" si="226">D259+H259</f>
        <v>-1.1020928896517188</v>
      </c>
      <c r="AG259" s="61">
        <f>(D259)+(H259*-1)</f>
        <v>4.4626431430034348</v>
      </c>
      <c r="AH259" s="74">
        <f t="shared" ref="AH259:AH266" si="227">($D259/$AG259)</f>
        <v>0.37652016368599978</v>
      </c>
      <c r="AI259" s="74">
        <f>D259/AG259</f>
        <v>0.37652016368599978</v>
      </c>
      <c r="AJ259" s="74">
        <f>(($D259)/(AF259))*-1</f>
        <v>1.5246220554120942</v>
      </c>
      <c r="AK259" s="74">
        <f>$D259/(AF259)</f>
        <v>-1.5246220554120942</v>
      </c>
      <c r="AL259" s="74">
        <f t="shared" ref="AL259:AL267" si="228">($F259/(AG259))</f>
        <v>0.148133825043435</v>
      </c>
      <c r="AM259" s="74">
        <f t="shared" ref="AM259:AM267" si="229">(F259/(AF259))</f>
        <v>-0.59983001867098984</v>
      </c>
      <c r="AN259" s="74">
        <f t="shared" ref="AN259:AN267" si="230">($E259/AG259)</f>
        <v>0.22838633864256477</v>
      </c>
      <c r="AO259" s="74">
        <f t="shared" ref="AO259:AO267" si="231">(E259/AF259)</f>
        <v>-0.92479203674110422</v>
      </c>
      <c r="AP259" s="74">
        <f t="shared" ref="AP259:AP267" si="232">($G259/$AG259)</f>
        <v>0</v>
      </c>
      <c r="AQ259" s="74">
        <f t="shared" ref="AQ259:AQ267" si="233">($G259/$AF259)</f>
        <v>0</v>
      </c>
      <c r="AR259" s="74">
        <f t="shared" ref="AR259:AR267" si="234">(F259/D259)</f>
        <v>0.39342866420023043</v>
      </c>
      <c r="AS259" s="74">
        <f t="shared" ref="AS259:AS267" si="235">(E259/D259)</f>
        <v>0.60657133579976963</v>
      </c>
      <c r="AT259" s="74">
        <f t="shared" ref="AT259:AT267" si="236">($H259/(AG259))</f>
        <v>-0.62347983631400017</v>
      </c>
      <c r="AU259" s="74">
        <f t="shared" ref="AU259:AU267" si="237">($H259/(AF259))</f>
        <v>2.5246220554120939</v>
      </c>
      <c r="AV259" s="74">
        <f t="shared" ref="AV259:AV267" si="238">($I259/(AG259))</f>
        <v>0</v>
      </c>
      <c r="AW259" s="74">
        <f t="shared" ref="AW259:AW267" si="239">($I259/(AF259))</f>
        <v>0</v>
      </c>
      <c r="AX259" s="74">
        <f t="shared" ref="AX259:AX267" si="240">($J259/(AG259))</f>
        <v>-0.62347983631400017</v>
      </c>
      <c r="AY259" s="74">
        <f t="shared" ref="AY259:AY267" si="241">(J259/(AF259))</f>
        <v>2.5246220554120939</v>
      </c>
      <c r="AZ259" s="74">
        <f t="shared" ref="AZ259:AZ267" si="242">(I259/H259)</f>
        <v>0</v>
      </c>
      <c r="BA259" s="74">
        <f t="shared" ref="BA259:BA267" si="243">J259/H259</f>
        <v>1</v>
      </c>
      <c r="BB259" s="74">
        <f t="shared" ref="BB259:BB267" si="244">((AF259+G259)/AE259)</f>
        <v>-1.1077528289543942E-2</v>
      </c>
      <c r="BC259" s="74">
        <f t="shared" ref="BC259:BC267" si="245">(AF259/AE259)</f>
        <v>-1.1077528289543942E-2</v>
      </c>
      <c r="BD259" s="74">
        <f t="shared" ref="BD259:BD267" si="246">(AF259)/AD259</f>
        <v>-6.0650614369713186E-3</v>
      </c>
      <c r="BE259" s="75">
        <f t="shared" ref="BE259:BE267" si="247">(AG259/AE259)</f>
        <v>4.4855616188924155E-2</v>
      </c>
    </row>
    <row r="260" spans="1:57" x14ac:dyDescent="0.35">
      <c r="A260" s="9" t="s">
        <v>57</v>
      </c>
      <c r="B260" s="11" t="s">
        <v>71</v>
      </c>
      <c r="C260" s="47">
        <f t="shared" si="216"/>
        <v>1.0209999999999995</v>
      </c>
      <c r="D260" s="23">
        <f t="shared" si="217"/>
        <v>1.0209999999999995</v>
      </c>
      <c r="E260" s="50">
        <f>[1]data!E260-[1]data!E222</f>
        <v>-1.1999999999999955E-2</v>
      </c>
      <c r="F260" s="36">
        <f>[1]data!F260-[1]data!F222</f>
        <v>1.0329999999999995</v>
      </c>
      <c r="G260" s="36">
        <f>[1]data!G260-[1]data!G222</f>
        <v>0</v>
      </c>
      <c r="H260" s="25">
        <f t="shared" si="218"/>
        <v>0</v>
      </c>
      <c r="I260" s="36">
        <f>[1]data!I260-[1]data!I222</f>
        <v>0</v>
      </c>
      <c r="J260" s="36">
        <f>[1]data!J260-[1]data!J222</f>
        <v>0</v>
      </c>
      <c r="K260" s="36">
        <f>[1]data!K260-[1]data!K222</f>
        <v>0</v>
      </c>
      <c r="L260" s="25">
        <f t="shared" si="219"/>
        <v>2.0250713059145209</v>
      </c>
      <c r="M260" s="25">
        <f t="shared" si="220"/>
        <v>2.0250713059145209</v>
      </c>
      <c r="N260" s="25">
        <f t="shared" si="221"/>
        <v>1.3427608723131514</v>
      </c>
      <c r="O260" s="25">
        <f t="shared" si="222"/>
        <v>1.3427608723131514</v>
      </c>
      <c r="P260" s="24">
        <f t="shared" si="223"/>
        <v>-2.3801033957859128E-2</v>
      </c>
      <c r="Q260" s="40">
        <f t="shared" si="205"/>
        <v>-1.5781714464013483E-2</v>
      </c>
      <c r="R260" s="40">
        <f t="shared" si="206"/>
        <v>2.0488723398723798</v>
      </c>
      <c r="S260" s="40">
        <f t="shared" si="207"/>
        <v>1.358542586777165</v>
      </c>
      <c r="T260" s="40">
        <f t="shared" si="208"/>
        <v>0</v>
      </c>
      <c r="U260" s="40">
        <f t="shared" si="209"/>
        <v>0</v>
      </c>
      <c r="V260" s="25">
        <f t="shared" si="224"/>
        <v>0</v>
      </c>
      <c r="W260" s="25">
        <f t="shared" si="225"/>
        <v>0</v>
      </c>
      <c r="X260" s="40">
        <f t="shared" si="210"/>
        <v>0</v>
      </c>
      <c r="Y260" s="40">
        <f t="shared" si="211"/>
        <v>0</v>
      </c>
      <c r="Z260" s="40">
        <f t="shared" si="212"/>
        <v>0</v>
      </c>
      <c r="AA260" s="40">
        <f t="shared" si="213"/>
        <v>0</v>
      </c>
      <c r="AB260" s="40">
        <f t="shared" si="214"/>
        <v>0</v>
      </c>
      <c r="AC260" s="40">
        <f t="shared" si="215"/>
        <v>0</v>
      </c>
      <c r="AD260" s="26">
        <v>76.037366075549997</v>
      </c>
      <c r="AE260" s="8">
        <v>50.417977728389999</v>
      </c>
      <c r="AF260" s="61">
        <f t="shared" si="226"/>
        <v>1.0209999999999995</v>
      </c>
      <c r="AG260" s="61">
        <f t="shared" ref="AG260:AG267" si="248">(D260)+(H260)</f>
        <v>1.0209999999999995</v>
      </c>
      <c r="AH260" s="74">
        <f t="shared" si="227"/>
        <v>1</v>
      </c>
      <c r="AI260" s="74">
        <f>D260/AG260</f>
        <v>1</v>
      </c>
      <c r="AJ260" s="74">
        <f t="shared" ref="AJ260:AJ266" si="249">(($D260)/(AF260))</f>
        <v>1</v>
      </c>
      <c r="AK260" s="74">
        <f>$D260/(AF260)</f>
        <v>1</v>
      </c>
      <c r="AL260" s="74">
        <f t="shared" si="228"/>
        <v>1.0117531831537707</v>
      </c>
      <c r="AM260" s="74">
        <f t="shared" si="229"/>
        <v>1.0117531831537707</v>
      </c>
      <c r="AN260" s="74">
        <f t="shared" si="230"/>
        <v>-1.1753183153770776E-2</v>
      </c>
      <c r="AO260" s="74">
        <f t="shared" si="231"/>
        <v>-1.1753183153770776E-2</v>
      </c>
      <c r="AP260" s="74">
        <f t="shared" si="232"/>
        <v>0</v>
      </c>
      <c r="AQ260" s="74">
        <f t="shared" si="233"/>
        <v>0</v>
      </c>
      <c r="AR260" s="74">
        <f t="shared" si="234"/>
        <v>1.0117531831537707</v>
      </c>
      <c r="AS260" s="74">
        <f t="shared" si="235"/>
        <v>-1.1753183153770776E-2</v>
      </c>
      <c r="AT260" s="74">
        <f t="shared" si="236"/>
        <v>0</v>
      </c>
      <c r="AU260" s="74">
        <f t="shared" si="237"/>
        <v>0</v>
      </c>
      <c r="AV260" s="74">
        <f t="shared" si="238"/>
        <v>0</v>
      </c>
      <c r="AW260" s="74">
        <f t="shared" si="239"/>
        <v>0</v>
      </c>
      <c r="AX260" s="74">
        <f t="shared" si="240"/>
        <v>0</v>
      </c>
      <c r="AY260" s="74">
        <f t="shared" si="241"/>
        <v>0</v>
      </c>
      <c r="AZ260" s="74" t="e">
        <f t="shared" si="242"/>
        <v>#DIV/0!</v>
      </c>
      <c r="BA260" s="74" t="e">
        <f t="shared" si="243"/>
        <v>#DIV/0!</v>
      </c>
      <c r="BB260" s="74">
        <f t="shared" si="244"/>
        <v>2.0250713059145206E-2</v>
      </c>
      <c r="BC260" s="74">
        <f t="shared" si="245"/>
        <v>2.0250713059145206E-2</v>
      </c>
      <c r="BD260" s="74">
        <f t="shared" si="246"/>
        <v>1.3427608723131515E-2</v>
      </c>
      <c r="BE260" s="75">
        <f t="shared" si="247"/>
        <v>2.0250713059145206E-2</v>
      </c>
    </row>
    <row r="261" spans="1:57" x14ac:dyDescent="0.35">
      <c r="A261" s="9" t="s">
        <v>58</v>
      </c>
      <c r="B261" s="11" t="s">
        <v>71</v>
      </c>
      <c r="C261" s="47">
        <f t="shared" si="216"/>
        <v>0</v>
      </c>
      <c r="D261" s="23">
        <f t="shared" si="217"/>
        <v>0</v>
      </c>
      <c r="E261" s="50">
        <f>[1]data!E261-[1]data!E223</f>
        <v>0</v>
      </c>
      <c r="F261" s="36">
        <f>[1]data!F261-[1]data!F223</f>
        <v>0</v>
      </c>
      <c r="G261" s="36">
        <f>[1]data!G261-[1]data!G223</f>
        <v>0</v>
      </c>
      <c r="H261" s="25">
        <f t="shared" si="218"/>
        <v>0</v>
      </c>
      <c r="I261" s="36">
        <f>[1]data!I261-[1]data!I223</f>
        <v>0</v>
      </c>
      <c r="J261" s="36">
        <f>[1]data!J261-[1]data!J223</f>
        <v>0</v>
      </c>
      <c r="K261" s="36">
        <f>[1]data!K261-[1]data!K223</f>
        <v>0</v>
      </c>
      <c r="L261" s="25">
        <f t="shared" si="219"/>
        <v>0</v>
      </c>
      <c r="M261" s="25">
        <f t="shared" si="220"/>
        <v>0</v>
      </c>
      <c r="N261" s="25">
        <f t="shared" si="221"/>
        <v>0</v>
      </c>
      <c r="O261" s="25">
        <f t="shared" si="222"/>
        <v>0</v>
      </c>
      <c r="P261" s="24">
        <f t="shared" si="223"/>
        <v>0</v>
      </c>
      <c r="Q261" s="40">
        <f t="shared" si="205"/>
        <v>0</v>
      </c>
      <c r="R261" s="40">
        <f t="shared" si="206"/>
        <v>0</v>
      </c>
      <c r="S261" s="40">
        <f t="shared" si="207"/>
        <v>0</v>
      </c>
      <c r="T261" s="40">
        <f t="shared" si="208"/>
        <v>0</v>
      </c>
      <c r="U261" s="40">
        <f t="shared" si="209"/>
        <v>0</v>
      </c>
      <c r="V261" s="25">
        <f t="shared" si="224"/>
        <v>0</v>
      </c>
      <c r="W261" s="25">
        <f t="shared" si="225"/>
        <v>0</v>
      </c>
      <c r="X261" s="40">
        <f t="shared" si="210"/>
        <v>0</v>
      </c>
      <c r="Y261" s="40">
        <f t="shared" si="211"/>
        <v>0</v>
      </c>
      <c r="Z261" s="40">
        <f t="shared" si="212"/>
        <v>0</v>
      </c>
      <c r="AA261" s="40">
        <f t="shared" si="213"/>
        <v>0</v>
      </c>
      <c r="AB261" s="40">
        <f t="shared" si="214"/>
        <v>0</v>
      </c>
      <c r="AC261" s="40">
        <f t="shared" si="215"/>
        <v>0</v>
      </c>
      <c r="AD261" s="26">
        <v>521.00449074291998</v>
      </c>
      <c r="AE261" s="8">
        <v>549.82128194673999</v>
      </c>
      <c r="AF261" s="61">
        <f t="shared" si="226"/>
        <v>0</v>
      </c>
      <c r="AG261" s="61">
        <f t="shared" si="248"/>
        <v>0</v>
      </c>
      <c r="AH261" s="74">
        <v>0</v>
      </c>
      <c r="AI261" s="74">
        <v>0</v>
      </c>
      <c r="AJ261" s="74">
        <v>0</v>
      </c>
      <c r="AK261" s="74">
        <v>0</v>
      </c>
      <c r="AL261" s="74" t="e">
        <f t="shared" si="228"/>
        <v>#DIV/0!</v>
      </c>
      <c r="AM261" s="74" t="e">
        <f t="shared" si="229"/>
        <v>#DIV/0!</v>
      </c>
      <c r="AN261" s="74" t="e">
        <f t="shared" si="230"/>
        <v>#DIV/0!</v>
      </c>
      <c r="AO261" s="74" t="e">
        <f t="shared" si="231"/>
        <v>#DIV/0!</v>
      </c>
      <c r="AP261" s="74" t="e">
        <f t="shared" si="232"/>
        <v>#DIV/0!</v>
      </c>
      <c r="AQ261" s="74" t="e">
        <f t="shared" si="233"/>
        <v>#DIV/0!</v>
      </c>
      <c r="AR261" s="74" t="e">
        <f t="shared" si="234"/>
        <v>#DIV/0!</v>
      </c>
      <c r="AS261" s="74" t="e">
        <f t="shared" si="235"/>
        <v>#DIV/0!</v>
      </c>
      <c r="AT261" s="74" t="e">
        <f t="shared" si="236"/>
        <v>#DIV/0!</v>
      </c>
      <c r="AU261" s="74" t="e">
        <f t="shared" si="237"/>
        <v>#DIV/0!</v>
      </c>
      <c r="AV261" s="74" t="e">
        <f t="shared" si="238"/>
        <v>#DIV/0!</v>
      </c>
      <c r="AW261" s="74" t="e">
        <f t="shared" si="239"/>
        <v>#DIV/0!</v>
      </c>
      <c r="AX261" s="74" t="e">
        <f t="shared" si="240"/>
        <v>#DIV/0!</v>
      </c>
      <c r="AY261" s="74" t="e">
        <f t="shared" si="241"/>
        <v>#DIV/0!</v>
      </c>
      <c r="AZ261" s="74" t="e">
        <f t="shared" si="242"/>
        <v>#DIV/0!</v>
      </c>
      <c r="BA261" s="74" t="e">
        <f t="shared" si="243"/>
        <v>#DIV/0!</v>
      </c>
      <c r="BB261" s="74">
        <f t="shared" si="244"/>
        <v>0</v>
      </c>
      <c r="BC261" s="74">
        <f t="shared" si="245"/>
        <v>0</v>
      </c>
      <c r="BD261" s="74">
        <f t="shared" si="246"/>
        <v>0</v>
      </c>
      <c r="BE261" s="75">
        <f t="shared" si="247"/>
        <v>0</v>
      </c>
    </row>
    <row r="262" spans="1:57" x14ac:dyDescent="0.35">
      <c r="A262" s="9" t="s">
        <v>59</v>
      </c>
      <c r="B262" s="11" t="s">
        <v>71</v>
      </c>
      <c r="C262" s="47">
        <f t="shared" si="216"/>
        <v>1.2984084998357872</v>
      </c>
      <c r="D262" s="23">
        <f t="shared" si="217"/>
        <v>1.2984084998357872</v>
      </c>
      <c r="E262" s="50">
        <f>[1]data!E262-[1]data!E224</f>
        <v>0.65080196341236274</v>
      </c>
      <c r="F262" s="36">
        <f>[1]data!F262-[1]data!F224</f>
        <v>0.64760653642342447</v>
      </c>
      <c r="G262" s="36">
        <f>[1]data!G262-[1]data!G224</f>
        <v>0</v>
      </c>
      <c r="H262" s="25">
        <f t="shared" si="218"/>
        <v>0.10651423296438023</v>
      </c>
      <c r="I262" s="36">
        <f>[1]data!I262-[1]data!I224</f>
        <v>0.10651423296438023</v>
      </c>
      <c r="J262" s="36">
        <f>[1]data!J262-[1]data!J224</f>
        <v>0</v>
      </c>
      <c r="K262" s="36">
        <f>[1]data!K262-[1]data!K224</f>
        <v>0</v>
      </c>
      <c r="L262" s="25">
        <f t="shared" si="219"/>
        <v>0.17379085773101022</v>
      </c>
      <c r="M262" s="25">
        <f t="shared" si="220"/>
        <v>0.17379085773101022</v>
      </c>
      <c r="N262" s="25">
        <f t="shared" si="221"/>
        <v>0.21976595367667628</v>
      </c>
      <c r="O262" s="25">
        <f t="shared" si="222"/>
        <v>0.21976595367667628</v>
      </c>
      <c r="P262" s="24">
        <f t="shared" si="223"/>
        <v>8.7109281438595421E-2</v>
      </c>
      <c r="Q262" s="40">
        <f t="shared" si="205"/>
        <v>0.11015340254015579</v>
      </c>
      <c r="R262" s="40">
        <f t="shared" si="206"/>
        <v>8.6681576292414811E-2</v>
      </c>
      <c r="S262" s="40">
        <f t="shared" si="207"/>
        <v>0.10961255113652048</v>
      </c>
      <c r="T262" s="40">
        <f t="shared" si="208"/>
        <v>0</v>
      </c>
      <c r="U262" s="40">
        <f t="shared" si="209"/>
        <v>0</v>
      </c>
      <c r="V262" s="25">
        <f t="shared" si="224"/>
        <v>1.4256838205989438E-2</v>
      </c>
      <c r="W262" s="25">
        <f t="shared" si="225"/>
        <v>1.8028380121138443E-2</v>
      </c>
      <c r="X262" s="40">
        <f t="shared" si="210"/>
        <v>1.4256838205989438E-2</v>
      </c>
      <c r="Y262" s="40">
        <f t="shared" si="211"/>
        <v>1.8028380121138443E-2</v>
      </c>
      <c r="Z262" s="40">
        <f t="shared" si="212"/>
        <v>0</v>
      </c>
      <c r="AA262" s="40">
        <f t="shared" si="213"/>
        <v>0</v>
      </c>
      <c r="AB262" s="40">
        <f t="shared" si="214"/>
        <v>0</v>
      </c>
      <c r="AC262" s="40">
        <f t="shared" si="215"/>
        <v>0</v>
      </c>
      <c r="AD262" s="26">
        <v>590.81421763174001</v>
      </c>
      <c r="AE262" s="8">
        <v>747.10978286638999</v>
      </c>
      <c r="AF262" s="61">
        <f t="shared" si="226"/>
        <v>1.4049227328001674</v>
      </c>
      <c r="AG262" s="61">
        <f t="shared" si="248"/>
        <v>1.4049227328001674</v>
      </c>
      <c r="AH262" s="74">
        <f t="shared" si="227"/>
        <v>0.92418498862774789</v>
      </c>
      <c r="AI262" s="74">
        <f>D262/AG262</f>
        <v>0.92418498862774789</v>
      </c>
      <c r="AJ262" s="74">
        <f t="shared" si="249"/>
        <v>0.92418498862774789</v>
      </c>
      <c r="AK262" s="74">
        <f>$D262/(AF262)</f>
        <v>0.92418498862774789</v>
      </c>
      <c r="AL262" s="74">
        <f t="shared" si="228"/>
        <v>0.46095526914328772</v>
      </c>
      <c r="AM262" s="74">
        <f t="shared" si="229"/>
        <v>0.46095526914328772</v>
      </c>
      <c r="AN262" s="74">
        <f t="shared" si="230"/>
        <v>0.46322971948446018</v>
      </c>
      <c r="AO262" s="74">
        <f t="shared" si="231"/>
        <v>0.46322971948446018</v>
      </c>
      <c r="AP262" s="74">
        <f t="shared" si="232"/>
        <v>0</v>
      </c>
      <c r="AQ262" s="74">
        <f t="shared" si="233"/>
        <v>0</v>
      </c>
      <c r="AR262" s="74">
        <f t="shared" si="234"/>
        <v>0.49876948318293418</v>
      </c>
      <c r="AS262" s="74">
        <f t="shared" si="235"/>
        <v>0.50123051681706576</v>
      </c>
      <c r="AT262" s="74">
        <f t="shared" si="236"/>
        <v>7.581501137225212E-2</v>
      </c>
      <c r="AU262" s="74">
        <f t="shared" si="237"/>
        <v>7.581501137225212E-2</v>
      </c>
      <c r="AV262" s="74">
        <f t="shared" si="238"/>
        <v>7.581501137225212E-2</v>
      </c>
      <c r="AW262" s="74">
        <f t="shared" si="239"/>
        <v>7.581501137225212E-2</v>
      </c>
      <c r="AX262" s="74">
        <f t="shared" si="240"/>
        <v>0</v>
      </c>
      <c r="AY262" s="74">
        <f t="shared" si="241"/>
        <v>0</v>
      </c>
      <c r="AZ262" s="74">
        <f t="shared" si="242"/>
        <v>1</v>
      </c>
      <c r="BA262" s="74">
        <f t="shared" si="243"/>
        <v>0</v>
      </c>
      <c r="BB262" s="74">
        <f t="shared" si="244"/>
        <v>1.8804769593699967E-3</v>
      </c>
      <c r="BC262" s="74">
        <f t="shared" si="245"/>
        <v>1.8804769593699967E-3</v>
      </c>
      <c r="BD262" s="74">
        <f t="shared" si="246"/>
        <v>2.3779433379781472E-3</v>
      </c>
      <c r="BE262" s="75">
        <f t="shared" si="247"/>
        <v>1.8804769593699967E-3</v>
      </c>
    </row>
    <row r="263" spans="1:57" x14ac:dyDescent="0.35">
      <c r="A263" s="7" t="s">
        <v>60</v>
      </c>
      <c r="B263" s="11" t="s">
        <v>71</v>
      </c>
      <c r="C263" s="47">
        <f t="shared" si="216"/>
        <v>-2.8158699935514386</v>
      </c>
      <c r="D263" s="23">
        <f t="shared" si="217"/>
        <v>-3.5745495208810496</v>
      </c>
      <c r="E263" s="50">
        <f>[1]data!E263-[1]data!E225</f>
        <v>0</v>
      </c>
      <c r="F263" s="36">
        <f>[1]data!F263-[1]data!F225</f>
        <v>-3.5745495208810496</v>
      </c>
      <c r="G263" s="36">
        <f>[1]data!G263-[1]data!G225</f>
        <v>0.75867952732961097</v>
      </c>
      <c r="H263" s="25">
        <f t="shared" si="218"/>
        <v>0</v>
      </c>
      <c r="I263" s="36">
        <f>[1]data!I263-[1]data!I225</f>
        <v>0</v>
      </c>
      <c r="J263" s="36">
        <f>[1]data!J263-[1]data!J225</f>
        <v>0</v>
      </c>
      <c r="K263" s="36">
        <f>[1]data!K263-[1]data!K225</f>
        <v>0</v>
      </c>
      <c r="L263" s="25">
        <f t="shared" si="219"/>
        <v>-1.0749258765159462</v>
      </c>
      <c r="M263" s="25">
        <f t="shared" si="220"/>
        <v>-1.3645430313480584</v>
      </c>
      <c r="N263" s="25">
        <f t="shared" si="221"/>
        <v>-0.63810157376809229</v>
      </c>
      <c r="O263" s="25">
        <f t="shared" si="222"/>
        <v>-0.8100252071330265</v>
      </c>
      <c r="P263" s="24">
        <f t="shared" si="223"/>
        <v>0</v>
      </c>
      <c r="Q263" s="40">
        <f t="shared" si="205"/>
        <v>0</v>
      </c>
      <c r="R263" s="40">
        <f t="shared" si="206"/>
        <v>-1.3645430313480584</v>
      </c>
      <c r="S263" s="40">
        <f t="shared" si="207"/>
        <v>-0.8100252071330265</v>
      </c>
      <c r="T263" s="40">
        <f t="shared" si="208"/>
        <v>0.28961715483211226</v>
      </c>
      <c r="U263" s="40">
        <f t="shared" si="209"/>
        <v>0.17192363336493421</v>
      </c>
      <c r="V263" s="25">
        <f t="shared" si="224"/>
        <v>0</v>
      </c>
      <c r="W263" s="25">
        <f t="shared" si="225"/>
        <v>0</v>
      </c>
      <c r="X263" s="40">
        <f t="shared" si="210"/>
        <v>0</v>
      </c>
      <c r="Y263" s="40">
        <f t="shared" si="211"/>
        <v>0</v>
      </c>
      <c r="Z263" s="40">
        <f t="shared" si="212"/>
        <v>0</v>
      </c>
      <c r="AA263" s="40">
        <f t="shared" si="213"/>
        <v>0</v>
      </c>
      <c r="AB263" s="40">
        <f t="shared" si="214"/>
        <v>0</v>
      </c>
      <c r="AC263" s="40">
        <f t="shared" si="215"/>
        <v>0</v>
      </c>
      <c r="AD263" s="26">
        <v>441.28867711817003</v>
      </c>
      <c r="AE263" s="8">
        <v>261.95945739796002</v>
      </c>
      <c r="AF263" s="61">
        <f t="shared" si="226"/>
        <v>-3.5745495208810496</v>
      </c>
      <c r="AG263" s="61">
        <f>(D263*-1)+(H263)</f>
        <v>3.5745495208810496</v>
      </c>
      <c r="AH263" s="74">
        <f t="shared" si="227"/>
        <v>-1</v>
      </c>
      <c r="AI263" s="74">
        <f>D263/AG263</f>
        <v>-1</v>
      </c>
      <c r="AJ263" s="74">
        <f t="shared" si="249"/>
        <v>1</v>
      </c>
      <c r="AK263" s="74">
        <f>$D263/(AF263)</f>
        <v>1</v>
      </c>
      <c r="AL263" s="74">
        <f t="shared" si="228"/>
        <v>-1</v>
      </c>
      <c r="AM263" s="74">
        <f t="shared" si="229"/>
        <v>1</v>
      </c>
      <c r="AN263" s="74">
        <f t="shared" si="230"/>
        <v>0</v>
      </c>
      <c r="AO263" s="74">
        <f t="shared" si="231"/>
        <v>0</v>
      </c>
      <c r="AP263" s="74">
        <f t="shared" si="232"/>
        <v>0.2122447941755225</v>
      </c>
      <c r="AQ263" s="74">
        <f t="shared" si="233"/>
        <v>-0.2122447941755225</v>
      </c>
      <c r="AR263" s="74">
        <f t="shared" si="234"/>
        <v>1</v>
      </c>
      <c r="AS263" s="74">
        <f t="shared" si="235"/>
        <v>0</v>
      </c>
      <c r="AT263" s="74">
        <f t="shared" si="236"/>
        <v>0</v>
      </c>
      <c r="AU263" s="74">
        <f t="shared" si="237"/>
        <v>0</v>
      </c>
      <c r="AV263" s="74">
        <f t="shared" si="238"/>
        <v>0</v>
      </c>
      <c r="AW263" s="74">
        <f t="shared" si="239"/>
        <v>0</v>
      </c>
      <c r="AX263" s="74">
        <f t="shared" si="240"/>
        <v>0</v>
      </c>
      <c r="AY263" s="74">
        <f t="shared" si="241"/>
        <v>0</v>
      </c>
      <c r="AZ263" s="74" t="e">
        <f t="shared" si="242"/>
        <v>#DIV/0!</v>
      </c>
      <c r="BA263" s="74" t="e">
        <f t="shared" si="243"/>
        <v>#DIV/0!</v>
      </c>
      <c r="BB263" s="74">
        <f t="shared" si="244"/>
        <v>-1.0749258765159463E-2</v>
      </c>
      <c r="BC263" s="74">
        <f t="shared" si="245"/>
        <v>-1.3645430313480585E-2</v>
      </c>
      <c r="BD263" s="74">
        <f t="shared" si="246"/>
        <v>-8.1002520713302651E-3</v>
      </c>
      <c r="BE263" s="75">
        <f t="shared" si="247"/>
        <v>1.3645430313480585E-2</v>
      </c>
    </row>
    <row r="264" spans="1:57" x14ac:dyDescent="0.35">
      <c r="A264" s="7" t="s">
        <v>61</v>
      </c>
      <c r="B264" s="11" t="s">
        <v>71</v>
      </c>
      <c r="C264" s="47">
        <f t="shared" si="216"/>
        <v>-0.24016619392314498</v>
      </c>
      <c r="D264" s="23">
        <f t="shared" si="217"/>
        <v>-0.24016619392314498</v>
      </c>
      <c r="E264" s="50">
        <f>[1]data!E264-[1]data!E226</f>
        <v>-1.2996592230339221E-2</v>
      </c>
      <c r="F264" s="36">
        <f>[1]data!F264-[1]data!F226</f>
        <v>-0.22716960169280576</v>
      </c>
      <c r="G264" s="36">
        <f>[1]data!G264-[1]data!G226</f>
        <v>0</v>
      </c>
      <c r="H264" s="25">
        <f t="shared" si="218"/>
        <v>-0.96472621076456377</v>
      </c>
      <c r="I264" s="36">
        <f>[1]data!I264-[1]data!I226</f>
        <v>-0.96472621076456377</v>
      </c>
      <c r="J264" s="36">
        <f>[1]data!J264-[1]data!J226</f>
        <v>0</v>
      </c>
      <c r="K264" s="36">
        <f>[1]data!K264-[1]data!K226</f>
        <v>0</v>
      </c>
      <c r="L264" s="25">
        <f t="shared" si="219"/>
        <v>-7.4723710140850025E-2</v>
      </c>
      <c r="M264" s="25">
        <f t="shared" si="220"/>
        <v>-7.4723710140850025E-2</v>
      </c>
      <c r="N264" s="25">
        <f t="shared" si="221"/>
        <v>-3.4783045887894729E-2</v>
      </c>
      <c r="O264" s="25">
        <f t="shared" si="222"/>
        <v>-3.4783045887894729E-2</v>
      </c>
      <c r="P264" s="24">
        <f t="shared" si="223"/>
        <v>-4.043673153056121E-3</v>
      </c>
      <c r="Q264" s="40">
        <f t="shared" si="205"/>
        <v>-1.8822843321521271E-3</v>
      </c>
      <c r="R264" s="40">
        <f t="shared" si="206"/>
        <v>-7.0680036987793904E-2</v>
      </c>
      <c r="S264" s="40">
        <f t="shared" si="207"/>
        <v>-3.2900761555742598E-2</v>
      </c>
      <c r="T264" s="40">
        <f t="shared" si="208"/>
        <v>0</v>
      </c>
      <c r="U264" s="40">
        <f t="shared" si="209"/>
        <v>0</v>
      </c>
      <c r="V264" s="25">
        <f t="shared" si="224"/>
        <v>-0.300158488423731</v>
      </c>
      <c r="W264" s="25">
        <f t="shared" si="225"/>
        <v>-0.13972039740537687</v>
      </c>
      <c r="X264" s="40">
        <f t="shared" si="210"/>
        <v>-0.300158488423731</v>
      </c>
      <c r="Y264" s="40">
        <f t="shared" si="211"/>
        <v>-0.13972039740537687</v>
      </c>
      <c r="Z264" s="40">
        <f t="shared" si="212"/>
        <v>0</v>
      </c>
      <c r="AA264" s="40">
        <f t="shared" si="213"/>
        <v>0</v>
      </c>
      <c r="AB264" s="40">
        <f t="shared" si="214"/>
        <v>0</v>
      </c>
      <c r="AC264" s="40">
        <f t="shared" si="215"/>
        <v>0</v>
      </c>
      <c r="AD264" s="26">
        <v>690.46912883131995</v>
      </c>
      <c r="AE264" s="8">
        <v>321.40560669490998</v>
      </c>
      <c r="AF264" s="61">
        <f t="shared" si="226"/>
        <v>-1.2048924046877088</v>
      </c>
      <c r="AG264" s="61">
        <f>(D264*-1)+(H264*-1)</f>
        <v>1.2048924046877088</v>
      </c>
      <c r="AH264" s="74">
        <f t="shared" si="227"/>
        <v>-0.19932584269662876</v>
      </c>
      <c r="AI264" s="74">
        <f>D264/AG264</f>
        <v>-0.19932584269662876</v>
      </c>
      <c r="AJ264" s="74">
        <f t="shared" si="249"/>
        <v>0.19932584269662876</v>
      </c>
      <c r="AK264" s="74">
        <f>$D264/(AF264)</f>
        <v>0.19932584269662876</v>
      </c>
      <c r="AL264" s="74">
        <f t="shared" si="228"/>
        <v>-0.18853932584269625</v>
      </c>
      <c r="AM264" s="74">
        <f t="shared" si="229"/>
        <v>0.18853932584269625</v>
      </c>
      <c r="AN264" s="74">
        <f t="shared" si="230"/>
        <v>-1.0786516853932494E-2</v>
      </c>
      <c r="AO264" s="74">
        <f t="shared" si="231"/>
        <v>1.0786516853932494E-2</v>
      </c>
      <c r="AP264" s="74">
        <f t="shared" si="232"/>
        <v>0</v>
      </c>
      <c r="AQ264" s="74">
        <f t="shared" si="233"/>
        <v>0</v>
      </c>
      <c r="AR264" s="74">
        <f t="shared" si="234"/>
        <v>0.94588500563697886</v>
      </c>
      <c r="AS264" s="74">
        <f t="shared" si="235"/>
        <v>5.4114994363021092E-2</v>
      </c>
      <c r="AT264" s="74">
        <f t="shared" si="236"/>
        <v>-0.80067415730337121</v>
      </c>
      <c r="AU264" s="74">
        <f t="shared" si="237"/>
        <v>0.80067415730337121</v>
      </c>
      <c r="AV264" s="74">
        <f t="shared" si="238"/>
        <v>-0.80067415730337121</v>
      </c>
      <c r="AW264" s="74">
        <f t="shared" si="239"/>
        <v>0.80067415730337121</v>
      </c>
      <c r="AX264" s="74">
        <f t="shared" si="240"/>
        <v>0</v>
      </c>
      <c r="AY264" s="74">
        <f t="shared" si="241"/>
        <v>0</v>
      </c>
      <c r="AZ264" s="74">
        <f t="shared" si="242"/>
        <v>1</v>
      </c>
      <c r="BA264" s="74">
        <f t="shared" si="243"/>
        <v>0</v>
      </c>
      <c r="BB264" s="74">
        <f t="shared" si="244"/>
        <v>-3.7488219856458105E-3</v>
      </c>
      <c r="BC264" s="74">
        <f t="shared" si="245"/>
        <v>-3.7488219856458105E-3</v>
      </c>
      <c r="BD264" s="74">
        <f t="shared" si="246"/>
        <v>-1.7450344329327158E-3</v>
      </c>
      <c r="BE264" s="75">
        <f t="shared" si="247"/>
        <v>3.7488219856458105E-3</v>
      </c>
    </row>
    <row r="265" spans="1:57" x14ac:dyDescent="0.35">
      <c r="A265" s="7" t="s">
        <v>62</v>
      </c>
      <c r="B265" s="11" t="s">
        <v>71</v>
      </c>
      <c r="C265" s="47">
        <f t="shared" si="216"/>
        <v>0.14534662604214299</v>
      </c>
      <c r="D265" s="23">
        <f t="shared" si="217"/>
        <v>0.14534662604214299</v>
      </c>
      <c r="E265" s="50">
        <f>[1]data!E265-[1]data!E227</f>
        <v>0</v>
      </c>
      <c r="F265" s="36">
        <f>[1]data!F265-[1]data!F227</f>
        <v>0.14534662604214299</v>
      </c>
      <c r="G265" s="36">
        <f>[1]data!G265-[1]data!G227</f>
        <v>0</v>
      </c>
      <c r="H265" s="25">
        <f t="shared" si="218"/>
        <v>0</v>
      </c>
      <c r="I265" s="36">
        <f>[1]data!I265-[1]data!I227</f>
        <v>0</v>
      </c>
      <c r="J265" s="36">
        <f>[1]data!J265-[1]data!J227</f>
        <v>0</v>
      </c>
      <c r="K265" s="36">
        <f>[1]data!K265-[1]data!K227</f>
        <v>0</v>
      </c>
      <c r="L265" s="25">
        <f t="shared" si="219"/>
        <v>0.2257548854794123</v>
      </c>
      <c r="M265" s="25">
        <f t="shared" si="220"/>
        <v>0.2257548854794123</v>
      </c>
      <c r="N265" s="25">
        <f t="shared" si="221"/>
        <v>0.1593128021015035</v>
      </c>
      <c r="O265" s="25">
        <f t="shared" si="222"/>
        <v>0.1593128021015035</v>
      </c>
      <c r="P265" s="24">
        <f t="shared" si="223"/>
        <v>0</v>
      </c>
      <c r="Q265" s="40">
        <f t="shared" si="205"/>
        <v>0</v>
      </c>
      <c r="R265" s="40">
        <f t="shared" si="206"/>
        <v>0.2257548854794123</v>
      </c>
      <c r="S265" s="40">
        <f t="shared" si="207"/>
        <v>0.1593128021015035</v>
      </c>
      <c r="T265" s="40">
        <f t="shared" si="208"/>
        <v>0</v>
      </c>
      <c r="U265" s="40">
        <f t="shared" si="209"/>
        <v>0</v>
      </c>
      <c r="V265" s="25">
        <f t="shared" si="224"/>
        <v>0</v>
      </c>
      <c r="W265" s="25">
        <f t="shared" si="225"/>
        <v>0</v>
      </c>
      <c r="X265" s="40">
        <f t="shared" si="210"/>
        <v>0</v>
      </c>
      <c r="Y265" s="40">
        <f t="shared" si="211"/>
        <v>0</v>
      </c>
      <c r="Z265" s="40">
        <f t="shared" si="212"/>
        <v>0</v>
      </c>
      <c r="AA265" s="40">
        <f t="shared" si="213"/>
        <v>0</v>
      </c>
      <c r="AB265" s="40">
        <f t="shared" si="214"/>
        <v>0</v>
      </c>
      <c r="AC265" s="40">
        <f t="shared" si="215"/>
        <v>0</v>
      </c>
      <c r="AD265" s="26">
        <v>91.233487908610002</v>
      </c>
      <c r="AE265" s="8">
        <v>64.38249419652</v>
      </c>
      <c r="AF265" s="61">
        <f t="shared" si="226"/>
        <v>0.14534662604214299</v>
      </c>
      <c r="AG265" s="61">
        <f t="shared" si="248"/>
        <v>0.14534662604214299</v>
      </c>
      <c r="AH265" s="74">
        <f t="shared" si="227"/>
        <v>1</v>
      </c>
      <c r="AI265" s="74">
        <f>D265/AG265</f>
        <v>1</v>
      </c>
      <c r="AJ265" s="74">
        <f t="shared" si="249"/>
        <v>1</v>
      </c>
      <c r="AK265" s="74">
        <f>$D265/(AF265)</f>
        <v>1</v>
      </c>
      <c r="AL265" s="74">
        <f t="shared" si="228"/>
        <v>1</v>
      </c>
      <c r="AM265" s="74">
        <f t="shared" si="229"/>
        <v>1</v>
      </c>
      <c r="AN265" s="74">
        <f t="shared" si="230"/>
        <v>0</v>
      </c>
      <c r="AO265" s="74">
        <f t="shared" si="231"/>
        <v>0</v>
      </c>
      <c r="AP265" s="74">
        <f t="shared" si="232"/>
        <v>0</v>
      </c>
      <c r="AQ265" s="74">
        <f t="shared" si="233"/>
        <v>0</v>
      </c>
      <c r="AR265" s="74">
        <f t="shared" si="234"/>
        <v>1</v>
      </c>
      <c r="AS265" s="74">
        <f t="shared" si="235"/>
        <v>0</v>
      </c>
      <c r="AT265" s="74">
        <f t="shared" si="236"/>
        <v>0</v>
      </c>
      <c r="AU265" s="74">
        <f t="shared" si="237"/>
        <v>0</v>
      </c>
      <c r="AV265" s="74">
        <f t="shared" si="238"/>
        <v>0</v>
      </c>
      <c r="AW265" s="74">
        <f t="shared" si="239"/>
        <v>0</v>
      </c>
      <c r="AX265" s="74">
        <f t="shared" si="240"/>
        <v>0</v>
      </c>
      <c r="AY265" s="74">
        <f t="shared" si="241"/>
        <v>0</v>
      </c>
      <c r="AZ265" s="74" t="e">
        <f t="shared" si="242"/>
        <v>#DIV/0!</v>
      </c>
      <c r="BA265" s="74" t="e">
        <f t="shared" si="243"/>
        <v>#DIV/0!</v>
      </c>
      <c r="BB265" s="74">
        <f t="shared" si="244"/>
        <v>2.2575488547941229E-3</v>
      </c>
      <c r="BC265" s="74">
        <f t="shared" si="245"/>
        <v>2.2575488547941229E-3</v>
      </c>
      <c r="BD265" s="74">
        <f t="shared" si="246"/>
        <v>1.5931280210150351E-3</v>
      </c>
      <c r="BE265" s="75">
        <f t="shared" si="247"/>
        <v>2.2575488547941229E-3</v>
      </c>
    </row>
    <row r="266" spans="1:57" x14ac:dyDescent="0.35">
      <c r="A266" s="7" t="s">
        <v>63</v>
      </c>
      <c r="B266" s="11" t="s">
        <v>71</v>
      </c>
      <c r="C266" s="47">
        <f t="shared" si="216"/>
        <v>1.5108626716739559</v>
      </c>
      <c r="D266" s="23">
        <f t="shared" si="217"/>
        <v>1.5108626716739559</v>
      </c>
      <c r="E266" s="50">
        <f>[1]data!E266-[1]data!E228</f>
        <v>0.66420956936764153</v>
      </c>
      <c r="F266" s="36">
        <f>[1]data!F266-[1]data!F228</f>
        <v>0.84665310230631441</v>
      </c>
      <c r="G266" s="36">
        <f>[1]data!G266-[1]data!G228</f>
        <v>0</v>
      </c>
      <c r="H266" s="25">
        <f t="shared" si="218"/>
        <v>6.4232296886403972E-3</v>
      </c>
      <c r="I266" s="36">
        <f>[1]data!I266-[1]data!I228</f>
        <v>0</v>
      </c>
      <c r="J266" s="36">
        <f>[1]data!J266-[1]data!J228</f>
        <v>6.4232296886403972E-3</v>
      </c>
      <c r="K266" s="36">
        <f>[1]data!K266-[1]data!K228</f>
        <v>0</v>
      </c>
      <c r="L266" s="25">
        <f t="shared" si="219"/>
        <v>1.0251200504614792</v>
      </c>
      <c r="M266" s="25">
        <f t="shared" si="220"/>
        <v>1.0251200504614792</v>
      </c>
      <c r="N266" s="25">
        <f t="shared" si="221"/>
        <v>0.48755094727856219</v>
      </c>
      <c r="O266" s="25">
        <f t="shared" si="222"/>
        <v>0.48755094727856219</v>
      </c>
      <c r="P266" s="24">
        <f t="shared" si="223"/>
        <v>0.45066607312017243</v>
      </c>
      <c r="Q266" s="40">
        <f t="shared" si="205"/>
        <v>0.21433847748577065</v>
      </c>
      <c r="R266" s="40">
        <f t="shared" si="206"/>
        <v>0.57445397734130677</v>
      </c>
      <c r="S266" s="40">
        <f t="shared" si="207"/>
        <v>0.27321246979279151</v>
      </c>
      <c r="T266" s="40">
        <f t="shared" si="208"/>
        <v>0</v>
      </c>
      <c r="U266" s="40">
        <f t="shared" si="209"/>
        <v>0</v>
      </c>
      <c r="V266" s="25">
        <f t="shared" si="224"/>
        <v>4.3581601862261558E-3</v>
      </c>
      <c r="W266" s="25">
        <f t="shared" si="225"/>
        <v>2.0727573577648227E-3</v>
      </c>
      <c r="X266" s="40">
        <f t="shared" si="210"/>
        <v>0</v>
      </c>
      <c r="Y266" s="40">
        <f t="shared" si="211"/>
        <v>0</v>
      </c>
      <c r="Z266" s="40">
        <f t="shared" si="212"/>
        <v>4.3581601862261558E-3</v>
      </c>
      <c r="AA266" s="40">
        <f t="shared" si="213"/>
        <v>2.0727573577648227E-3</v>
      </c>
      <c r="AB266" s="40">
        <f t="shared" si="214"/>
        <v>0</v>
      </c>
      <c r="AC266" s="40">
        <f t="shared" si="215"/>
        <v>0</v>
      </c>
      <c r="AD266" s="26">
        <v>309.88816247970999</v>
      </c>
      <c r="AE266" s="8">
        <v>147.38397429586999</v>
      </c>
      <c r="AF266" s="61">
        <f t="shared" si="226"/>
        <v>1.5172859013625963</v>
      </c>
      <c r="AG266" s="61">
        <f t="shared" si="248"/>
        <v>1.5172859013625963</v>
      </c>
      <c r="AH266" s="74">
        <f t="shared" si="227"/>
        <v>0.99576663192950521</v>
      </c>
      <c r="AI266" s="74">
        <f>D266/AG266</f>
        <v>0.99576663192950521</v>
      </c>
      <c r="AJ266" s="74">
        <f t="shared" si="249"/>
        <v>0.99576663192950521</v>
      </c>
      <c r="AK266" s="74">
        <f>$D266/(AF266)</f>
        <v>0.99576663192950521</v>
      </c>
      <c r="AL266" s="74">
        <f t="shared" si="228"/>
        <v>0.5580049887407369</v>
      </c>
      <c r="AM266" s="74">
        <f t="shared" si="229"/>
        <v>0.5580049887407369</v>
      </c>
      <c r="AN266" s="74">
        <f t="shared" si="230"/>
        <v>0.43776164318876826</v>
      </c>
      <c r="AO266" s="74">
        <f t="shared" si="231"/>
        <v>0.43776164318876826</v>
      </c>
      <c r="AP266" s="74">
        <f t="shared" si="232"/>
        <v>0</v>
      </c>
      <c r="AQ266" s="74">
        <f t="shared" si="233"/>
        <v>0</v>
      </c>
      <c r="AR266" s="74">
        <f t="shared" si="234"/>
        <v>0.5603772719914164</v>
      </c>
      <c r="AS266" s="74">
        <f t="shared" si="235"/>
        <v>0.43962272800858365</v>
      </c>
      <c r="AT266" s="74">
        <f t="shared" si="236"/>
        <v>4.2333680704948395E-3</v>
      </c>
      <c r="AU266" s="74">
        <f t="shared" si="237"/>
        <v>4.2333680704948395E-3</v>
      </c>
      <c r="AV266" s="74">
        <f t="shared" si="238"/>
        <v>0</v>
      </c>
      <c r="AW266" s="74">
        <f t="shared" si="239"/>
        <v>0</v>
      </c>
      <c r="AX266" s="74">
        <f t="shared" si="240"/>
        <v>4.2333680704948395E-3</v>
      </c>
      <c r="AY266" s="74">
        <f t="shared" si="241"/>
        <v>4.2333680704948395E-3</v>
      </c>
      <c r="AZ266" s="74">
        <f t="shared" si="242"/>
        <v>0</v>
      </c>
      <c r="BA266" s="74">
        <f t="shared" si="243"/>
        <v>1</v>
      </c>
      <c r="BB266" s="74">
        <f t="shared" si="244"/>
        <v>1.0294782106477053E-2</v>
      </c>
      <c r="BC266" s="74">
        <f t="shared" si="245"/>
        <v>1.0294782106477053E-2</v>
      </c>
      <c r="BD266" s="74">
        <f t="shared" si="246"/>
        <v>4.8962370463632703E-3</v>
      </c>
      <c r="BE266" s="75">
        <f t="shared" si="247"/>
        <v>1.0294782106477053E-2</v>
      </c>
    </row>
    <row r="267" spans="1:57" x14ac:dyDescent="0.35">
      <c r="A267" s="7" t="s">
        <v>64</v>
      </c>
      <c r="B267" s="11" t="s">
        <v>71</v>
      </c>
      <c r="C267" s="47">
        <f t="shared" si="216"/>
        <v>0</v>
      </c>
      <c r="D267" s="23">
        <f t="shared" si="217"/>
        <v>0</v>
      </c>
      <c r="E267" s="50">
        <f>[1]data!E267-[1]data!E229</f>
        <v>0</v>
      </c>
      <c r="F267" s="36">
        <f>[1]data!F267-[1]data!F229</f>
        <v>0</v>
      </c>
      <c r="G267" s="36">
        <f>[1]data!G267-[1]data!G229</f>
        <v>0</v>
      </c>
      <c r="H267" s="25">
        <f t="shared" si="218"/>
        <v>0</v>
      </c>
      <c r="I267" s="36">
        <f>[1]data!I267-[1]data!I229</f>
        <v>0</v>
      </c>
      <c r="J267" s="36">
        <f>[1]data!J267-[1]data!J229</f>
        <v>0</v>
      </c>
      <c r="K267" s="36">
        <f>[1]data!K267-[1]data!K229</f>
        <v>0</v>
      </c>
      <c r="L267" s="25">
        <f t="shared" si="219"/>
        <v>0</v>
      </c>
      <c r="M267" s="25">
        <f t="shared" si="220"/>
        <v>0</v>
      </c>
      <c r="N267" s="25">
        <f t="shared" si="221"/>
        <v>0</v>
      </c>
      <c r="O267" s="25">
        <f t="shared" si="222"/>
        <v>0</v>
      </c>
      <c r="P267" s="24">
        <f t="shared" si="223"/>
        <v>0</v>
      </c>
      <c r="Q267" s="40">
        <f t="shared" si="205"/>
        <v>0</v>
      </c>
      <c r="R267" s="40">
        <f t="shared" si="206"/>
        <v>0</v>
      </c>
      <c r="S267" s="40">
        <f t="shared" si="207"/>
        <v>0</v>
      </c>
      <c r="T267" s="40">
        <f t="shared" si="208"/>
        <v>0</v>
      </c>
      <c r="U267" s="40">
        <f t="shared" si="209"/>
        <v>0</v>
      </c>
      <c r="V267" s="25">
        <f t="shared" si="224"/>
        <v>0</v>
      </c>
      <c r="W267" s="25">
        <f t="shared" si="225"/>
        <v>0</v>
      </c>
      <c r="X267" s="40">
        <f t="shared" si="210"/>
        <v>0</v>
      </c>
      <c r="Y267" s="40">
        <f t="shared" si="211"/>
        <v>0</v>
      </c>
      <c r="Z267" s="40">
        <f t="shared" si="212"/>
        <v>0</v>
      </c>
      <c r="AA267" s="40">
        <f t="shared" si="213"/>
        <v>0</v>
      </c>
      <c r="AB267" s="40">
        <f t="shared" si="214"/>
        <v>0</v>
      </c>
      <c r="AC267" s="40">
        <f t="shared" si="215"/>
        <v>0</v>
      </c>
      <c r="AD267" s="26">
        <v>1215.4228689920101</v>
      </c>
      <c r="AE267" s="8">
        <v>571.50311712429004</v>
      </c>
      <c r="AF267" s="61">
        <f t="shared" si="226"/>
        <v>0</v>
      </c>
      <c r="AG267" s="61">
        <f t="shared" si="248"/>
        <v>0</v>
      </c>
      <c r="AH267" s="74">
        <v>0</v>
      </c>
      <c r="AI267" s="74">
        <v>0</v>
      </c>
      <c r="AJ267" s="74">
        <v>0</v>
      </c>
      <c r="AK267" s="74">
        <v>0</v>
      </c>
      <c r="AL267" s="74" t="e">
        <f t="shared" si="228"/>
        <v>#DIV/0!</v>
      </c>
      <c r="AM267" s="74" t="e">
        <f t="shared" si="229"/>
        <v>#DIV/0!</v>
      </c>
      <c r="AN267" s="74" t="e">
        <f t="shared" si="230"/>
        <v>#DIV/0!</v>
      </c>
      <c r="AO267" s="74" t="e">
        <f t="shared" si="231"/>
        <v>#DIV/0!</v>
      </c>
      <c r="AP267" s="74" t="e">
        <f t="shared" si="232"/>
        <v>#DIV/0!</v>
      </c>
      <c r="AQ267" s="74" t="e">
        <f t="shared" si="233"/>
        <v>#DIV/0!</v>
      </c>
      <c r="AR267" s="74" t="e">
        <f t="shared" si="234"/>
        <v>#DIV/0!</v>
      </c>
      <c r="AS267" s="74" t="e">
        <f t="shared" si="235"/>
        <v>#DIV/0!</v>
      </c>
      <c r="AT267" s="74" t="e">
        <f t="shared" si="236"/>
        <v>#DIV/0!</v>
      </c>
      <c r="AU267" s="74" t="e">
        <f t="shared" si="237"/>
        <v>#DIV/0!</v>
      </c>
      <c r="AV267" s="74" t="e">
        <f t="shared" si="238"/>
        <v>#DIV/0!</v>
      </c>
      <c r="AW267" s="74" t="e">
        <f t="shared" si="239"/>
        <v>#DIV/0!</v>
      </c>
      <c r="AX267" s="74" t="e">
        <f t="shared" si="240"/>
        <v>#DIV/0!</v>
      </c>
      <c r="AY267" s="74" t="e">
        <f t="shared" si="241"/>
        <v>#DIV/0!</v>
      </c>
      <c r="AZ267" s="74" t="e">
        <f t="shared" si="242"/>
        <v>#DIV/0!</v>
      </c>
      <c r="BA267" s="74" t="e">
        <f t="shared" si="243"/>
        <v>#DIV/0!</v>
      </c>
      <c r="BB267" s="74">
        <f t="shared" si="244"/>
        <v>0</v>
      </c>
      <c r="BC267" s="74">
        <f t="shared" si="245"/>
        <v>0</v>
      </c>
      <c r="BD267" s="74">
        <f t="shared" si="246"/>
        <v>0</v>
      </c>
      <c r="BE267" s="75">
        <f t="shared" si="247"/>
        <v>0</v>
      </c>
    </row>
    <row r="270" spans="1:57" x14ac:dyDescent="0.35">
      <c r="A270" s="8" t="s">
        <v>106</v>
      </c>
      <c r="M270" s="53"/>
      <c r="AD270" s="77">
        <f>AVERAGE(AD230+AD231+AD263+AD264+AD265+AD233+AD237+AD238+AD248+AD250+AD234+AD255+AD258+AD241+AD239)</f>
        <v>39712.044886973861</v>
      </c>
      <c r="AE270" s="77">
        <f>AVERAGE(AE230+AE231+AE263+AE264+AE265+AE233+AE237+AE238+AE248+AE250+AE234+AE255+AE258+AE241+AE239)</f>
        <v>36399.918786863214</v>
      </c>
    </row>
    <row r="271" spans="1:57" x14ac:dyDescent="0.35">
      <c r="A271" s="8" t="s">
        <v>107</v>
      </c>
      <c r="AD271" s="77">
        <f>AVERAGE(AD242+AD243+AD262+AD244+AD245+AD246+AD247+AD232+AD266+AD249+AD251+AD235+AD236+AD253+AD254+AD252+AD240+AD257+AD256+AD267+AD259+AD260+AD261)</f>
        <v>18812.038973370029</v>
      </c>
      <c r="AE271" s="77">
        <f>AVERAGE(AE242+AE243+AE262+AE244+AE245+AE246+AE247+AE232+AE266+AE249+AE251+AE235+AE236+AE253+AE254+AE252+AE240+AE257+AE256+AE267+AE259+AE260+AE261)</f>
        <v>15140.471300661713</v>
      </c>
    </row>
  </sheetData>
  <conditionalFormatting sqref="D1:D1048576">
    <cfRule type="cellIs" dxfId="4" priority="4" operator="lessThan">
      <formula>-0.01</formula>
    </cfRule>
  </conditionalFormatting>
  <conditionalFormatting sqref="E1:J1048576">
    <cfRule type="cellIs" dxfId="3" priority="7" operator="lessThan">
      <formula>0</formula>
    </cfRule>
  </conditionalFormatting>
  <conditionalFormatting sqref="AJ2:AK267 AK268:AL1048576">
    <cfRule type="cellIs" dxfId="2" priority="2" operator="greaterThan">
      <formula>10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DD08-82B4-4C4B-BA2F-D060511341EC}">
  <dimension ref="A1:AU267"/>
  <sheetViews>
    <sheetView zoomScale="84" zoomScaleNormal="100" workbookViewId="0">
      <pane xSplit="1" topLeftCell="AH1" activePane="topRight" state="frozen"/>
      <selection pane="topRight" activeCell="AD1" sqref="AD1:AP2"/>
    </sheetView>
  </sheetViews>
  <sheetFormatPr baseColWidth="10" defaultRowHeight="14.5" x14ac:dyDescent="0.35"/>
  <cols>
    <col min="1" max="1" width="15.26953125" style="8" customWidth="1"/>
    <col min="2" max="2" width="10.90625" style="8"/>
    <col min="3" max="3" width="10.90625" style="6"/>
    <col min="4" max="4" width="16" style="8" customWidth="1"/>
    <col min="5" max="5" width="14.6328125" style="8" customWidth="1"/>
    <col min="6" max="6" width="12" style="8" customWidth="1"/>
    <col min="7" max="7" width="11.6328125" style="8" customWidth="1"/>
    <col min="8" max="8" width="13.6328125" style="6" bestFit="1" customWidth="1"/>
    <col min="9" max="10" width="11" style="8" bestFit="1" customWidth="1"/>
    <col min="11" max="11" width="11.26953125" style="8" customWidth="1"/>
    <col min="12" max="13" width="8.81640625" bestFit="1" customWidth="1"/>
    <col min="14" max="15" width="12.6328125" bestFit="1" customWidth="1"/>
    <col min="16" max="16" width="14" customWidth="1"/>
    <col min="17" max="27" width="8.81640625" bestFit="1" customWidth="1"/>
    <col min="28" max="28" width="37.7265625" customWidth="1"/>
    <col min="29" max="29" width="30.6328125" customWidth="1"/>
    <col min="30" max="30" width="28.26953125" style="8" customWidth="1"/>
    <col min="31" max="31" width="21.81640625" style="8" customWidth="1"/>
    <col min="32" max="32" width="23.6328125" style="8" customWidth="1"/>
    <col min="33" max="33" width="30.26953125" style="8" customWidth="1"/>
    <col min="34" max="34" width="29.453125" style="8" customWidth="1"/>
    <col min="35" max="35" width="30.1796875" style="8" customWidth="1"/>
    <col min="36" max="36" width="31.54296875" style="8" customWidth="1"/>
    <col min="37" max="40" width="10.90625" style="8"/>
    <col min="41" max="41" width="21.54296875" style="8" customWidth="1"/>
    <col min="42" max="42" width="39.54296875" style="8" customWidth="1"/>
    <col min="43" max="43" width="10.90625" style="8"/>
    <col min="44" max="44" width="14.81640625" style="8" bestFit="1" customWidth="1"/>
    <col min="45" max="16384" width="10.90625" style="8"/>
  </cols>
  <sheetData>
    <row r="1" spans="1:47" s="6" customFormat="1" ht="61.5" customHeight="1" x14ac:dyDescent="0.35">
      <c r="A1" s="3" t="s">
        <v>0</v>
      </c>
      <c r="B1" s="3" t="s">
        <v>1</v>
      </c>
      <c r="C1" s="3" t="s">
        <v>2</v>
      </c>
      <c r="D1" s="4" t="s">
        <v>77</v>
      </c>
      <c r="E1" s="5" t="s">
        <v>3</v>
      </c>
      <c r="F1" s="5" t="s">
        <v>4</v>
      </c>
      <c r="G1" s="5" t="s">
        <v>5</v>
      </c>
      <c r="H1" s="15" t="s">
        <v>6</v>
      </c>
      <c r="I1" s="5" t="s">
        <v>7</v>
      </c>
      <c r="J1" s="5" t="s">
        <v>8</v>
      </c>
      <c r="K1" s="5" t="s">
        <v>9</v>
      </c>
      <c r="L1" s="1" t="s">
        <v>85</v>
      </c>
      <c r="M1" s="1" t="s">
        <v>87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26</v>
      </c>
      <c r="AC1" s="1" t="s">
        <v>25</v>
      </c>
      <c r="AD1" s="1" t="s">
        <v>79</v>
      </c>
      <c r="AE1" s="1" t="s">
        <v>72</v>
      </c>
      <c r="AF1" s="2" t="s">
        <v>73</v>
      </c>
      <c r="AG1" s="1" t="s">
        <v>86</v>
      </c>
      <c r="AH1" s="2" t="s">
        <v>78</v>
      </c>
      <c r="AI1" s="2" t="s">
        <v>81</v>
      </c>
      <c r="AJ1" s="2" t="s">
        <v>74</v>
      </c>
      <c r="AK1" s="2" t="s">
        <v>82</v>
      </c>
      <c r="AL1" s="2" t="s">
        <v>83</v>
      </c>
      <c r="AM1" s="2" t="s">
        <v>75</v>
      </c>
      <c r="AN1" s="2" t="s">
        <v>76</v>
      </c>
      <c r="AO1" s="2" t="s">
        <v>84</v>
      </c>
      <c r="AP1" s="14" t="s">
        <v>88</v>
      </c>
      <c r="AR1" s="8" t="s">
        <v>80</v>
      </c>
      <c r="AS1" s="8"/>
      <c r="AT1" s="8"/>
      <c r="AU1" s="8"/>
    </row>
    <row r="2" spans="1:47" x14ac:dyDescent="0.35">
      <c r="A2" s="7" t="s">
        <v>27</v>
      </c>
      <c r="B2" s="7" t="s">
        <v>65</v>
      </c>
      <c r="C2" s="16">
        <f>E2+F2+G2</f>
        <v>110.0051</v>
      </c>
      <c r="D2">
        <v>110.0051</v>
      </c>
      <c r="E2">
        <v>2.1168</v>
      </c>
      <c r="F2">
        <v>107.8883</v>
      </c>
      <c r="G2">
        <v>0</v>
      </c>
      <c r="H2" s="16">
        <v>24.0029</v>
      </c>
      <c r="I2">
        <v>10.3255</v>
      </c>
      <c r="J2">
        <v>13.6774</v>
      </c>
      <c r="K2">
        <v>0</v>
      </c>
      <c r="L2">
        <v>7.3593163001337496</v>
      </c>
      <c r="M2">
        <v>8.9689107490462359</v>
      </c>
      <c r="N2">
        <v>0.1416134410506705</v>
      </c>
      <c r="O2">
        <v>0.1725864552969005</v>
      </c>
      <c r="P2">
        <v>7.2177028590830803</v>
      </c>
      <c r="Q2">
        <v>8.7963242937493362</v>
      </c>
      <c r="R2">
        <v>0</v>
      </c>
      <c r="S2">
        <v>0</v>
      </c>
      <c r="T2">
        <v>1.605788579079338</v>
      </c>
      <c r="U2">
        <v>1.956998973850139</v>
      </c>
      <c r="V2">
        <v>0.690773613741827</v>
      </c>
      <c r="W2">
        <v>0.84185631338253319</v>
      </c>
      <c r="X2">
        <v>0.91501496533751059</v>
      </c>
      <c r="Y2">
        <v>1.115142660467606</v>
      </c>
      <c r="Z2">
        <v>0</v>
      </c>
      <c r="AA2">
        <v>0</v>
      </c>
      <c r="AB2">
        <v>1226.51571721458</v>
      </c>
      <c r="AC2">
        <v>1494.77336635199</v>
      </c>
      <c r="AD2">
        <f>D2/(D2+H2)</f>
        <v>0.82088457405528026</v>
      </c>
      <c r="AE2">
        <f>(F2/(D2+H2))</f>
        <v>0.80508850217897432</v>
      </c>
      <c r="AF2">
        <f>(E2/(D2+H2))</f>
        <v>1.5796071876305891E-2</v>
      </c>
      <c r="AG2">
        <f>(G2/(D2+H2))</f>
        <v>0</v>
      </c>
      <c r="AH2">
        <f>(F2/(D2))</f>
        <v>0.98075725579995843</v>
      </c>
      <c r="AI2">
        <f>E2/D2</f>
        <v>1.9242744200041635E-2</v>
      </c>
      <c r="AJ2">
        <f>(H2/(C2+H2))</f>
        <v>0.17911542594471971</v>
      </c>
      <c r="AK2">
        <f>(I2/(D2+H2))</f>
        <v>7.7051370067458658E-2</v>
      </c>
      <c r="AL2">
        <f>(J2/(D2+H2))</f>
        <v>0.10206405587726106</v>
      </c>
      <c r="AM2">
        <f>(I2/H2)</f>
        <v>0.43017718692324675</v>
      </c>
      <c r="AN2">
        <f>J2/H2</f>
        <v>0.5698228130767532</v>
      </c>
      <c r="AO2">
        <f>($D2+$H2)/AC2</f>
        <v>8.96510487921309E-2</v>
      </c>
      <c r="AP2">
        <f>($D2+$H2)/AB2</f>
        <v>0.10925909722896375</v>
      </c>
    </row>
    <row r="3" spans="1:47" x14ac:dyDescent="0.35">
      <c r="A3" s="7" t="s">
        <v>28</v>
      </c>
      <c r="B3" s="7" t="s">
        <v>65</v>
      </c>
      <c r="C3" s="16">
        <f t="shared" ref="C3:C66" si="0">E3+F3+G3</f>
        <v>141.75</v>
      </c>
      <c r="D3">
        <v>81</v>
      </c>
      <c r="E3">
        <v>2.4</v>
      </c>
      <c r="F3">
        <v>75.599999999999994</v>
      </c>
      <c r="G3">
        <v>63.75</v>
      </c>
      <c r="H3" s="16">
        <v>51.7</v>
      </c>
      <c r="I3">
        <v>3.7</v>
      </c>
      <c r="J3">
        <v>48</v>
      </c>
      <c r="K3">
        <v>0</v>
      </c>
      <c r="L3">
        <v>4.7742400680565593</v>
      </c>
      <c r="M3">
        <v>4.6997712099071647</v>
      </c>
      <c r="N3">
        <v>0.14145896497945359</v>
      </c>
      <c r="O3">
        <v>0.13925248029354559</v>
      </c>
      <c r="P3">
        <v>4.6327811030771064</v>
      </c>
      <c r="Q3">
        <v>4.5605187296136194</v>
      </c>
      <c r="R3">
        <v>3.7575037572667358</v>
      </c>
      <c r="S3">
        <v>3.698894007797306</v>
      </c>
      <c r="T3">
        <v>3.0472618705990642</v>
      </c>
      <c r="U3">
        <v>2.999730512990129</v>
      </c>
      <c r="V3">
        <v>0.2180825710099909</v>
      </c>
      <c r="W3">
        <v>0.2146809071192162</v>
      </c>
      <c r="X3">
        <v>2.829179299589073</v>
      </c>
      <c r="Y3">
        <v>2.7850496058709129</v>
      </c>
      <c r="Z3">
        <v>0</v>
      </c>
      <c r="AA3">
        <v>0</v>
      </c>
      <c r="AB3">
        <v>1723.48815255626</v>
      </c>
      <c r="AC3">
        <v>1696.60508992738</v>
      </c>
      <c r="AD3">
        <f t="shared" ref="AD3:AD66" si="1">D3/(D3+H3)</f>
        <v>0.6103993971363979</v>
      </c>
      <c r="AE3">
        <f t="shared" ref="AE3:AE66" si="2">(F3/(D3+H3))</f>
        <v>0.56970610399397137</v>
      </c>
      <c r="AF3">
        <f t="shared" ref="AF3:AF66" si="3">(E3/(D3+H3))</f>
        <v>1.8085908063300678E-2</v>
      </c>
      <c r="AG3">
        <f t="shared" ref="AG3:AG66" si="4">(G3/(D3+H3))</f>
        <v>0.48040693293142428</v>
      </c>
      <c r="AH3">
        <f t="shared" ref="AH3:AH66" si="5">(F3/(D3))</f>
        <v>0.93333333333333324</v>
      </c>
      <c r="AI3">
        <f t="shared" ref="AI3:AI66" si="6">E3/D3</f>
        <v>2.9629629629629627E-2</v>
      </c>
      <c r="AJ3">
        <f t="shared" ref="AJ3:AJ66" si="7">(H3/(C3+H3))</f>
        <v>0.26725252003101579</v>
      </c>
      <c r="AK3">
        <f t="shared" ref="AK3:AK66" si="8">(I3/(D3+H3))</f>
        <v>2.7882441597588549E-2</v>
      </c>
      <c r="AL3">
        <f t="shared" ref="AL3:AL66" si="9">(J3/(D3+H3))</f>
        <v>0.36171816126601358</v>
      </c>
      <c r="AM3">
        <f t="shared" ref="AM3:AM66" si="10">(I3/H3)</f>
        <v>7.1566731141199227E-2</v>
      </c>
      <c r="AN3">
        <f t="shared" ref="AN3:AN66" si="11">J3/H3</f>
        <v>0.92843326885880073</v>
      </c>
      <c r="AO3">
        <f t="shared" ref="AO3:AO66" si="12">(D3+H3)/AC3</f>
        <v>7.8215019386556214E-2</v>
      </c>
      <c r="AP3">
        <f t="shared" ref="AP3:AP66" si="13">($D3+$H3)/AB3</f>
        <v>7.6995017228972937E-2</v>
      </c>
    </row>
    <row r="4" spans="1:47" x14ac:dyDescent="0.35">
      <c r="A4" s="7" t="s">
        <v>29</v>
      </c>
      <c r="B4" s="7" t="s">
        <v>65</v>
      </c>
      <c r="C4" s="16">
        <f t="shared" si="0"/>
        <v>65</v>
      </c>
      <c r="D4">
        <v>16.5</v>
      </c>
      <c r="E4">
        <v>5.5</v>
      </c>
      <c r="F4">
        <v>11</v>
      </c>
      <c r="G4">
        <v>48.5</v>
      </c>
      <c r="H4" s="16">
        <v>348</v>
      </c>
      <c r="I4">
        <v>0</v>
      </c>
      <c r="J4">
        <v>348</v>
      </c>
      <c r="K4">
        <v>0</v>
      </c>
      <c r="L4">
        <v>0.630538110393977</v>
      </c>
      <c r="M4">
        <v>0.56757783839276432</v>
      </c>
      <c r="N4">
        <v>0.21017937013132559</v>
      </c>
      <c r="O4">
        <v>0.18919261279758809</v>
      </c>
      <c r="P4">
        <v>0.4203587402626513</v>
      </c>
      <c r="Q4">
        <v>0.37838522559517618</v>
      </c>
      <c r="R4">
        <v>1.853399900248963</v>
      </c>
      <c r="S4">
        <v>1.668334858306004</v>
      </c>
      <c r="T4">
        <v>13.29862196467297</v>
      </c>
      <c r="U4">
        <v>11.97073259155648</v>
      </c>
      <c r="V4">
        <v>0</v>
      </c>
      <c r="W4">
        <v>0</v>
      </c>
      <c r="X4">
        <v>13.29862196467297</v>
      </c>
      <c r="Y4">
        <v>11.97073259155648</v>
      </c>
      <c r="Z4">
        <v>0</v>
      </c>
      <c r="AA4">
        <v>0</v>
      </c>
      <c r="AB4">
        <v>2907.0902498102801</v>
      </c>
      <c r="AC4">
        <v>2616.8124857180101</v>
      </c>
      <c r="AD4">
        <f t="shared" si="1"/>
        <v>4.5267489711934158E-2</v>
      </c>
      <c r="AE4">
        <f t="shared" si="2"/>
        <v>3.017832647462277E-2</v>
      </c>
      <c r="AF4">
        <f t="shared" si="3"/>
        <v>1.5089163237311385E-2</v>
      </c>
      <c r="AG4">
        <f t="shared" si="4"/>
        <v>0.13305898491083676</v>
      </c>
      <c r="AH4">
        <f t="shared" si="5"/>
        <v>0.66666666666666663</v>
      </c>
      <c r="AI4">
        <f t="shared" si="6"/>
        <v>0.33333333333333331</v>
      </c>
      <c r="AJ4">
        <f t="shared" si="7"/>
        <v>0.84261501210653755</v>
      </c>
      <c r="AK4">
        <f t="shared" si="8"/>
        <v>0</v>
      </c>
      <c r="AL4">
        <f t="shared" si="9"/>
        <v>0.95473251028806583</v>
      </c>
      <c r="AM4">
        <f t="shared" si="10"/>
        <v>0</v>
      </c>
      <c r="AN4">
        <f t="shared" si="11"/>
        <v>1</v>
      </c>
      <c r="AO4">
        <f t="shared" si="12"/>
        <v>0.13929160075066946</v>
      </c>
      <c r="AP4">
        <f t="shared" si="13"/>
        <v>0.12538310429949248</v>
      </c>
    </row>
    <row r="5" spans="1:47" x14ac:dyDescent="0.35">
      <c r="A5" s="7" t="s">
        <v>30</v>
      </c>
      <c r="B5" s="7" t="s">
        <v>65</v>
      </c>
      <c r="C5" s="16">
        <f t="shared" si="0"/>
        <v>143</v>
      </c>
      <c r="D5">
        <v>143</v>
      </c>
      <c r="E5">
        <v>11.2</v>
      </c>
      <c r="F5">
        <v>131.80000000000001</v>
      </c>
      <c r="G5">
        <v>0</v>
      </c>
      <c r="H5" s="16">
        <v>1072</v>
      </c>
      <c r="I5">
        <v>223</v>
      </c>
      <c r="J5">
        <v>849</v>
      </c>
      <c r="K5">
        <v>0</v>
      </c>
      <c r="L5">
        <v>3.975184466200266</v>
      </c>
      <c r="M5">
        <v>3.4360258824878329</v>
      </c>
      <c r="N5">
        <v>0.3113431190310697</v>
      </c>
      <c r="O5">
        <v>0.26911531387317289</v>
      </c>
      <c r="P5">
        <v>3.6638413471691962</v>
      </c>
      <c r="Q5">
        <v>3.1669105686146599</v>
      </c>
      <c r="R5">
        <v>0</v>
      </c>
      <c r="S5">
        <v>0</v>
      </c>
      <c r="T5">
        <v>29.79998425011668</v>
      </c>
      <c r="U5">
        <v>25.758180042146549</v>
      </c>
      <c r="V5">
        <v>6.1990638878507633</v>
      </c>
      <c r="W5">
        <v>5.3582781244390683</v>
      </c>
      <c r="X5">
        <v>23.600920362265921</v>
      </c>
      <c r="Y5">
        <v>20.399901917707481</v>
      </c>
      <c r="Z5">
        <v>0</v>
      </c>
      <c r="AA5">
        <v>0</v>
      </c>
      <c r="AB5">
        <v>4161.7847155581303</v>
      </c>
      <c r="AC5">
        <v>3597.3173374942398</v>
      </c>
      <c r="AD5">
        <f t="shared" si="1"/>
        <v>0.1176954732510288</v>
      </c>
      <c r="AE5">
        <f t="shared" si="2"/>
        <v>0.10847736625514404</v>
      </c>
      <c r="AF5">
        <f t="shared" si="3"/>
        <v>9.2181069958847724E-3</v>
      </c>
      <c r="AG5">
        <f t="shared" si="4"/>
        <v>0</v>
      </c>
      <c r="AH5">
        <f t="shared" si="5"/>
        <v>0.92167832167832175</v>
      </c>
      <c r="AI5">
        <f t="shared" si="6"/>
        <v>7.8321678321678315E-2</v>
      </c>
      <c r="AJ5">
        <f t="shared" si="7"/>
        <v>0.8823045267489712</v>
      </c>
      <c r="AK5">
        <f t="shared" si="8"/>
        <v>0.18353909465020576</v>
      </c>
      <c r="AL5">
        <f t="shared" si="9"/>
        <v>0.6987654320987654</v>
      </c>
      <c r="AM5">
        <f t="shared" si="10"/>
        <v>0.2080223880597015</v>
      </c>
      <c r="AN5">
        <f t="shared" si="11"/>
        <v>0.79197761194029848</v>
      </c>
      <c r="AO5">
        <f t="shared" si="12"/>
        <v>0.33775168716316939</v>
      </c>
      <c r="AP5">
        <f t="shared" si="13"/>
        <v>0.29194205924634387</v>
      </c>
    </row>
    <row r="6" spans="1:47" x14ac:dyDescent="0.35">
      <c r="A6" s="7" t="s">
        <v>31</v>
      </c>
      <c r="B6" s="7" t="s">
        <v>65</v>
      </c>
      <c r="C6" s="16">
        <f t="shared" si="0"/>
        <v>22</v>
      </c>
      <c r="D6">
        <v>22</v>
      </c>
      <c r="E6">
        <v>3.63</v>
      </c>
      <c r="F6">
        <v>18.37</v>
      </c>
      <c r="G6">
        <v>0</v>
      </c>
      <c r="H6" s="16">
        <v>591</v>
      </c>
      <c r="I6">
        <v>0</v>
      </c>
      <c r="J6">
        <v>591</v>
      </c>
      <c r="K6">
        <v>0</v>
      </c>
      <c r="L6">
        <v>1.14693390160691</v>
      </c>
      <c r="M6">
        <v>0.94111212635674024</v>
      </c>
      <c r="N6">
        <v>0.18924409376514009</v>
      </c>
      <c r="O6">
        <v>0.15528350084886211</v>
      </c>
      <c r="P6">
        <v>0.95768980784177005</v>
      </c>
      <c r="Q6">
        <v>0.78582862550787813</v>
      </c>
      <c r="R6">
        <v>0</v>
      </c>
      <c r="S6">
        <v>0</v>
      </c>
      <c r="T6">
        <v>30.810815265894721</v>
      </c>
      <c r="U6">
        <v>25.281693939856069</v>
      </c>
      <c r="V6">
        <v>0</v>
      </c>
      <c r="W6">
        <v>0</v>
      </c>
      <c r="X6">
        <v>30.810815265894721</v>
      </c>
      <c r="Y6">
        <v>25.281693939856069</v>
      </c>
      <c r="Z6">
        <v>0</v>
      </c>
      <c r="AA6">
        <v>0</v>
      </c>
      <c r="AB6">
        <v>2337.6598158571201</v>
      </c>
      <c r="AC6">
        <v>1918.15761738117</v>
      </c>
      <c r="AD6">
        <f t="shared" si="1"/>
        <v>3.588907014681892E-2</v>
      </c>
      <c r="AE6">
        <f t="shared" si="2"/>
        <v>2.9967373572593804E-2</v>
      </c>
      <c r="AF6">
        <f t="shared" si="3"/>
        <v>5.921696574225122E-3</v>
      </c>
      <c r="AG6">
        <f t="shared" si="4"/>
        <v>0</v>
      </c>
      <c r="AH6">
        <f t="shared" si="5"/>
        <v>0.83500000000000008</v>
      </c>
      <c r="AI6">
        <f t="shared" si="6"/>
        <v>0.16500000000000001</v>
      </c>
      <c r="AJ6">
        <f t="shared" si="7"/>
        <v>0.96411092985318103</v>
      </c>
      <c r="AK6">
        <f t="shared" si="8"/>
        <v>0</v>
      </c>
      <c r="AL6">
        <f t="shared" si="9"/>
        <v>0.96411092985318103</v>
      </c>
      <c r="AM6">
        <f t="shared" si="10"/>
        <v>0</v>
      </c>
      <c r="AN6">
        <f t="shared" si="11"/>
        <v>1</v>
      </c>
      <c r="AO6">
        <f t="shared" si="12"/>
        <v>0.31957749167501631</v>
      </c>
      <c r="AP6">
        <f t="shared" si="13"/>
        <v>0.26222806066212806</v>
      </c>
    </row>
    <row r="7" spans="1:47" x14ac:dyDescent="0.35">
      <c r="A7" s="7" t="s">
        <v>32</v>
      </c>
      <c r="B7" s="7" t="s">
        <v>65</v>
      </c>
      <c r="C7" s="16">
        <f t="shared" si="0"/>
        <v>497</v>
      </c>
      <c r="D7">
        <v>497</v>
      </c>
      <c r="E7">
        <v>12.1906</v>
      </c>
      <c r="F7">
        <v>484.80939999999998</v>
      </c>
      <c r="G7">
        <v>0</v>
      </c>
      <c r="H7" s="16">
        <v>19</v>
      </c>
      <c r="I7">
        <v>0</v>
      </c>
      <c r="J7">
        <v>19</v>
      </c>
      <c r="K7">
        <v>0</v>
      </c>
      <c r="L7">
        <v>10.88877715515526</v>
      </c>
      <c r="M7">
        <v>9.3335923458114554</v>
      </c>
      <c r="N7">
        <v>0.26708395731918649</v>
      </c>
      <c r="O7">
        <v>0.22893780855301629</v>
      </c>
      <c r="P7">
        <v>10.62169319783607</v>
      </c>
      <c r="Q7">
        <v>9.1046545372584404</v>
      </c>
      <c r="R7">
        <v>0</v>
      </c>
      <c r="S7">
        <v>0</v>
      </c>
      <c r="T7">
        <v>0.41627115884899379</v>
      </c>
      <c r="U7">
        <v>0.35681741362257069</v>
      </c>
      <c r="V7">
        <v>0</v>
      </c>
      <c r="W7">
        <v>0</v>
      </c>
      <c r="X7">
        <v>0.41627115884899379</v>
      </c>
      <c r="Y7">
        <v>0.35681741362257069</v>
      </c>
      <c r="Z7">
        <v>0</v>
      </c>
      <c r="AA7">
        <v>0</v>
      </c>
      <c r="AB7">
        <v>5324.8522282316499</v>
      </c>
      <c r="AC7">
        <v>4564.3325500944502</v>
      </c>
      <c r="AD7">
        <f t="shared" si="1"/>
        <v>0.96317829457364346</v>
      </c>
      <c r="AE7">
        <f t="shared" si="2"/>
        <v>0.93955310077519372</v>
      </c>
      <c r="AF7">
        <f t="shared" si="3"/>
        <v>2.3625193798449611E-2</v>
      </c>
      <c r="AG7">
        <f t="shared" si="4"/>
        <v>0</v>
      </c>
      <c r="AH7">
        <f t="shared" si="5"/>
        <v>0.97547162977867197</v>
      </c>
      <c r="AI7">
        <f t="shared" si="6"/>
        <v>2.4528370221327967E-2</v>
      </c>
      <c r="AJ7">
        <f t="shared" si="7"/>
        <v>3.6821705426356592E-2</v>
      </c>
      <c r="AK7">
        <f t="shared" si="8"/>
        <v>0</v>
      </c>
      <c r="AL7">
        <f t="shared" si="9"/>
        <v>3.6821705426356592E-2</v>
      </c>
      <c r="AM7">
        <f t="shared" si="10"/>
        <v>0</v>
      </c>
      <c r="AN7">
        <f t="shared" si="11"/>
        <v>1</v>
      </c>
      <c r="AO7">
        <f t="shared" si="12"/>
        <v>0.11305048314004254</v>
      </c>
      <c r="AP7">
        <f t="shared" si="13"/>
        <v>9.6904097594340266E-2</v>
      </c>
    </row>
    <row r="8" spans="1:47" x14ac:dyDescent="0.35">
      <c r="A8" s="7" t="s">
        <v>33</v>
      </c>
      <c r="B8" s="7" t="s">
        <v>65</v>
      </c>
      <c r="C8" s="16">
        <f t="shared" si="0"/>
        <v>38</v>
      </c>
      <c r="D8">
        <v>24</v>
      </c>
      <c r="E8">
        <v>2.5</v>
      </c>
      <c r="F8">
        <v>21.5</v>
      </c>
      <c r="G8">
        <v>14</v>
      </c>
      <c r="H8" s="16">
        <v>215</v>
      </c>
      <c r="I8">
        <v>101</v>
      </c>
      <c r="J8">
        <v>114</v>
      </c>
      <c r="K8">
        <v>0</v>
      </c>
      <c r="L8">
        <v>1.465070020161209</v>
      </c>
      <c r="M8">
        <v>1.112894023274418</v>
      </c>
      <c r="N8">
        <v>0.15261146043345919</v>
      </c>
      <c r="O8">
        <v>0.1159264607577518</v>
      </c>
      <c r="P8">
        <v>1.3124585597277501</v>
      </c>
      <c r="Q8">
        <v>0.99696756251666563</v>
      </c>
      <c r="R8">
        <v>0.85462417842737204</v>
      </c>
      <c r="S8">
        <v>0.64918818024341018</v>
      </c>
      <c r="T8">
        <v>13.1245855972775</v>
      </c>
      <c r="U8">
        <v>9.9696756251666603</v>
      </c>
      <c r="V8">
        <v>6.1655030015117536</v>
      </c>
      <c r="W8">
        <v>4.6834290146131741</v>
      </c>
      <c r="X8">
        <v>6.9590825957657438</v>
      </c>
      <c r="Y8">
        <v>5.2862466105534844</v>
      </c>
      <c r="Z8">
        <v>0</v>
      </c>
      <c r="AA8">
        <v>0</v>
      </c>
      <c r="AB8">
        <v>2156.5395714307001</v>
      </c>
      <c r="AC8">
        <v>1638.14696019506</v>
      </c>
      <c r="AD8">
        <f t="shared" si="1"/>
        <v>0.100418410041841</v>
      </c>
      <c r="AE8">
        <f t="shared" si="2"/>
        <v>8.9958158995815898E-2</v>
      </c>
      <c r="AF8">
        <f t="shared" si="3"/>
        <v>1.0460251046025104E-2</v>
      </c>
      <c r="AG8">
        <f t="shared" si="4"/>
        <v>5.8577405857740586E-2</v>
      </c>
      <c r="AH8">
        <f t="shared" si="5"/>
        <v>0.89583333333333337</v>
      </c>
      <c r="AI8">
        <f t="shared" si="6"/>
        <v>0.10416666666666667</v>
      </c>
      <c r="AJ8">
        <f t="shared" si="7"/>
        <v>0.84980237154150196</v>
      </c>
      <c r="AK8">
        <f t="shared" si="8"/>
        <v>0.42259414225941422</v>
      </c>
      <c r="AL8">
        <f t="shared" si="9"/>
        <v>0.47698744769874479</v>
      </c>
      <c r="AM8">
        <f t="shared" si="10"/>
        <v>0.4697674418604651</v>
      </c>
      <c r="AN8">
        <f t="shared" si="11"/>
        <v>0.53023255813953485</v>
      </c>
      <c r="AO8">
        <f t="shared" si="12"/>
        <v>0.14589655617438707</v>
      </c>
      <c r="AP8">
        <f t="shared" si="13"/>
        <v>0.11082569648441075</v>
      </c>
    </row>
    <row r="9" spans="1:47" x14ac:dyDescent="0.35">
      <c r="A9" s="7" t="s">
        <v>34</v>
      </c>
      <c r="B9" s="7" t="s">
        <v>65</v>
      </c>
      <c r="C9" s="16">
        <f t="shared" si="0"/>
        <v>14.892900000000001</v>
      </c>
      <c r="D9">
        <v>14.892899999999999</v>
      </c>
      <c r="E9">
        <v>4.1786000000000003</v>
      </c>
      <c r="F9">
        <v>10.7143</v>
      </c>
      <c r="G9">
        <v>0</v>
      </c>
      <c r="H9" s="16">
        <v>175.61519999999999</v>
      </c>
      <c r="I9">
        <v>11</v>
      </c>
      <c r="J9">
        <v>164.61519999999999</v>
      </c>
      <c r="K9">
        <v>11.4316</v>
      </c>
      <c r="L9">
        <v>1.1249106429758049</v>
      </c>
      <c r="M9">
        <v>0.82898248866192525</v>
      </c>
      <c r="N9">
        <v>0.31562366045153722</v>
      </c>
      <c r="O9">
        <v>0.2325931300903599</v>
      </c>
      <c r="P9">
        <v>0.80928698252426767</v>
      </c>
      <c r="Q9">
        <v>0.59638935857156539</v>
      </c>
      <c r="R9">
        <v>0</v>
      </c>
      <c r="S9">
        <v>0</v>
      </c>
      <c r="T9">
        <v>13.264804540977551</v>
      </c>
      <c r="U9">
        <v>9.7752570381095527</v>
      </c>
      <c r="V9">
        <v>0.83086686090243378</v>
      </c>
      <c r="W9">
        <v>0.61229225841046264</v>
      </c>
      <c r="X9">
        <v>12.43393768007512</v>
      </c>
      <c r="Y9">
        <v>9.1629647796990881</v>
      </c>
      <c r="Z9">
        <v>0.86346705519020561</v>
      </c>
      <c r="AA9">
        <v>0.63631638011318581</v>
      </c>
      <c r="AB9">
        <v>1796.5276955414199</v>
      </c>
      <c r="AC9">
        <v>1323.9184901480501</v>
      </c>
      <c r="AD9">
        <f t="shared" si="1"/>
        <v>7.8174628795311063E-2</v>
      </c>
      <c r="AE9">
        <f t="shared" si="2"/>
        <v>5.624065328455851E-2</v>
      </c>
      <c r="AF9">
        <f t="shared" si="3"/>
        <v>2.1933975510752563E-2</v>
      </c>
      <c r="AG9">
        <f t="shared" si="4"/>
        <v>0</v>
      </c>
      <c r="AH9">
        <f t="shared" si="5"/>
        <v>0.71942334938124886</v>
      </c>
      <c r="AI9">
        <f t="shared" si="6"/>
        <v>0.28057665061875126</v>
      </c>
      <c r="AJ9">
        <f t="shared" si="7"/>
        <v>0.92182537120468899</v>
      </c>
      <c r="AK9">
        <f t="shared" si="8"/>
        <v>5.7740327051710665E-2</v>
      </c>
      <c r="AL9">
        <f t="shared" si="9"/>
        <v>0.86408504415297827</v>
      </c>
      <c r="AM9">
        <f t="shared" si="10"/>
        <v>6.2636947143527438E-2</v>
      </c>
      <c r="AN9">
        <f t="shared" si="11"/>
        <v>0.93736305285647259</v>
      </c>
      <c r="AO9">
        <f t="shared" si="12"/>
        <v>0.14389715183953355</v>
      </c>
      <c r="AP9">
        <f t="shared" si="13"/>
        <v>0.10604239526771476</v>
      </c>
    </row>
    <row r="10" spans="1:47" x14ac:dyDescent="0.35">
      <c r="A10" s="7" t="s">
        <v>35</v>
      </c>
      <c r="B10" s="7" t="s">
        <v>65</v>
      </c>
      <c r="C10" s="16">
        <f t="shared" si="0"/>
        <v>83.000000005000004</v>
      </c>
      <c r="D10">
        <v>83.000000005000004</v>
      </c>
      <c r="E10">
        <v>6.384615385</v>
      </c>
      <c r="F10">
        <v>76.61538462</v>
      </c>
      <c r="G10">
        <v>0</v>
      </c>
      <c r="H10" s="16">
        <v>423</v>
      </c>
      <c r="I10">
        <v>423</v>
      </c>
      <c r="J10">
        <v>0</v>
      </c>
      <c r="K10">
        <v>0</v>
      </c>
      <c r="L10">
        <v>2.628755024499684</v>
      </c>
      <c r="M10">
        <v>2.8212212457603552</v>
      </c>
      <c r="N10">
        <v>0.20221192496151411</v>
      </c>
      <c r="O10">
        <v>0.2170170189046427</v>
      </c>
      <c r="P10">
        <v>2.4265430995381698</v>
      </c>
      <c r="Q10">
        <v>2.6042042268557122</v>
      </c>
      <c r="R10">
        <v>0</v>
      </c>
      <c r="S10">
        <v>0</v>
      </c>
      <c r="T10">
        <v>13.39714909995639</v>
      </c>
      <c r="U10">
        <v>14.37803116728602</v>
      </c>
      <c r="V10">
        <v>13.39714909995639</v>
      </c>
      <c r="W10">
        <v>14.37803116728602</v>
      </c>
      <c r="X10">
        <v>0</v>
      </c>
      <c r="Y10">
        <v>0</v>
      </c>
      <c r="Z10">
        <v>0</v>
      </c>
      <c r="AA10">
        <v>0</v>
      </c>
      <c r="AB10">
        <v>2941.9883367789698</v>
      </c>
      <c r="AC10">
        <v>3157.38816403392</v>
      </c>
      <c r="AD10">
        <f t="shared" si="1"/>
        <v>0.16403162056162024</v>
      </c>
      <c r="AE10">
        <f t="shared" si="2"/>
        <v>0.15141380359534176</v>
      </c>
      <c r="AF10">
        <f t="shared" si="3"/>
        <v>1.261781696627848E-2</v>
      </c>
      <c r="AG10">
        <f t="shared" si="4"/>
        <v>0</v>
      </c>
      <c r="AH10">
        <f t="shared" si="5"/>
        <v>0.92307692307692302</v>
      </c>
      <c r="AI10">
        <f t="shared" si="6"/>
        <v>7.6923076923076913E-2</v>
      </c>
      <c r="AJ10">
        <f t="shared" si="7"/>
        <v>0.83596837943837976</v>
      </c>
      <c r="AK10">
        <f t="shared" si="8"/>
        <v>0.83596837943837976</v>
      </c>
      <c r="AL10">
        <f t="shared" si="9"/>
        <v>0</v>
      </c>
      <c r="AM10">
        <f t="shared" si="10"/>
        <v>1</v>
      </c>
      <c r="AN10">
        <f t="shared" si="11"/>
        <v>0</v>
      </c>
      <c r="AO10">
        <f t="shared" si="12"/>
        <v>0.16025904124456078</v>
      </c>
      <c r="AP10">
        <f t="shared" si="13"/>
        <v>0.17199252413046379</v>
      </c>
    </row>
    <row r="11" spans="1:47" x14ac:dyDescent="0.35">
      <c r="A11" s="7" t="s">
        <v>36</v>
      </c>
      <c r="B11" s="7" t="s">
        <v>65</v>
      </c>
      <c r="C11" s="16">
        <f t="shared" si="0"/>
        <v>1395</v>
      </c>
      <c r="D11">
        <v>1395</v>
      </c>
      <c r="E11">
        <v>9.4499999999999993</v>
      </c>
      <c r="F11">
        <v>1385.55</v>
      </c>
      <c r="G11">
        <v>0</v>
      </c>
      <c r="H11" s="16">
        <v>510</v>
      </c>
      <c r="I11">
        <v>56</v>
      </c>
      <c r="J11">
        <v>454</v>
      </c>
      <c r="K11">
        <v>0</v>
      </c>
      <c r="L11">
        <v>6.9998581774039028</v>
      </c>
      <c r="M11">
        <v>6.9840045164241253</v>
      </c>
      <c r="N11">
        <v>4.7418394104994099E-2</v>
      </c>
      <c r="O11">
        <v>4.7310998337066597E-2</v>
      </c>
      <c r="P11">
        <v>6.9524397832989084</v>
      </c>
      <c r="Q11">
        <v>6.9366935180870586</v>
      </c>
      <c r="R11">
        <v>0</v>
      </c>
      <c r="S11">
        <v>0</v>
      </c>
      <c r="T11">
        <v>2.5590879358250822</v>
      </c>
      <c r="U11">
        <v>2.5532919737464539</v>
      </c>
      <c r="V11">
        <v>0.28099789099255812</v>
      </c>
      <c r="W11">
        <v>0.2803614716270616</v>
      </c>
      <c r="X11">
        <v>2.278090044832525</v>
      </c>
      <c r="Y11">
        <v>2.2729305021193928</v>
      </c>
      <c r="Z11">
        <v>0</v>
      </c>
      <c r="AA11">
        <v>0</v>
      </c>
      <c r="AB11">
        <v>19974.2138871676</v>
      </c>
      <c r="AC11">
        <v>19928.975197</v>
      </c>
      <c r="AD11">
        <f t="shared" si="1"/>
        <v>0.73228346456692917</v>
      </c>
      <c r="AE11">
        <f t="shared" si="2"/>
        <v>0.72732283464566927</v>
      </c>
      <c r="AF11">
        <f t="shared" si="3"/>
        <v>4.9606299212598421E-3</v>
      </c>
      <c r="AG11">
        <f t="shared" si="4"/>
        <v>0</v>
      </c>
      <c r="AH11">
        <f t="shared" si="5"/>
        <v>0.99322580645161285</v>
      </c>
      <c r="AI11">
        <f t="shared" si="6"/>
        <v>6.7741935483870966E-3</v>
      </c>
      <c r="AJ11">
        <f t="shared" si="7"/>
        <v>0.26771653543307089</v>
      </c>
      <c r="AK11">
        <f t="shared" si="8"/>
        <v>2.9396325459317585E-2</v>
      </c>
      <c r="AL11">
        <f t="shared" si="9"/>
        <v>0.23832020997375328</v>
      </c>
      <c r="AM11">
        <f t="shared" si="10"/>
        <v>0.10980392156862745</v>
      </c>
      <c r="AN11">
        <f t="shared" si="11"/>
        <v>0.8901960784313725</v>
      </c>
      <c r="AO11">
        <f t="shared" si="12"/>
        <v>9.558946113228986E-2</v>
      </c>
      <c r="AP11">
        <f t="shared" si="13"/>
        <v>9.5372964901705798E-2</v>
      </c>
    </row>
    <row r="12" spans="1:47" x14ac:dyDescent="0.35">
      <c r="A12" s="7" t="s">
        <v>37</v>
      </c>
      <c r="B12" s="7" t="s">
        <v>65</v>
      </c>
      <c r="C12" s="16">
        <f t="shared" si="0"/>
        <v>1.8620000000000001</v>
      </c>
      <c r="D12">
        <v>1.8620000000000001</v>
      </c>
      <c r="E12">
        <v>1.8620000000000001</v>
      </c>
      <c r="F12">
        <v>0</v>
      </c>
      <c r="G12">
        <v>0</v>
      </c>
      <c r="H12" s="16">
        <v>3.3</v>
      </c>
      <c r="I12">
        <v>3.3</v>
      </c>
      <c r="J12">
        <v>0</v>
      </c>
      <c r="K12">
        <v>0</v>
      </c>
      <c r="L12">
        <v>0.145565263565308</v>
      </c>
      <c r="M12">
        <v>7.81805165395449E-2</v>
      </c>
      <c r="N12">
        <v>0.145565263565308</v>
      </c>
      <c r="O12">
        <v>7.81805165395449E-2</v>
      </c>
      <c r="P12">
        <v>0</v>
      </c>
      <c r="Q12">
        <v>0</v>
      </c>
      <c r="R12">
        <v>0</v>
      </c>
      <c r="S12">
        <v>0</v>
      </c>
      <c r="T12">
        <v>0.2579835498203632</v>
      </c>
      <c r="U12">
        <v>0.1385583805480656</v>
      </c>
      <c r="V12">
        <v>0.2579835498203632</v>
      </c>
      <c r="W12">
        <v>0.1385583805480656</v>
      </c>
      <c r="X12">
        <v>0</v>
      </c>
      <c r="Y12">
        <v>0</v>
      </c>
      <c r="Z12">
        <v>0</v>
      </c>
      <c r="AA12">
        <v>0</v>
      </c>
      <c r="AB12">
        <v>2381.6675591522499</v>
      </c>
      <c r="AC12">
        <v>1279.1513266244399</v>
      </c>
      <c r="AD12">
        <f t="shared" si="1"/>
        <v>0.36071290197597833</v>
      </c>
      <c r="AE12">
        <f t="shared" si="2"/>
        <v>0</v>
      </c>
      <c r="AF12">
        <f t="shared" si="3"/>
        <v>0.36071290197597833</v>
      </c>
      <c r="AG12">
        <f t="shared" si="4"/>
        <v>0</v>
      </c>
      <c r="AH12">
        <f t="shared" si="5"/>
        <v>0</v>
      </c>
      <c r="AI12">
        <f t="shared" si="6"/>
        <v>1</v>
      </c>
      <c r="AJ12">
        <f t="shared" si="7"/>
        <v>0.63928709802402173</v>
      </c>
      <c r="AK12">
        <f t="shared" si="8"/>
        <v>0.63928709802402173</v>
      </c>
      <c r="AL12">
        <f t="shared" si="9"/>
        <v>0</v>
      </c>
      <c r="AM12">
        <f t="shared" si="10"/>
        <v>1</v>
      </c>
      <c r="AN12">
        <f t="shared" si="11"/>
        <v>0</v>
      </c>
      <c r="AO12">
        <f t="shared" si="12"/>
        <v>4.0354881338567133E-3</v>
      </c>
      <c r="AP12">
        <f t="shared" si="13"/>
        <v>2.1673889708761049E-3</v>
      </c>
    </row>
    <row r="13" spans="1:47" x14ac:dyDescent="0.35">
      <c r="A13" s="7" t="s">
        <v>38</v>
      </c>
      <c r="B13" s="7" t="s">
        <v>65</v>
      </c>
      <c r="C13" s="16">
        <f t="shared" si="0"/>
        <v>0</v>
      </c>
      <c r="D13">
        <v>0</v>
      </c>
      <c r="E13">
        <v>0</v>
      </c>
      <c r="F13">
        <v>0</v>
      </c>
      <c r="G13">
        <v>0</v>
      </c>
      <c r="H13" s="16">
        <v>3.8</v>
      </c>
      <c r="I13">
        <v>0</v>
      </c>
      <c r="J13">
        <v>3.8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0.38112295919650652</v>
      </c>
      <c r="U13">
        <v>0.16282573564584751</v>
      </c>
      <c r="V13">
        <v>0</v>
      </c>
      <c r="W13">
        <v>0</v>
      </c>
      <c r="X13">
        <v>0.38112295919650652</v>
      </c>
      <c r="Y13">
        <v>0.16282573564584751</v>
      </c>
      <c r="Z13">
        <v>0</v>
      </c>
      <c r="AA13">
        <v>0</v>
      </c>
      <c r="AB13">
        <v>2333.7834064911899</v>
      </c>
      <c r="AC13">
        <v>997.05355143423003</v>
      </c>
      <c r="AD13">
        <f t="shared" si="1"/>
        <v>0</v>
      </c>
      <c r="AE13">
        <f t="shared" si="2"/>
        <v>0</v>
      </c>
      <c r="AF13">
        <f t="shared" si="3"/>
        <v>0</v>
      </c>
      <c r="AG13">
        <f t="shared" si="4"/>
        <v>0</v>
      </c>
      <c r="AH13" t="e">
        <f t="shared" si="5"/>
        <v>#DIV/0!</v>
      </c>
      <c r="AI13" t="e">
        <f t="shared" si="6"/>
        <v>#DIV/0!</v>
      </c>
      <c r="AJ13">
        <f t="shared" si="7"/>
        <v>1</v>
      </c>
      <c r="AK13">
        <f t="shared" si="8"/>
        <v>0</v>
      </c>
      <c r="AL13">
        <f t="shared" si="9"/>
        <v>1</v>
      </c>
      <c r="AM13">
        <f t="shared" si="10"/>
        <v>0</v>
      </c>
      <c r="AN13">
        <f t="shared" si="11"/>
        <v>1</v>
      </c>
      <c r="AO13">
        <f t="shared" si="12"/>
        <v>3.8112295919650653E-3</v>
      </c>
      <c r="AP13">
        <f t="shared" si="13"/>
        <v>1.6282573564584751E-3</v>
      </c>
    </row>
    <row r="14" spans="1:47" x14ac:dyDescent="0.35">
      <c r="A14" s="9" t="s">
        <v>39</v>
      </c>
      <c r="B14" s="7" t="s">
        <v>65</v>
      </c>
      <c r="C14" s="16">
        <f t="shared" si="0"/>
        <v>31.764700000000001</v>
      </c>
      <c r="D14">
        <v>31.764700000000001</v>
      </c>
      <c r="E14">
        <v>0</v>
      </c>
      <c r="F14">
        <v>31.764700000000001</v>
      </c>
      <c r="G14">
        <v>0</v>
      </c>
      <c r="H14" s="16">
        <v>0</v>
      </c>
      <c r="I14">
        <v>0</v>
      </c>
      <c r="J14">
        <v>0</v>
      </c>
      <c r="K14">
        <v>0</v>
      </c>
      <c r="L14">
        <v>7.6735681329126031</v>
      </c>
      <c r="M14">
        <v>6.7786506242927107</v>
      </c>
      <c r="N14">
        <v>0</v>
      </c>
      <c r="O14">
        <v>0</v>
      </c>
      <c r="P14">
        <v>7.6735681329126031</v>
      </c>
      <c r="Q14">
        <v>6.7786506242927107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468.59916169988998</v>
      </c>
      <c r="AC14">
        <v>413.94954015926999</v>
      </c>
      <c r="AD14">
        <f t="shared" si="1"/>
        <v>1</v>
      </c>
      <c r="AE14">
        <f t="shared" si="2"/>
        <v>1</v>
      </c>
      <c r="AF14">
        <f t="shared" si="3"/>
        <v>0</v>
      </c>
      <c r="AG14">
        <f t="shared" si="4"/>
        <v>0</v>
      </c>
      <c r="AH14">
        <f t="shared" si="5"/>
        <v>1</v>
      </c>
      <c r="AI14">
        <f t="shared" si="6"/>
        <v>0</v>
      </c>
      <c r="AJ14">
        <f t="shared" si="7"/>
        <v>0</v>
      </c>
      <c r="AK14">
        <f t="shared" si="8"/>
        <v>0</v>
      </c>
      <c r="AL14">
        <f t="shared" si="9"/>
        <v>0</v>
      </c>
      <c r="AM14" t="e">
        <f t="shared" si="10"/>
        <v>#DIV/0!</v>
      </c>
      <c r="AN14" t="e">
        <f t="shared" si="11"/>
        <v>#DIV/0!</v>
      </c>
      <c r="AO14">
        <f t="shared" si="12"/>
        <v>7.6735681329126032E-2</v>
      </c>
      <c r="AP14">
        <f t="shared" si="13"/>
        <v>6.7786506242927105E-2</v>
      </c>
    </row>
    <row r="15" spans="1:47" x14ac:dyDescent="0.35">
      <c r="A15" s="7" t="s">
        <v>40</v>
      </c>
      <c r="B15" s="7" t="s">
        <v>65</v>
      </c>
      <c r="C15" s="16">
        <f t="shared" si="0"/>
        <v>0</v>
      </c>
      <c r="D15">
        <v>0</v>
      </c>
      <c r="E15">
        <v>0</v>
      </c>
      <c r="F15">
        <v>0</v>
      </c>
      <c r="G15">
        <v>0</v>
      </c>
      <c r="H15" s="16">
        <v>54</v>
      </c>
      <c r="I15">
        <v>0</v>
      </c>
      <c r="J15">
        <v>54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10.90562054178165</v>
      </c>
      <c r="U15">
        <v>9.7240885633744618</v>
      </c>
      <c r="V15">
        <v>0</v>
      </c>
      <c r="W15">
        <v>0</v>
      </c>
      <c r="X15">
        <v>10.90562054178165</v>
      </c>
      <c r="Y15">
        <v>9.7240885633744618</v>
      </c>
      <c r="Z15">
        <v>0</v>
      </c>
      <c r="AA15">
        <v>0</v>
      </c>
      <c r="AB15">
        <v>555.32196820367994</v>
      </c>
      <c r="AC15">
        <v>495.15751802582002</v>
      </c>
      <c r="AD15">
        <f t="shared" si="1"/>
        <v>0</v>
      </c>
      <c r="AE15">
        <f t="shared" si="2"/>
        <v>0</v>
      </c>
      <c r="AF15">
        <f t="shared" si="3"/>
        <v>0</v>
      </c>
      <c r="AG15">
        <f t="shared" si="4"/>
        <v>0</v>
      </c>
      <c r="AH15" t="e">
        <f t="shared" si="5"/>
        <v>#DIV/0!</v>
      </c>
      <c r="AI15" t="e">
        <f t="shared" si="6"/>
        <v>#DIV/0!</v>
      </c>
      <c r="AJ15">
        <f t="shared" si="7"/>
        <v>1</v>
      </c>
      <c r="AK15">
        <f t="shared" si="8"/>
        <v>0</v>
      </c>
      <c r="AL15">
        <f t="shared" si="9"/>
        <v>1</v>
      </c>
      <c r="AM15">
        <f t="shared" si="10"/>
        <v>0</v>
      </c>
      <c r="AN15">
        <f t="shared" si="11"/>
        <v>1</v>
      </c>
      <c r="AO15">
        <f t="shared" si="12"/>
        <v>0.10905620541781649</v>
      </c>
      <c r="AP15">
        <f t="shared" si="13"/>
        <v>9.7240885633744611E-2</v>
      </c>
    </row>
    <row r="16" spans="1:47" x14ac:dyDescent="0.35">
      <c r="A16" s="9" t="s">
        <v>41</v>
      </c>
      <c r="B16" s="7" t="s">
        <v>65</v>
      </c>
      <c r="C16" s="16">
        <f t="shared" si="0"/>
        <v>9.0751215444483115</v>
      </c>
      <c r="D16">
        <v>9.0751215444483115</v>
      </c>
      <c r="E16">
        <v>2.2540984E-2</v>
      </c>
      <c r="F16">
        <v>9.0525805604483107</v>
      </c>
      <c r="G16">
        <v>0</v>
      </c>
      <c r="H16" s="16">
        <v>21.104230256601589</v>
      </c>
      <c r="I16">
        <v>0.80696442599999996</v>
      </c>
      <c r="J16">
        <v>20.297265830601589</v>
      </c>
      <c r="K16">
        <v>0</v>
      </c>
      <c r="L16">
        <v>4.2084524748499499</v>
      </c>
      <c r="M16">
        <v>2.227592870663416</v>
      </c>
      <c r="N16">
        <v>1.04530456628853E-2</v>
      </c>
      <c r="O16">
        <v>5.5329435545527E-3</v>
      </c>
      <c r="P16">
        <v>4.1979994291870648</v>
      </c>
      <c r="Q16">
        <v>2.2220599271088641</v>
      </c>
      <c r="R16">
        <v>0</v>
      </c>
      <c r="S16">
        <v>0</v>
      </c>
      <c r="T16">
        <v>9.7867725096785403</v>
      </c>
      <c r="U16">
        <v>5.1802758376502558</v>
      </c>
      <c r="V16">
        <v>0.37421773571651062</v>
      </c>
      <c r="W16">
        <v>0.19807869166625841</v>
      </c>
      <c r="X16">
        <v>9.4125547739620288</v>
      </c>
      <c r="Y16">
        <v>4.9821971459839984</v>
      </c>
      <c r="Z16">
        <v>0</v>
      </c>
      <c r="AA16">
        <v>0</v>
      </c>
      <c r="AB16">
        <v>407.39587848230002</v>
      </c>
      <c r="AC16">
        <v>215.64034757863999</v>
      </c>
      <c r="AD16">
        <f t="shared" si="1"/>
        <v>0.30070631086690869</v>
      </c>
      <c r="AE16">
        <f t="shared" si="2"/>
        <v>0.29995941000076032</v>
      </c>
      <c r="AF16">
        <f t="shared" si="3"/>
        <v>7.4690086614835204E-4</v>
      </c>
      <c r="AG16">
        <f t="shared" si="4"/>
        <v>0</v>
      </c>
      <c r="AH16">
        <f t="shared" si="5"/>
        <v>0.99751617828041206</v>
      </c>
      <c r="AI16">
        <f t="shared" si="6"/>
        <v>2.4838217195878114E-3</v>
      </c>
      <c r="AJ16">
        <f t="shared" si="7"/>
        <v>0.69929368913309131</v>
      </c>
      <c r="AK16">
        <f t="shared" si="8"/>
        <v>2.6738958189682745E-2</v>
      </c>
      <c r="AL16">
        <f t="shared" si="9"/>
        <v>0.67255473094340856</v>
      </c>
      <c r="AM16">
        <f t="shared" si="10"/>
        <v>3.8237093520507547E-2</v>
      </c>
      <c r="AN16">
        <f t="shared" si="11"/>
        <v>0.96176290647949247</v>
      </c>
      <c r="AO16">
        <f t="shared" si="12"/>
        <v>0.1399522498452849</v>
      </c>
      <c r="AP16">
        <f t="shared" si="13"/>
        <v>7.4078687083136738E-2</v>
      </c>
    </row>
    <row r="17" spans="1:42" x14ac:dyDescent="0.35">
      <c r="A17" s="9" t="s">
        <v>42</v>
      </c>
      <c r="B17" s="7" t="s">
        <v>65</v>
      </c>
      <c r="C17" s="16">
        <f t="shared" si="0"/>
        <v>9</v>
      </c>
      <c r="D17">
        <v>9</v>
      </c>
      <c r="E17">
        <v>0</v>
      </c>
      <c r="F17">
        <v>9</v>
      </c>
      <c r="G17">
        <v>0</v>
      </c>
      <c r="H17" s="16">
        <v>9.6999999999999993</v>
      </c>
      <c r="I17">
        <v>0</v>
      </c>
      <c r="J17">
        <v>9.6999999999999993</v>
      </c>
      <c r="K17">
        <v>0</v>
      </c>
      <c r="L17">
        <v>2.7059324055091158</v>
      </c>
      <c r="M17">
        <v>2.8932995220407598</v>
      </c>
      <c r="N17">
        <v>0</v>
      </c>
      <c r="O17">
        <v>0</v>
      </c>
      <c r="P17">
        <v>2.7059324055091158</v>
      </c>
      <c r="Q17">
        <v>2.8932995220407598</v>
      </c>
      <c r="R17">
        <v>0</v>
      </c>
      <c r="S17">
        <v>0</v>
      </c>
      <c r="T17">
        <v>2.9163938148264918</v>
      </c>
      <c r="U17">
        <v>3.1183339293105958</v>
      </c>
      <c r="V17">
        <v>0</v>
      </c>
      <c r="W17">
        <v>0</v>
      </c>
      <c r="X17">
        <v>2.9163938148264918</v>
      </c>
      <c r="Y17">
        <v>3.1183339293105958</v>
      </c>
      <c r="Z17">
        <v>0</v>
      </c>
      <c r="AA17">
        <v>0</v>
      </c>
      <c r="AB17">
        <v>311.06354290107998</v>
      </c>
      <c r="AC17">
        <v>332.60254327404999</v>
      </c>
      <c r="AD17">
        <f t="shared" si="1"/>
        <v>0.48128342245989308</v>
      </c>
      <c r="AE17">
        <f t="shared" si="2"/>
        <v>0.48128342245989308</v>
      </c>
      <c r="AF17">
        <f t="shared" si="3"/>
        <v>0</v>
      </c>
      <c r="AG17">
        <f t="shared" si="4"/>
        <v>0</v>
      </c>
      <c r="AH17">
        <f t="shared" si="5"/>
        <v>1</v>
      </c>
      <c r="AI17">
        <f t="shared" si="6"/>
        <v>0</v>
      </c>
      <c r="AJ17">
        <f t="shared" si="7"/>
        <v>0.51871657754010692</v>
      </c>
      <c r="AK17">
        <f t="shared" si="8"/>
        <v>0</v>
      </c>
      <c r="AL17">
        <f t="shared" si="9"/>
        <v>0.51871657754010692</v>
      </c>
      <c r="AM17">
        <f t="shared" si="10"/>
        <v>0</v>
      </c>
      <c r="AN17">
        <f t="shared" si="11"/>
        <v>1</v>
      </c>
      <c r="AO17">
        <f t="shared" si="12"/>
        <v>5.6223262203356078E-2</v>
      </c>
      <c r="AP17">
        <f t="shared" si="13"/>
        <v>6.0116334513513559E-2</v>
      </c>
    </row>
    <row r="18" spans="1:42" x14ac:dyDescent="0.35">
      <c r="A18" s="9" t="s">
        <v>43</v>
      </c>
      <c r="B18" s="7" t="s">
        <v>65</v>
      </c>
      <c r="C18" s="16">
        <f t="shared" si="0"/>
        <v>0</v>
      </c>
      <c r="D18">
        <v>0</v>
      </c>
      <c r="E18">
        <v>0</v>
      </c>
      <c r="F18">
        <v>0</v>
      </c>
      <c r="G18">
        <v>0</v>
      </c>
      <c r="H18" s="16">
        <v>0.34351350790000001</v>
      </c>
      <c r="I18">
        <v>0.166216216</v>
      </c>
      <c r="J18">
        <v>0.17729729189999999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1.2772080118792739</v>
      </c>
      <c r="U18">
        <v>0.74820679582493232</v>
      </c>
      <c r="V18">
        <v>0.61800388601095835</v>
      </c>
      <c r="W18">
        <v>0.36203555181215291</v>
      </c>
      <c r="X18">
        <v>0.659204125868316</v>
      </c>
      <c r="Y18">
        <v>0.38617124401277941</v>
      </c>
      <c r="Z18">
        <v>0</v>
      </c>
      <c r="AA18">
        <v>0</v>
      </c>
      <c r="AB18">
        <v>45.911572818750003</v>
      </c>
      <c r="AC18">
        <v>26.895658710639999</v>
      </c>
      <c r="AD18">
        <f t="shared" si="1"/>
        <v>0</v>
      </c>
      <c r="AE18">
        <f t="shared" si="2"/>
        <v>0</v>
      </c>
      <c r="AF18">
        <f t="shared" si="3"/>
        <v>0</v>
      </c>
      <c r="AG18">
        <f t="shared" si="4"/>
        <v>0</v>
      </c>
      <c r="AH18" t="e">
        <f t="shared" si="5"/>
        <v>#DIV/0!</v>
      </c>
      <c r="AI18" t="e">
        <f t="shared" si="6"/>
        <v>#DIV/0!</v>
      </c>
      <c r="AJ18">
        <f t="shared" si="7"/>
        <v>1</v>
      </c>
      <c r="AK18">
        <f t="shared" si="8"/>
        <v>0.48387097501966964</v>
      </c>
      <c r="AL18">
        <f t="shared" si="9"/>
        <v>0.51612902498033031</v>
      </c>
      <c r="AM18">
        <f t="shared" si="10"/>
        <v>0.48387097501966964</v>
      </c>
      <c r="AN18">
        <f t="shared" si="11"/>
        <v>0.51612902498033031</v>
      </c>
      <c r="AO18">
        <f t="shared" si="12"/>
        <v>1.2772080118792743E-2</v>
      </c>
      <c r="AP18">
        <f t="shared" si="13"/>
        <v>7.4820679582493247E-3</v>
      </c>
    </row>
    <row r="19" spans="1:42" x14ac:dyDescent="0.35">
      <c r="A19" s="9" t="s">
        <v>44</v>
      </c>
      <c r="B19" s="7" t="s">
        <v>65</v>
      </c>
      <c r="C19" s="16">
        <f t="shared" si="0"/>
        <v>8.8523525290000009</v>
      </c>
      <c r="D19">
        <v>4.352352529</v>
      </c>
      <c r="E19">
        <v>2.8823529000000001E-2</v>
      </c>
      <c r="F19">
        <v>4.3235289999999997</v>
      </c>
      <c r="G19">
        <v>4.5</v>
      </c>
      <c r="H19" s="16">
        <v>13.1</v>
      </c>
      <c r="I19">
        <v>1.1000000000000001</v>
      </c>
      <c r="J19">
        <v>12</v>
      </c>
      <c r="K19">
        <v>0</v>
      </c>
      <c r="L19">
        <v>1.7085190625524529</v>
      </c>
      <c r="M19">
        <v>1.7140488294221521</v>
      </c>
      <c r="N19">
        <v>1.1314696688378799E-2</v>
      </c>
      <c r="O19">
        <v>1.1351317663970699E-2</v>
      </c>
      <c r="P19">
        <v>1.6972043658640741</v>
      </c>
      <c r="Q19">
        <v>1.7026975117581811</v>
      </c>
      <c r="R19">
        <v>1.766478181686381</v>
      </c>
      <c r="S19">
        <v>1.772195538161492</v>
      </c>
      <c r="T19">
        <v>5.1424142622425748</v>
      </c>
      <c r="U19">
        <v>5.1590581222034544</v>
      </c>
      <c r="V19">
        <v>0.43180577774555973</v>
      </c>
      <c r="W19">
        <v>0.43320335377280911</v>
      </c>
      <c r="X19">
        <v>4.7106084844970146</v>
      </c>
      <c r="Y19">
        <v>4.7258547684306453</v>
      </c>
      <c r="Z19">
        <v>0</v>
      </c>
      <c r="AA19">
        <v>0</v>
      </c>
      <c r="AB19">
        <v>253.92231856471</v>
      </c>
      <c r="AC19">
        <v>254.7441596875</v>
      </c>
      <c r="AD19">
        <f t="shared" si="1"/>
        <v>0.24938486211345084</v>
      </c>
      <c r="AE19">
        <f t="shared" si="2"/>
        <v>0.24773330660240411</v>
      </c>
      <c r="AF19">
        <f t="shared" si="3"/>
        <v>1.6515555110467137E-3</v>
      </c>
      <c r="AG19">
        <f t="shared" si="4"/>
        <v>0.2578448946938528</v>
      </c>
      <c r="AH19">
        <f t="shared" si="5"/>
        <v>0.99337748291115036</v>
      </c>
      <c r="AI19">
        <f t="shared" si="6"/>
        <v>6.6225170888495367E-3</v>
      </c>
      <c r="AJ19">
        <f t="shared" si="7"/>
        <v>0.59674697655726583</v>
      </c>
      <c r="AK19">
        <f t="shared" si="8"/>
        <v>6.3028752036275129E-2</v>
      </c>
      <c r="AL19">
        <f t="shared" si="9"/>
        <v>0.6875863858502741</v>
      </c>
      <c r="AM19">
        <f t="shared" si="10"/>
        <v>8.3969465648854977E-2</v>
      </c>
      <c r="AN19">
        <f t="shared" si="11"/>
        <v>0.91603053435114501</v>
      </c>
      <c r="AO19">
        <f t="shared" si="12"/>
        <v>6.8509333247950277E-2</v>
      </c>
      <c r="AP19">
        <f t="shared" si="13"/>
        <v>6.8731069516256058E-2</v>
      </c>
    </row>
    <row r="20" spans="1:42" x14ac:dyDescent="0.35">
      <c r="A20" s="9" t="s">
        <v>45</v>
      </c>
      <c r="B20" s="7" t="s">
        <v>65</v>
      </c>
      <c r="C20" s="16">
        <f t="shared" si="0"/>
        <v>6.3664610000000001</v>
      </c>
      <c r="D20">
        <v>6.3664610000000001</v>
      </c>
      <c r="E20">
        <v>5.4100000000000003E-4</v>
      </c>
      <c r="F20">
        <v>6.36592</v>
      </c>
      <c r="G20">
        <v>0</v>
      </c>
      <c r="H20" s="16">
        <v>2.2164000000000001</v>
      </c>
      <c r="I20">
        <v>1.1082000000000001</v>
      </c>
      <c r="J20">
        <v>1.1082000000000001</v>
      </c>
      <c r="K20">
        <v>0</v>
      </c>
      <c r="L20">
        <v>3.1222987126848292</v>
      </c>
      <c r="M20">
        <v>2.1112823412204822</v>
      </c>
      <c r="N20">
        <v>2.6532222588999997E-4</v>
      </c>
      <c r="O20">
        <v>1.794095254176E-4</v>
      </c>
      <c r="P20">
        <v>3.122033390458939</v>
      </c>
      <c r="Q20">
        <v>2.1111029316950649</v>
      </c>
      <c r="R20">
        <v>0</v>
      </c>
      <c r="S20">
        <v>0</v>
      </c>
      <c r="T20">
        <v>1.086987396419244</v>
      </c>
      <c r="U20">
        <v>0.73501529045431646</v>
      </c>
      <c r="V20">
        <v>0.5434936982096219</v>
      </c>
      <c r="W20">
        <v>0.36750764522715818</v>
      </c>
      <c r="X20">
        <v>0.5434936982096219</v>
      </c>
      <c r="Y20">
        <v>0.36750764522715818</v>
      </c>
      <c r="Z20">
        <v>0</v>
      </c>
      <c r="AA20">
        <v>0</v>
      </c>
      <c r="AB20">
        <v>301.54474727050001</v>
      </c>
      <c r="AC20">
        <v>203.90300819506001</v>
      </c>
      <c r="AD20">
        <f t="shared" si="1"/>
        <v>0.74176443029894101</v>
      </c>
      <c r="AE20">
        <f t="shared" si="2"/>
        <v>0.74170139770409882</v>
      </c>
      <c r="AF20">
        <f t="shared" si="3"/>
        <v>6.3032594842209373E-5</v>
      </c>
      <c r="AG20">
        <f t="shared" si="4"/>
        <v>0</v>
      </c>
      <c r="AH20">
        <f t="shared" si="5"/>
        <v>0.99991502343295591</v>
      </c>
      <c r="AI20">
        <f t="shared" si="6"/>
        <v>8.4976567044076767E-5</v>
      </c>
      <c r="AJ20">
        <f t="shared" si="7"/>
        <v>0.25823556970105888</v>
      </c>
      <c r="AK20">
        <f t="shared" si="8"/>
        <v>0.12911778485052944</v>
      </c>
      <c r="AL20">
        <f t="shared" si="9"/>
        <v>0.12911778485052944</v>
      </c>
      <c r="AM20">
        <f t="shared" si="10"/>
        <v>0.5</v>
      </c>
      <c r="AN20">
        <f t="shared" si="11"/>
        <v>0.5</v>
      </c>
      <c r="AO20">
        <f t="shared" si="12"/>
        <v>4.2092861091040733E-2</v>
      </c>
      <c r="AP20">
        <f t="shared" si="13"/>
        <v>2.8462976316747993E-2</v>
      </c>
    </row>
    <row r="21" spans="1:42" x14ac:dyDescent="0.35">
      <c r="A21" s="9" t="s">
        <v>46</v>
      </c>
      <c r="B21" s="7" t="s">
        <v>65</v>
      </c>
      <c r="C21" s="16">
        <f t="shared" si="0"/>
        <v>0.88253820443329623</v>
      </c>
      <c r="D21">
        <v>0.88253820443329634</v>
      </c>
      <c r="E21">
        <v>2.1328006607137899E-2</v>
      </c>
      <c r="F21">
        <v>0.86121019782615837</v>
      </c>
      <c r="G21">
        <v>0</v>
      </c>
      <c r="H21" s="16">
        <v>0.91931062961801724</v>
      </c>
      <c r="I21">
        <v>0</v>
      </c>
      <c r="J21">
        <v>0.91931062961801724</v>
      </c>
      <c r="K21">
        <v>0</v>
      </c>
      <c r="L21">
        <v>4.2572996227017779</v>
      </c>
      <c r="M21">
        <v>4.6280958337256317</v>
      </c>
      <c r="N21">
        <v>0.1028847408819596</v>
      </c>
      <c r="O21">
        <v>0.1118456493150361</v>
      </c>
      <c r="P21">
        <v>4.1544148818198181</v>
      </c>
      <c r="Q21">
        <v>4.5162501844105956</v>
      </c>
      <c r="R21">
        <v>0</v>
      </c>
      <c r="S21">
        <v>0</v>
      </c>
      <c r="T21">
        <v>4.434687106981019</v>
      </c>
      <c r="U21">
        <v>4.8209331601308669</v>
      </c>
      <c r="V21">
        <v>0</v>
      </c>
      <c r="W21">
        <v>0</v>
      </c>
      <c r="X21">
        <v>4.434687106981019</v>
      </c>
      <c r="Y21">
        <v>4.8209331601308669</v>
      </c>
      <c r="Z21">
        <v>0</v>
      </c>
      <c r="AA21">
        <v>0</v>
      </c>
      <c r="AB21">
        <v>19.06914282116</v>
      </c>
      <c r="AC21">
        <v>20.729999827290001</v>
      </c>
      <c r="AD21">
        <f t="shared" si="1"/>
        <v>0.48979591836734693</v>
      </c>
      <c r="AE21">
        <f t="shared" si="2"/>
        <v>0.4779591836734694</v>
      </c>
      <c r="AF21">
        <f t="shared" si="3"/>
        <v>1.1836734693877497E-2</v>
      </c>
      <c r="AG21">
        <f t="shared" si="4"/>
        <v>0</v>
      </c>
      <c r="AH21">
        <f t="shared" si="5"/>
        <v>0.97583333333333333</v>
      </c>
      <c r="AI21">
        <f t="shared" si="6"/>
        <v>2.4166666666666559E-2</v>
      </c>
      <c r="AJ21">
        <f t="shared" si="7"/>
        <v>0.51020408163265318</v>
      </c>
      <c r="AK21">
        <f t="shared" si="8"/>
        <v>0</v>
      </c>
      <c r="AL21">
        <f t="shared" si="9"/>
        <v>0.51020408163265318</v>
      </c>
      <c r="AM21">
        <f t="shared" si="10"/>
        <v>0</v>
      </c>
      <c r="AN21">
        <f t="shared" si="11"/>
        <v>1</v>
      </c>
      <c r="AO21">
        <f t="shared" si="12"/>
        <v>8.6919867296827963E-2</v>
      </c>
      <c r="AP21">
        <f t="shared" si="13"/>
        <v>9.4490289938564981E-2</v>
      </c>
    </row>
    <row r="22" spans="1:42" x14ac:dyDescent="0.35">
      <c r="A22" s="9" t="s">
        <v>47</v>
      </c>
      <c r="B22" s="7" t="s">
        <v>65</v>
      </c>
      <c r="C22" s="16">
        <f t="shared" si="0"/>
        <v>26.292712146915662</v>
      </c>
      <c r="D22">
        <v>23.4348086526857</v>
      </c>
      <c r="E22">
        <v>2.2863227953839709</v>
      </c>
      <c r="F22">
        <v>21.148485857301729</v>
      </c>
      <c r="G22">
        <v>2.857903494229963</v>
      </c>
      <c r="H22" s="16">
        <v>6.8589683861519131</v>
      </c>
      <c r="I22">
        <v>4.5726455907679417</v>
      </c>
      <c r="J22">
        <v>2.2863227953839709</v>
      </c>
      <c r="K22">
        <v>0</v>
      </c>
      <c r="L22">
        <v>6.308725700048833</v>
      </c>
      <c r="M22">
        <v>5.6078791341391749</v>
      </c>
      <c r="N22">
        <v>0.61548543415110557</v>
      </c>
      <c r="O22">
        <v>0.54711015942821217</v>
      </c>
      <c r="P22">
        <v>5.6932402658977272</v>
      </c>
      <c r="Q22">
        <v>5.060768974710963</v>
      </c>
      <c r="R22">
        <v>0.76935679268888202</v>
      </c>
      <c r="S22">
        <v>0.68388769928526516</v>
      </c>
      <c r="T22">
        <v>1.8464563024533169</v>
      </c>
      <c r="U22">
        <v>1.6413304782846361</v>
      </c>
      <c r="V22">
        <v>1.2309708683022109</v>
      </c>
      <c r="W22">
        <v>1.0942203188564239</v>
      </c>
      <c r="X22">
        <v>0.61548543415110557</v>
      </c>
      <c r="Y22">
        <v>0.54711015942821217</v>
      </c>
      <c r="Z22">
        <v>0</v>
      </c>
      <c r="AA22">
        <v>0</v>
      </c>
      <c r="AB22">
        <v>417.89075855828003</v>
      </c>
      <c r="AC22">
        <v>371.46659669328</v>
      </c>
      <c r="AD22">
        <f t="shared" si="1"/>
        <v>0.77358490566037741</v>
      </c>
      <c r="AE22">
        <f t="shared" si="2"/>
        <v>0.69811320754716988</v>
      </c>
      <c r="AF22">
        <f t="shared" si="3"/>
        <v>7.5471698113207558E-2</v>
      </c>
      <c r="AG22">
        <f t="shared" si="4"/>
        <v>9.4339622641509427E-2</v>
      </c>
      <c r="AH22">
        <f t="shared" si="5"/>
        <v>0.90243902439024393</v>
      </c>
      <c r="AI22">
        <f t="shared" si="6"/>
        <v>9.7560975609756101E-2</v>
      </c>
      <c r="AJ22">
        <f t="shared" si="7"/>
        <v>0.20689655172413796</v>
      </c>
      <c r="AK22">
        <f t="shared" si="8"/>
        <v>0.15094339622641512</v>
      </c>
      <c r="AL22">
        <f t="shared" si="9"/>
        <v>7.5471698113207558E-2</v>
      </c>
      <c r="AM22">
        <f t="shared" si="10"/>
        <v>0.66666666666666663</v>
      </c>
      <c r="AN22">
        <f t="shared" si="11"/>
        <v>0.33333333333333331</v>
      </c>
      <c r="AO22">
        <f t="shared" si="12"/>
        <v>8.1551820025021482E-2</v>
      </c>
      <c r="AP22">
        <f t="shared" si="13"/>
        <v>7.2492096124238098E-2</v>
      </c>
    </row>
    <row r="23" spans="1:42" x14ac:dyDescent="0.35">
      <c r="A23" s="9" t="s">
        <v>48</v>
      </c>
      <c r="B23" s="7" t="s">
        <v>65</v>
      </c>
      <c r="C23" s="16">
        <f t="shared" si="0"/>
        <v>27.998705557429695</v>
      </c>
      <c r="D23">
        <v>25.918306382883841</v>
      </c>
      <c r="E23">
        <v>4.0163261841927023</v>
      </c>
      <c r="F23">
        <v>21.901980198691131</v>
      </c>
      <c r="G23">
        <v>2.0803991745458599</v>
      </c>
      <c r="H23" s="16">
        <v>11.15325113020419</v>
      </c>
      <c r="I23">
        <v>0.9535162883335192</v>
      </c>
      <c r="J23">
        <v>10.19973484187067</v>
      </c>
      <c r="K23">
        <v>0</v>
      </c>
      <c r="L23">
        <v>7.2304547534162724</v>
      </c>
      <c r="M23">
        <v>7.5696715765084619</v>
      </c>
      <c r="N23">
        <v>1.120438362012109</v>
      </c>
      <c r="O23">
        <v>1.173003733706439</v>
      </c>
      <c r="P23">
        <v>6.1100163914041632</v>
      </c>
      <c r="Q23">
        <v>6.3966678428020227</v>
      </c>
      <c r="R23">
        <v>0.5803709501069918</v>
      </c>
      <c r="S23">
        <v>0.60759905630837163</v>
      </c>
      <c r="T23">
        <v>3.1114331491847049</v>
      </c>
      <c r="U23">
        <v>3.257406051875436</v>
      </c>
      <c r="V23">
        <v>0.2660033521323712</v>
      </c>
      <c r="W23">
        <v>0.27848290080800359</v>
      </c>
      <c r="X23">
        <v>2.8454297970523341</v>
      </c>
      <c r="Y23">
        <v>2.9789231510674319</v>
      </c>
      <c r="Z23">
        <v>0</v>
      </c>
      <c r="AA23">
        <v>0</v>
      </c>
      <c r="AB23">
        <v>342.39670930134002</v>
      </c>
      <c r="AC23">
        <v>358.46025273358998</v>
      </c>
      <c r="AD23">
        <f t="shared" si="1"/>
        <v>0.69914263445050673</v>
      </c>
      <c r="AE23">
        <f t="shared" si="2"/>
        <v>0.59080280592361634</v>
      </c>
      <c r="AF23">
        <f t="shared" si="3"/>
        <v>0.10833982852689011</v>
      </c>
      <c r="AG23">
        <f t="shared" si="4"/>
        <v>5.6118472330475448E-2</v>
      </c>
      <c r="AH23">
        <f t="shared" si="5"/>
        <v>0.84503901895206213</v>
      </c>
      <c r="AI23">
        <f t="shared" si="6"/>
        <v>0.15496098104793757</v>
      </c>
      <c r="AJ23">
        <f t="shared" si="7"/>
        <v>0.28487084870848706</v>
      </c>
      <c r="AK23">
        <f t="shared" si="8"/>
        <v>2.5720966484801249E-2</v>
      </c>
      <c r="AL23">
        <f t="shared" si="9"/>
        <v>0.27513639906469201</v>
      </c>
      <c r="AM23">
        <f t="shared" si="10"/>
        <v>8.5492227979274651E-2</v>
      </c>
      <c r="AN23">
        <f t="shared" si="11"/>
        <v>0.91450777202072531</v>
      </c>
      <c r="AO23">
        <f t="shared" si="12"/>
        <v>0.10341887902600977</v>
      </c>
      <c r="AP23">
        <f t="shared" si="13"/>
        <v>0.10827077628383897</v>
      </c>
    </row>
    <row r="24" spans="1:42" x14ac:dyDescent="0.35">
      <c r="A24" s="10" t="s">
        <v>49</v>
      </c>
      <c r="B24" s="7" t="s">
        <v>65</v>
      </c>
      <c r="C24" s="16">
        <f t="shared" si="0"/>
        <v>2.6412118346100706</v>
      </c>
      <c r="D24">
        <v>2.641211834610071</v>
      </c>
      <c r="E24">
        <v>0.2311060355223796</v>
      </c>
      <c r="F24">
        <v>2.4101057990876908</v>
      </c>
      <c r="G24">
        <v>0</v>
      </c>
      <c r="H24" s="16">
        <v>1.048561098329887</v>
      </c>
      <c r="I24">
        <v>0.2311060355223796</v>
      </c>
      <c r="J24">
        <v>0.81745506280750724</v>
      </c>
      <c r="K24">
        <v>0</v>
      </c>
      <c r="L24">
        <v>8.7573111594010662</v>
      </c>
      <c r="M24">
        <v>4.7655871856594887</v>
      </c>
      <c r="N24">
        <v>0.76626472642769428</v>
      </c>
      <c r="O24">
        <v>0.41698887873437651</v>
      </c>
      <c r="P24">
        <v>7.9910464329733726</v>
      </c>
      <c r="Q24">
        <v>4.348598306925112</v>
      </c>
      <c r="R24">
        <v>0</v>
      </c>
      <c r="S24">
        <v>0</v>
      </c>
      <c r="T24">
        <v>3.4766525302480362</v>
      </c>
      <c r="U24">
        <v>1.891938112688212</v>
      </c>
      <c r="V24">
        <v>0.76626472642769428</v>
      </c>
      <c r="W24">
        <v>0.41698887873437651</v>
      </c>
      <c r="X24">
        <v>2.7103878038203408</v>
      </c>
      <c r="Y24">
        <v>1.4749492339538359</v>
      </c>
      <c r="Z24">
        <v>0</v>
      </c>
      <c r="AA24">
        <v>0</v>
      </c>
      <c r="AB24">
        <v>55.422589739999999</v>
      </c>
      <c r="AC24">
        <v>30.160077523049999</v>
      </c>
      <c r="AD24">
        <f t="shared" si="1"/>
        <v>0.71581961345940914</v>
      </c>
      <c r="AE24">
        <f t="shared" si="2"/>
        <v>0.65318539728333724</v>
      </c>
      <c r="AF24">
        <f t="shared" si="3"/>
        <v>6.2634216176071747E-2</v>
      </c>
      <c r="AG24">
        <f t="shared" si="4"/>
        <v>0</v>
      </c>
      <c r="AH24">
        <f t="shared" si="5"/>
        <v>0.91250000000227205</v>
      </c>
      <c r="AI24">
        <f t="shared" si="6"/>
        <v>8.7499999997727701E-2</v>
      </c>
      <c r="AJ24">
        <f t="shared" si="7"/>
        <v>0.28418038654059091</v>
      </c>
      <c r="AK24">
        <f t="shared" si="8"/>
        <v>6.2634216176071747E-2</v>
      </c>
      <c r="AL24">
        <f t="shared" si="9"/>
        <v>0.22154617036451912</v>
      </c>
      <c r="AM24">
        <f t="shared" si="10"/>
        <v>0.22040302266646888</v>
      </c>
      <c r="AN24">
        <f t="shared" si="11"/>
        <v>0.77959697733353095</v>
      </c>
      <c r="AO24">
        <f t="shared" si="12"/>
        <v>0.12233963689649104</v>
      </c>
      <c r="AP24">
        <f t="shared" si="13"/>
        <v>6.6575252983477023E-2</v>
      </c>
    </row>
    <row r="25" spans="1:42" x14ac:dyDescent="0.35">
      <c r="A25" s="9" t="s">
        <v>50</v>
      </c>
      <c r="B25" s="7" t="s">
        <v>65</v>
      </c>
      <c r="C25" s="16">
        <f t="shared" si="0"/>
        <v>5.0984998337062546</v>
      </c>
      <c r="D25">
        <v>2.5949763727608071</v>
      </c>
      <c r="E25">
        <v>0.57158069884599272</v>
      </c>
      <c r="F25">
        <v>2.023395673914814</v>
      </c>
      <c r="G25">
        <v>2.503523460945448</v>
      </c>
      <c r="H25" s="16">
        <v>1.966237604030215</v>
      </c>
      <c r="I25">
        <v>0.36581164726143528</v>
      </c>
      <c r="J25">
        <v>1.60042595676878</v>
      </c>
      <c r="K25">
        <v>0</v>
      </c>
      <c r="L25">
        <v>5.3818960772623692</v>
      </c>
      <c r="M25">
        <v>2.6714857655953939</v>
      </c>
      <c r="N25">
        <v>1.185439664595235</v>
      </c>
      <c r="O25">
        <v>0.5884329880166066</v>
      </c>
      <c r="P25">
        <v>4.1964564126671338</v>
      </c>
      <c r="Q25">
        <v>2.083052777578787</v>
      </c>
      <c r="R25">
        <v>5.19222573092713</v>
      </c>
      <c r="S25">
        <v>2.5773364875127358</v>
      </c>
      <c r="T25">
        <v>4.0779124462076091</v>
      </c>
      <c r="U25">
        <v>2.0242094787771259</v>
      </c>
      <c r="V25">
        <v>0.75868138534095053</v>
      </c>
      <c r="W25">
        <v>0.3765971123306282</v>
      </c>
      <c r="X25">
        <v>3.3192310608666582</v>
      </c>
      <c r="Y25">
        <v>1.6476123664464979</v>
      </c>
      <c r="Z25">
        <v>0</v>
      </c>
      <c r="AA25">
        <v>0</v>
      </c>
      <c r="AB25">
        <v>97.136073348400004</v>
      </c>
      <c r="AC25">
        <v>48.216768505140003</v>
      </c>
      <c r="AD25">
        <f t="shared" si="1"/>
        <v>0.56892230576441105</v>
      </c>
      <c r="AE25">
        <f t="shared" si="2"/>
        <v>0.44360902255639095</v>
      </c>
      <c r="AF25">
        <f t="shared" si="3"/>
        <v>0.12531328320802004</v>
      </c>
      <c r="AG25">
        <f t="shared" si="4"/>
        <v>0.54887218045112784</v>
      </c>
      <c r="AH25">
        <f t="shared" si="5"/>
        <v>0.7797356828193831</v>
      </c>
      <c r="AI25">
        <f t="shared" si="6"/>
        <v>0.22026431718061673</v>
      </c>
      <c r="AJ25">
        <f t="shared" si="7"/>
        <v>0.27831715210355989</v>
      </c>
      <c r="AK25">
        <f t="shared" si="8"/>
        <v>8.0200501253132814E-2</v>
      </c>
      <c r="AL25">
        <f t="shared" si="9"/>
        <v>0.35087719298245623</v>
      </c>
      <c r="AM25">
        <f t="shared" si="10"/>
        <v>0.18604651162790695</v>
      </c>
      <c r="AN25">
        <f t="shared" si="11"/>
        <v>0.81395348837209325</v>
      </c>
      <c r="AO25">
        <f t="shared" si="12"/>
        <v>9.4598085234699772E-2</v>
      </c>
      <c r="AP25">
        <f t="shared" si="13"/>
        <v>4.6956952443725199E-2</v>
      </c>
    </row>
    <row r="26" spans="1:42" x14ac:dyDescent="0.35">
      <c r="A26" s="9" t="s">
        <v>51</v>
      </c>
      <c r="B26" s="7" t="s">
        <v>65</v>
      </c>
      <c r="C26" s="16">
        <f t="shared" si="0"/>
        <v>8.7583886403939886</v>
      </c>
      <c r="D26">
        <v>3.5438003328451551</v>
      </c>
      <c r="E26">
        <v>0.2286322795383971</v>
      </c>
      <c r="F26">
        <v>3.315168053306758</v>
      </c>
      <c r="G26">
        <v>5.2145883075488326</v>
      </c>
      <c r="H26" s="16">
        <v>2.857903494229963</v>
      </c>
      <c r="I26">
        <v>0</v>
      </c>
      <c r="J26">
        <v>2.857903494229963</v>
      </c>
      <c r="K26">
        <v>1.257477537461184</v>
      </c>
      <c r="L26">
        <v>5.3244195640159759</v>
      </c>
      <c r="M26">
        <v>5.3415951260588308</v>
      </c>
      <c r="N26">
        <v>0.34351093961393397</v>
      </c>
      <c r="O26">
        <v>0.34461904039089231</v>
      </c>
      <c r="P26">
        <v>4.9809086244020424</v>
      </c>
      <c r="Q26">
        <v>4.9969760856679386</v>
      </c>
      <c r="R26">
        <v>7.8347122849077087</v>
      </c>
      <c r="S26">
        <v>7.8599855725063756</v>
      </c>
      <c r="T26">
        <v>4.2938867451741736</v>
      </c>
      <c r="U26">
        <v>4.3077380048861542</v>
      </c>
      <c r="V26">
        <v>0</v>
      </c>
      <c r="W26">
        <v>0</v>
      </c>
      <c r="X26">
        <v>4.2938867451741736</v>
      </c>
      <c r="Y26">
        <v>4.3077380048861542</v>
      </c>
      <c r="Z26">
        <v>1.8893101678766371</v>
      </c>
      <c r="AA26">
        <v>1.895404722149908</v>
      </c>
      <c r="AB26">
        <v>66.343484468840003</v>
      </c>
      <c r="AC26">
        <v>66.557495896739994</v>
      </c>
      <c r="AD26">
        <f t="shared" si="1"/>
        <v>0.5535714285714286</v>
      </c>
      <c r="AE26">
        <f t="shared" si="2"/>
        <v>0.5178571428571429</v>
      </c>
      <c r="AF26">
        <f t="shared" si="3"/>
        <v>3.5714285714285719E-2</v>
      </c>
      <c r="AG26">
        <f t="shared" si="4"/>
        <v>0.81456256777991742</v>
      </c>
      <c r="AH26">
        <f t="shared" si="5"/>
        <v>0.93548387096774199</v>
      </c>
      <c r="AI26">
        <f t="shared" si="6"/>
        <v>6.4516129032258063E-2</v>
      </c>
      <c r="AJ26">
        <f t="shared" si="7"/>
        <v>0.24602544952460262</v>
      </c>
      <c r="AK26">
        <f t="shared" si="8"/>
        <v>0</v>
      </c>
      <c r="AL26">
        <f t="shared" si="9"/>
        <v>0.44642857142857134</v>
      </c>
      <c r="AM26">
        <f t="shared" si="10"/>
        <v>0</v>
      </c>
      <c r="AN26">
        <f t="shared" si="11"/>
        <v>1</v>
      </c>
      <c r="AO26">
        <f t="shared" si="12"/>
        <v>9.6183063091901499E-2</v>
      </c>
      <c r="AP26">
        <f t="shared" si="13"/>
        <v>9.6493331309449842E-2</v>
      </c>
    </row>
    <row r="27" spans="1:42" x14ac:dyDescent="0.35">
      <c r="A27" s="9" t="s">
        <v>52</v>
      </c>
      <c r="B27" s="7" t="s">
        <v>65</v>
      </c>
      <c r="C27" s="16">
        <f t="shared" si="0"/>
        <v>67</v>
      </c>
      <c r="D27">
        <v>22</v>
      </c>
      <c r="E27">
        <v>0</v>
      </c>
      <c r="F27">
        <v>22</v>
      </c>
      <c r="G27">
        <v>45</v>
      </c>
      <c r="H27" s="16">
        <v>0</v>
      </c>
      <c r="I27">
        <v>0</v>
      </c>
      <c r="J27">
        <v>0</v>
      </c>
      <c r="K27">
        <v>0</v>
      </c>
      <c r="L27">
        <v>2.6182670370692831</v>
      </c>
      <c r="M27">
        <v>2.3594000418604768</v>
      </c>
      <c r="N27">
        <v>0</v>
      </c>
      <c r="O27">
        <v>0</v>
      </c>
      <c r="P27">
        <v>2.6182670370692831</v>
      </c>
      <c r="Q27">
        <v>2.3594000418604768</v>
      </c>
      <c r="R27">
        <v>5.3555462121871704</v>
      </c>
      <c r="S27">
        <v>4.826045540169158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932.44043441874999</v>
      </c>
      <c r="AC27">
        <v>840.25042856688003</v>
      </c>
      <c r="AD27">
        <f t="shared" si="1"/>
        <v>1</v>
      </c>
      <c r="AE27">
        <f t="shared" si="2"/>
        <v>1</v>
      </c>
      <c r="AF27">
        <f t="shared" si="3"/>
        <v>0</v>
      </c>
      <c r="AG27">
        <f t="shared" si="4"/>
        <v>2.0454545454545454</v>
      </c>
      <c r="AH27">
        <f t="shared" si="5"/>
        <v>1</v>
      </c>
      <c r="AI27">
        <f t="shared" si="6"/>
        <v>0</v>
      </c>
      <c r="AJ27">
        <f t="shared" si="7"/>
        <v>0</v>
      </c>
      <c r="AK27">
        <f t="shared" si="8"/>
        <v>0</v>
      </c>
      <c r="AL27">
        <f t="shared" si="9"/>
        <v>0</v>
      </c>
      <c r="AM27" t="e">
        <f t="shared" si="10"/>
        <v>#DIV/0!</v>
      </c>
      <c r="AN27" t="e">
        <f t="shared" si="11"/>
        <v>#DIV/0!</v>
      </c>
      <c r="AO27">
        <f t="shared" si="12"/>
        <v>2.6182670370692829E-2</v>
      </c>
      <c r="AP27">
        <f t="shared" si="13"/>
        <v>2.3594000418604769E-2</v>
      </c>
    </row>
    <row r="28" spans="1:42" x14ac:dyDescent="0.35">
      <c r="A28" s="9" t="s">
        <v>53</v>
      </c>
      <c r="B28" s="7" t="s">
        <v>65</v>
      </c>
      <c r="C28" s="16">
        <f t="shared" si="0"/>
        <v>11.088515533797038</v>
      </c>
      <c r="D28">
        <v>11.08851553379704</v>
      </c>
      <c r="E28">
        <v>0.31570903379703807</v>
      </c>
      <c r="F28">
        <v>10.7728065</v>
      </c>
      <c r="G28">
        <v>0</v>
      </c>
      <c r="H28" s="16">
        <v>6.6522016324629796</v>
      </c>
      <c r="I28">
        <v>2.7058387100000001</v>
      </c>
      <c r="J28">
        <v>3.9463629224629799</v>
      </c>
      <c r="K28"/>
      <c r="L28">
        <v>5.4639624481968951</v>
      </c>
      <c r="M28">
        <v>5.7165015304406683</v>
      </c>
      <c r="N28">
        <v>0.15556837161527981</v>
      </c>
      <c r="O28">
        <v>0.1627585919299977</v>
      </c>
      <c r="P28">
        <v>5.3083940765816164</v>
      </c>
      <c r="Q28">
        <v>5.5537429385106707</v>
      </c>
      <c r="R28">
        <v>0</v>
      </c>
      <c r="S28">
        <v>0</v>
      </c>
      <c r="T28">
        <v>3.2779301978544808</v>
      </c>
      <c r="U28">
        <v>3.4294329747629302</v>
      </c>
      <c r="V28">
        <v>1.3333255526634811</v>
      </c>
      <c r="W28">
        <v>1.394950575637957</v>
      </c>
      <c r="X28">
        <v>1.944604645191</v>
      </c>
      <c r="Y28">
        <v>2.0344823991249732</v>
      </c>
      <c r="Z28">
        <v>0</v>
      </c>
      <c r="AA28">
        <v>0</v>
      </c>
      <c r="AB28">
        <v>193.97380504054999</v>
      </c>
      <c r="AC28">
        <v>202.93908750153</v>
      </c>
      <c r="AD28">
        <f t="shared" si="1"/>
        <v>0.62503197756207995</v>
      </c>
      <c r="AE28">
        <f t="shared" si="2"/>
        <v>0.60723624637273055</v>
      </c>
      <c r="AF28">
        <f t="shared" si="3"/>
        <v>1.7795731189349306E-2</v>
      </c>
      <c r="AG28">
        <f t="shared" si="4"/>
        <v>0</v>
      </c>
      <c r="AH28">
        <f t="shared" si="5"/>
        <v>0.97152828682660175</v>
      </c>
      <c r="AI28">
        <f t="shared" si="6"/>
        <v>2.8471713173398049E-2</v>
      </c>
      <c r="AJ28">
        <f t="shared" si="7"/>
        <v>0.37496802243791999</v>
      </c>
      <c r="AK28">
        <f t="shared" si="8"/>
        <v>0.15252138257105347</v>
      </c>
      <c r="AL28">
        <f t="shared" si="9"/>
        <v>0.22244663986686655</v>
      </c>
      <c r="AM28">
        <f t="shared" si="10"/>
        <v>0.40675837256577002</v>
      </c>
      <c r="AN28">
        <f t="shared" si="11"/>
        <v>0.59324162743423003</v>
      </c>
      <c r="AO28">
        <f t="shared" si="12"/>
        <v>8.741892646051376E-2</v>
      </c>
      <c r="AP28">
        <f t="shared" si="13"/>
        <v>9.1459345052035984E-2</v>
      </c>
    </row>
    <row r="29" spans="1:42" x14ac:dyDescent="0.35">
      <c r="A29" s="9" t="s">
        <v>54</v>
      </c>
      <c r="B29" s="7" t="s">
        <v>65</v>
      </c>
      <c r="C29" s="16">
        <f t="shared" si="0"/>
        <v>8.1</v>
      </c>
      <c r="D29">
        <v>8.1</v>
      </c>
      <c r="E29">
        <v>0</v>
      </c>
      <c r="F29">
        <v>8.1</v>
      </c>
      <c r="G29">
        <v>0</v>
      </c>
      <c r="H29" s="16">
        <v>10.6</v>
      </c>
      <c r="I29">
        <v>5.3</v>
      </c>
      <c r="J29">
        <v>5.3</v>
      </c>
      <c r="K29">
        <v>0</v>
      </c>
      <c r="L29">
        <v>1.974409057893133</v>
      </c>
      <c r="M29">
        <v>2.4511712488266699</v>
      </c>
      <c r="N29">
        <v>0</v>
      </c>
      <c r="O29">
        <v>0</v>
      </c>
      <c r="P29">
        <v>1.974409057893133</v>
      </c>
      <c r="Q29">
        <v>2.4511712488266699</v>
      </c>
      <c r="R29">
        <v>0</v>
      </c>
      <c r="S29">
        <v>0</v>
      </c>
      <c r="T29">
        <v>2.5837945695885449</v>
      </c>
      <c r="U29">
        <v>3.2077055848842839</v>
      </c>
      <c r="V29">
        <v>1.291897284794272</v>
      </c>
      <c r="W29">
        <v>1.603852792442142</v>
      </c>
      <c r="X29">
        <v>1.291897284794272</v>
      </c>
      <c r="Y29">
        <v>1.603852792442142</v>
      </c>
      <c r="Z29">
        <v>0</v>
      </c>
      <c r="AA29">
        <v>0</v>
      </c>
      <c r="AB29">
        <v>330.45426768437</v>
      </c>
      <c r="AC29">
        <v>410.24933347112</v>
      </c>
      <c r="AD29">
        <f t="shared" si="1"/>
        <v>0.43315508021390375</v>
      </c>
      <c r="AE29">
        <f t="shared" si="2"/>
        <v>0.43315508021390375</v>
      </c>
      <c r="AF29">
        <f t="shared" si="3"/>
        <v>0</v>
      </c>
      <c r="AG29">
        <f t="shared" si="4"/>
        <v>0</v>
      </c>
      <c r="AH29">
        <f t="shared" si="5"/>
        <v>1</v>
      </c>
      <c r="AI29">
        <f t="shared" si="6"/>
        <v>0</v>
      </c>
      <c r="AJ29">
        <f t="shared" si="7"/>
        <v>0.5668449197860963</v>
      </c>
      <c r="AK29">
        <f t="shared" si="8"/>
        <v>0.28342245989304815</v>
      </c>
      <c r="AL29">
        <f t="shared" si="9"/>
        <v>0.28342245989304815</v>
      </c>
      <c r="AM29">
        <f t="shared" si="10"/>
        <v>0.5</v>
      </c>
      <c r="AN29">
        <f t="shared" si="11"/>
        <v>0.5</v>
      </c>
      <c r="AO29">
        <f t="shared" si="12"/>
        <v>4.5582036274816787E-2</v>
      </c>
      <c r="AP29">
        <f t="shared" si="13"/>
        <v>5.6588768337109546E-2</v>
      </c>
    </row>
    <row r="30" spans="1:42" x14ac:dyDescent="0.35">
      <c r="A30" s="9" t="s">
        <v>55</v>
      </c>
      <c r="B30" s="7" t="s">
        <v>65</v>
      </c>
      <c r="C30" s="16">
        <f t="shared" si="0"/>
        <v>16.232891847226195</v>
      </c>
      <c r="D30">
        <v>7.2019168054595077</v>
      </c>
      <c r="E30">
        <v>1.829058236307177</v>
      </c>
      <c r="F30">
        <v>5.3728585691523314</v>
      </c>
      <c r="G30">
        <v>9.0309750417666859</v>
      </c>
      <c r="H30" s="16">
        <v>14.86109816999581</v>
      </c>
      <c r="I30">
        <v>0</v>
      </c>
      <c r="J30">
        <v>14.86109816999581</v>
      </c>
      <c r="K30">
        <v>0</v>
      </c>
      <c r="L30">
        <v>3.2388197867879112</v>
      </c>
      <c r="M30">
        <v>2.110662563777582</v>
      </c>
      <c r="N30">
        <v>0.82255740616835848</v>
      </c>
      <c r="O30">
        <v>0.53604128603875123</v>
      </c>
      <c r="P30">
        <v>2.416262380619552</v>
      </c>
      <c r="Q30">
        <v>1.5746212777388311</v>
      </c>
      <c r="R30">
        <v>4.0613771929562708</v>
      </c>
      <c r="S30">
        <v>2.6467038498163342</v>
      </c>
      <c r="T30">
        <v>6.6832789251179134</v>
      </c>
      <c r="U30">
        <v>4.3553354490648539</v>
      </c>
      <c r="V30">
        <v>0</v>
      </c>
      <c r="W30">
        <v>0</v>
      </c>
      <c r="X30">
        <v>6.6832789251179134</v>
      </c>
      <c r="Y30">
        <v>4.3553354490648539</v>
      </c>
      <c r="Z30">
        <v>0</v>
      </c>
      <c r="AA30">
        <v>0</v>
      </c>
      <c r="AB30">
        <v>341.21592570296002</v>
      </c>
      <c r="AC30">
        <v>222.36238134761999</v>
      </c>
      <c r="AD30">
        <f t="shared" si="1"/>
        <v>0.32642487046632124</v>
      </c>
      <c r="AE30">
        <f t="shared" si="2"/>
        <v>0.24352331606217617</v>
      </c>
      <c r="AF30">
        <f t="shared" si="3"/>
        <v>8.2901554404145095E-2</v>
      </c>
      <c r="AG30">
        <f t="shared" si="4"/>
        <v>0.40932642487046639</v>
      </c>
      <c r="AH30">
        <f t="shared" si="5"/>
        <v>0.74603174603174605</v>
      </c>
      <c r="AI30">
        <f t="shared" si="6"/>
        <v>0.25396825396825401</v>
      </c>
      <c r="AJ30">
        <f t="shared" si="7"/>
        <v>0.4779411764705882</v>
      </c>
      <c r="AK30">
        <f t="shared" si="8"/>
        <v>0</v>
      </c>
      <c r="AL30">
        <f t="shared" si="9"/>
        <v>0.67357512953367871</v>
      </c>
      <c r="AM30">
        <f t="shared" si="10"/>
        <v>0</v>
      </c>
      <c r="AN30">
        <f t="shared" si="11"/>
        <v>1</v>
      </c>
      <c r="AO30">
        <f t="shared" si="12"/>
        <v>9.9220987119058232E-2</v>
      </c>
      <c r="AP30">
        <f t="shared" si="13"/>
        <v>6.465998012842436E-2</v>
      </c>
    </row>
    <row r="31" spans="1:42" x14ac:dyDescent="0.35">
      <c r="A31" s="9" t="s">
        <v>56</v>
      </c>
      <c r="B31" s="7" t="s">
        <v>65</v>
      </c>
      <c r="C31" s="16">
        <f t="shared" si="0"/>
        <v>3.92104359408351</v>
      </c>
      <c r="D31">
        <v>2.5149550749223679</v>
      </c>
      <c r="E31">
        <v>0.18290582363071761</v>
      </c>
      <c r="F31">
        <v>2.3320492512916502</v>
      </c>
      <c r="G31">
        <v>1.4060885191611421</v>
      </c>
      <c r="H31" s="16">
        <v>4.5840772047448617</v>
      </c>
      <c r="I31">
        <v>0</v>
      </c>
      <c r="J31">
        <v>4.5840772047448617</v>
      </c>
      <c r="K31">
        <v>0</v>
      </c>
      <c r="L31">
        <v>2.52787094908023</v>
      </c>
      <c r="M31">
        <v>1.3840355185893001</v>
      </c>
      <c r="N31">
        <v>0.1838451599331076</v>
      </c>
      <c r="O31">
        <v>0.1006571286246763</v>
      </c>
      <c r="P31">
        <v>2.344025789147123</v>
      </c>
      <c r="Q31">
        <v>1.2833783899646241</v>
      </c>
      <c r="R31">
        <v>1.413309666985765</v>
      </c>
      <c r="S31">
        <v>0.77380167630219954</v>
      </c>
      <c r="T31">
        <v>4.6076193208235097</v>
      </c>
      <c r="U31">
        <v>2.5227192861559522</v>
      </c>
      <c r="V31">
        <v>0</v>
      </c>
      <c r="W31">
        <v>0</v>
      </c>
      <c r="X31">
        <v>4.6076193208235097</v>
      </c>
      <c r="Y31">
        <v>2.5227192861559522</v>
      </c>
      <c r="Z31">
        <v>0</v>
      </c>
      <c r="AA31">
        <v>0</v>
      </c>
      <c r="AB31">
        <v>181.71174374815001</v>
      </c>
      <c r="AC31">
        <v>99.489061173690004</v>
      </c>
      <c r="AD31">
        <f t="shared" si="1"/>
        <v>0.35426731078904994</v>
      </c>
      <c r="AE31">
        <f t="shared" si="2"/>
        <v>0.32850241545893721</v>
      </c>
      <c r="AF31">
        <f t="shared" si="3"/>
        <v>2.5764895330112714E-2</v>
      </c>
      <c r="AG31">
        <f t="shared" si="4"/>
        <v>0.19806763285024157</v>
      </c>
      <c r="AH31">
        <f t="shared" si="5"/>
        <v>0.92727272727272725</v>
      </c>
      <c r="AI31">
        <f t="shared" si="6"/>
        <v>7.272727272727271E-2</v>
      </c>
      <c r="AJ31">
        <f t="shared" si="7"/>
        <v>0.53897849462365588</v>
      </c>
      <c r="AK31">
        <f t="shared" si="8"/>
        <v>0</v>
      </c>
      <c r="AL31">
        <f t="shared" si="9"/>
        <v>0.64573268921095017</v>
      </c>
      <c r="AM31">
        <f t="shared" si="10"/>
        <v>0</v>
      </c>
      <c r="AN31">
        <f t="shared" si="11"/>
        <v>1</v>
      </c>
      <c r="AO31">
        <f t="shared" si="12"/>
        <v>7.1354902699037395E-2</v>
      </c>
      <c r="AP31">
        <f t="shared" si="13"/>
        <v>3.9067548047452515E-2</v>
      </c>
    </row>
    <row r="32" spans="1:42" x14ac:dyDescent="0.35">
      <c r="A32" s="9" t="s">
        <v>57</v>
      </c>
      <c r="B32" s="7" t="s">
        <v>65</v>
      </c>
      <c r="C32" s="16">
        <f t="shared" si="0"/>
        <v>4.1153810316911672</v>
      </c>
      <c r="D32">
        <v>4.1153810316911672</v>
      </c>
      <c r="E32">
        <v>0.11431613976919899</v>
      </c>
      <c r="F32">
        <v>4.0010648919219678</v>
      </c>
      <c r="G32">
        <v>0</v>
      </c>
      <c r="H32" s="16">
        <v>3.3151680533067731</v>
      </c>
      <c r="I32">
        <v>0.68589683861519435</v>
      </c>
      <c r="J32">
        <v>2.629271214691578</v>
      </c>
      <c r="K32">
        <v>0.11431613976919899</v>
      </c>
      <c r="L32">
        <v>8.1625269737342627</v>
      </c>
      <c r="M32">
        <v>5.4123140293972876</v>
      </c>
      <c r="N32">
        <v>0.22673686038150731</v>
      </c>
      <c r="O32">
        <v>0.1503420563721469</v>
      </c>
      <c r="P32">
        <v>7.9357901133527564</v>
      </c>
      <c r="Q32">
        <v>5.2619719730251413</v>
      </c>
      <c r="R32">
        <v>0</v>
      </c>
      <c r="S32">
        <v>0</v>
      </c>
      <c r="T32">
        <v>6.5753689510637114</v>
      </c>
      <c r="U32">
        <v>4.3599196347922593</v>
      </c>
      <c r="V32">
        <v>1.360421162289043</v>
      </c>
      <c r="W32">
        <v>0.90205233823288122</v>
      </c>
      <c r="X32">
        <v>5.2149477887746674</v>
      </c>
      <c r="Y32">
        <v>3.4578672965593782</v>
      </c>
      <c r="Z32">
        <v>0.22673686038150731</v>
      </c>
      <c r="AA32">
        <v>0.1503420563721469</v>
      </c>
      <c r="AB32">
        <v>76.037366075549997</v>
      </c>
      <c r="AC32">
        <v>50.417977728389999</v>
      </c>
      <c r="AD32">
        <f t="shared" si="1"/>
        <v>0.55384615384615388</v>
      </c>
      <c r="AE32">
        <f t="shared" si="2"/>
        <v>0.53846153846153844</v>
      </c>
      <c r="AF32">
        <f t="shared" si="3"/>
        <v>1.5384615384615373E-2</v>
      </c>
      <c r="AG32">
        <f t="shared" si="4"/>
        <v>0</v>
      </c>
      <c r="AH32">
        <f t="shared" si="5"/>
        <v>0.9722222222222221</v>
      </c>
      <c r="AI32">
        <f t="shared" si="6"/>
        <v>2.7777777777777755E-2</v>
      </c>
      <c r="AJ32">
        <f t="shared" si="7"/>
        <v>0.44615384615384612</v>
      </c>
      <c r="AK32">
        <f t="shared" si="8"/>
        <v>9.2307692307692285E-2</v>
      </c>
      <c r="AL32">
        <f t="shared" si="9"/>
        <v>0.3538461538461537</v>
      </c>
      <c r="AM32">
        <f t="shared" si="10"/>
        <v>0.2068965517241379</v>
      </c>
      <c r="AN32">
        <f t="shared" si="11"/>
        <v>0.79310344827586188</v>
      </c>
      <c r="AO32">
        <f t="shared" si="12"/>
        <v>0.14737895924797975</v>
      </c>
      <c r="AP32">
        <f t="shared" si="13"/>
        <v>9.7722336641895488E-2</v>
      </c>
    </row>
    <row r="33" spans="1:42" x14ac:dyDescent="0.35">
      <c r="A33" s="9" t="s">
        <v>58</v>
      </c>
      <c r="B33" s="7" t="s">
        <v>65</v>
      </c>
      <c r="C33" s="16">
        <f t="shared" si="0"/>
        <v>11</v>
      </c>
      <c r="D33">
        <v>11</v>
      </c>
      <c r="E33">
        <v>0</v>
      </c>
      <c r="F33">
        <v>11</v>
      </c>
      <c r="G33">
        <v>0</v>
      </c>
      <c r="H33" s="16">
        <v>25</v>
      </c>
      <c r="I33">
        <v>0</v>
      </c>
      <c r="J33">
        <v>25</v>
      </c>
      <c r="K33">
        <v>0</v>
      </c>
      <c r="L33">
        <v>2.000650095073174</v>
      </c>
      <c r="M33">
        <v>2.111306177863205</v>
      </c>
      <c r="N33">
        <v>0</v>
      </c>
      <c r="O33">
        <v>0</v>
      </c>
      <c r="P33">
        <v>2.000650095073174</v>
      </c>
      <c r="Q33">
        <v>2.111306177863205</v>
      </c>
      <c r="R33">
        <v>0</v>
      </c>
      <c r="S33">
        <v>0</v>
      </c>
      <c r="T33">
        <v>4.5469320342572148</v>
      </c>
      <c r="U33">
        <v>4.7984231315072847</v>
      </c>
      <c r="V33">
        <v>0</v>
      </c>
      <c r="W33">
        <v>0</v>
      </c>
      <c r="X33">
        <v>4.5469320342572148</v>
      </c>
      <c r="Y33">
        <v>4.7984231315072847</v>
      </c>
      <c r="Z33">
        <v>0</v>
      </c>
      <c r="AA33">
        <v>0</v>
      </c>
      <c r="AB33">
        <v>521.00449074291998</v>
      </c>
      <c r="AC33">
        <v>549.82128194673999</v>
      </c>
      <c r="AD33">
        <f t="shared" si="1"/>
        <v>0.30555555555555558</v>
      </c>
      <c r="AE33">
        <f t="shared" si="2"/>
        <v>0.30555555555555558</v>
      </c>
      <c r="AF33">
        <f t="shared" si="3"/>
        <v>0</v>
      </c>
      <c r="AG33">
        <f t="shared" si="4"/>
        <v>0</v>
      </c>
      <c r="AH33">
        <f t="shared" si="5"/>
        <v>1</v>
      </c>
      <c r="AI33">
        <f t="shared" si="6"/>
        <v>0</v>
      </c>
      <c r="AJ33">
        <f t="shared" si="7"/>
        <v>0.69444444444444442</v>
      </c>
      <c r="AK33">
        <f t="shared" si="8"/>
        <v>0</v>
      </c>
      <c r="AL33">
        <f t="shared" si="9"/>
        <v>0.69444444444444442</v>
      </c>
      <c r="AM33">
        <f t="shared" si="10"/>
        <v>0</v>
      </c>
      <c r="AN33">
        <f t="shared" si="11"/>
        <v>1</v>
      </c>
      <c r="AO33">
        <f t="shared" si="12"/>
        <v>6.5475821293303885E-2</v>
      </c>
      <c r="AP33">
        <f t="shared" si="13"/>
        <v>6.9097293093704895E-2</v>
      </c>
    </row>
    <row r="34" spans="1:42" x14ac:dyDescent="0.35">
      <c r="A34" s="9" t="s">
        <v>59</v>
      </c>
      <c r="B34" s="7" t="s">
        <v>65</v>
      </c>
      <c r="C34" s="16">
        <f t="shared" si="0"/>
        <v>1.6825977000000001</v>
      </c>
      <c r="D34">
        <v>1.6825977000000001</v>
      </c>
      <c r="E34">
        <v>0</v>
      </c>
      <c r="F34">
        <v>1.6825977000000001</v>
      </c>
      <c r="G34">
        <v>0</v>
      </c>
      <c r="H34" s="16">
        <v>0.21161295999999999</v>
      </c>
      <c r="I34">
        <v>0.10838709000000001</v>
      </c>
      <c r="J34">
        <v>0.10322587</v>
      </c>
      <c r="K34">
        <v>0</v>
      </c>
      <c r="L34">
        <v>0.22521425078179019</v>
      </c>
      <c r="M34">
        <v>0.2847930279580338</v>
      </c>
      <c r="N34">
        <v>0</v>
      </c>
      <c r="O34">
        <v>0</v>
      </c>
      <c r="P34">
        <v>0.22521425078179019</v>
      </c>
      <c r="Q34">
        <v>0.2847930279580338</v>
      </c>
      <c r="R34">
        <v>0</v>
      </c>
      <c r="S34">
        <v>0</v>
      </c>
      <c r="T34">
        <v>2.8324212164391301E-2</v>
      </c>
      <c r="U34">
        <v>3.5817174618485603E-2</v>
      </c>
      <c r="V34">
        <v>1.4507518504731301E-2</v>
      </c>
      <c r="W34">
        <v>1.83453760531468E-2</v>
      </c>
      <c r="X34">
        <v>1.3816693659659899E-2</v>
      </c>
      <c r="Y34">
        <v>1.74717985653388E-2</v>
      </c>
      <c r="Z34">
        <v>0</v>
      </c>
      <c r="AA34">
        <v>0</v>
      </c>
      <c r="AB34">
        <v>590.81421763174001</v>
      </c>
      <c r="AC34">
        <v>747.10978286638999</v>
      </c>
      <c r="AD34">
        <f t="shared" si="1"/>
        <v>0.88828435798159844</v>
      </c>
      <c r="AE34">
        <f t="shared" si="2"/>
        <v>0.88828435798159844</v>
      </c>
      <c r="AF34">
        <f t="shared" si="3"/>
        <v>0</v>
      </c>
      <c r="AG34">
        <f t="shared" si="4"/>
        <v>0</v>
      </c>
      <c r="AH34">
        <f t="shared" si="5"/>
        <v>1</v>
      </c>
      <c r="AI34">
        <f t="shared" si="6"/>
        <v>0</v>
      </c>
      <c r="AJ34">
        <f t="shared" si="7"/>
        <v>0.11171564201840146</v>
      </c>
      <c r="AK34">
        <f t="shared" si="8"/>
        <v>5.7220187959453252E-2</v>
      </c>
      <c r="AL34">
        <f t="shared" si="9"/>
        <v>5.449545405894822E-2</v>
      </c>
      <c r="AM34">
        <f t="shared" si="10"/>
        <v>0.51219495252086644</v>
      </c>
      <c r="AN34">
        <f t="shared" si="11"/>
        <v>0.48780504747913361</v>
      </c>
      <c r="AO34">
        <f t="shared" si="12"/>
        <v>2.5353846294618163E-3</v>
      </c>
      <c r="AP34">
        <f t="shared" si="13"/>
        <v>3.2061020257651944E-3</v>
      </c>
    </row>
    <row r="35" spans="1:42" x14ac:dyDescent="0.35">
      <c r="A35" s="7" t="s">
        <v>60</v>
      </c>
      <c r="B35" s="7" t="s">
        <v>65</v>
      </c>
      <c r="C35" s="16">
        <f t="shared" si="0"/>
        <v>9.3152702259999991</v>
      </c>
      <c r="D35">
        <v>4.5999999999999996</v>
      </c>
      <c r="E35">
        <v>1</v>
      </c>
      <c r="F35">
        <v>3.6</v>
      </c>
      <c r="G35">
        <v>4.7152702260000003</v>
      </c>
      <c r="H35" s="16">
        <v>2.4</v>
      </c>
      <c r="I35">
        <v>2.4</v>
      </c>
      <c r="J35">
        <v>0</v>
      </c>
      <c r="K35">
        <v>0</v>
      </c>
      <c r="L35">
        <v>1.755996918642198</v>
      </c>
      <c r="M35">
        <v>1.0424015476762829</v>
      </c>
      <c r="N35">
        <v>0.38173846057439093</v>
      </c>
      <c r="O35">
        <v>0.2266090321035398</v>
      </c>
      <c r="P35">
        <v>1.374258458067807</v>
      </c>
      <c r="Q35">
        <v>0.81579251557274324</v>
      </c>
      <c r="R35">
        <v>1.7999999972655001</v>
      </c>
      <c r="S35">
        <v>1.068522822020499</v>
      </c>
      <c r="T35">
        <v>0.91617230537853822</v>
      </c>
      <c r="U35">
        <v>0.54386167704849553</v>
      </c>
      <c r="V35">
        <v>0.91617230537853822</v>
      </c>
      <c r="W35">
        <v>0.54386167704849553</v>
      </c>
      <c r="X35">
        <v>0</v>
      </c>
      <c r="Y35">
        <v>0</v>
      </c>
      <c r="Z35">
        <v>0</v>
      </c>
      <c r="AA35">
        <v>0</v>
      </c>
      <c r="AB35">
        <v>441.28867711817003</v>
      </c>
      <c r="AC35">
        <v>261.95945739796002</v>
      </c>
      <c r="AD35">
        <f t="shared" si="1"/>
        <v>0.65714285714285714</v>
      </c>
      <c r="AE35">
        <f t="shared" si="2"/>
        <v>0.51428571428571435</v>
      </c>
      <c r="AF35">
        <f t="shared" si="3"/>
        <v>0.14285714285714285</v>
      </c>
      <c r="AG35">
        <f t="shared" si="4"/>
        <v>0.67361003228571437</v>
      </c>
      <c r="AH35">
        <f t="shared" si="5"/>
        <v>0.78260869565217395</v>
      </c>
      <c r="AI35">
        <f t="shared" si="6"/>
        <v>0.21739130434782611</v>
      </c>
      <c r="AJ35">
        <f t="shared" si="7"/>
        <v>0.20486083152171927</v>
      </c>
      <c r="AK35">
        <f t="shared" si="8"/>
        <v>0.34285714285714286</v>
      </c>
      <c r="AL35">
        <f t="shared" si="9"/>
        <v>0</v>
      </c>
      <c r="AM35">
        <f t="shared" si="10"/>
        <v>1</v>
      </c>
      <c r="AN35">
        <f t="shared" si="11"/>
        <v>0</v>
      </c>
      <c r="AO35">
        <f t="shared" si="12"/>
        <v>2.6721692240207363E-2</v>
      </c>
      <c r="AP35">
        <f t="shared" si="13"/>
        <v>1.5862632247247786E-2</v>
      </c>
    </row>
    <row r="36" spans="1:42" x14ac:dyDescent="0.35">
      <c r="A36" s="7" t="s">
        <v>61</v>
      </c>
      <c r="B36" s="7" t="s">
        <v>65</v>
      </c>
      <c r="C36" s="16">
        <f t="shared" si="0"/>
        <v>0</v>
      </c>
      <c r="D36">
        <v>0</v>
      </c>
      <c r="E36">
        <v>0</v>
      </c>
      <c r="F36">
        <v>0</v>
      </c>
      <c r="G36">
        <v>0</v>
      </c>
      <c r="H36" s="16">
        <v>0.1</v>
      </c>
      <c r="I36">
        <v>0.1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3.1113334029335599E-2</v>
      </c>
      <c r="U36">
        <v>1.44829067404155E-2</v>
      </c>
      <c r="V36">
        <v>3.1113334029335599E-2</v>
      </c>
      <c r="W36">
        <v>1.44829067404155E-2</v>
      </c>
      <c r="X36">
        <v>0</v>
      </c>
      <c r="Y36">
        <v>0</v>
      </c>
      <c r="Z36">
        <v>0</v>
      </c>
      <c r="AA36">
        <v>0</v>
      </c>
      <c r="AB36">
        <v>690.46912883131995</v>
      </c>
      <c r="AC36">
        <v>321.40560669490998</v>
      </c>
      <c r="AD36">
        <f t="shared" si="1"/>
        <v>0</v>
      </c>
      <c r="AE36">
        <f t="shared" si="2"/>
        <v>0</v>
      </c>
      <c r="AF36">
        <f t="shared" si="3"/>
        <v>0</v>
      </c>
      <c r="AG36">
        <f t="shared" si="4"/>
        <v>0</v>
      </c>
      <c r="AH36" t="e">
        <f t="shared" si="5"/>
        <v>#DIV/0!</v>
      </c>
      <c r="AI36" t="e">
        <f t="shared" si="6"/>
        <v>#DIV/0!</v>
      </c>
      <c r="AJ36">
        <f t="shared" si="7"/>
        <v>1</v>
      </c>
      <c r="AK36">
        <f t="shared" si="8"/>
        <v>1</v>
      </c>
      <c r="AL36">
        <f t="shared" si="9"/>
        <v>0</v>
      </c>
      <c r="AM36">
        <f t="shared" si="10"/>
        <v>1</v>
      </c>
      <c r="AN36">
        <f t="shared" si="11"/>
        <v>0</v>
      </c>
      <c r="AO36">
        <f t="shared" si="12"/>
        <v>3.1113334029335611E-4</v>
      </c>
      <c r="AP36">
        <f t="shared" si="13"/>
        <v>1.4482906740415584E-4</v>
      </c>
    </row>
    <row r="37" spans="1:42" x14ac:dyDescent="0.35">
      <c r="A37" s="7" t="s">
        <v>62</v>
      </c>
      <c r="B37" s="7" t="s">
        <v>65</v>
      </c>
      <c r="C37" s="16">
        <f t="shared" si="0"/>
        <v>0.71743400000000002</v>
      </c>
      <c r="D37">
        <v>0.71743400000000002</v>
      </c>
      <c r="E37">
        <v>0.17</v>
      </c>
      <c r="F37">
        <v>0.54743399999999998</v>
      </c>
      <c r="G37">
        <v>0</v>
      </c>
      <c r="H37" s="16">
        <v>0</v>
      </c>
      <c r="I37">
        <v>0</v>
      </c>
      <c r="J37">
        <v>0</v>
      </c>
      <c r="K37">
        <v>0</v>
      </c>
      <c r="L37">
        <v>1.1143308580281419</v>
      </c>
      <c r="M37">
        <v>0.7863713384702169</v>
      </c>
      <c r="N37">
        <v>0.26404693095780818</v>
      </c>
      <c r="O37">
        <v>0.18633508802194609</v>
      </c>
      <c r="P37">
        <v>0.85028392707033384</v>
      </c>
      <c r="Q37">
        <v>0.6000362504482708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91.233487908610002</v>
      </c>
      <c r="AC37">
        <v>64.38249419652</v>
      </c>
      <c r="AD37">
        <f t="shared" si="1"/>
        <v>1</v>
      </c>
      <c r="AE37">
        <f t="shared" si="2"/>
        <v>0.76304440547841335</v>
      </c>
      <c r="AF37">
        <f t="shared" si="3"/>
        <v>0.23695559452158665</v>
      </c>
      <c r="AG37">
        <f t="shared" si="4"/>
        <v>0</v>
      </c>
      <c r="AH37">
        <f t="shared" si="5"/>
        <v>0.76304440547841335</v>
      </c>
      <c r="AI37">
        <f t="shared" si="6"/>
        <v>0.23695559452158665</v>
      </c>
      <c r="AJ37">
        <f t="shared" si="7"/>
        <v>0</v>
      </c>
      <c r="AK37">
        <f t="shared" si="8"/>
        <v>0</v>
      </c>
      <c r="AL37">
        <f t="shared" si="9"/>
        <v>0</v>
      </c>
      <c r="AM37" t="e">
        <f t="shared" si="10"/>
        <v>#DIV/0!</v>
      </c>
      <c r="AN37" t="e">
        <f t="shared" si="11"/>
        <v>#DIV/0!</v>
      </c>
      <c r="AO37">
        <f t="shared" si="12"/>
        <v>1.1143308580281419E-2</v>
      </c>
      <c r="AP37">
        <f t="shared" si="13"/>
        <v>7.863713384702169E-3</v>
      </c>
    </row>
    <row r="38" spans="1:42" x14ac:dyDescent="0.35">
      <c r="A38" s="7" t="s">
        <v>63</v>
      </c>
      <c r="B38" s="7" t="s">
        <v>65</v>
      </c>
      <c r="C38" s="16">
        <f t="shared" si="0"/>
        <v>4.4197489986439056</v>
      </c>
      <c r="D38">
        <v>4.4197489986439056</v>
      </c>
      <c r="E38">
        <v>0</v>
      </c>
      <c r="F38">
        <v>4.4197489986439056</v>
      </c>
      <c r="G38">
        <v>0</v>
      </c>
      <c r="H38" s="16">
        <v>0</v>
      </c>
      <c r="I38">
        <v>0</v>
      </c>
      <c r="J38">
        <v>0</v>
      </c>
      <c r="K38">
        <v>0</v>
      </c>
      <c r="L38">
        <v>2.998798899106466</v>
      </c>
      <c r="M38">
        <v>1.4262400226188989</v>
      </c>
      <c r="N38">
        <v>0</v>
      </c>
      <c r="O38">
        <v>0</v>
      </c>
      <c r="P38">
        <v>2.998798899106466</v>
      </c>
      <c r="Q38">
        <v>1.4262400226188989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309.88816247970999</v>
      </c>
      <c r="AC38">
        <v>147.38397429586999</v>
      </c>
      <c r="AD38">
        <f t="shared" si="1"/>
        <v>1</v>
      </c>
      <c r="AE38">
        <f t="shared" si="2"/>
        <v>1</v>
      </c>
      <c r="AF38">
        <f t="shared" si="3"/>
        <v>0</v>
      </c>
      <c r="AG38">
        <f t="shared" si="4"/>
        <v>0</v>
      </c>
      <c r="AH38">
        <f t="shared" si="5"/>
        <v>1</v>
      </c>
      <c r="AI38">
        <f t="shared" si="6"/>
        <v>0</v>
      </c>
      <c r="AJ38">
        <f t="shared" si="7"/>
        <v>0</v>
      </c>
      <c r="AK38">
        <f t="shared" si="8"/>
        <v>0</v>
      </c>
      <c r="AL38">
        <f t="shared" si="9"/>
        <v>0</v>
      </c>
      <c r="AM38" t="e">
        <f t="shared" si="10"/>
        <v>#DIV/0!</v>
      </c>
      <c r="AN38" t="e">
        <f t="shared" si="11"/>
        <v>#DIV/0!</v>
      </c>
      <c r="AO38">
        <f t="shared" si="12"/>
        <v>2.9987988991064658E-2</v>
      </c>
      <c r="AP38">
        <f t="shared" si="13"/>
        <v>1.4262400226188987E-2</v>
      </c>
    </row>
    <row r="39" spans="1:42" x14ac:dyDescent="0.35">
      <c r="A39" s="7" t="s">
        <v>64</v>
      </c>
      <c r="B39" s="7" t="s">
        <v>65</v>
      </c>
      <c r="C39" s="16">
        <f t="shared" si="0"/>
        <v>17</v>
      </c>
      <c r="D39">
        <v>17</v>
      </c>
      <c r="E39">
        <v>8</v>
      </c>
      <c r="F39">
        <v>9</v>
      </c>
      <c r="G39">
        <v>0</v>
      </c>
      <c r="H39" s="16">
        <v>17</v>
      </c>
      <c r="I39">
        <v>0</v>
      </c>
      <c r="J39">
        <v>17</v>
      </c>
      <c r="K39">
        <v>0</v>
      </c>
      <c r="L39">
        <v>2.9746119470950938</v>
      </c>
      <c r="M39">
        <v>1.3986901541599801</v>
      </c>
      <c r="N39">
        <v>1.3998173868682799</v>
      </c>
      <c r="O39">
        <v>0.65820713136940245</v>
      </c>
      <c r="P39">
        <v>1.5747945602268141</v>
      </c>
      <c r="Q39">
        <v>0.74048302279057776</v>
      </c>
      <c r="R39">
        <v>0</v>
      </c>
      <c r="S39">
        <v>0</v>
      </c>
      <c r="T39">
        <v>2.9746119470950938</v>
      </c>
      <c r="U39">
        <v>1.3986901541599801</v>
      </c>
      <c r="V39">
        <v>0</v>
      </c>
      <c r="W39">
        <v>0</v>
      </c>
      <c r="X39">
        <v>2.9746119470950938</v>
      </c>
      <c r="Y39">
        <v>1.3986901541599801</v>
      </c>
      <c r="Z39">
        <v>0</v>
      </c>
      <c r="AA39">
        <v>0</v>
      </c>
      <c r="AB39">
        <v>1215.4228689920101</v>
      </c>
      <c r="AC39">
        <v>571.50311712429004</v>
      </c>
      <c r="AD39">
        <f t="shared" si="1"/>
        <v>0.5</v>
      </c>
      <c r="AE39">
        <f t="shared" si="2"/>
        <v>0.26470588235294118</v>
      </c>
      <c r="AF39">
        <f t="shared" si="3"/>
        <v>0.23529411764705882</v>
      </c>
      <c r="AG39">
        <f t="shared" si="4"/>
        <v>0</v>
      </c>
      <c r="AH39">
        <f t="shared" si="5"/>
        <v>0.52941176470588236</v>
      </c>
      <c r="AI39">
        <f t="shared" si="6"/>
        <v>0.47058823529411764</v>
      </c>
      <c r="AJ39">
        <f t="shared" si="7"/>
        <v>0.5</v>
      </c>
      <c r="AK39">
        <f t="shared" si="8"/>
        <v>0</v>
      </c>
      <c r="AL39">
        <f t="shared" si="9"/>
        <v>0.5</v>
      </c>
      <c r="AM39">
        <f t="shared" si="10"/>
        <v>0</v>
      </c>
      <c r="AN39">
        <f t="shared" si="11"/>
        <v>1</v>
      </c>
      <c r="AO39">
        <f t="shared" si="12"/>
        <v>5.9492238941901879E-2</v>
      </c>
      <c r="AP39">
        <f t="shared" si="13"/>
        <v>2.7973803083199605E-2</v>
      </c>
    </row>
    <row r="40" spans="1:42" x14ac:dyDescent="0.35">
      <c r="A40" s="7" t="s">
        <v>27</v>
      </c>
      <c r="B40" s="11" t="s">
        <v>66</v>
      </c>
      <c r="C40" s="16">
        <f t="shared" si="0"/>
        <v>0.36671521951269437</v>
      </c>
      <c r="D40">
        <v>0.36671521951269881</v>
      </c>
      <c r="E40">
        <v>1.154445264360187</v>
      </c>
      <c r="F40">
        <v>-0.78773004484749265</v>
      </c>
      <c r="G40">
        <v>0</v>
      </c>
      <c r="H40" s="16">
        <v>-1.1041831494786929</v>
      </c>
      <c r="I40">
        <v>-0.51176420691943925</v>
      </c>
      <c r="J40">
        <v>-0.59241894255925409</v>
      </c>
      <c r="K40">
        <v>0</v>
      </c>
      <c r="L40">
        <v>2.4533165212040398E-2</v>
      </c>
      <c r="M40">
        <v>2.9898941722940699E-2</v>
      </c>
      <c r="N40">
        <v>7.7232126979732196E-2</v>
      </c>
      <c r="O40">
        <v>9.4123968258795196E-2</v>
      </c>
      <c r="P40">
        <v>-5.2698961767692502E-2</v>
      </c>
      <c r="Q40">
        <v>-6.4225026535854796E-2</v>
      </c>
      <c r="R40">
        <v>0</v>
      </c>
      <c r="S40">
        <v>0</v>
      </c>
      <c r="T40">
        <v>-7.3869602866517697E-2</v>
      </c>
      <c r="U40">
        <v>-9.0026008960267995E-2</v>
      </c>
      <c r="V40">
        <v>-3.4236909650618402E-2</v>
      </c>
      <c r="W40">
        <v>-4.17250427154457E-2</v>
      </c>
      <c r="X40">
        <v>-3.9632693215899302E-2</v>
      </c>
      <c r="Y40">
        <v>-4.8300966244822302E-2</v>
      </c>
      <c r="Z40">
        <v>0</v>
      </c>
      <c r="AA40">
        <v>0</v>
      </c>
      <c r="AB40">
        <v>1226.51571721458</v>
      </c>
      <c r="AC40">
        <v>1494.77336635199</v>
      </c>
      <c r="AD40">
        <f t="shared" si="1"/>
        <v>-0.49726259897106129</v>
      </c>
      <c r="AE40">
        <f t="shared" si="2"/>
        <v>1.0681549838835924</v>
      </c>
      <c r="AF40">
        <f t="shared" si="3"/>
        <v>-1.5654175828546477</v>
      </c>
      <c r="AG40">
        <f t="shared" si="4"/>
        <v>0</v>
      </c>
      <c r="AH40">
        <f t="shared" si="5"/>
        <v>-2.1480702270667953</v>
      </c>
      <c r="AI40">
        <f t="shared" si="6"/>
        <v>3.1480702270667833</v>
      </c>
      <c r="AJ40">
        <f t="shared" si="7"/>
        <v>1.4972625989710522</v>
      </c>
      <c r="AK40">
        <f t="shared" si="8"/>
        <v>0.69394774487758071</v>
      </c>
      <c r="AL40">
        <f t="shared" si="9"/>
        <v>0.80331485409348113</v>
      </c>
      <c r="AM40">
        <f t="shared" si="10"/>
        <v>0.4634776460418305</v>
      </c>
      <c r="AN40">
        <f t="shared" si="11"/>
        <v>0.53652235395816994</v>
      </c>
      <c r="AO40">
        <f t="shared" si="12"/>
        <v>-4.9336437654478162E-4</v>
      </c>
      <c r="AP40">
        <f t="shared" si="13"/>
        <v>-6.0127067237327001E-4</v>
      </c>
    </row>
    <row r="41" spans="1:42" x14ac:dyDescent="0.35">
      <c r="A41" s="7" t="s">
        <v>28</v>
      </c>
      <c r="B41" s="11" t="s">
        <v>66</v>
      </c>
      <c r="C41" s="16">
        <f t="shared" si="0"/>
        <v>2.8194664340988376</v>
      </c>
      <c r="D41">
        <v>5.3821266931310277</v>
      </c>
      <c r="E41">
        <v>0.47940422310436759</v>
      </c>
      <c r="F41">
        <v>4.9027224700266601</v>
      </c>
      <c r="G41">
        <v>-2.5626602590321901</v>
      </c>
      <c r="H41" s="16">
        <v>-1.3104260956735769</v>
      </c>
      <c r="I41">
        <v>-0.10074472111954109</v>
      </c>
      <c r="J41">
        <v>-1.20968137455403</v>
      </c>
      <c r="K41">
        <v>0</v>
      </c>
      <c r="L41">
        <v>0.31722919641608449</v>
      </c>
      <c r="M41">
        <v>0.3122810380302487</v>
      </c>
      <c r="N41">
        <v>2.8256677169634498E-2</v>
      </c>
      <c r="O41">
        <v>2.7815927971034798E-2</v>
      </c>
      <c r="P41">
        <v>0.28897251924645051</v>
      </c>
      <c r="Q41">
        <v>0.28446511005921321</v>
      </c>
      <c r="R41">
        <v>-0.15104636159861329</v>
      </c>
      <c r="S41">
        <v>-0.1486903321749721</v>
      </c>
      <c r="T41">
        <v>-7.7238132990021094E-2</v>
      </c>
      <c r="U41">
        <v>-7.6033368359971598E-2</v>
      </c>
      <c r="V41">
        <v>-5.9380183236307999E-3</v>
      </c>
      <c r="W41">
        <v>-5.8453967884906999E-3</v>
      </c>
      <c r="X41">
        <v>-7.1300114666389997E-2</v>
      </c>
      <c r="Y41">
        <v>-7.0187971571480795E-2</v>
      </c>
      <c r="Z41">
        <v>0</v>
      </c>
      <c r="AA41">
        <v>0</v>
      </c>
      <c r="AB41">
        <v>1723.48815255626</v>
      </c>
      <c r="AC41">
        <v>1696.60508992738</v>
      </c>
      <c r="AD41">
        <f t="shared" si="1"/>
        <v>1.3218375379790608</v>
      </c>
      <c r="AE41">
        <f t="shared" si="2"/>
        <v>1.2040969989512824</v>
      </c>
      <c r="AF41">
        <f t="shared" si="3"/>
        <v>0.1177405390277784</v>
      </c>
      <c r="AG41">
        <f t="shared" si="4"/>
        <v>-0.62938327553662177</v>
      </c>
      <c r="AH41">
        <f t="shared" si="5"/>
        <v>0.91092661870702329</v>
      </c>
      <c r="AI41">
        <f t="shared" si="6"/>
        <v>8.907338129297665E-2</v>
      </c>
      <c r="AJ41">
        <f t="shared" si="7"/>
        <v>-0.86838374184288203</v>
      </c>
      <c r="AK41">
        <f t="shared" si="8"/>
        <v>-2.4742664326166453E-2</v>
      </c>
      <c r="AL41">
        <f t="shared" si="9"/>
        <v>-0.29709487365289294</v>
      </c>
      <c r="AM41">
        <f t="shared" si="10"/>
        <v>7.6879361188054579E-2</v>
      </c>
      <c r="AN41">
        <f t="shared" si="11"/>
        <v>0.92312063881194095</v>
      </c>
      <c r="AO41">
        <f t="shared" si="12"/>
        <v>2.3999106342606409E-3</v>
      </c>
      <c r="AP41">
        <f t="shared" si="13"/>
        <v>2.3624766967027568E-3</v>
      </c>
    </row>
    <row r="42" spans="1:42" x14ac:dyDescent="0.35">
      <c r="A42" s="7" t="s">
        <v>29</v>
      </c>
      <c r="B42" s="11" t="s">
        <v>66</v>
      </c>
      <c r="C42" s="16">
        <f t="shared" si="0"/>
        <v>58.271457544134336</v>
      </c>
      <c r="D42">
        <v>46.119277635451212</v>
      </c>
      <c r="E42">
        <v>3.2426565634137821</v>
      </c>
      <c r="F42">
        <v>42.87662107203743</v>
      </c>
      <c r="G42">
        <v>12.15217990868312</v>
      </c>
      <c r="H42" s="16">
        <v>32.305560508499518</v>
      </c>
      <c r="I42">
        <v>22.949473478961181</v>
      </c>
      <c r="J42">
        <v>9.3560870295383438</v>
      </c>
      <c r="K42">
        <v>0</v>
      </c>
      <c r="L42">
        <v>1.76242194987834</v>
      </c>
      <c r="M42">
        <v>1.5864412065797071</v>
      </c>
      <c r="N42">
        <v>0.12391627528191219</v>
      </c>
      <c r="O42">
        <v>0.1115430304795457</v>
      </c>
      <c r="P42">
        <v>1.6385056745964279</v>
      </c>
      <c r="Q42">
        <v>1.4748981761001609</v>
      </c>
      <c r="R42">
        <v>0.4643886398053762</v>
      </c>
      <c r="S42">
        <v>0.41801866692911188</v>
      </c>
      <c r="T42">
        <v>1.2345386108028831</v>
      </c>
      <c r="U42">
        <v>1.1112678909988369</v>
      </c>
      <c r="V42">
        <v>0.87700106920974974</v>
      </c>
      <c r="W42">
        <v>0.78943106360247617</v>
      </c>
      <c r="X42">
        <v>0.35753754159313361</v>
      </c>
      <c r="Y42">
        <v>0.32183682739636049</v>
      </c>
      <c r="Z42">
        <v>0</v>
      </c>
      <c r="AA42">
        <v>0</v>
      </c>
      <c r="AB42">
        <v>2907.0902498102801</v>
      </c>
      <c r="AC42">
        <v>2616.8124857180101</v>
      </c>
      <c r="AD42">
        <f t="shared" si="1"/>
        <v>0.5880697841007736</v>
      </c>
      <c r="AE42">
        <f t="shared" si="2"/>
        <v>0.54672246812083103</v>
      </c>
      <c r="AF42">
        <f t="shared" si="3"/>
        <v>4.1347315979942553E-2</v>
      </c>
      <c r="AG42">
        <f t="shared" si="4"/>
        <v>0.15495320355494382</v>
      </c>
      <c r="AH42">
        <f t="shared" si="5"/>
        <v>0.92968977985636969</v>
      </c>
      <c r="AI42">
        <f t="shared" si="6"/>
        <v>7.0310220143630336E-2</v>
      </c>
      <c r="AJ42">
        <f t="shared" si="7"/>
        <v>0.35666398831684781</v>
      </c>
      <c r="AK42">
        <f t="shared" si="8"/>
        <v>0.29263016694834432</v>
      </c>
      <c r="AL42">
        <f t="shared" si="9"/>
        <v>0.11930004895088231</v>
      </c>
      <c r="AM42">
        <f t="shared" si="10"/>
        <v>0.71038772018591745</v>
      </c>
      <c r="AN42">
        <f t="shared" si="11"/>
        <v>0.28961227981408277</v>
      </c>
      <c r="AO42">
        <f t="shared" si="12"/>
        <v>2.9969605606812229E-2</v>
      </c>
      <c r="AP42">
        <f t="shared" si="13"/>
        <v>2.697709097578543E-2</v>
      </c>
    </row>
    <row r="43" spans="1:42" x14ac:dyDescent="0.35">
      <c r="A43" s="7" t="s">
        <v>30</v>
      </c>
      <c r="B43" s="11" t="s">
        <v>66</v>
      </c>
      <c r="C43" s="16">
        <f t="shared" si="0"/>
        <v>189.22094940972298</v>
      </c>
      <c r="D43">
        <v>189.22094940972289</v>
      </c>
      <c r="E43">
        <v>13.93513761981457</v>
      </c>
      <c r="F43">
        <v>175.28581178990839</v>
      </c>
      <c r="G43">
        <v>0</v>
      </c>
      <c r="H43" s="16">
        <v>42.688711835254708</v>
      </c>
      <c r="I43">
        <v>-4.4335859146559358</v>
      </c>
      <c r="J43">
        <v>47.122297749910672</v>
      </c>
      <c r="K43">
        <v>0</v>
      </c>
      <c r="L43">
        <v>5.2600571942181622</v>
      </c>
      <c r="M43">
        <v>4.5466299278372659</v>
      </c>
      <c r="N43">
        <v>0.3873758223821665</v>
      </c>
      <c r="O43">
        <v>0.33483561914484439</v>
      </c>
      <c r="P43">
        <v>4.8726813718359949</v>
      </c>
      <c r="Q43">
        <v>4.2117943086924212</v>
      </c>
      <c r="R43">
        <v>0</v>
      </c>
      <c r="S43">
        <v>0</v>
      </c>
      <c r="T43">
        <v>1.186681847339887</v>
      </c>
      <c r="U43">
        <v>1.0257309003916151</v>
      </c>
      <c r="V43">
        <v>-0.1232470059965349</v>
      </c>
      <c r="W43">
        <v>-0.1065308808041347</v>
      </c>
      <c r="X43">
        <v>1.30992885333642</v>
      </c>
      <c r="Y43">
        <v>1.1322617811957481</v>
      </c>
      <c r="Z43">
        <v>0</v>
      </c>
      <c r="AA43">
        <v>0</v>
      </c>
      <c r="AB43">
        <v>4161.7847155581303</v>
      </c>
      <c r="AC43">
        <v>3597.3173374942398</v>
      </c>
      <c r="AD43">
        <f t="shared" si="1"/>
        <v>0.81592525466129451</v>
      </c>
      <c r="AE43">
        <f t="shared" si="2"/>
        <v>0.75583660831079114</v>
      </c>
      <c r="AF43">
        <f t="shared" si="3"/>
        <v>6.0088646350503691E-2</v>
      </c>
      <c r="AG43">
        <f t="shared" si="4"/>
        <v>0</v>
      </c>
      <c r="AH43">
        <f t="shared" si="5"/>
        <v>0.92635520716239228</v>
      </c>
      <c r="AI43">
        <f t="shared" si="6"/>
        <v>7.3644792837608122E-2</v>
      </c>
      <c r="AJ43">
        <f t="shared" si="7"/>
        <v>0.18407474533870541</v>
      </c>
      <c r="AK43">
        <f t="shared" si="8"/>
        <v>-1.9117728389816933E-2</v>
      </c>
      <c r="AL43">
        <f t="shared" si="9"/>
        <v>0.20319247372852253</v>
      </c>
      <c r="AM43">
        <f t="shared" si="10"/>
        <v>-0.10385850788297703</v>
      </c>
      <c r="AN43">
        <f t="shared" si="11"/>
        <v>1.1038585078829777</v>
      </c>
      <c r="AO43">
        <f t="shared" si="12"/>
        <v>6.4467390415580472E-2</v>
      </c>
      <c r="AP43">
        <f t="shared" si="13"/>
        <v>5.5723608282288714E-2</v>
      </c>
    </row>
    <row r="44" spans="1:42" x14ac:dyDescent="0.35">
      <c r="A44" s="7" t="s">
        <v>31</v>
      </c>
      <c r="B44" s="11" t="s">
        <v>66</v>
      </c>
      <c r="C44" s="16">
        <f t="shared" si="0"/>
        <v>45.755588366456806</v>
      </c>
      <c r="D44">
        <v>38.105763873469748</v>
      </c>
      <c r="E44">
        <v>3.4734084577736981</v>
      </c>
      <c r="F44">
        <v>34.632355415696047</v>
      </c>
      <c r="G44">
        <v>7.6498244929870598</v>
      </c>
      <c r="H44" s="16">
        <v>-8.1926568414287431</v>
      </c>
      <c r="I44">
        <v>3.6063458324081852</v>
      </c>
      <c r="J44">
        <v>-11.799002673836981</v>
      </c>
      <c r="K44">
        <v>0</v>
      </c>
      <c r="L44">
        <v>1.986581474232286</v>
      </c>
      <c r="M44">
        <v>1.6300816575185899</v>
      </c>
      <c r="N44">
        <v>0.18108045065221939</v>
      </c>
      <c r="O44">
        <v>0.14858485542731309</v>
      </c>
      <c r="P44">
        <v>1.805501023580067</v>
      </c>
      <c r="Q44">
        <v>1.481496802091276</v>
      </c>
      <c r="R44">
        <v>0.39881104783407961</v>
      </c>
      <c r="S44">
        <v>0.32724284522049651</v>
      </c>
      <c r="T44">
        <v>-0.4271107216212009</v>
      </c>
      <c r="U44">
        <v>-0.35046403184309582</v>
      </c>
      <c r="V44">
        <v>0.18801092255035179</v>
      </c>
      <c r="W44">
        <v>0.15427162703251979</v>
      </c>
      <c r="X44">
        <v>-0.61512164417155191</v>
      </c>
      <c r="Y44">
        <v>-0.50473565887561733</v>
      </c>
      <c r="Z44">
        <v>0</v>
      </c>
      <c r="AA44">
        <v>0</v>
      </c>
      <c r="AB44">
        <v>2337.6598158571201</v>
      </c>
      <c r="AC44">
        <v>1918.15761738117</v>
      </c>
      <c r="AD44">
        <f t="shared" si="1"/>
        <v>1.2738818415838011</v>
      </c>
      <c r="AE44">
        <f t="shared" si="2"/>
        <v>1.1577652357744077</v>
      </c>
      <c r="AF44">
        <f t="shared" si="3"/>
        <v>0.11611660580939337</v>
      </c>
      <c r="AG44">
        <f t="shared" si="4"/>
        <v>0.25573486849069399</v>
      </c>
      <c r="AH44">
        <f t="shared" si="5"/>
        <v>0.90884821337509047</v>
      </c>
      <c r="AI44">
        <f t="shared" si="6"/>
        <v>9.115178662490947E-2</v>
      </c>
      <c r="AJ44">
        <f t="shared" si="7"/>
        <v>-0.21810483124752927</v>
      </c>
      <c r="AK44">
        <f t="shared" si="8"/>
        <v>0.12056072371704145</v>
      </c>
      <c r="AL44">
        <f t="shared" si="9"/>
        <v>-0.39444256530084437</v>
      </c>
      <c r="AM44">
        <f t="shared" si="10"/>
        <v>-0.44019246774398807</v>
      </c>
      <c r="AN44">
        <f t="shared" si="11"/>
        <v>1.4401924677439946</v>
      </c>
      <c r="AO44">
        <f t="shared" si="12"/>
        <v>1.5594707526110859E-2</v>
      </c>
      <c r="AP44">
        <f t="shared" si="13"/>
        <v>1.279617625675494E-2</v>
      </c>
    </row>
    <row r="45" spans="1:42" x14ac:dyDescent="0.35">
      <c r="A45" s="7" t="s">
        <v>32</v>
      </c>
      <c r="B45" s="11" t="s">
        <v>66</v>
      </c>
      <c r="C45" s="16">
        <f t="shared" si="0"/>
        <v>297.79351515490208</v>
      </c>
      <c r="D45">
        <v>54.106824187597113</v>
      </c>
      <c r="E45">
        <v>26.236916652536529</v>
      </c>
      <c r="F45">
        <v>27.869907535060641</v>
      </c>
      <c r="G45">
        <v>243.68669096730491</v>
      </c>
      <c r="H45" s="16">
        <v>128.1492710841033</v>
      </c>
      <c r="I45">
        <v>0</v>
      </c>
      <c r="J45">
        <v>128.1492710841033</v>
      </c>
      <c r="K45">
        <v>1021.60958905524</v>
      </c>
      <c r="L45">
        <v>1.1854268634847269</v>
      </c>
      <c r="M45">
        <v>1.0161187929447151</v>
      </c>
      <c r="N45">
        <v>0.57482482629346554</v>
      </c>
      <c r="O45">
        <v>0.49272572323100211</v>
      </c>
      <c r="P45">
        <v>0.61060203719126172</v>
      </c>
      <c r="Q45">
        <v>0.52339306971371258</v>
      </c>
      <c r="R45">
        <v>5.3389337497387714</v>
      </c>
      <c r="S45">
        <v>4.5764028844840201</v>
      </c>
      <c r="T45">
        <v>2.8076234515701861</v>
      </c>
      <c r="U45">
        <v>2.4066258666235489</v>
      </c>
      <c r="V45">
        <v>0</v>
      </c>
      <c r="W45">
        <v>0</v>
      </c>
      <c r="X45">
        <v>2.8076234515701861</v>
      </c>
      <c r="Y45">
        <v>2.4066258666235489</v>
      </c>
      <c r="Z45">
        <v>22.382453027751001</v>
      </c>
      <c r="AA45">
        <v>19.185689015721469</v>
      </c>
      <c r="AB45">
        <v>5324.8522282316499</v>
      </c>
      <c r="AC45">
        <v>4564.3325500944502</v>
      </c>
      <c r="AD45">
        <f t="shared" si="1"/>
        <v>0.29687250847186608</v>
      </c>
      <c r="AE45">
        <f t="shared" si="2"/>
        <v>0.15291618913218374</v>
      </c>
      <c r="AF45">
        <f t="shared" si="3"/>
        <v>0.14395631933968264</v>
      </c>
      <c r="AG45">
        <f t="shared" si="4"/>
        <v>1.3370564677358314</v>
      </c>
      <c r="AH45">
        <f t="shared" si="5"/>
        <v>0.51509043366565299</v>
      </c>
      <c r="AI45">
        <f t="shared" si="6"/>
        <v>0.48490956633434801</v>
      </c>
      <c r="AJ45">
        <f t="shared" si="7"/>
        <v>0.30086029209612219</v>
      </c>
      <c r="AK45">
        <f t="shared" si="8"/>
        <v>0</v>
      </c>
      <c r="AL45">
        <f t="shared" si="9"/>
        <v>0.70312749152813392</v>
      </c>
      <c r="AM45">
        <f t="shared" si="10"/>
        <v>0</v>
      </c>
      <c r="AN45">
        <f t="shared" si="11"/>
        <v>1</v>
      </c>
      <c r="AO45">
        <f t="shared" si="12"/>
        <v>3.9930503150549135E-2</v>
      </c>
      <c r="AP45">
        <f t="shared" si="13"/>
        <v>3.4227446595682623E-2</v>
      </c>
    </row>
    <row r="46" spans="1:42" x14ac:dyDescent="0.35">
      <c r="A46" s="7" t="s">
        <v>33</v>
      </c>
      <c r="B46" s="11" t="s">
        <v>66</v>
      </c>
      <c r="C46" s="16">
        <f t="shared" si="0"/>
        <v>36.886000912551282</v>
      </c>
      <c r="D46">
        <v>23.75934855125389</v>
      </c>
      <c r="E46">
        <v>1.281290935211151</v>
      </c>
      <c r="F46">
        <v>22.47805761604274</v>
      </c>
      <c r="G46">
        <v>13.12665236129739</v>
      </c>
      <c r="H46" s="16">
        <v>-186.96912589332601</v>
      </c>
      <c r="I46">
        <v>-101</v>
      </c>
      <c r="J46">
        <v>-85.969125893326037</v>
      </c>
      <c r="K46">
        <v>120.836905973052</v>
      </c>
      <c r="L46">
        <v>1.4503795525417811</v>
      </c>
      <c r="M46">
        <v>1.101734874982673</v>
      </c>
      <c r="N46">
        <v>7.8215872345090698E-2</v>
      </c>
      <c r="O46">
        <v>5.9414209328007402E-2</v>
      </c>
      <c r="P46">
        <v>1.3721636801966901</v>
      </c>
      <c r="Q46">
        <v>1.0423206656546651</v>
      </c>
      <c r="R46">
        <v>0.8013110349839645</v>
      </c>
      <c r="S46">
        <v>0.60869053993703692</v>
      </c>
      <c r="T46">
        <v>-11.413452543419121</v>
      </c>
      <c r="U46">
        <v>-8.6698676143135298</v>
      </c>
      <c r="V46">
        <v>-6.1655030015117536</v>
      </c>
      <c r="W46">
        <v>-4.6834290146131741</v>
      </c>
      <c r="X46">
        <v>-5.2479495419073627</v>
      </c>
      <c r="Y46">
        <v>-3.9864385997003549</v>
      </c>
      <c r="Z46">
        <v>7.3764386779232263</v>
      </c>
      <c r="AA46">
        <v>5.6032779353492641</v>
      </c>
      <c r="AB46">
        <v>2156.5395714307001</v>
      </c>
      <c r="AC46">
        <v>1638.14696019506</v>
      </c>
      <c r="AD46">
        <f t="shared" si="1"/>
        <v>-0.14557552211750502</v>
      </c>
      <c r="AE46">
        <f t="shared" si="2"/>
        <v>-0.13772494504989657</v>
      </c>
      <c r="AF46">
        <f t="shared" si="3"/>
        <v>-7.8505770676084406E-3</v>
      </c>
      <c r="AG46">
        <f t="shared" si="4"/>
        <v>-8.0428100418182533E-2</v>
      </c>
      <c r="AH46">
        <f t="shared" si="5"/>
        <v>0.94607213525037792</v>
      </c>
      <c r="AI46">
        <f t="shared" si="6"/>
        <v>5.3927864749622162E-2</v>
      </c>
      <c r="AJ46">
        <f t="shared" si="7"/>
        <v>1.2457704749769589</v>
      </c>
      <c r="AK46">
        <f t="shared" si="8"/>
        <v>0.61883547447230214</v>
      </c>
      <c r="AL46">
        <f t="shared" si="9"/>
        <v>0.52674004764520299</v>
      </c>
      <c r="AM46">
        <f t="shared" si="10"/>
        <v>0.54019613942905675</v>
      </c>
      <c r="AN46">
        <f t="shared" si="11"/>
        <v>0.45980386057094341</v>
      </c>
      <c r="AO46">
        <f t="shared" si="12"/>
        <v>-9.9630729908773363E-2</v>
      </c>
      <c r="AP46">
        <f t="shared" si="13"/>
        <v>-7.5681327393308559E-2</v>
      </c>
    </row>
    <row r="47" spans="1:42" x14ac:dyDescent="0.35">
      <c r="A47" s="7" t="s">
        <v>34</v>
      </c>
      <c r="B47" s="11" t="s">
        <v>66</v>
      </c>
      <c r="C47" s="16">
        <f t="shared" si="0"/>
        <v>24.886187363532709</v>
      </c>
      <c r="D47">
        <v>24.886187363532709</v>
      </c>
      <c r="E47">
        <v>0.52057790283490757</v>
      </c>
      <c r="F47">
        <v>24.365609460697801</v>
      </c>
      <c r="G47">
        <v>0</v>
      </c>
      <c r="H47" s="16">
        <v>-60.841604635503842</v>
      </c>
      <c r="I47">
        <v>-10.86448882326709</v>
      </c>
      <c r="J47">
        <v>-49.977115812236761</v>
      </c>
      <c r="K47">
        <v>-0.50327929573277252</v>
      </c>
      <c r="L47">
        <v>1.8797371249607491</v>
      </c>
      <c r="M47">
        <v>1.385238169458487</v>
      </c>
      <c r="N47">
        <v>3.9320993453055599E-2</v>
      </c>
      <c r="O47">
        <v>2.89768927095789E-2</v>
      </c>
      <c r="P47">
        <v>1.840416131507693</v>
      </c>
      <c r="Q47">
        <v>1.356261276748908</v>
      </c>
      <c r="R47">
        <v>0</v>
      </c>
      <c r="S47">
        <v>0</v>
      </c>
      <c r="T47">
        <v>-4.5955702777970959</v>
      </c>
      <c r="U47">
        <v>-3.3866221370535561</v>
      </c>
      <c r="V47">
        <v>-0.82063124762704553</v>
      </c>
      <c r="W47">
        <v>-0.60474930891576673</v>
      </c>
      <c r="X47">
        <v>-3.7749390301700489</v>
      </c>
      <c r="Y47">
        <v>-2.7818728281377889</v>
      </c>
      <c r="Z47">
        <v>-3.8014371691152501E-2</v>
      </c>
      <c r="AA47">
        <v>-2.8014001508676899E-2</v>
      </c>
      <c r="AB47">
        <v>1796.5276955414199</v>
      </c>
      <c r="AC47">
        <v>1323.9184901480501</v>
      </c>
      <c r="AD47">
        <f t="shared" si="1"/>
        <v>-0.69214013497022087</v>
      </c>
      <c r="AE47">
        <f t="shared" si="2"/>
        <v>-0.67766170745268739</v>
      </c>
      <c r="AF47">
        <f t="shared" si="3"/>
        <v>-1.4478427517533541E-2</v>
      </c>
      <c r="AG47">
        <f t="shared" si="4"/>
        <v>0</v>
      </c>
      <c r="AH47">
        <f t="shared" si="5"/>
        <v>0.97908165299768879</v>
      </c>
      <c r="AI47">
        <f t="shared" si="6"/>
        <v>2.0918347002311131E-2</v>
      </c>
      <c r="AJ47">
        <f t="shared" si="7"/>
        <v>1.692140134970221</v>
      </c>
      <c r="AK47">
        <f t="shared" si="8"/>
        <v>0.30216556078564688</v>
      </c>
      <c r="AL47">
        <f t="shared" si="9"/>
        <v>1.3899745741845744</v>
      </c>
      <c r="AM47">
        <f t="shared" si="10"/>
        <v>0.17857005725531386</v>
      </c>
      <c r="AN47">
        <f t="shared" si="11"/>
        <v>0.82142994274468628</v>
      </c>
      <c r="AO47">
        <f t="shared" si="12"/>
        <v>-2.7158331528363455E-2</v>
      </c>
      <c r="AP47">
        <f t="shared" si="13"/>
        <v>-2.001383967595069E-2</v>
      </c>
    </row>
    <row r="48" spans="1:42" x14ac:dyDescent="0.35">
      <c r="A48" s="7" t="s">
        <v>35</v>
      </c>
      <c r="B48" s="11" t="s">
        <v>66</v>
      </c>
      <c r="C48" s="16">
        <f t="shared" si="0"/>
        <v>71.618784378598789</v>
      </c>
      <c r="D48">
        <v>71.618784378598804</v>
      </c>
      <c r="E48">
        <v>1.8120430642510199</v>
      </c>
      <c r="F48">
        <v>69.806741314347775</v>
      </c>
      <c r="G48">
        <v>0</v>
      </c>
      <c r="H48" s="16">
        <v>0.49401987796943558</v>
      </c>
      <c r="I48">
        <v>-421.75808205314382</v>
      </c>
      <c r="J48">
        <v>422.2521019311132</v>
      </c>
      <c r="K48">
        <v>0</v>
      </c>
      <c r="L48">
        <v>2.2682920394272248</v>
      </c>
      <c r="M48">
        <v>2.434366699665794</v>
      </c>
      <c r="N48">
        <v>5.7390569993647098E-2</v>
      </c>
      <c r="O48">
        <v>6.1592462539634997E-2</v>
      </c>
      <c r="P48">
        <v>2.210901469433578</v>
      </c>
      <c r="Q48">
        <v>2.3727742371261602</v>
      </c>
      <c r="R48">
        <v>0</v>
      </c>
      <c r="S48">
        <v>0</v>
      </c>
      <c r="T48">
        <v>1.5646472726947601E-2</v>
      </c>
      <c r="U48">
        <v>1.6792040668327901E-2</v>
      </c>
      <c r="V48">
        <v>-13.357815388599549</v>
      </c>
      <c r="W48">
        <v>-14.335817609491439</v>
      </c>
      <c r="X48">
        <v>13.373461861326501</v>
      </c>
      <c r="Y48">
        <v>14.35260965015976</v>
      </c>
      <c r="Z48">
        <v>0</v>
      </c>
      <c r="AA48">
        <v>0</v>
      </c>
      <c r="AB48">
        <v>2941.9883367789698</v>
      </c>
      <c r="AC48">
        <v>3157.38816403392</v>
      </c>
      <c r="AD48">
        <f t="shared" si="1"/>
        <v>0.99314934590240345</v>
      </c>
      <c r="AE48">
        <f t="shared" si="2"/>
        <v>0.9680214496441466</v>
      </c>
      <c r="AF48">
        <f t="shared" si="3"/>
        <v>2.5127896258256715E-2</v>
      </c>
      <c r="AG48">
        <f t="shared" si="4"/>
        <v>0</v>
      </c>
      <c r="AH48">
        <f t="shared" si="5"/>
        <v>0.97469877379275227</v>
      </c>
      <c r="AI48">
        <f t="shared" si="6"/>
        <v>2.5301226207247611E-2</v>
      </c>
      <c r="AJ48">
        <f t="shared" si="7"/>
        <v>6.8506540975965301E-3</v>
      </c>
      <c r="AK48">
        <f t="shared" si="8"/>
        <v>-5.8485880059882556</v>
      </c>
      <c r="AL48">
        <f t="shared" si="9"/>
        <v>5.8554386600858512</v>
      </c>
      <c r="AM48">
        <f t="shared" si="10"/>
        <v>-853.72694675099183</v>
      </c>
      <c r="AN48">
        <f t="shared" si="11"/>
        <v>854.72694675099171</v>
      </c>
      <c r="AO48">
        <f t="shared" si="12"/>
        <v>2.2839385121541718E-2</v>
      </c>
      <c r="AP48">
        <f t="shared" si="13"/>
        <v>2.451158740334124E-2</v>
      </c>
    </row>
    <row r="49" spans="1:42" x14ac:dyDescent="0.35">
      <c r="A49" s="7" t="s">
        <v>36</v>
      </c>
      <c r="B49" s="11" t="s">
        <v>66</v>
      </c>
      <c r="C49" s="16">
        <f t="shared" si="0"/>
        <v>1048</v>
      </c>
      <c r="D49">
        <v>1048</v>
      </c>
      <c r="E49">
        <v>294.55</v>
      </c>
      <c r="F49">
        <v>753.45</v>
      </c>
      <c r="G49">
        <v>0</v>
      </c>
      <c r="H49" s="16">
        <v>0</v>
      </c>
      <c r="I49">
        <v>0</v>
      </c>
      <c r="J49">
        <v>0</v>
      </c>
      <c r="K49">
        <v>0</v>
      </c>
      <c r="L49">
        <v>5.2586748171464457</v>
      </c>
      <c r="M49">
        <v>5.2467646833064396</v>
      </c>
      <c r="N49">
        <v>1.4779987284260361</v>
      </c>
      <c r="O49">
        <v>1.4746512762098389</v>
      </c>
      <c r="P49">
        <v>3.7806760887204089</v>
      </c>
      <c r="Q49">
        <v>3.7721134070966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19974.2138871676</v>
      </c>
      <c r="AC49">
        <v>19928.975197</v>
      </c>
      <c r="AD49">
        <f t="shared" si="1"/>
        <v>1</v>
      </c>
      <c r="AE49">
        <f t="shared" si="2"/>
        <v>0.7189408396946565</v>
      </c>
      <c r="AF49">
        <f t="shared" si="3"/>
        <v>0.2810591603053435</v>
      </c>
      <c r="AG49">
        <f t="shared" si="4"/>
        <v>0</v>
      </c>
      <c r="AH49">
        <f t="shared" si="5"/>
        <v>0.7189408396946565</v>
      </c>
      <c r="AI49">
        <f t="shared" si="6"/>
        <v>0.2810591603053435</v>
      </c>
      <c r="AJ49">
        <f t="shared" si="7"/>
        <v>0</v>
      </c>
      <c r="AK49">
        <f t="shared" si="8"/>
        <v>0</v>
      </c>
      <c r="AL49">
        <f t="shared" si="9"/>
        <v>0</v>
      </c>
      <c r="AM49" t="e">
        <f t="shared" si="10"/>
        <v>#DIV/0!</v>
      </c>
      <c r="AN49" t="e">
        <f t="shared" si="11"/>
        <v>#DIV/0!</v>
      </c>
      <c r="AO49">
        <f t="shared" si="12"/>
        <v>5.2586748171464442E-2</v>
      </c>
      <c r="AP49">
        <f t="shared" si="13"/>
        <v>5.2467646833064395E-2</v>
      </c>
    </row>
    <row r="50" spans="1:42" x14ac:dyDescent="0.35">
      <c r="A50" s="7" t="s">
        <v>37</v>
      </c>
      <c r="B50" s="11" t="s">
        <v>66</v>
      </c>
      <c r="C50" s="16">
        <f t="shared" si="0"/>
        <v>7.1567951026174805</v>
      </c>
      <c r="D50">
        <v>4.9963816139161317</v>
      </c>
      <c r="E50">
        <v>4.2542129426510002E-4</v>
      </c>
      <c r="F50">
        <v>4.9959561926218674</v>
      </c>
      <c r="G50">
        <v>2.160413488701348</v>
      </c>
      <c r="H50" s="16">
        <v>-1.5306958497704479</v>
      </c>
      <c r="I50">
        <v>-1.5306958497704479</v>
      </c>
      <c r="J50">
        <v>0</v>
      </c>
      <c r="K50">
        <v>3.026441309603181</v>
      </c>
      <c r="L50">
        <v>0.39060129242887259</v>
      </c>
      <c r="M50">
        <v>0.20978501364374219</v>
      </c>
      <c r="N50">
        <v>3.3258089595061817E-5</v>
      </c>
      <c r="O50">
        <v>1.786232896484885E-5</v>
      </c>
      <c r="P50">
        <v>0.3905680343392775</v>
      </c>
      <c r="Q50">
        <v>0.20976715131477741</v>
      </c>
      <c r="R50">
        <v>0.16889428511968749</v>
      </c>
      <c r="S50">
        <v>9.0710119487471305E-2</v>
      </c>
      <c r="T50">
        <v>-0.11966495424820529</v>
      </c>
      <c r="U50">
        <v>-6.42699206229813E-2</v>
      </c>
      <c r="V50">
        <v>-0.11966495424820529</v>
      </c>
      <c r="W50">
        <v>-6.42699206229813E-2</v>
      </c>
      <c r="X50">
        <v>0</v>
      </c>
      <c r="Y50">
        <v>0</v>
      </c>
      <c r="Z50">
        <v>0.23659759768921751</v>
      </c>
      <c r="AA50">
        <v>0.12707236566132829</v>
      </c>
      <c r="AB50">
        <v>2381.6675591522499</v>
      </c>
      <c r="AC50">
        <v>1279.1513266244399</v>
      </c>
      <c r="AD50">
        <f t="shared" si="1"/>
        <v>1.4416718519625438</v>
      </c>
      <c r="AE50">
        <f t="shared" si="2"/>
        <v>1.4415490995483851</v>
      </c>
      <c r="AF50">
        <f t="shared" si="3"/>
        <v>1.2275241415892458E-4</v>
      </c>
      <c r="AG50">
        <f t="shared" si="4"/>
        <v>0.62337258358849079</v>
      </c>
      <c r="AH50">
        <f t="shared" si="5"/>
        <v>0.99991485412301584</v>
      </c>
      <c r="AI50">
        <f t="shared" si="6"/>
        <v>8.5145876984295756E-5</v>
      </c>
      <c r="AJ50">
        <f t="shared" si="7"/>
        <v>-0.27207053785904228</v>
      </c>
      <c r="AK50">
        <f t="shared" si="8"/>
        <v>-0.44167185196254383</v>
      </c>
      <c r="AL50">
        <f t="shared" si="9"/>
        <v>0</v>
      </c>
      <c r="AM50">
        <f t="shared" si="10"/>
        <v>1</v>
      </c>
      <c r="AN50">
        <f t="shared" si="11"/>
        <v>0</v>
      </c>
      <c r="AO50">
        <f t="shared" si="12"/>
        <v>2.7093633818066724E-3</v>
      </c>
      <c r="AP50">
        <f t="shared" si="13"/>
        <v>1.4551509302076098E-3</v>
      </c>
    </row>
    <row r="51" spans="1:42" x14ac:dyDescent="0.35">
      <c r="A51" s="7" t="s">
        <v>38</v>
      </c>
      <c r="B51" s="11" t="s">
        <v>66</v>
      </c>
      <c r="C51" s="16">
        <f t="shared" si="0"/>
        <v>11.563909774436091</v>
      </c>
      <c r="D51">
        <v>1.654135338345865</v>
      </c>
      <c r="E51">
        <v>0</v>
      </c>
      <c r="F51">
        <v>1.654135338345865</v>
      </c>
      <c r="G51">
        <v>9.9097744360902258</v>
      </c>
      <c r="H51" s="16">
        <v>44.019548872180451</v>
      </c>
      <c r="I51">
        <v>3.007518796992481</v>
      </c>
      <c r="J51">
        <v>41.012030075187972</v>
      </c>
      <c r="K51">
        <v>15.47368421052632</v>
      </c>
      <c r="L51">
        <v>0.16590235659523431</v>
      </c>
      <c r="M51">
        <v>7.0877842979989003E-2</v>
      </c>
      <c r="N51">
        <v>0</v>
      </c>
      <c r="O51">
        <v>0</v>
      </c>
      <c r="P51">
        <v>0.16590235659523431</v>
      </c>
      <c r="Q51">
        <v>7.0877842979989003E-2</v>
      </c>
      <c r="R51">
        <v>0.9939059363296312</v>
      </c>
      <c r="S51">
        <v>0.42462271385284328</v>
      </c>
      <c r="T51">
        <v>4.4149633496475413</v>
      </c>
      <c r="U51">
        <v>1.886188270502926</v>
      </c>
      <c r="V51">
        <v>0.30164064835497151</v>
      </c>
      <c r="W51">
        <v>0.12886880541816181</v>
      </c>
      <c r="X51">
        <v>4.1133227012925699</v>
      </c>
      <c r="Y51">
        <v>1.7573194650847641</v>
      </c>
      <c r="Z51">
        <v>1.5519411357863291</v>
      </c>
      <c r="AA51">
        <v>0.66303000387644273</v>
      </c>
      <c r="AB51">
        <v>2333.7834064911899</v>
      </c>
      <c r="AC51">
        <v>997.05355143423003</v>
      </c>
      <c r="AD51">
        <f t="shared" si="1"/>
        <v>3.62163763869226E-2</v>
      </c>
      <c r="AE51">
        <f t="shared" si="2"/>
        <v>3.62163763869226E-2</v>
      </c>
      <c r="AF51">
        <f t="shared" si="3"/>
        <v>0</v>
      </c>
      <c r="AG51">
        <f t="shared" si="4"/>
        <v>0.2169690185361999</v>
      </c>
      <c r="AH51">
        <f t="shared" si="5"/>
        <v>1</v>
      </c>
      <c r="AI51">
        <f t="shared" si="6"/>
        <v>0</v>
      </c>
      <c r="AJ51">
        <f t="shared" si="7"/>
        <v>0.79195411627844059</v>
      </c>
      <c r="AK51">
        <f t="shared" si="8"/>
        <v>6.5847957067131979E-2</v>
      </c>
      <c r="AL51">
        <f t="shared" si="9"/>
        <v>0.89793566654594548</v>
      </c>
      <c r="AM51">
        <f t="shared" si="10"/>
        <v>6.8322344822874317E-2</v>
      </c>
      <c r="AN51">
        <f t="shared" si="11"/>
        <v>0.93167765517712575</v>
      </c>
      <c r="AO51">
        <f t="shared" si="12"/>
        <v>4.5808657062427753E-2</v>
      </c>
      <c r="AP51">
        <f t="shared" si="13"/>
        <v>1.9570661134829154E-2</v>
      </c>
    </row>
    <row r="52" spans="1:42" x14ac:dyDescent="0.35">
      <c r="A52" s="9" t="s">
        <v>39</v>
      </c>
      <c r="B52" s="11" t="s">
        <v>66</v>
      </c>
      <c r="C52" s="16">
        <f t="shared" si="0"/>
        <v>8.4705882300000006</v>
      </c>
      <c r="D52">
        <v>8.4705882300000006</v>
      </c>
      <c r="E52">
        <v>0</v>
      </c>
      <c r="F52">
        <v>8.4705882300000006</v>
      </c>
      <c r="G52">
        <v>0</v>
      </c>
      <c r="H52" s="16">
        <v>8.4705999999999992</v>
      </c>
      <c r="I52">
        <v>0</v>
      </c>
      <c r="J52">
        <v>8.4705999999999992</v>
      </c>
      <c r="K52">
        <v>0</v>
      </c>
      <c r="L52">
        <v>2.0462852131061382</v>
      </c>
      <c r="M52">
        <v>1.8076405000965221</v>
      </c>
      <c r="N52">
        <v>0</v>
      </c>
      <c r="O52">
        <v>0</v>
      </c>
      <c r="P52">
        <v>2.0462852131061382</v>
      </c>
      <c r="Q52">
        <v>1.8076405000965221</v>
      </c>
      <c r="R52">
        <v>0</v>
      </c>
      <c r="S52">
        <v>0</v>
      </c>
      <c r="T52">
        <v>2.0462880564478652</v>
      </c>
      <c r="U52">
        <v>1.8076430118381039</v>
      </c>
      <c r="V52">
        <v>0</v>
      </c>
      <c r="W52">
        <v>0</v>
      </c>
      <c r="X52">
        <v>2.0462880564478652</v>
      </c>
      <c r="Y52">
        <v>1.8076430118381039</v>
      </c>
      <c r="Z52">
        <v>0</v>
      </c>
      <c r="AA52">
        <v>0</v>
      </c>
      <c r="AB52">
        <v>468.59916169988998</v>
      </c>
      <c r="AC52">
        <v>413.94954015926999</v>
      </c>
      <c r="AD52">
        <f t="shared" si="1"/>
        <v>0.49999965262176888</v>
      </c>
      <c r="AE52">
        <f t="shared" si="2"/>
        <v>0.49999965262176888</v>
      </c>
      <c r="AF52">
        <f t="shared" si="3"/>
        <v>0</v>
      </c>
      <c r="AG52">
        <f t="shared" si="4"/>
        <v>0</v>
      </c>
      <c r="AH52">
        <f t="shared" si="5"/>
        <v>1</v>
      </c>
      <c r="AI52">
        <f t="shared" si="6"/>
        <v>0</v>
      </c>
      <c r="AJ52">
        <f t="shared" si="7"/>
        <v>0.50000034737823096</v>
      </c>
      <c r="AK52">
        <f t="shared" si="8"/>
        <v>0</v>
      </c>
      <c r="AL52">
        <f t="shared" si="9"/>
        <v>0.50000034737823096</v>
      </c>
      <c r="AM52">
        <f t="shared" si="10"/>
        <v>0</v>
      </c>
      <c r="AN52">
        <f t="shared" si="11"/>
        <v>1</v>
      </c>
      <c r="AO52">
        <f t="shared" si="12"/>
        <v>4.0925732695540042E-2</v>
      </c>
      <c r="AP52">
        <f t="shared" si="13"/>
        <v>3.6152835119346263E-2</v>
      </c>
    </row>
    <row r="53" spans="1:42" x14ac:dyDescent="0.35">
      <c r="A53" s="7" t="s">
        <v>40</v>
      </c>
      <c r="B53" s="11" t="s">
        <v>66</v>
      </c>
      <c r="C53" s="16">
        <f t="shared" si="0"/>
        <v>27.757934588838758</v>
      </c>
      <c r="D53">
        <v>15.736781814144811</v>
      </c>
      <c r="E53">
        <v>2.2949473478961182</v>
      </c>
      <c r="F53">
        <v>13.441834466248689</v>
      </c>
      <c r="G53">
        <v>12.021152774693951</v>
      </c>
      <c r="H53" s="16">
        <v>2.827267662189584</v>
      </c>
      <c r="I53">
        <v>0</v>
      </c>
      <c r="J53">
        <v>2.827267662189584</v>
      </c>
      <c r="K53">
        <v>0</v>
      </c>
      <c r="L53">
        <v>3.1781365002569171</v>
      </c>
      <c r="M53">
        <v>2.8338122233934211</v>
      </c>
      <c r="N53">
        <v>0.46347823962080031</v>
      </c>
      <c r="O53">
        <v>0.41326428257820719</v>
      </c>
      <c r="P53">
        <v>2.7146582606361171</v>
      </c>
      <c r="Q53">
        <v>2.4205479408152142</v>
      </c>
      <c r="R53">
        <v>2.427743159918478</v>
      </c>
      <c r="S53">
        <v>2.164717670647752</v>
      </c>
      <c r="T53">
        <v>0.57098348692388257</v>
      </c>
      <c r="U53">
        <v>0.50912224332400235</v>
      </c>
      <c r="V53">
        <v>0</v>
      </c>
      <c r="W53">
        <v>0</v>
      </c>
      <c r="X53">
        <v>0.57098348692388257</v>
      </c>
      <c r="Y53">
        <v>0.50912224332400235</v>
      </c>
      <c r="Z53">
        <v>0</v>
      </c>
      <c r="AA53">
        <v>0</v>
      </c>
      <c r="AB53">
        <v>555.32196820367994</v>
      </c>
      <c r="AC53">
        <v>495.15751802582002</v>
      </c>
      <c r="AD53">
        <f t="shared" si="1"/>
        <v>0.84770199703497828</v>
      </c>
      <c r="AE53">
        <f t="shared" si="2"/>
        <v>0.72407878913404378</v>
      </c>
      <c r="AF53">
        <f t="shared" si="3"/>
        <v>0.12362320790093433</v>
      </c>
      <c r="AG53">
        <f t="shared" si="4"/>
        <v>0.64755013662394167</v>
      </c>
      <c r="AH53">
        <f t="shared" si="5"/>
        <v>0.85416666666666652</v>
      </c>
      <c r="AI53">
        <f t="shared" si="6"/>
        <v>0.14583333333333334</v>
      </c>
      <c r="AJ53">
        <f t="shared" si="7"/>
        <v>9.243907033815757E-2</v>
      </c>
      <c r="AK53">
        <f t="shared" si="8"/>
        <v>0</v>
      </c>
      <c r="AL53">
        <f t="shared" si="9"/>
        <v>0.15229800296502163</v>
      </c>
      <c r="AM53">
        <f t="shared" si="10"/>
        <v>0</v>
      </c>
      <c r="AN53">
        <f t="shared" si="11"/>
        <v>1</v>
      </c>
      <c r="AO53">
        <f t="shared" si="12"/>
        <v>3.7491199871808011E-2</v>
      </c>
      <c r="AP53">
        <f t="shared" si="13"/>
        <v>3.3429344667174253E-2</v>
      </c>
    </row>
    <row r="54" spans="1:42" x14ac:dyDescent="0.35">
      <c r="A54" s="10" t="s">
        <v>41</v>
      </c>
      <c r="B54" s="12" t="s">
        <v>66</v>
      </c>
      <c r="C54" s="16">
        <f t="shared" si="0"/>
        <v>1.8854020040765489</v>
      </c>
      <c r="D54">
        <v>1.885402004076548</v>
      </c>
      <c r="E54">
        <v>1.8854020040765489</v>
      </c>
      <c r="F54">
        <v>0</v>
      </c>
      <c r="G54">
        <v>0</v>
      </c>
      <c r="H54" s="16">
        <v>-0.77448880067103687</v>
      </c>
      <c r="I54">
        <v>-0.77448880067103743</v>
      </c>
      <c r="J54">
        <v>0</v>
      </c>
      <c r="K54">
        <v>0</v>
      </c>
      <c r="L54">
        <v>0.87432710308954587</v>
      </c>
      <c r="M54">
        <v>0.4627935881679428</v>
      </c>
      <c r="N54">
        <v>0.8743271030895452</v>
      </c>
      <c r="O54">
        <v>0.46279358816794303</v>
      </c>
      <c r="P54">
        <v>0</v>
      </c>
      <c r="Q54">
        <v>0</v>
      </c>
      <c r="R54">
        <v>0</v>
      </c>
      <c r="S54">
        <v>0</v>
      </c>
      <c r="T54">
        <v>-0.35915764807817041</v>
      </c>
      <c r="U54">
        <v>-0.19010717623268381</v>
      </c>
      <c r="V54">
        <v>-0.35915764807817141</v>
      </c>
      <c r="W54">
        <v>-0.190107176232684</v>
      </c>
      <c r="X54">
        <v>0</v>
      </c>
      <c r="Y54">
        <v>0</v>
      </c>
      <c r="Z54">
        <v>0</v>
      </c>
      <c r="AA54">
        <v>0</v>
      </c>
      <c r="AB54">
        <v>407.39587848230002</v>
      </c>
      <c r="AC54">
        <v>215.64034757863999</v>
      </c>
      <c r="AD54">
        <f t="shared" si="1"/>
        <v>1.6971640973361706</v>
      </c>
      <c r="AE54">
        <f t="shared" si="2"/>
        <v>0</v>
      </c>
      <c r="AF54">
        <f t="shared" si="3"/>
        <v>1.6971640973361715</v>
      </c>
      <c r="AG54">
        <f t="shared" si="4"/>
        <v>0</v>
      </c>
      <c r="AH54">
        <f t="shared" si="5"/>
        <v>0</v>
      </c>
      <c r="AI54">
        <f t="shared" si="6"/>
        <v>1.0000000000000004</v>
      </c>
      <c r="AJ54">
        <f t="shared" si="7"/>
        <v>-0.69716409733617002</v>
      </c>
      <c r="AK54">
        <f t="shared" si="8"/>
        <v>-0.69716409733617113</v>
      </c>
      <c r="AL54">
        <f t="shared" si="9"/>
        <v>0</v>
      </c>
      <c r="AM54">
        <f t="shared" si="10"/>
        <v>1.0000000000000007</v>
      </c>
      <c r="AN54">
        <f t="shared" si="11"/>
        <v>0</v>
      </c>
      <c r="AO54">
        <f t="shared" si="12"/>
        <v>5.151694550113735E-3</v>
      </c>
      <c r="AP54">
        <f t="shared" si="13"/>
        <v>2.7268641193525884E-3</v>
      </c>
    </row>
    <row r="55" spans="1:42" x14ac:dyDescent="0.35">
      <c r="A55" s="9" t="s">
        <v>42</v>
      </c>
      <c r="B55" s="11" t="s">
        <v>66</v>
      </c>
      <c r="C55" s="16">
        <f t="shared" si="0"/>
        <v>33.672649112091534</v>
      </c>
      <c r="D55">
        <v>9.3883508485756941</v>
      </c>
      <c r="E55">
        <v>0.1167514339592107</v>
      </c>
      <c r="F55">
        <v>9.2715994146164817</v>
      </c>
      <c r="G55">
        <v>24.28429826351584</v>
      </c>
      <c r="H55" s="16">
        <v>21.16616035296634</v>
      </c>
      <c r="I55">
        <v>5.822977768715635</v>
      </c>
      <c r="J55">
        <v>15.3431825842507</v>
      </c>
      <c r="K55">
        <v>0</v>
      </c>
      <c r="L55">
        <v>2.822693643938885</v>
      </c>
      <c r="M55">
        <v>3.0181456692150008</v>
      </c>
      <c r="N55">
        <v>3.5102387615542803E-2</v>
      </c>
      <c r="O55">
        <v>3.7532985341306398E-2</v>
      </c>
      <c r="P55">
        <v>2.7875912563233429</v>
      </c>
      <c r="Q55">
        <v>2.9806126838736948</v>
      </c>
      <c r="R55">
        <v>7.3012966240329176</v>
      </c>
      <c r="S55">
        <v>7.8068609509917337</v>
      </c>
      <c r="T55">
        <v>6.363799911032654</v>
      </c>
      <c r="U55">
        <v>6.8044490702972862</v>
      </c>
      <c r="V55">
        <v>1.7507315823252001</v>
      </c>
      <c r="W55">
        <v>1.8719576438976571</v>
      </c>
      <c r="X55">
        <v>4.6130683287074534</v>
      </c>
      <c r="Y55">
        <v>4.9324914263996291</v>
      </c>
      <c r="Z55">
        <v>0</v>
      </c>
      <c r="AA55">
        <v>0</v>
      </c>
      <c r="AB55">
        <v>311.06354290107998</v>
      </c>
      <c r="AC55">
        <v>332.60254327404999</v>
      </c>
      <c r="AD55">
        <f t="shared" si="1"/>
        <v>0.30726562066886803</v>
      </c>
      <c r="AE55">
        <f t="shared" si="2"/>
        <v>0.30344453404800531</v>
      </c>
      <c r="AF55">
        <f t="shared" si="3"/>
        <v>3.8210866208626651E-3</v>
      </c>
      <c r="AG55">
        <f t="shared" si="4"/>
        <v>0.79478601713943475</v>
      </c>
      <c r="AH55">
        <f t="shared" si="5"/>
        <v>0.98756422338254168</v>
      </c>
      <c r="AI55">
        <f t="shared" si="6"/>
        <v>1.2435776617458118E-2</v>
      </c>
      <c r="AJ55">
        <f t="shared" si="7"/>
        <v>0.38597045704380156</v>
      </c>
      <c r="AK55">
        <f t="shared" si="8"/>
        <v>0.19057669521552548</v>
      </c>
      <c r="AL55">
        <f t="shared" si="9"/>
        <v>0.50215768411560635</v>
      </c>
      <c r="AM55">
        <f t="shared" si="10"/>
        <v>0.27510789258003382</v>
      </c>
      <c r="AN55">
        <f t="shared" si="11"/>
        <v>0.7248921074199659</v>
      </c>
      <c r="AO55">
        <f t="shared" si="12"/>
        <v>9.1864935549715407E-2</v>
      </c>
      <c r="AP55">
        <f t="shared" si="13"/>
        <v>9.8225947395122887E-2</v>
      </c>
    </row>
    <row r="56" spans="1:42" x14ac:dyDescent="0.35">
      <c r="A56" s="9" t="s">
        <v>43</v>
      </c>
      <c r="B56" s="11" t="s">
        <v>66</v>
      </c>
      <c r="C56" s="16">
        <f t="shared" si="0"/>
        <v>1.2481951410000001</v>
      </c>
      <c r="D56">
        <v>1.2481951410000001</v>
      </c>
      <c r="E56">
        <v>0.33243433</v>
      </c>
      <c r="F56">
        <v>0.91576081099999995</v>
      </c>
      <c r="G56">
        <v>0</v>
      </c>
      <c r="H56" s="16">
        <v>0.67566216200000007</v>
      </c>
      <c r="I56">
        <v>0.61666216200000001</v>
      </c>
      <c r="J56">
        <v>5.8999999999999997E-2</v>
      </c>
      <c r="K56">
        <v>0</v>
      </c>
      <c r="L56">
        <v>4.6408796097126643</v>
      </c>
      <c r="M56">
        <v>2.7186939247924111</v>
      </c>
      <c r="N56">
        <v>1.2360148289228849</v>
      </c>
      <c r="O56">
        <v>0.72407523765824</v>
      </c>
      <c r="P56">
        <v>3.4048647807897798</v>
      </c>
      <c r="Q56">
        <v>1.99461868713417</v>
      </c>
      <c r="R56">
        <v>0</v>
      </c>
      <c r="S56">
        <v>0</v>
      </c>
      <c r="T56">
        <v>2.5121606771902791</v>
      </c>
      <c r="U56">
        <v>1.471659802785201</v>
      </c>
      <c r="V56">
        <v>2.2927944194802219</v>
      </c>
      <c r="W56">
        <v>1.3431518986170721</v>
      </c>
      <c r="X56">
        <v>0.21936625771005719</v>
      </c>
      <c r="Y56">
        <v>0.12850790416812899</v>
      </c>
      <c r="Z56">
        <v>0</v>
      </c>
      <c r="AA56">
        <v>0</v>
      </c>
      <c r="AB56">
        <v>45.911572818750003</v>
      </c>
      <c r="AC56">
        <v>26.895658710639999</v>
      </c>
      <c r="AD56">
        <f t="shared" si="1"/>
        <v>0.64879819259651195</v>
      </c>
      <c r="AE56">
        <f t="shared" si="2"/>
        <v>0.47600246108273858</v>
      </c>
      <c r="AF56">
        <f t="shared" si="3"/>
        <v>0.17279573151377328</v>
      </c>
      <c r="AG56">
        <f t="shared" si="4"/>
        <v>0</v>
      </c>
      <c r="AH56">
        <f t="shared" si="5"/>
        <v>0.73366798260913912</v>
      </c>
      <c r="AI56">
        <f t="shared" si="6"/>
        <v>0.26633201739086082</v>
      </c>
      <c r="AJ56">
        <f t="shared" si="7"/>
        <v>0.35120180740348811</v>
      </c>
      <c r="AK56">
        <f t="shared" si="8"/>
        <v>0.32053425222255166</v>
      </c>
      <c r="AL56">
        <f t="shared" si="9"/>
        <v>3.0667555180936407E-2</v>
      </c>
      <c r="AM56">
        <f t="shared" si="10"/>
        <v>0.91267825354411358</v>
      </c>
      <c r="AN56">
        <f t="shared" si="11"/>
        <v>8.732174645588632E-2</v>
      </c>
      <c r="AO56">
        <f t="shared" si="12"/>
        <v>7.1530402869029439E-2</v>
      </c>
      <c r="AP56">
        <f t="shared" si="13"/>
        <v>4.1903537275776115E-2</v>
      </c>
    </row>
    <row r="57" spans="1:42" x14ac:dyDescent="0.35">
      <c r="A57" s="9" t="s">
        <v>44</v>
      </c>
      <c r="B57" s="11" t="s">
        <v>66</v>
      </c>
      <c r="C57" s="16">
        <f t="shared" si="0"/>
        <v>4.4900342188398579</v>
      </c>
      <c r="D57">
        <v>3.252665849099563</v>
      </c>
      <c r="E57">
        <v>1.5678041258934421</v>
      </c>
      <c r="F57">
        <v>1.684861723206122</v>
      </c>
      <c r="G57">
        <v>1.237368369740294</v>
      </c>
      <c r="H57" s="16">
        <v>3.751470525980066</v>
      </c>
      <c r="I57">
        <v>1.54465361043267</v>
      </c>
      <c r="J57">
        <v>2.206816915547396</v>
      </c>
      <c r="K57">
        <v>1.0928320704267229</v>
      </c>
      <c r="L57">
        <v>1.2768362788335079</v>
      </c>
      <c r="M57">
        <v>1.280968867756558</v>
      </c>
      <c r="N57">
        <v>0.6154426181219228</v>
      </c>
      <c r="O57">
        <v>0.61743455035989681</v>
      </c>
      <c r="P57">
        <v>0.66139366071158512</v>
      </c>
      <c r="Q57">
        <v>0.6635343173966608</v>
      </c>
      <c r="R57">
        <v>0.48572982841223911</v>
      </c>
      <c r="S57">
        <v>0.4873019342035354</v>
      </c>
      <c r="T57">
        <v>1.4726424074185149</v>
      </c>
      <c r="U57">
        <v>1.477408739485826</v>
      </c>
      <c r="V57">
        <v>0.60635486690942364</v>
      </c>
      <c r="W57">
        <v>0.60831738586973727</v>
      </c>
      <c r="X57">
        <v>0.8662875405090924</v>
      </c>
      <c r="Y57">
        <v>0.86909135361608847</v>
      </c>
      <c r="Z57">
        <v>0.42899200192354658</v>
      </c>
      <c r="AA57">
        <v>0.43038047092667181</v>
      </c>
      <c r="AB57">
        <v>253.92231856471</v>
      </c>
      <c r="AC57">
        <v>254.7441596875</v>
      </c>
      <c r="AD57">
        <f t="shared" si="1"/>
        <v>0.46439213557754067</v>
      </c>
      <c r="AE57">
        <f t="shared" si="2"/>
        <v>0.2405523869010856</v>
      </c>
      <c r="AF57">
        <f t="shared" si="3"/>
        <v>0.2238397486764552</v>
      </c>
      <c r="AG57">
        <f t="shared" si="4"/>
        <v>0.17666251818608067</v>
      </c>
      <c r="AH57">
        <f t="shared" si="5"/>
        <v>0.51799410126082979</v>
      </c>
      <c r="AI57">
        <f t="shared" si="6"/>
        <v>0.48200589873917055</v>
      </c>
      <c r="AJ57">
        <f t="shared" si="7"/>
        <v>0.45519242445840941</v>
      </c>
      <c r="AK57">
        <f t="shared" si="8"/>
        <v>0.22053448529764089</v>
      </c>
      <c r="AL57">
        <f t="shared" si="9"/>
        <v>0.31507337912481853</v>
      </c>
      <c r="AM57">
        <f t="shared" si="10"/>
        <v>0.41174616719909629</v>
      </c>
      <c r="AN57">
        <f t="shared" si="11"/>
        <v>0.58825383280090371</v>
      </c>
      <c r="AO57">
        <f t="shared" si="12"/>
        <v>2.7494786862520222E-2</v>
      </c>
      <c r="AP57">
        <f t="shared" si="13"/>
        <v>2.7583776072423828E-2</v>
      </c>
    </row>
    <row r="58" spans="1:42" x14ac:dyDescent="0.35">
      <c r="A58" s="9" t="s">
        <v>45</v>
      </c>
      <c r="B58" s="11" t="s">
        <v>66</v>
      </c>
      <c r="C58" s="16">
        <f t="shared" si="0"/>
        <v>4.02544590517134</v>
      </c>
      <c r="D58">
        <v>4.0254459051713392</v>
      </c>
      <c r="E58">
        <v>0.707075905171339</v>
      </c>
      <c r="F58">
        <v>3.3183700000000012</v>
      </c>
      <c r="G58">
        <v>0</v>
      </c>
      <c r="H58" s="16">
        <v>6.7446143999999997</v>
      </c>
      <c r="I58">
        <v>5.3117944000000001</v>
      </c>
      <c r="J58">
        <v>1.43282</v>
      </c>
      <c r="K58">
        <v>0</v>
      </c>
      <c r="L58">
        <v>1.9741964283923019</v>
      </c>
      <c r="M58">
        <v>1.3349414777105451</v>
      </c>
      <c r="N58">
        <v>0.3467707080098239</v>
      </c>
      <c r="O58">
        <v>0.2344845703901644</v>
      </c>
      <c r="P58">
        <v>1.6274257203824789</v>
      </c>
      <c r="Q58">
        <v>1.10045690732038</v>
      </c>
      <c r="R58">
        <v>0</v>
      </c>
      <c r="S58">
        <v>0</v>
      </c>
      <c r="T58">
        <v>3.3077562021781892</v>
      </c>
      <c r="U58">
        <v>2.236687742383308</v>
      </c>
      <c r="V58">
        <v>2.6050593598494491</v>
      </c>
      <c r="W58">
        <v>1.7615277493907291</v>
      </c>
      <c r="X58">
        <v>0.70269684232874052</v>
      </c>
      <c r="Y58">
        <v>0.47515999299257961</v>
      </c>
      <c r="Z58">
        <v>0</v>
      </c>
      <c r="AA58">
        <v>0</v>
      </c>
      <c r="AB58">
        <v>301.54474727050001</v>
      </c>
      <c r="AC58">
        <v>203.90300819506001</v>
      </c>
      <c r="AD58">
        <f t="shared" si="1"/>
        <v>0.37376261516739012</v>
      </c>
      <c r="AE58">
        <f t="shared" si="2"/>
        <v>0.30811062389378235</v>
      </c>
      <c r="AF58">
        <f t="shared" si="3"/>
        <v>6.5651991273607851E-2</v>
      </c>
      <c r="AG58">
        <f t="shared" si="4"/>
        <v>0</v>
      </c>
      <c r="AH58">
        <f t="shared" si="5"/>
        <v>0.82434842702444866</v>
      </c>
      <c r="AI58">
        <f t="shared" si="6"/>
        <v>0.17565157297555165</v>
      </c>
      <c r="AJ58">
        <f t="shared" si="7"/>
        <v>0.62623738483260982</v>
      </c>
      <c r="AK58">
        <f t="shared" si="8"/>
        <v>0.49320006104789366</v>
      </c>
      <c r="AL58">
        <f t="shared" si="9"/>
        <v>0.13303732378471633</v>
      </c>
      <c r="AM58">
        <f t="shared" si="10"/>
        <v>0.78756087227166027</v>
      </c>
      <c r="AN58">
        <f t="shared" si="11"/>
        <v>0.21243912772833981</v>
      </c>
      <c r="AO58">
        <f t="shared" si="12"/>
        <v>5.2819526305704918E-2</v>
      </c>
      <c r="AP58">
        <f t="shared" si="13"/>
        <v>3.5716292200938526E-2</v>
      </c>
    </row>
    <row r="59" spans="1:42" x14ac:dyDescent="0.35">
      <c r="A59" s="9" t="s">
        <v>46</v>
      </c>
      <c r="B59" s="11" t="s">
        <v>66</v>
      </c>
      <c r="C59" s="16">
        <f t="shared" si="0"/>
        <v>0</v>
      </c>
      <c r="D59">
        <v>0</v>
      </c>
      <c r="E59">
        <v>0</v>
      </c>
      <c r="F59">
        <v>0</v>
      </c>
      <c r="G59">
        <v>0</v>
      </c>
      <c r="H59" s="16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19.06914282116</v>
      </c>
      <c r="AC59">
        <v>20.729999827290001</v>
      </c>
      <c r="AD59" t="e">
        <f t="shared" si="1"/>
        <v>#DIV/0!</v>
      </c>
      <c r="AE59" t="e">
        <f t="shared" si="2"/>
        <v>#DIV/0!</v>
      </c>
      <c r="AF59" t="e">
        <f t="shared" si="3"/>
        <v>#DIV/0!</v>
      </c>
      <c r="AG59" t="e">
        <f t="shared" si="4"/>
        <v>#DIV/0!</v>
      </c>
      <c r="AH59" t="e">
        <f t="shared" si="5"/>
        <v>#DIV/0!</v>
      </c>
      <c r="AI59" t="e">
        <f t="shared" si="6"/>
        <v>#DIV/0!</v>
      </c>
      <c r="AJ59" t="e">
        <f t="shared" si="7"/>
        <v>#DIV/0!</v>
      </c>
      <c r="AK59" t="e">
        <f t="shared" si="8"/>
        <v>#DIV/0!</v>
      </c>
      <c r="AL59" t="e">
        <f t="shared" si="9"/>
        <v>#DIV/0!</v>
      </c>
      <c r="AM59" t="e">
        <f t="shared" si="10"/>
        <v>#DIV/0!</v>
      </c>
      <c r="AN59" t="e">
        <f t="shared" si="11"/>
        <v>#DIV/0!</v>
      </c>
      <c r="AO59">
        <f t="shared" si="12"/>
        <v>0</v>
      </c>
      <c r="AP59">
        <f t="shared" si="13"/>
        <v>0</v>
      </c>
    </row>
    <row r="60" spans="1:42" x14ac:dyDescent="0.35">
      <c r="A60" s="9" t="s">
        <v>47</v>
      </c>
      <c r="B60" s="11" t="s">
        <v>66</v>
      </c>
      <c r="C60" s="16">
        <f t="shared" si="0"/>
        <v>0</v>
      </c>
      <c r="D60">
        <v>0</v>
      </c>
      <c r="E60">
        <v>0</v>
      </c>
      <c r="F60">
        <v>0</v>
      </c>
      <c r="G60">
        <v>0</v>
      </c>
      <c r="H60" s="16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417.89075855828003</v>
      </c>
      <c r="AC60">
        <v>371.46659669328</v>
      </c>
      <c r="AD60" t="e">
        <f t="shared" si="1"/>
        <v>#DIV/0!</v>
      </c>
      <c r="AE60" t="e">
        <f t="shared" si="2"/>
        <v>#DIV/0!</v>
      </c>
      <c r="AF60" t="e">
        <f t="shared" si="3"/>
        <v>#DIV/0!</v>
      </c>
      <c r="AG60" t="e">
        <f t="shared" si="4"/>
        <v>#DIV/0!</v>
      </c>
      <c r="AH60" t="e">
        <f t="shared" si="5"/>
        <v>#DIV/0!</v>
      </c>
      <c r="AI60" t="e">
        <f t="shared" si="6"/>
        <v>#DIV/0!</v>
      </c>
      <c r="AJ60" t="e">
        <f t="shared" si="7"/>
        <v>#DIV/0!</v>
      </c>
      <c r="AK60" t="e">
        <f t="shared" si="8"/>
        <v>#DIV/0!</v>
      </c>
      <c r="AL60" t="e">
        <f t="shared" si="9"/>
        <v>#DIV/0!</v>
      </c>
      <c r="AM60" t="e">
        <f t="shared" si="10"/>
        <v>#DIV/0!</v>
      </c>
      <c r="AN60" t="e">
        <f t="shared" si="11"/>
        <v>#DIV/0!</v>
      </c>
      <c r="AO60">
        <f t="shared" si="12"/>
        <v>0</v>
      </c>
      <c r="AP60">
        <f t="shared" si="13"/>
        <v>0</v>
      </c>
    </row>
    <row r="61" spans="1:42" x14ac:dyDescent="0.35">
      <c r="A61" s="9" t="s">
        <v>48</v>
      </c>
      <c r="B61" s="11" t="s">
        <v>66</v>
      </c>
      <c r="C61" s="16">
        <f t="shared" si="0"/>
        <v>0</v>
      </c>
      <c r="D61">
        <v>0</v>
      </c>
      <c r="E61">
        <v>0</v>
      </c>
      <c r="F61">
        <v>0</v>
      </c>
      <c r="G61">
        <v>0</v>
      </c>
      <c r="H61" s="16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342.39670930134002</v>
      </c>
      <c r="AC61">
        <v>358.46025273358998</v>
      </c>
      <c r="AD61" t="e">
        <f t="shared" si="1"/>
        <v>#DIV/0!</v>
      </c>
      <c r="AE61" t="e">
        <f t="shared" si="2"/>
        <v>#DIV/0!</v>
      </c>
      <c r="AF61" t="e">
        <f t="shared" si="3"/>
        <v>#DIV/0!</v>
      </c>
      <c r="AG61" t="e">
        <f t="shared" si="4"/>
        <v>#DIV/0!</v>
      </c>
      <c r="AH61" t="e">
        <f t="shared" si="5"/>
        <v>#DIV/0!</v>
      </c>
      <c r="AI61" t="e">
        <f t="shared" si="6"/>
        <v>#DIV/0!</v>
      </c>
      <c r="AJ61" t="e">
        <f t="shared" si="7"/>
        <v>#DIV/0!</v>
      </c>
      <c r="AK61" t="e">
        <f t="shared" si="8"/>
        <v>#DIV/0!</v>
      </c>
      <c r="AL61" t="e">
        <f t="shared" si="9"/>
        <v>#DIV/0!</v>
      </c>
      <c r="AM61" t="e">
        <f t="shared" si="10"/>
        <v>#DIV/0!</v>
      </c>
      <c r="AN61" t="e">
        <f t="shared" si="11"/>
        <v>#DIV/0!</v>
      </c>
      <c r="AO61">
        <f t="shared" si="12"/>
        <v>0</v>
      </c>
      <c r="AP61">
        <f t="shared" si="13"/>
        <v>0</v>
      </c>
    </row>
    <row r="62" spans="1:42" x14ac:dyDescent="0.35">
      <c r="A62" s="10" t="s">
        <v>49</v>
      </c>
      <c r="B62" s="11" t="s">
        <v>66</v>
      </c>
      <c r="C62" s="16">
        <f t="shared" si="0"/>
        <v>0</v>
      </c>
      <c r="D62">
        <v>0</v>
      </c>
      <c r="E62">
        <v>0</v>
      </c>
      <c r="F62">
        <v>0</v>
      </c>
      <c r="G62">
        <v>0</v>
      </c>
      <c r="H62" s="16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55.422589739999999</v>
      </c>
      <c r="AC62">
        <v>30.160077523049999</v>
      </c>
      <c r="AD62" t="e">
        <f t="shared" si="1"/>
        <v>#DIV/0!</v>
      </c>
      <c r="AE62" t="e">
        <f t="shared" si="2"/>
        <v>#DIV/0!</v>
      </c>
      <c r="AF62" t="e">
        <f t="shared" si="3"/>
        <v>#DIV/0!</v>
      </c>
      <c r="AG62" t="e">
        <f t="shared" si="4"/>
        <v>#DIV/0!</v>
      </c>
      <c r="AH62" t="e">
        <f t="shared" si="5"/>
        <v>#DIV/0!</v>
      </c>
      <c r="AI62" t="e">
        <f t="shared" si="6"/>
        <v>#DIV/0!</v>
      </c>
      <c r="AJ62" t="e">
        <f t="shared" si="7"/>
        <v>#DIV/0!</v>
      </c>
      <c r="AK62" t="e">
        <f t="shared" si="8"/>
        <v>#DIV/0!</v>
      </c>
      <c r="AL62" t="e">
        <f t="shared" si="9"/>
        <v>#DIV/0!</v>
      </c>
      <c r="AM62" t="e">
        <f t="shared" si="10"/>
        <v>#DIV/0!</v>
      </c>
      <c r="AN62" t="e">
        <f t="shared" si="11"/>
        <v>#DIV/0!</v>
      </c>
      <c r="AO62">
        <f t="shared" si="12"/>
        <v>0</v>
      </c>
      <c r="AP62">
        <f t="shared" si="13"/>
        <v>0</v>
      </c>
    </row>
    <row r="63" spans="1:42" x14ac:dyDescent="0.35">
      <c r="A63" s="9" t="s">
        <v>50</v>
      </c>
      <c r="B63" s="11" t="s">
        <v>66</v>
      </c>
      <c r="C63" s="16">
        <f t="shared" si="0"/>
        <v>0</v>
      </c>
      <c r="D63">
        <v>0</v>
      </c>
      <c r="E63">
        <v>0</v>
      </c>
      <c r="F63">
        <v>0</v>
      </c>
      <c r="G63">
        <v>0</v>
      </c>
      <c r="H63" s="16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97.136073348400004</v>
      </c>
      <c r="AC63">
        <v>48.216768505140003</v>
      </c>
      <c r="AD63" t="e">
        <f t="shared" si="1"/>
        <v>#DIV/0!</v>
      </c>
      <c r="AE63" t="e">
        <f t="shared" si="2"/>
        <v>#DIV/0!</v>
      </c>
      <c r="AF63" t="e">
        <f t="shared" si="3"/>
        <v>#DIV/0!</v>
      </c>
      <c r="AG63" t="e">
        <f t="shared" si="4"/>
        <v>#DIV/0!</v>
      </c>
      <c r="AH63" t="e">
        <f t="shared" si="5"/>
        <v>#DIV/0!</v>
      </c>
      <c r="AI63" t="e">
        <f t="shared" si="6"/>
        <v>#DIV/0!</v>
      </c>
      <c r="AJ63" t="e">
        <f t="shared" si="7"/>
        <v>#DIV/0!</v>
      </c>
      <c r="AK63" t="e">
        <f t="shared" si="8"/>
        <v>#DIV/0!</v>
      </c>
      <c r="AL63" t="e">
        <f t="shared" si="9"/>
        <v>#DIV/0!</v>
      </c>
      <c r="AM63" t="e">
        <f t="shared" si="10"/>
        <v>#DIV/0!</v>
      </c>
      <c r="AN63" t="e">
        <f t="shared" si="11"/>
        <v>#DIV/0!</v>
      </c>
      <c r="AO63">
        <f t="shared" si="12"/>
        <v>0</v>
      </c>
      <c r="AP63">
        <f t="shared" si="13"/>
        <v>0</v>
      </c>
    </row>
    <row r="64" spans="1:42" x14ac:dyDescent="0.35">
      <c r="A64" s="9" t="s">
        <v>51</v>
      </c>
      <c r="B64" s="11" t="s">
        <v>66</v>
      </c>
      <c r="C64" s="16">
        <f t="shared" si="0"/>
        <v>0</v>
      </c>
      <c r="D64">
        <v>0</v>
      </c>
      <c r="E64">
        <v>0</v>
      </c>
      <c r="F64">
        <v>0</v>
      </c>
      <c r="G64">
        <v>0</v>
      </c>
      <c r="H64" s="16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66.343484468840003</v>
      </c>
      <c r="AC64">
        <v>66.557495896739994</v>
      </c>
      <c r="AD64" t="e">
        <f t="shared" si="1"/>
        <v>#DIV/0!</v>
      </c>
      <c r="AE64" t="e">
        <f t="shared" si="2"/>
        <v>#DIV/0!</v>
      </c>
      <c r="AF64" t="e">
        <f t="shared" si="3"/>
        <v>#DIV/0!</v>
      </c>
      <c r="AG64" t="e">
        <f t="shared" si="4"/>
        <v>#DIV/0!</v>
      </c>
      <c r="AH64" t="e">
        <f t="shared" si="5"/>
        <v>#DIV/0!</v>
      </c>
      <c r="AI64" t="e">
        <f t="shared" si="6"/>
        <v>#DIV/0!</v>
      </c>
      <c r="AJ64" t="e">
        <f t="shared" si="7"/>
        <v>#DIV/0!</v>
      </c>
      <c r="AK64" t="e">
        <f t="shared" si="8"/>
        <v>#DIV/0!</v>
      </c>
      <c r="AL64" t="e">
        <f t="shared" si="9"/>
        <v>#DIV/0!</v>
      </c>
      <c r="AM64" t="e">
        <f t="shared" si="10"/>
        <v>#DIV/0!</v>
      </c>
      <c r="AN64" t="e">
        <f t="shared" si="11"/>
        <v>#DIV/0!</v>
      </c>
      <c r="AO64">
        <f t="shared" si="12"/>
        <v>0</v>
      </c>
      <c r="AP64">
        <f t="shared" si="13"/>
        <v>0</v>
      </c>
    </row>
    <row r="65" spans="1:42" x14ac:dyDescent="0.35">
      <c r="A65" s="9" t="s">
        <v>52</v>
      </c>
      <c r="B65" s="11" t="s">
        <v>66</v>
      </c>
      <c r="C65" s="16">
        <f t="shared" si="0"/>
        <v>1.957703643926207</v>
      </c>
      <c r="D65">
        <v>11.987077390271081</v>
      </c>
      <c r="E65">
        <v>0.76498244929870585</v>
      </c>
      <c r="F65">
        <v>11.22209494097237</v>
      </c>
      <c r="G65">
        <v>-10.02937374634487</v>
      </c>
      <c r="H65" s="16">
        <v>33.440661355057721</v>
      </c>
      <c r="I65">
        <v>0</v>
      </c>
      <c r="J65">
        <v>33.440661355057721</v>
      </c>
      <c r="K65">
        <v>0</v>
      </c>
      <c r="L65">
        <v>1.426607709170238</v>
      </c>
      <c r="M65">
        <v>1.285559586199561</v>
      </c>
      <c r="N65">
        <v>9.1042196860696603E-2</v>
      </c>
      <c r="O65">
        <v>8.2040891949904396E-2</v>
      </c>
      <c r="P65">
        <v>1.3355655123095409</v>
      </c>
      <c r="Q65">
        <v>1.203518694249657</v>
      </c>
      <c r="R65">
        <v>-1.1936172128410389</v>
      </c>
      <c r="S65">
        <v>-1.0756047653163849</v>
      </c>
      <c r="T65">
        <v>3.979844605624737</v>
      </c>
      <c r="U65">
        <v>3.5863589909529652</v>
      </c>
      <c r="V65">
        <v>0</v>
      </c>
      <c r="W65">
        <v>0</v>
      </c>
      <c r="X65">
        <v>3.979844605624737</v>
      </c>
      <c r="Y65">
        <v>3.5863589909529652</v>
      </c>
      <c r="Z65">
        <v>0</v>
      </c>
      <c r="AA65">
        <v>0</v>
      </c>
      <c r="AB65">
        <v>932.44043441874999</v>
      </c>
      <c r="AC65">
        <v>840.25042856688003</v>
      </c>
      <c r="AD65">
        <f t="shared" si="1"/>
        <v>0.26387132006441055</v>
      </c>
      <c r="AE65">
        <f t="shared" si="2"/>
        <v>0.24703177509856364</v>
      </c>
      <c r="AF65">
        <f t="shared" si="3"/>
        <v>1.6839544965846814E-2</v>
      </c>
      <c r="AG65">
        <f t="shared" si="4"/>
        <v>-0.2207764247868525</v>
      </c>
      <c r="AH65">
        <f t="shared" si="5"/>
        <v>0.93618273876169489</v>
      </c>
      <c r="AI65">
        <f t="shared" si="6"/>
        <v>6.3817261238304751E-2</v>
      </c>
      <c r="AJ65">
        <f t="shared" si="7"/>
        <v>0.94469508283836268</v>
      </c>
      <c r="AK65">
        <f t="shared" si="8"/>
        <v>0</v>
      </c>
      <c r="AL65">
        <f t="shared" si="9"/>
        <v>0.73612867993558939</v>
      </c>
      <c r="AM65">
        <f t="shared" si="10"/>
        <v>0</v>
      </c>
      <c r="AN65">
        <f t="shared" si="11"/>
        <v>1</v>
      </c>
      <c r="AO65">
        <f t="shared" si="12"/>
        <v>5.4064523147949774E-2</v>
      </c>
      <c r="AP65">
        <f t="shared" si="13"/>
        <v>4.8719185771525265E-2</v>
      </c>
    </row>
    <row r="66" spans="1:42" x14ac:dyDescent="0.35">
      <c r="A66" s="10" t="s">
        <v>53</v>
      </c>
      <c r="B66" s="12" t="s">
        <v>66</v>
      </c>
      <c r="C66" s="16">
        <f t="shared" si="0"/>
        <v>28.1225464637951</v>
      </c>
      <c r="D66">
        <v>28.1225464637951</v>
      </c>
      <c r="E66">
        <v>0</v>
      </c>
      <c r="F66">
        <v>28.1225464637951</v>
      </c>
      <c r="G66">
        <v>0</v>
      </c>
      <c r="H66" s="16">
        <v>1.1458115023238651</v>
      </c>
      <c r="I66">
        <v>1.1458115023238651</v>
      </c>
      <c r="J66">
        <v>0</v>
      </c>
      <c r="K66">
        <v>0</v>
      </c>
      <c r="L66">
        <v>13.85762930642086</v>
      </c>
      <c r="M66">
        <v>14.498115587265049</v>
      </c>
      <c r="N66">
        <v>0</v>
      </c>
      <c r="O66">
        <v>0</v>
      </c>
      <c r="P66">
        <v>13.85762930642086</v>
      </c>
      <c r="Q66">
        <v>14.498115587265049</v>
      </c>
      <c r="R66">
        <v>0</v>
      </c>
      <c r="S66">
        <v>0</v>
      </c>
      <c r="T66">
        <v>0.5646085810429331</v>
      </c>
      <c r="U66">
        <v>0.5907042459080154</v>
      </c>
      <c r="V66">
        <v>0.56460858104293332</v>
      </c>
      <c r="W66">
        <v>0.5907042459080154</v>
      </c>
      <c r="X66">
        <v>0</v>
      </c>
      <c r="Y66">
        <v>0</v>
      </c>
      <c r="Z66">
        <v>0</v>
      </c>
      <c r="AA66">
        <v>0</v>
      </c>
      <c r="AB66">
        <v>193.97380504054999</v>
      </c>
      <c r="AC66">
        <v>202.93908750153</v>
      </c>
      <c r="AD66">
        <f t="shared" si="1"/>
        <v>0.96085152765829029</v>
      </c>
      <c r="AE66">
        <f t="shared" si="2"/>
        <v>0.96085152765829029</v>
      </c>
      <c r="AF66">
        <f t="shared" si="3"/>
        <v>0</v>
      </c>
      <c r="AG66">
        <f t="shared" si="4"/>
        <v>0</v>
      </c>
      <c r="AH66">
        <f t="shared" si="5"/>
        <v>1</v>
      </c>
      <c r="AI66">
        <f t="shared" si="6"/>
        <v>0</v>
      </c>
      <c r="AJ66">
        <f t="shared" si="7"/>
        <v>3.9148472341709629E-2</v>
      </c>
      <c r="AK66">
        <f t="shared" si="8"/>
        <v>3.9148472341709629E-2</v>
      </c>
      <c r="AL66">
        <f t="shared" si="9"/>
        <v>0</v>
      </c>
      <c r="AM66">
        <f t="shared" si="10"/>
        <v>1</v>
      </c>
      <c r="AN66">
        <f t="shared" si="11"/>
        <v>0</v>
      </c>
      <c r="AO66">
        <f t="shared" si="12"/>
        <v>0.14422237887463796</v>
      </c>
      <c r="AP66">
        <f t="shared" si="13"/>
        <v>0.15088819833173067</v>
      </c>
    </row>
    <row r="67" spans="1:42" x14ac:dyDescent="0.35">
      <c r="A67" s="9" t="s">
        <v>54</v>
      </c>
      <c r="B67" s="11" t="s">
        <v>66</v>
      </c>
      <c r="C67" s="16">
        <f t="shared" ref="C67:C130" si="14">E67+F67+G67</f>
        <v>-8.1</v>
      </c>
      <c r="D67">
        <v>-8.1</v>
      </c>
      <c r="E67">
        <v>0</v>
      </c>
      <c r="F67">
        <v>-8.1</v>
      </c>
      <c r="G67">
        <v>0</v>
      </c>
      <c r="H67" s="16">
        <v>7.1492515149594507</v>
      </c>
      <c r="I67">
        <v>-0.35867162723845958</v>
      </c>
      <c r="J67">
        <v>7.5079231421979111</v>
      </c>
      <c r="K67">
        <v>0</v>
      </c>
      <c r="L67">
        <v>-1.974409057893133</v>
      </c>
      <c r="M67">
        <v>-2.4511712488266699</v>
      </c>
      <c r="N67">
        <v>0</v>
      </c>
      <c r="O67">
        <v>0</v>
      </c>
      <c r="P67">
        <v>-1.974409057893133</v>
      </c>
      <c r="Q67">
        <v>-2.4511712488266699</v>
      </c>
      <c r="R67">
        <v>0</v>
      </c>
      <c r="S67">
        <v>0</v>
      </c>
      <c r="T67">
        <v>1.742660117073104</v>
      </c>
      <c r="U67">
        <v>2.1634616992714961</v>
      </c>
      <c r="V67">
        <v>-8.7427717238133695E-2</v>
      </c>
      <c r="W67">
        <v>-0.1085389605502209</v>
      </c>
      <c r="X67">
        <v>1.8300878343112379</v>
      </c>
      <c r="Y67">
        <v>2.2720006598217171</v>
      </c>
      <c r="Z67">
        <v>0</v>
      </c>
      <c r="AA67">
        <v>0</v>
      </c>
      <c r="AB67">
        <v>330.45426768437</v>
      </c>
      <c r="AC67">
        <v>410.24933347112</v>
      </c>
      <c r="AD67">
        <f t="shared" ref="AD67:AD130" si="15">D67/(D67+H67)</f>
        <v>8.5196033729725471</v>
      </c>
      <c r="AE67">
        <f t="shared" ref="AE67:AE130" si="16">(F67/(D67+H67))</f>
        <v>8.5196033729725471</v>
      </c>
      <c r="AF67">
        <f t="shared" ref="AF67:AF130" si="17">(E67/(D67+H67))</f>
        <v>0</v>
      </c>
      <c r="AG67">
        <f t="shared" ref="AG67:AG130" si="18">(G67/(D67+H67))</f>
        <v>0</v>
      </c>
      <c r="AH67">
        <f t="shared" ref="AH67:AH130" si="19">(F67/(D67))</f>
        <v>1</v>
      </c>
      <c r="AI67">
        <f t="shared" ref="AI67:AI130" si="20">E67/D67</f>
        <v>0</v>
      </c>
      <c r="AJ67">
        <f t="shared" ref="AJ67:AJ130" si="21">(H67/(C67+H67))</f>
        <v>-7.5196033729725462</v>
      </c>
      <c r="AK67">
        <f t="shared" ref="AK67:AK130" si="22">(I67/(D67+H67))</f>
        <v>0.37725185249510274</v>
      </c>
      <c r="AL67">
        <f t="shared" ref="AL67:AL130" si="23">(J67/(D67+H67))</f>
        <v>-7.8968552254676503</v>
      </c>
      <c r="AM67">
        <f t="shared" ref="AM67:AM130" si="24">(I67/H67)</f>
        <v>-5.0169115814146022E-2</v>
      </c>
      <c r="AN67">
        <f t="shared" ref="AN67:AN130" si="25">J67/H67</f>
        <v>1.0501691158141462</v>
      </c>
      <c r="AO67">
        <f t="shared" ref="AO67:AO130" si="26">(D67+H67)/AC67</f>
        <v>-2.3174894082002894E-3</v>
      </c>
      <c r="AP67">
        <f t="shared" ref="AP67:AP130" si="27">($D67+$H67)/AB67</f>
        <v>-2.8770954955517373E-3</v>
      </c>
    </row>
    <row r="68" spans="1:42" x14ac:dyDescent="0.35">
      <c r="A68" s="9" t="s">
        <v>55</v>
      </c>
      <c r="B68" s="11" t="s">
        <v>66</v>
      </c>
      <c r="C68" s="16">
        <f t="shared" si="14"/>
        <v>0</v>
      </c>
      <c r="D68">
        <v>0</v>
      </c>
      <c r="E68">
        <v>0</v>
      </c>
      <c r="F68">
        <v>0</v>
      </c>
      <c r="G68">
        <v>0</v>
      </c>
      <c r="H68" s="16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341.21592570296002</v>
      </c>
      <c r="AC68">
        <v>222.36238134761999</v>
      </c>
      <c r="AD68" t="e">
        <f t="shared" si="15"/>
        <v>#DIV/0!</v>
      </c>
      <c r="AE68" t="e">
        <f t="shared" si="16"/>
        <v>#DIV/0!</v>
      </c>
      <c r="AF68" t="e">
        <f t="shared" si="17"/>
        <v>#DIV/0!</v>
      </c>
      <c r="AG68" t="e">
        <f t="shared" si="18"/>
        <v>#DIV/0!</v>
      </c>
      <c r="AH68" t="e">
        <f t="shared" si="19"/>
        <v>#DIV/0!</v>
      </c>
      <c r="AI68" t="e">
        <f t="shared" si="20"/>
        <v>#DIV/0!</v>
      </c>
      <c r="AJ68" t="e">
        <f t="shared" si="21"/>
        <v>#DIV/0!</v>
      </c>
      <c r="AK68" t="e">
        <f t="shared" si="22"/>
        <v>#DIV/0!</v>
      </c>
      <c r="AL68" t="e">
        <f t="shared" si="23"/>
        <v>#DIV/0!</v>
      </c>
      <c r="AM68" t="e">
        <f t="shared" si="24"/>
        <v>#DIV/0!</v>
      </c>
      <c r="AN68" t="e">
        <f t="shared" si="25"/>
        <v>#DIV/0!</v>
      </c>
      <c r="AO68">
        <f t="shared" si="26"/>
        <v>0</v>
      </c>
      <c r="AP68">
        <f t="shared" si="27"/>
        <v>0</v>
      </c>
    </row>
    <row r="69" spans="1:42" x14ac:dyDescent="0.35">
      <c r="A69" s="9" t="s">
        <v>56</v>
      </c>
      <c r="B69" s="11" t="s">
        <v>66</v>
      </c>
      <c r="C69" s="16">
        <f t="shared" si="14"/>
        <v>0</v>
      </c>
      <c r="D69">
        <v>0</v>
      </c>
      <c r="E69">
        <v>0</v>
      </c>
      <c r="F69">
        <v>0</v>
      </c>
      <c r="G69">
        <v>0</v>
      </c>
      <c r="H69" s="16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181.71174374815001</v>
      </c>
      <c r="AC69">
        <v>99.489061173690004</v>
      </c>
      <c r="AD69" t="e">
        <f t="shared" si="15"/>
        <v>#DIV/0!</v>
      </c>
      <c r="AE69" t="e">
        <f t="shared" si="16"/>
        <v>#DIV/0!</v>
      </c>
      <c r="AF69" t="e">
        <f t="shared" si="17"/>
        <v>#DIV/0!</v>
      </c>
      <c r="AG69" t="e">
        <f t="shared" si="18"/>
        <v>#DIV/0!</v>
      </c>
      <c r="AH69" t="e">
        <f t="shared" si="19"/>
        <v>#DIV/0!</v>
      </c>
      <c r="AI69" t="e">
        <f t="shared" si="20"/>
        <v>#DIV/0!</v>
      </c>
      <c r="AJ69" t="e">
        <f t="shared" si="21"/>
        <v>#DIV/0!</v>
      </c>
      <c r="AK69" t="e">
        <f t="shared" si="22"/>
        <v>#DIV/0!</v>
      </c>
      <c r="AL69" t="e">
        <f t="shared" si="23"/>
        <v>#DIV/0!</v>
      </c>
      <c r="AM69" t="e">
        <f t="shared" si="24"/>
        <v>#DIV/0!</v>
      </c>
      <c r="AN69" t="e">
        <f t="shared" si="25"/>
        <v>#DIV/0!</v>
      </c>
      <c r="AO69">
        <f t="shared" si="26"/>
        <v>0</v>
      </c>
      <c r="AP69">
        <f t="shared" si="27"/>
        <v>0</v>
      </c>
    </row>
    <row r="70" spans="1:42" x14ac:dyDescent="0.35">
      <c r="A70" s="9" t="s">
        <v>57</v>
      </c>
      <c r="B70" s="11" t="s">
        <v>66</v>
      </c>
      <c r="C70" s="16">
        <f t="shared" si="14"/>
        <v>0</v>
      </c>
      <c r="D70">
        <v>0</v>
      </c>
      <c r="E70">
        <v>0</v>
      </c>
      <c r="F70">
        <v>0</v>
      </c>
      <c r="G70">
        <v>0</v>
      </c>
      <c r="H70" s="16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76.037366075549997</v>
      </c>
      <c r="AC70">
        <v>50.417977728389999</v>
      </c>
      <c r="AD70" t="e">
        <f t="shared" si="15"/>
        <v>#DIV/0!</v>
      </c>
      <c r="AE70" t="e">
        <f t="shared" si="16"/>
        <v>#DIV/0!</v>
      </c>
      <c r="AF70" t="e">
        <f t="shared" si="17"/>
        <v>#DIV/0!</v>
      </c>
      <c r="AG70" t="e">
        <f t="shared" si="18"/>
        <v>#DIV/0!</v>
      </c>
      <c r="AH70" t="e">
        <f t="shared" si="19"/>
        <v>#DIV/0!</v>
      </c>
      <c r="AI70" t="e">
        <f t="shared" si="20"/>
        <v>#DIV/0!</v>
      </c>
      <c r="AJ70" t="e">
        <f t="shared" si="21"/>
        <v>#DIV/0!</v>
      </c>
      <c r="AK70" t="e">
        <f t="shared" si="22"/>
        <v>#DIV/0!</v>
      </c>
      <c r="AL70" t="e">
        <f t="shared" si="23"/>
        <v>#DIV/0!</v>
      </c>
      <c r="AM70" t="e">
        <f t="shared" si="24"/>
        <v>#DIV/0!</v>
      </c>
      <c r="AN70" t="e">
        <f t="shared" si="25"/>
        <v>#DIV/0!</v>
      </c>
      <c r="AO70">
        <f t="shared" si="26"/>
        <v>0</v>
      </c>
      <c r="AP70">
        <f t="shared" si="27"/>
        <v>0</v>
      </c>
    </row>
    <row r="71" spans="1:42" x14ac:dyDescent="0.35">
      <c r="A71" s="9" t="s">
        <v>58</v>
      </c>
      <c r="B71" s="11" t="s">
        <v>66</v>
      </c>
      <c r="C71" s="16">
        <f t="shared" si="14"/>
        <v>48.212593605940782</v>
      </c>
      <c r="D71">
        <v>14.10043735832228</v>
      </c>
      <c r="E71">
        <v>0.8349841230760352</v>
      </c>
      <c r="F71">
        <v>13.265453235246239</v>
      </c>
      <c r="G71">
        <v>34.112156247618508</v>
      </c>
      <c r="H71" s="16">
        <v>-1.5797136210380349</v>
      </c>
      <c r="I71">
        <v>0</v>
      </c>
      <c r="J71">
        <v>-1.5797136210380349</v>
      </c>
      <c r="K71">
        <v>0</v>
      </c>
      <c r="L71">
        <v>2.5645492128637088</v>
      </c>
      <c r="M71">
        <v>2.706394591381724</v>
      </c>
      <c r="N71">
        <v>0.15186464229242369</v>
      </c>
      <c r="O71">
        <v>0.1602642852243748</v>
      </c>
      <c r="P71">
        <v>2.4126845705712858</v>
      </c>
      <c r="Q71">
        <v>2.546130306157349</v>
      </c>
      <c r="R71">
        <v>6.2042262399953607</v>
      </c>
      <c r="S71">
        <v>6.5473823841665366</v>
      </c>
      <c r="T71">
        <v>-0.28731401873801232</v>
      </c>
      <c r="U71">
        <v>-0.30320537521384239</v>
      </c>
      <c r="V71">
        <v>0</v>
      </c>
      <c r="W71">
        <v>0</v>
      </c>
      <c r="X71">
        <v>-0.28731401873801232</v>
      </c>
      <c r="Y71">
        <v>-0.30320537521384239</v>
      </c>
      <c r="Z71">
        <v>0</v>
      </c>
      <c r="AA71">
        <v>0</v>
      </c>
      <c r="AB71">
        <v>521.00449074291998</v>
      </c>
      <c r="AC71">
        <v>549.82128194673999</v>
      </c>
      <c r="AD71">
        <f t="shared" si="15"/>
        <v>1.1261679160234133</v>
      </c>
      <c r="AE71">
        <f t="shared" si="16"/>
        <v>1.0594797484225562</v>
      </c>
      <c r="AF71">
        <f t="shared" si="17"/>
        <v>6.6688167600856593E-2</v>
      </c>
      <c r="AG71">
        <f t="shared" si="18"/>
        <v>2.7244556275959702</v>
      </c>
      <c r="AH71">
        <f t="shared" si="19"/>
        <v>0.94078310467559922</v>
      </c>
      <c r="AI71">
        <f t="shared" si="20"/>
        <v>5.9216895324400387E-2</v>
      </c>
      <c r="AJ71">
        <f t="shared" si="21"/>
        <v>-3.3875532061272265E-2</v>
      </c>
      <c r="AK71">
        <f t="shared" si="22"/>
        <v>0</v>
      </c>
      <c r="AL71">
        <f t="shared" si="23"/>
        <v>-0.12616791602341321</v>
      </c>
      <c r="AM71">
        <f t="shared" si="24"/>
        <v>0</v>
      </c>
      <c r="AN71">
        <f t="shared" si="25"/>
        <v>1</v>
      </c>
      <c r="AO71">
        <f t="shared" si="26"/>
        <v>2.2772351941256978E-2</v>
      </c>
      <c r="AP71">
        <f t="shared" si="27"/>
        <v>2.4031892161678822E-2</v>
      </c>
    </row>
    <row r="72" spans="1:42" x14ac:dyDescent="0.35">
      <c r="A72" s="10" t="s">
        <v>59</v>
      </c>
      <c r="B72" s="12" t="s">
        <v>66</v>
      </c>
      <c r="C72" s="16">
        <f t="shared" si="14"/>
        <v>30.272820547635053</v>
      </c>
      <c r="D72">
        <v>30.27282054763505</v>
      </c>
      <c r="E72">
        <v>2.6975353066185428</v>
      </c>
      <c r="F72">
        <v>27.575285241016509</v>
      </c>
      <c r="G72">
        <v>0</v>
      </c>
      <c r="H72" s="16">
        <v>42.741449230002956</v>
      </c>
      <c r="I72">
        <v>-0.10838709000000001</v>
      </c>
      <c r="J72">
        <v>42.84983632000295</v>
      </c>
      <c r="K72">
        <v>0</v>
      </c>
      <c r="L72">
        <v>4.051990917785762</v>
      </c>
      <c r="M72">
        <v>5.1239153771523451</v>
      </c>
      <c r="N72">
        <v>0.3610627739699882</v>
      </c>
      <c r="O72">
        <v>0.45657928095087619</v>
      </c>
      <c r="P72">
        <v>3.6909281438157731</v>
      </c>
      <c r="Q72">
        <v>4.6673360962014687</v>
      </c>
      <c r="R72">
        <v>0</v>
      </c>
      <c r="S72">
        <v>0</v>
      </c>
      <c r="T72">
        <v>5.7209061118192661</v>
      </c>
      <c r="U72">
        <v>7.2343298374454648</v>
      </c>
      <c r="V72">
        <v>-1.4507518504731301E-2</v>
      </c>
      <c r="W72">
        <v>-1.83453760531468E-2</v>
      </c>
      <c r="X72">
        <v>5.7354136303239978</v>
      </c>
      <c r="Y72">
        <v>7.2526752134986117</v>
      </c>
      <c r="Z72">
        <v>0</v>
      </c>
      <c r="AA72">
        <v>0</v>
      </c>
      <c r="AB72">
        <v>590.81421763174001</v>
      </c>
      <c r="AC72">
        <v>747.10978286638999</v>
      </c>
      <c r="AD72">
        <f t="shared" si="15"/>
        <v>0.4146151244110185</v>
      </c>
      <c r="AE72">
        <f t="shared" si="16"/>
        <v>0.37766980790187893</v>
      </c>
      <c r="AF72">
        <f t="shared" si="17"/>
        <v>3.6945316509139611E-2</v>
      </c>
      <c r="AG72">
        <f t="shared" si="18"/>
        <v>0</v>
      </c>
      <c r="AH72">
        <f t="shared" si="19"/>
        <v>0.91089250166254243</v>
      </c>
      <c r="AI72">
        <f t="shared" si="20"/>
        <v>8.9107498337457611E-2</v>
      </c>
      <c r="AJ72">
        <f t="shared" si="21"/>
        <v>0.58538487558898156</v>
      </c>
      <c r="AK72">
        <f t="shared" si="22"/>
        <v>-1.4844644797529097E-3</v>
      </c>
      <c r="AL72">
        <f t="shared" si="23"/>
        <v>0.58686934006873437</v>
      </c>
      <c r="AM72">
        <f t="shared" si="24"/>
        <v>-2.5358777475405813E-3</v>
      </c>
      <c r="AN72">
        <f t="shared" si="25"/>
        <v>1.0025358777475404</v>
      </c>
      <c r="AO72">
        <f t="shared" si="26"/>
        <v>9.772897029605028E-2</v>
      </c>
      <c r="AP72">
        <f t="shared" si="27"/>
        <v>0.12358245214597811</v>
      </c>
    </row>
    <row r="73" spans="1:42" x14ac:dyDescent="0.35">
      <c r="A73" s="7" t="s">
        <v>60</v>
      </c>
      <c r="B73" s="11" t="s">
        <v>66</v>
      </c>
      <c r="C73" s="16">
        <f t="shared" si="14"/>
        <v>12.693842633135697</v>
      </c>
      <c r="D73">
        <v>13.597478788559121</v>
      </c>
      <c r="E73">
        <v>0.72138312864748477</v>
      </c>
      <c r="F73">
        <v>12.876095659911639</v>
      </c>
      <c r="G73">
        <v>-0.90363615542342723</v>
      </c>
      <c r="H73" s="16">
        <v>3.194495168104325</v>
      </c>
      <c r="I73">
        <v>0.18207469297122711</v>
      </c>
      <c r="J73">
        <v>3.0124204751330979</v>
      </c>
      <c r="K73">
        <v>0</v>
      </c>
      <c r="L73">
        <v>5.1906806204374947</v>
      </c>
      <c r="M73">
        <v>3.0813115073237962</v>
      </c>
      <c r="N73">
        <v>0.2753796850142286</v>
      </c>
      <c r="O73">
        <v>0.1634719325586298</v>
      </c>
      <c r="P73">
        <v>4.9153009354232662</v>
      </c>
      <c r="Q73">
        <v>2.917839574765166</v>
      </c>
      <c r="R73">
        <v>-0.34495267489070008</v>
      </c>
      <c r="S73">
        <v>-0.20477211455426669</v>
      </c>
      <c r="T73">
        <v>1.219461667784475</v>
      </c>
      <c r="U73">
        <v>0.72390145810355577</v>
      </c>
      <c r="V73">
        <v>6.95049130043911E-2</v>
      </c>
      <c r="W73">
        <v>4.1259769944758801E-2</v>
      </c>
      <c r="X73">
        <v>1.149956754780084</v>
      </c>
      <c r="Y73">
        <v>0.68264168815879689</v>
      </c>
      <c r="Z73">
        <v>0</v>
      </c>
      <c r="AA73">
        <v>0</v>
      </c>
      <c r="AB73">
        <v>441.28867711817003</v>
      </c>
      <c r="AC73">
        <v>261.95945739796002</v>
      </c>
      <c r="AD73">
        <f t="shared" si="15"/>
        <v>0.80976059298634895</v>
      </c>
      <c r="AE73">
        <f t="shared" si="16"/>
        <v>0.76680059730572081</v>
      </c>
      <c r="AF73">
        <f t="shared" si="17"/>
        <v>4.2959995680628311E-2</v>
      </c>
      <c r="AG73">
        <f t="shared" si="18"/>
        <v>-5.3813575328041957E-2</v>
      </c>
      <c r="AH73">
        <f t="shared" si="19"/>
        <v>0.94694728781232218</v>
      </c>
      <c r="AI73">
        <f t="shared" si="20"/>
        <v>5.305271218767809E-2</v>
      </c>
      <c r="AJ73">
        <f t="shared" si="21"/>
        <v>0.20105911694897419</v>
      </c>
      <c r="AK73">
        <f t="shared" si="22"/>
        <v>1.0842959466297625E-2</v>
      </c>
      <c r="AL73">
        <f t="shared" si="23"/>
        <v>0.17939644754735337</v>
      </c>
      <c r="AM73">
        <f t="shared" si="24"/>
        <v>5.699639016179002E-2</v>
      </c>
      <c r="AN73">
        <f t="shared" si="25"/>
        <v>0.94300360983820997</v>
      </c>
      <c r="AO73">
        <f t="shared" si="26"/>
        <v>6.4101422882219691E-2</v>
      </c>
      <c r="AP73">
        <f t="shared" si="27"/>
        <v>3.8052129654273514E-2</v>
      </c>
    </row>
    <row r="74" spans="1:42" x14ac:dyDescent="0.35">
      <c r="A74" s="7" t="s">
        <v>61</v>
      </c>
      <c r="B74" s="11" t="s">
        <v>66</v>
      </c>
      <c r="C74" s="16">
        <f t="shared" si="14"/>
        <v>3.9294238314498191</v>
      </c>
      <c r="D74">
        <v>3.824337949750285</v>
      </c>
      <c r="E74">
        <v>1.9136139057485111</v>
      </c>
      <c r="F74">
        <v>1.9107240440017741</v>
      </c>
      <c r="G74">
        <v>0.1050858816995338</v>
      </c>
      <c r="H74" s="16">
        <v>0.88649371445437386</v>
      </c>
      <c r="I74">
        <v>0.88649371445437386</v>
      </c>
      <c r="J74">
        <v>0</v>
      </c>
      <c r="K74">
        <v>0</v>
      </c>
      <c r="L74">
        <v>1.189879040716451</v>
      </c>
      <c r="M74">
        <v>0.55387529870065522</v>
      </c>
      <c r="N74">
        <v>0.59538908652734979</v>
      </c>
      <c r="O74">
        <v>0.27714691734118102</v>
      </c>
      <c r="P74">
        <v>0.59448995418910144</v>
      </c>
      <c r="Q74">
        <v>0.27672838135947408</v>
      </c>
      <c r="R74">
        <v>3.2695721390848399E-2</v>
      </c>
      <c r="S74">
        <v>1.5219490243886901E-2</v>
      </c>
      <c r="T74">
        <v>0.27581775052725399</v>
      </c>
      <c r="U74">
        <v>0.12839005792407299</v>
      </c>
      <c r="V74">
        <v>0.27581775052725399</v>
      </c>
      <c r="W74">
        <v>0.12839005792407299</v>
      </c>
      <c r="X74">
        <v>0</v>
      </c>
      <c r="Y74">
        <v>0</v>
      </c>
      <c r="Z74">
        <v>0</v>
      </c>
      <c r="AA74">
        <v>0</v>
      </c>
      <c r="AB74">
        <v>690.46912883131995</v>
      </c>
      <c r="AC74">
        <v>321.40560669490998</v>
      </c>
      <c r="AD74">
        <f t="shared" si="15"/>
        <v>0.81181800207585153</v>
      </c>
      <c r="AE74">
        <f t="shared" si="16"/>
        <v>0.40560227581903335</v>
      </c>
      <c r="AF74">
        <f t="shared" si="17"/>
        <v>0.40621572625681818</v>
      </c>
      <c r="AG74">
        <f t="shared" si="18"/>
        <v>2.2307288646722573E-2</v>
      </c>
      <c r="AH74">
        <f t="shared" si="19"/>
        <v>0.49962217489867422</v>
      </c>
      <c r="AI74">
        <f t="shared" si="20"/>
        <v>0.50037782510132578</v>
      </c>
      <c r="AJ74">
        <f t="shared" si="21"/>
        <v>0.18407576666430112</v>
      </c>
      <c r="AK74">
        <f t="shared" si="22"/>
        <v>0.18818199792414844</v>
      </c>
      <c r="AL74">
        <f t="shared" si="23"/>
        <v>0</v>
      </c>
      <c r="AM74">
        <f t="shared" si="24"/>
        <v>1</v>
      </c>
      <c r="AN74">
        <f t="shared" si="25"/>
        <v>0</v>
      </c>
      <c r="AO74">
        <f t="shared" si="26"/>
        <v>1.4656967912437053E-2</v>
      </c>
      <c r="AP74">
        <f t="shared" si="27"/>
        <v>6.8226535662472823E-3</v>
      </c>
    </row>
    <row r="75" spans="1:42" x14ac:dyDescent="0.35">
      <c r="A75" s="7" t="s">
        <v>62</v>
      </c>
      <c r="B75" s="11" t="s">
        <v>66</v>
      </c>
      <c r="C75" s="16">
        <f t="shared" si="14"/>
        <v>0.47734985167435312</v>
      </c>
      <c r="D75">
        <v>7.0499999999999993E-2</v>
      </c>
      <c r="E75">
        <v>0</v>
      </c>
      <c r="F75">
        <v>7.0499999999999993E-2</v>
      </c>
      <c r="G75">
        <v>0.40684985167435311</v>
      </c>
      <c r="H75" s="16">
        <v>0</v>
      </c>
      <c r="I75">
        <v>0</v>
      </c>
      <c r="J75">
        <v>0</v>
      </c>
      <c r="K75">
        <v>0</v>
      </c>
      <c r="L75">
        <v>0.1095018154854439</v>
      </c>
      <c r="M75">
        <v>7.7274257091453996E-2</v>
      </c>
      <c r="N75">
        <v>0</v>
      </c>
      <c r="O75">
        <v>0</v>
      </c>
      <c r="P75">
        <v>0.1095018154854439</v>
      </c>
      <c r="Q75">
        <v>7.7274257091453996E-2</v>
      </c>
      <c r="R75">
        <v>0.63192620408972</v>
      </c>
      <c r="S75">
        <v>0.4459435466085665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91.233487908610002</v>
      </c>
      <c r="AC75">
        <v>64.38249419652</v>
      </c>
      <c r="AD75">
        <f t="shared" si="15"/>
        <v>1</v>
      </c>
      <c r="AE75">
        <f t="shared" si="16"/>
        <v>1</v>
      </c>
      <c r="AF75">
        <f t="shared" si="17"/>
        <v>0</v>
      </c>
      <c r="AG75">
        <f t="shared" si="18"/>
        <v>5.7709198819057184</v>
      </c>
      <c r="AH75">
        <f t="shared" si="19"/>
        <v>1</v>
      </c>
      <c r="AI75">
        <f t="shared" si="20"/>
        <v>0</v>
      </c>
      <c r="AJ75">
        <f t="shared" si="21"/>
        <v>0</v>
      </c>
      <c r="AK75">
        <f t="shared" si="22"/>
        <v>0</v>
      </c>
      <c r="AL75">
        <f t="shared" si="23"/>
        <v>0</v>
      </c>
      <c r="AM75" t="e">
        <f t="shared" si="24"/>
        <v>#DIV/0!</v>
      </c>
      <c r="AN75" t="e">
        <f t="shared" si="25"/>
        <v>#DIV/0!</v>
      </c>
      <c r="AO75">
        <f t="shared" si="26"/>
        <v>1.0950181548544395E-3</v>
      </c>
      <c r="AP75">
        <f t="shared" si="27"/>
        <v>7.727425709145411E-4</v>
      </c>
    </row>
    <row r="76" spans="1:42" x14ac:dyDescent="0.35">
      <c r="A76" s="7" t="s">
        <v>63</v>
      </c>
      <c r="B76" s="11" t="s">
        <v>66</v>
      </c>
      <c r="C76" s="16">
        <f t="shared" si="14"/>
        <v>1.7694150329493319</v>
      </c>
      <c r="D76">
        <v>1.7694150329493319</v>
      </c>
      <c r="E76">
        <v>1.7694150329493319</v>
      </c>
      <c r="F76">
        <v>0</v>
      </c>
      <c r="G76">
        <v>0</v>
      </c>
      <c r="H76" s="16">
        <v>6.6270225953158493</v>
      </c>
      <c r="I76">
        <v>0</v>
      </c>
      <c r="J76">
        <v>6.6270225953158493</v>
      </c>
      <c r="K76">
        <v>0</v>
      </c>
      <c r="L76">
        <v>1.2005477809936591</v>
      </c>
      <c r="M76">
        <v>0.57098503498506004</v>
      </c>
      <c r="N76">
        <v>1.2005477809936591</v>
      </c>
      <c r="O76">
        <v>0.57098503498505992</v>
      </c>
      <c r="P76">
        <v>0</v>
      </c>
      <c r="Q76">
        <v>0</v>
      </c>
      <c r="R76">
        <v>0</v>
      </c>
      <c r="S76">
        <v>0</v>
      </c>
      <c r="T76">
        <v>4.4964336366803703</v>
      </c>
      <c r="U76">
        <v>2.1385207302811242</v>
      </c>
      <c r="V76">
        <v>0</v>
      </c>
      <c r="W76">
        <v>0</v>
      </c>
      <c r="X76">
        <v>4.4964336366803703</v>
      </c>
      <c r="Y76">
        <v>2.1385207302811242</v>
      </c>
      <c r="Z76">
        <v>0</v>
      </c>
      <c r="AA76">
        <v>0</v>
      </c>
      <c r="AB76">
        <v>309.88816247970999</v>
      </c>
      <c r="AC76">
        <v>147.38397429586999</v>
      </c>
      <c r="AD76">
        <f t="shared" si="15"/>
        <v>0.21073401736385164</v>
      </c>
      <c r="AE76">
        <f t="shared" si="16"/>
        <v>0</v>
      </c>
      <c r="AF76">
        <f t="shared" si="17"/>
        <v>0.21073401736385164</v>
      </c>
      <c r="AG76">
        <f t="shared" si="18"/>
        <v>0</v>
      </c>
      <c r="AH76">
        <f t="shared" si="19"/>
        <v>0</v>
      </c>
      <c r="AI76">
        <f t="shared" si="20"/>
        <v>1</v>
      </c>
      <c r="AJ76">
        <f t="shared" si="21"/>
        <v>0.78926598263614844</v>
      </c>
      <c r="AK76">
        <f t="shared" si="22"/>
        <v>0</v>
      </c>
      <c r="AL76">
        <f t="shared" si="23"/>
        <v>0.78926598263614844</v>
      </c>
      <c r="AM76">
        <f t="shared" si="24"/>
        <v>0</v>
      </c>
      <c r="AN76">
        <f t="shared" si="25"/>
        <v>1</v>
      </c>
      <c r="AO76">
        <f t="shared" si="26"/>
        <v>5.696981417674029E-2</v>
      </c>
      <c r="AP76">
        <f t="shared" si="27"/>
        <v>2.7095057652661837E-2</v>
      </c>
    </row>
    <row r="77" spans="1:42" x14ac:dyDescent="0.35">
      <c r="A77" s="7" t="s">
        <v>64</v>
      </c>
      <c r="B77" s="11" t="s">
        <v>66</v>
      </c>
      <c r="C77" s="16">
        <f t="shared" si="14"/>
        <v>26.050977899376022</v>
      </c>
      <c r="D77">
        <v>26.050977899376029</v>
      </c>
      <c r="E77">
        <v>-5.7942536941247962</v>
      </c>
      <c r="F77">
        <v>31.84523159350082</v>
      </c>
      <c r="G77">
        <v>0</v>
      </c>
      <c r="H77" s="16">
        <v>2.2029678393841219</v>
      </c>
      <c r="I77">
        <v>0</v>
      </c>
      <c r="J77">
        <v>2.2029678393841219</v>
      </c>
      <c r="K77">
        <v>9.8869334416288517</v>
      </c>
      <c r="L77">
        <v>4.5583264760584807</v>
      </c>
      <c r="M77">
        <v>2.1433674290645</v>
      </c>
      <c r="N77">
        <v>-1.013862133120206</v>
      </c>
      <c r="O77">
        <v>-0.4767273878045557</v>
      </c>
      <c r="P77">
        <v>5.5721886091786867</v>
      </c>
      <c r="Q77">
        <v>2.620094816869055</v>
      </c>
      <c r="R77">
        <v>0</v>
      </c>
      <c r="S77">
        <v>0</v>
      </c>
      <c r="T77">
        <v>0.38546908553519321</v>
      </c>
      <c r="U77">
        <v>0.1812511427575092</v>
      </c>
      <c r="V77">
        <v>0</v>
      </c>
      <c r="W77">
        <v>0</v>
      </c>
      <c r="X77">
        <v>0.38546908553519321</v>
      </c>
      <c r="Y77">
        <v>0.1812511427575092</v>
      </c>
      <c r="Z77">
        <v>1.7299876668001879</v>
      </c>
      <c r="AA77">
        <v>0.81345626233184243</v>
      </c>
      <c r="AB77">
        <v>1215.4228689920101</v>
      </c>
      <c r="AC77">
        <v>571.50311712429004</v>
      </c>
      <c r="AD77">
        <f t="shared" si="15"/>
        <v>0.92202972782091874</v>
      </c>
      <c r="AE77">
        <f t="shared" si="16"/>
        <v>1.1271074096321338</v>
      </c>
      <c r="AF77">
        <f t="shared" si="17"/>
        <v>-0.20507768181121527</v>
      </c>
      <c r="AG77">
        <f t="shared" si="18"/>
        <v>0</v>
      </c>
      <c r="AH77">
        <f t="shared" si="19"/>
        <v>1.2224198153522512</v>
      </c>
      <c r="AI77">
        <f t="shared" si="20"/>
        <v>-0.2224198153522513</v>
      </c>
      <c r="AJ77">
        <f t="shared" si="21"/>
        <v>7.7970272179081271E-2</v>
      </c>
      <c r="AK77">
        <f t="shared" si="22"/>
        <v>0</v>
      </c>
      <c r="AL77">
        <f t="shared" si="23"/>
        <v>7.7970272179081257E-2</v>
      </c>
      <c r="AM77">
        <f t="shared" si="24"/>
        <v>0</v>
      </c>
      <c r="AN77">
        <f t="shared" si="25"/>
        <v>1</v>
      </c>
      <c r="AO77">
        <f t="shared" si="26"/>
        <v>4.9437955615936745E-2</v>
      </c>
      <c r="AP77">
        <f t="shared" si="27"/>
        <v>2.324618571822009E-2</v>
      </c>
    </row>
    <row r="78" spans="1:42" x14ac:dyDescent="0.35">
      <c r="A78" s="7" t="s">
        <v>27</v>
      </c>
      <c r="B78" s="11" t="s">
        <v>67</v>
      </c>
      <c r="C78" s="16">
        <f t="shared" si="14"/>
        <v>46.16341804345641</v>
      </c>
      <c r="D78">
        <v>46.163418043456417</v>
      </c>
      <c r="E78">
        <v>3.337102314023733</v>
      </c>
      <c r="F78">
        <v>42.826315729432679</v>
      </c>
      <c r="G78">
        <v>0</v>
      </c>
      <c r="H78" s="16">
        <v>1.1942170290034011</v>
      </c>
      <c r="I78">
        <v>0.5118072981443138</v>
      </c>
      <c r="J78">
        <v>0.68240973085908685</v>
      </c>
      <c r="K78">
        <v>0</v>
      </c>
      <c r="L78">
        <v>3.0883222221251301</v>
      </c>
      <c r="M78">
        <v>3.7637852817975812</v>
      </c>
      <c r="N78">
        <v>0.2232513897520107</v>
      </c>
      <c r="O78">
        <v>0.2720798655236395</v>
      </c>
      <c r="P78">
        <v>2.86507083237312</v>
      </c>
      <c r="Q78">
        <v>3.4917054162739412</v>
      </c>
      <c r="R78">
        <v>0</v>
      </c>
      <c r="S78">
        <v>0</v>
      </c>
      <c r="T78">
        <v>7.9892849035562999E-2</v>
      </c>
      <c r="U78">
        <v>9.7366630711873001E-2</v>
      </c>
      <c r="V78">
        <v>3.42397924438127E-2</v>
      </c>
      <c r="W78">
        <v>4.1728556019374002E-2</v>
      </c>
      <c r="X78">
        <v>4.5653056591750403E-2</v>
      </c>
      <c r="Y78">
        <v>5.5638074692498901E-2</v>
      </c>
      <c r="Z78">
        <v>0</v>
      </c>
      <c r="AA78">
        <v>0</v>
      </c>
      <c r="AB78">
        <v>1226.51571721458</v>
      </c>
      <c r="AC78">
        <v>1494.77336635199</v>
      </c>
      <c r="AD78">
        <f t="shared" si="15"/>
        <v>0.97478300959969422</v>
      </c>
      <c r="AE78">
        <f t="shared" si="16"/>
        <v>0.90431702647114931</v>
      </c>
      <c r="AF78">
        <f t="shared" si="17"/>
        <v>7.0465983128544754E-2</v>
      </c>
      <c r="AG78">
        <f t="shared" si="18"/>
        <v>0</v>
      </c>
      <c r="AH78">
        <f t="shared" si="19"/>
        <v>0.92771110859073902</v>
      </c>
      <c r="AI78">
        <f t="shared" si="20"/>
        <v>7.2288891409260828E-2</v>
      </c>
      <c r="AJ78">
        <f t="shared" si="21"/>
        <v>2.5216990400305731E-2</v>
      </c>
      <c r="AK78">
        <f t="shared" si="22"/>
        <v>1.0807281600131006E-2</v>
      </c>
      <c r="AL78">
        <f t="shared" si="23"/>
        <v>1.4409708800174711E-2</v>
      </c>
      <c r="AM78">
        <f t="shared" si="24"/>
        <v>0.42857142857142777</v>
      </c>
      <c r="AN78">
        <f t="shared" si="25"/>
        <v>0.57142857142857184</v>
      </c>
      <c r="AO78">
        <f t="shared" si="26"/>
        <v>3.1682150711606953E-2</v>
      </c>
      <c r="AP78">
        <f t="shared" si="27"/>
        <v>3.8611519125094557E-2</v>
      </c>
    </row>
    <row r="79" spans="1:42" x14ac:dyDescent="0.35">
      <c r="A79" s="7" t="s">
        <v>28</v>
      </c>
      <c r="B79" s="11" t="s">
        <v>67</v>
      </c>
      <c r="C79" s="16">
        <f t="shared" si="14"/>
        <v>115.13396651601344</v>
      </c>
      <c r="D79">
        <v>113.24279834523109</v>
      </c>
      <c r="E79">
        <v>11.814177619868021</v>
      </c>
      <c r="F79">
        <v>101.4286207253631</v>
      </c>
      <c r="G79">
        <v>1.891168170782322</v>
      </c>
      <c r="H79" s="16">
        <v>17.661004631055771</v>
      </c>
      <c r="I79">
        <v>0.25966520513249008</v>
      </c>
      <c r="J79">
        <v>17.401339425923279</v>
      </c>
      <c r="K79">
        <v>0</v>
      </c>
      <c r="L79">
        <v>6.6746704355389079</v>
      </c>
      <c r="M79">
        <v>6.570558560398025</v>
      </c>
      <c r="N79">
        <v>0.69634222424581427</v>
      </c>
      <c r="O79">
        <v>0.6854806400812995</v>
      </c>
      <c r="P79">
        <v>5.9783282112930944</v>
      </c>
      <c r="Q79">
        <v>5.8850779203167258</v>
      </c>
      <c r="R79">
        <v>0.1114677883503971</v>
      </c>
      <c r="S79">
        <v>0.10972910768068581</v>
      </c>
      <c r="T79">
        <v>1.040961431502702</v>
      </c>
      <c r="U79">
        <v>1.02472445806263</v>
      </c>
      <c r="V79">
        <v>1.5304987983008099E-2</v>
      </c>
      <c r="W79">
        <v>1.50662599419298E-2</v>
      </c>
      <c r="X79">
        <v>1.025656443519694</v>
      </c>
      <c r="Y79">
        <v>1.0096581981207</v>
      </c>
      <c r="Z79">
        <v>0</v>
      </c>
      <c r="AA79">
        <v>0</v>
      </c>
      <c r="AB79">
        <v>1723.48815255626</v>
      </c>
      <c r="AC79">
        <v>1696.60508992738</v>
      </c>
      <c r="AD79">
        <f t="shared" si="15"/>
        <v>0.86508409817356446</v>
      </c>
      <c r="AE79">
        <f t="shared" si="16"/>
        <v>0.77483326243575079</v>
      </c>
      <c r="AF79">
        <f t="shared" si="17"/>
        <v>9.0250835737813909E-2</v>
      </c>
      <c r="AG79">
        <f t="shared" si="18"/>
        <v>1.4447007098219337E-2</v>
      </c>
      <c r="AH79">
        <f t="shared" si="19"/>
        <v>0.89567391664190965</v>
      </c>
      <c r="AI79">
        <f t="shared" si="20"/>
        <v>0.10432608335809057</v>
      </c>
      <c r="AJ79">
        <f t="shared" si="21"/>
        <v>0.13299452892305966</v>
      </c>
      <c r="AK79">
        <f t="shared" si="22"/>
        <v>1.9836337770838351E-3</v>
      </c>
      <c r="AL79">
        <f t="shared" si="23"/>
        <v>0.13293226804935163</v>
      </c>
      <c r="AM79">
        <f t="shared" si="24"/>
        <v>1.4702742599131936E-2</v>
      </c>
      <c r="AN79">
        <f t="shared" si="25"/>
        <v>0.98529725740086793</v>
      </c>
      <c r="AO79">
        <f t="shared" si="26"/>
        <v>7.7156318670416085E-2</v>
      </c>
      <c r="AP79">
        <f t="shared" si="27"/>
        <v>7.5952830184606537E-2</v>
      </c>
    </row>
    <row r="80" spans="1:42" x14ac:dyDescent="0.35">
      <c r="A80" s="7" t="s">
        <v>29</v>
      </c>
      <c r="B80" s="11" t="s">
        <v>67</v>
      </c>
      <c r="C80" s="16">
        <f t="shared" si="14"/>
        <v>74.838412675886758</v>
      </c>
      <c r="D80">
        <v>70.901973614972704</v>
      </c>
      <c r="E80">
        <v>7.2616030042740149</v>
      </c>
      <c r="F80">
        <v>63.640370610698689</v>
      </c>
      <c r="G80">
        <v>3.9364390609140609</v>
      </c>
      <c r="H80" s="16">
        <v>21.5156707802334</v>
      </c>
      <c r="I80">
        <v>1.056915872570517</v>
      </c>
      <c r="J80">
        <v>20.458754907662861</v>
      </c>
      <c r="K80">
        <v>0</v>
      </c>
      <c r="L80">
        <v>2.709478573720514</v>
      </c>
      <c r="M80">
        <v>2.4389326619495169</v>
      </c>
      <c r="N80">
        <v>0.27749802646946448</v>
      </c>
      <c r="O80">
        <v>0.2497893900868029</v>
      </c>
      <c r="P80">
        <v>2.4319805472510501</v>
      </c>
      <c r="Q80">
        <v>2.1891432718627142</v>
      </c>
      <c r="R80">
        <v>0.15042877861513879</v>
      </c>
      <c r="S80">
        <v>0.13540821655505689</v>
      </c>
      <c r="T80">
        <v>0.82220911500771621</v>
      </c>
      <c r="U80">
        <v>0.7401101765463789</v>
      </c>
      <c r="V80">
        <v>4.0389438614303899E-2</v>
      </c>
      <c r="W80">
        <v>3.6356486443428898E-2</v>
      </c>
      <c r="X80">
        <v>0.7818196763934111</v>
      </c>
      <c r="Y80">
        <v>0.70375369010294975</v>
      </c>
      <c r="Z80">
        <v>0</v>
      </c>
      <c r="AA80">
        <v>0</v>
      </c>
      <c r="AB80">
        <v>2907.0902498102801</v>
      </c>
      <c r="AC80">
        <v>2616.8124857180101</v>
      </c>
      <c r="AD80">
        <f t="shared" si="15"/>
        <v>0.76719087657952179</v>
      </c>
      <c r="AE80">
        <f t="shared" si="16"/>
        <v>0.68861710366207785</v>
      </c>
      <c r="AF80">
        <f t="shared" si="17"/>
        <v>7.8573772917443982E-2</v>
      </c>
      <c r="AG80">
        <f t="shared" si="18"/>
        <v>4.2594020727044761E-2</v>
      </c>
      <c r="AH80">
        <f t="shared" si="19"/>
        <v>0.89758249828548431</v>
      </c>
      <c r="AI80">
        <f t="shared" si="20"/>
        <v>0.10241750171451572</v>
      </c>
      <c r="AJ80">
        <f t="shared" si="21"/>
        <v>0.22329796525989146</v>
      </c>
      <c r="AK80">
        <f t="shared" si="22"/>
        <v>1.1436299631819455E-2</v>
      </c>
      <c r="AL80">
        <f t="shared" si="23"/>
        <v>0.22137282378865847</v>
      </c>
      <c r="AM80">
        <f t="shared" si="24"/>
        <v>4.9123073287657533E-2</v>
      </c>
      <c r="AN80">
        <f t="shared" si="25"/>
        <v>0.95087692671234147</v>
      </c>
      <c r="AO80">
        <f t="shared" si="26"/>
        <v>3.5316876887282293E-2</v>
      </c>
      <c r="AP80">
        <f t="shared" si="27"/>
        <v>3.1790428384958942E-2</v>
      </c>
    </row>
    <row r="81" spans="1:42" x14ac:dyDescent="0.35">
      <c r="A81" s="7" t="s">
        <v>30</v>
      </c>
      <c r="B81" s="11" t="s">
        <v>67</v>
      </c>
      <c r="C81" s="16">
        <f t="shared" si="14"/>
        <v>-16.708403646733561</v>
      </c>
      <c r="D81">
        <v>-16.70840364673353</v>
      </c>
      <c r="E81">
        <v>1.1575745271012181</v>
      </c>
      <c r="F81">
        <v>-17.86597817383478</v>
      </c>
      <c r="G81">
        <v>0</v>
      </c>
      <c r="H81" s="16">
        <v>51.335913810575683</v>
      </c>
      <c r="I81">
        <v>10.065865453054069</v>
      </c>
      <c r="J81">
        <v>41.270048357521659</v>
      </c>
      <c r="K81">
        <v>0</v>
      </c>
      <c r="L81">
        <v>-0.46446843798251258</v>
      </c>
      <c r="M81">
        <v>-0.4014720796169966</v>
      </c>
      <c r="N81">
        <v>3.2178827123089997E-2</v>
      </c>
      <c r="O81">
        <v>2.7814377874324499E-2</v>
      </c>
      <c r="P81">
        <v>-0.49664726510560259</v>
      </c>
      <c r="Q81">
        <v>-0.42928645749132061</v>
      </c>
      <c r="R81">
        <v>0</v>
      </c>
      <c r="S81">
        <v>0</v>
      </c>
      <c r="T81">
        <v>1.42706102893704</v>
      </c>
      <c r="U81">
        <v>1.2335071926874259</v>
      </c>
      <c r="V81">
        <v>0.2798158880268708</v>
      </c>
      <c r="W81">
        <v>0.24186415542890849</v>
      </c>
      <c r="X81">
        <v>1.1472451409101689</v>
      </c>
      <c r="Y81">
        <v>0.99164303725851966</v>
      </c>
      <c r="Z81">
        <v>0</v>
      </c>
      <c r="AA81">
        <v>0</v>
      </c>
      <c r="AB81">
        <v>4161.7847155581303</v>
      </c>
      <c r="AC81">
        <v>3597.3173374942398</v>
      </c>
      <c r="AD81">
        <f t="shared" si="15"/>
        <v>-0.48251819341548696</v>
      </c>
      <c r="AE81">
        <f t="shared" si="16"/>
        <v>-0.51594752522779797</v>
      </c>
      <c r="AF81">
        <f t="shared" si="17"/>
        <v>3.3429331812310052E-2</v>
      </c>
      <c r="AG81">
        <f t="shared" si="18"/>
        <v>0</v>
      </c>
      <c r="AH81">
        <f t="shared" si="19"/>
        <v>1.0692809769009592</v>
      </c>
      <c r="AI81">
        <f t="shared" si="20"/>
        <v>-6.92809769009574E-2</v>
      </c>
      <c r="AJ81">
        <f t="shared" si="21"/>
        <v>1.4825181934154885</v>
      </c>
      <c r="AK81">
        <f t="shared" si="22"/>
        <v>0.2906898418461743</v>
      </c>
      <c r="AL81">
        <f t="shared" si="23"/>
        <v>1.191828351569314</v>
      </c>
      <c r="AM81">
        <f t="shared" si="24"/>
        <v>0.19607843137254929</v>
      </c>
      <c r="AN81">
        <f t="shared" si="25"/>
        <v>0.80392156862745157</v>
      </c>
      <c r="AO81">
        <f t="shared" si="26"/>
        <v>9.6259259095452538E-3</v>
      </c>
      <c r="AP81">
        <f t="shared" si="27"/>
        <v>8.3203511307043451E-3</v>
      </c>
    </row>
    <row r="82" spans="1:42" x14ac:dyDescent="0.35">
      <c r="A82" s="7" t="s">
        <v>31</v>
      </c>
      <c r="B82" s="11" t="s">
        <v>67</v>
      </c>
      <c r="C82" s="16">
        <f t="shared" si="14"/>
        <v>31.699453232745938</v>
      </c>
      <c r="D82">
        <v>31.347147941889091</v>
      </c>
      <c r="E82">
        <v>0.32714062722420761</v>
      </c>
      <c r="F82">
        <v>31.020007314664891</v>
      </c>
      <c r="G82">
        <v>0.35230529085683848</v>
      </c>
      <c r="H82" s="16">
        <v>26.783472160680049</v>
      </c>
      <c r="I82">
        <v>0.1089287100907681</v>
      </c>
      <c r="J82">
        <v>26.67454345058934</v>
      </c>
      <c r="K82">
        <v>0</v>
      </c>
      <c r="L82">
        <v>1.634232122419994</v>
      </c>
      <c r="M82">
        <v>1.3409627752186619</v>
      </c>
      <c r="N82">
        <v>1.7054939816199599E-2</v>
      </c>
      <c r="O82">
        <v>1.3994364150211399E-2</v>
      </c>
      <c r="P82">
        <v>1.6171771826037951</v>
      </c>
      <c r="Q82">
        <v>1.3269684110684501</v>
      </c>
      <c r="R82">
        <v>1.83668582635995E-2</v>
      </c>
      <c r="S82">
        <v>1.5070853700227701E-2</v>
      </c>
      <c r="T82">
        <v>1.3963123738104031</v>
      </c>
      <c r="U82">
        <v>1.145738656197917</v>
      </c>
      <c r="V82">
        <v>5.6788195664278004E-3</v>
      </c>
      <c r="W82">
        <v>4.6597331806736003E-3</v>
      </c>
      <c r="X82">
        <v>1.3906335542439729</v>
      </c>
      <c r="Y82">
        <v>1.1410789230172469</v>
      </c>
      <c r="Z82">
        <v>0</v>
      </c>
      <c r="AA82">
        <v>0</v>
      </c>
      <c r="AB82">
        <v>2337.6598158571201</v>
      </c>
      <c r="AC82">
        <v>1918.15761738117</v>
      </c>
      <c r="AD82">
        <f t="shared" si="15"/>
        <v>0.53925363064385534</v>
      </c>
      <c r="AE82">
        <f t="shared" si="16"/>
        <v>0.53362594893932558</v>
      </c>
      <c r="AF82">
        <f t="shared" si="17"/>
        <v>5.6276817045299212E-3</v>
      </c>
      <c r="AG82">
        <f t="shared" si="18"/>
        <v>6.0605802971860608E-3</v>
      </c>
      <c r="AH82">
        <f t="shared" si="19"/>
        <v>0.98956394285596094</v>
      </c>
      <c r="AI82">
        <f t="shared" si="20"/>
        <v>1.0436057144039272E-2</v>
      </c>
      <c r="AJ82">
        <f t="shared" si="21"/>
        <v>0.45797080054567096</v>
      </c>
      <c r="AK82">
        <f t="shared" si="22"/>
        <v>1.873861140627225E-3</v>
      </c>
      <c r="AL82">
        <f t="shared" si="23"/>
        <v>0.45887250821551845</v>
      </c>
      <c r="AM82">
        <f t="shared" si="24"/>
        <v>4.0670122767235096E-3</v>
      </c>
      <c r="AN82">
        <f t="shared" si="25"/>
        <v>0.99593298772327876</v>
      </c>
      <c r="AO82">
        <f t="shared" si="26"/>
        <v>3.0305444962303956E-2</v>
      </c>
      <c r="AP82">
        <f t="shared" si="27"/>
        <v>2.4867014314165777E-2</v>
      </c>
    </row>
    <row r="83" spans="1:42" x14ac:dyDescent="0.35">
      <c r="A83" s="7" t="s">
        <v>32</v>
      </c>
      <c r="B83" s="11" t="s">
        <v>67</v>
      </c>
      <c r="C83" s="16">
        <f t="shared" si="14"/>
        <v>2.8537190989904531</v>
      </c>
      <c r="D83">
        <v>3.981017193766661</v>
      </c>
      <c r="E83">
        <v>9.1514411801517923</v>
      </c>
      <c r="F83">
        <v>-5.170423986385174</v>
      </c>
      <c r="G83">
        <v>-1.127298094776165</v>
      </c>
      <c r="H83" s="16">
        <v>-0.68071461876866124</v>
      </c>
      <c r="I83">
        <v>0</v>
      </c>
      <c r="J83">
        <v>-0.68071461876866124</v>
      </c>
      <c r="K83">
        <v>-4.7259804742539018</v>
      </c>
      <c r="L83">
        <v>8.7220138981422196E-2</v>
      </c>
      <c r="M83">
        <v>7.4762960982461296E-2</v>
      </c>
      <c r="N83">
        <v>0.20049900132632581</v>
      </c>
      <c r="O83">
        <v>0.17186281962214989</v>
      </c>
      <c r="P83">
        <v>-0.1132788623449041</v>
      </c>
      <c r="Q83">
        <v>-9.7099858639687397E-2</v>
      </c>
      <c r="R83">
        <v>-2.4697983383197699E-2</v>
      </c>
      <c r="S83">
        <v>-2.1170504766298601E-2</v>
      </c>
      <c r="T83">
        <v>-1.4913782273698601E-2</v>
      </c>
      <c r="U83">
        <v>-1.2783727878110799E-2</v>
      </c>
      <c r="V83">
        <v>0</v>
      </c>
      <c r="W83">
        <v>0</v>
      </c>
      <c r="X83">
        <v>-1.4913782273698601E-2</v>
      </c>
      <c r="Y83">
        <v>-1.2783727878110799E-2</v>
      </c>
      <c r="Z83">
        <v>-0.103541545721864</v>
      </c>
      <c r="AA83">
        <v>-8.8753269981790298E-2</v>
      </c>
      <c r="AB83">
        <v>5324.8522282316499</v>
      </c>
      <c r="AC83">
        <v>4564.3325500944502</v>
      </c>
      <c r="AD83">
        <f t="shared" si="15"/>
        <v>1.2062582455092239</v>
      </c>
      <c r="AE83">
        <f t="shared" si="16"/>
        <v>-1.5666515020636578</v>
      </c>
      <c r="AF83">
        <f t="shared" si="17"/>
        <v>2.7729097475728688</v>
      </c>
      <c r="AG83">
        <f t="shared" si="18"/>
        <v>-0.34157416453757977</v>
      </c>
      <c r="AH83">
        <f t="shared" si="19"/>
        <v>-1.2987695693655494</v>
      </c>
      <c r="AI83">
        <f t="shared" si="20"/>
        <v>2.2987695693655388</v>
      </c>
      <c r="AJ83">
        <f t="shared" si="21"/>
        <v>-0.31325964808833839</v>
      </c>
      <c r="AK83">
        <f t="shared" si="22"/>
        <v>0</v>
      </c>
      <c r="AL83">
        <f t="shared" si="23"/>
        <v>-0.20625824550922389</v>
      </c>
      <c r="AM83">
        <f t="shared" si="24"/>
        <v>0</v>
      </c>
      <c r="AN83">
        <f t="shared" si="25"/>
        <v>1</v>
      </c>
      <c r="AO83">
        <f t="shared" si="26"/>
        <v>7.2306356707722938E-4</v>
      </c>
      <c r="AP83">
        <f t="shared" si="27"/>
        <v>6.1979233104352449E-4</v>
      </c>
    </row>
    <row r="84" spans="1:42" x14ac:dyDescent="0.35">
      <c r="A84" s="7" t="s">
        <v>33</v>
      </c>
      <c r="B84" s="11" t="s">
        <v>67</v>
      </c>
      <c r="C84" s="16">
        <f t="shared" si="14"/>
        <v>8.0444134093533837</v>
      </c>
      <c r="D84">
        <v>7.6111093494739919</v>
      </c>
      <c r="E84">
        <v>0.4779750571525323</v>
      </c>
      <c r="F84">
        <v>7.1331342923214649</v>
      </c>
      <c r="G84">
        <v>0.43330405987938642</v>
      </c>
      <c r="H84" s="16">
        <v>31.181274689127051</v>
      </c>
      <c r="I84">
        <v>0</v>
      </c>
      <c r="J84">
        <v>31.181274689127051</v>
      </c>
      <c r="K84">
        <v>-16.443131650412699</v>
      </c>
      <c r="L84">
        <v>0.4646170053367924</v>
      </c>
      <c r="M84">
        <v>0.35293158772990241</v>
      </c>
      <c r="N84">
        <v>2.91777886091256E-2</v>
      </c>
      <c r="O84">
        <v>2.2163982682470801E-2</v>
      </c>
      <c r="P84">
        <v>0.435439216727667</v>
      </c>
      <c r="Q84">
        <v>0.33076760504743152</v>
      </c>
      <c r="R84">
        <v>2.64508661559761E-2</v>
      </c>
      <c r="S84">
        <v>2.0092562437512999E-2</v>
      </c>
      <c r="T84">
        <v>1.903447947393816</v>
      </c>
      <c r="U84">
        <v>1.445893926650307</v>
      </c>
      <c r="V84">
        <v>0</v>
      </c>
      <c r="W84">
        <v>0</v>
      </c>
      <c r="X84">
        <v>1.903447947393816</v>
      </c>
      <c r="Y84">
        <v>1.445893926650307</v>
      </c>
      <c r="Z84">
        <v>-1.0037641341076471</v>
      </c>
      <c r="AA84">
        <v>-0.76247762240244477</v>
      </c>
      <c r="AB84">
        <v>2156.5395714307001</v>
      </c>
      <c r="AC84">
        <v>1638.14696019506</v>
      </c>
      <c r="AD84">
        <f t="shared" si="15"/>
        <v>0.19620112396032233</v>
      </c>
      <c r="AE84">
        <f t="shared" si="16"/>
        <v>0.18387976065671846</v>
      </c>
      <c r="AF84">
        <f t="shared" si="17"/>
        <v>1.2321363303603996E-2</v>
      </c>
      <c r="AG84">
        <f t="shared" si="18"/>
        <v>1.1169822907718681E-2</v>
      </c>
      <c r="AH84">
        <f t="shared" si="19"/>
        <v>0.93720034291905685</v>
      </c>
      <c r="AI84">
        <f t="shared" si="20"/>
        <v>6.2799657080943844E-2</v>
      </c>
      <c r="AJ84">
        <f t="shared" si="21"/>
        <v>0.79491976306044676</v>
      </c>
      <c r="AK84">
        <f t="shared" si="22"/>
        <v>0</v>
      </c>
      <c r="AL84">
        <f t="shared" si="23"/>
        <v>0.8037988760396777</v>
      </c>
      <c r="AM84">
        <f t="shared" si="24"/>
        <v>0</v>
      </c>
      <c r="AN84">
        <f t="shared" si="25"/>
        <v>1</v>
      </c>
      <c r="AO84">
        <f t="shared" si="26"/>
        <v>2.3680649527306082E-2</v>
      </c>
      <c r="AP84">
        <f t="shared" si="27"/>
        <v>1.798825514380209E-2</v>
      </c>
    </row>
    <row r="85" spans="1:42" x14ac:dyDescent="0.35">
      <c r="A85" s="7" t="s">
        <v>34</v>
      </c>
      <c r="B85" s="11" t="s">
        <v>67</v>
      </c>
      <c r="C85" s="16">
        <f t="shared" si="14"/>
        <v>3.7753618885319389</v>
      </c>
      <c r="D85">
        <v>3.7753618885319331</v>
      </c>
      <c r="E85">
        <v>1.3595775049326151</v>
      </c>
      <c r="F85">
        <v>2.4157843835993238</v>
      </c>
      <c r="G85">
        <v>0</v>
      </c>
      <c r="H85" s="16">
        <v>50.527542741764933</v>
      </c>
      <c r="I85">
        <v>0.55038566188227755</v>
      </c>
      <c r="J85">
        <v>49.977157079882673</v>
      </c>
      <c r="K85">
        <v>0.50329327265262691</v>
      </c>
      <c r="L85">
        <v>0.2851657346450196</v>
      </c>
      <c r="M85">
        <v>0.2101477142769097</v>
      </c>
      <c r="N85">
        <v>0.1026934448797204</v>
      </c>
      <c r="O85">
        <v>7.56780709981138E-2</v>
      </c>
      <c r="P85">
        <v>0.182472289765299</v>
      </c>
      <c r="Q85">
        <v>0.1344696432787959</v>
      </c>
      <c r="R85">
        <v>0</v>
      </c>
      <c r="S85">
        <v>0</v>
      </c>
      <c r="T85">
        <v>3.816514620633074</v>
      </c>
      <c r="U85">
        <v>2.8125112052078598</v>
      </c>
      <c r="V85">
        <v>4.1572473379439603E-2</v>
      </c>
      <c r="W85">
        <v>3.0636079991876099E-2</v>
      </c>
      <c r="X85">
        <v>3.7749421472536331</v>
      </c>
      <c r="Y85">
        <v>2.7818751252159828</v>
      </c>
      <c r="Z85">
        <v>3.8015427414745603E-2</v>
      </c>
      <c r="AA85">
        <v>2.8014779505024501E-2</v>
      </c>
      <c r="AB85">
        <v>1796.5276955414199</v>
      </c>
      <c r="AC85">
        <v>1323.9184901480501</v>
      </c>
      <c r="AD85">
        <f t="shared" si="15"/>
        <v>6.9524124247776792E-2</v>
      </c>
      <c r="AE85">
        <f t="shared" si="16"/>
        <v>4.4487203770155255E-2</v>
      </c>
      <c r="AF85">
        <f t="shared" si="17"/>
        <v>2.5036920477621651E-2</v>
      </c>
      <c r="AG85">
        <f t="shared" si="18"/>
        <v>0</v>
      </c>
      <c r="AH85">
        <f t="shared" si="19"/>
        <v>0.63988154114113616</v>
      </c>
      <c r="AI85">
        <f t="shared" si="20"/>
        <v>0.36011845885886534</v>
      </c>
      <c r="AJ85">
        <f t="shared" si="21"/>
        <v>0.93047587575222312</v>
      </c>
      <c r="AK85">
        <f t="shared" si="22"/>
        <v>1.0135473703099198E-2</v>
      </c>
      <c r="AL85">
        <f t="shared" si="23"/>
        <v>0.92034040204912437</v>
      </c>
      <c r="AM85">
        <f t="shared" si="24"/>
        <v>1.0892785043895299E-2</v>
      </c>
      <c r="AN85">
        <f t="shared" si="25"/>
        <v>0.9891072149561051</v>
      </c>
      <c r="AO85">
        <f t="shared" si="26"/>
        <v>4.1016803552780902E-2</v>
      </c>
      <c r="AP85">
        <f t="shared" si="27"/>
        <v>3.0226589194847667E-2</v>
      </c>
    </row>
    <row r="86" spans="1:42" x14ac:dyDescent="0.35">
      <c r="A86" s="7" t="s">
        <v>35</v>
      </c>
      <c r="B86" s="11" t="s">
        <v>67</v>
      </c>
      <c r="C86" s="16">
        <f t="shared" si="14"/>
        <v>91.948787240177779</v>
      </c>
      <c r="D86">
        <v>86.82264229997449</v>
      </c>
      <c r="E86">
        <v>32.556193825364851</v>
      </c>
      <c r="F86">
        <v>54.26644847460966</v>
      </c>
      <c r="G86">
        <v>5.126144940203254</v>
      </c>
      <c r="H86" s="16">
        <v>13.5098362743579</v>
      </c>
      <c r="I86">
        <v>3.9618288194598297E-2</v>
      </c>
      <c r="J86">
        <v>13.47021798616333</v>
      </c>
      <c r="K86">
        <v>0</v>
      </c>
      <c r="L86">
        <v>2.7498247852126219</v>
      </c>
      <c r="M86">
        <v>2.9511552175299278</v>
      </c>
      <c r="N86">
        <v>1.0311115432753959</v>
      </c>
      <c r="O86">
        <v>1.106605128863595</v>
      </c>
      <c r="P86">
        <v>1.718713241937226</v>
      </c>
      <c r="Q86">
        <v>1.844550088666332</v>
      </c>
      <c r="R86">
        <v>0.1623539670730261</v>
      </c>
      <c r="S86">
        <v>0.17424083148526701</v>
      </c>
      <c r="T86">
        <v>0.42788012029213363</v>
      </c>
      <c r="U86">
        <v>0.45920767616465591</v>
      </c>
      <c r="V86">
        <v>1.2547804114138E-3</v>
      </c>
      <c r="W86">
        <v>1.3466500767292001E-3</v>
      </c>
      <c r="X86">
        <v>0.42662533988072049</v>
      </c>
      <c r="Y86">
        <v>0.45786102608792761</v>
      </c>
      <c r="Z86">
        <v>0</v>
      </c>
      <c r="AA86">
        <v>0</v>
      </c>
      <c r="AB86">
        <v>2941.9883367789698</v>
      </c>
      <c r="AC86">
        <v>3157.38816403392</v>
      </c>
      <c r="AD86">
        <f t="shared" si="15"/>
        <v>0.86534932191125935</v>
      </c>
      <c r="AE86">
        <f t="shared" si="16"/>
        <v>0.54086622044730792</v>
      </c>
      <c r="AF86">
        <f t="shared" si="17"/>
        <v>0.32448310146395165</v>
      </c>
      <c r="AG86">
        <f t="shared" si="18"/>
        <v>5.1091580842443703E-2</v>
      </c>
      <c r="AH86">
        <f t="shared" si="19"/>
        <v>0.62502645665997669</v>
      </c>
      <c r="AI86">
        <f t="shared" si="20"/>
        <v>0.37497354334002359</v>
      </c>
      <c r="AJ86">
        <f t="shared" si="21"/>
        <v>0.12810556239145107</v>
      </c>
      <c r="AK86">
        <f t="shared" si="22"/>
        <v>3.9487002372065063E-4</v>
      </c>
      <c r="AL86">
        <f t="shared" si="23"/>
        <v>0.1342558080650203</v>
      </c>
      <c r="AM86">
        <f t="shared" si="24"/>
        <v>2.9325513196481199E-3</v>
      </c>
      <c r="AN86">
        <f t="shared" si="25"/>
        <v>0.99706744868035402</v>
      </c>
      <c r="AO86">
        <f t="shared" si="26"/>
        <v>3.1777049055047545E-2</v>
      </c>
      <c r="AP86">
        <f t="shared" si="27"/>
        <v>3.4103628936945823E-2</v>
      </c>
    </row>
    <row r="87" spans="1:42" x14ac:dyDescent="0.35">
      <c r="A87" s="7" t="s">
        <v>36</v>
      </c>
      <c r="B87" s="11" t="s">
        <v>67</v>
      </c>
      <c r="C87" s="16">
        <f t="shared" si="14"/>
        <v>24</v>
      </c>
      <c r="D87">
        <v>6</v>
      </c>
      <c r="E87">
        <v>0</v>
      </c>
      <c r="F87">
        <v>6</v>
      </c>
      <c r="G87">
        <v>18</v>
      </c>
      <c r="H87" s="16">
        <v>0</v>
      </c>
      <c r="I87">
        <v>0</v>
      </c>
      <c r="J87">
        <v>0</v>
      </c>
      <c r="K87">
        <v>0</v>
      </c>
      <c r="L87">
        <v>3.01069168920573E-2</v>
      </c>
      <c r="M87">
        <v>3.0038729102900001E-2</v>
      </c>
      <c r="N87">
        <v>0</v>
      </c>
      <c r="O87">
        <v>0</v>
      </c>
      <c r="P87">
        <v>3.01069168920573E-2</v>
      </c>
      <c r="Q87">
        <v>3.0038729102900001E-2</v>
      </c>
      <c r="R87">
        <v>9.0320750676179395E-2</v>
      </c>
      <c r="S87">
        <v>9.0116187308698303E-2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19974.2138871676</v>
      </c>
      <c r="AC87">
        <v>19928.975197</v>
      </c>
      <c r="AD87">
        <f t="shared" si="15"/>
        <v>1</v>
      </c>
      <c r="AE87">
        <f t="shared" si="16"/>
        <v>1</v>
      </c>
      <c r="AF87">
        <f t="shared" si="17"/>
        <v>0</v>
      </c>
      <c r="AG87">
        <f t="shared" si="18"/>
        <v>3</v>
      </c>
      <c r="AH87">
        <f t="shared" si="19"/>
        <v>1</v>
      </c>
      <c r="AI87">
        <f t="shared" si="20"/>
        <v>0</v>
      </c>
      <c r="AJ87">
        <f t="shared" si="21"/>
        <v>0</v>
      </c>
      <c r="AK87">
        <f t="shared" si="22"/>
        <v>0</v>
      </c>
      <c r="AL87">
        <f t="shared" si="23"/>
        <v>0</v>
      </c>
      <c r="AM87" t="e">
        <f t="shared" si="24"/>
        <v>#DIV/0!</v>
      </c>
      <c r="AN87" t="e">
        <f t="shared" si="25"/>
        <v>#DIV/0!</v>
      </c>
      <c r="AO87">
        <f t="shared" si="26"/>
        <v>3.0106916892059794E-4</v>
      </c>
      <c r="AP87">
        <f t="shared" si="27"/>
        <v>3.0038729102899463E-4</v>
      </c>
    </row>
    <row r="88" spans="1:42" x14ac:dyDescent="0.35">
      <c r="A88" s="7" t="s">
        <v>37</v>
      </c>
      <c r="B88" s="11" t="s">
        <v>67</v>
      </c>
      <c r="C88" s="16">
        <f t="shared" si="14"/>
        <v>-0.14843950319521448</v>
      </c>
      <c r="D88">
        <v>-0.1128814600963092</v>
      </c>
      <c r="E88">
        <v>-3.0653485430090801E-2</v>
      </c>
      <c r="F88">
        <v>-8.2227974666218395E-2</v>
      </c>
      <c r="G88">
        <v>-3.5558043098905298E-2</v>
      </c>
      <c r="H88" s="16">
        <v>-2.9120811158586099E-2</v>
      </c>
      <c r="I88">
        <v>-2.9120811158586099E-2</v>
      </c>
      <c r="J88">
        <v>0</v>
      </c>
      <c r="K88">
        <v>-4.9811913823897401E-2</v>
      </c>
      <c r="L88">
        <v>-8.8247150862277007E-3</v>
      </c>
      <c r="M88">
        <v>-4.7395976681350004E-3</v>
      </c>
      <c r="N88">
        <v>-2.3963924198852999E-3</v>
      </c>
      <c r="O88">
        <v>-1.2870597876809E-3</v>
      </c>
      <c r="P88">
        <v>-6.4283226663423999E-3</v>
      </c>
      <c r="Q88">
        <v>-3.4525378804541001E-3</v>
      </c>
      <c r="R88">
        <v>-2.7798152070668998E-3</v>
      </c>
      <c r="S88">
        <v>-1.4929893537098001E-3</v>
      </c>
      <c r="T88">
        <v>-2.2765727988909999E-3</v>
      </c>
      <c r="U88">
        <v>-1.2227067982968E-3</v>
      </c>
      <c r="V88">
        <v>-2.2765727988909999E-3</v>
      </c>
      <c r="W88">
        <v>-1.2227067982968E-3</v>
      </c>
      <c r="X88">
        <v>0</v>
      </c>
      <c r="Y88">
        <v>0</v>
      </c>
      <c r="Z88">
        <v>-3.8941376823135999E-3</v>
      </c>
      <c r="AA88">
        <v>-2.0914721549814999E-3</v>
      </c>
      <c r="AB88">
        <v>2381.6675591522499</v>
      </c>
      <c r="AC88">
        <v>1279.1513266244399</v>
      </c>
      <c r="AD88">
        <f t="shared" si="15"/>
        <v>0.7949271451699953</v>
      </c>
      <c r="AE88">
        <f t="shared" si="16"/>
        <v>0.57906098219104174</v>
      </c>
      <c r="AF88">
        <f t="shared" si="17"/>
        <v>0.21586616297895359</v>
      </c>
      <c r="AG88">
        <f t="shared" si="18"/>
        <v>0.25040474905558596</v>
      </c>
      <c r="AH88">
        <f t="shared" si="19"/>
        <v>0.72844534962661189</v>
      </c>
      <c r="AI88">
        <f t="shared" si="20"/>
        <v>0.27155465037338805</v>
      </c>
      <c r="AJ88">
        <f t="shared" si="21"/>
        <v>0.16400517911091872</v>
      </c>
      <c r="AK88">
        <f t="shared" si="22"/>
        <v>0.20507285483000476</v>
      </c>
      <c r="AL88">
        <f t="shared" si="23"/>
        <v>0</v>
      </c>
      <c r="AM88">
        <f t="shared" si="24"/>
        <v>1</v>
      </c>
      <c r="AN88">
        <f t="shared" si="25"/>
        <v>0</v>
      </c>
      <c r="AO88">
        <f t="shared" si="26"/>
        <v>-1.1101287885118794E-4</v>
      </c>
      <c r="AP88">
        <f t="shared" si="27"/>
        <v>-5.9623044664319452E-5</v>
      </c>
    </row>
    <row r="89" spans="1:42" x14ac:dyDescent="0.35">
      <c r="A89" s="7" t="s">
        <v>38</v>
      </c>
      <c r="B89" s="11" t="s">
        <v>67</v>
      </c>
      <c r="C89" s="16">
        <f t="shared" si="14"/>
        <v>2.9584598606921841</v>
      </c>
      <c r="D89">
        <v>3.2493340902482442</v>
      </c>
      <c r="E89">
        <v>1.9527090644843801</v>
      </c>
      <c r="F89">
        <v>1.2966250257638641</v>
      </c>
      <c r="G89">
        <v>-0.29087422955606002</v>
      </c>
      <c r="H89" s="16">
        <v>21.277422987389031</v>
      </c>
      <c r="I89">
        <v>-0.1146164792378447</v>
      </c>
      <c r="J89">
        <v>21.39203946662688</v>
      </c>
      <c r="K89">
        <v>-0.15576643801551521</v>
      </c>
      <c r="L89">
        <v>0.32589363786671027</v>
      </c>
      <c r="M89">
        <v>0.13923031936942129</v>
      </c>
      <c r="N89">
        <v>0.19584796239634961</v>
      </c>
      <c r="O89">
        <v>8.3671392086048305E-2</v>
      </c>
      <c r="P89">
        <v>0.13004567547036061</v>
      </c>
      <c r="Q89">
        <v>5.5558927283372903E-2</v>
      </c>
      <c r="R89">
        <v>-2.91733808216867E-2</v>
      </c>
      <c r="S89">
        <v>-1.24636343178643E-2</v>
      </c>
      <c r="T89">
        <v>2.134030108691968</v>
      </c>
      <c r="U89">
        <v>0.91171369751828557</v>
      </c>
      <c r="V89">
        <v>-1.14955188788979E-2</v>
      </c>
      <c r="W89">
        <v>-4.9111875129049997E-3</v>
      </c>
      <c r="X89">
        <v>2.145525627570867</v>
      </c>
      <c r="Y89">
        <v>0.91662488503119077</v>
      </c>
      <c r="Z89">
        <v>-1.5622675210519001E-2</v>
      </c>
      <c r="AA89">
        <v>-6.6744170681075996E-3</v>
      </c>
      <c r="AB89">
        <v>2333.7834064911899</v>
      </c>
      <c r="AC89">
        <v>997.05355143423003</v>
      </c>
      <c r="AD89">
        <f t="shared" si="15"/>
        <v>0.13248119512754031</v>
      </c>
      <c r="AE89">
        <f t="shared" si="16"/>
        <v>5.2865734416478807E-2</v>
      </c>
      <c r="AF89">
        <f t="shared" si="17"/>
        <v>7.96154607110615E-2</v>
      </c>
      <c r="AG89">
        <f t="shared" si="18"/>
        <v>-1.1859465506806442E-2</v>
      </c>
      <c r="AH89">
        <f t="shared" si="19"/>
        <v>0.39904330849057257</v>
      </c>
      <c r="AI89">
        <f t="shared" si="20"/>
        <v>0.60095669150942743</v>
      </c>
      <c r="AJ89">
        <f t="shared" si="21"/>
        <v>0.87793059245100247</v>
      </c>
      <c r="AK89">
        <f t="shared" si="22"/>
        <v>-4.6731200082846822E-3</v>
      </c>
      <c r="AL89">
        <f t="shared" si="23"/>
        <v>0.8721919248807446</v>
      </c>
      <c r="AM89">
        <f t="shared" si="24"/>
        <v>-5.3867650845582675E-3</v>
      </c>
      <c r="AN89">
        <f t="shared" si="25"/>
        <v>1.0053867650845585</v>
      </c>
      <c r="AO89">
        <f t="shared" si="26"/>
        <v>2.4599237465586787E-2</v>
      </c>
      <c r="AP89">
        <f t="shared" si="27"/>
        <v>1.050944016887707E-2</v>
      </c>
    </row>
    <row r="90" spans="1:42" x14ac:dyDescent="0.35">
      <c r="A90" s="9" t="s">
        <v>39</v>
      </c>
      <c r="B90" s="11" t="s">
        <v>67</v>
      </c>
      <c r="C90" s="16">
        <f t="shared" si="14"/>
        <v>-3.6541235038564666</v>
      </c>
      <c r="D90">
        <v>-3.6541235038564679</v>
      </c>
      <c r="E90">
        <v>2.0576905158455738</v>
      </c>
      <c r="F90">
        <v>-5.7118140197020404</v>
      </c>
      <c r="G90">
        <v>0</v>
      </c>
      <c r="H90" s="16">
        <v>1.817852579227869</v>
      </c>
      <c r="I90">
        <v>0</v>
      </c>
      <c r="J90">
        <v>1.817852579227869</v>
      </c>
      <c r="K90">
        <v>0</v>
      </c>
      <c r="L90">
        <v>-0.88274611984120277</v>
      </c>
      <c r="M90">
        <v>-0.77979727718691727</v>
      </c>
      <c r="N90">
        <v>0.49708728147248649</v>
      </c>
      <c r="O90">
        <v>0.43911527890513008</v>
      </c>
      <c r="P90">
        <v>-1.3798334013136899</v>
      </c>
      <c r="Q90">
        <v>-1.218912556092048</v>
      </c>
      <c r="R90">
        <v>0</v>
      </c>
      <c r="S90">
        <v>0</v>
      </c>
      <c r="T90">
        <v>0.4391483509145675</v>
      </c>
      <c r="U90">
        <v>0.38793338268754662</v>
      </c>
      <c r="V90">
        <v>0</v>
      </c>
      <c r="W90">
        <v>0</v>
      </c>
      <c r="X90">
        <v>0.4391483509145675</v>
      </c>
      <c r="Y90">
        <v>0.38793338268754662</v>
      </c>
      <c r="Z90">
        <v>0</v>
      </c>
      <c r="AA90">
        <v>0</v>
      </c>
      <c r="AB90">
        <v>468.59916169988998</v>
      </c>
      <c r="AC90">
        <v>413.94954015926999</v>
      </c>
      <c r="AD90">
        <f t="shared" si="15"/>
        <v>1.9899697015545486</v>
      </c>
      <c r="AE90">
        <f t="shared" si="16"/>
        <v>3.1105508142036844</v>
      </c>
      <c r="AF90">
        <f t="shared" si="17"/>
        <v>-1.1205811126491365</v>
      </c>
      <c r="AG90">
        <f t="shared" si="18"/>
        <v>0</v>
      </c>
      <c r="AH90">
        <f t="shared" si="19"/>
        <v>1.5631146603758572</v>
      </c>
      <c r="AI90">
        <f t="shared" si="20"/>
        <v>-0.56311466037585767</v>
      </c>
      <c r="AJ90">
        <f t="shared" si="21"/>
        <v>-0.98996970155454933</v>
      </c>
      <c r="AK90">
        <f t="shared" si="22"/>
        <v>0</v>
      </c>
      <c r="AL90">
        <f t="shared" si="23"/>
        <v>-0.98996970155454855</v>
      </c>
      <c r="AM90">
        <f t="shared" si="24"/>
        <v>0</v>
      </c>
      <c r="AN90">
        <f t="shared" si="25"/>
        <v>1</v>
      </c>
      <c r="AO90">
        <f t="shared" si="26"/>
        <v>-4.4359776892663799E-3</v>
      </c>
      <c r="AP90">
        <f t="shared" si="27"/>
        <v>-3.9186389449937208E-3</v>
      </c>
    </row>
    <row r="91" spans="1:42" x14ac:dyDescent="0.35">
      <c r="A91" s="7" t="s">
        <v>40</v>
      </c>
      <c r="B91" s="11" t="s">
        <v>67</v>
      </c>
      <c r="C91" s="16">
        <f t="shared" si="14"/>
        <v>10.537972233842755</v>
      </c>
      <c r="D91">
        <v>4.1542265056957364</v>
      </c>
      <c r="E91">
        <v>1.4774852644874339</v>
      </c>
      <c r="F91">
        <v>2.6767412412083029</v>
      </c>
      <c r="G91">
        <v>6.3837457281470176</v>
      </c>
      <c r="H91" s="16">
        <v>3.874602555254846</v>
      </c>
      <c r="I91">
        <v>1.257477537461184</v>
      </c>
      <c r="J91">
        <v>2.6171250177936609</v>
      </c>
      <c r="K91">
        <v>0</v>
      </c>
      <c r="L91">
        <v>0.83897070214313363</v>
      </c>
      <c r="M91">
        <v>0.74807530469820316</v>
      </c>
      <c r="N91">
        <v>0.2983869194550714</v>
      </c>
      <c r="O91">
        <v>0.26605921412882499</v>
      </c>
      <c r="P91">
        <v>0.54058378268806218</v>
      </c>
      <c r="Q91">
        <v>0.48201609056937839</v>
      </c>
      <c r="R91">
        <v>1.289235343451685</v>
      </c>
      <c r="S91">
        <v>1.149557570862314</v>
      </c>
      <c r="T91">
        <v>0.78249898551531238</v>
      </c>
      <c r="U91">
        <v>0.69772182213287159</v>
      </c>
      <c r="V91">
        <v>0.25395505302529059</v>
      </c>
      <c r="W91">
        <v>0.2264411655690107</v>
      </c>
      <c r="X91">
        <v>0.52854393249002207</v>
      </c>
      <c r="Y91">
        <v>0.4712806565638612</v>
      </c>
      <c r="Z91">
        <v>0</v>
      </c>
      <c r="AA91">
        <v>0</v>
      </c>
      <c r="AB91">
        <v>555.32196820367994</v>
      </c>
      <c r="AC91">
        <v>495.15751802582002</v>
      </c>
      <c r="AD91">
        <f t="shared" si="15"/>
        <v>0.51741374416606301</v>
      </c>
      <c r="AE91">
        <f t="shared" si="16"/>
        <v>0.33339123561952971</v>
      </c>
      <c r="AF91">
        <f t="shared" si="17"/>
        <v>0.18402250854653338</v>
      </c>
      <c r="AG91">
        <f t="shared" si="18"/>
        <v>0.79510295706696832</v>
      </c>
      <c r="AH91">
        <f t="shared" si="19"/>
        <v>0.64434166927063385</v>
      </c>
      <c r="AI91">
        <f t="shared" si="20"/>
        <v>0.35565833072936631</v>
      </c>
      <c r="AJ91">
        <f t="shared" si="21"/>
        <v>0.26883486205294777</v>
      </c>
      <c r="AK91">
        <f t="shared" si="22"/>
        <v>0.15662029019612775</v>
      </c>
      <c r="AL91">
        <f t="shared" si="23"/>
        <v>0.32596596563780916</v>
      </c>
      <c r="AM91">
        <f t="shared" si="24"/>
        <v>0.32454361951415051</v>
      </c>
      <c r="AN91">
        <f t="shared" si="25"/>
        <v>0.67545638048584922</v>
      </c>
      <c r="AO91">
        <f t="shared" si="26"/>
        <v>1.6214696876584469E-2</v>
      </c>
      <c r="AP91">
        <f t="shared" si="27"/>
        <v>1.4457971268310752E-2</v>
      </c>
    </row>
    <row r="92" spans="1:42" x14ac:dyDescent="0.35">
      <c r="A92" s="9" t="s">
        <v>41</v>
      </c>
      <c r="B92" s="11" t="s">
        <v>67</v>
      </c>
      <c r="C92" s="16">
        <f t="shared" si="14"/>
        <v>1.20207297718041</v>
      </c>
      <c r="D92">
        <v>-0.38718454813488101</v>
      </c>
      <c r="E92">
        <v>0.62357924487103089</v>
      </c>
      <c r="F92">
        <v>-1.0107637930059119</v>
      </c>
      <c r="G92">
        <v>1.589257525315291</v>
      </c>
      <c r="H92" s="16">
        <v>17.056890492060301</v>
      </c>
      <c r="I92">
        <v>1.0946711428285801E-2</v>
      </c>
      <c r="J92">
        <v>17.045943780632019</v>
      </c>
      <c r="K92">
        <v>0</v>
      </c>
      <c r="L92">
        <v>-0.1795510684723238</v>
      </c>
      <c r="M92">
        <v>-9.5038896705898601E-2</v>
      </c>
      <c r="N92">
        <v>0.28917558883252281</v>
      </c>
      <c r="O92">
        <v>0.15306469157078709</v>
      </c>
      <c r="P92">
        <v>-0.46872665730484631</v>
      </c>
      <c r="Q92">
        <v>-0.24810358827668569</v>
      </c>
      <c r="R92">
        <v>0.73699451107391589</v>
      </c>
      <c r="S92">
        <v>0.39010152268497689</v>
      </c>
      <c r="T92">
        <v>7.9098789644827363</v>
      </c>
      <c r="U92">
        <v>4.1868097820732793</v>
      </c>
      <c r="V92">
        <v>5.0763744128605997E-3</v>
      </c>
      <c r="W92">
        <v>2.6869961151954002E-3</v>
      </c>
      <c r="X92">
        <v>7.9048025900698766</v>
      </c>
      <c r="Y92">
        <v>4.184122785958083</v>
      </c>
      <c r="Z92">
        <v>0</v>
      </c>
      <c r="AA92">
        <v>0</v>
      </c>
      <c r="AB92">
        <v>407.39587848230002</v>
      </c>
      <c r="AC92">
        <v>215.64034757863999</v>
      </c>
      <c r="AD92">
        <f t="shared" si="15"/>
        <v>-2.3226837320185257E-2</v>
      </c>
      <c r="AE92">
        <f t="shared" si="16"/>
        <v>-6.0634770427623684E-2</v>
      </c>
      <c r="AF92">
        <f t="shared" si="17"/>
        <v>3.7407933107438424E-2</v>
      </c>
      <c r="AG92">
        <f t="shared" si="18"/>
        <v>9.5338065989966039E-2</v>
      </c>
      <c r="AH92">
        <f t="shared" si="19"/>
        <v>2.6105478585725961</v>
      </c>
      <c r="AI92">
        <f t="shared" si="20"/>
        <v>-1.6105478585725961</v>
      </c>
      <c r="AJ92">
        <f t="shared" si="21"/>
        <v>0.93416532218789761</v>
      </c>
      <c r="AK92">
        <f t="shared" si="22"/>
        <v>6.5668293520647694E-4</v>
      </c>
      <c r="AL92">
        <f t="shared" si="23"/>
        <v>1.022570154384979</v>
      </c>
      <c r="AM92">
        <f t="shared" si="24"/>
        <v>6.4177649691667495E-4</v>
      </c>
      <c r="AN92">
        <f t="shared" si="25"/>
        <v>0.99935822350308356</v>
      </c>
      <c r="AO92">
        <f t="shared" si="26"/>
        <v>7.7303278960104124E-2</v>
      </c>
      <c r="AP92">
        <f t="shared" si="27"/>
        <v>4.0917708853673795E-2</v>
      </c>
    </row>
    <row r="93" spans="1:42" x14ac:dyDescent="0.35">
      <c r="A93" s="9" t="s">
        <v>42</v>
      </c>
      <c r="B93" s="11" t="s">
        <v>67</v>
      </c>
      <c r="C93" s="16">
        <f t="shared" si="14"/>
        <v>4.1281532170241384</v>
      </c>
      <c r="D93">
        <v>1.6560605792137399</v>
      </c>
      <c r="E93">
        <v>5.2845564687310003E-3</v>
      </c>
      <c r="F93">
        <v>1.6507760227450099</v>
      </c>
      <c r="G93">
        <v>2.4720926378103978</v>
      </c>
      <c r="H93" s="16">
        <v>-0.17410876033898501</v>
      </c>
      <c r="I93">
        <v>3.1619220265415771</v>
      </c>
      <c r="J93">
        <v>-3.3360307868805599</v>
      </c>
      <c r="K93">
        <v>0</v>
      </c>
      <c r="L93">
        <v>0.49790977630896283</v>
      </c>
      <c r="M93">
        <v>0.53238658692329555</v>
      </c>
      <c r="N93">
        <v>1.5888502886091001E-3</v>
      </c>
      <c r="O93">
        <v>1.698867189464E-3</v>
      </c>
      <c r="P93">
        <v>0.4963209260203536</v>
      </c>
      <c r="Q93">
        <v>0.53068771973383111</v>
      </c>
      <c r="R93">
        <v>0.74325728645240741</v>
      </c>
      <c r="S93">
        <v>0.7947227163797006</v>
      </c>
      <c r="T93">
        <v>-5.2347392964920303E-2</v>
      </c>
      <c r="U93">
        <v>-5.5972088119098297E-2</v>
      </c>
      <c r="V93">
        <v>0.95066080836799016</v>
      </c>
      <c r="W93">
        <v>1.016487498680321</v>
      </c>
      <c r="X93">
        <v>-1.00300820133291</v>
      </c>
      <c r="Y93">
        <v>-1.0724595867994211</v>
      </c>
      <c r="Z93">
        <v>0</v>
      </c>
      <c r="AA93">
        <v>0</v>
      </c>
      <c r="AB93">
        <v>311.06354290107998</v>
      </c>
      <c r="AC93">
        <v>332.60254327404999</v>
      </c>
      <c r="AD93">
        <f t="shared" si="15"/>
        <v>1.1174861140028058</v>
      </c>
      <c r="AE93">
        <f t="shared" si="16"/>
        <v>1.1139201704941009</v>
      </c>
      <c r="AF93">
        <f t="shared" si="17"/>
        <v>3.565943508705675E-3</v>
      </c>
      <c r="AG93">
        <f t="shared" si="18"/>
        <v>1.6681329354468866</v>
      </c>
      <c r="AH93">
        <f t="shared" si="19"/>
        <v>0.99680895944565084</v>
      </c>
      <c r="AI93">
        <f t="shared" si="20"/>
        <v>3.1910405543497619E-3</v>
      </c>
      <c r="AJ93">
        <f t="shared" si="21"/>
        <v>-4.4033081126494948E-2</v>
      </c>
      <c r="AK93">
        <f t="shared" si="22"/>
        <v>2.1336199910618028</v>
      </c>
      <c r="AL93">
        <f t="shared" si="23"/>
        <v>-2.2511061050646073</v>
      </c>
      <c r="AM93">
        <f t="shared" si="24"/>
        <v>-18.160614206806144</v>
      </c>
      <c r="AN93">
        <f t="shared" si="25"/>
        <v>19.16061420680613</v>
      </c>
      <c r="AO93">
        <f t="shared" si="26"/>
        <v>4.4556238334404171E-3</v>
      </c>
      <c r="AP93">
        <f t="shared" si="27"/>
        <v>4.7641449880419587E-3</v>
      </c>
    </row>
    <row r="94" spans="1:42" x14ac:dyDescent="0.35">
      <c r="A94" s="10" t="s">
        <v>43</v>
      </c>
      <c r="B94" s="12" t="s">
        <v>67</v>
      </c>
      <c r="C94" s="16">
        <f t="shared" si="14"/>
        <v>-0.1736234271695335</v>
      </c>
      <c r="D94">
        <v>-0.17362342716953361</v>
      </c>
      <c r="E94">
        <v>-6.9507208530843301E-2</v>
      </c>
      <c r="F94">
        <v>-0.10411621863869019</v>
      </c>
      <c r="G94">
        <v>0</v>
      </c>
      <c r="H94" s="16">
        <v>0.30689155142270308</v>
      </c>
      <c r="I94">
        <v>0.20024042401510739</v>
      </c>
      <c r="J94">
        <v>0.10665112740759559</v>
      </c>
      <c r="K94">
        <v>0</v>
      </c>
      <c r="L94">
        <v>-0.64554443167754627</v>
      </c>
      <c r="M94">
        <v>-0.37816919898380608</v>
      </c>
      <c r="N94">
        <v>-0.25843281727599432</v>
      </c>
      <c r="O94">
        <v>-0.1513936558114537</v>
      </c>
      <c r="P94">
        <v>-0.38711161440155228</v>
      </c>
      <c r="Q94">
        <v>-0.2267755431723521</v>
      </c>
      <c r="R94">
        <v>0</v>
      </c>
      <c r="S94">
        <v>0</v>
      </c>
      <c r="T94">
        <v>1.1410449348886771</v>
      </c>
      <c r="U94">
        <v>0.6684405098345283</v>
      </c>
      <c r="V94">
        <v>0.74450834675371524</v>
      </c>
      <c r="W94">
        <v>0.43614368169354151</v>
      </c>
      <c r="X94">
        <v>0.39653658813496218</v>
      </c>
      <c r="Y94">
        <v>0.23229682814098659</v>
      </c>
      <c r="Z94">
        <v>0</v>
      </c>
      <c r="AA94">
        <v>0</v>
      </c>
      <c r="AB94">
        <v>45.911572818750003</v>
      </c>
      <c r="AC94">
        <v>26.895658710639999</v>
      </c>
      <c r="AD94">
        <f t="shared" si="15"/>
        <v>-1.3028128679871052</v>
      </c>
      <c r="AE94">
        <f t="shared" si="16"/>
        <v>-0.78125372606656185</v>
      </c>
      <c r="AF94">
        <f t="shared" si="17"/>
        <v>-0.52155914192054242</v>
      </c>
      <c r="AG94">
        <f t="shared" si="18"/>
        <v>0</v>
      </c>
      <c r="AH94">
        <f t="shared" si="19"/>
        <v>0.59966687869273827</v>
      </c>
      <c r="AI94">
        <f t="shared" si="20"/>
        <v>0.40033312130726106</v>
      </c>
      <c r="AJ94">
        <f t="shared" si="21"/>
        <v>2.3028128679871034</v>
      </c>
      <c r="AK94">
        <f t="shared" si="22"/>
        <v>1.5025380235314982</v>
      </c>
      <c r="AL94">
        <f t="shared" si="23"/>
        <v>0.80027484445560615</v>
      </c>
      <c r="AM94">
        <f t="shared" si="24"/>
        <v>0.65247942827628491</v>
      </c>
      <c r="AN94">
        <f t="shared" si="25"/>
        <v>0.34752057172371481</v>
      </c>
      <c r="AO94">
        <f t="shared" si="26"/>
        <v>4.955005032111306E-3</v>
      </c>
      <c r="AP94">
        <f t="shared" si="27"/>
        <v>2.9027131085072213E-3</v>
      </c>
    </row>
    <row r="95" spans="1:42" x14ac:dyDescent="0.35">
      <c r="A95" s="9" t="s">
        <v>44</v>
      </c>
      <c r="B95" s="11" t="s">
        <v>67</v>
      </c>
      <c r="C95" s="16">
        <f t="shared" si="14"/>
        <v>-1.5678243516124075</v>
      </c>
      <c r="D95">
        <v>-0.74604999194765043</v>
      </c>
      <c r="E95">
        <v>-0.1105178378938607</v>
      </c>
      <c r="F95">
        <v>-0.63553215405378971</v>
      </c>
      <c r="G95">
        <v>-0.82177435966475709</v>
      </c>
      <c r="H95" s="16">
        <v>0.66176208666115244</v>
      </c>
      <c r="I95">
        <v>0.1217969719819347</v>
      </c>
      <c r="J95">
        <v>0.53996511467921771</v>
      </c>
      <c r="K95">
        <v>5.0329327265262701E-2</v>
      </c>
      <c r="L95">
        <v>-0.2928624518272942</v>
      </c>
      <c r="M95">
        <v>-0.29381032599445422</v>
      </c>
      <c r="N95">
        <v>-4.33838554059238E-2</v>
      </c>
      <c r="O95">
        <v>-4.3524270933945598E-2</v>
      </c>
      <c r="P95">
        <v>-0.2494785964213703</v>
      </c>
      <c r="Q95">
        <v>-0.25028605506050861</v>
      </c>
      <c r="R95">
        <v>-0.32258810591490872</v>
      </c>
      <c r="S95">
        <v>-0.32363218968297769</v>
      </c>
      <c r="T95">
        <v>0.25977517501203978</v>
      </c>
      <c r="U95">
        <v>0.26061595940118559</v>
      </c>
      <c r="V95">
        <v>4.7811487467012102E-2</v>
      </c>
      <c r="W95">
        <v>4.7966233401769802E-2</v>
      </c>
      <c r="X95">
        <v>0.21196368754502701</v>
      </c>
      <c r="Y95">
        <v>0.21264972599941601</v>
      </c>
      <c r="Z95">
        <v>1.9756813002897701E-2</v>
      </c>
      <c r="AA95">
        <v>1.9820757604037301E-2</v>
      </c>
      <c r="AB95">
        <v>253.92231856471</v>
      </c>
      <c r="AC95">
        <v>254.7441596875</v>
      </c>
      <c r="AD95">
        <f t="shared" si="15"/>
        <v>8.8512104958807125</v>
      </c>
      <c r="AE95">
        <f t="shared" si="16"/>
        <v>7.5400159951014363</v>
      </c>
      <c r="AF95">
        <f t="shared" si="17"/>
        <v>1.3111945007792769</v>
      </c>
      <c r="AG95">
        <f t="shared" si="18"/>
        <v>9.7496118437338417</v>
      </c>
      <c r="AH95">
        <f t="shared" si="19"/>
        <v>0.85186269139238102</v>
      </c>
      <c r="AI95">
        <f t="shared" si="20"/>
        <v>0.14813730860761892</v>
      </c>
      <c r="AJ95">
        <f t="shared" si="21"/>
        <v>-0.73037153434124569</v>
      </c>
      <c r="AK95">
        <f t="shared" si="22"/>
        <v>-1.4450112571660416</v>
      </c>
      <c r="AL95">
        <f t="shared" si="23"/>
        <v>-6.4061992387146711</v>
      </c>
      <c r="AM95">
        <f t="shared" si="24"/>
        <v>0.18404948611735658</v>
      </c>
      <c r="AN95">
        <f t="shared" si="25"/>
        <v>0.81595051388264339</v>
      </c>
      <c r="AO95">
        <f t="shared" si="26"/>
        <v>-3.3087276815254853E-4</v>
      </c>
      <c r="AP95">
        <f t="shared" si="27"/>
        <v>-3.3194366593268922E-4</v>
      </c>
    </row>
    <row r="96" spans="1:42" x14ac:dyDescent="0.35">
      <c r="A96" s="10" t="s">
        <v>45</v>
      </c>
      <c r="B96" s="12" t="s">
        <v>67</v>
      </c>
      <c r="C96" s="16">
        <f t="shared" si="14"/>
        <v>4.2405589852861407</v>
      </c>
      <c r="D96">
        <v>2.8687653080557518</v>
      </c>
      <c r="E96">
        <v>-0.36466848586374179</v>
      </c>
      <c r="F96">
        <v>3.233433793919493</v>
      </c>
      <c r="G96">
        <v>1.3717936772303889</v>
      </c>
      <c r="H96" s="16">
        <v>-5.9887947660008241</v>
      </c>
      <c r="I96">
        <v>-6.4199944000000002</v>
      </c>
      <c r="J96">
        <v>0.43119963399917571</v>
      </c>
      <c r="K96">
        <v>0</v>
      </c>
      <c r="L96">
        <v>1.406926427152758</v>
      </c>
      <c r="M96">
        <v>0.951356418582324</v>
      </c>
      <c r="N96">
        <v>-0.1788440931263203</v>
      </c>
      <c r="O96">
        <v>-0.12093345653161609</v>
      </c>
      <c r="P96">
        <v>1.5857705202790779</v>
      </c>
      <c r="Q96">
        <v>1.07228987511394</v>
      </c>
      <c r="R96">
        <v>0.6727677484375747</v>
      </c>
      <c r="S96">
        <v>0.45492209353586399</v>
      </c>
      <c r="T96">
        <v>-2.937080143649355</v>
      </c>
      <c r="U96">
        <v>-1.986038496843253</v>
      </c>
      <c r="V96">
        <v>-3.148553058059071</v>
      </c>
      <c r="W96">
        <v>-2.1290353946178868</v>
      </c>
      <c r="X96">
        <v>0.21147291440971619</v>
      </c>
      <c r="Y96">
        <v>0.14299689777463409</v>
      </c>
      <c r="Z96">
        <v>0</v>
      </c>
      <c r="AA96">
        <v>0</v>
      </c>
      <c r="AB96">
        <v>301.54474727050001</v>
      </c>
      <c r="AC96">
        <v>203.90300819506001</v>
      </c>
      <c r="AD96">
        <f t="shared" si="15"/>
        <v>-0.91946737898596342</v>
      </c>
      <c r="AE96">
        <f t="shared" si="16"/>
        <v>-1.0363472004040346</v>
      </c>
      <c r="AF96">
        <f t="shared" si="17"/>
        <v>0.11687982141807128</v>
      </c>
      <c r="AG96">
        <f t="shared" si="18"/>
        <v>-0.43967330940967647</v>
      </c>
      <c r="AH96">
        <f t="shared" si="19"/>
        <v>1.1271168766715489</v>
      </c>
      <c r="AI96">
        <f t="shared" si="20"/>
        <v>-0.12711687667154917</v>
      </c>
      <c r="AJ96">
        <f t="shared" si="21"/>
        <v>3.4256218938343599</v>
      </c>
      <c r="AK96">
        <f t="shared" si="22"/>
        <v>2.0576710850122439</v>
      </c>
      <c r="AL96">
        <f t="shared" si="23"/>
        <v>-0.13820370602628038</v>
      </c>
      <c r="AM96">
        <f t="shared" si="24"/>
        <v>1.0720010704736709</v>
      </c>
      <c r="AN96">
        <f t="shared" si="25"/>
        <v>-7.2001070473670728E-2</v>
      </c>
      <c r="AO96">
        <f t="shared" si="26"/>
        <v>-1.5301537164965974E-2</v>
      </c>
      <c r="AP96">
        <f t="shared" si="27"/>
        <v>-1.0346820782609279E-2</v>
      </c>
    </row>
    <row r="97" spans="1:42" x14ac:dyDescent="0.35">
      <c r="A97" s="10" t="s">
        <v>46</v>
      </c>
      <c r="B97" s="12" t="s">
        <v>67</v>
      </c>
      <c r="C97" s="16">
        <f t="shared" si="14"/>
        <v>0</v>
      </c>
      <c r="D97">
        <v>0</v>
      </c>
      <c r="E97">
        <v>0</v>
      </c>
      <c r="F97">
        <v>0</v>
      </c>
      <c r="G97">
        <v>0</v>
      </c>
      <c r="H97" s="16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19.06914282116</v>
      </c>
      <c r="AC97">
        <v>20.729999827290001</v>
      </c>
      <c r="AD97" t="e">
        <f t="shared" si="15"/>
        <v>#DIV/0!</v>
      </c>
      <c r="AE97" t="e">
        <f t="shared" si="16"/>
        <v>#DIV/0!</v>
      </c>
      <c r="AF97" t="e">
        <f t="shared" si="17"/>
        <v>#DIV/0!</v>
      </c>
      <c r="AG97" t="e">
        <f t="shared" si="18"/>
        <v>#DIV/0!</v>
      </c>
      <c r="AH97" t="e">
        <f t="shared" si="19"/>
        <v>#DIV/0!</v>
      </c>
      <c r="AI97" t="e">
        <f t="shared" si="20"/>
        <v>#DIV/0!</v>
      </c>
      <c r="AJ97" t="e">
        <f t="shared" si="21"/>
        <v>#DIV/0!</v>
      </c>
      <c r="AK97" t="e">
        <f t="shared" si="22"/>
        <v>#DIV/0!</v>
      </c>
      <c r="AL97" t="e">
        <f t="shared" si="23"/>
        <v>#DIV/0!</v>
      </c>
      <c r="AM97" t="e">
        <f t="shared" si="24"/>
        <v>#DIV/0!</v>
      </c>
      <c r="AN97" t="e">
        <f t="shared" si="25"/>
        <v>#DIV/0!</v>
      </c>
      <c r="AO97">
        <f t="shared" si="26"/>
        <v>0</v>
      </c>
      <c r="AP97">
        <f t="shared" si="27"/>
        <v>0</v>
      </c>
    </row>
    <row r="98" spans="1:42" x14ac:dyDescent="0.35">
      <c r="A98" s="10" t="s">
        <v>47</v>
      </c>
      <c r="B98" s="12" t="s">
        <v>67</v>
      </c>
      <c r="C98" s="16">
        <f t="shared" si="14"/>
        <v>0</v>
      </c>
      <c r="D98">
        <v>0</v>
      </c>
      <c r="E98">
        <v>0</v>
      </c>
      <c r="F98">
        <v>0</v>
      </c>
      <c r="G98">
        <v>0</v>
      </c>
      <c r="H98" s="16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417.89075855828003</v>
      </c>
      <c r="AC98">
        <v>371.46659669328</v>
      </c>
      <c r="AD98" t="e">
        <f t="shared" si="15"/>
        <v>#DIV/0!</v>
      </c>
      <c r="AE98" t="e">
        <f t="shared" si="16"/>
        <v>#DIV/0!</v>
      </c>
      <c r="AF98" t="e">
        <f t="shared" si="17"/>
        <v>#DIV/0!</v>
      </c>
      <c r="AG98" t="e">
        <f t="shared" si="18"/>
        <v>#DIV/0!</v>
      </c>
      <c r="AH98" t="e">
        <f t="shared" si="19"/>
        <v>#DIV/0!</v>
      </c>
      <c r="AI98" t="e">
        <f t="shared" si="20"/>
        <v>#DIV/0!</v>
      </c>
      <c r="AJ98" t="e">
        <f t="shared" si="21"/>
        <v>#DIV/0!</v>
      </c>
      <c r="AK98" t="e">
        <f t="shared" si="22"/>
        <v>#DIV/0!</v>
      </c>
      <c r="AL98" t="e">
        <f t="shared" si="23"/>
        <v>#DIV/0!</v>
      </c>
      <c r="AM98" t="e">
        <f t="shared" si="24"/>
        <v>#DIV/0!</v>
      </c>
      <c r="AN98" t="e">
        <f t="shared" si="25"/>
        <v>#DIV/0!</v>
      </c>
      <c r="AO98">
        <f t="shared" si="26"/>
        <v>0</v>
      </c>
      <c r="AP98">
        <f t="shared" si="27"/>
        <v>0</v>
      </c>
    </row>
    <row r="99" spans="1:42" x14ac:dyDescent="0.35">
      <c r="A99" s="10" t="s">
        <v>48</v>
      </c>
      <c r="B99" s="12" t="s">
        <v>67</v>
      </c>
      <c r="C99" s="16">
        <f t="shared" si="14"/>
        <v>0</v>
      </c>
      <c r="D99">
        <v>0</v>
      </c>
      <c r="E99">
        <v>0</v>
      </c>
      <c r="F99">
        <v>0</v>
      </c>
      <c r="G99">
        <v>0</v>
      </c>
      <c r="H99" s="16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342.39670930134002</v>
      </c>
      <c r="AC99">
        <v>358.46025273358998</v>
      </c>
      <c r="AD99" t="e">
        <f t="shared" si="15"/>
        <v>#DIV/0!</v>
      </c>
      <c r="AE99" t="e">
        <f t="shared" si="16"/>
        <v>#DIV/0!</v>
      </c>
      <c r="AF99" t="e">
        <f t="shared" si="17"/>
        <v>#DIV/0!</v>
      </c>
      <c r="AG99" t="e">
        <f t="shared" si="18"/>
        <v>#DIV/0!</v>
      </c>
      <c r="AH99" t="e">
        <f t="shared" si="19"/>
        <v>#DIV/0!</v>
      </c>
      <c r="AI99" t="e">
        <f t="shared" si="20"/>
        <v>#DIV/0!</v>
      </c>
      <c r="AJ99" t="e">
        <f t="shared" si="21"/>
        <v>#DIV/0!</v>
      </c>
      <c r="AK99" t="e">
        <f t="shared" si="22"/>
        <v>#DIV/0!</v>
      </c>
      <c r="AL99" t="e">
        <f t="shared" si="23"/>
        <v>#DIV/0!</v>
      </c>
      <c r="AM99" t="e">
        <f t="shared" si="24"/>
        <v>#DIV/0!</v>
      </c>
      <c r="AN99" t="e">
        <f t="shared" si="25"/>
        <v>#DIV/0!</v>
      </c>
      <c r="AO99">
        <f t="shared" si="26"/>
        <v>0</v>
      </c>
      <c r="AP99">
        <f t="shared" si="27"/>
        <v>0</v>
      </c>
    </row>
    <row r="100" spans="1:42" x14ac:dyDescent="0.35">
      <c r="A100" s="10" t="s">
        <v>49</v>
      </c>
      <c r="B100" s="12" t="s">
        <v>67</v>
      </c>
      <c r="C100" s="16">
        <f t="shared" si="14"/>
        <v>0</v>
      </c>
      <c r="D100">
        <v>0</v>
      </c>
      <c r="E100">
        <v>0</v>
      </c>
      <c r="F100">
        <v>0</v>
      </c>
      <c r="G100">
        <v>0</v>
      </c>
      <c r="H100" s="16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55.422589739999999</v>
      </c>
      <c r="AC100">
        <v>30.160077523049999</v>
      </c>
      <c r="AD100" t="e">
        <f t="shared" si="15"/>
        <v>#DIV/0!</v>
      </c>
      <c r="AE100" t="e">
        <f t="shared" si="16"/>
        <v>#DIV/0!</v>
      </c>
      <c r="AF100" t="e">
        <f t="shared" si="17"/>
        <v>#DIV/0!</v>
      </c>
      <c r="AG100" t="e">
        <f t="shared" si="18"/>
        <v>#DIV/0!</v>
      </c>
      <c r="AH100" t="e">
        <f t="shared" si="19"/>
        <v>#DIV/0!</v>
      </c>
      <c r="AI100" t="e">
        <f t="shared" si="20"/>
        <v>#DIV/0!</v>
      </c>
      <c r="AJ100" t="e">
        <f t="shared" si="21"/>
        <v>#DIV/0!</v>
      </c>
      <c r="AK100" t="e">
        <f t="shared" si="22"/>
        <v>#DIV/0!</v>
      </c>
      <c r="AL100" t="e">
        <f t="shared" si="23"/>
        <v>#DIV/0!</v>
      </c>
      <c r="AM100" t="e">
        <f t="shared" si="24"/>
        <v>#DIV/0!</v>
      </c>
      <c r="AN100" t="e">
        <f t="shared" si="25"/>
        <v>#DIV/0!</v>
      </c>
      <c r="AO100">
        <f t="shared" si="26"/>
        <v>0</v>
      </c>
      <c r="AP100">
        <f t="shared" si="27"/>
        <v>0</v>
      </c>
    </row>
    <row r="101" spans="1:42" x14ac:dyDescent="0.35">
      <c r="A101" s="10" t="s">
        <v>50</v>
      </c>
      <c r="B101" s="12" t="s">
        <v>67</v>
      </c>
      <c r="C101" s="16">
        <f t="shared" si="14"/>
        <v>0</v>
      </c>
      <c r="D101">
        <v>0</v>
      </c>
      <c r="E101">
        <v>0</v>
      </c>
      <c r="F101">
        <v>0</v>
      </c>
      <c r="G101">
        <v>0</v>
      </c>
      <c r="H101" s="16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97.136073348400004</v>
      </c>
      <c r="AC101">
        <v>48.216768505140003</v>
      </c>
      <c r="AD101" t="e">
        <f t="shared" si="15"/>
        <v>#DIV/0!</v>
      </c>
      <c r="AE101" t="e">
        <f t="shared" si="16"/>
        <v>#DIV/0!</v>
      </c>
      <c r="AF101" t="e">
        <f t="shared" si="17"/>
        <v>#DIV/0!</v>
      </c>
      <c r="AG101" t="e">
        <f t="shared" si="18"/>
        <v>#DIV/0!</v>
      </c>
      <c r="AH101" t="e">
        <f t="shared" si="19"/>
        <v>#DIV/0!</v>
      </c>
      <c r="AI101" t="e">
        <f t="shared" si="20"/>
        <v>#DIV/0!</v>
      </c>
      <c r="AJ101" t="e">
        <f t="shared" si="21"/>
        <v>#DIV/0!</v>
      </c>
      <c r="AK101" t="e">
        <f t="shared" si="22"/>
        <v>#DIV/0!</v>
      </c>
      <c r="AL101" t="e">
        <f t="shared" si="23"/>
        <v>#DIV/0!</v>
      </c>
      <c r="AM101" t="e">
        <f t="shared" si="24"/>
        <v>#DIV/0!</v>
      </c>
      <c r="AN101" t="e">
        <f t="shared" si="25"/>
        <v>#DIV/0!</v>
      </c>
      <c r="AO101">
        <f t="shared" si="26"/>
        <v>0</v>
      </c>
      <c r="AP101">
        <f t="shared" si="27"/>
        <v>0</v>
      </c>
    </row>
    <row r="102" spans="1:42" x14ac:dyDescent="0.35">
      <c r="A102" s="10" t="s">
        <v>51</v>
      </c>
      <c r="B102" s="12" t="s">
        <v>67</v>
      </c>
      <c r="C102" s="16">
        <f t="shared" si="14"/>
        <v>0</v>
      </c>
      <c r="D102">
        <v>0</v>
      </c>
      <c r="E102">
        <v>0</v>
      </c>
      <c r="F102">
        <v>0</v>
      </c>
      <c r="G102">
        <v>0</v>
      </c>
      <c r="H102" s="16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66.343484468840003</v>
      </c>
      <c r="AC102">
        <v>66.557495896739994</v>
      </c>
      <c r="AD102" t="e">
        <f t="shared" si="15"/>
        <v>#DIV/0!</v>
      </c>
      <c r="AE102" t="e">
        <f t="shared" si="16"/>
        <v>#DIV/0!</v>
      </c>
      <c r="AF102" t="e">
        <f t="shared" si="17"/>
        <v>#DIV/0!</v>
      </c>
      <c r="AG102" t="e">
        <f t="shared" si="18"/>
        <v>#DIV/0!</v>
      </c>
      <c r="AH102" t="e">
        <f t="shared" si="19"/>
        <v>#DIV/0!</v>
      </c>
      <c r="AI102" t="e">
        <f t="shared" si="20"/>
        <v>#DIV/0!</v>
      </c>
      <c r="AJ102" t="e">
        <f t="shared" si="21"/>
        <v>#DIV/0!</v>
      </c>
      <c r="AK102" t="e">
        <f t="shared" si="22"/>
        <v>#DIV/0!</v>
      </c>
      <c r="AL102" t="e">
        <f t="shared" si="23"/>
        <v>#DIV/0!</v>
      </c>
      <c r="AM102" t="e">
        <f t="shared" si="24"/>
        <v>#DIV/0!</v>
      </c>
      <c r="AN102" t="e">
        <f t="shared" si="25"/>
        <v>#DIV/0!</v>
      </c>
      <c r="AO102">
        <f t="shared" si="26"/>
        <v>0</v>
      </c>
      <c r="AP102">
        <f t="shared" si="27"/>
        <v>0</v>
      </c>
    </row>
    <row r="103" spans="1:42" x14ac:dyDescent="0.35">
      <c r="A103" s="10" t="s">
        <v>52</v>
      </c>
      <c r="B103" s="12" t="s">
        <v>67</v>
      </c>
      <c r="C103" s="16">
        <f t="shared" si="14"/>
        <v>2.6041998515920959</v>
      </c>
      <c r="D103">
        <v>6.7094683675636091</v>
      </c>
      <c r="E103">
        <v>3.464714722161641</v>
      </c>
      <c r="F103">
        <v>3.2447536454019712</v>
      </c>
      <c r="G103">
        <v>-4.1052685159715168</v>
      </c>
      <c r="H103" s="16">
        <v>4.2836647687777969</v>
      </c>
      <c r="I103">
        <v>0</v>
      </c>
      <c r="J103">
        <v>4.2836647687777969</v>
      </c>
      <c r="K103">
        <v>0</v>
      </c>
      <c r="L103">
        <v>0.79850817559321996</v>
      </c>
      <c r="M103">
        <v>0.71955999760414269</v>
      </c>
      <c r="N103">
        <v>0.4123431068129309</v>
      </c>
      <c r="O103">
        <v>0.37157491184103569</v>
      </c>
      <c r="P103">
        <v>0.3861650687802895</v>
      </c>
      <c r="Q103">
        <v>0.34798508576310722</v>
      </c>
      <c r="R103">
        <v>-0.48857678334938898</v>
      </c>
      <c r="S103">
        <v>-0.44027139583780439</v>
      </c>
      <c r="T103">
        <v>0.50980810281572397</v>
      </c>
      <c r="U103">
        <v>0.45940358339866272</v>
      </c>
      <c r="V103">
        <v>0</v>
      </c>
      <c r="W103">
        <v>0</v>
      </c>
      <c r="X103">
        <v>0.50980810281572397</v>
      </c>
      <c r="Y103">
        <v>0.45940358339866272</v>
      </c>
      <c r="Z103">
        <v>0</v>
      </c>
      <c r="AA103">
        <v>0</v>
      </c>
      <c r="AB103">
        <v>932.44043441874999</v>
      </c>
      <c r="AC103">
        <v>840.25042856688003</v>
      </c>
      <c r="AD103">
        <f t="shared" si="15"/>
        <v>0.61033267625798704</v>
      </c>
      <c r="AE103">
        <f t="shared" si="16"/>
        <v>0.29516186196957572</v>
      </c>
      <c r="AF103">
        <f t="shared" si="17"/>
        <v>0.31517081428841159</v>
      </c>
      <c r="AG103">
        <f t="shared" si="18"/>
        <v>-0.37343935209883028</v>
      </c>
      <c r="AH103">
        <f t="shared" si="19"/>
        <v>0.48360815904408677</v>
      </c>
      <c r="AI103">
        <f t="shared" si="20"/>
        <v>0.51639184095591373</v>
      </c>
      <c r="AJ103">
        <f t="shared" si="21"/>
        <v>0.62191477400840012</v>
      </c>
      <c r="AK103">
        <f t="shared" si="22"/>
        <v>0</v>
      </c>
      <c r="AL103">
        <f t="shared" si="23"/>
        <v>0.38966732374201296</v>
      </c>
      <c r="AM103">
        <f t="shared" si="24"/>
        <v>0</v>
      </c>
      <c r="AN103">
        <f t="shared" si="25"/>
        <v>1</v>
      </c>
      <c r="AO103">
        <f t="shared" si="26"/>
        <v>1.3083162784089438E-2</v>
      </c>
      <c r="AP103">
        <f t="shared" si="27"/>
        <v>1.178963581002805E-2</v>
      </c>
    </row>
    <row r="104" spans="1:42" x14ac:dyDescent="0.35">
      <c r="A104" s="10" t="s">
        <v>53</v>
      </c>
      <c r="B104" s="12" t="s">
        <v>67</v>
      </c>
      <c r="C104" s="16">
        <f t="shared" si="14"/>
        <v>-1.5631513525729279</v>
      </c>
      <c r="D104">
        <v>-1.5631513525729299</v>
      </c>
      <c r="E104">
        <v>0.199134188698951</v>
      </c>
      <c r="F104">
        <v>-1.762285541271879</v>
      </c>
      <c r="G104">
        <v>0</v>
      </c>
      <c r="H104" s="16">
        <v>0.14987911249498689</v>
      </c>
      <c r="I104">
        <v>7.4029359208051607E-2</v>
      </c>
      <c r="J104">
        <v>7.5849753286935301E-2</v>
      </c>
      <c r="K104">
        <v>0</v>
      </c>
      <c r="L104">
        <v>-0.7702564211840901</v>
      </c>
      <c r="M104">
        <v>-0.80585693116972834</v>
      </c>
      <c r="N104">
        <v>9.8125103029966798E-2</v>
      </c>
      <c r="O104">
        <v>0.10266035079186191</v>
      </c>
      <c r="P104">
        <v>-0.86838152421405468</v>
      </c>
      <c r="Q104">
        <v>-0.90851728196158998</v>
      </c>
      <c r="R104">
        <v>0</v>
      </c>
      <c r="S104">
        <v>0</v>
      </c>
      <c r="T104">
        <v>7.3854235938582702E-2</v>
      </c>
      <c r="U104">
        <v>7.7267707597762497E-2</v>
      </c>
      <c r="V104">
        <v>3.6478610463591903E-2</v>
      </c>
      <c r="W104">
        <v>3.8164616708207401E-2</v>
      </c>
      <c r="X104">
        <v>3.7375625474990799E-2</v>
      </c>
      <c r="Y104">
        <v>3.9103090889555298E-2</v>
      </c>
      <c r="Z104">
        <v>0</v>
      </c>
      <c r="AA104">
        <v>0</v>
      </c>
      <c r="AB104">
        <v>193.97380504054999</v>
      </c>
      <c r="AC104">
        <v>202.93908750153</v>
      </c>
      <c r="AD104">
        <f t="shared" si="15"/>
        <v>1.1060511260638086</v>
      </c>
      <c r="AE104">
        <f t="shared" si="16"/>
        <v>1.2469540484108623</v>
      </c>
      <c r="AF104">
        <f t="shared" si="17"/>
        <v>-0.14090292234705509</v>
      </c>
      <c r="AG104">
        <f t="shared" si="18"/>
        <v>0</v>
      </c>
      <c r="AH104">
        <f t="shared" si="19"/>
        <v>1.1273927750957553</v>
      </c>
      <c r="AI104">
        <f t="shared" si="20"/>
        <v>-0.12739277509575661</v>
      </c>
      <c r="AJ104">
        <f t="shared" si="21"/>
        <v>-0.10605112606380861</v>
      </c>
      <c r="AK104">
        <f t="shared" si="22"/>
        <v>-5.2381527853380065E-2</v>
      </c>
      <c r="AL104">
        <f t="shared" si="23"/>
        <v>-5.3669598210428396E-2</v>
      </c>
      <c r="AM104">
        <f t="shared" si="24"/>
        <v>0.4939271255060822</v>
      </c>
      <c r="AN104">
        <f t="shared" si="25"/>
        <v>0.50607287449391791</v>
      </c>
      <c r="AO104">
        <f t="shared" si="26"/>
        <v>-6.9640218524550527E-3</v>
      </c>
      <c r="AP104">
        <f t="shared" si="27"/>
        <v>-7.2858922357196638E-3</v>
      </c>
    </row>
    <row r="105" spans="1:42" x14ac:dyDescent="0.35">
      <c r="A105" s="10" t="s">
        <v>54</v>
      </c>
      <c r="B105" s="12" t="s">
        <v>67</v>
      </c>
      <c r="C105" s="16">
        <f t="shared" si="14"/>
        <v>0</v>
      </c>
      <c r="D105">
        <v>0</v>
      </c>
      <c r="E105">
        <v>0</v>
      </c>
      <c r="F105">
        <v>0</v>
      </c>
      <c r="G105">
        <v>0</v>
      </c>
      <c r="H105" s="16">
        <v>1.3754229037270851</v>
      </c>
      <c r="I105">
        <v>0.38291283511333057</v>
      </c>
      <c r="J105">
        <v>0.99251006861375402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0.33526511599412778</v>
      </c>
      <c r="U105">
        <v>0.416221861307843</v>
      </c>
      <c r="V105">
        <v>9.3336613584110897E-2</v>
      </c>
      <c r="W105">
        <v>0.1158746829921613</v>
      </c>
      <c r="X105">
        <v>0.24192850241001679</v>
      </c>
      <c r="Y105">
        <v>0.3003471783156817</v>
      </c>
      <c r="Z105">
        <v>0</v>
      </c>
      <c r="AA105">
        <v>0</v>
      </c>
      <c r="AB105">
        <v>330.45426768437</v>
      </c>
      <c r="AC105">
        <v>410.24933347112</v>
      </c>
      <c r="AD105">
        <f t="shared" si="15"/>
        <v>0</v>
      </c>
      <c r="AE105">
        <f t="shared" si="16"/>
        <v>0</v>
      </c>
      <c r="AF105">
        <f t="shared" si="17"/>
        <v>0</v>
      </c>
      <c r="AG105">
        <f t="shared" si="18"/>
        <v>0</v>
      </c>
      <c r="AH105" t="e">
        <f t="shared" si="19"/>
        <v>#DIV/0!</v>
      </c>
      <c r="AI105" t="e">
        <f t="shared" si="20"/>
        <v>#DIV/0!</v>
      </c>
      <c r="AJ105">
        <f t="shared" si="21"/>
        <v>1</v>
      </c>
      <c r="AK105">
        <f t="shared" si="22"/>
        <v>0.27839643652561213</v>
      </c>
      <c r="AL105">
        <f t="shared" si="23"/>
        <v>0.72160356347438748</v>
      </c>
      <c r="AM105">
        <f t="shared" si="24"/>
        <v>0.27839643652561213</v>
      </c>
      <c r="AN105">
        <f t="shared" si="25"/>
        <v>0.72160356347438748</v>
      </c>
      <c r="AO105">
        <f t="shared" si="26"/>
        <v>3.3526511599412741E-3</v>
      </c>
      <c r="AP105">
        <f t="shared" si="27"/>
        <v>4.1622186130784253E-3</v>
      </c>
    </row>
    <row r="106" spans="1:42" x14ac:dyDescent="0.35">
      <c r="A106" s="10" t="s">
        <v>55</v>
      </c>
      <c r="B106" s="12" t="s">
        <v>67</v>
      </c>
      <c r="C106" s="16">
        <f t="shared" si="14"/>
        <v>0</v>
      </c>
      <c r="D106">
        <v>0</v>
      </c>
      <c r="E106">
        <v>0</v>
      </c>
      <c r="F106">
        <v>0</v>
      </c>
      <c r="G106">
        <v>0</v>
      </c>
      <c r="H106" s="1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341.21592570296002</v>
      </c>
      <c r="AC106">
        <v>222.36238134761999</v>
      </c>
      <c r="AD106" t="e">
        <f t="shared" si="15"/>
        <v>#DIV/0!</v>
      </c>
      <c r="AE106" t="e">
        <f t="shared" si="16"/>
        <v>#DIV/0!</v>
      </c>
      <c r="AF106" t="e">
        <f t="shared" si="17"/>
        <v>#DIV/0!</v>
      </c>
      <c r="AG106" t="e">
        <f t="shared" si="18"/>
        <v>#DIV/0!</v>
      </c>
      <c r="AH106" t="e">
        <f t="shared" si="19"/>
        <v>#DIV/0!</v>
      </c>
      <c r="AI106" t="e">
        <f t="shared" si="20"/>
        <v>#DIV/0!</v>
      </c>
      <c r="AJ106" t="e">
        <f t="shared" si="21"/>
        <v>#DIV/0!</v>
      </c>
      <c r="AK106" t="e">
        <f t="shared" si="22"/>
        <v>#DIV/0!</v>
      </c>
      <c r="AL106" t="e">
        <f t="shared" si="23"/>
        <v>#DIV/0!</v>
      </c>
      <c r="AM106" t="e">
        <f t="shared" si="24"/>
        <v>#DIV/0!</v>
      </c>
      <c r="AN106" t="e">
        <f t="shared" si="25"/>
        <v>#DIV/0!</v>
      </c>
      <c r="AO106">
        <f t="shared" si="26"/>
        <v>0</v>
      </c>
      <c r="AP106">
        <f t="shared" si="27"/>
        <v>0</v>
      </c>
    </row>
    <row r="107" spans="1:42" x14ac:dyDescent="0.35">
      <c r="A107" s="10" t="s">
        <v>56</v>
      </c>
      <c r="B107" s="12" t="s">
        <v>67</v>
      </c>
      <c r="C107" s="16">
        <f t="shared" si="14"/>
        <v>0</v>
      </c>
      <c r="D107">
        <v>0</v>
      </c>
      <c r="E107">
        <v>0</v>
      </c>
      <c r="F107">
        <v>0</v>
      </c>
      <c r="G107">
        <v>0</v>
      </c>
      <c r="H107" s="16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181.71174374815001</v>
      </c>
      <c r="AC107">
        <v>99.489061173690004</v>
      </c>
      <c r="AD107" t="e">
        <f t="shared" si="15"/>
        <v>#DIV/0!</v>
      </c>
      <c r="AE107" t="e">
        <f t="shared" si="16"/>
        <v>#DIV/0!</v>
      </c>
      <c r="AF107" t="e">
        <f t="shared" si="17"/>
        <v>#DIV/0!</v>
      </c>
      <c r="AG107" t="e">
        <f t="shared" si="18"/>
        <v>#DIV/0!</v>
      </c>
      <c r="AH107" t="e">
        <f t="shared" si="19"/>
        <v>#DIV/0!</v>
      </c>
      <c r="AI107" t="e">
        <f t="shared" si="20"/>
        <v>#DIV/0!</v>
      </c>
      <c r="AJ107" t="e">
        <f t="shared" si="21"/>
        <v>#DIV/0!</v>
      </c>
      <c r="AK107" t="e">
        <f t="shared" si="22"/>
        <v>#DIV/0!</v>
      </c>
      <c r="AL107" t="e">
        <f t="shared" si="23"/>
        <v>#DIV/0!</v>
      </c>
      <c r="AM107" t="e">
        <f t="shared" si="24"/>
        <v>#DIV/0!</v>
      </c>
      <c r="AN107" t="e">
        <f t="shared" si="25"/>
        <v>#DIV/0!</v>
      </c>
      <c r="AO107">
        <f t="shared" si="26"/>
        <v>0</v>
      </c>
      <c r="AP107">
        <f t="shared" si="27"/>
        <v>0</v>
      </c>
    </row>
    <row r="108" spans="1:42" x14ac:dyDescent="0.35">
      <c r="A108" s="10" t="s">
        <v>57</v>
      </c>
      <c r="B108" s="12" t="s">
        <v>67</v>
      </c>
      <c r="C108" s="16">
        <f t="shared" si="14"/>
        <v>0</v>
      </c>
      <c r="D108">
        <v>0</v>
      </c>
      <c r="E108">
        <v>0</v>
      </c>
      <c r="F108">
        <v>0</v>
      </c>
      <c r="G108">
        <v>0</v>
      </c>
      <c r="H108" s="16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76.037366075549997</v>
      </c>
      <c r="AC108">
        <v>50.417977728389999</v>
      </c>
      <c r="AD108" t="e">
        <f t="shared" si="15"/>
        <v>#DIV/0!</v>
      </c>
      <c r="AE108" t="e">
        <f t="shared" si="16"/>
        <v>#DIV/0!</v>
      </c>
      <c r="AF108" t="e">
        <f t="shared" si="17"/>
        <v>#DIV/0!</v>
      </c>
      <c r="AG108" t="e">
        <f t="shared" si="18"/>
        <v>#DIV/0!</v>
      </c>
      <c r="AH108" t="e">
        <f t="shared" si="19"/>
        <v>#DIV/0!</v>
      </c>
      <c r="AI108" t="e">
        <f t="shared" si="20"/>
        <v>#DIV/0!</v>
      </c>
      <c r="AJ108" t="e">
        <f t="shared" si="21"/>
        <v>#DIV/0!</v>
      </c>
      <c r="AK108" t="e">
        <f t="shared" si="22"/>
        <v>#DIV/0!</v>
      </c>
      <c r="AL108" t="e">
        <f t="shared" si="23"/>
        <v>#DIV/0!</v>
      </c>
      <c r="AM108" t="e">
        <f t="shared" si="24"/>
        <v>#DIV/0!</v>
      </c>
      <c r="AN108" t="e">
        <f t="shared" si="25"/>
        <v>#DIV/0!</v>
      </c>
      <c r="AO108">
        <f t="shared" si="26"/>
        <v>0</v>
      </c>
      <c r="AP108">
        <f t="shared" si="27"/>
        <v>0</v>
      </c>
    </row>
    <row r="109" spans="1:42" x14ac:dyDescent="0.35">
      <c r="A109" s="9" t="s">
        <v>58</v>
      </c>
      <c r="B109" s="11" t="s">
        <v>67</v>
      </c>
      <c r="C109" s="16">
        <f t="shared" si="14"/>
        <v>2.8049063918750301</v>
      </c>
      <c r="D109">
        <v>2.644233693332168</v>
      </c>
      <c r="E109">
        <v>0.71001324529060439</v>
      </c>
      <c r="F109">
        <v>1.934220448041565</v>
      </c>
      <c r="G109">
        <v>0.16067269854286079</v>
      </c>
      <c r="H109" s="16">
        <v>5.0533623042457521</v>
      </c>
      <c r="I109">
        <v>1.272990789428851</v>
      </c>
      <c r="J109">
        <v>3.780371514816903</v>
      </c>
      <c r="K109">
        <v>0</v>
      </c>
      <c r="L109">
        <v>0.48092603545097301</v>
      </c>
      <c r="M109">
        <v>0.50752608476784022</v>
      </c>
      <c r="N109">
        <v>0.129135278790351</v>
      </c>
      <c r="O109">
        <v>0.13627775919515969</v>
      </c>
      <c r="P109">
        <v>0.35179075666062148</v>
      </c>
      <c r="Q109">
        <v>0.37124832557268039</v>
      </c>
      <c r="R109">
        <v>2.9222713601402699E-2</v>
      </c>
      <c r="S109">
        <v>3.0839023731590299E-2</v>
      </c>
      <c r="T109">
        <v>0.91909179767531501</v>
      </c>
      <c r="U109">
        <v>0.96992682290319099</v>
      </c>
      <c r="V109">
        <v>0.23152810399073689</v>
      </c>
      <c r="W109">
        <v>0.24433393800764469</v>
      </c>
      <c r="X109">
        <v>0.68756369368457815</v>
      </c>
      <c r="Y109">
        <v>0.72559288489554596</v>
      </c>
      <c r="Z109">
        <v>0</v>
      </c>
      <c r="AA109">
        <v>0</v>
      </c>
      <c r="AB109">
        <v>521.00449074291998</v>
      </c>
      <c r="AC109">
        <v>549.82128194673999</v>
      </c>
      <c r="AD109">
        <f t="shared" si="15"/>
        <v>0.34351422108463303</v>
      </c>
      <c r="AE109">
        <f t="shared" si="16"/>
        <v>0.25127591116111775</v>
      </c>
      <c r="AF109">
        <f t="shared" si="17"/>
        <v>9.2238309923515463E-2</v>
      </c>
      <c r="AG109">
        <f t="shared" si="18"/>
        <v>2.0873100977684085E-2</v>
      </c>
      <c r="AH109">
        <f t="shared" si="19"/>
        <v>0.73148619689666317</v>
      </c>
      <c r="AI109">
        <f t="shared" si="20"/>
        <v>0.26851380310333739</v>
      </c>
      <c r="AJ109">
        <f t="shared" si="21"/>
        <v>0.64306305875495628</v>
      </c>
      <c r="AK109">
        <f t="shared" si="22"/>
        <v>0.16537511059678928</v>
      </c>
      <c r="AL109">
        <f t="shared" si="23"/>
        <v>0.49111066831857791</v>
      </c>
      <c r="AM109">
        <f t="shared" si="24"/>
        <v>0.25190966188181385</v>
      </c>
      <c r="AN109">
        <f t="shared" si="25"/>
        <v>0.74809033811818659</v>
      </c>
      <c r="AO109">
        <f t="shared" si="26"/>
        <v>1.4000178331262866E-2</v>
      </c>
      <c r="AP109">
        <f t="shared" si="27"/>
        <v>1.4774529076710313E-2</v>
      </c>
    </row>
    <row r="110" spans="1:42" x14ac:dyDescent="0.35">
      <c r="A110" s="9" t="s">
        <v>59</v>
      </c>
      <c r="B110" s="11" t="s">
        <v>67</v>
      </c>
      <c r="C110" s="16">
        <f t="shared" si="14"/>
        <v>1.8004263575689257</v>
      </c>
      <c r="D110">
        <v>1.800426357568927</v>
      </c>
      <c r="E110">
        <v>7.9844312796973599E-2</v>
      </c>
      <c r="F110">
        <v>1.720582044771952</v>
      </c>
      <c r="G110">
        <v>0</v>
      </c>
      <c r="H110" s="16">
        <v>2.2594733452900262</v>
      </c>
      <c r="I110">
        <v>1.014811784017208</v>
      </c>
      <c r="J110">
        <v>1.2446615612728209</v>
      </c>
      <c r="K110">
        <v>0</v>
      </c>
      <c r="L110">
        <v>0.2409855149615811</v>
      </c>
      <c r="M110">
        <v>0.30473646432983248</v>
      </c>
      <c r="N110">
        <v>1.0687092396332899E-2</v>
      </c>
      <c r="O110">
        <v>1.3514284256229799E-2</v>
      </c>
      <c r="P110">
        <v>0.23029842256524841</v>
      </c>
      <c r="Q110">
        <v>0.29122218007360251</v>
      </c>
      <c r="R110">
        <v>0</v>
      </c>
      <c r="S110">
        <v>0</v>
      </c>
      <c r="T110">
        <v>0.30242855830655108</v>
      </c>
      <c r="U110">
        <v>0.3824338138555729</v>
      </c>
      <c r="V110">
        <v>0.13583168194154041</v>
      </c>
      <c r="W110">
        <v>0.17176495651798099</v>
      </c>
      <c r="X110">
        <v>0.16659687636501089</v>
      </c>
      <c r="Y110">
        <v>0.21066885733759211</v>
      </c>
      <c r="Z110">
        <v>0</v>
      </c>
      <c r="AA110">
        <v>0</v>
      </c>
      <c r="AB110">
        <v>590.81421763174001</v>
      </c>
      <c r="AC110">
        <v>747.10978286638999</v>
      </c>
      <c r="AD110">
        <f t="shared" si="15"/>
        <v>0.44346572313130772</v>
      </c>
      <c r="AE110">
        <f t="shared" si="16"/>
        <v>0.42379915039781157</v>
      </c>
      <c r="AF110">
        <f t="shared" si="17"/>
        <v>1.9666572733495803E-2</v>
      </c>
      <c r="AG110">
        <f t="shared" si="18"/>
        <v>0</v>
      </c>
      <c r="AH110">
        <f t="shared" si="19"/>
        <v>0.95565255281821859</v>
      </c>
      <c r="AI110">
        <f t="shared" si="20"/>
        <v>4.4347447181780589E-2</v>
      </c>
      <c r="AJ110">
        <f t="shared" si="21"/>
        <v>0.55653427686869239</v>
      </c>
      <c r="AK110">
        <f t="shared" si="22"/>
        <v>0.24995981632319256</v>
      </c>
      <c r="AL110">
        <f t="shared" si="23"/>
        <v>0.30657446054550042</v>
      </c>
      <c r="AM110">
        <f t="shared" si="24"/>
        <v>0.44913642647417318</v>
      </c>
      <c r="AN110">
        <f t="shared" si="25"/>
        <v>0.55086357352582804</v>
      </c>
      <c r="AO110">
        <f t="shared" si="26"/>
        <v>5.4341407326813284E-3</v>
      </c>
      <c r="AP110">
        <f t="shared" si="27"/>
        <v>6.8717027818540515E-3</v>
      </c>
    </row>
    <row r="111" spans="1:42" x14ac:dyDescent="0.35">
      <c r="A111" s="7" t="s">
        <v>60</v>
      </c>
      <c r="B111" s="11" t="s">
        <v>67</v>
      </c>
      <c r="C111" s="16">
        <f t="shared" si="14"/>
        <v>4.1921318200426141</v>
      </c>
      <c r="D111">
        <v>2.3892134593666938</v>
      </c>
      <c r="E111">
        <v>2.5366516631069199E-2</v>
      </c>
      <c r="F111">
        <v>2.363846942735623</v>
      </c>
      <c r="G111">
        <v>1.802918360675922</v>
      </c>
      <c r="H111" s="16">
        <v>-5.5944951681043253</v>
      </c>
      <c r="I111">
        <v>-2.582074692971227</v>
      </c>
      <c r="J111">
        <v>-3.0124204751330979</v>
      </c>
      <c r="K111">
        <v>5.6145524312524948</v>
      </c>
      <c r="L111">
        <v>0.91205466796225643</v>
      </c>
      <c r="M111">
        <v>0.54141734951583675</v>
      </c>
      <c r="N111">
        <v>9.6833750088789992E-3</v>
      </c>
      <c r="O111">
        <v>5.7482817816048E-3</v>
      </c>
      <c r="P111">
        <v>0.90237129295337759</v>
      </c>
      <c r="Q111">
        <v>0.53566906773423151</v>
      </c>
      <c r="R111">
        <v>0.68824327954573072</v>
      </c>
      <c r="S111">
        <v>0.40855758467447112</v>
      </c>
      <c r="T111">
        <v>-2.1356339731630141</v>
      </c>
      <c r="U111">
        <v>-1.2677631351520511</v>
      </c>
      <c r="V111">
        <v>-0.98567721838292921</v>
      </c>
      <c r="W111">
        <v>-0.58512144699325441</v>
      </c>
      <c r="X111">
        <v>-1.149956754780084</v>
      </c>
      <c r="Y111">
        <v>-0.68264168815879689</v>
      </c>
      <c r="Z111">
        <v>2.1432906019205311</v>
      </c>
      <c r="AA111">
        <v>1.2723082921407041</v>
      </c>
      <c r="AB111">
        <v>441.28867711817003</v>
      </c>
      <c r="AC111">
        <v>261.95945739796002</v>
      </c>
      <c r="AD111">
        <f t="shared" si="15"/>
        <v>-0.74539889983887309</v>
      </c>
      <c r="AE111">
        <f t="shared" si="16"/>
        <v>-0.73748492567494195</v>
      </c>
      <c r="AF111">
        <f t="shared" si="17"/>
        <v>-7.9139741639306805E-3</v>
      </c>
      <c r="AG111">
        <f t="shared" si="18"/>
        <v>-0.56248358943338672</v>
      </c>
      <c r="AH111">
        <f t="shared" si="19"/>
        <v>0.98938290066480927</v>
      </c>
      <c r="AI111">
        <f t="shared" si="20"/>
        <v>1.0617099335190032E-2</v>
      </c>
      <c r="AJ111">
        <f t="shared" si="21"/>
        <v>3.9893335602622573</v>
      </c>
      <c r="AK111">
        <f t="shared" si="22"/>
        <v>0.80556872300255677</v>
      </c>
      <c r="AL111">
        <f t="shared" si="23"/>
        <v>0.9398301768363162</v>
      </c>
      <c r="AM111">
        <f t="shared" si="24"/>
        <v>0.46153846153846151</v>
      </c>
      <c r="AN111">
        <f t="shared" si="25"/>
        <v>0.53846153846153844</v>
      </c>
      <c r="AO111">
        <f t="shared" si="26"/>
        <v>-1.2235793052007567E-2</v>
      </c>
      <c r="AP111">
        <f t="shared" si="27"/>
        <v>-7.2634578563621488E-3</v>
      </c>
    </row>
    <row r="112" spans="1:42" x14ac:dyDescent="0.35">
      <c r="A112" s="7" t="s">
        <v>61</v>
      </c>
      <c r="B112" s="11" t="s">
        <v>67</v>
      </c>
      <c r="C112" s="16">
        <f t="shared" si="14"/>
        <v>3.2258738534714397</v>
      </c>
      <c r="D112">
        <v>3.2258738534714402</v>
      </c>
      <c r="E112">
        <v>0.45292015012499087</v>
      </c>
      <c r="F112">
        <v>2.7729537033464489</v>
      </c>
      <c r="G112">
        <v>0</v>
      </c>
      <c r="H112" s="16">
        <v>5.9276318719664554</v>
      </c>
      <c r="I112">
        <v>-6.6204105470706306E-2</v>
      </c>
      <c r="J112">
        <v>5.9938359774371612</v>
      </c>
      <c r="K112">
        <v>0</v>
      </c>
      <c r="L112">
        <v>1.00367690739557</v>
      </c>
      <c r="M112">
        <v>0.46720030176171901</v>
      </c>
      <c r="N112">
        <v>0.1409185591945567</v>
      </c>
      <c r="O112">
        <v>6.5596002951152699E-2</v>
      </c>
      <c r="P112">
        <v>0.86275834820101271</v>
      </c>
      <c r="Q112">
        <v>0.40160429881056642</v>
      </c>
      <c r="R112">
        <v>0</v>
      </c>
      <c r="S112">
        <v>0</v>
      </c>
      <c r="T112">
        <v>1.8442839043542829</v>
      </c>
      <c r="U112">
        <v>0.85849339593205221</v>
      </c>
      <c r="V112">
        <v>-2.0598304476234501E-2</v>
      </c>
      <c r="W112">
        <v>-9.5882788536487008E-3</v>
      </c>
      <c r="X112">
        <v>1.864882208830517</v>
      </c>
      <c r="Y112">
        <v>0.86808167478570097</v>
      </c>
      <c r="Z112">
        <v>0</v>
      </c>
      <c r="AA112">
        <v>0</v>
      </c>
      <c r="AB112">
        <v>690.46912883131995</v>
      </c>
      <c r="AC112">
        <v>321.40560669490998</v>
      </c>
      <c r="AD112">
        <f t="shared" si="15"/>
        <v>0.3524194937144825</v>
      </c>
      <c r="AE112">
        <f t="shared" si="16"/>
        <v>0.30293898168876637</v>
      </c>
      <c r="AF112">
        <f t="shared" si="17"/>
        <v>4.9480512025716093E-2</v>
      </c>
      <c r="AG112">
        <f t="shared" si="18"/>
        <v>0</v>
      </c>
      <c r="AH112">
        <f t="shared" si="19"/>
        <v>0.8595976871080705</v>
      </c>
      <c r="AI112">
        <f t="shared" si="20"/>
        <v>0.14040231289192931</v>
      </c>
      <c r="AJ112">
        <f t="shared" si="21"/>
        <v>0.64758050628551744</v>
      </c>
      <c r="AK112">
        <f t="shared" si="22"/>
        <v>-7.2326502496986378E-3</v>
      </c>
      <c r="AL112">
        <f t="shared" si="23"/>
        <v>0.6548131565352161</v>
      </c>
      <c r="AM112">
        <f t="shared" si="24"/>
        <v>-1.1168727562824089E-2</v>
      </c>
      <c r="AN112">
        <f t="shared" si="25"/>
        <v>1.0111687275628241</v>
      </c>
      <c r="AO112">
        <f t="shared" si="26"/>
        <v>2.8479608117498521E-2</v>
      </c>
      <c r="AP112">
        <f t="shared" si="27"/>
        <v>1.3256936976937713E-2</v>
      </c>
    </row>
    <row r="113" spans="1:42" x14ac:dyDescent="0.35">
      <c r="A113" s="13" t="s">
        <v>62</v>
      </c>
      <c r="B113" s="12" t="s">
        <v>67</v>
      </c>
      <c r="C113" s="16">
        <f t="shared" si="14"/>
        <v>6.369238443699321E-2</v>
      </c>
      <c r="D113">
        <v>6.3692384436993293E-2</v>
      </c>
      <c r="E113">
        <v>2.6529165639306101E-2</v>
      </c>
      <c r="F113">
        <v>3.7163218797687102E-2</v>
      </c>
      <c r="G113">
        <v>0</v>
      </c>
      <c r="H113" s="16">
        <v>0</v>
      </c>
      <c r="I113">
        <v>0</v>
      </c>
      <c r="J113">
        <v>0</v>
      </c>
      <c r="K113">
        <v>0</v>
      </c>
      <c r="L113">
        <v>9.8928109623369995E-2</v>
      </c>
      <c r="M113">
        <v>6.9812506237616298E-2</v>
      </c>
      <c r="N113">
        <v>4.1205557458412499E-2</v>
      </c>
      <c r="O113">
        <v>2.9078320085581699E-2</v>
      </c>
      <c r="P113">
        <v>5.7722552164957697E-2</v>
      </c>
      <c r="Q113">
        <v>4.0734186152034599E-2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91.233487908610002</v>
      </c>
      <c r="AC113">
        <v>64.38249419652</v>
      </c>
      <c r="AD113">
        <f t="shared" si="15"/>
        <v>1</v>
      </c>
      <c r="AE113">
        <f t="shared" si="16"/>
        <v>0.58347978531798006</v>
      </c>
      <c r="AF113">
        <f t="shared" si="17"/>
        <v>0.4165202146820185</v>
      </c>
      <c r="AG113">
        <f t="shared" si="18"/>
        <v>0</v>
      </c>
      <c r="AH113">
        <f t="shared" si="19"/>
        <v>0.58347978531798006</v>
      </c>
      <c r="AI113">
        <f t="shared" si="20"/>
        <v>0.4165202146820185</v>
      </c>
      <c r="AJ113">
        <f t="shared" si="21"/>
        <v>0</v>
      </c>
      <c r="AK113">
        <f t="shared" si="22"/>
        <v>0</v>
      </c>
      <c r="AL113">
        <f t="shared" si="23"/>
        <v>0</v>
      </c>
      <c r="AM113" t="e">
        <f t="shared" si="24"/>
        <v>#DIV/0!</v>
      </c>
      <c r="AN113" t="e">
        <f t="shared" si="25"/>
        <v>#DIV/0!</v>
      </c>
      <c r="AO113">
        <f t="shared" si="26"/>
        <v>9.8928109623370249E-4</v>
      </c>
      <c r="AP113">
        <f t="shared" si="27"/>
        <v>6.9812506237616322E-4</v>
      </c>
    </row>
    <row r="114" spans="1:42" x14ac:dyDescent="0.35">
      <c r="A114" s="13" t="s">
        <v>63</v>
      </c>
      <c r="B114" s="12" t="s">
        <v>67</v>
      </c>
      <c r="C114" s="16">
        <f t="shared" si="14"/>
        <v>0</v>
      </c>
      <c r="D114">
        <v>0</v>
      </c>
      <c r="E114">
        <v>0</v>
      </c>
      <c r="F114">
        <v>0</v>
      </c>
      <c r="G114">
        <v>0</v>
      </c>
      <c r="H114" s="16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309.88816247970999</v>
      </c>
      <c r="AC114">
        <v>147.38397429586999</v>
      </c>
      <c r="AD114" t="e">
        <f t="shared" si="15"/>
        <v>#DIV/0!</v>
      </c>
      <c r="AE114" t="e">
        <f t="shared" si="16"/>
        <v>#DIV/0!</v>
      </c>
      <c r="AF114" t="e">
        <f t="shared" si="17"/>
        <v>#DIV/0!</v>
      </c>
      <c r="AG114" t="e">
        <f t="shared" si="18"/>
        <v>#DIV/0!</v>
      </c>
      <c r="AH114" t="e">
        <f t="shared" si="19"/>
        <v>#DIV/0!</v>
      </c>
      <c r="AI114" t="e">
        <f t="shared" si="20"/>
        <v>#DIV/0!</v>
      </c>
      <c r="AJ114" t="e">
        <f t="shared" si="21"/>
        <v>#DIV/0!</v>
      </c>
      <c r="AK114" t="e">
        <f t="shared" si="22"/>
        <v>#DIV/0!</v>
      </c>
      <c r="AL114" t="e">
        <f t="shared" si="23"/>
        <v>#DIV/0!</v>
      </c>
      <c r="AM114" t="e">
        <f t="shared" si="24"/>
        <v>#DIV/0!</v>
      </c>
      <c r="AN114" t="e">
        <f t="shared" si="25"/>
        <v>#DIV/0!</v>
      </c>
      <c r="AO114">
        <f t="shared" si="26"/>
        <v>0</v>
      </c>
      <c r="AP114">
        <f t="shared" si="27"/>
        <v>0</v>
      </c>
    </row>
    <row r="115" spans="1:42" x14ac:dyDescent="0.35">
      <c r="A115" s="7" t="s">
        <v>64</v>
      </c>
      <c r="B115" s="11" t="s">
        <v>67</v>
      </c>
      <c r="C115" s="16">
        <f t="shared" si="14"/>
        <v>-4.3303995984909855</v>
      </c>
      <c r="D115">
        <v>-4.3303995984909802</v>
      </c>
      <c r="E115">
        <v>-3.6168747816384302E-2</v>
      </c>
      <c r="F115">
        <v>-4.2942308506746016</v>
      </c>
      <c r="G115">
        <v>0</v>
      </c>
      <c r="H115" s="16">
        <v>9.8948958804635723</v>
      </c>
      <c r="I115">
        <v>10.209776743806209</v>
      </c>
      <c r="J115">
        <v>-0.31488086334263699</v>
      </c>
      <c r="K115">
        <v>-9.8869334416288517</v>
      </c>
      <c r="L115">
        <v>-0.75772108125688842</v>
      </c>
      <c r="M115">
        <v>-0.35628748717574549</v>
      </c>
      <c r="N115">
        <v>-6.3287052568285996E-3</v>
      </c>
      <c r="O115">
        <v>-2.9758159681806998E-3</v>
      </c>
      <c r="P115">
        <v>-0.75139237600005959</v>
      </c>
      <c r="Q115">
        <v>-0.35331167120756479</v>
      </c>
      <c r="R115">
        <v>0</v>
      </c>
      <c r="S115">
        <v>0</v>
      </c>
      <c r="T115">
        <v>1.731380911840527</v>
      </c>
      <c r="U115">
        <v>0.81411137908485554</v>
      </c>
      <c r="V115">
        <v>1.7864778752529169</v>
      </c>
      <c r="W115">
        <v>0.84001848280784031</v>
      </c>
      <c r="X115">
        <v>-5.50969634123901E-2</v>
      </c>
      <c r="Y115">
        <v>-2.5907103722984898E-2</v>
      </c>
      <c r="Z115">
        <v>-1.7299876668001879</v>
      </c>
      <c r="AA115">
        <v>-0.81345626233184243</v>
      </c>
      <c r="AB115">
        <v>1215.4228689920101</v>
      </c>
      <c r="AC115">
        <v>571.50311712429004</v>
      </c>
      <c r="AD115">
        <f t="shared" si="15"/>
        <v>-0.77821951512848719</v>
      </c>
      <c r="AE115">
        <f t="shared" si="16"/>
        <v>-0.77171960103319792</v>
      </c>
      <c r="AF115">
        <f t="shared" si="17"/>
        <v>-6.4999140952903328E-3</v>
      </c>
      <c r="AG115">
        <f t="shared" si="18"/>
        <v>0</v>
      </c>
      <c r="AH115">
        <f t="shared" si="19"/>
        <v>0.99164771125764417</v>
      </c>
      <c r="AI115">
        <f t="shared" si="20"/>
        <v>8.3522887423571873E-3</v>
      </c>
      <c r="AJ115">
        <f t="shared" si="21"/>
        <v>1.778219515128489</v>
      </c>
      <c r="AK115">
        <f t="shared" si="22"/>
        <v>1.8348070025463084</v>
      </c>
      <c r="AL115">
        <f t="shared" si="23"/>
        <v>-5.6587487417821214E-2</v>
      </c>
      <c r="AM115">
        <f t="shared" si="24"/>
        <v>1.0318225544913855</v>
      </c>
      <c r="AN115">
        <f t="shared" si="25"/>
        <v>-3.1822554491385407E-2</v>
      </c>
      <c r="AO115">
        <f t="shared" si="26"/>
        <v>9.7365983058364143E-3</v>
      </c>
      <c r="AP115">
        <f t="shared" si="27"/>
        <v>4.5782389190911071E-3</v>
      </c>
    </row>
    <row r="116" spans="1:42" x14ac:dyDescent="0.35">
      <c r="A116" s="7" t="s">
        <v>27</v>
      </c>
      <c r="B116" s="11" t="s">
        <v>68</v>
      </c>
      <c r="C116" s="16">
        <f t="shared" si="14"/>
        <v>61.912545774045448</v>
      </c>
      <c r="D116">
        <v>61.912545774045441</v>
      </c>
      <c r="E116">
        <v>4.8525662396136839</v>
      </c>
      <c r="F116">
        <v>57.059979534431761</v>
      </c>
      <c r="G116">
        <v>0</v>
      </c>
      <c r="H116" s="16">
        <v>7.1643447578672595E-2</v>
      </c>
      <c r="I116">
        <v>3.0704334676574501E-2</v>
      </c>
      <c r="J116">
        <v>4.0939112902098097E-2</v>
      </c>
      <c r="K116">
        <v>0</v>
      </c>
      <c r="L116">
        <v>4.1419353038878182</v>
      </c>
      <c r="M116">
        <v>5.0478395755619783</v>
      </c>
      <c r="N116">
        <v>0.32463558348356319</v>
      </c>
      <c r="O116">
        <v>0.39563832501338608</v>
      </c>
      <c r="P116">
        <v>3.8172997204042538</v>
      </c>
      <c r="Q116">
        <v>4.6522012505485932</v>
      </c>
      <c r="R116">
        <v>0</v>
      </c>
      <c r="S116">
        <v>0</v>
      </c>
      <c r="T116">
        <v>4.7929304328934996E-3</v>
      </c>
      <c r="U116">
        <v>5.8412172443556001E-3</v>
      </c>
      <c r="V116">
        <v>2.0541130426686002E-3</v>
      </c>
      <c r="W116">
        <v>2.5033788190095998E-3</v>
      </c>
      <c r="X116">
        <v>2.7388173902246999E-3</v>
      </c>
      <c r="Y116">
        <v>3.3378384253461E-3</v>
      </c>
      <c r="Z116">
        <v>0</v>
      </c>
      <c r="AA116">
        <v>0</v>
      </c>
      <c r="AB116">
        <v>1226.51571721458</v>
      </c>
      <c r="AC116">
        <v>1494.77336635199</v>
      </c>
      <c r="AD116">
        <f t="shared" si="15"/>
        <v>0.99884416577068524</v>
      </c>
      <c r="AE116">
        <f t="shared" si="16"/>
        <v>0.92055700414849551</v>
      </c>
      <c r="AF116">
        <f t="shared" si="17"/>
        <v>7.8287161622189835E-2</v>
      </c>
      <c r="AG116">
        <f t="shared" si="18"/>
        <v>0</v>
      </c>
      <c r="AH116">
        <f t="shared" si="19"/>
        <v>0.92162224668771509</v>
      </c>
      <c r="AI116">
        <f t="shared" si="20"/>
        <v>7.8377753312284956E-2</v>
      </c>
      <c r="AJ116">
        <f t="shared" si="21"/>
        <v>1.1558342293147023E-3</v>
      </c>
      <c r="AK116">
        <f t="shared" si="22"/>
        <v>4.9535752684916681E-4</v>
      </c>
      <c r="AL116">
        <f t="shared" si="23"/>
        <v>6.6047670246553573E-4</v>
      </c>
      <c r="AM116">
        <f t="shared" si="24"/>
        <v>0.42857142857143599</v>
      </c>
      <c r="AN116">
        <f t="shared" si="25"/>
        <v>0.57142857142856407</v>
      </c>
      <c r="AO116">
        <f t="shared" si="26"/>
        <v>4.1467282343207103E-2</v>
      </c>
      <c r="AP116">
        <f t="shared" si="27"/>
        <v>5.0536807928063365E-2</v>
      </c>
    </row>
    <row r="117" spans="1:42" x14ac:dyDescent="0.35">
      <c r="A117" s="7" t="s">
        <v>28</v>
      </c>
      <c r="B117" s="11" t="s">
        <v>68</v>
      </c>
      <c r="C117" s="16">
        <f t="shared" si="14"/>
        <v>40.645124362128023</v>
      </c>
      <c r="D117">
        <v>40.479513138385329</v>
      </c>
      <c r="E117">
        <v>24.517772021033171</v>
      </c>
      <c r="F117">
        <v>15.961741117352149</v>
      </c>
      <c r="G117">
        <v>0.1656112237427009</v>
      </c>
      <c r="H117" s="16">
        <v>-2.1278849423861459</v>
      </c>
      <c r="I117">
        <v>1.01315101583767E-2</v>
      </c>
      <c r="J117">
        <v>-2.138016452544512</v>
      </c>
      <c r="K117">
        <v>0</v>
      </c>
      <c r="L117">
        <v>2.3859125130950769</v>
      </c>
      <c r="M117">
        <v>2.3486969189980531</v>
      </c>
      <c r="N117">
        <v>1.4451077723739829</v>
      </c>
      <c r="O117">
        <v>1.422566902166903</v>
      </c>
      <c r="P117">
        <v>0.94080474072109321</v>
      </c>
      <c r="Q117">
        <v>0.92613001683115037</v>
      </c>
      <c r="R117">
        <v>9.7613301248435005E-3</v>
      </c>
      <c r="S117">
        <v>9.6090723627586007E-3</v>
      </c>
      <c r="T117">
        <v>-0.12542016731054501</v>
      </c>
      <c r="U117">
        <v>-0.1234638566693981</v>
      </c>
      <c r="V117">
        <v>5.9716372528450005E-4</v>
      </c>
      <c r="W117">
        <v>5.8784913278050002E-4</v>
      </c>
      <c r="X117">
        <v>-0.12601733103582941</v>
      </c>
      <c r="Y117">
        <v>-0.124051705802179</v>
      </c>
      <c r="Z117">
        <v>0</v>
      </c>
      <c r="AA117">
        <v>0</v>
      </c>
      <c r="AB117">
        <v>1723.48815255626</v>
      </c>
      <c r="AC117">
        <v>1696.60508992738</v>
      </c>
      <c r="AD117">
        <f t="shared" si="15"/>
        <v>1.0554835620410015</v>
      </c>
      <c r="AE117">
        <f t="shared" si="16"/>
        <v>0.41619461462700735</v>
      </c>
      <c r="AF117">
        <f t="shared" si="17"/>
        <v>0.639288947413994</v>
      </c>
      <c r="AG117">
        <f t="shared" si="18"/>
        <v>4.3182318856537453E-3</v>
      </c>
      <c r="AH117">
        <f t="shared" si="19"/>
        <v>0.39431652902505343</v>
      </c>
      <c r="AI117">
        <f t="shared" si="20"/>
        <v>0.60568347097494635</v>
      </c>
      <c r="AJ117">
        <f t="shared" si="21"/>
        <v>-5.5245001314801027E-2</v>
      </c>
      <c r="AK117">
        <f t="shared" si="22"/>
        <v>2.6417418594586845E-4</v>
      </c>
      <c r="AL117">
        <f t="shared" si="23"/>
        <v>-5.5747736226947169E-2</v>
      </c>
      <c r="AM117">
        <f t="shared" si="24"/>
        <v>-4.7613054430544217E-3</v>
      </c>
      <c r="AN117">
        <f t="shared" si="25"/>
        <v>1.0047613054430495</v>
      </c>
      <c r="AO117">
        <f t="shared" si="26"/>
        <v>2.2604923457845309E-2</v>
      </c>
      <c r="AP117">
        <f t="shared" si="27"/>
        <v>2.2252330623286524E-2</v>
      </c>
    </row>
    <row r="118" spans="1:42" x14ac:dyDescent="0.35">
      <c r="A118" s="7" t="s">
        <v>29</v>
      </c>
      <c r="B118" s="11" t="s">
        <v>68</v>
      </c>
      <c r="C118" s="16">
        <f t="shared" si="14"/>
        <v>62.552451494316109</v>
      </c>
      <c r="D118">
        <v>64.536582715928375</v>
      </c>
      <c r="E118">
        <v>4.2568291943873264</v>
      </c>
      <c r="F118">
        <v>60.279753521541039</v>
      </c>
      <c r="G118">
        <v>-1.984131221612252</v>
      </c>
      <c r="H118" s="16">
        <v>2.8314122459696591</v>
      </c>
      <c r="I118">
        <v>-0.10285766593745289</v>
      </c>
      <c r="J118">
        <v>2.934269911907109</v>
      </c>
      <c r="K118">
        <v>0</v>
      </c>
      <c r="L118">
        <v>2.4662287828476401</v>
      </c>
      <c r="M118">
        <v>2.2199717645552992</v>
      </c>
      <c r="N118">
        <v>0.1626723052423576</v>
      </c>
      <c r="O118">
        <v>0.1464292068216709</v>
      </c>
      <c r="P118">
        <v>2.3035564776052828</v>
      </c>
      <c r="Q118">
        <v>2.0735425577336288</v>
      </c>
      <c r="R118">
        <v>-7.5822445530246904E-2</v>
      </c>
      <c r="S118">
        <v>-6.8251449081834795E-2</v>
      </c>
      <c r="T118">
        <v>0.1082008077163667</v>
      </c>
      <c r="U118">
        <v>9.7396778313104407E-2</v>
      </c>
      <c r="V118">
        <v>-3.9306471708930998E-3</v>
      </c>
      <c r="W118">
        <v>-3.5381655572668002E-3</v>
      </c>
      <c r="X118">
        <v>0.11213145488725999</v>
      </c>
      <c r="Y118">
        <v>0.10093494387037261</v>
      </c>
      <c r="Z118">
        <v>0</v>
      </c>
      <c r="AA118">
        <v>0</v>
      </c>
      <c r="AB118">
        <v>2907.0902498102801</v>
      </c>
      <c r="AC118">
        <v>2616.8124857180101</v>
      </c>
      <c r="AD118">
        <f t="shared" si="15"/>
        <v>0.95797095864926585</v>
      </c>
      <c r="AE118">
        <f t="shared" si="16"/>
        <v>0.8947832506464537</v>
      </c>
      <c r="AF118">
        <f t="shared" si="17"/>
        <v>6.3187708002812051E-2</v>
      </c>
      <c r="AG118">
        <f t="shared" si="18"/>
        <v>-2.9452134099202984E-2</v>
      </c>
      <c r="AH118">
        <f t="shared" si="19"/>
        <v>0.93404005890543218</v>
      </c>
      <c r="AI118">
        <f t="shared" si="20"/>
        <v>6.5959941094567626E-2</v>
      </c>
      <c r="AJ118">
        <f t="shared" si="21"/>
        <v>4.3304449813740611E-2</v>
      </c>
      <c r="AK118">
        <f t="shared" si="22"/>
        <v>-1.5268031354596066E-3</v>
      </c>
      <c r="AL118">
        <f t="shared" si="23"/>
        <v>4.3555844486193665E-2</v>
      </c>
      <c r="AM118">
        <f t="shared" si="24"/>
        <v>-3.6327336679377736E-2</v>
      </c>
      <c r="AN118">
        <f t="shared" si="25"/>
        <v>1.0363273366793766</v>
      </c>
      <c r="AO118">
        <f t="shared" si="26"/>
        <v>2.5744295905640091E-2</v>
      </c>
      <c r="AP118">
        <f t="shared" si="27"/>
        <v>2.3173685428684074E-2</v>
      </c>
    </row>
    <row r="119" spans="1:42" x14ac:dyDescent="0.35">
      <c r="A119" s="7" t="s">
        <v>30</v>
      </c>
      <c r="B119" s="11" t="s">
        <v>68</v>
      </c>
      <c r="C119" s="16">
        <f t="shared" si="14"/>
        <v>102.23012702811141</v>
      </c>
      <c r="D119">
        <v>102.2301270281114</v>
      </c>
      <c r="E119">
        <v>19.23782439707341</v>
      </c>
      <c r="F119">
        <v>82.992302631038001</v>
      </c>
      <c r="G119">
        <v>0</v>
      </c>
      <c r="H119" s="16">
        <v>-111.6512256284006</v>
      </c>
      <c r="I119">
        <v>-114.80593817842519</v>
      </c>
      <c r="J119">
        <v>3.1547125500243278</v>
      </c>
      <c r="K119">
        <v>0</v>
      </c>
      <c r="L119">
        <v>2.841843447131668</v>
      </c>
      <c r="M119">
        <v>2.4564011359343332</v>
      </c>
      <c r="N119">
        <v>0.53478252242471824</v>
      </c>
      <c r="O119">
        <v>0.46224938846923158</v>
      </c>
      <c r="P119">
        <v>2.3070609247069491</v>
      </c>
      <c r="Q119">
        <v>1.994151747465102</v>
      </c>
      <c r="R119">
        <v>0</v>
      </c>
      <c r="S119">
        <v>0</v>
      </c>
      <c r="T119">
        <v>-3.1037357884632151</v>
      </c>
      <c r="U119">
        <v>-2.6827727347599581</v>
      </c>
      <c r="V119">
        <v>-3.191432042478489</v>
      </c>
      <c r="W119">
        <v>-2.758574650659908</v>
      </c>
      <c r="X119">
        <v>8.7696254015273895E-2</v>
      </c>
      <c r="Y119">
        <v>7.5801915899951597E-2</v>
      </c>
      <c r="Z119">
        <v>0</v>
      </c>
      <c r="AA119">
        <v>0</v>
      </c>
      <c r="AB119">
        <v>4161.7847155581303</v>
      </c>
      <c r="AC119">
        <v>3597.3173374942398</v>
      </c>
      <c r="AD119">
        <f t="shared" si="15"/>
        <v>-10.851189586846406</v>
      </c>
      <c r="AE119">
        <f t="shared" si="16"/>
        <v>-8.8091958435176974</v>
      </c>
      <c r="AF119">
        <f t="shared" si="17"/>
        <v>-2.0419937433287099</v>
      </c>
      <c r="AG119">
        <f t="shared" si="18"/>
        <v>0</v>
      </c>
      <c r="AH119">
        <f t="shared" si="19"/>
        <v>0.81181844377652634</v>
      </c>
      <c r="AI119">
        <f t="shared" si="20"/>
        <v>0.18818155622347377</v>
      </c>
      <c r="AJ119">
        <f t="shared" si="21"/>
        <v>11.851189586846424</v>
      </c>
      <c r="AK119">
        <f t="shared" si="22"/>
        <v>12.186045709669253</v>
      </c>
      <c r="AL119">
        <f t="shared" si="23"/>
        <v>-0.33485612282281896</v>
      </c>
      <c r="AM119">
        <f t="shared" si="24"/>
        <v>1.0282550642168871</v>
      </c>
      <c r="AN119">
        <f t="shared" si="25"/>
        <v>-2.8255064216884576E-2</v>
      </c>
      <c r="AO119">
        <f t="shared" si="26"/>
        <v>-2.6189234133154327E-3</v>
      </c>
      <c r="AP119">
        <f t="shared" si="27"/>
        <v>-2.2637159882561947E-3</v>
      </c>
    </row>
    <row r="120" spans="1:42" x14ac:dyDescent="0.35">
      <c r="A120" s="7" t="s">
        <v>31</v>
      </c>
      <c r="B120" s="11" t="s">
        <v>68</v>
      </c>
      <c r="C120" s="16">
        <f t="shared" si="14"/>
        <v>35.998304619164635</v>
      </c>
      <c r="D120">
        <v>36.032590507810447</v>
      </c>
      <c r="E120">
        <v>3.3829533441994899</v>
      </c>
      <c r="F120">
        <v>32.649637163610961</v>
      </c>
      <c r="G120">
        <v>-3.4285888645816998E-2</v>
      </c>
      <c r="H120" s="16">
        <v>53.163057249189023</v>
      </c>
      <c r="I120">
        <v>-1.5918448299843499E-2</v>
      </c>
      <c r="J120">
        <v>53.178975697488909</v>
      </c>
      <c r="K120">
        <v>0</v>
      </c>
      <c r="L120">
        <v>1.878499982551235</v>
      </c>
      <c r="M120">
        <v>1.5413958123157809</v>
      </c>
      <c r="N120">
        <v>0.1763647217280393</v>
      </c>
      <c r="O120">
        <v>0.1447153825056921</v>
      </c>
      <c r="P120">
        <v>1.702135260823195</v>
      </c>
      <c r="Q120">
        <v>1.396680429810089</v>
      </c>
      <c r="R120">
        <v>-1.7874385470275E-3</v>
      </c>
      <c r="S120">
        <v>-1.4666757076133999E-3</v>
      </c>
      <c r="T120">
        <v>2.7715687578256341</v>
      </c>
      <c r="U120">
        <v>2.27419990233679</v>
      </c>
      <c r="V120">
        <v>-8.2988218254849996E-4</v>
      </c>
      <c r="W120">
        <v>-6.8095657853479996E-4</v>
      </c>
      <c r="X120">
        <v>2.7723986400081841</v>
      </c>
      <c r="Y120">
        <v>2.2748808589153242</v>
      </c>
      <c r="Z120">
        <v>0</v>
      </c>
      <c r="AA120">
        <v>0</v>
      </c>
      <c r="AB120">
        <v>2337.6598158571201</v>
      </c>
      <c r="AC120">
        <v>1918.15761738117</v>
      </c>
      <c r="AD120">
        <f t="shared" si="15"/>
        <v>0.40397251899527631</v>
      </c>
      <c r="AE120">
        <f t="shared" si="16"/>
        <v>0.36604518252460178</v>
      </c>
      <c r="AF120">
        <f t="shared" si="17"/>
        <v>3.7927336470674582E-2</v>
      </c>
      <c r="AG120">
        <f t="shared" si="18"/>
        <v>-3.8438970407192843E-4</v>
      </c>
      <c r="AH120">
        <f t="shared" si="19"/>
        <v>0.90611406794451277</v>
      </c>
      <c r="AI120">
        <f t="shared" si="20"/>
        <v>9.3885932055487342E-2</v>
      </c>
      <c r="AJ120">
        <f t="shared" si="21"/>
        <v>0.5962566759319361</v>
      </c>
      <c r="AK120">
        <f t="shared" si="22"/>
        <v>-1.7846664831910845E-4</v>
      </c>
      <c r="AL120">
        <f t="shared" si="23"/>
        <v>0.59620594765304313</v>
      </c>
      <c r="AM120">
        <f t="shared" si="24"/>
        <v>-2.994268788047611E-4</v>
      </c>
      <c r="AN120">
        <f t="shared" si="25"/>
        <v>1.0002994268788055</v>
      </c>
      <c r="AO120">
        <f t="shared" si="26"/>
        <v>4.6500687403768663E-2</v>
      </c>
      <c r="AP120">
        <f t="shared" si="27"/>
        <v>3.8155957146525719E-2</v>
      </c>
    </row>
    <row r="121" spans="1:42" x14ac:dyDescent="0.35">
      <c r="A121" s="7" t="s">
        <v>32</v>
      </c>
      <c r="B121" s="11" t="s">
        <v>68</v>
      </c>
      <c r="C121" s="16">
        <f t="shared" si="14"/>
        <v>227.99500429432956</v>
      </c>
      <c r="D121">
        <v>227.24510700030919</v>
      </c>
      <c r="E121">
        <v>42.258318536499011</v>
      </c>
      <c r="F121">
        <v>184.9867884638102</v>
      </c>
      <c r="G121">
        <v>0.749897294020343</v>
      </c>
      <c r="H121" s="16">
        <v>0.4528225967738137</v>
      </c>
      <c r="I121">
        <v>0</v>
      </c>
      <c r="J121">
        <v>0.4528225967738137</v>
      </c>
      <c r="K121">
        <v>264.23338464211298</v>
      </c>
      <c r="L121">
        <v>4.978714949146438</v>
      </c>
      <c r="M121">
        <v>4.2676321756965621</v>
      </c>
      <c r="N121">
        <v>0.92583785411570318</v>
      </c>
      <c r="O121">
        <v>0.79360546969643764</v>
      </c>
      <c r="P121">
        <v>4.052877095030734</v>
      </c>
      <c r="Q121">
        <v>3.474026706000124</v>
      </c>
      <c r="R121">
        <v>1.6429506084188299E-2</v>
      </c>
      <c r="S121">
        <v>1.40829691018362E-2</v>
      </c>
      <c r="T121">
        <v>9.9208940585281992E-3</v>
      </c>
      <c r="U121">
        <v>8.5039467268783007E-3</v>
      </c>
      <c r="V121">
        <v>0</v>
      </c>
      <c r="W121">
        <v>0</v>
      </c>
      <c r="X121">
        <v>9.9208940585281992E-3</v>
      </c>
      <c r="Y121">
        <v>8.5039467268783007E-3</v>
      </c>
      <c r="Z121">
        <v>5.7890914332402303</v>
      </c>
      <c r="AA121">
        <v>4.9622669947756144</v>
      </c>
      <c r="AB121">
        <v>5324.8522282316499</v>
      </c>
      <c r="AC121">
        <v>4564.3325500944502</v>
      </c>
      <c r="AD121">
        <f t="shared" si="15"/>
        <v>0.99801130121132375</v>
      </c>
      <c r="AE121">
        <f t="shared" si="16"/>
        <v>0.81242191701588506</v>
      </c>
      <c r="AF121">
        <f t="shared" si="17"/>
        <v>0.1855893841954388</v>
      </c>
      <c r="AG121">
        <f t="shared" si="18"/>
        <v>3.2933865290180916E-3</v>
      </c>
      <c r="AH121">
        <f t="shared" si="19"/>
        <v>0.81404079896672321</v>
      </c>
      <c r="AI121">
        <f t="shared" si="20"/>
        <v>0.18595920103327687</v>
      </c>
      <c r="AJ121">
        <f t="shared" si="21"/>
        <v>1.9821707342817727E-3</v>
      </c>
      <c r="AK121">
        <f t="shared" si="22"/>
        <v>0</v>
      </c>
      <c r="AL121">
        <f t="shared" si="23"/>
        <v>1.9886987886762707E-3</v>
      </c>
      <c r="AM121">
        <f t="shared" si="24"/>
        <v>0</v>
      </c>
      <c r="AN121">
        <f t="shared" si="25"/>
        <v>1</v>
      </c>
      <c r="AO121">
        <f t="shared" si="26"/>
        <v>4.9886358432049659E-2</v>
      </c>
      <c r="AP121">
        <f t="shared" si="27"/>
        <v>4.27613612242344E-2</v>
      </c>
    </row>
    <row r="122" spans="1:42" x14ac:dyDescent="0.35">
      <c r="A122" s="7" t="s">
        <v>33</v>
      </c>
      <c r="B122" s="11" t="s">
        <v>68</v>
      </c>
      <c r="C122" s="16">
        <f t="shared" si="14"/>
        <v>1.0631452400697414</v>
      </c>
      <c r="D122">
        <v>0.70983413309792809</v>
      </c>
      <c r="E122">
        <v>5.4602625622916998E-2</v>
      </c>
      <c r="F122">
        <v>0.65523150747500836</v>
      </c>
      <c r="G122">
        <v>0.353311106971816</v>
      </c>
      <c r="H122" s="16">
        <v>0.75908356013035672</v>
      </c>
      <c r="I122">
        <v>0</v>
      </c>
      <c r="J122">
        <v>0.75908356013035672</v>
      </c>
      <c r="K122">
        <v>1.338299647620516</v>
      </c>
      <c r="L122">
        <v>4.3331529487037099E-2</v>
      </c>
      <c r="M122">
        <v>3.2915423510035499E-2</v>
      </c>
      <c r="N122">
        <v>3.3331945759259001E-3</v>
      </c>
      <c r="O122">
        <v>2.5319556546181E-3</v>
      </c>
      <c r="P122">
        <v>3.9998334911111003E-2</v>
      </c>
      <c r="Q122">
        <v>3.0383467855417099E-2</v>
      </c>
      <c r="R122">
        <v>2.1567729608932398E-2</v>
      </c>
      <c r="S122">
        <v>1.6383242471058601E-2</v>
      </c>
      <c r="T122">
        <v>4.6337940281009703E-2</v>
      </c>
      <c r="U122">
        <v>3.5199148218122603E-2</v>
      </c>
      <c r="V122">
        <v>0</v>
      </c>
      <c r="W122">
        <v>0</v>
      </c>
      <c r="X122">
        <v>4.6337940281009703E-2</v>
      </c>
      <c r="Y122">
        <v>3.5199148218122603E-2</v>
      </c>
      <c r="Z122">
        <v>8.1695945488379801E-2</v>
      </c>
      <c r="AA122">
        <v>6.2057736632796699E-2</v>
      </c>
      <c r="AB122">
        <v>2156.5395714307001</v>
      </c>
      <c r="AC122">
        <v>1638.14696019506</v>
      </c>
      <c r="AD122">
        <f t="shared" si="15"/>
        <v>0.48323615160350081</v>
      </c>
      <c r="AE122">
        <f t="shared" si="16"/>
        <v>0.44606413994169153</v>
      </c>
      <c r="AF122">
        <f t="shared" si="17"/>
        <v>3.7172011661807378E-2</v>
      </c>
      <c r="AG122">
        <f t="shared" si="18"/>
        <v>0.24052478134110666</v>
      </c>
      <c r="AH122">
        <f t="shared" si="19"/>
        <v>0.92307692307692002</v>
      </c>
      <c r="AI122">
        <f t="shared" si="20"/>
        <v>7.692307692307615E-2</v>
      </c>
      <c r="AJ122">
        <f t="shared" si="21"/>
        <v>0.41656874265569838</v>
      </c>
      <c r="AK122">
        <f t="shared" si="22"/>
        <v>0</v>
      </c>
      <c r="AL122">
        <f t="shared" si="23"/>
        <v>0.51676384839649925</v>
      </c>
      <c r="AM122">
        <f t="shared" si="24"/>
        <v>0</v>
      </c>
      <c r="AN122">
        <f t="shared" si="25"/>
        <v>1</v>
      </c>
      <c r="AO122">
        <f t="shared" si="26"/>
        <v>8.9669469768046664E-4</v>
      </c>
      <c r="AP122">
        <f t="shared" si="27"/>
        <v>6.8114571728158436E-4</v>
      </c>
    </row>
    <row r="123" spans="1:42" x14ac:dyDescent="0.35">
      <c r="A123" s="7" t="s">
        <v>34</v>
      </c>
      <c r="B123" s="11" t="s">
        <v>68</v>
      </c>
      <c r="C123" s="16">
        <f t="shared" si="14"/>
        <v>9.5341563582265767</v>
      </c>
      <c r="D123">
        <v>8.919494114882724</v>
      </c>
      <c r="E123">
        <v>-1.0503963879287279</v>
      </c>
      <c r="F123">
        <v>9.9698905028114524</v>
      </c>
      <c r="G123">
        <v>0.614662243343852</v>
      </c>
      <c r="H123" s="16">
        <v>6.8486823031478536</v>
      </c>
      <c r="I123">
        <v>4.1453482675033501E-2</v>
      </c>
      <c r="J123">
        <v>6.8072288204728011</v>
      </c>
      <c r="K123">
        <v>-4.8979840922594699E-2</v>
      </c>
      <c r="L123">
        <v>0.67371927964275846</v>
      </c>
      <c r="M123">
        <v>0.49648519958912501</v>
      </c>
      <c r="N123">
        <v>-7.9339959049236103E-2</v>
      </c>
      <c r="O123">
        <v>-5.8468143326461199E-2</v>
      </c>
      <c r="P123">
        <v>0.75305923869199454</v>
      </c>
      <c r="Q123">
        <v>0.5549533429155864</v>
      </c>
      <c r="R123">
        <v>4.6427498967486699E-2</v>
      </c>
      <c r="S123">
        <v>3.4213903012422497E-2</v>
      </c>
      <c r="T123">
        <v>0.51730392423040783</v>
      </c>
      <c r="U123">
        <v>0.38121774132092229</v>
      </c>
      <c r="V123">
        <v>3.131120456698E-3</v>
      </c>
      <c r="W123">
        <v>2.3074224114612999E-3</v>
      </c>
      <c r="X123">
        <v>0.514172803773711</v>
      </c>
      <c r="Y123">
        <v>0.37891031890946181</v>
      </c>
      <c r="Z123">
        <v>-3.6996115158960999E-3</v>
      </c>
      <c r="AA123">
        <v>-2.7263615831890999E-3</v>
      </c>
      <c r="AB123">
        <v>1796.5276955414199</v>
      </c>
      <c r="AC123">
        <v>1323.9184901480501</v>
      </c>
      <c r="AD123">
        <f t="shared" si="15"/>
        <v>0.56566427711218847</v>
      </c>
      <c r="AE123">
        <f t="shared" si="16"/>
        <v>0.63227923372363415</v>
      </c>
      <c r="AF123">
        <f t="shared" si="17"/>
        <v>-6.6614956611445675E-2</v>
      </c>
      <c r="AG123">
        <f t="shared" si="18"/>
        <v>3.8981187617928896E-2</v>
      </c>
      <c r="AH123">
        <f t="shared" si="19"/>
        <v>1.1177641214176124</v>
      </c>
      <c r="AI123">
        <f t="shared" si="20"/>
        <v>-0.11776412141761235</v>
      </c>
      <c r="AJ123">
        <f t="shared" si="21"/>
        <v>0.4180400261949041</v>
      </c>
      <c r="AK123">
        <f t="shared" si="22"/>
        <v>2.6289332118095989E-3</v>
      </c>
      <c r="AL123">
        <f t="shared" si="23"/>
        <v>0.43170678967600074</v>
      </c>
      <c r="AM123">
        <f t="shared" si="24"/>
        <v>6.0527676478700542E-3</v>
      </c>
      <c r="AN123">
        <f t="shared" si="25"/>
        <v>0.99394723235212712</v>
      </c>
      <c r="AO123">
        <f t="shared" si="26"/>
        <v>1.1910232038731679E-2</v>
      </c>
      <c r="AP123">
        <f t="shared" si="27"/>
        <v>8.7770294091004918E-3</v>
      </c>
    </row>
    <row r="124" spans="1:42" x14ac:dyDescent="0.35">
      <c r="A124" s="7" t="s">
        <v>35</v>
      </c>
      <c r="B124" s="11" t="s">
        <v>68</v>
      </c>
      <c r="C124" s="16">
        <f t="shared" si="14"/>
        <v>202.94318783825901</v>
      </c>
      <c r="D124">
        <v>199.1047307379088</v>
      </c>
      <c r="E124">
        <v>103.96143780860361</v>
      </c>
      <c r="F124">
        <v>95.143292929305247</v>
      </c>
      <c r="G124">
        <v>3.838457100350162</v>
      </c>
      <c r="H124" s="16">
        <v>-0.29967103393948941</v>
      </c>
      <c r="I124">
        <v>-8.7880068603979995E-4</v>
      </c>
      <c r="J124">
        <v>-0.29879223325349358</v>
      </c>
      <c r="K124">
        <v>0</v>
      </c>
      <c r="L124">
        <v>6.3059947144265589</v>
      </c>
      <c r="M124">
        <v>6.7676927283776473</v>
      </c>
      <c r="N124">
        <v>3.2926403852664432</v>
      </c>
      <c r="O124">
        <v>3.5337134586476822</v>
      </c>
      <c r="P124">
        <v>3.0133543291601161</v>
      </c>
      <c r="Q124">
        <v>3.2339792697299639</v>
      </c>
      <c r="R124">
        <v>0.12157064323209781</v>
      </c>
      <c r="S124">
        <v>0.1304715267686169</v>
      </c>
      <c r="T124">
        <v>-9.4911052544333005E-3</v>
      </c>
      <c r="U124">
        <v>-1.01860034655185E-2</v>
      </c>
      <c r="V124">
        <v>-2.7833153238815411E-5</v>
      </c>
      <c r="W124">
        <v>-2.9870977904758459E-5</v>
      </c>
      <c r="X124">
        <v>-9.4632721011950992E-3</v>
      </c>
      <c r="Y124">
        <v>-1.0156132487614E-2</v>
      </c>
      <c r="Z124">
        <v>0</v>
      </c>
      <c r="AA124">
        <v>0</v>
      </c>
      <c r="AB124">
        <v>2941.9883367789698</v>
      </c>
      <c r="AC124">
        <v>3157.38816403392</v>
      </c>
      <c r="AD124">
        <f t="shared" si="15"/>
        <v>1.0015073612029075</v>
      </c>
      <c r="AE124">
        <f t="shared" si="16"/>
        <v>0.47857581226040413</v>
      </c>
      <c r="AF124">
        <f t="shared" si="17"/>
        <v>0.52293154894250371</v>
      </c>
      <c r="AG124">
        <f t="shared" si="18"/>
        <v>1.9307642904389945E-2</v>
      </c>
      <c r="AH124">
        <f t="shared" si="19"/>
        <v>0.47785551140192128</v>
      </c>
      <c r="AI124">
        <f t="shared" si="20"/>
        <v>0.52214448859807894</v>
      </c>
      <c r="AJ124">
        <f t="shared" si="21"/>
        <v>-1.4788088889557886E-3</v>
      </c>
      <c r="AK124">
        <f t="shared" si="22"/>
        <v>-4.4204140847741914E-6</v>
      </c>
      <c r="AL124">
        <f t="shared" si="23"/>
        <v>-1.502940788823032E-3</v>
      </c>
      <c r="AM124">
        <f t="shared" si="24"/>
        <v>2.9325513196489001E-3</v>
      </c>
      <c r="AN124">
        <f t="shared" si="25"/>
        <v>0.99706744868049779</v>
      </c>
      <c r="AO124">
        <f t="shared" si="26"/>
        <v>6.2965036091721258E-2</v>
      </c>
      <c r="AP124">
        <f t="shared" si="27"/>
        <v>6.7575067249121268E-2</v>
      </c>
    </row>
    <row r="125" spans="1:42" x14ac:dyDescent="0.35">
      <c r="A125" s="7" t="s">
        <v>36</v>
      </c>
      <c r="B125" s="11" t="s">
        <v>68</v>
      </c>
      <c r="C125" s="16">
        <f t="shared" si="14"/>
        <v>1054.3</v>
      </c>
      <c r="D125">
        <v>1054.3</v>
      </c>
      <c r="E125">
        <v>179.8</v>
      </c>
      <c r="F125">
        <v>874.5</v>
      </c>
      <c r="G125">
        <v>0</v>
      </c>
      <c r="H125" s="16">
        <v>0</v>
      </c>
      <c r="I125">
        <v>0</v>
      </c>
      <c r="J125">
        <v>0</v>
      </c>
      <c r="K125">
        <v>0</v>
      </c>
      <c r="L125">
        <v>5.2902870798831074</v>
      </c>
      <c r="M125">
        <v>5.2783053488644818</v>
      </c>
      <c r="N125">
        <v>0.90220394286539163</v>
      </c>
      <c r="O125">
        <v>0.90016058211688743</v>
      </c>
      <c r="P125">
        <v>4.3880831370177162</v>
      </c>
      <c r="Q125">
        <v>4.3781447667475959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19974.2138871676</v>
      </c>
      <c r="AC125">
        <v>19928.975197</v>
      </c>
      <c r="AD125">
        <f t="shared" si="15"/>
        <v>1</v>
      </c>
      <c r="AE125">
        <f t="shared" si="16"/>
        <v>0.82946030541591576</v>
      </c>
      <c r="AF125">
        <f t="shared" si="17"/>
        <v>0.17053969458408424</v>
      </c>
      <c r="AG125">
        <f t="shared" si="18"/>
        <v>0</v>
      </c>
      <c r="AH125">
        <f t="shared" si="19"/>
        <v>0.82946030541591576</v>
      </c>
      <c r="AI125">
        <f t="shared" si="20"/>
        <v>0.17053969458408424</v>
      </c>
      <c r="AJ125">
        <f t="shared" si="21"/>
        <v>0</v>
      </c>
      <c r="AK125">
        <f t="shared" si="22"/>
        <v>0</v>
      </c>
      <c r="AL125">
        <f t="shared" si="23"/>
        <v>0</v>
      </c>
      <c r="AM125" t="e">
        <f t="shared" si="24"/>
        <v>#DIV/0!</v>
      </c>
      <c r="AN125" t="e">
        <f t="shared" si="25"/>
        <v>#DIV/0!</v>
      </c>
      <c r="AO125">
        <f t="shared" si="26"/>
        <v>5.2902870798831068E-2</v>
      </c>
      <c r="AP125">
        <f t="shared" si="27"/>
        <v>5.2783053488644836E-2</v>
      </c>
    </row>
    <row r="126" spans="1:42" x14ac:dyDescent="0.35">
      <c r="A126" s="7" t="s">
        <v>37</v>
      </c>
      <c r="B126" s="11" t="s">
        <v>68</v>
      </c>
      <c r="C126" s="16">
        <f t="shared" si="14"/>
        <v>2.6756517035228975</v>
      </c>
      <c r="D126">
        <v>0.48248815777999438</v>
      </c>
      <c r="E126">
        <v>0.51497751595394803</v>
      </c>
      <c r="F126">
        <v>-3.2489358173953597E-2</v>
      </c>
      <c r="G126">
        <v>2.1931635457429031</v>
      </c>
      <c r="H126" s="16">
        <v>1.254832181317395</v>
      </c>
      <c r="I126">
        <v>0.10436173005807831</v>
      </c>
      <c r="J126">
        <v>1.150470451259316</v>
      </c>
      <c r="K126">
        <v>7.6165976297277194</v>
      </c>
      <c r="L126">
        <v>3.7719396269809198E-2</v>
      </c>
      <c r="M126">
        <v>2.0258417507762201E-2</v>
      </c>
      <c r="N126">
        <v>4.0259311407112801E-2</v>
      </c>
      <c r="O126">
        <v>2.1622560796740801E-2</v>
      </c>
      <c r="P126">
        <v>-2.5399151373036001E-3</v>
      </c>
      <c r="Q126">
        <v>-1.3641432889784999E-3</v>
      </c>
      <c r="R126">
        <v>0.17145458086889959</v>
      </c>
      <c r="S126">
        <v>9.2085208840966604E-2</v>
      </c>
      <c r="T126">
        <v>9.8098806231845803E-2</v>
      </c>
      <c r="U126">
        <v>5.2687125728161997E-2</v>
      </c>
      <c r="V126">
        <v>8.1586695714477003E-3</v>
      </c>
      <c r="W126">
        <v>4.3818764569822999E-3</v>
      </c>
      <c r="X126">
        <v>8.9940136660398004E-2</v>
      </c>
      <c r="Y126">
        <v>4.8305249271179698E-2</v>
      </c>
      <c r="Z126">
        <v>0.59544148305167344</v>
      </c>
      <c r="AA126">
        <v>0.31980104026100231</v>
      </c>
      <c r="AB126">
        <v>2381.6675591522499</v>
      </c>
      <c r="AC126">
        <v>1279.1513266244399</v>
      </c>
      <c r="AD126">
        <f t="shared" si="15"/>
        <v>0.27771974282570544</v>
      </c>
      <c r="AE126">
        <f t="shared" si="16"/>
        <v>-1.8700844883237353E-2</v>
      </c>
      <c r="AF126">
        <f t="shared" si="17"/>
        <v>0.29642058770894281</v>
      </c>
      <c r="AG126">
        <f t="shared" si="18"/>
        <v>1.262382933295044</v>
      </c>
      <c r="AH126">
        <f t="shared" si="19"/>
        <v>-6.7337110041088596E-2</v>
      </c>
      <c r="AI126">
        <f t="shared" si="20"/>
        <v>1.0673371100410887</v>
      </c>
      <c r="AJ126">
        <f t="shared" si="21"/>
        <v>0.31925641169964569</v>
      </c>
      <c r="AK126">
        <f t="shared" si="22"/>
        <v>6.0070516478439771E-2</v>
      </c>
      <c r="AL126">
        <f t="shared" si="23"/>
        <v>0.66220974069585437</v>
      </c>
      <c r="AM126">
        <f t="shared" si="24"/>
        <v>8.3167878232540515E-2</v>
      </c>
      <c r="AN126">
        <f t="shared" si="25"/>
        <v>0.91683212176745887</v>
      </c>
      <c r="AO126">
        <f t="shared" si="26"/>
        <v>1.358182025016551E-3</v>
      </c>
      <c r="AP126">
        <f t="shared" si="27"/>
        <v>7.2945543235924384E-4</v>
      </c>
    </row>
    <row r="127" spans="1:42" x14ac:dyDescent="0.35">
      <c r="A127" s="7" t="s">
        <v>38</v>
      </c>
      <c r="B127" s="11" t="s">
        <v>68</v>
      </c>
      <c r="C127" s="16">
        <f t="shared" si="14"/>
        <v>2.9555531427100137</v>
      </c>
      <c r="D127">
        <v>2.706739027069029</v>
      </c>
      <c r="E127">
        <v>6.3428250262197894E-2</v>
      </c>
      <c r="F127">
        <v>2.6433107768068318</v>
      </c>
      <c r="G127">
        <v>0.24881411564098421</v>
      </c>
      <c r="H127" s="16">
        <v>-22.6690210199828</v>
      </c>
      <c r="I127">
        <v>8.8709204053682503E-2</v>
      </c>
      <c r="J127">
        <v>-22.757730224036489</v>
      </c>
      <c r="K127">
        <v>2.230995755846735</v>
      </c>
      <c r="L127">
        <v>0.2714737862550583</v>
      </c>
      <c r="M127">
        <v>0.1159807298115369</v>
      </c>
      <c r="N127">
        <v>6.3615690622593002E-3</v>
      </c>
      <c r="O127">
        <v>2.7178293446502998E-3</v>
      </c>
      <c r="P127">
        <v>0.26511221719279898</v>
      </c>
      <c r="Q127">
        <v>0.1132629004668866</v>
      </c>
      <c r="R127">
        <v>2.4954940011303699E-2</v>
      </c>
      <c r="S127">
        <v>1.06614056363985E-2</v>
      </c>
      <c r="T127">
        <v>-2.27360115084833</v>
      </c>
      <c r="U127">
        <v>-0.97134211156575756</v>
      </c>
      <c r="V127">
        <v>8.8971353570804993E-3</v>
      </c>
      <c r="W127">
        <v>3.8010898443680001E-3</v>
      </c>
      <c r="X127">
        <v>-2.2824982862054122</v>
      </c>
      <c r="Y127">
        <v>-0.975143201410126</v>
      </c>
      <c r="Z127">
        <v>0.22375886958504049</v>
      </c>
      <c r="AA127">
        <v>9.5595664518028298E-2</v>
      </c>
      <c r="AB127">
        <v>2333.7834064911899</v>
      </c>
      <c r="AC127">
        <v>997.05355143423003</v>
      </c>
      <c r="AD127">
        <f t="shared" si="15"/>
        <v>-0.13559266560956656</v>
      </c>
      <c r="AE127">
        <f t="shared" si="16"/>
        <v>-0.1324152608276527</v>
      </c>
      <c r="AF127">
        <f t="shared" si="17"/>
        <v>-3.1774047819138973E-3</v>
      </c>
      <c r="AG127">
        <f t="shared" si="18"/>
        <v>-1.2464212043959127E-2</v>
      </c>
      <c r="AH127">
        <f t="shared" si="19"/>
        <v>0.97656654386408281</v>
      </c>
      <c r="AI127">
        <f t="shared" si="20"/>
        <v>2.3433456135917421E-2</v>
      </c>
      <c r="AJ127">
        <f t="shared" si="21"/>
        <v>1.1499255818971053</v>
      </c>
      <c r="AK127">
        <f t="shared" si="22"/>
        <v>-4.4438408437057738E-3</v>
      </c>
      <c r="AL127">
        <f t="shared" si="23"/>
        <v>1.1400365064532727</v>
      </c>
      <c r="AM127">
        <f t="shared" si="24"/>
        <v>-3.9132348933588754E-3</v>
      </c>
      <c r="AN127">
        <f t="shared" si="25"/>
        <v>1.0039132348933593</v>
      </c>
      <c r="AO127">
        <f t="shared" si="26"/>
        <v>-2.0021273645932716E-2</v>
      </c>
      <c r="AP127">
        <f t="shared" si="27"/>
        <v>-8.5536138175422091E-3</v>
      </c>
    </row>
    <row r="128" spans="1:42" x14ac:dyDescent="0.35">
      <c r="A128" s="9" t="s">
        <v>39</v>
      </c>
      <c r="B128" s="11" t="s">
        <v>68</v>
      </c>
      <c r="C128" s="16">
        <f t="shared" si="14"/>
        <v>-0.15673549095230832</v>
      </c>
      <c r="D128">
        <v>-0.15673549095230749</v>
      </c>
      <c r="E128">
        <v>-8.8163713660671002E-3</v>
      </c>
      <c r="F128">
        <v>-0.14791911958624121</v>
      </c>
      <c r="G128">
        <v>0</v>
      </c>
      <c r="H128" s="16">
        <v>-4.4081856830334901E-2</v>
      </c>
      <c r="I128">
        <v>0</v>
      </c>
      <c r="J128">
        <v>-4.4081856830334901E-2</v>
      </c>
      <c r="K128">
        <v>0</v>
      </c>
      <c r="L128">
        <v>-3.7863429173517801E-2</v>
      </c>
      <c r="M128">
        <v>-3.3447667807116901E-2</v>
      </c>
      <c r="N128">
        <v>-2.1298178910102998E-3</v>
      </c>
      <c r="O128">
        <v>-1.8814313141501001E-3</v>
      </c>
      <c r="P128">
        <v>-3.5733611282507703E-2</v>
      </c>
      <c r="Q128">
        <v>-3.1566236492966297E-2</v>
      </c>
      <c r="R128">
        <v>0</v>
      </c>
      <c r="S128">
        <v>0</v>
      </c>
      <c r="T128">
        <v>-1.06490894550512E-2</v>
      </c>
      <c r="U128">
        <v>-9.4071565707508995E-3</v>
      </c>
      <c r="V128">
        <v>0</v>
      </c>
      <c r="W128">
        <v>0</v>
      </c>
      <c r="X128">
        <v>-1.06490894550512E-2</v>
      </c>
      <c r="Y128">
        <v>-9.4071565707508995E-3</v>
      </c>
      <c r="Z128">
        <v>0</v>
      </c>
      <c r="AA128">
        <v>0</v>
      </c>
      <c r="AB128">
        <v>468.59916169988998</v>
      </c>
      <c r="AC128">
        <v>413.94954015926999</v>
      </c>
      <c r="AD128">
        <f t="shared" si="15"/>
        <v>0.78048780487805502</v>
      </c>
      <c r="AE128">
        <f t="shared" si="16"/>
        <v>0.7365853658536694</v>
      </c>
      <c r="AF128">
        <f t="shared" si="17"/>
        <v>4.3902439024389617E-2</v>
      </c>
      <c r="AG128">
        <f t="shared" si="18"/>
        <v>0</v>
      </c>
      <c r="AH128">
        <f t="shared" si="19"/>
        <v>0.94375000000000653</v>
      </c>
      <c r="AI128">
        <f t="shared" si="20"/>
        <v>5.6249999999998752E-2</v>
      </c>
      <c r="AJ128">
        <f t="shared" si="21"/>
        <v>0.21951219512194417</v>
      </c>
      <c r="AK128">
        <f t="shared" si="22"/>
        <v>0</v>
      </c>
      <c r="AL128">
        <f t="shared" si="23"/>
        <v>0.21951219512194509</v>
      </c>
      <c r="AM128">
        <f t="shared" si="24"/>
        <v>0</v>
      </c>
      <c r="AN128">
        <f t="shared" si="25"/>
        <v>1</v>
      </c>
      <c r="AO128">
        <f t="shared" si="26"/>
        <v>-4.8512518628569194E-4</v>
      </c>
      <c r="AP128">
        <f t="shared" si="27"/>
        <v>-4.2854824377866474E-4</v>
      </c>
    </row>
    <row r="129" spans="1:42" x14ac:dyDescent="0.35">
      <c r="A129" s="7" t="s">
        <v>40</v>
      </c>
      <c r="B129" s="11" t="s">
        <v>68</v>
      </c>
      <c r="C129" s="16">
        <f t="shared" si="14"/>
        <v>13.950383861545907</v>
      </c>
      <c r="D129">
        <v>16.64724725671066</v>
      </c>
      <c r="E129">
        <v>5.4475010377742272</v>
      </c>
      <c r="F129">
        <v>11.199746218936429</v>
      </c>
      <c r="G129">
        <v>-2.6968633951647489</v>
      </c>
      <c r="H129" s="16">
        <v>-0.37390929665895811</v>
      </c>
      <c r="I129">
        <v>-0.1192141238614583</v>
      </c>
      <c r="J129">
        <v>-0.25469517279749709</v>
      </c>
      <c r="K129">
        <v>0</v>
      </c>
      <c r="L129">
        <v>3.3620104008685532</v>
      </c>
      <c r="M129">
        <v>2.9977649381601279</v>
      </c>
      <c r="N129">
        <v>1.100155170720879</v>
      </c>
      <c r="O129">
        <v>0.98096263963686803</v>
      </c>
      <c r="P129">
        <v>2.2618552301476749</v>
      </c>
      <c r="Q129">
        <v>2.0168022985232601</v>
      </c>
      <c r="R129">
        <v>-0.54464757112384632</v>
      </c>
      <c r="S129">
        <v>-0.48563960181305132</v>
      </c>
      <c r="T129">
        <v>-7.5513201970499794E-2</v>
      </c>
      <c r="U129">
        <v>-6.73319836181622E-2</v>
      </c>
      <c r="V129">
        <v>-2.4075999963963299E-2</v>
      </c>
      <c r="W129">
        <v>-2.1467568489516899E-2</v>
      </c>
      <c r="X129">
        <v>-5.1437202006535898E-2</v>
      </c>
      <c r="Y129">
        <v>-4.5864415128646002E-2</v>
      </c>
      <c r="Z129">
        <v>0</v>
      </c>
      <c r="AA129">
        <v>0</v>
      </c>
      <c r="AB129">
        <v>555.32196820367994</v>
      </c>
      <c r="AC129">
        <v>495.15751802582002</v>
      </c>
      <c r="AD129">
        <f t="shared" si="15"/>
        <v>1.0229768039953968</v>
      </c>
      <c r="AE129">
        <f t="shared" si="16"/>
        <v>0.68822673298065318</v>
      </c>
      <c r="AF129">
        <f t="shared" si="17"/>
        <v>0.33475007101474341</v>
      </c>
      <c r="AG129">
        <f t="shared" si="18"/>
        <v>-0.16572281616624035</v>
      </c>
      <c r="AH129">
        <f t="shared" si="19"/>
        <v>0.67276865936028596</v>
      </c>
      <c r="AI129">
        <f t="shared" si="20"/>
        <v>0.32723134063971382</v>
      </c>
      <c r="AJ129">
        <f t="shared" si="21"/>
        <v>-2.7540971322997626E-2</v>
      </c>
      <c r="AK129">
        <f t="shared" si="22"/>
        <v>-7.3257326895139066E-3</v>
      </c>
      <c r="AL129">
        <f t="shared" si="23"/>
        <v>-1.5651071305882711E-2</v>
      </c>
      <c r="AM129">
        <f t="shared" si="24"/>
        <v>0.31883166566514459</v>
      </c>
      <c r="AN129">
        <f t="shared" si="25"/>
        <v>0.68116833433484814</v>
      </c>
      <c r="AO129">
        <f t="shared" si="26"/>
        <v>3.2864971988980543E-2</v>
      </c>
      <c r="AP129">
        <f t="shared" si="27"/>
        <v>2.9304329545419672E-2</v>
      </c>
    </row>
    <row r="130" spans="1:42" x14ac:dyDescent="0.35">
      <c r="A130" s="9" t="s">
        <v>41</v>
      </c>
      <c r="B130" s="11" t="s">
        <v>68</v>
      </c>
      <c r="C130" s="16">
        <f t="shared" si="14"/>
        <v>2.4619885799198751</v>
      </c>
      <c r="D130">
        <v>2.4930645985307538</v>
      </c>
      <c r="E130">
        <v>0.32729011819604897</v>
      </c>
      <c r="F130">
        <v>2.1657744803347061</v>
      </c>
      <c r="G130">
        <v>-3.1076018610880201E-2</v>
      </c>
      <c r="H130" s="16">
        <v>-0.25641147142569309</v>
      </c>
      <c r="I130">
        <v>-4.9722637971639995E-4</v>
      </c>
      <c r="J130">
        <v>-0.25591424504597882</v>
      </c>
      <c r="K130">
        <v>0</v>
      </c>
      <c r="L130">
        <v>1.1561215823126889</v>
      </c>
      <c r="M130">
        <v>0.61195135498629538</v>
      </c>
      <c r="N130">
        <v>0.15177591850091621</v>
      </c>
      <c r="O130">
        <v>8.0337120595162903E-2</v>
      </c>
      <c r="P130">
        <v>1.0043456638117729</v>
      </c>
      <c r="Q130">
        <v>0.53161423439113231</v>
      </c>
      <c r="R130">
        <v>-1.4411040864951E-2</v>
      </c>
      <c r="S130">
        <v>-7.6279658809140999E-3</v>
      </c>
      <c r="T130">
        <v>-0.1189070015444073</v>
      </c>
      <c r="U130">
        <v>-6.2939142237013301E-2</v>
      </c>
      <c r="V130">
        <v>-2.3058132918980001E-4</v>
      </c>
      <c r="W130">
        <v>-1.220499288232E-4</v>
      </c>
      <c r="X130">
        <v>-0.11867642021521969</v>
      </c>
      <c r="Y130">
        <v>-6.2817092308188494E-2</v>
      </c>
      <c r="Z130">
        <v>0</v>
      </c>
      <c r="AA130">
        <v>0</v>
      </c>
      <c r="AB130">
        <v>407.39587848230002</v>
      </c>
      <c r="AC130">
        <v>215.64034757863999</v>
      </c>
      <c r="AD130">
        <f t="shared" si="15"/>
        <v>1.1146406961000568</v>
      </c>
      <c r="AE130">
        <f t="shared" si="16"/>
        <v>0.96831039828598986</v>
      </c>
      <c r="AF130">
        <f t="shared" si="17"/>
        <v>0.14633029781406753</v>
      </c>
      <c r="AG130">
        <f t="shared" si="18"/>
        <v>-1.3893982144250699E-2</v>
      </c>
      <c r="AH130">
        <f t="shared" si="19"/>
        <v>0.86871976025453546</v>
      </c>
      <c r="AI130">
        <f t="shared" si="20"/>
        <v>0.13128023974546507</v>
      </c>
      <c r="AJ130">
        <f t="shared" si="21"/>
        <v>-0.11625595425260529</v>
      </c>
      <c r="AK130">
        <f t="shared" si="22"/>
        <v>-2.2230822191010403E-4</v>
      </c>
      <c r="AL130">
        <f t="shared" si="23"/>
        <v>-0.11441838787814769</v>
      </c>
      <c r="AM130">
        <f t="shared" si="24"/>
        <v>1.9391736920026761E-3</v>
      </c>
      <c r="AN130">
        <f t="shared" si="25"/>
        <v>0.99806082630800563</v>
      </c>
      <c r="AO130">
        <f t="shared" si="26"/>
        <v>1.0372145807682838E-2</v>
      </c>
      <c r="AP130">
        <f t="shared" si="27"/>
        <v>5.4901221274928427E-3</v>
      </c>
    </row>
    <row r="131" spans="1:42" x14ac:dyDescent="0.35">
      <c r="A131" s="9" t="s">
        <v>42</v>
      </c>
      <c r="B131" s="11" t="s">
        <v>68</v>
      </c>
      <c r="C131" s="16">
        <f t="shared" ref="C131:C194" si="28">E131+F131+G131</f>
        <v>-13.921968259466084</v>
      </c>
      <c r="D131">
        <v>-13.901541641016699</v>
      </c>
      <c r="E131">
        <v>-9.3165876622044994E-5</v>
      </c>
      <c r="F131">
        <v>-13.90144847514008</v>
      </c>
      <c r="G131">
        <v>-2.0426618449381002E-2</v>
      </c>
      <c r="H131" s="16">
        <v>-15.907093829902591</v>
      </c>
      <c r="I131">
        <v>-0.28382197792848268</v>
      </c>
      <c r="J131">
        <v>-15.62327185197411</v>
      </c>
      <c r="K131">
        <v>0</v>
      </c>
      <c r="L131">
        <v>-4.1796257792179414</v>
      </c>
      <c r="M131">
        <v>-4.4690359761759257</v>
      </c>
      <c r="N131">
        <v>-2.8011173848804801E-5</v>
      </c>
      <c r="O131">
        <v>-2.9950754033447599E-5</v>
      </c>
      <c r="P131">
        <v>-4.1795977680440934</v>
      </c>
      <c r="Q131">
        <v>-4.4690060254218924</v>
      </c>
      <c r="R131">
        <v>-6.1414498663516E-3</v>
      </c>
      <c r="S131">
        <v>-6.5667028218339002E-3</v>
      </c>
      <c r="T131">
        <v>-4.7826134079786158</v>
      </c>
      <c r="U131">
        <v>-5.1137763305683004</v>
      </c>
      <c r="V131">
        <v>-8.5333676385819596E-2</v>
      </c>
      <c r="W131">
        <v>-9.1242443676127202E-2</v>
      </c>
      <c r="X131">
        <v>-4.697279731592797</v>
      </c>
      <c r="Y131">
        <v>-5.0225338868921714</v>
      </c>
      <c r="Z131">
        <v>0</v>
      </c>
      <c r="AA131">
        <v>0</v>
      </c>
      <c r="AB131">
        <v>311.06354290107998</v>
      </c>
      <c r="AC131">
        <v>332.60254327404999</v>
      </c>
      <c r="AD131">
        <f t="shared" ref="AD131:AD194" si="29">D131/(D131+H131)</f>
        <v>0.46635954385026329</v>
      </c>
      <c r="AE131">
        <f t="shared" ref="AE131:AE194" si="30">(F131/(D131+H131))</f>
        <v>0.46635641838426506</v>
      </c>
      <c r="AF131">
        <f t="shared" ref="AF131:AF194" si="31">(E131/(D131+H131))</f>
        <v>3.1254659983660022E-6</v>
      </c>
      <c r="AG131">
        <f t="shared" ref="AG131:AG194" si="32">(G131/(D131+H131))</f>
        <v>6.8525842014166669E-4</v>
      </c>
      <c r="AH131">
        <f t="shared" ref="AH131:AH194" si="33">(F131/(D131))</f>
        <v>0.99999329816224525</v>
      </c>
      <c r="AI131">
        <f t="shared" ref="AI131:AI194" si="34">E131/D131</f>
        <v>6.7018377549694007E-6</v>
      </c>
      <c r="AJ131">
        <f t="shared" ref="AJ131:AJ194" si="35">(H131/(C131+H131))</f>
        <v>0.53327502494863932</v>
      </c>
      <c r="AK131">
        <f t="shared" ref="AK131:AK194" si="36">(I131/(D131+H131))</f>
        <v>9.5214683075773038E-3</v>
      </c>
      <c r="AL131">
        <f t="shared" ref="AL131:AL194" si="37">(J131/(D131+H131))</f>
        <v>0.52411898784215938</v>
      </c>
      <c r="AM131">
        <f t="shared" ref="AM131:AM194" si="38">(I131/H131)</f>
        <v>1.7842478391304033E-2</v>
      </c>
      <c r="AN131">
        <f t="shared" ref="AN131:AN194" si="39">J131/H131</f>
        <v>0.98215752160869607</v>
      </c>
      <c r="AO131">
        <f t="shared" ref="AO131:AO194" si="40">(D131+H131)/AC131</f>
        <v>-8.9622391871965565E-2</v>
      </c>
      <c r="AP131">
        <f t="shared" ref="AP131:AP194" si="41">($D131+$H131)/AB131</f>
        <v>-9.5828123067442234E-2</v>
      </c>
    </row>
    <row r="132" spans="1:42" x14ac:dyDescent="0.35">
      <c r="A132" s="9" t="s">
        <v>43</v>
      </c>
      <c r="B132" s="11" t="s">
        <v>68</v>
      </c>
      <c r="C132" s="16">
        <f t="shared" si="28"/>
        <v>-6.8806318739233997E-3</v>
      </c>
      <c r="D132">
        <v>-6.8806318739236001E-3</v>
      </c>
      <c r="E132">
        <v>-1.1265363412197001E-3</v>
      </c>
      <c r="F132">
        <v>-5.7540955327036996E-3</v>
      </c>
      <c r="G132">
        <v>0</v>
      </c>
      <c r="H132" s="16">
        <v>-5.6816615470212002E-3</v>
      </c>
      <c r="I132">
        <v>-4.2122663193432004E-3</v>
      </c>
      <c r="J132">
        <v>-1.4693952276778001E-3</v>
      </c>
      <c r="K132">
        <v>0</v>
      </c>
      <c r="L132">
        <v>-2.5582685845137999E-2</v>
      </c>
      <c r="M132">
        <v>-1.49867047706839E-2</v>
      </c>
      <c r="N132">
        <v>-4.1885434126735996E-3</v>
      </c>
      <c r="O132">
        <v>-2.4537088843962999E-3</v>
      </c>
      <c r="P132">
        <v>-2.1394142432464399E-2</v>
      </c>
      <c r="Q132">
        <v>-1.2532995886287399E-2</v>
      </c>
      <c r="R132">
        <v>0</v>
      </c>
      <c r="S132">
        <v>0</v>
      </c>
      <c r="T132">
        <v>-2.11248276465285E-2</v>
      </c>
      <c r="U132">
        <v>-1.2375227416955001E-2</v>
      </c>
      <c r="V132">
        <v>-1.5661510151737001E-2</v>
      </c>
      <c r="W132">
        <v>-9.1747375677426E-3</v>
      </c>
      <c r="X132">
        <v>-5.4633174947917003E-3</v>
      </c>
      <c r="Y132">
        <v>-3.2004898492122998E-3</v>
      </c>
      <c r="Z132">
        <v>0</v>
      </c>
      <c r="AA132">
        <v>0</v>
      </c>
      <c r="AB132">
        <v>45.911572818750003</v>
      </c>
      <c r="AC132">
        <v>26.895658710639999</v>
      </c>
      <c r="AD132">
        <f t="shared" si="29"/>
        <v>0.54772099674504449</v>
      </c>
      <c r="AE132">
        <f t="shared" si="30"/>
        <v>0.45804498747896133</v>
      </c>
      <c r="AF132">
        <f t="shared" si="31"/>
        <v>8.9676009266067128E-2</v>
      </c>
      <c r="AG132">
        <f t="shared" si="32"/>
        <v>0</v>
      </c>
      <c r="AH132">
        <f t="shared" si="33"/>
        <v>0.83627428964928674</v>
      </c>
      <c r="AI132">
        <f t="shared" si="34"/>
        <v>0.16372571035068409</v>
      </c>
      <c r="AJ132">
        <f t="shared" si="35"/>
        <v>0.45227900325496273</v>
      </c>
      <c r="AK132">
        <f t="shared" si="36"/>
        <v>0.3353102955165968</v>
      </c>
      <c r="AL132">
        <f t="shared" si="37"/>
        <v>0.11696870773834289</v>
      </c>
      <c r="AM132">
        <f t="shared" si="38"/>
        <v>0.74137931034480942</v>
      </c>
      <c r="AN132">
        <f t="shared" si="39"/>
        <v>0.25862068965515544</v>
      </c>
      <c r="AO132">
        <f t="shared" si="40"/>
        <v>-4.6707513491666672E-4</v>
      </c>
      <c r="AP132">
        <f t="shared" si="41"/>
        <v>-2.7361932187638835E-4</v>
      </c>
    </row>
    <row r="133" spans="1:42" x14ac:dyDescent="0.35">
      <c r="A133" s="9" t="s">
        <v>44</v>
      </c>
      <c r="B133" s="11" t="s">
        <v>68</v>
      </c>
      <c r="C133" s="16">
        <f t="shared" si="28"/>
        <v>0.9739878360894787</v>
      </c>
      <c r="D133">
        <v>1.0519623383661809</v>
      </c>
      <c r="E133">
        <v>0.6196774981599118</v>
      </c>
      <c r="F133">
        <v>0.43228484020626912</v>
      </c>
      <c r="G133">
        <v>-7.7974502276702204E-2</v>
      </c>
      <c r="H133" s="16">
        <v>-7.5037116293415806E-2</v>
      </c>
      <c r="I133">
        <v>-1.1853121503268199E-2</v>
      </c>
      <c r="J133">
        <v>-6.31839947901493E-2</v>
      </c>
      <c r="K133">
        <v>-4.8979840922596003E-3</v>
      </c>
      <c r="L133">
        <v>0.41294855970658689</v>
      </c>
      <c r="M133">
        <v>0.41428510274810509</v>
      </c>
      <c r="N133">
        <v>0.24325484004033029</v>
      </c>
      <c r="O133">
        <v>0.24404215496401591</v>
      </c>
      <c r="P133">
        <v>0.1696937196662569</v>
      </c>
      <c r="Q133">
        <v>0.17024294778408941</v>
      </c>
      <c r="R133">
        <v>-3.0608945999922098E-2</v>
      </c>
      <c r="S133">
        <v>-3.07080144500297E-2</v>
      </c>
      <c r="T133">
        <v>-2.9455873055330699E-2</v>
      </c>
      <c r="U133">
        <v>-2.9551209487045101E-2</v>
      </c>
      <c r="V133">
        <v>-4.6529512267556002E-3</v>
      </c>
      <c r="W133">
        <v>-4.6680108980838003E-3</v>
      </c>
      <c r="X133">
        <v>-2.4802921828574499E-2</v>
      </c>
      <c r="Y133">
        <v>-2.4883198588961201E-2</v>
      </c>
      <c r="Z133">
        <v>-1.922707118494E-3</v>
      </c>
      <c r="AA133">
        <v>-1.9289301231751E-3</v>
      </c>
      <c r="AB133">
        <v>253.92231856471</v>
      </c>
      <c r="AC133">
        <v>254.7441596875</v>
      </c>
      <c r="AD133">
        <f t="shared" si="29"/>
        <v>1.0768094779395785</v>
      </c>
      <c r="AE133">
        <f t="shared" si="30"/>
        <v>0.44249532148333753</v>
      </c>
      <c r="AF133">
        <f t="shared" si="31"/>
        <v>0.6343141564562409</v>
      </c>
      <c r="AG133">
        <f t="shared" si="32"/>
        <v>-7.9816244391010677E-2</v>
      </c>
      <c r="AH133">
        <f t="shared" si="33"/>
        <v>0.41093185985884001</v>
      </c>
      <c r="AI133">
        <f t="shared" si="34"/>
        <v>0.58906814014115993</v>
      </c>
      <c r="AJ133">
        <f t="shared" si="35"/>
        <v>-8.3471890773321608E-2</v>
      </c>
      <c r="AK133">
        <f t="shared" si="36"/>
        <v>-1.2133089857296503E-2</v>
      </c>
      <c r="AL133">
        <f t="shared" si="37"/>
        <v>-6.4676388082283653E-2</v>
      </c>
      <c r="AM133">
        <f t="shared" si="38"/>
        <v>0.15796344647519805</v>
      </c>
      <c r="AN133">
        <f t="shared" si="39"/>
        <v>0.84203655352482454</v>
      </c>
      <c r="AO133">
        <f t="shared" si="40"/>
        <v>3.8349268665125815E-3</v>
      </c>
      <c r="AP133">
        <f t="shared" si="41"/>
        <v>3.8473389326106199E-3</v>
      </c>
    </row>
    <row r="134" spans="1:42" x14ac:dyDescent="0.35">
      <c r="A134" s="10" t="s">
        <v>45</v>
      </c>
      <c r="B134" s="12" t="s">
        <v>68</v>
      </c>
      <c r="C134" s="16">
        <f t="shared" si="28"/>
        <v>8.3725140766960351</v>
      </c>
      <c r="D134">
        <v>7.9529738437430826</v>
      </c>
      <c r="E134">
        <v>0.36466848586374179</v>
      </c>
      <c r="F134">
        <v>7.5883053578793396</v>
      </c>
      <c r="G134">
        <v>0.41954023295295251</v>
      </c>
      <c r="H134" s="16">
        <v>6.360550016758193</v>
      </c>
      <c r="I134">
        <v>6.41999440943819</v>
      </c>
      <c r="J134">
        <v>-5.9444392679996502E-2</v>
      </c>
      <c r="K134">
        <v>0</v>
      </c>
      <c r="L134">
        <v>3.9003710215667908</v>
      </c>
      <c r="M134">
        <v>2.6374108372741398</v>
      </c>
      <c r="N134">
        <v>0.1788440931263203</v>
      </c>
      <c r="O134">
        <v>0.12093345653161609</v>
      </c>
      <c r="P134">
        <v>3.7215269284404711</v>
      </c>
      <c r="Q134">
        <v>2.5164773807425238</v>
      </c>
      <c r="R134">
        <v>0.2057548030638211</v>
      </c>
      <c r="S134">
        <v>0.13913034027304899</v>
      </c>
      <c r="T134">
        <v>3.1193997935888671</v>
      </c>
      <c r="U134">
        <v>2.1093221070279422</v>
      </c>
      <c r="V134">
        <v>3.1485530626878351</v>
      </c>
      <c r="W134">
        <v>2.1290353977478338</v>
      </c>
      <c r="X134">
        <v>-2.9153269098967899E-2</v>
      </c>
      <c r="Y134">
        <v>-1.97132907198918E-2</v>
      </c>
      <c r="Z134">
        <v>0</v>
      </c>
      <c r="AA134">
        <v>0</v>
      </c>
      <c r="AB134">
        <v>301.54474727050001</v>
      </c>
      <c r="AC134">
        <v>203.90300819506001</v>
      </c>
      <c r="AD134">
        <f t="shared" si="29"/>
        <v>0.5556265474003661</v>
      </c>
      <c r="AE134">
        <f t="shared" si="30"/>
        <v>0.5301493490935214</v>
      </c>
      <c r="AF134">
        <f t="shared" si="31"/>
        <v>2.5477198306844525E-2</v>
      </c>
      <c r="AG134">
        <f t="shared" si="32"/>
        <v>2.9310757926682893E-2</v>
      </c>
      <c r="AH134">
        <f t="shared" si="33"/>
        <v>0.95414690240045963</v>
      </c>
      <c r="AI134">
        <f t="shared" si="34"/>
        <v>4.5853097599540184E-2</v>
      </c>
      <c r="AJ134">
        <f t="shared" si="35"/>
        <v>0.43171942892613424</v>
      </c>
      <c r="AK134">
        <f t="shared" si="36"/>
        <v>0.44852647552112684</v>
      </c>
      <c r="AL134">
        <f t="shared" si="37"/>
        <v>-4.1530229214928414E-3</v>
      </c>
      <c r="AM134">
        <f t="shared" si="38"/>
        <v>1.0093457943925255</v>
      </c>
      <c r="AN134">
        <f t="shared" si="39"/>
        <v>-9.3457943925254697E-3</v>
      </c>
      <c r="AO134">
        <f t="shared" si="40"/>
        <v>7.0197708151556598E-2</v>
      </c>
      <c r="AP134">
        <f t="shared" si="41"/>
        <v>4.7467329443020817E-2</v>
      </c>
    </row>
    <row r="135" spans="1:42" x14ac:dyDescent="0.35">
      <c r="A135" s="9" t="s">
        <v>46</v>
      </c>
      <c r="B135" s="11" t="s">
        <v>68</v>
      </c>
      <c r="C135" s="16">
        <f t="shared" si="28"/>
        <v>2.62667508678592E-2</v>
      </c>
      <c r="D135">
        <v>2.62667508678592E-2</v>
      </c>
      <c r="E135">
        <v>2.8942786299298601E-2</v>
      </c>
      <c r="F135">
        <v>-2.6760354314394001E-3</v>
      </c>
      <c r="G135">
        <v>0</v>
      </c>
      <c r="H135" s="16">
        <v>-2.8565706996578001E-3</v>
      </c>
      <c r="I135">
        <v>0</v>
      </c>
      <c r="J135">
        <v>-2.8565706996578001E-3</v>
      </c>
      <c r="K135">
        <v>0</v>
      </c>
      <c r="L135">
        <v>0.1267088812672359</v>
      </c>
      <c r="M135">
        <v>0.13774479070298001</v>
      </c>
      <c r="N135">
        <v>0.1396178800792699</v>
      </c>
      <c r="O135">
        <v>0.15177811908347741</v>
      </c>
      <c r="P135">
        <v>-1.29089988120334E-2</v>
      </c>
      <c r="Q135">
        <v>-1.40333283804974E-2</v>
      </c>
      <c r="R135">
        <v>0</v>
      </c>
      <c r="S135">
        <v>0</v>
      </c>
      <c r="T135">
        <v>-1.3779887715664E-2</v>
      </c>
      <c r="U135">
        <v>-1.4980068723843901E-2</v>
      </c>
      <c r="V135">
        <v>0</v>
      </c>
      <c r="W135">
        <v>0</v>
      </c>
      <c r="X135">
        <v>-1.3779887715664E-2</v>
      </c>
      <c r="Y135">
        <v>-1.4980068723843901E-2</v>
      </c>
      <c r="Z135">
        <v>0</v>
      </c>
      <c r="AA135">
        <v>0</v>
      </c>
      <c r="AB135">
        <v>19.06914282116</v>
      </c>
      <c r="AC135">
        <v>20.729999827290001</v>
      </c>
      <c r="AD135">
        <f t="shared" si="29"/>
        <v>1.1220225850093177</v>
      </c>
      <c r="AE135">
        <f t="shared" si="30"/>
        <v>-0.11431075763672773</v>
      </c>
      <c r="AF135">
        <f t="shared" si="31"/>
        <v>1.2363333426460454</v>
      </c>
      <c r="AG135">
        <f t="shared" si="32"/>
        <v>0</v>
      </c>
      <c r="AH135">
        <f t="shared" si="33"/>
        <v>-0.10187919491458226</v>
      </c>
      <c r="AI135">
        <f t="shared" si="34"/>
        <v>1.1018791949145823</v>
      </c>
      <c r="AJ135">
        <f t="shared" si="35"/>
        <v>-0.12202258500931776</v>
      </c>
      <c r="AK135">
        <f t="shared" si="36"/>
        <v>0</v>
      </c>
      <c r="AL135">
        <f t="shared" si="37"/>
        <v>-0.12202258500931776</v>
      </c>
      <c r="AM135">
        <f t="shared" si="38"/>
        <v>0</v>
      </c>
      <c r="AN135">
        <f t="shared" si="39"/>
        <v>1</v>
      </c>
      <c r="AO135">
        <f t="shared" si="40"/>
        <v>1.129289935515729E-3</v>
      </c>
      <c r="AP135">
        <f t="shared" si="41"/>
        <v>1.2276472197913575E-3</v>
      </c>
    </row>
    <row r="136" spans="1:42" x14ac:dyDescent="0.35">
      <c r="A136" s="9" t="s">
        <v>47</v>
      </c>
      <c r="B136" s="11" t="s">
        <v>68</v>
      </c>
      <c r="C136" s="16">
        <f t="shared" si="28"/>
        <v>-1.4467121469156698</v>
      </c>
      <c r="D136">
        <v>-1.048808652685707</v>
      </c>
      <c r="E136">
        <v>0.78867720461602975</v>
      </c>
      <c r="F136">
        <v>-1.8374858573017361</v>
      </c>
      <c r="G136">
        <v>-0.39790349422996352</v>
      </c>
      <c r="H136" s="16">
        <v>-0.70896838615191271</v>
      </c>
      <c r="I136">
        <v>-0.8826455907679418</v>
      </c>
      <c r="J136">
        <v>0.17367720461602909</v>
      </c>
      <c r="K136">
        <v>0</v>
      </c>
      <c r="L136">
        <v>-0.28234265530790292</v>
      </c>
      <c r="M136">
        <v>-0.2509767519875501</v>
      </c>
      <c r="N136">
        <v>0.2123144346319894</v>
      </c>
      <c r="O136">
        <v>0.18872807987832979</v>
      </c>
      <c r="P136">
        <v>-0.4946570899398921</v>
      </c>
      <c r="Q136">
        <v>-0.43970483186588</v>
      </c>
      <c r="R136">
        <v>-0.10711689766240599</v>
      </c>
      <c r="S136">
        <v>-9.5217107840031498E-2</v>
      </c>
      <c r="T136">
        <v>-0.19085656488712699</v>
      </c>
      <c r="U136">
        <v>-0.1696539996715527</v>
      </c>
      <c r="V136">
        <v>-0.23761102576249729</v>
      </c>
      <c r="W136">
        <v>-0.21121443168857401</v>
      </c>
      <c r="X136">
        <v>4.6754460875370302E-2</v>
      </c>
      <c r="Y136">
        <v>4.1560432017021399E-2</v>
      </c>
      <c r="Z136">
        <v>0</v>
      </c>
      <c r="AA136">
        <v>0</v>
      </c>
      <c r="AB136">
        <v>417.89075855828003</v>
      </c>
      <c r="AC136">
        <v>371.46659669328</v>
      </c>
      <c r="AD136">
        <f t="shared" si="29"/>
        <v>0.59666762593466449</v>
      </c>
      <c r="AE136">
        <f t="shared" si="30"/>
        <v>1.0453463759640564</v>
      </c>
      <c r="AF136">
        <f t="shared" si="31"/>
        <v>-0.44867875002939228</v>
      </c>
      <c r="AG136">
        <f t="shared" si="32"/>
        <v>0.22636744333234013</v>
      </c>
      <c r="AH136">
        <f t="shared" si="33"/>
        <v>1.7519743497504967</v>
      </c>
      <c r="AI136">
        <f t="shared" si="34"/>
        <v>-0.75197434975049737</v>
      </c>
      <c r="AJ136">
        <f t="shared" si="35"/>
        <v>0.32888379111678234</v>
      </c>
      <c r="AK136">
        <f t="shared" si="36"/>
        <v>0.50213739926402523</v>
      </c>
      <c r="AL136">
        <f t="shared" si="37"/>
        <v>-9.8805025198689653E-2</v>
      </c>
      <c r="AM136">
        <f t="shared" si="38"/>
        <v>1.2449717194848442</v>
      </c>
      <c r="AN136">
        <f t="shared" si="39"/>
        <v>-0.24497171948484425</v>
      </c>
      <c r="AO136">
        <f t="shared" si="40"/>
        <v>-4.7319922019503045E-3</v>
      </c>
      <c r="AP136">
        <f t="shared" si="41"/>
        <v>-4.206307516591028E-3</v>
      </c>
    </row>
    <row r="137" spans="1:42" x14ac:dyDescent="0.35">
      <c r="A137" s="9" t="s">
        <v>48</v>
      </c>
      <c r="B137" s="11" t="s">
        <v>68</v>
      </c>
      <c r="C137" s="16">
        <f t="shared" si="28"/>
        <v>0.97733203671214797</v>
      </c>
      <c r="D137">
        <v>0.973540694996057</v>
      </c>
      <c r="E137">
        <v>0.44152575336758199</v>
      </c>
      <c r="F137">
        <v>0.53201494162847496</v>
      </c>
      <c r="G137">
        <v>3.791341716091E-3</v>
      </c>
      <c r="H137" s="16">
        <v>-8.6212863034837994E-3</v>
      </c>
      <c r="I137">
        <v>-2.7209392217096302E-2</v>
      </c>
      <c r="J137">
        <v>1.85881059136132E-2</v>
      </c>
      <c r="K137">
        <v>0</v>
      </c>
      <c r="L137">
        <v>0.27158958003625511</v>
      </c>
      <c r="M137">
        <v>0.28433120662361761</v>
      </c>
      <c r="N137">
        <v>0.12317286226312139</v>
      </c>
      <c r="O137">
        <v>0.12895151774925501</v>
      </c>
      <c r="P137">
        <v>0.14841671777313339</v>
      </c>
      <c r="Q137">
        <v>0.1553796888743619</v>
      </c>
      <c r="R137">
        <v>1.0576742294797E-3</v>
      </c>
      <c r="S137">
        <v>1.1072950215634E-3</v>
      </c>
      <c r="T137">
        <v>-2.4050884966290999E-3</v>
      </c>
      <c r="U137">
        <v>-2.5179232362004E-3</v>
      </c>
      <c r="V137">
        <v>-7.5906302050505001E-3</v>
      </c>
      <c r="W137">
        <v>-7.9467446613657993E-3</v>
      </c>
      <c r="X137">
        <v>5.1855417084216001E-3</v>
      </c>
      <c r="Y137">
        <v>5.4288214251653998E-3</v>
      </c>
      <c r="Z137">
        <v>0</v>
      </c>
      <c r="AA137">
        <v>0</v>
      </c>
      <c r="AB137">
        <v>342.39670930134002</v>
      </c>
      <c r="AC137">
        <v>358.46025273358998</v>
      </c>
      <c r="AD137">
        <f t="shared" si="29"/>
        <v>1.00893472162112</v>
      </c>
      <c r="AE137">
        <f t="shared" si="30"/>
        <v>0.55135686652767579</v>
      </c>
      <c r="AF137">
        <f t="shared" si="31"/>
        <v>0.45757785509344406</v>
      </c>
      <c r="AG137">
        <f t="shared" si="32"/>
        <v>3.9291796619866058E-3</v>
      </c>
      <c r="AH137">
        <f t="shared" si="33"/>
        <v>0.54647427104280388</v>
      </c>
      <c r="AI137">
        <f t="shared" si="34"/>
        <v>0.45352572895719601</v>
      </c>
      <c r="AJ137">
        <f t="shared" si="35"/>
        <v>-8.8997528930558362E-3</v>
      </c>
      <c r="AK137">
        <f t="shared" si="36"/>
        <v>-2.8198616352803938E-2</v>
      </c>
      <c r="AL137">
        <f t="shared" si="37"/>
        <v>1.9263894731684723E-2</v>
      </c>
      <c r="AM137">
        <f t="shared" si="38"/>
        <v>3.1560710617046999</v>
      </c>
      <c r="AN137">
        <f t="shared" si="39"/>
        <v>-2.1560710617047807</v>
      </c>
      <c r="AO137">
        <f t="shared" si="40"/>
        <v>2.6918449153962619E-3</v>
      </c>
      <c r="AP137">
        <f t="shared" si="41"/>
        <v>2.8181328338741625E-3</v>
      </c>
    </row>
    <row r="138" spans="1:42" x14ac:dyDescent="0.35">
      <c r="A138" s="10" t="s">
        <v>49</v>
      </c>
      <c r="B138" s="11" t="s">
        <v>68</v>
      </c>
      <c r="C138" s="16">
        <f t="shared" si="28"/>
        <v>-2.3205983330700897E-2</v>
      </c>
      <c r="D138">
        <v>-2.3205983330701199E-2</v>
      </c>
      <c r="E138">
        <v>7.9292813335628005E-3</v>
      </c>
      <c r="F138">
        <v>-3.1135264664263699E-2</v>
      </c>
      <c r="G138">
        <v>0</v>
      </c>
      <c r="H138" s="16">
        <v>-6.9654562634122397E-2</v>
      </c>
      <c r="I138">
        <v>-3.4533528024344E-3</v>
      </c>
      <c r="J138">
        <v>-6.6201209831687993E-2</v>
      </c>
      <c r="K138">
        <v>0</v>
      </c>
      <c r="L138">
        <v>-7.6942717779704795E-2</v>
      </c>
      <c r="M138">
        <v>-4.1870983365384903E-2</v>
      </c>
      <c r="N138">
        <v>2.6290653024690899E-2</v>
      </c>
      <c r="O138">
        <v>1.4306948431606899E-2</v>
      </c>
      <c r="P138">
        <v>-0.1032333708043964</v>
      </c>
      <c r="Q138">
        <v>-5.6177931796991397E-2</v>
      </c>
      <c r="R138">
        <v>0</v>
      </c>
      <c r="S138">
        <v>0</v>
      </c>
      <c r="T138">
        <v>-0.2309495477287431</v>
      </c>
      <c r="U138">
        <v>-0.12567901096085179</v>
      </c>
      <c r="V138">
        <v>-1.14500793301846E-2</v>
      </c>
      <c r="W138">
        <v>-6.2309481001066001E-3</v>
      </c>
      <c r="X138">
        <v>-0.21949946839855849</v>
      </c>
      <c r="Y138">
        <v>-0.1194480628607452</v>
      </c>
      <c r="Z138">
        <v>0</v>
      </c>
      <c r="AA138">
        <v>0</v>
      </c>
      <c r="AB138">
        <v>55.422589739999999</v>
      </c>
      <c r="AC138">
        <v>30.160077523049999</v>
      </c>
      <c r="AD138">
        <f t="shared" si="29"/>
        <v>0.24990143111469354</v>
      </c>
      <c r="AE138">
        <f t="shared" si="30"/>
        <v>0.33529056221635845</v>
      </c>
      <c r="AF138">
        <f t="shared" si="31"/>
        <v>-8.5389131101668111E-2</v>
      </c>
      <c r="AG138">
        <f t="shared" si="32"/>
        <v>0</v>
      </c>
      <c r="AH138">
        <f t="shared" si="33"/>
        <v>1.3416912449071774</v>
      </c>
      <c r="AI138">
        <f t="shared" si="34"/>
        <v>-0.34169124490719038</v>
      </c>
      <c r="AJ138">
        <f t="shared" si="35"/>
        <v>0.7500985688853089</v>
      </c>
      <c r="AK138">
        <f t="shared" si="36"/>
        <v>3.7188590337844454E-2</v>
      </c>
      <c r="AL138">
        <f t="shared" si="37"/>
        <v>0.71290997854746196</v>
      </c>
      <c r="AM138">
        <f t="shared" si="38"/>
        <v>4.9578271283878116E-2</v>
      </c>
      <c r="AN138">
        <f t="shared" si="39"/>
        <v>0.95042172871612185</v>
      </c>
      <c r="AO138">
        <f t="shared" si="40"/>
        <v>-3.0789226550845049E-3</v>
      </c>
      <c r="AP138">
        <f t="shared" si="41"/>
        <v>-1.6754999432623699E-3</v>
      </c>
    </row>
    <row r="139" spans="1:42" x14ac:dyDescent="0.35">
      <c r="A139" s="9" t="s">
        <v>50</v>
      </c>
      <c r="B139" s="11" t="s">
        <v>68</v>
      </c>
      <c r="C139" s="16">
        <f t="shared" si="28"/>
        <v>-1.84302188106782E-2</v>
      </c>
      <c r="D139">
        <v>-7.7036336486297997E-3</v>
      </c>
      <c r="E139">
        <v>-2.4489920461298002E-3</v>
      </c>
      <c r="F139">
        <v>-5.2546416025002997E-3</v>
      </c>
      <c r="G139">
        <v>-1.0726585162048099E-2</v>
      </c>
      <c r="H139" s="16">
        <v>-8.4245326386861996E-3</v>
      </c>
      <c r="I139">
        <v>-1.5673549095230001E-3</v>
      </c>
      <c r="J139">
        <v>-6.8571777291632002E-3</v>
      </c>
      <c r="K139">
        <v>0</v>
      </c>
      <c r="L139">
        <v>-1.59770840880986E-2</v>
      </c>
      <c r="M139">
        <v>-7.9307649394054994E-3</v>
      </c>
      <c r="N139">
        <v>-5.0791293611240004E-3</v>
      </c>
      <c r="O139">
        <v>-2.5211972871767999E-3</v>
      </c>
      <c r="P139">
        <v>-1.0897954726974701E-2</v>
      </c>
      <c r="Q139">
        <v>-5.4095676522288999E-3</v>
      </c>
      <c r="R139">
        <v>-2.2246586601722702E-2</v>
      </c>
      <c r="S139">
        <v>-1.10428441178331E-2</v>
      </c>
      <c r="T139">
        <v>-1.74722050022664E-2</v>
      </c>
      <c r="U139">
        <v>-8.6729186678872992E-3</v>
      </c>
      <c r="V139">
        <v>-3.2506427911193E-3</v>
      </c>
      <c r="W139">
        <v>-1.6135662637929999E-3</v>
      </c>
      <c r="X139">
        <v>-1.4221562211146999E-2</v>
      </c>
      <c r="Y139">
        <v>-7.0593524040941996E-3</v>
      </c>
      <c r="Z139">
        <v>0</v>
      </c>
      <c r="AA139">
        <v>0</v>
      </c>
      <c r="AB139">
        <v>97.136073348400004</v>
      </c>
      <c r="AC139">
        <v>48.216768505140003</v>
      </c>
      <c r="AD139">
        <f t="shared" si="29"/>
        <v>0.47765093138259146</v>
      </c>
      <c r="AE139">
        <f t="shared" si="30"/>
        <v>0.32580527190079966</v>
      </c>
      <c r="AF139">
        <f t="shared" si="31"/>
        <v>0.15184565948181042</v>
      </c>
      <c r="AG139">
        <f t="shared" si="32"/>
        <v>0.66508398853030326</v>
      </c>
      <c r="AH139">
        <f t="shared" si="33"/>
        <v>0.68209910312063082</v>
      </c>
      <c r="AI139">
        <f t="shared" si="34"/>
        <v>0.31790089687940809</v>
      </c>
      <c r="AJ139">
        <f t="shared" si="35"/>
        <v>0.31370733981921073</v>
      </c>
      <c r="AK139">
        <f t="shared" si="36"/>
        <v>9.7181222068354209E-2</v>
      </c>
      <c r="AL139">
        <f t="shared" si="37"/>
        <v>0.42516784654905432</v>
      </c>
      <c r="AM139">
        <f t="shared" si="38"/>
        <v>0.18604651162790534</v>
      </c>
      <c r="AN139">
        <f t="shared" si="39"/>
        <v>0.81395348837209469</v>
      </c>
      <c r="AO139">
        <f t="shared" si="40"/>
        <v>-3.3449289090364289E-4</v>
      </c>
      <c r="AP139">
        <f t="shared" si="41"/>
        <v>-1.6603683607292592E-4</v>
      </c>
    </row>
    <row r="140" spans="1:42" x14ac:dyDescent="0.35">
      <c r="A140" s="9" t="s">
        <v>51</v>
      </c>
      <c r="B140" s="11" t="s">
        <v>68</v>
      </c>
      <c r="C140" s="16">
        <f t="shared" si="28"/>
        <v>-0.56289206247596146</v>
      </c>
      <c r="D140">
        <v>-0.58431545748586755</v>
      </c>
      <c r="E140">
        <v>-9.795968184518999E-4</v>
      </c>
      <c r="F140">
        <v>-0.5833358606674155</v>
      </c>
      <c r="G140">
        <v>2.1423395009906001E-2</v>
      </c>
      <c r="H140" s="16">
        <v>0.44306040520924173</v>
      </c>
      <c r="I140">
        <v>0.45530536543989031</v>
      </c>
      <c r="J140">
        <v>-1.22449602306486E-2</v>
      </c>
      <c r="K140">
        <v>-0.23304046522143079</v>
      </c>
      <c r="L140">
        <v>-0.8779108192297338</v>
      </c>
      <c r="M140">
        <v>-0.88074279209785278</v>
      </c>
      <c r="N140">
        <v>-1.4718053996077001E-3</v>
      </c>
      <c r="O140">
        <v>-1.4765531631247999E-3</v>
      </c>
      <c r="P140">
        <v>-0.87643901383012679</v>
      </c>
      <c r="Q140">
        <v>-0.87926623893472833</v>
      </c>
      <c r="R140">
        <v>3.2187802021793298E-2</v>
      </c>
      <c r="S140">
        <v>3.2291633732274498E-2</v>
      </c>
      <c r="T140">
        <v>0.66568070093355658</v>
      </c>
      <c r="U140">
        <v>0.66782805991647276</v>
      </c>
      <c r="V140">
        <v>0.68407826842865238</v>
      </c>
      <c r="W140">
        <v>0.68628497445553482</v>
      </c>
      <c r="X140">
        <v>-1.8397567495095499E-2</v>
      </c>
      <c r="Y140">
        <v>-1.84569145390618E-2</v>
      </c>
      <c r="Z140">
        <v>-0.350134063912169</v>
      </c>
      <c r="AA140">
        <v>-0.35126352962495422</v>
      </c>
      <c r="AB140">
        <v>66.343484468840003</v>
      </c>
      <c r="AC140">
        <v>66.557495896739994</v>
      </c>
      <c r="AD140">
        <f t="shared" si="29"/>
        <v>4.1365986424441479</v>
      </c>
      <c r="AE140">
        <f t="shared" si="30"/>
        <v>4.1296636917810474</v>
      </c>
      <c r="AF140">
        <f t="shared" si="31"/>
        <v>6.9349506630992106E-3</v>
      </c>
      <c r="AG140">
        <f t="shared" si="32"/>
        <v>-0.15166462837698469</v>
      </c>
      <c r="AH140">
        <f t="shared" si="33"/>
        <v>0.99832351376999851</v>
      </c>
      <c r="AI140">
        <f t="shared" si="34"/>
        <v>1.6764862300011852E-3</v>
      </c>
      <c r="AJ140">
        <f t="shared" si="35"/>
        <v>-3.6973569031352347</v>
      </c>
      <c r="AK140">
        <f t="shared" si="36"/>
        <v>-3.2232855257328872</v>
      </c>
      <c r="AL140">
        <f t="shared" si="37"/>
        <v>8.6686883288739081E-2</v>
      </c>
      <c r="AM140">
        <f t="shared" si="38"/>
        <v>1.0276372252782682</v>
      </c>
      <c r="AN140">
        <f t="shared" si="39"/>
        <v>-2.7637225278268184E-2</v>
      </c>
      <c r="AO140">
        <f t="shared" si="40"/>
        <v>-2.1223011829617907E-3</v>
      </c>
      <c r="AP140">
        <f t="shared" si="41"/>
        <v>-2.1291473218137953E-3</v>
      </c>
    </row>
    <row r="141" spans="1:42" x14ac:dyDescent="0.35">
      <c r="A141" s="9" t="s">
        <v>52</v>
      </c>
      <c r="B141" s="11" t="s">
        <v>68</v>
      </c>
      <c r="C141" s="16">
        <f t="shared" si="28"/>
        <v>-16.697606960011509</v>
      </c>
      <c r="D141">
        <v>-0.1743682336844401</v>
      </c>
      <c r="E141">
        <v>2.4860569687780369</v>
      </c>
      <c r="F141">
        <v>-2.660425202462477</v>
      </c>
      <c r="G141">
        <v>-16.523238726327069</v>
      </c>
      <c r="H141" s="16">
        <v>36.262795760146673</v>
      </c>
      <c r="I141">
        <v>0</v>
      </c>
      <c r="J141">
        <v>36.262795760146673</v>
      </c>
      <c r="K141">
        <v>0</v>
      </c>
      <c r="L141">
        <v>-2.07519362985433E-2</v>
      </c>
      <c r="M141">
        <v>-1.8700200811554799E-2</v>
      </c>
      <c r="N141">
        <v>0.29587095516490508</v>
      </c>
      <c r="O141">
        <v>0.26661831437283778</v>
      </c>
      <c r="P141">
        <v>-0.31662289146344857</v>
      </c>
      <c r="Q141">
        <v>-0.28531851518439311</v>
      </c>
      <c r="R141">
        <v>-1.966465968307672</v>
      </c>
      <c r="S141">
        <v>-1.772042279207579</v>
      </c>
      <c r="T141">
        <v>4.3157128550348984</v>
      </c>
      <c r="U141">
        <v>3.8890200833849069</v>
      </c>
      <c r="V141">
        <v>0</v>
      </c>
      <c r="W141">
        <v>0</v>
      </c>
      <c r="X141">
        <v>4.3157128550348984</v>
      </c>
      <c r="Y141">
        <v>3.8890200833849069</v>
      </c>
      <c r="Z141">
        <v>0</v>
      </c>
      <c r="AA141">
        <v>0</v>
      </c>
      <c r="AB141">
        <v>932.44043441874999</v>
      </c>
      <c r="AC141">
        <v>840.25042856688003</v>
      </c>
      <c r="AD141">
        <f t="shared" si="29"/>
        <v>-4.8316938596613193E-3</v>
      </c>
      <c r="AE141">
        <f t="shared" si="30"/>
        <v>-7.3719621075528749E-2</v>
      </c>
      <c r="AF141">
        <f t="shared" si="31"/>
        <v>6.8887927215867423E-2</v>
      </c>
      <c r="AG141">
        <f t="shared" si="32"/>
        <v>-0.45785421695670236</v>
      </c>
      <c r="AH141">
        <f t="shared" si="33"/>
        <v>15.257510764702335</v>
      </c>
      <c r="AI141">
        <f t="shared" si="34"/>
        <v>-14.257510764702335</v>
      </c>
      <c r="AJ141">
        <f t="shared" si="35"/>
        <v>1.8534344917691852</v>
      </c>
      <c r="AK141">
        <f t="shared" si="36"/>
        <v>0</v>
      </c>
      <c r="AL141">
        <f t="shared" si="37"/>
        <v>1.0048316938596613</v>
      </c>
      <c r="AM141">
        <f t="shared" si="38"/>
        <v>0</v>
      </c>
      <c r="AN141">
        <f t="shared" si="39"/>
        <v>1</v>
      </c>
      <c r="AO141">
        <f t="shared" si="40"/>
        <v>4.2949609187363555E-2</v>
      </c>
      <c r="AP141">
        <f t="shared" si="41"/>
        <v>3.8703198825733538E-2</v>
      </c>
    </row>
    <row r="142" spans="1:42" x14ac:dyDescent="0.35">
      <c r="A142" s="9" t="s">
        <v>53</v>
      </c>
      <c r="B142" s="11" t="s">
        <v>68</v>
      </c>
      <c r="C142" s="16">
        <f t="shared" si="28"/>
        <v>2.2603788228926911</v>
      </c>
      <c r="D142">
        <v>2.2603788228926902</v>
      </c>
      <c r="E142">
        <v>2.0118179613490819</v>
      </c>
      <c r="F142">
        <v>0.24856086154360921</v>
      </c>
      <c r="G142">
        <v>0</v>
      </c>
      <c r="H142" s="16">
        <v>-2.2791011296807091</v>
      </c>
      <c r="I142">
        <v>-2.306024966503025</v>
      </c>
      <c r="J142">
        <v>2.6923836822314501E-2</v>
      </c>
      <c r="K142">
        <v>0</v>
      </c>
      <c r="L142">
        <v>1.113821319845862</v>
      </c>
      <c r="M142">
        <v>1.1653010685747811</v>
      </c>
      <c r="N142">
        <v>0.9913407939877108</v>
      </c>
      <c r="O142">
        <v>1.037159610767296</v>
      </c>
      <c r="P142">
        <v>0.1224805258581511</v>
      </c>
      <c r="Q142">
        <v>0.12814145780748371</v>
      </c>
      <c r="R142">
        <v>0</v>
      </c>
      <c r="S142">
        <v>0</v>
      </c>
      <c r="T142">
        <v>-1.123046899313336</v>
      </c>
      <c r="U142">
        <v>-1.174953045440474</v>
      </c>
      <c r="V142">
        <v>-1.1363138540206741</v>
      </c>
      <c r="W142">
        <v>-1.188833186017541</v>
      </c>
      <c r="X142">
        <v>1.3266954707338499E-2</v>
      </c>
      <c r="Y142">
        <v>1.3880140577067599E-2</v>
      </c>
      <c r="Z142">
        <v>0</v>
      </c>
      <c r="AA142">
        <v>0</v>
      </c>
      <c r="AB142">
        <v>193.97380504054999</v>
      </c>
      <c r="AC142">
        <v>202.93908750153</v>
      </c>
      <c r="AD142">
        <f t="shared" si="29"/>
        <v>-120.73185470602326</v>
      </c>
      <c r="AE142">
        <f t="shared" si="30"/>
        <v>-13.276187830800456</v>
      </c>
      <c r="AF142">
        <f t="shared" si="31"/>
        <v>-107.45566687522285</v>
      </c>
      <c r="AG142">
        <f t="shared" si="32"/>
        <v>0</v>
      </c>
      <c r="AH142">
        <f t="shared" si="33"/>
        <v>0.10996424980902833</v>
      </c>
      <c r="AI142">
        <f t="shared" si="34"/>
        <v>0.89003575019097203</v>
      </c>
      <c r="AJ142">
        <f t="shared" si="35"/>
        <v>121.73185470602904</v>
      </c>
      <c r="AK142">
        <f t="shared" si="36"/>
        <v>123.16991664610137</v>
      </c>
      <c r="AL142">
        <f t="shared" si="37"/>
        <v>-1.4380619400780288</v>
      </c>
      <c r="AM142">
        <f t="shared" si="38"/>
        <v>1.0118133576749566</v>
      </c>
      <c r="AN142">
        <f t="shared" si="39"/>
        <v>-1.1813357674956003E-2</v>
      </c>
      <c r="AO142">
        <f t="shared" si="40"/>
        <v>-9.2255794674733343E-5</v>
      </c>
      <c r="AP142">
        <f t="shared" si="41"/>
        <v>-9.6519768656932919E-5</v>
      </c>
    </row>
    <row r="143" spans="1:42" x14ac:dyDescent="0.35">
      <c r="A143" s="9" t="s">
        <v>54</v>
      </c>
      <c r="B143" s="11" t="s">
        <v>68</v>
      </c>
      <c r="C143" s="16">
        <f t="shared" si="28"/>
        <v>13.348965621899451</v>
      </c>
      <c r="D143">
        <v>13.348965621899451</v>
      </c>
      <c r="E143">
        <v>1.1414792455781</v>
      </c>
      <c r="F143">
        <v>12.20748637632135</v>
      </c>
      <c r="G143">
        <v>0</v>
      </c>
      <c r="H143" s="16">
        <v>-5.3846464626538513</v>
      </c>
      <c r="I143">
        <v>0.17176997453820239</v>
      </c>
      <c r="J143">
        <v>-5.5564164371920564</v>
      </c>
      <c r="K143">
        <v>0</v>
      </c>
      <c r="L143">
        <v>3.2538664984422612</v>
      </c>
      <c r="M143">
        <v>4.0395803375278474</v>
      </c>
      <c r="N143">
        <v>0.27824036566252108</v>
      </c>
      <c r="O143">
        <v>0.34542729727078969</v>
      </c>
      <c r="P143">
        <v>2.9756261327797402</v>
      </c>
      <c r="Q143">
        <v>3.6941530402570568</v>
      </c>
      <c r="R143">
        <v>0</v>
      </c>
      <c r="S143">
        <v>0</v>
      </c>
      <c r="T143">
        <v>-1.312530215977282</v>
      </c>
      <c r="U143">
        <v>-1.6294679746115259</v>
      </c>
      <c r="V143">
        <v>4.1869653531148202E-2</v>
      </c>
      <c r="W143">
        <v>5.19799534567566E-2</v>
      </c>
      <c r="X143">
        <v>-1.3543998695084309</v>
      </c>
      <c r="Y143">
        <v>-1.681447928068283</v>
      </c>
      <c r="Z143">
        <v>0</v>
      </c>
      <c r="AA143">
        <v>0</v>
      </c>
      <c r="AB143">
        <v>330.45426768437</v>
      </c>
      <c r="AC143">
        <v>410.24933347112</v>
      </c>
      <c r="AD143">
        <f t="shared" si="29"/>
        <v>1.6760962682419547</v>
      </c>
      <c r="AE143">
        <f t="shared" si="30"/>
        <v>1.5327721217889609</v>
      </c>
      <c r="AF143">
        <f t="shared" si="31"/>
        <v>0.14332414645299371</v>
      </c>
      <c r="AG143">
        <f t="shared" si="32"/>
        <v>0</v>
      </c>
      <c r="AH143">
        <f t="shared" si="33"/>
        <v>0.91448931116389542</v>
      </c>
      <c r="AI143">
        <f t="shared" si="34"/>
        <v>8.5510688836104493E-2</v>
      </c>
      <c r="AJ143">
        <f t="shared" si="35"/>
        <v>-0.67609626824195457</v>
      </c>
      <c r="AK143">
        <f t="shared" si="36"/>
        <v>2.156743986569128E-2</v>
      </c>
      <c r="AL143">
        <f t="shared" si="37"/>
        <v>-0.69766370810764622</v>
      </c>
      <c r="AM143">
        <f t="shared" si="38"/>
        <v>-3.18999540136094E-2</v>
      </c>
      <c r="AN143">
        <f t="shared" si="39"/>
        <v>1.03189995401361</v>
      </c>
      <c r="AO143">
        <f t="shared" si="40"/>
        <v>1.94133628246498E-2</v>
      </c>
      <c r="AP143">
        <f t="shared" si="41"/>
        <v>2.4101123629163227E-2</v>
      </c>
    </row>
    <row r="144" spans="1:42" x14ac:dyDescent="0.35">
      <c r="A144" s="9" t="s">
        <v>55</v>
      </c>
      <c r="B144" s="11" t="s">
        <v>68</v>
      </c>
      <c r="C144" s="16">
        <f t="shared" si="28"/>
        <v>3.572891549409039</v>
      </c>
      <c r="D144">
        <v>3.6115856237378878</v>
      </c>
      <c r="E144">
        <v>0.6751212736122203</v>
      </c>
      <c r="F144">
        <v>2.9364643501256689</v>
      </c>
      <c r="G144">
        <v>-3.8694074328850102E-2</v>
      </c>
      <c r="H144" s="16">
        <v>-6.3673793199374204E-2</v>
      </c>
      <c r="I144">
        <v>0</v>
      </c>
      <c r="J144">
        <v>-6.3673793199374204E-2</v>
      </c>
      <c r="K144">
        <v>0</v>
      </c>
      <c r="L144">
        <v>1.6241891285072561</v>
      </c>
      <c r="M144">
        <v>1.0584457968359591</v>
      </c>
      <c r="N144">
        <v>0.30361307947894312</v>
      </c>
      <c r="O144">
        <v>0.19785749220859511</v>
      </c>
      <c r="P144">
        <v>1.320576049028312</v>
      </c>
      <c r="Q144">
        <v>0.86058830462736391</v>
      </c>
      <c r="R144">
        <v>-1.7401358131868602E-2</v>
      </c>
      <c r="S144">
        <v>-1.1340055200862601E-2</v>
      </c>
      <c r="T144">
        <v>-2.8635146292947899E-2</v>
      </c>
      <c r="U144">
        <v>-1.86608503305336E-2</v>
      </c>
      <c r="V144">
        <v>0</v>
      </c>
      <c r="W144">
        <v>0</v>
      </c>
      <c r="X144">
        <v>-2.8635146292947899E-2</v>
      </c>
      <c r="Y144">
        <v>-1.86608503305336E-2</v>
      </c>
      <c r="Z144">
        <v>0</v>
      </c>
      <c r="AA144">
        <v>0</v>
      </c>
      <c r="AB144">
        <v>341.21592570296002</v>
      </c>
      <c r="AC144">
        <v>222.36238134761999</v>
      </c>
      <c r="AD144">
        <f t="shared" si="29"/>
        <v>1.017946836404249</v>
      </c>
      <c r="AE144">
        <f t="shared" si="30"/>
        <v>0.82765989978955112</v>
      </c>
      <c r="AF144">
        <f t="shared" si="31"/>
        <v>0.19028693661469828</v>
      </c>
      <c r="AG144">
        <f t="shared" si="32"/>
        <v>-1.0906154430274269E-2</v>
      </c>
      <c r="AH144">
        <f t="shared" si="33"/>
        <v>0.81306790314623978</v>
      </c>
      <c r="AI144">
        <f t="shared" si="34"/>
        <v>0.18693209685376061</v>
      </c>
      <c r="AJ144">
        <f t="shared" si="35"/>
        <v>-1.8144725583558199E-2</v>
      </c>
      <c r="AK144">
        <f t="shared" si="36"/>
        <v>0</v>
      </c>
      <c r="AL144">
        <f t="shared" si="37"/>
        <v>-1.7946836404248972E-2</v>
      </c>
      <c r="AM144">
        <f t="shared" si="38"/>
        <v>0</v>
      </c>
      <c r="AN144">
        <f t="shared" si="39"/>
        <v>1</v>
      </c>
      <c r="AO144">
        <f t="shared" si="40"/>
        <v>1.5955539822143067E-2</v>
      </c>
      <c r="AP144">
        <f t="shared" si="41"/>
        <v>1.0397849465054249E-2</v>
      </c>
    </row>
    <row r="145" spans="1:42" x14ac:dyDescent="0.35">
      <c r="A145" s="9" t="s">
        <v>56</v>
      </c>
      <c r="B145" s="11" t="s">
        <v>68</v>
      </c>
      <c r="C145" s="16">
        <f t="shared" si="28"/>
        <v>0.59079391103845713</v>
      </c>
      <c r="D145">
        <v>1.4522233867921299</v>
      </c>
      <c r="E145">
        <v>-2.9240262794754598E-2</v>
      </c>
      <c r="F145">
        <v>1.4814636495868849</v>
      </c>
      <c r="G145">
        <v>-0.86142947575367323</v>
      </c>
      <c r="H145" s="16">
        <v>-1.9640916209961098E-2</v>
      </c>
      <c r="I145">
        <v>0</v>
      </c>
      <c r="J145">
        <v>-1.9640916209961098E-2</v>
      </c>
      <c r="K145">
        <v>0</v>
      </c>
      <c r="L145">
        <v>1.459681466143107</v>
      </c>
      <c r="M145">
        <v>0.79919071648164497</v>
      </c>
      <c r="N145">
        <v>-2.9390429912396501E-2</v>
      </c>
      <c r="O145">
        <v>-1.6091564690106801E-2</v>
      </c>
      <c r="P145">
        <v>1.4890718960555029</v>
      </c>
      <c r="Q145">
        <v>0.81528228117175172</v>
      </c>
      <c r="R145">
        <v>-0.86585345724568874</v>
      </c>
      <c r="S145">
        <v>-0.47406373302300298</v>
      </c>
      <c r="T145">
        <v>-1.9741784652758498E-2</v>
      </c>
      <c r="U145">
        <v>-1.08088315068854E-2</v>
      </c>
      <c r="V145">
        <v>0</v>
      </c>
      <c r="W145">
        <v>0</v>
      </c>
      <c r="X145">
        <v>-1.9741784652758498E-2</v>
      </c>
      <c r="Y145">
        <v>-1.08088315068854E-2</v>
      </c>
      <c r="Z145">
        <v>0</v>
      </c>
      <c r="AA145">
        <v>0</v>
      </c>
      <c r="AB145">
        <v>181.71174374815001</v>
      </c>
      <c r="AC145">
        <v>99.489061173690004</v>
      </c>
      <c r="AD145">
        <f t="shared" si="29"/>
        <v>1.0137101469641601</v>
      </c>
      <c r="AE145">
        <f t="shared" si="30"/>
        <v>1.0341210227044395</v>
      </c>
      <c r="AF145">
        <f t="shared" si="31"/>
        <v>-2.0410875740279038E-2</v>
      </c>
      <c r="AG145">
        <f t="shared" si="32"/>
        <v>-0.60131231076952096</v>
      </c>
      <c r="AH145">
        <f t="shared" si="33"/>
        <v>1.0201348243394874</v>
      </c>
      <c r="AI145">
        <f t="shared" si="34"/>
        <v>-2.0134824339487122E-2</v>
      </c>
      <c r="AJ145">
        <f t="shared" si="35"/>
        <v>-3.4388187382014532E-2</v>
      </c>
      <c r="AK145">
        <f t="shared" si="36"/>
        <v>0</v>
      </c>
      <c r="AL145">
        <f t="shared" si="37"/>
        <v>-1.37101469641601E-2</v>
      </c>
      <c r="AM145">
        <f t="shared" si="38"/>
        <v>0</v>
      </c>
      <c r="AN145">
        <f t="shared" si="39"/>
        <v>1</v>
      </c>
      <c r="AO145">
        <f t="shared" si="40"/>
        <v>1.4399396814903475E-2</v>
      </c>
      <c r="AP145">
        <f t="shared" si="41"/>
        <v>7.883818849747589E-3</v>
      </c>
    </row>
    <row r="146" spans="1:42" x14ac:dyDescent="0.35">
      <c r="A146" s="10" t="s">
        <v>57</v>
      </c>
      <c r="B146" s="12" t="s">
        <v>68</v>
      </c>
      <c r="C146" s="16">
        <f t="shared" si="28"/>
        <v>-1.2494009366438232</v>
      </c>
      <c r="D146">
        <v>-1.349400936643824</v>
      </c>
      <c r="E146">
        <v>0.34098922567069279</v>
      </c>
      <c r="F146">
        <v>-1.6903901623145161</v>
      </c>
      <c r="G146">
        <v>0.1</v>
      </c>
      <c r="H146" s="16">
        <v>0.18483194669322731</v>
      </c>
      <c r="I146">
        <v>0.3141031613848056</v>
      </c>
      <c r="J146">
        <v>-0.1292712146915784</v>
      </c>
      <c r="K146">
        <v>-0.11431613976919899</v>
      </c>
      <c r="L146">
        <v>-2.6764281263188878</v>
      </c>
      <c r="M146">
        <v>-1.7746550232987699</v>
      </c>
      <c r="N146">
        <v>0.67632467828768994</v>
      </c>
      <c r="O146">
        <v>0.44844954956999578</v>
      </c>
      <c r="P146">
        <v>-3.352752804606578</v>
      </c>
      <c r="Q146">
        <v>-2.2231045728687659</v>
      </c>
      <c r="R146">
        <v>0.19834194964882679</v>
      </c>
      <c r="S146">
        <v>0.13151428720011279</v>
      </c>
      <c r="T146">
        <v>0.36659928664522651</v>
      </c>
      <c r="U146">
        <v>0.24308041721168999</v>
      </c>
      <c r="V146">
        <v>0.62299833419922468</v>
      </c>
      <c r="W146">
        <v>0.41309053376824723</v>
      </c>
      <c r="X146">
        <v>-0.25639904755399812</v>
      </c>
      <c r="Y146">
        <v>-0.17001011655655679</v>
      </c>
      <c r="Z146">
        <v>-0.22673686038150731</v>
      </c>
      <c r="AA146">
        <v>-0.1503420563721469</v>
      </c>
      <c r="AB146">
        <v>76.037366075549997</v>
      </c>
      <c r="AC146">
        <v>50.417977728389999</v>
      </c>
      <c r="AD146">
        <f t="shared" si="29"/>
        <v>1.1587127497711134</v>
      </c>
      <c r="AE146">
        <f t="shared" si="30"/>
        <v>1.4515156911281193</v>
      </c>
      <c r="AF146">
        <f t="shared" si="31"/>
        <v>-0.29280294135700646</v>
      </c>
      <c r="AG146">
        <f t="shared" si="32"/>
        <v>-8.5868678337590126E-2</v>
      </c>
      <c r="AH146">
        <f t="shared" si="33"/>
        <v>1.2526967459491964</v>
      </c>
      <c r="AI146">
        <f t="shared" si="34"/>
        <v>-0.25269674594919694</v>
      </c>
      <c r="AJ146">
        <f t="shared" si="35"/>
        <v>-0.17362138897339563</v>
      </c>
      <c r="AK146">
        <f t="shared" si="36"/>
        <v>-0.26971623329772026</v>
      </c>
      <c r="AL146">
        <f t="shared" si="37"/>
        <v>0.11100348352660699</v>
      </c>
      <c r="AM146">
        <f t="shared" si="38"/>
        <v>1.6993986537734989</v>
      </c>
      <c r="AN146">
        <f t="shared" si="39"/>
        <v>-0.69939865377349952</v>
      </c>
      <c r="AO146">
        <f t="shared" si="40"/>
        <v>-2.3098288396736631E-2</v>
      </c>
      <c r="AP146">
        <f t="shared" si="41"/>
        <v>-1.531574606087081E-2</v>
      </c>
    </row>
    <row r="147" spans="1:42" x14ac:dyDescent="0.35">
      <c r="A147" s="9" t="s">
        <v>58</v>
      </c>
      <c r="B147" s="11" t="s">
        <v>68</v>
      </c>
      <c r="C147" s="16">
        <f t="shared" si="28"/>
        <v>-3.4329710142523155</v>
      </c>
      <c r="D147">
        <v>-5.4196425105654953</v>
      </c>
      <c r="E147">
        <v>2.5312199052560209</v>
      </c>
      <c r="F147">
        <v>-7.9508624158215149</v>
      </c>
      <c r="G147">
        <v>1.986671496313178</v>
      </c>
      <c r="H147" s="16">
        <v>-0.14794341217610449</v>
      </c>
      <c r="I147">
        <v>-6.6142068110831998E-3</v>
      </c>
      <c r="J147">
        <v>-0.14132920536502169</v>
      </c>
      <c r="K147">
        <v>0</v>
      </c>
      <c r="L147">
        <v>-0.98570984582049725</v>
      </c>
      <c r="M147">
        <v>-1.0402295194879061</v>
      </c>
      <c r="N147">
        <v>0.46037139491832468</v>
      </c>
      <c r="O147">
        <v>0.48583456577248668</v>
      </c>
      <c r="P147">
        <v>-1.446081240738821</v>
      </c>
      <c r="Q147">
        <v>-1.5260640852603931</v>
      </c>
      <c r="R147">
        <v>0.3613304107252846</v>
      </c>
      <c r="S147">
        <v>0.3813156185046136</v>
      </c>
      <c r="T147">
        <v>-2.69075456032341E-2</v>
      </c>
      <c r="U147">
        <v>-2.83958036455969E-2</v>
      </c>
      <c r="V147">
        <v>-1.2029739532206001E-3</v>
      </c>
      <c r="W147">
        <v>-1.2695105183549999E-3</v>
      </c>
      <c r="X147">
        <v>-2.5704571650013702E-2</v>
      </c>
      <c r="Y147">
        <v>-2.7126293127241501E-2</v>
      </c>
      <c r="Z147">
        <v>0</v>
      </c>
      <c r="AA147">
        <v>0</v>
      </c>
      <c r="AB147">
        <v>521.00449074291998</v>
      </c>
      <c r="AC147">
        <v>549.82128194673999</v>
      </c>
      <c r="AD147">
        <f t="shared" si="29"/>
        <v>0.97342772716415416</v>
      </c>
      <c r="AE147">
        <f t="shared" si="30"/>
        <v>1.4280628132464166</v>
      </c>
      <c r="AF147">
        <f t="shared" si="31"/>
        <v>-0.45463508608226266</v>
      </c>
      <c r="AG147">
        <f t="shared" si="32"/>
        <v>-0.3568281700329643</v>
      </c>
      <c r="AH147">
        <f t="shared" si="33"/>
        <v>1.4670455478053122</v>
      </c>
      <c r="AI147">
        <f t="shared" si="34"/>
        <v>-0.46704554780531249</v>
      </c>
      <c r="AJ147">
        <f t="shared" si="35"/>
        <v>4.1314422674898224E-2</v>
      </c>
      <c r="AK147">
        <f t="shared" si="36"/>
        <v>1.1879846854390746E-3</v>
      </c>
      <c r="AL147">
        <f t="shared" si="37"/>
        <v>2.5384288150406869E-2</v>
      </c>
      <c r="AM147">
        <f t="shared" si="38"/>
        <v>4.4707680550249693E-2</v>
      </c>
      <c r="AN147">
        <f t="shared" si="39"/>
        <v>0.95529231944975301</v>
      </c>
      <c r="AO147">
        <f t="shared" si="40"/>
        <v>-1.0126173914237318E-2</v>
      </c>
      <c r="AP147">
        <f t="shared" si="41"/>
        <v>-1.0686253231335048E-2</v>
      </c>
    </row>
    <row r="148" spans="1:42" x14ac:dyDescent="0.35">
      <c r="A148" s="9" t="s">
        <v>59</v>
      </c>
      <c r="B148" s="11" t="s">
        <v>68</v>
      </c>
      <c r="C148" s="16">
        <f t="shared" si="28"/>
        <v>5.7337721328573297</v>
      </c>
      <c r="D148">
        <v>5.7337721328573252</v>
      </c>
      <c r="E148">
        <v>0.41206821103311331</v>
      </c>
      <c r="F148">
        <v>5.3217039218242164</v>
      </c>
      <c r="G148">
        <v>0</v>
      </c>
      <c r="H148" s="16">
        <v>-0.34763605364891959</v>
      </c>
      <c r="I148">
        <v>-0.16429236256423979</v>
      </c>
      <c r="J148">
        <v>-0.18334369108467991</v>
      </c>
      <c r="K148">
        <v>0</v>
      </c>
      <c r="L148">
        <v>0.76746045418638786</v>
      </c>
      <c r="M148">
        <v>0.97048648487860856</v>
      </c>
      <c r="N148">
        <v>5.5154974607902398E-2</v>
      </c>
      <c r="O148">
        <v>6.97458183529968E-2</v>
      </c>
      <c r="P148">
        <v>0.71230547957848511</v>
      </c>
      <c r="Q148">
        <v>0.90074066652561235</v>
      </c>
      <c r="R148">
        <v>0</v>
      </c>
      <c r="S148">
        <v>0</v>
      </c>
      <c r="T148">
        <v>-4.6530785919462497E-2</v>
      </c>
      <c r="U148">
        <v>-5.8840163840743601E-2</v>
      </c>
      <c r="V148">
        <v>-2.1990391015080699E-2</v>
      </c>
      <c r="W148">
        <v>-2.78077875686202E-2</v>
      </c>
      <c r="X148">
        <v>-2.4540394904382E-2</v>
      </c>
      <c r="Y148">
        <v>-3.1032376272123401E-2</v>
      </c>
      <c r="Z148">
        <v>0</v>
      </c>
      <c r="AA148">
        <v>0</v>
      </c>
      <c r="AB148">
        <v>590.81421763174001</v>
      </c>
      <c r="AC148">
        <v>747.10978286638999</v>
      </c>
      <c r="AD148">
        <f t="shared" si="29"/>
        <v>1.0645427535689018</v>
      </c>
      <c r="AE148">
        <f t="shared" si="30"/>
        <v>0.98803740632678949</v>
      </c>
      <c r="AF148">
        <f t="shared" si="31"/>
        <v>7.650534724211322E-2</v>
      </c>
      <c r="AG148">
        <f t="shared" si="32"/>
        <v>0</v>
      </c>
      <c r="AH148">
        <f t="shared" si="33"/>
        <v>0.92813313792646968</v>
      </c>
      <c r="AI148">
        <f t="shared" si="34"/>
        <v>7.1866862073531046E-2</v>
      </c>
      <c r="AJ148">
        <f t="shared" si="35"/>
        <v>-6.4542753568901837E-2</v>
      </c>
      <c r="AK148">
        <f t="shared" si="36"/>
        <v>-3.0502824315642923E-2</v>
      </c>
      <c r="AL148">
        <f t="shared" si="37"/>
        <v>-3.4039929253258994E-2</v>
      </c>
      <c r="AM148">
        <f t="shared" si="38"/>
        <v>0.47259874469222907</v>
      </c>
      <c r="AN148">
        <f t="shared" si="39"/>
        <v>0.52740125530777127</v>
      </c>
      <c r="AO148">
        <f t="shared" si="40"/>
        <v>7.2092966826692454E-3</v>
      </c>
      <c r="AP148">
        <f t="shared" si="41"/>
        <v>9.1164632103786555E-3</v>
      </c>
    </row>
    <row r="149" spans="1:42" x14ac:dyDescent="0.35">
      <c r="A149" s="7" t="s">
        <v>60</v>
      </c>
      <c r="B149" s="11" t="s">
        <v>68</v>
      </c>
      <c r="C149" s="16">
        <f t="shared" si="28"/>
        <v>-2.4256874147586851</v>
      </c>
      <c r="D149">
        <v>0.1488650164938079</v>
      </c>
      <c r="E149">
        <v>0.46869556347929597</v>
      </c>
      <c r="F149">
        <v>-0.3198305469854858</v>
      </c>
      <c r="G149">
        <v>-2.5745524312524952</v>
      </c>
      <c r="H149" s="16">
        <v>0</v>
      </c>
      <c r="I149">
        <v>0</v>
      </c>
      <c r="J149">
        <v>0</v>
      </c>
      <c r="K149">
        <v>-1.1142321069096259</v>
      </c>
      <c r="L149">
        <v>5.6827502229728197E-2</v>
      </c>
      <c r="M149">
        <v>3.3734157301740397E-2</v>
      </c>
      <c r="N149">
        <v>0.17891912288063319</v>
      </c>
      <c r="O149">
        <v>0.1062106479912665</v>
      </c>
      <c r="P149">
        <v>-0.12209162065090499</v>
      </c>
      <c r="Q149">
        <v>-7.2476490689526302E-2</v>
      </c>
      <c r="R149">
        <v>-0.98280568177438277</v>
      </c>
      <c r="S149">
        <v>-0.58341683454594284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-0.42534524921424061</v>
      </c>
      <c r="AA149">
        <v>-0.252495059285478</v>
      </c>
      <c r="AB149">
        <v>441.28867711817003</v>
      </c>
      <c r="AC149">
        <v>261.95945739796002</v>
      </c>
      <c r="AD149">
        <f t="shared" si="29"/>
        <v>1</v>
      </c>
      <c r="AE149">
        <f t="shared" si="30"/>
        <v>-2.1484600916884276</v>
      </c>
      <c r="AF149">
        <f t="shared" si="31"/>
        <v>3.1484600916884427</v>
      </c>
      <c r="AG149">
        <f t="shared" si="32"/>
        <v>-17.29454301548131</v>
      </c>
      <c r="AH149">
        <f t="shared" si="33"/>
        <v>-2.1484600916884276</v>
      </c>
      <c r="AI149">
        <f t="shared" si="34"/>
        <v>3.1484600916884427</v>
      </c>
      <c r="AJ149">
        <f t="shared" si="35"/>
        <v>0</v>
      </c>
      <c r="AK149">
        <f t="shared" si="36"/>
        <v>0</v>
      </c>
      <c r="AL149">
        <f t="shared" si="37"/>
        <v>0</v>
      </c>
      <c r="AM149" t="e">
        <f t="shared" si="38"/>
        <v>#DIV/0!</v>
      </c>
      <c r="AN149" t="e">
        <f t="shared" si="39"/>
        <v>#DIV/0!</v>
      </c>
      <c r="AO149">
        <f t="shared" si="40"/>
        <v>5.6827502229727538E-4</v>
      </c>
      <c r="AP149">
        <f t="shared" si="41"/>
        <v>3.3734157301739298E-4</v>
      </c>
    </row>
    <row r="150" spans="1:42" x14ac:dyDescent="0.35">
      <c r="A150" s="7" t="s">
        <v>61</v>
      </c>
      <c r="B150" s="11" t="s">
        <v>68</v>
      </c>
      <c r="C150" s="16">
        <f t="shared" si="28"/>
        <v>4.0123179589086631</v>
      </c>
      <c r="D150">
        <v>4.0098421863494309</v>
      </c>
      <c r="E150">
        <v>0.54698847303368625</v>
      </c>
      <c r="F150">
        <v>3.4628537133157442</v>
      </c>
      <c r="G150">
        <v>2.4757725592319002E-3</v>
      </c>
      <c r="H150" s="16">
        <v>8.4973082357751313</v>
      </c>
      <c r="I150">
        <v>7.6160721771276307</v>
      </c>
      <c r="J150">
        <v>0.88123605864749965</v>
      </c>
      <c r="K150">
        <v>0</v>
      </c>
      <c r="L150">
        <v>1.247595593488112</v>
      </c>
      <c r="M150">
        <v>0.58074170428682947</v>
      </c>
      <c r="N150">
        <v>0.17018635071693311</v>
      </c>
      <c r="O150">
        <v>7.9219830430292001E-2</v>
      </c>
      <c r="P150">
        <v>1.077409242771179</v>
      </c>
      <c r="Q150">
        <v>0.50152187385653735</v>
      </c>
      <c r="R150">
        <v>7.7029538616040004E-4</v>
      </c>
      <c r="S150">
        <v>3.5856383085830002E-4</v>
      </c>
      <c r="T150">
        <v>2.6437958948989611</v>
      </c>
      <c r="U150">
        <v>1.230657227232965</v>
      </c>
      <c r="V150">
        <v>2.369613976385013</v>
      </c>
      <c r="W150">
        <v>1.1030286306961341</v>
      </c>
      <c r="X150">
        <v>0.27418191851394841</v>
      </c>
      <c r="Y150">
        <v>0.12762859653683131</v>
      </c>
      <c r="Z150">
        <v>0</v>
      </c>
      <c r="AA150">
        <v>0</v>
      </c>
      <c r="AB150">
        <v>690.46912883131995</v>
      </c>
      <c r="AC150">
        <v>321.40560669490998</v>
      </c>
      <c r="AD150">
        <f t="shared" si="29"/>
        <v>0.32060397860540707</v>
      </c>
      <c r="AE150">
        <f t="shared" si="30"/>
        <v>0.27686991812220618</v>
      </c>
      <c r="AF150">
        <f t="shared" si="31"/>
        <v>4.3734060483200818E-2</v>
      </c>
      <c r="AG150">
        <f t="shared" si="32"/>
        <v>1.9794857147095431E-4</v>
      </c>
      <c r="AH150">
        <f t="shared" si="33"/>
        <v>0.86358852852219947</v>
      </c>
      <c r="AI150">
        <f t="shared" si="34"/>
        <v>0.13641147147780042</v>
      </c>
      <c r="AJ150">
        <f t="shared" si="35"/>
        <v>0.67926156253863335</v>
      </c>
      <c r="AK150">
        <f t="shared" si="36"/>
        <v>0.60893744138993933</v>
      </c>
      <c r="AL150">
        <f t="shared" si="37"/>
        <v>7.0458580004653534E-2</v>
      </c>
      <c r="AM150">
        <f t="shared" si="38"/>
        <v>0.89629232761766309</v>
      </c>
      <c r="AN150">
        <f t="shared" si="39"/>
        <v>0.1037076723823368</v>
      </c>
      <c r="AO150">
        <f t="shared" si="40"/>
        <v>3.8913914883870741E-2</v>
      </c>
      <c r="AP150">
        <f t="shared" si="41"/>
        <v>1.8113989315197945E-2</v>
      </c>
    </row>
    <row r="151" spans="1:42" x14ac:dyDescent="0.35">
      <c r="A151" s="7" t="s">
        <v>62</v>
      </c>
      <c r="B151" s="11" t="s">
        <v>68</v>
      </c>
      <c r="C151" s="16">
        <f t="shared" si="28"/>
        <v>-7.3367331368355999E-3</v>
      </c>
      <c r="D151">
        <v>-4.9648577665709999E-3</v>
      </c>
      <c r="E151">
        <v>-1.1457364076702E-3</v>
      </c>
      <c r="F151">
        <v>-3.8191213589006999E-3</v>
      </c>
      <c r="G151">
        <v>-2.3718753702646998E-3</v>
      </c>
      <c r="H151" s="16">
        <v>0</v>
      </c>
      <c r="I151">
        <v>0</v>
      </c>
      <c r="J151">
        <v>0</v>
      </c>
      <c r="K151">
        <v>0</v>
      </c>
      <c r="L151">
        <v>-7.7115026817946002E-3</v>
      </c>
      <c r="M151">
        <v>-5.4419247585320999E-3</v>
      </c>
      <c r="N151">
        <v>-1.7795775419526001E-3</v>
      </c>
      <c r="O151">
        <v>-1.2558287904305E-3</v>
      </c>
      <c r="P151">
        <v>-5.9319251398419004E-3</v>
      </c>
      <c r="Q151">
        <v>-4.1860959681015997E-3</v>
      </c>
      <c r="R151">
        <v>-3.6840377184282E-3</v>
      </c>
      <c r="S151">
        <v>-2.5997859170315001E-3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91.233487908610002</v>
      </c>
      <c r="AC151">
        <v>64.38249419652</v>
      </c>
      <c r="AD151">
        <f t="shared" si="29"/>
        <v>1</v>
      </c>
      <c r="AE151">
        <f t="shared" si="30"/>
        <v>0.76923076923075528</v>
      </c>
      <c r="AF151">
        <f t="shared" si="31"/>
        <v>0.23076923076922456</v>
      </c>
      <c r="AG151">
        <f t="shared" si="32"/>
        <v>0.47773279352226955</v>
      </c>
      <c r="AH151">
        <f t="shared" si="33"/>
        <v>0.76923076923075528</v>
      </c>
      <c r="AI151">
        <f t="shared" si="34"/>
        <v>0.23076923076922456</v>
      </c>
      <c r="AJ151">
        <f t="shared" si="35"/>
        <v>0</v>
      </c>
      <c r="AK151">
        <f t="shared" si="36"/>
        <v>0</v>
      </c>
      <c r="AL151">
        <f t="shared" si="37"/>
        <v>0</v>
      </c>
      <c r="AM151" t="e">
        <f t="shared" si="38"/>
        <v>#DIV/0!</v>
      </c>
      <c r="AN151" t="e">
        <f t="shared" si="39"/>
        <v>#DIV/0!</v>
      </c>
      <c r="AO151">
        <f t="shared" si="40"/>
        <v>-7.7115026817947666E-5</v>
      </c>
      <c r="AP151">
        <f t="shared" si="41"/>
        <v>-5.4419247585320588E-5</v>
      </c>
    </row>
    <row r="152" spans="1:42" x14ac:dyDescent="0.35">
      <c r="A152" s="7" t="s">
        <v>63</v>
      </c>
      <c r="B152" s="11" t="s">
        <v>68</v>
      </c>
      <c r="C152" s="16">
        <f t="shared" si="28"/>
        <v>-0.19161498549824249</v>
      </c>
      <c r="D152">
        <v>-0.19161498549824249</v>
      </c>
      <c r="E152">
        <v>0</v>
      </c>
      <c r="F152">
        <v>-0.19161498549824249</v>
      </c>
      <c r="G152">
        <v>0</v>
      </c>
      <c r="H152" s="16">
        <v>0</v>
      </c>
      <c r="I152">
        <v>0</v>
      </c>
      <c r="J152">
        <v>0</v>
      </c>
      <c r="K152">
        <v>0</v>
      </c>
      <c r="L152">
        <v>-0.13001073313003439</v>
      </c>
      <c r="M152">
        <v>-6.1833593114673797E-2</v>
      </c>
      <c r="N152">
        <v>0</v>
      </c>
      <c r="O152">
        <v>0</v>
      </c>
      <c r="P152">
        <v>-0.13001073313003439</v>
      </c>
      <c r="Q152">
        <v>-6.1833593114673603E-2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309.88816247970999</v>
      </c>
      <c r="AC152">
        <v>147.38397429586999</v>
      </c>
      <c r="AD152">
        <f t="shared" si="29"/>
        <v>1</v>
      </c>
      <c r="AE152">
        <f t="shared" si="30"/>
        <v>1</v>
      </c>
      <c r="AF152">
        <f t="shared" si="31"/>
        <v>0</v>
      </c>
      <c r="AG152">
        <f t="shared" si="32"/>
        <v>0</v>
      </c>
      <c r="AH152">
        <f t="shared" si="33"/>
        <v>1</v>
      </c>
      <c r="AI152">
        <f t="shared" si="34"/>
        <v>0</v>
      </c>
      <c r="AJ152">
        <f t="shared" si="35"/>
        <v>0</v>
      </c>
      <c r="AK152">
        <f t="shared" si="36"/>
        <v>0</v>
      </c>
      <c r="AL152">
        <f t="shared" si="37"/>
        <v>0</v>
      </c>
      <c r="AM152" t="e">
        <f t="shared" si="38"/>
        <v>#DIV/0!</v>
      </c>
      <c r="AN152" t="e">
        <f t="shared" si="39"/>
        <v>#DIV/0!</v>
      </c>
      <c r="AO152">
        <f t="shared" si="40"/>
        <v>-1.3001073313003472E-3</v>
      </c>
      <c r="AP152">
        <f t="shared" si="41"/>
        <v>-6.1833593114673602E-4</v>
      </c>
    </row>
    <row r="153" spans="1:42" x14ac:dyDescent="0.35">
      <c r="A153" s="7" t="s">
        <v>64</v>
      </c>
      <c r="B153" s="11" t="s">
        <v>68</v>
      </c>
      <c r="C153" s="16">
        <f t="shared" si="28"/>
        <v>5.9891531238189888</v>
      </c>
      <c r="D153">
        <v>5.989153123818987</v>
      </c>
      <c r="E153">
        <v>-4.1489705375412E-3</v>
      </c>
      <c r="F153">
        <v>5.9933020943565296</v>
      </c>
      <c r="G153">
        <v>0</v>
      </c>
      <c r="H153" s="16">
        <v>2.4919180275215358</v>
      </c>
      <c r="I153">
        <v>2.528038476907192</v>
      </c>
      <c r="J153">
        <v>-3.6120449385656103E-2</v>
      </c>
      <c r="K153">
        <v>0</v>
      </c>
      <c r="L153">
        <v>1.047965084417287</v>
      </c>
      <c r="M153">
        <v>0.49276291212012419</v>
      </c>
      <c r="N153">
        <v>-7.2597513700680002E-4</v>
      </c>
      <c r="O153">
        <v>-3.4136024945629999E-4</v>
      </c>
      <c r="P153">
        <v>1.048691059554294</v>
      </c>
      <c r="Q153">
        <v>0.49310427236958088</v>
      </c>
      <c r="R153">
        <v>0</v>
      </c>
      <c r="S153">
        <v>0</v>
      </c>
      <c r="T153">
        <v>0.43602877269689427</v>
      </c>
      <c r="U153">
        <v>0.20502477706283079</v>
      </c>
      <c r="V153">
        <v>0.44234902683083649</v>
      </c>
      <c r="W153">
        <v>0.20799661923456941</v>
      </c>
      <c r="X153">
        <v>-6.3202541339419001E-3</v>
      </c>
      <c r="Y153">
        <v>-2.9718421717381E-3</v>
      </c>
      <c r="Z153">
        <v>0</v>
      </c>
      <c r="AA153">
        <v>0</v>
      </c>
      <c r="AB153">
        <v>1215.4228689920101</v>
      </c>
      <c r="AC153">
        <v>571.50311712429004</v>
      </c>
      <c r="AD153">
        <f t="shared" si="29"/>
        <v>0.70617885606022046</v>
      </c>
      <c r="AE153">
        <f t="shared" si="30"/>
        <v>0.70666805966003776</v>
      </c>
      <c r="AF153">
        <f t="shared" si="31"/>
        <v>-4.8920359981715418E-4</v>
      </c>
      <c r="AG153">
        <f t="shared" si="32"/>
        <v>0</v>
      </c>
      <c r="AH153">
        <f t="shared" si="33"/>
        <v>1.0006927474472211</v>
      </c>
      <c r="AI153">
        <f t="shared" si="34"/>
        <v>-6.9274744722098644E-4</v>
      </c>
      <c r="AJ153">
        <f t="shared" si="35"/>
        <v>0.29382114393977954</v>
      </c>
      <c r="AK153">
        <f t="shared" si="36"/>
        <v>0.29808009292642346</v>
      </c>
      <c r="AL153">
        <f t="shared" si="37"/>
        <v>-4.2589489866438493E-3</v>
      </c>
      <c r="AM153">
        <f t="shared" si="38"/>
        <v>1.0144950391572798</v>
      </c>
      <c r="AN153">
        <f t="shared" si="39"/>
        <v>-1.44950391572798E-2</v>
      </c>
      <c r="AO153">
        <f t="shared" si="40"/>
        <v>1.4839938571141801E-2</v>
      </c>
      <c r="AP153">
        <f t="shared" si="41"/>
        <v>6.9778768918295504E-3</v>
      </c>
    </row>
    <row r="154" spans="1:42" x14ac:dyDescent="0.35">
      <c r="A154" s="7" t="s">
        <v>27</v>
      </c>
      <c r="B154" s="11" t="s">
        <v>69</v>
      </c>
      <c r="C154" s="16">
        <f t="shared" si="28"/>
        <v>0.83038838202105758</v>
      </c>
      <c r="D154">
        <v>0.8303883820210558</v>
      </c>
      <c r="E154">
        <v>9.8710831084147799E-5</v>
      </c>
      <c r="F154">
        <v>0.83028967118997343</v>
      </c>
      <c r="G154">
        <v>0</v>
      </c>
      <c r="H154" s="16">
        <v>2.0812524626020001E-4</v>
      </c>
      <c r="I154">
        <v>8.9196534112545578E-5</v>
      </c>
      <c r="J154">
        <v>1.189287121476E-4</v>
      </c>
      <c r="K154">
        <v>0</v>
      </c>
      <c r="L154">
        <v>5.5552794872685399E-2</v>
      </c>
      <c r="M154">
        <v>6.7703036362789903E-2</v>
      </c>
      <c r="N154">
        <v>6.6037322652423569E-6</v>
      </c>
      <c r="O154">
        <v>8.0480689891304635E-6</v>
      </c>
      <c r="P154">
        <v>5.5546191140420399E-2</v>
      </c>
      <c r="Q154">
        <v>6.7694988293798206E-2</v>
      </c>
      <c r="R154">
        <v>0</v>
      </c>
      <c r="S154">
        <v>0</v>
      </c>
      <c r="T154">
        <v>1.392353188434114E-5</v>
      </c>
      <c r="U154">
        <v>1.6968820157892139E-5</v>
      </c>
      <c r="V154">
        <v>5.9672279504319192E-6</v>
      </c>
      <c r="W154">
        <v>7.2723514963346503E-6</v>
      </c>
      <c r="X154">
        <v>7.9563039337982033E-6</v>
      </c>
      <c r="Y154">
        <v>9.6964686615574874E-6</v>
      </c>
      <c r="Z154">
        <v>0</v>
      </c>
      <c r="AA154">
        <v>0</v>
      </c>
      <c r="AB154">
        <v>1226.51571721458</v>
      </c>
      <c r="AC154">
        <v>1494.77336635199</v>
      </c>
      <c r="AD154">
        <f t="shared" si="29"/>
        <v>0.9997494267740844</v>
      </c>
      <c r="AE154">
        <f t="shared" si="30"/>
        <v>0.99963058347265132</v>
      </c>
      <c r="AF154">
        <f t="shared" si="31"/>
        <v>1.1884330143514446E-4</v>
      </c>
      <c r="AG154">
        <f t="shared" si="32"/>
        <v>0</v>
      </c>
      <c r="AH154">
        <f t="shared" si="33"/>
        <v>0.99988112691215392</v>
      </c>
      <c r="AI154">
        <f t="shared" si="34"/>
        <v>1.1887308784824114E-4</v>
      </c>
      <c r="AJ154">
        <f t="shared" si="35"/>
        <v>2.5057322591559767E-4</v>
      </c>
      <c r="AK154">
        <f t="shared" si="36"/>
        <v>1.0738852539364086E-4</v>
      </c>
      <c r="AL154">
        <f t="shared" si="37"/>
        <v>1.4318470052189183E-4</v>
      </c>
      <c r="AM154">
        <f t="shared" si="38"/>
        <v>0.4285714285763837</v>
      </c>
      <c r="AN154">
        <f t="shared" si="39"/>
        <v>0.57142857142335479</v>
      </c>
      <c r="AO154">
        <f t="shared" si="40"/>
        <v>5.5566718404569614E-4</v>
      </c>
      <c r="AP154">
        <f t="shared" si="41"/>
        <v>6.7720005182942344E-4</v>
      </c>
    </row>
    <row r="155" spans="1:42" x14ac:dyDescent="0.35">
      <c r="A155" s="7" t="s">
        <v>28</v>
      </c>
      <c r="B155" s="11" t="s">
        <v>69</v>
      </c>
      <c r="C155" s="16">
        <f t="shared" si="28"/>
        <v>0.64367895118510177</v>
      </c>
      <c r="D155">
        <v>0.50948049435228882</v>
      </c>
      <c r="E155">
        <v>8.3203043236338203E-2</v>
      </c>
      <c r="F155">
        <v>0.42627745111596482</v>
      </c>
      <c r="G155">
        <v>0.13419845683279871</v>
      </c>
      <c r="H155" s="16">
        <v>0.1398821561810166</v>
      </c>
      <c r="I155">
        <v>8.2097879474187004E-3</v>
      </c>
      <c r="J155">
        <v>0.13167236823359471</v>
      </c>
      <c r="K155">
        <v>0</v>
      </c>
      <c r="L155">
        <v>3.00294097534568E-2</v>
      </c>
      <c r="M155">
        <v>2.9561009374893001E-2</v>
      </c>
      <c r="N155">
        <v>4.9040901580639003E-3</v>
      </c>
      <c r="O155">
        <v>4.8275958910961002E-3</v>
      </c>
      <c r="P155">
        <v>2.5125319595392801E-2</v>
      </c>
      <c r="Q155">
        <v>2.4733413483795898E-2</v>
      </c>
      <c r="R155">
        <v>7.9098228355860001E-3</v>
      </c>
      <c r="S155">
        <v>7.7864449856387997E-3</v>
      </c>
      <c r="T155">
        <v>8.2448270968589008E-3</v>
      </c>
      <c r="U155">
        <v>8.1162238320890007E-3</v>
      </c>
      <c r="V155">
        <v>4.8389504405939998E-4</v>
      </c>
      <c r="W155">
        <v>4.7634722265079999E-4</v>
      </c>
      <c r="X155">
        <v>7.7609320527994999E-3</v>
      </c>
      <c r="Y155">
        <v>7.6398766094385E-3</v>
      </c>
      <c r="Z155">
        <v>0</v>
      </c>
      <c r="AA155">
        <v>0</v>
      </c>
      <c r="AB155">
        <v>1723.48815255626</v>
      </c>
      <c r="AC155">
        <v>1696.60508992738</v>
      </c>
      <c r="AD155">
        <f t="shared" si="29"/>
        <v>0.7845854607342525</v>
      </c>
      <c r="AE155">
        <f t="shared" si="30"/>
        <v>0.656455142231962</v>
      </c>
      <c r="AF155">
        <f t="shared" si="31"/>
        <v>0.12813031850231241</v>
      </c>
      <c r="AG155">
        <f t="shared" si="32"/>
        <v>0.20666180403598028</v>
      </c>
      <c r="AH155">
        <f t="shared" si="33"/>
        <v>0.83669042454294262</v>
      </c>
      <c r="AI155">
        <f t="shared" si="34"/>
        <v>0.16330957545708524</v>
      </c>
      <c r="AJ155">
        <f t="shared" si="35"/>
        <v>0.17852105581301747</v>
      </c>
      <c r="AK155">
        <f t="shared" si="36"/>
        <v>1.2642839776319449E-2</v>
      </c>
      <c r="AL155">
        <f t="shared" si="37"/>
        <v>0.20277169948942314</v>
      </c>
      <c r="AM155">
        <f t="shared" si="38"/>
        <v>5.8690744920994076E-2</v>
      </c>
      <c r="AN155">
        <f t="shared" si="39"/>
        <v>0.94130925507898311</v>
      </c>
      <c r="AO155">
        <f t="shared" si="40"/>
        <v>3.8274236850315013E-4</v>
      </c>
      <c r="AP155">
        <f t="shared" si="41"/>
        <v>3.7677233206980703E-4</v>
      </c>
    </row>
    <row r="156" spans="1:42" x14ac:dyDescent="0.35">
      <c r="A156" s="7" t="s">
        <v>29</v>
      </c>
      <c r="B156" s="11" t="s">
        <v>69</v>
      </c>
      <c r="C156" s="16">
        <f t="shared" si="28"/>
        <v>17.239811038462239</v>
      </c>
      <c r="D156">
        <v>0.52520956131547791</v>
      </c>
      <c r="E156">
        <v>1.1950101937878339</v>
      </c>
      <c r="F156">
        <v>-0.66980063247234511</v>
      </c>
      <c r="G156">
        <v>16.714601477146751</v>
      </c>
      <c r="H156" s="16">
        <v>1.0730574657911229</v>
      </c>
      <c r="I156">
        <v>6.3387360848420102E-2</v>
      </c>
      <c r="J156">
        <v>1.0096701049426999</v>
      </c>
      <c r="K156">
        <v>0</v>
      </c>
      <c r="L156">
        <v>2.0070584506226102E-2</v>
      </c>
      <c r="M156">
        <v>1.8066503485737601E-2</v>
      </c>
      <c r="N156">
        <v>4.5666634514698198E-2</v>
      </c>
      <c r="O156">
        <v>4.1106745614994999E-2</v>
      </c>
      <c r="P156">
        <v>-2.5596050008472201E-2</v>
      </c>
      <c r="Q156">
        <v>-2.3040242129257898E-2</v>
      </c>
      <c r="R156">
        <v>0.63873898372051396</v>
      </c>
      <c r="S156">
        <v>0.57495984096942188</v>
      </c>
      <c r="T156">
        <v>4.1006280413581501E-2</v>
      </c>
      <c r="U156">
        <v>3.6911735569995899E-2</v>
      </c>
      <c r="V156">
        <v>2.4223119231650998E-3</v>
      </c>
      <c r="W156">
        <v>2.1804400758647E-3</v>
      </c>
      <c r="X156">
        <v>3.8583968490415899E-2</v>
      </c>
      <c r="Y156">
        <v>3.4731295494131197E-2</v>
      </c>
      <c r="Z156">
        <v>0</v>
      </c>
      <c r="AA156">
        <v>0</v>
      </c>
      <c r="AB156">
        <v>2907.0902498102801</v>
      </c>
      <c r="AC156">
        <v>2616.8124857180101</v>
      </c>
      <c r="AD156">
        <f t="shared" si="29"/>
        <v>0.32861189801699364</v>
      </c>
      <c r="AE156">
        <f t="shared" si="30"/>
        <v>-0.41907930346589756</v>
      </c>
      <c r="AF156">
        <f t="shared" si="31"/>
        <v>0.74769120148289803</v>
      </c>
      <c r="AG156">
        <f t="shared" si="32"/>
        <v>10.457953016402886</v>
      </c>
      <c r="AH156">
        <f t="shared" si="33"/>
        <v>-1.2753016734781331</v>
      </c>
      <c r="AI156">
        <f t="shared" si="34"/>
        <v>2.2753016734781539</v>
      </c>
      <c r="AJ156">
        <f t="shared" si="35"/>
        <v>5.8595815589561714E-2</v>
      </c>
      <c r="AK156">
        <f t="shared" si="36"/>
        <v>3.9660056657223587E-2</v>
      </c>
      <c r="AL156">
        <f t="shared" si="37"/>
        <v>0.63172804532578097</v>
      </c>
      <c r="AM156">
        <f t="shared" si="38"/>
        <v>5.907172995780529E-2</v>
      </c>
      <c r="AN156">
        <f t="shared" si="39"/>
        <v>0.94092827004219204</v>
      </c>
      <c r="AO156">
        <f t="shared" si="40"/>
        <v>6.1076864919805776E-4</v>
      </c>
      <c r="AP156">
        <f t="shared" si="41"/>
        <v>5.4978239055732982E-4</v>
      </c>
    </row>
    <row r="157" spans="1:42" x14ac:dyDescent="0.35">
      <c r="A157" s="7" t="s">
        <v>30</v>
      </c>
      <c r="B157" s="11" t="s">
        <v>69</v>
      </c>
      <c r="C157" s="16">
        <f t="shared" si="28"/>
        <v>1.1077695919685908</v>
      </c>
      <c r="D157">
        <v>1.107769591968633</v>
      </c>
      <c r="E157">
        <v>0.1207378301873092</v>
      </c>
      <c r="F157">
        <v>0.9870317617812816</v>
      </c>
      <c r="G157">
        <v>0</v>
      </c>
      <c r="H157" s="16">
        <v>2.795986302562369</v>
      </c>
      <c r="I157">
        <v>0.30184457546828009</v>
      </c>
      <c r="J157">
        <v>2.494141727094302</v>
      </c>
      <c r="K157">
        <v>0</v>
      </c>
      <c r="L157">
        <v>3.0794324993863101E-2</v>
      </c>
      <c r="M157">
        <v>2.6617657271588099E-2</v>
      </c>
      <c r="N157">
        <v>3.3563296996037E-3</v>
      </c>
      <c r="O157">
        <v>2.9011070595734E-3</v>
      </c>
      <c r="P157">
        <v>2.7437995294260199E-2</v>
      </c>
      <c r="Q157">
        <v>2.3716550212014902E-2</v>
      </c>
      <c r="R157">
        <v>0</v>
      </c>
      <c r="S157">
        <v>0</v>
      </c>
      <c r="T157">
        <v>7.7724205018569095E-2</v>
      </c>
      <c r="U157">
        <v>6.7182386732074606E-2</v>
      </c>
      <c r="V157">
        <v>8.3908242490089002E-3</v>
      </c>
      <c r="W157">
        <v>7.2527676489335001E-3</v>
      </c>
      <c r="X157">
        <v>6.9333380769560193E-2</v>
      </c>
      <c r="Y157">
        <v>5.9929619083138798E-2</v>
      </c>
      <c r="Z157">
        <v>0</v>
      </c>
      <c r="AA157">
        <v>0</v>
      </c>
      <c r="AB157">
        <v>4161.7847155581303</v>
      </c>
      <c r="AC157">
        <v>3597.3173374942398</v>
      </c>
      <c r="AD157">
        <f t="shared" si="29"/>
        <v>0.28377020026292415</v>
      </c>
      <c r="AE157">
        <f t="shared" si="30"/>
        <v>0.25284156808167019</v>
      </c>
      <c r="AF157">
        <f t="shared" si="31"/>
        <v>3.0928632181243153E-2</v>
      </c>
      <c r="AG157">
        <f t="shared" si="32"/>
        <v>0</v>
      </c>
      <c r="AH157">
        <f t="shared" si="33"/>
        <v>0.89100817438688984</v>
      </c>
      <c r="AI157">
        <f t="shared" si="34"/>
        <v>0.10899182561307202</v>
      </c>
      <c r="AJ157">
        <f t="shared" si="35"/>
        <v>0.71622979973708356</v>
      </c>
      <c r="AK157">
        <f t="shared" si="36"/>
        <v>7.7321580453109703E-2</v>
      </c>
      <c r="AL157">
        <f t="shared" si="37"/>
        <v>0.63890821928402075</v>
      </c>
      <c r="AM157">
        <f t="shared" si="38"/>
        <v>0.10795638562022138</v>
      </c>
      <c r="AN157">
        <f t="shared" si="39"/>
        <v>0.8920436143798548</v>
      </c>
      <c r="AO157">
        <f t="shared" si="40"/>
        <v>1.0851853001242909E-3</v>
      </c>
      <c r="AP157">
        <f t="shared" si="41"/>
        <v>9.3800044003657112E-4</v>
      </c>
    </row>
    <row r="158" spans="1:42" x14ac:dyDescent="0.35">
      <c r="A158" s="7" t="s">
        <v>31</v>
      </c>
      <c r="B158" s="11" t="s">
        <v>69</v>
      </c>
      <c r="C158" s="16">
        <f t="shared" si="28"/>
        <v>32.315087106731255</v>
      </c>
      <c r="D158">
        <v>32.293957986448447</v>
      </c>
      <c r="E158">
        <v>0.59931616434672996</v>
      </c>
      <c r="F158">
        <v>31.694641822101719</v>
      </c>
      <c r="G158">
        <v>2.1129120282806099E-2</v>
      </c>
      <c r="H158" s="16">
        <v>1.757490040666426</v>
      </c>
      <c r="I158">
        <v>9.8099487027312002E-3</v>
      </c>
      <c r="J158">
        <v>1.747680091963616</v>
      </c>
      <c r="K158">
        <v>0</v>
      </c>
      <c r="L158">
        <v>1.6835925105330429</v>
      </c>
      <c r="M158">
        <v>1.381465248595533</v>
      </c>
      <c r="N158">
        <v>3.12443648486493E-2</v>
      </c>
      <c r="O158">
        <v>2.5637441354014301E-2</v>
      </c>
      <c r="P158">
        <v>1.652348145684394</v>
      </c>
      <c r="Q158">
        <v>1.3558278072415191</v>
      </c>
      <c r="R158">
        <v>1.1015320165218001E-3</v>
      </c>
      <c r="S158">
        <v>9.0385778715449999E-4</v>
      </c>
      <c r="T158">
        <v>9.1623859517120806E-2</v>
      </c>
      <c r="U158">
        <v>7.5181599510106098E-2</v>
      </c>
      <c r="V158">
        <v>5.1142557909939997E-4</v>
      </c>
      <c r="W158">
        <v>4.1964825832170003E-4</v>
      </c>
      <c r="X158">
        <v>9.1112433938022194E-2</v>
      </c>
      <c r="Y158">
        <v>7.4761951251783601E-2</v>
      </c>
      <c r="Z158">
        <v>0</v>
      </c>
      <c r="AA158">
        <v>0</v>
      </c>
      <c r="AB158">
        <v>2337.6598158571201</v>
      </c>
      <c r="AC158">
        <v>1918.15761738117</v>
      </c>
      <c r="AD158">
        <f t="shared" si="29"/>
        <v>0.94838721574286788</v>
      </c>
      <c r="AE158">
        <f t="shared" si="30"/>
        <v>0.93078690212714454</v>
      </c>
      <c r="AF158">
        <f t="shared" si="31"/>
        <v>1.7600313615723468E-2</v>
      </c>
      <c r="AG158">
        <f t="shared" si="32"/>
        <v>6.2050577896074089E-4</v>
      </c>
      <c r="AH158">
        <f t="shared" si="33"/>
        <v>0.98144184851549565</v>
      </c>
      <c r="AI158">
        <f t="shared" si="34"/>
        <v>1.8558151484504369E-2</v>
      </c>
      <c r="AJ158">
        <f t="shared" si="35"/>
        <v>5.1580778086246275E-2</v>
      </c>
      <c r="AK158">
        <f t="shared" si="36"/>
        <v>2.880919688031952E-4</v>
      </c>
      <c r="AL158">
        <f t="shared" si="37"/>
        <v>5.1324692288326576E-2</v>
      </c>
      <c r="AM158">
        <f t="shared" si="38"/>
        <v>5.5817947616996723E-3</v>
      </c>
      <c r="AN158">
        <f t="shared" si="39"/>
        <v>0.99441820523825541</v>
      </c>
      <c r="AO158">
        <f t="shared" si="40"/>
        <v>1.775216370050172E-2</v>
      </c>
      <c r="AP158">
        <f t="shared" si="41"/>
        <v>1.4566468481056411E-2</v>
      </c>
    </row>
    <row r="159" spans="1:42" x14ac:dyDescent="0.35">
      <c r="A159" s="7" t="s">
        <v>32</v>
      </c>
      <c r="B159" s="11" t="s">
        <v>69</v>
      </c>
      <c r="C159" s="16">
        <f t="shared" si="28"/>
        <v>18.613778543454199</v>
      </c>
      <c r="D159">
        <v>18.41942346889493</v>
      </c>
      <c r="E159">
        <v>7.1761873683442404E-2</v>
      </c>
      <c r="F159">
        <v>18.347661595211431</v>
      </c>
      <c r="G159">
        <v>0.1943550745593256</v>
      </c>
      <c r="H159" s="16">
        <v>0.117360564253147</v>
      </c>
      <c r="I159">
        <v>0</v>
      </c>
      <c r="J159">
        <v>0.117360564253147</v>
      </c>
      <c r="K159">
        <v>1.0233542195064731</v>
      </c>
      <c r="L159">
        <v>0.40355130277511719</v>
      </c>
      <c r="M159">
        <v>0.34591426539947001</v>
      </c>
      <c r="N159">
        <v>1.5722314904937E-3</v>
      </c>
      <c r="O159">
        <v>1.3476782191809999E-3</v>
      </c>
      <c r="P159">
        <v>0.40197907128462518</v>
      </c>
      <c r="Q159">
        <v>0.34456658718028871</v>
      </c>
      <c r="R159">
        <v>4.2581269534211997E-3</v>
      </c>
      <c r="S159">
        <v>3.6499618436155999E-3</v>
      </c>
      <c r="T159">
        <v>2.5712535834125001E-3</v>
      </c>
      <c r="U159">
        <v>2.2040154209519002E-3</v>
      </c>
      <c r="V159">
        <v>0</v>
      </c>
      <c r="W159">
        <v>0</v>
      </c>
      <c r="X159">
        <v>2.5712535834125001E-3</v>
      </c>
      <c r="Y159">
        <v>2.2040154209519002E-3</v>
      </c>
      <c r="Z159">
        <v>2.24206761508902E-2</v>
      </c>
      <c r="AA159">
        <v>1.9218452938108699E-2</v>
      </c>
      <c r="AB159">
        <v>5324.8522282316499</v>
      </c>
      <c r="AC159">
        <v>4564.3325500944502</v>
      </c>
      <c r="AD159">
        <f t="shared" si="29"/>
        <v>0.99366877425753686</v>
      </c>
      <c r="AE159">
        <f t="shared" si="30"/>
        <v>0.98979745151055054</v>
      </c>
      <c r="AF159">
        <f t="shared" si="31"/>
        <v>3.8713227469832686E-3</v>
      </c>
      <c r="AG159">
        <f t="shared" si="32"/>
        <v>1.0484832439746484E-2</v>
      </c>
      <c r="AH159">
        <f t="shared" si="33"/>
        <v>0.99610401086631817</v>
      </c>
      <c r="AI159">
        <f t="shared" si="34"/>
        <v>3.8959891336787724E-3</v>
      </c>
      <c r="AJ159">
        <f t="shared" si="35"/>
        <v>6.2655326821451224E-3</v>
      </c>
      <c r="AK159">
        <f t="shared" si="36"/>
        <v>0</v>
      </c>
      <c r="AL159">
        <f t="shared" si="37"/>
        <v>6.3312257424631502E-3</v>
      </c>
      <c r="AM159">
        <f t="shared" si="38"/>
        <v>0</v>
      </c>
      <c r="AN159">
        <f t="shared" si="39"/>
        <v>1</v>
      </c>
      <c r="AO159">
        <f t="shared" si="40"/>
        <v>4.0612255635853033E-3</v>
      </c>
      <c r="AP159">
        <f t="shared" si="41"/>
        <v>3.4811828082042433E-3</v>
      </c>
    </row>
    <row r="160" spans="1:42" x14ac:dyDescent="0.35">
      <c r="A160" s="7" t="s">
        <v>33</v>
      </c>
      <c r="B160" s="11" t="s">
        <v>69</v>
      </c>
      <c r="C160" s="16">
        <f t="shared" si="28"/>
        <v>29.05580927286822</v>
      </c>
      <c r="D160">
        <v>17.39332324339199</v>
      </c>
      <c r="E160">
        <v>4.1605968119116481</v>
      </c>
      <c r="F160">
        <v>13.232726431480341</v>
      </c>
      <c r="G160">
        <v>11.662486029476231</v>
      </c>
      <c r="H160" s="16">
        <v>0.1127275420472031</v>
      </c>
      <c r="I160">
        <v>0</v>
      </c>
      <c r="J160">
        <v>0.1127275420472031</v>
      </c>
      <c r="K160">
        <v>0.1987439034682694</v>
      </c>
      <c r="L160">
        <v>1.061768184786114</v>
      </c>
      <c r="M160">
        <v>0.80653856176878946</v>
      </c>
      <c r="N160">
        <v>0.2539819022962525</v>
      </c>
      <c r="O160">
        <v>0.1929293052179612</v>
      </c>
      <c r="P160">
        <v>0.8077862824898614</v>
      </c>
      <c r="Q160">
        <v>0.61360925655082843</v>
      </c>
      <c r="R160">
        <v>0.71193161009727324</v>
      </c>
      <c r="S160">
        <v>0.5407962916135618</v>
      </c>
      <c r="T160">
        <v>6.8814059291586E-3</v>
      </c>
      <c r="U160">
        <v>5.2272419917809001E-3</v>
      </c>
      <c r="V160">
        <v>0</v>
      </c>
      <c r="W160">
        <v>0</v>
      </c>
      <c r="X160">
        <v>6.8814059291586E-3</v>
      </c>
      <c r="Y160">
        <v>5.2272419917809001E-3</v>
      </c>
      <c r="Z160">
        <v>1.21322389442157E-2</v>
      </c>
      <c r="AA160">
        <v>9.2158709305030003E-3</v>
      </c>
      <c r="AB160">
        <v>2156.5395714307001</v>
      </c>
      <c r="AC160">
        <v>1638.14696019506</v>
      </c>
      <c r="AD160">
        <f t="shared" si="29"/>
        <v>0.99356065263211935</v>
      </c>
      <c r="AE160">
        <f t="shared" si="30"/>
        <v>0.75589443865242145</v>
      </c>
      <c r="AF160">
        <f t="shared" si="31"/>
        <v>0.23766621397969781</v>
      </c>
      <c r="AG160">
        <f t="shared" si="32"/>
        <v>0.66619742924409897</v>
      </c>
      <c r="AH160">
        <f t="shared" si="33"/>
        <v>0.76079345196483206</v>
      </c>
      <c r="AI160">
        <f t="shared" si="34"/>
        <v>0.23920654803516789</v>
      </c>
      <c r="AJ160">
        <f t="shared" si="35"/>
        <v>3.8646964968623151E-3</v>
      </c>
      <c r="AK160">
        <f t="shared" si="36"/>
        <v>0</v>
      </c>
      <c r="AL160">
        <f t="shared" si="37"/>
        <v>6.4393473678806641E-3</v>
      </c>
      <c r="AM160">
        <f t="shared" si="38"/>
        <v>0</v>
      </c>
      <c r="AN160">
        <f t="shared" si="39"/>
        <v>1</v>
      </c>
      <c r="AO160">
        <f t="shared" si="40"/>
        <v>1.0686495907152729E-2</v>
      </c>
      <c r="AP160">
        <f t="shared" si="41"/>
        <v>8.1176580376057083E-3</v>
      </c>
    </row>
    <row r="161" spans="1:42" x14ac:dyDescent="0.35">
      <c r="A161" s="7" t="s">
        <v>34</v>
      </c>
      <c r="B161" s="11" t="s">
        <v>69</v>
      </c>
      <c r="C161" s="16">
        <f t="shared" si="28"/>
        <v>43.971710118504795</v>
      </c>
      <c r="D161">
        <v>44.535014678177703</v>
      </c>
      <c r="E161">
        <v>11.083715197058419</v>
      </c>
      <c r="F161">
        <v>33.451299481119278</v>
      </c>
      <c r="G161">
        <v>-0.56330455967290338</v>
      </c>
      <c r="H161" s="16">
        <v>0.4565067174930561</v>
      </c>
      <c r="I161">
        <v>1.9287868372448E-3</v>
      </c>
      <c r="J161">
        <v>0.45457793065583019</v>
      </c>
      <c r="K161">
        <v>3.01844575468663E-2</v>
      </c>
      <c r="L161">
        <v>3.363878895081938</v>
      </c>
      <c r="M161">
        <v>2.478949519604047</v>
      </c>
      <c r="N161">
        <v>0.83719015026513932</v>
      </c>
      <c r="O161">
        <v>0.61695209178047894</v>
      </c>
      <c r="P161">
        <v>2.5266887448167989</v>
      </c>
      <c r="Q161">
        <v>1.8619974278235689</v>
      </c>
      <c r="R161">
        <v>-4.2548281020677502E-2</v>
      </c>
      <c r="S161">
        <v>-3.1355183728639303E-2</v>
      </c>
      <c r="T161">
        <v>3.4481482122211901E-2</v>
      </c>
      <c r="U161">
        <v>2.5410502639399299E-2</v>
      </c>
      <c r="V161">
        <v>1.456877331646E-4</v>
      </c>
      <c r="W161">
        <v>1.07361931688E-4</v>
      </c>
      <c r="X161">
        <v>3.4335794389047401E-2</v>
      </c>
      <c r="Y161">
        <v>2.5303140707711301E-2</v>
      </c>
      <c r="Z161">
        <v>2.2799332263643999E-3</v>
      </c>
      <c r="AA161">
        <v>1.6801554254787E-3</v>
      </c>
      <c r="AB161">
        <v>1796.5276955414199</v>
      </c>
      <c r="AC161">
        <v>1323.9184901480501</v>
      </c>
      <c r="AD161">
        <f t="shared" si="29"/>
        <v>0.98985349454004057</v>
      </c>
      <c r="AE161">
        <f t="shared" si="30"/>
        <v>0.74350229650909472</v>
      </c>
      <c r="AF161">
        <f t="shared" si="31"/>
        <v>0.24635119803094574</v>
      </c>
      <c r="AG161">
        <f t="shared" si="32"/>
        <v>-1.2520238084838502E-2</v>
      </c>
      <c r="AH161">
        <f t="shared" si="33"/>
        <v>0.75112357597381729</v>
      </c>
      <c r="AI161">
        <f t="shared" si="34"/>
        <v>0.24887642402618257</v>
      </c>
      <c r="AJ161">
        <f t="shared" si="35"/>
        <v>1.0275152819619189E-2</v>
      </c>
      <c r="AK161">
        <f t="shared" si="36"/>
        <v>4.2870007001594631E-5</v>
      </c>
      <c r="AL161">
        <f t="shared" si="37"/>
        <v>1.0103635452958282E-2</v>
      </c>
      <c r="AM161">
        <f t="shared" si="38"/>
        <v>4.2251006684784192E-3</v>
      </c>
      <c r="AN161">
        <f t="shared" si="39"/>
        <v>0.99577489933156293</v>
      </c>
      <c r="AO161">
        <f t="shared" si="40"/>
        <v>3.3983603772041501E-2</v>
      </c>
      <c r="AP161">
        <f t="shared" si="41"/>
        <v>2.5043600222434452E-2</v>
      </c>
    </row>
    <row r="162" spans="1:42" x14ac:dyDescent="0.35">
      <c r="A162" s="7" t="s">
        <v>35</v>
      </c>
      <c r="B162" s="11" t="s">
        <v>69</v>
      </c>
      <c r="C162" s="16">
        <f t="shared" si="28"/>
        <v>4.6599063126115929</v>
      </c>
      <c r="D162">
        <v>-0.48813945339185238</v>
      </c>
      <c r="E162">
        <v>59.277619120647593</v>
      </c>
      <c r="F162">
        <v>-59.76575857403941</v>
      </c>
      <c r="G162">
        <v>5.1480457660034098</v>
      </c>
      <c r="H162" s="16">
        <v>0.78789688487375997</v>
      </c>
      <c r="I162">
        <v>2.3105480494830999E-3</v>
      </c>
      <c r="J162">
        <v>0.78558633682428081</v>
      </c>
      <c r="K162">
        <v>0</v>
      </c>
      <c r="L162">
        <v>-1.5460229405817901E-2</v>
      </c>
      <c r="M162">
        <v>-1.6592161406265401E-2</v>
      </c>
      <c r="N162">
        <v>1.8774257722216121</v>
      </c>
      <c r="O162">
        <v>2.014882872905865</v>
      </c>
      <c r="P162">
        <v>-1.89288600162743</v>
      </c>
      <c r="Q162">
        <v>-2.0314750343121291</v>
      </c>
      <c r="R162">
        <v>0.16304760449301869</v>
      </c>
      <c r="S162">
        <v>0.17498525407615101</v>
      </c>
      <c r="T162">
        <v>2.49540710213818E-2</v>
      </c>
      <c r="U162">
        <v>2.6781101577593999E-2</v>
      </c>
      <c r="V162">
        <v>7.3179093904349179E-5</v>
      </c>
      <c r="W162">
        <v>7.8536954773000822E-5</v>
      </c>
      <c r="X162">
        <v>2.4880891927477201E-2</v>
      </c>
      <c r="Y162">
        <v>2.6702564622819801E-2</v>
      </c>
      <c r="Z162">
        <v>0</v>
      </c>
      <c r="AA162">
        <v>0</v>
      </c>
      <c r="AB162">
        <v>2941.9883367789698</v>
      </c>
      <c r="AC162">
        <v>3157.38816403392</v>
      </c>
      <c r="AD162">
        <f t="shared" si="29"/>
        <v>-1.628448212204924</v>
      </c>
      <c r="AE162">
        <f t="shared" si="30"/>
        <v>-199.38040661269372</v>
      </c>
      <c r="AF162">
        <f t="shared" si="31"/>
        <v>197.75195840048892</v>
      </c>
      <c r="AG162">
        <f t="shared" si="32"/>
        <v>17.174038823835229</v>
      </c>
      <c r="AH162">
        <f t="shared" si="33"/>
        <v>122.43582885742005</v>
      </c>
      <c r="AI162">
        <f t="shared" si="34"/>
        <v>-121.43582885742012</v>
      </c>
      <c r="AJ162">
        <f t="shared" si="35"/>
        <v>0.14462653225752439</v>
      </c>
      <c r="AK162">
        <f t="shared" si="36"/>
        <v>7.708059273327998E-3</v>
      </c>
      <c r="AL162">
        <f t="shared" si="37"/>
        <v>2.6207401529316092</v>
      </c>
      <c r="AM162">
        <f t="shared" si="38"/>
        <v>2.9325513196480084E-3</v>
      </c>
      <c r="AN162">
        <f t="shared" si="39"/>
        <v>0.99706744868035702</v>
      </c>
      <c r="AO162">
        <f t="shared" si="40"/>
        <v>9.4938416155628327E-5</v>
      </c>
      <c r="AP162">
        <f t="shared" si="41"/>
        <v>1.0188940171329722E-4</v>
      </c>
    </row>
    <row r="163" spans="1:42" x14ac:dyDescent="0.35">
      <c r="A163" s="7" t="s">
        <v>36</v>
      </c>
      <c r="B163" s="11" t="s">
        <v>69</v>
      </c>
      <c r="C163" s="16">
        <f t="shared" si="28"/>
        <v>1824.7079999999999</v>
      </c>
      <c r="D163">
        <v>1824.7279999999989</v>
      </c>
      <c r="E163">
        <v>206.6</v>
      </c>
      <c r="F163">
        <v>1618.1279999999999</v>
      </c>
      <c r="G163">
        <v>-1.9999999999999501E-2</v>
      </c>
      <c r="H163" s="16">
        <v>0</v>
      </c>
      <c r="I163">
        <v>0</v>
      </c>
      <c r="J163">
        <v>0</v>
      </c>
      <c r="K163">
        <v>0</v>
      </c>
      <c r="L163">
        <v>9.1561557077690807</v>
      </c>
      <c r="M163">
        <v>9.1354183464125889</v>
      </c>
      <c r="N163">
        <v>1.036681504983259</v>
      </c>
      <c r="O163">
        <v>1.0343335721098379</v>
      </c>
      <c r="P163">
        <v>8.1194742027858222</v>
      </c>
      <c r="Q163">
        <v>8.1010847743027501</v>
      </c>
      <c r="R163">
        <v>-1.003563896402E-4</v>
      </c>
      <c r="S163">
        <v>-1.001290970096E-4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19974.2138871676</v>
      </c>
      <c r="AC163">
        <v>19928.975197</v>
      </c>
      <c r="AD163">
        <f t="shared" si="29"/>
        <v>1</v>
      </c>
      <c r="AE163">
        <f t="shared" si="30"/>
        <v>0.88677764576419105</v>
      </c>
      <c r="AF163">
        <f t="shared" si="31"/>
        <v>0.11322235423580945</v>
      </c>
      <c r="AG163">
        <f t="shared" si="32"/>
        <v>-1.096053768013617E-5</v>
      </c>
      <c r="AH163">
        <f t="shared" si="33"/>
        <v>0.88677764576419105</v>
      </c>
      <c r="AI163">
        <f t="shared" si="34"/>
        <v>0.11322235423580945</v>
      </c>
      <c r="AJ163">
        <f t="shared" si="35"/>
        <v>0</v>
      </c>
      <c r="AK163">
        <f t="shared" si="36"/>
        <v>0</v>
      </c>
      <c r="AL163">
        <f t="shared" si="37"/>
        <v>0</v>
      </c>
      <c r="AM163" t="e">
        <f t="shared" si="38"/>
        <v>#DIV/0!</v>
      </c>
      <c r="AN163" t="e">
        <f t="shared" si="39"/>
        <v>#DIV/0!</v>
      </c>
      <c r="AO163">
        <f t="shared" si="40"/>
        <v>9.1561557077690758E-2</v>
      </c>
      <c r="AP163">
        <f t="shared" si="41"/>
        <v>9.135418346412584E-2</v>
      </c>
    </row>
    <row r="164" spans="1:42" x14ac:dyDescent="0.35">
      <c r="A164" s="7" t="s">
        <v>37</v>
      </c>
      <c r="B164" s="11" t="s">
        <v>69</v>
      </c>
      <c r="C164" s="16">
        <f t="shared" si="28"/>
        <v>-0.23611110498627713</v>
      </c>
      <c r="D164">
        <v>-0.2000281227447073</v>
      </c>
      <c r="E164">
        <v>2.4564657236113301</v>
      </c>
      <c r="F164">
        <v>-2.656493846356037</v>
      </c>
      <c r="G164">
        <v>-3.6082982241570201E-2</v>
      </c>
      <c r="H164" s="16">
        <v>-1.924531518112417</v>
      </c>
      <c r="I164">
        <v>-0.95092364114216943</v>
      </c>
      <c r="J164">
        <v>-0.9736078769702472</v>
      </c>
      <c r="K164">
        <v>1.196059834340673</v>
      </c>
      <c r="L164">
        <v>-1.5637565202903901E-2</v>
      </c>
      <c r="M164">
        <v>-8.3986584095685993E-3</v>
      </c>
      <c r="N164">
        <v>0.19203871133009029</v>
      </c>
      <c r="O164">
        <v>0.1031405795561872</v>
      </c>
      <c r="P164">
        <v>-0.20767627653299431</v>
      </c>
      <c r="Q164">
        <v>-0.11153923796575579</v>
      </c>
      <c r="R164">
        <v>-2.8208532869045998E-3</v>
      </c>
      <c r="S164">
        <v>-1.5150301771928E-3</v>
      </c>
      <c r="T164">
        <v>-0.15045377963145881</v>
      </c>
      <c r="U164">
        <v>-8.0806051655565606E-2</v>
      </c>
      <c r="V164">
        <v>-7.4340198954534004E-2</v>
      </c>
      <c r="W164">
        <v>-3.9926799921675402E-2</v>
      </c>
      <c r="X164">
        <v>-7.6113580676924794E-2</v>
      </c>
      <c r="Y164">
        <v>-4.0879251733890197E-2</v>
      </c>
      <c r="Z164">
        <v>9.3504170260837002E-2</v>
      </c>
      <c r="AA164">
        <v>5.0219428389342902E-2</v>
      </c>
      <c r="AB164">
        <v>2381.6675591522499</v>
      </c>
      <c r="AC164">
        <v>1279.1513266244399</v>
      </c>
      <c r="AD164">
        <f t="shared" si="29"/>
        <v>9.4150391873211295E-2</v>
      </c>
      <c r="AE164">
        <f t="shared" si="30"/>
        <v>1.250373863491218</v>
      </c>
      <c r="AF164">
        <f t="shared" si="31"/>
        <v>-1.1562234716180069</v>
      </c>
      <c r="AG164">
        <f t="shared" si="32"/>
        <v>1.698374644216296E-2</v>
      </c>
      <c r="AH164">
        <f t="shared" si="33"/>
        <v>13.280601796910716</v>
      </c>
      <c r="AI164">
        <f t="shared" si="34"/>
        <v>-12.280601796910718</v>
      </c>
      <c r="AJ164">
        <f t="shared" si="35"/>
        <v>0.89072181467583122</v>
      </c>
      <c r="AK164">
        <f t="shared" si="36"/>
        <v>0.4475862305087055</v>
      </c>
      <c r="AL164">
        <f t="shared" si="37"/>
        <v>0.458263377618083</v>
      </c>
      <c r="AM164">
        <f t="shared" si="38"/>
        <v>0.49410655642305956</v>
      </c>
      <c r="AN164">
        <f t="shared" si="39"/>
        <v>0.50589344357694022</v>
      </c>
      <c r="AO164">
        <f t="shared" si="40"/>
        <v>-1.6609134483436276E-3</v>
      </c>
      <c r="AP164">
        <f t="shared" si="41"/>
        <v>-8.9204710065134249E-4</v>
      </c>
    </row>
    <row r="165" spans="1:42" x14ac:dyDescent="0.35">
      <c r="A165" s="7" t="s">
        <v>38</v>
      </c>
      <c r="B165" s="11" t="s">
        <v>69</v>
      </c>
      <c r="C165" s="16">
        <f t="shared" si="28"/>
        <v>6.0872373355272105</v>
      </c>
      <c r="D165">
        <v>5.9126558224667001</v>
      </c>
      <c r="E165">
        <v>0.38031964593465961</v>
      </c>
      <c r="F165">
        <v>5.5323361765320396</v>
      </c>
      <c r="G165">
        <v>0.1745815130605112</v>
      </c>
      <c r="H165" s="16">
        <v>2.4997121076552422</v>
      </c>
      <c r="I165">
        <v>1.39596790432272E-2</v>
      </c>
      <c r="J165">
        <v>2.4857524286120172</v>
      </c>
      <c r="K165">
        <v>0.92377554356033542</v>
      </c>
      <c r="L165">
        <v>0.59301286414972698</v>
      </c>
      <c r="M165">
        <v>0.25335066681943258</v>
      </c>
      <c r="N165">
        <v>3.8144354973469699E-2</v>
      </c>
      <c r="O165">
        <v>1.62962700341787E-2</v>
      </c>
      <c r="P165">
        <v>0.5548685091762573</v>
      </c>
      <c r="Q165">
        <v>0.23705439678525389</v>
      </c>
      <c r="R165">
        <v>1.75097428627961E-2</v>
      </c>
      <c r="S165">
        <v>7.4806219195374998E-3</v>
      </c>
      <c r="T165">
        <v>0.250709914633922</v>
      </c>
      <c r="U165">
        <v>0.10710985863994631</v>
      </c>
      <c r="V165">
        <v>1.4000932069443001E-3</v>
      </c>
      <c r="W165">
        <v>5.981565814719E-4</v>
      </c>
      <c r="X165">
        <v>0.24930982142697819</v>
      </c>
      <c r="Y165">
        <v>0.1065117020584747</v>
      </c>
      <c r="Z165">
        <v>9.2650544419756897E-2</v>
      </c>
      <c r="AA165">
        <v>3.9582745382066901E-2</v>
      </c>
      <c r="AB165">
        <v>2333.7834064911899</v>
      </c>
      <c r="AC165">
        <v>997.05355143423003</v>
      </c>
      <c r="AD165">
        <f t="shared" si="29"/>
        <v>0.70285273677764504</v>
      </c>
      <c r="AE165">
        <f t="shared" si="30"/>
        <v>0.65764315380483429</v>
      </c>
      <c r="AF165">
        <f t="shared" si="31"/>
        <v>4.5209582972810684E-2</v>
      </c>
      <c r="AG165">
        <f t="shared" si="32"/>
        <v>2.0752957373083008E-2</v>
      </c>
      <c r="AH165">
        <f t="shared" si="33"/>
        <v>0.9356770193709677</v>
      </c>
      <c r="AI165">
        <f t="shared" si="34"/>
        <v>6.4322980629032134E-2</v>
      </c>
      <c r="AJ165">
        <f t="shared" si="35"/>
        <v>0.2911059537726603</v>
      </c>
      <c r="AK165">
        <f t="shared" si="36"/>
        <v>1.6594232633646644E-3</v>
      </c>
      <c r="AL165">
        <f t="shared" si="37"/>
        <v>0.29548783995899058</v>
      </c>
      <c r="AM165">
        <f t="shared" si="38"/>
        <v>5.5845147129048936E-3</v>
      </c>
      <c r="AN165">
        <f t="shared" si="39"/>
        <v>0.994415485287096</v>
      </c>
      <c r="AO165">
        <f t="shared" si="40"/>
        <v>8.4372277878364873E-3</v>
      </c>
      <c r="AP165">
        <f t="shared" si="41"/>
        <v>3.6046052545937917E-3</v>
      </c>
    </row>
    <row r="166" spans="1:42" x14ac:dyDescent="0.35">
      <c r="A166" s="9" t="s">
        <v>39</v>
      </c>
      <c r="B166" s="11" t="s">
        <v>69</v>
      </c>
      <c r="C166" s="16">
        <f t="shared" si="28"/>
        <v>13.791972576402923</v>
      </c>
      <c r="D166">
        <v>13.79197257640293</v>
      </c>
      <c r="E166">
        <v>0.80433050390652472</v>
      </c>
      <c r="F166">
        <v>12.987642072496399</v>
      </c>
      <c r="G166">
        <v>0</v>
      </c>
      <c r="H166" s="16">
        <v>2.7166011792179E-2</v>
      </c>
      <c r="I166">
        <v>0</v>
      </c>
      <c r="J166">
        <v>2.7166011792179E-2</v>
      </c>
      <c r="K166">
        <v>0</v>
      </c>
      <c r="L166">
        <v>3.3318004342018028</v>
      </c>
      <c r="M166">
        <v>2.9432345816350129</v>
      </c>
      <c r="N166">
        <v>0.1943064131915819</v>
      </c>
      <c r="O166">
        <v>0.17164574110391839</v>
      </c>
      <c r="P166">
        <v>3.1374940210102209</v>
      </c>
      <c r="Q166">
        <v>2.7715888405310931</v>
      </c>
      <c r="R166">
        <v>0</v>
      </c>
      <c r="S166">
        <v>0</v>
      </c>
      <c r="T166">
        <v>6.5626384756285001E-3</v>
      </c>
      <c r="U166">
        <v>5.7972813467337004E-3</v>
      </c>
      <c r="V166">
        <v>0</v>
      </c>
      <c r="W166">
        <v>0</v>
      </c>
      <c r="X166">
        <v>6.5626384756285001E-3</v>
      </c>
      <c r="Y166">
        <v>5.7972813467337004E-3</v>
      </c>
      <c r="Z166">
        <v>0</v>
      </c>
      <c r="AA166">
        <v>0</v>
      </c>
      <c r="AB166">
        <v>468.59916169988998</v>
      </c>
      <c r="AC166">
        <v>413.94954015926999</v>
      </c>
      <c r="AD166">
        <f t="shared" si="29"/>
        <v>0.99803417473391687</v>
      </c>
      <c r="AE166">
        <f t="shared" si="30"/>
        <v>0.93983007620974224</v>
      </c>
      <c r="AF166">
        <f t="shared" si="31"/>
        <v>5.820409852417413E-2</v>
      </c>
      <c r="AG166">
        <f t="shared" si="32"/>
        <v>0</v>
      </c>
      <c r="AH166">
        <f t="shared" si="33"/>
        <v>0.94168125701738403</v>
      </c>
      <c r="AI166">
        <f t="shared" si="34"/>
        <v>5.8318742982615565E-2</v>
      </c>
      <c r="AJ166">
        <f t="shared" si="35"/>
        <v>1.9658252660831816E-3</v>
      </c>
      <c r="AK166">
        <f t="shared" si="36"/>
        <v>0</v>
      </c>
      <c r="AL166">
        <f t="shared" si="37"/>
        <v>1.9658252660831807E-3</v>
      </c>
      <c r="AM166">
        <f t="shared" si="38"/>
        <v>0</v>
      </c>
      <c r="AN166">
        <f t="shared" si="39"/>
        <v>1</v>
      </c>
      <c r="AO166">
        <f t="shared" si="40"/>
        <v>3.3383630726774326E-2</v>
      </c>
      <c r="AP166">
        <f t="shared" si="41"/>
        <v>2.949031862981746E-2</v>
      </c>
    </row>
    <row r="167" spans="1:42" x14ac:dyDescent="0.35">
      <c r="A167" s="7" t="s">
        <v>40</v>
      </c>
      <c r="B167" s="11" t="s">
        <v>69</v>
      </c>
      <c r="C167" s="16">
        <f t="shared" si="28"/>
        <v>4.4754177256868832</v>
      </c>
      <c r="D167">
        <v>4.6620195461430924</v>
      </c>
      <c r="E167">
        <v>0.36683396841928578</v>
      </c>
      <c r="F167">
        <v>4.2951855777238066</v>
      </c>
      <c r="G167">
        <v>-0.18660182045620921</v>
      </c>
      <c r="H167" s="16">
        <v>0.27410581093383252</v>
      </c>
      <c r="I167">
        <v>0.1171466316901279</v>
      </c>
      <c r="J167">
        <v>0.15695917924369951</v>
      </c>
      <c r="K167">
        <v>0</v>
      </c>
      <c r="L167">
        <v>0.94152252090010602</v>
      </c>
      <c r="M167">
        <v>0.83951649909033765</v>
      </c>
      <c r="N167">
        <v>7.4084297433641699E-2</v>
      </c>
      <c r="O167">
        <v>6.6057888832652595E-2</v>
      </c>
      <c r="P167">
        <v>0.86743822346646393</v>
      </c>
      <c r="Q167">
        <v>0.77345861025768503</v>
      </c>
      <c r="R167">
        <v>-3.7685345301872598E-2</v>
      </c>
      <c r="S167">
        <v>-3.36024560778347E-2</v>
      </c>
      <c r="T167">
        <v>5.5357295598920303E-2</v>
      </c>
      <c r="U167">
        <v>4.9359799652892201E-2</v>
      </c>
      <c r="V167">
        <v>2.3658457647414598E-2</v>
      </c>
      <c r="W167">
        <v>2.1095263360292799E-2</v>
      </c>
      <c r="X167">
        <v>3.1698837951504098E-2</v>
      </c>
      <c r="Y167">
        <v>2.8264536292599701E-2</v>
      </c>
      <c r="Z167">
        <v>0</v>
      </c>
      <c r="AA167">
        <v>0</v>
      </c>
      <c r="AB167">
        <v>555.32196820367994</v>
      </c>
      <c r="AC167">
        <v>495.15751802582002</v>
      </c>
      <c r="AD167">
        <f t="shared" si="29"/>
        <v>0.94446943886041168</v>
      </c>
      <c r="AE167">
        <f t="shared" si="30"/>
        <v>0.87015326131573978</v>
      </c>
      <c r="AF167">
        <f t="shared" si="31"/>
        <v>7.4316177544671916E-2</v>
      </c>
      <c r="AG167">
        <f t="shared" si="32"/>
        <v>-3.7803298530228388E-2</v>
      </c>
      <c r="AH167">
        <f t="shared" si="33"/>
        <v>0.92131436498957431</v>
      </c>
      <c r="AI167">
        <f t="shared" si="34"/>
        <v>7.8685635010425692E-2</v>
      </c>
      <c r="AJ167">
        <f t="shared" si="35"/>
        <v>5.7712275519926928E-2</v>
      </c>
      <c r="AK167">
        <f t="shared" si="36"/>
        <v>2.3732507425520449E-2</v>
      </c>
      <c r="AL167">
        <f t="shared" si="37"/>
        <v>3.1798053714066861E-2</v>
      </c>
      <c r="AM167">
        <f t="shared" si="38"/>
        <v>0.42737741053729938</v>
      </c>
      <c r="AN167">
        <f t="shared" si="39"/>
        <v>0.57262258946268196</v>
      </c>
      <c r="AO167">
        <f t="shared" si="40"/>
        <v>9.9687981649902568E-3</v>
      </c>
      <c r="AP167">
        <f t="shared" si="41"/>
        <v>8.8887629874322971E-3</v>
      </c>
    </row>
    <row r="168" spans="1:42" x14ac:dyDescent="0.35">
      <c r="A168" s="9" t="s">
        <v>41</v>
      </c>
      <c r="B168" s="11" t="s">
        <v>69</v>
      </c>
      <c r="C168" s="16">
        <f t="shared" si="28"/>
        <v>5.4274449959136002E-2</v>
      </c>
      <c r="D168">
        <v>4.84917598108634E-2</v>
      </c>
      <c r="E168">
        <v>1.0609563743112701E-2</v>
      </c>
      <c r="F168">
        <v>3.7882196067750201E-2</v>
      </c>
      <c r="G168">
        <v>5.7826901482730996E-3</v>
      </c>
      <c r="H168" s="16">
        <v>0.13779688645334431</v>
      </c>
      <c r="I168">
        <v>1.5930275890549999E-4</v>
      </c>
      <c r="J168">
        <v>0.1376375836944348</v>
      </c>
      <c r="K168">
        <v>0</v>
      </c>
      <c r="L168">
        <v>2.2487331501438598E-2</v>
      </c>
      <c r="M168">
        <v>1.19028596930119E-2</v>
      </c>
      <c r="N168">
        <v>4.9200271944671E-3</v>
      </c>
      <c r="O168">
        <v>2.6042393415065999E-3</v>
      </c>
      <c r="P168">
        <v>1.7567304306971201E-2</v>
      </c>
      <c r="Q168">
        <v>9.2986203515055006E-3</v>
      </c>
      <c r="R168">
        <v>2.6816364438313001E-3</v>
      </c>
      <c r="S168">
        <v>1.4194277491995E-3</v>
      </c>
      <c r="T168">
        <v>6.3901254102311997E-2</v>
      </c>
      <c r="U168">
        <v>3.3823829285333597E-2</v>
      </c>
      <c r="V168">
        <v>7.3874282199206526E-5</v>
      </c>
      <c r="W168">
        <v>3.9102692815415341E-5</v>
      </c>
      <c r="X168">
        <v>6.3827379820114702E-2</v>
      </c>
      <c r="Y168">
        <v>3.3784726592518403E-2</v>
      </c>
      <c r="Z168">
        <v>0</v>
      </c>
      <c r="AA168">
        <v>0</v>
      </c>
      <c r="AB168">
        <v>407.39587848230002</v>
      </c>
      <c r="AC168">
        <v>215.64034757863999</v>
      </c>
      <c r="AD168">
        <f t="shared" si="29"/>
        <v>0.26030442962202305</v>
      </c>
      <c r="AE168">
        <f t="shared" si="30"/>
        <v>0.20335214639985624</v>
      </c>
      <c r="AF168">
        <f t="shared" si="31"/>
        <v>5.6952283222164106E-2</v>
      </c>
      <c r="AG168">
        <f t="shared" si="32"/>
        <v>3.1041559774242389E-2</v>
      </c>
      <c r="AH168">
        <f t="shared" si="33"/>
        <v>0.78120893561102756</v>
      </c>
      <c r="AI168">
        <f t="shared" si="34"/>
        <v>0.21879106438896215</v>
      </c>
      <c r="AJ168">
        <f t="shared" si="35"/>
        <v>0.71742556191424833</v>
      </c>
      <c r="AK168">
        <f t="shared" si="36"/>
        <v>8.5513938771966582E-4</v>
      </c>
      <c r="AL168">
        <f t="shared" si="37"/>
        <v>0.73884043099023577</v>
      </c>
      <c r="AM168">
        <f t="shared" si="38"/>
        <v>1.1560693641611214E-3</v>
      </c>
      <c r="AN168">
        <f t="shared" si="39"/>
        <v>0.99884393063580967</v>
      </c>
      <c r="AO168">
        <f t="shared" si="40"/>
        <v>8.638858560375476E-4</v>
      </c>
      <c r="AP168">
        <f t="shared" si="41"/>
        <v>4.5726688978347467E-4</v>
      </c>
    </row>
    <row r="169" spans="1:42" x14ac:dyDescent="0.35">
      <c r="A169" s="9" t="s">
        <v>42</v>
      </c>
      <c r="B169" s="11" t="s">
        <v>69</v>
      </c>
      <c r="C169" s="16">
        <f t="shared" si="28"/>
        <v>33.827042892683806</v>
      </c>
      <c r="D169">
        <v>11.8328660765875</v>
      </c>
      <c r="E169">
        <v>3.4109288650490001E-4</v>
      </c>
      <c r="F169">
        <v>11.832524983700999</v>
      </c>
      <c r="G169">
        <v>21.994176816096299</v>
      </c>
      <c r="H169" s="16">
        <v>33.062446307244088</v>
      </c>
      <c r="I169">
        <v>25.12571084390953</v>
      </c>
      <c r="J169">
        <v>7.9367354633345588</v>
      </c>
      <c r="K169">
        <v>0</v>
      </c>
      <c r="L169">
        <v>3.5576595296319602</v>
      </c>
      <c r="M169">
        <v>3.8040028626403259</v>
      </c>
      <c r="N169">
        <v>1.025526994313E-4</v>
      </c>
      <c r="O169">
        <v>1.096537650551E-4</v>
      </c>
      <c r="P169">
        <v>3.557556976932529</v>
      </c>
      <c r="Q169">
        <v>3.8038932088752722</v>
      </c>
      <c r="R169">
        <v>6.6127506421302549</v>
      </c>
      <c r="S169">
        <v>7.0706379188545974</v>
      </c>
      <c r="T169">
        <v>9.9405272075752222</v>
      </c>
      <c r="U169">
        <v>10.628840010916401</v>
      </c>
      <c r="V169">
        <v>7.5542750204429563</v>
      </c>
      <c r="W169">
        <v>8.0773563528464187</v>
      </c>
      <c r="X169">
        <v>2.3862521871322659</v>
      </c>
      <c r="Y169">
        <v>2.55148365806998</v>
      </c>
      <c r="Z169">
        <v>0</v>
      </c>
      <c r="AA169">
        <v>0</v>
      </c>
      <c r="AB169">
        <v>311.06354290107998</v>
      </c>
      <c r="AC169">
        <v>332.60254327404999</v>
      </c>
      <c r="AD169">
        <f t="shared" si="29"/>
        <v>0.26356573656115018</v>
      </c>
      <c r="AE169">
        <f t="shared" si="30"/>
        <v>0.26355813904442987</v>
      </c>
      <c r="AF169">
        <f t="shared" si="31"/>
        <v>7.5975167204258011E-6</v>
      </c>
      <c r="AG169">
        <f t="shared" si="32"/>
        <v>0.48989918208069294</v>
      </c>
      <c r="AH169">
        <f t="shared" si="33"/>
        <v>0.99997117411079506</v>
      </c>
      <c r="AI169">
        <f t="shared" si="34"/>
        <v>2.8825889205303027E-5</v>
      </c>
      <c r="AJ169">
        <f t="shared" si="35"/>
        <v>0.49428462831316894</v>
      </c>
      <c r="AK169">
        <f t="shared" si="36"/>
        <v>0.55965109740406216</v>
      </c>
      <c r="AL169">
        <f t="shared" si="37"/>
        <v>0.17678316603478766</v>
      </c>
      <c r="AM169">
        <f t="shared" si="38"/>
        <v>0.75994711977511498</v>
      </c>
      <c r="AN169">
        <f t="shared" si="39"/>
        <v>0.24005288022488508</v>
      </c>
      <c r="AO169">
        <f t="shared" si="40"/>
        <v>0.1349818673720718</v>
      </c>
      <c r="AP169">
        <f t="shared" si="41"/>
        <v>0.14432842873556725</v>
      </c>
    </row>
    <row r="170" spans="1:42" x14ac:dyDescent="0.35">
      <c r="A170" s="9" t="s">
        <v>43</v>
      </c>
      <c r="B170" s="11" t="s">
        <v>69</v>
      </c>
      <c r="C170" s="16">
        <f t="shared" si="28"/>
        <v>-9.4391081956542694E-2</v>
      </c>
      <c r="D170">
        <v>-9.4391081956542694E-2</v>
      </c>
      <c r="E170">
        <v>-3.7900585127936898E-2</v>
      </c>
      <c r="F170">
        <v>-5.6490496828605803E-2</v>
      </c>
      <c r="G170">
        <v>0</v>
      </c>
      <c r="H170" s="16">
        <v>0.22987065939187659</v>
      </c>
      <c r="I170">
        <v>0.1682830664882291</v>
      </c>
      <c r="J170">
        <v>6.1587592903647403E-2</v>
      </c>
      <c r="K170">
        <v>0</v>
      </c>
      <c r="L170">
        <v>-0.3509528544069509</v>
      </c>
      <c r="M170">
        <v>-0.20559322227792171</v>
      </c>
      <c r="N170">
        <v>-0.14091711058537271</v>
      </c>
      <c r="O170">
        <v>-8.2551267144693796E-2</v>
      </c>
      <c r="P170">
        <v>-0.210035743821578</v>
      </c>
      <c r="Q170">
        <v>-0.1230419551332282</v>
      </c>
      <c r="R170">
        <v>0</v>
      </c>
      <c r="S170">
        <v>0</v>
      </c>
      <c r="T170">
        <v>0.85467570013795235</v>
      </c>
      <c r="U170">
        <v>0.50068129946094686</v>
      </c>
      <c r="V170">
        <v>0.62568858527958593</v>
      </c>
      <c r="W170">
        <v>0.36653735900658008</v>
      </c>
      <c r="X170">
        <v>0.22898711485836659</v>
      </c>
      <c r="Y170">
        <v>0.13414394045436709</v>
      </c>
      <c r="Z170">
        <v>0</v>
      </c>
      <c r="AA170">
        <v>0</v>
      </c>
      <c r="AB170">
        <v>45.911572818750003</v>
      </c>
      <c r="AC170">
        <v>26.895658710639999</v>
      </c>
      <c r="AD170">
        <f t="shared" si="29"/>
        <v>-0.69671816035591594</v>
      </c>
      <c r="AE170">
        <f t="shared" si="30"/>
        <v>-0.4169668808981149</v>
      </c>
      <c r="AF170">
        <f t="shared" si="31"/>
        <v>-0.27975127945780109</v>
      </c>
      <c r="AG170">
        <f t="shared" si="32"/>
        <v>0</v>
      </c>
      <c r="AH170">
        <f t="shared" si="33"/>
        <v>0.59847281816955777</v>
      </c>
      <c r="AI170">
        <f t="shared" si="34"/>
        <v>0.40152718183044228</v>
      </c>
      <c r="AJ170">
        <f t="shared" si="35"/>
        <v>1.696718160355916</v>
      </c>
      <c r="AK170">
        <f t="shared" si="36"/>
        <v>1.2421286637726097</v>
      </c>
      <c r="AL170">
        <f t="shared" si="37"/>
        <v>0.45458949658330561</v>
      </c>
      <c r="AM170">
        <f t="shared" si="38"/>
        <v>0.73207719042274633</v>
      </c>
      <c r="AN170">
        <f t="shared" si="39"/>
        <v>0.26792280957725328</v>
      </c>
      <c r="AO170">
        <f t="shared" si="40"/>
        <v>5.0372284573100192E-3</v>
      </c>
      <c r="AP170">
        <f t="shared" si="41"/>
        <v>2.9508807718302537E-3</v>
      </c>
    </row>
    <row r="171" spans="1:42" x14ac:dyDescent="0.35">
      <c r="A171" s="9" t="s">
        <v>44</v>
      </c>
      <c r="B171" s="11" t="s">
        <v>69</v>
      </c>
      <c r="C171" s="16">
        <f t="shared" si="28"/>
        <v>-3.5155799901397318</v>
      </c>
      <c r="D171">
        <v>-1.0746523869851621</v>
      </c>
      <c r="E171">
        <v>5.5841246461699997E-3</v>
      </c>
      <c r="F171">
        <v>-1.0802365116313331</v>
      </c>
      <c r="G171">
        <v>-2.4409276031545688</v>
      </c>
      <c r="H171" s="16">
        <v>-1.6885058372569099</v>
      </c>
      <c r="I171">
        <v>-0.92854648594427636</v>
      </c>
      <c r="J171">
        <v>-0.75995935131263259</v>
      </c>
      <c r="K171">
        <v>3.4268640238179242</v>
      </c>
      <c r="L171">
        <v>-0.42185555433477262</v>
      </c>
      <c r="M171">
        <v>-0.4232209256199333</v>
      </c>
      <c r="N171">
        <v>2.1920520780614999E-3</v>
      </c>
      <c r="O171">
        <v>2.1991468405512002E-3</v>
      </c>
      <c r="P171">
        <v>-0.4240476064128344</v>
      </c>
      <c r="Q171">
        <v>-0.4254200724604848</v>
      </c>
      <c r="R171">
        <v>-0.95818785645523963</v>
      </c>
      <c r="S171">
        <v>-0.96128911273016715</v>
      </c>
      <c r="T171">
        <v>-0.66282416025876145</v>
      </c>
      <c r="U171">
        <v>-0.66496944687696224</v>
      </c>
      <c r="V171">
        <v>-0.3645015795782498</v>
      </c>
      <c r="W171">
        <v>-0.3656813198591064</v>
      </c>
      <c r="X171">
        <v>-0.29832258068051137</v>
      </c>
      <c r="Y171">
        <v>-0.29928812701785551</v>
      </c>
      <c r="Z171">
        <v>1.3452178954845251</v>
      </c>
      <c r="AA171">
        <v>1.34957180731028</v>
      </c>
      <c r="AB171">
        <v>253.92231856471</v>
      </c>
      <c r="AC171">
        <v>254.7441596875</v>
      </c>
      <c r="AD171">
        <f t="shared" si="29"/>
        <v>0.38892176986351801</v>
      </c>
      <c r="AE171">
        <f t="shared" si="30"/>
        <v>0.39094269092304318</v>
      </c>
      <c r="AF171">
        <f t="shared" si="31"/>
        <v>-2.0209210595248171E-3</v>
      </c>
      <c r="AG171">
        <f t="shared" si="32"/>
        <v>0.883383217703398</v>
      </c>
      <c r="AH171">
        <f t="shared" si="33"/>
        <v>1.0051962148075033</v>
      </c>
      <c r="AI171">
        <f t="shared" si="34"/>
        <v>-5.1962148075023083E-3</v>
      </c>
      <c r="AJ171">
        <f t="shared" si="35"/>
        <v>0.32445772288532559</v>
      </c>
      <c r="AK171">
        <f t="shared" si="36"/>
        <v>0.33604535483992221</v>
      </c>
      <c r="AL171">
        <f t="shared" si="37"/>
        <v>0.27503287529655951</v>
      </c>
      <c r="AM171">
        <f t="shared" si="38"/>
        <v>0.54992198750864962</v>
      </c>
      <c r="AN171">
        <f t="shared" si="39"/>
        <v>0.45007801249134982</v>
      </c>
      <c r="AO171">
        <f t="shared" si="40"/>
        <v>-1.0846797145935342E-2</v>
      </c>
      <c r="AP171">
        <f t="shared" si="41"/>
        <v>-1.0881903724968956E-2</v>
      </c>
    </row>
    <row r="172" spans="1:42" x14ac:dyDescent="0.35">
      <c r="A172" s="9" t="s">
        <v>45</v>
      </c>
      <c r="B172" s="11" t="s">
        <v>69</v>
      </c>
      <c r="C172" s="16">
        <f t="shared" si="28"/>
        <v>3.1760258864367081</v>
      </c>
      <c r="D172">
        <v>4.1228112206977841</v>
      </c>
      <c r="E172">
        <v>0.35377522402826478</v>
      </c>
      <c r="F172">
        <v>3.7690359966695191</v>
      </c>
      <c r="G172">
        <v>-0.94678533426107603</v>
      </c>
      <c r="H172" s="16">
        <v>-2.0856298438568488</v>
      </c>
      <c r="I172">
        <v>-2.539636087633188</v>
      </c>
      <c r="J172">
        <v>0.45400624377633791</v>
      </c>
      <c r="K172">
        <v>0</v>
      </c>
      <c r="L172">
        <v>2.021947227357126</v>
      </c>
      <c r="M172">
        <v>1.3672303225363169</v>
      </c>
      <c r="N172">
        <v>0.17350171886126969</v>
      </c>
      <c r="O172">
        <v>0.1173209705128478</v>
      </c>
      <c r="P172">
        <v>1.8484455084958551</v>
      </c>
      <c r="Q172">
        <v>1.2499093520234701</v>
      </c>
      <c r="R172">
        <v>-0.4643312242629356</v>
      </c>
      <c r="S172">
        <v>-0.31397838723145272</v>
      </c>
      <c r="T172">
        <v>-1.022853886423132</v>
      </c>
      <c r="U172">
        <v>-0.69164854063464798</v>
      </c>
      <c r="V172">
        <v>-1.2455118294300449</v>
      </c>
      <c r="W172">
        <v>-0.84220869725679992</v>
      </c>
      <c r="X172">
        <v>0.22265794300691311</v>
      </c>
      <c r="Y172">
        <v>0.15056015662215219</v>
      </c>
      <c r="Z172">
        <v>0</v>
      </c>
      <c r="AA172">
        <v>0</v>
      </c>
      <c r="AB172">
        <v>301.54474727050001</v>
      </c>
      <c r="AC172">
        <v>203.90300819506001</v>
      </c>
      <c r="AD172">
        <f t="shared" si="29"/>
        <v>2.0237821077527434</v>
      </c>
      <c r="AE172">
        <f t="shared" si="30"/>
        <v>1.8501229392319387</v>
      </c>
      <c r="AF172">
        <f t="shared" si="31"/>
        <v>0.17365916852080462</v>
      </c>
      <c r="AG172">
        <f t="shared" si="32"/>
        <v>-0.46475259641792893</v>
      </c>
      <c r="AH172">
        <f t="shared" si="33"/>
        <v>0.91419077782358693</v>
      </c>
      <c r="AI172">
        <f t="shared" si="34"/>
        <v>8.5809222176413028E-2</v>
      </c>
      <c r="AJ172">
        <f t="shared" si="35"/>
        <v>-1.9127269014314123</v>
      </c>
      <c r="AK172">
        <f t="shared" si="36"/>
        <v>-1.2466421088000574</v>
      </c>
      <c r="AL172">
        <f t="shared" si="37"/>
        <v>0.22286000104731327</v>
      </c>
      <c r="AM172">
        <f t="shared" si="38"/>
        <v>1.2176830395449121</v>
      </c>
      <c r="AN172">
        <f t="shared" si="39"/>
        <v>-0.21768303954491144</v>
      </c>
      <c r="AO172">
        <f t="shared" si="40"/>
        <v>9.9909334093399131E-3</v>
      </c>
      <c r="AP172">
        <f t="shared" si="41"/>
        <v>6.7558178190167129E-3</v>
      </c>
    </row>
    <row r="173" spans="1:42" x14ac:dyDescent="0.35">
      <c r="A173" s="9" t="s">
        <v>46</v>
      </c>
      <c r="B173" s="11" t="s">
        <v>69</v>
      </c>
      <c r="C173" s="16">
        <f t="shared" si="28"/>
        <v>1.1003161672985486</v>
      </c>
      <c r="D173">
        <v>1.1003161672985491</v>
      </c>
      <c r="E173">
        <v>5.4677508422957703E-2</v>
      </c>
      <c r="F173">
        <v>1.045638658875591</v>
      </c>
      <c r="G173">
        <v>0</v>
      </c>
      <c r="H173" s="16">
        <v>-0.58381004119310087</v>
      </c>
      <c r="I173">
        <v>0.1</v>
      </c>
      <c r="J173">
        <v>-0.68381004119310085</v>
      </c>
      <c r="K173">
        <v>0</v>
      </c>
      <c r="L173">
        <v>5.307844556033416</v>
      </c>
      <c r="M173">
        <v>5.7701396314342324</v>
      </c>
      <c r="N173">
        <v>0.26376029367341147</v>
      </c>
      <c r="O173">
        <v>0.28673291157211911</v>
      </c>
      <c r="P173">
        <v>5.0440842623600037</v>
      </c>
      <c r="Q173">
        <v>5.4834067198621126</v>
      </c>
      <c r="R173">
        <v>0</v>
      </c>
      <c r="S173">
        <v>0</v>
      </c>
      <c r="T173">
        <v>-2.81625685507505</v>
      </c>
      <c r="U173">
        <v>-3.0615431782559122</v>
      </c>
      <c r="V173">
        <v>0.48239267165046013</v>
      </c>
      <c r="W173">
        <v>0.52440742060537404</v>
      </c>
      <c r="X173">
        <v>-3.29864952672551</v>
      </c>
      <c r="Y173">
        <v>-3.5859505988612859</v>
      </c>
      <c r="Z173">
        <v>0</v>
      </c>
      <c r="AA173">
        <v>0</v>
      </c>
      <c r="AB173">
        <v>19.06914282116</v>
      </c>
      <c r="AC173">
        <v>20.729999827290001</v>
      </c>
      <c r="AD173">
        <f t="shared" si="29"/>
        <v>2.130306131304069</v>
      </c>
      <c r="AE173">
        <f t="shared" si="30"/>
        <v>2.0244458023371381</v>
      </c>
      <c r="AF173">
        <f t="shared" si="31"/>
        <v>0.10586032896693062</v>
      </c>
      <c r="AG173">
        <f t="shared" si="32"/>
        <v>0</v>
      </c>
      <c r="AH173">
        <f t="shared" si="33"/>
        <v>0.95030745703100949</v>
      </c>
      <c r="AI173">
        <f t="shared" si="34"/>
        <v>4.9692542968990151E-2</v>
      </c>
      <c r="AJ173">
        <f t="shared" si="35"/>
        <v>-1.1303061313040701</v>
      </c>
      <c r="AK173">
        <f t="shared" si="36"/>
        <v>0.19360854585408022</v>
      </c>
      <c r="AL173">
        <f t="shared" si="37"/>
        <v>-1.3239146771581494</v>
      </c>
      <c r="AM173">
        <f t="shared" si="38"/>
        <v>-0.17128859208319788</v>
      </c>
      <c r="AN173">
        <f t="shared" si="39"/>
        <v>1.1712885920831979</v>
      </c>
      <c r="AO173">
        <f t="shared" si="40"/>
        <v>2.4915877009583663E-2</v>
      </c>
      <c r="AP173">
        <f t="shared" si="41"/>
        <v>2.7085964531783212E-2</v>
      </c>
    </row>
    <row r="174" spans="1:42" x14ac:dyDescent="0.35">
      <c r="A174" s="9" t="s">
        <v>47</v>
      </c>
      <c r="B174" s="11" t="s">
        <v>69</v>
      </c>
      <c r="C174" s="16">
        <f t="shared" si="28"/>
        <v>14.07217103441748</v>
      </c>
      <c r="D174">
        <v>14.15911182500178</v>
      </c>
      <c r="E174">
        <v>2.857648023539249</v>
      </c>
      <c r="F174">
        <v>11.30146380146253</v>
      </c>
      <c r="G174">
        <v>-8.6940790584300404E-2</v>
      </c>
      <c r="H174" s="16">
        <v>1.6810953910718081</v>
      </c>
      <c r="I174">
        <v>1.768036181656109</v>
      </c>
      <c r="J174">
        <v>-8.6940790584300404E-2</v>
      </c>
      <c r="K174">
        <v>0</v>
      </c>
      <c r="L174">
        <v>3.8116783449826479</v>
      </c>
      <c r="M174">
        <v>3.388232818033738</v>
      </c>
      <c r="N174">
        <v>0.7692880191590441</v>
      </c>
      <c r="O174">
        <v>0.68382656591835456</v>
      </c>
      <c r="P174">
        <v>3.0423903258236029</v>
      </c>
      <c r="Q174">
        <v>2.7044062521153842</v>
      </c>
      <c r="R174">
        <v>-2.3404739849620299E-2</v>
      </c>
      <c r="S174">
        <v>-2.0804669355275002E-2</v>
      </c>
      <c r="T174">
        <v>0.45255627451743341</v>
      </c>
      <c r="U174">
        <v>0.40228106428377952</v>
      </c>
      <c r="V174">
        <v>0.4759610143670539</v>
      </c>
      <c r="W174">
        <v>0.42308573363905427</v>
      </c>
      <c r="X174">
        <v>-2.3404739849620299E-2</v>
      </c>
      <c r="Y174">
        <v>-2.0804669355275002E-2</v>
      </c>
      <c r="Z174">
        <v>0</v>
      </c>
      <c r="AA174">
        <v>0</v>
      </c>
      <c r="AB174">
        <v>417.89075855828003</v>
      </c>
      <c r="AC174">
        <v>371.46659669328</v>
      </c>
      <c r="AD174">
        <f t="shared" si="29"/>
        <v>0.89387162881518711</v>
      </c>
      <c r="AE174">
        <f t="shared" si="30"/>
        <v>0.71346691664453454</v>
      </c>
      <c r="AF174">
        <f t="shared" si="31"/>
        <v>0.18040471217065254</v>
      </c>
      <c r="AG174">
        <f t="shared" si="32"/>
        <v>-5.4886144731792824E-3</v>
      </c>
      <c r="AH174">
        <f t="shared" si="33"/>
        <v>0.79817603965149198</v>
      </c>
      <c r="AI174">
        <f t="shared" si="34"/>
        <v>0.20182396034850791</v>
      </c>
      <c r="AJ174">
        <f t="shared" si="35"/>
        <v>0.10671408364881978</v>
      </c>
      <c r="AK174">
        <f t="shared" si="36"/>
        <v>0.11161698565799212</v>
      </c>
      <c r="AL174">
        <f t="shared" si="37"/>
        <v>-5.4886144731792824E-3</v>
      </c>
      <c r="AM174">
        <f t="shared" si="38"/>
        <v>1.0517167503081848</v>
      </c>
      <c r="AN174">
        <f t="shared" si="39"/>
        <v>-5.1716750308184463E-2</v>
      </c>
      <c r="AO174">
        <f t="shared" si="40"/>
        <v>4.2642346195000812E-2</v>
      </c>
      <c r="AP174">
        <f t="shared" si="41"/>
        <v>3.7905138823175186E-2</v>
      </c>
    </row>
    <row r="175" spans="1:42" x14ac:dyDescent="0.35">
      <c r="A175" s="9" t="s">
        <v>48</v>
      </c>
      <c r="B175" s="11" t="s">
        <v>69</v>
      </c>
      <c r="C175" s="16">
        <f t="shared" si="28"/>
        <v>13.357727297596252</v>
      </c>
      <c r="D175">
        <v>13.341642509066689</v>
      </c>
      <c r="E175">
        <v>0.55317835395472414</v>
      </c>
      <c r="F175">
        <v>12.788464155111971</v>
      </c>
      <c r="G175">
        <v>1.6084788529556901E-2</v>
      </c>
      <c r="H175" s="16">
        <v>7.0403264603798448</v>
      </c>
      <c r="I175">
        <v>2.6177261216507142</v>
      </c>
      <c r="J175">
        <v>4.4226003387291293</v>
      </c>
      <c r="K175">
        <v>0</v>
      </c>
      <c r="L175">
        <v>3.7219307879532999</v>
      </c>
      <c r="M175">
        <v>3.8965451906037001</v>
      </c>
      <c r="N175">
        <v>0.15432069517784169</v>
      </c>
      <c r="O175">
        <v>0.16156065141031381</v>
      </c>
      <c r="P175">
        <v>3.567610092775459</v>
      </c>
      <c r="Q175">
        <v>3.7349845391933858</v>
      </c>
      <c r="R175">
        <v>4.4871888603814003E-3</v>
      </c>
      <c r="S175">
        <v>4.6977053495571002E-3</v>
      </c>
      <c r="T175">
        <v>1.9640466151242331</v>
      </c>
      <c r="U175">
        <v>2.056189872486105</v>
      </c>
      <c r="V175">
        <v>0.73026956313514213</v>
      </c>
      <c r="W175">
        <v>0.76453016356149583</v>
      </c>
      <c r="X175">
        <v>1.23377705198909</v>
      </c>
      <c r="Y175">
        <v>1.2916597089246089</v>
      </c>
      <c r="Z175">
        <v>0</v>
      </c>
      <c r="AA175">
        <v>0</v>
      </c>
      <c r="AB175">
        <v>342.39670930134002</v>
      </c>
      <c r="AC175">
        <v>358.46025273358998</v>
      </c>
      <c r="AD175">
        <f t="shared" si="29"/>
        <v>0.65458065062636483</v>
      </c>
      <c r="AE175">
        <f t="shared" si="30"/>
        <v>0.62744007579848837</v>
      </c>
      <c r="AF175">
        <f t="shared" si="31"/>
        <v>2.7140574827876681E-2</v>
      </c>
      <c r="AG175">
        <f t="shared" si="32"/>
        <v>7.8916755067524175E-4</v>
      </c>
      <c r="AH175">
        <f t="shared" si="33"/>
        <v>0.95853746241673088</v>
      </c>
      <c r="AI175">
        <f t="shared" si="34"/>
        <v>4.1462537583269538E-2</v>
      </c>
      <c r="AJ175">
        <f t="shared" si="35"/>
        <v>0.34514697058423621</v>
      </c>
      <c r="AK175">
        <f t="shared" si="36"/>
        <v>0.12843342689682241</v>
      </c>
      <c r="AL175">
        <f t="shared" si="37"/>
        <v>0.21698592247681281</v>
      </c>
      <c r="AM175">
        <f t="shared" si="38"/>
        <v>0.37181885476223792</v>
      </c>
      <c r="AN175">
        <f t="shared" si="39"/>
        <v>0.62818114523776192</v>
      </c>
      <c r="AO175">
        <f t="shared" si="40"/>
        <v>5.6859774030775308E-2</v>
      </c>
      <c r="AP175">
        <f t="shared" si="41"/>
        <v>5.9527350630898028E-2</v>
      </c>
    </row>
    <row r="176" spans="1:42" x14ac:dyDescent="0.35">
      <c r="A176" s="10" t="s">
        <v>49</v>
      </c>
      <c r="B176" s="11" t="s">
        <v>69</v>
      </c>
      <c r="C176" s="16">
        <f t="shared" si="28"/>
        <v>0.29461204530702118</v>
      </c>
      <c r="D176">
        <v>0.29461204530702151</v>
      </c>
      <c r="E176">
        <v>0.44007731725619958</v>
      </c>
      <c r="F176">
        <v>-0.14546527194917841</v>
      </c>
      <c r="G176">
        <v>0</v>
      </c>
      <c r="H176" s="16">
        <v>6.66396128648091E-2</v>
      </c>
      <c r="I176">
        <v>6.1972289180490699E-2</v>
      </c>
      <c r="J176">
        <v>4.6673236843184996E-3</v>
      </c>
      <c r="K176">
        <v>0</v>
      </c>
      <c r="L176">
        <v>0.976827878117561</v>
      </c>
      <c r="M176">
        <v>0.53157394248286405</v>
      </c>
      <c r="N176">
        <v>1.459138548035456</v>
      </c>
      <c r="O176">
        <v>0.79403961330696116</v>
      </c>
      <c r="P176">
        <v>-0.48231066991789362</v>
      </c>
      <c r="Q176">
        <v>-0.26246567082409727</v>
      </c>
      <c r="R176">
        <v>0</v>
      </c>
      <c r="S176">
        <v>0</v>
      </c>
      <c r="T176">
        <v>0.22095305562089251</v>
      </c>
      <c r="U176">
        <v>0.12023908153233349</v>
      </c>
      <c r="V176">
        <v>0.2054778842432618</v>
      </c>
      <c r="W176">
        <v>0.1118177433988863</v>
      </c>
      <c r="X176">
        <v>1.5475171377631099E-2</v>
      </c>
      <c r="Y176">
        <v>8.4213381334471999E-3</v>
      </c>
      <c r="Z176">
        <v>0</v>
      </c>
      <c r="AA176">
        <v>0</v>
      </c>
      <c r="AB176">
        <v>55.422589739999999</v>
      </c>
      <c r="AC176">
        <v>30.160077523049999</v>
      </c>
      <c r="AD176">
        <f t="shared" si="29"/>
        <v>0.81553133014793877</v>
      </c>
      <c r="AE176">
        <f t="shared" si="30"/>
        <v>-0.40267018478289546</v>
      </c>
      <c r="AF176">
        <f t="shared" si="31"/>
        <v>1.2182015149308334</v>
      </c>
      <c r="AG176">
        <f t="shared" si="32"/>
        <v>0</v>
      </c>
      <c r="AH176">
        <f t="shared" si="33"/>
        <v>-0.49375195028969687</v>
      </c>
      <c r="AI176">
        <f t="shared" si="34"/>
        <v>1.4937519502896957</v>
      </c>
      <c r="AJ176">
        <f t="shared" si="35"/>
        <v>0.18446866985206142</v>
      </c>
      <c r="AK176">
        <f t="shared" si="36"/>
        <v>0.17154880200165992</v>
      </c>
      <c r="AL176">
        <f t="shared" si="37"/>
        <v>1.2919867850401593E-2</v>
      </c>
      <c r="AM176">
        <f t="shared" si="38"/>
        <v>0.92996172271008026</v>
      </c>
      <c r="AN176">
        <f t="shared" si="39"/>
        <v>7.0038277289921194E-2</v>
      </c>
      <c r="AO176">
        <f t="shared" si="40"/>
        <v>1.1977809337384564E-2</v>
      </c>
      <c r="AP176">
        <f t="shared" si="41"/>
        <v>6.5181302401519751E-3</v>
      </c>
    </row>
    <row r="177" spans="1:42" x14ac:dyDescent="0.35">
      <c r="A177" s="9" t="s">
        <v>50</v>
      </c>
      <c r="B177" s="11" t="s">
        <v>69</v>
      </c>
      <c r="C177" s="16">
        <f t="shared" si="28"/>
        <v>2.1460296418646996E-2</v>
      </c>
      <c r="D177">
        <v>1.019177936447766</v>
      </c>
      <c r="E177">
        <v>0.1612886831869611</v>
      </c>
      <c r="F177">
        <v>0.85788925326080534</v>
      </c>
      <c r="G177">
        <v>-0.99771764002911945</v>
      </c>
      <c r="H177" s="16">
        <v>-0.39425692407598317</v>
      </c>
      <c r="I177">
        <v>5.80299956092203E-2</v>
      </c>
      <c r="J177">
        <v>-0.45228691968520368</v>
      </c>
      <c r="K177">
        <v>0</v>
      </c>
      <c r="L177">
        <v>2.1137416878924999</v>
      </c>
      <c r="M177">
        <v>1.0492270289661181</v>
      </c>
      <c r="N177">
        <v>0.33450745080472849</v>
      </c>
      <c r="O177">
        <v>0.16604406337124999</v>
      </c>
      <c r="P177">
        <v>1.779234237087773</v>
      </c>
      <c r="Q177">
        <v>0.8831829655948682</v>
      </c>
      <c r="R177">
        <v>-2.069233735402157</v>
      </c>
      <c r="S177">
        <v>-1.0271340045325741</v>
      </c>
      <c r="T177">
        <v>-0.81767595859095099</v>
      </c>
      <c r="U177">
        <v>-0.40588105992497131</v>
      </c>
      <c r="V177">
        <v>0.1203523118788731</v>
      </c>
      <c r="W177">
        <v>5.9740932085120303E-2</v>
      </c>
      <c r="X177">
        <v>-0.9380282704698244</v>
      </c>
      <c r="Y177">
        <v>-0.46562199201009169</v>
      </c>
      <c r="Z177">
        <v>0</v>
      </c>
      <c r="AA177">
        <v>0</v>
      </c>
      <c r="AB177">
        <v>97.136073348400004</v>
      </c>
      <c r="AC177">
        <v>48.216768505140003</v>
      </c>
      <c r="AD177">
        <f t="shared" si="29"/>
        <v>1.6308908106316464</v>
      </c>
      <c r="AE177">
        <f t="shared" si="30"/>
        <v>1.3727962994952445</v>
      </c>
      <c r="AF177">
        <f t="shared" si="31"/>
        <v>0.25809451113640264</v>
      </c>
      <c r="AG177">
        <f t="shared" si="32"/>
        <v>-1.5965499963626597</v>
      </c>
      <c r="AH177">
        <f t="shared" si="33"/>
        <v>0.84174629628549957</v>
      </c>
      <c r="AI177">
        <f t="shared" si="34"/>
        <v>0.15825370371450082</v>
      </c>
      <c r="AJ177">
        <f t="shared" si="35"/>
        <v>1.0575656935351161</v>
      </c>
      <c r="AK177">
        <f t="shared" si="36"/>
        <v>9.285972860630369E-2</v>
      </c>
      <c r="AL177">
        <f t="shared" si="37"/>
        <v>-0.72375053923795041</v>
      </c>
      <c r="AM177">
        <f t="shared" si="38"/>
        <v>-0.14718827258449485</v>
      </c>
      <c r="AN177">
        <f t="shared" si="39"/>
        <v>1.1471882725844953</v>
      </c>
      <c r="AO177">
        <f t="shared" si="40"/>
        <v>1.2960657293015498E-2</v>
      </c>
      <c r="AP177">
        <f t="shared" si="41"/>
        <v>6.433459690411464E-3</v>
      </c>
    </row>
    <row r="178" spans="1:42" x14ac:dyDescent="0.35">
      <c r="A178" s="9" t="s">
        <v>51</v>
      </c>
      <c r="B178" s="11" t="s">
        <v>69</v>
      </c>
      <c r="C178" s="16">
        <f t="shared" si="28"/>
        <v>0.12444817677564089</v>
      </c>
      <c r="D178">
        <v>0.1219761448976264</v>
      </c>
      <c r="E178">
        <v>0.1147318750863785</v>
      </c>
      <c r="F178">
        <v>7.2442698112475E-3</v>
      </c>
      <c r="G178">
        <v>2.4720318780148999E-3</v>
      </c>
      <c r="H178" s="16">
        <v>8.7534926885911996E-3</v>
      </c>
      <c r="I178">
        <v>1.2073783018746E-3</v>
      </c>
      <c r="J178">
        <v>7.5461143867164996E-3</v>
      </c>
      <c r="K178">
        <v>-8.6962174143261003E-3</v>
      </c>
      <c r="L178">
        <v>0.18326432395663511</v>
      </c>
      <c r="M178">
        <v>0.18385549971363879</v>
      </c>
      <c r="N178">
        <v>0.17238009564599349</v>
      </c>
      <c r="O178">
        <v>0.17293616095830111</v>
      </c>
      <c r="P178">
        <v>1.08842283106422E-2</v>
      </c>
      <c r="Q178">
        <v>1.0919338755337901E-2</v>
      </c>
      <c r="R178">
        <v>3.7141299333880002E-3</v>
      </c>
      <c r="S178">
        <v>3.7261110081967001E-3</v>
      </c>
      <c r="T178">
        <v>1.3151775875360899E-2</v>
      </c>
      <c r="U178">
        <v>1.31942009960344E-2</v>
      </c>
      <c r="V178">
        <v>1.8140380517739001E-3</v>
      </c>
      <c r="W178">
        <v>1.8198897925563999E-3</v>
      </c>
      <c r="X178">
        <v>1.13377378235863E-2</v>
      </c>
      <c r="Y178">
        <v>1.1374311203478E-2</v>
      </c>
      <c r="Z178">
        <v>-1.3065722045519401E-2</v>
      </c>
      <c r="AA178">
        <v>-1.3107869572950501E-2</v>
      </c>
      <c r="AB178">
        <v>66.343484468840003</v>
      </c>
      <c r="AC178">
        <v>66.557495896739994</v>
      </c>
      <c r="AD178">
        <f t="shared" si="29"/>
        <v>0.93304125330556231</v>
      </c>
      <c r="AE178">
        <f t="shared" si="30"/>
        <v>5.5414135195393829E-2</v>
      </c>
      <c r="AF178">
        <f t="shared" si="31"/>
        <v>0.87762711811016536</v>
      </c>
      <c r="AG178">
        <f t="shared" si="32"/>
        <v>1.8909498440126619E-2</v>
      </c>
      <c r="AH178">
        <f t="shared" si="33"/>
        <v>5.9390873660809314E-2</v>
      </c>
      <c r="AI178">
        <f t="shared" si="34"/>
        <v>0.94060912633918736</v>
      </c>
      <c r="AJ178">
        <f t="shared" si="35"/>
        <v>6.5716088422913696E-2</v>
      </c>
      <c r="AK178">
        <f t="shared" si="36"/>
        <v>9.2356891992324327E-3</v>
      </c>
      <c r="AL178">
        <f t="shared" si="37"/>
        <v>5.7723057495204615E-2</v>
      </c>
      <c r="AM178">
        <f t="shared" si="38"/>
        <v>0.13793103448275312</v>
      </c>
      <c r="AN178">
        <f t="shared" si="39"/>
        <v>0.86206896551723544</v>
      </c>
      <c r="AO178">
        <f t="shared" si="40"/>
        <v>1.9641609983199618E-3</v>
      </c>
      <c r="AP178">
        <f t="shared" si="41"/>
        <v>1.9704970070967293E-3</v>
      </c>
    </row>
    <row r="179" spans="1:42" x14ac:dyDescent="0.35">
      <c r="A179" s="9" t="s">
        <v>52</v>
      </c>
      <c r="B179" s="11" t="s">
        <v>69</v>
      </c>
      <c r="C179" s="16">
        <f t="shared" si="28"/>
        <v>0.71613001505309626</v>
      </c>
      <c r="D179">
        <v>0.67809759854404916</v>
      </c>
      <c r="E179">
        <v>8.6285741513915298E-2</v>
      </c>
      <c r="F179">
        <v>0.59181185703013028</v>
      </c>
      <c r="G179">
        <v>3.80324165090506E-2</v>
      </c>
      <c r="H179" s="16">
        <v>0.19619897405462439</v>
      </c>
      <c r="I179">
        <v>0</v>
      </c>
      <c r="J179">
        <v>0.19619897405462439</v>
      </c>
      <c r="K179">
        <v>0</v>
      </c>
      <c r="L179">
        <v>8.0701845008350703E-2</v>
      </c>
      <c r="M179">
        <v>7.2722886472287293E-2</v>
      </c>
      <c r="N179">
        <v>1.02690505806802E-2</v>
      </c>
      <c r="O179">
        <v>9.2537537336314004E-3</v>
      </c>
      <c r="P179">
        <v>7.0432794427670503E-2</v>
      </c>
      <c r="Q179">
        <v>6.3469132738655606E-2</v>
      </c>
      <c r="R179">
        <v>4.5263192038970997E-3</v>
      </c>
      <c r="S179">
        <v>4.0788038683411999E-3</v>
      </c>
      <c r="T179">
        <v>2.3350059385181799E-2</v>
      </c>
      <c r="U179">
        <v>2.1041448527157901E-2</v>
      </c>
      <c r="V179">
        <v>0</v>
      </c>
      <c r="W179">
        <v>0</v>
      </c>
      <c r="X179">
        <v>2.3350059385181799E-2</v>
      </c>
      <c r="Y179">
        <v>2.1041448527157901E-2</v>
      </c>
      <c r="Z179">
        <v>0</v>
      </c>
      <c r="AA179">
        <v>0</v>
      </c>
      <c r="AB179">
        <v>932.44043441874999</v>
      </c>
      <c r="AC179">
        <v>840.25042856688003</v>
      </c>
      <c r="AD179">
        <f t="shared" si="29"/>
        <v>0.77559219582496841</v>
      </c>
      <c r="AE179">
        <f t="shared" si="30"/>
        <v>0.67690057993832309</v>
      </c>
      <c r="AF179">
        <f t="shared" si="31"/>
        <v>9.8691615886641312E-2</v>
      </c>
      <c r="AG179">
        <f t="shared" si="32"/>
        <v>4.3500589732391112E-2</v>
      </c>
      <c r="AH179">
        <f t="shared" si="33"/>
        <v>0.87275321178074672</v>
      </c>
      <c r="AI179">
        <f t="shared" si="34"/>
        <v>0.12724678821924804</v>
      </c>
      <c r="AJ179">
        <f t="shared" si="35"/>
        <v>0.21505287719346902</v>
      </c>
      <c r="AK179">
        <f t="shared" si="36"/>
        <v>0</v>
      </c>
      <c r="AL179">
        <f t="shared" si="37"/>
        <v>0.22440780417503156</v>
      </c>
      <c r="AM179">
        <f t="shared" si="38"/>
        <v>0</v>
      </c>
      <c r="AN179">
        <f t="shared" si="39"/>
        <v>1</v>
      </c>
      <c r="AO179">
        <f t="shared" si="40"/>
        <v>1.0405190439353447E-3</v>
      </c>
      <c r="AP179">
        <f t="shared" si="41"/>
        <v>9.3764334999444634E-4</v>
      </c>
    </row>
    <row r="180" spans="1:42" x14ac:dyDescent="0.35">
      <c r="A180" s="9" t="s">
        <v>53</v>
      </c>
      <c r="B180" s="11" t="s">
        <v>69</v>
      </c>
      <c r="C180" s="16">
        <f t="shared" si="28"/>
        <v>0.4580441819920264</v>
      </c>
      <c r="D180">
        <v>0.45804418199202951</v>
      </c>
      <c r="E180">
        <v>8.4225719459962E-3</v>
      </c>
      <c r="F180">
        <v>0.44962161004603018</v>
      </c>
      <c r="G180">
        <v>0</v>
      </c>
      <c r="H180" s="16">
        <v>0.14890109120145739</v>
      </c>
      <c r="I180">
        <v>0.1354033797495397</v>
      </c>
      <c r="J180">
        <v>1.34977114519179E-2</v>
      </c>
      <c r="K180">
        <v>0</v>
      </c>
      <c r="L180">
        <v>0.2257052535473604</v>
      </c>
      <c r="M180">
        <v>0.23613713299910441</v>
      </c>
      <c r="N180">
        <v>4.1502955639005001E-3</v>
      </c>
      <c r="O180">
        <v>4.3421182278894997E-3</v>
      </c>
      <c r="P180">
        <v>0.2215549579834572</v>
      </c>
      <c r="Q180">
        <v>0.23179501477121531</v>
      </c>
      <c r="R180">
        <v>0</v>
      </c>
      <c r="S180">
        <v>0</v>
      </c>
      <c r="T180">
        <v>7.3372307441923898E-2</v>
      </c>
      <c r="U180">
        <v>7.6763504830113405E-2</v>
      </c>
      <c r="V180">
        <v>6.6721192756185405E-2</v>
      </c>
      <c r="W180">
        <v>6.9804982029008505E-2</v>
      </c>
      <c r="X180">
        <v>6.6511146857386001E-3</v>
      </c>
      <c r="Y180">
        <v>6.958522801105E-3</v>
      </c>
      <c r="Z180">
        <v>0</v>
      </c>
      <c r="AA180">
        <v>0</v>
      </c>
      <c r="AB180">
        <v>193.97380504054999</v>
      </c>
      <c r="AC180">
        <v>202.93908750153</v>
      </c>
      <c r="AD180">
        <f t="shared" si="29"/>
        <v>0.75467130600094567</v>
      </c>
      <c r="AE180">
        <f t="shared" si="30"/>
        <v>0.74079431853931943</v>
      </c>
      <c r="AF180">
        <f t="shared" si="31"/>
        <v>1.3876987461621082E-2</v>
      </c>
      <c r="AG180">
        <f t="shared" si="32"/>
        <v>0</v>
      </c>
      <c r="AH180">
        <f t="shared" si="33"/>
        <v>0.9816118787725463</v>
      </c>
      <c r="AI180">
        <f t="shared" si="34"/>
        <v>1.8388121227446923E-2</v>
      </c>
      <c r="AJ180">
        <f t="shared" si="35"/>
        <v>0.2453286939990556</v>
      </c>
      <c r="AK180">
        <f t="shared" si="36"/>
        <v>0.2230899320413271</v>
      </c>
      <c r="AL180">
        <f t="shared" si="37"/>
        <v>2.2238761957727598E-2</v>
      </c>
      <c r="AM180">
        <f t="shared" si="38"/>
        <v>0.90935115825540991</v>
      </c>
      <c r="AN180">
        <f t="shared" si="39"/>
        <v>9.0648841744591521E-2</v>
      </c>
      <c r="AO180">
        <f t="shared" si="40"/>
        <v>2.9907756098928504E-3</v>
      </c>
      <c r="AP180">
        <f t="shared" si="41"/>
        <v>3.1290063782921911E-3</v>
      </c>
    </row>
    <row r="181" spans="1:42" x14ac:dyDescent="0.35">
      <c r="A181" s="9" t="s">
        <v>54</v>
      </c>
      <c r="B181" s="11" t="s">
        <v>69</v>
      </c>
      <c r="C181" s="16">
        <f t="shared" si="28"/>
        <v>6.4610800792816295E-2</v>
      </c>
      <c r="D181">
        <v>6.4610800792815198E-2</v>
      </c>
      <c r="E181">
        <v>5.5249140820460996E-3</v>
      </c>
      <c r="F181">
        <v>5.9085886710770197E-2</v>
      </c>
      <c r="G181">
        <v>0</v>
      </c>
      <c r="H181" s="16">
        <v>2.4021959889068901E-2</v>
      </c>
      <c r="I181">
        <v>-1.5880197370153198E-2</v>
      </c>
      <c r="J181">
        <v>3.9902157259222103E-2</v>
      </c>
      <c r="K181">
        <v>0</v>
      </c>
      <c r="L181">
        <v>1.57491543608725E-2</v>
      </c>
      <c r="M181">
        <v>1.9552115711977701E-2</v>
      </c>
      <c r="N181">
        <v>1.3467210379842999E-3</v>
      </c>
      <c r="O181">
        <v>1.6719148827343999E-3</v>
      </c>
      <c r="P181">
        <v>1.4402433322887801E-2</v>
      </c>
      <c r="Q181">
        <v>1.7880200829243301E-2</v>
      </c>
      <c r="R181">
        <v>0</v>
      </c>
      <c r="S181">
        <v>0</v>
      </c>
      <c r="T181">
        <v>5.855453727571E-3</v>
      </c>
      <c r="U181">
        <v>7.2693749901916998E-3</v>
      </c>
      <c r="V181">
        <v>-3.8708648800940002E-3</v>
      </c>
      <c r="W181">
        <v>-4.8055658295570996E-3</v>
      </c>
      <c r="X181">
        <v>9.7263186076647998E-3</v>
      </c>
      <c r="Y181">
        <v>1.20749408197489E-2</v>
      </c>
      <c r="Z181">
        <v>0</v>
      </c>
      <c r="AA181">
        <v>0</v>
      </c>
      <c r="AB181">
        <v>330.45426768437</v>
      </c>
      <c r="AC181">
        <v>410.24933347112</v>
      </c>
      <c r="AD181">
        <f t="shared" si="29"/>
        <v>0.72897199969560678</v>
      </c>
      <c r="AE181">
        <f t="shared" si="30"/>
        <v>0.66663710185941361</v>
      </c>
      <c r="AF181">
        <f t="shared" si="31"/>
        <v>6.2334897836205529E-2</v>
      </c>
      <c r="AG181">
        <f t="shared" si="32"/>
        <v>0</v>
      </c>
      <c r="AH181">
        <f t="shared" si="33"/>
        <v>0.9144893111639103</v>
      </c>
      <c r="AI181">
        <f t="shared" si="34"/>
        <v>8.5510688836106755E-2</v>
      </c>
      <c r="AJ181">
        <f t="shared" si="35"/>
        <v>0.27102800030438995</v>
      </c>
      <c r="AK181">
        <f t="shared" si="36"/>
        <v>-0.17916848406820524</v>
      </c>
      <c r="AL181">
        <f t="shared" si="37"/>
        <v>0.45019648437259857</v>
      </c>
      <c r="AM181">
        <f t="shared" si="38"/>
        <v>-0.6610700144154108</v>
      </c>
      <c r="AN181">
        <f t="shared" si="39"/>
        <v>1.6610700144154109</v>
      </c>
      <c r="AO181">
        <f t="shared" si="40"/>
        <v>2.1604608088442759E-4</v>
      </c>
      <c r="AP181">
        <f t="shared" si="41"/>
        <v>2.6821490702169041E-4</v>
      </c>
    </row>
    <row r="182" spans="1:42" x14ac:dyDescent="0.35">
      <c r="A182" s="9" t="s">
        <v>55</v>
      </c>
      <c r="B182" s="11" t="s">
        <v>69</v>
      </c>
      <c r="C182" s="16">
        <f t="shared" si="28"/>
        <v>-5.9962728984468416</v>
      </c>
      <c r="D182">
        <v>1.7405980237011409</v>
      </c>
      <c r="E182">
        <v>-0.33574397714601328</v>
      </c>
      <c r="F182">
        <v>2.0763420008471538</v>
      </c>
      <c r="G182">
        <v>-7.7368709221479817</v>
      </c>
      <c r="H182" s="16">
        <v>-1.6726829942206931</v>
      </c>
      <c r="I182">
        <v>0</v>
      </c>
      <c r="J182">
        <v>-1.6726829942206931</v>
      </c>
      <c r="K182">
        <v>0</v>
      </c>
      <c r="L182">
        <v>0.78277540164496529</v>
      </c>
      <c r="M182">
        <v>0.51011629076668319</v>
      </c>
      <c r="N182">
        <v>-0.1509895581758243</v>
      </c>
      <c r="O182">
        <v>-9.8396338463489302E-2</v>
      </c>
      <c r="P182">
        <v>0.93376495982079</v>
      </c>
      <c r="Q182">
        <v>0.60851262923017257</v>
      </c>
      <c r="R182">
        <v>-3.4793974031303891</v>
      </c>
      <c r="S182">
        <v>-2.2674413294774491</v>
      </c>
      <c r="T182">
        <v>-0.75223290202391802</v>
      </c>
      <c r="U182">
        <v>-0.4902124632004487</v>
      </c>
      <c r="V182">
        <v>0</v>
      </c>
      <c r="W182">
        <v>0</v>
      </c>
      <c r="X182">
        <v>-0.75223290202391802</v>
      </c>
      <c r="Y182">
        <v>-0.4902124632004487</v>
      </c>
      <c r="Z182">
        <v>0</v>
      </c>
      <c r="AA182">
        <v>0</v>
      </c>
      <c r="AB182">
        <v>341.21592570296002</v>
      </c>
      <c r="AC182">
        <v>222.36238134761999</v>
      </c>
      <c r="AD182">
        <f t="shared" si="29"/>
        <v>25.629054967902871</v>
      </c>
      <c r="AE182">
        <f t="shared" si="30"/>
        <v>30.57264373926122</v>
      </c>
      <c r="AF182">
        <f t="shared" si="31"/>
        <v>-4.9435887713583524</v>
      </c>
      <c r="AG182">
        <f t="shared" si="32"/>
        <v>-113.91986400264119</v>
      </c>
      <c r="AH182">
        <f t="shared" si="33"/>
        <v>1.1928900139919152</v>
      </c>
      <c r="AI182">
        <f t="shared" si="34"/>
        <v>-0.19289001399191535</v>
      </c>
      <c r="AJ182">
        <f t="shared" si="35"/>
        <v>0.21811091596184348</v>
      </c>
      <c r="AK182">
        <f t="shared" si="36"/>
        <v>0</v>
      </c>
      <c r="AL182">
        <f t="shared" si="37"/>
        <v>-24.629054967902871</v>
      </c>
      <c r="AM182">
        <f t="shared" si="38"/>
        <v>0</v>
      </c>
      <c r="AN182">
        <f t="shared" si="39"/>
        <v>1</v>
      </c>
      <c r="AO182">
        <f t="shared" si="40"/>
        <v>3.0542499621046953E-4</v>
      </c>
      <c r="AP182">
        <f t="shared" si="41"/>
        <v>1.9903827566234447E-4</v>
      </c>
    </row>
    <row r="183" spans="1:42" x14ac:dyDescent="0.35">
      <c r="A183" s="9" t="s">
        <v>56</v>
      </c>
      <c r="B183" s="11" t="s">
        <v>69</v>
      </c>
      <c r="C183" s="16">
        <f t="shared" si="28"/>
        <v>0.7084994283487096</v>
      </c>
      <c r="D183">
        <v>0.65254641160964377</v>
      </c>
      <c r="E183">
        <v>0.12712771106513479</v>
      </c>
      <c r="F183">
        <v>0.52541870054450879</v>
      </c>
      <c r="G183">
        <v>5.5953016739065997E-2</v>
      </c>
      <c r="H183" s="16">
        <v>1.7931727792675801E-2</v>
      </c>
      <c r="I183">
        <v>0</v>
      </c>
      <c r="J183">
        <v>1.7931727792675801E-2</v>
      </c>
      <c r="K183">
        <v>0</v>
      </c>
      <c r="L183">
        <v>0.65589764735081246</v>
      </c>
      <c r="M183">
        <v>0.35911075319053859</v>
      </c>
      <c r="N183">
        <v>0.1277805917207247</v>
      </c>
      <c r="O183">
        <v>6.99611970271619E-2</v>
      </c>
      <c r="P183">
        <v>0.52811705563008715</v>
      </c>
      <c r="Q183">
        <v>0.28914955616337679</v>
      </c>
      <c r="R183">
        <v>5.62403706286684E-2</v>
      </c>
      <c r="S183">
        <v>3.07921852407162E-2</v>
      </c>
      <c r="T183">
        <v>1.8023818479270402E-2</v>
      </c>
      <c r="U183">
        <v>9.8682272388126002E-3</v>
      </c>
      <c r="V183">
        <v>0</v>
      </c>
      <c r="W183">
        <v>0</v>
      </c>
      <c r="X183">
        <v>1.8023818479270402E-2</v>
      </c>
      <c r="Y183">
        <v>9.8682272388126002E-3</v>
      </c>
      <c r="Z183">
        <v>0</v>
      </c>
      <c r="AA183">
        <v>0</v>
      </c>
      <c r="AB183">
        <v>181.71174374815001</v>
      </c>
      <c r="AC183">
        <v>99.489061173690004</v>
      </c>
      <c r="AD183">
        <f t="shared" si="29"/>
        <v>0.97325531327738646</v>
      </c>
      <c r="AE183">
        <f t="shared" si="30"/>
        <v>0.78364777263712093</v>
      </c>
      <c r="AF183">
        <f t="shared" si="31"/>
        <v>0.18960754064026533</v>
      </c>
      <c r="AG183">
        <f t="shared" si="32"/>
        <v>8.345241022912972E-2</v>
      </c>
      <c r="AH183">
        <f t="shared" si="33"/>
        <v>0.80518211608650547</v>
      </c>
      <c r="AI183">
        <f t="shared" si="34"/>
        <v>0.19481788391349422</v>
      </c>
      <c r="AJ183">
        <f t="shared" si="35"/>
        <v>2.4684689858189047E-2</v>
      </c>
      <c r="AK183">
        <f t="shared" si="36"/>
        <v>0</v>
      </c>
      <c r="AL183">
        <f t="shared" si="37"/>
        <v>2.6744686722613473E-2</v>
      </c>
      <c r="AM183">
        <f t="shared" si="38"/>
        <v>0</v>
      </c>
      <c r="AN183">
        <f t="shared" si="39"/>
        <v>1</v>
      </c>
      <c r="AO183">
        <f t="shared" si="40"/>
        <v>6.7392146583008291E-3</v>
      </c>
      <c r="AP183">
        <f t="shared" si="41"/>
        <v>3.6897898042935139E-3</v>
      </c>
    </row>
    <row r="184" spans="1:42" x14ac:dyDescent="0.35">
      <c r="A184" s="9" t="s">
        <v>57</v>
      </c>
      <c r="B184" s="11" t="s">
        <v>69</v>
      </c>
      <c r="C184" s="16">
        <f t="shared" si="28"/>
        <v>1.0573141337899381</v>
      </c>
      <c r="D184">
        <v>1.0573141337899381</v>
      </c>
      <c r="E184">
        <v>1.2073783018730999E-3</v>
      </c>
      <c r="F184">
        <v>1.056106755488065</v>
      </c>
      <c r="G184">
        <v>0</v>
      </c>
      <c r="H184" s="16">
        <v>0</v>
      </c>
      <c r="I184">
        <v>0</v>
      </c>
      <c r="J184">
        <v>0</v>
      </c>
      <c r="K184">
        <v>0</v>
      </c>
      <c r="L184">
        <v>2.0970974668715678</v>
      </c>
      <c r="M184">
        <v>1.390519146519885</v>
      </c>
      <c r="N184">
        <v>2.3947376635719999E-3</v>
      </c>
      <c r="O184">
        <v>1.5878749675172E-3</v>
      </c>
      <c r="P184">
        <v>2.0947027292079961</v>
      </c>
      <c r="Q184">
        <v>1.3889312715523681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76.037366075549997</v>
      </c>
      <c r="AC184">
        <v>50.417977728389999</v>
      </c>
      <c r="AD184">
        <f t="shared" si="29"/>
        <v>1</v>
      </c>
      <c r="AE184">
        <f t="shared" si="30"/>
        <v>0.99885807040378316</v>
      </c>
      <c r="AF184">
        <f t="shared" si="31"/>
        <v>1.1419295962168381E-3</v>
      </c>
      <c r="AG184">
        <f t="shared" si="32"/>
        <v>0</v>
      </c>
      <c r="AH184">
        <f t="shared" si="33"/>
        <v>0.99885807040378316</v>
      </c>
      <c r="AI184">
        <f t="shared" si="34"/>
        <v>1.1419295962168381E-3</v>
      </c>
      <c r="AJ184">
        <f t="shared" si="35"/>
        <v>0</v>
      </c>
      <c r="AK184">
        <f t="shared" si="36"/>
        <v>0</v>
      </c>
      <c r="AL184">
        <f t="shared" si="37"/>
        <v>0</v>
      </c>
      <c r="AM184" t="e">
        <f t="shared" si="38"/>
        <v>#DIV/0!</v>
      </c>
      <c r="AN184" t="e">
        <f t="shared" si="39"/>
        <v>#DIV/0!</v>
      </c>
      <c r="AO184">
        <f t="shared" si="40"/>
        <v>2.0970974668715683E-2</v>
      </c>
      <c r="AP184">
        <f t="shared" si="41"/>
        <v>1.3905191465198845E-2</v>
      </c>
    </row>
    <row r="185" spans="1:42" x14ac:dyDescent="0.35">
      <c r="A185" s="9" t="s">
        <v>58</v>
      </c>
      <c r="B185" s="11" t="s">
        <v>69</v>
      </c>
      <c r="C185" s="16">
        <f t="shared" si="28"/>
        <v>0.26257357591797148</v>
      </c>
      <c r="D185">
        <v>0.1497873810746348</v>
      </c>
      <c r="E185">
        <v>4.9594344938770699E-2</v>
      </c>
      <c r="F185">
        <v>0.1001930361358631</v>
      </c>
      <c r="G185">
        <v>0.1127861948433377</v>
      </c>
      <c r="H185" s="16">
        <v>8.81079020611963E-2</v>
      </c>
      <c r="I185">
        <v>3.9390999393046997E-3</v>
      </c>
      <c r="J185">
        <v>8.4168802121890707E-2</v>
      </c>
      <c r="K185">
        <v>0</v>
      </c>
      <c r="L185">
        <v>2.72429216534293E-2</v>
      </c>
      <c r="M185">
        <v>2.87497293662566E-2</v>
      </c>
      <c r="N185">
        <v>9.0200846288038001E-3</v>
      </c>
      <c r="O185">
        <v>9.5189860778459E-3</v>
      </c>
      <c r="P185">
        <v>1.8222837024625699E-2</v>
      </c>
      <c r="Q185">
        <v>1.9230743288411099E-2</v>
      </c>
      <c r="R185">
        <v>2.05132464942057E-2</v>
      </c>
      <c r="S185">
        <v>2.1647835450037699E-2</v>
      </c>
      <c r="T185">
        <v>1.6024825694129701E-2</v>
      </c>
      <c r="U185">
        <v>1.6911159812760701E-2</v>
      </c>
      <c r="V185">
        <v>7.164327880066E-4</v>
      </c>
      <c r="W185">
        <v>7.5605873064310005E-4</v>
      </c>
      <c r="X185">
        <v>1.5308392906123699E-2</v>
      </c>
      <c r="Y185">
        <v>1.61551010821172E-2</v>
      </c>
      <c r="Z185">
        <v>0</v>
      </c>
      <c r="AA185">
        <v>0</v>
      </c>
      <c r="AB185">
        <v>521.00449074291998</v>
      </c>
      <c r="AC185">
        <v>549.82128194673999</v>
      </c>
      <c r="AD185">
        <f t="shared" si="29"/>
        <v>0.62963577545634097</v>
      </c>
      <c r="AE185">
        <f t="shared" si="30"/>
        <v>0.42116445023693838</v>
      </c>
      <c r="AF185">
        <f t="shared" si="31"/>
        <v>0.20847132521939837</v>
      </c>
      <c r="AG185">
        <f t="shared" si="32"/>
        <v>0.47410017280140926</v>
      </c>
      <c r="AH185">
        <f t="shared" si="33"/>
        <v>0.66890171533167908</v>
      </c>
      <c r="AI185">
        <f t="shared" si="34"/>
        <v>0.33109828466831426</v>
      </c>
      <c r="AJ185">
        <f t="shared" si="35"/>
        <v>0.25124766374581764</v>
      </c>
      <c r="AK185">
        <f t="shared" si="36"/>
        <v>1.6558125438139063E-2</v>
      </c>
      <c r="AL185">
        <f t="shared" si="37"/>
        <v>0.3538060991055163</v>
      </c>
      <c r="AM185">
        <f t="shared" si="38"/>
        <v>4.4707680550250248E-2</v>
      </c>
      <c r="AN185">
        <f t="shared" si="39"/>
        <v>0.95529231944973958</v>
      </c>
      <c r="AO185">
        <f t="shared" si="40"/>
        <v>4.3267747347560016E-4</v>
      </c>
      <c r="AP185">
        <f t="shared" si="41"/>
        <v>4.5660889179017865E-4</v>
      </c>
    </row>
    <row r="186" spans="1:42" x14ac:dyDescent="0.35">
      <c r="A186" s="9" t="s">
        <v>59</v>
      </c>
      <c r="B186" s="11" t="s">
        <v>69</v>
      </c>
      <c r="C186" s="16">
        <f t="shared" si="28"/>
        <v>14.861503111824634</v>
      </c>
      <c r="D186">
        <v>14.861503111824639</v>
      </c>
      <c r="E186">
        <v>1.550165795496744</v>
      </c>
      <c r="F186">
        <v>13.31133731632789</v>
      </c>
      <c r="G186">
        <v>0</v>
      </c>
      <c r="H186" s="16">
        <v>1.759052535380377</v>
      </c>
      <c r="I186">
        <v>0.21456229224262149</v>
      </c>
      <c r="J186">
        <v>1.544490243137751</v>
      </c>
      <c r="K186">
        <v>0</v>
      </c>
      <c r="L186">
        <v>1.989199372387606</v>
      </c>
      <c r="M186">
        <v>2.5154274674357882</v>
      </c>
      <c r="N186">
        <v>0.20748835459620391</v>
      </c>
      <c r="O186">
        <v>0.26237787602853141</v>
      </c>
      <c r="P186">
        <v>1.7817110177914031</v>
      </c>
      <c r="Q186">
        <v>2.2530495914072559</v>
      </c>
      <c r="R186">
        <v>0</v>
      </c>
      <c r="S186">
        <v>0</v>
      </c>
      <c r="T186">
        <v>0.2354476645495831</v>
      </c>
      <c r="U186">
        <v>0.29773361623413219</v>
      </c>
      <c r="V186">
        <v>2.8718977741052101E-2</v>
      </c>
      <c r="W186">
        <v>3.63163725312311E-2</v>
      </c>
      <c r="X186">
        <v>0.2067286868085309</v>
      </c>
      <c r="Y186">
        <v>0.2614172437029012</v>
      </c>
      <c r="Z186">
        <v>0</v>
      </c>
      <c r="AA186">
        <v>0</v>
      </c>
      <c r="AB186">
        <v>590.81421763174001</v>
      </c>
      <c r="AC186">
        <v>747.10978286638999</v>
      </c>
      <c r="AD186">
        <f t="shared" si="29"/>
        <v>0.89416403562439339</v>
      </c>
      <c r="AE186">
        <f t="shared" si="30"/>
        <v>0.80089604697219507</v>
      </c>
      <c r="AF186">
        <f t="shared" si="31"/>
        <v>9.3267988652198069E-2</v>
      </c>
      <c r="AG186">
        <f t="shared" si="32"/>
        <v>0</v>
      </c>
      <c r="AH186">
        <f t="shared" si="33"/>
        <v>0.8956925296295668</v>
      </c>
      <c r="AI186">
        <f t="shared" si="34"/>
        <v>0.10430747037043284</v>
      </c>
      <c r="AJ186">
        <f t="shared" si="35"/>
        <v>0.10583596437560663</v>
      </c>
      <c r="AK186">
        <f t="shared" si="36"/>
        <v>1.2909453618580027E-2</v>
      </c>
      <c r="AL186">
        <f t="shared" si="37"/>
        <v>9.2926510757026293E-2</v>
      </c>
      <c r="AM186">
        <f t="shared" si="38"/>
        <v>0.12197605695512932</v>
      </c>
      <c r="AN186">
        <f t="shared" si="39"/>
        <v>0.87802394304486808</v>
      </c>
      <c r="AO186">
        <f t="shared" si="40"/>
        <v>2.2246470369371895E-2</v>
      </c>
      <c r="AP186">
        <f t="shared" si="41"/>
        <v>2.8131610836699197E-2</v>
      </c>
    </row>
    <row r="187" spans="1:42" x14ac:dyDescent="0.35">
      <c r="A187" s="7" t="s">
        <v>60</v>
      </c>
      <c r="B187" s="11" t="s">
        <v>69</v>
      </c>
      <c r="C187" s="16">
        <f t="shared" si="28"/>
        <v>-2.3244291230590001E-4</v>
      </c>
      <c r="D187">
        <v>0</v>
      </c>
      <c r="E187">
        <v>0</v>
      </c>
      <c r="F187">
        <v>0</v>
      </c>
      <c r="G187">
        <v>-2.3244291230590001E-4</v>
      </c>
      <c r="H187" s="16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-8.8732399514901417E-5</v>
      </c>
      <c r="S187">
        <v>-5.2673663377023061E-5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441.28867711817003</v>
      </c>
      <c r="AC187">
        <v>261.95945739796002</v>
      </c>
      <c r="AD187" t="e">
        <f t="shared" si="29"/>
        <v>#DIV/0!</v>
      </c>
      <c r="AE187" t="e">
        <f t="shared" si="30"/>
        <v>#DIV/0!</v>
      </c>
      <c r="AF187" t="e">
        <f t="shared" si="31"/>
        <v>#DIV/0!</v>
      </c>
      <c r="AG187" t="e">
        <f t="shared" si="32"/>
        <v>#DIV/0!</v>
      </c>
      <c r="AH187" t="e">
        <f t="shared" si="33"/>
        <v>#DIV/0!</v>
      </c>
      <c r="AI187" t="e">
        <f t="shared" si="34"/>
        <v>#DIV/0!</v>
      </c>
      <c r="AJ187">
        <f t="shared" si="35"/>
        <v>0</v>
      </c>
      <c r="AK187" t="e">
        <f t="shared" si="36"/>
        <v>#DIV/0!</v>
      </c>
      <c r="AL187" t="e">
        <f t="shared" si="37"/>
        <v>#DIV/0!</v>
      </c>
      <c r="AM187" t="e">
        <f t="shared" si="38"/>
        <v>#DIV/0!</v>
      </c>
      <c r="AN187" t="e">
        <f t="shared" si="39"/>
        <v>#DIV/0!</v>
      </c>
      <c r="AO187">
        <f t="shared" si="40"/>
        <v>0</v>
      </c>
      <c r="AP187">
        <f t="shared" si="41"/>
        <v>0</v>
      </c>
    </row>
    <row r="188" spans="1:42" x14ac:dyDescent="0.35">
      <c r="A188" s="7" t="s">
        <v>61</v>
      </c>
      <c r="B188" s="11" t="s">
        <v>69</v>
      </c>
      <c r="C188" s="16">
        <f t="shared" si="28"/>
        <v>7.7171335028739893E-2</v>
      </c>
      <c r="D188">
        <v>7.6428054034677104E-2</v>
      </c>
      <c r="E188">
        <v>2.01332522861585E-2</v>
      </c>
      <c r="F188">
        <v>5.6294801748519398E-2</v>
      </c>
      <c r="G188">
        <v>7.4328099406199995E-4</v>
      </c>
      <c r="H188" s="16">
        <v>0.1064973008292113</v>
      </c>
      <c r="I188">
        <v>5.8988637891250299E-2</v>
      </c>
      <c r="J188">
        <v>4.7508662937961001E-2</v>
      </c>
      <c r="K188">
        <v>0</v>
      </c>
      <c r="L188">
        <v>2.3779315743929798E-2</v>
      </c>
      <c r="M188">
        <v>1.10690037893568E-2</v>
      </c>
      <c r="N188">
        <v>6.2641260347612998E-3</v>
      </c>
      <c r="O188">
        <v>2.9158801524168999E-3</v>
      </c>
      <c r="P188">
        <v>1.75151897091687E-2</v>
      </c>
      <c r="Q188">
        <v>8.1531236369397995E-3</v>
      </c>
      <c r="R188">
        <v>2.31259498459E-4</v>
      </c>
      <c r="S188">
        <v>1.0764869318919999E-4</v>
      </c>
      <c r="T188">
        <v>3.3134860939218101E-2</v>
      </c>
      <c r="U188">
        <v>1.5423904760153999E-2</v>
      </c>
      <c r="V188">
        <v>1.8353331946459401E-2</v>
      </c>
      <c r="W188">
        <v>8.5432694132310007E-3</v>
      </c>
      <c r="X188">
        <v>1.4781528992759E-2</v>
      </c>
      <c r="Y188">
        <v>6.8806353469231998E-3</v>
      </c>
      <c r="Z188">
        <v>0</v>
      </c>
      <c r="AA188">
        <v>0</v>
      </c>
      <c r="AB188">
        <v>690.46912883131995</v>
      </c>
      <c r="AC188">
        <v>321.40560669490998</v>
      </c>
      <c r="AD188">
        <f t="shared" si="29"/>
        <v>0.41781006297101847</v>
      </c>
      <c r="AE188">
        <f t="shared" si="30"/>
        <v>0.30774739669307949</v>
      </c>
      <c r="AF188">
        <f t="shared" si="31"/>
        <v>0.1100626662779433</v>
      </c>
      <c r="AG188">
        <f t="shared" si="32"/>
        <v>4.0633021847357497E-3</v>
      </c>
      <c r="AH188">
        <f t="shared" si="33"/>
        <v>0.7365724858437086</v>
      </c>
      <c r="AI188">
        <f t="shared" si="34"/>
        <v>0.26342751415630178</v>
      </c>
      <c r="AJ188">
        <f t="shared" si="35"/>
        <v>0.5798338966897757</v>
      </c>
      <c r="AK188">
        <f t="shared" si="36"/>
        <v>0.32247381963611732</v>
      </c>
      <c r="AL188">
        <f t="shared" si="37"/>
        <v>0.25971611739286432</v>
      </c>
      <c r="AM188">
        <f t="shared" si="38"/>
        <v>0.55389796203238817</v>
      </c>
      <c r="AN188">
        <f t="shared" si="39"/>
        <v>0.44610203796761183</v>
      </c>
      <c r="AO188">
        <f t="shared" si="40"/>
        <v>5.6914176683149111E-4</v>
      </c>
      <c r="AP188">
        <f t="shared" si="41"/>
        <v>2.6492908549511219E-4</v>
      </c>
    </row>
    <row r="189" spans="1:42" x14ac:dyDescent="0.35">
      <c r="A189" s="7" t="s">
        <v>62</v>
      </c>
      <c r="B189" s="11" t="s">
        <v>69</v>
      </c>
      <c r="C189" s="16">
        <f t="shared" si="28"/>
        <v>-0.39634581993233947</v>
      </c>
      <c r="D189">
        <v>8.1321563717489005E-3</v>
      </c>
      <c r="E189">
        <v>4.6165707683641002E-3</v>
      </c>
      <c r="F189">
        <v>3.5155856033847999E-3</v>
      </c>
      <c r="G189">
        <v>-0.40447797630408838</v>
      </c>
      <c r="H189" s="16">
        <v>0</v>
      </c>
      <c r="I189">
        <v>0</v>
      </c>
      <c r="J189">
        <v>0</v>
      </c>
      <c r="K189">
        <v>0</v>
      </c>
      <c r="L189">
        <v>1.26310054825253E-2</v>
      </c>
      <c r="M189">
        <v>8.9135651372827997E-3</v>
      </c>
      <c r="N189">
        <v>7.1705373113886001E-3</v>
      </c>
      <c r="O189">
        <v>5.0601712969568996E-3</v>
      </c>
      <c r="P189">
        <v>5.4604681711365004E-3</v>
      </c>
      <c r="Q189">
        <v>3.8533938403259001E-3</v>
      </c>
      <c r="R189">
        <v>-0.62824216637129171</v>
      </c>
      <c r="S189">
        <v>-0.44334376069153492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91.233487908610002</v>
      </c>
      <c r="AC189">
        <v>64.38249419652</v>
      </c>
      <c r="AD189">
        <f t="shared" si="29"/>
        <v>1</v>
      </c>
      <c r="AE189">
        <f t="shared" si="30"/>
        <v>0.43230668996945742</v>
      </c>
      <c r="AF189">
        <f t="shared" si="31"/>
        <v>0.56769331003054246</v>
      </c>
      <c r="AG189">
        <f t="shared" si="32"/>
        <v>-49.738096245817935</v>
      </c>
      <c r="AH189">
        <f t="shared" si="33"/>
        <v>0.43230668996945742</v>
      </c>
      <c r="AI189">
        <f t="shared" si="34"/>
        <v>0.56769331003054246</v>
      </c>
      <c r="AJ189">
        <f t="shared" si="35"/>
        <v>0</v>
      </c>
      <c r="AK189">
        <f t="shared" si="36"/>
        <v>0</v>
      </c>
      <c r="AL189">
        <f t="shared" si="37"/>
        <v>0</v>
      </c>
      <c r="AM189" t="e">
        <f t="shared" si="38"/>
        <v>#DIV/0!</v>
      </c>
      <c r="AN189" t="e">
        <f t="shared" si="39"/>
        <v>#DIV/0!</v>
      </c>
      <c r="AO189">
        <f t="shared" si="40"/>
        <v>1.2631005482525184E-4</v>
      </c>
      <c r="AP189">
        <f t="shared" si="41"/>
        <v>8.9135651372827129E-5</v>
      </c>
    </row>
    <row r="190" spans="1:42" x14ac:dyDescent="0.35">
      <c r="A190" s="7" t="s">
        <v>63</v>
      </c>
      <c r="B190" s="11" t="s">
        <v>69</v>
      </c>
      <c r="C190" s="16">
        <f t="shared" si="28"/>
        <v>10.602450953905006</v>
      </c>
      <c r="D190">
        <v>7.7024509539050037</v>
      </c>
      <c r="E190">
        <v>2.430584967050669</v>
      </c>
      <c r="F190">
        <v>5.2718659868543361</v>
      </c>
      <c r="G190">
        <v>2.9</v>
      </c>
      <c r="H190" s="16">
        <v>-0.1270225953158492</v>
      </c>
      <c r="I190">
        <v>0</v>
      </c>
      <c r="J190">
        <v>-0.1270225953158492</v>
      </c>
      <c r="K190">
        <v>0</v>
      </c>
      <c r="L190">
        <v>5.2261115841824903</v>
      </c>
      <c r="M190">
        <v>2.4855583034441739</v>
      </c>
      <c r="N190">
        <v>1.64915146213341</v>
      </c>
      <c r="O190">
        <v>0.78434263109673064</v>
      </c>
      <c r="P190">
        <v>3.5769601220490799</v>
      </c>
      <c r="Q190">
        <v>1.701215672347443</v>
      </c>
      <c r="R190">
        <v>1.967649477397261</v>
      </c>
      <c r="S190">
        <v>0.93582148372314078</v>
      </c>
      <c r="T190">
        <v>-8.6184808031336296E-2</v>
      </c>
      <c r="U190">
        <v>-4.0989818487876702E-2</v>
      </c>
      <c r="V190">
        <v>0</v>
      </c>
      <c r="W190">
        <v>0</v>
      </c>
      <c r="X190">
        <v>-8.6184808031336296E-2</v>
      </c>
      <c r="Y190">
        <v>-4.0989818487876702E-2</v>
      </c>
      <c r="Z190">
        <v>0</v>
      </c>
      <c r="AA190">
        <v>0</v>
      </c>
      <c r="AB190">
        <v>309.88816247970999</v>
      </c>
      <c r="AC190">
        <v>147.38397429586999</v>
      </c>
      <c r="AD190">
        <f t="shared" si="29"/>
        <v>1.0167677112505233</v>
      </c>
      <c r="AE190">
        <f t="shared" si="30"/>
        <v>0.69591655247811846</v>
      </c>
      <c r="AF190">
        <f t="shared" si="31"/>
        <v>0.32085115877240511</v>
      </c>
      <c r="AG190">
        <f t="shared" si="32"/>
        <v>0.38281663593477572</v>
      </c>
      <c r="AH190">
        <f t="shared" si="33"/>
        <v>0.68444005919720852</v>
      </c>
      <c r="AI190">
        <f t="shared" si="34"/>
        <v>0.31555994080279165</v>
      </c>
      <c r="AJ190">
        <f t="shared" si="35"/>
        <v>-1.2125766218590869E-2</v>
      </c>
      <c r="AK190">
        <f t="shared" si="36"/>
        <v>0</v>
      </c>
      <c r="AL190">
        <f t="shared" si="37"/>
        <v>-1.6767711250523377E-2</v>
      </c>
      <c r="AM190">
        <f t="shared" si="38"/>
        <v>0</v>
      </c>
      <c r="AN190">
        <f t="shared" si="39"/>
        <v>1</v>
      </c>
      <c r="AO190">
        <f t="shared" si="40"/>
        <v>5.1399267761511533E-2</v>
      </c>
      <c r="AP190">
        <f t="shared" si="41"/>
        <v>2.4445684849562971E-2</v>
      </c>
    </row>
    <row r="191" spans="1:42" x14ac:dyDescent="0.35">
      <c r="A191" s="7" t="s">
        <v>64</v>
      </c>
      <c r="B191" s="11" t="s">
        <v>69</v>
      </c>
      <c r="C191" s="16">
        <f t="shared" si="28"/>
        <v>1.5765726587907913</v>
      </c>
      <c r="D191">
        <v>1.5765726587907949</v>
      </c>
      <c r="E191">
        <v>1.4258862393990299E-2</v>
      </c>
      <c r="F191">
        <v>1.562313796396801</v>
      </c>
      <c r="G191">
        <v>0</v>
      </c>
      <c r="H191" s="16">
        <v>0.2080116396299764</v>
      </c>
      <c r="I191">
        <v>8.3875661141119495E-2</v>
      </c>
      <c r="J191">
        <v>0.1241359784888587</v>
      </c>
      <c r="K191">
        <v>0</v>
      </c>
      <c r="L191">
        <v>0.27586422742956351</v>
      </c>
      <c r="M191">
        <v>0.1297139208922648</v>
      </c>
      <c r="N191">
        <v>2.4949754370087E-3</v>
      </c>
      <c r="O191">
        <v>1.1731606141174001E-3</v>
      </c>
      <c r="P191">
        <v>0.27336925199255457</v>
      </c>
      <c r="Q191">
        <v>0.1285407602781472</v>
      </c>
      <c r="R191">
        <v>0</v>
      </c>
      <c r="S191">
        <v>0</v>
      </c>
      <c r="T191">
        <v>3.6397288728128502E-2</v>
      </c>
      <c r="U191">
        <v>1.7114343076537201E-2</v>
      </c>
      <c r="V191">
        <v>1.46763261000515E-2</v>
      </c>
      <c r="W191">
        <v>6.9009447889260998E-3</v>
      </c>
      <c r="X191">
        <v>2.17209626280765E-2</v>
      </c>
      <c r="Y191">
        <v>1.0213398287610601E-2</v>
      </c>
      <c r="Z191">
        <v>0</v>
      </c>
      <c r="AA191">
        <v>0</v>
      </c>
      <c r="AB191">
        <v>1215.4228689920101</v>
      </c>
      <c r="AC191">
        <v>571.50311712429004</v>
      </c>
      <c r="AD191">
        <f t="shared" si="29"/>
        <v>0.88343972329351328</v>
      </c>
      <c r="AE191">
        <f t="shared" si="30"/>
        <v>0.875449704325728</v>
      </c>
      <c r="AF191">
        <f t="shared" si="31"/>
        <v>7.9900189677833463E-3</v>
      </c>
      <c r="AG191">
        <f t="shared" si="32"/>
        <v>0</v>
      </c>
      <c r="AH191">
        <f t="shared" si="33"/>
        <v>0.99095578480668933</v>
      </c>
      <c r="AI191">
        <f t="shared" si="34"/>
        <v>9.0442151933083827E-3</v>
      </c>
      <c r="AJ191">
        <f t="shared" si="35"/>
        <v>0.11656027670648685</v>
      </c>
      <c r="AK191">
        <f t="shared" si="36"/>
        <v>4.7000111575196207E-2</v>
      </c>
      <c r="AL191">
        <f t="shared" si="37"/>
        <v>6.9560165131291415E-2</v>
      </c>
      <c r="AM191">
        <f t="shared" si="38"/>
        <v>0.40322580645161282</v>
      </c>
      <c r="AN191">
        <f t="shared" si="39"/>
        <v>0.59677419354839578</v>
      </c>
      <c r="AO191">
        <f t="shared" si="40"/>
        <v>3.1226151615769077E-3</v>
      </c>
      <c r="AP191">
        <f t="shared" si="41"/>
        <v>1.468282639688017E-3</v>
      </c>
    </row>
    <row r="192" spans="1:42" x14ac:dyDescent="0.35">
      <c r="A192" s="7" t="s">
        <v>27</v>
      </c>
      <c r="B192" s="11" t="s">
        <v>70</v>
      </c>
      <c r="C192" s="16">
        <f t="shared" si="28"/>
        <v>30.447629669960556</v>
      </c>
      <c r="D192">
        <v>30.447629669960548</v>
      </c>
      <c r="E192">
        <v>2.3474363010853931</v>
      </c>
      <c r="F192">
        <v>28.100193368875161</v>
      </c>
      <c r="G192">
        <v>0</v>
      </c>
      <c r="H192" s="16">
        <v>0</v>
      </c>
      <c r="I192">
        <v>0</v>
      </c>
      <c r="J192">
        <v>0</v>
      </c>
      <c r="K192">
        <v>0</v>
      </c>
      <c r="L192">
        <v>2.0369395358085818</v>
      </c>
      <c r="M192">
        <v>2.4824492048994808</v>
      </c>
      <c r="N192">
        <v>0.15704295740927829</v>
      </c>
      <c r="O192">
        <v>0.19139064164757921</v>
      </c>
      <c r="P192">
        <v>1.879896578399304</v>
      </c>
      <c r="Q192">
        <v>2.2910585632519052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1226.51571721458</v>
      </c>
      <c r="AC192">
        <v>1494.77336635199</v>
      </c>
      <c r="AD192">
        <f t="shared" si="29"/>
        <v>1</v>
      </c>
      <c r="AE192">
        <f t="shared" si="30"/>
        <v>0.92290249433106597</v>
      </c>
      <c r="AF192">
        <f t="shared" si="31"/>
        <v>7.7097505668934224E-2</v>
      </c>
      <c r="AG192">
        <f t="shared" si="32"/>
        <v>0</v>
      </c>
      <c r="AH192">
        <f t="shared" si="33"/>
        <v>0.92290249433106597</v>
      </c>
      <c r="AI192">
        <f t="shared" si="34"/>
        <v>7.7097505668934224E-2</v>
      </c>
      <c r="AJ192">
        <f t="shared" si="35"/>
        <v>0</v>
      </c>
      <c r="AK192">
        <f t="shared" si="36"/>
        <v>0</v>
      </c>
      <c r="AL192">
        <f t="shared" si="37"/>
        <v>0</v>
      </c>
      <c r="AM192" t="e">
        <f t="shared" si="38"/>
        <v>#DIV/0!</v>
      </c>
      <c r="AN192" t="e">
        <f t="shared" si="39"/>
        <v>#DIV/0!</v>
      </c>
      <c r="AO192">
        <f t="shared" si="40"/>
        <v>2.0369395358085827E-2</v>
      </c>
      <c r="AP192">
        <f t="shared" si="41"/>
        <v>2.4824492048994843E-2</v>
      </c>
    </row>
    <row r="193" spans="1:42" x14ac:dyDescent="0.35">
      <c r="A193" s="7" t="s">
        <v>28</v>
      </c>
      <c r="B193" s="11" t="s">
        <v>70</v>
      </c>
      <c r="C193" s="16">
        <f t="shared" si="28"/>
        <v>20.579312535860982</v>
      </c>
      <c r="D193">
        <v>20.504749809281801</v>
      </c>
      <c r="E193">
        <v>5.6667672200197003</v>
      </c>
      <c r="F193">
        <v>14.837982589262079</v>
      </c>
      <c r="G193">
        <v>7.4562726579202293E-2</v>
      </c>
      <c r="H193" s="16">
        <v>-1.118440898688092</v>
      </c>
      <c r="I193">
        <v>0</v>
      </c>
      <c r="J193">
        <v>-1.1184408986881</v>
      </c>
      <c r="K193">
        <v>0</v>
      </c>
      <c r="L193">
        <v>1.2085752854931859</v>
      </c>
      <c r="M193">
        <v>1.189723861975454</v>
      </c>
      <c r="N193">
        <v>0.33400626071811729</v>
      </c>
      <c r="O193">
        <v>0.32879641276412691</v>
      </c>
      <c r="P193">
        <v>0.87456902477507015</v>
      </c>
      <c r="Q193">
        <v>0.86092744921132791</v>
      </c>
      <c r="R193">
        <v>4.3948192199748997E-3</v>
      </c>
      <c r="S193">
        <v>4.3262685890010002E-3</v>
      </c>
      <c r="T193">
        <v>-6.5922288299629095E-2</v>
      </c>
      <c r="U193">
        <v>-6.4894028835025194E-2</v>
      </c>
      <c r="V193">
        <v>0</v>
      </c>
      <c r="W193">
        <v>0</v>
      </c>
      <c r="X193">
        <v>-6.5922288299629095E-2</v>
      </c>
      <c r="Y193">
        <v>-6.4894028835025194E-2</v>
      </c>
      <c r="Z193">
        <v>0</v>
      </c>
      <c r="AA193">
        <v>0</v>
      </c>
      <c r="AB193">
        <v>1723.48815255626</v>
      </c>
      <c r="AC193">
        <v>1696.60508992738</v>
      </c>
      <c r="AD193">
        <f t="shared" si="29"/>
        <v>1.0576923076923075</v>
      </c>
      <c r="AE193">
        <f t="shared" si="30"/>
        <v>0.76538461538461389</v>
      </c>
      <c r="AF193">
        <f t="shared" si="31"/>
        <v>0.29230769230769238</v>
      </c>
      <c r="AG193">
        <f t="shared" si="32"/>
        <v>3.8461538461536256E-3</v>
      </c>
      <c r="AH193">
        <f t="shared" si="33"/>
        <v>0.72363636363636252</v>
      </c>
      <c r="AI193">
        <f t="shared" si="34"/>
        <v>0.27636363636363648</v>
      </c>
      <c r="AJ193">
        <f t="shared" si="35"/>
        <v>-5.7471264367815834E-2</v>
      </c>
      <c r="AK193">
        <f t="shared" si="36"/>
        <v>0</v>
      </c>
      <c r="AL193">
        <f t="shared" si="37"/>
        <v>-5.7692307692307765E-2</v>
      </c>
      <c r="AM193">
        <f t="shared" si="38"/>
        <v>0</v>
      </c>
      <c r="AN193">
        <f t="shared" si="39"/>
        <v>1.0000000000000071</v>
      </c>
      <c r="AO193">
        <f t="shared" si="40"/>
        <v>1.1426529971935604E-2</v>
      </c>
      <c r="AP193">
        <f t="shared" si="41"/>
        <v>1.1248298331404328E-2</v>
      </c>
    </row>
    <row r="194" spans="1:42" x14ac:dyDescent="0.35">
      <c r="A194" s="7" t="s">
        <v>29</v>
      </c>
      <c r="B194" s="11" t="s">
        <v>70</v>
      </c>
      <c r="C194" s="16">
        <f t="shared" si="28"/>
        <v>53.297862831851091</v>
      </c>
      <c r="D194">
        <v>53.297862831851091</v>
      </c>
      <c r="E194">
        <v>14.26602324193016</v>
      </c>
      <c r="F194">
        <v>39.031839589920928</v>
      </c>
      <c r="G194">
        <v>0</v>
      </c>
      <c r="H194" s="16">
        <v>-5.9346656686429924</v>
      </c>
      <c r="I194">
        <v>-5.9346656686429426</v>
      </c>
      <c r="J194">
        <v>0</v>
      </c>
      <c r="K194">
        <v>0</v>
      </c>
      <c r="L194">
        <v>2.0367474980625899</v>
      </c>
      <c r="M194">
        <v>1.833374895579158</v>
      </c>
      <c r="N194">
        <v>0.5451679598668604</v>
      </c>
      <c r="O194">
        <v>0.49073203843125179</v>
      </c>
      <c r="P194">
        <v>1.49157953819573</v>
      </c>
      <c r="Q194">
        <v>1.3426428571479061</v>
      </c>
      <c r="R194">
        <v>0</v>
      </c>
      <c r="S194">
        <v>0</v>
      </c>
      <c r="T194">
        <v>-0.22678987130461431</v>
      </c>
      <c r="U194">
        <v>-0.20414452798740079</v>
      </c>
      <c r="V194">
        <v>-0.22678987130461389</v>
      </c>
      <c r="W194">
        <v>-0.2041445279874006</v>
      </c>
      <c r="X194">
        <v>0</v>
      </c>
      <c r="Y194">
        <v>0</v>
      </c>
      <c r="Z194">
        <v>0</v>
      </c>
      <c r="AA194">
        <v>0</v>
      </c>
      <c r="AB194">
        <v>2907.0902498102801</v>
      </c>
      <c r="AC194">
        <v>2616.8124857180101</v>
      </c>
      <c r="AD194">
        <f t="shared" si="29"/>
        <v>1.1253012048192781</v>
      </c>
      <c r="AE194">
        <f t="shared" si="30"/>
        <v>0.82409638554216946</v>
      </c>
      <c r="AF194">
        <f t="shared" si="31"/>
        <v>0.30120481927710863</v>
      </c>
      <c r="AG194">
        <f t="shared" si="32"/>
        <v>0</v>
      </c>
      <c r="AH194">
        <f t="shared" si="33"/>
        <v>0.73233404710920769</v>
      </c>
      <c r="AI194">
        <f t="shared" si="34"/>
        <v>0.2676659528907922</v>
      </c>
      <c r="AJ194">
        <f t="shared" si="35"/>
        <v>-0.12530120481927817</v>
      </c>
      <c r="AK194">
        <f t="shared" si="36"/>
        <v>-0.12530120481927712</v>
      </c>
      <c r="AL194">
        <f t="shared" si="37"/>
        <v>0</v>
      </c>
      <c r="AM194">
        <f t="shared" si="38"/>
        <v>0.99999999999999167</v>
      </c>
      <c r="AN194">
        <f t="shared" si="39"/>
        <v>0</v>
      </c>
      <c r="AO194">
        <f t="shared" si="40"/>
        <v>1.8099576267579763E-2</v>
      </c>
      <c r="AP194">
        <f t="shared" si="41"/>
        <v>1.6292303675917552E-2</v>
      </c>
    </row>
    <row r="195" spans="1:42" x14ac:dyDescent="0.35">
      <c r="A195" s="7" t="s">
        <v>30</v>
      </c>
      <c r="B195" s="11" t="s">
        <v>70</v>
      </c>
      <c r="C195" s="16">
        <f t="shared" ref="C195:C258" si="42">E195+F195+G195</f>
        <v>100.43280362318829</v>
      </c>
      <c r="D195">
        <v>100.43280362318831</v>
      </c>
      <c r="E195">
        <v>23.966919046442669</v>
      </c>
      <c r="F195">
        <v>76.465884576745623</v>
      </c>
      <c r="G195">
        <v>0</v>
      </c>
      <c r="H195" s="16">
        <v>0.7988973015483225</v>
      </c>
      <c r="I195">
        <v>0</v>
      </c>
      <c r="J195">
        <v>0.79889730154820882</v>
      </c>
      <c r="K195">
        <v>0</v>
      </c>
      <c r="L195">
        <v>2.7918805654534271</v>
      </c>
      <c r="M195">
        <v>2.4132147741265229</v>
      </c>
      <c r="N195">
        <v>0.66624422584684018</v>
      </c>
      <c r="O195">
        <v>0.57588079837110207</v>
      </c>
      <c r="P195">
        <v>2.125636339606586</v>
      </c>
      <c r="Q195">
        <v>1.837333975755421</v>
      </c>
      <c r="R195">
        <v>0</v>
      </c>
      <c r="S195">
        <v>0</v>
      </c>
      <c r="T195">
        <v>2.22081408615615E-2</v>
      </c>
      <c r="U195">
        <v>1.9196026612373601E-2</v>
      </c>
      <c r="V195">
        <v>0</v>
      </c>
      <c r="W195">
        <v>0</v>
      </c>
      <c r="X195">
        <v>2.22081408615615E-2</v>
      </c>
      <c r="Y195">
        <v>1.9196026612373601E-2</v>
      </c>
      <c r="Z195">
        <v>0</v>
      </c>
      <c r="AA195">
        <v>0</v>
      </c>
      <c r="AB195">
        <v>4161.7847155581303</v>
      </c>
      <c r="AC195">
        <v>3597.3173374942398</v>
      </c>
      <c r="AD195">
        <f t="shared" ref="AD195:AD258" si="43">D195/(D195+H195)</f>
        <v>0.99210822998872372</v>
      </c>
      <c r="AE195">
        <f t="shared" ref="AE195:AE258" si="44">(F195/(D195+H195))</f>
        <v>0.75535512965050544</v>
      </c>
      <c r="AF195">
        <f t="shared" ref="AF195:AF258" si="45">(E195/(D195+H195))</f>
        <v>0.23675310033821823</v>
      </c>
      <c r="AG195">
        <f t="shared" ref="AG195:AG258" si="46">(G195/(D195+H195))</f>
        <v>0</v>
      </c>
      <c r="AH195">
        <f t="shared" ref="AH195:AH258" si="47">(F195/(D195))</f>
        <v>0.76136363636363613</v>
      </c>
      <c r="AI195">
        <f t="shared" ref="AI195:AI258" si="48">E195/D195</f>
        <v>0.23863636363636367</v>
      </c>
      <c r="AJ195">
        <f t="shared" ref="AJ195:AJ258" si="49">(H195/(C195+H195))</f>
        <v>7.8917700112762484E-3</v>
      </c>
      <c r="AK195">
        <f t="shared" ref="AK195:AK258" si="50">(I195/(D195+H195))</f>
        <v>0</v>
      </c>
      <c r="AL195">
        <f t="shared" ref="AL195:AL258" si="51">(J195/(D195+H195))</f>
        <v>7.8917700112751243E-3</v>
      </c>
      <c r="AM195">
        <f t="shared" ref="AM195:AM258" si="52">(I195/H195)</f>
        <v>0</v>
      </c>
      <c r="AN195">
        <f t="shared" ref="AN195:AN258" si="53">J195/H195</f>
        <v>0.99999999999985767</v>
      </c>
      <c r="AO195">
        <f t="shared" ref="AO195:AO258" si="54">(D195+H195)/AC195</f>
        <v>2.8140887063149937E-2</v>
      </c>
      <c r="AP195">
        <f t="shared" ref="AP195:AP258" si="55">($D195+$H195)/AB195</f>
        <v>2.4324108007388989E-2</v>
      </c>
    </row>
    <row r="196" spans="1:42" x14ac:dyDescent="0.35">
      <c r="A196" s="7" t="s">
        <v>31</v>
      </c>
      <c r="B196" s="11" t="s">
        <v>70</v>
      </c>
      <c r="C196" s="16">
        <f t="shared" si="42"/>
        <v>45.651274374176523</v>
      </c>
      <c r="D196">
        <v>45.651274374176523</v>
      </c>
      <c r="E196">
        <v>11.412818593544131</v>
      </c>
      <c r="F196">
        <v>34.238455780632393</v>
      </c>
      <c r="G196">
        <v>0</v>
      </c>
      <c r="H196" s="16">
        <v>0</v>
      </c>
      <c r="I196">
        <v>0</v>
      </c>
      <c r="J196">
        <v>0</v>
      </c>
      <c r="K196">
        <v>0</v>
      </c>
      <c r="L196">
        <v>2.379954283240993</v>
      </c>
      <c r="M196">
        <v>1.952862177144373</v>
      </c>
      <c r="N196">
        <v>0.59498857081024792</v>
      </c>
      <c r="O196">
        <v>0.48821554428609321</v>
      </c>
      <c r="P196">
        <v>1.784965712430745</v>
      </c>
      <c r="Q196">
        <v>1.4646466328582799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2337.6598158571201</v>
      </c>
      <c r="AC196">
        <v>1918.15761738117</v>
      </c>
      <c r="AD196">
        <f t="shared" si="43"/>
        <v>1</v>
      </c>
      <c r="AE196">
        <f t="shared" si="44"/>
        <v>0.75</v>
      </c>
      <c r="AF196">
        <f t="shared" si="45"/>
        <v>0.25</v>
      </c>
      <c r="AG196">
        <f t="shared" si="46"/>
        <v>0</v>
      </c>
      <c r="AH196">
        <f t="shared" si="47"/>
        <v>0.75</v>
      </c>
      <c r="AI196">
        <f t="shared" si="48"/>
        <v>0.25</v>
      </c>
      <c r="AJ196">
        <f t="shared" si="49"/>
        <v>0</v>
      </c>
      <c r="AK196">
        <f t="shared" si="50"/>
        <v>0</v>
      </c>
      <c r="AL196">
        <f t="shared" si="51"/>
        <v>0</v>
      </c>
      <c r="AM196" t="e">
        <f t="shared" si="52"/>
        <v>#DIV/0!</v>
      </c>
      <c r="AN196" t="e">
        <f t="shared" si="53"/>
        <v>#DIV/0!</v>
      </c>
      <c r="AO196">
        <f t="shared" si="54"/>
        <v>2.3799542832409926E-2</v>
      </c>
      <c r="AP196">
        <f t="shared" si="55"/>
        <v>1.9528621771443742E-2</v>
      </c>
    </row>
    <row r="197" spans="1:42" x14ac:dyDescent="0.35">
      <c r="A197" s="7" t="s">
        <v>32</v>
      </c>
      <c r="B197" s="11" t="s">
        <v>70</v>
      </c>
      <c r="C197" s="16">
        <f t="shared" si="42"/>
        <v>-186.37394385761746</v>
      </c>
      <c r="D197">
        <v>29.96967941429034</v>
      </c>
      <c r="E197">
        <v>4.6827624084828594</v>
      </c>
      <c r="F197">
        <v>25.286917005807481</v>
      </c>
      <c r="G197">
        <v>-216.3436232719078</v>
      </c>
      <c r="H197" s="16">
        <v>0</v>
      </c>
      <c r="I197">
        <v>0</v>
      </c>
      <c r="J197">
        <v>0</v>
      </c>
      <c r="K197">
        <v>0</v>
      </c>
      <c r="L197">
        <v>0.65660595684839507</v>
      </c>
      <c r="M197">
        <v>0.56282649977393184</v>
      </c>
      <c r="N197">
        <v>0.1025946807575612</v>
      </c>
      <c r="O197">
        <v>8.7941640589676406E-2</v>
      </c>
      <c r="P197">
        <v>0.55401127609083289</v>
      </c>
      <c r="Q197">
        <v>0.4748848591842556</v>
      </c>
      <c r="R197">
        <v>-4.7398742509993284</v>
      </c>
      <c r="S197">
        <v>-4.0629037952430496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5324.8522282316499</v>
      </c>
      <c r="AC197">
        <v>4564.3325500944502</v>
      </c>
      <c r="AD197">
        <f t="shared" si="43"/>
        <v>1</v>
      </c>
      <c r="AE197">
        <f t="shared" si="44"/>
        <v>0.84375000000000022</v>
      </c>
      <c r="AF197">
        <f t="shared" si="45"/>
        <v>0.15624999999999981</v>
      </c>
      <c r="AG197">
        <f t="shared" si="46"/>
        <v>-7.2187499999999805</v>
      </c>
      <c r="AH197">
        <f t="shared" si="47"/>
        <v>0.84375000000000022</v>
      </c>
      <c r="AI197">
        <f t="shared" si="48"/>
        <v>0.15624999999999981</v>
      </c>
      <c r="AJ197">
        <f t="shared" si="49"/>
        <v>0</v>
      </c>
      <c r="AK197">
        <f t="shared" si="50"/>
        <v>0</v>
      </c>
      <c r="AL197">
        <f t="shared" si="51"/>
        <v>0</v>
      </c>
      <c r="AM197" t="e">
        <f t="shared" si="52"/>
        <v>#DIV/0!</v>
      </c>
      <c r="AN197" t="e">
        <f t="shared" si="53"/>
        <v>#DIV/0!</v>
      </c>
      <c r="AO197">
        <f t="shared" si="54"/>
        <v>6.5660595684839344E-3</v>
      </c>
      <c r="AP197">
        <f t="shared" si="55"/>
        <v>5.6282649977393052E-3</v>
      </c>
    </row>
    <row r="198" spans="1:42" x14ac:dyDescent="0.35">
      <c r="A198" s="7" t="s">
        <v>33</v>
      </c>
      <c r="B198" s="11" t="s">
        <v>70</v>
      </c>
      <c r="C198" s="16">
        <f t="shared" si="42"/>
        <v>9.7954529108252686E-4</v>
      </c>
      <c r="D198">
        <v>6.3663101002469995E-4</v>
      </c>
      <c r="E198">
        <v>7.3429182238626822E-5</v>
      </c>
      <c r="F198">
        <v>5.6320182778790001E-4</v>
      </c>
      <c r="G198">
        <v>3.4291428105600002E-4</v>
      </c>
      <c r="H198" s="16">
        <v>5.2061290207910005E-4</v>
      </c>
      <c r="I198">
        <v>0</v>
      </c>
      <c r="J198">
        <v>5.2061290207910005E-4</v>
      </c>
      <c r="K198">
        <v>9.1786477798900005E-4</v>
      </c>
      <c r="L198">
        <v>3.8862875279654929E-5</v>
      </c>
      <c r="M198">
        <v>2.952095192076953E-5</v>
      </c>
      <c r="N198">
        <v>4.4824538958376792E-6</v>
      </c>
      <c r="O198">
        <v>3.404954085350909E-6</v>
      </c>
      <c r="P198">
        <v>3.4380421383595212E-5</v>
      </c>
      <c r="Q198">
        <v>2.6115997835418628E-5</v>
      </c>
      <c r="R198">
        <v>2.093305969408377E-5</v>
      </c>
      <c r="S198">
        <v>1.5901135578477721E-5</v>
      </c>
      <c r="T198">
        <v>3.1780598122921333E-5</v>
      </c>
      <c r="U198">
        <v>2.4141124465248961E-5</v>
      </c>
      <c r="V198">
        <v>0</v>
      </c>
      <c r="W198">
        <v>0</v>
      </c>
      <c r="X198">
        <v>3.1780598122921333E-5</v>
      </c>
      <c r="Y198">
        <v>2.4141124465248961E-5</v>
      </c>
      <c r="Z198">
        <v>5.6030673700746547E-5</v>
      </c>
      <c r="AA198">
        <v>4.2561926066220217E-5</v>
      </c>
      <c r="AB198">
        <v>2156.5395714307001</v>
      </c>
      <c r="AC198">
        <v>1638.14696019506</v>
      </c>
      <c r="AD198">
        <f t="shared" si="43"/>
        <v>0.55012690355600391</v>
      </c>
      <c r="AE198">
        <f t="shared" si="44"/>
        <v>0.48667512690909975</v>
      </c>
      <c r="AF198">
        <f t="shared" si="45"/>
        <v>6.3451776648482838E-2</v>
      </c>
      <c r="AG198">
        <f t="shared" si="46"/>
        <v>0.29631979694980842</v>
      </c>
      <c r="AH198">
        <f t="shared" si="47"/>
        <v>0.88465974625717492</v>
      </c>
      <c r="AI198">
        <f t="shared" si="48"/>
        <v>0.11534025374569473</v>
      </c>
      <c r="AJ198">
        <f t="shared" si="49"/>
        <v>0.34703866862326915</v>
      </c>
      <c r="AK198">
        <f t="shared" si="50"/>
        <v>0</v>
      </c>
      <c r="AL198">
        <f t="shared" si="51"/>
        <v>0.44987309644399598</v>
      </c>
      <c r="AM198">
        <f t="shared" si="52"/>
        <v>0</v>
      </c>
      <c r="AN198">
        <f t="shared" si="53"/>
        <v>1</v>
      </c>
      <c r="AO198">
        <f t="shared" si="54"/>
        <v>7.0643473401556288E-7</v>
      </c>
      <c r="AP198">
        <f t="shared" si="55"/>
        <v>5.3662076385459358E-7</v>
      </c>
    </row>
    <row r="199" spans="1:42" x14ac:dyDescent="0.35">
      <c r="A199" s="7" t="s">
        <v>34</v>
      </c>
      <c r="B199" s="11" t="s">
        <v>70</v>
      </c>
      <c r="C199" s="16">
        <f t="shared" si="42"/>
        <v>1.1412818593541299E-2</v>
      </c>
      <c r="D199">
        <v>1.1412818593541299E-2</v>
      </c>
      <c r="E199">
        <v>0</v>
      </c>
      <c r="F199">
        <v>1.1412818593541299E-2</v>
      </c>
      <c r="G199">
        <v>0</v>
      </c>
      <c r="H199" s="16">
        <v>0</v>
      </c>
      <c r="I199">
        <v>0</v>
      </c>
      <c r="J199">
        <v>0</v>
      </c>
      <c r="K199">
        <v>0</v>
      </c>
      <c r="L199">
        <v>8.6204843262379998E-4</v>
      </c>
      <c r="M199">
        <v>6.3527095195140004E-4</v>
      </c>
      <c r="N199">
        <v>0</v>
      </c>
      <c r="O199">
        <v>0</v>
      </c>
      <c r="P199">
        <v>8.6204843262379998E-4</v>
      </c>
      <c r="Q199">
        <v>6.3527095195140004E-4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1796.5276955414199</v>
      </c>
      <c r="AC199">
        <v>1323.9184901480501</v>
      </c>
      <c r="AD199">
        <f t="shared" si="43"/>
        <v>1</v>
      </c>
      <c r="AE199">
        <f t="shared" si="44"/>
        <v>1</v>
      </c>
      <c r="AF199">
        <f t="shared" si="45"/>
        <v>0</v>
      </c>
      <c r="AG199">
        <f t="shared" si="46"/>
        <v>0</v>
      </c>
      <c r="AH199">
        <f t="shared" si="47"/>
        <v>1</v>
      </c>
      <c r="AI199">
        <f t="shared" si="48"/>
        <v>0</v>
      </c>
      <c r="AJ199">
        <f t="shared" si="49"/>
        <v>0</v>
      </c>
      <c r="AK199">
        <f t="shared" si="50"/>
        <v>0</v>
      </c>
      <c r="AL199">
        <f t="shared" si="51"/>
        <v>0</v>
      </c>
      <c r="AM199" t="e">
        <f t="shared" si="52"/>
        <v>#DIV/0!</v>
      </c>
      <c r="AN199" t="e">
        <f t="shared" si="53"/>
        <v>#DIV/0!</v>
      </c>
      <c r="AO199">
        <f t="shared" si="54"/>
        <v>8.6204843262405345E-6</v>
      </c>
      <c r="AP199">
        <f t="shared" si="55"/>
        <v>6.3527095195166559E-6</v>
      </c>
    </row>
    <row r="200" spans="1:42" x14ac:dyDescent="0.35">
      <c r="A200" s="7" t="s">
        <v>35</v>
      </c>
      <c r="B200" s="11" t="s">
        <v>70</v>
      </c>
      <c r="C200" s="16">
        <f t="shared" si="42"/>
        <v>0</v>
      </c>
      <c r="D200">
        <v>0</v>
      </c>
      <c r="E200">
        <v>0</v>
      </c>
      <c r="F200">
        <v>0</v>
      </c>
      <c r="G200">
        <v>0</v>
      </c>
      <c r="H200" s="16">
        <v>15.395615788971099</v>
      </c>
      <c r="I200">
        <v>0</v>
      </c>
      <c r="J200">
        <v>15.395615788971099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0.4876060525070649</v>
      </c>
      <c r="U200">
        <v>0.52330648617822106</v>
      </c>
      <c r="V200">
        <v>0</v>
      </c>
      <c r="W200">
        <v>0</v>
      </c>
      <c r="X200">
        <v>0.4876060525070649</v>
      </c>
      <c r="Y200">
        <v>0.52330648617822106</v>
      </c>
      <c r="Z200">
        <v>0</v>
      </c>
      <c r="AA200">
        <v>0</v>
      </c>
      <c r="AB200">
        <v>2941.9883367789698</v>
      </c>
      <c r="AC200">
        <v>3157.38816403392</v>
      </c>
      <c r="AD200">
        <f t="shared" si="43"/>
        <v>0</v>
      </c>
      <c r="AE200">
        <f t="shared" si="44"/>
        <v>0</v>
      </c>
      <c r="AF200">
        <f t="shared" si="45"/>
        <v>0</v>
      </c>
      <c r="AG200">
        <f t="shared" si="46"/>
        <v>0</v>
      </c>
      <c r="AH200" t="e">
        <f t="shared" si="47"/>
        <v>#DIV/0!</v>
      </c>
      <c r="AI200" t="e">
        <f t="shared" si="48"/>
        <v>#DIV/0!</v>
      </c>
      <c r="AJ200">
        <f t="shared" si="49"/>
        <v>1</v>
      </c>
      <c r="AK200">
        <f t="shared" si="50"/>
        <v>0</v>
      </c>
      <c r="AL200">
        <f t="shared" si="51"/>
        <v>1</v>
      </c>
      <c r="AM200">
        <f t="shared" si="52"/>
        <v>0</v>
      </c>
      <c r="AN200">
        <f t="shared" si="53"/>
        <v>1</v>
      </c>
      <c r="AO200">
        <f t="shared" si="54"/>
        <v>4.8760605250706525E-3</v>
      </c>
      <c r="AP200">
        <f t="shared" si="55"/>
        <v>5.2330648617822054E-3</v>
      </c>
    </row>
    <row r="201" spans="1:42" x14ac:dyDescent="0.35">
      <c r="A201" s="7" t="s">
        <v>36</v>
      </c>
      <c r="B201" s="11" t="s">
        <v>70</v>
      </c>
      <c r="C201" s="16">
        <f t="shared" si="42"/>
        <v>0.27200000000027469</v>
      </c>
      <c r="D201">
        <v>0.27200000000084401</v>
      </c>
      <c r="E201">
        <v>-3.1000000000000232</v>
      </c>
      <c r="F201">
        <v>3.3720000000002979</v>
      </c>
      <c r="G201">
        <v>0</v>
      </c>
      <c r="H201" s="16">
        <v>0</v>
      </c>
      <c r="I201">
        <v>0</v>
      </c>
      <c r="J201">
        <v>0</v>
      </c>
      <c r="K201">
        <v>0</v>
      </c>
      <c r="L201">
        <v>1.3648468991078E-3</v>
      </c>
      <c r="M201">
        <v>1.3617557193335E-3</v>
      </c>
      <c r="N201">
        <v>-1.55552403942316E-2</v>
      </c>
      <c r="O201">
        <v>-1.5520010036498199E-2</v>
      </c>
      <c r="P201">
        <v>1.6920087293339402E-2</v>
      </c>
      <c r="Q201">
        <v>1.6881765755829999E-2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19974.2138871676</v>
      </c>
      <c r="AC201">
        <v>19928.975197</v>
      </c>
      <c r="AD201">
        <f t="shared" si="43"/>
        <v>1</v>
      </c>
      <c r="AE201">
        <f t="shared" si="44"/>
        <v>12.397058823492038</v>
      </c>
      <c r="AF201">
        <f t="shared" si="45"/>
        <v>-11.397058823494133</v>
      </c>
      <c r="AG201">
        <f t="shared" si="46"/>
        <v>0</v>
      </c>
      <c r="AH201">
        <f t="shared" si="47"/>
        <v>12.397058823492038</v>
      </c>
      <c r="AI201">
        <f t="shared" si="48"/>
        <v>-11.397058823494133</v>
      </c>
      <c r="AJ201">
        <f t="shared" si="49"/>
        <v>0</v>
      </c>
      <c r="AK201">
        <f t="shared" si="50"/>
        <v>0</v>
      </c>
      <c r="AL201">
        <f t="shared" si="51"/>
        <v>0</v>
      </c>
      <c r="AM201" t="e">
        <f t="shared" si="52"/>
        <v>#DIV/0!</v>
      </c>
      <c r="AN201" t="e">
        <f t="shared" si="53"/>
        <v>#DIV/0!</v>
      </c>
      <c r="AO201">
        <f t="shared" si="54"/>
        <v>1.3648468991109459E-5</v>
      </c>
      <c r="AP201">
        <f t="shared" si="55"/>
        <v>1.3617557193356679E-5</v>
      </c>
    </row>
    <row r="202" spans="1:42" x14ac:dyDescent="0.35">
      <c r="A202" s="7" t="s">
        <v>37</v>
      </c>
      <c r="B202" s="11" t="s">
        <v>70</v>
      </c>
      <c r="C202" s="16">
        <f t="shared" si="42"/>
        <v>-2.6645352591003757E-14</v>
      </c>
      <c r="D202">
        <v>-1.7763568394002501E-14</v>
      </c>
      <c r="E202">
        <v>-1.154631945610163E-14</v>
      </c>
      <c r="F202">
        <v>-5.3290705182007514E-15</v>
      </c>
      <c r="G202">
        <v>-9.7699626167013776E-15</v>
      </c>
      <c r="H202" s="16">
        <v>-2.442490654175344E-15</v>
      </c>
      <c r="I202">
        <v>-1.9984014443252822E-15</v>
      </c>
      <c r="J202">
        <v>-4.163336342344337E-16</v>
      </c>
      <c r="K202">
        <v>-2.664535259100376E-14</v>
      </c>
      <c r="L202">
        <v>-1.332267629550188E-15</v>
      </c>
      <c r="M202">
        <v>-7.2164496600635175E-16</v>
      </c>
      <c r="N202">
        <v>-8.3266726846886741E-16</v>
      </c>
      <c r="O202">
        <v>-4.7184478546569153E-16</v>
      </c>
      <c r="P202">
        <v>-4.163336342344337E-16</v>
      </c>
      <c r="Q202">
        <v>-2.3592239273284581E-16</v>
      </c>
      <c r="R202">
        <v>-7.7715611723760968E-16</v>
      </c>
      <c r="S202">
        <v>-4.163336342344337E-16</v>
      </c>
      <c r="T202">
        <v>-1.8041124150158801E-16</v>
      </c>
      <c r="U202">
        <v>-9.714451465470121E-17</v>
      </c>
      <c r="V202">
        <v>-1.52655665885959E-16</v>
      </c>
      <c r="W202">
        <v>-8.3266726846886741E-17</v>
      </c>
      <c r="X202">
        <v>-3.2959746043559329E-17</v>
      </c>
      <c r="Y202">
        <v>-1.647987302177967E-17</v>
      </c>
      <c r="Z202">
        <v>-2.109423746787797E-15</v>
      </c>
      <c r="AA202">
        <v>-1.165734175856414E-15</v>
      </c>
      <c r="AB202">
        <v>2381.6675591522499</v>
      </c>
      <c r="AC202">
        <v>1279.1513266244399</v>
      </c>
      <c r="AD202">
        <f t="shared" si="43"/>
        <v>0.87912087912087911</v>
      </c>
      <c r="AE202">
        <f t="shared" si="44"/>
        <v>0.2637362637362638</v>
      </c>
      <c r="AF202">
        <f t="shared" si="45"/>
        <v>0.57142857142857162</v>
      </c>
      <c r="AG202">
        <f t="shared" si="46"/>
        <v>0.48351648351648358</v>
      </c>
      <c r="AH202">
        <f t="shared" si="47"/>
        <v>0.30000000000000004</v>
      </c>
      <c r="AI202">
        <f t="shared" si="48"/>
        <v>0.65000000000000024</v>
      </c>
      <c r="AJ202">
        <f t="shared" si="49"/>
        <v>8.3969465648854949E-2</v>
      </c>
      <c r="AK202">
        <f t="shared" si="50"/>
        <v>9.8901098901098938E-2</v>
      </c>
      <c r="AL202">
        <f t="shared" si="51"/>
        <v>2.0604395604395608E-2</v>
      </c>
      <c r="AM202">
        <f t="shared" si="52"/>
        <v>0.81818181818181845</v>
      </c>
      <c r="AN202">
        <f t="shared" si="53"/>
        <v>0.17045454545454547</v>
      </c>
      <c r="AO202">
        <f t="shared" si="54"/>
        <v>-1.5796457094329671E-17</v>
      </c>
      <c r="AP202">
        <f t="shared" si="55"/>
        <v>-8.4839964211336678E-18</v>
      </c>
    </row>
    <row r="203" spans="1:42" x14ac:dyDescent="0.35">
      <c r="A203" s="7" t="s">
        <v>38</v>
      </c>
      <c r="B203" s="11" t="s">
        <v>70</v>
      </c>
      <c r="C203" s="16">
        <f t="shared" si="42"/>
        <v>6.4348398866345011</v>
      </c>
      <c r="D203">
        <v>6.4771357218701624</v>
      </c>
      <c r="E203">
        <v>0.60354303931876307</v>
      </c>
      <c r="F203">
        <v>5.8735926825513989</v>
      </c>
      <c r="G203">
        <v>-4.2295835235661203E-2</v>
      </c>
      <c r="H203" s="16">
        <v>7.2337052758079695E-2</v>
      </c>
      <c r="I203">
        <v>4.4287991484539E-3</v>
      </c>
      <c r="J203">
        <v>6.7908253609623104E-2</v>
      </c>
      <c r="K203">
        <v>0.5273109280821302</v>
      </c>
      <c r="L203">
        <v>0.64962766669383099</v>
      </c>
      <c r="M203">
        <v>0.2775379970503965</v>
      </c>
      <c r="N203">
        <v>6.0532660302005298E-2</v>
      </c>
      <c r="O203">
        <v>2.5861141939738999E-2</v>
      </c>
      <c r="P203">
        <v>0.58909500639182544</v>
      </c>
      <c r="Q203">
        <v>0.2516768551106574</v>
      </c>
      <c r="R203">
        <v>-4.2420826017640998E-3</v>
      </c>
      <c r="S203">
        <v>-1.8123290755268E-3</v>
      </c>
      <c r="T203">
        <v>7.255082001766E-3</v>
      </c>
      <c r="U203">
        <v>3.0995615341544002E-3</v>
      </c>
      <c r="V203">
        <v>4.4418869398559998E-4</v>
      </c>
      <c r="W203">
        <v>1.897690735196E-4</v>
      </c>
      <c r="X203">
        <v>6.8108933077802997E-3</v>
      </c>
      <c r="Y203">
        <v>2.9097924606344E-3</v>
      </c>
      <c r="Z203">
        <v>5.2886921401925802E-2</v>
      </c>
      <c r="AA203">
        <v>2.2594681520807201E-2</v>
      </c>
      <c r="AB203">
        <v>2333.7834064911899</v>
      </c>
      <c r="AC203">
        <v>997.05355143423003</v>
      </c>
      <c r="AD203">
        <f t="shared" si="43"/>
        <v>0.98895528613565609</v>
      </c>
      <c r="AE203">
        <f t="shared" si="44"/>
        <v>0.89680389317822495</v>
      </c>
      <c r="AF203">
        <f t="shared" si="45"/>
        <v>9.2151392957430994E-2</v>
      </c>
      <c r="AG203">
        <f t="shared" si="46"/>
        <v>-6.4578992372499753E-3</v>
      </c>
      <c r="AH203">
        <f t="shared" si="47"/>
        <v>0.90681945458068913</v>
      </c>
      <c r="AI203">
        <f t="shared" si="48"/>
        <v>9.3180545419310798E-2</v>
      </c>
      <c r="AJ203">
        <f t="shared" si="49"/>
        <v>1.1116503121372334E-2</v>
      </c>
      <c r="AK203">
        <f t="shared" si="50"/>
        <v>6.7620697128636974E-4</v>
      </c>
      <c r="AL203">
        <f t="shared" si="51"/>
        <v>1.0368506893057156E-2</v>
      </c>
      <c r="AM203">
        <f t="shared" si="52"/>
        <v>6.1224489795918935E-2</v>
      </c>
      <c r="AN203">
        <f t="shared" si="53"/>
        <v>0.93877551020404382</v>
      </c>
      <c r="AO203">
        <f t="shared" si="54"/>
        <v>6.568827486955974E-3</v>
      </c>
      <c r="AP203">
        <f t="shared" si="55"/>
        <v>2.8063755858455095E-3</v>
      </c>
    </row>
    <row r="204" spans="1:42" x14ac:dyDescent="0.35">
      <c r="A204" s="9" t="s">
        <v>39</v>
      </c>
      <c r="B204" s="11" t="s">
        <v>70</v>
      </c>
      <c r="C204" s="16">
        <f t="shared" si="42"/>
        <v>0</v>
      </c>
      <c r="D204">
        <v>0</v>
      </c>
      <c r="E204">
        <v>0</v>
      </c>
      <c r="F204">
        <v>0</v>
      </c>
      <c r="G204">
        <v>0</v>
      </c>
      <c r="H204" s="16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468.59916169988998</v>
      </c>
      <c r="AC204">
        <v>413.94954015926999</v>
      </c>
      <c r="AD204" t="e">
        <f t="shared" si="43"/>
        <v>#DIV/0!</v>
      </c>
      <c r="AE204" t="e">
        <f t="shared" si="44"/>
        <v>#DIV/0!</v>
      </c>
      <c r="AF204" t="e">
        <f t="shared" si="45"/>
        <v>#DIV/0!</v>
      </c>
      <c r="AG204" t="e">
        <f t="shared" si="46"/>
        <v>#DIV/0!</v>
      </c>
      <c r="AH204" t="e">
        <f t="shared" si="47"/>
        <v>#DIV/0!</v>
      </c>
      <c r="AI204" t="e">
        <f t="shared" si="48"/>
        <v>#DIV/0!</v>
      </c>
      <c r="AJ204" t="e">
        <f t="shared" si="49"/>
        <v>#DIV/0!</v>
      </c>
      <c r="AK204" t="e">
        <f t="shared" si="50"/>
        <v>#DIV/0!</v>
      </c>
      <c r="AL204" t="e">
        <f t="shared" si="51"/>
        <v>#DIV/0!</v>
      </c>
      <c r="AM204" t="e">
        <f t="shared" si="52"/>
        <v>#DIV/0!</v>
      </c>
      <c r="AN204" t="e">
        <f t="shared" si="53"/>
        <v>#DIV/0!</v>
      </c>
      <c r="AO204">
        <f t="shared" si="54"/>
        <v>0</v>
      </c>
      <c r="AP204">
        <f t="shared" si="55"/>
        <v>0</v>
      </c>
    </row>
    <row r="205" spans="1:42" x14ac:dyDescent="0.35">
      <c r="A205" s="7" t="s">
        <v>40</v>
      </c>
      <c r="B205" s="11" t="s">
        <v>70</v>
      </c>
      <c r="C205" s="16">
        <f t="shared" si="42"/>
        <v>0.68476911561264764</v>
      </c>
      <c r="D205">
        <v>1.141281859354407</v>
      </c>
      <c r="E205">
        <v>0.91302548748352841</v>
      </c>
      <c r="F205">
        <v>0.22825637187088429</v>
      </c>
      <c r="G205">
        <v>-0.45651274374176509</v>
      </c>
      <c r="H205" s="16">
        <v>0.5706409296772037</v>
      </c>
      <c r="I205">
        <v>0.57064092967720637</v>
      </c>
      <c r="J205">
        <v>0</v>
      </c>
      <c r="K205">
        <v>0</v>
      </c>
      <c r="L205">
        <v>0.2304886460988555</v>
      </c>
      <c r="M205">
        <v>0.2055171458543521</v>
      </c>
      <c r="N205">
        <v>0.18439091687908471</v>
      </c>
      <c r="O205">
        <v>0.1644137166834809</v>
      </c>
      <c r="P205">
        <v>4.6097729219771198E-2</v>
      </c>
      <c r="Q205">
        <v>4.1103429170870898E-2</v>
      </c>
      <c r="R205">
        <v>-9.2195458439542105E-2</v>
      </c>
      <c r="S205">
        <v>-8.2206858341740102E-2</v>
      </c>
      <c r="T205">
        <v>0.11524432304942769</v>
      </c>
      <c r="U205">
        <v>0.10275857292717561</v>
      </c>
      <c r="V205">
        <v>0.1152443230494281</v>
      </c>
      <c r="W205">
        <v>0.1027585729271758</v>
      </c>
      <c r="X205">
        <v>0</v>
      </c>
      <c r="Y205">
        <v>0</v>
      </c>
      <c r="Z205">
        <v>0</v>
      </c>
      <c r="AA205">
        <v>0</v>
      </c>
      <c r="AB205">
        <v>555.32196820367994</v>
      </c>
      <c r="AC205">
        <v>495.15751802582002</v>
      </c>
      <c r="AD205">
        <f t="shared" si="43"/>
        <v>0.66666666666666663</v>
      </c>
      <c r="AE205">
        <f t="shared" si="44"/>
        <v>0.13333333333333502</v>
      </c>
      <c r="AF205">
        <f t="shared" si="45"/>
        <v>0.53333333333333488</v>
      </c>
      <c r="AG205">
        <f t="shared" si="46"/>
        <v>-0.266666666666668</v>
      </c>
      <c r="AH205">
        <f t="shared" si="47"/>
        <v>0.20000000000000254</v>
      </c>
      <c r="AI205">
        <f t="shared" si="48"/>
        <v>0.80000000000000249</v>
      </c>
      <c r="AJ205">
        <f t="shared" si="49"/>
        <v>0.45454545454545336</v>
      </c>
      <c r="AK205">
        <f t="shared" si="50"/>
        <v>0.33333333333333498</v>
      </c>
      <c r="AL205">
        <f t="shared" si="51"/>
        <v>0</v>
      </c>
      <c r="AM205">
        <f t="shared" si="52"/>
        <v>1.0000000000000047</v>
      </c>
      <c r="AN205">
        <f t="shared" si="53"/>
        <v>0</v>
      </c>
      <c r="AO205">
        <f t="shared" si="54"/>
        <v>3.457329691482827E-3</v>
      </c>
      <c r="AP205">
        <f t="shared" si="55"/>
        <v>3.0827571878152583E-3</v>
      </c>
    </row>
    <row r="206" spans="1:42" x14ac:dyDescent="0.35">
      <c r="A206" s="9" t="s">
        <v>41</v>
      </c>
      <c r="B206" s="11" t="s">
        <v>70</v>
      </c>
      <c r="C206" s="16">
        <f t="shared" si="42"/>
        <v>10.27563253304036</v>
      </c>
      <c r="D206">
        <v>10.27563253304036</v>
      </c>
      <c r="E206">
        <v>3.6363244687153311</v>
      </c>
      <c r="F206">
        <v>6.6393080643250286</v>
      </c>
      <c r="G206">
        <v>0</v>
      </c>
      <c r="H206" s="16">
        <v>0.49977919238267532</v>
      </c>
      <c r="I206">
        <v>0</v>
      </c>
      <c r="J206">
        <v>0.49977919238267532</v>
      </c>
      <c r="K206">
        <v>0</v>
      </c>
      <c r="L206">
        <v>4.7651715685039084</v>
      </c>
      <c r="M206">
        <v>2.522272088593748</v>
      </c>
      <c r="N206">
        <v>1.686291322355262</v>
      </c>
      <c r="O206">
        <v>0.89257762799711693</v>
      </c>
      <c r="P206">
        <v>3.0788802461486462</v>
      </c>
      <c r="Q206">
        <v>1.6296944605966319</v>
      </c>
      <c r="R206">
        <v>0</v>
      </c>
      <c r="S206">
        <v>0</v>
      </c>
      <c r="T206">
        <v>0.23176515804882669</v>
      </c>
      <c r="U206">
        <v>0.12267654602804071</v>
      </c>
      <c r="V206">
        <v>0</v>
      </c>
      <c r="W206">
        <v>0</v>
      </c>
      <c r="X206">
        <v>0.23176515804882669</v>
      </c>
      <c r="Y206">
        <v>0.12267654602804071</v>
      </c>
      <c r="Z206">
        <v>0</v>
      </c>
      <c r="AA206">
        <v>0</v>
      </c>
      <c r="AB206">
        <v>407.39587848230002</v>
      </c>
      <c r="AC206">
        <v>215.64034757863999</v>
      </c>
      <c r="AD206">
        <f t="shared" si="43"/>
        <v>0.95361855257896844</v>
      </c>
      <c r="AE206">
        <f t="shared" si="44"/>
        <v>0.61615353858456612</v>
      </c>
      <c r="AF206">
        <f t="shared" si="45"/>
        <v>0.33746501399440226</v>
      </c>
      <c r="AG206">
        <f t="shared" si="46"/>
        <v>0</v>
      </c>
      <c r="AH206">
        <f t="shared" si="47"/>
        <v>0.64612159329140451</v>
      </c>
      <c r="AI206">
        <f t="shared" si="48"/>
        <v>0.35387840670859544</v>
      </c>
      <c r="AJ206">
        <f t="shared" si="49"/>
        <v>4.6381447421031542E-2</v>
      </c>
      <c r="AK206">
        <f t="shared" si="50"/>
        <v>0</v>
      </c>
      <c r="AL206">
        <f t="shared" si="51"/>
        <v>4.6381447421031542E-2</v>
      </c>
      <c r="AM206">
        <f t="shared" si="52"/>
        <v>0</v>
      </c>
      <c r="AN206">
        <f t="shared" si="53"/>
        <v>1</v>
      </c>
      <c r="AO206">
        <f t="shared" si="54"/>
        <v>4.9969367265527365E-2</v>
      </c>
      <c r="AP206">
        <f t="shared" si="55"/>
        <v>2.6449486346217885E-2</v>
      </c>
    </row>
    <row r="207" spans="1:42" x14ac:dyDescent="0.35">
      <c r="A207" s="9" t="s">
        <v>42</v>
      </c>
      <c r="B207" s="11" t="s">
        <v>70</v>
      </c>
      <c r="C207" s="16">
        <f t="shared" si="42"/>
        <v>-5.7014876505385779</v>
      </c>
      <c r="D207">
        <v>-5.7014876505385761</v>
      </c>
      <c r="E207">
        <v>0</v>
      </c>
      <c r="F207">
        <v>-5.7014876505385779</v>
      </c>
      <c r="G207">
        <v>0</v>
      </c>
      <c r="H207" s="16">
        <v>7.8223493436008482</v>
      </c>
      <c r="I207">
        <v>9.2782922355949484</v>
      </c>
      <c r="J207">
        <v>-1.455942891994098</v>
      </c>
      <c r="K207">
        <v>0</v>
      </c>
      <c r="L207">
        <v>-1.7142044659113751</v>
      </c>
      <c r="M207">
        <v>-1.8329012771360631</v>
      </c>
      <c r="N207">
        <v>0</v>
      </c>
      <c r="O207">
        <v>0</v>
      </c>
      <c r="P207">
        <v>-1.7142044659113751</v>
      </c>
      <c r="Q207">
        <v>-1.8329012771360631</v>
      </c>
      <c r="R207">
        <v>0</v>
      </c>
      <c r="S207">
        <v>0</v>
      </c>
      <c r="T207">
        <v>2.351860952895835</v>
      </c>
      <c r="U207">
        <v>2.5147110685640222</v>
      </c>
      <c r="V207">
        <v>2.7896035142311102</v>
      </c>
      <c r="W207">
        <v>2.9827642767334841</v>
      </c>
      <c r="X207">
        <v>-0.43774256133527611</v>
      </c>
      <c r="Y207">
        <v>-0.46805320816946328</v>
      </c>
      <c r="Z207">
        <v>0</v>
      </c>
      <c r="AA207">
        <v>0</v>
      </c>
      <c r="AB207">
        <v>311.06354290107998</v>
      </c>
      <c r="AC207">
        <v>332.60254327404999</v>
      </c>
      <c r="AD207">
        <f t="shared" si="43"/>
        <v>-2.6882882882882879</v>
      </c>
      <c r="AE207">
        <f t="shared" si="44"/>
        <v>-2.6882882882882888</v>
      </c>
      <c r="AF207">
        <f t="shared" si="45"/>
        <v>0</v>
      </c>
      <c r="AG207">
        <f t="shared" si="46"/>
        <v>0</v>
      </c>
      <c r="AH207">
        <f t="shared" si="47"/>
        <v>1.0000000000000002</v>
      </c>
      <c r="AI207">
        <f t="shared" si="48"/>
        <v>0</v>
      </c>
      <c r="AJ207">
        <f t="shared" si="49"/>
        <v>3.688288288288291</v>
      </c>
      <c r="AK207">
        <f t="shared" si="50"/>
        <v>4.3747747747747745</v>
      </c>
      <c r="AL207">
        <f t="shared" si="51"/>
        <v>-0.68648648648648536</v>
      </c>
      <c r="AM207">
        <f t="shared" si="52"/>
        <v>1.1861260381045433</v>
      </c>
      <c r="AN207">
        <f t="shared" si="53"/>
        <v>-0.18612603810454295</v>
      </c>
      <c r="AO207">
        <f t="shared" si="54"/>
        <v>6.37656486984459E-3</v>
      </c>
      <c r="AP207">
        <f t="shared" si="55"/>
        <v>6.8180979142795865E-3</v>
      </c>
    </row>
    <row r="208" spans="1:42" x14ac:dyDescent="0.35">
      <c r="A208" s="9" t="s">
        <v>43</v>
      </c>
      <c r="B208" s="11" t="s">
        <v>70</v>
      </c>
      <c r="C208" s="16">
        <f t="shared" si="42"/>
        <v>0.61379999999999979</v>
      </c>
      <c r="D208">
        <v>0.6137999999999999</v>
      </c>
      <c r="E208">
        <v>0.21110000000000001</v>
      </c>
      <c r="F208">
        <v>0.40269999999999978</v>
      </c>
      <c r="G208">
        <v>0</v>
      </c>
      <c r="H208" s="16">
        <v>-0.17325621916755879</v>
      </c>
      <c r="I208">
        <v>-0.1201896021839934</v>
      </c>
      <c r="J208">
        <v>-5.3066616983565199E-2</v>
      </c>
      <c r="K208">
        <v>0</v>
      </c>
      <c r="L208">
        <v>2.2821526946175101</v>
      </c>
      <c r="M208">
        <v>1.33691782336267</v>
      </c>
      <c r="N208">
        <v>0.78488503394225595</v>
      </c>
      <c r="O208">
        <v>0.45979692491342422</v>
      </c>
      <c r="P208">
        <v>1.497267660675254</v>
      </c>
      <c r="Q208">
        <v>0.87712089844924601</v>
      </c>
      <c r="R208">
        <v>0</v>
      </c>
      <c r="S208">
        <v>0</v>
      </c>
      <c r="T208">
        <v>-0.64417912582679371</v>
      </c>
      <c r="U208">
        <v>-0.37736938320876229</v>
      </c>
      <c r="V208">
        <v>-0.4468736143519178</v>
      </c>
      <c r="W208">
        <v>-0.2617849810079016</v>
      </c>
      <c r="X208">
        <v>-0.19730551147487579</v>
      </c>
      <c r="Y208">
        <v>-0.115584402200861</v>
      </c>
      <c r="Z208">
        <v>0</v>
      </c>
      <c r="AA208">
        <v>0</v>
      </c>
      <c r="AB208">
        <v>45.911572818750003</v>
      </c>
      <c r="AC208">
        <v>26.895658710639999</v>
      </c>
      <c r="AD208">
        <f t="shared" si="43"/>
        <v>1.3932780956303092</v>
      </c>
      <c r="AE208">
        <f t="shared" si="44"/>
        <v>0.91409757104973177</v>
      </c>
      <c r="AF208">
        <f t="shared" si="45"/>
        <v>0.47918052458057731</v>
      </c>
      <c r="AG208">
        <f t="shared" si="46"/>
        <v>0</v>
      </c>
      <c r="AH208">
        <f t="shared" si="47"/>
        <v>0.65607689801238167</v>
      </c>
      <c r="AI208">
        <f t="shared" si="48"/>
        <v>0.34392310198761816</v>
      </c>
      <c r="AJ208">
        <f t="shared" si="49"/>
        <v>-0.39327809563030935</v>
      </c>
      <c r="AK208">
        <f t="shared" si="50"/>
        <v>-0.27282101669188469</v>
      </c>
      <c r="AL208">
        <f t="shared" si="51"/>
        <v>-0.12045707893842418</v>
      </c>
      <c r="AM208">
        <f t="shared" si="52"/>
        <v>0.69371017537763624</v>
      </c>
      <c r="AN208">
        <f t="shared" si="53"/>
        <v>0.30628982462236259</v>
      </c>
      <c r="AO208">
        <f t="shared" si="54"/>
        <v>1.6379735687907161E-2</v>
      </c>
      <c r="AP208">
        <f t="shared" si="55"/>
        <v>9.5954844015390776E-3</v>
      </c>
    </row>
    <row r="209" spans="1:42" x14ac:dyDescent="0.35">
      <c r="A209" s="9" t="s">
        <v>44</v>
      </c>
      <c r="B209" s="11" t="s">
        <v>70</v>
      </c>
      <c r="C209" s="16">
        <f t="shared" si="42"/>
        <v>4.7477325349143564</v>
      </c>
      <c r="D209">
        <v>4.7477325349143564</v>
      </c>
      <c r="E209">
        <v>1.9972432538702221</v>
      </c>
      <c r="F209">
        <v>2.7504892810441341</v>
      </c>
      <c r="G209">
        <v>0</v>
      </c>
      <c r="H209" s="16">
        <v>0</v>
      </c>
      <c r="I209">
        <v>0</v>
      </c>
      <c r="J209">
        <v>0</v>
      </c>
      <c r="K209">
        <v>0</v>
      </c>
      <c r="L209">
        <v>1.8637257634241731</v>
      </c>
      <c r="M209">
        <v>1.869757869946526</v>
      </c>
      <c r="N209">
        <v>0.78401925144045759</v>
      </c>
      <c r="O209">
        <v>0.78655679625154373</v>
      </c>
      <c r="P209">
        <v>1.0797065119837159</v>
      </c>
      <c r="Q209">
        <v>1.0832010736949831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253.92231856471</v>
      </c>
      <c r="AC209">
        <v>254.7441596875</v>
      </c>
      <c r="AD209">
        <f t="shared" si="43"/>
        <v>1</v>
      </c>
      <c r="AE209">
        <f t="shared" si="44"/>
        <v>0.57932692307692302</v>
      </c>
      <c r="AF209">
        <f t="shared" si="45"/>
        <v>0.42067307692307693</v>
      </c>
      <c r="AG209">
        <f t="shared" si="46"/>
        <v>0</v>
      </c>
      <c r="AH209">
        <f t="shared" si="47"/>
        <v>0.57932692307692302</v>
      </c>
      <c r="AI209">
        <f t="shared" si="48"/>
        <v>0.42067307692307693</v>
      </c>
      <c r="AJ209">
        <f t="shared" si="49"/>
        <v>0</v>
      </c>
      <c r="AK209">
        <f t="shared" si="50"/>
        <v>0</v>
      </c>
      <c r="AL209">
        <f t="shared" si="51"/>
        <v>0</v>
      </c>
      <c r="AM209" t="e">
        <f t="shared" si="52"/>
        <v>#DIV/0!</v>
      </c>
      <c r="AN209" t="e">
        <f t="shared" si="53"/>
        <v>#DIV/0!</v>
      </c>
      <c r="AO209">
        <f t="shared" si="54"/>
        <v>1.863725763424174E-2</v>
      </c>
      <c r="AP209">
        <f t="shared" si="55"/>
        <v>1.869757869946527E-2</v>
      </c>
    </row>
    <row r="210" spans="1:42" x14ac:dyDescent="0.35">
      <c r="A210" s="9" t="s">
        <v>45</v>
      </c>
      <c r="B210" s="11" t="s">
        <v>70</v>
      </c>
      <c r="C210" s="16">
        <f t="shared" si="42"/>
        <v>14.505692432394579</v>
      </c>
      <c r="D210">
        <v>13.558428489130421</v>
      </c>
      <c r="E210">
        <v>4.56512743741763E-2</v>
      </c>
      <c r="F210">
        <v>13.512777214756239</v>
      </c>
      <c r="G210">
        <v>0.94726394326416241</v>
      </c>
      <c r="H210" s="16">
        <v>5.6949964781785178</v>
      </c>
      <c r="I210">
        <v>2.5907098207345158</v>
      </c>
      <c r="J210">
        <v>3.104286657444002</v>
      </c>
      <c r="K210">
        <v>0</v>
      </c>
      <c r="L210">
        <v>6.6494499562066292</v>
      </c>
      <c r="M210">
        <v>4.4963238828922023</v>
      </c>
      <c r="N210">
        <v>2.2388720391268001E-2</v>
      </c>
      <c r="O210">
        <v>1.51391376528356E-2</v>
      </c>
      <c r="P210">
        <v>6.6270612358153631</v>
      </c>
      <c r="Q210">
        <v>4.4811847452393661</v>
      </c>
      <c r="R210">
        <v>0.46456594811881358</v>
      </c>
      <c r="S210">
        <v>0.31413710629634078</v>
      </c>
      <c r="T210">
        <v>2.7929928688106971</v>
      </c>
      <c r="U210">
        <v>1.888607422191253</v>
      </c>
      <c r="V210">
        <v>1.2705598822044659</v>
      </c>
      <c r="W210">
        <v>0.85914606179842568</v>
      </c>
      <c r="X210">
        <v>1.5224329866062321</v>
      </c>
      <c r="Y210">
        <v>1.0294613603928271</v>
      </c>
      <c r="Z210">
        <v>0</v>
      </c>
      <c r="AA210">
        <v>0</v>
      </c>
      <c r="AB210">
        <v>301.54474727050001</v>
      </c>
      <c r="AC210">
        <v>203.90300819506001</v>
      </c>
      <c r="AD210">
        <f t="shared" si="43"/>
        <v>0.70420865441612335</v>
      </c>
      <c r="AE210">
        <f t="shared" si="44"/>
        <v>0.70183758150563114</v>
      </c>
      <c r="AF210">
        <f t="shared" si="45"/>
        <v>2.3710729104919875E-3</v>
      </c>
      <c r="AG210">
        <f t="shared" si="46"/>
        <v>4.9199762892708956E-2</v>
      </c>
      <c r="AH210">
        <f t="shared" si="47"/>
        <v>0.99663299663299632</v>
      </c>
      <c r="AI210">
        <f t="shared" si="48"/>
        <v>3.3670033670033521E-3</v>
      </c>
      <c r="AJ210">
        <f t="shared" si="49"/>
        <v>0.28192090395480229</v>
      </c>
      <c r="AK210">
        <f t="shared" si="50"/>
        <v>0.13455838767042086</v>
      </c>
      <c r="AL210">
        <f t="shared" si="51"/>
        <v>0.16123295791345585</v>
      </c>
      <c r="AM210">
        <f t="shared" si="52"/>
        <v>0.45490981963927851</v>
      </c>
      <c r="AN210">
        <f t="shared" si="53"/>
        <v>0.54509018036072154</v>
      </c>
      <c r="AO210">
        <f t="shared" si="54"/>
        <v>9.4424428250173276E-2</v>
      </c>
      <c r="AP210">
        <f t="shared" si="55"/>
        <v>6.3849313050834536E-2</v>
      </c>
    </row>
    <row r="211" spans="1:42" x14ac:dyDescent="0.35">
      <c r="A211" s="9" t="s">
        <v>46</v>
      </c>
      <c r="B211" s="11" t="s">
        <v>70</v>
      </c>
      <c r="C211" s="16">
        <f t="shared" si="42"/>
        <v>0</v>
      </c>
      <c r="D211">
        <v>0</v>
      </c>
      <c r="E211">
        <v>0</v>
      </c>
      <c r="F211">
        <v>0</v>
      </c>
      <c r="G211">
        <v>0</v>
      </c>
      <c r="H211" s="16">
        <v>-1.13737075332348E-2</v>
      </c>
      <c r="I211">
        <v>-1.13737075332348E-2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-5.48659316352813E-2</v>
      </c>
      <c r="U211">
        <v>-5.9644566302236197E-2</v>
      </c>
      <c r="V211">
        <v>-5.4865931635281202E-2</v>
      </c>
      <c r="W211">
        <v>-5.9644566302236003E-2</v>
      </c>
      <c r="X211">
        <v>0</v>
      </c>
      <c r="Y211">
        <v>0</v>
      </c>
      <c r="Z211">
        <v>0</v>
      </c>
      <c r="AA211">
        <v>0</v>
      </c>
      <c r="AB211">
        <v>19.06914282116</v>
      </c>
      <c r="AC211">
        <v>20.729999827290001</v>
      </c>
      <c r="AD211">
        <f t="shared" si="43"/>
        <v>0</v>
      </c>
      <c r="AE211">
        <f t="shared" si="44"/>
        <v>0</v>
      </c>
      <c r="AF211">
        <f t="shared" si="45"/>
        <v>0</v>
      </c>
      <c r="AG211">
        <f t="shared" si="46"/>
        <v>0</v>
      </c>
      <c r="AH211" t="e">
        <f t="shared" si="47"/>
        <v>#DIV/0!</v>
      </c>
      <c r="AI211" t="e">
        <f t="shared" si="48"/>
        <v>#DIV/0!</v>
      </c>
      <c r="AJ211">
        <f t="shared" si="49"/>
        <v>1</v>
      </c>
      <c r="AK211">
        <f t="shared" si="50"/>
        <v>1</v>
      </c>
      <c r="AL211">
        <f t="shared" si="51"/>
        <v>0</v>
      </c>
      <c r="AM211">
        <f t="shared" si="52"/>
        <v>1</v>
      </c>
      <c r="AN211">
        <f t="shared" si="53"/>
        <v>0</v>
      </c>
      <c r="AO211">
        <f t="shared" si="54"/>
        <v>-5.4865931635280989E-4</v>
      </c>
      <c r="AP211">
        <f t="shared" si="55"/>
        <v>-5.9644566302235731E-4</v>
      </c>
    </row>
    <row r="212" spans="1:42" x14ac:dyDescent="0.35">
      <c r="A212" s="9" t="s">
        <v>47</v>
      </c>
      <c r="B212" s="11" t="s">
        <v>70</v>
      </c>
      <c r="C212" s="16">
        <f t="shared" si="42"/>
        <v>7.075487897565349</v>
      </c>
      <c r="D212">
        <v>6.5953424585950131</v>
      </c>
      <c r="E212">
        <v>-0.91100784237983401</v>
      </c>
      <c r="F212">
        <v>7.5063503009748516</v>
      </c>
      <c r="G212">
        <v>0.48014543897033191</v>
      </c>
      <c r="H212" s="16">
        <v>5.864286921181141</v>
      </c>
      <c r="I212">
        <v>2.5309368338247782</v>
      </c>
      <c r="J212">
        <v>3.3333500873563642</v>
      </c>
      <c r="K212">
        <v>0</v>
      </c>
      <c r="L212">
        <v>1.7754873566843989</v>
      </c>
      <c r="M212">
        <v>1.578245587758127</v>
      </c>
      <c r="N212">
        <v>-0.24524623492110481</v>
      </c>
      <c r="O212">
        <v>-0.2180014330833264</v>
      </c>
      <c r="P212">
        <v>2.020733591605504</v>
      </c>
      <c r="Q212">
        <v>1.7962470208414529</v>
      </c>
      <c r="R212">
        <v>0.1292566931305503</v>
      </c>
      <c r="S212">
        <v>0.11489735753593359</v>
      </c>
      <c r="T212">
        <v>1.578684859791925</v>
      </c>
      <c r="U212">
        <v>1.403306199307419</v>
      </c>
      <c r="V212">
        <v>0.68133631835396868</v>
      </c>
      <c r="W212">
        <v>0.6056455621455934</v>
      </c>
      <c r="X212">
        <v>0.89734854143795628</v>
      </c>
      <c r="Y212">
        <v>0.79766063716182589</v>
      </c>
      <c r="Z212">
        <v>0</v>
      </c>
      <c r="AA212">
        <v>0</v>
      </c>
      <c r="AB212">
        <v>417.89075855828003</v>
      </c>
      <c r="AC212">
        <v>371.46659669328</v>
      </c>
      <c r="AD212">
        <f t="shared" si="43"/>
        <v>0.52933696962930876</v>
      </c>
      <c r="AE212">
        <f t="shared" si="44"/>
        <v>0.6024537385645502</v>
      </c>
      <c r="AF212">
        <f t="shared" si="45"/>
        <v>-7.3116768935241064E-2</v>
      </c>
      <c r="AG212">
        <f t="shared" si="46"/>
        <v>3.8536093196293621E-2</v>
      </c>
      <c r="AH212">
        <f t="shared" si="47"/>
        <v>1.1381289672369657</v>
      </c>
      <c r="AI212">
        <f t="shared" si="48"/>
        <v>-0.13812896723696488</v>
      </c>
      <c r="AJ212">
        <f t="shared" si="49"/>
        <v>0.4531985295976913</v>
      </c>
      <c r="AK212">
        <f t="shared" si="50"/>
        <v>0.20313098862578274</v>
      </c>
      <c r="AL212">
        <f t="shared" si="51"/>
        <v>0.26753204174490863</v>
      </c>
      <c r="AM212">
        <f t="shared" si="52"/>
        <v>0.43158475494835025</v>
      </c>
      <c r="AN212">
        <f t="shared" si="53"/>
        <v>0.56841524505164998</v>
      </c>
      <c r="AO212">
        <f t="shared" si="54"/>
        <v>3.3541722164763227E-2</v>
      </c>
      <c r="AP212">
        <f t="shared" si="55"/>
        <v>2.9815517870655433E-2</v>
      </c>
    </row>
    <row r="213" spans="1:42" x14ac:dyDescent="0.35">
      <c r="A213" s="9" t="s">
        <v>48</v>
      </c>
      <c r="B213" s="11" t="s">
        <v>70</v>
      </c>
      <c r="C213" s="16">
        <f t="shared" si="42"/>
        <v>1.1662351082618985</v>
      </c>
      <c r="D213">
        <v>1.166510413053409</v>
      </c>
      <c r="E213">
        <v>1.488969708484992</v>
      </c>
      <c r="F213">
        <v>-0.32245929543158519</v>
      </c>
      <c r="G213">
        <v>-2.753047915082E-4</v>
      </c>
      <c r="H213" s="16">
        <v>-1.184956304280554</v>
      </c>
      <c r="I213">
        <v>0.1559669822328637</v>
      </c>
      <c r="J213">
        <v>-1.340923286513416</v>
      </c>
      <c r="K213">
        <v>0</v>
      </c>
      <c r="L213">
        <v>0.32542252708848268</v>
      </c>
      <c r="M213">
        <v>0.34068972667221858</v>
      </c>
      <c r="N213">
        <v>0.4153793055520727</v>
      </c>
      <c r="O213">
        <v>0.43486682787437791</v>
      </c>
      <c r="P213">
        <v>-8.9956778463591194E-2</v>
      </c>
      <c r="Q213">
        <v>-9.4177101202159705E-2</v>
      </c>
      <c r="R213">
        <v>-7.6802041344636862E-5</v>
      </c>
      <c r="S213">
        <v>-8.0405209521350329E-5</v>
      </c>
      <c r="T213">
        <v>-0.33056839502962188</v>
      </c>
      <c r="U213">
        <v>-0.34607701303509941</v>
      </c>
      <c r="V213">
        <v>4.3510258402004599E-2</v>
      </c>
      <c r="W213">
        <v>4.55515424056245E-2</v>
      </c>
      <c r="X213">
        <v>-0.374078653431626</v>
      </c>
      <c r="Y213">
        <v>-0.39162855544072439</v>
      </c>
      <c r="Z213">
        <v>0</v>
      </c>
      <c r="AA213">
        <v>0</v>
      </c>
      <c r="AB213">
        <v>342.39670930134002</v>
      </c>
      <c r="AC213">
        <v>358.46025273358998</v>
      </c>
      <c r="AD213">
        <f t="shared" si="43"/>
        <v>-63.239579952459522</v>
      </c>
      <c r="AE213">
        <f t="shared" si="44"/>
        <v>17.481361646384066</v>
      </c>
      <c r="AF213">
        <f t="shared" si="45"/>
        <v>-80.720941598843467</v>
      </c>
      <c r="AG213">
        <f t="shared" si="46"/>
        <v>1.4924992678210139E-2</v>
      </c>
      <c r="AH213">
        <f t="shared" si="47"/>
        <v>-0.27643070462399832</v>
      </c>
      <c r="AI213">
        <f t="shared" si="48"/>
        <v>1.2764307046239964</v>
      </c>
      <c r="AJ213">
        <f t="shared" si="49"/>
        <v>63.294903974070614</v>
      </c>
      <c r="AK213">
        <f t="shared" si="50"/>
        <v>-8.4553779653293368</v>
      </c>
      <c r="AL213">
        <f t="shared" si="51"/>
        <v>72.69495791778877</v>
      </c>
      <c r="AM213">
        <f t="shared" si="52"/>
        <v>-0.13162255997917074</v>
      </c>
      <c r="AN213">
        <f t="shared" si="53"/>
        <v>1.1316225599791694</v>
      </c>
      <c r="AO213">
        <f t="shared" si="54"/>
        <v>-5.1458679411393831E-5</v>
      </c>
      <c r="AP213">
        <f t="shared" si="55"/>
        <v>-5.3872863628811825E-5</v>
      </c>
    </row>
    <row r="214" spans="1:42" x14ac:dyDescent="0.35">
      <c r="A214" s="10" t="s">
        <v>49</v>
      </c>
      <c r="B214" s="11" t="s">
        <v>70</v>
      </c>
      <c r="C214" s="16">
        <f t="shared" si="42"/>
        <v>0</v>
      </c>
      <c r="D214">
        <v>0</v>
      </c>
      <c r="E214">
        <v>0</v>
      </c>
      <c r="F214">
        <v>0</v>
      </c>
      <c r="G214">
        <v>0</v>
      </c>
      <c r="H214" s="16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55.422589739999999</v>
      </c>
      <c r="AC214">
        <v>30.160077523049999</v>
      </c>
      <c r="AD214" t="e">
        <f t="shared" si="43"/>
        <v>#DIV/0!</v>
      </c>
      <c r="AE214" t="e">
        <f t="shared" si="44"/>
        <v>#DIV/0!</v>
      </c>
      <c r="AF214" t="e">
        <f t="shared" si="45"/>
        <v>#DIV/0!</v>
      </c>
      <c r="AG214" t="e">
        <f t="shared" si="46"/>
        <v>#DIV/0!</v>
      </c>
      <c r="AH214" t="e">
        <f t="shared" si="47"/>
        <v>#DIV/0!</v>
      </c>
      <c r="AI214" t="e">
        <f t="shared" si="48"/>
        <v>#DIV/0!</v>
      </c>
      <c r="AJ214" t="e">
        <f t="shared" si="49"/>
        <v>#DIV/0!</v>
      </c>
      <c r="AK214" t="e">
        <f t="shared" si="50"/>
        <v>#DIV/0!</v>
      </c>
      <c r="AL214" t="e">
        <f t="shared" si="51"/>
        <v>#DIV/0!</v>
      </c>
      <c r="AM214" t="e">
        <f t="shared" si="52"/>
        <v>#DIV/0!</v>
      </c>
      <c r="AN214" t="e">
        <f t="shared" si="53"/>
        <v>#DIV/0!</v>
      </c>
      <c r="AO214">
        <f t="shared" si="54"/>
        <v>0</v>
      </c>
      <c r="AP214">
        <f t="shared" si="55"/>
        <v>0</v>
      </c>
    </row>
    <row r="215" spans="1:42" x14ac:dyDescent="0.35">
      <c r="A215" s="9" t="s">
        <v>50</v>
      </c>
      <c r="B215" s="11" t="s">
        <v>70</v>
      </c>
      <c r="C215" s="16">
        <f t="shared" si="42"/>
        <v>0.65929308868577596</v>
      </c>
      <c r="D215">
        <v>0.55575232444005618</v>
      </c>
      <c r="E215">
        <v>0.35618561001317589</v>
      </c>
      <c r="F215">
        <v>0.19956671442688059</v>
      </c>
      <c r="G215">
        <v>0.10354076424571949</v>
      </c>
      <c r="H215" s="16">
        <v>0</v>
      </c>
      <c r="I215">
        <v>0</v>
      </c>
      <c r="J215">
        <v>0</v>
      </c>
      <c r="K215">
        <v>0</v>
      </c>
      <c r="L215">
        <v>1.152612134056253</v>
      </c>
      <c r="M215">
        <v>0.57213793525164292</v>
      </c>
      <c r="N215">
        <v>0.73871729909731676</v>
      </c>
      <c r="O215">
        <v>0.36668726430358928</v>
      </c>
      <c r="P215">
        <v>0.41389483495893481</v>
      </c>
      <c r="Q215">
        <v>0.205450670948053</v>
      </c>
      <c r="R215">
        <v>0.21474015670436719</v>
      </c>
      <c r="S215">
        <v>0.10659352460578431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97.136073348400004</v>
      </c>
      <c r="AC215">
        <v>48.216768505140003</v>
      </c>
      <c r="AD215">
        <f t="shared" si="43"/>
        <v>1</v>
      </c>
      <c r="AE215">
        <f t="shared" si="44"/>
        <v>0.35909290101116975</v>
      </c>
      <c r="AF215">
        <f t="shared" si="45"/>
        <v>0.6409070989888308</v>
      </c>
      <c r="AG215">
        <f t="shared" si="46"/>
        <v>0.18630738854766135</v>
      </c>
      <c r="AH215">
        <f t="shared" si="47"/>
        <v>0.35909290101116975</v>
      </c>
      <c r="AI215">
        <f t="shared" si="48"/>
        <v>0.6409070989888308</v>
      </c>
      <c r="AJ215">
        <f t="shared" si="49"/>
        <v>0</v>
      </c>
      <c r="AK215">
        <f t="shared" si="50"/>
        <v>0</v>
      </c>
      <c r="AL215">
        <f t="shared" si="51"/>
        <v>0</v>
      </c>
      <c r="AM215" t="e">
        <f t="shared" si="52"/>
        <v>#DIV/0!</v>
      </c>
      <c r="AN215" t="e">
        <f t="shared" si="53"/>
        <v>#DIV/0!</v>
      </c>
      <c r="AO215">
        <f t="shared" si="54"/>
        <v>1.1526121340562504E-2</v>
      </c>
      <c r="AP215">
        <f t="shared" si="55"/>
        <v>5.7213793525164192E-3</v>
      </c>
    </row>
    <row r="216" spans="1:42" x14ac:dyDescent="0.35">
      <c r="A216" s="9" t="s">
        <v>51</v>
      </c>
      <c r="B216" s="11" t="s">
        <v>70</v>
      </c>
      <c r="C216" s="16">
        <f t="shared" si="42"/>
        <v>0</v>
      </c>
      <c r="D216">
        <v>0</v>
      </c>
      <c r="E216">
        <v>0</v>
      </c>
      <c r="F216">
        <v>0</v>
      </c>
      <c r="G216">
        <v>0</v>
      </c>
      <c r="H216" s="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66.343484468840003</v>
      </c>
      <c r="AC216">
        <v>66.557495896739994</v>
      </c>
      <c r="AD216" t="e">
        <f t="shared" si="43"/>
        <v>#DIV/0!</v>
      </c>
      <c r="AE216" t="e">
        <f t="shared" si="44"/>
        <v>#DIV/0!</v>
      </c>
      <c r="AF216" t="e">
        <f t="shared" si="45"/>
        <v>#DIV/0!</v>
      </c>
      <c r="AG216" t="e">
        <f t="shared" si="46"/>
        <v>#DIV/0!</v>
      </c>
      <c r="AH216" t="e">
        <f t="shared" si="47"/>
        <v>#DIV/0!</v>
      </c>
      <c r="AI216" t="e">
        <f t="shared" si="48"/>
        <v>#DIV/0!</v>
      </c>
      <c r="AJ216" t="e">
        <f t="shared" si="49"/>
        <v>#DIV/0!</v>
      </c>
      <c r="AK216" t="e">
        <f t="shared" si="50"/>
        <v>#DIV/0!</v>
      </c>
      <c r="AL216" t="e">
        <f t="shared" si="51"/>
        <v>#DIV/0!</v>
      </c>
      <c r="AM216" t="e">
        <f t="shared" si="52"/>
        <v>#DIV/0!</v>
      </c>
      <c r="AN216" t="e">
        <f t="shared" si="53"/>
        <v>#DIV/0!</v>
      </c>
      <c r="AO216">
        <f t="shared" si="54"/>
        <v>0</v>
      </c>
      <c r="AP216">
        <f t="shared" si="55"/>
        <v>0</v>
      </c>
    </row>
    <row r="217" spans="1:42" x14ac:dyDescent="0.35">
      <c r="A217" s="9" t="s">
        <v>52</v>
      </c>
      <c r="B217" s="11" t="s">
        <v>70</v>
      </c>
      <c r="C217" s="16">
        <f t="shared" si="42"/>
        <v>52.727221902173859</v>
      </c>
      <c r="D217">
        <v>52.727221902173874</v>
      </c>
      <c r="E217">
        <v>12.143238983530949</v>
      </c>
      <c r="F217">
        <v>40.58398291864291</v>
      </c>
      <c r="G217">
        <v>0</v>
      </c>
      <c r="H217" s="16">
        <v>0</v>
      </c>
      <c r="I217">
        <v>0</v>
      </c>
      <c r="J217">
        <v>0</v>
      </c>
      <c r="K217">
        <v>0</v>
      </c>
      <c r="L217">
        <v>6.2751794119408801</v>
      </c>
      <c r="M217">
        <v>5.6547549801443484</v>
      </c>
      <c r="N217">
        <v>1.4451928342651721</v>
      </c>
      <c r="O217">
        <v>1.3023072075483959</v>
      </c>
      <c r="P217">
        <v>4.8299865776757072</v>
      </c>
      <c r="Q217">
        <v>4.3524477725959532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932.44043441874999</v>
      </c>
      <c r="AC217">
        <v>840.25042856688003</v>
      </c>
      <c r="AD217">
        <f t="shared" si="43"/>
        <v>1</v>
      </c>
      <c r="AE217">
        <f t="shared" si="44"/>
        <v>0.76969696969696955</v>
      </c>
      <c r="AF217">
        <f t="shared" si="45"/>
        <v>0.23030303030303023</v>
      </c>
      <c r="AG217">
        <f t="shared" si="46"/>
        <v>0</v>
      </c>
      <c r="AH217">
        <f t="shared" si="47"/>
        <v>0.76969696969696955</v>
      </c>
      <c r="AI217">
        <f t="shared" si="48"/>
        <v>0.23030303030303023</v>
      </c>
      <c r="AJ217">
        <f t="shared" si="49"/>
        <v>0</v>
      </c>
      <c r="AK217">
        <f t="shared" si="50"/>
        <v>0</v>
      </c>
      <c r="AL217">
        <f t="shared" si="51"/>
        <v>0</v>
      </c>
      <c r="AM217" t="e">
        <f t="shared" si="52"/>
        <v>#DIV/0!</v>
      </c>
      <c r="AN217" t="e">
        <f t="shared" si="53"/>
        <v>#DIV/0!</v>
      </c>
      <c r="AO217">
        <f t="shared" si="54"/>
        <v>6.2751794119408802E-2</v>
      </c>
      <c r="AP217">
        <f t="shared" si="55"/>
        <v>5.6547549801443497E-2</v>
      </c>
    </row>
    <row r="218" spans="1:42" x14ac:dyDescent="0.35">
      <c r="A218" s="9" t="s">
        <v>53</v>
      </c>
      <c r="B218" s="11" t="s">
        <v>70</v>
      </c>
      <c r="C218" s="16">
        <f t="shared" si="42"/>
        <v>4.4408920985006262E-15</v>
      </c>
      <c r="D218">
        <v>0</v>
      </c>
      <c r="E218">
        <v>0.78002577101263615</v>
      </c>
      <c r="F218">
        <v>-0.78002577101263171</v>
      </c>
      <c r="G218">
        <v>0</v>
      </c>
      <c r="H218" s="16">
        <v>-2.3725783868301029</v>
      </c>
      <c r="I218">
        <v>6.5002147584385994E-2</v>
      </c>
      <c r="J218">
        <v>-2.4375805344144892</v>
      </c>
      <c r="K218">
        <v>0</v>
      </c>
      <c r="L218">
        <v>0</v>
      </c>
      <c r="M218">
        <v>0</v>
      </c>
      <c r="N218">
        <v>0.38436448129134071</v>
      </c>
      <c r="O218">
        <v>0.4021294374513984</v>
      </c>
      <c r="P218">
        <v>-0.38436448129133538</v>
      </c>
      <c r="Q218">
        <v>-0.4021294374513964</v>
      </c>
      <c r="R218">
        <v>0</v>
      </c>
      <c r="S218">
        <v>0</v>
      </c>
      <c r="T218">
        <v>-1.169108630594496</v>
      </c>
      <c r="U218">
        <v>-1.2231437055813379</v>
      </c>
      <c r="V218">
        <v>3.20303734409449E-2</v>
      </c>
      <c r="W218">
        <v>3.3510786454283001E-2</v>
      </c>
      <c r="X218">
        <v>-1.201139004035441</v>
      </c>
      <c r="Y218">
        <v>-1.2566544920356211</v>
      </c>
      <c r="Z218">
        <v>0</v>
      </c>
      <c r="AA218">
        <v>0</v>
      </c>
      <c r="AB218">
        <v>193.97380504054999</v>
      </c>
      <c r="AC218">
        <v>202.93908750153</v>
      </c>
      <c r="AD218">
        <f t="shared" si="43"/>
        <v>0</v>
      </c>
      <c r="AE218">
        <f t="shared" si="44"/>
        <v>0.32876712328766916</v>
      </c>
      <c r="AF218">
        <f t="shared" si="45"/>
        <v>-0.32876712328767105</v>
      </c>
      <c r="AG218">
        <f t="shared" si="46"/>
        <v>0</v>
      </c>
      <c r="AH218" t="e">
        <f t="shared" si="47"/>
        <v>#DIV/0!</v>
      </c>
      <c r="AI218" t="e">
        <f t="shared" si="48"/>
        <v>#DIV/0!</v>
      </c>
      <c r="AJ218">
        <f t="shared" si="49"/>
        <v>1.0000000000000018</v>
      </c>
      <c r="AK218">
        <f t="shared" si="50"/>
        <v>-2.7397260273972438E-2</v>
      </c>
      <c r="AL218">
        <f t="shared" si="51"/>
        <v>1.0273972602739725</v>
      </c>
      <c r="AM218">
        <f t="shared" si="52"/>
        <v>-2.7397260273972438E-2</v>
      </c>
      <c r="AN218">
        <f t="shared" si="53"/>
        <v>1.0273972602739725</v>
      </c>
      <c r="AO218">
        <f t="shared" si="54"/>
        <v>-1.1691086305944958E-2</v>
      </c>
      <c r="AP218">
        <f t="shared" si="55"/>
        <v>-1.2231437055813378E-2</v>
      </c>
    </row>
    <row r="219" spans="1:42" x14ac:dyDescent="0.35">
      <c r="A219" s="9" t="s">
        <v>54</v>
      </c>
      <c r="B219" s="11" t="s">
        <v>70</v>
      </c>
      <c r="C219" s="16">
        <f t="shared" si="42"/>
        <v>10.503584387998931</v>
      </c>
      <c r="D219">
        <v>10.503584387998931</v>
      </c>
      <c r="E219">
        <v>1.4762368351181501</v>
      </c>
      <c r="F219">
        <v>9.0273475528807801</v>
      </c>
      <c r="G219">
        <v>0</v>
      </c>
      <c r="H219" s="16">
        <v>0.83901230197362509</v>
      </c>
      <c r="I219">
        <v>0.83901230197362509</v>
      </c>
      <c r="J219">
        <v>0</v>
      </c>
      <c r="K219">
        <v>0</v>
      </c>
      <c r="L219">
        <v>2.5602928587666658</v>
      </c>
      <c r="M219">
        <v>3.178528896479957</v>
      </c>
      <c r="N219">
        <v>0.35983893566083569</v>
      </c>
      <c r="O219">
        <v>0.44672954156796141</v>
      </c>
      <c r="P219">
        <v>2.20045392310583</v>
      </c>
      <c r="Q219">
        <v>2.731799354911995</v>
      </c>
      <c r="R219">
        <v>0</v>
      </c>
      <c r="S219">
        <v>0</v>
      </c>
      <c r="T219">
        <v>0.2045127763827769</v>
      </c>
      <c r="U219">
        <v>0.25389664592711542</v>
      </c>
      <c r="V219">
        <v>0.2045127763827769</v>
      </c>
      <c r="W219">
        <v>0.25389664592711497</v>
      </c>
      <c r="X219">
        <v>0</v>
      </c>
      <c r="Y219">
        <v>0</v>
      </c>
      <c r="Z219">
        <v>0</v>
      </c>
      <c r="AA219">
        <v>0</v>
      </c>
      <c r="AB219">
        <v>330.45426768437</v>
      </c>
      <c r="AC219">
        <v>410.24933347112</v>
      </c>
      <c r="AD219">
        <f t="shared" si="43"/>
        <v>0.92602996254681647</v>
      </c>
      <c r="AE219">
        <f t="shared" si="44"/>
        <v>0.79588014981273414</v>
      </c>
      <c r="AF219">
        <f t="shared" si="45"/>
        <v>0.13014981273408233</v>
      </c>
      <c r="AG219">
        <f t="shared" si="46"/>
        <v>0</v>
      </c>
      <c r="AH219">
        <f t="shared" si="47"/>
        <v>0.85945399393326594</v>
      </c>
      <c r="AI219">
        <f t="shared" si="48"/>
        <v>0.14054600606673398</v>
      </c>
      <c r="AJ219">
        <f t="shared" si="49"/>
        <v>7.3970037453183493E-2</v>
      </c>
      <c r="AK219">
        <f t="shared" si="50"/>
        <v>7.3970037453183493E-2</v>
      </c>
      <c r="AL219">
        <f t="shared" si="51"/>
        <v>0</v>
      </c>
      <c r="AM219">
        <f t="shared" si="52"/>
        <v>1</v>
      </c>
      <c r="AN219">
        <f t="shared" si="53"/>
        <v>0</v>
      </c>
      <c r="AO219">
        <f t="shared" si="54"/>
        <v>2.7648056351494431E-2</v>
      </c>
      <c r="AP219">
        <f t="shared" si="55"/>
        <v>3.4324255424070721E-2</v>
      </c>
    </row>
    <row r="220" spans="1:42" x14ac:dyDescent="0.35">
      <c r="A220" s="9" t="s">
        <v>55</v>
      </c>
      <c r="B220" s="11" t="s">
        <v>70</v>
      </c>
      <c r="C220" s="16">
        <f t="shared" si="42"/>
        <v>0.45651274374176509</v>
      </c>
      <c r="D220">
        <v>0.45651274374176509</v>
      </c>
      <c r="E220">
        <v>0</v>
      </c>
      <c r="F220">
        <v>0.45651274374176509</v>
      </c>
      <c r="G220">
        <v>0</v>
      </c>
      <c r="H220" s="16">
        <v>0</v>
      </c>
      <c r="I220">
        <v>0</v>
      </c>
      <c r="J220">
        <v>0</v>
      </c>
      <c r="K220">
        <v>0</v>
      </c>
      <c r="L220">
        <v>0.20530124788873119</v>
      </c>
      <c r="M220">
        <v>0.13378998732291689</v>
      </c>
      <c r="N220">
        <v>0</v>
      </c>
      <c r="O220">
        <v>0</v>
      </c>
      <c r="P220">
        <v>0.20530124788873119</v>
      </c>
      <c r="Q220">
        <v>0.13378998732291689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341.21592570296002</v>
      </c>
      <c r="AC220">
        <v>222.36238134761999</v>
      </c>
      <c r="AD220">
        <f t="shared" si="43"/>
        <v>1</v>
      </c>
      <c r="AE220">
        <f t="shared" si="44"/>
        <v>1</v>
      </c>
      <c r="AF220">
        <f t="shared" si="45"/>
        <v>0</v>
      </c>
      <c r="AG220">
        <f t="shared" si="46"/>
        <v>0</v>
      </c>
      <c r="AH220">
        <f t="shared" si="47"/>
        <v>1</v>
      </c>
      <c r="AI220">
        <f t="shared" si="48"/>
        <v>0</v>
      </c>
      <c r="AJ220">
        <f t="shared" si="49"/>
        <v>0</v>
      </c>
      <c r="AK220">
        <f t="shared" si="50"/>
        <v>0</v>
      </c>
      <c r="AL220">
        <f t="shared" si="51"/>
        <v>0</v>
      </c>
      <c r="AM220" t="e">
        <f t="shared" si="52"/>
        <v>#DIV/0!</v>
      </c>
      <c r="AN220" t="e">
        <f t="shared" si="53"/>
        <v>#DIV/0!</v>
      </c>
      <c r="AO220">
        <f t="shared" si="54"/>
        <v>2.0530124788873212E-3</v>
      </c>
      <c r="AP220">
        <f t="shared" si="55"/>
        <v>1.3378998732291728E-3</v>
      </c>
    </row>
    <row r="221" spans="1:42" x14ac:dyDescent="0.35">
      <c r="A221" s="9" t="s">
        <v>56</v>
      </c>
      <c r="B221" s="11" t="s">
        <v>70</v>
      </c>
      <c r="C221" s="16">
        <f t="shared" si="42"/>
        <v>0</v>
      </c>
      <c r="D221">
        <v>0</v>
      </c>
      <c r="E221">
        <v>0</v>
      </c>
      <c r="F221">
        <v>0</v>
      </c>
      <c r="G221">
        <v>0</v>
      </c>
      <c r="H221" s="16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181.71174374815001</v>
      </c>
      <c r="AC221">
        <v>99.489061173690004</v>
      </c>
      <c r="AD221" t="e">
        <f t="shared" si="43"/>
        <v>#DIV/0!</v>
      </c>
      <c r="AE221" t="e">
        <f t="shared" si="44"/>
        <v>#DIV/0!</v>
      </c>
      <c r="AF221" t="e">
        <f t="shared" si="45"/>
        <v>#DIV/0!</v>
      </c>
      <c r="AG221" t="e">
        <f t="shared" si="46"/>
        <v>#DIV/0!</v>
      </c>
      <c r="AH221" t="e">
        <f t="shared" si="47"/>
        <v>#DIV/0!</v>
      </c>
      <c r="AI221" t="e">
        <f t="shared" si="48"/>
        <v>#DIV/0!</v>
      </c>
      <c r="AJ221" t="e">
        <f t="shared" si="49"/>
        <v>#DIV/0!</v>
      </c>
      <c r="AK221" t="e">
        <f t="shared" si="50"/>
        <v>#DIV/0!</v>
      </c>
      <c r="AL221" t="e">
        <f t="shared" si="51"/>
        <v>#DIV/0!</v>
      </c>
      <c r="AM221" t="e">
        <f t="shared" si="52"/>
        <v>#DIV/0!</v>
      </c>
      <c r="AN221" t="e">
        <f t="shared" si="53"/>
        <v>#DIV/0!</v>
      </c>
      <c r="AO221">
        <f t="shared" si="54"/>
        <v>0</v>
      </c>
      <c r="AP221">
        <f t="shared" si="55"/>
        <v>0</v>
      </c>
    </row>
    <row r="222" spans="1:42" x14ac:dyDescent="0.35">
      <c r="A222" s="9" t="s">
        <v>57</v>
      </c>
      <c r="B222" s="11" t="s">
        <v>70</v>
      </c>
      <c r="C222" s="16">
        <f t="shared" si="42"/>
        <v>0.72970577116271818</v>
      </c>
      <c r="D222">
        <v>0.35570577116271801</v>
      </c>
      <c r="E222">
        <v>-4.4512743741764997E-2</v>
      </c>
      <c r="F222">
        <v>0.40021851490448318</v>
      </c>
      <c r="G222">
        <v>0.374</v>
      </c>
      <c r="H222" s="16">
        <v>0</v>
      </c>
      <c r="I222">
        <v>0</v>
      </c>
      <c r="J222">
        <v>0</v>
      </c>
      <c r="K222">
        <v>0</v>
      </c>
      <c r="L222">
        <v>0.70551376153752976</v>
      </c>
      <c r="M222">
        <v>0.46780390947431361</v>
      </c>
      <c r="N222">
        <v>-8.8287443779602806E-2</v>
      </c>
      <c r="O222">
        <v>-5.8540617645194998E-2</v>
      </c>
      <c r="P222">
        <v>0.79380120531713239</v>
      </c>
      <c r="Q222">
        <v>0.52634452711950885</v>
      </c>
      <c r="R222">
        <v>0.74179889168661206</v>
      </c>
      <c r="S222">
        <v>0.49186343412842198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76.037366075549997</v>
      </c>
      <c r="AC222">
        <v>50.417977728389999</v>
      </c>
      <c r="AD222">
        <f t="shared" si="43"/>
        <v>1</v>
      </c>
      <c r="AE222">
        <f t="shared" si="44"/>
        <v>1.125139222780287</v>
      </c>
      <c r="AF222">
        <f t="shared" si="45"/>
        <v>-0.12513922278028655</v>
      </c>
      <c r="AG222">
        <f t="shared" si="46"/>
        <v>1.0514307900529207</v>
      </c>
      <c r="AH222">
        <f t="shared" si="47"/>
        <v>1.125139222780287</v>
      </c>
      <c r="AI222">
        <f t="shared" si="48"/>
        <v>-0.12513922278028655</v>
      </c>
      <c r="AJ222">
        <f t="shared" si="49"/>
        <v>0</v>
      </c>
      <c r="AK222">
        <f t="shared" si="50"/>
        <v>0</v>
      </c>
      <c r="AL222">
        <f t="shared" si="51"/>
        <v>0</v>
      </c>
      <c r="AM222" t="e">
        <f t="shared" si="52"/>
        <v>#DIV/0!</v>
      </c>
      <c r="AN222" t="e">
        <f t="shared" si="53"/>
        <v>#DIV/0!</v>
      </c>
      <c r="AO222">
        <f t="shared" si="54"/>
        <v>7.0551376153752919E-3</v>
      </c>
      <c r="AP222">
        <f t="shared" si="55"/>
        <v>4.6780390947431319E-3</v>
      </c>
    </row>
    <row r="223" spans="1:42" x14ac:dyDescent="0.35">
      <c r="A223" s="9" t="s">
        <v>58</v>
      </c>
      <c r="B223" s="11" t="s">
        <v>70</v>
      </c>
      <c r="C223" s="16">
        <f t="shared" si="42"/>
        <v>0</v>
      </c>
      <c r="D223">
        <v>0</v>
      </c>
      <c r="E223">
        <v>0</v>
      </c>
      <c r="F223">
        <v>0</v>
      </c>
      <c r="G223">
        <v>0</v>
      </c>
      <c r="H223" s="16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521.00449074291998</v>
      </c>
      <c r="AC223">
        <v>549.82128194673999</v>
      </c>
      <c r="AD223" t="e">
        <f t="shared" si="43"/>
        <v>#DIV/0!</v>
      </c>
      <c r="AE223" t="e">
        <f t="shared" si="44"/>
        <v>#DIV/0!</v>
      </c>
      <c r="AF223" t="e">
        <f t="shared" si="45"/>
        <v>#DIV/0!</v>
      </c>
      <c r="AG223" t="e">
        <f t="shared" si="46"/>
        <v>#DIV/0!</v>
      </c>
      <c r="AH223" t="e">
        <f t="shared" si="47"/>
        <v>#DIV/0!</v>
      </c>
      <c r="AI223" t="e">
        <f t="shared" si="48"/>
        <v>#DIV/0!</v>
      </c>
      <c r="AJ223" t="e">
        <f t="shared" si="49"/>
        <v>#DIV/0!</v>
      </c>
      <c r="AK223" t="e">
        <f t="shared" si="50"/>
        <v>#DIV/0!</v>
      </c>
      <c r="AL223" t="e">
        <f t="shared" si="51"/>
        <v>#DIV/0!</v>
      </c>
      <c r="AM223" t="e">
        <f t="shared" si="52"/>
        <v>#DIV/0!</v>
      </c>
      <c r="AN223" t="e">
        <f t="shared" si="53"/>
        <v>#DIV/0!</v>
      </c>
      <c r="AO223">
        <f t="shared" si="54"/>
        <v>0</v>
      </c>
      <c r="AP223">
        <f t="shared" si="55"/>
        <v>0</v>
      </c>
    </row>
    <row r="224" spans="1:42" x14ac:dyDescent="0.35">
      <c r="A224" s="9" t="s">
        <v>59</v>
      </c>
      <c r="B224" s="11" t="s">
        <v>70</v>
      </c>
      <c r="C224" s="16">
        <f t="shared" si="42"/>
        <v>3.8322799069066691</v>
      </c>
      <c r="D224">
        <v>3.83227990690667</v>
      </c>
      <c r="E224">
        <v>2.2988468883408602</v>
      </c>
      <c r="F224">
        <v>1.5334330185658089</v>
      </c>
      <c r="G224">
        <v>0</v>
      </c>
      <c r="H224" s="16">
        <v>2.6534631329298E-3</v>
      </c>
      <c r="I224">
        <v>6.061594821082928E-5</v>
      </c>
      <c r="J224">
        <v>2.5928471847223001E-3</v>
      </c>
      <c r="K224">
        <v>0</v>
      </c>
      <c r="L224">
        <v>0.51294735991859142</v>
      </c>
      <c r="M224">
        <v>0.64864381941725213</v>
      </c>
      <c r="N224">
        <v>0.3076986730813529</v>
      </c>
      <c r="O224">
        <v>0.38909809881619178</v>
      </c>
      <c r="P224">
        <v>0.20524868683723871</v>
      </c>
      <c r="Q224">
        <v>0.2595457206010589</v>
      </c>
      <c r="R224">
        <v>0</v>
      </c>
      <c r="S224">
        <v>0</v>
      </c>
      <c r="T224">
        <v>3.5516375153660002E-4</v>
      </c>
      <c r="U224">
        <v>4.4911971542919998E-4</v>
      </c>
      <c r="V224">
        <v>8.1133923823251131E-6</v>
      </c>
      <c r="W224">
        <v>1.025973079216147E-5</v>
      </c>
      <c r="X224">
        <v>3.4705035915470002E-4</v>
      </c>
      <c r="Y224">
        <v>4.3885998463630001E-4</v>
      </c>
      <c r="Z224">
        <v>0</v>
      </c>
      <c r="AA224">
        <v>0</v>
      </c>
      <c r="AB224">
        <v>590.81421763174001</v>
      </c>
      <c r="AC224">
        <v>747.10978286638999</v>
      </c>
      <c r="AD224">
        <f t="shared" si="43"/>
        <v>0.99930808103377755</v>
      </c>
      <c r="AE224">
        <f t="shared" si="44"/>
        <v>0.3998591033017021</v>
      </c>
      <c r="AF224">
        <f t="shared" si="45"/>
        <v>0.59944897773207517</v>
      </c>
      <c r="AG224">
        <f t="shared" si="46"/>
        <v>0</v>
      </c>
      <c r="AH224">
        <f t="shared" si="47"/>
        <v>0.40013596496492909</v>
      </c>
      <c r="AI224">
        <f t="shared" si="48"/>
        <v>0.59986403503507069</v>
      </c>
      <c r="AJ224">
        <f t="shared" si="49"/>
        <v>6.9191896622245634E-4</v>
      </c>
      <c r="AK224">
        <f t="shared" si="50"/>
        <v>1.5806258508789516E-5</v>
      </c>
      <c r="AL224">
        <f t="shared" si="51"/>
        <v>6.7611270771453485E-4</v>
      </c>
      <c r="AM224">
        <f t="shared" si="52"/>
        <v>2.2844089091941015E-2</v>
      </c>
      <c r="AN224">
        <f t="shared" si="53"/>
        <v>0.97715591090931375</v>
      </c>
      <c r="AO224">
        <f t="shared" si="54"/>
        <v>5.1330252367012882E-3</v>
      </c>
      <c r="AP224">
        <f t="shared" si="55"/>
        <v>6.4909293913267829E-3</v>
      </c>
    </row>
    <row r="225" spans="1:42" x14ac:dyDescent="0.35">
      <c r="A225" s="7" t="s">
        <v>60</v>
      </c>
      <c r="B225" s="11" t="s">
        <v>70</v>
      </c>
      <c r="C225" s="16">
        <f t="shared" si="42"/>
        <v>15.14914616994127</v>
      </c>
      <c r="D225">
        <v>14.902985591190401</v>
      </c>
      <c r="E225">
        <v>-0.69891173880890034</v>
      </c>
      <c r="F225">
        <v>15.6018973299993</v>
      </c>
      <c r="G225">
        <v>0.2461605787508705</v>
      </c>
      <c r="H225" s="16">
        <v>3.285928135838565</v>
      </c>
      <c r="I225">
        <v>3.285928135838565</v>
      </c>
      <c r="J225">
        <v>0</v>
      </c>
      <c r="K225">
        <v>-1.4672521220830279</v>
      </c>
      <c r="L225">
        <v>5.6890427775433512</v>
      </c>
      <c r="M225">
        <v>3.3771511402726562</v>
      </c>
      <c r="N225">
        <v>-0.26680149125028052</v>
      </c>
      <c r="O225">
        <v>-0.1583797126572869</v>
      </c>
      <c r="P225">
        <v>5.9558442687936326</v>
      </c>
      <c r="Q225">
        <v>3.5355308529299432</v>
      </c>
      <c r="R225">
        <v>9.3968960386458397E-2</v>
      </c>
      <c r="S225">
        <v>5.5782210492781897E-2</v>
      </c>
      <c r="T225">
        <v>1.254365148133092</v>
      </c>
      <c r="U225">
        <v>0.74462099442416596</v>
      </c>
      <c r="V225">
        <v>1.254365148133092</v>
      </c>
      <c r="W225">
        <v>0.74462099442416596</v>
      </c>
      <c r="X225">
        <v>0</v>
      </c>
      <c r="Y225">
        <v>0</v>
      </c>
      <c r="Z225">
        <v>-0.56010656635848299</v>
      </c>
      <c r="AA225">
        <v>-0.33249258323709963</v>
      </c>
      <c r="AB225">
        <v>441.28867711817003</v>
      </c>
      <c r="AC225">
        <v>261.95945739796002</v>
      </c>
      <c r="AD225">
        <f t="shared" si="43"/>
        <v>0.81934445425646107</v>
      </c>
      <c r="AE225">
        <f t="shared" si="44"/>
        <v>0.85776960428454152</v>
      </c>
      <c r="AF225">
        <f t="shared" si="45"/>
        <v>-3.8425150028080474E-2</v>
      </c>
      <c r="AG225">
        <f t="shared" si="46"/>
        <v>1.3533550295808629E-2</v>
      </c>
      <c r="AH225">
        <f t="shared" si="47"/>
        <v>1.046897431023623</v>
      </c>
      <c r="AI225">
        <f t="shared" si="48"/>
        <v>-4.6897431023623072E-2</v>
      </c>
      <c r="AJ225">
        <f t="shared" si="49"/>
        <v>0.17824328133075917</v>
      </c>
      <c r="AK225">
        <f t="shared" si="50"/>
        <v>0.18065554574353898</v>
      </c>
      <c r="AL225">
        <f t="shared" si="51"/>
        <v>0</v>
      </c>
      <c r="AM225">
        <f t="shared" si="52"/>
        <v>1</v>
      </c>
      <c r="AN225">
        <f t="shared" si="53"/>
        <v>0</v>
      </c>
      <c r="AO225">
        <f t="shared" si="54"/>
        <v>6.9434079256764439E-2</v>
      </c>
      <c r="AP225">
        <f t="shared" si="55"/>
        <v>4.1217721346968224E-2</v>
      </c>
    </row>
    <row r="226" spans="1:42" x14ac:dyDescent="0.35">
      <c r="A226" s="7" t="s">
        <v>61</v>
      </c>
      <c r="B226" s="11" t="s">
        <v>70</v>
      </c>
      <c r="C226" s="16">
        <f t="shared" si="42"/>
        <v>2.014715481806916</v>
      </c>
      <c r="D226">
        <v>1.641063455184661</v>
      </c>
      <c r="E226">
        <v>0.95449139438317199</v>
      </c>
      <c r="F226">
        <v>0.68657206080148825</v>
      </c>
      <c r="G226">
        <v>0.37365202662225599</v>
      </c>
      <c r="H226" s="16">
        <v>6.5253723489826498E-2</v>
      </c>
      <c r="I226">
        <v>6.3087624784770896E-2</v>
      </c>
      <c r="J226">
        <v>2.1660987050564E-3</v>
      </c>
      <c r="K226">
        <v>0</v>
      </c>
      <c r="L226">
        <v>0.51058955444495968</v>
      </c>
      <c r="M226">
        <v>0.2376736897654359</v>
      </c>
      <c r="N226">
        <v>0.29697409581569939</v>
      </c>
      <c r="O226">
        <v>0.13823809849380689</v>
      </c>
      <c r="P226">
        <v>0.21361545862926021</v>
      </c>
      <c r="Q226">
        <v>9.9435591271628904E-2</v>
      </c>
      <c r="R226">
        <v>0.1162556031503645</v>
      </c>
      <c r="S226">
        <v>5.4115674549374097E-2</v>
      </c>
      <c r="T226">
        <v>2.0302608955969199E-2</v>
      </c>
      <c r="U226">
        <v>9.4506359176803993E-3</v>
      </c>
      <c r="V226">
        <v>1.9628663430459801E-2</v>
      </c>
      <c r="W226">
        <v>9.1369218623216005E-3</v>
      </c>
      <c r="X226">
        <v>6.7394552550930004E-4</v>
      </c>
      <c r="Y226">
        <v>3.1371405535860001E-4</v>
      </c>
      <c r="Z226">
        <v>0</v>
      </c>
      <c r="AA226">
        <v>0</v>
      </c>
      <c r="AB226">
        <v>690.46912883131995</v>
      </c>
      <c r="AC226">
        <v>321.40560669490998</v>
      </c>
      <c r="AD226">
        <f t="shared" si="43"/>
        <v>0.96175756517875688</v>
      </c>
      <c r="AE226">
        <f t="shared" si="44"/>
        <v>0.40237071359431292</v>
      </c>
      <c r="AF226">
        <f t="shared" si="45"/>
        <v>0.55938685158444357</v>
      </c>
      <c r="AG226">
        <f t="shared" si="46"/>
        <v>0.2189815769847191</v>
      </c>
      <c r="AH226">
        <f t="shared" si="47"/>
        <v>0.41837020904486083</v>
      </c>
      <c r="AI226">
        <f t="shared" si="48"/>
        <v>0.58162979095513867</v>
      </c>
      <c r="AJ226">
        <f t="shared" si="49"/>
        <v>3.137244692068264E-2</v>
      </c>
      <c r="AK226">
        <f t="shared" si="50"/>
        <v>3.6972976403940934E-2</v>
      </c>
      <c r="AL226">
        <f t="shared" si="51"/>
        <v>1.2694584173026278E-3</v>
      </c>
      <c r="AM226">
        <f t="shared" si="52"/>
        <v>0.96680497925312547</v>
      </c>
      <c r="AN226">
        <f t="shared" si="53"/>
        <v>3.3195020746886718E-2</v>
      </c>
      <c r="AO226">
        <f t="shared" si="54"/>
        <v>5.3089216340092863E-3</v>
      </c>
      <c r="AP226">
        <f t="shared" si="55"/>
        <v>2.4712432568311637E-3</v>
      </c>
    </row>
    <row r="227" spans="1:42" x14ac:dyDescent="0.35">
      <c r="A227" s="7" t="s">
        <v>62</v>
      </c>
      <c r="B227" s="11" t="s">
        <v>70</v>
      </c>
      <c r="C227" s="16">
        <f t="shared" si="42"/>
        <v>-1.403090843141E-4</v>
      </c>
      <c r="D227">
        <v>-1.403090843141E-4</v>
      </c>
      <c r="E227">
        <v>0</v>
      </c>
      <c r="F227">
        <v>-1.403090843141E-4</v>
      </c>
      <c r="G227">
        <v>0</v>
      </c>
      <c r="H227" s="16">
        <v>0</v>
      </c>
      <c r="I227">
        <v>0</v>
      </c>
      <c r="J227">
        <v>0</v>
      </c>
      <c r="K227">
        <v>0</v>
      </c>
      <c r="L227">
        <v>-2.179304888159E-4</v>
      </c>
      <c r="M227">
        <v>-1.537912092703E-4</v>
      </c>
      <c r="N227">
        <v>0</v>
      </c>
      <c r="O227">
        <v>0</v>
      </c>
      <c r="P227">
        <v>-2.179304888156E-4</v>
      </c>
      <c r="Q227">
        <v>-1.537912092703E-4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91.233487908610002</v>
      </c>
      <c r="AC227">
        <v>64.38249419652</v>
      </c>
      <c r="AD227">
        <f t="shared" si="43"/>
        <v>1</v>
      </c>
      <c r="AE227">
        <f t="shared" si="44"/>
        <v>1</v>
      </c>
      <c r="AF227">
        <f t="shared" si="45"/>
        <v>0</v>
      </c>
      <c r="AG227">
        <f t="shared" si="46"/>
        <v>0</v>
      </c>
      <c r="AH227">
        <f t="shared" si="47"/>
        <v>1</v>
      </c>
      <c r="AI227">
        <f t="shared" si="48"/>
        <v>0</v>
      </c>
      <c r="AJ227">
        <f t="shared" si="49"/>
        <v>0</v>
      </c>
      <c r="AK227">
        <f t="shared" si="50"/>
        <v>0</v>
      </c>
      <c r="AL227">
        <f t="shared" si="51"/>
        <v>0</v>
      </c>
      <c r="AM227" t="e">
        <f t="shared" si="52"/>
        <v>#DIV/0!</v>
      </c>
      <c r="AN227" t="e">
        <f t="shared" si="53"/>
        <v>#DIV/0!</v>
      </c>
      <c r="AO227">
        <f t="shared" si="54"/>
        <v>-2.1793048881552027E-6</v>
      </c>
      <c r="AP227">
        <f t="shared" si="55"/>
        <v>-1.5379120927027341E-6</v>
      </c>
    </row>
    <row r="228" spans="1:42" x14ac:dyDescent="0.35">
      <c r="A228" s="7" t="s">
        <v>63</v>
      </c>
      <c r="B228" s="11" t="s">
        <v>70</v>
      </c>
      <c r="C228" s="16">
        <f t="shared" si="42"/>
        <v>-0.31086267167395487</v>
      </c>
      <c r="D228">
        <v>2.5891373283260459</v>
      </c>
      <c r="E228">
        <v>2.835790430632358</v>
      </c>
      <c r="F228">
        <v>-0.24665310230631299</v>
      </c>
      <c r="G228">
        <v>-2.9</v>
      </c>
      <c r="H228" s="16">
        <v>-6.4232296886403001E-3</v>
      </c>
      <c r="I228">
        <v>0</v>
      </c>
      <c r="J228">
        <v>-6.4232296886403001E-3</v>
      </c>
      <c r="K228">
        <v>0</v>
      </c>
      <c r="L228">
        <v>1.756729210686371</v>
      </c>
      <c r="M228">
        <v>0.83550701246794823</v>
      </c>
      <c r="N228">
        <v>1.9240832961523839</v>
      </c>
      <c r="O228">
        <v>0.91510124424905481</v>
      </c>
      <c r="P228">
        <v>-0.1673540854660116</v>
      </c>
      <c r="Q228">
        <v>-7.9594231781106403E-2</v>
      </c>
      <c r="R228">
        <v>-1.967649477397261</v>
      </c>
      <c r="S228">
        <v>-0.93582148372314078</v>
      </c>
      <c r="T228">
        <v>-4.3581601862259E-3</v>
      </c>
      <c r="U228">
        <v>-2.0727573577650001E-3</v>
      </c>
      <c r="V228">
        <v>0</v>
      </c>
      <c r="W228">
        <v>0</v>
      </c>
      <c r="X228">
        <v>-4.3581601862259E-3</v>
      </c>
      <c r="Y228">
        <v>-2.0727573577650001E-3</v>
      </c>
      <c r="Z228">
        <v>0</v>
      </c>
      <c r="AA228">
        <v>0</v>
      </c>
      <c r="AB228">
        <v>309.88816247970999</v>
      </c>
      <c r="AC228">
        <v>147.38397429586999</v>
      </c>
      <c r="AD228">
        <f t="shared" si="43"/>
        <v>1.0024870076374419</v>
      </c>
      <c r="AE228">
        <f t="shared" si="44"/>
        <v>-9.5501512318550016E-2</v>
      </c>
      <c r="AF228">
        <f t="shared" si="45"/>
        <v>1.0979885199559918</v>
      </c>
      <c r="AG228">
        <f t="shared" si="46"/>
        <v>-1.1228497964718545</v>
      </c>
      <c r="AH228">
        <f t="shared" si="47"/>
        <v>-9.5264588559225455E-2</v>
      </c>
      <c r="AI228">
        <f t="shared" si="48"/>
        <v>1.0952645885592251</v>
      </c>
      <c r="AJ228">
        <f t="shared" si="49"/>
        <v>2.0244295952185458E-2</v>
      </c>
      <c r="AK228">
        <f t="shared" si="50"/>
        <v>0</v>
      </c>
      <c r="AL228">
        <f t="shared" si="51"/>
        <v>-2.4870076374419775E-3</v>
      </c>
      <c r="AM228">
        <f t="shared" si="52"/>
        <v>0</v>
      </c>
      <c r="AN228">
        <f t="shared" si="53"/>
        <v>1</v>
      </c>
      <c r="AO228">
        <f t="shared" si="54"/>
        <v>1.7523710505001483E-2</v>
      </c>
      <c r="AP228">
        <f t="shared" si="55"/>
        <v>8.3343425511018324E-3</v>
      </c>
    </row>
    <row r="229" spans="1:42" x14ac:dyDescent="0.35">
      <c r="A229" s="7" t="s">
        <v>64</v>
      </c>
      <c r="B229" s="11" t="s">
        <v>70</v>
      </c>
      <c r="C229" s="16">
        <f t="shared" si="42"/>
        <v>-7.7699446744038436</v>
      </c>
      <c r="D229">
        <v>-7.7699446744038454</v>
      </c>
      <c r="E229">
        <v>1.58988966934996</v>
      </c>
      <c r="F229">
        <v>-9.3598343437538034</v>
      </c>
      <c r="G229">
        <v>0</v>
      </c>
      <c r="H229" s="16">
        <v>-3.0772058116450829</v>
      </c>
      <c r="I229">
        <v>-3.0772058116450851</v>
      </c>
      <c r="J229">
        <v>0</v>
      </c>
      <c r="K229">
        <v>0</v>
      </c>
      <c r="L229">
        <v>-1.3595629562793881</v>
      </c>
      <c r="M229">
        <v>-0.63927912437979018</v>
      </c>
      <c r="N229">
        <v>0.27819440029479181</v>
      </c>
      <c r="O229">
        <v>0.1308095898070856</v>
      </c>
      <c r="P229">
        <v>-1.6377573565741801</v>
      </c>
      <c r="Q229">
        <v>-0.77008871418687574</v>
      </c>
      <c r="R229">
        <v>0</v>
      </c>
      <c r="S229">
        <v>0</v>
      </c>
      <c r="T229">
        <v>-0.53844077476411378</v>
      </c>
      <c r="U229">
        <v>-0.25317985123952091</v>
      </c>
      <c r="V229">
        <v>-0.53844077476411356</v>
      </c>
      <c r="W229">
        <v>-0.25317985123952058</v>
      </c>
      <c r="X229">
        <v>0</v>
      </c>
      <c r="Y229">
        <v>0</v>
      </c>
      <c r="Z229">
        <v>0</v>
      </c>
      <c r="AA229">
        <v>0</v>
      </c>
      <c r="AB229">
        <v>1215.4228689920101</v>
      </c>
      <c r="AC229">
        <v>571.50311712429004</v>
      </c>
      <c r="AD229">
        <f t="shared" si="43"/>
        <v>0.71631205673758891</v>
      </c>
      <c r="AE229">
        <f t="shared" si="44"/>
        <v>0.86288416075650121</v>
      </c>
      <c r="AF229">
        <f t="shared" si="45"/>
        <v>-0.14657210401891244</v>
      </c>
      <c r="AG229">
        <f t="shared" si="46"/>
        <v>0</v>
      </c>
      <c r="AH229">
        <f t="shared" si="47"/>
        <v>1.2046204620462042</v>
      </c>
      <c r="AI229">
        <f t="shared" si="48"/>
        <v>-0.2046204620462044</v>
      </c>
      <c r="AJ229">
        <f t="shared" si="49"/>
        <v>0.28368794326241109</v>
      </c>
      <c r="AK229">
        <f t="shared" si="50"/>
        <v>0.28368794326241126</v>
      </c>
      <c r="AL229">
        <f t="shared" si="51"/>
        <v>0</v>
      </c>
      <c r="AM229">
        <f t="shared" si="52"/>
        <v>1.0000000000000007</v>
      </c>
      <c r="AN229">
        <f t="shared" si="53"/>
        <v>0</v>
      </c>
      <c r="AO229">
        <f t="shared" si="54"/>
        <v>-1.8980037310434999E-2</v>
      </c>
      <c r="AP229">
        <f t="shared" si="55"/>
        <v>-8.9245897561931065E-3</v>
      </c>
    </row>
    <row r="230" spans="1:42" x14ac:dyDescent="0.35">
      <c r="A230" s="7" t="s">
        <v>27</v>
      </c>
      <c r="B230" s="11" t="s">
        <v>71</v>
      </c>
      <c r="C230" s="16">
        <f t="shared" si="42"/>
        <v>0</v>
      </c>
      <c r="D230">
        <v>0</v>
      </c>
      <c r="E230">
        <v>0</v>
      </c>
      <c r="F230">
        <v>0</v>
      </c>
      <c r="G230">
        <v>0</v>
      </c>
      <c r="H230" s="16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1226.51571721458</v>
      </c>
      <c r="AC230">
        <v>1494.77336635199</v>
      </c>
      <c r="AD230" t="e">
        <f t="shared" si="43"/>
        <v>#DIV/0!</v>
      </c>
      <c r="AE230" t="e">
        <f t="shared" si="44"/>
        <v>#DIV/0!</v>
      </c>
      <c r="AF230" t="e">
        <f t="shared" si="45"/>
        <v>#DIV/0!</v>
      </c>
      <c r="AG230" t="e">
        <f t="shared" si="46"/>
        <v>#DIV/0!</v>
      </c>
      <c r="AH230" t="e">
        <f t="shared" si="47"/>
        <v>#DIV/0!</v>
      </c>
      <c r="AI230" t="e">
        <f t="shared" si="48"/>
        <v>#DIV/0!</v>
      </c>
      <c r="AJ230" t="e">
        <f t="shared" si="49"/>
        <v>#DIV/0!</v>
      </c>
      <c r="AK230" t="e">
        <f t="shared" si="50"/>
        <v>#DIV/0!</v>
      </c>
      <c r="AL230" t="e">
        <f t="shared" si="51"/>
        <v>#DIV/0!</v>
      </c>
      <c r="AM230" t="e">
        <f t="shared" si="52"/>
        <v>#DIV/0!</v>
      </c>
      <c r="AN230" t="e">
        <f t="shared" si="53"/>
        <v>#DIV/0!</v>
      </c>
      <c r="AO230">
        <f t="shared" si="54"/>
        <v>0</v>
      </c>
      <c r="AP230">
        <f t="shared" si="55"/>
        <v>0</v>
      </c>
    </row>
    <row r="231" spans="1:42" x14ac:dyDescent="0.35">
      <c r="A231" s="7" t="s">
        <v>28</v>
      </c>
      <c r="B231" s="11" t="s">
        <v>71</v>
      </c>
      <c r="C231" s="16">
        <f t="shared" si="42"/>
        <v>5.2454879528363696</v>
      </c>
      <c r="D231">
        <v>0.67106453921286402</v>
      </c>
      <c r="E231">
        <v>0.67106453921286402</v>
      </c>
      <c r="F231">
        <v>0</v>
      </c>
      <c r="G231">
        <v>4.5744234136235056</v>
      </c>
      <c r="H231" s="16">
        <v>0</v>
      </c>
      <c r="I231">
        <v>0</v>
      </c>
      <c r="J231">
        <v>0</v>
      </c>
      <c r="K231">
        <v>0</v>
      </c>
      <c r="L231">
        <v>3.9553372979778303E-2</v>
      </c>
      <c r="M231">
        <v>3.89364173010147E-2</v>
      </c>
      <c r="N231">
        <v>3.9553372979777401E-2</v>
      </c>
      <c r="O231">
        <v>3.89364173010147E-2</v>
      </c>
      <c r="P231">
        <v>0</v>
      </c>
      <c r="Q231">
        <v>0</v>
      </c>
      <c r="R231">
        <v>0.269622167278734</v>
      </c>
      <c r="S231">
        <v>0.26541658594164191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1723.48815255626</v>
      </c>
      <c r="AC231">
        <v>1696.60508992738</v>
      </c>
      <c r="AD231">
        <f t="shared" si="43"/>
        <v>1</v>
      </c>
      <c r="AE231">
        <f t="shared" si="44"/>
        <v>0</v>
      </c>
      <c r="AF231">
        <f t="shared" si="45"/>
        <v>1</v>
      </c>
      <c r="AG231">
        <f t="shared" si="46"/>
        <v>6.816666872293907</v>
      </c>
      <c r="AH231">
        <f t="shared" si="47"/>
        <v>0</v>
      </c>
      <c r="AI231">
        <f t="shared" si="48"/>
        <v>1</v>
      </c>
      <c r="AJ231">
        <f t="shared" si="49"/>
        <v>0</v>
      </c>
      <c r="AK231">
        <f t="shared" si="50"/>
        <v>0</v>
      </c>
      <c r="AL231">
        <f t="shared" si="51"/>
        <v>0</v>
      </c>
      <c r="AM231" t="e">
        <f t="shared" si="52"/>
        <v>#DIV/0!</v>
      </c>
      <c r="AN231" t="e">
        <f t="shared" si="53"/>
        <v>#DIV/0!</v>
      </c>
      <c r="AO231">
        <f t="shared" si="54"/>
        <v>3.9553372979777375E-4</v>
      </c>
      <c r="AP231">
        <f t="shared" si="55"/>
        <v>3.8936417301015265E-4</v>
      </c>
    </row>
    <row r="232" spans="1:42" x14ac:dyDescent="0.35">
      <c r="A232" s="7" t="s">
        <v>29</v>
      </c>
      <c r="B232" s="11" t="s">
        <v>71</v>
      </c>
      <c r="C232" s="16">
        <f t="shared" si="42"/>
        <v>0.88915929744339339</v>
      </c>
      <c r="D232">
        <v>1.003731486523151</v>
      </c>
      <c r="E232">
        <v>2.9114479823818522</v>
      </c>
      <c r="F232">
        <v>-1.907716495858693</v>
      </c>
      <c r="G232">
        <v>-0.11457218907976589</v>
      </c>
      <c r="H232" s="16">
        <v>-0.57747680337610063</v>
      </c>
      <c r="I232">
        <v>-2.60466271577008E-2</v>
      </c>
      <c r="J232">
        <v>-0.55143017621844592</v>
      </c>
      <c r="K232">
        <v>0</v>
      </c>
      <c r="L232">
        <v>3.8357027566986397E-2</v>
      </c>
      <c r="M232">
        <v>3.4527014996822203E-2</v>
      </c>
      <c r="N232">
        <v>0.1112593278376612</v>
      </c>
      <c r="O232">
        <v>0.10014990014747061</v>
      </c>
      <c r="P232">
        <v>-7.2902300270675E-2</v>
      </c>
      <c r="Q232">
        <v>-6.5622885150648097E-2</v>
      </c>
      <c r="R232">
        <v>-4.3783110064272001E-3</v>
      </c>
      <c r="S232">
        <v>-3.9411294192616998E-3</v>
      </c>
      <c r="T232">
        <v>-2.2067947418010499E-2</v>
      </c>
      <c r="U232">
        <v>-1.9864426411039901E-2</v>
      </c>
      <c r="V232">
        <v>-9.9535703455459995E-4</v>
      </c>
      <c r="W232">
        <v>-8.9596899027819996E-4</v>
      </c>
      <c r="X232">
        <v>-2.1072590383456099E-2</v>
      </c>
      <c r="Y232">
        <v>-1.8968457420761801E-2</v>
      </c>
      <c r="Z232">
        <v>0</v>
      </c>
      <c r="AA232">
        <v>0</v>
      </c>
      <c r="AB232">
        <v>2907.0902498102801</v>
      </c>
      <c r="AC232">
        <v>2616.8124857180101</v>
      </c>
      <c r="AD232">
        <f t="shared" si="43"/>
        <v>2.3547694047900496</v>
      </c>
      <c r="AE232">
        <f t="shared" si="44"/>
        <v>-4.4755320499330775</v>
      </c>
      <c r="AF232">
        <f t="shared" si="45"/>
        <v>6.8303014547231466</v>
      </c>
      <c r="AG232">
        <f t="shared" si="46"/>
        <v>-0.26878810628865396</v>
      </c>
      <c r="AH232">
        <f t="shared" si="47"/>
        <v>-1.9006243417419102</v>
      </c>
      <c r="AI232">
        <f t="shared" si="48"/>
        <v>2.9006243417419184</v>
      </c>
      <c r="AJ232">
        <f t="shared" si="49"/>
        <v>-1.8527726592543965</v>
      </c>
      <c r="AK232">
        <f t="shared" si="50"/>
        <v>-6.1105785314539689E-2</v>
      </c>
      <c r="AL232">
        <f t="shared" si="51"/>
        <v>-1.2936636194756179</v>
      </c>
      <c r="AM232">
        <f t="shared" si="52"/>
        <v>4.5104196403084058E-2</v>
      </c>
      <c r="AN232">
        <f t="shared" si="53"/>
        <v>0.95489580359699577</v>
      </c>
      <c r="AO232">
        <f t="shared" si="54"/>
        <v>1.6289080148977245E-4</v>
      </c>
      <c r="AP232">
        <f t="shared" si="55"/>
        <v>1.4662588585781546E-4</v>
      </c>
    </row>
    <row r="233" spans="1:42" x14ac:dyDescent="0.35">
      <c r="A233" s="7" t="s">
        <v>30</v>
      </c>
      <c r="B233" s="11" t="s">
        <v>71</v>
      </c>
      <c r="C233" s="16">
        <f t="shared" si="42"/>
        <v>69.618193420619207</v>
      </c>
      <c r="D233">
        <v>69.61819342061915</v>
      </c>
      <c r="E233">
        <v>0</v>
      </c>
      <c r="F233">
        <v>69.618193420619207</v>
      </c>
      <c r="G233">
        <v>0</v>
      </c>
      <c r="H233" s="16">
        <v>0</v>
      </c>
      <c r="I233">
        <v>0</v>
      </c>
      <c r="J233">
        <v>0</v>
      </c>
      <c r="K233">
        <v>0</v>
      </c>
      <c r="L233">
        <v>1.9352808465074871</v>
      </c>
      <c r="M233">
        <v>1.672796604792248</v>
      </c>
      <c r="N233">
        <v>0</v>
      </c>
      <c r="O233">
        <v>0</v>
      </c>
      <c r="P233">
        <v>1.9352808465074891</v>
      </c>
      <c r="Q233">
        <v>1.672796604792248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4161.7847155581303</v>
      </c>
      <c r="AC233">
        <v>3597.3173374942398</v>
      </c>
      <c r="AD233">
        <f t="shared" si="43"/>
        <v>1</v>
      </c>
      <c r="AE233">
        <f t="shared" si="44"/>
        <v>1.0000000000000009</v>
      </c>
      <c r="AF233">
        <f t="shared" si="45"/>
        <v>0</v>
      </c>
      <c r="AG233">
        <f t="shared" si="46"/>
        <v>0</v>
      </c>
      <c r="AH233">
        <f t="shared" si="47"/>
        <v>1.0000000000000009</v>
      </c>
      <c r="AI233">
        <f t="shared" si="48"/>
        <v>0</v>
      </c>
      <c r="AJ233">
        <f t="shared" si="49"/>
        <v>0</v>
      </c>
      <c r="AK233">
        <f t="shared" si="50"/>
        <v>0</v>
      </c>
      <c r="AL233">
        <f t="shared" si="51"/>
        <v>0</v>
      </c>
      <c r="AM233" t="e">
        <f t="shared" si="52"/>
        <v>#DIV/0!</v>
      </c>
      <c r="AN233" t="e">
        <f t="shared" si="53"/>
        <v>#DIV/0!</v>
      </c>
      <c r="AO233">
        <f t="shared" si="54"/>
        <v>1.9352808465074881E-2</v>
      </c>
      <c r="AP233">
        <f t="shared" si="55"/>
        <v>1.6727966047922486E-2</v>
      </c>
    </row>
    <row r="234" spans="1:42" x14ac:dyDescent="0.35">
      <c r="A234" s="7" t="s">
        <v>31</v>
      </c>
      <c r="B234" s="11" t="s">
        <v>71</v>
      </c>
      <c r="C234" s="16">
        <f t="shared" si="42"/>
        <v>0</v>
      </c>
      <c r="D234">
        <v>0</v>
      </c>
      <c r="E234">
        <v>0</v>
      </c>
      <c r="F234">
        <v>0</v>
      </c>
      <c r="G234">
        <v>0</v>
      </c>
      <c r="H234" s="16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2337.6598158571201</v>
      </c>
      <c r="AC234">
        <v>1918.15761738117</v>
      </c>
      <c r="AD234" t="e">
        <f t="shared" si="43"/>
        <v>#DIV/0!</v>
      </c>
      <c r="AE234" t="e">
        <f t="shared" si="44"/>
        <v>#DIV/0!</v>
      </c>
      <c r="AF234" t="e">
        <f t="shared" si="45"/>
        <v>#DIV/0!</v>
      </c>
      <c r="AG234" t="e">
        <f t="shared" si="46"/>
        <v>#DIV/0!</v>
      </c>
      <c r="AH234" t="e">
        <f t="shared" si="47"/>
        <v>#DIV/0!</v>
      </c>
      <c r="AI234" t="e">
        <f t="shared" si="48"/>
        <v>#DIV/0!</v>
      </c>
      <c r="AJ234" t="e">
        <f t="shared" si="49"/>
        <v>#DIV/0!</v>
      </c>
      <c r="AK234" t="e">
        <f t="shared" si="50"/>
        <v>#DIV/0!</v>
      </c>
      <c r="AL234" t="e">
        <f t="shared" si="51"/>
        <v>#DIV/0!</v>
      </c>
      <c r="AM234" t="e">
        <f t="shared" si="52"/>
        <v>#DIV/0!</v>
      </c>
      <c r="AN234" t="e">
        <f t="shared" si="53"/>
        <v>#DIV/0!</v>
      </c>
      <c r="AO234">
        <f t="shared" si="54"/>
        <v>0</v>
      </c>
      <c r="AP234">
        <f t="shared" si="55"/>
        <v>0</v>
      </c>
    </row>
    <row r="235" spans="1:42" x14ac:dyDescent="0.35">
      <c r="A235" s="7" t="s">
        <v>32</v>
      </c>
      <c r="B235" s="11" t="s">
        <v>71</v>
      </c>
      <c r="C235" s="16">
        <f t="shared" si="42"/>
        <v>13.111734743751949</v>
      </c>
      <c r="D235">
        <v>13.111734743751979</v>
      </c>
      <c r="E235">
        <v>10.30207729866228</v>
      </c>
      <c r="F235">
        <v>2.8096574450896701</v>
      </c>
      <c r="G235">
        <v>0</v>
      </c>
      <c r="H235" s="16">
        <v>0</v>
      </c>
      <c r="I235">
        <v>0</v>
      </c>
      <c r="J235">
        <v>0</v>
      </c>
      <c r="K235">
        <v>0</v>
      </c>
      <c r="L235">
        <v>0.2872651061211719</v>
      </c>
      <c r="M235">
        <v>0.2462365936510941</v>
      </c>
      <c r="N235">
        <v>0.22570829766663439</v>
      </c>
      <c r="O235">
        <v>0.19347160929728829</v>
      </c>
      <c r="P235">
        <v>6.1556808454536503E-2</v>
      </c>
      <c r="Q235">
        <v>5.2764984353805298E-2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5324.8522282316499</v>
      </c>
      <c r="AC235">
        <v>4564.3325500944502</v>
      </c>
      <c r="AD235">
        <f t="shared" si="43"/>
        <v>1</v>
      </c>
      <c r="AE235">
        <f t="shared" si="44"/>
        <v>0.21428571428571125</v>
      </c>
      <c r="AF235">
        <f t="shared" si="45"/>
        <v>0.78571428571428648</v>
      </c>
      <c r="AG235">
        <f t="shared" si="46"/>
        <v>0</v>
      </c>
      <c r="AH235">
        <f t="shared" si="47"/>
        <v>0.21428571428571125</v>
      </c>
      <c r="AI235">
        <f t="shared" si="48"/>
        <v>0.78571428571428648</v>
      </c>
      <c r="AJ235">
        <f t="shared" si="49"/>
        <v>0</v>
      </c>
      <c r="AK235">
        <f t="shared" si="50"/>
        <v>0</v>
      </c>
      <c r="AL235">
        <f t="shared" si="51"/>
        <v>0</v>
      </c>
      <c r="AM235" t="e">
        <f t="shared" si="52"/>
        <v>#DIV/0!</v>
      </c>
      <c r="AN235" t="e">
        <f t="shared" si="53"/>
        <v>#DIV/0!</v>
      </c>
      <c r="AO235">
        <f t="shared" si="54"/>
        <v>2.8726510612117114E-3</v>
      </c>
      <c r="AP235">
        <f t="shared" si="55"/>
        <v>2.4623659365109376E-3</v>
      </c>
    </row>
    <row r="236" spans="1:42" x14ac:dyDescent="0.35">
      <c r="A236" s="7" t="s">
        <v>33</v>
      </c>
      <c r="B236" s="11" t="s">
        <v>71</v>
      </c>
      <c r="C236" s="16">
        <f t="shared" si="42"/>
        <v>19.74567554165753</v>
      </c>
      <c r="D236">
        <v>31.3557937785978</v>
      </c>
      <c r="E236">
        <v>3.474560932223</v>
      </c>
      <c r="F236">
        <v>27.8812328463748</v>
      </c>
      <c r="G236">
        <v>-11.61011823694027</v>
      </c>
      <c r="H236" s="16">
        <v>0</v>
      </c>
      <c r="I236">
        <v>0</v>
      </c>
      <c r="J236">
        <v>0</v>
      </c>
      <c r="K236">
        <v>0</v>
      </c>
      <c r="L236">
        <v>1.9141013926408741</v>
      </c>
      <c r="M236">
        <v>1.453986478801111</v>
      </c>
      <c r="N236">
        <v>0.21210312729263739</v>
      </c>
      <c r="O236">
        <v>0.1611174206239068</v>
      </c>
      <c r="P236">
        <v>1.7019982653482371</v>
      </c>
      <c r="Q236">
        <v>1.292869058177204</v>
      </c>
      <c r="R236">
        <v>-0.70873483997783726</v>
      </c>
      <c r="S236">
        <v>-0.53836796647500607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2156.5395714307001</v>
      </c>
      <c r="AC236">
        <v>1638.14696019506</v>
      </c>
      <c r="AD236">
        <f t="shared" si="43"/>
        <v>1</v>
      </c>
      <c r="AE236">
        <f t="shared" si="44"/>
        <v>0.88918918918918921</v>
      </c>
      <c r="AF236">
        <f t="shared" si="45"/>
        <v>0.11081081081081083</v>
      </c>
      <c r="AG236">
        <f t="shared" si="46"/>
        <v>-0.37027027027027037</v>
      </c>
      <c r="AH236">
        <f t="shared" si="47"/>
        <v>0.88918918918918921</v>
      </c>
      <c r="AI236">
        <f t="shared" si="48"/>
        <v>0.11081081081081083</v>
      </c>
      <c r="AJ236">
        <f t="shared" si="49"/>
        <v>0</v>
      </c>
      <c r="AK236">
        <f t="shared" si="50"/>
        <v>0</v>
      </c>
      <c r="AL236">
        <f t="shared" si="51"/>
        <v>0</v>
      </c>
      <c r="AM236" t="e">
        <f t="shared" si="52"/>
        <v>#DIV/0!</v>
      </c>
      <c r="AN236" t="e">
        <f t="shared" si="53"/>
        <v>#DIV/0!</v>
      </c>
      <c r="AO236">
        <f t="shared" si="54"/>
        <v>1.9141013926408747E-2</v>
      </c>
      <c r="AP236">
        <f t="shared" si="55"/>
        <v>1.4539864788011107E-2</v>
      </c>
    </row>
    <row r="237" spans="1:42" x14ac:dyDescent="0.35">
      <c r="A237" s="7" t="s">
        <v>34</v>
      </c>
      <c r="B237" s="11" t="s">
        <v>71</v>
      </c>
      <c r="C237" s="16">
        <f t="shared" si="42"/>
        <v>10.431316194499331</v>
      </c>
      <c r="D237">
        <v>10.431316194499329</v>
      </c>
      <c r="E237">
        <v>5.831950301301049</v>
      </c>
      <c r="F237">
        <v>4.5993658931982822</v>
      </c>
      <c r="G237">
        <v>0</v>
      </c>
      <c r="H237" s="16">
        <v>0</v>
      </c>
      <c r="I237">
        <v>0</v>
      </c>
      <c r="J237">
        <v>0</v>
      </c>
      <c r="K237">
        <v>0</v>
      </c>
      <c r="L237">
        <v>0.78791226741857923</v>
      </c>
      <c r="M237">
        <v>0.58063765008396651</v>
      </c>
      <c r="N237">
        <v>0.4405067490710004</v>
      </c>
      <c r="O237">
        <v>0.32462345644738161</v>
      </c>
      <c r="P237">
        <v>0.34740551834757921</v>
      </c>
      <c r="Q237">
        <v>0.25601419363658451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1796.5276955414199</v>
      </c>
      <c r="AC237">
        <v>1323.9184901480501</v>
      </c>
      <c r="AD237">
        <f t="shared" si="43"/>
        <v>1</v>
      </c>
      <c r="AE237">
        <f t="shared" si="44"/>
        <v>0.44091903719912473</v>
      </c>
      <c r="AF237">
        <f t="shared" si="45"/>
        <v>0.55908096280087538</v>
      </c>
      <c r="AG237">
        <f t="shared" si="46"/>
        <v>0</v>
      </c>
      <c r="AH237">
        <f t="shared" si="47"/>
        <v>0.44091903719912473</v>
      </c>
      <c r="AI237">
        <f t="shared" si="48"/>
        <v>0.55908096280087538</v>
      </c>
      <c r="AJ237">
        <f t="shared" si="49"/>
        <v>0</v>
      </c>
      <c r="AK237">
        <f t="shared" si="50"/>
        <v>0</v>
      </c>
      <c r="AL237">
        <f t="shared" si="51"/>
        <v>0</v>
      </c>
      <c r="AM237" t="e">
        <f t="shared" si="52"/>
        <v>#DIV/0!</v>
      </c>
      <c r="AN237" t="e">
        <f t="shared" si="53"/>
        <v>#DIV/0!</v>
      </c>
      <c r="AO237">
        <f t="shared" si="54"/>
        <v>7.879122674185798E-3</v>
      </c>
      <c r="AP237">
        <f t="shared" si="55"/>
        <v>5.8063765008396608E-3</v>
      </c>
    </row>
    <row r="238" spans="1:42" x14ac:dyDescent="0.35">
      <c r="A238" s="7" t="s">
        <v>35</v>
      </c>
      <c r="B238" s="11" t="s">
        <v>71</v>
      </c>
      <c r="C238" s="16">
        <f t="shared" si="42"/>
        <v>84.034402848133738</v>
      </c>
      <c r="D238">
        <v>82.109950874512379</v>
      </c>
      <c r="E238">
        <v>-73.129174997612637</v>
      </c>
      <c r="F238">
        <v>155.23912587212499</v>
      </c>
      <c r="G238">
        <v>1.9244519736213841</v>
      </c>
      <c r="H238" s="16">
        <v>3.8489039472381102E-2</v>
      </c>
      <c r="I238">
        <v>3.8489039472427697E-2</v>
      </c>
      <c r="J238">
        <v>0</v>
      </c>
      <c r="K238">
        <v>0</v>
      </c>
      <c r="L238">
        <v>2.60056561337101</v>
      </c>
      <c r="M238">
        <v>2.7909679262838369</v>
      </c>
      <c r="N238">
        <v>-2.316128749408557</v>
      </c>
      <c r="O238">
        <v>-2.4857058093465452</v>
      </c>
      <c r="P238">
        <v>4.916694362779567</v>
      </c>
      <c r="Q238">
        <v>5.2766737356303821</v>
      </c>
      <c r="R238">
        <v>6.0950756563383099E-2</v>
      </c>
      <c r="S238">
        <v>6.5413310772277494E-2</v>
      </c>
      <c r="T238">
        <v>1.2190151312676E-3</v>
      </c>
      <c r="U238">
        <v>1.3082662154442E-3</v>
      </c>
      <c r="V238">
        <v>1.2190151312676E-3</v>
      </c>
      <c r="W238">
        <v>1.3082662154455E-3</v>
      </c>
      <c r="X238">
        <v>0</v>
      </c>
      <c r="Y238">
        <v>0</v>
      </c>
      <c r="Z238">
        <v>0</v>
      </c>
      <c r="AA238">
        <v>0</v>
      </c>
      <c r="AB238">
        <v>2941.9883367789698</v>
      </c>
      <c r="AC238">
        <v>3157.38816403392</v>
      </c>
      <c r="AD238">
        <f t="shared" si="43"/>
        <v>0.9995314696236145</v>
      </c>
      <c r="AE238">
        <f t="shared" si="44"/>
        <v>1.8897391847571465</v>
      </c>
      <c r="AF238">
        <f t="shared" si="45"/>
        <v>-0.89020771513353225</v>
      </c>
      <c r="AG238">
        <f t="shared" si="46"/>
        <v>2.3426518819303469E-2</v>
      </c>
      <c r="AH238">
        <f t="shared" si="47"/>
        <v>1.8906250000000002</v>
      </c>
      <c r="AI238">
        <f t="shared" si="48"/>
        <v>-0.89062500000000056</v>
      </c>
      <c r="AJ238">
        <f t="shared" si="49"/>
        <v>4.5780558522758621E-4</v>
      </c>
      <c r="AK238">
        <f t="shared" si="50"/>
        <v>4.6853037638606954E-4</v>
      </c>
      <c r="AL238">
        <f t="shared" si="51"/>
        <v>0</v>
      </c>
      <c r="AM238">
        <f t="shared" si="52"/>
        <v>1.0000000000012106</v>
      </c>
      <c r="AN238">
        <f t="shared" si="53"/>
        <v>0</v>
      </c>
      <c r="AO238">
        <f t="shared" si="54"/>
        <v>2.601784628502276E-2</v>
      </c>
      <c r="AP238">
        <f t="shared" si="55"/>
        <v>2.7922761924992816E-2</v>
      </c>
    </row>
    <row r="239" spans="1:42" x14ac:dyDescent="0.35">
      <c r="A239" s="7" t="s">
        <v>36</v>
      </c>
      <c r="B239" s="11" t="s">
        <v>71</v>
      </c>
      <c r="C239" s="16">
        <f t="shared" si="42"/>
        <v>0</v>
      </c>
      <c r="D239">
        <v>0</v>
      </c>
      <c r="E239">
        <v>0</v>
      </c>
      <c r="F239">
        <v>0</v>
      </c>
      <c r="G239">
        <v>0</v>
      </c>
      <c r="H239" s="16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19974.2138871676</v>
      </c>
      <c r="AC239">
        <v>19928.975197</v>
      </c>
      <c r="AD239" t="e">
        <f t="shared" si="43"/>
        <v>#DIV/0!</v>
      </c>
      <c r="AE239" t="e">
        <f t="shared" si="44"/>
        <v>#DIV/0!</v>
      </c>
      <c r="AF239" t="e">
        <f t="shared" si="45"/>
        <v>#DIV/0!</v>
      </c>
      <c r="AG239" t="e">
        <f t="shared" si="46"/>
        <v>#DIV/0!</v>
      </c>
      <c r="AH239" t="e">
        <f t="shared" si="47"/>
        <v>#DIV/0!</v>
      </c>
      <c r="AI239" t="e">
        <f t="shared" si="48"/>
        <v>#DIV/0!</v>
      </c>
      <c r="AJ239" t="e">
        <f t="shared" si="49"/>
        <v>#DIV/0!</v>
      </c>
      <c r="AK239" t="e">
        <f t="shared" si="50"/>
        <v>#DIV/0!</v>
      </c>
      <c r="AL239" t="e">
        <f t="shared" si="51"/>
        <v>#DIV/0!</v>
      </c>
      <c r="AM239" t="e">
        <f t="shared" si="52"/>
        <v>#DIV/0!</v>
      </c>
      <c r="AN239" t="e">
        <f t="shared" si="53"/>
        <v>#DIV/0!</v>
      </c>
      <c r="AO239">
        <f t="shared" si="54"/>
        <v>0</v>
      </c>
      <c r="AP239">
        <f t="shared" si="55"/>
        <v>0</v>
      </c>
    </row>
    <row r="240" spans="1:42" x14ac:dyDescent="0.35">
      <c r="A240" s="7" t="s">
        <v>37</v>
      </c>
      <c r="B240" s="11" t="s">
        <v>71</v>
      </c>
      <c r="C240" s="16">
        <f t="shared" si="42"/>
        <v>0</v>
      </c>
      <c r="D240">
        <v>0</v>
      </c>
      <c r="E240">
        <v>0</v>
      </c>
      <c r="F240">
        <v>0</v>
      </c>
      <c r="G240">
        <v>0</v>
      </c>
      <c r="H240" s="16">
        <v>0.10239412195682911</v>
      </c>
      <c r="I240">
        <v>0</v>
      </c>
      <c r="J240">
        <v>0.10239412195682911</v>
      </c>
      <c r="K240">
        <v>0.45146499226420111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8.0048482009580993E-3</v>
      </c>
      <c r="U240">
        <v>4.2992617321149004E-3</v>
      </c>
      <c r="V240">
        <v>0</v>
      </c>
      <c r="W240">
        <v>0</v>
      </c>
      <c r="X240">
        <v>8.0048482009580993E-3</v>
      </c>
      <c r="Y240">
        <v>4.2992617321149004E-3</v>
      </c>
      <c r="Z240">
        <v>3.5294103431497498E-2</v>
      </c>
      <c r="AA240">
        <v>1.8955835818870399E-2</v>
      </c>
      <c r="AB240">
        <v>2381.6675591522499</v>
      </c>
      <c r="AC240">
        <v>1279.1513266244399</v>
      </c>
      <c r="AD240">
        <f t="shared" si="43"/>
        <v>0</v>
      </c>
      <c r="AE240">
        <f t="shared" si="44"/>
        <v>0</v>
      </c>
      <c r="AF240">
        <f t="shared" si="45"/>
        <v>0</v>
      </c>
      <c r="AG240">
        <f t="shared" si="46"/>
        <v>0</v>
      </c>
      <c r="AH240" t="e">
        <f t="shared" si="47"/>
        <v>#DIV/0!</v>
      </c>
      <c r="AI240" t="e">
        <f t="shared" si="48"/>
        <v>#DIV/0!</v>
      </c>
      <c r="AJ240">
        <f t="shared" si="49"/>
        <v>1</v>
      </c>
      <c r="AK240">
        <f t="shared" si="50"/>
        <v>0</v>
      </c>
      <c r="AL240">
        <f t="shared" si="51"/>
        <v>1</v>
      </c>
      <c r="AM240">
        <f t="shared" si="52"/>
        <v>0</v>
      </c>
      <c r="AN240">
        <f t="shared" si="53"/>
        <v>1</v>
      </c>
      <c r="AO240">
        <f t="shared" si="54"/>
        <v>8.0048482009581747E-5</v>
      </c>
      <c r="AP240">
        <f t="shared" si="55"/>
        <v>4.29926173211496E-5</v>
      </c>
    </row>
    <row r="241" spans="1:42" x14ac:dyDescent="0.35">
      <c r="A241" s="7" t="s">
        <v>38</v>
      </c>
      <c r="B241" s="11" t="s">
        <v>71</v>
      </c>
      <c r="C241" s="16">
        <f t="shared" si="42"/>
        <v>5.2478877966865269</v>
      </c>
      <c r="D241">
        <v>5.234121210982785</v>
      </c>
      <c r="E241">
        <v>-0.2326627954038098</v>
      </c>
      <c r="F241">
        <v>5.4667840063865967</v>
      </c>
      <c r="G241">
        <v>1.3766585703740101E-2</v>
      </c>
      <c r="H241" s="16">
        <v>-7.2337052758079695E-2</v>
      </c>
      <c r="I241">
        <v>-4.4287991484539E-3</v>
      </c>
      <c r="J241">
        <v>-6.7908253609623104E-2</v>
      </c>
      <c r="K241">
        <v>1.4269426648543519</v>
      </c>
      <c r="L241">
        <v>0.52495888545341129</v>
      </c>
      <c r="M241">
        <v>0.22427622016784379</v>
      </c>
      <c r="N241">
        <v>-2.3335035020850301E-2</v>
      </c>
      <c r="O241">
        <v>-9.9693396892222008E-3</v>
      </c>
      <c r="P241">
        <v>0.54829392047426162</v>
      </c>
      <c r="Q241">
        <v>0.23424555985706619</v>
      </c>
      <c r="R241">
        <v>1.3807268109058001E-3</v>
      </c>
      <c r="S241">
        <v>5.8988274856390001E-4</v>
      </c>
      <c r="T241">
        <v>-7.255082001766E-3</v>
      </c>
      <c r="U241">
        <v>-3.0995615341544002E-3</v>
      </c>
      <c r="V241">
        <v>-4.4418869398559998E-4</v>
      </c>
      <c r="W241">
        <v>-1.897690735196E-4</v>
      </c>
      <c r="X241">
        <v>-6.8108933077802997E-3</v>
      </c>
      <c r="Y241">
        <v>-2.9097924606344E-3</v>
      </c>
      <c r="Z241">
        <v>0.14311595027185239</v>
      </c>
      <c r="AA241">
        <v>6.1142891876146299E-2</v>
      </c>
      <c r="AB241">
        <v>2333.7834064911899</v>
      </c>
      <c r="AC241">
        <v>997.05355143423003</v>
      </c>
      <c r="AD241">
        <f t="shared" si="43"/>
        <v>1.0140139631066942</v>
      </c>
      <c r="AE241">
        <f t="shared" si="44"/>
        <v>1.0590880669963523</v>
      </c>
      <c r="AF241">
        <f t="shared" si="45"/>
        <v>-4.507410388965772E-2</v>
      </c>
      <c r="AG241">
        <f t="shared" si="46"/>
        <v>2.6670207978000478E-3</v>
      </c>
      <c r="AH241">
        <f t="shared" si="47"/>
        <v>1.0444511668769945</v>
      </c>
      <c r="AI241">
        <f t="shared" si="48"/>
        <v>-4.4451166876994019E-2</v>
      </c>
      <c r="AJ241">
        <f t="shared" si="49"/>
        <v>-1.3976686991802736E-2</v>
      </c>
      <c r="AK241">
        <f t="shared" si="50"/>
        <v>-8.5799774122618459E-4</v>
      </c>
      <c r="AL241">
        <f t="shared" si="51"/>
        <v>-1.3155965365467513E-2</v>
      </c>
      <c r="AM241">
        <f t="shared" si="52"/>
        <v>6.1224489795918935E-2</v>
      </c>
      <c r="AN241">
        <f t="shared" si="53"/>
        <v>0.93877551020404382</v>
      </c>
      <c r="AO241">
        <f t="shared" si="54"/>
        <v>5.1770380345164428E-3</v>
      </c>
      <c r="AP241">
        <f t="shared" si="55"/>
        <v>2.2117665863368931E-3</v>
      </c>
    </row>
    <row r="242" spans="1:42" x14ac:dyDescent="0.35">
      <c r="A242" s="9" t="s">
        <v>39</v>
      </c>
      <c r="B242" s="11" t="s">
        <v>71</v>
      </c>
      <c r="C242" s="16">
        <f t="shared" si="42"/>
        <v>15.521433287220013</v>
      </c>
      <c r="D242">
        <v>15.52143328722001</v>
      </c>
      <c r="E242">
        <v>4.7933838092885326</v>
      </c>
      <c r="F242">
        <v>10.72804947793148</v>
      </c>
      <c r="G242">
        <v>0</v>
      </c>
      <c r="H242" s="16">
        <v>1.940179160902501</v>
      </c>
      <c r="I242">
        <v>0</v>
      </c>
      <c r="J242">
        <v>1.940179160902501</v>
      </c>
      <c r="K242">
        <v>0</v>
      </c>
      <c r="L242">
        <v>3.7495954896454329</v>
      </c>
      <c r="M242">
        <v>3.3123049625002459</v>
      </c>
      <c r="N242">
        <v>1.1579633129787379</v>
      </c>
      <c r="O242">
        <v>1.0229177090074291</v>
      </c>
      <c r="P242">
        <v>2.5916321766666961</v>
      </c>
      <c r="Q242">
        <v>2.289387253492817</v>
      </c>
      <c r="R242">
        <v>0</v>
      </c>
      <c r="S242">
        <v>0</v>
      </c>
      <c r="T242">
        <v>0.46869943620567911</v>
      </c>
      <c r="U242">
        <v>0.41403812031253068</v>
      </c>
      <c r="V242">
        <v>0</v>
      </c>
      <c r="W242">
        <v>0</v>
      </c>
      <c r="X242">
        <v>0.46869943620567911</v>
      </c>
      <c r="Y242">
        <v>0.41403812031253068</v>
      </c>
      <c r="Z242">
        <v>0</v>
      </c>
      <c r="AA242">
        <v>0</v>
      </c>
      <c r="AB242">
        <v>468.59916169988998</v>
      </c>
      <c r="AC242">
        <v>413.94954015926999</v>
      </c>
      <c r="AD242">
        <f t="shared" si="43"/>
        <v>0.88888888888888884</v>
      </c>
      <c r="AE242">
        <f t="shared" si="44"/>
        <v>0.61437908496732041</v>
      </c>
      <c r="AF242">
        <f t="shared" si="45"/>
        <v>0.2745098039215686</v>
      </c>
      <c r="AG242">
        <f t="shared" si="46"/>
        <v>0</v>
      </c>
      <c r="AH242">
        <f t="shared" si="47"/>
        <v>0.6911764705882355</v>
      </c>
      <c r="AI242">
        <f t="shared" si="48"/>
        <v>0.30882352941176472</v>
      </c>
      <c r="AJ242">
        <f t="shared" si="49"/>
        <v>0.11111111111111106</v>
      </c>
      <c r="AK242">
        <f t="shared" si="50"/>
        <v>0</v>
      </c>
      <c r="AL242">
        <f t="shared" si="51"/>
        <v>0.11111111111111109</v>
      </c>
      <c r="AM242">
        <f t="shared" si="52"/>
        <v>0</v>
      </c>
      <c r="AN242">
        <f t="shared" si="53"/>
        <v>1</v>
      </c>
      <c r="AO242">
        <f t="shared" si="54"/>
        <v>4.2182949258511154E-2</v>
      </c>
      <c r="AP242">
        <f t="shared" si="55"/>
        <v>3.7263430828127775E-2</v>
      </c>
    </row>
    <row r="243" spans="1:42" x14ac:dyDescent="0.35">
      <c r="A243" s="7" t="s">
        <v>40</v>
      </c>
      <c r="B243" s="11" t="s">
        <v>71</v>
      </c>
      <c r="C243" s="16">
        <f t="shared" si="42"/>
        <v>-0.57064092967720548</v>
      </c>
      <c r="D243">
        <v>-0.22825637187087719</v>
      </c>
      <c r="E243">
        <v>0.45651274374176681</v>
      </c>
      <c r="F243">
        <v>-0.68476911561264941</v>
      </c>
      <c r="G243">
        <v>-0.34238455780632288</v>
      </c>
      <c r="H243" s="16">
        <v>0</v>
      </c>
      <c r="I243">
        <v>0</v>
      </c>
      <c r="J243">
        <v>0</v>
      </c>
      <c r="K243">
        <v>0</v>
      </c>
      <c r="L243">
        <v>-4.60977292197704E-2</v>
      </c>
      <c r="M243">
        <v>-4.1103429170870003E-2</v>
      </c>
      <c r="N243">
        <v>9.2195458439542494E-2</v>
      </c>
      <c r="O243">
        <v>8.2206858341741004E-2</v>
      </c>
      <c r="P243">
        <v>-0.13829318765931381</v>
      </c>
      <c r="Q243">
        <v>-0.123310287512611</v>
      </c>
      <c r="R243">
        <v>-6.9146593829656905E-2</v>
      </c>
      <c r="S243">
        <v>-6.16551437563055E-2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555.32196820367994</v>
      </c>
      <c r="AC243">
        <v>495.15751802582002</v>
      </c>
      <c r="AD243">
        <f t="shared" si="43"/>
        <v>1</v>
      </c>
      <c r="AE243">
        <f t="shared" si="44"/>
        <v>3.0000000000000782</v>
      </c>
      <c r="AF243">
        <f t="shared" si="45"/>
        <v>-2.0000000000000546</v>
      </c>
      <c r="AG243">
        <f t="shared" si="46"/>
        <v>1.5000000000000311</v>
      </c>
      <c r="AH243">
        <f t="shared" si="47"/>
        <v>3.0000000000000782</v>
      </c>
      <c r="AI243">
        <f t="shared" si="48"/>
        <v>-2.0000000000000546</v>
      </c>
      <c r="AJ243">
        <f t="shared" si="49"/>
        <v>0</v>
      </c>
      <c r="AK243">
        <f t="shared" si="50"/>
        <v>0</v>
      </c>
      <c r="AL243">
        <f t="shared" si="51"/>
        <v>0</v>
      </c>
      <c r="AM243" t="e">
        <f t="shared" si="52"/>
        <v>#DIV/0!</v>
      </c>
      <c r="AN243" t="e">
        <f t="shared" si="53"/>
        <v>#DIV/0!</v>
      </c>
      <c r="AO243">
        <f t="shared" si="54"/>
        <v>-4.6097729219770169E-4</v>
      </c>
      <c r="AP243">
        <f t="shared" si="55"/>
        <v>-4.110342917086935E-4</v>
      </c>
    </row>
    <row r="244" spans="1:42" x14ac:dyDescent="0.35">
      <c r="A244" s="9" t="s">
        <v>41</v>
      </c>
      <c r="B244" s="11" t="s">
        <v>71</v>
      </c>
      <c r="C244" s="16">
        <f t="shared" si="42"/>
        <v>-1.7880031451621601</v>
      </c>
      <c r="D244">
        <v>-0.84014605616053473</v>
      </c>
      <c r="E244">
        <v>-0.1120194741547377</v>
      </c>
      <c r="F244">
        <v>-0.72812658200579605</v>
      </c>
      <c r="G244">
        <v>-0.94785708900162635</v>
      </c>
      <c r="H244" s="16">
        <v>0.20249674174124971</v>
      </c>
      <c r="I244">
        <v>-4.3084413136437001E-3</v>
      </c>
      <c r="J244">
        <v>0.2068051830548967</v>
      </c>
      <c r="K244">
        <v>0</v>
      </c>
      <c r="L244">
        <v>-0.3896052225820803</v>
      </c>
      <c r="M244">
        <v>-0.20622350409885909</v>
      </c>
      <c r="N244">
        <v>-5.1947363010944103E-2</v>
      </c>
      <c r="O244">
        <v>-2.74964672131809E-2</v>
      </c>
      <c r="P244">
        <v>-0.33765785957113609</v>
      </c>
      <c r="Q244">
        <v>-0.17872703688567881</v>
      </c>
      <c r="R244">
        <v>-0.43955461009260371</v>
      </c>
      <c r="S244">
        <v>-0.232662414880765</v>
      </c>
      <c r="T244">
        <v>9.3904848519784395E-2</v>
      </c>
      <c r="U244">
        <v>4.9705152269982698E-2</v>
      </c>
      <c r="V244">
        <v>-1.9979755004209E-3</v>
      </c>
      <c r="W244">
        <v>-1.0575564312761999E-3</v>
      </c>
      <c r="X244">
        <v>9.5902824020203697E-2</v>
      </c>
      <c r="Y244">
        <v>5.0762708701258298E-2</v>
      </c>
      <c r="Z244">
        <v>0</v>
      </c>
      <c r="AA244">
        <v>0</v>
      </c>
      <c r="AB244">
        <v>407.39587848230002</v>
      </c>
      <c r="AC244">
        <v>215.64034757863999</v>
      </c>
      <c r="AD244">
        <f t="shared" si="43"/>
        <v>1.3175675675675524</v>
      </c>
      <c r="AE244">
        <f t="shared" si="44"/>
        <v>1.1418918918918777</v>
      </c>
      <c r="AF244">
        <f t="shared" si="45"/>
        <v>0.17567567567567324</v>
      </c>
      <c r="AG244">
        <f t="shared" si="46"/>
        <v>1.4864864864864653</v>
      </c>
      <c r="AH244">
        <f t="shared" si="47"/>
        <v>0.86666666666666581</v>
      </c>
      <c r="AI244">
        <f t="shared" si="48"/>
        <v>0.13333333333333303</v>
      </c>
      <c r="AJ244">
        <f t="shared" si="49"/>
        <v>-0.12771739130434287</v>
      </c>
      <c r="AK244">
        <f t="shared" si="50"/>
        <v>6.7567567567565733E-3</v>
      </c>
      <c r="AL244">
        <f t="shared" si="51"/>
        <v>-0.32432432432431407</v>
      </c>
      <c r="AM244">
        <f t="shared" si="52"/>
        <v>-2.1276595744681291E-2</v>
      </c>
      <c r="AN244">
        <f t="shared" si="53"/>
        <v>1.0212765957446976</v>
      </c>
      <c r="AO244">
        <f t="shared" si="54"/>
        <v>-2.9570037406230123E-3</v>
      </c>
      <c r="AP244">
        <f t="shared" si="55"/>
        <v>-1.5651835182888055E-3</v>
      </c>
    </row>
    <row r="245" spans="1:42" x14ac:dyDescent="0.35">
      <c r="A245" s="9" t="s">
        <v>42</v>
      </c>
      <c r="B245" s="11" t="s">
        <v>71</v>
      </c>
      <c r="C245" s="16">
        <f t="shared" si="42"/>
        <v>-0.1222839174378247</v>
      </c>
      <c r="D245">
        <v>-0.1222839174378247</v>
      </c>
      <c r="E245">
        <v>-0.1222839174378247</v>
      </c>
      <c r="F245">
        <v>0</v>
      </c>
      <c r="G245">
        <v>0</v>
      </c>
      <c r="H245" s="16">
        <v>0</v>
      </c>
      <c r="I245">
        <v>0</v>
      </c>
      <c r="J245">
        <v>0</v>
      </c>
      <c r="K245">
        <v>0</v>
      </c>
      <c r="L245">
        <v>-3.6765779429734399E-2</v>
      </c>
      <c r="M245">
        <v>-3.9311555541792199E-2</v>
      </c>
      <c r="N245">
        <v>-3.6765779429734503E-2</v>
      </c>
      <c r="O245">
        <v>-3.9311555541792199E-2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311.06354290107998</v>
      </c>
      <c r="AC245">
        <v>332.60254327404999</v>
      </c>
      <c r="AD245">
        <f t="shared" si="43"/>
        <v>1</v>
      </c>
      <c r="AE245">
        <f t="shared" si="44"/>
        <v>0</v>
      </c>
      <c r="AF245">
        <f t="shared" si="45"/>
        <v>1</v>
      </c>
      <c r="AG245">
        <f t="shared" si="46"/>
        <v>0</v>
      </c>
      <c r="AH245">
        <f t="shared" si="47"/>
        <v>0</v>
      </c>
      <c r="AI245">
        <f t="shared" si="48"/>
        <v>1</v>
      </c>
      <c r="AJ245">
        <f t="shared" si="49"/>
        <v>0</v>
      </c>
      <c r="AK245">
        <f t="shared" si="50"/>
        <v>0</v>
      </c>
      <c r="AL245">
        <f t="shared" si="51"/>
        <v>0</v>
      </c>
      <c r="AM245" t="e">
        <f t="shared" si="52"/>
        <v>#DIV/0!</v>
      </c>
      <c r="AN245" t="e">
        <f t="shared" si="53"/>
        <v>#DIV/0!</v>
      </c>
      <c r="AO245">
        <f t="shared" si="54"/>
        <v>-3.6765779429734569E-4</v>
      </c>
      <c r="AP245">
        <f t="shared" si="55"/>
        <v>-3.9311555541792208E-4</v>
      </c>
    </row>
    <row r="246" spans="1:42" x14ac:dyDescent="0.35">
      <c r="A246" s="9" t="s">
        <v>43</v>
      </c>
      <c r="B246" s="11" t="s">
        <v>71</v>
      </c>
      <c r="C246" s="16">
        <f t="shared" si="42"/>
        <v>0</v>
      </c>
      <c r="D246">
        <v>0</v>
      </c>
      <c r="E246">
        <v>0</v>
      </c>
      <c r="F246">
        <v>0</v>
      </c>
      <c r="G246">
        <v>0</v>
      </c>
      <c r="H246" s="1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45.911572818750003</v>
      </c>
      <c r="AC246">
        <v>26.895658710639999</v>
      </c>
      <c r="AD246" t="e">
        <f t="shared" si="43"/>
        <v>#DIV/0!</v>
      </c>
      <c r="AE246" t="e">
        <f t="shared" si="44"/>
        <v>#DIV/0!</v>
      </c>
      <c r="AF246" t="e">
        <f t="shared" si="45"/>
        <v>#DIV/0!</v>
      </c>
      <c r="AG246" t="e">
        <f t="shared" si="46"/>
        <v>#DIV/0!</v>
      </c>
      <c r="AH246" t="e">
        <f t="shared" si="47"/>
        <v>#DIV/0!</v>
      </c>
      <c r="AI246" t="e">
        <f t="shared" si="48"/>
        <v>#DIV/0!</v>
      </c>
      <c r="AJ246" t="e">
        <f t="shared" si="49"/>
        <v>#DIV/0!</v>
      </c>
      <c r="AK246" t="e">
        <f t="shared" si="50"/>
        <v>#DIV/0!</v>
      </c>
      <c r="AL246" t="e">
        <f t="shared" si="51"/>
        <v>#DIV/0!</v>
      </c>
      <c r="AM246" t="e">
        <f t="shared" si="52"/>
        <v>#DIV/0!</v>
      </c>
      <c r="AN246" t="e">
        <f t="shared" si="53"/>
        <v>#DIV/0!</v>
      </c>
      <c r="AO246">
        <f t="shared" si="54"/>
        <v>0</v>
      </c>
      <c r="AP246">
        <f t="shared" si="55"/>
        <v>0</v>
      </c>
    </row>
    <row r="247" spans="1:42" x14ac:dyDescent="0.35">
      <c r="A247" s="9" t="s">
        <v>44</v>
      </c>
      <c r="B247" s="11" t="s">
        <v>71</v>
      </c>
      <c r="C247" s="16">
        <f t="shared" si="42"/>
        <v>-0.51357683670948573</v>
      </c>
      <c r="D247">
        <v>1.312474138257574</v>
      </c>
      <c r="E247">
        <v>0.57064092967720637</v>
      </c>
      <c r="F247">
        <v>0.74183320858036783</v>
      </c>
      <c r="G247">
        <v>-1.8260509749670599</v>
      </c>
      <c r="H247" s="16">
        <v>-0.45651274374176509</v>
      </c>
      <c r="I247">
        <v>-0.45651274374176509</v>
      </c>
      <c r="J247">
        <v>0</v>
      </c>
      <c r="K247">
        <v>0</v>
      </c>
      <c r="L247">
        <v>0.51521265094658641</v>
      </c>
      <c r="M247">
        <v>0.51688018039387185</v>
      </c>
      <c r="N247">
        <v>0.22400550041155931</v>
      </c>
      <c r="O247">
        <v>0.22473051321472681</v>
      </c>
      <c r="P247">
        <v>0.2912071505350266</v>
      </c>
      <c r="Q247">
        <v>0.29214966717914459</v>
      </c>
      <c r="R247">
        <v>-0.71681760131699002</v>
      </c>
      <c r="S247">
        <v>-0.71913764228712573</v>
      </c>
      <c r="T247">
        <v>-0.17920440032924739</v>
      </c>
      <c r="U247">
        <v>-0.1797844105717816</v>
      </c>
      <c r="V247">
        <v>-0.1792044003292475</v>
      </c>
      <c r="W247">
        <v>-0.17978441057178149</v>
      </c>
      <c r="X247">
        <v>0</v>
      </c>
      <c r="Y247">
        <v>0</v>
      </c>
      <c r="Z247">
        <v>0</v>
      </c>
      <c r="AA247">
        <v>0</v>
      </c>
      <c r="AB247">
        <v>253.92231856471</v>
      </c>
      <c r="AC247">
        <v>254.7441596875</v>
      </c>
      <c r="AD247">
        <f t="shared" si="43"/>
        <v>1.5333333333333337</v>
      </c>
      <c r="AE247">
        <f t="shared" si="44"/>
        <v>0.86666666666666681</v>
      </c>
      <c r="AF247">
        <f t="shared" si="45"/>
        <v>0.66666666666666718</v>
      </c>
      <c r="AG247">
        <f t="shared" si="46"/>
        <v>-2.1333333333333346</v>
      </c>
      <c r="AH247">
        <f t="shared" si="47"/>
        <v>0.56521739130434778</v>
      </c>
      <c r="AI247">
        <f t="shared" si="48"/>
        <v>0.43478260869565238</v>
      </c>
      <c r="AJ247">
        <f t="shared" si="49"/>
        <v>0.47058823529411764</v>
      </c>
      <c r="AK247">
        <f t="shared" si="50"/>
        <v>-0.53333333333333377</v>
      </c>
      <c r="AL247">
        <f t="shared" si="51"/>
        <v>0</v>
      </c>
      <c r="AM247">
        <f t="shared" si="52"/>
        <v>1</v>
      </c>
      <c r="AN247">
        <f t="shared" si="53"/>
        <v>0</v>
      </c>
      <c r="AO247">
        <f t="shared" si="54"/>
        <v>3.3600825061733883E-3</v>
      </c>
      <c r="AP247">
        <f t="shared" si="55"/>
        <v>3.3709576982208999E-3</v>
      </c>
    </row>
    <row r="248" spans="1:42" x14ac:dyDescent="0.35">
      <c r="A248" s="9" t="s">
        <v>45</v>
      </c>
      <c r="B248" s="11" t="s">
        <v>71</v>
      </c>
      <c r="C248" s="16">
        <f t="shared" si="42"/>
        <v>-5.6493452038043417</v>
      </c>
      <c r="D248">
        <v>-5.7977118455204177</v>
      </c>
      <c r="E248">
        <v>0.44295659642621987</v>
      </c>
      <c r="F248">
        <v>-6.2406684419466352</v>
      </c>
      <c r="G248">
        <v>0.14836664171607339</v>
      </c>
      <c r="H248" s="16">
        <v>-5.9803169430171206</v>
      </c>
      <c r="I248">
        <v>-2.704838006669958</v>
      </c>
      <c r="J248">
        <v>-3.2754789363471639</v>
      </c>
      <c r="K248">
        <v>0</v>
      </c>
      <c r="L248">
        <v>-2.843367489691051</v>
      </c>
      <c r="M248">
        <v>-1.922670481910133</v>
      </c>
      <c r="N248">
        <v>0.217238872710732</v>
      </c>
      <c r="O248">
        <v>0.1468958091413432</v>
      </c>
      <c r="P248">
        <v>-3.0606063624017832</v>
      </c>
      <c r="Q248">
        <v>-2.0695662910514758</v>
      </c>
      <c r="R248">
        <v>7.2763341271621207E-2</v>
      </c>
      <c r="S248">
        <v>4.92021973717158E-2</v>
      </c>
      <c r="T248">
        <v>-2.9329223712561232</v>
      </c>
      <c r="U248">
        <v>-1.983227032521476</v>
      </c>
      <c r="V248">
        <v>-1.3265316831826359</v>
      </c>
      <c r="W248">
        <v>-0.89699390593051476</v>
      </c>
      <c r="X248">
        <v>-1.6063906880734879</v>
      </c>
      <c r="Y248">
        <v>-1.0862331265909611</v>
      </c>
      <c r="Z248">
        <v>0</v>
      </c>
      <c r="AA248">
        <v>0</v>
      </c>
      <c r="AB248">
        <v>301.54474727050001</v>
      </c>
      <c r="AC248">
        <v>203.90300819506001</v>
      </c>
      <c r="AD248">
        <f t="shared" si="43"/>
        <v>0.49224806201550403</v>
      </c>
      <c r="AE248">
        <f t="shared" si="44"/>
        <v>0.52985678282770865</v>
      </c>
      <c r="AF248">
        <f t="shared" si="45"/>
        <v>-3.7608720812204871E-2</v>
      </c>
      <c r="AG248">
        <f t="shared" si="46"/>
        <v>-1.2596899224806181E-2</v>
      </c>
      <c r="AH248">
        <f t="shared" si="47"/>
        <v>1.0764019682641639</v>
      </c>
      <c r="AI248">
        <f t="shared" si="48"/>
        <v>-7.6401968264164205E-2</v>
      </c>
      <c r="AJ248">
        <f t="shared" si="49"/>
        <v>0.51422963689892043</v>
      </c>
      <c r="AK248">
        <f t="shared" si="50"/>
        <v>0.22965116279069769</v>
      </c>
      <c r="AL248">
        <f t="shared" si="51"/>
        <v>0.27810077519379844</v>
      </c>
      <c r="AM248">
        <f t="shared" si="52"/>
        <v>0.45229007633587798</v>
      </c>
      <c r="AN248">
        <f t="shared" si="53"/>
        <v>0.54770992366412219</v>
      </c>
      <c r="AO248">
        <f t="shared" si="54"/>
        <v>-5.7762898609471751E-2</v>
      </c>
      <c r="AP248">
        <f t="shared" si="55"/>
        <v>-3.9058975144316097E-2</v>
      </c>
    </row>
    <row r="249" spans="1:42" x14ac:dyDescent="0.35">
      <c r="A249" s="9" t="s">
        <v>46</v>
      </c>
      <c r="B249" s="11" t="s">
        <v>71</v>
      </c>
      <c r="C249" s="16">
        <f t="shared" si="42"/>
        <v>0.27042472190449318</v>
      </c>
      <c r="D249">
        <v>0.19510445104624</v>
      </c>
      <c r="E249">
        <v>1.99651988508226E-2</v>
      </c>
      <c r="F249">
        <v>0.17513925219541729</v>
      </c>
      <c r="G249">
        <v>7.5320270858253296E-2</v>
      </c>
      <c r="H249" s="16">
        <v>-8.6448289280998403E-2</v>
      </c>
      <c r="I249">
        <v>-8.8626292466765094E-2</v>
      </c>
      <c r="J249">
        <v>2.1780031857667002E-3</v>
      </c>
      <c r="K249">
        <v>0</v>
      </c>
      <c r="L249">
        <v>0.94116957391091915</v>
      </c>
      <c r="M249">
        <v>1.0231422192178621</v>
      </c>
      <c r="N249">
        <v>9.6310656136810294E-2</v>
      </c>
      <c r="O249">
        <v>0.10469898431233279</v>
      </c>
      <c r="P249">
        <v>0.84485891777410949</v>
      </c>
      <c r="Q249">
        <v>0.91844323490552959</v>
      </c>
      <c r="R249">
        <v>0.3633394668874913</v>
      </c>
      <c r="S249">
        <v>0.39498508960074769</v>
      </c>
      <c r="T249">
        <v>-0.41702021225872649</v>
      </c>
      <c r="U249">
        <v>-0.4533412439759556</v>
      </c>
      <c r="V249">
        <v>-0.42752674001517887</v>
      </c>
      <c r="W249">
        <v>-0.46476285430313802</v>
      </c>
      <c r="X249">
        <v>1.0506527756452199E-2</v>
      </c>
      <c r="Y249">
        <v>1.14216103271822E-2</v>
      </c>
      <c r="Z249">
        <v>0</v>
      </c>
      <c r="AA249">
        <v>0</v>
      </c>
      <c r="AB249">
        <v>19.06914282116</v>
      </c>
      <c r="AC249">
        <v>20.729999827290001</v>
      </c>
      <c r="AD249">
        <f t="shared" si="43"/>
        <v>1.7956133170595086</v>
      </c>
      <c r="AE249">
        <f t="shared" si="44"/>
        <v>1.611866730336164</v>
      </c>
      <c r="AF249">
        <f t="shared" si="45"/>
        <v>0.18374658672334346</v>
      </c>
      <c r="AG249">
        <f t="shared" si="46"/>
        <v>0.69319833900434868</v>
      </c>
      <c r="AH249">
        <f t="shared" si="47"/>
        <v>0.89766917800306401</v>
      </c>
      <c r="AI249">
        <f t="shared" si="48"/>
        <v>0.10233082199693549</v>
      </c>
      <c r="AJ249">
        <f t="shared" si="49"/>
        <v>-0.46988784404746903</v>
      </c>
      <c r="AK249">
        <f t="shared" si="50"/>
        <v>-0.81565822892076489</v>
      </c>
      <c r="AL249">
        <f t="shared" si="51"/>
        <v>2.0044911861256537E-2</v>
      </c>
      <c r="AM249">
        <f t="shared" si="52"/>
        <v>1.0251942890238943</v>
      </c>
      <c r="AN249">
        <f t="shared" si="53"/>
        <v>-2.5194289023894333E-2</v>
      </c>
      <c r="AO249">
        <f t="shared" si="54"/>
        <v>5.2414936165219462E-3</v>
      </c>
      <c r="AP249">
        <f t="shared" si="55"/>
        <v>5.6980097524190606E-3</v>
      </c>
    </row>
    <row r="250" spans="1:42" x14ac:dyDescent="0.35">
      <c r="A250" s="9" t="s">
        <v>47</v>
      </c>
      <c r="B250" s="11" t="s">
        <v>71</v>
      </c>
      <c r="C250" s="16">
        <f t="shared" si="42"/>
        <v>6.4596553239459826</v>
      </c>
      <c r="D250">
        <v>6.0031425802042193</v>
      </c>
      <c r="E250">
        <v>0.1141281859354412</v>
      </c>
      <c r="F250">
        <v>5.8890143942687772</v>
      </c>
      <c r="G250">
        <v>0.45651274374176459</v>
      </c>
      <c r="H250" s="16">
        <v>-2.2825637187088241</v>
      </c>
      <c r="I250">
        <v>-2.282563718708825</v>
      </c>
      <c r="J250">
        <v>0</v>
      </c>
      <c r="K250">
        <v>0</v>
      </c>
      <c r="L250">
        <v>1.616065248838781</v>
      </c>
      <c r="M250">
        <v>1.436533940332879</v>
      </c>
      <c r="N250">
        <v>3.07236739322964E-2</v>
      </c>
      <c r="O250">
        <v>2.73105311850356E-2</v>
      </c>
      <c r="P250">
        <v>1.5853415749064861</v>
      </c>
      <c r="Q250">
        <v>1.4092234091478431</v>
      </c>
      <c r="R250">
        <v>0.1228946957291846</v>
      </c>
      <c r="S250">
        <v>0.10924212474014269</v>
      </c>
      <c r="T250">
        <v>-0.6144734786459245</v>
      </c>
      <c r="U250">
        <v>-0.5462106237007136</v>
      </c>
      <c r="V250">
        <v>-0.6144734786459245</v>
      </c>
      <c r="W250">
        <v>-0.5462106237007136</v>
      </c>
      <c r="X250">
        <v>0</v>
      </c>
      <c r="Y250">
        <v>0</v>
      </c>
      <c r="Z250">
        <v>0</v>
      </c>
      <c r="AA250">
        <v>0</v>
      </c>
      <c r="AB250">
        <v>417.89075855828003</v>
      </c>
      <c r="AC250">
        <v>371.46659669328</v>
      </c>
      <c r="AD250">
        <f t="shared" si="43"/>
        <v>1.6134969325153354</v>
      </c>
      <c r="AE250">
        <f t="shared" si="44"/>
        <v>1.5828220858895685</v>
      </c>
      <c r="AF250">
        <f t="shared" si="45"/>
        <v>3.0674846625766774E-2</v>
      </c>
      <c r="AG250">
        <f t="shared" si="46"/>
        <v>0.12269938650306703</v>
      </c>
      <c r="AH250">
        <f t="shared" si="47"/>
        <v>0.98098859315589337</v>
      </c>
      <c r="AI250">
        <f t="shared" si="48"/>
        <v>1.9011406844106425E-2</v>
      </c>
      <c r="AJ250">
        <f t="shared" si="49"/>
        <v>-0.5464480874316926</v>
      </c>
      <c r="AK250">
        <f t="shared" si="50"/>
        <v>-0.61349693251533566</v>
      </c>
      <c r="AL250">
        <f t="shared" si="51"/>
        <v>0</v>
      </c>
      <c r="AM250">
        <f t="shared" si="52"/>
        <v>1.0000000000000004</v>
      </c>
      <c r="AN250">
        <f t="shared" si="53"/>
        <v>0</v>
      </c>
      <c r="AO250">
        <f t="shared" si="54"/>
        <v>1.0015917701928599E-2</v>
      </c>
      <c r="AP250">
        <f t="shared" si="55"/>
        <v>8.9032331663216578E-3</v>
      </c>
    </row>
    <row r="251" spans="1:42" x14ac:dyDescent="0.35">
      <c r="A251" s="9" t="s">
        <v>48</v>
      </c>
      <c r="B251" s="11" t="s">
        <v>71</v>
      </c>
      <c r="C251" s="16">
        <f t="shared" si="42"/>
        <v>1.5000000000000009</v>
      </c>
      <c r="D251">
        <v>1.5</v>
      </c>
      <c r="E251">
        <v>2.9</v>
      </c>
      <c r="F251">
        <v>-1.399999999999999</v>
      </c>
      <c r="G251">
        <v>0</v>
      </c>
      <c r="H251" s="16">
        <v>-1.6999999999999991</v>
      </c>
      <c r="I251">
        <v>-1.7</v>
      </c>
      <c r="J251">
        <v>0</v>
      </c>
      <c r="K251">
        <v>0</v>
      </c>
      <c r="L251">
        <v>0.4184564365396497</v>
      </c>
      <c r="M251">
        <v>0.43808832247855101</v>
      </c>
      <c r="N251">
        <v>0.80901577730998819</v>
      </c>
      <c r="O251">
        <v>0.84697075679186451</v>
      </c>
      <c r="P251">
        <v>-0.39055934077033783</v>
      </c>
      <c r="Q251">
        <v>-0.40888243431331261</v>
      </c>
      <c r="R251">
        <v>0</v>
      </c>
      <c r="S251">
        <v>0</v>
      </c>
      <c r="T251">
        <v>-0.47425062807826901</v>
      </c>
      <c r="U251">
        <v>-0.49650009880902418</v>
      </c>
      <c r="V251">
        <v>-0.4742506280782689</v>
      </c>
      <c r="W251">
        <v>-0.4965000988090239</v>
      </c>
      <c r="X251">
        <v>0</v>
      </c>
      <c r="Y251">
        <v>0</v>
      </c>
      <c r="Z251">
        <v>0</v>
      </c>
      <c r="AA251">
        <v>0</v>
      </c>
      <c r="AB251">
        <v>342.39670930134002</v>
      </c>
      <c r="AC251">
        <v>358.46025273358998</v>
      </c>
      <c r="AD251">
        <f t="shared" si="43"/>
        <v>-7.5000000000000346</v>
      </c>
      <c r="AE251">
        <f t="shared" si="44"/>
        <v>7.0000000000000275</v>
      </c>
      <c r="AF251">
        <f t="shared" si="45"/>
        <v>-14.500000000000068</v>
      </c>
      <c r="AG251">
        <f t="shared" si="46"/>
        <v>0</v>
      </c>
      <c r="AH251">
        <f t="shared" si="47"/>
        <v>-0.93333333333333268</v>
      </c>
      <c r="AI251">
        <f t="shared" si="48"/>
        <v>1.9333333333333333</v>
      </c>
      <c r="AJ251">
        <f t="shared" si="49"/>
        <v>8.5000000000000728</v>
      </c>
      <c r="AK251">
        <f t="shared" si="50"/>
        <v>8.5000000000000391</v>
      </c>
      <c r="AL251">
        <f t="shared" si="51"/>
        <v>0</v>
      </c>
      <c r="AM251">
        <f t="shared" si="52"/>
        <v>1.0000000000000004</v>
      </c>
      <c r="AN251">
        <f t="shared" si="53"/>
        <v>0</v>
      </c>
      <c r="AO251">
        <f t="shared" si="54"/>
        <v>-5.5794191538619594E-4</v>
      </c>
      <c r="AP251">
        <f t="shared" si="55"/>
        <v>-5.8411776330473148E-4</v>
      </c>
    </row>
    <row r="252" spans="1:42" x14ac:dyDescent="0.35">
      <c r="A252" s="10" t="s">
        <v>49</v>
      </c>
      <c r="B252" s="11" t="s">
        <v>71</v>
      </c>
      <c r="C252" s="16">
        <f t="shared" si="42"/>
        <v>0.63608896592116526</v>
      </c>
      <c r="D252">
        <v>0.63608896592116526</v>
      </c>
      <c r="E252">
        <v>0</v>
      </c>
      <c r="F252">
        <v>0.63608896592116526</v>
      </c>
      <c r="G252">
        <v>0</v>
      </c>
      <c r="H252" s="16">
        <v>-0.37597881601197791</v>
      </c>
      <c r="I252">
        <v>-2.17980388809976E-2</v>
      </c>
      <c r="J252">
        <v>-0.3541807771309804</v>
      </c>
      <c r="K252">
        <v>0</v>
      </c>
      <c r="L252">
        <v>2.1090428744257408</v>
      </c>
      <c r="M252">
        <v>1.1477070431122109</v>
      </c>
      <c r="N252">
        <v>0</v>
      </c>
      <c r="O252">
        <v>0</v>
      </c>
      <c r="P252">
        <v>2.1090428744257399</v>
      </c>
      <c r="Q252">
        <v>1.1477070431122109</v>
      </c>
      <c r="R252">
        <v>0</v>
      </c>
      <c r="S252">
        <v>0</v>
      </c>
      <c r="T252">
        <v>-1.2466109071657201</v>
      </c>
      <c r="U252">
        <v>-0.6783855062994717</v>
      </c>
      <c r="V252">
        <v>-7.2274478950985405E-2</v>
      </c>
      <c r="W252">
        <v>-3.9330603249067203E-2</v>
      </c>
      <c r="X252">
        <v>-1.1743364282147351</v>
      </c>
      <c r="Y252">
        <v>-0.63905490305040458</v>
      </c>
      <c r="Z252">
        <v>0</v>
      </c>
      <c r="AA252">
        <v>0</v>
      </c>
      <c r="AB252">
        <v>55.422589739999999</v>
      </c>
      <c r="AC252">
        <v>30.160077523049999</v>
      </c>
      <c r="AD252">
        <f t="shared" si="43"/>
        <v>2.445459995095324</v>
      </c>
      <c r="AE252">
        <f t="shared" si="44"/>
        <v>2.445459995095324</v>
      </c>
      <c r="AF252">
        <f t="shared" si="45"/>
        <v>0</v>
      </c>
      <c r="AG252">
        <f t="shared" si="46"/>
        <v>0</v>
      </c>
      <c r="AH252">
        <f t="shared" si="47"/>
        <v>1</v>
      </c>
      <c r="AI252">
        <f t="shared" si="48"/>
        <v>0</v>
      </c>
      <c r="AJ252">
        <f t="shared" si="49"/>
        <v>-1.445459995095324</v>
      </c>
      <c r="AK252">
        <f t="shared" si="50"/>
        <v>-8.3803107601175819E-2</v>
      </c>
      <c r="AL252">
        <f t="shared" si="51"/>
        <v>-1.3616568874941484</v>
      </c>
      <c r="AM252">
        <f t="shared" si="52"/>
        <v>5.7976774096504306E-2</v>
      </c>
      <c r="AN252">
        <f t="shared" si="53"/>
        <v>0.94202322590349596</v>
      </c>
      <c r="AO252">
        <f t="shared" si="54"/>
        <v>8.6243196726002048E-3</v>
      </c>
      <c r="AP252">
        <f t="shared" si="55"/>
        <v>4.6932153681273894E-3</v>
      </c>
    </row>
    <row r="253" spans="1:42" x14ac:dyDescent="0.35">
      <c r="A253" s="9" t="s">
        <v>50</v>
      </c>
      <c r="B253" s="11" t="s">
        <v>71</v>
      </c>
      <c r="C253" s="16">
        <f t="shared" si="42"/>
        <v>0.23917700000000031</v>
      </c>
      <c r="D253">
        <v>0.2377970000000004</v>
      </c>
      <c r="E253">
        <v>1.33940000000001E-2</v>
      </c>
      <c r="F253">
        <v>0.2244030000000001</v>
      </c>
      <c r="G253">
        <v>1.3800000000000999E-3</v>
      </c>
      <c r="H253" s="16">
        <v>1.1412818593544E-2</v>
      </c>
      <c r="I253">
        <v>1.1412818593544E-2</v>
      </c>
      <c r="J253">
        <v>0</v>
      </c>
      <c r="K253">
        <v>0</v>
      </c>
      <c r="L253">
        <v>0.4931831961626596</v>
      </c>
      <c r="M253">
        <v>0.2448081251412004</v>
      </c>
      <c r="N253">
        <v>2.77787176852641E-2</v>
      </c>
      <c r="O253">
        <v>1.3788904099468299E-2</v>
      </c>
      <c r="P253">
        <v>0.46540447847739669</v>
      </c>
      <c r="Q253">
        <v>0.23101922104173231</v>
      </c>
      <c r="R253">
        <v>2.8620748399038999E-3</v>
      </c>
      <c r="S253">
        <v>1.4206874464139001E-3</v>
      </c>
      <c r="T253">
        <v>2.36698122818568E-2</v>
      </c>
      <c r="U253">
        <v>1.1749310220322899E-2</v>
      </c>
      <c r="V253">
        <v>2.36698122818568E-2</v>
      </c>
      <c r="W253">
        <v>1.1749310220323101E-2</v>
      </c>
      <c r="X253">
        <v>0</v>
      </c>
      <c r="Y253">
        <v>0</v>
      </c>
      <c r="Z253">
        <v>0</v>
      </c>
      <c r="AA253">
        <v>0</v>
      </c>
      <c r="AB253">
        <v>97.136073348400004</v>
      </c>
      <c r="AC253">
        <v>48.216768505140003</v>
      </c>
      <c r="AD253">
        <f t="shared" si="43"/>
        <v>0.95420397696224779</v>
      </c>
      <c r="AE253">
        <f t="shared" si="44"/>
        <v>0.90045810099479395</v>
      </c>
      <c r="AF253">
        <f t="shared" si="45"/>
        <v>5.3745875967452998E-2</v>
      </c>
      <c r="AG253">
        <f t="shared" si="46"/>
        <v>5.5375025261378196E-3</v>
      </c>
      <c r="AH253">
        <f t="shared" si="47"/>
        <v>0.94367464686265901</v>
      </c>
      <c r="AI253">
        <f t="shared" si="48"/>
        <v>5.6325353137340162E-2</v>
      </c>
      <c r="AJ253">
        <f t="shared" si="49"/>
        <v>4.5543823997317094E-2</v>
      </c>
      <c r="AK253">
        <f t="shared" si="50"/>
        <v>4.5796023037752175E-2</v>
      </c>
      <c r="AL253">
        <f t="shared" si="51"/>
        <v>0</v>
      </c>
      <c r="AM253">
        <f t="shared" si="52"/>
        <v>1</v>
      </c>
      <c r="AN253">
        <f t="shared" si="53"/>
        <v>0</v>
      </c>
      <c r="AO253">
        <f t="shared" si="54"/>
        <v>5.1685300844451689E-3</v>
      </c>
      <c r="AP253">
        <f t="shared" si="55"/>
        <v>2.5655743536152453E-3</v>
      </c>
    </row>
    <row r="254" spans="1:42" x14ac:dyDescent="0.35">
      <c r="A254" s="9" t="s">
        <v>51</v>
      </c>
      <c r="B254" s="11" t="s">
        <v>71</v>
      </c>
      <c r="C254" s="16">
        <f t="shared" si="42"/>
        <v>0</v>
      </c>
      <c r="D254">
        <v>0</v>
      </c>
      <c r="E254">
        <v>0</v>
      </c>
      <c r="F254">
        <v>0</v>
      </c>
      <c r="G254">
        <v>0</v>
      </c>
      <c r="H254" s="16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66.343484468840003</v>
      </c>
      <c r="AC254">
        <v>66.557495896739994</v>
      </c>
      <c r="AD254" t="e">
        <f t="shared" si="43"/>
        <v>#DIV/0!</v>
      </c>
      <c r="AE254" t="e">
        <f t="shared" si="44"/>
        <v>#DIV/0!</v>
      </c>
      <c r="AF254" t="e">
        <f t="shared" si="45"/>
        <v>#DIV/0!</v>
      </c>
      <c r="AG254" t="e">
        <f t="shared" si="46"/>
        <v>#DIV/0!</v>
      </c>
      <c r="AH254" t="e">
        <f t="shared" si="47"/>
        <v>#DIV/0!</v>
      </c>
      <c r="AI254" t="e">
        <f t="shared" si="48"/>
        <v>#DIV/0!</v>
      </c>
      <c r="AJ254" t="e">
        <f t="shared" si="49"/>
        <v>#DIV/0!</v>
      </c>
      <c r="AK254" t="e">
        <f t="shared" si="50"/>
        <v>#DIV/0!</v>
      </c>
      <c r="AL254" t="e">
        <f t="shared" si="51"/>
        <v>#DIV/0!</v>
      </c>
      <c r="AM254" t="e">
        <f t="shared" si="52"/>
        <v>#DIV/0!</v>
      </c>
      <c r="AN254" t="e">
        <f t="shared" si="53"/>
        <v>#DIV/0!</v>
      </c>
      <c r="AO254">
        <f t="shared" si="54"/>
        <v>0</v>
      </c>
      <c r="AP254">
        <f t="shared" si="55"/>
        <v>0</v>
      </c>
    </row>
    <row r="255" spans="1:42" x14ac:dyDescent="0.35">
      <c r="A255" s="9" t="s">
        <v>52</v>
      </c>
      <c r="B255" s="11" t="s">
        <v>71</v>
      </c>
      <c r="C255" s="16">
        <f t="shared" si="42"/>
        <v>-1.2554100452898529</v>
      </c>
      <c r="D255">
        <v>0</v>
      </c>
      <c r="E255">
        <v>0</v>
      </c>
      <c r="F255">
        <v>0</v>
      </c>
      <c r="G255">
        <v>-1.2554100452898529</v>
      </c>
      <c r="H255" s="16">
        <v>-34.466712152503263</v>
      </c>
      <c r="I255">
        <v>0</v>
      </c>
      <c r="J255">
        <v>-34.466712152503263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-0.14940903361763991</v>
      </c>
      <c r="S255">
        <v>-0.13463702333676991</v>
      </c>
      <c r="T255">
        <v>-4.1019571047752059</v>
      </c>
      <c r="U255">
        <v>-3.6963982770640551</v>
      </c>
      <c r="V255">
        <v>0</v>
      </c>
      <c r="W255">
        <v>0</v>
      </c>
      <c r="X255">
        <v>-4.1019571047752059</v>
      </c>
      <c r="Y255">
        <v>-3.6963982770640551</v>
      </c>
      <c r="Z255">
        <v>0</v>
      </c>
      <c r="AA255">
        <v>0</v>
      </c>
      <c r="AB255">
        <v>932.44043441874999</v>
      </c>
      <c r="AC255">
        <v>840.25042856688003</v>
      </c>
      <c r="AD255">
        <f t="shared" si="43"/>
        <v>0</v>
      </c>
      <c r="AE255">
        <f t="shared" si="44"/>
        <v>0</v>
      </c>
      <c r="AF255">
        <f t="shared" si="45"/>
        <v>0</v>
      </c>
      <c r="AG255">
        <f t="shared" si="46"/>
        <v>3.642384105960262E-2</v>
      </c>
      <c r="AH255" t="e">
        <f t="shared" si="47"/>
        <v>#DIV/0!</v>
      </c>
      <c r="AI255" t="e">
        <f t="shared" si="48"/>
        <v>#DIV/0!</v>
      </c>
      <c r="AJ255">
        <f t="shared" si="49"/>
        <v>0.96485623003194898</v>
      </c>
      <c r="AK255">
        <f t="shared" si="50"/>
        <v>0</v>
      </c>
      <c r="AL255">
        <f t="shared" si="51"/>
        <v>1</v>
      </c>
      <c r="AM255">
        <f t="shared" si="52"/>
        <v>0</v>
      </c>
      <c r="AN255">
        <f t="shared" si="53"/>
        <v>1</v>
      </c>
      <c r="AO255">
        <f t="shared" si="54"/>
        <v>-4.1019571047752071E-2</v>
      </c>
      <c r="AP255">
        <f t="shared" si="55"/>
        <v>-3.6963982770640551E-2</v>
      </c>
    </row>
    <row r="256" spans="1:42" x14ac:dyDescent="0.35">
      <c r="A256" s="9" t="s">
        <v>53</v>
      </c>
      <c r="B256" s="11" t="s">
        <v>71</v>
      </c>
      <c r="C256" s="16">
        <f t="shared" si="42"/>
        <v>0</v>
      </c>
      <c r="D256">
        <v>0</v>
      </c>
      <c r="E256">
        <v>0</v>
      </c>
      <c r="F256">
        <v>0</v>
      </c>
      <c r="G256">
        <v>0</v>
      </c>
      <c r="H256" s="16">
        <v>0.65002147584386361</v>
      </c>
      <c r="I256">
        <v>0.39001288550631807</v>
      </c>
      <c r="J256">
        <v>0.26000859033754531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0.32030373440945098</v>
      </c>
      <c r="U256">
        <v>0.3351078645428322</v>
      </c>
      <c r="V256">
        <v>0.19218224064567049</v>
      </c>
      <c r="W256">
        <v>0.20106471872569931</v>
      </c>
      <c r="X256">
        <v>0.1281214937637801</v>
      </c>
      <c r="Y256">
        <v>0.13404314581713281</v>
      </c>
      <c r="Z256">
        <v>0</v>
      </c>
      <c r="AA256">
        <v>0</v>
      </c>
      <c r="AB256">
        <v>193.97380504054999</v>
      </c>
      <c r="AC256">
        <v>202.93908750153</v>
      </c>
      <c r="AD256">
        <f t="shared" si="43"/>
        <v>0</v>
      </c>
      <c r="AE256">
        <f t="shared" si="44"/>
        <v>0</v>
      </c>
      <c r="AF256">
        <f t="shared" si="45"/>
        <v>0</v>
      </c>
      <c r="AG256">
        <f t="shared" si="46"/>
        <v>0</v>
      </c>
      <c r="AH256" t="e">
        <f t="shared" si="47"/>
        <v>#DIV/0!</v>
      </c>
      <c r="AI256" t="e">
        <f t="shared" si="48"/>
        <v>#DIV/0!</v>
      </c>
      <c r="AJ256">
        <f t="shared" si="49"/>
        <v>1</v>
      </c>
      <c r="AK256">
        <f t="shared" si="50"/>
        <v>0.59999999999999987</v>
      </c>
      <c r="AL256">
        <f t="shared" si="51"/>
        <v>0.3999999999999998</v>
      </c>
      <c r="AM256">
        <f t="shared" si="52"/>
        <v>0.59999999999999987</v>
      </c>
      <c r="AN256">
        <f t="shared" si="53"/>
        <v>0.3999999999999998</v>
      </c>
      <c r="AO256">
        <f t="shared" si="54"/>
        <v>3.2030373440945078E-3</v>
      </c>
      <c r="AP256">
        <f t="shared" si="55"/>
        <v>3.3510786454283214E-3</v>
      </c>
    </row>
    <row r="257" spans="1:42" x14ac:dyDescent="0.35">
      <c r="A257" s="9" t="s">
        <v>54</v>
      </c>
      <c r="B257" s="11" t="s">
        <v>71</v>
      </c>
      <c r="C257" s="16">
        <f t="shared" si="42"/>
        <v>0</v>
      </c>
      <c r="D257">
        <v>0</v>
      </c>
      <c r="E257">
        <v>0</v>
      </c>
      <c r="F257">
        <v>0</v>
      </c>
      <c r="G257">
        <v>0</v>
      </c>
      <c r="H257" s="16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330.45426768437</v>
      </c>
      <c r="AC257">
        <v>410.24933347112</v>
      </c>
      <c r="AD257" t="e">
        <f t="shared" si="43"/>
        <v>#DIV/0!</v>
      </c>
      <c r="AE257" t="e">
        <f t="shared" si="44"/>
        <v>#DIV/0!</v>
      </c>
      <c r="AF257" t="e">
        <f t="shared" si="45"/>
        <v>#DIV/0!</v>
      </c>
      <c r="AG257" t="e">
        <f t="shared" si="46"/>
        <v>#DIV/0!</v>
      </c>
      <c r="AH257" t="e">
        <f t="shared" si="47"/>
        <v>#DIV/0!</v>
      </c>
      <c r="AI257" t="e">
        <f t="shared" si="48"/>
        <v>#DIV/0!</v>
      </c>
      <c r="AJ257" t="e">
        <f t="shared" si="49"/>
        <v>#DIV/0!</v>
      </c>
      <c r="AK257" t="e">
        <f t="shared" si="50"/>
        <v>#DIV/0!</v>
      </c>
      <c r="AL257" t="e">
        <f t="shared" si="51"/>
        <v>#DIV/0!</v>
      </c>
      <c r="AM257" t="e">
        <f t="shared" si="52"/>
        <v>#DIV/0!</v>
      </c>
      <c r="AN257" t="e">
        <f t="shared" si="53"/>
        <v>#DIV/0!</v>
      </c>
      <c r="AO257">
        <f t="shared" si="54"/>
        <v>0</v>
      </c>
      <c r="AP257">
        <f t="shared" si="55"/>
        <v>0</v>
      </c>
    </row>
    <row r="258" spans="1:42" x14ac:dyDescent="0.35">
      <c r="A258" s="9" t="s">
        <v>55</v>
      </c>
      <c r="B258" s="11" t="s">
        <v>71</v>
      </c>
      <c r="C258" s="16">
        <f t="shared" si="42"/>
        <v>0.79889730154809069</v>
      </c>
      <c r="D258">
        <v>0.79889730154809158</v>
      </c>
      <c r="E258">
        <v>0.34238455780632382</v>
      </c>
      <c r="F258">
        <v>0.45651274374176681</v>
      </c>
      <c r="G258">
        <v>0</v>
      </c>
      <c r="H258" s="16">
        <v>0</v>
      </c>
      <c r="I258">
        <v>0</v>
      </c>
      <c r="J258">
        <v>0</v>
      </c>
      <c r="K258">
        <v>0</v>
      </c>
      <c r="L258">
        <v>0.35927718380528167</v>
      </c>
      <c r="M258">
        <v>0.23413247781510629</v>
      </c>
      <c r="N258">
        <v>0.15397593591654901</v>
      </c>
      <c r="O258">
        <v>0.10034249049218801</v>
      </c>
      <c r="P258">
        <v>0.205301247888733</v>
      </c>
      <c r="Q258">
        <v>0.13378998732291819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341.21592570296002</v>
      </c>
      <c r="AC258">
        <v>222.36238134761999</v>
      </c>
      <c r="AD258">
        <f t="shared" si="43"/>
        <v>1</v>
      </c>
      <c r="AE258">
        <f t="shared" si="44"/>
        <v>0.57142857142857173</v>
      </c>
      <c r="AF258">
        <f t="shared" si="45"/>
        <v>0.42857142857142716</v>
      </c>
      <c r="AG258">
        <f t="shared" si="46"/>
        <v>0</v>
      </c>
      <c r="AH258">
        <f t="shared" si="47"/>
        <v>0.57142857142857173</v>
      </c>
      <c r="AI258">
        <f t="shared" si="48"/>
        <v>0.42857142857142716</v>
      </c>
      <c r="AJ258">
        <f t="shared" si="49"/>
        <v>0</v>
      </c>
      <c r="AK258">
        <f t="shared" si="50"/>
        <v>0</v>
      </c>
      <c r="AL258">
        <f t="shared" si="51"/>
        <v>0</v>
      </c>
      <c r="AM258" t="e">
        <f t="shared" si="52"/>
        <v>#DIV/0!</v>
      </c>
      <c r="AN258" t="e">
        <f t="shared" si="53"/>
        <v>#DIV/0!</v>
      </c>
      <c r="AO258">
        <f t="shared" si="54"/>
        <v>3.5927718380528236E-3</v>
      </c>
      <c r="AP258">
        <f t="shared" si="55"/>
        <v>2.3413247781510602E-3</v>
      </c>
    </row>
    <row r="259" spans="1:42" x14ac:dyDescent="0.35">
      <c r="A259" s="9" t="s">
        <v>56</v>
      </c>
      <c r="B259" s="11" t="s">
        <v>71</v>
      </c>
      <c r="C259" s="16">
        <f t="shared" ref="C259:C267" si="56">E259+F259+G259</f>
        <v>1.6802751266758575</v>
      </c>
      <c r="D259">
        <v>1.6802751266758571</v>
      </c>
      <c r="E259">
        <v>1.0192067280989019</v>
      </c>
      <c r="F259">
        <v>0.66106839857695565</v>
      </c>
      <c r="G259">
        <v>0</v>
      </c>
      <c r="H259" s="16">
        <v>-2.782368016327577</v>
      </c>
      <c r="I259">
        <v>0</v>
      </c>
      <c r="J259">
        <v>-2.782368016327577</v>
      </c>
      <c r="K259">
        <v>0</v>
      </c>
      <c r="L259">
        <v>1.688904394969011</v>
      </c>
      <c r="M259">
        <v>0.92469264342358404</v>
      </c>
      <c r="N259">
        <v>1.0244409948944539</v>
      </c>
      <c r="O259">
        <v>0.56089205192566349</v>
      </c>
      <c r="P259">
        <v>0.66446340007455706</v>
      </c>
      <c r="Q259">
        <v>0.36380059149792032</v>
      </c>
      <c r="R259">
        <v>0</v>
      </c>
      <c r="S259">
        <v>0</v>
      </c>
      <c r="T259">
        <v>-2.796657223923404</v>
      </c>
      <c r="U259">
        <v>-1.531198787120716</v>
      </c>
      <c r="V259">
        <v>0</v>
      </c>
      <c r="W259">
        <v>0</v>
      </c>
      <c r="X259">
        <v>-2.796657223923404</v>
      </c>
      <c r="Y259">
        <v>-1.531198787120716</v>
      </c>
      <c r="Z259">
        <v>0</v>
      </c>
      <c r="AA259">
        <v>0</v>
      </c>
      <c r="AB259">
        <v>181.71174374815001</v>
      </c>
      <c r="AC259">
        <v>99.489061173690004</v>
      </c>
      <c r="AD259">
        <f t="shared" ref="AD259:AD267" si="57">D259/(D259+H259)</f>
        <v>-1.5246220554120919</v>
      </c>
      <c r="AE259">
        <f t="shared" ref="AE259:AE267" si="58">(F259/(D259+H259))</f>
        <v>-0.59983001867098928</v>
      </c>
      <c r="AF259">
        <f t="shared" ref="AF259:AF267" si="59">(E259/(D259+H259))</f>
        <v>-0.92479203674110311</v>
      </c>
      <c r="AG259">
        <f t="shared" ref="AG259:AG267" si="60">(G259/(D259+H259))</f>
        <v>0</v>
      </c>
      <c r="AH259">
        <f t="shared" ref="AH259:AH267" si="61">(F259/(D259))</f>
        <v>0.39342866420023054</v>
      </c>
      <c r="AI259">
        <f t="shared" ref="AI259:AI267" si="62">E259/D259</f>
        <v>0.60657133579976974</v>
      </c>
      <c r="AJ259">
        <f t="shared" ref="AJ259:AJ267" si="63">(H259/(C259+H259))</f>
        <v>2.5246220554120931</v>
      </c>
      <c r="AK259">
        <f t="shared" ref="AK259:AK267" si="64">(I259/(D259+H259))</f>
        <v>0</v>
      </c>
      <c r="AL259">
        <f t="shared" ref="AL259:AL267" si="65">(J259/(D259+H259))</f>
        <v>2.5246220554120922</v>
      </c>
      <c r="AM259">
        <f t="shared" ref="AM259:AM267" si="66">(I259/H259)</f>
        <v>0</v>
      </c>
      <c r="AN259">
        <f t="shared" ref="AN259:AN267" si="67">J259/H259</f>
        <v>1</v>
      </c>
      <c r="AO259">
        <f t="shared" ref="AO259:AO267" si="68">(D259+H259)/AC259</f>
        <v>-1.1077528289543953E-2</v>
      </c>
      <c r="AP259">
        <f t="shared" ref="AP259:AP267" si="69">($D259+$H259)/AB259</f>
        <v>-6.0650614369713255E-3</v>
      </c>
    </row>
    <row r="260" spans="1:42" x14ac:dyDescent="0.35">
      <c r="A260" s="9" t="s">
        <v>57</v>
      </c>
      <c r="B260" s="11" t="s">
        <v>71</v>
      </c>
      <c r="C260" s="16">
        <f t="shared" si="56"/>
        <v>1.0209999999999999</v>
      </c>
      <c r="D260">
        <v>1.0209999999999999</v>
      </c>
      <c r="E260">
        <v>-1.19999999999999E-2</v>
      </c>
      <c r="F260">
        <v>1.0329999999999999</v>
      </c>
      <c r="G260">
        <v>0</v>
      </c>
      <c r="H260" s="16">
        <v>0</v>
      </c>
      <c r="I260">
        <v>0</v>
      </c>
      <c r="J260">
        <v>0</v>
      </c>
      <c r="K260">
        <v>0</v>
      </c>
      <c r="L260">
        <v>2.0250713059145209</v>
      </c>
      <c r="M260">
        <v>1.3427608723131521</v>
      </c>
      <c r="N260">
        <v>-2.38010339578591E-2</v>
      </c>
      <c r="O260">
        <v>-1.57817144640135E-2</v>
      </c>
      <c r="P260">
        <v>2.0488723398723798</v>
      </c>
      <c r="Q260">
        <v>1.358542586777165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76.037366075549997</v>
      </c>
      <c r="AC260">
        <v>50.417977728389999</v>
      </c>
      <c r="AD260">
        <f t="shared" si="57"/>
        <v>1</v>
      </c>
      <c r="AE260">
        <f t="shared" si="58"/>
        <v>1.0117531831537707</v>
      </c>
      <c r="AF260">
        <f t="shared" si="59"/>
        <v>-1.1753183153770715E-2</v>
      </c>
      <c r="AG260">
        <f t="shared" si="60"/>
        <v>0</v>
      </c>
      <c r="AH260">
        <f t="shared" si="61"/>
        <v>1.0117531831537707</v>
      </c>
      <c r="AI260">
        <f t="shared" si="62"/>
        <v>-1.1753183153770715E-2</v>
      </c>
      <c r="AJ260">
        <f t="shared" si="63"/>
        <v>0</v>
      </c>
      <c r="AK260">
        <f t="shared" si="64"/>
        <v>0</v>
      </c>
      <c r="AL260">
        <f t="shared" si="65"/>
        <v>0</v>
      </c>
      <c r="AM260" t="e">
        <f t="shared" si="66"/>
        <v>#DIV/0!</v>
      </c>
      <c r="AN260" t="e">
        <f t="shared" si="67"/>
        <v>#DIV/0!</v>
      </c>
      <c r="AO260">
        <f t="shared" si="68"/>
        <v>2.0250713059145213E-2</v>
      </c>
      <c r="AP260">
        <f t="shared" si="69"/>
        <v>1.3427608723131521E-2</v>
      </c>
    </row>
    <row r="261" spans="1:42" x14ac:dyDescent="0.35">
      <c r="A261" s="9" t="s">
        <v>58</v>
      </c>
      <c r="B261" s="11" t="s">
        <v>71</v>
      </c>
      <c r="C261" s="16">
        <f t="shared" si="56"/>
        <v>0</v>
      </c>
      <c r="D261">
        <v>0</v>
      </c>
      <c r="E261">
        <v>0</v>
      </c>
      <c r="F261">
        <v>0</v>
      </c>
      <c r="G261">
        <v>0</v>
      </c>
      <c r="H261" s="16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521.00449074291998</v>
      </c>
      <c r="AC261">
        <v>549.82128194673999</v>
      </c>
      <c r="AD261" t="e">
        <f t="shared" si="57"/>
        <v>#DIV/0!</v>
      </c>
      <c r="AE261" t="e">
        <f t="shared" si="58"/>
        <v>#DIV/0!</v>
      </c>
      <c r="AF261" t="e">
        <f t="shared" si="59"/>
        <v>#DIV/0!</v>
      </c>
      <c r="AG261" t="e">
        <f t="shared" si="60"/>
        <v>#DIV/0!</v>
      </c>
      <c r="AH261" t="e">
        <f t="shared" si="61"/>
        <v>#DIV/0!</v>
      </c>
      <c r="AI261" t="e">
        <f t="shared" si="62"/>
        <v>#DIV/0!</v>
      </c>
      <c r="AJ261" t="e">
        <f t="shared" si="63"/>
        <v>#DIV/0!</v>
      </c>
      <c r="AK261" t="e">
        <f t="shared" si="64"/>
        <v>#DIV/0!</v>
      </c>
      <c r="AL261" t="e">
        <f t="shared" si="65"/>
        <v>#DIV/0!</v>
      </c>
      <c r="AM261" t="e">
        <f t="shared" si="66"/>
        <v>#DIV/0!</v>
      </c>
      <c r="AN261" t="e">
        <f t="shared" si="67"/>
        <v>#DIV/0!</v>
      </c>
      <c r="AO261">
        <f t="shared" si="68"/>
        <v>0</v>
      </c>
      <c r="AP261">
        <f t="shared" si="69"/>
        <v>0</v>
      </c>
    </row>
    <row r="262" spans="1:42" x14ac:dyDescent="0.35">
      <c r="A262" s="9" t="s">
        <v>59</v>
      </c>
      <c r="B262" s="11" t="s">
        <v>71</v>
      </c>
      <c r="C262" s="16">
        <f t="shared" si="56"/>
        <v>1.2984084998357872</v>
      </c>
      <c r="D262">
        <v>1.298408499835787</v>
      </c>
      <c r="E262">
        <v>0.65080196341236274</v>
      </c>
      <c r="F262">
        <v>0.64760653642342447</v>
      </c>
      <c r="G262">
        <v>0</v>
      </c>
      <c r="H262" s="16">
        <v>0.1065142329643791</v>
      </c>
      <c r="I262">
        <v>0.1065142329643802</v>
      </c>
      <c r="J262">
        <v>0</v>
      </c>
      <c r="K262">
        <v>0</v>
      </c>
      <c r="L262">
        <v>0.17379085773101099</v>
      </c>
      <c r="M262">
        <v>0.2197659536766742</v>
      </c>
      <c r="N262">
        <v>8.7109281438595407E-2</v>
      </c>
      <c r="O262">
        <v>0.11015340254015581</v>
      </c>
      <c r="P262">
        <v>8.6681576292415102E-2</v>
      </c>
      <c r="Q262">
        <v>0.1096125511365198</v>
      </c>
      <c r="R262">
        <v>0</v>
      </c>
      <c r="S262">
        <v>0</v>
      </c>
      <c r="T262">
        <v>1.4256838205989501E-2</v>
      </c>
      <c r="U262">
        <v>1.80283801211382E-2</v>
      </c>
      <c r="V262">
        <v>1.42568382059894E-2</v>
      </c>
      <c r="W262">
        <v>1.8028380121138401E-2</v>
      </c>
      <c r="X262">
        <v>0</v>
      </c>
      <c r="Y262">
        <v>0</v>
      </c>
      <c r="Z262">
        <v>0</v>
      </c>
      <c r="AA262">
        <v>0</v>
      </c>
      <c r="AB262">
        <v>590.81421763174001</v>
      </c>
      <c r="AC262">
        <v>747.10978286638999</v>
      </c>
      <c r="AD262">
        <f t="shared" si="57"/>
        <v>0.92418498862774856</v>
      </c>
      <c r="AE262">
        <f t="shared" si="58"/>
        <v>0.46095526914328816</v>
      </c>
      <c r="AF262">
        <f t="shared" si="59"/>
        <v>0.46322971948446062</v>
      </c>
      <c r="AG262">
        <f t="shared" si="60"/>
        <v>0</v>
      </c>
      <c r="AH262">
        <f t="shared" si="61"/>
        <v>0.49876948318293429</v>
      </c>
      <c r="AI262">
        <f t="shared" si="62"/>
        <v>0.50123051681706587</v>
      </c>
      <c r="AJ262">
        <f t="shared" si="63"/>
        <v>7.5815011372251384E-2</v>
      </c>
      <c r="AK262">
        <f t="shared" si="64"/>
        <v>7.5815011372252175E-2</v>
      </c>
      <c r="AL262">
        <f t="shared" si="65"/>
        <v>0</v>
      </c>
      <c r="AM262">
        <f t="shared" si="66"/>
        <v>1.0000000000000102</v>
      </c>
      <c r="AN262">
        <f t="shared" si="67"/>
        <v>0</v>
      </c>
      <c r="AO262">
        <f t="shared" si="68"/>
        <v>1.8804769593699948E-3</v>
      </c>
      <c r="AP262">
        <f t="shared" si="69"/>
        <v>2.377943337978145E-3</v>
      </c>
    </row>
    <row r="263" spans="1:42" x14ac:dyDescent="0.35">
      <c r="A263" s="7" t="s">
        <v>60</v>
      </c>
      <c r="B263" s="11" t="s">
        <v>71</v>
      </c>
      <c r="C263" s="16">
        <f t="shared" si="56"/>
        <v>-2.8158699935514391</v>
      </c>
      <c r="D263">
        <v>-3.57454952088105</v>
      </c>
      <c r="E263">
        <v>0</v>
      </c>
      <c r="F263">
        <v>-3.57454952088105</v>
      </c>
      <c r="G263">
        <v>0.75867952732961097</v>
      </c>
      <c r="H263" s="16">
        <v>0</v>
      </c>
      <c r="I263">
        <v>0</v>
      </c>
      <c r="J263">
        <v>0</v>
      </c>
      <c r="K263">
        <v>0</v>
      </c>
      <c r="L263">
        <v>-1.364543031348058</v>
      </c>
      <c r="M263">
        <v>-0.81002520713302584</v>
      </c>
      <c r="N263">
        <v>0</v>
      </c>
      <c r="O263">
        <v>0</v>
      </c>
      <c r="P263">
        <v>-1.364543031348058</v>
      </c>
      <c r="Q263">
        <v>-0.81002520713302673</v>
      </c>
      <c r="R263">
        <v>0.2896171548321122</v>
      </c>
      <c r="S263">
        <v>0.1719236333649343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441.28867711817003</v>
      </c>
      <c r="AC263">
        <v>261.95945739796002</v>
      </c>
      <c r="AD263">
        <f t="shared" si="57"/>
        <v>1</v>
      </c>
      <c r="AE263">
        <f t="shared" si="58"/>
        <v>1</v>
      </c>
      <c r="AF263">
        <f t="shared" si="59"/>
        <v>0</v>
      </c>
      <c r="AG263">
        <f t="shared" si="60"/>
        <v>-0.21224479417552247</v>
      </c>
      <c r="AH263">
        <f t="shared" si="61"/>
        <v>1</v>
      </c>
      <c r="AI263">
        <f t="shared" si="62"/>
        <v>0</v>
      </c>
      <c r="AJ263">
        <f t="shared" si="63"/>
        <v>0</v>
      </c>
      <c r="AK263">
        <f t="shared" si="64"/>
        <v>0</v>
      </c>
      <c r="AL263">
        <f t="shared" si="65"/>
        <v>0</v>
      </c>
      <c r="AM263" t="e">
        <f t="shared" si="66"/>
        <v>#DIV/0!</v>
      </c>
      <c r="AN263" t="e">
        <f t="shared" si="67"/>
        <v>#DIV/0!</v>
      </c>
      <c r="AO263">
        <f t="shared" si="68"/>
        <v>-1.3645430313480587E-2</v>
      </c>
      <c r="AP263">
        <f t="shared" si="69"/>
        <v>-8.1002520713302668E-3</v>
      </c>
    </row>
    <row r="264" spans="1:42" x14ac:dyDescent="0.35">
      <c r="A264" s="7" t="s">
        <v>61</v>
      </c>
      <c r="B264" s="11" t="s">
        <v>71</v>
      </c>
      <c r="C264" s="16">
        <f t="shared" si="56"/>
        <v>-0.24016619392314489</v>
      </c>
      <c r="D264">
        <v>-0.24016619392314451</v>
      </c>
      <c r="E264">
        <v>-1.29965922303392E-2</v>
      </c>
      <c r="F264">
        <v>-0.2271696016928057</v>
      </c>
      <c r="G264">
        <v>0</v>
      </c>
      <c r="H264" s="16">
        <v>-0.96472621076456377</v>
      </c>
      <c r="I264">
        <v>-0.96472621076456377</v>
      </c>
      <c r="J264">
        <v>0</v>
      </c>
      <c r="K264">
        <v>0</v>
      </c>
      <c r="L264">
        <v>-7.4723710140849706E-2</v>
      </c>
      <c r="M264">
        <v>-3.4783045887894798E-2</v>
      </c>
      <c r="N264">
        <v>-4.0436731530561999E-3</v>
      </c>
      <c r="O264">
        <v>-1.882284332152E-3</v>
      </c>
      <c r="P264">
        <v>-7.0680036987793501E-2</v>
      </c>
      <c r="Q264">
        <v>-3.2900761555742598E-2</v>
      </c>
      <c r="R264">
        <v>0</v>
      </c>
      <c r="S264">
        <v>0</v>
      </c>
      <c r="T264">
        <v>-0.3001584884237305</v>
      </c>
      <c r="U264">
        <v>-0.13972039740537659</v>
      </c>
      <c r="V264">
        <v>-0.30015848842373088</v>
      </c>
      <c r="W264">
        <v>-0.13972039740537659</v>
      </c>
      <c r="X264">
        <v>0</v>
      </c>
      <c r="Y264">
        <v>0</v>
      </c>
      <c r="Z264">
        <v>0</v>
      </c>
      <c r="AA264">
        <v>0</v>
      </c>
      <c r="AB264">
        <v>690.46912883131995</v>
      </c>
      <c r="AC264">
        <v>321.40560669490998</v>
      </c>
      <c r="AD264">
        <f t="shared" si="57"/>
        <v>0.19932584269662842</v>
      </c>
      <c r="AE264">
        <f t="shared" si="58"/>
        <v>0.18853932584269628</v>
      </c>
      <c r="AF264">
        <f t="shared" si="59"/>
        <v>1.078651685393248E-2</v>
      </c>
      <c r="AG264">
        <f t="shared" si="60"/>
        <v>0</v>
      </c>
      <c r="AH264">
        <f t="shared" si="61"/>
        <v>0.94588500563698052</v>
      </c>
      <c r="AI264">
        <f t="shared" si="62"/>
        <v>5.4114994363021113E-2</v>
      </c>
      <c r="AJ264">
        <f t="shared" si="63"/>
        <v>0.80067415730337121</v>
      </c>
      <c r="AK264">
        <f t="shared" si="64"/>
        <v>0.80067415730337155</v>
      </c>
      <c r="AL264">
        <f t="shared" si="65"/>
        <v>0</v>
      </c>
      <c r="AM264">
        <f t="shared" si="66"/>
        <v>1</v>
      </c>
      <c r="AN264">
        <f t="shared" si="67"/>
        <v>0</v>
      </c>
      <c r="AO264">
        <f t="shared" si="68"/>
        <v>-3.7488219856458087E-3</v>
      </c>
      <c r="AP264">
        <f t="shared" si="69"/>
        <v>-1.7450344329327152E-3</v>
      </c>
    </row>
    <row r="265" spans="1:42" x14ac:dyDescent="0.35">
      <c r="A265" s="7" t="s">
        <v>62</v>
      </c>
      <c r="B265" s="11" t="s">
        <v>71</v>
      </c>
      <c r="C265" s="16">
        <f t="shared" si="56"/>
        <v>0.14534662604214299</v>
      </c>
      <c r="D265">
        <v>0.14534662604214299</v>
      </c>
      <c r="E265">
        <v>0</v>
      </c>
      <c r="F265">
        <v>0.14534662604214299</v>
      </c>
      <c r="G265">
        <v>0</v>
      </c>
      <c r="H265" s="16">
        <v>0</v>
      </c>
      <c r="I265">
        <v>0</v>
      </c>
      <c r="J265">
        <v>0</v>
      </c>
      <c r="K265">
        <v>0</v>
      </c>
      <c r="L265">
        <v>0.22575488547941269</v>
      </c>
      <c r="M265">
        <v>0.1593128021015037</v>
      </c>
      <c r="N265">
        <v>0</v>
      </c>
      <c r="O265">
        <v>0</v>
      </c>
      <c r="P265">
        <v>0.22575488547941239</v>
      </c>
      <c r="Q265">
        <v>0.15931280210150359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91.233487908610002</v>
      </c>
      <c r="AC265">
        <v>64.38249419652</v>
      </c>
      <c r="AD265">
        <f t="shared" si="57"/>
        <v>1</v>
      </c>
      <c r="AE265">
        <f t="shared" si="58"/>
        <v>1</v>
      </c>
      <c r="AF265">
        <f t="shared" si="59"/>
        <v>0</v>
      </c>
      <c r="AG265">
        <f t="shared" si="60"/>
        <v>0</v>
      </c>
      <c r="AH265">
        <f t="shared" si="61"/>
        <v>1</v>
      </c>
      <c r="AI265">
        <f t="shared" si="62"/>
        <v>0</v>
      </c>
      <c r="AJ265">
        <f t="shared" si="63"/>
        <v>0</v>
      </c>
      <c r="AK265">
        <f t="shared" si="64"/>
        <v>0</v>
      </c>
      <c r="AL265">
        <f t="shared" si="65"/>
        <v>0</v>
      </c>
      <c r="AM265" t="e">
        <f t="shared" si="66"/>
        <v>#DIV/0!</v>
      </c>
      <c r="AN265" t="e">
        <f t="shared" si="67"/>
        <v>#DIV/0!</v>
      </c>
      <c r="AO265">
        <f t="shared" si="68"/>
        <v>2.2575488547941229E-3</v>
      </c>
      <c r="AP265">
        <f t="shared" si="69"/>
        <v>1.5931280210150351E-3</v>
      </c>
    </row>
    <row r="266" spans="1:42" x14ac:dyDescent="0.35">
      <c r="A266" s="7" t="s">
        <v>63</v>
      </c>
      <c r="B266" s="11" t="s">
        <v>71</v>
      </c>
      <c r="C266" s="16">
        <f t="shared" si="56"/>
        <v>1.5108626716739559</v>
      </c>
      <c r="D266">
        <v>1.510862671673955</v>
      </c>
      <c r="E266">
        <v>0.66420956936764153</v>
      </c>
      <c r="F266">
        <v>0.84665310230631441</v>
      </c>
      <c r="G266">
        <v>0</v>
      </c>
      <c r="H266" s="16">
        <v>6.4232296886403001E-3</v>
      </c>
      <c r="I266">
        <v>0</v>
      </c>
      <c r="J266">
        <v>6.4232296886403001E-3</v>
      </c>
      <c r="K266">
        <v>0</v>
      </c>
      <c r="L266">
        <v>1.0251200504614819</v>
      </c>
      <c r="M266">
        <v>0.48755094727856191</v>
      </c>
      <c r="N266">
        <v>0.45066607312017209</v>
      </c>
      <c r="O266">
        <v>0.21433847748577059</v>
      </c>
      <c r="P266">
        <v>0.57445397734130843</v>
      </c>
      <c r="Q266">
        <v>0.27321246979279129</v>
      </c>
      <c r="R266">
        <v>0</v>
      </c>
      <c r="S266">
        <v>0</v>
      </c>
      <c r="T266">
        <v>4.3581601862259E-3</v>
      </c>
      <c r="U266">
        <v>2.0727573577650001E-3</v>
      </c>
      <c r="V266">
        <v>0</v>
      </c>
      <c r="W266">
        <v>0</v>
      </c>
      <c r="X266">
        <v>4.3581601862259E-3</v>
      </c>
      <c r="Y266">
        <v>2.0727573577650001E-3</v>
      </c>
      <c r="Z266">
        <v>0</v>
      </c>
      <c r="AA266">
        <v>0</v>
      </c>
      <c r="AB266">
        <v>309.88816247970999</v>
      </c>
      <c r="AC266">
        <v>147.38397429586999</v>
      </c>
      <c r="AD266">
        <f t="shared" si="57"/>
        <v>0.99576663192950521</v>
      </c>
      <c r="AE266">
        <f t="shared" si="58"/>
        <v>0.55800498874073723</v>
      </c>
      <c r="AF266">
        <f t="shared" si="59"/>
        <v>0.43776164318876853</v>
      </c>
      <c r="AG266">
        <f t="shared" si="60"/>
        <v>0</v>
      </c>
      <c r="AH266">
        <f t="shared" si="61"/>
        <v>0.56037727199141674</v>
      </c>
      <c r="AI266">
        <f t="shared" si="62"/>
        <v>0.43962272800858387</v>
      </c>
      <c r="AJ266">
        <f t="shared" si="63"/>
        <v>4.2333680704947753E-3</v>
      </c>
      <c r="AK266">
        <f t="shared" si="64"/>
        <v>0</v>
      </c>
      <c r="AL266">
        <f t="shared" si="65"/>
        <v>4.2333680704947779E-3</v>
      </c>
      <c r="AM266">
        <f t="shared" si="66"/>
        <v>0</v>
      </c>
      <c r="AN266">
        <f t="shared" si="67"/>
        <v>1</v>
      </c>
      <c r="AO266">
        <f t="shared" si="68"/>
        <v>1.0294782106477047E-2</v>
      </c>
      <c r="AP266">
        <f t="shared" si="69"/>
        <v>4.8962370463632669E-3</v>
      </c>
    </row>
    <row r="267" spans="1:42" x14ac:dyDescent="0.35">
      <c r="A267" s="7" t="s">
        <v>64</v>
      </c>
      <c r="B267" s="11" t="s">
        <v>71</v>
      </c>
      <c r="C267" s="16">
        <f t="shared" si="56"/>
        <v>0</v>
      </c>
      <c r="D267">
        <v>0</v>
      </c>
      <c r="E267">
        <v>0</v>
      </c>
      <c r="F267">
        <v>0</v>
      </c>
      <c r="G267">
        <v>0</v>
      </c>
      <c r="H267" s="16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1215.4228689920101</v>
      </c>
      <c r="AC267">
        <v>571.50311712429004</v>
      </c>
      <c r="AD267" t="e">
        <f t="shared" si="57"/>
        <v>#DIV/0!</v>
      </c>
      <c r="AE267" t="e">
        <f t="shared" si="58"/>
        <v>#DIV/0!</v>
      </c>
      <c r="AF267" t="e">
        <f t="shared" si="59"/>
        <v>#DIV/0!</v>
      </c>
      <c r="AG267" t="e">
        <f t="shared" si="60"/>
        <v>#DIV/0!</v>
      </c>
      <c r="AH267" t="e">
        <f t="shared" si="61"/>
        <v>#DIV/0!</v>
      </c>
      <c r="AI267" t="e">
        <f t="shared" si="62"/>
        <v>#DIV/0!</v>
      </c>
      <c r="AJ267" t="e">
        <f t="shared" si="63"/>
        <v>#DIV/0!</v>
      </c>
      <c r="AK267" t="e">
        <f t="shared" si="64"/>
        <v>#DIV/0!</v>
      </c>
      <c r="AL267" t="e">
        <f t="shared" si="65"/>
        <v>#DIV/0!</v>
      </c>
      <c r="AM267" t="e">
        <f t="shared" si="66"/>
        <v>#DIV/0!</v>
      </c>
      <c r="AN267" t="e">
        <f t="shared" si="67"/>
        <v>#DIV/0!</v>
      </c>
      <c r="AO267">
        <f t="shared" si="68"/>
        <v>0</v>
      </c>
      <c r="AP267">
        <f t="shared" si="69"/>
        <v>0</v>
      </c>
    </row>
  </sheetData>
  <conditionalFormatting sqref="C2:G267">
    <cfRule type="cellIs" dxfId="1" priority="1" operator="lessThan">
      <formula>0</formula>
    </cfRule>
  </conditionalFormatting>
  <conditionalFormatting sqref="E1:F1 E268:F1048576">
    <cfRule type="cellIs" dxfId="0" priority="2" operator="lessThan">
      <formula>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diff (2)</vt:lpstr>
      <vt:lpstr>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2024-05-06T15:35:04Z</dcterms:created>
  <dcterms:modified xsi:type="dcterms:W3CDTF">2025-08-07T10:11:44Z</dcterms:modified>
</cp:coreProperties>
</file>