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6dcfa39c5054bb9/Studium/Wirtschaftswissenschaften/Master-Thesis/New/Working/Policy Reactions/IMF/"/>
    </mc:Choice>
  </mc:AlternateContent>
  <xr:revisionPtr revIDLastSave="657" documentId="13_ncr:1_{9EC61FE1-80C3-477C-B786-26F851794214}" xr6:coauthVersionLast="47" xr6:coauthVersionMax="47" xr10:uidLastSave="{F69E05AF-69B9-458F-A202-910B8BA44ACB}"/>
  <bookViews>
    <workbookView xWindow="-30465" yWindow="-21600" windowWidth="26010" windowHeight="20985" xr2:uid="{00000000-000D-0000-FFFF-FFFF00000000}"/>
  </bookViews>
  <sheets>
    <sheet name="diff" sheetId="2" r:id="rId1"/>
    <sheet name="Sheet1" sheetId="1" r:id="rId2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267" i="2" l="1"/>
  <c r="AW267" i="2"/>
  <c r="AV267" i="2"/>
  <c r="AT267" i="2"/>
  <c r="AQ267" i="2"/>
  <c r="AP267" i="2"/>
  <c r="AO267" i="2"/>
  <c r="AN267" i="2"/>
  <c r="AL267" i="2"/>
  <c r="AE267" i="2"/>
  <c r="BA267" i="2" s="1"/>
  <c r="AD267" i="2"/>
  <c r="AS267" i="2" s="1"/>
  <c r="BA266" i="2"/>
  <c r="AZ266" i="2"/>
  <c r="AX266" i="2"/>
  <c r="AW266" i="2"/>
  <c r="AT266" i="2"/>
  <c r="AS266" i="2"/>
  <c r="AR266" i="2"/>
  <c r="AQ266" i="2"/>
  <c r="AP266" i="2"/>
  <c r="AL266" i="2"/>
  <c r="AK266" i="2"/>
  <c r="AJ266" i="2"/>
  <c r="AH266" i="2"/>
  <c r="AG266" i="2"/>
  <c r="AE266" i="2"/>
  <c r="AN266" i="2" s="1"/>
  <c r="AD266" i="2"/>
  <c r="AO266" i="2" s="1"/>
  <c r="BA265" i="2"/>
  <c r="AZ265" i="2"/>
  <c r="AX265" i="2"/>
  <c r="AW265" i="2"/>
  <c r="AT265" i="2"/>
  <c r="AS265" i="2"/>
  <c r="AR265" i="2"/>
  <c r="AQ265" i="2"/>
  <c r="AP265" i="2"/>
  <c r="AL265" i="2"/>
  <c r="AK265" i="2"/>
  <c r="AJ265" i="2"/>
  <c r="AH265" i="2"/>
  <c r="AG265" i="2"/>
  <c r="AE265" i="2"/>
  <c r="AN265" i="2" s="1"/>
  <c r="AD265" i="2"/>
  <c r="AO265" i="2" s="1"/>
  <c r="BA264" i="2"/>
  <c r="AZ264" i="2"/>
  <c r="AX264" i="2"/>
  <c r="AW264" i="2"/>
  <c r="AT264" i="2"/>
  <c r="AS264" i="2"/>
  <c r="AR264" i="2"/>
  <c r="AQ264" i="2"/>
  <c r="AP264" i="2"/>
  <c r="AL264" i="2"/>
  <c r="AK264" i="2"/>
  <c r="AJ264" i="2"/>
  <c r="AH264" i="2"/>
  <c r="AG264" i="2"/>
  <c r="AE264" i="2"/>
  <c r="AN264" i="2" s="1"/>
  <c r="AD264" i="2"/>
  <c r="AO264" i="2" s="1"/>
  <c r="BA263" i="2"/>
  <c r="AZ263" i="2"/>
  <c r="AX263" i="2"/>
  <c r="AW263" i="2"/>
  <c r="AT263" i="2"/>
  <c r="AS263" i="2"/>
  <c r="AR263" i="2"/>
  <c r="AQ263" i="2"/>
  <c r="AP263" i="2"/>
  <c r="AL263" i="2"/>
  <c r="AK263" i="2"/>
  <c r="AJ263" i="2"/>
  <c r="AH263" i="2"/>
  <c r="AG263" i="2"/>
  <c r="AE263" i="2"/>
  <c r="AN263" i="2" s="1"/>
  <c r="AD263" i="2"/>
  <c r="AO263" i="2" s="1"/>
  <c r="BA262" i="2"/>
  <c r="AZ262" i="2"/>
  <c r="AX262" i="2"/>
  <c r="AW262" i="2"/>
  <c r="AT262" i="2"/>
  <c r="AS262" i="2"/>
  <c r="AR262" i="2"/>
  <c r="AQ262" i="2"/>
  <c r="AP262" i="2"/>
  <c r="AL262" i="2"/>
  <c r="AK262" i="2"/>
  <c r="AJ262" i="2"/>
  <c r="AH262" i="2"/>
  <c r="AG262" i="2"/>
  <c r="AE262" i="2"/>
  <c r="AN262" i="2" s="1"/>
  <c r="AD262" i="2"/>
  <c r="AO262" i="2" s="1"/>
  <c r="BA261" i="2"/>
  <c r="AZ261" i="2"/>
  <c r="AX261" i="2"/>
  <c r="AW261" i="2"/>
  <c r="AT261" i="2"/>
  <c r="AR261" i="2"/>
  <c r="AQ261" i="2"/>
  <c r="AP261" i="2"/>
  <c r="AL261" i="2"/>
  <c r="AK261" i="2"/>
  <c r="AJ261" i="2"/>
  <c r="AE261" i="2"/>
  <c r="AN261" i="2" s="1"/>
  <c r="AD261" i="2"/>
  <c r="BA260" i="2"/>
  <c r="AX260" i="2"/>
  <c r="AW260" i="2"/>
  <c r="AV260" i="2"/>
  <c r="AT260" i="2"/>
  <c r="AQ260" i="2"/>
  <c r="AP260" i="2"/>
  <c r="AO260" i="2"/>
  <c r="AN260" i="2"/>
  <c r="AL260" i="2"/>
  <c r="AG260" i="2"/>
  <c r="AF260" i="2"/>
  <c r="AE260" i="2"/>
  <c r="AR260" i="2" s="1"/>
  <c r="AD260" i="2"/>
  <c r="BA259" i="2"/>
  <c r="AX259" i="2"/>
  <c r="AW259" i="2"/>
  <c r="AT259" i="2"/>
  <c r="AQ259" i="2"/>
  <c r="AP259" i="2"/>
  <c r="AN259" i="2"/>
  <c r="AL259" i="2"/>
  <c r="AG259" i="2"/>
  <c r="AF259" i="2"/>
  <c r="AE259" i="2"/>
  <c r="AR259" i="2" s="1"/>
  <c r="AD259" i="2"/>
  <c r="BA258" i="2"/>
  <c r="AX258" i="2"/>
  <c r="AW258" i="2"/>
  <c r="AV258" i="2"/>
  <c r="AT258" i="2"/>
  <c r="AQ258" i="2"/>
  <c r="AP258" i="2"/>
  <c r="AO258" i="2"/>
  <c r="AN258" i="2"/>
  <c r="AL258" i="2"/>
  <c r="AG258" i="2"/>
  <c r="AF258" i="2"/>
  <c r="AE258" i="2"/>
  <c r="AR258" i="2" s="1"/>
  <c r="AD258" i="2"/>
  <c r="BA257" i="2"/>
  <c r="AX257" i="2"/>
  <c r="AW257" i="2"/>
  <c r="AV257" i="2"/>
  <c r="AT257" i="2"/>
  <c r="AQ257" i="2"/>
  <c r="AP257" i="2"/>
  <c r="AO257" i="2"/>
  <c r="AN257" i="2"/>
  <c r="AL257" i="2"/>
  <c r="AE257" i="2"/>
  <c r="AR257" i="2" s="1"/>
  <c r="AD257" i="2"/>
  <c r="AS257" i="2" s="1"/>
  <c r="BA256" i="2"/>
  <c r="AZ256" i="2"/>
  <c r="AX256" i="2"/>
  <c r="AW256" i="2"/>
  <c r="AT256" i="2"/>
  <c r="AS256" i="2"/>
  <c r="AR256" i="2"/>
  <c r="AQ256" i="2"/>
  <c r="AP256" i="2"/>
  <c r="AL256" i="2"/>
  <c r="AK256" i="2"/>
  <c r="AJ256" i="2"/>
  <c r="AH256" i="2"/>
  <c r="AG256" i="2"/>
  <c r="AE256" i="2"/>
  <c r="AN256" i="2" s="1"/>
  <c r="AD256" i="2"/>
  <c r="AO256" i="2" s="1"/>
  <c r="BA255" i="2"/>
  <c r="AZ255" i="2"/>
  <c r="AX255" i="2"/>
  <c r="AW255" i="2"/>
  <c r="AT255" i="2"/>
  <c r="AS255" i="2"/>
  <c r="AR255" i="2"/>
  <c r="AQ255" i="2"/>
  <c r="AP255" i="2"/>
  <c r="AL255" i="2"/>
  <c r="AK255" i="2"/>
  <c r="AJ255" i="2"/>
  <c r="AH255" i="2"/>
  <c r="AG255" i="2"/>
  <c r="AE255" i="2"/>
  <c r="AN255" i="2" s="1"/>
  <c r="AD255" i="2"/>
  <c r="AO255" i="2" s="1"/>
  <c r="BA254" i="2"/>
  <c r="AX254" i="2"/>
  <c r="AW254" i="2"/>
  <c r="AT254" i="2"/>
  <c r="AR254" i="2"/>
  <c r="AQ254" i="2"/>
  <c r="AP254" i="2"/>
  <c r="AL254" i="2"/>
  <c r="AJ254" i="2"/>
  <c r="AE254" i="2"/>
  <c r="AN254" i="2" s="1"/>
  <c r="AD254" i="2"/>
  <c r="BA253" i="2"/>
  <c r="AX253" i="2"/>
  <c r="AW253" i="2"/>
  <c r="AV253" i="2"/>
  <c r="AT253" i="2"/>
  <c r="AQ253" i="2"/>
  <c r="AP253" i="2"/>
  <c r="AO253" i="2"/>
  <c r="AN253" i="2"/>
  <c r="AL253" i="2"/>
  <c r="AG253" i="2"/>
  <c r="AF253" i="2"/>
  <c r="AE253" i="2"/>
  <c r="AR253" i="2" s="1"/>
  <c r="AD253" i="2"/>
  <c r="BA252" i="2"/>
  <c r="AX252" i="2"/>
  <c r="AW252" i="2"/>
  <c r="AT252" i="2"/>
  <c r="AQ252" i="2"/>
  <c r="AP252" i="2"/>
  <c r="AN252" i="2"/>
  <c r="AL252" i="2"/>
  <c r="AG252" i="2"/>
  <c r="AF252" i="2"/>
  <c r="AE252" i="2"/>
  <c r="AR252" i="2" s="1"/>
  <c r="AD252" i="2"/>
  <c r="AO252" i="2" s="1"/>
  <c r="BA251" i="2"/>
  <c r="AX251" i="2"/>
  <c r="AW251" i="2"/>
  <c r="AV251" i="2"/>
  <c r="AT251" i="2"/>
  <c r="AQ251" i="2"/>
  <c r="AP251" i="2"/>
  <c r="AN251" i="2"/>
  <c r="AL251" i="2"/>
  <c r="AG251" i="2"/>
  <c r="AF251" i="2"/>
  <c r="AE251" i="2"/>
  <c r="AR251" i="2" s="1"/>
  <c r="AD251" i="2"/>
  <c r="BA250" i="2"/>
  <c r="AX250" i="2"/>
  <c r="AW250" i="2"/>
  <c r="AT250" i="2"/>
  <c r="AQ250" i="2"/>
  <c r="AP250" i="2"/>
  <c r="AN250" i="2"/>
  <c r="AL250" i="2"/>
  <c r="AG250" i="2"/>
  <c r="AF250" i="2"/>
  <c r="AE250" i="2"/>
  <c r="AR250" i="2" s="1"/>
  <c r="AD250" i="2"/>
  <c r="BA249" i="2"/>
  <c r="AX249" i="2"/>
  <c r="AW249" i="2"/>
  <c r="AV249" i="2"/>
  <c r="AT249" i="2"/>
  <c r="AQ249" i="2"/>
  <c r="AP249" i="2"/>
  <c r="AO249" i="2"/>
  <c r="AN249" i="2"/>
  <c r="AL249" i="2"/>
  <c r="AG249" i="2"/>
  <c r="AF249" i="2"/>
  <c r="AE249" i="2"/>
  <c r="AR249" i="2" s="1"/>
  <c r="AD249" i="2"/>
  <c r="BA248" i="2"/>
  <c r="AX248" i="2"/>
  <c r="AW248" i="2"/>
  <c r="AT248" i="2"/>
  <c r="AQ248" i="2"/>
  <c r="AP248" i="2"/>
  <c r="AN248" i="2"/>
  <c r="AL248" i="2"/>
  <c r="AG248" i="2"/>
  <c r="AF248" i="2"/>
  <c r="AE248" i="2"/>
  <c r="AR248" i="2" s="1"/>
  <c r="AD248" i="2"/>
  <c r="AO248" i="2" s="1"/>
  <c r="BA247" i="2"/>
  <c r="AX247" i="2"/>
  <c r="AW247" i="2"/>
  <c r="AV247" i="2"/>
  <c r="AT247" i="2"/>
  <c r="AQ247" i="2"/>
  <c r="AP247" i="2"/>
  <c r="AN247" i="2"/>
  <c r="AL247" i="2"/>
  <c r="AG247" i="2"/>
  <c r="AF247" i="2"/>
  <c r="AE247" i="2"/>
  <c r="AR247" i="2" s="1"/>
  <c r="AD247" i="2"/>
  <c r="BA246" i="2"/>
  <c r="AX246" i="2"/>
  <c r="AW246" i="2"/>
  <c r="AV246" i="2"/>
  <c r="AT246" i="2"/>
  <c r="AQ246" i="2"/>
  <c r="AP246" i="2"/>
  <c r="AO246" i="2"/>
  <c r="AN246" i="2"/>
  <c r="AL246" i="2"/>
  <c r="AE246" i="2"/>
  <c r="AR246" i="2" s="1"/>
  <c r="AD246" i="2"/>
  <c r="AS246" i="2" s="1"/>
  <c r="BA245" i="2"/>
  <c r="AZ245" i="2"/>
  <c r="AX245" i="2"/>
  <c r="AW245" i="2"/>
  <c r="AT245" i="2"/>
  <c r="AS245" i="2"/>
  <c r="AR245" i="2"/>
  <c r="AQ245" i="2"/>
  <c r="AP245" i="2"/>
  <c r="AO245" i="2"/>
  <c r="AL245" i="2"/>
  <c r="AK245" i="2"/>
  <c r="AJ245" i="2"/>
  <c r="AH245" i="2"/>
  <c r="AE245" i="2"/>
  <c r="AG245" i="2" s="1"/>
  <c r="AD245" i="2"/>
  <c r="AV245" i="2" s="1"/>
  <c r="BA244" i="2"/>
  <c r="AZ244" i="2"/>
  <c r="AY244" i="2"/>
  <c r="AX244" i="2"/>
  <c r="AW244" i="2"/>
  <c r="AV244" i="2"/>
  <c r="AU244" i="2"/>
  <c r="AS244" i="2"/>
  <c r="AR244" i="2"/>
  <c r="AQ244" i="2"/>
  <c r="AP244" i="2"/>
  <c r="AO244" i="2"/>
  <c r="AM244" i="2"/>
  <c r="AK244" i="2"/>
  <c r="AJ244" i="2"/>
  <c r="AI244" i="2"/>
  <c r="AH244" i="2"/>
  <c r="AG244" i="2"/>
  <c r="AE244" i="2"/>
  <c r="AN244" i="2" s="1"/>
  <c r="AD244" i="2"/>
  <c r="BA243" i="2"/>
  <c r="AZ243" i="2"/>
  <c r="AY243" i="2"/>
  <c r="AX243" i="2"/>
  <c r="AW243" i="2"/>
  <c r="AS243" i="2"/>
  <c r="AR243" i="2"/>
  <c r="AQ243" i="2"/>
  <c r="AP243" i="2"/>
  <c r="AO243" i="2"/>
  <c r="AK243" i="2"/>
  <c r="AJ243" i="2"/>
  <c r="AI243" i="2"/>
  <c r="AG243" i="2"/>
  <c r="AE243" i="2"/>
  <c r="AN243" i="2" s="1"/>
  <c r="AD243" i="2"/>
  <c r="AV243" i="2" s="1"/>
  <c r="AZ242" i="2"/>
  <c r="AY242" i="2"/>
  <c r="AX242" i="2"/>
  <c r="AW242" i="2"/>
  <c r="AV242" i="2"/>
  <c r="AR242" i="2"/>
  <c r="AQ242" i="2"/>
  <c r="AP242" i="2"/>
  <c r="AN242" i="2"/>
  <c r="AJ242" i="2"/>
  <c r="AI242" i="2"/>
  <c r="AH242" i="2"/>
  <c r="AF242" i="2"/>
  <c r="AE242" i="2"/>
  <c r="AT242" i="2" s="1"/>
  <c r="AD242" i="2"/>
  <c r="AU242" i="2" s="1"/>
  <c r="AZ241" i="2"/>
  <c r="AY241" i="2"/>
  <c r="AX241" i="2"/>
  <c r="AW241" i="2"/>
  <c r="AV241" i="2"/>
  <c r="AR241" i="2"/>
  <c r="AQ241" i="2"/>
  <c r="AP241" i="2"/>
  <c r="AN241" i="2"/>
  <c r="AJ241" i="2"/>
  <c r="AI241" i="2"/>
  <c r="AH241" i="2"/>
  <c r="AF241" i="2"/>
  <c r="AE241" i="2"/>
  <c r="AT241" i="2" s="1"/>
  <c r="AD241" i="2"/>
  <c r="AU241" i="2" s="1"/>
  <c r="AZ240" i="2"/>
  <c r="AY240" i="2"/>
  <c r="AX240" i="2"/>
  <c r="AW240" i="2"/>
  <c r="AV240" i="2"/>
  <c r="AR240" i="2"/>
  <c r="AQ240" i="2"/>
  <c r="AP240" i="2"/>
  <c r="AN240" i="2"/>
  <c r="AJ240" i="2"/>
  <c r="AI240" i="2"/>
  <c r="AH240" i="2"/>
  <c r="AF240" i="2"/>
  <c r="AE240" i="2"/>
  <c r="AT240" i="2" s="1"/>
  <c r="AD240" i="2"/>
  <c r="AU240" i="2" s="1"/>
  <c r="AY239" i="2"/>
  <c r="AX239" i="2"/>
  <c r="AW239" i="2"/>
  <c r="AV239" i="2"/>
  <c r="AQ239" i="2"/>
  <c r="AP239" i="2"/>
  <c r="AE239" i="2"/>
  <c r="AD239" i="2"/>
  <c r="AZ238" i="2"/>
  <c r="AX238" i="2"/>
  <c r="AW238" i="2"/>
  <c r="AT238" i="2"/>
  <c r="AQ238" i="2"/>
  <c r="AP238" i="2"/>
  <c r="AM238" i="2"/>
  <c r="AL238" i="2"/>
  <c r="AJ238" i="2"/>
  <c r="AE238" i="2"/>
  <c r="AR238" i="2" s="1"/>
  <c r="AD238" i="2"/>
  <c r="AX237" i="2"/>
  <c r="AW237" i="2"/>
  <c r="AU237" i="2"/>
  <c r="AR237" i="2"/>
  <c r="AQ237" i="2"/>
  <c r="AP237" i="2"/>
  <c r="AE237" i="2"/>
  <c r="AD237" i="2"/>
  <c r="AZ236" i="2"/>
  <c r="AX236" i="2"/>
  <c r="AW236" i="2"/>
  <c r="AT236" i="2"/>
  <c r="AR236" i="2"/>
  <c r="AQ236" i="2"/>
  <c r="AP236" i="2"/>
  <c r="AM236" i="2"/>
  <c r="AL236" i="2"/>
  <c r="AJ236" i="2"/>
  <c r="AE236" i="2"/>
  <c r="AD236" i="2"/>
  <c r="AZ235" i="2"/>
  <c r="AX235" i="2"/>
  <c r="AW235" i="2"/>
  <c r="AU235" i="2"/>
  <c r="AQ235" i="2"/>
  <c r="AP235" i="2"/>
  <c r="AM235" i="2"/>
  <c r="AE235" i="2"/>
  <c r="AD235" i="2"/>
  <c r="AZ234" i="2"/>
  <c r="AX234" i="2"/>
  <c r="AW234" i="2"/>
  <c r="AV234" i="2"/>
  <c r="AU234" i="2"/>
  <c r="AT234" i="2"/>
  <c r="AR234" i="2"/>
  <c r="AQ234" i="2"/>
  <c r="AP234" i="2"/>
  <c r="AN234" i="2"/>
  <c r="AM234" i="2"/>
  <c r="AL234" i="2"/>
  <c r="AJ234" i="2"/>
  <c r="AE234" i="2"/>
  <c r="BA234" i="2" s="1"/>
  <c r="AD234" i="2"/>
  <c r="AY234" i="2" s="1"/>
  <c r="AZ233" i="2"/>
  <c r="AY233" i="2"/>
  <c r="AX233" i="2"/>
  <c r="AW233" i="2"/>
  <c r="AV233" i="2"/>
  <c r="AR233" i="2"/>
  <c r="AQ233" i="2"/>
  <c r="AP233" i="2"/>
  <c r="AN233" i="2"/>
  <c r="AJ233" i="2"/>
  <c r="AI233" i="2"/>
  <c r="AH233" i="2"/>
  <c r="AF233" i="2"/>
  <c r="AE233" i="2"/>
  <c r="AT233" i="2" s="1"/>
  <c r="AD233" i="2"/>
  <c r="AU233" i="2" s="1"/>
  <c r="AZ232" i="2"/>
  <c r="AY232" i="2"/>
  <c r="AX232" i="2"/>
  <c r="AW232" i="2"/>
  <c r="AV232" i="2"/>
  <c r="AR232" i="2"/>
  <c r="AQ232" i="2"/>
  <c r="AP232" i="2"/>
  <c r="AN232" i="2"/>
  <c r="AJ232" i="2"/>
  <c r="AI232" i="2"/>
  <c r="AH232" i="2"/>
  <c r="AF232" i="2"/>
  <c r="AE232" i="2"/>
  <c r="AT232" i="2" s="1"/>
  <c r="AD232" i="2"/>
  <c r="AU232" i="2" s="1"/>
  <c r="AX231" i="2"/>
  <c r="AW231" i="2"/>
  <c r="AR231" i="2"/>
  <c r="AQ231" i="2"/>
  <c r="AP231" i="2"/>
  <c r="AN231" i="2"/>
  <c r="AL231" i="2"/>
  <c r="AJ231" i="2"/>
  <c r="AF231" i="2"/>
  <c r="AE231" i="2"/>
  <c r="AT231" i="2" s="1"/>
  <c r="AD231" i="2"/>
  <c r="AY231" i="2" s="1"/>
  <c r="AX230" i="2"/>
  <c r="AW230" i="2"/>
  <c r="AT230" i="2"/>
  <c r="AQ230" i="2"/>
  <c r="AP230" i="2"/>
  <c r="AE230" i="2"/>
  <c r="AR230" i="2" s="1"/>
  <c r="AD230" i="2"/>
  <c r="AZ229" i="2"/>
  <c r="AY229" i="2"/>
  <c r="AX229" i="2"/>
  <c r="AW229" i="2"/>
  <c r="AU229" i="2"/>
  <c r="AQ229" i="2"/>
  <c r="AP229" i="2"/>
  <c r="AM229" i="2"/>
  <c r="AI229" i="2"/>
  <c r="AH229" i="2"/>
  <c r="AE229" i="2"/>
  <c r="AD229" i="2"/>
  <c r="AV229" i="2" s="1"/>
  <c r="AZ228" i="2"/>
  <c r="AX228" i="2"/>
  <c r="AW228" i="2"/>
  <c r="AV228" i="2"/>
  <c r="AT228" i="2"/>
  <c r="AQ228" i="2"/>
  <c r="AP228" i="2"/>
  <c r="AN228" i="2"/>
  <c r="AM228" i="2"/>
  <c r="AL228" i="2"/>
  <c r="AJ228" i="2"/>
  <c r="AI228" i="2"/>
  <c r="AF228" i="2"/>
  <c r="AE228" i="2"/>
  <c r="AD228" i="2"/>
  <c r="AU228" i="2" s="1"/>
  <c r="AZ227" i="2"/>
  <c r="AY227" i="2"/>
  <c r="AX227" i="2"/>
  <c r="AW227" i="2"/>
  <c r="AU227" i="2"/>
  <c r="AR227" i="2"/>
  <c r="AQ227" i="2"/>
  <c r="AP227" i="2"/>
  <c r="AO227" i="2"/>
  <c r="AM227" i="2"/>
  <c r="AJ227" i="2"/>
  <c r="AI227" i="2"/>
  <c r="AH227" i="2"/>
  <c r="AG227" i="2"/>
  <c r="AE227" i="2"/>
  <c r="BA227" i="2" s="1"/>
  <c r="AD227" i="2"/>
  <c r="AV227" i="2" s="1"/>
  <c r="AZ226" i="2"/>
  <c r="AY226" i="2"/>
  <c r="AX226" i="2"/>
  <c r="AW226" i="2"/>
  <c r="AU226" i="2"/>
  <c r="AR226" i="2"/>
  <c r="AQ226" i="2"/>
  <c r="AP226" i="2"/>
  <c r="AO226" i="2"/>
  <c r="AM226" i="2"/>
  <c r="AJ226" i="2"/>
  <c r="AI226" i="2"/>
  <c r="AH226" i="2"/>
  <c r="AG226" i="2"/>
  <c r="AE226" i="2"/>
  <c r="AN226" i="2" s="1"/>
  <c r="AD226" i="2"/>
  <c r="AV226" i="2" s="1"/>
  <c r="AZ225" i="2"/>
  <c r="AY225" i="2"/>
  <c r="AX225" i="2"/>
  <c r="AW225" i="2"/>
  <c r="AU225" i="2"/>
  <c r="AR225" i="2"/>
  <c r="AQ225" i="2"/>
  <c r="AP225" i="2"/>
  <c r="AO225" i="2"/>
  <c r="AM225" i="2"/>
  <c r="AJ225" i="2"/>
  <c r="AI225" i="2"/>
  <c r="AH225" i="2"/>
  <c r="AG225" i="2"/>
  <c r="AE225" i="2"/>
  <c r="AN225" i="2" s="1"/>
  <c r="AD225" i="2"/>
  <c r="AV225" i="2" s="1"/>
  <c r="AZ224" i="2"/>
  <c r="AY224" i="2"/>
  <c r="AX224" i="2"/>
  <c r="AW224" i="2"/>
  <c r="AU224" i="2"/>
  <c r="AR224" i="2"/>
  <c r="AQ224" i="2"/>
  <c r="AP224" i="2"/>
  <c r="AO224" i="2"/>
  <c r="AM224" i="2"/>
  <c r="AJ224" i="2"/>
  <c r="AI224" i="2"/>
  <c r="AG224" i="2"/>
  <c r="AE224" i="2"/>
  <c r="AN224" i="2" s="1"/>
  <c r="AD224" i="2"/>
  <c r="AV224" i="2" s="1"/>
  <c r="AZ223" i="2"/>
  <c r="AX223" i="2"/>
  <c r="AW223" i="2"/>
  <c r="AQ223" i="2"/>
  <c r="AP223" i="2"/>
  <c r="AN223" i="2"/>
  <c r="AE223" i="2"/>
  <c r="AD223" i="2"/>
  <c r="AX222" i="2"/>
  <c r="AW222" i="2"/>
  <c r="AT222" i="2"/>
  <c r="AR222" i="2"/>
  <c r="AQ222" i="2"/>
  <c r="AP222" i="2"/>
  <c r="AJ222" i="2"/>
  <c r="AE222" i="2"/>
  <c r="AD222" i="2"/>
  <c r="AZ221" i="2"/>
  <c r="AX221" i="2"/>
  <c r="AW221" i="2"/>
  <c r="AU221" i="2"/>
  <c r="AS221" i="2"/>
  <c r="AQ221" i="2"/>
  <c r="AP221" i="2"/>
  <c r="AO221" i="2"/>
  <c r="AK221" i="2"/>
  <c r="AE221" i="2"/>
  <c r="AD221" i="2"/>
  <c r="AY221" i="2" s="1"/>
  <c r="AX220" i="2"/>
  <c r="AW220" i="2"/>
  <c r="AU220" i="2"/>
  <c r="AS220" i="2"/>
  <c r="AQ220" i="2"/>
  <c r="AP220" i="2"/>
  <c r="AO220" i="2"/>
  <c r="AM220" i="2"/>
  <c r="AK220" i="2"/>
  <c r="AH220" i="2"/>
  <c r="AE220" i="2"/>
  <c r="AD220" i="2"/>
  <c r="AZ220" i="2" s="1"/>
  <c r="AX219" i="2"/>
  <c r="AW219" i="2"/>
  <c r="AU219" i="2"/>
  <c r="AS219" i="2"/>
  <c r="AQ219" i="2"/>
  <c r="AP219" i="2"/>
  <c r="AO219" i="2"/>
  <c r="AM219" i="2"/>
  <c r="AK219" i="2"/>
  <c r="AH219" i="2"/>
  <c r="AG219" i="2"/>
  <c r="AE219" i="2"/>
  <c r="AD219" i="2"/>
  <c r="AZ219" i="2" s="1"/>
  <c r="AX218" i="2"/>
  <c r="AW218" i="2"/>
  <c r="AU218" i="2"/>
  <c r="AS218" i="2"/>
  <c r="AQ218" i="2"/>
  <c r="AP218" i="2"/>
  <c r="AO218" i="2"/>
  <c r="AM218" i="2"/>
  <c r="AK218" i="2"/>
  <c r="AH218" i="2"/>
  <c r="AG218" i="2"/>
  <c r="AE218" i="2"/>
  <c r="AD218" i="2"/>
  <c r="AZ218" i="2" s="1"/>
  <c r="AX217" i="2"/>
  <c r="AW217" i="2"/>
  <c r="AU217" i="2"/>
  <c r="AS217" i="2"/>
  <c r="AQ217" i="2"/>
  <c r="AP217" i="2"/>
  <c r="AO217" i="2"/>
  <c r="AM217" i="2"/>
  <c r="AK217" i="2"/>
  <c r="AH217" i="2"/>
  <c r="AG217" i="2"/>
  <c r="AE217" i="2"/>
  <c r="AD217" i="2"/>
  <c r="AZ217" i="2" s="1"/>
  <c r="BA216" i="2"/>
  <c r="AX216" i="2"/>
  <c r="AW216" i="2"/>
  <c r="AU216" i="2"/>
  <c r="AQ216" i="2"/>
  <c r="AP216" i="2"/>
  <c r="AO216" i="2"/>
  <c r="AM216" i="2"/>
  <c r="AE216" i="2"/>
  <c r="AT216" i="2" s="1"/>
  <c r="AD216" i="2"/>
  <c r="BA215" i="2"/>
  <c r="AX215" i="2"/>
  <c r="AW215" i="2"/>
  <c r="AT215" i="2"/>
  <c r="AS215" i="2"/>
  <c r="AQ215" i="2"/>
  <c r="AP215" i="2"/>
  <c r="AL215" i="2"/>
  <c r="AG215" i="2"/>
  <c r="AE215" i="2"/>
  <c r="AN215" i="2" s="1"/>
  <c r="AD215" i="2"/>
  <c r="BA214" i="2"/>
  <c r="AY214" i="2"/>
  <c r="AX214" i="2"/>
  <c r="AW214" i="2"/>
  <c r="AS214" i="2"/>
  <c r="AQ214" i="2"/>
  <c r="AP214" i="2"/>
  <c r="AO214" i="2"/>
  <c r="AK214" i="2"/>
  <c r="AE214" i="2"/>
  <c r="AT214" i="2" s="1"/>
  <c r="AD214" i="2"/>
  <c r="AV214" i="2" s="1"/>
  <c r="AZ213" i="2"/>
  <c r="AY213" i="2"/>
  <c r="AX213" i="2"/>
  <c r="AW213" i="2"/>
  <c r="AV213" i="2"/>
  <c r="AU213" i="2"/>
  <c r="AS213" i="2"/>
  <c r="AQ213" i="2"/>
  <c r="AP213" i="2"/>
  <c r="AO213" i="2"/>
  <c r="AM213" i="2"/>
  <c r="AK213" i="2"/>
  <c r="AE213" i="2"/>
  <c r="AX212" i="2"/>
  <c r="AW212" i="2"/>
  <c r="AT212" i="2"/>
  <c r="AR212" i="2"/>
  <c r="AQ212" i="2"/>
  <c r="AP212" i="2"/>
  <c r="AE212" i="2"/>
  <c r="AD212" i="2"/>
  <c r="AZ211" i="2"/>
  <c r="AX211" i="2"/>
  <c r="AW211" i="2"/>
  <c r="AU211" i="2"/>
  <c r="AR211" i="2"/>
  <c r="AQ211" i="2"/>
  <c r="AP211" i="2"/>
  <c r="AM211" i="2"/>
  <c r="AJ211" i="2"/>
  <c r="AE211" i="2"/>
  <c r="AT211" i="2" s="1"/>
  <c r="AD211" i="2"/>
  <c r="AZ210" i="2"/>
  <c r="AX210" i="2"/>
  <c r="AW210" i="2"/>
  <c r="AU210" i="2"/>
  <c r="AR210" i="2"/>
  <c r="AQ210" i="2"/>
  <c r="AP210" i="2"/>
  <c r="AM210" i="2"/>
  <c r="AJ210" i="2"/>
  <c r="AE210" i="2"/>
  <c r="AD210" i="2"/>
  <c r="AZ209" i="2"/>
  <c r="AX209" i="2"/>
  <c r="AW209" i="2"/>
  <c r="AT209" i="2"/>
  <c r="AR209" i="2"/>
  <c r="AQ209" i="2"/>
  <c r="AP209" i="2"/>
  <c r="AM209" i="2"/>
  <c r="AE209" i="2"/>
  <c r="AD209" i="2"/>
  <c r="AZ208" i="2"/>
  <c r="AX208" i="2"/>
  <c r="AW208" i="2"/>
  <c r="AU208" i="2"/>
  <c r="AQ208" i="2"/>
  <c r="AP208" i="2"/>
  <c r="AM208" i="2"/>
  <c r="AE208" i="2"/>
  <c r="AD208" i="2"/>
  <c r="AX207" i="2"/>
  <c r="AW207" i="2"/>
  <c r="AQ207" i="2"/>
  <c r="AP207" i="2"/>
  <c r="AE207" i="2"/>
  <c r="AD207" i="2"/>
  <c r="AX206" i="2"/>
  <c r="AW206" i="2"/>
  <c r="AT206" i="2"/>
  <c r="AR206" i="2"/>
  <c r="AQ206" i="2"/>
  <c r="AP206" i="2"/>
  <c r="AL206" i="2"/>
  <c r="AJ206" i="2"/>
  <c r="AE206" i="2"/>
  <c r="AD206" i="2"/>
  <c r="AZ206" i="2" s="1"/>
  <c r="AX205" i="2"/>
  <c r="AW205" i="2"/>
  <c r="AT205" i="2"/>
  <c r="AR205" i="2"/>
  <c r="AQ205" i="2"/>
  <c r="AP205" i="2"/>
  <c r="AL205" i="2"/>
  <c r="AJ205" i="2"/>
  <c r="AE205" i="2"/>
  <c r="AD205" i="2"/>
  <c r="AX204" i="2"/>
  <c r="AW204" i="2"/>
  <c r="AS204" i="2"/>
  <c r="AQ204" i="2"/>
  <c r="AP204" i="2"/>
  <c r="AN204" i="2"/>
  <c r="AL204" i="2"/>
  <c r="AJ204" i="2"/>
  <c r="AE204" i="2"/>
  <c r="BA204" i="2" s="1"/>
  <c r="AD204" i="2"/>
  <c r="AX203" i="2"/>
  <c r="AW203" i="2"/>
  <c r="AT203" i="2"/>
  <c r="AR203" i="2"/>
  <c r="AQ203" i="2"/>
  <c r="AP203" i="2"/>
  <c r="AO203" i="2"/>
  <c r="AN203" i="2"/>
  <c r="AL203" i="2"/>
  <c r="AJ203" i="2"/>
  <c r="AG203" i="2"/>
  <c r="AF203" i="2"/>
  <c r="AE203" i="2"/>
  <c r="BA203" i="2" s="1"/>
  <c r="AD203" i="2"/>
  <c r="AV203" i="2" s="1"/>
  <c r="BA202" i="2"/>
  <c r="AZ202" i="2"/>
  <c r="AY202" i="2"/>
  <c r="AX202" i="2"/>
  <c r="AW202" i="2"/>
  <c r="AV202" i="2"/>
  <c r="AU202" i="2"/>
  <c r="AS202" i="2"/>
  <c r="AR202" i="2"/>
  <c r="AQ202" i="2"/>
  <c r="AP202" i="2"/>
  <c r="AO202" i="2"/>
  <c r="AN202" i="2"/>
  <c r="AM202" i="2"/>
  <c r="AL202" i="2"/>
  <c r="AK202" i="2"/>
  <c r="AJ202" i="2"/>
  <c r="AX201" i="2"/>
  <c r="AW201" i="2"/>
  <c r="AU201" i="2"/>
  <c r="AS201" i="2"/>
  <c r="AQ201" i="2"/>
  <c r="AP201" i="2"/>
  <c r="AO201" i="2"/>
  <c r="AM201" i="2"/>
  <c r="AK201" i="2"/>
  <c r="AH201" i="2"/>
  <c r="AE201" i="2"/>
  <c r="AD201" i="2"/>
  <c r="AZ201" i="2" s="1"/>
  <c r="AX200" i="2"/>
  <c r="AW200" i="2"/>
  <c r="AU200" i="2"/>
  <c r="AS200" i="2"/>
  <c r="AQ200" i="2"/>
  <c r="AP200" i="2"/>
  <c r="AO200" i="2"/>
  <c r="AM200" i="2"/>
  <c r="AK200" i="2"/>
  <c r="AH200" i="2"/>
  <c r="AE200" i="2"/>
  <c r="AD200" i="2"/>
  <c r="AZ200" i="2" s="1"/>
  <c r="AX199" i="2"/>
  <c r="AW199" i="2"/>
  <c r="AU199" i="2"/>
  <c r="AS199" i="2"/>
  <c r="AQ199" i="2"/>
  <c r="AP199" i="2"/>
  <c r="AO199" i="2"/>
  <c r="AM199" i="2"/>
  <c r="AK199" i="2"/>
  <c r="AH199" i="2"/>
  <c r="AE199" i="2"/>
  <c r="BA199" i="2" s="1"/>
  <c r="AD199" i="2"/>
  <c r="AZ199" i="2" s="1"/>
  <c r="BA198" i="2"/>
  <c r="AX198" i="2"/>
  <c r="AW198" i="2"/>
  <c r="AU198" i="2"/>
  <c r="AS198" i="2"/>
  <c r="AQ198" i="2"/>
  <c r="AP198" i="2"/>
  <c r="AO198" i="2"/>
  <c r="AM198" i="2"/>
  <c r="AK198" i="2"/>
  <c r="AH198" i="2"/>
  <c r="AG198" i="2"/>
  <c r="AE198" i="2"/>
  <c r="AD198" i="2"/>
  <c r="AZ198" i="2" s="1"/>
  <c r="AX197" i="2"/>
  <c r="AW197" i="2"/>
  <c r="AU197" i="2"/>
  <c r="AS197" i="2"/>
  <c r="AQ197" i="2"/>
  <c r="AP197" i="2"/>
  <c r="AO197" i="2"/>
  <c r="AM197" i="2"/>
  <c r="AK197" i="2"/>
  <c r="AJ197" i="2"/>
  <c r="AH197" i="2"/>
  <c r="AE197" i="2"/>
  <c r="AD197" i="2"/>
  <c r="AZ197" i="2" s="1"/>
  <c r="AZ196" i="2"/>
  <c r="AX196" i="2"/>
  <c r="AW196" i="2"/>
  <c r="AU196" i="2"/>
  <c r="AS196" i="2"/>
  <c r="AQ196" i="2"/>
  <c r="AP196" i="2"/>
  <c r="AO196" i="2"/>
  <c r="AN196" i="2"/>
  <c r="AM196" i="2"/>
  <c r="AK196" i="2"/>
  <c r="AI196" i="2"/>
  <c r="AH196" i="2"/>
  <c r="AF196" i="2"/>
  <c r="AE196" i="2"/>
  <c r="AD196" i="2"/>
  <c r="AZ195" i="2"/>
  <c r="AY195" i="2"/>
  <c r="AX195" i="2"/>
  <c r="AW195" i="2"/>
  <c r="AV195" i="2"/>
  <c r="AU195" i="2"/>
  <c r="AS195" i="2"/>
  <c r="AQ195" i="2"/>
  <c r="AP195" i="2"/>
  <c r="AO195" i="2"/>
  <c r="AN195" i="2"/>
  <c r="AM195" i="2"/>
  <c r="AK195" i="2"/>
  <c r="AI195" i="2"/>
  <c r="AH195" i="2"/>
  <c r="AE195" i="2"/>
  <c r="AD195" i="2"/>
  <c r="AZ194" i="2"/>
  <c r="AY194" i="2"/>
  <c r="AX194" i="2"/>
  <c r="AW194" i="2"/>
  <c r="AV194" i="2"/>
  <c r="AU194" i="2"/>
  <c r="AS194" i="2"/>
  <c r="AQ194" i="2"/>
  <c r="AP194" i="2"/>
  <c r="AO194" i="2"/>
  <c r="AM194" i="2"/>
  <c r="AK194" i="2"/>
  <c r="AI194" i="2"/>
  <c r="AH194" i="2"/>
  <c r="AE194" i="2"/>
  <c r="AD194" i="2"/>
  <c r="AZ193" i="2"/>
  <c r="AY193" i="2"/>
  <c r="AX193" i="2"/>
  <c r="AW193" i="2"/>
  <c r="AV193" i="2"/>
  <c r="AU193" i="2"/>
  <c r="AS193" i="2"/>
  <c r="AQ193" i="2"/>
  <c r="AP193" i="2"/>
  <c r="AO193" i="2"/>
  <c r="AN193" i="2"/>
  <c r="AM193" i="2"/>
  <c r="AK193" i="2"/>
  <c r="AI193" i="2"/>
  <c r="AH193" i="2"/>
  <c r="AE193" i="2"/>
  <c r="AD193" i="2"/>
  <c r="AZ192" i="2"/>
  <c r="AY192" i="2"/>
  <c r="AX192" i="2"/>
  <c r="AW192" i="2"/>
  <c r="AV192" i="2"/>
  <c r="AU192" i="2"/>
  <c r="AS192" i="2"/>
  <c r="AQ192" i="2"/>
  <c r="AP192" i="2"/>
  <c r="AO192" i="2"/>
  <c r="AM192" i="2"/>
  <c r="AK192" i="2"/>
  <c r="AI192" i="2"/>
  <c r="AH192" i="2"/>
  <c r="AE192" i="2"/>
  <c r="AN192" i="2" s="1"/>
  <c r="AD192" i="2"/>
  <c r="AZ191" i="2"/>
  <c r="AY191" i="2"/>
  <c r="AX191" i="2"/>
  <c r="AW191" i="2"/>
  <c r="AV191" i="2"/>
  <c r="AU191" i="2"/>
  <c r="AS191" i="2"/>
  <c r="AQ191" i="2"/>
  <c r="AP191" i="2"/>
  <c r="AO191" i="2"/>
  <c r="AM191" i="2"/>
  <c r="AK191" i="2"/>
  <c r="AI191" i="2"/>
  <c r="AH191" i="2"/>
  <c r="AE191" i="2"/>
  <c r="AD191" i="2"/>
  <c r="BA190" i="2"/>
  <c r="AZ190" i="2"/>
  <c r="AY190" i="2"/>
  <c r="AX190" i="2"/>
  <c r="AW190" i="2"/>
  <c r="AV190" i="2"/>
  <c r="AU190" i="2"/>
  <c r="AS190" i="2"/>
  <c r="AQ190" i="2"/>
  <c r="AP190" i="2"/>
  <c r="AO190" i="2"/>
  <c r="AN190" i="2"/>
  <c r="AM190" i="2"/>
  <c r="AK190" i="2"/>
  <c r="AI190" i="2"/>
  <c r="AH190" i="2"/>
  <c r="AF190" i="2"/>
  <c r="AE190" i="2"/>
  <c r="AD190" i="2"/>
  <c r="AZ189" i="2"/>
  <c r="AY189" i="2"/>
  <c r="AX189" i="2"/>
  <c r="AW189" i="2"/>
  <c r="AV189" i="2"/>
  <c r="AU189" i="2"/>
  <c r="AS189" i="2"/>
  <c r="AQ189" i="2"/>
  <c r="AP189" i="2"/>
  <c r="AO189" i="2"/>
  <c r="AN189" i="2"/>
  <c r="AM189" i="2"/>
  <c r="AK189" i="2"/>
  <c r="AI189" i="2"/>
  <c r="AH189" i="2"/>
  <c r="AF189" i="2"/>
  <c r="AE189" i="2"/>
  <c r="AD189" i="2"/>
  <c r="BA188" i="2"/>
  <c r="AZ188" i="2"/>
  <c r="AY188" i="2"/>
  <c r="AX188" i="2"/>
  <c r="AW188" i="2"/>
  <c r="AV188" i="2"/>
  <c r="AU188" i="2"/>
  <c r="AS188" i="2"/>
  <c r="AQ188" i="2"/>
  <c r="AP188" i="2"/>
  <c r="AO188" i="2"/>
  <c r="AN188" i="2"/>
  <c r="AM188" i="2"/>
  <c r="AK188" i="2"/>
  <c r="AI188" i="2"/>
  <c r="AH188" i="2"/>
  <c r="AF188" i="2"/>
  <c r="AE188" i="2"/>
  <c r="AD188" i="2"/>
  <c r="AX187" i="2"/>
  <c r="AW187" i="2"/>
  <c r="AV187" i="2"/>
  <c r="AU187" i="2"/>
  <c r="AR187" i="2"/>
  <c r="AQ187" i="2"/>
  <c r="AP187" i="2"/>
  <c r="AO187" i="2"/>
  <c r="AM187" i="2"/>
  <c r="AL187" i="2"/>
  <c r="AE187" i="2"/>
  <c r="AD187" i="2"/>
  <c r="AZ187" i="2" s="1"/>
  <c r="AZ186" i="2"/>
  <c r="AY186" i="2"/>
  <c r="AX186" i="2"/>
  <c r="AW186" i="2"/>
  <c r="AU186" i="2"/>
  <c r="AQ186" i="2"/>
  <c r="AP186" i="2"/>
  <c r="AO186" i="2"/>
  <c r="AM186" i="2"/>
  <c r="AK186" i="2"/>
  <c r="AI186" i="2"/>
  <c r="AH186" i="2"/>
  <c r="AE186" i="2"/>
  <c r="AD186" i="2"/>
  <c r="AS186" i="2" s="1"/>
  <c r="AZ185" i="2"/>
  <c r="AY185" i="2"/>
  <c r="AX185" i="2"/>
  <c r="AW185" i="2"/>
  <c r="AU185" i="2"/>
  <c r="AQ185" i="2"/>
  <c r="AP185" i="2"/>
  <c r="AO185" i="2"/>
  <c r="AM185" i="2"/>
  <c r="AK185" i="2"/>
  <c r="AI185" i="2"/>
  <c r="AH185" i="2"/>
  <c r="AE185" i="2"/>
  <c r="AD185" i="2"/>
  <c r="AS185" i="2" s="1"/>
  <c r="AZ184" i="2"/>
  <c r="AY184" i="2"/>
  <c r="AX184" i="2"/>
  <c r="AW184" i="2"/>
  <c r="AU184" i="2"/>
  <c r="AS184" i="2"/>
  <c r="AQ184" i="2"/>
  <c r="AP184" i="2"/>
  <c r="AO184" i="2"/>
  <c r="AM184" i="2"/>
  <c r="AK184" i="2"/>
  <c r="AI184" i="2"/>
  <c r="AH184" i="2"/>
  <c r="AE184" i="2"/>
  <c r="AD184" i="2"/>
  <c r="AV184" i="2" s="1"/>
  <c r="AZ183" i="2"/>
  <c r="AY183" i="2"/>
  <c r="AX183" i="2"/>
  <c r="AW183" i="2"/>
  <c r="AU183" i="2"/>
  <c r="AS183" i="2"/>
  <c r="AQ183" i="2"/>
  <c r="AP183" i="2"/>
  <c r="AO183" i="2"/>
  <c r="AM183" i="2"/>
  <c r="AK183" i="2"/>
  <c r="AI183" i="2"/>
  <c r="AH183" i="2"/>
  <c r="AE183" i="2"/>
  <c r="AD183" i="2"/>
  <c r="AV183" i="2" s="1"/>
  <c r="BA182" i="2"/>
  <c r="AZ182" i="2"/>
  <c r="AY182" i="2"/>
  <c r="AX182" i="2"/>
  <c r="AW182" i="2"/>
  <c r="AV182" i="2"/>
  <c r="AU182" i="2"/>
  <c r="AS182" i="2"/>
  <c r="AR182" i="2"/>
  <c r="AQ182" i="2"/>
  <c r="AP182" i="2"/>
  <c r="AO182" i="2"/>
  <c r="AN182" i="2"/>
  <c r="AM182" i="2"/>
  <c r="AL182" i="2"/>
  <c r="AJ182" i="2"/>
  <c r="AZ181" i="2"/>
  <c r="AY181" i="2"/>
  <c r="AX181" i="2"/>
  <c r="AW181" i="2"/>
  <c r="AU181" i="2"/>
  <c r="AS181" i="2"/>
  <c r="AQ181" i="2"/>
  <c r="AP181" i="2"/>
  <c r="AO181" i="2"/>
  <c r="AM181" i="2"/>
  <c r="AK181" i="2"/>
  <c r="AI181" i="2"/>
  <c r="AH181" i="2"/>
  <c r="AE181" i="2"/>
  <c r="AD181" i="2"/>
  <c r="AV181" i="2" s="1"/>
  <c r="AZ180" i="2"/>
  <c r="AY180" i="2"/>
  <c r="AX180" i="2"/>
  <c r="AW180" i="2"/>
  <c r="AU180" i="2"/>
  <c r="AS180" i="2"/>
  <c r="AQ180" i="2"/>
  <c r="AP180" i="2"/>
  <c r="AO180" i="2"/>
  <c r="AM180" i="2"/>
  <c r="AK180" i="2"/>
  <c r="AI180" i="2"/>
  <c r="AH180" i="2"/>
  <c r="AE180" i="2"/>
  <c r="AD180" i="2"/>
  <c r="AV180" i="2" s="1"/>
  <c r="AZ179" i="2"/>
  <c r="AY179" i="2"/>
  <c r="AX179" i="2"/>
  <c r="AW179" i="2"/>
  <c r="AU179" i="2"/>
  <c r="AS179" i="2"/>
  <c r="AQ179" i="2"/>
  <c r="AP179" i="2"/>
  <c r="AO179" i="2"/>
  <c r="AM179" i="2"/>
  <c r="AK179" i="2"/>
  <c r="AI179" i="2"/>
  <c r="AH179" i="2"/>
  <c r="AE179" i="2"/>
  <c r="AD179" i="2"/>
  <c r="AV179" i="2" s="1"/>
  <c r="AZ178" i="2"/>
  <c r="AY178" i="2"/>
  <c r="AX178" i="2"/>
  <c r="AW178" i="2"/>
  <c r="AU178" i="2"/>
  <c r="AS178" i="2"/>
  <c r="AQ178" i="2"/>
  <c r="AP178" i="2"/>
  <c r="AO178" i="2"/>
  <c r="AM178" i="2"/>
  <c r="AK178" i="2"/>
  <c r="AI178" i="2"/>
  <c r="AH178" i="2"/>
  <c r="AE178" i="2"/>
  <c r="AD178" i="2"/>
  <c r="AV178" i="2" s="1"/>
  <c r="AZ177" i="2"/>
  <c r="AY177" i="2"/>
  <c r="AX177" i="2"/>
  <c r="AW177" i="2"/>
  <c r="AU177" i="2"/>
  <c r="AS177" i="2"/>
  <c r="AQ177" i="2"/>
  <c r="AP177" i="2"/>
  <c r="AO177" i="2"/>
  <c r="AM177" i="2"/>
  <c r="AK177" i="2"/>
  <c r="AI177" i="2"/>
  <c r="AH177" i="2"/>
  <c r="AE177" i="2"/>
  <c r="AD177" i="2"/>
  <c r="AV177" i="2" s="1"/>
  <c r="AZ176" i="2"/>
  <c r="AY176" i="2"/>
  <c r="AX176" i="2"/>
  <c r="AW176" i="2"/>
  <c r="AU176" i="2"/>
  <c r="AS176" i="2"/>
  <c r="AQ176" i="2"/>
  <c r="AP176" i="2"/>
  <c r="AO176" i="2"/>
  <c r="AM176" i="2"/>
  <c r="AK176" i="2"/>
  <c r="AI176" i="2"/>
  <c r="AH176" i="2"/>
  <c r="AE176" i="2"/>
  <c r="AD176" i="2"/>
  <c r="AV176" i="2" s="1"/>
  <c r="AZ175" i="2"/>
  <c r="AY175" i="2"/>
  <c r="AX175" i="2"/>
  <c r="AW175" i="2"/>
  <c r="AU175" i="2"/>
  <c r="AS175" i="2"/>
  <c r="AQ175" i="2"/>
  <c r="AP175" i="2"/>
  <c r="AO175" i="2"/>
  <c r="AM175" i="2"/>
  <c r="AK175" i="2"/>
  <c r="AI175" i="2"/>
  <c r="AH175" i="2"/>
  <c r="AE175" i="2"/>
  <c r="AD175" i="2"/>
  <c r="AV175" i="2" s="1"/>
  <c r="AZ174" i="2"/>
  <c r="AY174" i="2"/>
  <c r="AX174" i="2"/>
  <c r="AW174" i="2"/>
  <c r="AU174" i="2"/>
  <c r="AS174" i="2"/>
  <c r="AQ174" i="2"/>
  <c r="AP174" i="2"/>
  <c r="AO174" i="2"/>
  <c r="AM174" i="2"/>
  <c r="AK174" i="2"/>
  <c r="AI174" i="2"/>
  <c r="AH174" i="2"/>
  <c r="AE174" i="2"/>
  <c r="AD174" i="2"/>
  <c r="AV174" i="2" s="1"/>
  <c r="AZ173" i="2"/>
  <c r="AY173" i="2"/>
  <c r="AX173" i="2"/>
  <c r="AW173" i="2"/>
  <c r="AU173" i="2"/>
  <c r="AS173" i="2"/>
  <c r="AQ173" i="2"/>
  <c r="AP173" i="2"/>
  <c r="AO173" i="2"/>
  <c r="AM173" i="2"/>
  <c r="AK173" i="2"/>
  <c r="AI173" i="2"/>
  <c r="AH173" i="2"/>
  <c r="AE173" i="2"/>
  <c r="AD173" i="2"/>
  <c r="AV173" i="2" s="1"/>
  <c r="BA172" i="2"/>
  <c r="AZ172" i="2"/>
  <c r="AY172" i="2"/>
  <c r="AX172" i="2"/>
  <c r="AW172" i="2"/>
  <c r="AU172" i="2"/>
  <c r="AS172" i="2"/>
  <c r="AR172" i="2"/>
  <c r="AQ172" i="2"/>
  <c r="AP172" i="2"/>
  <c r="AO172" i="2"/>
  <c r="AM172" i="2"/>
  <c r="AK172" i="2"/>
  <c r="AJ172" i="2"/>
  <c r="AI172" i="2"/>
  <c r="AH172" i="2"/>
  <c r="AG172" i="2"/>
  <c r="AE172" i="2"/>
  <c r="AD172" i="2"/>
  <c r="AV172" i="2" s="1"/>
  <c r="AZ171" i="2"/>
  <c r="AY171" i="2"/>
  <c r="AX171" i="2"/>
  <c r="AW171" i="2"/>
  <c r="AU171" i="2"/>
  <c r="AS171" i="2"/>
  <c r="AQ171" i="2"/>
  <c r="AP171" i="2"/>
  <c r="AO171" i="2"/>
  <c r="AM171" i="2"/>
  <c r="AK171" i="2"/>
  <c r="AJ171" i="2"/>
  <c r="AI171" i="2"/>
  <c r="AH171" i="2"/>
  <c r="AE171" i="2"/>
  <c r="AD171" i="2"/>
  <c r="AV171" i="2" s="1"/>
  <c r="AZ170" i="2"/>
  <c r="AY170" i="2"/>
  <c r="AX170" i="2"/>
  <c r="AW170" i="2"/>
  <c r="AU170" i="2"/>
  <c r="AS170" i="2"/>
  <c r="AQ170" i="2"/>
  <c r="AP170" i="2"/>
  <c r="AO170" i="2"/>
  <c r="AK170" i="2"/>
  <c r="AI170" i="2"/>
  <c r="AH170" i="2"/>
  <c r="AE170" i="2"/>
  <c r="AD170" i="2"/>
  <c r="AV170" i="2" s="1"/>
  <c r="AZ169" i="2"/>
  <c r="AY169" i="2"/>
  <c r="AX169" i="2"/>
  <c r="AW169" i="2"/>
  <c r="AV169" i="2"/>
  <c r="AU169" i="2"/>
  <c r="AS169" i="2"/>
  <c r="AQ169" i="2"/>
  <c r="AP169" i="2"/>
  <c r="AO169" i="2"/>
  <c r="AN169" i="2"/>
  <c r="AM169" i="2"/>
  <c r="AK169" i="2"/>
  <c r="AI169" i="2"/>
  <c r="AH169" i="2"/>
  <c r="AE169" i="2"/>
  <c r="AD169" i="2"/>
  <c r="AZ168" i="2"/>
  <c r="AY168" i="2"/>
  <c r="AX168" i="2"/>
  <c r="AW168" i="2"/>
  <c r="AV168" i="2"/>
  <c r="AU168" i="2"/>
  <c r="AS168" i="2"/>
  <c r="AQ168" i="2"/>
  <c r="AP168" i="2"/>
  <c r="AO168" i="2"/>
  <c r="AN168" i="2"/>
  <c r="AM168" i="2"/>
  <c r="AK168" i="2"/>
  <c r="AI168" i="2"/>
  <c r="AH168" i="2"/>
  <c r="AE168" i="2"/>
  <c r="AD168" i="2"/>
  <c r="AZ167" i="2"/>
  <c r="AY167" i="2"/>
  <c r="AX167" i="2"/>
  <c r="AW167" i="2"/>
  <c r="AV167" i="2"/>
  <c r="AU167" i="2"/>
  <c r="AS167" i="2"/>
  <c r="AQ167" i="2"/>
  <c r="AP167" i="2"/>
  <c r="AO167" i="2"/>
  <c r="AN167" i="2"/>
  <c r="AM167" i="2"/>
  <c r="AK167" i="2"/>
  <c r="AI167" i="2"/>
  <c r="AH167" i="2"/>
  <c r="AG167" i="2"/>
  <c r="AF167" i="2"/>
  <c r="AE167" i="2"/>
  <c r="AD167" i="2"/>
  <c r="AZ166" i="2"/>
  <c r="AY166" i="2"/>
  <c r="AX166" i="2"/>
  <c r="AW166" i="2"/>
  <c r="AV166" i="2"/>
  <c r="AU166" i="2"/>
  <c r="AS166" i="2"/>
  <c r="AQ166" i="2"/>
  <c r="AP166" i="2"/>
  <c r="AO166" i="2"/>
  <c r="AM166" i="2"/>
  <c r="AK166" i="2"/>
  <c r="AI166" i="2"/>
  <c r="AH166" i="2"/>
  <c r="AE166" i="2"/>
  <c r="AN166" i="2" s="1"/>
  <c r="AD166" i="2"/>
  <c r="AZ165" i="2"/>
  <c r="AY165" i="2"/>
  <c r="AX165" i="2"/>
  <c r="AW165" i="2"/>
  <c r="AV165" i="2"/>
  <c r="AU165" i="2"/>
  <c r="AS165" i="2"/>
  <c r="AQ165" i="2"/>
  <c r="AP165" i="2"/>
  <c r="AO165" i="2"/>
  <c r="AN165" i="2"/>
  <c r="AM165" i="2"/>
  <c r="AK165" i="2"/>
  <c r="AI165" i="2"/>
  <c r="AH165" i="2"/>
  <c r="AE165" i="2"/>
  <c r="AD165" i="2"/>
  <c r="AZ164" i="2"/>
  <c r="AY164" i="2"/>
  <c r="AX164" i="2"/>
  <c r="AW164" i="2"/>
  <c r="AV164" i="2"/>
  <c r="AU164" i="2"/>
  <c r="AS164" i="2"/>
  <c r="AQ164" i="2"/>
  <c r="AP164" i="2"/>
  <c r="AO164" i="2"/>
  <c r="AN164" i="2"/>
  <c r="AM164" i="2"/>
  <c r="AK164" i="2"/>
  <c r="AI164" i="2"/>
  <c r="AH164" i="2"/>
  <c r="AG164" i="2"/>
  <c r="AE164" i="2"/>
  <c r="AD164" i="2"/>
  <c r="AZ163" i="2"/>
  <c r="AY163" i="2"/>
  <c r="AX163" i="2"/>
  <c r="AW163" i="2"/>
  <c r="AV163" i="2"/>
  <c r="AU163" i="2"/>
  <c r="AS163" i="2"/>
  <c r="AQ163" i="2"/>
  <c r="AP163" i="2"/>
  <c r="AO163" i="2"/>
  <c r="AN163" i="2"/>
  <c r="AM163" i="2"/>
  <c r="AK163" i="2"/>
  <c r="AI163" i="2"/>
  <c r="AH163" i="2"/>
  <c r="AG163" i="2"/>
  <c r="AF163" i="2"/>
  <c r="AE163" i="2"/>
  <c r="AD163" i="2"/>
  <c r="AY162" i="2"/>
  <c r="AX162" i="2"/>
  <c r="AW162" i="2"/>
  <c r="AV162" i="2"/>
  <c r="AU162" i="2"/>
  <c r="AS162" i="2"/>
  <c r="AQ162" i="2"/>
  <c r="AP162" i="2"/>
  <c r="AO162" i="2"/>
  <c r="AM162" i="2"/>
  <c r="AK162" i="2"/>
  <c r="AI162" i="2"/>
  <c r="AH162" i="2"/>
  <c r="AF162" i="2"/>
  <c r="AE162" i="2"/>
  <c r="AD162" i="2"/>
  <c r="AZ162" i="2" s="1"/>
  <c r="AY161" i="2"/>
  <c r="AX161" i="2"/>
  <c r="AW161" i="2"/>
  <c r="AV161" i="2"/>
  <c r="AU161" i="2"/>
  <c r="AS161" i="2"/>
  <c r="AQ161" i="2"/>
  <c r="AP161" i="2"/>
  <c r="AO161" i="2"/>
  <c r="AN161" i="2"/>
  <c r="AM161" i="2"/>
  <c r="AK161" i="2"/>
  <c r="AI161" i="2"/>
  <c r="AH161" i="2"/>
  <c r="AG161" i="2"/>
  <c r="AF161" i="2"/>
  <c r="AE161" i="2"/>
  <c r="AD161" i="2"/>
  <c r="AZ161" i="2" s="1"/>
  <c r="AY160" i="2"/>
  <c r="AX160" i="2"/>
  <c r="AW160" i="2"/>
  <c r="AV160" i="2"/>
  <c r="AU160" i="2"/>
  <c r="AS160" i="2"/>
  <c r="AQ160" i="2"/>
  <c r="AP160" i="2"/>
  <c r="AO160" i="2"/>
  <c r="AN160" i="2"/>
  <c r="AM160" i="2"/>
  <c r="AK160" i="2"/>
  <c r="AI160" i="2"/>
  <c r="AH160" i="2"/>
  <c r="AE160" i="2"/>
  <c r="AD160" i="2"/>
  <c r="AZ160" i="2" s="1"/>
  <c r="AY159" i="2"/>
  <c r="AX159" i="2"/>
  <c r="AW159" i="2"/>
  <c r="AV159" i="2"/>
  <c r="AU159" i="2"/>
  <c r="AS159" i="2"/>
  <c r="AQ159" i="2"/>
  <c r="AP159" i="2"/>
  <c r="AO159" i="2"/>
  <c r="AN159" i="2"/>
  <c r="AM159" i="2"/>
  <c r="AK159" i="2"/>
  <c r="AI159" i="2"/>
  <c r="AH159" i="2"/>
  <c r="AG159" i="2"/>
  <c r="AF159" i="2"/>
  <c r="AE159" i="2"/>
  <c r="AD159" i="2"/>
  <c r="AZ159" i="2" s="1"/>
  <c r="AY158" i="2"/>
  <c r="AX158" i="2"/>
  <c r="AW158" i="2"/>
  <c r="AV158" i="2"/>
  <c r="AU158" i="2"/>
  <c r="AS158" i="2"/>
  <c r="AQ158" i="2"/>
  <c r="AP158" i="2"/>
  <c r="AO158" i="2"/>
  <c r="AM158" i="2"/>
  <c r="AK158" i="2"/>
  <c r="AI158" i="2"/>
  <c r="AH158" i="2"/>
  <c r="AE158" i="2"/>
  <c r="AD158" i="2"/>
  <c r="AZ158" i="2" s="1"/>
  <c r="AY157" i="2"/>
  <c r="AX157" i="2"/>
  <c r="AW157" i="2"/>
  <c r="AV157" i="2"/>
  <c r="AU157" i="2"/>
  <c r="AS157" i="2"/>
  <c r="AQ157" i="2"/>
  <c r="AP157" i="2"/>
  <c r="AO157" i="2"/>
  <c r="AN157" i="2"/>
  <c r="AM157" i="2"/>
  <c r="AK157" i="2"/>
  <c r="AI157" i="2"/>
  <c r="AH157" i="2"/>
  <c r="AG157" i="2"/>
  <c r="AF157" i="2"/>
  <c r="AE157" i="2"/>
  <c r="AD157" i="2"/>
  <c r="AZ157" i="2" s="1"/>
  <c r="AY156" i="2"/>
  <c r="AX156" i="2"/>
  <c r="AW156" i="2"/>
  <c r="AV156" i="2"/>
  <c r="AU156" i="2"/>
  <c r="AS156" i="2"/>
  <c r="AQ156" i="2"/>
  <c r="AP156" i="2"/>
  <c r="AO156" i="2"/>
  <c r="AN156" i="2"/>
  <c r="AM156" i="2"/>
  <c r="AK156" i="2"/>
  <c r="AI156" i="2"/>
  <c r="AH156" i="2"/>
  <c r="AE156" i="2"/>
  <c r="AD156" i="2"/>
  <c r="AZ156" i="2" s="1"/>
  <c r="AY155" i="2"/>
  <c r="AX155" i="2"/>
  <c r="AW155" i="2"/>
  <c r="AV155" i="2"/>
  <c r="AU155" i="2"/>
  <c r="AS155" i="2"/>
  <c r="AQ155" i="2"/>
  <c r="AP155" i="2"/>
  <c r="AO155" i="2"/>
  <c r="AN155" i="2"/>
  <c r="AM155" i="2"/>
  <c r="AK155" i="2"/>
  <c r="AI155" i="2"/>
  <c r="AH155" i="2"/>
  <c r="AG155" i="2"/>
  <c r="AF155" i="2"/>
  <c r="AE155" i="2"/>
  <c r="AD155" i="2"/>
  <c r="AZ155" i="2" s="1"/>
  <c r="AY154" i="2"/>
  <c r="AX154" i="2"/>
  <c r="AW154" i="2"/>
  <c r="AV154" i="2"/>
  <c r="AU154" i="2"/>
  <c r="AS154" i="2"/>
  <c r="AQ154" i="2"/>
  <c r="AP154" i="2"/>
  <c r="AO154" i="2"/>
  <c r="AN154" i="2"/>
  <c r="AM154" i="2"/>
  <c r="AK154" i="2"/>
  <c r="AI154" i="2"/>
  <c r="AH154" i="2"/>
  <c r="AF154" i="2"/>
  <c r="AE154" i="2"/>
  <c r="AD154" i="2"/>
  <c r="AZ154" i="2" s="1"/>
  <c r="AY153" i="2"/>
  <c r="AX153" i="2"/>
  <c r="AW153" i="2"/>
  <c r="AV153" i="2"/>
  <c r="AU153" i="2"/>
  <c r="AS153" i="2"/>
  <c r="AQ153" i="2"/>
  <c r="AP153" i="2"/>
  <c r="AO153" i="2"/>
  <c r="AN153" i="2"/>
  <c r="AM153" i="2"/>
  <c r="AK153" i="2"/>
  <c r="AI153" i="2"/>
  <c r="AH153" i="2"/>
  <c r="AG153" i="2"/>
  <c r="AF153" i="2"/>
  <c r="AE153" i="2"/>
  <c r="AD153" i="2"/>
  <c r="AZ153" i="2" s="1"/>
  <c r="AY152" i="2"/>
  <c r="AX152" i="2"/>
  <c r="AW152" i="2"/>
  <c r="AV152" i="2"/>
  <c r="AU152" i="2"/>
  <c r="AQ152" i="2"/>
  <c r="AP152" i="2"/>
  <c r="AO152" i="2"/>
  <c r="AM152" i="2"/>
  <c r="AI152" i="2"/>
  <c r="AH152" i="2"/>
  <c r="AE152" i="2"/>
  <c r="AD152" i="2"/>
  <c r="AX151" i="2"/>
  <c r="AW151" i="2"/>
  <c r="AT151" i="2"/>
  <c r="AQ151" i="2"/>
  <c r="AP151" i="2"/>
  <c r="AE151" i="2"/>
  <c r="AD151" i="2"/>
  <c r="AX150" i="2"/>
  <c r="AW150" i="2"/>
  <c r="AV150" i="2"/>
  <c r="AU150" i="2"/>
  <c r="AT150" i="2"/>
  <c r="AS150" i="2"/>
  <c r="AQ150" i="2"/>
  <c r="AP150" i="2"/>
  <c r="AN150" i="2"/>
  <c r="AM150" i="2"/>
  <c r="AL150" i="2"/>
  <c r="AK150" i="2"/>
  <c r="AG150" i="2"/>
  <c r="AF150" i="2"/>
  <c r="AE150" i="2"/>
  <c r="AD150" i="2"/>
  <c r="AX149" i="2"/>
  <c r="AW149" i="2"/>
  <c r="AV149" i="2"/>
  <c r="AU149" i="2"/>
  <c r="AT149" i="2"/>
  <c r="AQ149" i="2"/>
  <c r="AP149" i="2"/>
  <c r="AM149" i="2"/>
  <c r="AL149" i="2"/>
  <c r="AK149" i="2"/>
  <c r="AE149" i="2"/>
  <c r="AN149" i="2" s="1"/>
  <c r="AD149" i="2"/>
  <c r="AX148" i="2"/>
  <c r="AW148" i="2"/>
  <c r="AV148" i="2"/>
  <c r="AQ148" i="2"/>
  <c r="AP148" i="2"/>
  <c r="AO148" i="2"/>
  <c r="AN148" i="2"/>
  <c r="AM148" i="2"/>
  <c r="AG148" i="2"/>
  <c r="AF148" i="2"/>
  <c r="AE148" i="2"/>
  <c r="AD148" i="2"/>
  <c r="BA147" i="2"/>
  <c r="AX147" i="2"/>
  <c r="AW147" i="2"/>
  <c r="AQ147" i="2"/>
  <c r="AP147" i="2"/>
  <c r="AF147" i="2"/>
  <c r="AE147" i="2"/>
  <c r="AD147" i="2"/>
  <c r="AX146" i="2"/>
  <c r="AW146" i="2"/>
  <c r="AV146" i="2"/>
  <c r="AU146" i="2"/>
  <c r="AT146" i="2"/>
  <c r="AS146" i="2"/>
  <c r="AQ146" i="2"/>
  <c r="AP146" i="2"/>
  <c r="AN146" i="2"/>
  <c r="AM146" i="2"/>
  <c r="AL146" i="2"/>
  <c r="AK146" i="2"/>
  <c r="AG146" i="2"/>
  <c r="AF146" i="2"/>
  <c r="AE146" i="2"/>
  <c r="AD146" i="2"/>
  <c r="AX145" i="2"/>
  <c r="AW145" i="2"/>
  <c r="AV145" i="2"/>
  <c r="AU145" i="2"/>
  <c r="AT145" i="2"/>
  <c r="AQ145" i="2"/>
  <c r="AP145" i="2"/>
  <c r="AM145" i="2"/>
  <c r="AL145" i="2"/>
  <c r="AK145" i="2"/>
  <c r="AE145" i="2"/>
  <c r="AN145" i="2" s="1"/>
  <c r="AD145" i="2"/>
  <c r="AX144" i="2"/>
  <c r="AW144" i="2"/>
  <c r="AQ144" i="2"/>
  <c r="AP144" i="2"/>
  <c r="AO144" i="2"/>
  <c r="AN144" i="2"/>
  <c r="AM144" i="2"/>
  <c r="AF144" i="2"/>
  <c r="AE144" i="2"/>
  <c r="AD144" i="2"/>
  <c r="BA143" i="2"/>
  <c r="AX143" i="2"/>
  <c r="AW143" i="2"/>
  <c r="AQ143" i="2"/>
  <c r="AP143" i="2"/>
  <c r="AF143" i="2"/>
  <c r="AE143" i="2"/>
  <c r="AD143" i="2"/>
  <c r="BA142" i="2"/>
  <c r="AZ142" i="2"/>
  <c r="AY142" i="2"/>
  <c r="AX142" i="2"/>
  <c r="AW142" i="2"/>
  <c r="AV142" i="2"/>
  <c r="AU142" i="2"/>
  <c r="AT142" i="2"/>
  <c r="AS142" i="2"/>
  <c r="AR142" i="2"/>
  <c r="AQ142" i="2"/>
  <c r="AP142" i="2"/>
  <c r="AO142" i="2"/>
  <c r="AN142" i="2"/>
  <c r="AM142" i="2"/>
  <c r="AL142" i="2"/>
  <c r="AJ142" i="2"/>
  <c r="AX141" i="2"/>
  <c r="AW141" i="2"/>
  <c r="AU141" i="2"/>
  <c r="AT141" i="2"/>
  <c r="AR141" i="2"/>
  <c r="AQ141" i="2"/>
  <c r="AP141" i="2"/>
  <c r="AN141" i="2"/>
  <c r="AL141" i="2"/>
  <c r="AJ141" i="2"/>
  <c r="AH141" i="2"/>
  <c r="AE141" i="2"/>
  <c r="BA141" i="2" s="1"/>
  <c r="AD141" i="2"/>
  <c r="AV141" i="2" s="1"/>
  <c r="AX140" i="2"/>
  <c r="AW140" i="2"/>
  <c r="AV140" i="2"/>
  <c r="AQ140" i="2"/>
  <c r="AP140" i="2"/>
  <c r="AO140" i="2"/>
  <c r="AE140" i="2"/>
  <c r="AD140" i="2"/>
  <c r="AZ139" i="2"/>
  <c r="AX139" i="2"/>
  <c r="AW139" i="2"/>
  <c r="AV139" i="2"/>
  <c r="AU139" i="2"/>
  <c r="AT139" i="2"/>
  <c r="AR139" i="2"/>
  <c r="AQ139" i="2"/>
  <c r="AP139" i="2"/>
  <c r="AN139" i="2"/>
  <c r="AM139" i="2"/>
  <c r="AL139" i="2"/>
  <c r="AJ139" i="2"/>
  <c r="AH139" i="2"/>
  <c r="AG139" i="2"/>
  <c r="AF139" i="2"/>
  <c r="AE139" i="2"/>
  <c r="BA139" i="2" s="1"/>
  <c r="AD139" i="2"/>
  <c r="AX138" i="2"/>
  <c r="AW138" i="2"/>
  <c r="AV138" i="2"/>
  <c r="AU138" i="2"/>
  <c r="AT138" i="2"/>
  <c r="AQ138" i="2"/>
  <c r="AP138" i="2"/>
  <c r="AO138" i="2"/>
  <c r="AM138" i="2"/>
  <c r="AL138" i="2"/>
  <c r="AJ138" i="2"/>
  <c r="AE138" i="2"/>
  <c r="BA138" i="2" s="1"/>
  <c r="AD138" i="2"/>
  <c r="AZ137" i="2"/>
  <c r="AX137" i="2"/>
  <c r="AW137" i="2"/>
  <c r="AU137" i="2"/>
  <c r="AQ137" i="2"/>
  <c r="AP137" i="2"/>
  <c r="AO137" i="2"/>
  <c r="AK137" i="2"/>
  <c r="AH137" i="2"/>
  <c r="AG137" i="2"/>
  <c r="AF137" i="2"/>
  <c r="AE137" i="2"/>
  <c r="AD137" i="2"/>
  <c r="AX136" i="2"/>
  <c r="AW136" i="2"/>
  <c r="AU136" i="2"/>
  <c r="AT136" i="2"/>
  <c r="AQ136" i="2"/>
  <c r="AP136" i="2"/>
  <c r="AE136" i="2"/>
  <c r="AD136" i="2"/>
  <c r="AX135" i="2"/>
  <c r="AW135" i="2"/>
  <c r="AU135" i="2"/>
  <c r="AQ135" i="2"/>
  <c r="AP135" i="2"/>
  <c r="AN135" i="2"/>
  <c r="AM135" i="2"/>
  <c r="AL135" i="2"/>
  <c r="AE135" i="2"/>
  <c r="AT135" i="2" s="1"/>
  <c r="AD135" i="2"/>
  <c r="AX134" i="2"/>
  <c r="AW134" i="2"/>
  <c r="AV134" i="2"/>
  <c r="AU134" i="2"/>
  <c r="AQ134" i="2"/>
  <c r="AP134" i="2"/>
  <c r="AF134" i="2"/>
  <c r="AE134" i="2"/>
  <c r="AD134" i="2"/>
  <c r="AX133" i="2"/>
  <c r="AW133" i="2"/>
  <c r="AT133" i="2"/>
  <c r="AQ133" i="2"/>
  <c r="AP133" i="2"/>
  <c r="AN133" i="2"/>
  <c r="AL133" i="2"/>
  <c r="AE133" i="2"/>
  <c r="AD133" i="2"/>
  <c r="AX132" i="2"/>
  <c r="AW132" i="2"/>
  <c r="AV132" i="2"/>
  <c r="AT132" i="2"/>
  <c r="AQ132" i="2"/>
  <c r="AP132" i="2"/>
  <c r="AN132" i="2"/>
  <c r="AM132" i="2"/>
  <c r="AL132" i="2"/>
  <c r="AF132" i="2"/>
  <c r="AE132" i="2"/>
  <c r="AD132" i="2"/>
  <c r="AX131" i="2"/>
  <c r="AW131" i="2"/>
  <c r="AU131" i="2"/>
  <c r="AQ131" i="2"/>
  <c r="AP131" i="2"/>
  <c r="AE131" i="2"/>
  <c r="AD131" i="2"/>
  <c r="AV131" i="2" s="1"/>
  <c r="AX130" i="2"/>
  <c r="AW130" i="2"/>
  <c r="AV130" i="2"/>
  <c r="AT130" i="2"/>
  <c r="AQ130" i="2"/>
  <c r="AP130" i="2"/>
  <c r="AN130" i="2"/>
  <c r="AM130" i="2"/>
  <c r="AF130" i="2"/>
  <c r="AE130" i="2"/>
  <c r="AD130" i="2"/>
  <c r="AX129" i="2"/>
  <c r="AW129" i="2"/>
  <c r="AV129" i="2"/>
  <c r="AU129" i="2"/>
  <c r="AQ129" i="2"/>
  <c r="AP129" i="2"/>
  <c r="AM129" i="2"/>
  <c r="AL129" i="2"/>
  <c r="AE129" i="2"/>
  <c r="AD129" i="2"/>
  <c r="AX128" i="2"/>
  <c r="AW128" i="2"/>
  <c r="AU128" i="2"/>
  <c r="AT128" i="2"/>
  <c r="AQ128" i="2"/>
  <c r="AP128" i="2"/>
  <c r="AE128" i="2"/>
  <c r="AD128" i="2"/>
  <c r="AX127" i="2"/>
  <c r="AW127" i="2"/>
  <c r="AU127" i="2"/>
  <c r="AQ127" i="2"/>
  <c r="AP127" i="2"/>
  <c r="AN127" i="2"/>
  <c r="AM127" i="2"/>
  <c r="AL127" i="2"/>
  <c r="AE127" i="2"/>
  <c r="AT127" i="2" s="1"/>
  <c r="AD127" i="2"/>
  <c r="AX126" i="2"/>
  <c r="AW126" i="2"/>
  <c r="AQ126" i="2"/>
  <c r="AP126" i="2"/>
  <c r="AL126" i="2"/>
  <c r="AF126" i="2"/>
  <c r="AE126" i="2"/>
  <c r="AD126" i="2"/>
  <c r="AU126" i="2" s="1"/>
  <c r="AX125" i="2"/>
  <c r="AW125" i="2"/>
  <c r="AT125" i="2"/>
  <c r="AQ125" i="2"/>
  <c r="AP125" i="2"/>
  <c r="AN125" i="2"/>
  <c r="AL125" i="2"/>
  <c r="AE125" i="2"/>
  <c r="AD125" i="2"/>
  <c r="AX124" i="2"/>
  <c r="AW124" i="2"/>
  <c r="AV124" i="2"/>
  <c r="AT124" i="2"/>
  <c r="AQ124" i="2"/>
  <c r="AP124" i="2"/>
  <c r="AN124" i="2"/>
  <c r="AM124" i="2"/>
  <c r="AL124" i="2"/>
  <c r="AF124" i="2"/>
  <c r="AE124" i="2"/>
  <c r="AD124" i="2"/>
  <c r="AX123" i="2"/>
  <c r="AW123" i="2"/>
  <c r="AQ123" i="2"/>
  <c r="AP123" i="2"/>
  <c r="AF123" i="2"/>
  <c r="AE123" i="2"/>
  <c r="AD123" i="2"/>
  <c r="AX122" i="2"/>
  <c r="AW122" i="2"/>
  <c r="AQ122" i="2"/>
  <c r="AP122" i="2"/>
  <c r="AN122" i="2"/>
  <c r="AM122" i="2"/>
  <c r="AI122" i="2"/>
  <c r="AE122" i="2"/>
  <c r="AD122" i="2"/>
  <c r="AY121" i="2"/>
  <c r="AX121" i="2"/>
  <c r="AW121" i="2"/>
  <c r="AU121" i="2"/>
  <c r="AQ121" i="2"/>
  <c r="AP121" i="2"/>
  <c r="AN121" i="2"/>
  <c r="AM121" i="2"/>
  <c r="AL121" i="2"/>
  <c r="AF121" i="2"/>
  <c r="AE121" i="2"/>
  <c r="AD121" i="2"/>
  <c r="AY120" i="2"/>
  <c r="AX120" i="2"/>
  <c r="AW120" i="2"/>
  <c r="AV120" i="2"/>
  <c r="AQ120" i="2"/>
  <c r="AP120" i="2"/>
  <c r="AN120" i="2"/>
  <c r="AM120" i="2"/>
  <c r="AL120" i="2"/>
  <c r="AI120" i="2"/>
  <c r="AE120" i="2"/>
  <c r="AT120" i="2" s="1"/>
  <c r="AD120" i="2"/>
  <c r="AX119" i="2"/>
  <c r="AW119" i="2"/>
  <c r="AQ119" i="2"/>
  <c r="AP119" i="2"/>
  <c r="AN119" i="2"/>
  <c r="AL119" i="2"/>
  <c r="AF119" i="2"/>
  <c r="AE119" i="2"/>
  <c r="AD119" i="2"/>
  <c r="AX118" i="2"/>
  <c r="AW118" i="2"/>
  <c r="AU118" i="2"/>
  <c r="AT118" i="2"/>
  <c r="AQ118" i="2"/>
  <c r="AP118" i="2"/>
  <c r="AL118" i="2"/>
  <c r="AJ118" i="2"/>
  <c r="AI118" i="2"/>
  <c r="AF118" i="2"/>
  <c r="AE118" i="2"/>
  <c r="AN118" i="2" s="1"/>
  <c r="AD118" i="2"/>
  <c r="AX117" i="2"/>
  <c r="AW117" i="2"/>
  <c r="AV117" i="2"/>
  <c r="AU117" i="2"/>
  <c r="AR117" i="2"/>
  <c r="AQ117" i="2"/>
  <c r="AP117" i="2"/>
  <c r="AN117" i="2"/>
  <c r="AM117" i="2"/>
  <c r="AL117" i="2"/>
  <c r="AJ117" i="2"/>
  <c r="AF117" i="2"/>
  <c r="AE117" i="2"/>
  <c r="AD117" i="2"/>
  <c r="AX116" i="2"/>
  <c r="AW116" i="2"/>
  <c r="AU116" i="2"/>
  <c r="AQ116" i="2"/>
  <c r="AP116" i="2"/>
  <c r="AE116" i="2"/>
  <c r="AD116" i="2"/>
  <c r="AZ115" i="2"/>
  <c r="AY115" i="2"/>
  <c r="AX115" i="2"/>
  <c r="AW115" i="2"/>
  <c r="AT115" i="2"/>
  <c r="AR115" i="2"/>
  <c r="AQ115" i="2"/>
  <c r="AP115" i="2"/>
  <c r="AM115" i="2"/>
  <c r="AI115" i="2"/>
  <c r="AF115" i="2"/>
  <c r="AE115" i="2"/>
  <c r="AD115" i="2"/>
  <c r="AX114" i="2"/>
  <c r="AW114" i="2"/>
  <c r="AQ114" i="2"/>
  <c r="AP114" i="2"/>
  <c r="AL114" i="2"/>
  <c r="AE114" i="2"/>
  <c r="AD114" i="2"/>
  <c r="AX113" i="2"/>
  <c r="AW113" i="2"/>
  <c r="AT113" i="2"/>
  <c r="AR113" i="2"/>
  <c r="AQ113" i="2"/>
  <c r="AP113" i="2"/>
  <c r="AL113" i="2"/>
  <c r="AJ113" i="2"/>
  <c r="AH113" i="2"/>
  <c r="AG113" i="2"/>
  <c r="AE113" i="2"/>
  <c r="AD113" i="2"/>
  <c r="AX112" i="2"/>
  <c r="AW112" i="2"/>
  <c r="AU112" i="2"/>
  <c r="AT112" i="2"/>
  <c r="AQ112" i="2"/>
  <c r="AP112" i="2"/>
  <c r="AM112" i="2"/>
  <c r="AL112" i="2"/>
  <c r="AJ112" i="2"/>
  <c r="AI112" i="2"/>
  <c r="AG112" i="2"/>
  <c r="AE112" i="2"/>
  <c r="AD112" i="2"/>
  <c r="AZ111" i="2"/>
  <c r="AY111" i="2"/>
  <c r="AX111" i="2"/>
  <c r="AW111" i="2"/>
  <c r="AQ111" i="2"/>
  <c r="AP111" i="2"/>
  <c r="AO111" i="2"/>
  <c r="AM111" i="2"/>
  <c r="AL111" i="2"/>
  <c r="AI111" i="2"/>
  <c r="AE111" i="2"/>
  <c r="AT111" i="2" s="1"/>
  <c r="AD111" i="2"/>
  <c r="AX110" i="2"/>
  <c r="AW110" i="2"/>
  <c r="AR110" i="2"/>
  <c r="AQ110" i="2"/>
  <c r="AP110" i="2"/>
  <c r="AE110" i="2"/>
  <c r="AD110" i="2"/>
  <c r="AY109" i="2"/>
  <c r="AX109" i="2"/>
  <c r="AW109" i="2"/>
  <c r="AT109" i="2"/>
  <c r="AR109" i="2"/>
  <c r="AQ109" i="2"/>
  <c r="AP109" i="2"/>
  <c r="AO109" i="2"/>
  <c r="AL109" i="2"/>
  <c r="AJ109" i="2"/>
  <c r="AG109" i="2"/>
  <c r="AE109" i="2"/>
  <c r="AD109" i="2"/>
  <c r="AX108" i="2"/>
  <c r="AW108" i="2"/>
  <c r="AQ108" i="2"/>
  <c r="AP108" i="2"/>
  <c r="AM108" i="2"/>
  <c r="AL108" i="2"/>
  <c r="AE108" i="2"/>
  <c r="AD108" i="2"/>
  <c r="AU108" i="2" s="1"/>
  <c r="AZ107" i="2"/>
  <c r="AX107" i="2"/>
  <c r="AW107" i="2"/>
  <c r="AV107" i="2"/>
  <c r="AU107" i="2"/>
  <c r="AS107" i="2"/>
  <c r="AQ107" i="2"/>
  <c r="AP107" i="2"/>
  <c r="AO107" i="2"/>
  <c r="AM107" i="2"/>
  <c r="AL107" i="2"/>
  <c r="AE107" i="2"/>
  <c r="AD107" i="2"/>
  <c r="AY107" i="2" s="1"/>
  <c r="AZ106" i="2"/>
  <c r="AX106" i="2"/>
  <c r="AW106" i="2"/>
  <c r="AV106" i="2"/>
  <c r="AU106" i="2"/>
  <c r="AS106" i="2"/>
  <c r="AQ106" i="2"/>
  <c r="AP106" i="2"/>
  <c r="AO106" i="2"/>
  <c r="AM106" i="2"/>
  <c r="AE106" i="2"/>
  <c r="AJ106" i="2" s="1"/>
  <c r="AD106" i="2"/>
  <c r="AY106" i="2" s="1"/>
  <c r="BA105" i="2"/>
  <c r="AZ105" i="2"/>
  <c r="AY105" i="2"/>
  <c r="AX105" i="2"/>
  <c r="AW105" i="2"/>
  <c r="AV105" i="2"/>
  <c r="AU105" i="2"/>
  <c r="AS105" i="2"/>
  <c r="AR105" i="2"/>
  <c r="AQ105" i="2"/>
  <c r="AP105" i="2"/>
  <c r="AN105" i="2"/>
  <c r="AM105" i="2"/>
  <c r="AK105" i="2"/>
  <c r="AJ105" i="2"/>
  <c r="AI105" i="2"/>
  <c r="AH105" i="2"/>
  <c r="AE105" i="2"/>
  <c r="AD105" i="2"/>
  <c r="AO105" i="2" s="1"/>
  <c r="AZ104" i="2"/>
  <c r="AY104" i="2"/>
  <c r="AX104" i="2"/>
  <c r="AW104" i="2"/>
  <c r="AV104" i="2"/>
  <c r="AU104" i="2"/>
  <c r="AS104" i="2"/>
  <c r="AQ104" i="2"/>
  <c r="AP104" i="2"/>
  <c r="AM104" i="2"/>
  <c r="AK104" i="2"/>
  <c r="AI104" i="2"/>
  <c r="AH104" i="2"/>
  <c r="AE104" i="2"/>
  <c r="AD104" i="2"/>
  <c r="AO104" i="2" s="1"/>
  <c r="BA103" i="2"/>
  <c r="AZ103" i="2"/>
  <c r="AY103" i="2"/>
  <c r="AX103" i="2"/>
  <c r="AW103" i="2"/>
  <c r="AV103" i="2"/>
  <c r="AU103" i="2"/>
  <c r="AS103" i="2"/>
  <c r="AR103" i="2"/>
  <c r="AQ103" i="2"/>
  <c r="AP103" i="2"/>
  <c r="AN103" i="2"/>
  <c r="AM103" i="2"/>
  <c r="AK103" i="2"/>
  <c r="AJ103" i="2"/>
  <c r="AI103" i="2"/>
  <c r="AH103" i="2"/>
  <c r="AE103" i="2"/>
  <c r="AD103" i="2"/>
  <c r="AO103" i="2" s="1"/>
  <c r="BA102" i="2"/>
  <c r="AZ102" i="2"/>
  <c r="AX102" i="2"/>
  <c r="AW102" i="2"/>
  <c r="AS102" i="2"/>
  <c r="AR102" i="2"/>
  <c r="AQ102" i="2"/>
  <c r="AP102" i="2"/>
  <c r="AM102" i="2"/>
  <c r="AE102" i="2"/>
  <c r="AD102" i="2"/>
  <c r="BA101" i="2"/>
  <c r="AY101" i="2"/>
  <c r="AX101" i="2"/>
  <c r="AW101" i="2"/>
  <c r="AV101" i="2"/>
  <c r="AT101" i="2"/>
  <c r="AQ101" i="2"/>
  <c r="AP101" i="2"/>
  <c r="AN101" i="2"/>
  <c r="AL101" i="2"/>
  <c r="AJ101" i="2"/>
  <c r="AE101" i="2"/>
  <c r="AR101" i="2" s="1"/>
  <c r="AD101" i="2"/>
  <c r="AS101" i="2" s="1"/>
  <c r="BA100" i="2"/>
  <c r="AY100" i="2"/>
  <c r="AX100" i="2"/>
  <c r="AW100" i="2"/>
  <c r="AV100" i="2"/>
  <c r="AT100" i="2"/>
  <c r="AQ100" i="2"/>
  <c r="AP100" i="2"/>
  <c r="AO100" i="2"/>
  <c r="AN100" i="2"/>
  <c r="AL100" i="2"/>
  <c r="AJ100" i="2"/>
  <c r="AE100" i="2"/>
  <c r="AR100" i="2" s="1"/>
  <c r="AD100" i="2"/>
  <c r="BA99" i="2"/>
  <c r="AZ99" i="2"/>
  <c r="AX99" i="2"/>
  <c r="AW99" i="2"/>
  <c r="AV99" i="2"/>
  <c r="AR99" i="2"/>
  <c r="AQ99" i="2"/>
  <c r="AP99" i="2"/>
  <c r="AO99" i="2"/>
  <c r="AL99" i="2"/>
  <c r="AE99" i="2"/>
  <c r="AN99" i="2" s="1"/>
  <c r="AD99" i="2"/>
  <c r="AZ98" i="2"/>
  <c r="AX98" i="2"/>
  <c r="AW98" i="2"/>
  <c r="AR98" i="2"/>
  <c r="AQ98" i="2"/>
  <c r="AP98" i="2"/>
  <c r="AM98" i="2"/>
  <c r="AE98" i="2"/>
  <c r="AD98" i="2"/>
  <c r="AZ97" i="2"/>
  <c r="AY97" i="2"/>
  <c r="AX97" i="2"/>
  <c r="AW97" i="2"/>
  <c r="AU97" i="2"/>
  <c r="AQ97" i="2"/>
  <c r="AP97" i="2"/>
  <c r="AO97" i="2"/>
  <c r="AM97" i="2"/>
  <c r="AE97" i="2"/>
  <c r="AD97" i="2"/>
  <c r="AX96" i="2"/>
  <c r="AW96" i="2"/>
  <c r="AU96" i="2"/>
  <c r="AQ96" i="2"/>
  <c r="AP96" i="2"/>
  <c r="AL96" i="2"/>
  <c r="AE96" i="2"/>
  <c r="AD96" i="2"/>
  <c r="AS96" i="2" s="1"/>
  <c r="AZ95" i="2"/>
  <c r="AX95" i="2"/>
  <c r="AW95" i="2"/>
  <c r="AS95" i="2"/>
  <c r="AQ95" i="2"/>
  <c r="AP95" i="2"/>
  <c r="AM95" i="2"/>
  <c r="AK95" i="2"/>
  <c r="AH95" i="2"/>
  <c r="AG95" i="2"/>
  <c r="AE95" i="2"/>
  <c r="AR95" i="2" s="1"/>
  <c r="AD95" i="2"/>
  <c r="AU95" i="2" s="1"/>
  <c r="BA94" i="2"/>
  <c r="AX94" i="2"/>
  <c r="AW94" i="2"/>
  <c r="AU94" i="2"/>
  <c r="AT94" i="2"/>
  <c r="AS94" i="2"/>
  <c r="AQ94" i="2"/>
  <c r="AP94" i="2"/>
  <c r="AM94" i="2"/>
  <c r="AL94" i="2"/>
  <c r="AK94" i="2"/>
  <c r="AJ94" i="2"/>
  <c r="AG94" i="2"/>
  <c r="AE94" i="2"/>
  <c r="AD94" i="2"/>
  <c r="BA93" i="2"/>
  <c r="AZ93" i="2"/>
  <c r="AX93" i="2"/>
  <c r="AW93" i="2"/>
  <c r="AT93" i="2"/>
  <c r="AQ93" i="2"/>
  <c r="AP93" i="2"/>
  <c r="AO93" i="2"/>
  <c r="AM93" i="2"/>
  <c r="AK93" i="2"/>
  <c r="AG93" i="2"/>
  <c r="AE93" i="2"/>
  <c r="AD93" i="2"/>
  <c r="BA92" i="2"/>
  <c r="AX92" i="2"/>
  <c r="AW92" i="2"/>
  <c r="AU92" i="2"/>
  <c r="AT92" i="2"/>
  <c r="AS92" i="2"/>
  <c r="AR92" i="2"/>
  <c r="AQ92" i="2"/>
  <c r="AP92" i="2"/>
  <c r="AM92" i="2"/>
  <c r="AL92" i="2"/>
  <c r="AK92" i="2"/>
  <c r="AJ92" i="2"/>
  <c r="AG92" i="2"/>
  <c r="AE92" i="2"/>
  <c r="AF92" i="2" s="1"/>
  <c r="AD92" i="2"/>
  <c r="BA91" i="2"/>
  <c r="AZ91" i="2"/>
  <c r="AX91" i="2"/>
  <c r="AW91" i="2"/>
  <c r="AV91" i="2"/>
  <c r="AS91" i="2"/>
  <c r="AQ91" i="2"/>
  <c r="AP91" i="2"/>
  <c r="AN91" i="2"/>
  <c r="AK91" i="2"/>
  <c r="AJ91" i="2"/>
  <c r="AH91" i="2"/>
  <c r="AG91" i="2"/>
  <c r="AE91" i="2"/>
  <c r="AD91" i="2"/>
  <c r="AZ90" i="2"/>
  <c r="AX90" i="2"/>
  <c r="AW90" i="2"/>
  <c r="AV90" i="2"/>
  <c r="AT90" i="2"/>
  <c r="AS90" i="2"/>
  <c r="AQ90" i="2"/>
  <c r="AP90" i="2"/>
  <c r="AO90" i="2"/>
  <c r="AN90" i="2"/>
  <c r="AL90" i="2"/>
  <c r="AK90" i="2"/>
  <c r="AH90" i="2"/>
  <c r="AG90" i="2"/>
  <c r="AE90" i="2"/>
  <c r="AD90" i="2"/>
  <c r="BA89" i="2"/>
  <c r="AX89" i="2"/>
  <c r="AW89" i="2"/>
  <c r="AV89" i="2"/>
  <c r="AR89" i="2"/>
  <c r="AQ89" i="2"/>
  <c r="AP89" i="2"/>
  <c r="AO89" i="2"/>
  <c r="AN89" i="2"/>
  <c r="AM89" i="2"/>
  <c r="AL89" i="2"/>
  <c r="AF89" i="2"/>
  <c r="AE89" i="2"/>
  <c r="AG89" i="2" s="1"/>
  <c r="AD89" i="2"/>
  <c r="BA88" i="2"/>
  <c r="AX88" i="2"/>
  <c r="AW88" i="2"/>
  <c r="AQ88" i="2"/>
  <c r="AP88" i="2"/>
  <c r="AL88" i="2"/>
  <c r="AG88" i="2"/>
  <c r="AE88" i="2"/>
  <c r="AD88" i="2"/>
  <c r="BA87" i="2"/>
  <c r="AZ87" i="2"/>
  <c r="AX87" i="2"/>
  <c r="AW87" i="2"/>
  <c r="AT87" i="2"/>
  <c r="AR87" i="2"/>
  <c r="AQ87" i="2"/>
  <c r="AP87" i="2"/>
  <c r="AN87" i="2"/>
  <c r="AL87" i="2"/>
  <c r="AJ87" i="2"/>
  <c r="AH87" i="2"/>
  <c r="AF87" i="2"/>
  <c r="AE87" i="2"/>
  <c r="AG87" i="2" s="1"/>
  <c r="AD87" i="2"/>
  <c r="BA86" i="2"/>
  <c r="AY86" i="2"/>
  <c r="AX86" i="2"/>
  <c r="AW86" i="2"/>
  <c r="AV86" i="2"/>
  <c r="AT86" i="2"/>
  <c r="AS86" i="2"/>
  <c r="AR86" i="2"/>
  <c r="AQ86" i="2"/>
  <c r="AP86" i="2"/>
  <c r="AN86" i="2"/>
  <c r="AL86" i="2"/>
  <c r="AK86" i="2"/>
  <c r="AJ86" i="2"/>
  <c r="AI86" i="2"/>
  <c r="AH86" i="2"/>
  <c r="AF86" i="2"/>
  <c r="AE86" i="2"/>
  <c r="AG86" i="2" s="1"/>
  <c r="AD86" i="2"/>
  <c r="BA85" i="2"/>
  <c r="AX85" i="2"/>
  <c r="AW85" i="2"/>
  <c r="AT85" i="2"/>
  <c r="AR85" i="2"/>
  <c r="AQ85" i="2"/>
  <c r="AP85" i="2"/>
  <c r="AN85" i="2"/>
  <c r="AL85" i="2"/>
  <c r="AJ85" i="2"/>
  <c r="AF85" i="2"/>
  <c r="AE85" i="2"/>
  <c r="AG85" i="2" s="1"/>
  <c r="AD85" i="2"/>
  <c r="BA84" i="2"/>
  <c r="AY84" i="2"/>
  <c r="AX84" i="2"/>
  <c r="AW84" i="2"/>
  <c r="AV84" i="2"/>
  <c r="AT84" i="2"/>
  <c r="AS84" i="2"/>
  <c r="AR84" i="2"/>
  <c r="AQ84" i="2"/>
  <c r="AP84" i="2"/>
  <c r="AN84" i="2"/>
  <c r="AL84" i="2"/>
  <c r="AK84" i="2"/>
  <c r="AJ84" i="2"/>
  <c r="AI84" i="2"/>
  <c r="AH84" i="2"/>
  <c r="AF84" i="2"/>
  <c r="AE84" i="2"/>
  <c r="AG84" i="2" s="1"/>
  <c r="AD84" i="2"/>
  <c r="BA83" i="2"/>
  <c r="AY83" i="2"/>
  <c r="AX83" i="2"/>
  <c r="AW83" i="2"/>
  <c r="AT83" i="2"/>
  <c r="AR83" i="2"/>
  <c r="AQ83" i="2"/>
  <c r="AP83" i="2"/>
  <c r="AN83" i="2"/>
  <c r="AL83" i="2"/>
  <c r="AJ83" i="2"/>
  <c r="AH83" i="2"/>
  <c r="AF83" i="2"/>
  <c r="AE83" i="2"/>
  <c r="AG83" i="2" s="1"/>
  <c r="AD83" i="2"/>
  <c r="AZ83" i="2" s="1"/>
  <c r="BA82" i="2"/>
  <c r="AY82" i="2"/>
  <c r="AX82" i="2"/>
  <c r="AW82" i="2"/>
  <c r="AV82" i="2"/>
  <c r="AT82" i="2"/>
  <c r="AS82" i="2"/>
  <c r="AR82" i="2"/>
  <c r="AQ82" i="2"/>
  <c r="AP82" i="2"/>
  <c r="AN82" i="2"/>
  <c r="AL82" i="2"/>
  <c r="AK82" i="2"/>
  <c r="AJ82" i="2"/>
  <c r="AI82" i="2"/>
  <c r="AH82" i="2"/>
  <c r="AF82" i="2"/>
  <c r="AE82" i="2"/>
  <c r="AG82" i="2" s="1"/>
  <c r="AD82" i="2"/>
  <c r="BA81" i="2"/>
  <c r="AY81" i="2"/>
  <c r="AX81" i="2"/>
  <c r="AW81" i="2"/>
  <c r="AT81" i="2"/>
  <c r="AR81" i="2"/>
  <c r="AQ81" i="2"/>
  <c r="AP81" i="2"/>
  <c r="AN81" i="2"/>
  <c r="AL81" i="2"/>
  <c r="AJ81" i="2"/>
  <c r="AF81" i="2"/>
  <c r="AE81" i="2"/>
  <c r="AG81" i="2" s="1"/>
  <c r="AD81" i="2"/>
  <c r="AZ81" i="2" s="1"/>
  <c r="BA80" i="2"/>
  <c r="AY80" i="2"/>
  <c r="AX80" i="2"/>
  <c r="AW80" i="2"/>
  <c r="AV80" i="2"/>
  <c r="AT80" i="2"/>
  <c r="AS80" i="2"/>
  <c r="AR80" i="2"/>
  <c r="AQ80" i="2"/>
  <c r="AP80" i="2"/>
  <c r="AN80" i="2"/>
  <c r="AL80" i="2"/>
  <c r="AK80" i="2"/>
  <c r="AJ80" i="2"/>
  <c r="AI80" i="2"/>
  <c r="AH80" i="2"/>
  <c r="AF80" i="2"/>
  <c r="AE80" i="2"/>
  <c r="AG80" i="2" s="1"/>
  <c r="AD80" i="2"/>
  <c r="BA79" i="2"/>
  <c r="AX79" i="2"/>
  <c r="AW79" i="2"/>
  <c r="AT79" i="2"/>
  <c r="AR79" i="2"/>
  <c r="AQ79" i="2"/>
  <c r="AP79" i="2"/>
  <c r="AN79" i="2"/>
  <c r="AL79" i="2"/>
  <c r="AJ79" i="2"/>
  <c r="AF79" i="2"/>
  <c r="AE79" i="2"/>
  <c r="AG79" i="2" s="1"/>
  <c r="AD79" i="2"/>
  <c r="BA78" i="2"/>
  <c r="AY78" i="2"/>
  <c r="AX78" i="2"/>
  <c r="AW78" i="2"/>
  <c r="AV78" i="2"/>
  <c r="AT78" i="2"/>
  <c r="AS78" i="2"/>
  <c r="AR78" i="2"/>
  <c r="AQ78" i="2"/>
  <c r="AP78" i="2"/>
  <c r="AN78" i="2"/>
  <c r="AL78" i="2"/>
  <c r="AK78" i="2"/>
  <c r="AJ78" i="2"/>
  <c r="AI78" i="2"/>
  <c r="AH78" i="2"/>
  <c r="AF78" i="2"/>
  <c r="AE78" i="2"/>
  <c r="AG78" i="2" s="1"/>
  <c r="AD78" i="2"/>
  <c r="BA77" i="2"/>
  <c r="AZ77" i="2"/>
  <c r="AY77" i="2"/>
  <c r="AX77" i="2"/>
  <c r="AW77" i="2"/>
  <c r="AT77" i="2"/>
  <c r="AR77" i="2"/>
  <c r="AQ77" i="2"/>
  <c r="AP77" i="2"/>
  <c r="AN77" i="2"/>
  <c r="AL77" i="2"/>
  <c r="AJ77" i="2"/>
  <c r="AH77" i="2"/>
  <c r="AF77" i="2"/>
  <c r="AE77" i="2"/>
  <c r="AG77" i="2" s="1"/>
  <c r="AD77" i="2"/>
  <c r="BA76" i="2"/>
  <c r="AX76" i="2"/>
  <c r="AW76" i="2"/>
  <c r="AT76" i="2"/>
  <c r="AR76" i="2"/>
  <c r="AQ76" i="2"/>
  <c r="AP76" i="2"/>
  <c r="AN76" i="2"/>
  <c r="AL76" i="2"/>
  <c r="AJ76" i="2"/>
  <c r="AG76" i="2"/>
  <c r="AF76" i="2"/>
  <c r="AE76" i="2"/>
  <c r="AD76" i="2"/>
  <c r="AV76" i="2" s="1"/>
  <c r="BA75" i="2"/>
  <c r="AZ75" i="2"/>
  <c r="AY75" i="2"/>
  <c r="AX75" i="2"/>
  <c r="AW75" i="2"/>
  <c r="AV75" i="2"/>
  <c r="AT75" i="2"/>
  <c r="AS75" i="2"/>
  <c r="AR75" i="2"/>
  <c r="AQ75" i="2"/>
  <c r="AP75" i="2"/>
  <c r="AN75" i="2"/>
  <c r="AL75" i="2"/>
  <c r="AK75" i="2"/>
  <c r="AJ75" i="2"/>
  <c r="AI75" i="2"/>
  <c r="AH75" i="2"/>
  <c r="AG75" i="2"/>
  <c r="AF75" i="2"/>
  <c r="AE75" i="2"/>
  <c r="AD75" i="2"/>
  <c r="BA74" i="2"/>
  <c r="AX74" i="2"/>
  <c r="AW74" i="2"/>
  <c r="AV74" i="2"/>
  <c r="AT74" i="2"/>
  <c r="AR74" i="2"/>
  <c r="AQ74" i="2"/>
  <c r="AP74" i="2"/>
  <c r="AN74" i="2"/>
  <c r="AL74" i="2"/>
  <c r="AK74" i="2"/>
  <c r="AJ74" i="2"/>
  <c r="AG74" i="2"/>
  <c r="AF74" i="2"/>
  <c r="AE74" i="2"/>
  <c r="AD74" i="2"/>
  <c r="AY74" i="2" s="1"/>
  <c r="BA73" i="2"/>
  <c r="AZ73" i="2"/>
  <c r="AX73" i="2"/>
  <c r="AW73" i="2"/>
  <c r="AV73" i="2"/>
  <c r="AT73" i="2"/>
  <c r="AS73" i="2"/>
  <c r="AR73" i="2"/>
  <c r="AQ73" i="2"/>
  <c r="AP73" i="2"/>
  <c r="AN73" i="2"/>
  <c r="AL73" i="2"/>
  <c r="AK73" i="2"/>
  <c r="AJ73" i="2"/>
  <c r="AI73" i="2"/>
  <c r="AH73" i="2"/>
  <c r="AF73" i="2"/>
  <c r="AE73" i="2"/>
  <c r="AG73" i="2" s="1"/>
  <c r="AD73" i="2"/>
  <c r="BA72" i="2"/>
  <c r="AX72" i="2"/>
  <c r="AW72" i="2"/>
  <c r="AT72" i="2"/>
  <c r="AR72" i="2"/>
  <c r="AQ72" i="2"/>
  <c r="AP72" i="2"/>
  <c r="AN72" i="2"/>
  <c r="AL72" i="2"/>
  <c r="AJ72" i="2"/>
  <c r="AG72" i="2"/>
  <c r="AF72" i="2"/>
  <c r="AE72" i="2"/>
  <c r="AD72" i="2"/>
  <c r="AZ72" i="2" s="1"/>
  <c r="BA71" i="2"/>
  <c r="AY71" i="2"/>
  <c r="AX71" i="2"/>
  <c r="AW71" i="2"/>
  <c r="AV71" i="2"/>
  <c r="AT71" i="2"/>
  <c r="AS71" i="2"/>
  <c r="AR71" i="2"/>
  <c r="AQ71" i="2"/>
  <c r="AP71" i="2"/>
  <c r="AN71" i="2"/>
  <c r="AL71" i="2"/>
  <c r="AK71" i="2"/>
  <c r="AJ71" i="2"/>
  <c r="AI71" i="2"/>
  <c r="AH71" i="2"/>
  <c r="AF71" i="2"/>
  <c r="AE71" i="2"/>
  <c r="AG71" i="2" s="1"/>
  <c r="AD71" i="2"/>
  <c r="BA70" i="2"/>
  <c r="AX70" i="2"/>
  <c r="AW70" i="2"/>
  <c r="AT70" i="2"/>
  <c r="AR70" i="2"/>
  <c r="AQ70" i="2"/>
  <c r="AP70" i="2"/>
  <c r="AN70" i="2"/>
  <c r="AL70" i="2"/>
  <c r="AJ70" i="2"/>
  <c r="AE70" i="2"/>
  <c r="AD70" i="2"/>
  <c r="AZ69" i="2"/>
  <c r="AX69" i="2"/>
  <c r="AW69" i="2"/>
  <c r="AT69" i="2"/>
  <c r="AR69" i="2"/>
  <c r="AQ69" i="2"/>
  <c r="AP69" i="2"/>
  <c r="AO69" i="2"/>
  <c r="AN69" i="2"/>
  <c r="AL69" i="2"/>
  <c r="AJ69" i="2"/>
  <c r="AE69" i="2"/>
  <c r="BA69" i="2" s="1"/>
  <c r="AD69" i="2"/>
  <c r="AZ68" i="2"/>
  <c r="AX68" i="2"/>
  <c r="AW68" i="2"/>
  <c r="AQ68" i="2"/>
  <c r="AP68" i="2"/>
  <c r="AE68" i="2"/>
  <c r="AD68" i="2"/>
  <c r="AZ67" i="2"/>
  <c r="AX67" i="2"/>
  <c r="AW67" i="2"/>
  <c r="AQ67" i="2"/>
  <c r="AP67" i="2"/>
  <c r="AO67" i="2"/>
  <c r="AH67" i="2"/>
  <c r="AG67" i="2"/>
  <c r="AF67" i="2"/>
  <c r="AE67" i="2"/>
  <c r="AR67" i="2" s="1"/>
  <c r="AD67" i="2"/>
  <c r="AV67" i="2" s="1"/>
  <c r="AX66" i="2"/>
  <c r="AW66" i="2"/>
  <c r="AV66" i="2"/>
  <c r="AU66" i="2"/>
  <c r="AT66" i="2"/>
  <c r="AR66" i="2"/>
  <c r="AQ66" i="2"/>
  <c r="AP66" i="2"/>
  <c r="AO66" i="2"/>
  <c r="AM66" i="2"/>
  <c r="AL66" i="2"/>
  <c r="AJ66" i="2"/>
  <c r="AH66" i="2"/>
  <c r="AG66" i="2"/>
  <c r="AE66" i="2"/>
  <c r="BA66" i="2" s="1"/>
  <c r="AD66" i="2"/>
  <c r="AX65" i="2"/>
  <c r="AW65" i="2"/>
  <c r="AQ65" i="2"/>
  <c r="AP65" i="2"/>
  <c r="AE65" i="2"/>
  <c r="AF65" i="2" s="1"/>
  <c r="AD65" i="2"/>
  <c r="AZ64" i="2"/>
  <c r="AX64" i="2"/>
  <c r="AW64" i="2"/>
  <c r="AV64" i="2"/>
  <c r="AU64" i="2"/>
  <c r="AT64" i="2"/>
  <c r="AR64" i="2"/>
  <c r="AQ64" i="2"/>
  <c r="AP64" i="2"/>
  <c r="AO64" i="2"/>
  <c r="AM64" i="2"/>
  <c r="AE64" i="2"/>
  <c r="AD64" i="2"/>
  <c r="AS64" i="2" s="1"/>
  <c r="BA63" i="2"/>
  <c r="AZ63" i="2"/>
  <c r="AX63" i="2"/>
  <c r="AW63" i="2"/>
  <c r="AR63" i="2"/>
  <c r="AQ63" i="2"/>
  <c r="AP63" i="2"/>
  <c r="AJ63" i="2"/>
  <c r="AE63" i="2"/>
  <c r="AD63" i="2"/>
  <c r="BA62" i="2"/>
  <c r="AZ62" i="2"/>
  <c r="AX62" i="2"/>
  <c r="AW62" i="2"/>
  <c r="AV62" i="2"/>
  <c r="AU62" i="2"/>
  <c r="AS62" i="2"/>
  <c r="AR62" i="2"/>
  <c r="AQ62" i="2"/>
  <c r="AP62" i="2"/>
  <c r="AM62" i="2"/>
  <c r="AE62" i="2"/>
  <c r="AD62" i="2"/>
  <c r="AY62" i="2" s="1"/>
  <c r="BA61" i="2"/>
  <c r="AY61" i="2"/>
  <c r="AX61" i="2"/>
  <c r="AW61" i="2"/>
  <c r="AQ61" i="2"/>
  <c r="AP61" i="2"/>
  <c r="AN61" i="2"/>
  <c r="AJ61" i="2"/>
  <c r="AE61" i="2"/>
  <c r="AT61" i="2" s="1"/>
  <c r="AD61" i="2"/>
  <c r="BA60" i="2"/>
  <c r="AX60" i="2"/>
  <c r="AW60" i="2"/>
  <c r="AS60" i="2"/>
  <c r="AR60" i="2"/>
  <c r="AQ60" i="2"/>
  <c r="AP60" i="2"/>
  <c r="AN60" i="2"/>
  <c r="AJ60" i="2"/>
  <c r="AE60" i="2"/>
  <c r="AL60" i="2" s="1"/>
  <c r="AD60" i="2"/>
  <c r="BA59" i="2"/>
  <c r="AY59" i="2"/>
  <c r="AX59" i="2"/>
  <c r="AW59" i="2"/>
  <c r="AT59" i="2"/>
  <c r="AQ59" i="2"/>
  <c r="AP59" i="2"/>
  <c r="AO59" i="2"/>
  <c r="AN59" i="2"/>
  <c r="AL59" i="2"/>
  <c r="AJ59" i="2"/>
  <c r="AE59" i="2"/>
  <c r="AR59" i="2" s="1"/>
  <c r="AD59" i="2"/>
  <c r="BA58" i="2"/>
  <c r="AZ58" i="2"/>
  <c r="AY58" i="2"/>
  <c r="AX58" i="2"/>
  <c r="AW58" i="2"/>
  <c r="AV58" i="2"/>
  <c r="AT58" i="2"/>
  <c r="AR58" i="2"/>
  <c r="AQ58" i="2"/>
  <c r="AP58" i="2"/>
  <c r="AO58" i="2"/>
  <c r="AN58" i="2"/>
  <c r="AL58" i="2"/>
  <c r="AJ58" i="2"/>
  <c r="AI58" i="2"/>
  <c r="AH58" i="2"/>
  <c r="AG58" i="2"/>
  <c r="AF58" i="2"/>
  <c r="AE58" i="2"/>
  <c r="AD58" i="2"/>
  <c r="BA57" i="2"/>
  <c r="AX57" i="2"/>
  <c r="AW57" i="2"/>
  <c r="AT57" i="2"/>
  <c r="AR57" i="2"/>
  <c r="AQ57" i="2"/>
  <c r="AP57" i="2"/>
  <c r="AN57" i="2"/>
  <c r="AL57" i="2"/>
  <c r="AJ57" i="2"/>
  <c r="AG57" i="2"/>
  <c r="AF57" i="2"/>
  <c r="AE57" i="2"/>
  <c r="AD57" i="2"/>
  <c r="BA56" i="2"/>
  <c r="AZ56" i="2"/>
  <c r="AY56" i="2"/>
  <c r="AX56" i="2"/>
  <c r="AW56" i="2"/>
  <c r="AV56" i="2"/>
  <c r="AT56" i="2"/>
  <c r="AR56" i="2"/>
  <c r="AQ56" i="2"/>
  <c r="AP56" i="2"/>
  <c r="AO56" i="2"/>
  <c r="AN56" i="2"/>
  <c r="AL56" i="2"/>
  <c r="AJ56" i="2"/>
  <c r="AI56" i="2"/>
  <c r="AH56" i="2"/>
  <c r="AG56" i="2"/>
  <c r="AF56" i="2"/>
  <c r="AE56" i="2"/>
  <c r="AD56" i="2"/>
  <c r="AX55" i="2"/>
  <c r="AW55" i="2"/>
  <c r="AV55" i="2"/>
  <c r="AT55" i="2"/>
  <c r="AR55" i="2"/>
  <c r="AQ55" i="2"/>
  <c r="AP55" i="2"/>
  <c r="AN55" i="2"/>
  <c r="AL55" i="2"/>
  <c r="AJ55" i="2"/>
  <c r="AI55" i="2"/>
  <c r="AG55" i="2"/>
  <c r="AF55" i="2"/>
  <c r="AE55" i="2"/>
  <c r="BA55" i="2" s="1"/>
  <c r="AD55" i="2"/>
  <c r="AY54" i="2"/>
  <c r="AX54" i="2"/>
  <c r="AW54" i="2"/>
  <c r="AT54" i="2"/>
  <c r="AR54" i="2"/>
  <c r="AQ54" i="2"/>
  <c r="AP54" i="2"/>
  <c r="AN54" i="2"/>
  <c r="AL54" i="2"/>
  <c r="AJ54" i="2"/>
  <c r="AG54" i="2"/>
  <c r="AF54" i="2"/>
  <c r="AE54" i="2"/>
  <c r="BA54" i="2" s="1"/>
  <c r="AD54" i="2"/>
  <c r="AZ54" i="2" s="1"/>
  <c r="AZ53" i="2"/>
  <c r="AX53" i="2"/>
  <c r="AW53" i="2"/>
  <c r="AV53" i="2"/>
  <c r="AT53" i="2"/>
  <c r="AR53" i="2"/>
  <c r="AQ53" i="2"/>
  <c r="AP53" i="2"/>
  <c r="AN53" i="2"/>
  <c r="AL53" i="2"/>
  <c r="AJ53" i="2"/>
  <c r="AI53" i="2"/>
  <c r="AH53" i="2"/>
  <c r="AG53" i="2"/>
  <c r="AF53" i="2"/>
  <c r="AE53" i="2"/>
  <c r="BA53" i="2" s="1"/>
  <c r="AD53" i="2"/>
  <c r="AY52" i="2"/>
  <c r="AX52" i="2"/>
  <c r="AW52" i="2"/>
  <c r="AV52" i="2"/>
  <c r="AT52" i="2"/>
  <c r="AR52" i="2"/>
  <c r="AQ52" i="2"/>
  <c r="AP52" i="2"/>
  <c r="AO52" i="2"/>
  <c r="AN52" i="2"/>
  <c r="AL52" i="2"/>
  <c r="AJ52" i="2"/>
  <c r="AG52" i="2"/>
  <c r="AF52" i="2"/>
  <c r="AE52" i="2"/>
  <c r="BA52" i="2" s="1"/>
  <c r="AD52" i="2"/>
  <c r="AZ51" i="2"/>
  <c r="AY51" i="2"/>
  <c r="AX51" i="2"/>
  <c r="AW51" i="2"/>
  <c r="AT51" i="2"/>
  <c r="AR51" i="2"/>
  <c r="AQ51" i="2"/>
  <c r="AP51" i="2"/>
  <c r="AO51" i="2"/>
  <c r="AN51" i="2"/>
  <c r="AL51" i="2"/>
  <c r="AJ51" i="2"/>
  <c r="AH51" i="2"/>
  <c r="AG51" i="2"/>
  <c r="AF51" i="2"/>
  <c r="AE51" i="2"/>
  <c r="BA51" i="2" s="1"/>
  <c r="AD51" i="2"/>
  <c r="AV51" i="2" s="1"/>
  <c r="AY50" i="2"/>
  <c r="AX50" i="2"/>
  <c r="AW50" i="2"/>
  <c r="AV50" i="2"/>
  <c r="AT50" i="2"/>
  <c r="AR50" i="2"/>
  <c r="AQ50" i="2"/>
  <c r="AP50" i="2"/>
  <c r="AO50" i="2"/>
  <c r="AN50" i="2"/>
  <c r="AL50" i="2"/>
  <c r="AJ50" i="2"/>
  <c r="AI50" i="2"/>
  <c r="AH50" i="2"/>
  <c r="AG50" i="2"/>
  <c r="AF50" i="2"/>
  <c r="AE50" i="2"/>
  <c r="BA50" i="2" s="1"/>
  <c r="AD50" i="2"/>
  <c r="AZ49" i="2"/>
  <c r="AX49" i="2"/>
  <c r="AW49" i="2"/>
  <c r="AT49" i="2"/>
  <c r="AR49" i="2"/>
  <c r="AQ49" i="2"/>
  <c r="AP49" i="2"/>
  <c r="AO49" i="2"/>
  <c r="AN49" i="2"/>
  <c r="AL49" i="2"/>
  <c r="AJ49" i="2"/>
  <c r="AG49" i="2"/>
  <c r="AF49" i="2"/>
  <c r="AE49" i="2"/>
  <c r="BA49" i="2" s="1"/>
  <c r="AD49" i="2"/>
  <c r="AZ48" i="2"/>
  <c r="AY48" i="2"/>
  <c r="AX48" i="2"/>
  <c r="AW48" i="2"/>
  <c r="AV48" i="2"/>
  <c r="AT48" i="2"/>
  <c r="AR48" i="2"/>
  <c r="AQ48" i="2"/>
  <c r="AP48" i="2"/>
  <c r="AO48" i="2"/>
  <c r="AN48" i="2"/>
  <c r="AL48" i="2"/>
  <c r="AJ48" i="2"/>
  <c r="AI48" i="2"/>
  <c r="AH48" i="2"/>
  <c r="AG48" i="2"/>
  <c r="AF48" i="2"/>
  <c r="AE48" i="2"/>
  <c r="BA48" i="2" s="1"/>
  <c r="AD48" i="2"/>
  <c r="AX47" i="2"/>
  <c r="AW47" i="2"/>
  <c r="AV47" i="2"/>
  <c r="AT47" i="2"/>
  <c r="AR47" i="2"/>
  <c r="AQ47" i="2"/>
  <c r="AP47" i="2"/>
  <c r="AN47" i="2"/>
  <c r="AL47" i="2"/>
  <c r="AJ47" i="2"/>
  <c r="AI47" i="2"/>
  <c r="AG47" i="2"/>
  <c r="AF47" i="2"/>
  <c r="AE47" i="2"/>
  <c r="BA47" i="2" s="1"/>
  <c r="AD47" i="2"/>
  <c r="AX46" i="2"/>
  <c r="AW46" i="2"/>
  <c r="AT46" i="2"/>
  <c r="AR46" i="2"/>
  <c r="AQ46" i="2"/>
  <c r="AP46" i="2"/>
  <c r="AN46" i="2"/>
  <c r="AL46" i="2"/>
  <c r="AJ46" i="2"/>
  <c r="AG46" i="2"/>
  <c r="AF46" i="2"/>
  <c r="AE46" i="2"/>
  <c r="BA46" i="2" s="1"/>
  <c r="AD46" i="2"/>
  <c r="AZ46" i="2" s="1"/>
  <c r="AZ45" i="2"/>
  <c r="AX45" i="2"/>
  <c r="AW45" i="2"/>
  <c r="AV45" i="2"/>
  <c r="AT45" i="2"/>
  <c r="AR45" i="2"/>
  <c r="AQ45" i="2"/>
  <c r="AP45" i="2"/>
  <c r="AN45" i="2"/>
  <c r="AL45" i="2"/>
  <c r="AJ45" i="2"/>
  <c r="AI45" i="2"/>
  <c r="AH45" i="2"/>
  <c r="AG45" i="2"/>
  <c r="AF45" i="2"/>
  <c r="AE45" i="2"/>
  <c r="BA45" i="2" s="1"/>
  <c r="AD45" i="2"/>
  <c r="AX44" i="2"/>
  <c r="AW44" i="2"/>
  <c r="AV44" i="2"/>
  <c r="AT44" i="2"/>
  <c r="AR44" i="2"/>
  <c r="AQ44" i="2"/>
  <c r="AP44" i="2"/>
  <c r="AN44" i="2"/>
  <c r="AL44" i="2"/>
  <c r="AJ44" i="2"/>
  <c r="AG44" i="2"/>
  <c r="AF44" i="2"/>
  <c r="AE44" i="2"/>
  <c r="BA44" i="2" s="1"/>
  <c r="AD44" i="2"/>
  <c r="AY44" i="2" s="1"/>
  <c r="AZ43" i="2"/>
  <c r="AY43" i="2"/>
  <c r="AX43" i="2"/>
  <c r="AW43" i="2"/>
  <c r="AT43" i="2"/>
  <c r="AR43" i="2"/>
  <c r="AQ43" i="2"/>
  <c r="AP43" i="2"/>
  <c r="AO43" i="2"/>
  <c r="AN43" i="2"/>
  <c r="AL43" i="2"/>
  <c r="AJ43" i="2"/>
  <c r="AH43" i="2"/>
  <c r="AG43" i="2"/>
  <c r="AF43" i="2"/>
  <c r="AE43" i="2"/>
  <c r="BA43" i="2" s="1"/>
  <c r="AD43" i="2"/>
  <c r="AV43" i="2" s="1"/>
  <c r="AY42" i="2"/>
  <c r="AX42" i="2"/>
  <c r="AW42" i="2"/>
  <c r="AV42" i="2"/>
  <c r="AT42" i="2"/>
  <c r="AR42" i="2"/>
  <c r="AQ42" i="2"/>
  <c r="AP42" i="2"/>
  <c r="AO42" i="2"/>
  <c r="AN42" i="2"/>
  <c r="AL42" i="2"/>
  <c r="AJ42" i="2"/>
  <c r="AI42" i="2"/>
  <c r="AH42" i="2"/>
  <c r="AG42" i="2"/>
  <c r="AF42" i="2"/>
  <c r="AE42" i="2"/>
  <c r="BA42" i="2" s="1"/>
  <c r="AD42" i="2"/>
  <c r="AZ41" i="2"/>
  <c r="AX41" i="2"/>
  <c r="AW41" i="2"/>
  <c r="AT41" i="2"/>
  <c r="AR41" i="2"/>
  <c r="AQ41" i="2"/>
  <c r="AP41" i="2"/>
  <c r="AO41" i="2"/>
  <c r="AN41" i="2"/>
  <c r="AL41" i="2"/>
  <c r="AJ41" i="2"/>
  <c r="AG41" i="2"/>
  <c r="AF41" i="2"/>
  <c r="AE41" i="2"/>
  <c r="BA41" i="2" s="1"/>
  <c r="AD41" i="2"/>
  <c r="AY41" i="2" s="1"/>
  <c r="BA40" i="2"/>
  <c r="AX40" i="2"/>
  <c r="AW40" i="2"/>
  <c r="AT40" i="2"/>
  <c r="AR40" i="2"/>
  <c r="AQ40" i="2"/>
  <c r="AP40" i="2"/>
  <c r="AL40" i="2"/>
  <c r="AK40" i="2"/>
  <c r="AJ40" i="2"/>
  <c r="AF40" i="2"/>
  <c r="AE40" i="2"/>
  <c r="AG40" i="2" s="1"/>
  <c r="AD40" i="2"/>
  <c r="BA39" i="2"/>
  <c r="AY39" i="2"/>
  <c r="AX39" i="2"/>
  <c r="AW39" i="2"/>
  <c r="AT39" i="2"/>
  <c r="AR39" i="2"/>
  <c r="AQ39" i="2"/>
  <c r="AP39" i="2"/>
  <c r="AN39" i="2"/>
  <c r="AL39" i="2"/>
  <c r="AJ39" i="2"/>
  <c r="AF39" i="2"/>
  <c r="AE39" i="2"/>
  <c r="AG39" i="2" s="1"/>
  <c r="AD39" i="2"/>
  <c r="BA38" i="2"/>
  <c r="AX38" i="2"/>
  <c r="AW38" i="2"/>
  <c r="AT38" i="2"/>
  <c r="AS38" i="2"/>
  <c r="AR38" i="2"/>
  <c r="AQ38" i="2"/>
  <c r="AP38" i="2"/>
  <c r="AN38" i="2"/>
  <c r="AL38" i="2"/>
  <c r="AJ38" i="2"/>
  <c r="AI38" i="2"/>
  <c r="AF38" i="2"/>
  <c r="AE38" i="2"/>
  <c r="AG38" i="2" s="1"/>
  <c r="AD38" i="2"/>
  <c r="AY38" i="2" s="1"/>
  <c r="BA37" i="2"/>
  <c r="AX37" i="2"/>
  <c r="AW37" i="2"/>
  <c r="AT37" i="2"/>
  <c r="AS37" i="2"/>
  <c r="AR37" i="2"/>
  <c r="AQ37" i="2"/>
  <c r="AP37" i="2"/>
  <c r="AL37" i="2"/>
  <c r="AK37" i="2"/>
  <c r="AJ37" i="2"/>
  <c r="AI37" i="2"/>
  <c r="AF37" i="2"/>
  <c r="AE37" i="2"/>
  <c r="AG37" i="2" s="1"/>
  <c r="AD37" i="2"/>
  <c r="AZ37" i="2" s="1"/>
  <c r="BA36" i="2"/>
  <c r="AY36" i="2"/>
  <c r="AX36" i="2"/>
  <c r="AW36" i="2"/>
  <c r="AT36" i="2"/>
  <c r="AS36" i="2"/>
  <c r="AR36" i="2"/>
  <c r="AQ36" i="2"/>
  <c r="AP36" i="2"/>
  <c r="AL36" i="2"/>
  <c r="AK36" i="2"/>
  <c r="AJ36" i="2"/>
  <c r="AI36" i="2"/>
  <c r="AF36" i="2"/>
  <c r="AE36" i="2"/>
  <c r="AG36" i="2" s="1"/>
  <c r="AD36" i="2"/>
  <c r="AZ36" i="2" s="1"/>
  <c r="BA35" i="2"/>
  <c r="AZ35" i="2"/>
  <c r="AY35" i="2"/>
  <c r="AX35" i="2"/>
  <c r="AW35" i="2"/>
  <c r="AT35" i="2"/>
  <c r="AS35" i="2"/>
  <c r="AR35" i="2"/>
  <c r="AQ35" i="2"/>
  <c r="AP35" i="2"/>
  <c r="AL35" i="2"/>
  <c r="AK35" i="2"/>
  <c r="AJ35" i="2"/>
  <c r="AI35" i="2"/>
  <c r="AF35" i="2"/>
  <c r="AE35" i="2"/>
  <c r="AG35" i="2" s="1"/>
  <c r="AD35" i="2"/>
  <c r="BA34" i="2"/>
  <c r="AZ34" i="2"/>
  <c r="AY34" i="2"/>
  <c r="AX34" i="2"/>
  <c r="AW34" i="2"/>
  <c r="AT34" i="2"/>
  <c r="AS34" i="2"/>
  <c r="AR34" i="2"/>
  <c r="AQ34" i="2"/>
  <c r="AP34" i="2"/>
  <c r="AL34" i="2"/>
  <c r="AK34" i="2"/>
  <c r="AJ34" i="2"/>
  <c r="AI34" i="2"/>
  <c r="AE34" i="2"/>
  <c r="AG34" i="2" s="1"/>
  <c r="AD34" i="2"/>
  <c r="BA33" i="2"/>
  <c r="AZ33" i="2"/>
  <c r="AY33" i="2"/>
  <c r="AX33" i="2"/>
  <c r="AW33" i="2"/>
  <c r="AT33" i="2"/>
  <c r="AS33" i="2"/>
  <c r="AR33" i="2"/>
  <c r="AQ33" i="2"/>
  <c r="AP33" i="2"/>
  <c r="AL33" i="2"/>
  <c r="AK33" i="2"/>
  <c r="AJ33" i="2"/>
  <c r="AI33" i="2"/>
  <c r="AE33" i="2"/>
  <c r="AG33" i="2" s="1"/>
  <c r="AD33" i="2"/>
  <c r="BA32" i="2"/>
  <c r="AZ32" i="2"/>
  <c r="AY32" i="2"/>
  <c r="AX32" i="2"/>
  <c r="AW32" i="2"/>
  <c r="AT32" i="2"/>
  <c r="AS32" i="2"/>
  <c r="AR32" i="2"/>
  <c r="AQ32" i="2"/>
  <c r="AP32" i="2"/>
  <c r="AL32" i="2"/>
  <c r="AK32" i="2"/>
  <c r="AJ32" i="2"/>
  <c r="AI32" i="2"/>
  <c r="AE32" i="2"/>
  <c r="AG32" i="2" s="1"/>
  <c r="AD32" i="2"/>
  <c r="BA31" i="2"/>
  <c r="AZ31" i="2"/>
  <c r="AY31" i="2"/>
  <c r="AX31" i="2"/>
  <c r="AW31" i="2"/>
  <c r="AT31" i="2"/>
  <c r="AS31" i="2"/>
  <c r="AR31" i="2"/>
  <c r="AQ31" i="2"/>
  <c r="AP31" i="2"/>
  <c r="AL31" i="2"/>
  <c r="AK31" i="2"/>
  <c r="AJ31" i="2"/>
  <c r="AI31" i="2"/>
  <c r="AE31" i="2"/>
  <c r="AG31" i="2" s="1"/>
  <c r="AD31" i="2"/>
  <c r="BA30" i="2"/>
  <c r="AZ30" i="2"/>
  <c r="AY30" i="2"/>
  <c r="AX30" i="2"/>
  <c r="AW30" i="2"/>
  <c r="AT30" i="2"/>
  <c r="AS30" i="2"/>
  <c r="AR30" i="2"/>
  <c r="AQ30" i="2"/>
  <c r="AP30" i="2"/>
  <c r="AL30" i="2"/>
  <c r="AK30" i="2"/>
  <c r="AJ30" i="2"/>
  <c r="AI30" i="2"/>
  <c r="AE30" i="2"/>
  <c r="AG30" i="2" s="1"/>
  <c r="AD30" i="2"/>
  <c r="BA29" i="2"/>
  <c r="AZ29" i="2"/>
  <c r="AY29" i="2"/>
  <c r="AX29" i="2"/>
  <c r="AW29" i="2"/>
  <c r="AT29" i="2"/>
  <c r="AS29" i="2"/>
  <c r="AR29" i="2"/>
  <c r="AQ29" i="2"/>
  <c r="AP29" i="2"/>
  <c r="AL29" i="2"/>
  <c r="AK29" i="2"/>
  <c r="AJ29" i="2"/>
  <c r="AI29" i="2"/>
  <c r="AE29" i="2"/>
  <c r="AG29" i="2" s="1"/>
  <c r="AD29" i="2"/>
  <c r="BA28" i="2"/>
  <c r="AZ28" i="2"/>
  <c r="AY28" i="2"/>
  <c r="AX28" i="2"/>
  <c r="AW28" i="2"/>
  <c r="AT28" i="2"/>
  <c r="AS28" i="2"/>
  <c r="AR28" i="2"/>
  <c r="AQ28" i="2"/>
  <c r="AP28" i="2"/>
  <c r="AL28" i="2"/>
  <c r="AK28" i="2"/>
  <c r="AJ28" i="2"/>
  <c r="AI28" i="2"/>
  <c r="AE28" i="2"/>
  <c r="AG28" i="2" s="1"/>
  <c r="AD28" i="2"/>
  <c r="BA27" i="2"/>
  <c r="AZ27" i="2"/>
  <c r="AY27" i="2"/>
  <c r="AX27" i="2"/>
  <c r="AW27" i="2"/>
  <c r="AT27" i="2"/>
  <c r="AS27" i="2"/>
  <c r="AR27" i="2"/>
  <c r="AQ27" i="2"/>
  <c r="AP27" i="2"/>
  <c r="AL27" i="2"/>
  <c r="AK27" i="2"/>
  <c r="AJ27" i="2"/>
  <c r="AI27" i="2"/>
  <c r="AE27" i="2"/>
  <c r="AG27" i="2" s="1"/>
  <c r="AD27" i="2"/>
  <c r="BA26" i="2"/>
  <c r="AZ26" i="2"/>
  <c r="AY26" i="2"/>
  <c r="AX26" i="2"/>
  <c r="AW26" i="2"/>
  <c r="AT26" i="2"/>
  <c r="AS26" i="2"/>
  <c r="AR26" i="2"/>
  <c r="AQ26" i="2"/>
  <c r="AP26" i="2"/>
  <c r="AL26" i="2"/>
  <c r="AK26" i="2"/>
  <c r="AJ26" i="2"/>
  <c r="AI26" i="2"/>
  <c r="AE26" i="2"/>
  <c r="AG26" i="2" s="1"/>
  <c r="AD26" i="2"/>
  <c r="BA25" i="2"/>
  <c r="AZ25" i="2"/>
  <c r="AY25" i="2"/>
  <c r="AX25" i="2"/>
  <c r="AW25" i="2"/>
  <c r="AT25" i="2"/>
  <c r="AS25" i="2"/>
  <c r="AR25" i="2"/>
  <c r="AQ25" i="2"/>
  <c r="AP25" i="2"/>
  <c r="AL25" i="2"/>
  <c r="AK25" i="2"/>
  <c r="AJ25" i="2"/>
  <c r="AI25" i="2"/>
  <c r="AE25" i="2"/>
  <c r="AG25" i="2" s="1"/>
  <c r="AD25" i="2"/>
  <c r="BA24" i="2"/>
  <c r="AZ24" i="2"/>
  <c r="AY24" i="2"/>
  <c r="AX24" i="2"/>
  <c r="AW24" i="2"/>
  <c r="AT24" i="2"/>
  <c r="AS24" i="2"/>
  <c r="AR24" i="2"/>
  <c r="AQ24" i="2"/>
  <c r="AP24" i="2"/>
  <c r="AL24" i="2"/>
  <c r="AK24" i="2"/>
  <c r="AJ24" i="2"/>
  <c r="AI24" i="2"/>
  <c r="AE24" i="2"/>
  <c r="AG24" i="2" s="1"/>
  <c r="AD24" i="2"/>
  <c r="BA23" i="2"/>
  <c r="AZ23" i="2"/>
  <c r="AY23" i="2"/>
  <c r="AX23" i="2"/>
  <c r="AW23" i="2"/>
  <c r="AT23" i="2"/>
  <c r="AS23" i="2"/>
  <c r="AR23" i="2"/>
  <c r="AQ23" i="2"/>
  <c r="AP23" i="2"/>
  <c r="AL23" i="2"/>
  <c r="AK23" i="2"/>
  <c r="AJ23" i="2"/>
  <c r="AI23" i="2"/>
  <c r="AE23" i="2"/>
  <c r="AG23" i="2" s="1"/>
  <c r="AD23" i="2"/>
  <c r="BA22" i="2"/>
  <c r="AZ22" i="2"/>
  <c r="AX22" i="2"/>
  <c r="AW22" i="2"/>
  <c r="AT22" i="2"/>
  <c r="AR22" i="2"/>
  <c r="AQ22" i="2"/>
  <c r="AP22" i="2"/>
  <c r="AL22" i="2"/>
  <c r="AK22" i="2"/>
  <c r="AJ22" i="2"/>
  <c r="AE22" i="2"/>
  <c r="AG22" i="2" s="1"/>
  <c r="AD22" i="2"/>
  <c r="AY22" i="2" s="1"/>
  <c r="BA21" i="2"/>
  <c r="AX21" i="2"/>
  <c r="AW21" i="2"/>
  <c r="AT21" i="2"/>
  <c r="AR21" i="2"/>
  <c r="AQ21" i="2"/>
  <c r="AP21" i="2"/>
  <c r="AL21" i="2"/>
  <c r="AJ21" i="2"/>
  <c r="AE21" i="2"/>
  <c r="AG21" i="2" s="1"/>
  <c r="AD21" i="2"/>
  <c r="AS21" i="2" s="1"/>
  <c r="BA20" i="2"/>
  <c r="AZ20" i="2"/>
  <c r="AX20" i="2"/>
  <c r="AW20" i="2"/>
  <c r="AT20" i="2"/>
  <c r="AS20" i="2"/>
  <c r="AR20" i="2"/>
  <c r="AQ20" i="2"/>
  <c r="AP20" i="2"/>
  <c r="AL20" i="2"/>
  <c r="AJ20" i="2"/>
  <c r="AH20" i="2"/>
  <c r="AE20" i="2"/>
  <c r="AG20" i="2" s="1"/>
  <c r="AD20" i="2"/>
  <c r="BA19" i="2"/>
  <c r="AX19" i="2"/>
  <c r="AW19" i="2"/>
  <c r="AT19" i="2"/>
  <c r="AS19" i="2"/>
  <c r="AR19" i="2"/>
  <c r="AQ19" i="2"/>
  <c r="AP19" i="2"/>
  <c r="AL19" i="2"/>
  <c r="AJ19" i="2"/>
  <c r="AH19" i="2"/>
  <c r="AE19" i="2"/>
  <c r="AG19" i="2" s="1"/>
  <c r="AD19" i="2"/>
  <c r="BA18" i="2"/>
  <c r="AZ18" i="2"/>
  <c r="AX18" i="2"/>
  <c r="AW18" i="2"/>
  <c r="AT18" i="2"/>
  <c r="AS18" i="2"/>
  <c r="AR18" i="2"/>
  <c r="AQ18" i="2"/>
  <c r="AP18" i="2"/>
  <c r="AL18" i="2"/>
  <c r="AJ18" i="2"/>
  <c r="AI18" i="2"/>
  <c r="AH18" i="2"/>
  <c r="AE18" i="2"/>
  <c r="AG18" i="2" s="1"/>
  <c r="AD18" i="2"/>
  <c r="AY18" i="2" s="1"/>
  <c r="BA17" i="2"/>
  <c r="AX17" i="2"/>
  <c r="AW17" i="2"/>
  <c r="AT17" i="2"/>
  <c r="AS17" i="2"/>
  <c r="AR17" i="2"/>
  <c r="AQ17" i="2"/>
  <c r="AP17" i="2"/>
  <c r="AL17" i="2"/>
  <c r="AK17" i="2"/>
  <c r="AJ17" i="2"/>
  <c r="AI17" i="2"/>
  <c r="AH17" i="2"/>
  <c r="AE17" i="2"/>
  <c r="AG17" i="2" s="1"/>
  <c r="AD17" i="2"/>
  <c r="AZ17" i="2" s="1"/>
  <c r="BA16" i="2"/>
  <c r="AY16" i="2"/>
  <c r="AX16" i="2"/>
  <c r="AW16" i="2"/>
  <c r="AT16" i="2"/>
  <c r="AS16" i="2"/>
  <c r="AR16" i="2"/>
  <c r="AQ16" i="2"/>
  <c r="AP16" i="2"/>
  <c r="AL16" i="2"/>
  <c r="AK16" i="2"/>
  <c r="AJ16" i="2"/>
  <c r="AI16" i="2"/>
  <c r="AH16" i="2"/>
  <c r="AE16" i="2"/>
  <c r="AG16" i="2" s="1"/>
  <c r="AD16" i="2"/>
  <c r="AZ16" i="2" s="1"/>
  <c r="BA15" i="2"/>
  <c r="AZ15" i="2"/>
  <c r="AY15" i="2"/>
  <c r="AX15" i="2"/>
  <c r="AW15" i="2"/>
  <c r="AT15" i="2"/>
  <c r="AS15" i="2"/>
  <c r="AR15" i="2"/>
  <c r="AQ15" i="2"/>
  <c r="AP15" i="2"/>
  <c r="AL15" i="2"/>
  <c r="AK15" i="2"/>
  <c r="AJ15" i="2"/>
  <c r="AI15" i="2"/>
  <c r="AH15" i="2"/>
  <c r="AE15" i="2"/>
  <c r="AG15" i="2" s="1"/>
  <c r="AD15" i="2"/>
  <c r="BA14" i="2"/>
  <c r="AZ14" i="2"/>
  <c r="AX14" i="2"/>
  <c r="AW14" i="2"/>
  <c r="AT14" i="2"/>
  <c r="AR14" i="2"/>
  <c r="AQ14" i="2"/>
  <c r="AP14" i="2"/>
  <c r="AL14" i="2"/>
  <c r="AK14" i="2"/>
  <c r="AJ14" i="2"/>
  <c r="AE14" i="2"/>
  <c r="AG14" i="2" s="1"/>
  <c r="AD14" i="2"/>
  <c r="AY14" i="2" s="1"/>
  <c r="BA13" i="2"/>
  <c r="AX13" i="2"/>
  <c r="AW13" i="2"/>
  <c r="AT13" i="2"/>
  <c r="AR13" i="2"/>
  <c r="AQ13" i="2"/>
  <c r="AP13" i="2"/>
  <c r="AL13" i="2"/>
  <c r="AJ13" i="2"/>
  <c r="AE13" i="2"/>
  <c r="AG13" i="2" s="1"/>
  <c r="AD13" i="2"/>
  <c r="BA12" i="2"/>
  <c r="AZ12" i="2"/>
  <c r="AX12" i="2"/>
  <c r="AW12" i="2"/>
  <c r="AT12" i="2"/>
  <c r="AS12" i="2"/>
  <c r="AR12" i="2"/>
  <c r="AQ12" i="2"/>
  <c r="AP12" i="2"/>
  <c r="AL12" i="2"/>
  <c r="AJ12" i="2"/>
  <c r="AH12" i="2"/>
  <c r="AE12" i="2"/>
  <c r="AG12" i="2" s="1"/>
  <c r="AD12" i="2"/>
  <c r="BA11" i="2"/>
  <c r="AX11" i="2"/>
  <c r="AW11" i="2"/>
  <c r="AT11" i="2"/>
  <c r="AS11" i="2"/>
  <c r="AR11" i="2"/>
  <c r="AQ11" i="2"/>
  <c r="AP11" i="2"/>
  <c r="AL11" i="2"/>
  <c r="AJ11" i="2"/>
  <c r="AH11" i="2"/>
  <c r="AE11" i="2"/>
  <c r="AG11" i="2" s="1"/>
  <c r="AD11" i="2"/>
  <c r="BA10" i="2"/>
  <c r="AZ10" i="2"/>
  <c r="AX10" i="2"/>
  <c r="AW10" i="2"/>
  <c r="AT10" i="2"/>
  <c r="AS10" i="2"/>
  <c r="AR10" i="2"/>
  <c r="AQ10" i="2"/>
  <c r="AP10" i="2"/>
  <c r="AL10" i="2"/>
  <c r="AJ10" i="2"/>
  <c r="AI10" i="2"/>
  <c r="AH10" i="2"/>
  <c r="AE10" i="2"/>
  <c r="AG10" i="2" s="1"/>
  <c r="AD10" i="2"/>
  <c r="AY10" i="2" s="1"/>
  <c r="BA9" i="2"/>
  <c r="AX9" i="2"/>
  <c r="AW9" i="2"/>
  <c r="AT9" i="2"/>
  <c r="AS9" i="2"/>
  <c r="AR9" i="2"/>
  <c r="AQ9" i="2"/>
  <c r="AP9" i="2"/>
  <c r="AL9" i="2"/>
  <c r="AK9" i="2"/>
  <c r="AJ9" i="2"/>
  <c r="AI9" i="2"/>
  <c r="AH9" i="2"/>
  <c r="AE9" i="2"/>
  <c r="AG9" i="2" s="1"/>
  <c r="AD9" i="2"/>
  <c r="AZ9" i="2" s="1"/>
  <c r="BA8" i="2"/>
  <c r="AY8" i="2"/>
  <c r="AX8" i="2"/>
  <c r="AW8" i="2"/>
  <c r="AT8" i="2"/>
  <c r="AS8" i="2"/>
  <c r="AR8" i="2"/>
  <c r="AQ8" i="2"/>
  <c r="AP8" i="2"/>
  <c r="AL8" i="2"/>
  <c r="AK8" i="2"/>
  <c r="AJ8" i="2"/>
  <c r="AI8" i="2"/>
  <c r="AH8" i="2"/>
  <c r="AE8" i="2"/>
  <c r="AG8" i="2" s="1"/>
  <c r="AD8" i="2"/>
  <c r="AZ8" i="2" s="1"/>
  <c r="AY7" i="2"/>
  <c r="AX7" i="2"/>
  <c r="AW7" i="2"/>
  <c r="AT7" i="2"/>
  <c r="AR7" i="2"/>
  <c r="AQ7" i="2"/>
  <c r="AP7" i="2"/>
  <c r="AM7" i="2"/>
  <c r="AL7" i="2"/>
  <c r="AK7" i="2"/>
  <c r="AJ7" i="2"/>
  <c r="AE7" i="2"/>
  <c r="AD7" i="2"/>
  <c r="BA6" i="2"/>
  <c r="AX6" i="2"/>
  <c r="AW6" i="2"/>
  <c r="AR6" i="2"/>
  <c r="AQ6" i="2"/>
  <c r="AP6" i="2"/>
  <c r="AH6" i="2"/>
  <c r="AE6" i="2"/>
  <c r="AD6" i="2"/>
  <c r="AZ5" i="2"/>
  <c r="AX5" i="2"/>
  <c r="AW5" i="2"/>
  <c r="AU5" i="2"/>
  <c r="AT5" i="2"/>
  <c r="AS5" i="2"/>
  <c r="AQ5" i="2"/>
  <c r="AP5" i="2"/>
  <c r="AL5" i="2"/>
  <c r="AK5" i="2"/>
  <c r="AJ5" i="2"/>
  <c r="AI5" i="2"/>
  <c r="AH5" i="2"/>
  <c r="AE5" i="2"/>
  <c r="AD5" i="2"/>
  <c r="AM5" i="2" s="1"/>
  <c r="AX4" i="2"/>
  <c r="AW4" i="2"/>
  <c r="AQ4" i="2"/>
  <c r="AP4" i="2"/>
  <c r="AL4" i="2"/>
  <c r="AE4" i="2"/>
  <c r="AT4" i="2" s="1"/>
  <c r="AD4" i="2"/>
  <c r="AS4" i="2" s="1"/>
  <c r="AZ3" i="2"/>
  <c r="AX3" i="2"/>
  <c r="AW3" i="2"/>
  <c r="AS3" i="2"/>
  <c r="AQ3" i="2"/>
  <c r="AP3" i="2"/>
  <c r="AM3" i="2"/>
  <c r="AI3" i="2"/>
  <c r="AH3" i="2"/>
  <c r="AE3" i="2"/>
  <c r="AD3" i="2"/>
  <c r="AU3" i="2" s="1"/>
  <c r="BA2" i="2"/>
  <c r="AX2" i="2"/>
  <c r="AW2" i="2"/>
  <c r="AT2" i="2"/>
  <c r="AR2" i="2"/>
  <c r="AQ2" i="2"/>
  <c r="AP2" i="2"/>
  <c r="AN2" i="2"/>
  <c r="AM2" i="2"/>
  <c r="AL2" i="2"/>
  <c r="AK2" i="2"/>
  <c r="AJ2" i="2"/>
  <c r="AE2" i="2"/>
  <c r="AD2" i="2"/>
  <c r="AZ2" i="2" s="1"/>
  <c r="AO13" i="2" l="1"/>
  <c r="AV13" i="2"/>
  <c r="AU13" i="2"/>
  <c r="AM13" i="2"/>
  <c r="AG3" i="2"/>
  <c r="AF3" i="2"/>
  <c r="AN3" i="2"/>
  <c r="AO6" i="2"/>
  <c r="AV6" i="2"/>
  <c r="AY6" i="2"/>
  <c r="AO11" i="2"/>
  <c r="AV11" i="2"/>
  <c r="AU11" i="2"/>
  <c r="AM11" i="2"/>
  <c r="AY13" i="2"/>
  <c r="AO19" i="2"/>
  <c r="AV19" i="2"/>
  <c r="AU19" i="2"/>
  <c r="AM19" i="2"/>
  <c r="AY21" i="2"/>
  <c r="AU57" i="2"/>
  <c r="AM57" i="2"/>
  <c r="AS57" i="2"/>
  <c r="AK57" i="2"/>
  <c r="AI57" i="2"/>
  <c r="AH57" i="2"/>
  <c r="AZ57" i="2"/>
  <c r="AZ61" i="2"/>
  <c r="AM61" i="2"/>
  <c r="AV61" i="2"/>
  <c r="AU61" i="2"/>
  <c r="AO79" i="2"/>
  <c r="AU79" i="2"/>
  <c r="AM79" i="2"/>
  <c r="AV79" i="2"/>
  <c r="AK79" i="2"/>
  <c r="AS79" i="2"/>
  <c r="AI79" i="2"/>
  <c r="AS98" i="2"/>
  <c r="AU98" i="2"/>
  <c r="AV98" i="2"/>
  <c r="AN107" i="2"/>
  <c r="BA107" i="2"/>
  <c r="AR107" i="2"/>
  <c r="AT107" i="2"/>
  <c r="AS114" i="2"/>
  <c r="AZ114" i="2"/>
  <c r="AO114" i="2"/>
  <c r="AY114" i="2"/>
  <c r="BA116" i="2"/>
  <c r="AG116" i="2"/>
  <c r="AL116" i="2"/>
  <c r="AT116" i="2"/>
  <c r="AR116" i="2"/>
  <c r="AF116" i="2"/>
  <c r="AN116" i="2"/>
  <c r="AJ116" i="2"/>
  <c r="AS119" i="2"/>
  <c r="AK119" i="2"/>
  <c r="AZ119" i="2"/>
  <c r="AH119" i="2"/>
  <c r="AO119" i="2"/>
  <c r="AY119" i="2"/>
  <c r="AM119" i="2"/>
  <c r="AI119" i="2"/>
  <c r="AV119" i="2"/>
  <c r="BA131" i="2"/>
  <c r="AR131" i="2"/>
  <c r="AJ131" i="2"/>
  <c r="AG131" i="2"/>
  <c r="AN131" i="2"/>
  <c r="AL131" i="2"/>
  <c r="AT131" i="2"/>
  <c r="AF131" i="2"/>
  <c r="AR194" i="2"/>
  <c r="AJ194" i="2"/>
  <c r="AG194" i="2"/>
  <c r="AT194" i="2"/>
  <c r="AL194" i="2"/>
  <c r="AN194" i="2"/>
  <c r="BA194" i="2"/>
  <c r="AY222" i="2"/>
  <c r="AI222" i="2"/>
  <c r="AH222" i="2"/>
  <c r="AO222" i="2"/>
  <c r="AV222" i="2"/>
  <c r="AS222" i="2"/>
  <c r="AK222" i="2"/>
  <c r="AZ222" i="2"/>
  <c r="AM222" i="2"/>
  <c r="AU222" i="2"/>
  <c r="AG229" i="2"/>
  <c r="BA229" i="2"/>
  <c r="AN229" i="2"/>
  <c r="AL229" i="2"/>
  <c r="AJ229" i="2"/>
  <c r="AF229" i="2"/>
  <c r="AT229" i="2"/>
  <c r="AR229" i="2"/>
  <c r="AU2" i="2"/>
  <c r="AR3" i="2"/>
  <c r="BA3" i="2"/>
  <c r="AM4" i="2"/>
  <c r="AG6" i="2"/>
  <c r="AF6" i="2"/>
  <c r="AN6" i="2"/>
  <c r="AZ6" i="2"/>
  <c r="AO12" i="2"/>
  <c r="AV12" i="2"/>
  <c r="AU12" i="2"/>
  <c r="AM12" i="2"/>
  <c r="AZ13" i="2"/>
  <c r="AO20" i="2"/>
  <c r="AV20" i="2"/>
  <c r="AU20" i="2"/>
  <c r="AM20" i="2"/>
  <c r="AZ21" i="2"/>
  <c r="AH39" i="2"/>
  <c r="AO39" i="2"/>
  <c r="AV39" i="2"/>
  <c r="AU39" i="2"/>
  <c r="AM39" i="2"/>
  <c r="AZ39" i="2"/>
  <c r="AU49" i="2"/>
  <c r="AM49" i="2"/>
  <c r="AS49" i="2"/>
  <c r="AK49" i="2"/>
  <c r="AV49" i="2"/>
  <c r="AI49" i="2"/>
  <c r="AH49" i="2"/>
  <c r="AV63" i="2"/>
  <c r="AY63" i="2"/>
  <c r="AO63" i="2"/>
  <c r="AM63" i="2"/>
  <c r="AU63" i="2"/>
  <c r="AS65" i="2"/>
  <c r="AK65" i="2"/>
  <c r="AY65" i="2"/>
  <c r="AI65" i="2"/>
  <c r="AU65" i="2"/>
  <c r="AH65" i="2"/>
  <c r="AV65" i="2"/>
  <c r="AO68" i="2"/>
  <c r="AU68" i="2"/>
  <c r="AM68" i="2"/>
  <c r="AV68" i="2"/>
  <c r="AK68" i="2"/>
  <c r="AY68" i="2"/>
  <c r="AO70" i="2"/>
  <c r="AU70" i="2"/>
  <c r="AM70" i="2"/>
  <c r="AV70" i="2"/>
  <c r="AK70" i="2"/>
  <c r="AS70" i="2"/>
  <c r="AK76" i="2"/>
  <c r="AO85" i="2"/>
  <c r="AU85" i="2"/>
  <c r="AM85" i="2"/>
  <c r="AV85" i="2"/>
  <c r="AK85" i="2"/>
  <c r="AS85" i="2"/>
  <c r="AI85" i="2"/>
  <c r="AY98" i="2"/>
  <c r="AJ107" i="2"/>
  <c r="BA114" i="2"/>
  <c r="AJ114" i="2"/>
  <c r="AN114" i="2"/>
  <c r="AT114" i="2"/>
  <c r="AR114" i="2"/>
  <c r="BA126" i="2"/>
  <c r="AR126" i="2"/>
  <c r="AJ126" i="2"/>
  <c r="AG126" i="2"/>
  <c r="AN126" i="2"/>
  <c r="AT126" i="2"/>
  <c r="AF194" i="2"/>
  <c r="AV223" i="2"/>
  <c r="AM223" i="2"/>
  <c r="AU223" i="2"/>
  <c r="AS223" i="2"/>
  <c r="AK223" i="2"/>
  <c r="AO223" i="2"/>
  <c r="AY223" i="2"/>
  <c r="AO254" i="2"/>
  <c r="AV254" i="2"/>
  <c r="AU254" i="2"/>
  <c r="AM254" i="2"/>
  <c r="AY254" i="2"/>
  <c r="AZ254" i="2"/>
  <c r="AK254" i="2"/>
  <c r="AS254" i="2"/>
  <c r="AY4" i="2"/>
  <c r="AN68" i="2"/>
  <c r="AL68" i="2"/>
  <c r="AT68" i="2"/>
  <c r="AJ68" i="2"/>
  <c r="AO72" i="2"/>
  <c r="AU72" i="2"/>
  <c r="AM72" i="2"/>
  <c r="AV72" i="2"/>
  <c r="AK72" i="2"/>
  <c r="AS72" i="2"/>
  <c r="AI72" i="2"/>
  <c r="AH72" i="2"/>
  <c r="AJ3" i="2"/>
  <c r="AO7" i="2"/>
  <c r="AV7" i="2"/>
  <c r="AU7" i="2"/>
  <c r="AI11" i="2"/>
  <c r="AO22" i="2"/>
  <c r="AV22" i="2"/>
  <c r="AU22" i="2"/>
  <c r="AM22" i="2"/>
  <c r="BA68" i="2"/>
  <c r="AO76" i="2"/>
  <c r="AU76" i="2"/>
  <c r="AM76" i="2"/>
  <c r="AH76" i="2"/>
  <c r="AZ76" i="2"/>
  <c r="AY76" i="2"/>
  <c r="AY96" i="2"/>
  <c r="AI96" i="2"/>
  <c r="AV96" i="2"/>
  <c r="AK96" i="2"/>
  <c r="AH96" i="2"/>
  <c r="AO96" i="2"/>
  <c r="AZ96" i="2"/>
  <c r="AM96" i="2"/>
  <c r="AV110" i="2"/>
  <c r="AS110" i="2"/>
  <c r="AK110" i="2"/>
  <c r="AM110" i="2"/>
  <c r="AU110" i="2"/>
  <c r="AI110" i="2"/>
  <c r="AO110" i="2"/>
  <c r="AZ110" i="2"/>
  <c r="AY110" i="2"/>
  <c r="AH110" i="2"/>
  <c r="AS133" i="2"/>
  <c r="AK133" i="2"/>
  <c r="AZ133" i="2"/>
  <c r="AY133" i="2"/>
  <c r="AI133" i="2"/>
  <c r="AH133" i="2"/>
  <c r="AO133" i="2"/>
  <c r="AM133" i="2"/>
  <c r="AV133" i="2"/>
  <c r="AU133" i="2"/>
  <c r="AT158" i="2"/>
  <c r="AL158" i="2"/>
  <c r="BA158" i="2"/>
  <c r="AR158" i="2"/>
  <c r="AJ158" i="2"/>
  <c r="AG158" i="2"/>
  <c r="AF158" i="2"/>
  <c r="AN158" i="2"/>
  <c r="AG2" i="2"/>
  <c r="AF2" i="2"/>
  <c r="AY2" i="2"/>
  <c r="AK3" i="2"/>
  <c r="AH4" i="2"/>
  <c r="AR4" i="2"/>
  <c r="BA4" i="2"/>
  <c r="AJ6" i="2"/>
  <c r="AT6" i="2"/>
  <c r="AG7" i="2"/>
  <c r="AN7" i="2"/>
  <c r="AF7" i="2"/>
  <c r="BA7" i="2"/>
  <c r="AY9" i="2"/>
  <c r="AK10" i="2"/>
  <c r="AI12" i="2"/>
  <c r="AH13" i="2"/>
  <c r="AS13" i="2"/>
  <c r="AO15" i="2"/>
  <c r="AV15" i="2"/>
  <c r="AU15" i="2"/>
  <c r="AM15" i="2"/>
  <c r="AY17" i="2"/>
  <c r="AK18" i="2"/>
  <c r="AI20" i="2"/>
  <c r="AH21" i="2"/>
  <c r="AH23" i="2"/>
  <c r="AO23" i="2"/>
  <c r="AV23" i="2"/>
  <c r="AU23" i="2"/>
  <c r="AM23" i="2"/>
  <c r="AH24" i="2"/>
  <c r="AO24" i="2"/>
  <c r="AV24" i="2"/>
  <c r="AU24" i="2"/>
  <c r="AM24" i="2"/>
  <c r="AH25" i="2"/>
  <c r="AO25" i="2"/>
  <c r="AV25" i="2"/>
  <c r="AU25" i="2"/>
  <c r="AM25" i="2"/>
  <c r="AH26" i="2"/>
  <c r="AO26" i="2"/>
  <c r="AV26" i="2"/>
  <c r="AU26" i="2"/>
  <c r="AM26" i="2"/>
  <c r="AH27" i="2"/>
  <c r="AO27" i="2"/>
  <c r="AV27" i="2"/>
  <c r="AU27" i="2"/>
  <c r="AM27" i="2"/>
  <c r="AH28" i="2"/>
  <c r="AO28" i="2"/>
  <c r="AV28" i="2"/>
  <c r="AU28" i="2"/>
  <c r="AM28" i="2"/>
  <c r="AH29" i="2"/>
  <c r="AO29" i="2"/>
  <c r="AV29" i="2"/>
  <c r="AU29" i="2"/>
  <c r="AM29" i="2"/>
  <c r="AH30" i="2"/>
  <c r="AO30" i="2"/>
  <c r="AV30" i="2"/>
  <c r="AU30" i="2"/>
  <c r="AM30" i="2"/>
  <c r="AH31" i="2"/>
  <c r="AO31" i="2"/>
  <c r="AV31" i="2"/>
  <c r="AU31" i="2"/>
  <c r="AM31" i="2"/>
  <c r="AH32" i="2"/>
  <c r="AO32" i="2"/>
  <c r="AV32" i="2"/>
  <c r="AU32" i="2"/>
  <c r="AM32" i="2"/>
  <c r="AH33" i="2"/>
  <c r="AO33" i="2"/>
  <c r="AV33" i="2"/>
  <c r="AU33" i="2"/>
  <c r="AM33" i="2"/>
  <c r="AH34" i="2"/>
  <c r="AO34" i="2"/>
  <c r="AV34" i="2"/>
  <c r="AU34" i="2"/>
  <c r="AM34" i="2"/>
  <c r="AH35" i="2"/>
  <c r="AO35" i="2"/>
  <c r="AV35" i="2"/>
  <c r="AU35" i="2"/>
  <c r="AM35" i="2"/>
  <c r="AY37" i="2"/>
  <c r="AK38" i="2"/>
  <c r="AI39" i="2"/>
  <c r="AS39" i="2"/>
  <c r="AU52" i="2"/>
  <c r="AM52" i="2"/>
  <c r="AS52" i="2"/>
  <c r="AK52" i="2"/>
  <c r="AI52" i="2"/>
  <c r="AH52" i="2"/>
  <c r="AZ52" i="2"/>
  <c r="AO54" i="2"/>
  <c r="AV57" i="2"/>
  <c r="AO61" i="2"/>
  <c r="AM65" i="2"/>
  <c r="AZ65" i="2"/>
  <c r="AS69" i="2"/>
  <c r="AK69" i="2"/>
  <c r="AY69" i="2"/>
  <c r="AV69" i="2"/>
  <c r="AM69" i="2"/>
  <c r="AU69" i="2"/>
  <c r="AY70" i="2"/>
  <c r="AH85" i="2"/>
  <c r="AY87" i="2"/>
  <c r="AO87" i="2"/>
  <c r="AU87" i="2"/>
  <c r="AM87" i="2"/>
  <c r="AV87" i="2"/>
  <c r="AK87" i="2"/>
  <c r="AS87" i="2"/>
  <c r="AI87" i="2"/>
  <c r="AN96" i="2"/>
  <c r="AF96" i="2"/>
  <c r="AT96" i="2"/>
  <c r="AR96" i="2"/>
  <c r="BA96" i="2"/>
  <c r="AG96" i="2"/>
  <c r="AN110" i="2"/>
  <c r="AF110" i="2"/>
  <c r="BA110" i="2"/>
  <c r="AJ110" i="2"/>
  <c r="AT110" i="2"/>
  <c r="AL110" i="2"/>
  <c r="AV113" i="2"/>
  <c r="AS113" i="2"/>
  <c r="AK113" i="2"/>
  <c r="AZ113" i="2"/>
  <c r="AM113" i="2"/>
  <c r="AY113" i="2"/>
  <c r="AO113" i="2"/>
  <c r="AU113" i="2"/>
  <c r="AI113" i="2"/>
  <c r="AS123" i="2"/>
  <c r="AK123" i="2"/>
  <c r="AZ123" i="2"/>
  <c r="AY123" i="2"/>
  <c r="AI123" i="2"/>
  <c r="AH123" i="2"/>
  <c r="AO123" i="2"/>
  <c r="AM123" i="2"/>
  <c r="AV123" i="2"/>
  <c r="AU123" i="2"/>
  <c r="AS134" i="2"/>
  <c r="AK134" i="2"/>
  <c r="AZ134" i="2"/>
  <c r="AY134" i="2"/>
  <c r="AI134" i="2"/>
  <c r="AH134" i="2"/>
  <c r="AO134" i="2"/>
  <c r="AM134" i="2"/>
  <c r="AO21" i="2"/>
  <c r="AV21" i="2"/>
  <c r="AU21" i="2"/>
  <c r="AM21" i="2"/>
  <c r="BA65" i="2"/>
  <c r="AL65" i="2"/>
  <c r="AT65" i="2"/>
  <c r="AJ65" i="2"/>
  <c r="AR65" i="2"/>
  <c r="AG65" i="2"/>
  <c r="AT220" i="2"/>
  <c r="AL220" i="2"/>
  <c r="BA220" i="2"/>
  <c r="AR220" i="2"/>
  <c r="AJ220" i="2"/>
  <c r="AN220" i="2"/>
  <c r="AF220" i="2"/>
  <c r="AG220" i="2"/>
  <c r="AS6" i="2"/>
  <c r="AO14" i="2"/>
  <c r="AV14" i="2"/>
  <c r="AU14" i="2"/>
  <c r="AM14" i="2"/>
  <c r="AU40" i="2"/>
  <c r="AM40" i="2"/>
  <c r="AZ40" i="2"/>
  <c r="AH40" i="2"/>
  <c r="AY40" i="2"/>
  <c r="AO40" i="2"/>
  <c r="AO60" i="2"/>
  <c r="AU60" i="2"/>
  <c r="AM60" i="2"/>
  <c r="AV60" i="2"/>
  <c r="AH79" i="2"/>
  <c r="AO81" i="2"/>
  <c r="AU81" i="2"/>
  <c r="AM81" i="2"/>
  <c r="AV81" i="2"/>
  <c r="AK81" i="2"/>
  <c r="AS81" i="2"/>
  <c r="AI81" i="2"/>
  <c r="AY88" i="2"/>
  <c r="AI88" i="2"/>
  <c r="AZ88" i="2"/>
  <c r="AH88" i="2"/>
  <c r="AO88" i="2"/>
  <c r="AV88" i="2"/>
  <c r="AU88" i="2"/>
  <c r="AK88" i="2"/>
  <c r="AS88" i="2"/>
  <c r="AO98" i="2"/>
  <c r="AT106" i="2"/>
  <c r="AL106" i="2"/>
  <c r="AR106" i="2"/>
  <c r="BA106" i="2"/>
  <c r="AN106" i="2"/>
  <c r="AM114" i="2"/>
  <c r="AH2" i="2"/>
  <c r="AL3" i="2"/>
  <c r="AI4" i="2"/>
  <c r="AO5" i="2"/>
  <c r="AV5" i="2"/>
  <c r="AY5" i="2"/>
  <c r="AK6" i="2"/>
  <c r="AU6" i="2"/>
  <c r="AH7" i="2"/>
  <c r="AO8" i="2"/>
  <c r="AV8" i="2"/>
  <c r="AU8" i="2"/>
  <c r="AM8" i="2"/>
  <c r="AK11" i="2"/>
  <c r="AI13" i="2"/>
  <c r="AH14" i="2"/>
  <c r="AS14" i="2"/>
  <c r="AO16" i="2"/>
  <c r="AV16" i="2"/>
  <c r="AU16" i="2"/>
  <c r="AM16" i="2"/>
  <c r="AK19" i="2"/>
  <c r="AI21" i="2"/>
  <c r="AH22" i="2"/>
  <c r="AS22" i="2"/>
  <c r="AH36" i="2"/>
  <c r="AO36" i="2"/>
  <c r="AV36" i="2"/>
  <c r="AU36" i="2"/>
  <c r="AM36" i="2"/>
  <c r="AS40" i="2"/>
  <c r="AO44" i="2"/>
  <c r="AY46" i="2"/>
  <c r="AU54" i="2"/>
  <c r="AM54" i="2"/>
  <c r="AS54" i="2"/>
  <c r="AK54" i="2"/>
  <c r="AV54" i="2"/>
  <c r="AI54" i="2"/>
  <c r="AH54" i="2"/>
  <c r="AU55" i="2"/>
  <c r="AM55" i="2"/>
  <c r="AS55" i="2"/>
  <c r="AK55" i="2"/>
  <c r="AH55" i="2"/>
  <c r="AZ55" i="2"/>
  <c r="AY55" i="2"/>
  <c r="AO55" i="2"/>
  <c r="AZ59" i="2"/>
  <c r="AV59" i="2"/>
  <c r="AM59" i="2"/>
  <c r="AU59" i="2"/>
  <c r="AS59" i="2"/>
  <c r="AY60" i="2"/>
  <c r="AN62" i="2"/>
  <c r="AL62" i="2"/>
  <c r="AT62" i="2"/>
  <c r="AJ62" i="2"/>
  <c r="BA64" i="2"/>
  <c r="AJ64" i="2"/>
  <c r="AN64" i="2"/>
  <c r="AL64" i="2"/>
  <c r="AN65" i="2"/>
  <c r="AR68" i="2"/>
  <c r="AZ70" i="2"/>
  <c r="AO74" i="2"/>
  <c r="AU74" i="2"/>
  <c r="AM74" i="2"/>
  <c r="AS74" i="2"/>
  <c r="AI74" i="2"/>
  <c r="AH74" i="2"/>
  <c r="AZ74" i="2"/>
  <c r="AO77" i="2"/>
  <c r="AU77" i="2"/>
  <c r="AM77" i="2"/>
  <c r="AV77" i="2"/>
  <c r="AK77" i="2"/>
  <c r="AS77" i="2"/>
  <c r="AI77" i="2"/>
  <c r="AY79" i="2"/>
  <c r="AY89" i="2"/>
  <c r="AI89" i="2"/>
  <c r="AS89" i="2"/>
  <c r="AK89" i="2"/>
  <c r="AZ89" i="2"/>
  <c r="AH89" i="2"/>
  <c r="AU89" i="2"/>
  <c r="AJ96" i="2"/>
  <c r="AG110" i="2"/>
  <c r="BA123" i="2"/>
  <c r="AR123" i="2"/>
  <c r="AJ123" i="2"/>
  <c r="AG123" i="2"/>
  <c r="AN123" i="2"/>
  <c r="AL123" i="2"/>
  <c r="AT123" i="2"/>
  <c r="BA134" i="2"/>
  <c r="AR134" i="2"/>
  <c r="AJ134" i="2"/>
  <c r="AG134" i="2"/>
  <c r="AN134" i="2"/>
  <c r="AT134" i="2"/>
  <c r="AL134" i="2"/>
  <c r="AO4" i="2"/>
  <c r="AV4" i="2"/>
  <c r="AO2" i="2"/>
  <c r="AV2" i="2"/>
  <c r="AT3" i="2"/>
  <c r="AZ4" i="2"/>
  <c r="AI6" i="2"/>
  <c r="AZ7" i="2"/>
  <c r="AJ4" i="2"/>
  <c r="AG5" i="2"/>
  <c r="AN5" i="2"/>
  <c r="AF5" i="2"/>
  <c r="AL6" i="2"/>
  <c r="AI7" i="2"/>
  <c r="AS7" i="2"/>
  <c r="AO9" i="2"/>
  <c r="AV9" i="2"/>
  <c r="AU9" i="2"/>
  <c r="AM9" i="2"/>
  <c r="AY11" i="2"/>
  <c r="AK12" i="2"/>
  <c r="AI14" i="2"/>
  <c r="AO17" i="2"/>
  <c r="AV17" i="2"/>
  <c r="AU17" i="2"/>
  <c r="AM17" i="2"/>
  <c r="AY19" i="2"/>
  <c r="AK20" i="2"/>
  <c r="AI22" i="2"/>
  <c r="AH37" i="2"/>
  <c r="AO37" i="2"/>
  <c r="AV37" i="2"/>
  <c r="AU37" i="2"/>
  <c r="AM37" i="2"/>
  <c r="AK39" i="2"/>
  <c r="AI40" i="2"/>
  <c r="AU44" i="2"/>
  <c r="AM44" i="2"/>
  <c r="AS44" i="2"/>
  <c r="AK44" i="2"/>
  <c r="AI44" i="2"/>
  <c r="AH44" i="2"/>
  <c r="AZ44" i="2"/>
  <c r="AO46" i="2"/>
  <c r="AZ60" i="2"/>
  <c r="AO65" i="2"/>
  <c r="BA67" i="2"/>
  <c r="AN67" i="2"/>
  <c r="AL67" i="2"/>
  <c r="AT67" i="2"/>
  <c r="AJ67" i="2"/>
  <c r="AS68" i="2"/>
  <c r="AZ79" i="2"/>
  <c r="AH81" i="2"/>
  <c r="AO83" i="2"/>
  <c r="AU83" i="2"/>
  <c r="AM83" i="2"/>
  <c r="AV83" i="2"/>
  <c r="AK83" i="2"/>
  <c r="AS83" i="2"/>
  <c r="AI83" i="2"/>
  <c r="AY85" i="2"/>
  <c r="AV109" i="2"/>
  <c r="AS109" i="2"/>
  <c r="AK109" i="2"/>
  <c r="AZ109" i="2"/>
  <c r="AM109" i="2"/>
  <c r="AU109" i="2"/>
  <c r="AI109" i="2"/>
  <c r="AH109" i="2"/>
  <c r="AU114" i="2"/>
  <c r="AG4" i="2"/>
  <c r="AN4" i="2"/>
  <c r="AF4" i="2"/>
  <c r="AI19" i="2"/>
  <c r="AU41" i="2"/>
  <c r="AM41" i="2"/>
  <c r="AS41" i="2"/>
  <c r="AK41" i="2"/>
  <c r="AV41" i="2"/>
  <c r="AI41" i="2"/>
  <c r="AH41" i="2"/>
  <c r="AI2" i="2"/>
  <c r="AS2" i="2"/>
  <c r="AO3" i="2"/>
  <c r="AV3" i="2"/>
  <c r="AY3" i="2"/>
  <c r="AK4" i="2"/>
  <c r="AU4" i="2"/>
  <c r="AR5" i="2"/>
  <c r="BA5" i="2"/>
  <c r="AM6" i="2"/>
  <c r="AO10" i="2"/>
  <c r="AV10" i="2"/>
  <c r="AU10" i="2"/>
  <c r="AM10" i="2"/>
  <c r="AZ11" i="2"/>
  <c r="AY12" i="2"/>
  <c r="AK13" i="2"/>
  <c r="AO18" i="2"/>
  <c r="AV18" i="2"/>
  <c r="AU18" i="2"/>
  <c r="AM18" i="2"/>
  <c r="AZ19" i="2"/>
  <c r="AY20" i="2"/>
  <c r="AK21" i="2"/>
  <c r="AH38" i="2"/>
  <c r="AO38" i="2"/>
  <c r="AV38" i="2"/>
  <c r="AU38" i="2"/>
  <c r="AM38" i="2"/>
  <c r="AZ38" i="2"/>
  <c r="AV40" i="2"/>
  <c r="AU46" i="2"/>
  <c r="AM46" i="2"/>
  <c r="AS46" i="2"/>
  <c r="AK46" i="2"/>
  <c r="AV46" i="2"/>
  <c r="AI46" i="2"/>
  <c r="AH46" i="2"/>
  <c r="AU47" i="2"/>
  <c r="AM47" i="2"/>
  <c r="AS47" i="2"/>
  <c r="AK47" i="2"/>
  <c r="AH47" i="2"/>
  <c r="AZ47" i="2"/>
  <c r="AY47" i="2"/>
  <c r="AO47" i="2"/>
  <c r="AY49" i="2"/>
  <c r="AO57" i="2"/>
  <c r="AY57" i="2"/>
  <c r="AS61" i="2"/>
  <c r="AS63" i="2"/>
  <c r="AY72" i="2"/>
  <c r="AI76" i="2"/>
  <c r="AS76" i="2"/>
  <c r="AZ85" i="2"/>
  <c r="AM88" i="2"/>
  <c r="AN95" i="2"/>
  <c r="AF95" i="2"/>
  <c r="AL95" i="2"/>
  <c r="AT95" i="2"/>
  <c r="BA95" i="2"/>
  <c r="AJ95" i="2"/>
  <c r="AN108" i="2"/>
  <c r="BA108" i="2"/>
  <c r="AJ108" i="2"/>
  <c r="AR108" i="2"/>
  <c r="AT108" i="2"/>
  <c r="AV114" i="2"/>
  <c r="AS116" i="2"/>
  <c r="AK116" i="2"/>
  <c r="AH116" i="2"/>
  <c r="AO116" i="2"/>
  <c r="AV116" i="2"/>
  <c r="AI116" i="2"/>
  <c r="AZ116" i="2"/>
  <c r="AM116" i="2"/>
  <c r="AY116" i="2"/>
  <c r="AU119" i="2"/>
  <c r="AS131" i="2"/>
  <c r="AK131" i="2"/>
  <c r="AZ131" i="2"/>
  <c r="AY131" i="2"/>
  <c r="AI131" i="2"/>
  <c r="AH131" i="2"/>
  <c r="AO131" i="2"/>
  <c r="AM131" i="2"/>
  <c r="AN40" i="2"/>
  <c r="AU42" i="2"/>
  <c r="AM42" i="2"/>
  <c r="AS42" i="2"/>
  <c r="AK42" i="2"/>
  <c r="AI43" i="2"/>
  <c r="AU50" i="2"/>
  <c r="AM50" i="2"/>
  <c r="AS50" i="2"/>
  <c r="AK50" i="2"/>
  <c r="AI51" i="2"/>
  <c r="AT60" i="2"/>
  <c r="AN63" i="2"/>
  <c r="AT63" i="2"/>
  <c r="AL63" i="2"/>
  <c r="AS66" i="2"/>
  <c r="AK66" i="2"/>
  <c r="AY66" i="2"/>
  <c r="AI66" i="2"/>
  <c r="AN66" i="2"/>
  <c r="AO71" i="2"/>
  <c r="AU71" i="2"/>
  <c r="AM71" i="2"/>
  <c r="AO78" i="2"/>
  <c r="AU78" i="2"/>
  <c r="AM78" i="2"/>
  <c r="AO80" i="2"/>
  <c r="AU80" i="2"/>
  <c r="AM80" i="2"/>
  <c r="AO82" i="2"/>
  <c r="AU82" i="2"/>
  <c r="AM82" i="2"/>
  <c r="AO84" i="2"/>
  <c r="AU84" i="2"/>
  <c r="AM84" i="2"/>
  <c r="AO86" i="2"/>
  <c r="AU86" i="2"/>
  <c r="AM86" i="2"/>
  <c r="AF88" i="2"/>
  <c r="AN88" i="2"/>
  <c r="AR88" i="2"/>
  <c r="AU99" i="2"/>
  <c r="AM99" i="2"/>
  <c r="AS99" i="2"/>
  <c r="AS118" i="2"/>
  <c r="AK118" i="2"/>
  <c r="AZ118" i="2"/>
  <c r="AH118" i="2"/>
  <c r="AO118" i="2"/>
  <c r="AY118" i="2"/>
  <c r="AM118" i="2"/>
  <c r="AS128" i="2"/>
  <c r="AK128" i="2"/>
  <c r="AZ128" i="2"/>
  <c r="AY128" i="2"/>
  <c r="AI128" i="2"/>
  <c r="AH128" i="2"/>
  <c r="AO128" i="2"/>
  <c r="AM128" i="2"/>
  <c r="AV128" i="2"/>
  <c r="AF8" i="2"/>
  <c r="AN10" i="2"/>
  <c r="AF11" i="2"/>
  <c r="AN11" i="2"/>
  <c r="AF12" i="2"/>
  <c r="AN12" i="2"/>
  <c r="AF13" i="2"/>
  <c r="AF14" i="2"/>
  <c r="AN14" i="2"/>
  <c r="AF15" i="2"/>
  <c r="AN15" i="2"/>
  <c r="AF16" i="2"/>
  <c r="AN16" i="2"/>
  <c r="AF17" i="2"/>
  <c r="AN17" i="2"/>
  <c r="AF18" i="2"/>
  <c r="AN18" i="2"/>
  <c r="AF19" i="2"/>
  <c r="AN19" i="2"/>
  <c r="AF20" i="2"/>
  <c r="AN20" i="2"/>
  <c r="AF21" i="2"/>
  <c r="AN21" i="2"/>
  <c r="AF22" i="2"/>
  <c r="AN22" i="2"/>
  <c r="AF23" i="2"/>
  <c r="AN23" i="2"/>
  <c r="AF24" i="2"/>
  <c r="AN24" i="2"/>
  <c r="AF25" i="2"/>
  <c r="AN25" i="2"/>
  <c r="AF26" i="2"/>
  <c r="AN26" i="2"/>
  <c r="AF27" i="2"/>
  <c r="AN27" i="2"/>
  <c r="AF28" i="2"/>
  <c r="AN28" i="2"/>
  <c r="AF29" i="2"/>
  <c r="AN29" i="2"/>
  <c r="AF30" i="2"/>
  <c r="AN30" i="2"/>
  <c r="AF31" i="2"/>
  <c r="AN31" i="2"/>
  <c r="AF32" i="2"/>
  <c r="AN32" i="2"/>
  <c r="AF33" i="2"/>
  <c r="AN33" i="2"/>
  <c r="AF34" i="2"/>
  <c r="AN34" i="2"/>
  <c r="AN35" i="2"/>
  <c r="AN36" i="2"/>
  <c r="AN37" i="2"/>
  <c r="AU45" i="2"/>
  <c r="AM45" i="2"/>
  <c r="AS45" i="2"/>
  <c r="AK45" i="2"/>
  <c r="AU53" i="2"/>
  <c r="AM53" i="2"/>
  <c r="AS53" i="2"/>
  <c r="AK53" i="2"/>
  <c r="AU67" i="2"/>
  <c r="AO73" i="2"/>
  <c r="AU73" i="2"/>
  <c r="AM73" i="2"/>
  <c r="BA90" i="2"/>
  <c r="AR90" i="2"/>
  <c r="AJ90" i="2"/>
  <c r="AY92" i="2"/>
  <c r="AI92" i="2"/>
  <c r="AZ92" i="2"/>
  <c r="AH92" i="2"/>
  <c r="AO92" i="2"/>
  <c r="AV92" i="2"/>
  <c r="AY93" i="2"/>
  <c r="AI93" i="2"/>
  <c r="AV93" i="2"/>
  <c r="AU93" i="2"/>
  <c r="AS93" i="2"/>
  <c r="AH93" i="2"/>
  <c r="AO102" i="2"/>
  <c r="AV102" i="2"/>
  <c r="AU102" i="2"/>
  <c r="AG104" i="2"/>
  <c r="AT104" i="2"/>
  <c r="AL104" i="2"/>
  <c r="AN104" i="2"/>
  <c r="AJ104" i="2"/>
  <c r="AR104" i="2"/>
  <c r="BA104" i="2"/>
  <c r="AS115" i="2"/>
  <c r="AK115" i="2"/>
  <c r="AH115" i="2"/>
  <c r="AO115" i="2"/>
  <c r="AV115" i="2"/>
  <c r="AU115" i="2"/>
  <c r="BA128" i="2"/>
  <c r="AR128" i="2"/>
  <c r="AJ128" i="2"/>
  <c r="AG128" i="2"/>
  <c r="AN128" i="2"/>
  <c r="AL128" i="2"/>
  <c r="AF128" i="2"/>
  <c r="BA129" i="2"/>
  <c r="AR129" i="2"/>
  <c r="AJ129" i="2"/>
  <c r="AG129" i="2"/>
  <c r="AT129" i="2"/>
  <c r="AN129" i="2"/>
  <c r="AN8" i="2"/>
  <c r="AF9" i="2"/>
  <c r="AN9" i="2"/>
  <c r="AF10" i="2"/>
  <c r="AN13" i="2"/>
  <c r="AZ42" i="2"/>
  <c r="AO45" i="2"/>
  <c r="AY45" i="2"/>
  <c r="AU48" i="2"/>
  <c r="AM48" i="2"/>
  <c r="AS48" i="2"/>
  <c r="AK48" i="2"/>
  <c r="AZ50" i="2"/>
  <c r="AO53" i="2"/>
  <c r="AY53" i="2"/>
  <c r="AU56" i="2"/>
  <c r="AM56" i="2"/>
  <c r="AS56" i="2"/>
  <c r="AK56" i="2"/>
  <c r="AU58" i="2"/>
  <c r="AM58" i="2"/>
  <c r="AS58" i="2"/>
  <c r="AK58" i="2"/>
  <c r="AF66" i="2"/>
  <c r="AZ66" i="2"/>
  <c r="AM67" i="2"/>
  <c r="AZ71" i="2"/>
  <c r="AY73" i="2"/>
  <c r="AO75" i="2"/>
  <c r="AU75" i="2"/>
  <c r="AM75" i="2"/>
  <c r="AZ78" i="2"/>
  <c r="AZ80" i="2"/>
  <c r="AZ82" i="2"/>
  <c r="AZ84" i="2"/>
  <c r="AZ86" i="2"/>
  <c r="AJ88" i="2"/>
  <c r="AT88" i="2"/>
  <c r="AJ89" i="2"/>
  <c r="AT89" i="2"/>
  <c r="AF90" i="2"/>
  <c r="AF91" i="2"/>
  <c r="AT91" i="2"/>
  <c r="AL91" i="2"/>
  <c r="AR91" i="2"/>
  <c r="AN93" i="2"/>
  <c r="AF93" i="2"/>
  <c r="AL93" i="2"/>
  <c r="AJ93" i="2"/>
  <c r="AR93" i="2"/>
  <c r="AN97" i="2"/>
  <c r="BA97" i="2"/>
  <c r="AJ97" i="2"/>
  <c r="AL97" i="2"/>
  <c r="AT97" i="2"/>
  <c r="AR97" i="2"/>
  <c r="AY99" i="2"/>
  <c r="AY102" i="2"/>
  <c r="AF104" i="2"/>
  <c r="AV111" i="2"/>
  <c r="AS111" i="2"/>
  <c r="AK111" i="2"/>
  <c r="AU111" i="2"/>
  <c r="AH111" i="2"/>
  <c r="BA115" i="2"/>
  <c r="AG115" i="2"/>
  <c r="AN115" i="2"/>
  <c r="AL115" i="2"/>
  <c r="AJ115" i="2"/>
  <c r="AV118" i="2"/>
  <c r="AS125" i="2"/>
  <c r="AK125" i="2"/>
  <c r="AZ125" i="2"/>
  <c r="AY125" i="2"/>
  <c r="AI125" i="2"/>
  <c r="AH125" i="2"/>
  <c r="AO125" i="2"/>
  <c r="AM125" i="2"/>
  <c r="AV125" i="2"/>
  <c r="AU125" i="2"/>
  <c r="AF129" i="2"/>
  <c r="AY136" i="2"/>
  <c r="AS136" i="2"/>
  <c r="AK136" i="2"/>
  <c r="AZ136" i="2"/>
  <c r="AI136" i="2"/>
  <c r="AH136" i="2"/>
  <c r="AO136" i="2"/>
  <c r="AM136" i="2"/>
  <c r="AV136" i="2"/>
  <c r="AT162" i="2"/>
  <c r="AL162" i="2"/>
  <c r="BA162" i="2"/>
  <c r="AR162" i="2"/>
  <c r="AJ162" i="2"/>
  <c r="AG162" i="2"/>
  <c r="AN162" i="2"/>
  <c r="AU43" i="2"/>
  <c r="AM43" i="2"/>
  <c r="AS43" i="2"/>
  <c r="AK43" i="2"/>
  <c r="AU51" i="2"/>
  <c r="AM51" i="2"/>
  <c r="AS51" i="2"/>
  <c r="AK51" i="2"/>
  <c r="AS67" i="2"/>
  <c r="AK67" i="2"/>
  <c r="AY67" i="2"/>
  <c r="AI67" i="2"/>
  <c r="AZ101" i="2"/>
  <c r="AO101" i="2"/>
  <c r="AM101" i="2"/>
  <c r="AU101" i="2"/>
  <c r="AV108" i="2"/>
  <c r="AS108" i="2"/>
  <c r="AZ108" i="2"/>
  <c r="AY108" i="2"/>
  <c r="AO108" i="2"/>
  <c r="AN111" i="2"/>
  <c r="AF111" i="2"/>
  <c r="BA111" i="2"/>
  <c r="AJ111" i="2"/>
  <c r="AR111" i="2"/>
  <c r="AG111" i="2"/>
  <c r="BA120" i="2"/>
  <c r="AR120" i="2"/>
  <c r="AJ120" i="2"/>
  <c r="AG120" i="2"/>
  <c r="AF120" i="2"/>
  <c r="AS122" i="2"/>
  <c r="AK122" i="2"/>
  <c r="AZ122" i="2"/>
  <c r="AY122" i="2"/>
  <c r="AH122" i="2"/>
  <c r="AO122" i="2"/>
  <c r="AV122" i="2"/>
  <c r="AU122" i="2"/>
  <c r="AS126" i="2"/>
  <c r="AK126" i="2"/>
  <c r="AZ126" i="2"/>
  <c r="AY126" i="2"/>
  <c r="AI126" i="2"/>
  <c r="AH126" i="2"/>
  <c r="AO126" i="2"/>
  <c r="AM126" i="2"/>
  <c r="AV126" i="2"/>
  <c r="BA136" i="2"/>
  <c r="AR136" i="2"/>
  <c r="AJ136" i="2"/>
  <c r="AG136" i="2"/>
  <c r="AN136" i="2"/>
  <c r="AL136" i="2"/>
  <c r="AF136" i="2"/>
  <c r="BA137" i="2"/>
  <c r="AL137" i="2"/>
  <c r="AT137" i="2"/>
  <c r="AR137" i="2"/>
  <c r="AJ137" i="2"/>
  <c r="AN137" i="2"/>
  <c r="AT168" i="2"/>
  <c r="AL168" i="2"/>
  <c r="BA168" i="2"/>
  <c r="AR168" i="2"/>
  <c r="AJ168" i="2"/>
  <c r="AG168" i="2"/>
  <c r="AF168" i="2"/>
  <c r="AN92" i="2"/>
  <c r="AY94" i="2"/>
  <c r="AI94" i="2"/>
  <c r="AV94" i="2"/>
  <c r="AO94" i="2"/>
  <c r="BA98" i="2"/>
  <c r="AJ98" i="2"/>
  <c r="AT98" i="2"/>
  <c r="AU100" i="2"/>
  <c r="AM100" i="2"/>
  <c r="AZ100" i="2"/>
  <c r="AS100" i="2"/>
  <c r="AT102" i="2"/>
  <c r="AL102" i="2"/>
  <c r="AG103" i="2"/>
  <c r="AT103" i="2"/>
  <c r="AL103" i="2"/>
  <c r="AG105" i="2"/>
  <c r="AT105" i="2"/>
  <c r="AL105" i="2"/>
  <c r="AV112" i="2"/>
  <c r="AS112" i="2"/>
  <c r="AK112" i="2"/>
  <c r="AO112" i="2"/>
  <c r="AY112" i="2"/>
  <c r="AS117" i="2"/>
  <c r="AK117" i="2"/>
  <c r="AH117" i="2"/>
  <c r="AO117" i="2"/>
  <c r="AY117" i="2"/>
  <c r="AS121" i="2"/>
  <c r="AK121" i="2"/>
  <c r="AZ121" i="2"/>
  <c r="AH121" i="2"/>
  <c r="AO121" i="2"/>
  <c r="BA122" i="2"/>
  <c r="AR122" i="2"/>
  <c r="AJ122" i="2"/>
  <c r="AG122" i="2"/>
  <c r="AT122" i="2"/>
  <c r="BA125" i="2"/>
  <c r="AR125" i="2"/>
  <c r="AJ125" i="2"/>
  <c r="AG125" i="2"/>
  <c r="AS130" i="2"/>
  <c r="AK130" i="2"/>
  <c r="AZ130" i="2"/>
  <c r="AY130" i="2"/>
  <c r="AI130" i="2"/>
  <c r="AH130" i="2"/>
  <c r="AO130" i="2"/>
  <c r="BA133" i="2"/>
  <c r="AR133" i="2"/>
  <c r="AJ133" i="2"/>
  <c r="AG133" i="2"/>
  <c r="AS140" i="2"/>
  <c r="AK140" i="2"/>
  <c r="AY140" i="2"/>
  <c r="AI140" i="2"/>
  <c r="AU140" i="2"/>
  <c r="AH140" i="2"/>
  <c r="AZ140" i="2"/>
  <c r="AZ143" i="2"/>
  <c r="AY143" i="2"/>
  <c r="AI143" i="2"/>
  <c r="AH143" i="2"/>
  <c r="AV143" i="2"/>
  <c r="AM143" i="2"/>
  <c r="AU143" i="2"/>
  <c r="AK143" i="2"/>
  <c r="AS143" i="2"/>
  <c r="AZ147" i="2"/>
  <c r="AY147" i="2"/>
  <c r="AI147" i="2"/>
  <c r="AH147" i="2"/>
  <c r="AV147" i="2"/>
  <c r="AM147" i="2"/>
  <c r="AU147" i="2"/>
  <c r="AK147" i="2"/>
  <c r="AS147" i="2"/>
  <c r="AR61" i="2"/>
  <c r="AO62" i="2"/>
  <c r="AY64" i="2"/>
  <c r="AY91" i="2"/>
  <c r="AI91" i="2"/>
  <c r="AM91" i="2"/>
  <c r="AU91" i="2"/>
  <c r="AN94" i="2"/>
  <c r="AF94" i="2"/>
  <c r="AZ94" i="2"/>
  <c r="AV97" i="2"/>
  <c r="AS97" i="2"/>
  <c r="AL98" i="2"/>
  <c r="AJ99" i="2"/>
  <c r="AT99" i="2"/>
  <c r="AJ102" i="2"/>
  <c r="AF103" i="2"/>
  <c r="AF105" i="2"/>
  <c r="AN112" i="2"/>
  <c r="AF112" i="2"/>
  <c r="BA112" i="2"/>
  <c r="AZ112" i="2"/>
  <c r="BA117" i="2"/>
  <c r="AG117" i="2"/>
  <c r="AZ117" i="2"/>
  <c r="AS120" i="2"/>
  <c r="AK120" i="2"/>
  <c r="AZ120" i="2"/>
  <c r="AH120" i="2"/>
  <c r="AO120" i="2"/>
  <c r="BA121" i="2"/>
  <c r="AR121" i="2"/>
  <c r="AJ121" i="2"/>
  <c r="AG121" i="2"/>
  <c r="AT121" i="2"/>
  <c r="AF122" i="2"/>
  <c r="AF125" i="2"/>
  <c r="AS127" i="2"/>
  <c r="AK127" i="2"/>
  <c r="AZ127" i="2"/>
  <c r="AY127" i="2"/>
  <c r="AI127" i="2"/>
  <c r="AH127" i="2"/>
  <c r="AO127" i="2"/>
  <c r="BA130" i="2"/>
  <c r="AR130" i="2"/>
  <c r="AJ130" i="2"/>
  <c r="AG130" i="2"/>
  <c r="AU130" i="2"/>
  <c r="AF133" i="2"/>
  <c r="AS135" i="2"/>
  <c r="AK135" i="2"/>
  <c r="AZ135" i="2"/>
  <c r="AY135" i="2"/>
  <c r="AI135" i="2"/>
  <c r="AH135" i="2"/>
  <c r="AO135" i="2"/>
  <c r="BA140" i="2"/>
  <c r="AL140" i="2"/>
  <c r="AT140" i="2"/>
  <c r="AJ140" i="2"/>
  <c r="AR140" i="2"/>
  <c r="AG140" i="2"/>
  <c r="AF140" i="2"/>
  <c r="AR143" i="2"/>
  <c r="AJ143" i="2"/>
  <c r="AN143" i="2"/>
  <c r="AL143" i="2"/>
  <c r="AT143" i="2"/>
  <c r="AG143" i="2"/>
  <c r="AZ144" i="2"/>
  <c r="AY144" i="2"/>
  <c r="AI144" i="2"/>
  <c r="AH144" i="2"/>
  <c r="AU144" i="2"/>
  <c r="AK144" i="2"/>
  <c r="AS144" i="2"/>
  <c r="AV144" i="2"/>
  <c r="AR147" i="2"/>
  <c r="AJ147" i="2"/>
  <c r="AN147" i="2"/>
  <c r="AL147" i="2"/>
  <c r="AT147" i="2"/>
  <c r="AG147" i="2"/>
  <c r="AZ148" i="2"/>
  <c r="AY148" i="2"/>
  <c r="AI148" i="2"/>
  <c r="AH148" i="2"/>
  <c r="AU148" i="2"/>
  <c r="AK148" i="2"/>
  <c r="AS148" i="2"/>
  <c r="AS151" i="2"/>
  <c r="AK151" i="2"/>
  <c r="AZ151" i="2"/>
  <c r="AY151" i="2"/>
  <c r="AI151" i="2"/>
  <c r="AO151" i="2"/>
  <c r="AM151" i="2"/>
  <c r="AV151" i="2"/>
  <c r="AU151" i="2"/>
  <c r="AH151" i="2"/>
  <c r="AT170" i="2"/>
  <c r="AL170" i="2"/>
  <c r="AN170" i="2"/>
  <c r="AJ170" i="2"/>
  <c r="BA170" i="2"/>
  <c r="AT186" i="2"/>
  <c r="AL186" i="2"/>
  <c r="BA186" i="2"/>
  <c r="AR186" i="2"/>
  <c r="AJ186" i="2"/>
  <c r="AN186" i="2"/>
  <c r="AF186" i="2"/>
  <c r="AG186" i="2"/>
  <c r="AS124" i="2"/>
  <c r="AK124" i="2"/>
  <c r="AZ124" i="2"/>
  <c r="AY124" i="2"/>
  <c r="AI124" i="2"/>
  <c r="AH124" i="2"/>
  <c r="AO124" i="2"/>
  <c r="BA127" i="2"/>
  <c r="AR127" i="2"/>
  <c r="AJ127" i="2"/>
  <c r="AG127" i="2"/>
  <c r="AS132" i="2"/>
  <c r="AK132" i="2"/>
  <c r="AZ132" i="2"/>
  <c r="AY132" i="2"/>
  <c r="AI132" i="2"/>
  <c r="AH132" i="2"/>
  <c r="AO132" i="2"/>
  <c r="BA135" i="2"/>
  <c r="AR135" i="2"/>
  <c r="AJ135" i="2"/>
  <c r="AG135" i="2"/>
  <c r="AM140" i="2"/>
  <c r="BA151" i="2"/>
  <c r="AR151" i="2"/>
  <c r="AJ151" i="2"/>
  <c r="AN151" i="2"/>
  <c r="AL151" i="2"/>
  <c r="AT152" i="2"/>
  <c r="AL152" i="2"/>
  <c r="BA152" i="2"/>
  <c r="AR152" i="2"/>
  <c r="AJ152" i="2"/>
  <c r="AN152" i="2"/>
  <c r="AT154" i="2"/>
  <c r="AL154" i="2"/>
  <c r="BA154" i="2"/>
  <c r="AR154" i="2"/>
  <c r="AJ154" i="2"/>
  <c r="AG154" i="2"/>
  <c r="AT165" i="2"/>
  <c r="AL165" i="2"/>
  <c r="BA165" i="2"/>
  <c r="AR165" i="2"/>
  <c r="AJ165" i="2"/>
  <c r="AG165" i="2"/>
  <c r="AF170" i="2"/>
  <c r="AR170" i="2"/>
  <c r="AL61" i="2"/>
  <c r="AY90" i="2"/>
  <c r="AI90" i="2"/>
  <c r="AM90" i="2"/>
  <c r="AU90" i="2"/>
  <c r="AO91" i="2"/>
  <c r="AH94" i="2"/>
  <c r="AR94" i="2"/>
  <c r="AY95" i="2"/>
  <c r="AI95" i="2"/>
  <c r="AV95" i="2"/>
  <c r="AO95" i="2"/>
  <c r="AN98" i="2"/>
  <c r="AN102" i="2"/>
  <c r="AN109" i="2"/>
  <c r="AF109" i="2"/>
  <c r="BA109" i="2"/>
  <c r="AH112" i="2"/>
  <c r="AR112" i="2"/>
  <c r="AN113" i="2"/>
  <c r="AF113" i="2"/>
  <c r="BA113" i="2"/>
  <c r="AI117" i="2"/>
  <c r="AT117" i="2"/>
  <c r="BA118" i="2"/>
  <c r="AR118" i="2"/>
  <c r="AG118" i="2"/>
  <c r="BA119" i="2"/>
  <c r="AR119" i="2"/>
  <c r="AJ119" i="2"/>
  <c r="AG119" i="2"/>
  <c r="AT119" i="2"/>
  <c r="AU120" i="2"/>
  <c r="AI121" i="2"/>
  <c r="AV121" i="2"/>
  <c r="AL122" i="2"/>
  <c r="BA124" i="2"/>
  <c r="AR124" i="2"/>
  <c r="AJ124" i="2"/>
  <c r="AG124" i="2"/>
  <c r="AU124" i="2"/>
  <c r="AF127" i="2"/>
  <c r="AV127" i="2"/>
  <c r="AS129" i="2"/>
  <c r="AK129" i="2"/>
  <c r="AZ129" i="2"/>
  <c r="AY129" i="2"/>
  <c r="AI129" i="2"/>
  <c r="AH129" i="2"/>
  <c r="AO129" i="2"/>
  <c r="AL130" i="2"/>
  <c r="BA132" i="2"/>
  <c r="AR132" i="2"/>
  <c r="AJ132" i="2"/>
  <c r="AG132" i="2"/>
  <c r="AU132" i="2"/>
  <c r="AF135" i="2"/>
  <c r="AV135" i="2"/>
  <c r="AN140" i="2"/>
  <c r="AO143" i="2"/>
  <c r="AO147" i="2"/>
  <c r="AG151" i="2"/>
  <c r="AG152" i="2"/>
  <c r="AF165" i="2"/>
  <c r="AG170" i="2"/>
  <c r="AS138" i="2"/>
  <c r="AK138" i="2"/>
  <c r="AY138" i="2"/>
  <c r="AI138" i="2"/>
  <c r="AN138" i="2"/>
  <c r="AM141" i="2"/>
  <c r="AR144" i="2"/>
  <c r="AJ144" i="2"/>
  <c r="BA144" i="2"/>
  <c r="AR148" i="2"/>
  <c r="AJ148" i="2"/>
  <c r="BA148" i="2"/>
  <c r="AT155" i="2"/>
  <c r="AL155" i="2"/>
  <c r="BA155" i="2"/>
  <c r="AR155" i="2"/>
  <c r="AJ155" i="2"/>
  <c r="AT159" i="2"/>
  <c r="AL159" i="2"/>
  <c r="BA159" i="2"/>
  <c r="AR159" i="2"/>
  <c r="AJ159" i="2"/>
  <c r="AT163" i="2"/>
  <c r="AL163" i="2"/>
  <c r="BA163" i="2"/>
  <c r="AR163" i="2"/>
  <c r="AJ163" i="2"/>
  <c r="AS141" i="2"/>
  <c r="AK141" i="2"/>
  <c r="AY141" i="2"/>
  <c r="AI141" i="2"/>
  <c r="AZ145" i="2"/>
  <c r="AY145" i="2"/>
  <c r="AI145" i="2"/>
  <c r="AH145" i="2"/>
  <c r="AO145" i="2"/>
  <c r="AZ149" i="2"/>
  <c r="AY149" i="2"/>
  <c r="AI149" i="2"/>
  <c r="AH149" i="2"/>
  <c r="AO149" i="2"/>
  <c r="AT166" i="2"/>
  <c r="AL166" i="2"/>
  <c r="BA166" i="2"/>
  <c r="AR166" i="2"/>
  <c r="AJ166" i="2"/>
  <c r="AR191" i="2"/>
  <c r="AJ191" i="2"/>
  <c r="AG191" i="2"/>
  <c r="AT191" i="2"/>
  <c r="AL191" i="2"/>
  <c r="AN191" i="2"/>
  <c r="BA191" i="2"/>
  <c r="AF138" i="2"/>
  <c r="AZ138" i="2"/>
  <c r="AO141" i="2"/>
  <c r="AG144" i="2"/>
  <c r="AR145" i="2"/>
  <c r="AJ145" i="2"/>
  <c r="BA145" i="2"/>
  <c r="AR149" i="2"/>
  <c r="AJ149" i="2"/>
  <c r="BA149" i="2"/>
  <c r="AT156" i="2"/>
  <c r="AL156" i="2"/>
  <c r="BA156" i="2"/>
  <c r="AR156" i="2"/>
  <c r="AJ156" i="2"/>
  <c r="AT160" i="2"/>
  <c r="AL160" i="2"/>
  <c r="BA160" i="2"/>
  <c r="AR160" i="2"/>
  <c r="AJ160" i="2"/>
  <c r="AF166" i="2"/>
  <c r="AT169" i="2"/>
  <c r="AL169" i="2"/>
  <c r="BA169" i="2"/>
  <c r="AR169" i="2"/>
  <c r="AJ169" i="2"/>
  <c r="AT173" i="2"/>
  <c r="AL173" i="2"/>
  <c r="BA173" i="2"/>
  <c r="AN173" i="2"/>
  <c r="AF173" i="2"/>
  <c r="AJ173" i="2"/>
  <c r="AR173" i="2"/>
  <c r="AF191" i="2"/>
  <c r="AG208" i="2"/>
  <c r="AN208" i="2"/>
  <c r="AF208" i="2"/>
  <c r="BA208" i="2"/>
  <c r="AT208" i="2"/>
  <c r="AR208" i="2"/>
  <c r="AJ208" i="2"/>
  <c r="AL208" i="2"/>
  <c r="AG138" i="2"/>
  <c r="AS139" i="2"/>
  <c r="AK139" i="2"/>
  <c r="AY139" i="2"/>
  <c r="AI139" i="2"/>
  <c r="AF141" i="2"/>
  <c r="AZ141" i="2"/>
  <c r="AT144" i="2"/>
  <c r="AF145" i="2"/>
  <c r="AZ146" i="2"/>
  <c r="AY146" i="2"/>
  <c r="AI146" i="2"/>
  <c r="AH146" i="2"/>
  <c r="AO146" i="2"/>
  <c r="AT148" i="2"/>
  <c r="AF149" i="2"/>
  <c r="AZ150" i="2"/>
  <c r="AY150" i="2"/>
  <c r="AI150" i="2"/>
  <c r="AH150" i="2"/>
  <c r="AO150" i="2"/>
  <c r="AF156" i="2"/>
  <c r="AF160" i="2"/>
  <c r="AT164" i="2"/>
  <c r="AL164" i="2"/>
  <c r="BA164" i="2"/>
  <c r="AR164" i="2"/>
  <c r="AJ164" i="2"/>
  <c r="AG166" i="2"/>
  <c r="AF169" i="2"/>
  <c r="AG173" i="2"/>
  <c r="AR189" i="2"/>
  <c r="AJ189" i="2"/>
  <c r="AG189" i="2"/>
  <c r="AT189" i="2"/>
  <c r="AL189" i="2"/>
  <c r="AR192" i="2"/>
  <c r="AJ192" i="2"/>
  <c r="AG192" i="2"/>
  <c r="AT192" i="2"/>
  <c r="AL192" i="2"/>
  <c r="BA192" i="2"/>
  <c r="AF192" i="2"/>
  <c r="AT201" i="2"/>
  <c r="AL201" i="2"/>
  <c r="BA201" i="2"/>
  <c r="AR201" i="2"/>
  <c r="AJ201" i="2"/>
  <c r="AN201" i="2"/>
  <c r="AF201" i="2"/>
  <c r="AG201" i="2"/>
  <c r="AY207" i="2"/>
  <c r="AI207" i="2"/>
  <c r="AH207" i="2"/>
  <c r="AO207" i="2"/>
  <c r="AV207" i="2"/>
  <c r="AS207" i="2"/>
  <c r="AK207" i="2"/>
  <c r="AZ207" i="2"/>
  <c r="AM207" i="2"/>
  <c r="AU207" i="2"/>
  <c r="AS137" i="2"/>
  <c r="AY137" i="2"/>
  <c r="AI137" i="2"/>
  <c r="AM137" i="2"/>
  <c r="AV137" i="2"/>
  <c r="AH138" i="2"/>
  <c r="AR138" i="2"/>
  <c r="AO139" i="2"/>
  <c r="AG141" i="2"/>
  <c r="AL144" i="2"/>
  <c r="AG145" i="2"/>
  <c r="AS145" i="2"/>
  <c r="AR146" i="2"/>
  <c r="AJ146" i="2"/>
  <c r="BA146" i="2"/>
  <c r="AL148" i="2"/>
  <c r="AG149" i="2"/>
  <c r="AS149" i="2"/>
  <c r="AR150" i="2"/>
  <c r="AJ150" i="2"/>
  <c r="BA150" i="2"/>
  <c r="AS152" i="2"/>
  <c r="AK152" i="2"/>
  <c r="AZ152" i="2"/>
  <c r="AT153" i="2"/>
  <c r="AL153" i="2"/>
  <c r="BA153" i="2"/>
  <c r="AR153" i="2"/>
  <c r="AJ153" i="2"/>
  <c r="AG156" i="2"/>
  <c r="AT157" i="2"/>
  <c r="AL157" i="2"/>
  <c r="BA157" i="2"/>
  <c r="AR157" i="2"/>
  <c r="AJ157" i="2"/>
  <c r="AG160" i="2"/>
  <c r="AT161" i="2"/>
  <c r="AL161" i="2"/>
  <c r="BA161" i="2"/>
  <c r="AR161" i="2"/>
  <c r="AJ161" i="2"/>
  <c r="AF164" i="2"/>
  <c r="AT167" i="2"/>
  <c r="AL167" i="2"/>
  <c r="BA167" i="2"/>
  <c r="AR167" i="2"/>
  <c r="AJ167" i="2"/>
  <c r="AG169" i="2"/>
  <c r="AN187" i="2"/>
  <c r="AJ187" i="2"/>
  <c r="BA187" i="2"/>
  <c r="BA189" i="2"/>
  <c r="AG207" i="2"/>
  <c r="AN207" i="2"/>
  <c r="AF207" i="2"/>
  <c r="BA207" i="2"/>
  <c r="AL207" i="2"/>
  <c r="AJ207" i="2"/>
  <c r="AR207" i="2"/>
  <c r="AT207" i="2"/>
  <c r="AG235" i="2"/>
  <c r="AN235" i="2"/>
  <c r="AF235" i="2"/>
  <c r="BA235" i="2"/>
  <c r="AT235" i="2"/>
  <c r="AR235" i="2"/>
  <c r="AJ235" i="2"/>
  <c r="AL235" i="2"/>
  <c r="AT171" i="2"/>
  <c r="AL171" i="2"/>
  <c r="AN171" i="2"/>
  <c r="AF171" i="2"/>
  <c r="AT174" i="2"/>
  <c r="AL174" i="2"/>
  <c r="BA174" i="2"/>
  <c r="AR174" i="2"/>
  <c r="AJ174" i="2"/>
  <c r="AN174" i="2"/>
  <c r="AF174" i="2"/>
  <c r="AT175" i="2"/>
  <c r="AL175" i="2"/>
  <c r="BA175" i="2"/>
  <c r="AR175" i="2"/>
  <c r="AJ175" i="2"/>
  <c r="AN175" i="2"/>
  <c r="AF175" i="2"/>
  <c r="AT176" i="2"/>
  <c r="AL176" i="2"/>
  <c r="BA176" i="2"/>
  <c r="AR176" i="2"/>
  <c r="AJ176" i="2"/>
  <c r="AN176" i="2"/>
  <c r="AF176" i="2"/>
  <c r="AT177" i="2"/>
  <c r="AL177" i="2"/>
  <c r="BA177" i="2"/>
  <c r="AR177" i="2"/>
  <c r="AJ177" i="2"/>
  <c r="AN177" i="2"/>
  <c r="AF177" i="2"/>
  <c r="AT178" i="2"/>
  <c r="AL178" i="2"/>
  <c r="BA178" i="2"/>
  <c r="AR178" i="2"/>
  <c r="AJ178" i="2"/>
  <c r="AN178" i="2"/>
  <c r="AF178" i="2"/>
  <c r="AT179" i="2"/>
  <c r="AL179" i="2"/>
  <c r="BA179" i="2"/>
  <c r="AR179" i="2"/>
  <c r="AJ179" i="2"/>
  <c r="AN179" i="2"/>
  <c r="AF179" i="2"/>
  <c r="AT180" i="2"/>
  <c r="AL180" i="2"/>
  <c r="BA180" i="2"/>
  <c r="AR180" i="2"/>
  <c r="AJ180" i="2"/>
  <c r="AN180" i="2"/>
  <c r="AF180" i="2"/>
  <c r="AT181" i="2"/>
  <c r="AL181" i="2"/>
  <c r="BA181" i="2"/>
  <c r="AR181" i="2"/>
  <c r="AJ181" i="2"/>
  <c r="AN181" i="2"/>
  <c r="AF181" i="2"/>
  <c r="AT183" i="2"/>
  <c r="AL183" i="2"/>
  <c r="BA183" i="2"/>
  <c r="AR183" i="2"/>
  <c r="AJ183" i="2"/>
  <c r="AN183" i="2"/>
  <c r="AF183" i="2"/>
  <c r="AT184" i="2"/>
  <c r="AL184" i="2"/>
  <c r="BA184" i="2"/>
  <c r="AR184" i="2"/>
  <c r="AJ184" i="2"/>
  <c r="AN184" i="2"/>
  <c r="AF184" i="2"/>
  <c r="AT185" i="2"/>
  <c r="AL185" i="2"/>
  <c r="BA185" i="2"/>
  <c r="AR185" i="2"/>
  <c r="AJ185" i="2"/>
  <c r="AN185" i="2"/>
  <c r="AF185" i="2"/>
  <c r="AR195" i="2"/>
  <c r="AJ195" i="2"/>
  <c r="AG195" i="2"/>
  <c r="AT195" i="2"/>
  <c r="AL195" i="2"/>
  <c r="AY212" i="2"/>
  <c r="AI212" i="2"/>
  <c r="AH212" i="2"/>
  <c r="AO212" i="2"/>
  <c r="AV212" i="2"/>
  <c r="AS212" i="2"/>
  <c r="AK212" i="2"/>
  <c r="AZ212" i="2"/>
  <c r="AM212" i="2"/>
  <c r="AU212" i="2"/>
  <c r="AT213" i="2"/>
  <c r="AL213" i="2"/>
  <c r="BA213" i="2"/>
  <c r="AR213" i="2"/>
  <c r="AJ213" i="2"/>
  <c r="AG213" i="2"/>
  <c r="AN213" i="2"/>
  <c r="AF213" i="2"/>
  <c r="AH215" i="2"/>
  <c r="AO215" i="2"/>
  <c r="AV215" i="2"/>
  <c r="AU215" i="2"/>
  <c r="AM215" i="2"/>
  <c r="AZ215" i="2"/>
  <c r="AY215" i="2"/>
  <c r="AK215" i="2"/>
  <c r="AI215" i="2"/>
  <c r="AG171" i="2"/>
  <c r="BA171" i="2"/>
  <c r="AG174" i="2"/>
  <c r="AG175" i="2"/>
  <c r="AG176" i="2"/>
  <c r="AG177" i="2"/>
  <c r="AG178" i="2"/>
  <c r="AG179" i="2"/>
  <c r="AG180" i="2"/>
  <c r="AG181" i="2"/>
  <c r="AG183" i="2"/>
  <c r="AG184" i="2"/>
  <c r="AG185" i="2"/>
  <c r="AR190" i="2"/>
  <c r="AJ190" i="2"/>
  <c r="AG190" i="2"/>
  <c r="AT190" i="2"/>
  <c r="AL190" i="2"/>
  <c r="AF195" i="2"/>
  <c r="BA195" i="2"/>
  <c r="AN221" i="2"/>
  <c r="BA221" i="2"/>
  <c r="AR221" i="2"/>
  <c r="AJ221" i="2"/>
  <c r="AR171" i="2"/>
  <c r="AR193" i="2"/>
  <c r="AJ193" i="2"/>
  <c r="AG193" i="2"/>
  <c r="AT193" i="2"/>
  <c r="AL193" i="2"/>
  <c r="AT200" i="2"/>
  <c r="AL200" i="2"/>
  <c r="BA200" i="2"/>
  <c r="AR200" i="2"/>
  <c r="AJ200" i="2"/>
  <c r="AN200" i="2"/>
  <c r="AF200" i="2"/>
  <c r="AG200" i="2"/>
  <c r="AY205" i="2"/>
  <c r="AI205" i="2"/>
  <c r="AH205" i="2"/>
  <c r="AO205" i="2"/>
  <c r="AV205" i="2"/>
  <c r="AS205" i="2"/>
  <c r="AK205" i="2"/>
  <c r="AZ205" i="2"/>
  <c r="AM205" i="2"/>
  <c r="AU205" i="2"/>
  <c r="AM170" i="2"/>
  <c r="AT172" i="2"/>
  <c r="AL172" i="2"/>
  <c r="AN172" i="2"/>
  <c r="AF172" i="2"/>
  <c r="AR188" i="2"/>
  <c r="AJ188" i="2"/>
  <c r="AG188" i="2"/>
  <c r="AT188" i="2"/>
  <c r="AL188" i="2"/>
  <c r="AF193" i="2"/>
  <c r="BA193" i="2"/>
  <c r="AR196" i="2"/>
  <c r="AJ196" i="2"/>
  <c r="BA196" i="2"/>
  <c r="AG196" i="2"/>
  <c r="AT196" i="2"/>
  <c r="AL196" i="2"/>
  <c r="AT197" i="2"/>
  <c r="AL197" i="2"/>
  <c r="AR197" i="2"/>
  <c r="AN197" i="2"/>
  <c r="AF197" i="2"/>
  <c r="BA197" i="2"/>
  <c r="AG197" i="2"/>
  <c r="AG210" i="2"/>
  <c r="AN210" i="2"/>
  <c r="AF210" i="2"/>
  <c r="BA210" i="2"/>
  <c r="AL210" i="2"/>
  <c r="AT210" i="2"/>
  <c r="AL221" i="2"/>
  <c r="AV185" i="2"/>
  <c r="AV186" i="2"/>
  <c r="AS187" i="2"/>
  <c r="AY196" i="2"/>
  <c r="AV196" i="2"/>
  <c r="AG205" i="2"/>
  <c r="AN205" i="2"/>
  <c r="AF205" i="2"/>
  <c r="BA205" i="2"/>
  <c r="AM206" i="2"/>
  <c r="AY210" i="2"/>
  <c r="AI210" i="2"/>
  <c r="AH210" i="2"/>
  <c r="AO210" i="2"/>
  <c r="AV210" i="2"/>
  <c r="AS210" i="2"/>
  <c r="AK210" i="2"/>
  <c r="AL211" i="2"/>
  <c r="AL214" i="2"/>
  <c r="AS216" i="2"/>
  <c r="AK216" i="2"/>
  <c r="AZ216" i="2"/>
  <c r="AY216" i="2"/>
  <c r="AV216" i="2"/>
  <c r="AT218" i="2"/>
  <c r="AL218" i="2"/>
  <c r="BA218" i="2"/>
  <c r="AR218" i="2"/>
  <c r="AJ218" i="2"/>
  <c r="AN218" i="2"/>
  <c r="AF218" i="2"/>
  <c r="AL223" i="2"/>
  <c r="BA223" i="2"/>
  <c r="AR223" i="2"/>
  <c r="AJ223" i="2"/>
  <c r="AU239" i="2"/>
  <c r="AM239" i="2"/>
  <c r="AS239" i="2"/>
  <c r="AK239" i="2"/>
  <c r="AZ239" i="2"/>
  <c r="AO239" i="2"/>
  <c r="AY204" i="2"/>
  <c r="AO204" i="2"/>
  <c r="AV204" i="2"/>
  <c r="AM204" i="2"/>
  <c r="AU204" i="2"/>
  <c r="AY209" i="2"/>
  <c r="AI209" i="2"/>
  <c r="AH209" i="2"/>
  <c r="AO209" i="2"/>
  <c r="AV209" i="2"/>
  <c r="AS209" i="2"/>
  <c r="AK209" i="2"/>
  <c r="AG212" i="2"/>
  <c r="AN212" i="2"/>
  <c r="AF212" i="2"/>
  <c r="BA212" i="2"/>
  <c r="AT217" i="2"/>
  <c r="AL217" i="2"/>
  <c r="BA217" i="2"/>
  <c r="AR217" i="2"/>
  <c r="AJ217" i="2"/>
  <c r="AN217" i="2"/>
  <c r="AF217" i="2"/>
  <c r="AG222" i="2"/>
  <c r="AN222" i="2"/>
  <c r="AF222" i="2"/>
  <c r="BA222" i="2"/>
  <c r="AT199" i="2"/>
  <c r="AL199" i="2"/>
  <c r="AR199" i="2"/>
  <c r="AJ199" i="2"/>
  <c r="AN199" i="2"/>
  <c r="AF199" i="2"/>
  <c r="AS203" i="2"/>
  <c r="AK203" i="2"/>
  <c r="AZ203" i="2"/>
  <c r="AY203" i="2"/>
  <c r="AI203" i="2"/>
  <c r="AH203" i="2"/>
  <c r="AU203" i="2"/>
  <c r="AM203" i="2"/>
  <c r="AY206" i="2"/>
  <c r="AI206" i="2"/>
  <c r="AH206" i="2"/>
  <c r="AO206" i="2"/>
  <c r="AV206" i="2"/>
  <c r="AS206" i="2"/>
  <c r="AK206" i="2"/>
  <c r="AG209" i="2"/>
  <c r="AN209" i="2"/>
  <c r="AF209" i="2"/>
  <c r="BA209" i="2"/>
  <c r="AU209" i="2"/>
  <c r="AJ212" i="2"/>
  <c r="AS230" i="2"/>
  <c r="AK230" i="2"/>
  <c r="AO230" i="2"/>
  <c r="AM230" i="2"/>
  <c r="AV230" i="2"/>
  <c r="AU230" i="2"/>
  <c r="AZ230" i="2"/>
  <c r="AY230" i="2"/>
  <c r="AS250" i="2"/>
  <c r="AK250" i="2"/>
  <c r="AZ250" i="2"/>
  <c r="AY250" i="2"/>
  <c r="AI250" i="2"/>
  <c r="AH250" i="2"/>
  <c r="AU250" i="2"/>
  <c r="AM250" i="2"/>
  <c r="AV250" i="2"/>
  <c r="AO250" i="2"/>
  <c r="AY187" i="2"/>
  <c r="AG199" i="2"/>
  <c r="AG206" i="2"/>
  <c r="AN206" i="2"/>
  <c r="AF206" i="2"/>
  <c r="BA206" i="2"/>
  <c r="AU206" i="2"/>
  <c r="AJ209" i="2"/>
  <c r="AY211" i="2"/>
  <c r="AI211" i="2"/>
  <c r="AH211" i="2"/>
  <c r="AO211" i="2"/>
  <c r="AV211" i="2"/>
  <c r="AS211" i="2"/>
  <c r="AK211" i="2"/>
  <c r="AL212" i="2"/>
  <c r="AT219" i="2"/>
  <c r="AL219" i="2"/>
  <c r="BA219" i="2"/>
  <c r="AR219" i="2"/>
  <c r="AJ219" i="2"/>
  <c r="AN219" i="2"/>
  <c r="AF219" i="2"/>
  <c r="AL222" i="2"/>
  <c r="BA230" i="2"/>
  <c r="AN230" i="2"/>
  <c r="AL230" i="2"/>
  <c r="AJ230" i="2"/>
  <c r="AU231" i="2"/>
  <c r="AM231" i="2"/>
  <c r="AS231" i="2"/>
  <c r="AK231" i="2"/>
  <c r="AO231" i="2"/>
  <c r="AI231" i="2"/>
  <c r="AV231" i="2"/>
  <c r="AH231" i="2"/>
  <c r="AZ231" i="2"/>
  <c r="AG237" i="2"/>
  <c r="AN237" i="2"/>
  <c r="AF237" i="2"/>
  <c r="BA237" i="2"/>
  <c r="AL237" i="2"/>
  <c r="AT237" i="2"/>
  <c r="AS259" i="2"/>
  <c r="AK259" i="2"/>
  <c r="AZ259" i="2"/>
  <c r="AY259" i="2"/>
  <c r="AI259" i="2"/>
  <c r="AH259" i="2"/>
  <c r="AU259" i="2"/>
  <c r="AM259" i="2"/>
  <c r="AV259" i="2"/>
  <c r="AO259" i="2"/>
  <c r="AT198" i="2"/>
  <c r="AL198" i="2"/>
  <c r="AR198" i="2"/>
  <c r="AJ198" i="2"/>
  <c r="AN198" i="2"/>
  <c r="AF198" i="2"/>
  <c r="AZ204" i="2"/>
  <c r="AY208" i="2"/>
  <c r="AI208" i="2"/>
  <c r="AH208" i="2"/>
  <c r="AO208" i="2"/>
  <c r="AV208" i="2"/>
  <c r="AS208" i="2"/>
  <c r="AK208" i="2"/>
  <c r="AL209" i="2"/>
  <c r="AG211" i="2"/>
  <c r="AN211" i="2"/>
  <c r="AF211" i="2"/>
  <c r="BA211" i="2"/>
  <c r="AN214" i="2"/>
  <c r="AR214" i="2"/>
  <c r="AJ214" i="2"/>
  <c r="AJ237" i="2"/>
  <c r="AV197" i="2"/>
  <c r="AV198" i="2"/>
  <c r="AV199" i="2"/>
  <c r="AV200" i="2"/>
  <c r="AV201" i="2"/>
  <c r="AR204" i="2"/>
  <c r="AZ214" i="2"/>
  <c r="AJ215" i="2"/>
  <c r="AR215" i="2"/>
  <c r="AN216" i="2"/>
  <c r="AV217" i="2"/>
  <c r="AV218" i="2"/>
  <c r="AV219" i="2"/>
  <c r="AV220" i="2"/>
  <c r="AH224" i="2"/>
  <c r="AY237" i="2"/>
  <c r="AI237" i="2"/>
  <c r="AH237" i="2"/>
  <c r="AO237" i="2"/>
  <c r="AV237" i="2"/>
  <c r="AS237" i="2"/>
  <c r="AK237" i="2"/>
  <c r="AS247" i="2"/>
  <c r="AK247" i="2"/>
  <c r="AZ247" i="2"/>
  <c r="AY247" i="2"/>
  <c r="AI247" i="2"/>
  <c r="AH247" i="2"/>
  <c r="AU247" i="2"/>
  <c r="AM247" i="2"/>
  <c r="AV248" i="2"/>
  <c r="AS251" i="2"/>
  <c r="AK251" i="2"/>
  <c r="AZ251" i="2"/>
  <c r="AY251" i="2"/>
  <c r="AI251" i="2"/>
  <c r="AH251" i="2"/>
  <c r="AU251" i="2"/>
  <c r="AM251" i="2"/>
  <c r="AV252" i="2"/>
  <c r="AS260" i="2"/>
  <c r="AK260" i="2"/>
  <c r="AZ260" i="2"/>
  <c r="AY260" i="2"/>
  <c r="AI260" i="2"/>
  <c r="AH260" i="2"/>
  <c r="AU260" i="2"/>
  <c r="AM260" i="2"/>
  <c r="AI197" i="2"/>
  <c r="AY197" i="2"/>
  <c r="AI198" i="2"/>
  <c r="AY198" i="2"/>
  <c r="AI199" i="2"/>
  <c r="AY199" i="2"/>
  <c r="AI200" i="2"/>
  <c r="AY200" i="2"/>
  <c r="AI201" i="2"/>
  <c r="AY201" i="2"/>
  <c r="AM214" i="2"/>
  <c r="AU214" i="2"/>
  <c r="AI217" i="2"/>
  <c r="AY217" i="2"/>
  <c r="AI218" i="2"/>
  <c r="AY218" i="2"/>
  <c r="AI219" i="2"/>
  <c r="AY219" i="2"/>
  <c r="AI220" i="2"/>
  <c r="AY220" i="2"/>
  <c r="AM221" i="2"/>
  <c r="AV221" i="2"/>
  <c r="AK224" i="2"/>
  <c r="AS224" i="2"/>
  <c r="BA224" i="2"/>
  <c r="AK225" i="2"/>
  <c r="AS225" i="2"/>
  <c r="BA225" i="2"/>
  <c r="AK226" i="2"/>
  <c r="AS226" i="2"/>
  <c r="BA226" i="2"/>
  <c r="AK227" i="2"/>
  <c r="AS227" i="2"/>
  <c r="AO228" i="2"/>
  <c r="AS228" i="2"/>
  <c r="AK228" i="2"/>
  <c r="AY236" i="2"/>
  <c r="AI236" i="2"/>
  <c r="AH236" i="2"/>
  <c r="AO236" i="2"/>
  <c r="AV236" i="2"/>
  <c r="AS236" i="2"/>
  <c r="AK236" i="2"/>
  <c r="AT239" i="2"/>
  <c r="AL239" i="2"/>
  <c r="BA239" i="2"/>
  <c r="AR239" i="2"/>
  <c r="AJ239" i="2"/>
  <c r="AF215" i="2"/>
  <c r="AJ216" i="2"/>
  <c r="AR216" i="2"/>
  <c r="AL224" i="2"/>
  <c r="AT224" i="2"/>
  <c r="AL225" i="2"/>
  <c r="AT225" i="2"/>
  <c r="AL226" i="2"/>
  <c r="AT226" i="2"/>
  <c r="AL227" i="2"/>
  <c r="AT227" i="2"/>
  <c r="AG228" i="2"/>
  <c r="BA228" i="2"/>
  <c r="AY228" i="2"/>
  <c r="AG236" i="2"/>
  <c r="AN236" i="2"/>
  <c r="AF236" i="2"/>
  <c r="BA236" i="2"/>
  <c r="AU236" i="2"/>
  <c r="AM237" i="2"/>
  <c r="AZ237" i="2"/>
  <c r="AN239" i="2"/>
  <c r="AS249" i="2"/>
  <c r="AK249" i="2"/>
  <c r="AZ249" i="2"/>
  <c r="AY249" i="2"/>
  <c r="AI249" i="2"/>
  <c r="AH249" i="2"/>
  <c r="AU249" i="2"/>
  <c r="AM249" i="2"/>
  <c r="AS253" i="2"/>
  <c r="AK253" i="2"/>
  <c r="AZ253" i="2"/>
  <c r="AY253" i="2"/>
  <c r="AI253" i="2"/>
  <c r="AH253" i="2"/>
  <c r="AU253" i="2"/>
  <c r="AM253" i="2"/>
  <c r="AS258" i="2"/>
  <c r="AK258" i="2"/>
  <c r="AZ258" i="2"/>
  <c r="AY258" i="2"/>
  <c r="AI258" i="2"/>
  <c r="AH258" i="2"/>
  <c r="AU258" i="2"/>
  <c r="AM258" i="2"/>
  <c r="AY238" i="2"/>
  <c r="AI238" i="2"/>
  <c r="AH238" i="2"/>
  <c r="AO238" i="2"/>
  <c r="AV238" i="2"/>
  <c r="AS238" i="2"/>
  <c r="AK238" i="2"/>
  <c r="AL216" i="2"/>
  <c r="AF224" i="2"/>
  <c r="AF225" i="2"/>
  <c r="AF226" i="2"/>
  <c r="AF227" i="2"/>
  <c r="AN227" i="2"/>
  <c r="AH228" i="2"/>
  <c r="AR228" i="2"/>
  <c r="AO229" i="2"/>
  <c r="AS229" i="2"/>
  <c r="AK229" i="2"/>
  <c r="AY235" i="2"/>
  <c r="AI235" i="2"/>
  <c r="AH235" i="2"/>
  <c r="AO235" i="2"/>
  <c r="AV235" i="2"/>
  <c r="AS235" i="2"/>
  <c r="AK235" i="2"/>
  <c r="AG238" i="2"/>
  <c r="AN238" i="2"/>
  <c r="AF238" i="2"/>
  <c r="BA238" i="2"/>
  <c r="AU238" i="2"/>
  <c r="AO247" i="2"/>
  <c r="AS248" i="2"/>
  <c r="AK248" i="2"/>
  <c r="AZ248" i="2"/>
  <c r="AY248" i="2"/>
  <c r="AI248" i="2"/>
  <c r="AH248" i="2"/>
  <c r="AU248" i="2"/>
  <c r="AM248" i="2"/>
  <c r="AO251" i="2"/>
  <c r="AS252" i="2"/>
  <c r="AK252" i="2"/>
  <c r="AZ252" i="2"/>
  <c r="AY252" i="2"/>
  <c r="AI252" i="2"/>
  <c r="AH252" i="2"/>
  <c r="AU252" i="2"/>
  <c r="AM252" i="2"/>
  <c r="AO261" i="2"/>
  <c r="AV261" i="2"/>
  <c r="AU261" i="2"/>
  <c r="AM261" i="2"/>
  <c r="AY261" i="2"/>
  <c r="AS261" i="2"/>
  <c r="AG231" i="2"/>
  <c r="AG232" i="2"/>
  <c r="AO232" i="2"/>
  <c r="AG233" i="2"/>
  <c r="AO233" i="2"/>
  <c r="AK234" i="2"/>
  <c r="AS234" i="2"/>
  <c r="AG240" i="2"/>
  <c r="AO240" i="2"/>
  <c r="AG241" i="2"/>
  <c r="AO241" i="2"/>
  <c r="AG242" i="2"/>
  <c r="AO242" i="2"/>
  <c r="AH243" i="2"/>
  <c r="AI245" i="2"/>
  <c r="AY245" i="2"/>
  <c r="AM246" i="2"/>
  <c r="AU246" i="2"/>
  <c r="AI255" i="2"/>
  <c r="AY255" i="2"/>
  <c r="AI256" i="2"/>
  <c r="AY256" i="2"/>
  <c r="AM257" i="2"/>
  <c r="AU257" i="2"/>
  <c r="AI262" i="2"/>
  <c r="AY262" i="2"/>
  <c r="AI263" i="2"/>
  <c r="AY263" i="2"/>
  <c r="AI264" i="2"/>
  <c r="AY264" i="2"/>
  <c r="AI265" i="2"/>
  <c r="AY265" i="2"/>
  <c r="AI266" i="2"/>
  <c r="AY266" i="2"/>
  <c r="AM267" i="2"/>
  <c r="AU267" i="2"/>
  <c r="BA231" i="2"/>
  <c r="AK232" i="2"/>
  <c r="AS232" i="2"/>
  <c r="BA232" i="2"/>
  <c r="AK233" i="2"/>
  <c r="AS233" i="2"/>
  <c r="BA233" i="2"/>
  <c r="AO234" i="2"/>
  <c r="AK240" i="2"/>
  <c r="AS240" i="2"/>
  <c r="BA240" i="2"/>
  <c r="AK241" i="2"/>
  <c r="AS241" i="2"/>
  <c r="BA241" i="2"/>
  <c r="AK242" i="2"/>
  <c r="AS242" i="2"/>
  <c r="BA242" i="2"/>
  <c r="AL243" i="2"/>
  <c r="AT243" i="2"/>
  <c r="AL244" i="2"/>
  <c r="AT244" i="2"/>
  <c r="AM245" i="2"/>
  <c r="AU245" i="2"/>
  <c r="AY246" i="2"/>
  <c r="AM255" i="2"/>
  <c r="AU255" i="2"/>
  <c r="AM256" i="2"/>
  <c r="AU256" i="2"/>
  <c r="AY257" i="2"/>
  <c r="AM262" i="2"/>
  <c r="AU262" i="2"/>
  <c r="AM263" i="2"/>
  <c r="AU263" i="2"/>
  <c r="AM264" i="2"/>
  <c r="AU264" i="2"/>
  <c r="AM265" i="2"/>
  <c r="AU265" i="2"/>
  <c r="AM266" i="2"/>
  <c r="AU266" i="2"/>
  <c r="AY267" i="2"/>
  <c r="AL232" i="2"/>
  <c r="AL233" i="2"/>
  <c r="AL240" i="2"/>
  <c r="AL241" i="2"/>
  <c r="AL242" i="2"/>
  <c r="AM243" i="2"/>
  <c r="AU243" i="2"/>
  <c r="AN245" i="2"/>
  <c r="AJ246" i="2"/>
  <c r="AZ246" i="2"/>
  <c r="AJ247" i="2"/>
  <c r="AJ248" i="2"/>
  <c r="AJ249" i="2"/>
  <c r="AJ250" i="2"/>
  <c r="AJ251" i="2"/>
  <c r="AJ252" i="2"/>
  <c r="AJ253" i="2"/>
  <c r="AF255" i="2"/>
  <c r="AV255" i="2"/>
  <c r="AF256" i="2"/>
  <c r="AV256" i="2"/>
  <c r="AJ257" i="2"/>
  <c r="AZ257" i="2"/>
  <c r="AJ258" i="2"/>
  <c r="AJ259" i="2"/>
  <c r="AJ260" i="2"/>
  <c r="AF262" i="2"/>
  <c r="AV262" i="2"/>
  <c r="AF263" i="2"/>
  <c r="AV263" i="2"/>
  <c r="AF264" i="2"/>
  <c r="AV264" i="2"/>
  <c r="AF265" i="2"/>
  <c r="AV265" i="2"/>
  <c r="AF266" i="2"/>
  <c r="AV266" i="2"/>
  <c r="AJ267" i="2"/>
  <c r="AR267" i="2"/>
  <c r="AZ267" i="2"/>
  <c r="AM232" i="2"/>
  <c r="AM233" i="2"/>
  <c r="AM240" i="2"/>
  <c r="AM241" i="2"/>
  <c r="AM242" i="2"/>
  <c r="AF244" i="2"/>
  <c r="AK246" i="2"/>
  <c r="AK257" i="2"/>
  <c r="AK267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AD14" i="1" l="1"/>
  <c r="AE2" i="1" l="1"/>
  <c r="AD2" i="1"/>
  <c r="AJ3" i="1"/>
  <c r="AJ4" i="1"/>
  <c r="AJ5" i="1"/>
  <c r="AJ6" i="1"/>
  <c r="AJ7" i="1"/>
  <c r="AJ8" i="1"/>
  <c r="AJ9" i="1"/>
  <c r="AJ10" i="1"/>
  <c r="AJ11" i="1"/>
  <c r="AJ12" i="1"/>
  <c r="AJ13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8" i="1"/>
  <c r="AJ29" i="1"/>
  <c r="AJ30" i="1"/>
  <c r="AJ31" i="1"/>
  <c r="AJ32" i="1"/>
  <c r="AJ33" i="1"/>
  <c r="AJ34" i="1"/>
  <c r="AJ35" i="1"/>
  <c r="AJ36" i="1"/>
  <c r="AJ39" i="1"/>
  <c r="AJ40" i="1"/>
  <c r="AJ41" i="1"/>
  <c r="AJ42" i="1"/>
  <c r="AJ43" i="1"/>
  <c r="AJ44" i="1"/>
  <c r="AJ45" i="1"/>
  <c r="AJ46" i="1"/>
  <c r="AJ47" i="1"/>
  <c r="AJ48" i="1"/>
  <c r="AJ50" i="1"/>
  <c r="AJ51" i="1"/>
  <c r="AJ52" i="1"/>
  <c r="AJ53" i="1"/>
  <c r="AJ54" i="1"/>
  <c r="AJ55" i="1"/>
  <c r="AJ56" i="1"/>
  <c r="AJ57" i="1"/>
  <c r="AJ58" i="1"/>
  <c r="AJ65" i="1"/>
  <c r="AJ66" i="1"/>
  <c r="AJ67" i="1"/>
  <c r="AJ71" i="1"/>
  <c r="AJ72" i="1"/>
  <c r="AJ73" i="1"/>
  <c r="AJ74" i="1"/>
  <c r="AJ76" i="1"/>
  <c r="AJ77" i="1"/>
  <c r="AJ78" i="1"/>
  <c r="AJ79" i="1"/>
  <c r="AJ80" i="1"/>
  <c r="AJ81" i="1"/>
  <c r="AJ82" i="1"/>
  <c r="AJ83" i="1"/>
  <c r="AJ84" i="1"/>
  <c r="AJ85" i="1"/>
  <c r="AJ86" i="1"/>
  <c r="AJ88" i="1"/>
  <c r="AJ89" i="1"/>
  <c r="AJ90" i="1"/>
  <c r="AJ91" i="1"/>
  <c r="AJ92" i="1"/>
  <c r="AJ93" i="1"/>
  <c r="AJ94" i="1"/>
  <c r="AJ95" i="1"/>
  <c r="AJ96" i="1"/>
  <c r="AJ103" i="1"/>
  <c r="AJ104" i="1"/>
  <c r="AJ105" i="1"/>
  <c r="AJ109" i="1"/>
  <c r="AJ110" i="1"/>
  <c r="AJ111" i="1"/>
  <c r="AJ112" i="1"/>
  <c r="AJ115" i="1"/>
  <c r="AJ116" i="1"/>
  <c r="AJ117" i="1"/>
  <c r="AJ118" i="1"/>
  <c r="AJ119" i="1"/>
  <c r="AJ120" i="1"/>
  <c r="AJ121" i="1"/>
  <c r="AJ122" i="1"/>
  <c r="AJ123" i="1"/>
  <c r="AJ124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50" i="1"/>
  <c r="AJ153" i="1"/>
  <c r="AJ154" i="1"/>
  <c r="AJ155" i="1"/>
  <c r="AJ156" i="1"/>
  <c r="AJ157" i="1"/>
  <c r="AJ158" i="1"/>
  <c r="AJ159" i="1"/>
  <c r="AJ160" i="1"/>
  <c r="AJ161" i="1"/>
  <c r="AJ162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5" i="1"/>
  <c r="AJ186" i="1"/>
  <c r="AJ188" i="1"/>
  <c r="AJ190" i="1"/>
  <c r="AJ191" i="1"/>
  <c r="AJ193" i="1"/>
  <c r="AJ194" i="1"/>
  <c r="AJ195" i="1"/>
  <c r="AJ198" i="1"/>
  <c r="AJ200" i="1"/>
  <c r="AJ202" i="1"/>
  <c r="AJ203" i="1"/>
  <c r="AJ205" i="1"/>
  <c r="AJ206" i="1"/>
  <c r="AJ207" i="1"/>
  <c r="AJ208" i="1"/>
  <c r="AJ210" i="1"/>
  <c r="AJ211" i="1"/>
  <c r="AJ212" i="1"/>
  <c r="AJ213" i="1"/>
  <c r="AJ218" i="1"/>
  <c r="AJ219" i="1"/>
  <c r="AJ224" i="1"/>
  <c r="AJ225" i="1"/>
  <c r="AJ226" i="1"/>
  <c r="AJ228" i="1"/>
  <c r="AJ229" i="1"/>
  <c r="AJ232" i="1"/>
  <c r="AJ238" i="1"/>
  <c r="AJ240" i="1"/>
  <c r="AJ241" i="1"/>
  <c r="AJ242" i="1"/>
  <c r="AJ244" i="1"/>
  <c r="AJ247" i="1"/>
  <c r="AJ248" i="1"/>
  <c r="AJ249" i="1"/>
  <c r="AJ250" i="1"/>
  <c r="AJ251" i="1"/>
  <c r="AJ252" i="1"/>
  <c r="AJ253" i="1"/>
  <c r="AJ255" i="1"/>
  <c r="AJ256" i="1"/>
  <c r="AJ259" i="1"/>
  <c r="AJ262" i="1"/>
  <c r="AJ264" i="1"/>
  <c r="AJ266" i="1"/>
  <c r="AJ2" i="1"/>
  <c r="AI3" i="1"/>
  <c r="AI4" i="1"/>
  <c r="AI5" i="1"/>
  <c r="AI6" i="1"/>
  <c r="AI7" i="1"/>
  <c r="AI8" i="1"/>
  <c r="AI9" i="1"/>
  <c r="AI10" i="1"/>
  <c r="AI11" i="1"/>
  <c r="AI12" i="1"/>
  <c r="AI13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8" i="1"/>
  <c r="AI29" i="1"/>
  <c r="AI30" i="1"/>
  <c r="AI31" i="1"/>
  <c r="AI32" i="1"/>
  <c r="AI33" i="1"/>
  <c r="AI34" i="1"/>
  <c r="AI35" i="1"/>
  <c r="AI36" i="1"/>
  <c r="AI39" i="1"/>
  <c r="AI40" i="1"/>
  <c r="AI41" i="1"/>
  <c r="AI42" i="1"/>
  <c r="AI43" i="1"/>
  <c r="AI44" i="1"/>
  <c r="AI45" i="1"/>
  <c r="AI46" i="1"/>
  <c r="AI47" i="1"/>
  <c r="AI48" i="1"/>
  <c r="AI50" i="1"/>
  <c r="AI51" i="1"/>
  <c r="AI52" i="1"/>
  <c r="AI53" i="1"/>
  <c r="AI54" i="1"/>
  <c r="AI55" i="1"/>
  <c r="AI56" i="1"/>
  <c r="AI57" i="1"/>
  <c r="AI58" i="1"/>
  <c r="AI65" i="1"/>
  <c r="AI66" i="1"/>
  <c r="AI67" i="1"/>
  <c r="AI71" i="1"/>
  <c r="AI72" i="1"/>
  <c r="AI73" i="1"/>
  <c r="AI74" i="1"/>
  <c r="AI76" i="1"/>
  <c r="AI77" i="1"/>
  <c r="AI78" i="1"/>
  <c r="AI79" i="1"/>
  <c r="AI80" i="1"/>
  <c r="AI81" i="1"/>
  <c r="AI82" i="1"/>
  <c r="AI83" i="1"/>
  <c r="AI84" i="1"/>
  <c r="AI85" i="1"/>
  <c r="AI86" i="1"/>
  <c r="AI88" i="1"/>
  <c r="AI89" i="1"/>
  <c r="AI90" i="1"/>
  <c r="AI91" i="1"/>
  <c r="AI92" i="1"/>
  <c r="AI93" i="1"/>
  <c r="AI94" i="1"/>
  <c r="AI95" i="1"/>
  <c r="AI96" i="1"/>
  <c r="AI103" i="1"/>
  <c r="AI104" i="1"/>
  <c r="AI105" i="1"/>
  <c r="AI109" i="1"/>
  <c r="AI110" i="1"/>
  <c r="AI111" i="1"/>
  <c r="AI112" i="1"/>
  <c r="AI115" i="1"/>
  <c r="AI116" i="1"/>
  <c r="AI117" i="1"/>
  <c r="AI118" i="1"/>
  <c r="AI119" i="1"/>
  <c r="AI120" i="1"/>
  <c r="AI121" i="1"/>
  <c r="AI122" i="1"/>
  <c r="AI123" i="1"/>
  <c r="AI124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50" i="1"/>
  <c r="AI153" i="1"/>
  <c r="AI154" i="1"/>
  <c r="AI155" i="1"/>
  <c r="AI156" i="1"/>
  <c r="AI157" i="1"/>
  <c r="AI158" i="1"/>
  <c r="AI159" i="1"/>
  <c r="AI160" i="1"/>
  <c r="AI161" i="1"/>
  <c r="AI162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5" i="1"/>
  <c r="AI186" i="1"/>
  <c r="AI188" i="1"/>
  <c r="AI190" i="1"/>
  <c r="AI191" i="1"/>
  <c r="AI193" i="1"/>
  <c r="AI194" i="1"/>
  <c r="AI195" i="1"/>
  <c r="AI198" i="1"/>
  <c r="AI200" i="1"/>
  <c r="AI202" i="1"/>
  <c r="AI203" i="1"/>
  <c r="AI205" i="1"/>
  <c r="AI206" i="1"/>
  <c r="AI207" i="1"/>
  <c r="AI208" i="1"/>
  <c r="AI210" i="1"/>
  <c r="AI211" i="1"/>
  <c r="AI212" i="1"/>
  <c r="AI213" i="1"/>
  <c r="AI218" i="1"/>
  <c r="AI219" i="1"/>
  <c r="AI224" i="1"/>
  <c r="AI225" i="1"/>
  <c r="AI226" i="1"/>
  <c r="AI228" i="1"/>
  <c r="AI229" i="1"/>
  <c r="AI232" i="1"/>
  <c r="AI238" i="1"/>
  <c r="AI240" i="1"/>
  <c r="AI241" i="1"/>
  <c r="AI242" i="1"/>
  <c r="AI244" i="1"/>
  <c r="AI247" i="1"/>
  <c r="AI248" i="1"/>
  <c r="AI249" i="1"/>
  <c r="AI250" i="1"/>
  <c r="AI251" i="1"/>
  <c r="AI252" i="1"/>
  <c r="AI253" i="1"/>
  <c r="AI255" i="1"/>
  <c r="AI256" i="1"/>
  <c r="AI259" i="1"/>
  <c r="AI262" i="1"/>
  <c r="AI264" i="1"/>
  <c r="AI266" i="1"/>
  <c r="AI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65" i="1"/>
  <c r="AH66" i="1"/>
  <c r="AH67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103" i="1"/>
  <c r="AH104" i="1"/>
  <c r="AH105" i="1"/>
  <c r="AH109" i="1"/>
  <c r="AH110" i="1"/>
  <c r="AH111" i="1"/>
  <c r="AH112" i="1"/>
  <c r="AH113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5" i="1"/>
  <c r="AH206" i="1"/>
  <c r="AH207" i="1"/>
  <c r="AH208" i="1"/>
  <c r="AH209" i="1"/>
  <c r="AH210" i="1"/>
  <c r="AH211" i="1"/>
  <c r="AH212" i="1"/>
  <c r="AH213" i="1"/>
  <c r="AH215" i="1"/>
  <c r="AH217" i="1"/>
  <c r="AH218" i="1"/>
  <c r="AH219" i="1"/>
  <c r="AH220" i="1"/>
  <c r="AH222" i="1"/>
  <c r="AH224" i="1"/>
  <c r="AH225" i="1"/>
  <c r="AH226" i="1"/>
  <c r="AH227" i="1"/>
  <c r="AH228" i="1"/>
  <c r="AH229" i="1"/>
  <c r="AH231" i="1"/>
  <c r="AH232" i="1"/>
  <c r="AH233" i="1"/>
  <c r="AH235" i="1"/>
  <c r="AH236" i="1"/>
  <c r="AH237" i="1"/>
  <c r="AH238" i="1"/>
  <c r="AH240" i="1"/>
  <c r="AH241" i="1"/>
  <c r="AH242" i="1"/>
  <c r="AH243" i="1"/>
  <c r="AH244" i="1"/>
  <c r="AH245" i="1"/>
  <c r="AH247" i="1"/>
  <c r="AH248" i="1"/>
  <c r="AH249" i="1"/>
  <c r="AH250" i="1"/>
  <c r="AH251" i="1"/>
  <c r="AH252" i="1"/>
  <c r="AH253" i="1"/>
  <c r="AH255" i="1"/>
  <c r="AH256" i="1"/>
  <c r="AH258" i="1"/>
  <c r="AH259" i="1"/>
  <c r="AH260" i="1"/>
  <c r="AH262" i="1"/>
  <c r="AH263" i="1"/>
  <c r="AH264" i="1"/>
  <c r="AH265" i="1"/>
  <c r="AH266" i="1"/>
  <c r="AH2" i="1"/>
  <c r="AF3" i="1"/>
  <c r="AG3" i="1"/>
  <c r="AF4" i="1"/>
  <c r="AG4" i="1"/>
  <c r="AF5" i="1"/>
  <c r="AG5" i="1"/>
  <c r="AF6" i="1"/>
  <c r="AG6" i="1"/>
  <c r="AF7" i="1"/>
  <c r="AG7" i="1"/>
  <c r="AF8" i="1"/>
  <c r="AG8" i="1"/>
  <c r="AF9" i="1"/>
  <c r="AG9" i="1"/>
  <c r="AF10" i="1"/>
  <c r="AG10" i="1"/>
  <c r="AF11" i="1"/>
  <c r="AG11" i="1"/>
  <c r="AF12" i="1"/>
  <c r="AG12" i="1"/>
  <c r="AF13" i="1"/>
  <c r="AF14" i="1"/>
  <c r="AG14" i="1"/>
  <c r="AF15" i="1"/>
  <c r="AF16" i="1"/>
  <c r="AG16" i="1"/>
  <c r="AF17" i="1"/>
  <c r="AG17" i="1"/>
  <c r="AF18" i="1"/>
  <c r="AF19" i="1"/>
  <c r="AG19" i="1"/>
  <c r="AF20" i="1"/>
  <c r="AG20" i="1"/>
  <c r="AF21" i="1"/>
  <c r="AG21" i="1"/>
  <c r="AF22" i="1"/>
  <c r="AG22" i="1"/>
  <c r="AF23" i="1"/>
  <c r="AG23" i="1"/>
  <c r="AF24" i="1"/>
  <c r="AG24" i="1"/>
  <c r="AF25" i="1"/>
  <c r="AG25" i="1"/>
  <c r="AF26" i="1"/>
  <c r="AG26" i="1"/>
  <c r="AF27" i="1"/>
  <c r="AG27" i="1"/>
  <c r="AF28" i="1"/>
  <c r="AG28" i="1"/>
  <c r="AF29" i="1"/>
  <c r="AG29" i="1"/>
  <c r="AF30" i="1"/>
  <c r="AG30" i="1"/>
  <c r="AF31" i="1"/>
  <c r="AG31" i="1"/>
  <c r="AF32" i="1"/>
  <c r="AG32" i="1"/>
  <c r="AF33" i="1"/>
  <c r="AG33" i="1"/>
  <c r="AF34" i="1"/>
  <c r="AG34" i="1"/>
  <c r="AF35" i="1"/>
  <c r="AG35" i="1"/>
  <c r="AF36" i="1"/>
  <c r="AF37" i="1"/>
  <c r="AG37" i="1"/>
  <c r="AF38" i="1"/>
  <c r="AG38" i="1"/>
  <c r="AF39" i="1"/>
  <c r="AG39" i="1"/>
  <c r="AF40" i="1"/>
  <c r="AG40" i="1"/>
  <c r="AF41" i="1"/>
  <c r="AG41" i="1"/>
  <c r="AF42" i="1"/>
  <c r="AG42" i="1"/>
  <c r="AF43" i="1"/>
  <c r="AG43" i="1"/>
  <c r="AF44" i="1"/>
  <c r="AG44" i="1"/>
  <c r="AF45" i="1"/>
  <c r="AG45" i="1"/>
  <c r="AF46" i="1"/>
  <c r="AG46" i="1"/>
  <c r="AF47" i="1"/>
  <c r="AG47" i="1"/>
  <c r="AF48" i="1"/>
  <c r="AG48" i="1"/>
  <c r="AF49" i="1"/>
  <c r="AG49" i="1"/>
  <c r="AF50" i="1"/>
  <c r="AG50" i="1"/>
  <c r="AF51" i="1"/>
  <c r="AG51" i="1"/>
  <c r="AF52" i="1"/>
  <c r="AG52" i="1"/>
  <c r="AF53" i="1"/>
  <c r="AG53" i="1"/>
  <c r="AF54" i="1"/>
  <c r="AG54" i="1"/>
  <c r="AF55" i="1"/>
  <c r="AG55" i="1"/>
  <c r="AF56" i="1"/>
  <c r="AG56" i="1"/>
  <c r="AF57" i="1"/>
  <c r="AG57" i="1"/>
  <c r="AF58" i="1"/>
  <c r="AG58" i="1"/>
  <c r="AF65" i="1"/>
  <c r="AG65" i="1"/>
  <c r="AF66" i="1"/>
  <c r="AG66" i="1"/>
  <c r="AF67" i="1"/>
  <c r="AG67" i="1"/>
  <c r="AF71" i="1"/>
  <c r="AG71" i="1"/>
  <c r="AF72" i="1"/>
  <c r="AG72" i="1"/>
  <c r="AF73" i="1"/>
  <c r="AG73" i="1"/>
  <c r="AF74" i="1"/>
  <c r="AG74" i="1"/>
  <c r="AF75" i="1"/>
  <c r="AG75" i="1"/>
  <c r="AF76" i="1"/>
  <c r="AG76" i="1"/>
  <c r="AF77" i="1"/>
  <c r="AG77" i="1"/>
  <c r="AF78" i="1"/>
  <c r="AG78" i="1"/>
  <c r="AF79" i="1"/>
  <c r="AG79" i="1"/>
  <c r="AF80" i="1"/>
  <c r="AG80" i="1"/>
  <c r="AF81" i="1"/>
  <c r="AG81" i="1"/>
  <c r="AF82" i="1"/>
  <c r="AG82" i="1"/>
  <c r="AF83" i="1"/>
  <c r="AG83" i="1"/>
  <c r="AF84" i="1"/>
  <c r="AG84" i="1"/>
  <c r="AF85" i="1"/>
  <c r="AG85" i="1"/>
  <c r="AF86" i="1"/>
  <c r="AG86" i="1"/>
  <c r="AF87" i="1"/>
  <c r="AG87" i="1"/>
  <c r="AF88" i="1"/>
  <c r="AG88" i="1"/>
  <c r="AF89" i="1"/>
  <c r="AG89" i="1"/>
  <c r="AF90" i="1"/>
  <c r="AG90" i="1"/>
  <c r="AF91" i="1"/>
  <c r="AG91" i="1"/>
  <c r="AF92" i="1"/>
  <c r="AG92" i="1"/>
  <c r="AF93" i="1"/>
  <c r="AG93" i="1"/>
  <c r="AF94" i="1"/>
  <c r="AG94" i="1"/>
  <c r="AF95" i="1"/>
  <c r="AG95" i="1"/>
  <c r="AF96" i="1"/>
  <c r="AG96" i="1"/>
  <c r="AF103" i="1"/>
  <c r="AG103" i="1"/>
  <c r="AF104" i="1"/>
  <c r="AG104" i="1"/>
  <c r="AF105" i="1"/>
  <c r="AF109" i="1"/>
  <c r="AG109" i="1"/>
  <c r="AF110" i="1"/>
  <c r="AG110" i="1"/>
  <c r="AF111" i="1"/>
  <c r="AG111" i="1"/>
  <c r="AF112" i="1"/>
  <c r="AG112" i="1"/>
  <c r="AF113" i="1"/>
  <c r="AG113" i="1"/>
  <c r="AF115" i="1"/>
  <c r="AG115" i="1"/>
  <c r="AF116" i="1"/>
  <c r="AG116" i="1"/>
  <c r="AF117" i="1"/>
  <c r="AG117" i="1"/>
  <c r="AF118" i="1"/>
  <c r="AG118" i="1"/>
  <c r="AF119" i="1"/>
  <c r="AG119" i="1"/>
  <c r="AF120" i="1"/>
  <c r="AG120" i="1"/>
  <c r="AF121" i="1"/>
  <c r="AG121" i="1"/>
  <c r="AF122" i="1"/>
  <c r="AG122" i="1"/>
  <c r="AF123" i="1"/>
  <c r="AG123" i="1"/>
  <c r="AF124" i="1"/>
  <c r="AG124" i="1"/>
  <c r="AF125" i="1"/>
  <c r="AG125" i="1"/>
  <c r="AF126" i="1"/>
  <c r="AG126" i="1"/>
  <c r="AF127" i="1"/>
  <c r="AG127" i="1"/>
  <c r="AF128" i="1"/>
  <c r="AG128" i="1"/>
  <c r="AF129" i="1"/>
  <c r="AG129" i="1"/>
  <c r="AF130" i="1"/>
  <c r="AG130" i="1"/>
  <c r="AF131" i="1"/>
  <c r="AG131" i="1"/>
  <c r="AF132" i="1"/>
  <c r="AG132" i="1"/>
  <c r="AF133" i="1"/>
  <c r="AG133" i="1"/>
  <c r="AF134" i="1"/>
  <c r="AG134" i="1"/>
  <c r="AF135" i="1"/>
  <c r="AG135" i="1"/>
  <c r="AF136" i="1"/>
  <c r="AG136" i="1"/>
  <c r="AF137" i="1"/>
  <c r="AG137" i="1"/>
  <c r="AF138" i="1"/>
  <c r="AG138" i="1"/>
  <c r="AF139" i="1"/>
  <c r="AG139" i="1"/>
  <c r="AF140" i="1"/>
  <c r="AG140" i="1"/>
  <c r="AF141" i="1"/>
  <c r="AG141" i="1"/>
  <c r="AF142" i="1"/>
  <c r="AG142" i="1"/>
  <c r="AF143" i="1"/>
  <c r="AG143" i="1"/>
  <c r="AF144" i="1"/>
  <c r="AG144" i="1"/>
  <c r="AF145" i="1"/>
  <c r="AG145" i="1"/>
  <c r="AF146" i="1"/>
  <c r="AG146" i="1"/>
  <c r="AF147" i="1"/>
  <c r="AG147" i="1"/>
  <c r="AF148" i="1"/>
  <c r="AG148" i="1"/>
  <c r="AF149" i="1"/>
  <c r="AG149" i="1"/>
  <c r="AF150" i="1"/>
  <c r="AG150" i="1"/>
  <c r="AF151" i="1"/>
  <c r="AG151" i="1"/>
  <c r="AF152" i="1"/>
  <c r="AG152" i="1"/>
  <c r="AF153" i="1"/>
  <c r="AG153" i="1"/>
  <c r="AF154" i="1"/>
  <c r="AG154" i="1"/>
  <c r="AF155" i="1"/>
  <c r="AG155" i="1"/>
  <c r="AF156" i="1"/>
  <c r="AG156" i="1"/>
  <c r="AF157" i="1"/>
  <c r="AG157" i="1"/>
  <c r="AF158" i="1"/>
  <c r="AG158" i="1"/>
  <c r="AF159" i="1"/>
  <c r="AG159" i="1"/>
  <c r="AF160" i="1"/>
  <c r="AG160" i="1"/>
  <c r="AF161" i="1"/>
  <c r="AG161" i="1"/>
  <c r="AF162" i="1"/>
  <c r="AG162" i="1"/>
  <c r="AF163" i="1"/>
  <c r="AG163" i="1"/>
  <c r="AF164" i="1"/>
  <c r="AG164" i="1"/>
  <c r="AF165" i="1"/>
  <c r="AG165" i="1"/>
  <c r="AF166" i="1"/>
  <c r="AG166" i="1"/>
  <c r="AF167" i="1"/>
  <c r="AG167" i="1"/>
  <c r="AF168" i="1"/>
  <c r="AG168" i="1"/>
  <c r="AF169" i="1"/>
  <c r="AG169" i="1"/>
  <c r="AF170" i="1"/>
  <c r="AG170" i="1"/>
  <c r="AF171" i="1"/>
  <c r="AG171" i="1"/>
  <c r="AF172" i="1"/>
  <c r="AG172" i="1"/>
  <c r="AF173" i="1"/>
  <c r="AG173" i="1"/>
  <c r="AF174" i="1"/>
  <c r="AG174" i="1"/>
  <c r="AF175" i="1"/>
  <c r="AG175" i="1"/>
  <c r="AF176" i="1"/>
  <c r="AG176" i="1"/>
  <c r="AF177" i="1"/>
  <c r="AG177" i="1"/>
  <c r="AF178" i="1"/>
  <c r="AG178" i="1"/>
  <c r="AF179" i="1"/>
  <c r="AG179" i="1"/>
  <c r="AF180" i="1"/>
  <c r="AG180" i="1"/>
  <c r="AF181" i="1"/>
  <c r="AG181" i="1"/>
  <c r="AF182" i="1"/>
  <c r="AG182" i="1"/>
  <c r="AF183" i="1"/>
  <c r="AG183" i="1"/>
  <c r="AF184" i="1"/>
  <c r="AG184" i="1"/>
  <c r="AF185" i="1"/>
  <c r="AG185" i="1"/>
  <c r="AF186" i="1"/>
  <c r="AG186" i="1"/>
  <c r="AF188" i="1"/>
  <c r="AG188" i="1"/>
  <c r="AF189" i="1"/>
  <c r="AG189" i="1"/>
  <c r="AF190" i="1"/>
  <c r="AG190" i="1"/>
  <c r="AF191" i="1"/>
  <c r="AG191" i="1"/>
  <c r="AF192" i="1"/>
  <c r="AG192" i="1"/>
  <c r="AF193" i="1"/>
  <c r="AG193" i="1"/>
  <c r="AF194" i="1"/>
  <c r="AG194" i="1"/>
  <c r="AF195" i="1"/>
  <c r="AG195" i="1"/>
  <c r="AF196" i="1"/>
  <c r="AG196" i="1"/>
  <c r="AF197" i="1"/>
  <c r="AG197" i="1"/>
  <c r="AF198" i="1"/>
  <c r="AG198" i="1"/>
  <c r="AF199" i="1"/>
  <c r="AG199" i="1"/>
  <c r="AF200" i="1"/>
  <c r="AF201" i="1"/>
  <c r="AG201" i="1"/>
  <c r="AF202" i="1"/>
  <c r="AG202" i="1"/>
  <c r="AF203" i="1"/>
  <c r="AG203" i="1"/>
  <c r="AF205" i="1"/>
  <c r="AG205" i="1"/>
  <c r="AF206" i="1"/>
  <c r="AG206" i="1"/>
  <c r="AF207" i="1"/>
  <c r="AG207" i="1"/>
  <c r="AF208" i="1"/>
  <c r="AG208" i="1"/>
  <c r="AF209" i="1"/>
  <c r="AG209" i="1"/>
  <c r="AF210" i="1"/>
  <c r="AG210" i="1"/>
  <c r="AF211" i="1"/>
  <c r="AF212" i="1"/>
  <c r="AG212" i="1"/>
  <c r="AF213" i="1"/>
  <c r="AG213" i="1"/>
  <c r="AF215" i="1"/>
  <c r="AG215" i="1"/>
  <c r="AF217" i="1"/>
  <c r="AG217" i="1"/>
  <c r="AF218" i="1"/>
  <c r="AF219" i="1"/>
  <c r="AG219" i="1"/>
  <c r="AF220" i="1"/>
  <c r="AG220" i="1"/>
  <c r="AF222" i="1"/>
  <c r="AG222" i="1"/>
  <c r="AF224" i="1"/>
  <c r="AG224" i="1"/>
  <c r="AF225" i="1"/>
  <c r="AG225" i="1"/>
  <c r="AF226" i="1"/>
  <c r="AG226" i="1"/>
  <c r="AF227" i="1"/>
  <c r="AG227" i="1"/>
  <c r="AF228" i="1"/>
  <c r="AG228" i="1"/>
  <c r="AF229" i="1"/>
  <c r="AG229" i="1"/>
  <c r="AF231" i="1"/>
  <c r="AG231" i="1"/>
  <c r="AF232" i="1"/>
  <c r="AG232" i="1"/>
  <c r="AF233" i="1"/>
  <c r="AG233" i="1"/>
  <c r="AF235" i="1"/>
  <c r="AG235" i="1"/>
  <c r="AF236" i="1"/>
  <c r="AG236" i="1"/>
  <c r="AF237" i="1"/>
  <c r="AG237" i="1"/>
  <c r="AF238" i="1"/>
  <c r="AG238" i="1"/>
  <c r="AF240" i="1"/>
  <c r="AF241" i="1"/>
  <c r="AG241" i="1"/>
  <c r="AF242" i="1"/>
  <c r="AG242" i="1"/>
  <c r="AF243" i="1"/>
  <c r="AG243" i="1"/>
  <c r="AF244" i="1"/>
  <c r="AG244" i="1"/>
  <c r="AF245" i="1"/>
  <c r="AG245" i="1"/>
  <c r="AF247" i="1"/>
  <c r="AG247" i="1"/>
  <c r="AF248" i="1"/>
  <c r="AG248" i="1"/>
  <c r="AF249" i="1"/>
  <c r="AG249" i="1"/>
  <c r="AF250" i="1"/>
  <c r="AG250" i="1"/>
  <c r="AF251" i="1"/>
  <c r="AG251" i="1"/>
  <c r="AF252" i="1"/>
  <c r="AG252" i="1"/>
  <c r="AF253" i="1"/>
  <c r="AG253" i="1"/>
  <c r="AF255" i="1"/>
  <c r="AF256" i="1"/>
  <c r="AF258" i="1"/>
  <c r="AG258" i="1"/>
  <c r="AF259" i="1"/>
  <c r="AG259" i="1"/>
  <c r="AF260" i="1"/>
  <c r="AG260" i="1"/>
  <c r="AF262" i="1"/>
  <c r="AG262" i="1"/>
  <c r="AF263" i="1"/>
  <c r="AG263" i="1"/>
  <c r="AF264" i="1"/>
  <c r="AG264" i="1"/>
  <c r="AF265" i="1"/>
  <c r="AG265" i="1"/>
  <c r="AF266" i="1"/>
  <c r="AG266" i="1"/>
  <c r="AG2" i="1"/>
  <c r="AF2" i="1"/>
  <c r="AK3" i="1"/>
  <c r="AL3" i="1"/>
  <c r="AK4" i="1"/>
  <c r="AL4" i="1"/>
  <c r="AK5" i="1"/>
  <c r="AL5" i="1"/>
  <c r="AK6" i="1"/>
  <c r="AL6" i="1"/>
  <c r="AK7" i="1"/>
  <c r="AL7" i="1"/>
  <c r="AK8" i="1"/>
  <c r="AL8" i="1"/>
  <c r="AK9" i="1"/>
  <c r="AL9" i="1"/>
  <c r="AK10" i="1"/>
  <c r="AL10" i="1"/>
  <c r="AK11" i="1"/>
  <c r="AL11" i="1"/>
  <c r="AK12" i="1"/>
  <c r="AL12" i="1"/>
  <c r="AK13" i="1"/>
  <c r="AL13" i="1"/>
  <c r="AK14" i="1"/>
  <c r="AL14" i="1"/>
  <c r="AK15" i="1"/>
  <c r="AL15" i="1"/>
  <c r="AK16" i="1"/>
  <c r="AL16" i="1"/>
  <c r="AK17" i="1"/>
  <c r="AL17" i="1"/>
  <c r="AK18" i="1"/>
  <c r="AL18" i="1"/>
  <c r="AK19" i="1"/>
  <c r="AL19" i="1"/>
  <c r="AK20" i="1"/>
  <c r="AL20" i="1"/>
  <c r="AK21" i="1"/>
  <c r="AL21" i="1"/>
  <c r="AK22" i="1"/>
  <c r="AL22" i="1"/>
  <c r="AK23" i="1"/>
  <c r="AL23" i="1"/>
  <c r="AK24" i="1"/>
  <c r="AL24" i="1"/>
  <c r="AK25" i="1"/>
  <c r="AL25" i="1"/>
  <c r="AK26" i="1"/>
  <c r="AL26" i="1"/>
  <c r="AK27" i="1"/>
  <c r="AL27" i="1"/>
  <c r="AK28" i="1"/>
  <c r="AL28" i="1"/>
  <c r="AK29" i="1"/>
  <c r="AL29" i="1"/>
  <c r="AK30" i="1"/>
  <c r="AL30" i="1"/>
  <c r="AK31" i="1"/>
  <c r="AL31" i="1"/>
  <c r="AK32" i="1"/>
  <c r="AL32" i="1"/>
  <c r="AK33" i="1"/>
  <c r="AL33" i="1"/>
  <c r="AK34" i="1"/>
  <c r="AL34" i="1"/>
  <c r="AK35" i="1"/>
  <c r="AL35" i="1"/>
  <c r="AK36" i="1"/>
  <c r="AL36" i="1"/>
  <c r="AK37" i="1"/>
  <c r="AL37" i="1"/>
  <c r="AK38" i="1"/>
  <c r="AL38" i="1"/>
  <c r="AK39" i="1"/>
  <c r="AL39" i="1"/>
  <c r="AK40" i="1"/>
  <c r="AL40" i="1"/>
  <c r="AK41" i="1"/>
  <c r="AL41" i="1"/>
  <c r="AK42" i="1"/>
  <c r="AL42" i="1"/>
  <c r="AK43" i="1"/>
  <c r="AL43" i="1"/>
  <c r="AK44" i="1"/>
  <c r="AL44" i="1"/>
  <c r="AK45" i="1"/>
  <c r="AL45" i="1"/>
  <c r="AK46" i="1"/>
  <c r="AL46" i="1"/>
  <c r="AK47" i="1"/>
  <c r="AL47" i="1"/>
  <c r="AK48" i="1"/>
  <c r="AL48" i="1"/>
  <c r="AK49" i="1"/>
  <c r="AL49" i="1"/>
  <c r="AK50" i="1"/>
  <c r="AL50" i="1"/>
  <c r="AK51" i="1"/>
  <c r="AL51" i="1"/>
  <c r="AK52" i="1"/>
  <c r="AL52" i="1"/>
  <c r="AK53" i="1"/>
  <c r="AL53" i="1"/>
  <c r="AK54" i="1"/>
  <c r="AL54" i="1"/>
  <c r="AK55" i="1"/>
  <c r="AL55" i="1"/>
  <c r="AK56" i="1"/>
  <c r="AL56" i="1"/>
  <c r="AK57" i="1"/>
  <c r="AL57" i="1"/>
  <c r="AK58" i="1"/>
  <c r="AL58" i="1"/>
  <c r="AK59" i="1"/>
  <c r="AL59" i="1"/>
  <c r="AK60" i="1"/>
  <c r="AL60" i="1"/>
  <c r="AK61" i="1"/>
  <c r="AL61" i="1"/>
  <c r="AK62" i="1"/>
  <c r="AL62" i="1"/>
  <c r="AK63" i="1"/>
  <c r="AL63" i="1"/>
  <c r="AK64" i="1"/>
  <c r="AL64" i="1"/>
  <c r="AK65" i="1"/>
  <c r="AL65" i="1"/>
  <c r="AK66" i="1"/>
  <c r="AL66" i="1"/>
  <c r="AK67" i="1"/>
  <c r="AL67" i="1"/>
  <c r="AK68" i="1"/>
  <c r="AL68" i="1"/>
  <c r="AK69" i="1"/>
  <c r="AL69" i="1"/>
  <c r="AK70" i="1"/>
  <c r="AL70" i="1"/>
  <c r="AK71" i="1"/>
  <c r="AL71" i="1"/>
  <c r="AK72" i="1"/>
  <c r="AL72" i="1"/>
  <c r="AK73" i="1"/>
  <c r="AL73" i="1"/>
  <c r="AK74" i="1"/>
  <c r="AL74" i="1"/>
  <c r="AK75" i="1"/>
  <c r="AL75" i="1"/>
  <c r="AK76" i="1"/>
  <c r="AL76" i="1"/>
  <c r="AK77" i="1"/>
  <c r="AL77" i="1"/>
  <c r="AK78" i="1"/>
  <c r="AL78" i="1"/>
  <c r="AK79" i="1"/>
  <c r="AL79" i="1"/>
  <c r="AK80" i="1"/>
  <c r="AL80" i="1"/>
  <c r="AK81" i="1"/>
  <c r="AL81" i="1"/>
  <c r="AK82" i="1"/>
  <c r="AL82" i="1"/>
  <c r="AK83" i="1"/>
  <c r="AL83" i="1"/>
  <c r="AK84" i="1"/>
  <c r="AL84" i="1"/>
  <c r="AK85" i="1"/>
  <c r="AL85" i="1"/>
  <c r="AK86" i="1"/>
  <c r="AL86" i="1"/>
  <c r="AK87" i="1"/>
  <c r="AL87" i="1"/>
  <c r="AK88" i="1"/>
  <c r="AL88" i="1"/>
  <c r="AK89" i="1"/>
  <c r="AL89" i="1"/>
  <c r="AK90" i="1"/>
  <c r="AL90" i="1"/>
  <c r="AK91" i="1"/>
  <c r="AL91" i="1"/>
  <c r="AK92" i="1"/>
  <c r="AL92" i="1"/>
  <c r="AK93" i="1"/>
  <c r="AL93" i="1"/>
  <c r="AK94" i="1"/>
  <c r="AL94" i="1"/>
  <c r="AK95" i="1"/>
  <c r="AL95" i="1"/>
  <c r="AK96" i="1"/>
  <c r="AL96" i="1"/>
  <c r="AK97" i="1"/>
  <c r="AL97" i="1"/>
  <c r="AK98" i="1"/>
  <c r="AL98" i="1"/>
  <c r="AK99" i="1"/>
  <c r="AL99" i="1"/>
  <c r="AK100" i="1"/>
  <c r="AL100" i="1"/>
  <c r="AK101" i="1"/>
  <c r="AL101" i="1"/>
  <c r="AK102" i="1"/>
  <c r="AL102" i="1"/>
  <c r="AK103" i="1"/>
  <c r="AL103" i="1"/>
  <c r="AK104" i="1"/>
  <c r="AL104" i="1"/>
  <c r="AK105" i="1"/>
  <c r="AL105" i="1"/>
  <c r="AK106" i="1"/>
  <c r="AL106" i="1"/>
  <c r="AK107" i="1"/>
  <c r="AL107" i="1"/>
  <c r="AK108" i="1"/>
  <c r="AL108" i="1"/>
  <c r="AK109" i="1"/>
  <c r="AL109" i="1"/>
  <c r="AK110" i="1"/>
  <c r="AL110" i="1"/>
  <c r="AK111" i="1"/>
  <c r="AL111" i="1"/>
  <c r="AK112" i="1"/>
  <c r="AL112" i="1"/>
  <c r="AK113" i="1"/>
  <c r="AL113" i="1"/>
  <c r="AK114" i="1"/>
  <c r="AL114" i="1"/>
  <c r="AK115" i="1"/>
  <c r="AL115" i="1"/>
  <c r="AK116" i="1"/>
  <c r="AL116" i="1"/>
  <c r="AK117" i="1"/>
  <c r="AL117" i="1"/>
  <c r="AK118" i="1"/>
  <c r="AL118" i="1"/>
  <c r="AK119" i="1"/>
  <c r="AL119" i="1"/>
  <c r="AK120" i="1"/>
  <c r="AL120" i="1"/>
  <c r="AK121" i="1"/>
  <c r="AL121" i="1"/>
  <c r="AK122" i="1"/>
  <c r="AL122" i="1"/>
  <c r="AK123" i="1"/>
  <c r="AL123" i="1"/>
  <c r="AK124" i="1"/>
  <c r="AL124" i="1"/>
  <c r="AK125" i="1"/>
  <c r="AL125" i="1"/>
  <c r="AK126" i="1"/>
  <c r="AL126" i="1"/>
  <c r="AK127" i="1"/>
  <c r="AL127" i="1"/>
  <c r="AK128" i="1"/>
  <c r="AL128" i="1"/>
  <c r="AK129" i="1"/>
  <c r="AL129" i="1"/>
  <c r="AK130" i="1"/>
  <c r="AL130" i="1"/>
  <c r="AK131" i="1"/>
  <c r="AL131" i="1"/>
  <c r="AK132" i="1"/>
  <c r="AL132" i="1"/>
  <c r="AK133" i="1"/>
  <c r="AL133" i="1"/>
  <c r="AK134" i="1"/>
  <c r="AL134" i="1"/>
  <c r="AK135" i="1"/>
  <c r="AL135" i="1"/>
  <c r="AK136" i="1"/>
  <c r="AL136" i="1"/>
  <c r="AK137" i="1"/>
  <c r="AL137" i="1"/>
  <c r="AK138" i="1"/>
  <c r="AL138" i="1"/>
  <c r="AK139" i="1"/>
  <c r="AL139" i="1"/>
  <c r="AK140" i="1"/>
  <c r="AL140" i="1"/>
  <c r="AK141" i="1"/>
  <c r="AL141" i="1"/>
  <c r="AK142" i="1"/>
  <c r="AL142" i="1"/>
  <c r="AK143" i="1"/>
  <c r="AL143" i="1"/>
  <c r="AK144" i="1"/>
  <c r="AL144" i="1"/>
  <c r="AK145" i="1"/>
  <c r="AL145" i="1"/>
  <c r="AK146" i="1"/>
  <c r="AL146" i="1"/>
  <c r="AK147" i="1"/>
  <c r="AL147" i="1"/>
  <c r="AK148" i="1"/>
  <c r="AL148" i="1"/>
  <c r="AK149" i="1"/>
  <c r="AL149" i="1"/>
  <c r="AK150" i="1"/>
  <c r="AL150" i="1"/>
  <c r="AK151" i="1"/>
  <c r="AL151" i="1"/>
  <c r="AK152" i="1"/>
  <c r="AL152" i="1"/>
  <c r="AK153" i="1"/>
  <c r="AL153" i="1"/>
  <c r="AK154" i="1"/>
  <c r="AL154" i="1"/>
  <c r="AK155" i="1"/>
  <c r="AL155" i="1"/>
  <c r="AK156" i="1"/>
  <c r="AL156" i="1"/>
  <c r="AK157" i="1"/>
  <c r="AL157" i="1"/>
  <c r="AK158" i="1"/>
  <c r="AL158" i="1"/>
  <c r="AK159" i="1"/>
  <c r="AL159" i="1"/>
  <c r="AK160" i="1"/>
  <c r="AL160" i="1"/>
  <c r="AK161" i="1"/>
  <c r="AL161" i="1"/>
  <c r="AK162" i="1"/>
  <c r="AL162" i="1"/>
  <c r="AK163" i="1"/>
  <c r="AL163" i="1"/>
  <c r="AK164" i="1"/>
  <c r="AL164" i="1"/>
  <c r="AK165" i="1"/>
  <c r="AL165" i="1"/>
  <c r="AK166" i="1"/>
  <c r="AL166" i="1"/>
  <c r="AK167" i="1"/>
  <c r="AL167" i="1"/>
  <c r="AK168" i="1"/>
  <c r="AL168" i="1"/>
  <c r="AK169" i="1"/>
  <c r="AL169" i="1"/>
  <c r="AK170" i="1"/>
  <c r="AL170" i="1"/>
  <c r="AK171" i="1"/>
  <c r="AL171" i="1"/>
  <c r="AK172" i="1"/>
  <c r="AL172" i="1"/>
  <c r="AK173" i="1"/>
  <c r="AL173" i="1"/>
  <c r="AK174" i="1"/>
  <c r="AL174" i="1"/>
  <c r="AK175" i="1"/>
  <c r="AL175" i="1"/>
  <c r="AK176" i="1"/>
  <c r="AL176" i="1"/>
  <c r="AK177" i="1"/>
  <c r="AL177" i="1"/>
  <c r="AK178" i="1"/>
  <c r="AL178" i="1"/>
  <c r="AK179" i="1"/>
  <c r="AL179" i="1"/>
  <c r="AK180" i="1"/>
  <c r="AL180" i="1"/>
  <c r="AK181" i="1"/>
  <c r="AL181" i="1"/>
  <c r="AK182" i="1"/>
  <c r="AL182" i="1"/>
  <c r="AK183" i="1"/>
  <c r="AL183" i="1"/>
  <c r="AK184" i="1"/>
  <c r="AL184" i="1"/>
  <c r="AK185" i="1"/>
  <c r="AL185" i="1"/>
  <c r="AK186" i="1"/>
  <c r="AL186" i="1"/>
  <c r="AK187" i="1"/>
  <c r="AL187" i="1"/>
  <c r="AK188" i="1"/>
  <c r="AL188" i="1"/>
  <c r="AK189" i="1"/>
  <c r="AL189" i="1"/>
  <c r="AK190" i="1"/>
  <c r="AL190" i="1"/>
  <c r="AK191" i="1"/>
  <c r="AL191" i="1"/>
  <c r="AK192" i="1"/>
  <c r="AL192" i="1"/>
  <c r="AK193" i="1"/>
  <c r="AL193" i="1"/>
  <c r="AK194" i="1"/>
  <c r="AL194" i="1"/>
  <c r="AK195" i="1"/>
  <c r="AL195" i="1"/>
  <c r="AK196" i="1"/>
  <c r="AL196" i="1"/>
  <c r="AK197" i="1"/>
  <c r="AL197" i="1"/>
  <c r="AK198" i="1"/>
  <c r="AL198" i="1"/>
  <c r="AK199" i="1"/>
  <c r="AL199" i="1"/>
  <c r="AK200" i="1"/>
  <c r="AL200" i="1"/>
  <c r="AK201" i="1"/>
  <c r="AL201" i="1"/>
  <c r="AK202" i="1"/>
  <c r="AL202" i="1"/>
  <c r="AK203" i="1"/>
  <c r="AL203" i="1"/>
  <c r="AK204" i="1"/>
  <c r="AL204" i="1"/>
  <c r="AK205" i="1"/>
  <c r="AL205" i="1"/>
  <c r="AK206" i="1"/>
  <c r="AL206" i="1"/>
  <c r="AK207" i="1"/>
  <c r="AL207" i="1"/>
  <c r="AK208" i="1"/>
  <c r="AL208" i="1"/>
  <c r="AK209" i="1"/>
  <c r="AL209" i="1"/>
  <c r="AK210" i="1"/>
  <c r="AL210" i="1"/>
  <c r="AK211" i="1"/>
  <c r="AL211" i="1"/>
  <c r="AK212" i="1"/>
  <c r="AL212" i="1"/>
  <c r="AK213" i="1"/>
  <c r="AL213" i="1"/>
  <c r="AK214" i="1"/>
  <c r="AL214" i="1"/>
  <c r="AK215" i="1"/>
  <c r="AL215" i="1"/>
  <c r="AK216" i="1"/>
  <c r="AL216" i="1"/>
  <c r="AK217" i="1"/>
  <c r="AL217" i="1"/>
  <c r="AK218" i="1"/>
  <c r="AL218" i="1"/>
  <c r="AK219" i="1"/>
  <c r="AL219" i="1"/>
  <c r="AK220" i="1"/>
  <c r="AL220" i="1"/>
  <c r="AK221" i="1"/>
  <c r="AL221" i="1"/>
  <c r="AK222" i="1"/>
  <c r="AL222" i="1"/>
  <c r="AK223" i="1"/>
  <c r="AL223" i="1"/>
  <c r="AK224" i="1"/>
  <c r="AL224" i="1"/>
  <c r="AK225" i="1"/>
  <c r="AL225" i="1"/>
  <c r="AK226" i="1"/>
  <c r="AL226" i="1"/>
  <c r="AK227" i="1"/>
  <c r="AL227" i="1"/>
  <c r="AK228" i="1"/>
  <c r="AL228" i="1"/>
  <c r="AK229" i="1"/>
  <c r="AL229" i="1"/>
  <c r="AK230" i="1"/>
  <c r="AL230" i="1"/>
  <c r="AK231" i="1"/>
  <c r="AL231" i="1"/>
  <c r="AK232" i="1"/>
  <c r="AL232" i="1"/>
  <c r="AK233" i="1"/>
  <c r="AL233" i="1"/>
  <c r="AK234" i="1"/>
  <c r="AL234" i="1"/>
  <c r="AK235" i="1"/>
  <c r="AL235" i="1"/>
  <c r="AK236" i="1"/>
  <c r="AL236" i="1"/>
  <c r="AK237" i="1"/>
  <c r="AL237" i="1"/>
  <c r="AK238" i="1"/>
  <c r="AL238" i="1"/>
  <c r="AK239" i="1"/>
  <c r="AL239" i="1"/>
  <c r="AK240" i="1"/>
  <c r="AL240" i="1"/>
  <c r="AK241" i="1"/>
  <c r="AL241" i="1"/>
  <c r="AK242" i="1"/>
  <c r="AL242" i="1"/>
  <c r="AK243" i="1"/>
  <c r="AL243" i="1"/>
  <c r="AK244" i="1"/>
  <c r="AL244" i="1"/>
  <c r="AK245" i="1"/>
  <c r="AL245" i="1"/>
  <c r="AK246" i="1"/>
  <c r="AL246" i="1"/>
  <c r="AK247" i="1"/>
  <c r="AL247" i="1"/>
  <c r="AK248" i="1"/>
  <c r="AL248" i="1"/>
  <c r="AK249" i="1"/>
  <c r="AL249" i="1"/>
  <c r="AK250" i="1"/>
  <c r="AL250" i="1"/>
  <c r="AK251" i="1"/>
  <c r="AL251" i="1"/>
  <c r="AK252" i="1"/>
  <c r="AL252" i="1"/>
  <c r="AK253" i="1"/>
  <c r="AL253" i="1"/>
  <c r="AK254" i="1"/>
  <c r="AL254" i="1"/>
  <c r="AK255" i="1"/>
  <c r="AL255" i="1"/>
  <c r="AK256" i="1"/>
  <c r="AL256" i="1"/>
  <c r="AK257" i="1"/>
  <c r="AL257" i="1"/>
  <c r="AK258" i="1"/>
  <c r="AL258" i="1"/>
  <c r="AK259" i="1"/>
  <c r="AL259" i="1"/>
  <c r="AK260" i="1"/>
  <c r="AL260" i="1"/>
  <c r="AK261" i="1"/>
  <c r="AL261" i="1"/>
  <c r="AK262" i="1"/>
  <c r="AL262" i="1"/>
  <c r="AK263" i="1"/>
  <c r="AL263" i="1"/>
  <c r="AK264" i="1"/>
  <c r="AL264" i="1"/>
  <c r="AK265" i="1"/>
  <c r="AL265" i="1"/>
  <c r="AK266" i="1"/>
  <c r="AL266" i="1"/>
  <c r="AK267" i="1"/>
  <c r="AL267" i="1"/>
  <c r="AL2" i="1"/>
  <c r="AK2" i="1"/>
  <c r="AD3" i="1"/>
  <c r="AD4" i="1"/>
  <c r="AD5" i="1"/>
  <c r="AD6" i="1"/>
  <c r="AD7" i="1"/>
  <c r="AD8" i="1"/>
  <c r="AD9" i="1"/>
  <c r="AD10" i="1"/>
  <c r="AD11" i="1"/>
  <c r="AD12" i="1"/>
  <c r="AD13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65" i="1"/>
  <c r="AD66" i="1"/>
  <c r="AD67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103" i="1"/>
  <c r="AD104" i="1"/>
  <c r="AD105" i="1"/>
  <c r="AD109" i="1"/>
  <c r="AD110" i="1"/>
  <c r="AD111" i="1"/>
  <c r="AD112" i="1"/>
  <c r="AD113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5" i="1"/>
  <c r="AD206" i="1"/>
  <c r="AD207" i="1"/>
  <c r="AD208" i="1"/>
  <c r="AD209" i="1"/>
  <c r="AD210" i="1"/>
  <c r="AD211" i="1"/>
  <c r="AD212" i="1"/>
  <c r="AD213" i="1"/>
  <c r="AD215" i="1"/>
  <c r="AD217" i="1"/>
  <c r="AD218" i="1"/>
  <c r="AD219" i="1"/>
  <c r="AD220" i="1"/>
  <c r="AD222" i="1"/>
  <c r="AD224" i="1"/>
  <c r="AD225" i="1"/>
  <c r="AD226" i="1"/>
  <c r="AD227" i="1"/>
  <c r="AD228" i="1"/>
  <c r="AD229" i="1"/>
  <c r="AD231" i="1"/>
  <c r="AD232" i="1"/>
  <c r="AD233" i="1"/>
  <c r="AD235" i="1"/>
  <c r="AD236" i="1"/>
  <c r="AD237" i="1"/>
  <c r="AD238" i="1"/>
  <c r="AD240" i="1"/>
  <c r="AD241" i="1"/>
  <c r="AD242" i="1"/>
  <c r="AD243" i="1"/>
  <c r="AD244" i="1"/>
  <c r="AD245" i="1"/>
  <c r="AD247" i="1"/>
  <c r="AD248" i="1"/>
  <c r="AD249" i="1"/>
  <c r="AD250" i="1"/>
  <c r="AD251" i="1"/>
  <c r="AD252" i="1"/>
  <c r="AD253" i="1"/>
  <c r="AD255" i="1"/>
  <c r="AD256" i="1"/>
  <c r="AD258" i="1"/>
  <c r="AD259" i="1"/>
  <c r="AD260" i="1"/>
  <c r="AD262" i="1"/>
  <c r="AD263" i="1"/>
  <c r="AD264" i="1"/>
  <c r="AD265" i="1"/>
  <c r="AD266" i="1"/>
  <c r="AE3" i="1"/>
  <c r="AE4" i="1"/>
  <c r="AE5" i="1"/>
  <c r="AE6" i="1"/>
  <c r="AE7" i="1"/>
  <c r="AE8" i="1"/>
  <c r="AE9" i="1"/>
  <c r="AE10" i="1"/>
  <c r="AE11" i="1"/>
  <c r="AE12" i="1"/>
  <c r="AE14" i="1"/>
  <c r="AE16" i="1"/>
  <c r="AE17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65" i="1"/>
  <c r="AE66" i="1"/>
  <c r="AE67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103" i="1"/>
  <c r="AE104" i="1"/>
  <c r="AE109" i="1"/>
  <c r="AE110" i="1"/>
  <c r="AE111" i="1"/>
  <c r="AE112" i="1"/>
  <c r="AE113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1" i="1"/>
  <c r="AE202" i="1"/>
  <c r="AE203" i="1"/>
  <c r="AE205" i="1"/>
  <c r="AE206" i="1"/>
  <c r="AE207" i="1"/>
  <c r="AE208" i="1"/>
  <c r="AE209" i="1"/>
  <c r="AE210" i="1"/>
  <c r="AE212" i="1"/>
  <c r="AE213" i="1"/>
  <c r="AE215" i="1"/>
  <c r="AE217" i="1"/>
  <c r="AE219" i="1"/>
  <c r="AE220" i="1"/>
  <c r="AE222" i="1"/>
  <c r="AE224" i="1"/>
  <c r="AE225" i="1"/>
  <c r="AE226" i="1"/>
  <c r="AE227" i="1"/>
  <c r="AE228" i="1"/>
  <c r="AE229" i="1"/>
  <c r="AE231" i="1"/>
  <c r="AE232" i="1"/>
  <c r="AE233" i="1"/>
  <c r="AE235" i="1"/>
  <c r="AE236" i="1"/>
  <c r="AE237" i="1"/>
  <c r="AE238" i="1"/>
  <c r="AE241" i="1"/>
  <c r="AE242" i="1"/>
  <c r="AE243" i="1"/>
  <c r="AE244" i="1"/>
  <c r="AE245" i="1"/>
  <c r="AE247" i="1"/>
  <c r="AE248" i="1"/>
  <c r="AE249" i="1"/>
  <c r="AE250" i="1"/>
  <c r="AE251" i="1"/>
  <c r="AE252" i="1"/>
  <c r="AE253" i="1"/>
  <c r="AE258" i="1"/>
  <c r="AE259" i="1"/>
  <c r="AE260" i="1"/>
  <c r="AE262" i="1"/>
  <c r="AE263" i="1"/>
  <c r="AE264" i="1"/>
  <c r="AE265" i="1"/>
  <c r="AE266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65" i="1"/>
  <c r="AC66" i="1"/>
  <c r="AC67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103" i="1"/>
  <c r="AC104" i="1"/>
  <c r="AC105" i="1"/>
  <c r="AC109" i="1"/>
  <c r="AC110" i="1"/>
  <c r="AC111" i="1"/>
  <c r="AC112" i="1"/>
  <c r="AC113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5" i="1"/>
  <c r="AC206" i="1"/>
  <c r="AC207" i="1"/>
  <c r="AC208" i="1"/>
  <c r="AC209" i="1"/>
  <c r="AC210" i="1"/>
  <c r="AC211" i="1"/>
  <c r="AC212" i="1"/>
  <c r="AC213" i="1"/>
  <c r="AC215" i="1"/>
  <c r="AC217" i="1"/>
  <c r="AC218" i="1"/>
  <c r="AC219" i="1"/>
  <c r="AC220" i="1"/>
  <c r="AC222" i="1"/>
  <c r="AC224" i="1"/>
  <c r="AC225" i="1"/>
  <c r="AC226" i="1"/>
  <c r="AC227" i="1"/>
  <c r="AC228" i="1"/>
  <c r="AC229" i="1"/>
  <c r="AC231" i="1"/>
  <c r="AC232" i="1"/>
  <c r="AC233" i="1"/>
  <c r="AC235" i="1"/>
  <c r="AC236" i="1"/>
  <c r="AC237" i="1"/>
  <c r="AC238" i="1"/>
  <c r="AC240" i="1"/>
  <c r="AC241" i="1"/>
  <c r="AC242" i="1"/>
  <c r="AC243" i="1"/>
  <c r="AC244" i="1"/>
  <c r="AC245" i="1"/>
  <c r="AC247" i="1"/>
  <c r="AC248" i="1"/>
  <c r="AC249" i="1"/>
  <c r="AC250" i="1"/>
  <c r="AC251" i="1"/>
  <c r="AC252" i="1"/>
  <c r="AC253" i="1"/>
  <c r="AC255" i="1"/>
  <c r="AC256" i="1"/>
  <c r="AC258" i="1"/>
  <c r="AC259" i="1"/>
  <c r="AC260" i="1"/>
  <c r="AC262" i="1"/>
  <c r="AC263" i="1"/>
  <c r="AC264" i="1"/>
  <c r="AC265" i="1"/>
  <c r="AC266" i="1"/>
  <c r="AC2" i="1"/>
</calcChain>
</file>

<file path=xl/sharedStrings.xml><?xml version="1.0" encoding="utf-8"?>
<sst xmlns="http://schemas.openxmlformats.org/spreadsheetml/2006/main" count="1156" uniqueCount="106">
  <si>
    <t>Country</t>
  </si>
  <si>
    <t>Quarter</t>
  </si>
  <si>
    <t>ab_us</t>
  </si>
  <si>
    <t>health_us</t>
  </si>
  <si>
    <t>nhealth_us</t>
  </si>
  <si>
    <t>acc_us</t>
  </si>
  <si>
    <t>of_us</t>
  </si>
  <si>
    <t>be_us</t>
  </si>
  <si>
    <t>gu_us</t>
  </si>
  <si>
    <t>qf_us</t>
  </si>
  <si>
    <t>ab_per</t>
  </si>
  <si>
    <t>ab_ppp</t>
  </si>
  <si>
    <t>health_per</t>
  </si>
  <si>
    <t>health_ppp</t>
  </si>
  <si>
    <t>nhealth_per</t>
  </si>
  <si>
    <t>nhealth_ppp</t>
  </si>
  <si>
    <t>acc_per</t>
  </si>
  <si>
    <t>acc_ppp</t>
  </si>
  <si>
    <t>of_per</t>
  </si>
  <si>
    <t>of_ppp</t>
  </si>
  <si>
    <t>be_per</t>
  </si>
  <si>
    <t>be_ppp</t>
  </si>
  <si>
    <t>gu_per</t>
  </si>
  <si>
    <t>gu_ppp</t>
  </si>
  <si>
    <t>qf_per</t>
  </si>
  <si>
    <t>qf_ppp</t>
  </si>
  <si>
    <t>real_gdp_per</t>
  </si>
  <si>
    <t>real_gdp_ppp</t>
  </si>
  <si>
    <t>AUS</t>
  </si>
  <si>
    <t>CAN</t>
  </si>
  <si>
    <t>FRA</t>
  </si>
  <si>
    <t>DEU</t>
  </si>
  <si>
    <t>ITA</t>
  </si>
  <si>
    <t>JPN</t>
  </si>
  <si>
    <t>KOR</t>
  </si>
  <si>
    <t>ESP</t>
  </si>
  <si>
    <t>GBR</t>
  </si>
  <si>
    <t>USA</t>
  </si>
  <si>
    <t>MEX</t>
  </si>
  <si>
    <t>TUR</t>
  </si>
  <si>
    <t>AUT</t>
  </si>
  <si>
    <t>BEL</t>
  </si>
  <si>
    <t>CZE</t>
  </si>
  <si>
    <t>DNK</t>
  </si>
  <si>
    <t>EST</t>
  </si>
  <si>
    <t>FIN</t>
  </si>
  <si>
    <t>GRC</t>
  </si>
  <si>
    <t>ISL</t>
  </si>
  <si>
    <t>IRL</t>
  </si>
  <si>
    <t>ISR</t>
  </si>
  <si>
    <t>LVA</t>
  </si>
  <si>
    <t>LTU</t>
  </si>
  <si>
    <t>LUX</t>
  </si>
  <si>
    <t>NLD</t>
  </si>
  <si>
    <t>NZL</t>
  </si>
  <si>
    <t>NOR</t>
  </si>
  <si>
    <t>PRT</t>
  </si>
  <si>
    <t>SVK</t>
  </si>
  <si>
    <t>SVN</t>
  </si>
  <si>
    <t>SWE</t>
  </si>
  <si>
    <t>CHE</t>
  </si>
  <si>
    <t>CHL</t>
  </si>
  <si>
    <t>COL</t>
  </si>
  <si>
    <t>CRI</t>
  </si>
  <si>
    <t>HUN</t>
  </si>
  <si>
    <t>POL</t>
  </si>
  <si>
    <t>Q1.2020</t>
  </si>
  <si>
    <t>Q2.2020</t>
  </si>
  <si>
    <t>Q3.2020</t>
  </si>
  <si>
    <t>Q4.2020</t>
  </si>
  <si>
    <t>Q1.2021</t>
  </si>
  <si>
    <t>Q2.2021</t>
  </si>
  <si>
    <t>Q3.2021</t>
  </si>
  <si>
    <t>share_nhealth_ab</t>
  </si>
  <si>
    <t>share_ab_t</t>
  </si>
  <si>
    <t>share_nhealth_t</t>
  </si>
  <si>
    <t>total_spending_per</t>
  </si>
  <si>
    <t>total_spending_ppp</t>
  </si>
  <si>
    <t>share_health_ab</t>
  </si>
  <si>
    <t>share_health_t</t>
  </si>
  <si>
    <t>share_of_t</t>
  </si>
  <si>
    <t>share_be_of</t>
  </si>
  <si>
    <t>share_gu_of</t>
  </si>
  <si>
    <t>on_us</t>
  </si>
  <si>
    <t>share_nhealth_on</t>
  </si>
  <si>
    <t>share_on_t</t>
  </si>
  <si>
    <t>share_health_on</t>
  </si>
  <si>
    <t>share_be_t</t>
  </si>
  <si>
    <t>share_gu_t</t>
  </si>
  <si>
    <t>total_intensity_per</t>
  </si>
  <si>
    <t>on_per</t>
  </si>
  <si>
    <t>share_acc_t</t>
  </si>
  <si>
    <t>on_ppp</t>
  </si>
  <si>
    <t>total_intensity_ppp</t>
  </si>
  <si>
    <t>total_netspend_usd</t>
  </si>
  <si>
    <t>total_moving_usd</t>
  </si>
  <si>
    <t>share_onw0_mo</t>
  </si>
  <si>
    <t>share_on_mo</t>
  </si>
  <si>
    <t>share_onw0_t</t>
  </si>
  <si>
    <t>share_nhealth_mo</t>
  </si>
  <si>
    <t>share_health_mo</t>
  </si>
  <si>
    <t>share_acc_mo</t>
  </si>
  <si>
    <t>share_of_mo</t>
  </si>
  <si>
    <t>share_be_mo</t>
  </si>
  <si>
    <t>total_mo_per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</si>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</sst>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_(* #,##0.00_);_(* \(#,##0.00\);_(* &quot;-&quot;??_);_(@_)"/>
    <numFmt numFmtId="166" formatCode="0.00000"/>
    <numFmt numFmtId="167" formatCode="0.00000000"/>
    <numFmt numFmtId="168" formatCode="0.00000000000000000000000000"/>
    <numFmt numFmtId="169" formatCode="0.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.5"/>
      <color theme="1"/>
      <name val="Arial"/>
      <family val="2"/>
    </font>
    <font>
      <sz val="8.5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/>
    <xf numFmtId="0" fontId="2" fillId="0" borderId="0"/>
    <xf numFmtId="0" fontId="5" fillId="0" borderId="0"/>
    <xf numFmtId="165" fontId="5" fillId="0" borderId="0" applyFont="0" applyFill="0" applyBorder="0" applyAlignment="0" applyProtection="0"/>
  </cellStyleXfs>
  <cellXfs count="2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3" fillId="2" borderId="1" xfId="1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1" fillId="0" borderId="0" xfId="1" applyFont="1"/>
    <xf numFmtId="0" fontId="6" fillId="2" borderId="1" xfId="2" applyFont="1" applyFill="1" applyBorder="1" applyAlignment="1">
      <alignment horizontal="left" indent="1"/>
    </xf>
    <xf numFmtId="0" fontId="2" fillId="0" borderId="0" xfId="1"/>
    <xf numFmtId="0" fontId="5" fillId="2" borderId="1" xfId="2" applyFill="1" applyBorder="1" applyAlignment="1">
      <alignment horizontal="left" indent="1"/>
    </xf>
    <xf numFmtId="0" fontId="5" fillId="0" borderId="1" xfId="2" applyBorder="1" applyAlignment="1">
      <alignment horizontal="left" indent="1"/>
    </xf>
    <xf numFmtId="0" fontId="6" fillId="2" borderId="1" xfId="1" applyFont="1" applyFill="1" applyBorder="1" applyAlignment="1">
      <alignment horizontal="left" indent="1"/>
    </xf>
    <xf numFmtId="0" fontId="6" fillId="0" borderId="1" xfId="1" applyFont="1" applyBorder="1" applyAlignment="1">
      <alignment horizontal="left" indent="1"/>
    </xf>
    <xf numFmtId="0" fontId="6" fillId="0" borderId="1" xfId="2" applyFont="1" applyBorder="1" applyAlignment="1">
      <alignment horizontal="left" indent="1"/>
    </xf>
    <xf numFmtId="0" fontId="1" fillId="0" borderId="0" xfId="1" applyFont="1" applyAlignment="1">
      <alignment vertical="top"/>
    </xf>
    <xf numFmtId="0" fontId="1" fillId="0" borderId="0" xfId="1" applyFont="1" applyAlignment="1">
      <alignment horizontal="center" vertical="center"/>
    </xf>
    <xf numFmtId="166" fontId="1" fillId="0" borderId="2" xfId="0" applyNumberFormat="1" applyFont="1" applyBorder="1" applyAlignment="1">
      <alignment horizontal="center" vertical="top"/>
    </xf>
    <xf numFmtId="167" fontId="1" fillId="0" borderId="2" xfId="0" applyNumberFormat="1" applyFont="1" applyBorder="1" applyAlignment="1">
      <alignment horizontal="center" vertical="top"/>
    </xf>
    <xf numFmtId="0" fontId="1" fillId="0" borderId="0" xfId="1" applyFont="1" applyAlignment="1">
      <alignment vertical="center"/>
    </xf>
    <xf numFmtId="168" fontId="2" fillId="0" borderId="0" xfId="1" applyNumberFormat="1"/>
    <xf numFmtId="166" fontId="0" fillId="0" borderId="0" xfId="0" applyNumberFormat="1"/>
    <xf numFmtId="167" fontId="0" fillId="0" borderId="0" xfId="0" applyNumberFormat="1"/>
    <xf numFmtId="0" fontId="0" fillId="0" borderId="0" xfId="0" quotePrefix="1"/>
    <xf numFmtId="2" fontId="2" fillId="0" borderId="0" xfId="1" applyNumberFormat="1"/>
    <xf numFmtId="2" fontId="0" fillId="0" borderId="0" xfId="0" applyNumberFormat="1"/>
    <xf numFmtId="169" fontId="0" fillId="0" borderId="0" xfId="0" applyNumberFormat="1"/>
  </cellXfs>
  <cellStyles count="4">
    <cellStyle name="Komma 2" xfId="3" xr:uid="{78E80D19-85DD-421C-9518-C83BADA5A01B}"/>
    <cellStyle name="Standard" xfId="0" builtinId="0"/>
    <cellStyle name="Standard 2" xfId="1" xr:uid="{05ABF4B0-F9F8-4455-9687-B7DAF901BC55}"/>
    <cellStyle name="Standard 3" xfId="2" xr:uid="{1BB69CFF-32EA-401C-BD4B-A92D61E95E0C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0DD08-82B4-4C4B-BA2F-D060511341EC}">
  <dimension ref="A1:BA267"/>
  <sheetViews>
    <sheetView tabSelected="1" zoomScale="59" zoomScaleNormal="100" workbookViewId="0">
      <pane xSplit="1" topLeftCell="AP1" activePane="topRight" state="frozen"/>
      <selection pane="topRight" activeCell="BE4" sqref="BE4"/>
    </sheetView>
  </sheetViews>
  <sheetFormatPr baseColWidth="10" defaultRowHeight="14.5" x14ac:dyDescent="0.35"/>
  <cols>
    <col min="1" max="1" width="15.26953125" style="8" customWidth="1"/>
    <col min="2" max="3" width="10.90625" style="8"/>
    <col min="4" max="4" width="16" style="8" customWidth="1"/>
    <col min="5" max="5" width="14.6328125" style="8" customWidth="1"/>
    <col min="6" max="6" width="12" style="8" customWidth="1"/>
    <col min="7" max="7" width="11.6328125" style="8" customWidth="1"/>
    <col min="8" max="8" width="13.6328125" style="8" bestFit="1" customWidth="1"/>
    <col min="9" max="10" width="11" style="8" bestFit="1" customWidth="1"/>
    <col min="11" max="11" width="11.26953125" style="8" customWidth="1"/>
    <col min="12" max="13" width="8.81640625" bestFit="1" customWidth="1"/>
    <col min="14" max="15" width="12.6328125" bestFit="1" customWidth="1"/>
    <col min="16" max="16" width="14" customWidth="1"/>
    <col min="17" max="27" width="8.81640625" bestFit="1" customWidth="1"/>
    <col min="28" max="28" width="37.7265625" customWidth="1"/>
    <col min="29" max="29" width="30.6328125" customWidth="1"/>
    <col min="30" max="30" width="49.54296875" style="8" customWidth="1"/>
    <col min="31" max="31" width="48.7265625" style="8" customWidth="1"/>
    <col min="32" max="32" width="23.6328125" style="8" customWidth="1"/>
    <col min="33" max="33" width="30.26953125" style="8" customWidth="1"/>
    <col min="34" max="34" width="29.453125" style="8" customWidth="1"/>
    <col min="35" max="35" width="30.1796875" style="8" customWidth="1"/>
    <col min="36" max="36" width="31.54296875" style="8" customWidth="1"/>
    <col min="37" max="40" width="10.90625" style="8"/>
    <col min="41" max="41" width="21.54296875" style="8" customWidth="1"/>
    <col min="42" max="42" width="39.54296875" style="8" customWidth="1"/>
    <col min="43" max="43" width="28.90625" style="8" customWidth="1"/>
    <col min="44" max="44" width="14.81640625" style="8" bestFit="1" customWidth="1"/>
    <col min="45" max="16384" width="10.90625" style="8"/>
  </cols>
  <sheetData>
    <row r="1" spans="1:53" s="6" customFormat="1" ht="61.5" customHeight="1" x14ac:dyDescent="0.35">
      <c r="A1" s="3" t="s">
        <v>0</v>
      </c>
      <c r="B1" s="3" t="s">
        <v>1</v>
      </c>
      <c r="C1" s="3" t="s">
        <v>2</v>
      </c>
      <c r="D1" s="4" t="s">
        <v>83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1" t="s">
        <v>90</v>
      </c>
      <c r="M1" s="1" t="s">
        <v>92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27</v>
      </c>
      <c r="AC1" s="1" t="s">
        <v>26</v>
      </c>
      <c r="AD1" s="6" t="s">
        <v>94</v>
      </c>
      <c r="AE1" s="6" t="s">
        <v>95</v>
      </c>
      <c r="AF1" s="6" t="s">
        <v>96</v>
      </c>
      <c r="AG1" s="15" t="s">
        <v>97</v>
      </c>
      <c r="AH1" s="15" t="s">
        <v>98</v>
      </c>
      <c r="AI1" s="1" t="s">
        <v>85</v>
      </c>
      <c r="AJ1" s="1" t="s">
        <v>99</v>
      </c>
      <c r="AK1" s="1" t="s">
        <v>75</v>
      </c>
      <c r="AL1" s="2" t="s">
        <v>100</v>
      </c>
      <c r="AM1" s="2" t="s">
        <v>79</v>
      </c>
      <c r="AN1" s="2" t="s">
        <v>101</v>
      </c>
      <c r="AO1" s="1" t="s">
        <v>91</v>
      </c>
      <c r="AP1" s="16" t="s">
        <v>84</v>
      </c>
      <c r="AQ1" s="17" t="s">
        <v>86</v>
      </c>
      <c r="AR1" s="17" t="s">
        <v>102</v>
      </c>
      <c r="AS1" s="17" t="s">
        <v>80</v>
      </c>
      <c r="AT1" s="17" t="s">
        <v>103</v>
      </c>
      <c r="AU1" s="2" t="s">
        <v>87</v>
      </c>
      <c r="AV1" s="2" t="s">
        <v>88</v>
      </c>
      <c r="AW1" s="2" t="s">
        <v>81</v>
      </c>
      <c r="AX1" s="2" t="s">
        <v>82</v>
      </c>
      <c r="AY1" s="2" t="s">
        <v>89</v>
      </c>
      <c r="AZ1" s="14" t="s">
        <v>93</v>
      </c>
      <c r="BA1" s="18" t="s">
        <v>104</v>
      </c>
    </row>
    <row r="2" spans="1:53" x14ac:dyDescent="0.35">
      <c r="A2" s="7" t="s">
        <v>28</v>
      </c>
      <c r="B2" s="7" t="s">
        <v>66</v>
      </c>
      <c r="C2">
        <f>E2+F2+G2</f>
        <v>110.0051</v>
      </c>
      <c r="D2">
        <v>110.0051</v>
      </c>
      <c r="E2">
        <v>2.1168</v>
      </c>
      <c r="F2">
        <v>107.8883</v>
      </c>
      <c r="G2">
        <v>0</v>
      </c>
      <c r="H2">
        <v>24.0029</v>
      </c>
      <c r="I2">
        <v>10.3255</v>
      </c>
      <c r="J2">
        <v>13.6774</v>
      </c>
      <c r="K2">
        <v>0</v>
      </c>
      <c r="L2">
        <v>7.3593163001337496</v>
      </c>
      <c r="M2">
        <v>8.9689107490462359</v>
      </c>
      <c r="N2">
        <v>0.1416134410506705</v>
      </c>
      <c r="O2">
        <v>0.1725864552969005</v>
      </c>
      <c r="P2">
        <v>7.2177028590830803</v>
      </c>
      <c r="Q2">
        <v>8.7963242937493362</v>
      </c>
      <c r="R2">
        <v>0</v>
      </c>
      <c r="S2">
        <v>0</v>
      </c>
      <c r="T2">
        <v>1.605788579079338</v>
      </c>
      <c r="U2">
        <v>1.956998973850139</v>
      </c>
      <c r="V2">
        <v>0.690773613741827</v>
      </c>
      <c r="W2">
        <v>0.84185631338253319</v>
      </c>
      <c r="X2">
        <v>0.91501496533751059</v>
      </c>
      <c r="Y2">
        <v>1.115142660467606</v>
      </c>
      <c r="Z2">
        <v>0</v>
      </c>
      <c r="AA2">
        <v>0</v>
      </c>
      <c r="AB2">
        <v>1226.51571721458</v>
      </c>
      <c r="AC2">
        <v>1494.77336635199</v>
      </c>
      <c r="AD2" s="19">
        <f>D2+H2</f>
        <v>134.00800000000001</v>
      </c>
      <c r="AE2" s="19">
        <f>(D2)+(H2)</f>
        <v>134.00800000000001</v>
      </c>
      <c r="AF2">
        <f>($D2/$AE2)</f>
        <v>0.82088457405528026</v>
      </c>
      <c r="AG2">
        <f>$D2/$AE2</f>
        <v>0.82088457405528026</v>
      </c>
      <c r="AH2">
        <f>(($D2)/(AD2))</f>
        <v>0.82088457405528026</v>
      </c>
      <c r="AI2">
        <f t="shared" ref="AI2:AI58" si="0">$D2/(AD2)</f>
        <v>0.82088457405528026</v>
      </c>
      <c r="AJ2">
        <f>($F2/(AE2))</f>
        <v>0.80508850217897432</v>
      </c>
      <c r="AK2">
        <f>($F2/(AD2))</f>
        <v>0.80508850217897432</v>
      </c>
      <c r="AL2">
        <f>($E2/AE2)</f>
        <v>1.5796071876305891E-2</v>
      </c>
      <c r="AM2">
        <f>($E2/AD2)</f>
        <v>1.5796071876305891E-2</v>
      </c>
      <c r="AN2">
        <f>($G2/$AE2)</f>
        <v>0</v>
      </c>
      <c r="AO2">
        <f>($G2/$AD2)</f>
        <v>0</v>
      </c>
      <c r="AP2" s="20">
        <f>(F2/((E2)+(F2)))</f>
        <v>0.98075725579995843</v>
      </c>
      <c r="AQ2" s="21">
        <f>(E2/D2)</f>
        <v>1.9242744200041635E-2</v>
      </c>
      <c r="AR2">
        <f>($H2/(AE2))</f>
        <v>0.17911542594471971</v>
      </c>
      <c r="AS2">
        <f>($H2/(AD2))</f>
        <v>0.17911542594471971</v>
      </c>
      <c r="AT2">
        <f>($I2/(AE2))</f>
        <v>7.7051370067458658E-2</v>
      </c>
      <c r="AU2">
        <f>($I2/(AD2))</f>
        <v>7.7051370067458658E-2</v>
      </c>
      <c r="AV2">
        <f>(J2/(AD2))</f>
        <v>0.10206405587726106</v>
      </c>
      <c r="AW2">
        <f>(I2/H2)</f>
        <v>0.43017718692324675</v>
      </c>
      <c r="AX2">
        <f>J2/H2</f>
        <v>0.5698228130767532</v>
      </c>
      <c r="AY2">
        <f>(AD2/AC2)</f>
        <v>8.96510487921309E-2</v>
      </c>
      <c r="AZ2">
        <f>(AD2)/AB2</f>
        <v>0.10925909722896375</v>
      </c>
      <c r="BA2" s="8">
        <f>(AE2/AC2)</f>
        <v>8.96510487921309E-2</v>
      </c>
    </row>
    <row r="3" spans="1:53" x14ac:dyDescent="0.35">
      <c r="A3" s="7" t="s">
        <v>29</v>
      </c>
      <c r="B3" s="7" t="s">
        <v>66</v>
      </c>
      <c r="C3">
        <f t="shared" ref="C3:C66" si="1">E3+F3+G3</f>
        <v>144.75</v>
      </c>
      <c r="D3">
        <v>81</v>
      </c>
      <c r="E3">
        <v>2.4</v>
      </c>
      <c r="F3">
        <v>78.599999999999994</v>
      </c>
      <c r="G3">
        <v>63.75</v>
      </c>
      <c r="H3">
        <v>51.7</v>
      </c>
      <c r="I3">
        <v>3.7</v>
      </c>
      <c r="J3">
        <v>48</v>
      </c>
      <c r="K3">
        <v>0</v>
      </c>
      <c r="L3">
        <v>4.7742400680565593</v>
      </c>
      <c r="M3">
        <v>4.6997712099071647</v>
      </c>
      <c r="N3">
        <v>0.14145896497945359</v>
      </c>
      <c r="O3">
        <v>0.13925248029354559</v>
      </c>
      <c r="P3">
        <v>4.6327811030771064</v>
      </c>
      <c r="Q3">
        <v>4.5605187296136194</v>
      </c>
      <c r="R3">
        <v>3.7575037572667358</v>
      </c>
      <c r="S3">
        <v>3.698894007797306</v>
      </c>
      <c r="T3">
        <v>3.0472618705990642</v>
      </c>
      <c r="U3">
        <v>2.999730512990129</v>
      </c>
      <c r="V3">
        <v>0.2180825710099909</v>
      </c>
      <c r="W3">
        <v>0.2146809071192162</v>
      </c>
      <c r="X3">
        <v>2.829179299589073</v>
      </c>
      <c r="Y3">
        <v>2.7850496058709129</v>
      </c>
      <c r="Z3">
        <v>0</v>
      </c>
      <c r="AA3">
        <v>0</v>
      </c>
      <c r="AB3">
        <v>1723.48815255626</v>
      </c>
      <c r="AC3">
        <v>1696.60508992738</v>
      </c>
      <c r="AD3" s="19">
        <f t="shared" ref="AD3:AD66" si="2">D3+H3</f>
        <v>132.69999999999999</v>
      </c>
      <c r="AE3" s="19">
        <f t="shared" ref="AE3:AE66" si="3">(D3)+(H3)</f>
        <v>132.69999999999999</v>
      </c>
      <c r="AF3">
        <f t="shared" ref="AF3:AF66" si="4">($D3/$AE3)</f>
        <v>0.6103993971363979</v>
      </c>
      <c r="AG3">
        <f t="shared" ref="AG3:AG58" si="5">D3/AE3</f>
        <v>0.6103993971363979</v>
      </c>
      <c r="AH3">
        <f t="shared" ref="AH3:AH66" si="6">(($D3)/(AD3))</f>
        <v>0.6103993971363979</v>
      </c>
      <c r="AI3">
        <f t="shared" si="0"/>
        <v>0.6103993971363979</v>
      </c>
      <c r="AJ3">
        <f t="shared" ref="AJ3:AJ66" si="7">($F3/(AE3))</f>
        <v>0.59231348907309722</v>
      </c>
      <c r="AK3">
        <f t="shared" ref="AK3:AK58" si="8">(F3/(AD3))</f>
        <v>0.59231348907309722</v>
      </c>
      <c r="AL3">
        <f t="shared" ref="AL3:AL66" si="9">($E3/AE3)</f>
        <v>1.8085908063300678E-2</v>
      </c>
      <c r="AM3">
        <f t="shared" ref="AM3:AM66" si="10">(E3/AD3)</f>
        <v>1.8085908063300678E-2</v>
      </c>
      <c r="AN3">
        <f t="shared" ref="AN3:AN66" si="11">($G3/$AE3)</f>
        <v>0.48040693293142428</v>
      </c>
      <c r="AO3">
        <f t="shared" ref="AO3:AO66" si="12">($G3/$AD3)</f>
        <v>0.48040693293142428</v>
      </c>
      <c r="AP3" s="20">
        <f t="shared" ref="AP3:AP66" si="13">(F3/((E3)+(F3)))</f>
        <v>0.97037037037037033</v>
      </c>
      <c r="AQ3" s="21">
        <f t="shared" ref="AQ3:AQ66" si="14">(E3/D3)</f>
        <v>2.9629629629629627E-2</v>
      </c>
      <c r="AR3">
        <f t="shared" ref="AR3:AR66" si="15">($H3/(AE3))</f>
        <v>0.38960060286360215</v>
      </c>
      <c r="AS3">
        <f t="shared" ref="AS3:AS66" si="16">($H3/(AD3))</f>
        <v>0.38960060286360215</v>
      </c>
      <c r="AT3">
        <f t="shared" ref="AT3:AT66" si="17">($I3/(AE3))</f>
        <v>2.7882441597588549E-2</v>
      </c>
      <c r="AU3">
        <f t="shared" ref="AU3:AU66" si="18">($I3/(AD3))</f>
        <v>2.7882441597588549E-2</v>
      </c>
      <c r="AV3">
        <f t="shared" ref="AV3:AV66" si="19">(J3/(AD3))</f>
        <v>0.36171816126601358</v>
      </c>
      <c r="AW3">
        <f t="shared" ref="AW3:AW66" si="20">(I3/H3)</f>
        <v>7.1566731141199227E-2</v>
      </c>
      <c r="AX3">
        <f t="shared" ref="AX3:AX66" si="21">J3/H3</f>
        <v>0.92843326885880073</v>
      </c>
      <c r="AY3">
        <f t="shared" ref="AY3:AY66" si="22">(AD3/AC3)</f>
        <v>7.8215019386556214E-2</v>
      </c>
      <c r="AZ3">
        <f t="shared" ref="AZ3:AZ66" si="23">(AD3)/AB3</f>
        <v>7.6995017228972937E-2</v>
      </c>
      <c r="BA3" s="8">
        <f t="shared" ref="BA3:BA66" si="24">(AE3/AC3)</f>
        <v>7.8215019386556214E-2</v>
      </c>
    </row>
    <row r="4" spans="1:53" x14ac:dyDescent="0.35">
      <c r="A4" s="7" t="s">
        <v>30</v>
      </c>
      <c r="B4" s="7" t="s">
        <v>66</v>
      </c>
      <c r="C4">
        <f t="shared" si="1"/>
        <v>65</v>
      </c>
      <c r="D4">
        <v>16.5</v>
      </c>
      <c r="E4">
        <v>5.5</v>
      </c>
      <c r="F4">
        <v>11</v>
      </c>
      <c r="G4">
        <v>48.5</v>
      </c>
      <c r="H4">
        <v>348</v>
      </c>
      <c r="I4">
        <v>0</v>
      </c>
      <c r="J4">
        <v>348</v>
      </c>
      <c r="K4">
        <v>0</v>
      </c>
      <c r="L4">
        <v>0.630538110393977</v>
      </c>
      <c r="M4">
        <v>0.56757783839276432</v>
      </c>
      <c r="N4">
        <v>0.21017937013132559</v>
      </c>
      <c r="O4">
        <v>0.18919261279758809</v>
      </c>
      <c r="P4">
        <v>0.4203587402626513</v>
      </c>
      <c r="Q4">
        <v>0.37838522559517618</v>
      </c>
      <c r="R4">
        <v>1.853399900248963</v>
      </c>
      <c r="S4">
        <v>1.668334858306004</v>
      </c>
      <c r="T4">
        <v>13.29862196467297</v>
      </c>
      <c r="U4">
        <v>11.97073259155648</v>
      </c>
      <c r="V4">
        <v>0</v>
      </c>
      <c r="W4">
        <v>0</v>
      </c>
      <c r="X4">
        <v>13.29862196467297</v>
      </c>
      <c r="Y4">
        <v>11.97073259155648</v>
      </c>
      <c r="Z4">
        <v>0</v>
      </c>
      <c r="AA4">
        <v>0</v>
      </c>
      <c r="AB4">
        <v>2907.0902498102801</v>
      </c>
      <c r="AC4">
        <v>2616.8124857180101</v>
      </c>
      <c r="AD4" s="19">
        <f t="shared" si="2"/>
        <v>364.5</v>
      </c>
      <c r="AE4" s="19">
        <f t="shared" si="3"/>
        <v>364.5</v>
      </c>
      <c r="AF4">
        <f t="shared" si="4"/>
        <v>4.5267489711934158E-2</v>
      </c>
      <c r="AG4">
        <f t="shared" si="5"/>
        <v>4.5267489711934158E-2</v>
      </c>
      <c r="AH4">
        <f t="shared" si="6"/>
        <v>4.5267489711934158E-2</v>
      </c>
      <c r="AI4">
        <f t="shared" si="0"/>
        <v>4.5267489711934158E-2</v>
      </c>
      <c r="AJ4">
        <f t="shared" si="7"/>
        <v>3.017832647462277E-2</v>
      </c>
      <c r="AK4">
        <f t="shared" si="8"/>
        <v>3.017832647462277E-2</v>
      </c>
      <c r="AL4">
        <f t="shared" si="9"/>
        <v>1.5089163237311385E-2</v>
      </c>
      <c r="AM4">
        <f t="shared" si="10"/>
        <v>1.5089163237311385E-2</v>
      </c>
      <c r="AN4">
        <f t="shared" si="11"/>
        <v>0.13305898491083676</v>
      </c>
      <c r="AO4">
        <f t="shared" si="12"/>
        <v>0.13305898491083676</v>
      </c>
      <c r="AP4" s="20">
        <f t="shared" si="13"/>
        <v>0.66666666666666663</v>
      </c>
      <c r="AQ4" s="21">
        <f t="shared" si="14"/>
        <v>0.33333333333333331</v>
      </c>
      <c r="AR4">
        <f t="shared" si="15"/>
        <v>0.95473251028806583</v>
      </c>
      <c r="AS4">
        <f t="shared" si="16"/>
        <v>0.95473251028806583</v>
      </c>
      <c r="AT4">
        <f t="shared" si="17"/>
        <v>0</v>
      </c>
      <c r="AU4">
        <f t="shared" si="18"/>
        <v>0</v>
      </c>
      <c r="AV4">
        <f t="shared" si="19"/>
        <v>0.95473251028806583</v>
      </c>
      <c r="AW4">
        <f t="shared" si="20"/>
        <v>0</v>
      </c>
      <c r="AX4">
        <f t="shared" si="21"/>
        <v>1</v>
      </c>
      <c r="AY4">
        <f t="shared" si="22"/>
        <v>0.13929160075066946</v>
      </c>
      <c r="AZ4">
        <f t="shared" si="23"/>
        <v>0.12538310429949248</v>
      </c>
      <c r="BA4" s="8">
        <f t="shared" si="24"/>
        <v>0.13929160075066946</v>
      </c>
    </row>
    <row r="5" spans="1:53" x14ac:dyDescent="0.35">
      <c r="A5" s="7" t="s">
        <v>31</v>
      </c>
      <c r="B5" s="7" t="s">
        <v>66</v>
      </c>
      <c r="C5">
        <f t="shared" si="1"/>
        <v>143</v>
      </c>
      <c r="D5">
        <v>143</v>
      </c>
      <c r="E5">
        <v>11.2</v>
      </c>
      <c r="F5">
        <v>131.80000000000001</v>
      </c>
      <c r="G5">
        <v>0</v>
      </c>
      <c r="H5">
        <v>1072</v>
      </c>
      <c r="I5">
        <v>223</v>
      </c>
      <c r="J5">
        <v>849</v>
      </c>
      <c r="K5">
        <v>0</v>
      </c>
      <c r="L5">
        <v>3.975184466200266</v>
      </c>
      <c r="M5">
        <v>3.4360258824878329</v>
      </c>
      <c r="N5">
        <v>0.3113431190310697</v>
      </c>
      <c r="O5">
        <v>0.26911531387317289</v>
      </c>
      <c r="P5">
        <v>3.6638413471691962</v>
      </c>
      <c r="Q5">
        <v>3.1669105686146599</v>
      </c>
      <c r="R5">
        <v>0</v>
      </c>
      <c r="S5">
        <v>0</v>
      </c>
      <c r="T5">
        <v>29.79998425011668</v>
      </c>
      <c r="U5">
        <v>25.758180042146549</v>
      </c>
      <c r="V5">
        <v>6.1990638878507633</v>
      </c>
      <c r="W5">
        <v>5.3582781244390683</v>
      </c>
      <c r="X5">
        <v>23.600920362265921</v>
      </c>
      <c r="Y5">
        <v>20.399901917707481</v>
      </c>
      <c r="Z5">
        <v>0</v>
      </c>
      <c r="AA5">
        <v>0</v>
      </c>
      <c r="AB5">
        <v>4161.7847155581303</v>
      </c>
      <c r="AC5">
        <v>3597.3173374942398</v>
      </c>
      <c r="AD5" s="19">
        <f t="shared" si="2"/>
        <v>1215</v>
      </c>
      <c r="AE5" s="19">
        <f t="shared" si="3"/>
        <v>1215</v>
      </c>
      <c r="AF5">
        <f t="shared" si="4"/>
        <v>0.1176954732510288</v>
      </c>
      <c r="AG5">
        <f t="shared" si="5"/>
        <v>0.1176954732510288</v>
      </c>
      <c r="AH5">
        <f t="shared" si="6"/>
        <v>0.1176954732510288</v>
      </c>
      <c r="AI5">
        <f t="shared" si="0"/>
        <v>0.1176954732510288</v>
      </c>
      <c r="AJ5">
        <f t="shared" si="7"/>
        <v>0.10847736625514404</v>
      </c>
      <c r="AK5">
        <f t="shared" si="8"/>
        <v>0.10847736625514404</v>
      </c>
      <c r="AL5">
        <f t="shared" si="9"/>
        <v>9.2181069958847724E-3</v>
      </c>
      <c r="AM5">
        <f t="shared" si="10"/>
        <v>9.2181069958847724E-3</v>
      </c>
      <c r="AN5">
        <f t="shared" si="11"/>
        <v>0</v>
      </c>
      <c r="AO5">
        <f t="shared" si="12"/>
        <v>0</v>
      </c>
      <c r="AP5" s="20">
        <f t="shared" si="13"/>
        <v>0.92167832167832175</v>
      </c>
      <c r="AQ5" s="21">
        <f t="shared" si="14"/>
        <v>7.8321678321678315E-2</v>
      </c>
      <c r="AR5">
        <f t="shared" si="15"/>
        <v>0.8823045267489712</v>
      </c>
      <c r="AS5">
        <f t="shared" si="16"/>
        <v>0.8823045267489712</v>
      </c>
      <c r="AT5">
        <f t="shared" si="17"/>
        <v>0.18353909465020576</v>
      </c>
      <c r="AU5">
        <f t="shared" si="18"/>
        <v>0.18353909465020576</v>
      </c>
      <c r="AV5">
        <f t="shared" si="19"/>
        <v>0.6987654320987654</v>
      </c>
      <c r="AW5">
        <f t="shared" si="20"/>
        <v>0.2080223880597015</v>
      </c>
      <c r="AX5">
        <f t="shared" si="21"/>
        <v>0.79197761194029848</v>
      </c>
      <c r="AY5">
        <f t="shared" si="22"/>
        <v>0.33775168716316939</v>
      </c>
      <c r="AZ5">
        <f t="shared" si="23"/>
        <v>0.29194205924634387</v>
      </c>
      <c r="BA5" s="8">
        <f t="shared" si="24"/>
        <v>0.33775168716316939</v>
      </c>
    </row>
    <row r="6" spans="1:53" x14ac:dyDescent="0.35">
      <c r="A6" s="7" t="s">
        <v>32</v>
      </c>
      <c r="B6" s="7" t="s">
        <v>66</v>
      </c>
      <c r="C6">
        <f t="shared" si="1"/>
        <v>22</v>
      </c>
      <c r="D6">
        <v>22</v>
      </c>
      <c r="E6">
        <v>3.63</v>
      </c>
      <c r="F6">
        <v>18.37</v>
      </c>
      <c r="G6">
        <v>0</v>
      </c>
      <c r="H6">
        <v>591</v>
      </c>
      <c r="I6">
        <v>0</v>
      </c>
      <c r="J6">
        <v>591</v>
      </c>
      <c r="K6">
        <v>0</v>
      </c>
      <c r="L6">
        <v>1.14693390160691</v>
      </c>
      <c r="M6">
        <v>0.94111212635674024</v>
      </c>
      <c r="N6">
        <v>0.18924409376514009</v>
      </c>
      <c r="O6">
        <v>0.15528350084886211</v>
      </c>
      <c r="P6">
        <v>0.95768980784177005</v>
      </c>
      <c r="Q6">
        <v>0.78582862550787813</v>
      </c>
      <c r="R6">
        <v>0</v>
      </c>
      <c r="S6">
        <v>0</v>
      </c>
      <c r="T6">
        <v>30.810815265894721</v>
      </c>
      <c r="U6">
        <v>25.281693939856069</v>
      </c>
      <c r="V6">
        <v>0</v>
      </c>
      <c r="W6">
        <v>0</v>
      </c>
      <c r="X6">
        <v>30.810815265894721</v>
      </c>
      <c r="Y6">
        <v>25.281693939856069</v>
      </c>
      <c r="Z6">
        <v>0</v>
      </c>
      <c r="AA6">
        <v>0</v>
      </c>
      <c r="AB6">
        <v>2337.6598158571201</v>
      </c>
      <c r="AC6">
        <v>1918.15761738117</v>
      </c>
      <c r="AD6" s="19">
        <f t="shared" si="2"/>
        <v>613</v>
      </c>
      <c r="AE6" s="19">
        <f t="shared" si="3"/>
        <v>613</v>
      </c>
      <c r="AF6">
        <f t="shared" si="4"/>
        <v>3.588907014681892E-2</v>
      </c>
      <c r="AG6">
        <f t="shared" si="5"/>
        <v>3.588907014681892E-2</v>
      </c>
      <c r="AH6">
        <f t="shared" si="6"/>
        <v>3.588907014681892E-2</v>
      </c>
      <c r="AI6">
        <f t="shared" si="0"/>
        <v>3.588907014681892E-2</v>
      </c>
      <c r="AJ6">
        <f t="shared" si="7"/>
        <v>2.9967373572593804E-2</v>
      </c>
      <c r="AK6">
        <f t="shared" si="8"/>
        <v>2.9967373572593804E-2</v>
      </c>
      <c r="AL6">
        <f t="shared" si="9"/>
        <v>5.921696574225122E-3</v>
      </c>
      <c r="AM6">
        <f t="shared" si="10"/>
        <v>5.921696574225122E-3</v>
      </c>
      <c r="AN6">
        <f t="shared" si="11"/>
        <v>0</v>
      </c>
      <c r="AO6">
        <f t="shared" si="12"/>
        <v>0</v>
      </c>
      <c r="AP6" s="20">
        <f t="shared" si="13"/>
        <v>0.83500000000000008</v>
      </c>
      <c r="AQ6" s="21">
        <f t="shared" si="14"/>
        <v>0.16500000000000001</v>
      </c>
      <c r="AR6">
        <f t="shared" si="15"/>
        <v>0.96411092985318103</v>
      </c>
      <c r="AS6">
        <f t="shared" si="16"/>
        <v>0.96411092985318103</v>
      </c>
      <c r="AT6">
        <f t="shared" si="17"/>
        <v>0</v>
      </c>
      <c r="AU6">
        <f t="shared" si="18"/>
        <v>0</v>
      </c>
      <c r="AV6">
        <f t="shared" si="19"/>
        <v>0.96411092985318103</v>
      </c>
      <c r="AW6">
        <f t="shared" si="20"/>
        <v>0</v>
      </c>
      <c r="AX6">
        <f t="shared" si="21"/>
        <v>1</v>
      </c>
      <c r="AY6">
        <f t="shared" si="22"/>
        <v>0.31957749167501631</v>
      </c>
      <c r="AZ6">
        <f t="shared" si="23"/>
        <v>0.26222806066212806</v>
      </c>
      <c r="BA6" s="8">
        <f t="shared" si="24"/>
        <v>0.31957749167501631</v>
      </c>
    </row>
    <row r="7" spans="1:53" x14ac:dyDescent="0.35">
      <c r="A7" s="7" t="s">
        <v>33</v>
      </c>
      <c r="B7" s="7" t="s">
        <v>66</v>
      </c>
      <c r="C7">
        <f t="shared" si="1"/>
        <v>497</v>
      </c>
      <c r="D7">
        <v>497</v>
      </c>
      <c r="E7">
        <v>12.1906</v>
      </c>
      <c r="F7">
        <v>484.80939999999998</v>
      </c>
      <c r="G7">
        <v>0</v>
      </c>
      <c r="H7">
        <v>19</v>
      </c>
      <c r="I7">
        <v>0</v>
      </c>
      <c r="J7">
        <v>19</v>
      </c>
      <c r="K7">
        <v>0</v>
      </c>
      <c r="L7">
        <v>10.88877715515526</v>
      </c>
      <c r="M7">
        <v>9.3335923458114554</v>
      </c>
      <c r="N7">
        <v>0.26708395731918649</v>
      </c>
      <c r="O7">
        <v>0.22893780855301629</v>
      </c>
      <c r="P7">
        <v>10.62169319783607</v>
      </c>
      <c r="Q7">
        <v>9.1046545372584404</v>
      </c>
      <c r="R7">
        <v>0</v>
      </c>
      <c r="S7">
        <v>0</v>
      </c>
      <c r="T7">
        <v>0.41627115884899379</v>
      </c>
      <c r="U7">
        <v>0.35681741362257069</v>
      </c>
      <c r="V7">
        <v>0</v>
      </c>
      <c r="W7">
        <v>0</v>
      </c>
      <c r="X7">
        <v>0.41627115884899379</v>
      </c>
      <c r="Y7">
        <v>0.35681741362257069</v>
      </c>
      <c r="Z7">
        <v>0</v>
      </c>
      <c r="AA7">
        <v>0</v>
      </c>
      <c r="AB7">
        <v>5324.8522282316499</v>
      </c>
      <c r="AC7">
        <v>4564.3325500944502</v>
      </c>
      <c r="AD7" s="19">
        <f t="shared" si="2"/>
        <v>516</v>
      </c>
      <c r="AE7" s="19">
        <f t="shared" si="3"/>
        <v>516</v>
      </c>
      <c r="AF7">
        <f t="shared" si="4"/>
        <v>0.96317829457364346</v>
      </c>
      <c r="AG7">
        <f t="shared" si="5"/>
        <v>0.96317829457364346</v>
      </c>
      <c r="AH7">
        <f t="shared" si="6"/>
        <v>0.96317829457364346</v>
      </c>
      <c r="AI7">
        <f t="shared" si="0"/>
        <v>0.96317829457364346</v>
      </c>
      <c r="AJ7">
        <f t="shared" si="7"/>
        <v>0.93955310077519372</v>
      </c>
      <c r="AK7">
        <f t="shared" si="8"/>
        <v>0.93955310077519372</v>
      </c>
      <c r="AL7">
        <f t="shared" si="9"/>
        <v>2.3625193798449611E-2</v>
      </c>
      <c r="AM7">
        <f t="shared" si="10"/>
        <v>2.3625193798449611E-2</v>
      </c>
      <c r="AN7">
        <f t="shared" si="11"/>
        <v>0</v>
      </c>
      <c r="AO7">
        <f t="shared" si="12"/>
        <v>0</v>
      </c>
      <c r="AP7" s="20">
        <f t="shared" si="13"/>
        <v>0.97547162977867197</v>
      </c>
      <c r="AQ7" s="21">
        <f t="shared" si="14"/>
        <v>2.4528370221327967E-2</v>
      </c>
      <c r="AR7">
        <f t="shared" si="15"/>
        <v>3.6821705426356592E-2</v>
      </c>
      <c r="AS7">
        <f t="shared" si="16"/>
        <v>3.6821705426356592E-2</v>
      </c>
      <c r="AT7">
        <f t="shared" si="17"/>
        <v>0</v>
      </c>
      <c r="AU7">
        <f t="shared" si="18"/>
        <v>0</v>
      </c>
      <c r="AV7">
        <f t="shared" si="19"/>
        <v>3.6821705426356592E-2</v>
      </c>
      <c r="AW7">
        <f t="shared" si="20"/>
        <v>0</v>
      </c>
      <c r="AX7">
        <f t="shared" si="21"/>
        <v>1</v>
      </c>
      <c r="AY7">
        <f t="shared" si="22"/>
        <v>0.11305048314004254</v>
      </c>
      <c r="AZ7">
        <f t="shared" si="23"/>
        <v>9.6904097594340266E-2</v>
      </c>
      <c r="BA7" s="8">
        <f t="shared" si="24"/>
        <v>0.11305048314004254</v>
      </c>
    </row>
    <row r="8" spans="1:53" x14ac:dyDescent="0.35">
      <c r="A8" s="7" t="s">
        <v>34</v>
      </c>
      <c r="B8" s="7" t="s">
        <v>66</v>
      </c>
      <c r="C8">
        <f t="shared" si="1"/>
        <v>38</v>
      </c>
      <c r="D8">
        <v>24</v>
      </c>
      <c r="E8">
        <v>2.5</v>
      </c>
      <c r="F8">
        <v>21.5</v>
      </c>
      <c r="G8">
        <v>14</v>
      </c>
      <c r="H8">
        <v>215</v>
      </c>
      <c r="I8">
        <v>101</v>
      </c>
      <c r="J8">
        <v>114</v>
      </c>
      <c r="K8">
        <v>0</v>
      </c>
      <c r="L8">
        <v>1.465070020161209</v>
      </c>
      <c r="M8">
        <v>1.112894023274418</v>
      </c>
      <c r="N8">
        <v>0.15261146043345919</v>
      </c>
      <c r="O8">
        <v>0.1159264607577518</v>
      </c>
      <c r="P8">
        <v>1.3124585597277501</v>
      </c>
      <c r="Q8">
        <v>0.99696756251666563</v>
      </c>
      <c r="R8">
        <v>0.85462417842737204</v>
      </c>
      <c r="S8">
        <v>0.64918818024341018</v>
      </c>
      <c r="T8">
        <v>13.1245855972775</v>
      </c>
      <c r="U8">
        <v>9.9696756251666603</v>
      </c>
      <c r="V8">
        <v>6.1655030015117536</v>
      </c>
      <c r="W8">
        <v>4.6834290146131741</v>
      </c>
      <c r="X8">
        <v>6.9590825957657438</v>
      </c>
      <c r="Y8">
        <v>5.2862466105534844</v>
      </c>
      <c r="Z8">
        <v>0</v>
      </c>
      <c r="AA8">
        <v>0</v>
      </c>
      <c r="AB8">
        <v>2156.5395714307001</v>
      </c>
      <c r="AC8">
        <v>1638.14696019506</v>
      </c>
      <c r="AD8" s="19">
        <f t="shared" si="2"/>
        <v>239</v>
      </c>
      <c r="AE8" s="19">
        <f t="shared" si="3"/>
        <v>239</v>
      </c>
      <c r="AF8">
        <f t="shared" si="4"/>
        <v>0.100418410041841</v>
      </c>
      <c r="AG8">
        <f t="shared" si="5"/>
        <v>0.100418410041841</v>
      </c>
      <c r="AH8">
        <f t="shared" si="6"/>
        <v>0.100418410041841</v>
      </c>
      <c r="AI8">
        <f t="shared" si="0"/>
        <v>0.100418410041841</v>
      </c>
      <c r="AJ8">
        <f t="shared" si="7"/>
        <v>8.9958158995815898E-2</v>
      </c>
      <c r="AK8">
        <f t="shared" si="8"/>
        <v>8.9958158995815898E-2</v>
      </c>
      <c r="AL8">
        <f t="shared" si="9"/>
        <v>1.0460251046025104E-2</v>
      </c>
      <c r="AM8">
        <f t="shared" si="10"/>
        <v>1.0460251046025104E-2</v>
      </c>
      <c r="AN8">
        <f t="shared" si="11"/>
        <v>5.8577405857740586E-2</v>
      </c>
      <c r="AO8">
        <f t="shared" si="12"/>
        <v>5.8577405857740586E-2</v>
      </c>
      <c r="AP8" s="20">
        <f t="shared" si="13"/>
        <v>0.89583333333333337</v>
      </c>
      <c r="AQ8" s="21">
        <f t="shared" si="14"/>
        <v>0.10416666666666667</v>
      </c>
      <c r="AR8">
        <f t="shared" si="15"/>
        <v>0.89958158995815896</v>
      </c>
      <c r="AS8">
        <f t="shared" si="16"/>
        <v>0.89958158995815896</v>
      </c>
      <c r="AT8">
        <f t="shared" si="17"/>
        <v>0.42259414225941422</v>
      </c>
      <c r="AU8">
        <f t="shared" si="18"/>
        <v>0.42259414225941422</v>
      </c>
      <c r="AV8">
        <f t="shared" si="19"/>
        <v>0.47698744769874479</v>
      </c>
      <c r="AW8">
        <f t="shared" si="20"/>
        <v>0.4697674418604651</v>
      </c>
      <c r="AX8">
        <f t="shared" si="21"/>
        <v>0.53023255813953485</v>
      </c>
      <c r="AY8">
        <f t="shared" si="22"/>
        <v>0.14589655617438707</v>
      </c>
      <c r="AZ8">
        <f t="shared" si="23"/>
        <v>0.11082569648441075</v>
      </c>
      <c r="BA8" s="8">
        <f t="shared" si="24"/>
        <v>0.14589655617438707</v>
      </c>
    </row>
    <row r="9" spans="1:53" x14ac:dyDescent="0.35">
      <c r="A9" s="7" t="s">
        <v>35</v>
      </c>
      <c r="B9" s="7" t="s">
        <v>66</v>
      </c>
      <c r="C9">
        <f t="shared" si="1"/>
        <v>14.892900000000001</v>
      </c>
      <c r="D9">
        <v>14.892899999999999</v>
      </c>
      <c r="E9">
        <v>4.1786000000000003</v>
      </c>
      <c r="F9">
        <v>10.7143</v>
      </c>
      <c r="G9">
        <v>0</v>
      </c>
      <c r="H9">
        <v>175.61519999999999</v>
      </c>
      <c r="I9">
        <v>11</v>
      </c>
      <c r="J9">
        <v>164.61519999999999</v>
      </c>
      <c r="K9">
        <v>11.4316</v>
      </c>
      <c r="L9">
        <v>1.1249106429758049</v>
      </c>
      <c r="M9">
        <v>0.82898248866192525</v>
      </c>
      <c r="N9">
        <v>0.31562366045153722</v>
      </c>
      <c r="O9">
        <v>0.2325931300903599</v>
      </c>
      <c r="P9">
        <v>0.80928698252426767</v>
      </c>
      <c r="Q9">
        <v>0.59638935857156539</v>
      </c>
      <c r="R9">
        <v>0</v>
      </c>
      <c r="S9">
        <v>0</v>
      </c>
      <c r="T9">
        <v>13.264804540977551</v>
      </c>
      <c r="U9">
        <v>9.7752570381095527</v>
      </c>
      <c r="V9">
        <v>0.83086686090243378</v>
      </c>
      <c r="W9">
        <v>0.61229225841046264</v>
      </c>
      <c r="X9">
        <v>12.43393768007512</v>
      </c>
      <c r="Y9">
        <v>9.1629647796990881</v>
      </c>
      <c r="Z9">
        <v>0.86346705519020561</v>
      </c>
      <c r="AA9">
        <v>0.63631638011318581</v>
      </c>
      <c r="AB9">
        <v>1796.5276955414199</v>
      </c>
      <c r="AC9">
        <v>1323.9184901480501</v>
      </c>
      <c r="AD9" s="19">
        <f t="shared" si="2"/>
        <v>190.50809999999998</v>
      </c>
      <c r="AE9" s="19">
        <f t="shared" si="3"/>
        <v>190.50809999999998</v>
      </c>
      <c r="AF9">
        <f t="shared" si="4"/>
        <v>7.8174628795311063E-2</v>
      </c>
      <c r="AG9">
        <f t="shared" si="5"/>
        <v>7.8174628795311063E-2</v>
      </c>
      <c r="AH9">
        <f t="shared" si="6"/>
        <v>7.8174628795311063E-2</v>
      </c>
      <c r="AI9">
        <f t="shared" si="0"/>
        <v>7.8174628795311063E-2</v>
      </c>
      <c r="AJ9">
        <f t="shared" si="7"/>
        <v>5.624065328455851E-2</v>
      </c>
      <c r="AK9">
        <f t="shared" si="8"/>
        <v>5.624065328455851E-2</v>
      </c>
      <c r="AL9">
        <f t="shared" si="9"/>
        <v>2.1933975510752563E-2</v>
      </c>
      <c r="AM9">
        <f t="shared" si="10"/>
        <v>2.1933975510752563E-2</v>
      </c>
      <c r="AN9">
        <f t="shared" si="11"/>
        <v>0</v>
      </c>
      <c r="AO9">
        <f t="shared" si="12"/>
        <v>0</v>
      </c>
      <c r="AP9" s="20">
        <f t="shared" si="13"/>
        <v>0.71942334938124874</v>
      </c>
      <c r="AQ9" s="21">
        <f t="shared" si="14"/>
        <v>0.28057665061875126</v>
      </c>
      <c r="AR9">
        <f t="shared" si="15"/>
        <v>0.92182537120468899</v>
      </c>
      <c r="AS9">
        <f t="shared" si="16"/>
        <v>0.92182537120468899</v>
      </c>
      <c r="AT9">
        <f t="shared" si="17"/>
        <v>5.7740327051710665E-2</v>
      </c>
      <c r="AU9">
        <f t="shared" si="18"/>
        <v>5.7740327051710665E-2</v>
      </c>
      <c r="AV9">
        <f t="shared" si="19"/>
        <v>0.86408504415297827</v>
      </c>
      <c r="AW9">
        <f t="shared" si="20"/>
        <v>6.2636947143527438E-2</v>
      </c>
      <c r="AX9">
        <f t="shared" si="21"/>
        <v>0.93736305285647259</v>
      </c>
      <c r="AY9">
        <f t="shared" si="22"/>
        <v>0.14389715183953355</v>
      </c>
      <c r="AZ9">
        <f t="shared" si="23"/>
        <v>0.10604239526771476</v>
      </c>
      <c r="BA9" s="8">
        <f t="shared" si="24"/>
        <v>0.14389715183953355</v>
      </c>
    </row>
    <row r="10" spans="1:53" x14ac:dyDescent="0.35">
      <c r="A10" s="7" t="s">
        <v>36</v>
      </c>
      <c r="B10" s="7" t="s">
        <v>66</v>
      </c>
      <c r="C10">
        <f t="shared" si="1"/>
        <v>83.000000005000004</v>
      </c>
      <c r="D10">
        <v>83.000000005000004</v>
      </c>
      <c r="E10">
        <v>6.384615385</v>
      </c>
      <c r="F10">
        <v>76.61538462</v>
      </c>
      <c r="G10">
        <v>0</v>
      </c>
      <c r="H10">
        <v>423</v>
      </c>
      <c r="I10">
        <v>423</v>
      </c>
      <c r="J10">
        <v>0</v>
      </c>
      <c r="K10">
        <v>0</v>
      </c>
      <c r="L10">
        <v>2.628755024499684</v>
      </c>
      <c r="M10">
        <v>2.8212212457603552</v>
      </c>
      <c r="N10">
        <v>0.20221192496151411</v>
      </c>
      <c r="O10">
        <v>0.2170170189046427</v>
      </c>
      <c r="P10">
        <v>2.4265430995381698</v>
      </c>
      <c r="Q10">
        <v>2.6042042268557122</v>
      </c>
      <c r="R10">
        <v>0</v>
      </c>
      <c r="S10">
        <v>0</v>
      </c>
      <c r="T10">
        <v>13.39714909995639</v>
      </c>
      <c r="U10">
        <v>14.37803116728602</v>
      </c>
      <c r="V10">
        <v>13.39714909995639</v>
      </c>
      <c r="W10">
        <v>14.37803116728602</v>
      </c>
      <c r="X10">
        <v>0</v>
      </c>
      <c r="Y10">
        <v>0</v>
      </c>
      <c r="Z10">
        <v>0</v>
      </c>
      <c r="AA10">
        <v>0</v>
      </c>
      <c r="AB10">
        <v>2941.9883367789698</v>
      </c>
      <c r="AC10">
        <v>3157.38816403392</v>
      </c>
      <c r="AD10" s="19">
        <f t="shared" si="2"/>
        <v>506.000000005</v>
      </c>
      <c r="AE10" s="19">
        <f t="shared" si="3"/>
        <v>506.000000005</v>
      </c>
      <c r="AF10">
        <f t="shared" si="4"/>
        <v>0.16403162056162024</v>
      </c>
      <c r="AG10">
        <f t="shared" si="5"/>
        <v>0.16403162056162024</v>
      </c>
      <c r="AH10">
        <f t="shared" si="6"/>
        <v>0.16403162056162024</v>
      </c>
      <c r="AI10">
        <f t="shared" si="0"/>
        <v>0.16403162056162024</v>
      </c>
      <c r="AJ10">
        <f t="shared" si="7"/>
        <v>0.15141380359534176</v>
      </c>
      <c r="AK10">
        <f t="shared" si="8"/>
        <v>0.15141380359534176</v>
      </c>
      <c r="AL10">
        <f t="shared" si="9"/>
        <v>1.261781696627848E-2</v>
      </c>
      <c r="AM10">
        <f t="shared" si="10"/>
        <v>1.261781696627848E-2</v>
      </c>
      <c r="AN10">
        <f t="shared" si="11"/>
        <v>0</v>
      </c>
      <c r="AO10">
        <f t="shared" si="12"/>
        <v>0</v>
      </c>
      <c r="AP10" s="20">
        <f t="shared" si="13"/>
        <v>0.92307692307692302</v>
      </c>
      <c r="AQ10" s="21">
        <f t="shared" si="14"/>
        <v>7.6923076923076913E-2</v>
      </c>
      <c r="AR10">
        <f t="shared" si="15"/>
        <v>0.83596837943837976</v>
      </c>
      <c r="AS10">
        <f t="shared" si="16"/>
        <v>0.83596837943837976</v>
      </c>
      <c r="AT10">
        <f t="shared" si="17"/>
        <v>0.83596837943837976</v>
      </c>
      <c r="AU10">
        <f t="shared" si="18"/>
        <v>0.83596837943837976</v>
      </c>
      <c r="AV10">
        <f t="shared" si="19"/>
        <v>0</v>
      </c>
      <c r="AW10">
        <f t="shared" si="20"/>
        <v>1</v>
      </c>
      <c r="AX10">
        <f t="shared" si="21"/>
        <v>0</v>
      </c>
      <c r="AY10">
        <f t="shared" si="22"/>
        <v>0.16025904124456078</v>
      </c>
      <c r="AZ10">
        <f t="shared" si="23"/>
        <v>0.17199252413046379</v>
      </c>
      <c r="BA10" s="8">
        <f t="shared" si="24"/>
        <v>0.16025904124456078</v>
      </c>
    </row>
    <row r="11" spans="1:53" x14ac:dyDescent="0.35">
      <c r="A11" s="7" t="s">
        <v>37</v>
      </c>
      <c r="B11" s="7" t="s">
        <v>66</v>
      </c>
      <c r="C11">
        <f t="shared" si="1"/>
        <v>1395</v>
      </c>
      <c r="D11">
        <v>1395</v>
      </c>
      <c r="E11">
        <v>9.4499999999999993</v>
      </c>
      <c r="F11">
        <v>1385.55</v>
      </c>
      <c r="G11">
        <v>0</v>
      </c>
      <c r="H11">
        <v>510</v>
      </c>
      <c r="I11">
        <v>56</v>
      </c>
      <c r="J11">
        <v>454</v>
      </c>
      <c r="K11">
        <v>0</v>
      </c>
      <c r="L11">
        <v>6.9998581774039028</v>
      </c>
      <c r="M11">
        <v>6.9840045164241253</v>
      </c>
      <c r="N11">
        <v>4.7418394104994099E-2</v>
      </c>
      <c r="O11">
        <v>4.7310998337066597E-2</v>
      </c>
      <c r="P11">
        <v>6.9524397832989084</v>
      </c>
      <c r="Q11">
        <v>6.9366935180870586</v>
      </c>
      <c r="R11">
        <v>0</v>
      </c>
      <c r="S11">
        <v>0</v>
      </c>
      <c r="T11">
        <v>2.5590879358250822</v>
      </c>
      <c r="U11">
        <v>2.5532919737464539</v>
      </c>
      <c r="V11">
        <v>0.28099789099255812</v>
      </c>
      <c r="W11">
        <v>0.2803614716270616</v>
      </c>
      <c r="X11">
        <v>2.278090044832525</v>
      </c>
      <c r="Y11">
        <v>2.2729305021193928</v>
      </c>
      <c r="Z11">
        <v>0</v>
      </c>
      <c r="AA11">
        <v>0</v>
      </c>
      <c r="AB11">
        <v>19974.2138871676</v>
      </c>
      <c r="AC11">
        <v>19928.975197</v>
      </c>
      <c r="AD11" s="19">
        <f t="shared" si="2"/>
        <v>1905</v>
      </c>
      <c r="AE11" s="19">
        <f t="shared" si="3"/>
        <v>1905</v>
      </c>
      <c r="AF11">
        <f t="shared" si="4"/>
        <v>0.73228346456692917</v>
      </c>
      <c r="AG11">
        <f t="shared" si="5"/>
        <v>0.73228346456692917</v>
      </c>
      <c r="AH11">
        <f t="shared" si="6"/>
        <v>0.73228346456692917</v>
      </c>
      <c r="AI11">
        <f t="shared" si="0"/>
        <v>0.73228346456692917</v>
      </c>
      <c r="AJ11">
        <f t="shared" si="7"/>
        <v>0.72732283464566927</v>
      </c>
      <c r="AK11">
        <f t="shared" si="8"/>
        <v>0.72732283464566927</v>
      </c>
      <c r="AL11">
        <f t="shared" si="9"/>
        <v>4.9606299212598421E-3</v>
      </c>
      <c r="AM11">
        <f t="shared" si="10"/>
        <v>4.9606299212598421E-3</v>
      </c>
      <c r="AN11">
        <f t="shared" si="11"/>
        <v>0</v>
      </c>
      <c r="AO11">
        <f t="shared" si="12"/>
        <v>0</v>
      </c>
      <c r="AP11" s="20">
        <f t="shared" si="13"/>
        <v>0.99322580645161285</v>
      </c>
      <c r="AQ11" s="21">
        <f t="shared" si="14"/>
        <v>6.7741935483870966E-3</v>
      </c>
      <c r="AR11">
        <f t="shared" si="15"/>
        <v>0.26771653543307089</v>
      </c>
      <c r="AS11">
        <f t="shared" si="16"/>
        <v>0.26771653543307089</v>
      </c>
      <c r="AT11">
        <f t="shared" si="17"/>
        <v>2.9396325459317585E-2</v>
      </c>
      <c r="AU11">
        <f t="shared" si="18"/>
        <v>2.9396325459317585E-2</v>
      </c>
      <c r="AV11">
        <f t="shared" si="19"/>
        <v>0.23832020997375328</v>
      </c>
      <c r="AW11">
        <f t="shared" si="20"/>
        <v>0.10980392156862745</v>
      </c>
      <c r="AX11">
        <f t="shared" si="21"/>
        <v>0.8901960784313725</v>
      </c>
      <c r="AY11">
        <f t="shared" si="22"/>
        <v>9.558946113228986E-2</v>
      </c>
      <c r="AZ11">
        <f t="shared" si="23"/>
        <v>9.5372964901705798E-2</v>
      </c>
      <c r="BA11" s="8">
        <f t="shared" si="24"/>
        <v>9.558946113228986E-2</v>
      </c>
    </row>
    <row r="12" spans="1:53" x14ac:dyDescent="0.35">
      <c r="A12" s="7" t="s">
        <v>38</v>
      </c>
      <c r="B12" s="7" t="s">
        <v>66</v>
      </c>
      <c r="C12">
        <f t="shared" si="1"/>
        <v>1.8620000000000001</v>
      </c>
      <c r="D12">
        <v>1.8620000000000001</v>
      </c>
      <c r="E12">
        <v>1.8620000000000001</v>
      </c>
      <c r="F12">
        <v>0</v>
      </c>
      <c r="G12">
        <v>0</v>
      </c>
      <c r="H12">
        <v>3.3</v>
      </c>
      <c r="I12">
        <v>3.3</v>
      </c>
      <c r="J12">
        <v>0</v>
      </c>
      <c r="K12">
        <v>0</v>
      </c>
      <c r="L12">
        <v>0.145565263565308</v>
      </c>
      <c r="M12">
        <v>7.81805165395449E-2</v>
      </c>
      <c r="N12">
        <v>0.145565263565308</v>
      </c>
      <c r="O12">
        <v>7.81805165395449E-2</v>
      </c>
      <c r="P12">
        <v>0</v>
      </c>
      <c r="Q12">
        <v>0</v>
      </c>
      <c r="R12">
        <v>0</v>
      </c>
      <c r="S12">
        <v>0</v>
      </c>
      <c r="T12">
        <v>0.2579835498203632</v>
      </c>
      <c r="U12">
        <v>0.1385583805480656</v>
      </c>
      <c r="V12">
        <v>0.2579835498203632</v>
      </c>
      <c r="W12">
        <v>0.1385583805480656</v>
      </c>
      <c r="X12">
        <v>0</v>
      </c>
      <c r="Y12">
        <v>0</v>
      </c>
      <c r="Z12">
        <v>0</v>
      </c>
      <c r="AA12">
        <v>0</v>
      </c>
      <c r="AB12">
        <v>2381.6675591522499</v>
      </c>
      <c r="AC12">
        <v>1279.1513266244399</v>
      </c>
      <c r="AD12" s="19">
        <f t="shared" si="2"/>
        <v>5.1619999999999999</v>
      </c>
      <c r="AE12" s="19">
        <f t="shared" si="3"/>
        <v>5.1619999999999999</v>
      </c>
      <c r="AF12">
        <f t="shared" si="4"/>
        <v>0.36071290197597833</v>
      </c>
      <c r="AG12">
        <f t="shared" si="5"/>
        <v>0.36071290197597833</v>
      </c>
      <c r="AH12">
        <f t="shared" si="6"/>
        <v>0.36071290197597833</v>
      </c>
      <c r="AI12">
        <f t="shared" si="0"/>
        <v>0.36071290197597833</v>
      </c>
      <c r="AJ12">
        <f t="shared" si="7"/>
        <v>0</v>
      </c>
      <c r="AK12">
        <f t="shared" si="8"/>
        <v>0</v>
      </c>
      <c r="AL12">
        <f t="shared" si="9"/>
        <v>0.36071290197597833</v>
      </c>
      <c r="AM12">
        <f t="shared" si="10"/>
        <v>0.36071290197597833</v>
      </c>
      <c r="AN12">
        <f t="shared" si="11"/>
        <v>0</v>
      </c>
      <c r="AO12">
        <f t="shared" si="12"/>
        <v>0</v>
      </c>
      <c r="AP12" s="20">
        <f t="shared" si="13"/>
        <v>0</v>
      </c>
      <c r="AQ12" s="21">
        <f t="shared" si="14"/>
        <v>1</v>
      </c>
      <c r="AR12">
        <f t="shared" si="15"/>
        <v>0.63928709802402173</v>
      </c>
      <c r="AS12">
        <f t="shared" si="16"/>
        <v>0.63928709802402173</v>
      </c>
      <c r="AT12">
        <f t="shared" si="17"/>
        <v>0.63928709802402173</v>
      </c>
      <c r="AU12">
        <f t="shared" si="18"/>
        <v>0.63928709802402173</v>
      </c>
      <c r="AV12">
        <f t="shared" si="19"/>
        <v>0</v>
      </c>
      <c r="AW12">
        <f t="shared" si="20"/>
        <v>1</v>
      </c>
      <c r="AX12">
        <f t="shared" si="21"/>
        <v>0</v>
      </c>
      <c r="AY12">
        <f t="shared" si="22"/>
        <v>4.0354881338567133E-3</v>
      </c>
      <c r="AZ12">
        <f t="shared" si="23"/>
        <v>2.1673889708761049E-3</v>
      </c>
      <c r="BA12" s="8">
        <f t="shared" si="24"/>
        <v>4.0354881338567133E-3</v>
      </c>
    </row>
    <row r="13" spans="1:53" x14ac:dyDescent="0.35">
      <c r="A13" s="7" t="s">
        <v>39</v>
      </c>
      <c r="B13" s="7" t="s">
        <v>66</v>
      </c>
      <c r="C13">
        <f t="shared" si="1"/>
        <v>0</v>
      </c>
      <c r="D13">
        <v>0</v>
      </c>
      <c r="E13">
        <v>0</v>
      </c>
      <c r="F13">
        <v>0</v>
      </c>
      <c r="G13">
        <v>0</v>
      </c>
      <c r="H13">
        <v>3.8</v>
      </c>
      <c r="I13">
        <v>0</v>
      </c>
      <c r="J13">
        <v>3.8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0.38112295919650652</v>
      </c>
      <c r="U13">
        <v>0.16282573564584751</v>
      </c>
      <c r="V13">
        <v>0</v>
      </c>
      <c r="W13">
        <v>0</v>
      </c>
      <c r="X13">
        <v>0.38112295919650652</v>
      </c>
      <c r="Y13">
        <v>0.16282573564584751</v>
      </c>
      <c r="Z13">
        <v>0</v>
      </c>
      <c r="AA13">
        <v>0</v>
      </c>
      <c r="AB13">
        <v>2333.7834064911899</v>
      </c>
      <c r="AC13">
        <v>997.05355143423003</v>
      </c>
      <c r="AD13" s="19">
        <f t="shared" si="2"/>
        <v>3.8</v>
      </c>
      <c r="AE13" s="19">
        <f t="shared" si="3"/>
        <v>3.8</v>
      </c>
      <c r="AF13">
        <f t="shared" si="4"/>
        <v>0</v>
      </c>
      <c r="AG13">
        <f t="shared" si="5"/>
        <v>0</v>
      </c>
      <c r="AH13">
        <f t="shared" si="6"/>
        <v>0</v>
      </c>
      <c r="AI13">
        <f t="shared" si="0"/>
        <v>0</v>
      </c>
      <c r="AJ13">
        <f t="shared" si="7"/>
        <v>0</v>
      </c>
      <c r="AK13">
        <f t="shared" si="8"/>
        <v>0</v>
      </c>
      <c r="AL13">
        <f t="shared" si="9"/>
        <v>0</v>
      </c>
      <c r="AM13">
        <f t="shared" si="10"/>
        <v>0</v>
      </c>
      <c r="AN13">
        <f t="shared" si="11"/>
        <v>0</v>
      </c>
      <c r="AO13">
        <f t="shared" si="12"/>
        <v>0</v>
      </c>
      <c r="AP13" s="20" t="e">
        <f t="shared" si="13"/>
        <v>#DIV/0!</v>
      </c>
      <c r="AQ13" s="21" t="e">
        <f t="shared" si="14"/>
        <v>#DIV/0!</v>
      </c>
      <c r="AR13">
        <f t="shared" si="15"/>
        <v>1</v>
      </c>
      <c r="AS13">
        <f t="shared" si="16"/>
        <v>1</v>
      </c>
      <c r="AT13">
        <f t="shared" si="17"/>
        <v>0</v>
      </c>
      <c r="AU13">
        <f t="shared" si="18"/>
        <v>0</v>
      </c>
      <c r="AV13">
        <f t="shared" si="19"/>
        <v>1</v>
      </c>
      <c r="AW13">
        <f t="shared" si="20"/>
        <v>0</v>
      </c>
      <c r="AX13">
        <f t="shared" si="21"/>
        <v>1</v>
      </c>
      <c r="AY13">
        <f t="shared" si="22"/>
        <v>3.8112295919650653E-3</v>
      </c>
      <c r="AZ13">
        <f t="shared" si="23"/>
        <v>1.6282573564584751E-3</v>
      </c>
      <c r="BA13" s="8">
        <f t="shared" si="24"/>
        <v>3.8112295919650653E-3</v>
      </c>
    </row>
    <row r="14" spans="1:53" x14ac:dyDescent="0.35">
      <c r="A14" s="9" t="s">
        <v>40</v>
      </c>
      <c r="B14" s="7" t="s">
        <v>66</v>
      </c>
      <c r="C14">
        <f t="shared" si="1"/>
        <v>31.764700000000001</v>
      </c>
      <c r="D14">
        <v>31.764700000000001</v>
      </c>
      <c r="E14">
        <v>0</v>
      </c>
      <c r="F14">
        <v>31.764700000000001</v>
      </c>
      <c r="G14">
        <v>0</v>
      </c>
      <c r="H14">
        <v>0</v>
      </c>
      <c r="I14">
        <v>0</v>
      </c>
      <c r="J14">
        <v>0</v>
      </c>
      <c r="K14">
        <v>0</v>
      </c>
      <c r="L14">
        <v>7.6735681329126031</v>
      </c>
      <c r="M14">
        <v>6.7786506242927107</v>
      </c>
      <c r="N14">
        <v>0</v>
      </c>
      <c r="O14">
        <v>0</v>
      </c>
      <c r="P14">
        <v>7.6735681329126031</v>
      </c>
      <c r="Q14">
        <v>6.7786506242927107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468.59916169988998</v>
      </c>
      <c r="AC14">
        <v>413.94954015926999</v>
      </c>
      <c r="AD14" s="19">
        <f t="shared" si="2"/>
        <v>31.764700000000001</v>
      </c>
      <c r="AE14" s="19">
        <f t="shared" si="3"/>
        <v>31.764700000000001</v>
      </c>
      <c r="AF14">
        <f t="shared" si="4"/>
        <v>1</v>
      </c>
      <c r="AG14">
        <f t="shared" si="5"/>
        <v>1</v>
      </c>
      <c r="AH14">
        <f t="shared" si="6"/>
        <v>1</v>
      </c>
      <c r="AI14">
        <f t="shared" si="0"/>
        <v>1</v>
      </c>
      <c r="AJ14">
        <f t="shared" si="7"/>
        <v>1</v>
      </c>
      <c r="AK14">
        <f t="shared" si="8"/>
        <v>1</v>
      </c>
      <c r="AL14">
        <f t="shared" si="9"/>
        <v>0</v>
      </c>
      <c r="AM14">
        <f t="shared" si="10"/>
        <v>0</v>
      </c>
      <c r="AN14">
        <f t="shared" si="11"/>
        <v>0</v>
      </c>
      <c r="AO14">
        <f t="shared" si="12"/>
        <v>0</v>
      </c>
      <c r="AP14" s="20">
        <f t="shared" si="13"/>
        <v>1</v>
      </c>
      <c r="AQ14" s="21">
        <f t="shared" si="14"/>
        <v>0</v>
      </c>
      <c r="AR14">
        <f t="shared" si="15"/>
        <v>0</v>
      </c>
      <c r="AS14">
        <f t="shared" si="16"/>
        <v>0</v>
      </c>
      <c r="AT14">
        <f t="shared" si="17"/>
        <v>0</v>
      </c>
      <c r="AU14">
        <f t="shared" si="18"/>
        <v>0</v>
      </c>
      <c r="AV14">
        <f t="shared" si="19"/>
        <v>0</v>
      </c>
      <c r="AW14" t="e">
        <f t="shared" si="20"/>
        <v>#DIV/0!</v>
      </c>
      <c r="AX14" t="e">
        <f t="shared" si="21"/>
        <v>#DIV/0!</v>
      </c>
      <c r="AY14">
        <f t="shared" si="22"/>
        <v>7.6735681329126032E-2</v>
      </c>
      <c r="AZ14">
        <f t="shared" si="23"/>
        <v>6.7786506242927105E-2</v>
      </c>
      <c r="BA14" s="8">
        <f t="shared" si="24"/>
        <v>7.6735681329126032E-2</v>
      </c>
    </row>
    <row r="15" spans="1:53" x14ac:dyDescent="0.35">
      <c r="A15" s="7" t="s">
        <v>41</v>
      </c>
      <c r="B15" s="7" t="s">
        <v>66</v>
      </c>
      <c r="C15">
        <f t="shared" si="1"/>
        <v>0</v>
      </c>
      <c r="D15">
        <v>0</v>
      </c>
      <c r="E15">
        <v>0</v>
      </c>
      <c r="F15">
        <v>0</v>
      </c>
      <c r="G15">
        <v>0</v>
      </c>
      <c r="H15">
        <v>54</v>
      </c>
      <c r="I15">
        <v>0</v>
      </c>
      <c r="J15">
        <v>54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10.90562054178165</v>
      </c>
      <c r="U15">
        <v>9.7240885633744618</v>
      </c>
      <c r="V15">
        <v>0</v>
      </c>
      <c r="W15">
        <v>0</v>
      </c>
      <c r="X15">
        <v>10.90562054178165</v>
      </c>
      <c r="Y15">
        <v>9.7240885633744618</v>
      </c>
      <c r="Z15">
        <v>0</v>
      </c>
      <c r="AA15">
        <v>0</v>
      </c>
      <c r="AB15">
        <v>555.32196820367994</v>
      </c>
      <c r="AC15">
        <v>495.15751802582002</v>
      </c>
      <c r="AD15" s="19">
        <f t="shared" si="2"/>
        <v>54</v>
      </c>
      <c r="AE15" s="19">
        <f t="shared" si="3"/>
        <v>54</v>
      </c>
      <c r="AF15">
        <f t="shared" si="4"/>
        <v>0</v>
      </c>
      <c r="AG15">
        <f t="shared" si="5"/>
        <v>0</v>
      </c>
      <c r="AH15">
        <f t="shared" si="6"/>
        <v>0</v>
      </c>
      <c r="AI15">
        <f t="shared" si="0"/>
        <v>0</v>
      </c>
      <c r="AJ15">
        <f t="shared" si="7"/>
        <v>0</v>
      </c>
      <c r="AK15">
        <f t="shared" si="8"/>
        <v>0</v>
      </c>
      <c r="AL15">
        <f t="shared" si="9"/>
        <v>0</v>
      </c>
      <c r="AM15">
        <f t="shared" si="10"/>
        <v>0</v>
      </c>
      <c r="AN15">
        <f t="shared" si="11"/>
        <v>0</v>
      </c>
      <c r="AO15">
        <f t="shared" si="12"/>
        <v>0</v>
      </c>
      <c r="AP15" s="20" t="e">
        <f t="shared" si="13"/>
        <v>#DIV/0!</v>
      </c>
      <c r="AQ15" s="21" t="e">
        <f t="shared" si="14"/>
        <v>#DIV/0!</v>
      </c>
      <c r="AR15">
        <f t="shared" si="15"/>
        <v>1</v>
      </c>
      <c r="AS15">
        <f t="shared" si="16"/>
        <v>1</v>
      </c>
      <c r="AT15">
        <f t="shared" si="17"/>
        <v>0</v>
      </c>
      <c r="AU15">
        <f t="shared" si="18"/>
        <v>0</v>
      </c>
      <c r="AV15">
        <f t="shared" si="19"/>
        <v>1</v>
      </c>
      <c r="AW15">
        <f t="shared" si="20"/>
        <v>0</v>
      </c>
      <c r="AX15">
        <f t="shared" si="21"/>
        <v>1</v>
      </c>
      <c r="AY15">
        <f t="shared" si="22"/>
        <v>0.10905620541781649</v>
      </c>
      <c r="AZ15">
        <f t="shared" si="23"/>
        <v>9.7240885633744611E-2</v>
      </c>
      <c r="BA15" s="8">
        <f t="shared" si="24"/>
        <v>0.10905620541781649</v>
      </c>
    </row>
    <row r="16" spans="1:53" x14ac:dyDescent="0.35">
      <c r="A16" s="9" t="s">
        <v>42</v>
      </c>
      <c r="B16" s="7" t="s">
        <v>66</v>
      </c>
      <c r="C16">
        <f t="shared" si="1"/>
        <v>9.0751215444483115</v>
      </c>
      <c r="D16">
        <v>9.0751215444483115</v>
      </c>
      <c r="E16">
        <v>2.2540984E-2</v>
      </c>
      <c r="F16">
        <v>9.0525805604483107</v>
      </c>
      <c r="G16">
        <v>0</v>
      </c>
      <c r="H16">
        <v>21.104230256601589</v>
      </c>
      <c r="I16">
        <v>0.80696442599999996</v>
      </c>
      <c r="J16">
        <v>20.297265830601589</v>
      </c>
      <c r="K16">
        <v>0</v>
      </c>
      <c r="L16">
        <v>4.2084524748499499</v>
      </c>
      <c r="M16">
        <v>2.227592870663416</v>
      </c>
      <c r="N16">
        <v>1.04530456628853E-2</v>
      </c>
      <c r="O16">
        <v>5.5329435545527E-3</v>
      </c>
      <c r="P16">
        <v>4.1979994291870648</v>
      </c>
      <c r="Q16">
        <v>2.2220599271088641</v>
      </c>
      <c r="R16">
        <v>0</v>
      </c>
      <c r="S16">
        <v>0</v>
      </c>
      <c r="T16">
        <v>9.7867725096785403</v>
      </c>
      <c r="U16">
        <v>5.1802758376502558</v>
      </c>
      <c r="V16">
        <v>0.37421773571651062</v>
      </c>
      <c r="W16">
        <v>0.19807869166625841</v>
      </c>
      <c r="X16">
        <v>9.4125547739620288</v>
      </c>
      <c r="Y16">
        <v>4.9821971459839984</v>
      </c>
      <c r="Z16">
        <v>0</v>
      </c>
      <c r="AA16">
        <v>0</v>
      </c>
      <c r="AB16">
        <v>407.39587848230002</v>
      </c>
      <c r="AC16">
        <v>215.64034757863999</v>
      </c>
      <c r="AD16" s="19">
        <f t="shared" si="2"/>
        <v>30.179351801049901</v>
      </c>
      <c r="AE16" s="19">
        <f t="shared" si="3"/>
        <v>30.179351801049901</v>
      </c>
      <c r="AF16">
        <f t="shared" si="4"/>
        <v>0.30070631086690869</v>
      </c>
      <c r="AG16">
        <f t="shared" si="5"/>
        <v>0.30070631086690869</v>
      </c>
      <c r="AH16">
        <f t="shared" si="6"/>
        <v>0.30070631086690869</v>
      </c>
      <c r="AI16">
        <f t="shared" si="0"/>
        <v>0.30070631086690869</v>
      </c>
      <c r="AJ16">
        <f t="shared" si="7"/>
        <v>0.29995941000076032</v>
      </c>
      <c r="AK16">
        <f t="shared" si="8"/>
        <v>0.29995941000076032</v>
      </c>
      <c r="AL16">
        <f t="shared" si="9"/>
        <v>7.4690086614835204E-4</v>
      </c>
      <c r="AM16">
        <f t="shared" si="10"/>
        <v>7.4690086614835204E-4</v>
      </c>
      <c r="AN16">
        <f t="shared" si="11"/>
        <v>0</v>
      </c>
      <c r="AO16">
        <f t="shared" si="12"/>
        <v>0</v>
      </c>
      <c r="AP16" s="20">
        <f t="shared" si="13"/>
        <v>0.99751617828041206</v>
      </c>
      <c r="AQ16" s="21">
        <f t="shared" si="14"/>
        <v>2.4838217195878114E-3</v>
      </c>
      <c r="AR16">
        <f t="shared" si="15"/>
        <v>0.69929368913309131</v>
      </c>
      <c r="AS16">
        <f t="shared" si="16"/>
        <v>0.69929368913309131</v>
      </c>
      <c r="AT16">
        <f t="shared" si="17"/>
        <v>2.6738958189682745E-2</v>
      </c>
      <c r="AU16">
        <f t="shared" si="18"/>
        <v>2.6738958189682745E-2</v>
      </c>
      <c r="AV16">
        <f t="shared" si="19"/>
        <v>0.67255473094340856</v>
      </c>
      <c r="AW16">
        <f t="shared" si="20"/>
        <v>3.8237093520507547E-2</v>
      </c>
      <c r="AX16">
        <f t="shared" si="21"/>
        <v>0.96176290647949247</v>
      </c>
      <c r="AY16">
        <f t="shared" si="22"/>
        <v>0.1399522498452849</v>
      </c>
      <c r="AZ16">
        <f t="shared" si="23"/>
        <v>7.4078687083136738E-2</v>
      </c>
      <c r="BA16" s="8">
        <f t="shared" si="24"/>
        <v>0.1399522498452849</v>
      </c>
    </row>
    <row r="17" spans="1:53" x14ac:dyDescent="0.35">
      <c r="A17" s="9" t="s">
        <v>43</v>
      </c>
      <c r="B17" s="7" t="s">
        <v>66</v>
      </c>
      <c r="C17">
        <f t="shared" si="1"/>
        <v>9</v>
      </c>
      <c r="D17">
        <v>9</v>
      </c>
      <c r="E17">
        <v>0</v>
      </c>
      <c r="F17">
        <v>9</v>
      </c>
      <c r="G17">
        <v>0</v>
      </c>
      <c r="H17">
        <v>9.6999999999999993</v>
      </c>
      <c r="I17">
        <v>0</v>
      </c>
      <c r="J17">
        <v>9.6999999999999993</v>
      </c>
      <c r="K17">
        <v>0</v>
      </c>
      <c r="L17">
        <v>2.7059324055091158</v>
      </c>
      <c r="M17">
        <v>2.8932995220407598</v>
      </c>
      <c r="N17">
        <v>0</v>
      </c>
      <c r="O17">
        <v>0</v>
      </c>
      <c r="P17">
        <v>2.7059324055091158</v>
      </c>
      <c r="Q17">
        <v>2.8932995220407598</v>
      </c>
      <c r="R17">
        <v>0</v>
      </c>
      <c r="S17">
        <v>0</v>
      </c>
      <c r="T17">
        <v>2.9163938148264918</v>
      </c>
      <c r="U17">
        <v>3.1183339293105958</v>
      </c>
      <c r="V17">
        <v>0</v>
      </c>
      <c r="W17">
        <v>0</v>
      </c>
      <c r="X17">
        <v>2.9163938148264918</v>
      </c>
      <c r="Y17">
        <v>3.1183339293105958</v>
      </c>
      <c r="Z17">
        <v>0</v>
      </c>
      <c r="AA17">
        <v>0</v>
      </c>
      <c r="AB17">
        <v>311.06354290107998</v>
      </c>
      <c r="AC17">
        <v>332.60254327404999</v>
      </c>
      <c r="AD17" s="19">
        <f t="shared" si="2"/>
        <v>18.7</v>
      </c>
      <c r="AE17" s="19">
        <f t="shared" si="3"/>
        <v>18.7</v>
      </c>
      <c r="AF17">
        <f t="shared" si="4"/>
        <v>0.48128342245989308</v>
      </c>
      <c r="AG17">
        <f t="shared" si="5"/>
        <v>0.48128342245989308</v>
      </c>
      <c r="AH17">
        <f t="shared" si="6"/>
        <v>0.48128342245989308</v>
      </c>
      <c r="AI17">
        <f t="shared" si="0"/>
        <v>0.48128342245989308</v>
      </c>
      <c r="AJ17">
        <f t="shared" si="7"/>
        <v>0.48128342245989308</v>
      </c>
      <c r="AK17">
        <f t="shared" si="8"/>
        <v>0.48128342245989308</v>
      </c>
      <c r="AL17">
        <f t="shared" si="9"/>
        <v>0</v>
      </c>
      <c r="AM17">
        <f t="shared" si="10"/>
        <v>0</v>
      </c>
      <c r="AN17">
        <f t="shared" si="11"/>
        <v>0</v>
      </c>
      <c r="AO17">
        <f t="shared" si="12"/>
        <v>0</v>
      </c>
      <c r="AP17" s="20">
        <f t="shared" si="13"/>
        <v>1</v>
      </c>
      <c r="AQ17" s="21">
        <f t="shared" si="14"/>
        <v>0</v>
      </c>
      <c r="AR17">
        <f t="shared" si="15"/>
        <v>0.51871657754010692</v>
      </c>
      <c r="AS17">
        <f t="shared" si="16"/>
        <v>0.51871657754010692</v>
      </c>
      <c r="AT17">
        <f t="shared" si="17"/>
        <v>0</v>
      </c>
      <c r="AU17">
        <f t="shared" si="18"/>
        <v>0</v>
      </c>
      <c r="AV17">
        <f t="shared" si="19"/>
        <v>0.51871657754010692</v>
      </c>
      <c r="AW17">
        <f t="shared" si="20"/>
        <v>0</v>
      </c>
      <c r="AX17">
        <f t="shared" si="21"/>
        <v>1</v>
      </c>
      <c r="AY17">
        <f t="shared" si="22"/>
        <v>5.6223262203356078E-2</v>
      </c>
      <c r="AZ17">
        <f t="shared" si="23"/>
        <v>6.0116334513513559E-2</v>
      </c>
      <c r="BA17" s="8">
        <f t="shared" si="24"/>
        <v>5.6223262203356078E-2</v>
      </c>
    </row>
    <row r="18" spans="1:53" x14ac:dyDescent="0.35">
      <c r="A18" s="9" t="s">
        <v>44</v>
      </c>
      <c r="B18" s="7" t="s">
        <v>66</v>
      </c>
      <c r="C18">
        <f t="shared" si="1"/>
        <v>0</v>
      </c>
      <c r="D18">
        <v>0</v>
      </c>
      <c r="E18">
        <v>0</v>
      </c>
      <c r="F18">
        <v>0</v>
      </c>
      <c r="G18">
        <v>0</v>
      </c>
      <c r="H18">
        <v>0.34351350790000001</v>
      </c>
      <c r="I18">
        <v>0.166216216</v>
      </c>
      <c r="J18">
        <v>0.17729729189999999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1.2772080118792739</v>
      </c>
      <c r="U18">
        <v>0.74820679582493232</v>
      </c>
      <c r="V18">
        <v>0.61800388601095835</v>
      </c>
      <c r="W18">
        <v>0.36203555181215291</v>
      </c>
      <c r="X18">
        <v>0.659204125868316</v>
      </c>
      <c r="Y18">
        <v>0.38617124401277941</v>
      </c>
      <c r="Z18">
        <v>0</v>
      </c>
      <c r="AA18">
        <v>0</v>
      </c>
      <c r="AB18">
        <v>45.911572818750003</v>
      </c>
      <c r="AC18">
        <v>26.895658710639999</v>
      </c>
      <c r="AD18" s="19">
        <f t="shared" si="2"/>
        <v>0.34351350790000001</v>
      </c>
      <c r="AE18" s="19">
        <f t="shared" si="3"/>
        <v>0.34351350790000001</v>
      </c>
      <c r="AF18">
        <f t="shared" si="4"/>
        <v>0</v>
      </c>
      <c r="AG18">
        <f t="shared" si="5"/>
        <v>0</v>
      </c>
      <c r="AH18">
        <f t="shared" si="6"/>
        <v>0</v>
      </c>
      <c r="AI18">
        <f t="shared" si="0"/>
        <v>0</v>
      </c>
      <c r="AJ18">
        <f t="shared" si="7"/>
        <v>0</v>
      </c>
      <c r="AK18">
        <f t="shared" si="8"/>
        <v>0</v>
      </c>
      <c r="AL18">
        <f t="shared" si="9"/>
        <v>0</v>
      </c>
      <c r="AM18">
        <f t="shared" si="10"/>
        <v>0</v>
      </c>
      <c r="AN18">
        <f t="shared" si="11"/>
        <v>0</v>
      </c>
      <c r="AO18">
        <f t="shared" si="12"/>
        <v>0</v>
      </c>
      <c r="AP18" s="20" t="e">
        <f t="shared" si="13"/>
        <v>#DIV/0!</v>
      </c>
      <c r="AQ18" s="21" t="e">
        <f t="shared" si="14"/>
        <v>#DIV/0!</v>
      </c>
      <c r="AR18">
        <f t="shared" si="15"/>
        <v>1</v>
      </c>
      <c r="AS18">
        <f t="shared" si="16"/>
        <v>1</v>
      </c>
      <c r="AT18">
        <f t="shared" si="17"/>
        <v>0.48387097501966964</v>
      </c>
      <c r="AU18">
        <f t="shared" si="18"/>
        <v>0.48387097501966964</v>
      </c>
      <c r="AV18">
        <f t="shared" si="19"/>
        <v>0.51612902498033031</v>
      </c>
      <c r="AW18">
        <f t="shared" si="20"/>
        <v>0.48387097501966964</v>
      </c>
      <c r="AX18">
        <f t="shared" si="21"/>
        <v>0.51612902498033031</v>
      </c>
      <c r="AY18">
        <f t="shared" si="22"/>
        <v>1.2772080118792743E-2</v>
      </c>
      <c r="AZ18">
        <f t="shared" si="23"/>
        <v>7.4820679582493247E-3</v>
      </c>
      <c r="BA18" s="8">
        <f t="shared" si="24"/>
        <v>1.2772080118792743E-2</v>
      </c>
    </row>
    <row r="19" spans="1:53" x14ac:dyDescent="0.35">
      <c r="A19" s="9" t="s">
        <v>45</v>
      </c>
      <c r="B19" s="7" t="s">
        <v>66</v>
      </c>
      <c r="C19">
        <f t="shared" si="1"/>
        <v>8.8523525290000009</v>
      </c>
      <c r="D19">
        <v>4.352352529</v>
      </c>
      <c r="E19">
        <v>2.8823529000000001E-2</v>
      </c>
      <c r="F19">
        <v>4.3235289999999997</v>
      </c>
      <c r="G19">
        <v>4.5</v>
      </c>
      <c r="H19">
        <v>13.1</v>
      </c>
      <c r="I19">
        <v>1.1000000000000001</v>
      </c>
      <c r="J19">
        <v>12</v>
      </c>
      <c r="K19">
        <v>0</v>
      </c>
      <c r="L19">
        <v>1.7085190625524529</v>
      </c>
      <c r="M19">
        <v>1.7140488294221521</v>
      </c>
      <c r="N19">
        <v>1.1314696688378799E-2</v>
      </c>
      <c r="O19">
        <v>1.1351317663970699E-2</v>
      </c>
      <c r="P19">
        <v>1.6972043658640741</v>
      </c>
      <c r="Q19">
        <v>1.7026975117581811</v>
      </c>
      <c r="R19">
        <v>1.766478181686381</v>
      </c>
      <c r="S19">
        <v>1.772195538161492</v>
      </c>
      <c r="T19">
        <v>5.1424142622425748</v>
      </c>
      <c r="U19">
        <v>5.1590581222034544</v>
      </c>
      <c r="V19">
        <v>0.43180577774555973</v>
      </c>
      <c r="W19">
        <v>0.43320335377280911</v>
      </c>
      <c r="X19">
        <v>4.7106084844970146</v>
      </c>
      <c r="Y19">
        <v>4.7258547684306453</v>
      </c>
      <c r="Z19">
        <v>0</v>
      </c>
      <c r="AA19">
        <v>0</v>
      </c>
      <c r="AB19">
        <v>253.92231856471</v>
      </c>
      <c r="AC19">
        <v>254.7441596875</v>
      </c>
      <c r="AD19" s="19">
        <f t="shared" si="2"/>
        <v>17.452352528999999</v>
      </c>
      <c r="AE19" s="19">
        <f t="shared" si="3"/>
        <v>17.452352528999999</v>
      </c>
      <c r="AF19">
        <f t="shared" si="4"/>
        <v>0.24938486211345084</v>
      </c>
      <c r="AG19">
        <f t="shared" si="5"/>
        <v>0.24938486211345084</v>
      </c>
      <c r="AH19">
        <f t="shared" si="6"/>
        <v>0.24938486211345084</v>
      </c>
      <c r="AI19">
        <f t="shared" si="0"/>
        <v>0.24938486211345084</v>
      </c>
      <c r="AJ19">
        <f t="shared" si="7"/>
        <v>0.24773330660240411</v>
      </c>
      <c r="AK19">
        <f t="shared" si="8"/>
        <v>0.24773330660240411</v>
      </c>
      <c r="AL19">
        <f t="shared" si="9"/>
        <v>1.6515555110467137E-3</v>
      </c>
      <c r="AM19">
        <f t="shared" si="10"/>
        <v>1.6515555110467137E-3</v>
      </c>
      <c r="AN19">
        <f t="shared" si="11"/>
        <v>0.2578448946938528</v>
      </c>
      <c r="AO19">
        <f t="shared" si="12"/>
        <v>0.2578448946938528</v>
      </c>
      <c r="AP19" s="20">
        <f t="shared" si="13"/>
        <v>0.99337748291115036</v>
      </c>
      <c r="AQ19" s="21">
        <f t="shared" si="14"/>
        <v>6.6225170888495367E-3</v>
      </c>
      <c r="AR19">
        <f t="shared" si="15"/>
        <v>0.75061513788654921</v>
      </c>
      <c r="AS19">
        <f t="shared" si="16"/>
        <v>0.75061513788654921</v>
      </c>
      <c r="AT19">
        <f t="shared" si="17"/>
        <v>6.3028752036275129E-2</v>
      </c>
      <c r="AU19">
        <f t="shared" si="18"/>
        <v>6.3028752036275129E-2</v>
      </c>
      <c r="AV19">
        <f t="shared" si="19"/>
        <v>0.6875863858502741</v>
      </c>
      <c r="AW19">
        <f t="shared" si="20"/>
        <v>8.3969465648854977E-2</v>
      </c>
      <c r="AX19">
        <f t="shared" si="21"/>
        <v>0.91603053435114501</v>
      </c>
      <c r="AY19">
        <f t="shared" si="22"/>
        <v>6.8509333247950277E-2</v>
      </c>
      <c r="AZ19">
        <f t="shared" si="23"/>
        <v>6.8731069516256058E-2</v>
      </c>
      <c r="BA19" s="8">
        <f t="shared" si="24"/>
        <v>6.8509333247950277E-2</v>
      </c>
    </row>
    <row r="20" spans="1:53" x14ac:dyDescent="0.35">
      <c r="A20" s="9" t="s">
        <v>46</v>
      </c>
      <c r="B20" s="7" t="s">
        <v>66</v>
      </c>
      <c r="C20">
        <f t="shared" si="1"/>
        <v>6.3664610000000001</v>
      </c>
      <c r="D20">
        <v>6.3664610000000001</v>
      </c>
      <c r="E20">
        <v>5.4100000000000003E-4</v>
      </c>
      <c r="F20">
        <v>6.36592</v>
      </c>
      <c r="G20">
        <v>0</v>
      </c>
      <c r="H20">
        <v>2.2164000000000001</v>
      </c>
      <c r="I20">
        <v>1.1082000000000001</v>
      </c>
      <c r="J20">
        <v>1.1082000000000001</v>
      </c>
      <c r="K20">
        <v>0</v>
      </c>
      <c r="L20">
        <v>3.1222987126848292</v>
      </c>
      <c r="M20">
        <v>2.1112823412204822</v>
      </c>
      <c r="N20">
        <v>2.6532222588999997E-4</v>
      </c>
      <c r="O20">
        <v>1.794095254176E-4</v>
      </c>
      <c r="P20">
        <v>3.122033390458939</v>
      </c>
      <c r="Q20">
        <v>2.1111029316950649</v>
      </c>
      <c r="R20">
        <v>0</v>
      </c>
      <c r="S20">
        <v>0</v>
      </c>
      <c r="T20">
        <v>1.086987396419244</v>
      </c>
      <c r="U20">
        <v>0.73501529045431646</v>
      </c>
      <c r="V20">
        <v>0.5434936982096219</v>
      </c>
      <c r="W20">
        <v>0.36750764522715818</v>
      </c>
      <c r="X20">
        <v>0.5434936982096219</v>
      </c>
      <c r="Y20">
        <v>0.36750764522715818</v>
      </c>
      <c r="Z20">
        <v>0</v>
      </c>
      <c r="AA20">
        <v>0</v>
      </c>
      <c r="AB20">
        <v>301.54474727050001</v>
      </c>
      <c r="AC20">
        <v>203.90300819506001</v>
      </c>
      <c r="AD20" s="19">
        <f t="shared" si="2"/>
        <v>8.5828610000000012</v>
      </c>
      <c r="AE20" s="19">
        <f t="shared" si="3"/>
        <v>8.5828610000000012</v>
      </c>
      <c r="AF20">
        <f t="shared" si="4"/>
        <v>0.74176443029894101</v>
      </c>
      <c r="AG20">
        <f t="shared" si="5"/>
        <v>0.74176443029894101</v>
      </c>
      <c r="AH20">
        <f t="shared" si="6"/>
        <v>0.74176443029894101</v>
      </c>
      <c r="AI20">
        <f t="shared" si="0"/>
        <v>0.74176443029894101</v>
      </c>
      <c r="AJ20">
        <f t="shared" si="7"/>
        <v>0.74170139770409882</v>
      </c>
      <c r="AK20">
        <f t="shared" si="8"/>
        <v>0.74170139770409882</v>
      </c>
      <c r="AL20">
        <f t="shared" si="9"/>
        <v>6.3032594842209373E-5</v>
      </c>
      <c r="AM20">
        <f t="shared" si="10"/>
        <v>6.3032594842209373E-5</v>
      </c>
      <c r="AN20">
        <f t="shared" si="11"/>
        <v>0</v>
      </c>
      <c r="AO20">
        <f t="shared" si="12"/>
        <v>0</v>
      </c>
      <c r="AP20" s="20">
        <f t="shared" si="13"/>
        <v>0.99991502343295591</v>
      </c>
      <c r="AQ20" s="21">
        <f t="shared" si="14"/>
        <v>8.4976567044076767E-5</v>
      </c>
      <c r="AR20">
        <f t="shared" si="15"/>
        <v>0.25823556970105888</v>
      </c>
      <c r="AS20">
        <f t="shared" si="16"/>
        <v>0.25823556970105888</v>
      </c>
      <c r="AT20">
        <f t="shared" si="17"/>
        <v>0.12911778485052944</v>
      </c>
      <c r="AU20">
        <f t="shared" si="18"/>
        <v>0.12911778485052944</v>
      </c>
      <c r="AV20">
        <f t="shared" si="19"/>
        <v>0.12911778485052944</v>
      </c>
      <c r="AW20">
        <f t="shared" si="20"/>
        <v>0.5</v>
      </c>
      <c r="AX20">
        <f t="shared" si="21"/>
        <v>0.5</v>
      </c>
      <c r="AY20">
        <f t="shared" si="22"/>
        <v>4.2092861091040733E-2</v>
      </c>
      <c r="AZ20">
        <f t="shared" si="23"/>
        <v>2.8462976316747993E-2</v>
      </c>
      <c r="BA20" s="8">
        <f t="shared" si="24"/>
        <v>4.2092861091040733E-2</v>
      </c>
    </row>
    <row r="21" spans="1:53" x14ac:dyDescent="0.35">
      <c r="A21" s="9" t="s">
        <v>47</v>
      </c>
      <c r="B21" s="7" t="s">
        <v>66</v>
      </c>
      <c r="C21">
        <f t="shared" si="1"/>
        <v>0.88253820443329623</v>
      </c>
      <c r="D21">
        <v>0.88253820443329634</v>
      </c>
      <c r="E21">
        <v>2.1328006607137899E-2</v>
      </c>
      <c r="F21">
        <v>0.86121019782615837</v>
      </c>
      <c r="G21">
        <v>0</v>
      </c>
      <c r="H21">
        <v>0.91931062961801724</v>
      </c>
      <c r="I21">
        <v>0</v>
      </c>
      <c r="J21">
        <v>0.91931062961801724</v>
      </c>
      <c r="K21">
        <v>0</v>
      </c>
      <c r="L21">
        <v>4.2572996227017779</v>
      </c>
      <c r="M21">
        <v>4.6280958337256317</v>
      </c>
      <c r="N21">
        <v>0.1028847408819596</v>
      </c>
      <c r="O21">
        <v>0.1118456493150361</v>
      </c>
      <c r="P21">
        <v>4.1544148818198181</v>
      </c>
      <c r="Q21">
        <v>4.5162501844105956</v>
      </c>
      <c r="R21">
        <v>0</v>
      </c>
      <c r="S21">
        <v>0</v>
      </c>
      <c r="T21">
        <v>4.434687106981019</v>
      </c>
      <c r="U21">
        <v>4.8209331601308669</v>
      </c>
      <c r="V21">
        <v>0</v>
      </c>
      <c r="W21">
        <v>0</v>
      </c>
      <c r="X21">
        <v>4.434687106981019</v>
      </c>
      <c r="Y21">
        <v>4.8209331601308669</v>
      </c>
      <c r="Z21">
        <v>0</v>
      </c>
      <c r="AA21">
        <v>0</v>
      </c>
      <c r="AB21">
        <v>19.06914282116</v>
      </c>
      <c r="AC21">
        <v>20.729999827290001</v>
      </c>
      <c r="AD21" s="19">
        <f t="shared" si="2"/>
        <v>1.8018488340513135</v>
      </c>
      <c r="AE21" s="19">
        <f t="shared" si="3"/>
        <v>1.8018488340513135</v>
      </c>
      <c r="AF21">
        <f t="shared" si="4"/>
        <v>0.48979591836734693</v>
      </c>
      <c r="AG21">
        <f t="shared" si="5"/>
        <v>0.48979591836734693</v>
      </c>
      <c r="AH21">
        <f t="shared" si="6"/>
        <v>0.48979591836734693</v>
      </c>
      <c r="AI21">
        <f t="shared" si="0"/>
        <v>0.48979591836734693</v>
      </c>
      <c r="AJ21">
        <f t="shared" si="7"/>
        <v>0.4779591836734694</v>
      </c>
      <c r="AK21">
        <f t="shared" si="8"/>
        <v>0.4779591836734694</v>
      </c>
      <c r="AL21">
        <f t="shared" si="9"/>
        <v>1.1836734693877497E-2</v>
      </c>
      <c r="AM21">
        <f t="shared" si="10"/>
        <v>1.1836734693877497E-2</v>
      </c>
      <c r="AN21">
        <f t="shared" si="11"/>
        <v>0</v>
      </c>
      <c r="AO21">
        <f t="shared" si="12"/>
        <v>0</v>
      </c>
      <c r="AP21" s="20">
        <f t="shared" si="13"/>
        <v>0.97583333333333344</v>
      </c>
      <c r="AQ21" s="21">
        <f t="shared" si="14"/>
        <v>2.4166666666666559E-2</v>
      </c>
      <c r="AR21">
        <f t="shared" si="15"/>
        <v>0.51020408163265318</v>
      </c>
      <c r="AS21">
        <f t="shared" si="16"/>
        <v>0.51020408163265318</v>
      </c>
      <c r="AT21">
        <f t="shared" si="17"/>
        <v>0</v>
      </c>
      <c r="AU21">
        <f t="shared" si="18"/>
        <v>0</v>
      </c>
      <c r="AV21">
        <f t="shared" si="19"/>
        <v>0.51020408163265318</v>
      </c>
      <c r="AW21">
        <f t="shared" si="20"/>
        <v>0</v>
      </c>
      <c r="AX21">
        <f t="shared" si="21"/>
        <v>1</v>
      </c>
      <c r="AY21">
        <f t="shared" si="22"/>
        <v>8.6919867296827963E-2</v>
      </c>
      <c r="AZ21">
        <f t="shared" si="23"/>
        <v>9.4490289938564981E-2</v>
      </c>
      <c r="BA21" s="8">
        <f t="shared" si="24"/>
        <v>8.6919867296827963E-2</v>
      </c>
    </row>
    <row r="22" spans="1:53" x14ac:dyDescent="0.35">
      <c r="A22" s="9" t="s">
        <v>48</v>
      </c>
      <c r="B22" s="7" t="s">
        <v>66</v>
      </c>
      <c r="C22">
        <f t="shared" si="1"/>
        <v>26.292712146915662</v>
      </c>
      <c r="D22">
        <v>23.4348086526857</v>
      </c>
      <c r="E22">
        <v>2.2863227953839709</v>
      </c>
      <c r="F22">
        <v>21.148485857301729</v>
      </c>
      <c r="G22">
        <v>2.857903494229963</v>
      </c>
      <c r="H22">
        <v>6.8589683861519131</v>
      </c>
      <c r="I22">
        <v>4.5726455907679417</v>
      </c>
      <c r="J22">
        <v>2.2863227953839709</v>
      </c>
      <c r="K22">
        <v>0</v>
      </c>
      <c r="L22">
        <v>6.308725700048833</v>
      </c>
      <c r="M22">
        <v>5.6078791341391749</v>
      </c>
      <c r="N22">
        <v>0.61548543415110557</v>
      </c>
      <c r="O22">
        <v>0.54711015942821217</v>
      </c>
      <c r="P22">
        <v>5.6932402658977272</v>
      </c>
      <c r="Q22">
        <v>5.060768974710963</v>
      </c>
      <c r="R22">
        <v>0.76935679268888202</v>
      </c>
      <c r="S22">
        <v>0.68388769928526516</v>
      </c>
      <c r="T22">
        <v>1.8464563024533169</v>
      </c>
      <c r="U22">
        <v>1.6413304782846361</v>
      </c>
      <c r="V22">
        <v>1.2309708683022109</v>
      </c>
      <c r="W22">
        <v>1.0942203188564239</v>
      </c>
      <c r="X22">
        <v>0.61548543415110557</v>
      </c>
      <c r="Y22">
        <v>0.54711015942821217</v>
      </c>
      <c r="Z22">
        <v>0</v>
      </c>
      <c r="AA22">
        <v>0</v>
      </c>
      <c r="AB22">
        <v>417.89075855828003</v>
      </c>
      <c r="AC22">
        <v>371.46659669328</v>
      </c>
      <c r="AD22" s="19">
        <f t="shared" si="2"/>
        <v>30.293777038837611</v>
      </c>
      <c r="AE22" s="19">
        <f t="shared" si="3"/>
        <v>30.293777038837611</v>
      </c>
      <c r="AF22">
        <f t="shared" si="4"/>
        <v>0.77358490566037741</v>
      </c>
      <c r="AG22">
        <f t="shared" si="5"/>
        <v>0.77358490566037741</v>
      </c>
      <c r="AH22">
        <f t="shared" si="6"/>
        <v>0.77358490566037741</v>
      </c>
      <c r="AI22">
        <f t="shared" si="0"/>
        <v>0.77358490566037741</v>
      </c>
      <c r="AJ22">
        <f t="shared" si="7"/>
        <v>0.69811320754716988</v>
      </c>
      <c r="AK22">
        <f t="shared" si="8"/>
        <v>0.69811320754716988</v>
      </c>
      <c r="AL22">
        <f t="shared" si="9"/>
        <v>7.5471698113207558E-2</v>
      </c>
      <c r="AM22">
        <f t="shared" si="10"/>
        <v>7.5471698113207558E-2</v>
      </c>
      <c r="AN22">
        <f t="shared" si="11"/>
        <v>9.4339622641509427E-2</v>
      </c>
      <c r="AO22">
        <f t="shared" si="12"/>
        <v>9.4339622641509427E-2</v>
      </c>
      <c r="AP22" s="20">
        <f t="shared" si="13"/>
        <v>0.90243902439024393</v>
      </c>
      <c r="AQ22" s="21">
        <f t="shared" si="14"/>
        <v>9.7560975609756101E-2</v>
      </c>
      <c r="AR22">
        <f t="shared" si="15"/>
        <v>0.22641509433962267</v>
      </c>
      <c r="AS22">
        <f t="shared" si="16"/>
        <v>0.22641509433962267</v>
      </c>
      <c r="AT22">
        <f t="shared" si="17"/>
        <v>0.15094339622641512</v>
      </c>
      <c r="AU22">
        <f t="shared" si="18"/>
        <v>0.15094339622641512</v>
      </c>
      <c r="AV22">
        <f t="shared" si="19"/>
        <v>7.5471698113207558E-2</v>
      </c>
      <c r="AW22">
        <f>(I22/H22)</f>
        <v>0.66666666666666663</v>
      </c>
      <c r="AX22">
        <f t="shared" si="21"/>
        <v>0.33333333333333331</v>
      </c>
      <c r="AY22">
        <f t="shared" si="22"/>
        <v>8.1551820025021482E-2</v>
      </c>
      <c r="AZ22">
        <f t="shared" si="23"/>
        <v>7.2492096124238098E-2</v>
      </c>
      <c r="BA22" s="8">
        <f t="shared" si="24"/>
        <v>8.1551820025021482E-2</v>
      </c>
    </row>
    <row r="23" spans="1:53" x14ac:dyDescent="0.35">
      <c r="A23" s="9" t="s">
        <v>49</v>
      </c>
      <c r="B23" s="7" t="s">
        <v>66</v>
      </c>
      <c r="C23">
        <f t="shared" si="1"/>
        <v>27.998705557429695</v>
      </c>
      <c r="D23">
        <v>25.918306382883841</v>
      </c>
      <c r="E23">
        <v>4.0163261841927023</v>
      </c>
      <c r="F23">
        <v>21.901980198691131</v>
      </c>
      <c r="G23">
        <v>2.0803991745458599</v>
      </c>
      <c r="H23">
        <v>11.15325113020419</v>
      </c>
      <c r="I23">
        <v>0.9535162883335192</v>
      </c>
      <c r="J23">
        <v>10.19973484187067</v>
      </c>
      <c r="K23">
        <v>0</v>
      </c>
      <c r="L23">
        <v>7.2304547534162724</v>
      </c>
      <c r="M23">
        <v>7.5696715765084619</v>
      </c>
      <c r="N23">
        <v>1.120438362012109</v>
      </c>
      <c r="O23">
        <v>1.173003733706439</v>
      </c>
      <c r="P23">
        <v>6.1100163914041632</v>
      </c>
      <c r="Q23">
        <v>6.3966678428020227</v>
      </c>
      <c r="R23">
        <v>0.5803709501069918</v>
      </c>
      <c r="S23">
        <v>0.60759905630837163</v>
      </c>
      <c r="T23">
        <v>3.1114331491847049</v>
      </c>
      <c r="U23">
        <v>3.257406051875436</v>
      </c>
      <c r="V23">
        <v>0.2660033521323712</v>
      </c>
      <c r="W23">
        <v>0.27848290080800359</v>
      </c>
      <c r="X23">
        <v>2.8454297970523341</v>
      </c>
      <c r="Y23">
        <v>2.9789231510674319</v>
      </c>
      <c r="Z23">
        <v>0</v>
      </c>
      <c r="AA23">
        <v>0</v>
      </c>
      <c r="AB23">
        <v>342.39670930134002</v>
      </c>
      <c r="AC23">
        <v>358.46025273358998</v>
      </c>
      <c r="AD23" s="19">
        <f t="shared" si="2"/>
        <v>37.071557513088031</v>
      </c>
      <c r="AE23" s="19">
        <f t="shared" si="3"/>
        <v>37.071557513088031</v>
      </c>
      <c r="AF23">
        <f t="shared" si="4"/>
        <v>0.69914263445050673</v>
      </c>
      <c r="AG23">
        <f t="shared" si="5"/>
        <v>0.69914263445050673</v>
      </c>
      <c r="AH23">
        <f t="shared" si="6"/>
        <v>0.69914263445050673</v>
      </c>
      <c r="AI23">
        <f t="shared" si="0"/>
        <v>0.69914263445050673</v>
      </c>
      <c r="AJ23">
        <f t="shared" si="7"/>
        <v>0.59080280592361634</v>
      </c>
      <c r="AK23">
        <f t="shared" si="8"/>
        <v>0.59080280592361634</v>
      </c>
      <c r="AL23">
        <f t="shared" si="9"/>
        <v>0.10833982852689011</v>
      </c>
      <c r="AM23">
        <f t="shared" si="10"/>
        <v>0.10833982852689011</v>
      </c>
      <c r="AN23">
        <f t="shared" si="11"/>
        <v>5.6118472330475448E-2</v>
      </c>
      <c r="AO23">
        <f t="shared" si="12"/>
        <v>5.6118472330475448E-2</v>
      </c>
      <c r="AP23" s="20">
        <f t="shared" si="13"/>
        <v>0.84503901895206235</v>
      </c>
      <c r="AQ23" s="21">
        <f t="shared" si="14"/>
        <v>0.15496098104793757</v>
      </c>
      <c r="AR23">
        <f t="shared" si="15"/>
        <v>0.30085736554949327</v>
      </c>
      <c r="AS23">
        <f t="shared" si="16"/>
        <v>0.30085736554949327</v>
      </c>
      <c r="AT23">
        <f t="shared" si="17"/>
        <v>2.5720966484801249E-2</v>
      </c>
      <c r="AU23">
        <f t="shared" si="18"/>
        <v>2.5720966484801249E-2</v>
      </c>
      <c r="AV23">
        <f t="shared" si="19"/>
        <v>0.27513639906469201</v>
      </c>
      <c r="AW23">
        <f t="shared" si="20"/>
        <v>8.5492227979274651E-2</v>
      </c>
      <c r="AX23">
        <f t="shared" si="21"/>
        <v>0.91450777202072531</v>
      </c>
      <c r="AY23">
        <f t="shared" si="22"/>
        <v>0.10341887902600977</v>
      </c>
      <c r="AZ23">
        <f t="shared" si="23"/>
        <v>0.10827077628383897</v>
      </c>
      <c r="BA23" s="8">
        <f t="shared" si="24"/>
        <v>0.10341887902600977</v>
      </c>
    </row>
    <row r="24" spans="1:53" x14ac:dyDescent="0.35">
      <c r="A24" s="10" t="s">
        <v>50</v>
      </c>
      <c r="B24" s="7" t="s">
        <v>66</v>
      </c>
      <c r="C24">
        <f t="shared" si="1"/>
        <v>2.6412118346100706</v>
      </c>
      <c r="D24">
        <v>2.641211834610071</v>
      </c>
      <c r="E24">
        <v>0.2311060355223796</v>
      </c>
      <c r="F24">
        <v>2.4101057990876908</v>
      </c>
      <c r="G24">
        <v>0</v>
      </c>
      <c r="H24">
        <v>1.048561098329887</v>
      </c>
      <c r="I24">
        <v>0.2311060355223796</v>
      </c>
      <c r="J24">
        <v>0.81745506280750724</v>
      </c>
      <c r="K24">
        <v>0</v>
      </c>
      <c r="L24">
        <v>8.7573111594010662</v>
      </c>
      <c r="M24">
        <v>4.7655871856594887</v>
      </c>
      <c r="N24">
        <v>0.76626472642769428</v>
      </c>
      <c r="O24">
        <v>0.41698887873437651</v>
      </c>
      <c r="P24">
        <v>7.9910464329733726</v>
      </c>
      <c r="Q24">
        <v>4.348598306925112</v>
      </c>
      <c r="R24">
        <v>0</v>
      </c>
      <c r="S24">
        <v>0</v>
      </c>
      <c r="T24">
        <v>3.4766525302480362</v>
      </c>
      <c r="U24">
        <v>1.891938112688212</v>
      </c>
      <c r="V24">
        <v>0.76626472642769428</v>
      </c>
      <c r="W24">
        <v>0.41698887873437651</v>
      </c>
      <c r="X24">
        <v>2.7103878038203408</v>
      </c>
      <c r="Y24">
        <v>1.4749492339538359</v>
      </c>
      <c r="Z24">
        <v>0</v>
      </c>
      <c r="AA24">
        <v>0</v>
      </c>
      <c r="AB24">
        <v>55.422589739999999</v>
      </c>
      <c r="AC24">
        <v>30.160077523049999</v>
      </c>
      <c r="AD24" s="19">
        <f t="shared" si="2"/>
        <v>3.6897729329399578</v>
      </c>
      <c r="AE24" s="19">
        <f t="shared" si="3"/>
        <v>3.6897729329399578</v>
      </c>
      <c r="AF24">
        <f t="shared" si="4"/>
        <v>0.71581961345940914</v>
      </c>
      <c r="AG24">
        <f t="shared" si="5"/>
        <v>0.71581961345940914</v>
      </c>
      <c r="AH24">
        <f t="shared" si="6"/>
        <v>0.71581961345940914</v>
      </c>
      <c r="AI24">
        <f t="shared" si="0"/>
        <v>0.71581961345940914</v>
      </c>
      <c r="AJ24">
        <f t="shared" si="7"/>
        <v>0.65318539728333724</v>
      </c>
      <c r="AK24">
        <f t="shared" si="8"/>
        <v>0.65318539728333724</v>
      </c>
      <c r="AL24">
        <f t="shared" si="9"/>
        <v>6.2634216176071747E-2</v>
      </c>
      <c r="AM24">
        <f t="shared" si="10"/>
        <v>6.2634216176071747E-2</v>
      </c>
      <c r="AN24">
        <f t="shared" si="11"/>
        <v>0</v>
      </c>
      <c r="AO24">
        <f t="shared" si="12"/>
        <v>0</v>
      </c>
      <c r="AP24" s="20">
        <f t="shared" si="13"/>
        <v>0.91250000000227227</v>
      </c>
      <c r="AQ24" s="21">
        <f t="shared" si="14"/>
        <v>8.7499999997727701E-2</v>
      </c>
      <c r="AR24">
        <f t="shared" si="15"/>
        <v>0.28418038654059091</v>
      </c>
      <c r="AS24">
        <f t="shared" si="16"/>
        <v>0.28418038654059091</v>
      </c>
      <c r="AT24">
        <f t="shared" si="17"/>
        <v>6.2634216176071747E-2</v>
      </c>
      <c r="AU24">
        <f t="shared" si="18"/>
        <v>6.2634216176071747E-2</v>
      </c>
      <c r="AV24">
        <f t="shared" si="19"/>
        <v>0.22154617036451912</v>
      </c>
      <c r="AW24">
        <f t="shared" si="20"/>
        <v>0.22040302266646888</v>
      </c>
      <c r="AX24">
        <f t="shared" si="21"/>
        <v>0.77959697733353095</v>
      </c>
      <c r="AY24">
        <f t="shared" si="22"/>
        <v>0.12233963689649104</v>
      </c>
      <c r="AZ24">
        <f t="shared" si="23"/>
        <v>6.6575252983477023E-2</v>
      </c>
      <c r="BA24" s="8">
        <f t="shared" si="24"/>
        <v>0.12233963689649104</v>
      </c>
    </row>
    <row r="25" spans="1:53" x14ac:dyDescent="0.35">
      <c r="A25" s="9" t="s">
        <v>51</v>
      </c>
      <c r="B25" s="7" t="s">
        <v>66</v>
      </c>
      <c r="C25">
        <f t="shared" si="1"/>
        <v>5.0984998337062546</v>
      </c>
      <c r="D25">
        <v>2.5949763727608071</v>
      </c>
      <c r="E25">
        <v>0.57158069884599272</v>
      </c>
      <c r="F25">
        <v>2.023395673914814</v>
      </c>
      <c r="G25">
        <v>2.503523460945448</v>
      </c>
      <c r="H25">
        <v>1.966237604030215</v>
      </c>
      <c r="I25">
        <v>0.36581164726143528</v>
      </c>
      <c r="J25">
        <v>1.60042595676878</v>
      </c>
      <c r="K25">
        <v>0</v>
      </c>
      <c r="L25">
        <v>5.3818960772623692</v>
      </c>
      <c r="M25">
        <v>2.6714857655953939</v>
      </c>
      <c r="N25">
        <v>1.185439664595235</v>
      </c>
      <c r="O25">
        <v>0.5884329880166066</v>
      </c>
      <c r="P25">
        <v>4.1964564126671338</v>
      </c>
      <c r="Q25">
        <v>2.083052777578787</v>
      </c>
      <c r="R25">
        <v>5.19222573092713</v>
      </c>
      <c r="S25">
        <v>2.5773364875127358</v>
      </c>
      <c r="T25">
        <v>4.0779124462076091</v>
      </c>
      <c r="U25">
        <v>2.0242094787771259</v>
      </c>
      <c r="V25">
        <v>0.75868138534095053</v>
      </c>
      <c r="W25">
        <v>0.3765971123306282</v>
      </c>
      <c r="X25">
        <v>3.3192310608666582</v>
      </c>
      <c r="Y25">
        <v>1.6476123664464979</v>
      </c>
      <c r="Z25">
        <v>0</v>
      </c>
      <c r="AA25">
        <v>0</v>
      </c>
      <c r="AB25">
        <v>97.136073348400004</v>
      </c>
      <c r="AC25">
        <v>48.216768505140003</v>
      </c>
      <c r="AD25" s="19">
        <f t="shared" si="2"/>
        <v>4.5612139767910218</v>
      </c>
      <c r="AE25" s="19">
        <f t="shared" si="3"/>
        <v>4.5612139767910218</v>
      </c>
      <c r="AF25">
        <f t="shared" si="4"/>
        <v>0.56892230576441105</v>
      </c>
      <c r="AG25">
        <f t="shared" si="5"/>
        <v>0.56892230576441105</v>
      </c>
      <c r="AH25">
        <f t="shared" si="6"/>
        <v>0.56892230576441105</v>
      </c>
      <c r="AI25">
        <f t="shared" si="0"/>
        <v>0.56892230576441105</v>
      </c>
      <c r="AJ25">
        <f t="shared" si="7"/>
        <v>0.44360902255639095</v>
      </c>
      <c r="AK25">
        <f t="shared" si="8"/>
        <v>0.44360902255639095</v>
      </c>
      <c r="AL25">
        <f t="shared" si="9"/>
        <v>0.12531328320802004</v>
      </c>
      <c r="AM25">
        <f t="shared" si="10"/>
        <v>0.12531328320802004</v>
      </c>
      <c r="AN25">
        <f t="shared" si="11"/>
        <v>0.54887218045112784</v>
      </c>
      <c r="AO25">
        <f t="shared" si="12"/>
        <v>0.54887218045112784</v>
      </c>
      <c r="AP25" s="20">
        <f t="shared" si="13"/>
        <v>0.77973568281938332</v>
      </c>
      <c r="AQ25" s="21">
        <f t="shared" si="14"/>
        <v>0.22026431718061673</v>
      </c>
      <c r="AR25">
        <f t="shared" si="15"/>
        <v>0.431077694235589</v>
      </c>
      <c r="AS25">
        <f t="shared" si="16"/>
        <v>0.431077694235589</v>
      </c>
      <c r="AT25">
        <f t="shared" si="17"/>
        <v>8.0200501253132814E-2</v>
      </c>
      <c r="AU25">
        <f t="shared" si="18"/>
        <v>8.0200501253132814E-2</v>
      </c>
      <c r="AV25">
        <f t="shared" si="19"/>
        <v>0.35087719298245623</v>
      </c>
      <c r="AW25">
        <f t="shared" si="20"/>
        <v>0.18604651162790695</v>
      </c>
      <c r="AX25">
        <f t="shared" si="21"/>
        <v>0.81395348837209325</v>
      </c>
      <c r="AY25">
        <f t="shared" si="22"/>
        <v>9.4598085234699772E-2</v>
      </c>
      <c r="AZ25">
        <f t="shared" si="23"/>
        <v>4.6956952443725199E-2</v>
      </c>
      <c r="BA25" s="8">
        <f t="shared" si="24"/>
        <v>9.4598085234699772E-2</v>
      </c>
    </row>
    <row r="26" spans="1:53" x14ac:dyDescent="0.35">
      <c r="A26" s="9" t="s">
        <v>52</v>
      </c>
      <c r="B26" s="7" t="s">
        <v>66</v>
      </c>
      <c r="C26">
        <f t="shared" si="1"/>
        <v>8.7583886403939886</v>
      </c>
      <c r="D26">
        <v>3.5438003328451551</v>
      </c>
      <c r="E26">
        <v>0.2286322795383971</v>
      </c>
      <c r="F26">
        <v>3.315168053306758</v>
      </c>
      <c r="G26">
        <v>5.2145883075488326</v>
      </c>
      <c r="H26">
        <v>2.857903494229963</v>
      </c>
      <c r="I26">
        <v>0</v>
      </c>
      <c r="J26">
        <v>2.857903494229963</v>
      </c>
      <c r="K26">
        <v>1.257477537461184</v>
      </c>
      <c r="L26">
        <v>5.3244195640159759</v>
      </c>
      <c r="M26">
        <v>5.3415951260588308</v>
      </c>
      <c r="N26">
        <v>0.34351093961393397</v>
      </c>
      <c r="O26">
        <v>0.34461904039089231</v>
      </c>
      <c r="P26">
        <v>4.9809086244020424</v>
      </c>
      <c r="Q26">
        <v>4.9969760856679386</v>
      </c>
      <c r="R26">
        <v>7.8347122849077087</v>
      </c>
      <c r="S26">
        <v>7.8599855725063756</v>
      </c>
      <c r="T26">
        <v>4.2938867451741736</v>
      </c>
      <c r="U26">
        <v>4.3077380048861542</v>
      </c>
      <c r="V26">
        <v>0</v>
      </c>
      <c r="W26">
        <v>0</v>
      </c>
      <c r="X26">
        <v>4.2938867451741736</v>
      </c>
      <c r="Y26">
        <v>4.3077380048861542</v>
      </c>
      <c r="Z26">
        <v>1.8893101678766371</v>
      </c>
      <c r="AA26">
        <v>1.895404722149908</v>
      </c>
      <c r="AB26">
        <v>66.343484468840003</v>
      </c>
      <c r="AC26">
        <v>66.557495896739994</v>
      </c>
      <c r="AD26" s="19">
        <f t="shared" si="2"/>
        <v>6.4017038270751181</v>
      </c>
      <c r="AE26" s="19">
        <f t="shared" si="3"/>
        <v>6.4017038270751181</v>
      </c>
      <c r="AF26">
        <f t="shared" si="4"/>
        <v>0.5535714285714286</v>
      </c>
      <c r="AG26">
        <f t="shared" si="5"/>
        <v>0.5535714285714286</v>
      </c>
      <c r="AH26">
        <f t="shared" si="6"/>
        <v>0.5535714285714286</v>
      </c>
      <c r="AI26">
        <f t="shared" si="0"/>
        <v>0.5535714285714286</v>
      </c>
      <c r="AJ26">
        <f t="shared" si="7"/>
        <v>0.5178571428571429</v>
      </c>
      <c r="AK26">
        <f t="shared" si="8"/>
        <v>0.5178571428571429</v>
      </c>
      <c r="AL26">
        <f t="shared" si="9"/>
        <v>3.5714285714285719E-2</v>
      </c>
      <c r="AM26">
        <f t="shared" si="10"/>
        <v>3.5714285714285719E-2</v>
      </c>
      <c r="AN26">
        <f t="shared" si="11"/>
        <v>0.81456256777991742</v>
      </c>
      <c r="AO26">
        <f t="shared" si="12"/>
        <v>0.81456256777991742</v>
      </c>
      <c r="AP26" s="20">
        <f t="shared" si="13"/>
        <v>0.93548387096774199</v>
      </c>
      <c r="AQ26" s="21">
        <f t="shared" si="14"/>
        <v>6.4516129032258063E-2</v>
      </c>
      <c r="AR26">
        <f t="shared" si="15"/>
        <v>0.44642857142857134</v>
      </c>
      <c r="AS26">
        <f t="shared" si="16"/>
        <v>0.44642857142857134</v>
      </c>
      <c r="AT26">
        <f t="shared" si="17"/>
        <v>0</v>
      </c>
      <c r="AU26">
        <f t="shared" si="18"/>
        <v>0</v>
      </c>
      <c r="AV26">
        <f t="shared" si="19"/>
        <v>0.44642857142857134</v>
      </c>
      <c r="AW26">
        <f t="shared" si="20"/>
        <v>0</v>
      </c>
      <c r="AX26">
        <f t="shared" si="21"/>
        <v>1</v>
      </c>
      <c r="AY26">
        <f t="shared" si="22"/>
        <v>9.6183063091901499E-2</v>
      </c>
      <c r="AZ26">
        <f t="shared" si="23"/>
        <v>9.6493331309449842E-2</v>
      </c>
      <c r="BA26" s="8">
        <f t="shared" si="24"/>
        <v>9.6183063091901499E-2</v>
      </c>
    </row>
    <row r="27" spans="1:53" x14ac:dyDescent="0.35">
      <c r="A27" s="9" t="s">
        <v>53</v>
      </c>
      <c r="B27" s="7" t="s">
        <v>66</v>
      </c>
      <c r="C27">
        <f t="shared" si="1"/>
        <v>67</v>
      </c>
      <c r="D27">
        <v>22</v>
      </c>
      <c r="E27">
        <v>0</v>
      </c>
      <c r="F27">
        <v>22</v>
      </c>
      <c r="G27">
        <v>45</v>
      </c>
      <c r="H27">
        <v>0</v>
      </c>
      <c r="I27">
        <v>0</v>
      </c>
      <c r="J27">
        <v>0</v>
      </c>
      <c r="K27">
        <v>0</v>
      </c>
      <c r="L27">
        <v>2.6182670370692831</v>
      </c>
      <c r="M27">
        <v>2.3594000418604768</v>
      </c>
      <c r="N27">
        <v>0</v>
      </c>
      <c r="O27">
        <v>0</v>
      </c>
      <c r="P27">
        <v>2.6182670370692831</v>
      </c>
      <c r="Q27">
        <v>2.3594000418604768</v>
      </c>
      <c r="R27">
        <v>5.3555462121871704</v>
      </c>
      <c r="S27">
        <v>4.826045540169158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932.44043441874999</v>
      </c>
      <c r="AC27">
        <v>840.25042856688003</v>
      </c>
      <c r="AD27" s="19">
        <f t="shared" si="2"/>
        <v>22</v>
      </c>
      <c r="AE27" s="19">
        <f t="shared" si="3"/>
        <v>22</v>
      </c>
      <c r="AF27">
        <f t="shared" si="4"/>
        <v>1</v>
      </c>
      <c r="AG27">
        <f t="shared" si="5"/>
        <v>1</v>
      </c>
      <c r="AH27">
        <f t="shared" si="6"/>
        <v>1</v>
      </c>
      <c r="AI27">
        <f t="shared" si="0"/>
        <v>1</v>
      </c>
      <c r="AJ27">
        <f t="shared" si="7"/>
        <v>1</v>
      </c>
      <c r="AK27">
        <f t="shared" si="8"/>
        <v>1</v>
      </c>
      <c r="AL27">
        <f t="shared" si="9"/>
        <v>0</v>
      </c>
      <c r="AM27">
        <f t="shared" si="10"/>
        <v>0</v>
      </c>
      <c r="AN27">
        <f t="shared" si="11"/>
        <v>2.0454545454545454</v>
      </c>
      <c r="AO27">
        <f t="shared" si="12"/>
        <v>2.0454545454545454</v>
      </c>
      <c r="AP27" s="20">
        <f t="shared" si="13"/>
        <v>1</v>
      </c>
      <c r="AQ27" s="21">
        <f t="shared" si="14"/>
        <v>0</v>
      </c>
      <c r="AR27">
        <f t="shared" si="15"/>
        <v>0</v>
      </c>
      <c r="AS27">
        <f t="shared" si="16"/>
        <v>0</v>
      </c>
      <c r="AT27">
        <f t="shared" si="17"/>
        <v>0</v>
      </c>
      <c r="AU27">
        <f t="shared" si="18"/>
        <v>0</v>
      </c>
      <c r="AV27">
        <f t="shared" si="19"/>
        <v>0</v>
      </c>
      <c r="AW27" t="e">
        <f t="shared" si="20"/>
        <v>#DIV/0!</v>
      </c>
      <c r="AX27" t="e">
        <f t="shared" si="21"/>
        <v>#DIV/0!</v>
      </c>
      <c r="AY27">
        <f t="shared" si="22"/>
        <v>2.6182670370692829E-2</v>
      </c>
      <c r="AZ27">
        <f t="shared" si="23"/>
        <v>2.3594000418604769E-2</v>
      </c>
      <c r="BA27" s="8">
        <f t="shared" si="24"/>
        <v>2.6182670370692829E-2</v>
      </c>
    </row>
    <row r="28" spans="1:53" x14ac:dyDescent="0.35">
      <c r="A28" s="9" t="s">
        <v>54</v>
      </c>
      <c r="B28" s="7" t="s">
        <v>66</v>
      </c>
      <c r="C28">
        <f t="shared" si="1"/>
        <v>11.088515533797038</v>
      </c>
      <c r="D28">
        <v>11.08851553379704</v>
      </c>
      <c r="E28">
        <v>0.31570903379703807</v>
      </c>
      <c r="F28">
        <v>10.7728065</v>
      </c>
      <c r="G28">
        <v>0</v>
      </c>
      <c r="H28">
        <v>6.6522016324629796</v>
      </c>
      <c r="I28">
        <v>2.7058387100000001</v>
      </c>
      <c r="J28">
        <v>3.9463629224629799</v>
      </c>
      <c r="K28"/>
      <c r="L28">
        <v>5.4639624481968951</v>
      </c>
      <c r="M28">
        <v>5.7165015304406683</v>
      </c>
      <c r="N28">
        <v>0.15556837161527981</v>
      </c>
      <c r="O28">
        <v>0.1627585919299977</v>
      </c>
      <c r="P28">
        <v>5.3083940765816164</v>
      </c>
      <c r="Q28">
        <v>5.5537429385106707</v>
      </c>
      <c r="R28">
        <v>0</v>
      </c>
      <c r="S28">
        <v>0</v>
      </c>
      <c r="T28">
        <v>3.2779301978544808</v>
      </c>
      <c r="U28">
        <v>3.4294329747629302</v>
      </c>
      <c r="V28">
        <v>1.3333255526634811</v>
      </c>
      <c r="W28">
        <v>1.394950575637957</v>
      </c>
      <c r="X28">
        <v>1.944604645191</v>
      </c>
      <c r="Y28">
        <v>2.0344823991249732</v>
      </c>
      <c r="Z28">
        <v>0</v>
      </c>
      <c r="AA28">
        <v>0</v>
      </c>
      <c r="AB28">
        <v>193.97380504054999</v>
      </c>
      <c r="AC28">
        <v>202.93908750153</v>
      </c>
      <c r="AD28" s="19">
        <f t="shared" si="2"/>
        <v>17.740717166260019</v>
      </c>
      <c r="AE28" s="19">
        <f t="shared" si="3"/>
        <v>17.740717166260019</v>
      </c>
      <c r="AF28">
        <f t="shared" si="4"/>
        <v>0.62503197756207995</v>
      </c>
      <c r="AG28">
        <f t="shared" si="5"/>
        <v>0.62503197756207995</v>
      </c>
      <c r="AH28">
        <f t="shared" si="6"/>
        <v>0.62503197756207995</v>
      </c>
      <c r="AI28">
        <f t="shared" si="0"/>
        <v>0.62503197756207995</v>
      </c>
      <c r="AJ28">
        <f t="shared" si="7"/>
        <v>0.60723624637273055</v>
      </c>
      <c r="AK28">
        <f t="shared" si="8"/>
        <v>0.60723624637273055</v>
      </c>
      <c r="AL28">
        <f t="shared" si="9"/>
        <v>1.7795731189349306E-2</v>
      </c>
      <c r="AM28">
        <f t="shared" si="10"/>
        <v>1.7795731189349306E-2</v>
      </c>
      <c r="AN28">
        <f t="shared" si="11"/>
        <v>0</v>
      </c>
      <c r="AO28">
        <f t="shared" si="12"/>
        <v>0</v>
      </c>
      <c r="AP28" s="20">
        <f t="shared" si="13"/>
        <v>0.97152828682660197</v>
      </c>
      <c r="AQ28" s="21">
        <f t="shared" si="14"/>
        <v>2.8471713173398049E-2</v>
      </c>
      <c r="AR28">
        <f t="shared" si="15"/>
        <v>0.37496802243791999</v>
      </c>
      <c r="AS28">
        <f t="shared" si="16"/>
        <v>0.37496802243791999</v>
      </c>
      <c r="AT28">
        <f t="shared" si="17"/>
        <v>0.15252138257105347</v>
      </c>
      <c r="AU28">
        <f t="shared" si="18"/>
        <v>0.15252138257105347</v>
      </c>
      <c r="AV28">
        <f t="shared" si="19"/>
        <v>0.22244663986686655</v>
      </c>
      <c r="AW28">
        <f t="shared" si="20"/>
        <v>0.40675837256577002</v>
      </c>
      <c r="AX28">
        <f t="shared" si="21"/>
        <v>0.59324162743423003</v>
      </c>
      <c r="AY28">
        <f t="shared" si="22"/>
        <v>8.741892646051376E-2</v>
      </c>
      <c r="AZ28">
        <f t="shared" si="23"/>
        <v>9.1459345052035984E-2</v>
      </c>
      <c r="BA28" s="8">
        <f t="shared" si="24"/>
        <v>8.741892646051376E-2</v>
      </c>
    </row>
    <row r="29" spans="1:53" x14ac:dyDescent="0.35">
      <c r="A29" s="9" t="s">
        <v>55</v>
      </c>
      <c r="B29" s="7" t="s">
        <v>66</v>
      </c>
      <c r="C29">
        <f t="shared" si="1"/>
        <v>8.1</v>
      </c>
      <c r="D29">
        <v>8.1</v>
      </c>
      <c r="E29">
        <v>0</v>
      </c>
      <c r="F29">
        <v>8.1</v>
      </c>
      <c r="G29">
        <v>0</v>
      </c>
      <c r="H29">
        <v>10.6</v>
      </c>
      <c r="I29">
        <v>5.3</v>
      </c>
      <c r="J29">
        <v>5.3</v>
      </c>
      <c r="K29">
        <v>0</v>
      </c>
      <c r="L29">
        <v>1.974409057893133</v>
      </c>
      <c r="M29">
        <v>2.4511712488266699</v>
      </c>
      <c r="N29">
        <v>0</v>
      </c>
      <c r="O29">
        <v>0</v>
      </c>
      <c r="P29">
        <v>1.974409057893133</v>
      </c>
      <c r="Q29">
        <v>2.4511712488266699</v>
      </c>
      <c r="R29">
        <v>0</v>
      </c>
      <c r="S29">
        <v>0</v>
      </c>
      <c r="T29">
        <v>2.5837945695885449</v>
      </c>
      <c r="U29">
        <v>3.2077055848842839</v>
      </c>
      <c r="V29">
        <v>1.291897284794272</v>
      </c>
      <c r="W29">
        <v>1.603852792442142</v>
      </c>
      <c r="X29">
        <v>1.291897284794272</v>
      </c>
      <c r="Y29">
        <v>1.603852792442142</v>
      </c>
      <c r="Z29">
        <v>0</v>
      </c>
      <c r="AA29">
        <v>0</v>
      </c>
      <c r="AB29">
        <v>330.45426768437</v>
      </c>
      <c r="AC29">
        <v>410.24933347112</v>
      </c>
      <c r="AD29" s="19">
        <f t="shared" si="2"/>
        <v>18.7</v>
      </c>
      <c r="AE29" s="19">
        <f t="shared" si="3"/>
        <v>18.7</v>
      </c>
      <c r="AF29">
        <f t="shared" si="4"/>
        <v>0.43315508021390375</v>
      </c>
      <c r="AG29">
        <f t="shared" si="5"/>
        <v>0.43315508021390375</v>
      </c>
      <c r="AH29">
        <f t="shared" si="6"/>
        <v>0.43315508021390375</v>
      </c>
      <c r="AI29">
        <f t="shared" si="0"/>
        <v>0.43315508021390375</v>
      </c>
      <c r="AJ29">
        <f t="shared" si="7"/>
        <v>0.43315508021390375</v>
      </c>
      <c r="AK29">
        <f t="shared" si="8"/>
        <v>0.43315508021390375</v>
      </c>
      <c r="AL29">
        <f t="shared" si="9"/>
        <v>0</v>
      </c>
      <c r="AM29">
        <f t="shared" si="10"/>
        <v>0</v>
      </c>
      <c r="AN29">
        <f t="shared" si="11"/>
        <v>0</v>
      </c>
      <c r="AO29">
        <f t="shared" si="12"/>
        <v>0</v>
      </c>
      <c r="AP29" s="20">
        <f t="shared" si="13"/>
        <v>1</v>
      </c>
      <c r="AQ29" s="21">
        <f t="shared" si="14"/>
        <v>0</v>
      </c>
      <c r="AR29">
        <f t="shared" si="15"/>
        <v>0.5668449197860963</v>
      </c>
      <c r="AS29">
        <f t="shared" si="16"/>
        <v>0.5668449197860963</v>
      </c>
      <c r="AT29">
        <f t="shared" si="17"/>
        <v>0.28342245989304815</v>
      </c>
      <c r="AU29">
        <f t="shared" si="18"/>
        <v>0.28342245989304815</v>
      </c>
      <c r="AV29">
        <f t="shared" si="19"/>
        <v>0.28342245989304815</v>
      </c>
      <c r="AW29">
        <f t="shared" si="20"/>
        <v>0.5</v>
      </c>
      <c r="AX29">
        <f t="shared" si="21"/>
        <v>0.5</v>
      </c>
      <c r="AY29">
        <f t="shared" si="22"/>
        <v>4.5582036274816787E-2</v>
      </c>
      <c r="AZ29">
        <f t="shared" si="23"/>
        <v>5.6588768337109546E-2</v>
      </c>
      <c r="BA29" s="8">
        <f t="shared" si="24"/>
        <v>4.5582036274816787E-2</v>
      </c>
    </row>
    <row r="30" spans="1:53" x14ac:dyDescent="0.35">
      <c r="A30" s="9" t="s">
        <v>56</v>
      </c>
      <c r="B30" s="7" t="s">
        <v>66</v>
      </c>
      <c r="C30">
        <f t="shared" si="1"/>
        <v>16.232891847226195</v>
      </c>
      <c r="D30">
        <v>7.2019168054595077</v>
      </c>
      <c r="E30">
        <v>1.829058236307177</v>
      </c>
      <c r="F30">
        <v>5.3728585691523314</v>
      </c>
      <c r="G30">
        <v>9.0309750417666859</v>
      </c>
      <c r="H30">
        <v>14.86109816999581</v>
      </c>
      <c r="I30">
        <v>0</v>
      </c>
      <c r="J30">
        <v>14.86109816999581</v>
      </c>
      <c r="K30">
        <v>0</v>
      </c>
      <c r="L30">
        <v>3.2388197867879112</v>
      </c>
      <c r="M30">
        <v>2.110662563777582</v>
      </c>
      <c r="N30">
        <v>0.82255740616835848</v>
      </c>
      <c r="O30">
        <v>0.53604128603875123</v>
      </c>
      <c r="P30">
        <v>2.416262380619552</v>
      </c>
      <c r="Q30">
        <v>1.5746212777388311</v>
      </c>
      <c r="R30">
        <v>4.0613771929562708</v>
      </c>
      <c r="S30">
        <v>2.6467038498163342</v>
      </c>
      <c r="T30">
        <v>6.6832789251179134</v>
      </c>
      <c r="U30">
        <v>4.3553354490648539</v>
      </c>
      <c r="V30">
        <v>0</v>
      </c>
      <c r="W30">
        <v>0</v>
      </c>
      <c r="X30">
        <v>6.6832789251179134</v>
      </c>
      <c r="Y30">
        <v>4.3553354490648539</v>
      </c>
      <c r="Z30">
        <v>0</v>
      </c>
      <c r="AA30">
        <v>0</v>
      </c>
      <c r="AB30">
        <v>341.21592570296002</v>
      </c>
      <c r="AC30">
        <v>222.36238134761999</v>
      </c>
      <c r="AD30" s="19">
        <f t="shared" si="2"/>
        <v>22.063014975455317</v>
      </c>
      <c r="AE30" s="19">
        <f t="shared" si="3"/>
        <v>22.063014975455317</v>
      </c>
      <c r="AF30">
        <f t="shared" si="4"/>
        <v>0.32642487046632124</v>
      </c>
      <c r="AG30">
        <f t="shared" si="5"/>
        <v>0.32642487046632124</v>
      </c>
      <c r="AH30">
        <f t="shared" si="6"/>
        <v>0.32642487046632124</v>
      </c>
      <c r="AI30">
        <f t="shared" si="0"/>
        <v>0.32642487046632124</v>
      </c>
      <c r="AJ30">
        <f t="shared" si="7"/>
        <v>0.24352331606217617</v>
      </c>
      <c r="AK30">
        <f t="shared" si="8"/>
        <v>0.24352331606217617</v>
      </c>
      <c r="AL30">
        <f t="shared" si="9"/>
        <v>8.2901554404145095E-2</v>
      </c>
      <c r="AM30">
        <f t="shared" si="10"/>
        <v>8.2901554404145095E-2</v>
      </c>
      <c r="AN30">
        <f t="shared" si="11"/>
        <v>0.40932642487046639</v>
      </c>
      <c r="AO30">
        <f t="shared" si="12"/>
        <v>0.40932642487046639</v>
      </c>
      <c r="AP30" s="20">
        <f t="shared" si="13"/>
        <v>0.74603174603174593</v>
      </c>
      <c r="AQ30" s="21">
        <f t="shared" si="14"/>
        <v>0.25396825396825401</v>
      </c>
      <c r="AR30">
        <f t="shared" si="15"/>
        <v>0.67357512953367871</v>
      </c>
      <c r="AS30">
        <f t="shared" si="16"/>
        <v>0.67357512953367871</v>
      </c>
      <c r="AT30">
        <f t="shared" si="17"/>
        <v>0</v>
      </c>
      <c r="AU30">
        <f t="shared" si="18"/>
        <v>0</v>
      </c>
      <c r="AV30">
        <f t="shared" si="19"/>
        <v>0.67357512953367871</v>
      </c>
      <c r="AW30">
        <f t="shared" si="20"/>
        <v>0</v>
      </c>
      <c r="AX30">
        <f t="shared" si="21"/>
        <v>1</v>
      </c>
      <c r="AY30">
        <f t="shared" si="22"/>
        <v>9.9220987119058232E-2</v>
      </c>
      <c r="AZ30">
        <f t="shared" si="23"/>
        <v>6.465998012842436E-2</v>
      </c>
      <c r="BA30" s="8">
        <f t="shared" si="24"/>
        <v>9.9220987119058232E-2</v>
      </c>
    </row>
    <row r="31" spans="1:53" x14ac:dyDescent="0.35">
      <c r="A31" s="9" t="s">
        <v>57</v>
      </c>
      <c r="B31" s="7" t="s">
        <v>66</v>
      </c>
      <c r="C31">
        <f t="shared" si="1"/>
        <v>3.92104359408351</v>
      </c>
      <c r="D31">
        <v>2.5149550749223679</v>
      </c>
      <c r="E31">
        <v>0.18290582363071761</v>
      </c>
      <c r="F31">
        <v>2.3320492512916502</v>
      </c>
      <c r="G31">
        <v>1.4060885191611421</v>
      </c>
      <c r="H31">
        <v>4.5840772047448617</v>
      </c>
      <c r="I31">
        <v>0</v>
      </c>
      <c r="J31">
        <v>4.5840772047448617</v>
      </c>
      <c r="K31">
        <v>0</v>
      </c>
      <c r="L31">
        <v>2.52787094908023</v>
      </c>
      <c r="M31">
        <v>1.3840355185893001</v>
      </c>
      <c r="N31">
        <v>0.1838451599331076</v>
      </c>
      <c r="O31">
        <v>0.1006571286246763</v>
      </c>
      <c r="P31">
        <v>2.344025789147123</v>
      </c>
      <c r="Q31">
        <v>1.2833783899646241</v>
      </c>
      <c r="R31">
        <v>1.413309666985765</v>
      </c>
      <c r="S31">
        <v>0.77380167630219954</v>
      </c>
      <c r="T31">
        <v>4.6076193208235097</v>
      </c>
      <c r="U31">
        <v>2.5227192861559522</v>
      </c>
      <c r="V31">
        <v>0</v>
      </c>
      <c r="W31">
        <v>0</v>
      </c>
      <c r="X31">
        <v>4.6076193208235097</v>
      </c>
      <c r="Y31">
        <v>2.5227192861559522</v>
      </c>
      <c r="Z31">
        <v>0</v>
      </c>
      <c r="AA31">
        <v>0</v>
      </c>
      <c r="AB31">
        <v>181.71174374815001</v>
      </c>
      <c r="AC31">
        <v>99.489061173690004</v>
      </c>
      <c r="AD31" s="19">
        <f t="shared" si="2"/>
        <v>7.0990322796672292</v>
      </c>
      <c r="AE31" s="19">
        <f t="shared" si="3"/>
        <v>7.0990322796672292</v>
      </c>
      <c r="AF31">
        <f t="shared" si="4"/>
        <v>0.35426731078904994</v>
      </c>
      <c r="AG31">
        <f t="shared" si="5"/>
        <v>0.35426731078904994</v>
      </c>
      <c r="AH31">
        <f t="shared" si="6"/>
        <v>0.35426731078904994</v>
      </c>
      <c r="AI31">
        <f t="shared" si="0"/>
        <v>0.35426731078904994</v>
      </c>
      <c r="AJ31">
        <f t="shared" si="7"/>
        <v>0.32850241545893721</v>
      </c>
      <c r="AK31">
        <f t="shared" si="8"/>
        <v>0.32850241545893721</v>
      </c>
      <c r="AL31">
        <f t="shared" si="9"/>
        <v>2.5764895330112714E-2</v>
      </c>
      <c r="AM31">
        <f t="shared" si="10"/>
        <v>2.5764895330112714E-2</v>
      </c>
      <c r="AN31">
        <f t="shared" si="11"/>
        <v>0.19806763285024157</v>
      </c>
      <c r="AO31">
        <f t="shared" si="12"/>
        <v>0.19806763285024157</v>
      </c>
      <c r="AP31" s="20">
        <f t="shared" si="13"/>
        <v>0.92727272727272725</v>
      </c>
      <c r="AQ31" s="21">
        <f t="shared" si="14"/>
        <v>7.272727272727271E-2</v>
      </c>
      <c r="AR31">
        <f t="shared" si="15"/>
        <v>0.64573268921095017</v>
      </c>
      <c r="AS31">
        <f t="shared" si="16"/>
        <v>0.64573268921095017</v>
      </c>
      <c r="AT31">
        <f t="shared" si="17"/>
        <v>0</v>
      </c>
      <c r="AU31">
        <f t="shared" si="18"/>
        <v>0</v>
      </c>
      <c r="AV31">
        <f t="shared" si="19"/>
        <v>0.64573268921095017</v>
      </c>
      <c r="AW31">
        <f t="shared" si="20"/>
        <v>0</v>
      </c>
      <c r="AX31">
        <f t="shared" si="21"/>
        <v>1</v>
      </c>
      <c r="AY31">
        <f t="shared" si="22"/>
        <v>7.1354902699037395E-2</v>
      </c>
      <c r="AZ31">
        <f t="shared" si="23"/>
        <v>3.9067548047452515E-2</v>
      </c>
      <c r="BA31" s="8">
        <f t="shared" si="24"/>
        <v>7.1354902699037395E-2</v>
      </c>
    </row>
    <row r="32" spans="1:53" x14ac:dyDescent="0.35">
      <c r="A32" s="9" t="s">
        <v>58</v>
      </c>
      <c r="B32" s="7" t="s">
        <v>66</v>
      </c>
      <c r="C32">
        <f t="shared" si="1"/>
        <v>4.1153810316911672</v>
      </c>
      <c r="D32">
        <v>4.1153810316911672</v>
      </c>
      <c r="E32">
        <v>0.11431613976919899</v>
      </c>
      <c r="F32">
        <v>4.0010648919219678</v>
      </c>
      <c r="G32">
        <v>0</v>
      </c>
      <c r="H32">
        <v>3.3151680533067731</v>
      </c>
      <c r="I32">
        <v>0.68589683861519435</v>
      </c>
      <c r="J32">
        <v>2.629271214691578</v>
      </c>
      <c r="K32">
        <v>0.11431613976919899</v>
      </c>
      <c r="L32">
        <v>8.1625269737342627</v>
      </c>
      <c r="M32">
        <v>5.4123140293972876</v>
      </c>
      <c r="N32">
        <v>0.22673686038150731</v>
      </c>
      <c r="O32">
        <v>0.1503420563721469</v>
      </c>
      <c r="P32">
        <v>7.9357901133527564</v>
      </c>
      <c r="Q32">
        <v>5.2619719730251413</v>
      </c>
      <c r="R32">
        <v>0</v>
      </c>
      <c r="S32">
        <v>0</v>
      </c>
      <c r="T32">
        <v>6.5753689510637114</v>
      </c>
      <c r="U32">
        <v>4.3599196347922593</v>
      </c>
      <c r="V32">
        <v>1.360421162289043</v>
      </c>
      <c r="W32">
        <v>0.90205233823288122</v>
      </c>
      <c r="X32">
        <v>5.2149477887746674</v>
      </c>
      <c r="Y32">
        <v>3.4578672965593782</v>
      </c>
      <c r="Z32">
        <v>0.22673686038150731</v>
      </c>
      <c r="AA32">
        <v>0.1503420563721469</v>
      </c>
      <c r="AB32">
        <v>76.037366075549997</v>
      </c>
      <c r="AC32">
        <v>50.417977728389999</v>
      </c>
      <c r="AD32" s="19">
        <f t="shared" si="2"/>
        <v>7.4305490849979403</v>
      </c>
      <c r="AE32" s="19">
        <f t="shared" si="3"/>
        <v>7.4305490849979403</v>
      </c>
      <c r="AF32">
        <f t="shared" si="4"/>
        <v>0.55384615384615388</v>
      </c>
      <c r="AG32">
        <f t="shared" si="5"/>
        <v>0.55384615384615388</v>
      </c>
      <c r="AH32">
        <f t="shared" si="6"/>
        <v>0.55384615384615388</v>
      </c>
      <c r="AI32">
        <f t="shared" si="0"/>
        <v>0.55384615384615388</v>
      </c>
      <c r="AJ32">
        <f t="shared" si="7"/>
        <v>0.53846153846153844</v>
      </c>
      <c r="AK32">
        <f t="shared" si="8"/>
        <v>0.53846153846153844</v>
      </c>
      <c r="AL32">
        <f t="shared" si="9"/>
        <v>1.5384615384615373E-2</v>
      </c>
      <c r="AM32">
        <f t="shared" si="10"/>
        <v>1.5384615384615373E-2</v>
      </c>
      <c r="AN32">
        <f t="shared" si="11"/>
        <v>0</v>
      </c>
      <c r="AO32">
        <f t="shared" si="12"/>
        <v>0</v>
      </c>
      <c r="AP32" s="20">
        <f t="shared" si="13"/>
        <v>0.9722222222222221</v>
      </c>
      <c r="AQ32" s="21">
        <f t="shared" si="14"/>
        <v>2.7777777777777755E-2</v>
      </c>
      <c r="AR32">
        <f t="shared" si="15"/>
        <v>0.44615384615384612</v>
      </c>
      <c r="AS32">
        <f t="shared" si="16"/>
        <v>0.44615384615384612</v>
      </c>
      <c r="AT32">
        <f t="shared" si="17"/>
        <v>9.2307692307692285E-2</v>
      </c>
      <c r="AU32">
        <f t="shared" si="18"/>
        <v>9.2307692307692285E-2</v>
      </c>
      <c r="AV32">
        <f t="shared" si="19"/>
        <v>0.3538461538461537</v>
      </c>
      <c r="AW32">
        <f t="shared" si="20"/>
        <v>0.2068965517241379</v>
      </c>
      <c r="AX32">
        <f t="shared" si="21"/>
        <v>0.79310344827586188</v>
      </c>
      <c r="AY32">
        <f t="shared" si="22"/>
        <v>0.14737895924797975</v>
      </c>
      <c r="AZ32">
        <f t="shared" si="23"/>
        <v>9.7722336641895488E-2</v>
      </c>
      <c r="BA32" s="8">
        <f t="shared" si="24"/>
        <v>0.14737895924797975</v>
      </c>
    </row>
    <row r="33" spans="1:53" x14ac:dyDescent="0.35">
      <c r="A33" s="9" t="s">
        <v>59</v>
      </c>
      <c r="B33" s="7" t="s">
        <v>66</v>
      </c>
      <c r="C33">
        <f t="shared" si="1"/>
        <v>11</v>
      </c>
      <c r="D33">
        <v>11</v>
      </c>
      <c r="E33">
        <v>0</v>
      </c>
      <c r="F33">
        <v>11</v>
      </c>
      <c r="G33">
        <v>0</v>
      </c>
      <c r="H33">
        <v>25</v>
      </c>
      <c r="I33">
        <v>0</v>
      </c>
      <c r="J33">
        <v>25</v>
      </c>
      <c r="K33">
        <v>0</v>
      </c>
      <c r="L33">
        <v>2.000650095073174</v>
      </c>
      <c r="M33">
        <v>2.111306177863205</v>
      </c>
      <c r="N33">
        <v>0</v>
      </c>
      <c r="O33">
        <v>0</v>
      </c>
      <c r="P33">
        <v>2.000650095073174</v>
      </c>
      <c r="Q33">
        <v>2.111306177863205</v>
      </c>
      <c r="R33">
        <v>0</v>
      </c>
      <c r="S33">
        <v>0</v>
      </c>
      <c r="T33">
        <v>4.5469320342572148</v>
      </c>
      <c r="U33">
        <v>4.7984231315072847</v>
      </c>
      <c r="V33">
        <v>0</v>
      </c>
      <c r="W33">
        <v>0</v>
      </c>
      <c r="X33">
        <v>4.5469320342572148</v>
      </c>
      <c r="Y33">
        <v>4.7984231315072847</v>
      </c>
      <c r="Z33">
        <v>0</v>
      </c>
      <c r="AA33">
        <v>0</v>
      </c>
      <c r="AB33">
        <v>521.00449074291998</v>
      </c>
      <c r="AC33">
        <v>549.82128194673999</v>
      </c>
      <c r="AD33" s="19">
        <f t="shared" si="2"/>
        <v>36</v>
      </c>
      <c r="AE33" s="19">
        <f t="shared" si="3"/>
        <v>36</v>
      </c>
      <c r="AF33">
        <f t="shared" si="4"/>
        <v>0.30555555555555558</v>
      </c>
      <c r="AG33">
        <f t="shared" si="5"/>
        <v>0.30555555555555558</v>
      </c>
      <c r="AH33">
        <f t="shared" si="6"/>
        <v>0.30555555555555558</v>
      </c>
      <c r="AI33">
        <f t="shared" si="0"/>
        <v>0.30555555555555558</v>
      </c>
      <c r="AJ33">
        <f t="shared" si="7"/>
        <v>0.30555555555555558</v>
      </c>
      <c r="AK33">
        <f t="shared" si="8"/>
        <v>0.30555555555555558</v>
      </c>
      <c r="AL33">
        <f t="shared" si="9"/>
        <v>0</v>
      </c>
      <c r="AM33">
        <f t="shared" si="10"/>
        <v>0</v>
      </c>
      <c r="AN33">
        <f t="shared" si="11"/>
        <v>0</v>
      </c>
      <c r="AO33">
        <f t="shared" si="12"/>
        <v>0</v>
      </c>
      <c r="AP33" s="20">
        <f t="shared" si="13"/>
        <v>1</v>
      </c>
      <c r="AQ33" s="21">
        <f t="shared" si="14"/>
        <v>0</v>
      </c>
      <c r="AR33">
        <f t="shared" si="15"/>
        <v>0.69444444444444442</v>
      </c>
      <c r="AS33">
        <f t="shared" si="16"/>
        <v>0.69444444444444442</v>
      </c>
      <c r="AT33">
        <f t="shared" si="17"/>
        <v>0</v>
      </c>
      <c r="AU33">
        <f t="shared" si="18"/>
        <v>0</v>
      </c>
      <c r="AV33">
        <f t="shared" si="19"/>
        <v>0.69444444444444442</v>
      </c>
      <c r="AW33">
        <f t="shared" si="20"/>
        <v>0</v>
      </c>
      <c r="AX33">
        <f t="shared" si="21"/>
        <v>1</v>
      </c>
      <c r="AY33">
        <f t="shared" si="22"/>
        <v>6.5475821293303885E-2</v>
      </c>
      <c r="AZ33">
        <f t="shared" si="23"/>
        <v>6.9097293093704895E-2</v>
      </c>
      <c r="BA33" s="8">
        <f t="shared" si="24"/>
        <v>6.5475821293303885E-2</v>
      </c>
    </row>
    <row r="34" spans="1:53" x14ac:dyDescent="0.35">
      <c r="A34" s="9" t="s">
        <v>60</v>
      </c>
      <c r="B34" s="7" t="s">
        <v>66</v>
      </c>
      <c r="C34">
        <f t="shared" si="1"/>
        <v>1.6825977000000001</v>
      </c>
      <c r="D34">
        <v>1.6825977000000001</v>
      </c>
      <c r="E34">
        <v>0</v>
      </c>
      <c r="F34">
        <v>1.6825977000000001</v>
      </c>
      <c r="G34">
        <v>0</v>
      </c>
      <c r="H34">
        <v>0.21161295999999999</v>
      </c>
      <c r="I34">
        <v>0.10838709000000001</v>
      </c>
      <c r="J34">
        <v>0.10322587</v>
      </c>
      <c r="K34">
        <v>0</v>
      </c>
      <c r="L34">
        <v>0.22521425078179019</v>
      </c>
      <c r="M34">
        <v>0.2847930279580338</v>
      </c>
      <c r="N34">
        <v>0</v>
      </c>
      <c r="O34">
        <v>0</v>
      </c>
      <c r="P34">
        <v>0.22521425078179019</v>
      </c>
      <c r="Q34">
        <v>0.2847930279580338</v>
      </c>
      <c r="R34">
        <v>0</v>
      </c>
      <c r="S34">
        <v>0</v>
      </c>
      <c r="T34">
        <v>2.8324212164391301E-2</v>
      </c>
      <c r="U34">
        <v>3.5817174618485603E-2</v>
      </c>
      <c r="V34">
        <v>1.4507518504731301E-2</v>
      </c>
      <c r="W34">
        <v>1.83453760531468E-2</v>
      </c>
      <c r="X34">
        <v>1.3816693659659899E-2</v>
      </c>
      <c r="Y34">
        <v>1.74717985653388E-2</v>
      </c>
      <c r="Z34">
        <v>0</v>
      </c>
      <c r="AA34">
        <v>0</v>
      </c>
      <c r="AB34">
        <v>590.81421763174001</v>
      </c>
      <c r="AC34">
        <v>747.10978286638999</v>
      </c>
      <c r="AD34" s="19">
        <f t="shared" si="2"/>
        <v>1.8942106600000002</v>
      </c>
      <c r="AE34" s="19">
        <f t="shared" si="3"/>
        <v>1.8942106600000002</v>
      </c>
      <c r="AF34">
        <f t="shared" si="4"/>
        <v>0.88828435798159844</v>
      </c>
      <c r="AG34">
        <f t="shared" si="5"/>
        <v>0.88828435798159844</v>
      </c>
      <c r="AH34">
        <f t="shared" si="6"/>
        <v>0.88828435798159844</v>
      </c>
      <c r="AI34">
        <f t="shared" si="0"/>
        <v>0.88828435798159844</v>
      </c>
      <c r="AJ34">
        <f t="shared" si="7"/>
        <v>0.88828435798159844</v>
      </c>
      <c r="AK34">
        <f t="shared" si="8"/>
        <v>0.88828435798159844</v>
      </c>
      <c r="AL34">
        <f t="shared" si="9"/>
        <v>0</v>
      </c>
      <c r="AM34">
        <f t="shared" si="10"/>
        <v>0</v>
      </c>
      <c r="AN34">
        <f t="shared" si="11"/>
        <v>0</v>
      </c>
      <c r="AO34">
        <f t="shared" si="12"/>
        <v>0</v>
      </c>
      <c r="AP34" s="20">
        <f t="shared" si="13"/>
        <v>1</v>
      </c>
      <c r="AQ34" s="21">
        <f t="shared" si="14"/>
        <v>0</v>
      </c>
      <c r="AR34">
        <f t="shared" si="15"/>
        <v>0.11171564201840146</v>
      </c>
      <c r="AS34">
        <f t="shared" si="16"/>
        <v>0.11171564201840146</v>
      </c>
      <c r="AT34">
        <f t="shared" si="17"/>
        <v>5.7220187959453252E-2</v>
      </c>
      <c r="AU34">
        <f t="shared" si="18"/>
        <v>5.7220187959453252E-2</v>
      </c>
      <c r="AV34">
        <f t="shared" si="19"/>
        <v>5.449545405894822E-2</v>
      </c>
      <c r="AW34">
        <f t="shared" si="20"/>
        <v>0.51219495252086644</v>
      </c>
      <c r="AX34">
        <f t="shared" si="21"/>
        <v>0.48780504747913361</v>
      </c>
      <c r="AY34">
        <f t="shared" si="22"/>
        <v>2.5353846294618163E-3</v>
      </c>
      <c r="AZ34">
        <f t="shared" si="23"/>
        <v>3.2061020257651944E-3</v>
      </c>
      <c r="BA34" s="8">
        <f t="shared" si="24"/>
        <v>2.5353846294618163E-3</v>
      </c>
    </row>
    <row r="35" spans="1:53" x14ac:dyDescent="0.35">
      <c r="A35" s="7" t="s">
        <v>61</v>
      </c>
      <c r="B35" s="7" t="s">
        <v>66</v>
      </c>
      <c r="C35">
        <f t="shared" si="1"/>
        <v>9.3152702259999991</v>
      </c>
      <c r="D35">
        <v>4.5999999999999996</v>
      </c>
      <c r="E35">
        <v>1</v>
      </c>
      <c r="F35">
        <v>3.6</v>
      </c>
      <c r="G35">
        <v>4.7152702260000003</v>
      </c>
      <c r="H35">
        <v>2.4</v>
      </c>
      <c r="I35">
        <v>2.4</v>
      </c>
      <c r="J35">
        <v>0</v>
      </c>
      <c r="K35">
        <v>0</v>
      </c>
      <c r="L35">
        <v>1.755996918642198</v>
      </c>
      <c r="M35">
        <v>1.0424015476762829</v>
      </c>
      <c r="N35">
        <v>0.38173846057439093</v>
      </c>
      <c r="O35">
        <v>0.2266090321035398</v>
      </c>
      <c r="P35">
        <v>1.374258458067807</v>
      </c>
      <c r="Q35">
        <v>0.81579251557274324</v>
      </c>
      <c r="R35">
        <v>1.7999999972655001</v>
      </c>
      <c r="S35">
        <v>1.068522822020499</v>
      </c>
      <c r="T35">
        <v>0.91617230537853822</v>
      </c>
      <c r="U35">
        <v>0.54386167704849553</v>
      </c>
      <c r="V35">
        <v>0.91617230537853822</v>
      </c>
      <c r="W35">
        <v>0.54386167704849553</v>
      </c>
      <c r="X35">
        <v>0</v>
      </c>
      <c r="Y35">
        <v>0</v>
      </c>
      <c r="Z35">
        <v>0</v>
      </c>
      <c r="AA35">
        <v>0</v>
      </c>
      <c r="AB35">
        <v>441.28867711817003</v>
      </c>
      <c r="AC35">
        <v>261.95945739796002</v>
      </c>
      <c r="AD35" s="19">
        <f t="shared" si="2"/>
        <v>7</v>
      </c>
      <c r="AE35" s="19">
        <f t="shared" si="3"/>
        <v>7</v>
      </c>
      <c r="AF35">
        <f t="shared" si="4"/>
        <v>0.65714285714285714</v>
      </c>
      <c r="AG35">
        <f t="shared" si="5"/>
        <v>0.65714285714285714</v>
      </c>
      <c r="AH35">
        <f t="shared" si="6"/>
        <v>0.65714285714285714</v>
      </c>
      <c r="AI35">
        <f t="shared" si="0"/>
        <v>0.65714285714285714</v>
      </c>
      <c r="AJ35">
        <f t="shared" si="7"/>
        <v>0.51428571428571435</v>
      </c>
      <c r="AK35">
        <f t="shared" si="8"/>
        <v>0.51428571428571435</v>
      </c>
      <c r="AL35">
        <f t="shared" si="9"/>
        <v>0.14285714285714285</v>
      </c>
      <c r="AM35">
        <f t="shared" si="10"/>
        <v>0.14285714285714285</v>
      </c>
      <c r="AN35">
        <f t="shared" si="11"/>
        <v>0.67361003228571437</v>
      </c>
      <c r="AO35">
        <f t="shared" si="12"/>
        <v>0.67361003228571437</v>
      </c>
      <c r="AP35" s="20">
        <f t="shared" si="13"/>
        <v>0.78260869565217395</v>
      </c>
      <c r="AQ35" s="21">
        <f t="shared" si="14"/>
        <v>0.21739130434782611</v>
      </c>
      <c r="AR35">
        <f t="shared" si="15"/>
        <v>0.34285714285714286</v>
      </c>
      <c r="AS35">
        <f t="shared" si="16"/>
        <v>0.34285714285714286</v>
      </c>
      <c r="AT35">
        <f t="shared" si="17"/>
        <v>0.34285714285714286</v>
      </c>
      <c r="AU35">
        <f t="shared" si="18"/>
        <v>0.34285714285714286</v>
      </c>
      <c r="AV35">
        <f t="shared" si="19"/>
        <v>0</v>
      </c>
      <c r="AW35">
        <f t="shared" si="20"/>
        <v>1</v>
      </c>
      <c r="AX35">
        <f t="shared" si="21"/>
        <v>0</v>
      </c>
      <c r="AY35">
        <f t="shared" si="22"/>
        <v>2.6721692240207363E-2</v>
      </c>
      <c r="AZ35">
        <f t="shared" si="23"/>
        <v>1.5862632247247786E-2</v>
      </c>
      <c r="BA35" s="8">
        <f t="shared" si="24"/>
        <v>2.6721692240207363E-2</v>
      </c>
    </row>
    <row r="36" spans="1:53" x14ac:dyDescent="0.35">
      <c r="A36" s="7" t="s">
        <v>62</v>
      </c>
      <c r="B36" s="7" t="s">
        <v>66</v>
      </c>
      <c r="C36">
        <f t="shared" si="1"/>
        <v>0</v>
      </c>
      <c r="D36">
        <v>0</v>
      </c>
      <c r="E36">
        <v>0</v>
      </c>
      <c r="F36">
        <v>0</v>
      </c>
      <c r="G36">
        <v>0</v>
      </c>
      <c r="H36">
        <v>0.1</v>
      </c>
      <c r="I36">
        <v>0.1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3.1113334029335599E-2</v>
      </c>
      <c r="U36">
        <v>1.44829067404155E-2</v>
      </c>
      <c r="V36">
        <v>3.1113334029335599E-2</v>
      </c>
      <c r="W36">
        <v>1.44829067404155E-2</v>
      </c>
      <c r="X36">
        <v>0</v>
      </c>
      <c r="Y36">
        <v>0</v>
      </c>
      <c r="Z36">
        <v>0</v>
      </c>
      <c r="AA36">
        <v>0</v>
      </c>
      <c r="AB36">
        <v>690.46912883131995</v>
      </c>
      <c r="AC36">
        <v>321.40560669490998</v>
      </c>
      <c r="AD36" s="19">
        <f t="shared" si="2"/>
        <v>0.1</v>
      </c>
      <c r="AE36" s="19">
        <f t="shared" si="3"/>
        <v>0.1</v>
      </c>
      <c r="AF36">
        <f t="shared" si="4"/>
        <v>0</v>
      </c>
      <c r="AG36">
        <f t="shared" si="5"/>
        <v>0</v>
      </c>
      <c r="AH36">
        <f t="shared" si="6"/>
        <v>0</v>
      </c>
      <c r="AI36">
        <f t="shared" si="0"/>
        <v>0</v>
      </c>
      <c r="AJ36">
        <f t="shared" si="7"/>
        <v>0</v>
      </c>
      <c r="AK36">
        <f t="shared" si="8"/>
        <v>0</v>
      </c>
      <c r="AL36">
        <f t="shared" si="9"/>
        <v>0</v>
      </c>
      <c r="AM36">
        <f t="shared" si="10"/>
        <v>0</v>
      </c>
      <c r="AN36">
        <f t="shared" si="11"/>
        <v>0</v>
      </c>
      <c r="AO36">
        <f t="shared" si="12"/>
        <v>0</v>
      </c>
      <c r="AP36" s="20" t="e">
        <f t="shared" si="13"/>
        <v>#DIV/0!</v>
      </c>
      <c r="AQ36" s="21" t="e">
        <f t="shared" si="14"/>
        <v>#DIV/0!</v>
      </c>
      <c r="AR36">
        <f t="shared" si="15"/>
        <v>1</v>
      </c>
      <c r="AS36">
        <f t="shared" si="16"/>
        <v>1</v>
      </c>
      <c r="AT36">
        <f t="shared" si="17"/>
        <v>1</v>
      </c>
      <c r="AU36">
        <f t="shared" si="18"/>
        <v>1</v>
      </c>
      <c r="AV36">
        <f t="shared" si="19"/>
        <v>0</v>
      </c>
      <c r="AW36">
        <f t="shared" si="20"/>
        <v>1</v>
      </c>
      <c r="AX36">
        <f t="shared" si="21"/>
        <v>0</v>
      </c>
      <c r="AY36">
        <f t="shared" si="22"/>
        <v>3.1113334029335611E-4</v>
      </c>
      <c r="AZ36">
        <f t="shared" si="23"/>
        <v>1.4482906740415584E-4</v>
      </c>
      <c r="BA36" s="8">
        <f t="shared" si="24"/>
        <v>3.1113334029335611E-4</v>
      </c>
    </row>
    <row r="37" spans="1:53" x14ac:dyDescent="0.35">
      <c r="A37" s="7" t="s">
        <v>63</v>
      </c>
      <c r="B37" s="7" t="s">
        <v>66</v>
      </c>
      <c r="C37">
        <f t="shared" si="1"/>
        <v>0.71743400000000002</v>
      </c>
      <c r="D37">
        <v>0.71743400000000002</v>
      </c>
      <c r="E37">
        <v>0.17</v>
      </c>
      <c r="F37">
        <v>0.54743399999999998</v>
      </c>
      <c r="G37">
        <v>0</v>
      </c>
      <c r="H37">
        <v>0</v>
      </c>
      <c r="I37">
        <v>0</v>
      </c>
      <c r="J37">
        <v>0</v>
      </c>
      <c r="K37">
        <v>0</v>
      </c>
      <c r="L37">
        <v>1.1143308580281419</v>
      </c>
      <c r="M37">
        <v>0.7863713384702169</v>
      </c>
      <c r="N37">
        <v>0.26404693095780818</v>
      </c>
      <c r="O37">
        <v>0.18633508802194609</v>
      </c>
      <c r="P37">
        <v>0.85028392707033384</v>
      </c>
      <c r="Q37">
        <v>0.6000362504482708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91.233487908610002</v>
      </c>
      <c r="AC37">
        <v>64.38249419652</v>
      </c>
      <c r="AD37" s="19">
        <f t="shared" si="2"/>
        <v>0.71743400000000002</v>
      </c>
      <c r="AE37" s="19">
        <f t="shared" si="3"/>
        <v>0.71743400000000002</v>
      </c>
      <c r="AF37">
        <f t="shared" si="4"/>
        <v>1</v>
      </c>
      <c r="AG37">
        <f t="shared" si="5"/>
        <v>1</v>
      </c>
      <c r="AH37">
        <f t="shared" si="6"/>
        <v>1</v>
      </c>
      <c r="AI37">
        <f t="shared" si="0"/>
        <v>1</v>
      </c>
      <c r="AJ37">
        <f t="shared" si="7"/>
        <v>0.76304440547841335</v>
      </c>
      <c r="AK37">
        <f t="shared" si="8"/>
        <v>0.76304440547841335</v>
      </c>
      <c r="AL37">
        <f t="shared" si="9"/>
        <v>0.23695559452158665</v>
      </c>
      <c r="AM37">
        <f t="shared" si="10"/>
        <v>0.23695559452158665</v>
      </c>
      <c r="AN37">
        <f t="shared" si="11"/>
        <v>0</v>
      </c>
      <c r="AO37">
        <f t="shared" si="12"/>
        <v>0</v>
      </c>
      <c r="AP37" s="20">
        <f t="shared" si="13"/>
        <v>0.76304440547841335</v>
      </c>
      <c r="AQ37" s="21">
        <f t="shared" si="14"/>
        <v>0.23695559452158665</v>
      </c>
      <c r="AR37">
        <f t="shared" si="15"/>
        <v>0</v>
      </c>
      <c r="AS37">
        <f t="shared" si="16"/>
        <v>0</v>
      </c>
      <c r="AT37">
        <f t="shared" si="17"/>
        <v>0</v>
      </c>
      <c r="AU37">
        <f t="shared" si="18"/>
        <v>0</v>
      </c>
      <c r="AV37">
        <f t="shared" si="19"/>
        <v>0</v>
      </c>
      <c r="AW37" t="e">
        <f t="shared" si="20"/>
        <v>#DIV/0!</v>
      </c>
      <c r="AX37" t="e">
        <f t="shared" si="21"/>
        <v>#DIV/0!</v>
      </c>
      <c r="AY37">
        <f t="shared" si="22"/>
        <v>1.1143308580281419E-2</v>
      </c>
      <c r="AZ37">
        <f t="shared" si="23"/>
        <v>7.863713384702169E-3</v>
      </c>
      <c r="BA37" s="8">
        <f t="shared" si="24"/>
        <v>1.1143308580281419E-2</v>
      </c>
    </row>
    <row r="38" spans="1:53" x14ac:dyDescent="0.35">
      <c r="A38" s="7" t="s">
        <v>64</v>
      </c>
      <c r="B38" s="7" t="s">
        <v>66</v>
      </c>
      <c r="C38">
        <f t="shared" si="1"/>
        <v>4.4197489986439056</v>
      </c>
      <c r="D38">
        <v>4.4197489986439056</v>
      </c>
      <c r="E38">
        <v>0</v>
      </c>
      <c r="F38">
        <v>4.4197489986439056</v>
      </c>
      <c r="G38">
        <v>0</v>
      </c>
      <c r="H38">
        <v>0</v>
      </c>
      <c r="I38">
        <v>0</v>
      </c>
      <c r="J38">
        <v>0</v>
      </c>
      <c r="K38">
        <v>0</v>
      </c>
      <c r="L38">
        <v>2.998798899106466</v>
      </c>
      <c r="M38">
        <v>1.4262400226188989</v>
      </c>
      <c r="N38">
        <v>0</v>
      </c>
      <c r="O38">
        <v>0</v>
      </c>
      <c r="P38">
        <v>2.998798899106466</v>
      </c>
      <c r="Q38">
        <v>1.4262400226188989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309.88816247970999</v>
      </c>
      <c r="AC38">
        <v>147.38397429586999</v>
      </c>
      <c r="AD38" s="19">
        <f t="shared" si="2"/>
        <v>4.4197489986439056</v>
      </c>
      <c r="AE38" s="19">
        <f t="shared" si="3"/>
        <v>4.4197489986439056</v>
      </c>
      <c r="AF38">
        <f t="shared" si="4"/>
        <v>1</v>
      </c>
      <c r="AG38">
        <f t="shared" si="5"/>
        <v>1</v>
      </c>
      <c r="AH38">
        <f t="shared" si="6"/>
        <v>1</v>
      </c>
      <c r="AI38">
        <f t="shared" si="0"/>
        <v>1</v>
      </c>
      <c r="AJ38">
        <f t="shared" si="7"/>
        <v>1</v>
      </c>
      <c r="AK38">
        <f t="shared" si="8"/>
        <v>1</v>
      </c>
      <c r="AL38">
        <f t="shared" si="9"/>
        <v>0</v>
      </c>
      <c r="AM38">
        <f t="shared" si="10"/>
        <v>0</v>
      </c>
      <c r="AN38">
        <f t="shared" si="11"/>
        <v>0</v>
      </c>
      <c r="AO38">
        <f t="shared" si="12"/>
        <v>0</v>
      </c>
      <c r="AP38" s="20">
        <f t="shared" si="13"/>
        <v>1</v>
      </c>
      <c r="AQ38" s="21">
        <f t="shared" si="14"/>
        <v>0</v>
      </c>
      <c r="AR38">
        <f t="shared" si="15"/>
        <v>0</v>
      </c>
      <c r="AS38">
        <f t="shared" si="16"/>
        <v>0</v>
      </c>
      <c r="AT38">
        <f t="shared" si="17"/>
        <v>0</v>
      </c>
      <c r="AU38">
        <f t="shared" si="18"/>
        <v>0</v>
      </c>
      <c r="AV38">
        <f t="shared" si="19"/>
        <v>0</v>
      </c>
      <c r="AW38" t="e">
        <f t="shared" si="20"/>
        <v>#DIV/0!</v>
      </c>
      <c r="AX38" t="e">
        <f t="shared" si="21"/>
        <v>#DIV/0!</v>
      </c>
      <c r="AY38">
        <f t="shared" si="22"/>
        <v>2.9987988991064658E-2</v>
      </c>
      <c r="AZ38">
        <f t="shared" si="23"/>
        <v>1.4262400226188987E-2</v>
      </c>
      <c r="BA38" s="8">
        <f t="shared" si="24"/>
        <v>2.9987988991064658E-2</v>
      </c>
    </row>
    <row r="39" spans="1:53" x14ac:dyDescent="0.35">
      <c r="A39" s="7" t="s">
        <v>65</v>
      </c>
      <c r="B39" s="7" t="s">
        <v>66</v>
      </c>
      <c r="C39">
        <f t="shared" si="1"/>
        <v>17</v>
      </c>
      <c r="D39">
        <v>17</v>
      </c>
      <c r="E39">
        <v>8</v>
      </c>
      <c r="F39">
        <v>9</v>
      </c>
      <c r="G39">
        <v>0</v>
      </c>
      <c r="H39">
        <v>17</v>
      </c>
      <c r="I39">
        <v>0</v>
      </c>
      <c r="J39">
        <v>17</v>
      </c>
      <c r="K39">
        <v>0</v>
      </c>
      <c r="L39">
        <v>2.9746119470950938</v>
      </c>
      <c r="M39">
        <v>1.3986901541599801</v>
      </c>
      <c r="N39">
        <v>1.3998173868682799</v>
      </c>
      <c r="O39">
        <v>0.65820713136940245</v>
      </c>
      <c r="P39">
        <v>1.5747945602268141</v>
      </c>
      <c r="Q39">
        <v>0.74048302279057776</v>
      </c>
      <c r="R39">
        <v>0</v>
      </c>
      <c r="S39">
        <v>0</v>
      </c>
      <c r="T39">
        <v>2.9746119470950938</v>
      </c>
      <c r="U39">
        <v>1.3986901541599801</v>
      </c>
      <c r="V39">
        <v>0</v>
      </c>
      <c r="W39">
        <v>0</v>
      </c>
      <c r="X39">
        <v>2.9746119470950938</v>
      </c>
      <c r="Y39">
        <v>1.3986901541599801</v>
      </c>
      <c r="Z39">
        <v>0</v>
      </c>
      <c r="AA39">
        <v>0</v>
      </c>
      <c r="AB39">
        <v>1215.4228689920101</v>
      </c>
      <c r="AC39">
        <v>571.50311712429004</v>
      </c>
      <c r="AD39" s="19">
        <f t="shared" si="2"/>
        <v>34</v>
      </c>
      <c r="AE39" s="19">
        <f t="shared" si="3"/>
        <v>34</v>
      </c>
      <c r="AF39">
        <f t="shared" si="4"/>
        <v>0.5</v>
      </c>
      <c r="AG39">
        <f t="shared" si="5"/>
        <v>0.5</v>
      </c>
      <c r="AH39">
        <f t="shared" si="6"/>
        <v>0.5</v>
      </c>
      <c r="AI39">
        <f t="shared" si="0"/>
        <v>0.5</v>
      </c>
      <c r="AJ39">
        <f t="shared" si="7"/>
        <v>0.26470588235294118</v>
      </c>
      <c r="AK39">
        <f t="shared" si="8"/>
        <v>0.26470588235294118</v>
      </c>
      <c r="AL39">
        <f t="shared" si="9"/>
        <v>0.23529411764705882</v>
      </c>
      <c r="AM39">
        <f t="shared" si="10"/>
        <v>0.23529411764705882</v>
      </c>
      <c r="AN39">
        <f t="shared" si="11"/>
        <v>0</v>
      </c>
      <c r="AO39">
        <f t="shared" si="12"/>
        <v>0</v>
      </c>
      <c r="AP39" s="20">
        <f t="shared" si="13"/>
        <v>0.52941176470588236</v>
      </c>
      <c r="AQ39" s="21">
        <f t="shared" si="14"/>
        <v>0.47058823529411764</v>
      </c>
      <c r="AR39">
        <f t="shared" si="15"/>
        <v>0.5</v>
      </c>
      <c r="AS39">
        <f t="shared" si="16"/>
        <v>0.5</v>
      </c>
      <c r="AT39">
        <f t="shared" si="17"/>
        <v>0</v>
      </c>
      <c r="AU39">
        <f t="shared" si="18"/>
        <v>0</v>
      </c>
      <c r="AV39">
        <f t="shared" si="19"/>
        <v>0.5</v>
      </c>
      <c r="AW39">
        <f t="shared" si="20"/>
        <v>0</v>
      </c>
      <c r="AX39">
        <f t="shared" si="21"/>
        <v>1</v>
      </c>
      <c r="AY39">
        <f t="shared" si="22"/>
        <v>5.9492238941901879E-2</v>
      </c>
      <c r="AZ39">
        <f t="shared" si="23"/>
        <v>2.7973803083199605E-2</v>
      </c>
      <c r="BA39" s="8">
        <f t="shared" si="24"/>
        <v>5.9492238941901879E-2</v>
      </c>
    </row>
    <row r="40" spans="1:53" x14ac:dyDescent="0.35">
      <c r="A40" s="7" t="s">
        <v>28</v>
      </c>
      <c r="B40" s="11" t="s">
        <v>67</v>
      </c>
      <c r="C40">
        <f t="shared" si="1"/>
        <v>0.36671521951269437</v>
      </c>
      <c r="D40">
        <v>0.36671521951269881</v>
      </c>
      <c r="E40">
        <v>1.154445264360187</v>
      </c>
      <c r="F40">
        <v>-0.78773004484749265</v>
      </c>
      <c r="G40">
        <v>0</v>
      </c>
      <c r="H40">
        <v>-1.1041831494786929</v>
      </c>
      <c r="I40">
        <v>-0.51176420691943925</v>
      </c>
      <c r="J40">
        <v>-0.59241894255925409</v>
      </c>
      <c r="K40">
        <v>0</v>
      </c>
      <c r="L40">
        <v>2.4533165212040398E-2</v>
      </c>
      <c r="M40">
        <v>2.9898941722940699E-2</v>
      </c>
      <c r="N40">
        <v>7.7232126979732196E-2</v>
      </c>
      <c r="O40">
        <v>9.4123968258795196E-2</v>
      </c>
      <c r="P40">
        <v>-5.2698961767692502E-2</v>
      </c>
      <c r="Q40">
        <v>-6.4225026535854796E-2</v>
      </c>
      <c r="R40">
        <v>0</v>
      </c>
      <c r="S40">
        <v>0</v>
      </c>
      <c r="T40">
        <v>-7.3869602866517697E-2</v>
      </c>
      <c r="U40">
        <v>-9.0026008960267995E-2</v>
      </c>
      <c r="V40">
        <v>-3.4236909650618402E-2</v>
      </c>
      <c r="W40">
        <v>-4.17250427154457E-2</v>
      </c>
      <c r="X40">
        <v>-3.9632693215899302E-2</v>
      </c>
      <c r="Y40">
        <v>-4.8300966244822302E-2</v>
      </c>
      <c r="Z40">
        <v>0</v>
      </c>
      <c r="AA40">
        <v>0</v>
      </c>
      <c r="AB40">
        <v>1226.51571721458</v>
      </c>
      <c r="AC40">
        <v>1494.77336635199</v>
      </c>
      <c r="AD40" s="19">
        <f t="shared" si="2"/>
        <v>-0.73746792996599408</v>
      </c>
      <c r="AE40" s="19">
        <f>(D40)+(H40*-1)</f>
        <v>1.4708983689913917</v>
      </c>
      <c r="AF40">
        <f t="shared" si="4"/>
        <v>0.24931377125950499</v>
      </c>
      <c r="AG40">
        <f t="shared" si="5"/>
        <v>0.24931377125950499</v>
      </c>
      <c r="AH40">
        <f>(($D40)/(AD40))*-1</f>
        <v>0.49726259897106129</v>
      </c>
      <c r="AI40">
        <f t="shared" si="0"/>
        <v>-0.49726259897106129</v>
      </c>
      <c r="AJ40">
        <f t="shared" si="7"/>
        <v>-0.53554348924028394</v>
      </c>
      <c r="AK40">
        <f t="shared" si="8"/>
        <v>1.0681549838835924</v>
      </c>
      <c r="AL40">
        <f t="shared" si="9"/>
        <v>0.78485726049978599</v>
      </c>
      <c r="AM40">
        <f t="shared" si="10"/>
        <v>-1.5654175828546477</v>
      </c>
      <c r="AN40">
        <f t="shared" si="11"/>
        <v>0</v>
      </c>
      <c r="AO40">
        <f t="shared" si="12"/>
        <v>0</v>
      </c>
      <c r="AP40" s="20">
        <f t="shared" si="13"/>
        <v>-2.1480702270668215</v>
      </c>
      <c r="AQ40" s="21">
        <f t="shared" si="14"/>
        <v>3.1480702270667833</v>
      </c>
      <c r="AR40">
        <f t="shared" si="15"/>
        <v>-0.75068622874049495</v>
      </c>
      <c r="AS40">
        <f t="shared" si="16"/>
        <v>1.4972625989710613</v>
      </c>
      <c r="AT40">
        <f t="shared" si="17"/>
        <v>-0.34792628621266375</v>
      </c>
      <c r="AU40">
        <f t="shared" si="18"/>
        <v>0.69394774487758071</v>
      </c>
      <c r="AV40">
        <f t="shared" si="19"/>
        <v>0.80331485409348113</v>
      </c>
      <c r="AW40">
        <f t="shared" si="20"/>
        <v>0.4634776460418305</v>
      </c>
      <c r="AX40">
        <f t="shared" si="21"/>
        <v>0.53652235395816994</v>
      </c>
      <c r="AY40">
        <f t="shared" si="22"/>
        <v>-4.9336437654478162E-4</v>
      </c>
      <c r="AZ40">
        <f t="shared" si="23"/>
        <v>-6.0127067237327001E-4</v>
      </c>
      <c r="BA40" s="8">
        <f t="shared" si="24"/>
        <v>9.8402768078557261E-4</v>
      </c>
    </row>
    <row r="41" spans="1:53" x14ac:dyDescent="0.35">
      <c r="A41" s="7" t="s">
        <v>29</v>
      </c>
      <c r="B41" s="11" t="s">
        <v>67</v>
      </c>
      <c r="C41">
        <f t="shared" si="1"/>
        <v>2.8194664340988358</v>
      </c>
      <c r="D41">
        <v>5.3821266931310277</v>
      </c>
      <c r="E41">
        <v>0.47940422310436759</v>
      </c>
      <c r="F41">
        <v>4.9027224700266601</v>
      </c>
      <c r="G41">
        <v>-2.5626602590321919</v>
      </c>
      <c r="H41">
        <v>-1.3104260956735769</v>
      </c>
      <c r="I41">
        <v>-0.10074472111954109</v>
      </c>
      <c r="J41">
        <v>-1.20968137455403</v>
      </c>
      <c r="K41">
        <v>0</v>
      </c>
      <c r="L41">
        <v>0.31722919641608449</v>
      </c>
      <c r="M41">
        <v>0.3122810380302487</v>
      </c>
      <c r="N41">
        <v>2.8256677169634498E-2</v>
      </c>
      <c r="O41">
        <v>2.7815927971034798E-2</v>
      </c>
      <c r="P41">
        <v>0.28897251924645051</v>
      </c>
      <c r="Q41">
        <v>0.28446511005921321</v>
      </c>
      <c r="R41">
        <v>-0.15104636159861329</v>
      </c>
      <c r="S41">
        <v>-0.1486903321749721</v>
      </c>
      <c r="T41">
        <v>-7.7238132990021094E-2</v>
      </c>
      <c r="U41">
        <v>-7.6033368359971598E-2</v>
      </c>
      <c r="V41">
        <v>-5.9380183236307999E-3</v>
      </c>
      <c r="W41">
        <v>-5.8453967884906999E-3</v>
      </c>
      <c r="X41">
        <v>-7.1300114666389997E-2</v>
      </c>
      <c r="Y41">
        <v>-7.0187971571480795E-2</v>
      </c>
      <c r="Z41">
        <v>0</v>
      </c>
      <c r="AA41">
        <v>0</v>
      </c>
      <c r="AB41">
        <v>1723.48815255626</v>
      </c>
      <c r="AC41">
        <v>1696.60508992738</v>
      </c>
      <c r="AD41" s="19">
        <f>D41+(H41*-1)</f>
        <v>6.6925527888046048</v>
      </c>
      <c r="AE41" s="19">
        <f t="shared" si="3"/>
        <v>4.0717005974574505</v>
      </c>
      <c r="AF41">
        <f t="shared" si="4"/>
        <v>1.3218375379790608</v>
      </c>
      <c r="AG41">
        <f t="shared" si="5"/>
        <v>1.3218375379790608</v>
      </c>
      <c r="AH41">
        <f t="shared" si="6"/>
        <v>0.80419637513122411</v>
      </c>
      <c r="AI41">
        <f t="shared" si="0"/>
        <v>0.80419637513122411</v>
      </c>
      <c r="AJ41">
        <f t="shared" si="7"/>
        <v>1.2040969989512824</v>
      </c>
      <c r="AK41">
        <f>(F41/(AD41))</f>
        <v>0.73256388477473089</v>
      </c>
      <c r="AL41">
        <f t="shared" si="9"/>
        <v>0.1177405390277784</v>
      </c>
      <c r="AM41">
        <f t="shared" si="10"/>
        <v>7.1632490356493203E-2</v>
      </c>
      <c r="AN41">
        <f t="shared" si="11"/>
        <v>-0.62938327553662221</v>
      </c>
      <c r="AO41">
        <f t="shared" si="12"/>
        <v>-0.38291222197291375</v>
      </c>
      <c r="AP41" s="20">
        <f t="shared" si="13"/>
        <v>0.91092661870702329</v>
      </c>
      <c r="AQ41" s="21">
        <f t="shared" si="14"/>
        <v>8.907338129297665E-2</v>
      </c>
      <c r="AR41">
        <f t="shared" si="15"/>
        <v>-0.32183753797906084</v>
      </c>
      <c r="AS41">
        <f t="shared" si="16"/>
        <v>-0.19580362486877592</v>
      </c>
      <c r="AT41">
        <f t="shared" si="17"/>
        <v>-2.4742664326166453E-2</v>
      </c>
      <c r="AU41">
        <f t="shared" si="18"/>
        <v>-1.5053257598216971E-2</v>
      </c>
      <c r="AV41">
        <f t="shared" si="19"/>
        <v>-0.18075036727055807</v>
      </c>
      <c r="AW41">
        <f t="shared" si="20"/>
        <v>7.6879361188054579E-2</v>
      </c>
      <c r="AX41">
        <f t="shared" si="21"/>
        <v>0.92312063881194095</v>
      </c>
      <c r="AY41">
        <f t="shared" si="22"/>
        <v>3.9446732940610629E-3</v>
      </c>
      <c r="AZ41">
        <f t="shared" si="23"/>
        <v>3.8831440639021967E-3</v>
      </c>
      <c r="BA41" s="8">
        <f t="shared" si="24"/>
        <v>2.3999106342606409E-3</v>
      </c>
    </row>
    <row r="42" spans="1:53" x14ac:dyDescent="0.35">
      <c r="A42" s="7" t="s">
        <v>30</v>
      </c>
      <c r="B42" s="11" t="s">
        <v>67</v>
      </c>
      <c r="C42">
        <f t="shared" si="1"/>
        <v>58.271457544134336</v>
      </c>
      <c r="D42">
        <v>46.119277635451212</v>
      </c>
      <c r="E42">
        <v>3.2426565634137821</v>
      </c>
      <c r="F42">
        <v>42.87662107203743</v>
      </c>
      <c r="G42">
        <v>12.15217990868312</v>
      </c>
      <c r="H42">
        <v>32.305560508499518</v>
      </c>
      <c r="I42">
        <v>22.949473478961181</v>
      </c>
      <c r="J42">
        <v>9.3560870295383438</v>
      </c>
      <c r="K42">
        <v>0</v>
      </c>
      <c r="L42">
        <v>1.76242194987834</v>
      </c>
      <c r="M42">
        <v>1.5864412065797071</v>
      </c>
      <c r="N42">
        <v>0.12391627528191219</v>
      </c>
      <c r="O42">
        <v>0.1115430304795457</v>
      </c>
      <c r="P42">
        <v>1.6385056745964279</v>
      </c>
      <c r="Q42">
        <v>1.4748981761001609</v>
      </c>
      <c r="R42">
        <v>0.4643886398053762</v>
      </c>
      <c r="S42">
        <v>0.41801866692911188</v>
      </c>
      <c r="T42">
        <v>1.2345386108028831</v>
      </c>
      <c r="U42">
        <v>1.1112678909988369</v>
      </c>
      <c r="V42">
        <v>0.87700106920974974</v>
      </c>
      <c r="W42">
        <v>0.78943106360247617</v>
      </c>
      <c r="X42">
        <v>0.35753754159313361</v>
      </c>
      <c r="Y42">
        <v>0.32183682739636049</v>
      </c>
      <c r="Z42">
        <v>0</v>
      </c>
      <c r="AA42">
        <v>0</v>
      </c>
      <c r="AB42">
        <v>2907.0902498102801</v>
      </c>
      <c r="AC42">
        <v>2616.8124857180101</v>
      </c>
      <c r="AD42" s="19">
        <f t="shared" si="2"/>
        <v>78.424838143950723</v>
      </c>
      <c r="AE42" s="19">
        <f t="shared" si="3"/>
        <v>78.424838143950723</v>
      </c>
      <c r="AF42">
        <f t="shared" si="4"/>
        <v>0.5880697841007736</v>
      </c>
      <c r="AG42">
        <f t="shared" si="5"/>
        <v>0.5880697841007736</v>
      </c>
      <c r="AH42">
        <f t="shared" si="6"/>
        <v>0.5880697841007736</v>
      </c>
      <c r="AI42">
        <f t="shared" si="0"/>
        <v>0.5880697841007736</v>
      </c>
      <c r="AJ42">
        <f t="shared" si="7"/>
        <v>0.54672246812083103</v>
      </c>
      <c r="AK42">
        <f t="shared" si="8"/>
        <v>0.54672246812083103</v>
      </c>
      <c r="AL42">
        <f t="shared" si="9"/>
        <v>4.1347315979942553E-2</v>
      </c>
      <c r="AM42">
        <f t="shared" si="10"/>
        <v>4.1347315979942553E-2</v>
      </c>
      <c r="AN42">
        <f t="shared" si="11"/>
        <v>0.15495320355494382</v>
      </c>
      <c r="AO42">
        <f t="shared" si="12"/>
        <v>0.15495320355494382</v>
      </c>
      <c r="AP42" s="20">
        <f t="shared" si="13"/>
        <v>0.92968977985636969</v>
      </c>
      <c r="AQ42" s="21">
        <f t="shared" si="14"/>
        <v>7.0310220143630336E-2</v>
      </c>
      <c r="AR42">
        <f t="shared" si="15"/>
        <v>0.41193021589922652</v>
      </c>
      <c r="AS42">
        <f t="shared" si="16"/>
        <v>0.41193021589922652</v>
      </c>
      <c r="AT42">
        <f t="shared" si="17"/>
        <v>0.29263016694834432</v>
      </c>
      <c r="AU42">
        <f t="shared" si="18"/>
        <v>0.29263016694834432</v>
      </c>
      <c r="AV42">
        <f t="shared" si="19"/>
        <v>0.11930004895088231</v>
      </c>
      <c r="AW42">
        <f t="shared" si="20"/>
        <v>0.71038772018591745</v>
      </c>
      <c r="AX42">
        <f t="shared" si="21"/>
        <v>0.28961227981408277</v>
      </c>
      <c r="AY42">
        <f t="shared" si="22"/>
        <v>2.9969605606812229E-2</v>
      </c>
      <c r="AZ42">
        <f t="shared" si="23"/>
        <v>2.697709097578543E-2</v>
      </c>
      <c r="BA42" s="8">
        <f t="shared" si="24"/>
        <v>2.9969605606812229E-2</v>
      </c>
    </row>
    <row r="43" spans="1:53" x14ac:dyDescent="0.35">
      <c r="A43" s="7" t="s">
        <v>31</v>
      </c>
      <c r="B43" s="11" t="s">
        <v>67</v>
      </c>
      <c r="C43">
        <f t="shared" si="1"/>
        <v>189.22094940972298</v>
      </c>
      <c r="D43">
        <v>189.22094940972289</v>
      </c>
      <c r="E43">
        <v>13.93513761981457</v>
      </c>
      <c r="F43">
        <v>175.28581178990839</v>
      </c>
      <c r="G43">
        <v>0</v>
      </c>
      <c r="H43">
        <v>42.688711835254708</v>
      </c>
      <c r="I43">
        <v>-4.4335859146559358</v>
      </c>
      <c r="J43">
        <v>47.122297749910672</v>
      </c>
      <c r="K43">
        <v>0</v>
      </c>
      <c r="L43">
        <v>5.2600571942181622</v>
      </c>
      <c r="M43">
        <v>4.5466299278372659</v>
      </c>
      <c r="N43">
        <v>0.3873758223821665</v>
      </c>
      <c r="O43">
        <v>0.33483561914484439</v>
      </c>
      <c r="P43">
        <v>4.8726813718359949</v>
      </c>
      <c r="Q43">
        <v>4.2117943086924212</v>
      </c>
      <c r="R43">
        <v>0</v>
      </c>
      <c r="S43">
        <v>0</v>
      </c>
      <c r="T43">
        <v>1.186681847339887</v>
      </c>
      <c r="U43">
        <v>1.0257309003916151</v>
      </c>
      <c r="V43">
        <v>-0.1232470059965349</v>
      </c>
      <c r="W43">
        <v>-0.1065308808041347</v>
      </c>
      <c r="X43">
        <v>1.30992885333642</v>
      </c>
      <c r="Y43">
        <v>1.1322617811957481</v>
      </c>
      <c r="Z43">
        <v>0</v>
      </c>
      <c r="AA43">
        <v>0</v>
      </c>
      <c r="AB43">
        <v>4161.7847155581303</v>
      </c>
      <c r="AC43">
        <v>3597.3173374942398</v>
      </c>
      <c r="AD43" s="19">
        <f t="shared" si="2"/>
        <v>231.9096612449776</v>
      </c>
      <c r="AE43" s="19">
        <f t="shared" si="3"/>
        <v>231.9096612449776</v>
      </c>
      <c r="AF43">
        <f t="shared" si="4"/>
        <v>0.81592525466129451</v>
      </c>
      <c r="AG43">
        <f t="shared" si="5"/>
        <v>0.81592525466129451</v>
      </c>
      <c r="AH43">
        <f t="shared" si="6"/>
        <v>0.81592525466129451</v>
      </c>
      <c r="AI43">
        <f t="shared" si="0"/>
        <v>0.81592525466129451</v>
      </c>
      <c r="AJ43">
        <f t="shared" si="7"/>
        <v>0.75583660831079114</v>
      </c>
      <c r="AK43">
        <f t="shared" si="8"/>
        <v>0.75583660831079114</v>
      </c>
      <c r="AL43">
        <f t="shared" si="9"/>
        <v>6.0088646350503691E-2</v>
      </c>
      <c r="AM43">
        <f t="shared" si="10"/>
        <v>6.0088646350503691E-2</v>
      </c>
      <c r="AN43">
        <f t="shared" si="11"/>
        <v>0</v>
      </c>
      <c r="AO43">
        <f t="shared" si="12"/>
        <v>0</v>
      </c>
      <c r="AP43" s="20">
        <f t="shared" si="13"/>
        <v>0.92635520716239184</v>
      </c>
      <c r="AQ43" s="21">
        <f t="shared" si="14"/>
        <v>7.3644792837608122E-2</v>
      </c>
      <c r="AR43">
        <f t="shared" si="15"/>
        <v>0.18407474533870549</v>
      </c>
      <c r="AS43">
        <f t="shared" si="16"/>
        <v>0.18407474533870549</v>
      </c>
      <c r="AT43">
        <f t="shared" si="17"/>
        <v>-1.9117728389816933E-2</v>
      </c>
      <c r="AU43">
        <f t="shared" si="18"/>
        <v>-1.9117728389816933E-2</v>
      </c>
      <c r="AV43">
        <f t="shared" si="19"/>
        <v>0.20319247372852253</v>
      </c>
      <c r="AW43">
        <f t="shared" si="20"/>
        <v>-0.10385850788297703</v>
      </c>
      <c r="AX43">
        <f t="shared" si="21"/>
        <v>1.1038585078829777</v>
      </c>
      <c r="AY43">
        <f t="shared" si="22"/>
        <v>6.4467390415580472E-2</v>
      </c>
      <c r="AZ43">
        <f t="shared" si="23"/>
        <v>5.5723608282288714E-2</v>
      </c>
      <c r="BA43" s="8">
        <f t="shared" si="24"/>
        <v>6.4467390415580472E-2</v>
      </c>
    </row>
    <row r="44" spans="1:53" x14ac:dyDescent="0.35">
      <c r="A44" s="7" t="s">
        <v>32</v>
      </c>
      <c r="B44" s="11" t="s">
        <v>67</v>
      </c>
      <c r="C44">
        <f t="shared" si="1"/>
        <v>45.755588366456806</v>
      </c>
      <c r="D44">
        <v>38.105763873469748</v>
      </c>
      <c r="E44">
        <v>3.4734084577736981</v>
      </c>
      <c r="F44">
        <v>34.632355415696047</v>
      </c>
      <c r="G44">
        <v>7.6498244929870598</v>
      </c>
      <c r="H44">
        <v>-8.1926568414287431</v>
      </c>
      <c r="I44">
        <v>3.6063458324081852</v>
      </c>
      <c r="J44">
        <v>-11.799002673836981</v>
      </c>
      <c r="K44">
        <v>0</v>
      </c>
      <c r="L44">
        <v>1.986581474232286</v>
      </c>
      <c r="M44">
        <v>1.6300816575185899</v>
      </c>
      <c r="N44">
        <v>0.18108045065221939</v>
      </c>
      <c r="O44">
        <v>0.14858485542731309</v>
      </c>
      <c r="P44">
        <v>1.805501023580067</v>
      </c>
      <c r="Q44">
        <v>1.481496802091276</v>
      </c>
      <c r="R44">
        <v>0.39881104783407961</v>
      </c>
      <c r="S44">
        <v>0.32724284522049651</v>
      </c>
      <c r="T44">
        <v>-0.4271107216212009</v>
      </c>
      <c r="U44">
        <v>-0.35046403184309582</v>
      </c>
      <c r="V44">
        <v>0.18801092255035179</v>
      </c>
      <c r="W44">
        <v>0.15427162703251979</v>
      </c>
      <c r="X44">
        <v>-0.61512164417155191</v>
      </c>
      <c r="Y44">
        <v>-0.50473565887561733</v>
      </c>
      <c r="Z44">
        <v>0</v>
      </c>
      <c r="AA44">
        <v>0</v>
      </c>
      <c r="AB44">
        <v>2337.6598158571201</v>
      </c>
      <c r="AC44">
        <v>1918.15761738117</v>
      </c>
      <c r="AD44" s="19">
        <f t="shared" si="2"/>
        <v>29.913107032041005</v>
      </c>
      <c r="AE44" s="19">
        <f t="shared" si="3"/>
        <v>29.913107032041005</v>
      </c>
      <c r="AF44">
        <f t="shared" si="4"/>
        <v>1.2738818415838011</v>
      </c>
      <c r="AG44">
        <f t="shared" si="5"/>
        <v>1.2738818415838011</v>
      </c>
      <c r="AH44">
        <f t="shared" si="6"/>
        <v>1.2738818415838011</v>
      </c>
      <c r="AI44">
        <f t="shared" si="0"/>
        <v>1.2738818415838011</v>
      </c>
      <c r="AJ44">
        <f t="shared" si="7"/>
        <v>1.1577652357744077</v>
      </c>
      <c r="AK44">
        <f t="shared" si="8"/>
        <v>1.1577652357744077</v>
      </c>
      <c r="AL44">
        <f t="shared" si="9"/>
        <v>0.11611660580939337</v>
      </c>
      <c r="AM44">
        <f t="shared" si="10"/>
        <v>0.11611660580939337</v>
      </c>
      <c r="AN44">
        <f t="shared" si="11"/>
        <v>0.25573486849069399</v>
      </c>
      <c r="AO44">
        <f t="shared" si="12"/>
        <v>0.25573486849069399</v>
      </c>
      <c r="AP44" s="20">
        <f t="shared" si="13"/>
        <v>0.90884821337509047</v>
      </c>
      <c r="AQ44" s="21">
        <f t="shared" si="14"/>
        <v>9.115178662490947E-2</v>
      </c>
      <c r="AR44">
        <f t="shared" si="15"/>
        <v>-0.27388184158380119</v>
      </c>
      <c r="AS44">
        <f t="shared" si="16"/>
        <v>-0.27388184158380119</v>
      </c>
      <c r="AT44">
        <f t="shared" si="17"/>
        <v>0.12056072371704145</v>
      </c>
      <c r="AU44">
        <f t="shared" si="18"/>
        <v>0.12056072371704145</v>
      </c>
      <c r="AV44">
        <f t="shared" si="19"/>
        <v>-0.39444256530084437</v>
      </c>
      <c r="AW44">
        <f t="shared" si="20"/>
        <v>-0.44019246774398807</v>
      </c>
      <c r="AX44">
        <f t="shared" si="21"/>
        <v>1.4401924677439946</v>
      </c>
      <c r="AY44">
        <f t="shared" si="22"/>
        <v>1.5594707526110859E-2</v>
      </c>
      <c r="AZ44">
        <f t="shared" si="23"/>
        <v>1.279617625675494E-2</v>
      </c>
      <c r="BA44" s="8">
        <f t="shared" si="24"/>
        <v>1.5594707526110859E-2</v>
      </c>
    </row>
    <row r="45" spans="1:53" x14ac:dyDescent="0.35">
      <c r="A45" s="7" t="s">
        <v>33</v>
      </c>
      <c r="B45" s="11" t="s">
        <v>67</v>
      </c>
      <c r="C45">
        <f t="shared" si="1"/>
        <v>297.79351515490208</v>
      </c>
      <c r="D45">
        <v>54.106824187597113</v>
      </c>
      <c r="E45">
        <v>26.236916652536529</v>
      </c>
      <c r="F45">
        <v>27.869907535060641</v>
      </c>
      <c r="G45">
        <v>243.68669096730491</v>
      </c>
      <c r="H45">
        <v>128.1492710841033</v>
      </c>
      <c r="I45">
        <v>0</v>
      </c>
      <c r="J45">
        <v>128.1492710841033</v>
      </c>
      <c r="K45">
        <v>1021.60958905524</v>
      </c>
      <c r="L45">
        <v>1.1854268634847269</v>
      </c>
      <c r="M45">
        <v>1.0161187929447151</v>
      </c>
      <c r="N45">
        <v>0.57482482629346554</v>
      </c>
      <c r="O45">
        <v>0.49272572323100211</v>
      </c>
      <c r="P45">
        <v>0.61060203719126172</v>
      </c>
      <c r="Q45">
        <v>0.52339306971371258</v>
      </c>
      <c r="R45">
        <v>5.3389337497387714</v>
      </c>
      <c r="S45">
        <v>4.5764028844840201</v>
      </c>
      <c r="T45">
        <v>2.8076234515701861</v>
      </c>
      <c r="U45">
        <v>2.4066258666235489</v>
      </c>
      <c r="V45">
        <v>0</v>
      </c>
      <c r="W45">
        <v>0</v>
      </c>
      <c r="X45">
        <v>2.8076234515701861</v>
      </c>
      <c r="Y45">
        <v>2.4066258666235489</v>
      </c>
      <c r="Z45">
        <v>22.382453027751001</v>
      </c>
      <c r="AA45">
        <v>19.185689015721469</v>
      </c>
      <c r="AB45">
        <v>5324.8522282316499</v>
      </c>
      <c r="AC45">
        <v>4564.3325500944502</v>
      </c>
      <c r="AD45" s="19">
        <f t="shared" si="2"/>
        <v>182.25609527170042</v>
      </c>
      <c r="AE45" s="19">
        <f t="shared" si="3"/>
        <v>182.25609527170042</v>
      </c>
      <c r="AF45">
        <f t="shared" si="4"/>
        <v>0.29687250847186608</v>
      </c>
      <c r="AG45">
        <f t="shared" si="5"/>
        <v>0.29687250847186608</v>
      </c>
      <c r="AH45">
        <f t="shared" si="6"/>
        <v>0.29687250847186608</v>
      </c>
      <c r="AI45">
        <f t="shared" si="0"/>
        <v>0.29687250847186608</v>
      </c>
      <c r="AJ45">
        <f t="shared" si="7"/>
        <v>0.15291618913218374</v>
      </c>
      <c r="AK45">
        <f t="shared" si="8"/>
        <v>0.15291618913218374</v>
      </c>
      <c r="AL45">
        <f t="shared" si="9"/>
        <v>0.14395631933968264</v>
      </c>
      <c r="AM45">
        <f t="shared" si="10"/>
        <v>0.14395631933968264</v>
      </c>
      <c r="AN45">
        <f t="shared" si="11"/>
        <v>1.3370564677358314</v>
      </c>
      <c r="AO45">
        <f t="shared" si="12"/>
        <v>1.3370564677358314</v>
      </c>
      <c r="AP45" s="20">
        <f t="shared" si="13"/>
        <v>0.51509043366565244</v>
      </c>
      <c r="AQ45" s="21">
        <f t="shared" si="14"/>
        <v>0.48490956633434801</v>
      </c>
      <c r="AR45">
        <f t="shared" si="15"/>
        <v>0.70312749152813392</v>
      </c>
      <c r="AS45">
        <f t="shared" si="16"/>
        <v>0.70312749152813392</v>
      </c>
      <c r="AT45">
        <f t="shared" si="17"/>
        <v>0</v>
      </c>
      <c r="AU45">
        <f t="shared" si="18"/>
        <v>0</v>
      </c>
      <c r="AV45">
        <f t="shared" si="19"/>
        <v>0.70312749152813392</v>
      </c>
      <c r="AW45">
        <f t="shared" si="20"/>
        <v>0</v>
      </c>
      <c r="AX45">
        <f t="shared" si="21"/>
        <v>1</v>
      </c>
      <c r="AY45">
        <f t="shared" si="22"/>
        <v>3.9930503150549135E-2</v>
      </c>
      <c r="AZ45">
        <f t="shared" si="23"/>
        <v>3.4227446595682623E-2</v>
      </c>
      <c r="BA45" s="8">
        <f t="shared" si="24"/>
        <v>3.9930503150549135E-2</v>
      </c>
    </row>
    <row r="46" spans="1:53" x14ac:dyDescent="0.35">
      <c r="A46" s="7" t="s">
        <v>34</v>
      </c>
      <c r="B46" s="11" t="s">
        <v>67</v>
      </c>
      <c r="C46">
        <f t="shared" si="1"/>
        <v>36.886000912551282</v>
      </c>
      <c r="D46">
        <v>23.75934855125389</v>
      </c>
      <c r="E46">
        <v>1.281290935211151</v>
      </c>
      <c r="F46">
        <v>22.47805761604274</v>
      </c>
      <c r="G46">
        <v>13.12665236129739</v>
      </c>
      <c r="H46">
        <v>-186.96912589332601</v>
      </c>
      <c r="I46">
        <v>-101</v>
      </c>
      <c r="J46">
        <v>-85.969125893326037</v>
      </c>
      <c r="K46">
        <v>120.836905973052</v>
      </c>
      <c r="L46">
        <v>1.4503795525417811</v>
      </c>
      <c r="M46">
        <v>1.101734874982673</v>
      </c>
      <c r="N46">
        <v>7.8215872345090698E-2</v>
      </c>
      <c r="O46">
        <v>5.9414209328007402E-2</v>
      </c>
      <c r="P46">
        <v>1.3721636801966901</v>
      </c>
      <c r="Q46">
        <v>1.0423206656546651</v>
      </c>
      <c r="R46">
        <v>0.8013110349839645</v>
      </c>
      <c r="S46">
        <v>0.60869053993703692</v>
      </c>
      <c r="T46">
        <v>-11.413452543419121</v>
      </c>
      <c r="U46">
        <v>-8.6698676143135298</v>
      </c>
      <c r="V46">
        <v>-6.1655030015117536</v>
      </c>
      <c r="W46">
        <v>-4.6834290146131741</v>
      </c>
      <c r="X46">
        <v>-5.2479495419073627</v>
      </c>
      <c r="Y46">
        <v>-3.9864385997003549</v>
      </c>
      <c r="Z46">
        <v>7.3764386779232263</v>
      </c>
      <c r="AA46">
        <v>5.6032779353492641</v>
      </c>
      <c r="AB46">
        <v>2156.5395714307001</v>
      </c>
      <c r="AC46">
        <v>1638.14696019506</v>
      </c>
      <c r="AD46" s="19">
        <f t="shared" si="2"/>
        <v>-163.20977734207213</v>
      </c>
      <c r="AE46" s="19">
        <f t="shared" si="3"/>
        <v>-163.20977734207213</v>
      </c>
      <c r="AF46">
        <f t="shared" si="4"/>
        <v>-0.14557552211750502</v>
      </c>
      <c r="AG46">
        <f t="shared" si="5"/>
        <v>-0.14557552211750502</v>
      </c>
      <c r="AH46">
        <f t="shared" si="6"/>
        <v>-0.14557552211750502</v>
      </c>
      <c r="AI46">
        <f t="shared" si="0"/>
        <v>-0.14557552211750502</v>
      </c>
      <c r="AJ46">
        <f t="shared" si="7"/>
        <v>-0.13772494504989657</v>
      </c>
      <c r="AK46">
        <f t="shared" si="8"/>
        <v>-0.13772494504989657</v>
      </c>
      <c r="AL46">
        <f t="shared" si="9"/>
        <v>-7.8505770676084406E-3</v>
      </c>
      <c r="AM46">
        <f t="shared" si="10"/>
        <v>-7.8505770676084406E-3</v>
      </c>
      <c r="AN46">
        <f t="shared" si="11"/>
        <v>-8.0428100418182533E-2</v>
      </c>
      <c r="AO46">
        <f t="shared" si="12"/>
        <v>-8.0428100418182533E-2</v>
      </c>
      <c r="AP46" s="20">
        <f t="shared" si="13"/>
        <v>0.94607213525037792</v>
      </c>
      <c r="AQ46" s="21">
        <f t="shared" si="14"/>
        <v>5.3927864749622162E-2</v>
      </c>
      <c r="AR46">
        <f t="shared" si="15"/>
        <v>1.145575522117505</v>
      </c>
      <c r="AS46">
        <f t="shared" si="16"/>
        <v>1.145575522117505</v>
      </c>
      <c r="AT46">
        <f t="shared" si="17"/>
        <v>0.61883547447230214</v>
      </c>
      <c r="AU46">
        <f t="shared" si="18"/>
        <v>0.61883547447230214</v>
      </c>
      <c r="AV46">
        <f t="shared" si="19"/>
        <v>0.52674004764520299</v>
      </c>
      <c r="AW46">
        <f t="shared" si="20"/>
        <v>0.54019613942905675</v>
      </c>
      <c r="AX46">
        <f t="shared" si="21"/>
        <v>0.45980386057094341</v>
      </c>
      <c r="AY46">
        <f t="shared" si="22"/>
        <v>-9.9630729908773363E-2</v>
      </c>
      <c r="AZ46">
        <f t="shared" si="23"/>
        <v>-7.5681327393308559E-2</v>
      </c>
      <c r="BA46" s="8">
        <f t="shared" si="24"/>
        <v>-9.9630729908773363E-2</v>
      </c>
    </row>
    <row r="47" spans="1:53" x14ac:dyDescent="0.35">
      <c r="A47" s="7" t="s">
        <v>35</v>
      </c>
      <c r="B47" s="11" t="s">
        <v>67</v>
      </c>
      <c r="C47">
        <f t="shared" si="1"/>
        <v>24.886187363532709</v>
      </c>
      <c r="D47">
        <v>24.886187363532709</v>
      </c>
      <c r="E47">
        <v>0.52057790283490757</v>
      </c>
      <c r="F47">
        <v>24.365609460697801</v>
      </c>
      <c r="G47">
        <v>0</v>
      </c>
      <c r="H47">
        <v>-60.841604635503842</v>
      </c>
      <c r="I47">
        <v>-10.86448882326709</v>
      </c>
      <c r="J47">
        <v>-49.977115812236761</v>
      </c>
      <c r="K47">
        <v>-0.50327929573277252</v>
      </c>
      <c r="L47">
        <v>1.8797371249607491</v>
      </c>
      <c r="M47">
        <v>1.385238169458487</v>
      </c>
      <c r="N47">
        <v>3.9320993453055599E-2</v>
      </c>
      <c r="O47">
        <v>2.89768927095789E-2</v>
      </c>
      <c r="P47">
        <v>1.840416131507693</v>
      </c>
      <c r="Q47">
        <v>1.356261276748908</v>
      </c>
      <c r="R47">
        <v>0</v>
      </c>
      <c r="S47">
        <v>0</v>
      </c>
      <c r="T47">
        <v>-4.5955702777970959</v>
      </c>
      <c r="U47">
        <v>-3.3866221370535561</v>
      </c>
      <c r="V47">
        <v>-0.82063124762704553</v>
      </c>
      <c r="W47">
        <v>-0.60474930891576673</v>
      </c>
      <c r="X47">
        <v>-3.7749390301700489</v>
      </c>
      <c r="Y47">
        <v>-2.7818728281377889</v>
      </c>
      <c r="Z47">
        <v>-3.8014371691152501E-2</v>
      </c>
      <c r="AA47">
        <v>-2.8014001508676899E-2</v>
      </c>
      <c r="AB47">
        <v>1796.5276955414199</v>
      </c>
      <c r="AC47">
        <v>1323.9184901480501</v>
      </c>
      <c r="AD47" s="19">
        <f t="shared" si="2"/>
        <v>-35.955417271971129</v>
      </c>
      <c r="AE47" s="19">
        <f t="shared" si="3"/>
        <v>-35.955417271971129</v>
      </c>
      <c r="AF47">
        <f t="shared" si="4"/>
        <v>-0.69214013497022087</v>
      </c>
      <c r="AG47">
        <f t="shared" si="5"/>
        <v>-0.69214013497022087</v>
      </c>
      <c r="AH47">
        <f t="shared" si="6"/>
        <v>-0.69214013497022087</v>
      </c>
      <c r="AI47">
        <f t="shared" si="0"/>
        <v>-0.69214013497022087</v>
      </c>
      <c r="AJ47">
        <f t="shared" si="7"/>
        <v>-0.67766170745268739</v>
      </c>
      <c r="AK47">
        <f t="shared" si="8"/>
        <v>-0.67766170745268739</v>
      </c>
      <c r="AL47">
        <f t="shared" si="9"/>
        <v>-1.4478427517533541E-2</v>
      </c>
      <c r="AM47">
        <f t="shared" si="10"/>
        <v>-1.4478427517533541E-2</v>
      </c>
      <c r="AN47">
        <f t="shared" si="11"/>
        <v>0</v>
      </c>
      <c r="AO47">
        <f t="shared" si="12"/>
        <v>0</v>
      </c>
      <c r="AP47" s="20">
        <f t="shared" si="13"/>
        <v>0.97908165299768879</v>
      </c>
      <c r="AQ47" s="21">
        <f t="shared" si="14"/>
        <v>2.0918347002311131E-2</v>
      </c>
      <c r="AR47">
        <f t="shared" si="15"/>
        <v>1.692140134970221</v>
      </c>
      <c r="AS47">
        <f t="shared" si="16"/>
        <v>1.692140134970221</v>
      </c>
      <c r="AT47">
        <f t="shared" si="17"/>
        <v>0.30216556078564688</v>
      </c>
      <c r="AU47">
        <f t="shared" si="18"/>
        <v>0.30216556078564688</v>
      </c>
      <c r="AV47">
        <f t="shared" si="19"/>
        <v>1.3899745741845744</v>
      </c>
      <c r="AW47">
        <f t="shared" si="20"/>
        <v>0.17857005725531386</v>
      </c>
      <c r="AX47">
        <f t="shared" si="21"/>
        <v>0.82142994274468628</v>
      </c>
      <c r="AY47">
        <f t="shared" si="22"/>
        <v>-2.7158331528363455E-2</v>
      </c>
      <c r="AZ47">
        <f t="shared" si="23"/>
        <v>-2.001383967595069E-2</v>
      </c>
      <c r="BA47" s="8">
        <f t="shared" si="24"/>
        <v>-2.7158331528363455E-2</v>
      </c>
    </row>
    <row r="48" spans="1:53" x14ac:dyDescent="0.35">
      <c r="A48" s="7" t="s">
        <v>36</v>
      </c>
      <c r="B48" s="11" t="s">
        <v>67</v>
      </c>
      <c r="C48">
        <f t="shared" si="1"/>
        <v>71.618784378598789</v>
      </c>
      <c r="D48">
        <v>71.618784378598804</v>
      </c>
      <c r="E48">
        <v>1.8120430642510199</v>
      </c>
      <c r="F48">
        <v>69.806741314347775</v>
      </c>
      <c r="G48">
        <v>0</v>
      </c>
      <c r="H48">
        <v>0.49401987796943558</v>
      </c>
      <c r="I48">
        <v>-421.75808205314382</v>
      </c>
      <c r="J48">
        <v>422.2521019311132</v>
      </c>
      <c r="K48">
        <v>0</v>
      </c>
      <c r="L48">
        <v>2.2682920394272248</v>
      </c>
      <c r="M48">
        <v>2.434366699665794</v>
      </c>
      <c r="N48">
        <v>5.7390569993647098E-2</v>
      </c>
      <c r="O48">
        <v>6.1592462539634997E-2</v>
      </c>
      <c r="P48">
        <v>2.210901469433578</v>
      </c>
      <c r="Q48">
        <v>2.3727742371261602</v>
      </c>
      <c r="R48">
        <v>0</v>
      </c>
      <c r="S48">
        <v>0</v>
      </c>
      <c r="T48">
        <v>1.5646472726947601E-2</v>
      </c>
      <c r="U48">
        <v>1.6792040668327901E-2</v>
      </c>
      <c r="V48">
        <v>-13.357815388599549</v>
      </c>
      <c r="W48">
        <v>-14.335817609491439</v>
      </c>
      <c r="X48">
        <v>13.373461861326501</v>
      </c>
      <c r="Y48">
        <v>14.35260965015976</v>
      </c>
      <c r="Z48">
        <v>0</v>
      </c>
      <c r="AA48">
        <v>0</v>
      </c>
      <c r="AB48">
        <v>2941.9883367789698</v>
      </c>
      <c r="AC48">
        <v>3157.38816403392</v>
      </c>
      <c r="AD48" s="19">
        <f t="shared" si="2"/>
        <v>72.112804256568239</v>
      </c>
      <c r="AE48" s="19">
        <f t="shared" si="3"/>
        <v>72.112804256568239</v>
      </c>
      <c r="AF48">
        <f t="shared" si="4"/>
        <v>0.99314934590240345</v>
      </c>
      <c r="AG48">
        <f t="shared" si="5"/>
        <v>0.99314934590240345</v>
      </c>
      <c r="AH48">
        <f t="shared" si="6"/>
        <v>0.99314934590240345</v>
      </c>
      <c r="AI48">
        <f t="shared" si="0"/>
        <v>0.99314934590240345</v>
      </c>
      <c r="AJ48">
        <f t="shared" si="7"/>
        <v>0.9680214496441466</v>
      </c>
      <c r="AK48">
        <f t="shared" si="8"/>
        <v>0.9680214496441466</v>
      </c>
      <c r="AL48">
        <f t="shared" si="9"/>
        <v>2.5127896258256715E-2</v>
      </c>
      <c r="AM48">
        <f t="shared" si="10"/>
        <v>2.5127896258256715E-2</v>
      </c>
      <c r="AN48">
        <f t="shared" si="11"/>
        <v>0</v>
      </c>
      <c r="AO48">
        <f t="shared" si="12"/>
        <v>0</v>
      </c>
      <c r="AP48" s="20">
        <f t="shared" si="13"/>
        <v>0.97469877379275249</v>
      </c>
      <c r="AQ48" s="21">
        <f t="shared" si="14"/>
        <v>2.5301226207247611E-2</v>
      </c>
      <c r="AR48">
        <f t="shared" si="15"/>
        <v>6.8506540975965284E-3</v>
      </c>
      <c r="AS48">
        <f t="shared" si="16"/>
        <v>6.8506540975965284E-3</v>
      </c>
      <c r="AT48">
        <f t="shared" si="17"/>
        <v>-5.8485880059882556</v>
      </c>
      <c r="AU48">
        <f t="shared" si="18"/>
        <v>-5.8485880059882556</v>
      </c>
      <c r="AV48">
        <f t="shared" si="19"/>
        <v>5.8554386600858512</v>
      </c>
      <c r="AW48">
        <f t="shared" si="20"/>
        <v>-853.72694675099183</v>
      </c>
      <c r="AX48">
        <f t="shared" si="21"/>
        <v>854.72694675099171</v>
      </c>
      <c r="AY48">
        <f t="shared" si="22"/>
        <v>2.2839385121541718E-2</v>
      </c>
      <c r="AZ48">
        <f t="shared" si="23"/>
        <v>2.451158740334124E-2</v>
      </c>
      <c r="BA48" s="8">
        <f t="shared" si="24"/>
        <v>2.2839385121541718E-2</v>
      </c>
    </row>
    <row r="49" spans="1:53" x14ac:dyDescent="0.35">
      <c r="A49" s="7" t="s">
        <v>37</v>
      </c>
      <c r="B49" s="11" t="s">
        <v>67</v>
      </c>
      <c r="C49">
        <f t="shared" si="1"/>
        <v>1048</v>
      </c>
      <c r="D49">
        <v>1048</v>
      </c>
      <c r="E49">
        <v>294.55</v>
      </c>
      <c r="F49">
        <v>753.45</v>
      </c>
      <c r="G49">
        <v>0</v>
      </c>
      <c r="H49">
        <v>0</v>
      </c>
      <c r="I49">
        <v>0</v>
      </c>
      <c r="J49">
        <v>0</v>
      </c>
      <c r="K49">
        <v>0</v>
      </c>
      <c r="L49">
        <v>5.2586748171464457</v>
      </c>
      <c r="M49">
        <v>5.2467646833064396</v>
      </c>
      <c r="N49">
        <v>1.4779987284260361</v>
      </c>
      <c r="O49">
        <v>1.4746512762098389</v>
      </c>
      <c r="P49">
        <v>3.7806760887204089</v>
      </c>
      <c r="Q49">
        <v>3.7721134070966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19974.2138871676</v>
      </c>
      <c r="AC49">
        <v>19928.975197</v>
      </c>
      <c r="AD49" s="19">
        <f t="shared" si="2"/>
        <v>1048</v>
      </c>
      <c r="AE49" s="19">
        <f t="shared" si="3"/>
        <v>1048</v>
      </c>
      <c r="AF49">
        <f t="shared" si="4"/>
        <v>1</v>
      </c>
      <c r="AG49">
        <f t="shared" si="5"/>
        <v>1</v>
      </c>
      <c r="AH49">
        <f t="shared" si="6"/>
        <v>1</v>
      </c>
      <c r="AI49">
        <f t="shared" si="0"/>
        <v>1</v>
      </c>
      <c r="AJ49">
        <f t="shared" si="7"/>
        <v>0.7189408396946565</v>
      </c>
      <c r="AK49">
        <f t="shared" si="8"/>
        <v>0.7189408396946565</v>
      </c>
      <c r="AL49">
        <f t="shared" si="9"/>
        <v>0.2810591603053435</v>
      </c>
      <c r="AM49">
        <f t="shared" si="10"/>
        <v>0.2810591603053435</v>
      </c>
      <c r="AN49">
        <f t="shared" si="11"/>
        <v>0</v>
      </c>
      <c r="AO49">
        <f t="shared" si="12"/>
        <v>0</v>
      </c>
      <c r="AP49" s="20">
        <f t="shared" si="13"/>
        <v>0.7189408396946565</v>
      </c>
      <c r="AQ49" s="21">
        <f t="shared" si="14"/>
        <v>0.2810591603053435</v>
      </c>
      <c r="AR49">
        <f t="shared" si="15"/>
        <v>0</v>
      </c>
      <c r="AS49">
        <f t="shared" si="16"/>
        <v>0</v>
      </c>
      <c r="AT49">
        <f t="shared" si="17"/>
        <v>0</v>
      </c>
      <c r="AU49">
        <f t="shared" si="18"/>
        <v>0</v>
      </c>
      <c r="AV49">
        <f t="shared" si="19"/>
        <v>0</v>
      </c>
      <c r="AW49" t="e">
        <f t="shared" si="20"/>
        <v>#DIV/0!</v>
      </c>
      <c r="AX49" t="e">
        <f t="shared" si="21"/>
        <v>#DIV/0!</v>
      </c>
      <c r="AY49">
        <f t="shared" si="22"/>
        <v>5.2586748171464442E-2</v>
      </c>
      <c r="AZ49">
        <f t="shared" si="23"/>
        <v>5.2467646833064395E-2</v>
      </c>
      <c r="BA49" s="8">
        <f t="shared" si="24"/>
        <v>5.2586748171464442E-2</v>
      </c>
    </row>
    <row r="50" spans="1:53" x14ac:dyDescent="0.35">
      <c r="A50" s="7" t="s">
        <v>38</v>
      </c>
      <c r="B50" s="11" t="s">
        <v>67</v>
      </c>
      <c r="C50">
        <f t="shared" si="1"/>
        <v>7.1567951026174805</v>
      </c>
      <c r="D50">
        <v>4.9963816139161317</v>
      </c>
      <c r="E50">
        <v>4.2542129426510002E-4</v>
      </c>
      <c r="F50">
        <v>4.9959561926218674</v>
      </c>
      <c r="G50">
        <v>2.160413488701348</v>
      </c>
      <c r="H50">
        <v>-1.5306958497704479</v>
      </c>
      <c r="I50">
        <v>-1.5306958497704479</v>
      </c>
      <c r="J50">
        <v>0</v>
      </c>
      <c r="K50">
        <v>3.026441309603181</v>
      </c>
      <c r="L50">
        <v>0.39060129242887259</v>
      </c>
      <c r="M50">
        <v>0.20978501364374219</v>
      </c>
      <c r="N50">
        <v>3.3258089595061817E-5</v>
      </c>
      <c r="O50">
        <v>1.786232896484885E-5</v>
      </c>
      <c r="P50">
        <v>0.3905680343392775</v>
      </c>
      <c r="Q50">
        <v>0.20976715131477741</v>
      </c>
      <c r="R50">
        <v>0.16889428511968749</v>
      </c>
      <c r="S50">
        <v>9.0710119487471305E-2</v>
      </c>
      <c r="T50">
        <v>-0.11966495424820529</v>
      </c>
      <c r="U50">
        <v>-6.42699206229813E-2</v>
      </c>
      <c r="V50">
        <v>-0.11966495424820529</v>
      </c>
      <c r="W50">
        <v>-6.42699206229813E-2</v>
      </c>
      <c r="X50">
        <v>0</v>
      </c>
      <c r="Y50">
        <v>0</v>
      </c>
      <c r="Z50">
        <v>0.23659759768921751</v>
      </c>
      <c r="AA50">
        <v>0.12707236566132829</v>
      </c>
      <c r="AB50">
        <v>2381.6675591522499</v>
      </c>
      <c r="AC50">
        <v>1279.1513266244399</v>
      </c>
      <c r="AD50" s="19">
        <f t="shared" si="2"/>
        <v>3.4656857641456837</v>
      </c>
      <c r="AE50" s="19">
        <f>(D50)+(H50*-1)</f>
        <v>6.5270774636865792</v>
      </c>
      <c r="AF50">
        <f t="shared" si="4"/>
        <v>0.76548526376675019</v>
      </c>
      <c r="AG50">
        <f t="shared" si="5"/>
        <v>0.76548526376675019</v>
      </c>
      <c r="AH50">
        <f t="shared" si="6"/>
        <v>1.4416718519625438</v>
      </c>
      <c r="AI50">
        <f t="shared" si="0"/>
        <v>1.4416718519625438</v>
      </c>
      <c r="AJ50">
        <f t="shared" si="7"/>
        <v>0.76542008585264831</v>
      </c>
      <c r="AK50">
        <f t="shared" si="8"/>
        <v>1.4415490995483851</v>
      </c>
      <c r="AL50">
        <f t="shared" si="9"/>
        <v>6.5177914101974889E-5</v>
      </c>
      <c r="AM50">
        <f t="shared" si="10"/>
        <v>1.2275241415892458E-4</v>
      </c>
      <c r="AN50">
        <f t="shared" si="11"/>
        <v>0.33099246955790196</v>
      </c>
      <c r="AO50">
        <f t="shared" si="12"/>
        <v>0.62337258358849079</v>
      </c>
      <c r="AP50" s="20">
        <f t="shared" si="13"/>
        <v>0.99991485412301573</v>
      </c>
      <c r="AQ50" s="21">
        <f t="shared" si="14"/>
        <v>8.5145876984295756E-5</v>
      </c>
      <c r="AR50">
        <f t="shared" si="15"/>
        <v>-0.23451473623324992</v>
      </c>
      <c r="AS50">
        <f t="shared" si="16"/>
        <v>-0.44167185196254383</v>
      </c>
      <c r="AT50">
        <f t="shared" si="17"/>
        <v>-0.23451473623324992</v>
      </c>
      <c r="AU50">
        <f t="shared" si="18"/>
        <v>-0.44167185196254383</v>
      </c>
      <c r="AV50">
        <f t="shared" si="19"/>
        <v>0</v>
      </c>
      <c r="AW50">
        <f t="shared" si="20"/>
        <v>1</v>
      </c>
      <c r="AX50">
        <f t="shared" si="21"/>
        <v>0</v>
      </c>
      <c r="AY50">
        <f t="shared" si="22"/>
        <v>2.7093633818066724E-3</v>
      </c>
      <c r="AZ50">
        <f t="shared" si="23"/>
        <v>1.4551509302076098E-3</v>
      </c>
      <c r="BA50" s="8">
        <f t="shared" si="24"/>
        <v>5.1026624667707791E-3</v>
      </c>
    </row>
    <row r="51" spans="1:53" x14ac:dyDescent="0.35">
      <c r="A51" s="7" t="s">
        <v>39</v>
      </c>
      <c r="B51" s="11" t="s">
        <v>67</v>
      </c>
      <c r="C51">
        <f t="shared" si="1"/>
        <v>11.563909774436091</v>
      </c>
      <c r="D51">
        <v>1.654135338345865</v>
      </c>
      <c r="E51">
        <v>0</v>
      </c>
      <c r="F51">
        <v>1.654135338345865</v>
      </c>
      <c r="G51">
        <v>9.9097744360902258</v>
      </c>
      <c r="H51">
        <v>44.019548872180451</v>
      </c>
      <c r="I51">
        <v>3.007518796992481</v>
      </c>
      <c r="J51">
        <v>41.012030075187972</v>
      </c>
      <c r="K51">
        <v>15.47368421052632</v>
      </c>
      <c r="L51">
        <v>0.16590235659523431</v>
      </c>
      <c r="M51">
        <v>7.0877842979989003E-2</v>
      </c>
      <c r="N51">
        <v>0</v>
      </c>
      <c r="O51">
        <v>0</v>
      </c>
      <c r="P51">
        <v>0.16590235659523431</v>
      </c>
      <c r="Q51">
        <v>7.0877842979989003E-2</v>
      </c>
      <c r="R51">
        <v>0.9939059363296312</v>
      </c>
      <c r="S51">
        <v>0.42462271385284328</v>
      </c>
      <c r="T51">
        <v>4.4149633496475413</v>
      </c>
      <c r="U51">
        <v>1.886188270502926</v>
      </c>
      <c r="V51">
        <v>0.30164064835497151</v>
      </c>
      <c r="W51">
        <v>0.12886880541816181</v>
      </c>
      <c r="X51">
        <v>4.1133227012925699</v>
      </c>
      <c r="Y51">
        <v>1.7573194650847641</v>
      </c>
      <c r="Z51">
        <v>1.5519411357863291</v>
      </c>
      <c r="AA51">
        <v>0.66303000387644273</v>
      </c>
      <c r="AB51">
        <v>2333.7834064911899</v>
      </c>
      <c r="AC51">
        <v>997.05355143423003</v>
      </c>
      <c r="AD51" s="19">
        <f t="shared" si="2"/>
        <v>45.673684210526318</v>
      </c>
      <c r="AE51" s="19">
        <f t="shared" si="3"/>
        <v>45.673684210526318</v>
      </c>
      <c r="AF51">
        <f t="shared" si="4"/>
        <v>3.62163763869226E-2</v>
      </c>
      <c r="AG51">
        <f t="shared" si="5"/>
        <v>3.62163763869226E-2</v>
      </c>
      <c r="AH51">
        <f t="shared" si="6"/>
        <v>3.62163763869226E-2</v>
      </c>
      <c r="AI51">
        <f t="shared" si="0"/>
        <v>3.62163763869226E-2</v>
      </c>
      <c r="AJ51">
        <f t="shared" si="7"/>
        <v>3.62163763869226E-2</v>
      </c>
      <c r="AK51">
        <f t="shared" si="8"/>
        <v>3.62163763869226E-2</v>
      </c>
      <c r="AL51">
        <f t="shared" si="9"/>
        <v>0</v>
      </c>
      <c r="AM51">
        <f t="shared" si="10"/>
        <v>0</v>
      </c>
      <c r="AN51">
        <f t="shared" si="11"/>
        <v>0.2169690185361999</v>
      </c>
      <c r="AO51">
        <f t="shared" si="12"/>
        <v>0.2169690185361999</v>
      </c>
      <c r="AP51" s="20">
        <f t="shared" si="13"/>
        <v>1</v>
      </c>
      <c r="AQ51" s="21">
        <f t="shared" si="14"/>
        <v>0</v>
      </c>
      <c r="AR51">
        <f t="shared" si="15"/>
        <v>0.96378362361307734</v>
      </c>
      <c r="AS51">
        <f t="shared" si="16"/>
        <v>0.96378362361307734</v>
      </c>
      <c r="AT51">
        <f t="shared" si="17"/>
        <v>6.5847957067131979E-2</v>
      </c>
      <c r="AU51">
        <f t="shared" si="18"/>
        <v>6.5847957067131979E-2</v>
      </c>
      <c r="AV51">
        <f t="shared" si="19"/>
        <v>0.89793566654594548</v>
      </c>
      <c r="AW51">
        <f t="shared" si="20"/>
        <v>6.8322344822874317E-2</v>
      </c>
      <c r="AX51">
        <f t="shared" si="21"/>
        <v>0.93167765517712575</v>
      </c>
      <c r="AY51">
        <f t="shared" si="22"/>
        <v>4.5808657062427753E-2</v>
      </c>
      <c r="AZ51">
        <f t="shared" si="23"/>
        <v>1.9570661134829154E-2</v>
      </c>
      <c r="BA51" s="8">
        <f t="shared" si="24"/>
        <v>4.5808657062427753E-2</v>
      </c>
    </row>
    <row r="52" spans="1:53" x14ac:dyDescent="0.35">
      <c r="A52" s="9" t="s">
        <v>40</v>
      </c>
      <c r="B52" s="11" t="s">
        <v>67</v>
      </c>
      <c r="C52">
        <f t="shared" si="1"/>
        <v>8.4705882300000006</v>
      </c>
      <c r="D52">
        <v>8.4705882300000006</v>
      </c>
      <c r="E52">
        <v>0</v>
      </c>
      <c r="F52">
        <v>8.4705882300000006</v>
      </c>
      <c r="G52">
        <v>0</v>
      </c>
      <c r="H52">
        <v>8.4705999999999992</v>
      </c>
      <c r="I52">
        <v>0</v>
      </c>
      <c r="J52">
        <v>8.4705999999999992</v>
      </c>
      <c r="K52">
        <v>0</v>
      </c>
      <c r="L52">
        <v>2.0462852131061382</v>
      </c>
      <c r="M52">
        <v>1.8076405000965221</v>
      </c>
      <c r="N52">
        <v>0</v>
      </c>
      <c r="O52">
        <v>0</v>
      </c>
      <c r="P52">
        <v>2.0462852131061382</v>
      </c>
      <c r="Q52">
        <v>1.8076405000965221</v>
      </c>
      <c r="R52">
        <v>0</v>
      </c>
      <c r="S52">
        <v>0</v>
      </c>
      <c r="T52">
        <v>2.0462880564478652</v>
      </c>
      <c r="U52">
        <v>1.8076430118381039</v>
      </c>
      <c r="V52">
        <v>0</v>
      </c>
      <c r="W52">
        <v>0</v>
      </c>
      <c r="X52">
        <v>2.0462880564478652</v>
      </c>
      <c r="Y52">
        <v>1.8076430118381039</v>
      </c>
      <c r="Z52">
        <v>0</v>
      </c>
      <c r="AA52">
        <v>0</v>
      </c>
      <c r="AB52">
        <v>468.59916169988998</v>
      </c>
      <c r="AC52">
        <v>413.94954015926999</v>
      </c>
      <c r="AD52" s="19">
        <f t="shared" si="2"/>
        <v>16.941188230000002</v>
      </c>
      <c r="AE52" s="19">
        <f t="shared" si="3"/>
        <v>16.941188230000002</v>
      </c>
      <c r="AF52">
        <f t="shared" si="4"/>
        <v>0.49999965262176888</v>
      </c>
      <c r="AG52">
        <f t="shared" si="5"/>
        <v>0.49999965262176888</v>
      </c>
      <c r="AH52">
        <f t="shared" si="6"/>
        <v>0.49999965262176888</v>
      </c>
      <c r="AI52">
        <f t="shared" si="0"/>
        <v>0.49999965262176888</v>
      </c>
      <c r="AJ52">
        <f t="shared" si="7"/>
        <v>0.49999965262176888</v>
      </c>
      <c r="AK52">
        <f t="shared" si="8"/>
        <v>0.49999965262176888</v>
      </c>
      <c r="AL52">
        <f t="shared" si="9"/>
        <v>0</v>
      </c>
      <c r="AM52">
        <f t="shared" si="10"/>
        <v>0</v>
      </c>
      <c r="AN52">
        <f t="shared" si="11"/>
        <v>0</v>
      </c>
      <c r="AO52">
        <f t="shared" si="12"/>
        <v>0</v>
      </c>
      <c r="AP52" s="20">
        <f t="shared" si="13"/>
        <v>1</v>
      </c>
      <c r="AQ52" s="21">
        <f t="shared" si="14"/>
        <v>0</v>
      </c>
      <c r="AR52">
        <f t="shared" si="15"/>
        <v>0.50000034737823096</v>
      </c>
      <c r="AS52">
        <f t="shared" si="16"/>
        <v>0.50000034737823096</v>
      </c>
      <c r="AT52">
        <f t="shared" si="17"/>
        <v>0</v>
      </c>
      <c r="AU52">
        <f t="shared" si="18"/>
        <v>0</v>
      </c>
      <c r="AV52">
        <f t="shared" si="19"/>
        <v>0.50000034737823096</v>
      </c>
      <c r="AW52">
        <f t="shared" si="20"/>
        <v>0</v>
      </c>
      <c r="AX52">
        <f t="shared" si="21"/>
        <v>1</v>
      </c>
      <c r="AY52">
        <f t="shared" si="22"/>
        <v>4.0925732695540042E-2</v>
      </c>
      <c r="AZ52">
        <f t="shared" si="23"/>
        <v>3.6152835119346263E-2</v>
      </c>
      <c r="BA52" s="8">
        <f t="shared" si="24"/>
        <v>4.0925732695540042E-2</v>
      </c>
    </row>
    <row r="53" spans="1:53" x14ac:dyDescent="0.35">
      <c r="A53" s="7" t="s">
        <v>41</v>
      </c>
      <c r="B53" s="11" t="s">
        <v>67</v>
      </c>
      <c r="C53">
        <f t="shared" si="1"/>
        <v>27.757934588838758</v>
      </c>
      <c r="D53">
        <v>15.736781814144811</v>
      </c>
      <c r="E53">
        <v>2.2949473478961182</v>
      </c>
      <c r="F53">
        <v>13.441834466248689</v>
      </c>
      <c r="G53">
        <v>12.021152774693951</v>
      </c>
      <c r="H53">
        <v>2.827267662189584</v>
      </c>
      <c r="I53">
        <v>0</v>
      </c>
      <c r="J53">
        <v>2.827267662189584</v>
      </c>
      <c r="K53">
        <v>0</v>
      </c>
      <c r="L53">
        <v>3.1781365002569171</v>
      </c>
      <c r="M53">
        <v>2.8338122233934211</v>
      </c>
      <c r="N53">
        <v>0.46347823962080031</v>
      </c>
      <c r="O53">
        <v>0.41326428257820719</v>
      </c>
      <c r="P53">
        <v>2.7146582606361171</v>
      </c>
      <c r="Q53">
        <v>2.4205479408152142</v>
      </c>
      <c r="R53">
        <v>2.427743159918478</v>
      </c>
      <c r="S53">
        <v>2.164717670647752</v>
      </c>
      <c r="T53">
        <v>0.57098348692388257</v>
      </c>
      <c r="U53">
        <v>0.50912224332400235</v>
      </c>
      <c r="V53">
        <v>0</v>
      </c>
      <c r="W53">
        <v>0</v>
      </c>
      <c r="X53">
        <v>0.57098348692388257</v>
      </c>
      <c r="Y53">
        <v>0.50912224332400235</v>
      </c>
      <c r="Z53">
        <v>0</v>
      </c>
      <c r="AA53">
        <v>0</v>
      </c>
      <c r="AB53">
        <v>555.32196820367994</v>
      </c>
      <c r="AC53">
        <v>495.15751802582002</v>
      </c>
      <c r="AD53" s="19">
        <f t="shared" si="2"/>
        <v>18.564049476334397</v>
      </c>
      <c r="AE53" s="19">
        <f t="shared" si="3"/>
        <v>18.564049476334397</v>
      </c>
      <c r="AF53">
        <f t="shared" si="4"/>
        <v>0.84770199703497828</v>
      </c>
      <c r="AG53">
        <f t="shared" si="5"/>
        <v>0.84770199703497828</v>
      </c>
      <c r="AH53">
        <f t="shared" si="6"/>
        <v>0.84770199703497828</v>
      </c>
      <c r="AI53">
        <f t="shared" si="0"/>
        <v>0.84770199703497828</v>
      </c>
      <c r="AJ53">
        <f t="shared" si="7"/>
        <v>0.72407878913404378</v>
      </c>
      <c r="AK53">
        <f t="shared" si="8"/>
        <v>0.72407878913404378</v>
      </c>
      <c r="AL53">
        <f t="shared" si="9"/>
        <v>0.12362320790093433</v>
      </c>
      <c r="AM53">
        <f t="shared" si="10"/>
        <v>0.12362320790093433</v>
      </c>
      <c r="AN53">
        <f t="shared" si="11"/>
        <v>0.64755013662394167</v>
      </c>
      <c r="AO53">
        <f t="shared" si="12"/>
        <v>0.64755013662394167</v>
      </c>
      <c r="AP53" s="20">
        <f t="shared" si="13"/>
        <v>0.85416666666666663</v>
      </c>
      <c r="AQ53" s="21">
        <f t="shared" si="14"/>
        <v>0.14583333333333334</v>
      </c>
      <c r="AR53">
        <f t="shared" si="15"/>
        <v>0.15229800296502163</v>
      </c>
      <c r="AS53">
        <f t="shared" si="16"/>
        <v>0.15229800296502163</v>
      </c>
      <c r="AT53">
        <f t="shared" si="17"/>
        <v>0</v>
      </c>
      <c r="AU53">
        <f t="shared" si="18"/>
        <v>0</v>
      </c>
      <c r="AV53">
        <f t="shared" si="19"/>
        <v>0.15229800296502163</v>
      </c>
      <c r="AW53">
        <f t="shared" si="20"/>
        <v>0</v>
      </c>
      <c r="AX53">
        <f t="shared" si="21"/>
        <v>1</v>
      </c>
      <c r="AY53">
        <f t="shared" si="22"/>
        <v>3.7491199871808011E-2</v>
      </c>
      <c r="AZ53">
        <f t="shared" si="23"/>
        <v>3.3429344667174253E-2</v>
      </c>
      <c r="BA53" s="8">
        <f t="shared" si="24"/>
        <v>3.7491199871808011E-2</v>
      </c>
    </row>
    <row r="54" spans="1:53" x14ac:dyDescent="0.35">
      <c r="A54" s="10" t="s">
        <v>42</v>
      </c>
      <c r="B54" s="12" t="s">
        <v>67</v>
      </c>
      <c r="C54">
        <f t="shared" si="1"/>
        <v>1.8854020040765489</v>
      </c>
      <c r="D54">
        <v>1.885402004076548</v>
      </c>
      <c r="E54">
        <v>1.8854020040765489</v>
      </c>
      <c r="F54">
        <v>0</v>
      </c>
      <c r="G54">
        <v>0</v>
      </c>
      <c r="H54">
        <v>-0.77448880067103687</v>
      </c>
      <c r="I54">
        <v>-0.77448880067103743</v>
      </c>
      <c r="J54">
        <v>0</v>
      </c>
      <c r="K54">
        <v>0</v>
      </c>
      <c r="L54">
        <v>0.87432710308954587</v>
      </c>
      <c r="M54">
        <v>0.4627935881679428</v>
      </c>
      <c r="N54">
        <v>0.8743271030895452</v>
      </c>
      <c r="O54">
        <v>0.46279358816794303</v>
      </c>
      <c r="P54">
        <v>0</v>
      </c>
      <c r="Q54">
        <v>0</v>
      </c>
      <c r="R54">
        <v>0</v>
      </c>
      <c r="S54">
        <v>0</v>
      </c>
      <c r="T54">
        <v>-0.35915764807817041</v>
      </c>
      <c r="U54">
        <v>-0.19010717623268381</v>
      </c>
      <c r="V54">
        <v>-0.35915764807817141</v>
      </c>
      <c r="W54">
        <v>-0.190107176232684</v>
      </c>
      <c r="X54">
        <v>0</v>
      </c>
      <c r="Y54">
        <v>0</v>
      </c>
      <c r="Z54">
        <v>0</v>
      </c>
      <c r="AA54">
        <v>0</v>
      </c>
      <c r="AB54">
        <v>407.39587848230002</v>
      </c>
      <c r="AC54">
        <v>215.64034757863999</v>
      </c>
      <c r="AD54" s="19">
        <f t="shared" si="2"/>
        <v>1.1109132034055111</v>
      </c>
      <c r="AE54" s="19">
        <f>(D54)+(H54*-1)</f>
        <v>2.6598908047475849</v>
      </c>
      <c r="AF54">
        <f t="shared" si="4"/>
        <v>0.70882684383559369</v>
      </c>
      <c r="AG54">
        <f t="shared" si="5"/>
        <v>0.70882684383559369</v>
      </c>
      <c r="AH54">
        <f t="shared" si="6"/>
        <v>1.6971640973361706</v>
      </c>
      <c r="AI54">
        <f t="shared" si="0"/>
        <v>1.6971640973361706</v>
      </c>
      <c r="AJ54">
        <f t="shared" si="7"/>
        <v>0</v>
      </c>
      <c r="AK54">
        <f t="shared" si="8"/>
        <v>0</v>
      </c>
      <c r="AL54">
        <f t="shared" si="9"/>
        <v>0.70882684383559402</v>
      </c>
      <c r="AM54">
        <f t="shared" si="10"/>
        <v>1.6971640973361715</v>
      </c>
      <c r="AN54">
        <f t="shared" si="11"/>
        <v>0</v>
      </c>
      <c r="AO54">
        <f t="shared" si="12"/>
        <v>0</v>
      </c>
      <c r="AP54" s="20">
        <f t="shared" si="13"/>
        <v>0</v>
      </c>
      <c r="AQ54" s="21">
        <f t="shared" si="14"/>
        <v>1.0000000000000004</v>
      </c>
      <c r="AR54">
        <f t="shared" si="15"/>
        <v>-0.29117315616440631</v>
      </c>
      <c r="AS54">
        <f t="shared" si="16"/>
        <v>-0.69716409733617057</v>
      </c>
      <c r="AT54">
        <f t="shared" si="17"/>
        <v>-0.29117315616440653</v>
      </c>
      <c r="AU54">
        <f t="shared" si="18"/>
        <v>-0.69716409733617113</v>
      </c>
      <c r="AV54">
        <f t="shared" si="19"/>
        <v>0</v>
      </c>
      <c r="AW54">
        <f t="shared" si="20"/>
        <v>1.0000000000000007</v>
      </c>
      <c r="AX54">
        <f t="shared" si="21"/>
        <v>0</v>
      </c>
      <c r="AY54">
        <f t="shared" si="22"/>
        <v>5.151694550113735E-3</v>
      </c>
      <c r="AZ54">
        <f t="shared" si="23"/>
        <v>2.7268641193525884E-3</v>
      </c>
      <c r="BA54" s="8">
        <f t="shared" si="24"/>
        <v>1.2334847511677158E-2</v>
      </c>
    </row>
    <row r="55" spans="1:53" x14ac:dyDescent="0.35">
      <c r="A55" s="9" t="s">
        <v>43</v>
      </c>
      <c r="B55" s="11" t="s">
        <v>67</v>
      </c>
      <c r="C55">
        <f t="shared" si="1"/>
        <v>33.672649112091534</v>
      </c>
      <c r="D55">
        <v>9.3883508485756941</v>
      </c>
      <c r="E55">
        <v>0.1167514339592107</v>
      </c>
      <c r="F55">
        <v>9.2715994146164817</v>
      </c>
      <c r="G55">
        <v>24.28429826351584</v>
      </c>
      <c r="H55">
        <v>21.16616035296634</v>
      </c>
      <c r="I55">
        <v>5.822977768715635</v>
      </c>
      <c r="J55">
        <v>15.3431825842507</v>
      </c>
      <c r="K55">
        <v>0</v>
      </c>
      <c r="L55">
        <v>2.822693643938885</v>
      </c>
      <c r="M55">
        <v>3.0181456692150008</v>
      </c>
      <c r="N55">
        <v>3.5102387615542803E-2</v>
      </c>
      <c r="O55">
        <v>3.7532985341306398E-2</v>
      </c>
      <c r="P55">
        <v>2.7875912563233429</v>
      </c>
      <c r="Q55">
        <v>2.9806126838736948</v>
      </c>
      <c r="R55">
        <v>7.3012966240329176</v>
      </c>
      <c r="S55">
        <v>7.8068609509917337</v>
      </c>
      <c r="T55">
        <v>6.363799911032654</v>
      </c>
      <c r="U55">
        <v>6.8044490702972862</v>
      </c>
      <c r="V55">
        <v>1.7507315823252001</v>
      </c>
      <c r="W55">
        <v>1.8719576438976571</v>
      </c>
      <c r="X55">
        <v>4.6130683287074534</v>
      </c>
      <c r="Y55">
        <v>4.9324914263996291</v>
      </c>
      <c r="Z55">
        <v>0</v>
      </c>
      <c r="AA55">
        <v>0</v>
      </c>
      <c r="AB55">
        <v>311.06354290107998</v>
      </c>
      <c r="AC55">
        <v>332.60254327404999</v>
      </c>
      <c r="AD55" s="19">
        <f t="shared" si="2"/>
        <v>30.554511201542034</v>
      </c>
      <c r="AE55" s="19">
        <f t="shared" si="3"/>
        <v>30.554511201542034</v>
      </c>
      <c r="AF55">
        <f t="shared" si="4"/>
        <v>0.30726562066886803</v>
      </c>
      <c r="AG55">
        <f t="shared" si="5"/>
        <v>0.30726562066886803</v>
      </c>
      <c r="AH55">
        <f t="shared" si="6"/>
        <v>0.30726562066886803</v>
      </c>
      <c r="AI55">
        <f t="shared" si="0"/>
        <v>0.30726562066886803</v>
      </c>
      <c r="AJ55">
        <f t="shared" si="7"/>
        <v>0.30344453404800531</v>
      </c>
      <c r="AK55">
        <f t="shared" si="8"/>
        <v>0.30344453404800531</v>
      </c>
      <c r="AL55">
        <f t="shared" si="9"/>
        <v>3.8210866208626651E-3</v>
      </c>
      <c r="AM55">
        <f t="shared" si="10"/>
        <v>3.8210866208626651E-3</v>
      </c>
      <c r="AN55">
        <f t="shared" si="11"/>
        <v>0.79478601713943475</v>
      </c>
      <c r="AO55">
        <f t="shared" si="12"/>
        <v>0.79478601713943475</v>
      </c>
      <c r="AP55" s="20">
        <f t="shared" si="13"/>
        <v>0.98756422338254191</v>
      </c>
      <c r="AQ55" s="21">
        <f t="shared" si="14"/>
        <v>1.2435776617458118E-2</v>
      </c>
      <c r="AR55">
        <f t="shared" si="15"/>
        <v>0.69273437933113191</v>
      </c>
      <c r="AS55">
        <f t="shared" si="16"/>
        <v>0.69273437933113191</v>
      </c>
      <c r="AT55">
        <f t="shared" si="17"/>
        <v>0.19057669521552548</v>
      </c>
      <c r="AU55">
        <f t="shared" si="18"/>
        <v>0.19057669521552548</v>
      </c>
      <c r="AV55">
        <f t="shared" si="19"/>
        <v>0.50215768411560635</v>
      </c>
      <c r="AW55">
        <f t="shared" si="20"/>
        <v>0.27510789258003382</v>
      </c>
      <c r="AX55">
        <f t="shared" si="21"/>
        <v>0.7248921074199659</v>
      </c>
      <c r="AY55">
        <f t="shared" si="22"/>
        <v>9.1864935549715407E-2</v>
      </c>
      <c r="AZ55">
        <f t="shared" si="23"/>
        <v>9.8225947395122887E-2</v>
      </c>
      <c r="BA55" s="8">
        <f t="shared" si="24"/>
        <v>9.1864935549715407E-2</v>
      </c>
    </row>
    <row r="56" spans="1:53" x14ac:dyDescent="0.35">
      <c r="A56" s="9" t="s">
        <v>44</v>
      </c>
      <c r="B56" s="11" t="s">
        <v>67</v>
      </c>
      <c r="C56">
        <f t="shared" si="1"/>
        <v>1.2481951410000001</v>
      </c>
      <c r="D56">
        <v>1.2481951410000001</v>
      </c>
      <c r="E56">
        <v>0.33243433</v>
      </c>
      <c r="F56">
        <v>0.91576081099999995</v>
      </c>
      <c r="G56">
        <v>0</v>
      </c>
      <c r="H56">
        <v>0.67566216200000007</v>
      </c>
      <c r="I56">
        <v>0.61666216200000001</v>
      </c>
      <c r="J56">
        <v>5.8999999999999997E-2</v>
      </c>
      <c r="K56">
        <v>0</v>
      </c>
      <c r="L56">
        <v>4.6408796097126643</v>
      </c>
      <c r="M56">
        <v>2.7186939247924111</v>
      </c>
      <c r="N56">
        <v>1.2360148289228849</v>
      </c>
      <c r="O56">
        <v>0.72407523765824</v>
      </c>
      <c r="P56">
        <v>3.4048647807897798</v>
      </c>
      <c r="Q56">
        <v>1.99461868713417</v>
      </c>
      <c r="R56">
        <v>0</v>
      </c>
      <c r="S56">
        <v>0</v>
      </c>
      <c r="T56">
        <v>2.5121606771902791</v>
      </c>
      <c r="U56">
        <v>1.471659802785201</v>
      </c>
      <c r="V56">
        <v>2.2927944194802219</v>
      </c>
      <c r="W56">
        <v>1.3431518986170721</v>
      </c>
      <c r="X56">
        <v>0.21936625771005719</v>
      </c>
      <c r="Y56">
        <v>0.12850790416812899</v>
      </c>
      <c r="Z56">
        <v>0</v>
      </c>
      <c r="AA56">
        <v>0</v>
      </c>
      <c r="AB56">
        <v>45.911572818750003</v>
      </c>
      <c r="AC56">
        <v>26.895658710639999</v>
      </c>
      <c r="AD56" s="19">
        <f t="shared" si="2"/>
        <v>1.9238573030000001</v>
      </c>
      <c r="AE56" s="19">
        <f t="shared" si="3"/>
        <v>1.9238573030000001</v>
      </c>
      <c r="AF56">
        <f t="shared" si="4"/>
        <v>0.64879819259651195</v>
      </c>
      <c r="AG56">
        <f t="shared" si="5"/>
        <v>0.64879819259651195</v>
      </c>
      <c r="AH56">
        <f t="shared" si="6"/>
        <v>0.64879819259651195</v>
      </c>
      <c r="AI56">
        <f t="shared" si="0"/>
        <v>0.64879819259651195</v>
      </c>
      <c r="AJ56">
        <f t="shared" si="7"/>
        <v>0.47600246108273858</v>
      </c>
      <c r="AK56">
        <f t="shared" si="8"/>
        <v>0.47600246108273858</v>
      </c>
      <c r="AL56">
        <f t="shared" si="9"/>
        <v>0.17279573151377328</v>
      </c>
      <c r="AM56">
        <f t="shared" si="10"/>
        <v>0.17279573151377328</v>
      </c>
      <c r="AN56">
        <f t="shared" si="11"/>
        <v>0</v>
      </c>
      <c r="AO56">
        <f t="shared" si="12"/>
        <v>0</v>
      </c>
      <c r="AP56" s="20">
        <f t="shared" si="13"/>
        <v>0.73366798260913912</v>
      </c>
      <c r="AQ56" s="21">
        <f t="shared" si="14"/>
        <v>0.26633201739086082</v>
      </c>
      <c r="AR56">
        <f t="shared" si="15"/>
        <v>0.35120180740348811</v>
      </c>
      <c r="AS56">
        <f t="shared" si="16"/>
        <v>0.35120180740348811</v>
      </c>
      <c r="AT56">
        <f t="shared" si="17"/>
        <v>0.32053425222255166</v>
      </c>
      <c r="AU56">
        <f t="shared" si="18"/>
        <v>0.32053425222255166</v>
      </c>
      <c r="AV56">
        <f t="shared" si="19"/>
        <v>3.0667555180936407E-2</v>
      </c>
      <c r="AW56">
        <f t="shared" si="20"/>
        <v>0.91267825354411358</v>
      </c>
      <c r="AX56">
        <f t="shared" si="21"/>
        <v>8.732174645588632E-2</v>
      </c>
      <c r="AY56">
        <f t="shared" si="22"/>
        <v>7.1530402869029439E-2</v>
      </c>
      <c r="AZ56">
        <f t="shared" si="23"/>
        <v>4.1903537275776115E-2</v>
      </c>
      <c r="BA56" s="8">
        <f t="shared" si="24"/>
        <v>7.1530402869029439E-2</v>
      </c>
    </row>
    <row r="57" spans="1:53" x14ac:dyDescent="0.35">
      <c r="A57" s="9" t="s">
        <v>45</v>
      </c>
      <c r="B57" s="11" t="s">
        <v>67</v>
      </c>
      <c r="C57">
        <f t="shared" si="1"/>
        <v>4.4900342188398579</v>
      </c>
      <c r="D57">
        <v>3.252665849099563</v>
      </c>
      <c r="E57">
        <v>1.5678041258934421</v>
      </c>
      <c r="F57">
        <v>1.684861723206122</v>
      </c>
      <c r="G57">
        <v>1.237368369740294</v>
      </c>
      <c r="H57">
        <v>3.751470525980066</v>
      </c>
      <c r="I57">
        <v>1.54465361043267</v>
      </c>
      <c r="J57">
        <v>2.206816915547396</v>
      </c>
      <c r="K57">
        <v>1.0928320704267229</v>
      </c>
      <c r="L57">
        <v>1.2768362788335079</v>
      </c>
      <c r="M57">
        <v>1.280968867756558</v>
      </c>
      <c r="N57">
        <v>0.6154426181219228</v>
      </c>
      <c r="O57">
        <v>0.61743455035989681</v>
      </c>
      <c r="P57">
        <v>0.66139366071158512</v>
      </c>
      <c r="Q57">
        <v>0.6635343173966608</v>
      </c>
      <c r="R57">
        <v>0.48572982841223911</v>
      </c>
      <c r="S57">
        <v>0.4873019342035354</v>
      </c>
      <c r="T57">
        <v>1.4726424074185149</v>
      </c>
      <c r="U57">
        <v>1.477408739485826</v>
      </c>
      <c r="V57">
        <v>0.60635486690942364</v>
      </c>
      <c r="W57">
        <v>0.60831738586973727</v>
      </c>
      <c r="X57">
        <v>0.8662875405090924</v>
      </c>
      <c r="Y57">
        <v>0.86909135361608847</v>
      </c>
      <c r="Z57">
        <v>0.42899200192354658</v>
      </c>
      <c r="AA57">
        <v>0.43038047092667181</v>
      </c>
      <c r="AB57">
        <v>253.92231856471</v>
      </c>
      <c r="AC57">
        <v>254.7441596875</v>
      </c>
      <c r="AD57" s="19">
        <f t="shared" si="2"/>
        <v>7.0041363750796286</v>
      </c>
      <c r="AE57" s="19">
        <f t="shared" si="3"/>
        <v>7.0041363750796286</v>
      </c>
      <c r="AF57">
        <f t="shared" si="4"/>
        <v>0.46439213557754067</v>
      </c>
      <c r="AG57">
        <f t="shared" si="5"/>
        <v>0.46439213557754067</v>
      </c>
      <c r="AH57">
        <f t="shared" si="6"/>
        <v>0.46439213557754067</v>
      </c>
      <c r="AI57">
        <f t="shared" si="0"/>
        <v>0.46439213557754067</v>
      </c>
      <c r="AJ57">
        <f t="shared" si="7"/>
        <v>0.2405523869010856</v>
      </c>
      <c r="AK57">
        <f t="shared" si="8"/>
        <v>0.2405523869010856</v>
      </c>
      <c r="AL57">
        <f t="shared" si="9"/>
        <v>0.2238397486764552</v>
      </c>
      <c r="AM57">
        <f t="shared" si="10"/>
        <v>0.2238397486764552</v>
      </c>
      <c r="AN57">
        <f t="shared" si="11"/>
        <v>0.17666251818608067</v>
      </c>
      <c r="AO57">
        <f t="shared" si="12"/>
        <v>0.17666251818608067</v>
      </c>
      <c r="AP57" s="20">
        <f t="shared" si="13"/>
        <v>0.51799410126082956</v>
      </c>
      <c r="AQ57" s="21">
        <f t="shared" si="14"/>
        <v>0.48200589873917055</v>
      </c>
      <c r="AR57">
        <f t="shared" si="15"/>
        <v>0.53560786442245945</v>
      </c>
      <c r="AS57">
        <f t="shared" si="16"/>
        <v>0.53560786442245945</v>
      </c>
      <c r="AT57">
        <f t="shared" si="17"/>
        <v>0.22053448529764089</v>
      </c>
      <c r="AU57">
        <f t="shared" si="18"/>
        <v>0.22053448529764089</v>
      </c>
      <c r="AV57">
        <f t="shared" si="19"/>
        <v>0.31507337912481853</v>
      </c>
      <c r="AW57">
        <f t="shared" si="20"/>
        <v>0.41174616719909629</v>
      </c>
      <c r="AX57">
        <f t="shared" si="21"/>
        <v>0.58825383280090371</v>
      </c>
      <c r="AY57">
        <f t="shared" si="22"/>
        <v>2.7494786862520222E-2</v>
      </c>
      <c r="AZ57">
        <f t="shared" si="23"/>
        <v>2.7583776072423828E-2</v>
      </c>
      <c r="BA57" s="8">
        <f t="shared" si="24"/>
        <v>2.7494786862520222E-2</v>
      </c>
    </row>
    <row r="58" spans="1:53" x14ac:dyDescent="0.35">
      <c r="A58" s="9" t="s">
        <v>46</v>
      </c>
      <c r="B58" s="11" t="s">
        <v>67</v>
      </c>
      <c r="C58">
        <f t="shared" si="1"/>
        <v>4.02544590517134</v>
      </c>
      <c r="D58">
        <v>4.0254459051713392</v>
      </c>
      <c r="E58">
        <v>0.707075905171339</v>
      </c>
      <c r="F58">
        <v>3.3183700000000012</v>
      </c>
      <c r="G58">
        <v>0</v>
      </c>
      <c r="H58">
        <v>6.7446143999999997</v>
      </c>
      <c r="I58">
        <v>5.3117944000000001</v>
      </c>
      <c r="J58">
        <v>1.43282</v>
      </c>
      <c r="K58">
        <v>0</v>
      </c>
      <c r="L58">
        <v>1.9741964283923019</v>
      </c>
      <c r="M58">
        <v>1.3349414777105451</v>
      </c>
      <c r="N58">
        <v>0.3467707080098239</v>
      </c>
      <c r="O58">
        <v>0.2344845703901644</v>
      </c>
      <c r="P58">
        <v>1.6274257203824789</v>
      </c>
      <c r="Q58">
        <v>1.10045690732038</v>
      </c>
      <c r="R58">
        <v>0</v>
      </c>
      <c r="S58">
        <v>0</v>
      </c>
      <c r="T58">
        <v>3.3077562021781892</v>
      </c>
      <c r="U58">
        <v>2.236687742383308</v>
      </c>
      <c r="V58">
        <v>2.6050593598494491</v>
      </c>
      <c r="W58">
        <v>1.7615277493907291</v>
      </c>
      <c r="X58">
        <v>0.70269684232874052</v>
      </c>
      <c r="Y58">
        <v>0.47515999299257961</v>
      </c>
      <c r="Z58">
        <v>0</v>
      </c>
      <c r="AA58">
        <v>0</v>
      </c>
      <c r="AB58">
        <v>301.54474727050001</v>
      </c>
      <c r="AC58">
        <v>203.90300819506001</v>
      </c>
      <c r="AD58" s="19">
        <f t="shared" si="2"/>
        <v>10.770060305171338</v>
      </c>
      <c r="AE58" s="19">
        <f t="shared" si="3"/>
        <v>10.770060305171338</v>
      </c>
      <c r="AF58">
        <f t="shared" si="4"/>
        <v>0.37376261516739012</v>
      </c>
      <c r="AG58">
        <f t="shared" si="5"/>
        <v>0.37376261516739012</v>
      </c>
      <c r="AH58">
        <f t="shared" si="6"/>
        <v>0.37376261516739012</v>
      </c>
      <c r="AI58">
        <f t="shared" si="0"/>
        <v>0.37376261516739012</v>
      </c>
      <c r="AJ58">
        <f t="shared" si="7"/>
        <v>0.30811062389378235</v>
      </c>
      <c r="AK58">
        <f t="shared" si="8"/>
        <v>0.30811062389378235</v>
      </c>
      <c r="AL58">
        <f t="shared" si="9"/>
        <v>6.5651991273607851E-2</v>
      </c>
      <c r="AM58">
        <f t="shared" si="10"/>
        <v>6.5651991273607851E-2</v>
      </c>
      <c r="AN58">
        <f t="shared" si="11"/>
        <v>0</v>
      </c>
      <c r="AO58">
        <f t="shared" si="12"/>
        <v>0</v>
      </c>
      <c r="AP58" s="20">
        <f t="shared" si="13"/>
        <v>0.82434842702444844</v>
      </c>
      <c r="AQ58" s="21">
        <f t="shared" si="14"/>
        <v>0.17565157297555165</v>
      </c>
      <c r="AR58">
        <f t="shared" si="15"/>
        <v>0.62623738483260993</v>
      </c>
      <c r="AS58">
        <f t="shared" si="16"/>
        <v>0.62623738483260993</v>
      </c>
      <c r="AT58">
        <f t="shared" si="17"/>
        <v>0.49320006104789366</v>
      </c>
      <c r="AU58">
        <f t="shared" si="18"/>
        <v>0.49320006104789366</v>
      </c>
      <c r="AV58">
        <f t="shared" si="19"/>
        <v>0.13303732378471633</v>
      </c>
      <c r="AW58">
        <f t="shared" si="20"/>
        <v>0.78756087227166027</v>
      </c>
      <c r="AX58">
        <f t="shared" si="21"/>
        <v>0.21243912772833981</v>
      </c>
      <c r="AY58">
        <f t="shared" si="22"/>
        <v>5.2819526305704918E-2</v>
      </c>
      <c r="AZ58">
        <f t="shared" si="23"/>
        <v>3.5716292200938526E-2</v>
      </c>
      <c r="BA58" s="8">
        <f t="shared" si="24"/>
        <v>5.2819526305704918E-2</v>
      </c>
    </row>
    <row r="59" spans="1:53" x14ac:dyDescent="0.35">
      <c r="A59" s="9" t="s">
        <v>47</v>
      </c>
      <c r="B59" s="11" t="s">
        <v>67</v>
      </c>
      <c r="C59">
        <f t="shared" si="1"/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19.06914282116</v>
      </c>
      <c r="AC59">
        <v>20.729999827290001</v>
      </c>
      <c r="AD59" s="19">
        <f t="shared" si="2"/>
        <v>0</v>
      </c>
      <c r="AE59" s="19">
        <f t="shared" si="3"/>
        <v>0</v>
      </c>
      <c r="AF59">
        <v>0</v>
      </c>
      <c r="AG59">
        <v>0</v>
      </c>
      <c r="AH59">
        <v>0</v>
      </c>
      <c r="AI59">
        <v>0</v>
      </c>
      <c r="AJ59" t="e">
        <f t="shared" si="7"/>
        <v>#DIV/0!</v>
      </c>
      <c r="AK59">
        <v>0</v>
      </c>
      <c r="AL59" t="e">
        <f t="shared" si="9"/>
        <v>#DIV/0!</v>
      </c>
      <c r="AM59" t="e">
        <f t="shared" si="10"/>
        <v>#DIV/0!</v>
      </c>
      <c r="AN59" t="e">
        <f t="shared" si="11"/>
        <v>#DIV/0!</v>
      </c>
      <c r="AO59" t="e">
        <f t="shared" si="12"/>
        <v>#DIV/0!</v>
      </c>
      <c r="AP59" s="20" t="e">
        <f t="shared" si="13"/>
        <v>#DIV/0!</v>
      </c>
      <c r="AQ59" s="21" t="e">
        <f t="shared" si="14"/>
        <v>#DIV/0!</v>
      </c>
      <c r="AR59" t="e">
        <f t="shared" si="15"/>
        <v>#DIV/0!</v>
      </c>
      <c r="AS59" t="e">
        <f t="shared" si="16"/>
        <v>#DIV/0!</v>
      </c>
      <c r="AT59" t="e">
        <f t="shared" si="17"/>
        <v>#DIV/0!</v>
      </c>
      <c r="AU59" t="e">
        <f t="shared" si="18"/>
        <v>#DIV/0!</v>
      </c>
      <c r="AV59" t="e">
        <f t="shared" si="19"/>
        <v>#DIV/0!</v>
      </c>
      <c r="AW59" t="e">
        <f t="shared" si="20"/>
        <v>#DIV/0!</v>
      </c>
      <c r="AX59" t="e">
        <f t="shared" si="21"/>
        <v>#DIV/0!</v>
      </c>
      <c r="AY59">
        <f t="shared" si="22"/>
        <v>0</v>
      </c>
      <c r="AZ59">
        <f t="shared" si="23"/>
        <v>0</v>
      </c>
      <c r="BA59" s="8">
        <f t="shared" si="24"/>
        <v>0</v>
      </c>
    </row>
    <row r="60" spans="1:53" x14ac:dyDescent="0.35">
      <c r="A60" s="9" t="s">
        <v>48</v>
      </c>
      <c r="B60" s="11" t="s">
        <v>67</v>
      </c>
      <c r="C60">
        <f t="shared" si="1"/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417.89075855828003</v>
      </c>
      <c r="AC60">
        <v>371.46659669328</v>
      </c>
      <c r="AD60" s="19">
        <f t="shared" si="2"/>
        <v>0</v>
      </c>
      <c r="AE60" s="19">
        <f t="shared" si="3"/>
        <v>0</v>
      </c>
      <c r="AF60">
        <v>0</v>
      </c>
      <c r="AG60">
        <v>0</v>
      </c>
      <c r="AH60">
        <v>0</v>
      </c>
      <c r="AI60">
        <v>0</v>
      </c>
      <c r="AJ60" t="e">
        <f t="shared" si="7"/>
        <v>#DIV/0!</v>
      </c>
      <c r="AK60">
        <v>0</v>
      </c>
      <c r="AL60" t="e">
        <f t="shared" si="9"/>
        <v>#DIV/0!</v>
      </c>
      <c r="AM60" t="e">
        <f t="shared" si="10"/>
        <v>#DIV/0!</v>
      </c>
      <c r="AN60" t="e">
        <f t="shared" si="11"/>
        <v>#DIV/0!</v>
      </c>
      <c r="AO60" t="e">
        <f t="shared" si="12"/>
        <v>#DIV/0!</v>
      </c>
      <c r="AP60" s="20" t="e">
        <f t="shared" si="13"/>
        <v>#DIV/0!</v>
      </c>
      <c r="AQ60" s="21" t="e">
        <f t="shared" si="14"/>
        <v>#DIV/0!</v>
      </c>
      <c r="AR60" t="e">
        <f t="shared" si="15"/>
        <v>#DIV/0!</v>
      </c>
      <c r="AS60" t="e">
        <f t="shared" si="16"/>
        <v>#DIV/0!</v>
      </c>
      <c r="AT60" t="e">
        <f t="shared" si="17"/>
        <v>#DIV/0!</v>
      </c>
      <c r="AU60" t="e">
        <f t="shared" si="18"/>
        <v>#DIV/0!</v>
      </c>
      <c r="AV60" t="e">
        <f t="shared" si="19"/>
        <v>#DIV/0!</v>
      </c>
      <c r="AW60" t="e">
        <f t="shared" si="20"/>
        <v>#DIV/0!</v>
      </c>
      <c r="AX60" t="e">
        <f t="shared" si="21"/>
        <v>#DIV/0!</v>
      </c>
      <c r="AY60">
        <f t="shared" si="22"/>
        <v>0</v>
      </c>
      <c r="AZ60">
        <f t="shared" si="23"/>
        <v>0</v>
      </c>
      <c r="BA60" s="8">
        <f t="shared" si="24"/>
        <v>0</v>
      </c>
    </row>
    <row r="61" spans="1:53" x14ac:dyDescent="0.35">
      <c r="A61" s="9" t="s">
        <v>49</v>
      </c>
      <c r="B61" s="11" t="s">
        <v>67</v>
      </c>
      <c r="C61">
        <f t="shared" si="1"/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342.39670930134002</v>
      </c>
      <c r="AC61">
        <v>358.46025273358998</v>
      </c>
      <c r="AD61" s="19">
        <f t="shared" si="2"/>
        <v>0</v>
      </c>
      <c r="AE61" s="19">
        <f t="shared" si="3"/>
        <v>0</v>
      </c>
      <c r="AF61">
        <v>0</v>
      </c>
      <c r="AG61">
        <v>0</v>
      </c>
      <c r="AH61">
        <v>0</v>
      </c>
      <c r="AI61">
        <v>0</v>
      </c>
      <c r="AJ61" t="e">
        <f t="shared" si="7"/>
        <v>#DIV/0!</v>
      </c>
      <c r="AK61">
        <v>0</v>
      </c>
      <c r="AL61" t="e">
        <f t="shared" si="9"/>
        <v>#DIV/0!</v>
      </c>
      <c r="AM61" t="e">
        <f t="shared" si="10"/>
        <v>#DIV/0!</v>
      </c>
      <c r="AN61" t="e">
        <f t="shared" si="11"/>
        <v>#DIV/0!</v>
      </c>
      <c r="AO61" t="e">
        <f t="shared" si="12"/>
        <v>#DIV/0!</v>
      </c>
      <c r="AP61" s="20" t="e">
        <f t="shared" si="13"/>
        <v>#DIV/0!</v>
      </c>
      <c r="AQ61" s="21" t="e">
        <f t="shared" si="14"/>
        <v>#DIV/0!</v>
      </c>
      <c r="AR61" t="e">
        <f t="shared" si="15"/>
        <v>#DIV/0!</v>
      </c>
      <c r="AS61" t="e">
        <f t="shared" si="16"/>
        <v>#DIV/0!</v>
      </c>
      <c r="AT61" t="e">
        <f t="shared" si="17"/>
        <v>#DIV/0!</v>
      </c>
      <c r="AU61" t="e">
        <f t="shared" si="18"/>
        <v>#DIV/0!</v>
      </c>
      <c r="AV61" t="e">
        <f t="shared" si="19"/>
        <v>#DIV/0!</v>
      </c>
      <c r="AW61" t="e">
        <f t="shared" si="20"/>
        <v>#DIV/0!</v>
      </c>
      <c r="AX61" t="e">
        <f t="shared" si="21"/>
        <v>#DIV/0!</v>
      </c>
      <c r="AY61">
        <f t="shared" si="22"/>
        <v>0</v>
      </c>
      <c r="AZ61">
        <f t="shared" si="23"/>
        <v>0</v>
      </c>
      <c r="BA61" s="8">
        <f t="shared" si="24"/>
        <v>0</v>
      </c>
    </row>
    <row r="62" spans="1:53" x14ac:dyDescent="0.35">
      <c r="A62" s="10" t="s">
        <v>50</v>
      </c>
      <c r="B62" s="11" t="s">
        <v>67</v>
      </c>
      <c r="C62">
        <f t="shared" si="1"/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55.422589739999999</v>
      </c>
      <c r="AC62">
        <v>30.160077523049999</v>
      </c>
      <c r="AD62" s="19">
        <f t="shared" si="2"/>
        <v>0</v>
      </c>
      <c r="AE62" s="19">
        <f t="shared" si="3"/>
        <v>0</v>
      </c>
      <c r="AF62">
        <v>0</v>
      </c>
      <c r="AG62">
        <v>0</v>
      </c>
      <c r="AH62">
        <v>0</v>
      </c>
      <c r="AI62">
        <v>0</v>
      </c>
      <c r="AJ62" t="e">
        <f t="shared" si="7"/>
        <v>#DIV/0!</v>
      </c>
      <c r="AK62">
        <v>0</v>
      </c>
      <c r="AL62" t="e">
        <f t="shared" si="9"/>
        <v>#DIV/0!</v>
      </c>
      <c r="AM62" t="e">
        <f t="shared" si="10"/>
        <v>#DIV/0!</v>
      </c>
      <c r="AN62" t="e">
        <f t="shared" si="11"/>
        <v>#DIV/0!</v>
      </c>
      <c r="AO62" t="e">
        <f t="shared" si="12"/>
        <v>#DIV/0!</v>
      </c>
      <c r="AP62" s="20" t="e">
        <f t="shared" si="13"/>
        <v>#DIV/0!</v>
      </c>
      <c r="AQ62" s="21" t="e">
        <f t="shared" si="14"/>
        <v>#DIV/0!</v>
      </c>
      <c r="AR62" t="e">
        <f t="shared" si="15"/>
        <v>#DIV/0!</v>
      </c>
      <c r="AS62" t="e">
        <f t="shared" si="16"/>
        <v>#DIV/0!</v>
      </c>
      <c r="AT62" t="e">
        <f t="shared" si="17"/>
        <v>#DIV/0!</v>
      </c>
      <c r="AU62" t="e">
        <f t="shared" si="18"/>
        <v>#DIV/0!</v>
      </c>
      <c r="AV62" t="e">
        <f t="shared" si="19"/>
        <v>#DIV/0!</v>
      </c>
      <c r="AW62" t="e">
        <f t="shared" si="20"/>
        <v>#DIV/0!</v>
      </c>
      <c r="AX62" t="e">
        <f t="shared" si="21"/>
        <v>#DIV/0!</v>
      </c>
      <c r="AY62">
        <f t="shared" si="22"/>
        <v>0</v>
      </c>
      <c r="AZ62">
        <f t="shared" si="23"/>
        <v>0</v>
      </c>
      <c r="BA62" s="8">
        <f t="shared" si="24"/>
        <v>0</v>
      </c>
    </row>
    <row r="63" spans="1:53" x14ac:dyDescent="0.35">
      <c r="A63" s="9" t="s">
        <v>51</v>
      </c>
      <c r="B63" s="11" t="s">
        <v>67</v>
      </c>
      <c r="C63">
        <f t="shared" si="1"/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97.136073348400004</v>
      </c>
      <c r="AC63">
        <v>48.216768505140003</v>
      </c>
      <c r="AD63" s="19">
        <f t="shared" si="2"/>
        <v>0</v>
      </c>
      <c r="AE63" s="19">
        <f t="shared" si="3"/>
        <v>0</v>
      </c>
      <c r="AF63">
        <v>0</v>
      </c>
      <c r="AG63">
        <v>0</v>
      </c>
      <c r="AH63">
        <v>0</v>
      </c>
      <c r="AI63">
        <v>0</v>
      </c>
      <c r="AJ63" t="e">
        <f t="shared" si="7"/>
        <v>#DIV/0!</v>
      </c>
      <c r="AK63">
        <v>0</v>
      </c>
      <c r="AL63" t="e">
        <f t="shared" si="9"/>
        <v>#DIV/0!</v>
      </c>
      <c r="AM63" t="e">
        <f t="shared" si="10"/>
        <v>#DIV/0!</v>
      </c>
      <c r="AN63" t="e">
        <f t="shared" si="11"/>
        <v>#DIV/0!</v>
      </c>
      <c r="AO63" t="e">
        <f t="shared" si="12"/>
        <v>#DIV/0!</v>
      </c>
      <c r="AP63" s="20" t="e">
        <f t="shared" si="13"/>
        <v>#DIV/0!</v>
      </c>
      <c r="AQ63" s="21" t="e">
        <f t="shared" si="14"/>
        <v>#DIV/0!</v>
      </c>
      <c r="AR63" t="e">
        <f t="shared" si="15"/>
        <v>#DIV/0!</v>
      </c>
      <c r="AS63" t="e">
        <f t="shared" si="16"/>
        <v>#DIV/0!</v>
      </c>
      <c r="AT63" t="e">
        <f t="shared" si="17"/>
        <v>#DIV/0!</v>
      </c>
      <c r="AU63" t="e">
        <f t="shared" si="18"/>
        <v>#DIV/0!</v>
      </c>
      <c r="AV63" t="e">
        <f t="shared" si="19"/>
        <v>#DIV/0!</v>
      </c>
      <c r="AW63" t="e">
        <f t="shared" si="20"/>
        <v>#DIV/0!</v>
      </c>
      <c r="AX63" t="e">
        <f t="shared" si="21"/>
        <v>#DIV/0!</v>
      </c>
      <c r="AY63">
        <f t="shared" si="22"/>
        <v>0</v>
      </c>
      <c r="AZ63">
        <f t="shared" si="23"/>
        <v>0</v>
      </c>
      <c r="BA63" s="8">
        <f t="shared" si="24"/>
        <v>0</v>
      </c>
    </row>
    <row r="64" spans="1:53" x14ac:dyDescent="0.35">
      <c r="A64" s="9" t="s">
        <v>52</v>
      </c>
      <c r="B64" s="11" t="s">
        <v>67</v>
      </c>
      <c r="C64">
        <f t="shared" si="1"/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66.343484468840003</v>
      </c>
      <c r="AC64">
        <v>66.557495896739994</v>
      </c>
      <c r="AD64" s="19">
        <f t="shared" si="2"/>
        <v>0</v>
      </c>
      <c r="AE64" s="19">
        <f t="shared" si="3"/>
        <v>0</v>
      </c>
      <c r="AF64">
        <v>0</v>
      </c>
      <c r="AG64">
        <v>0</v>
      </c>
      <c r="AH64">
        <v>0</v>
      </c>
      <c r="AI64">
        <v>0</v>
      </c>
      <c r="AJ64" t="e">
        <f t="shared" si="7"/>
        <v>#DIV/0!</v>
      </c>
      <c r="AK64">
        <v>0</v>
      </c>
      <c r="AL64" t="e">
        <f t="shared" si="9"/>
        <v>#DIV/0!</v>
      </c>
      <c r="AM64" t="e">
        <f t="shared" si="10"/>
        <v>#DIV/0!</v>
      </c>
      <c r="AN64" t="e">
        <f t="shared" si="11"/>
        <v>#DIV/0!</v>
      </c>
      <c r="AO64" t="e">
        <f t="shared" si="12"/>
        <v>#DIV/0!</v>
      </c>
      <c r="AP64" s="20" t="e">
        <f t="shared" si="13"/>
        <v>#DIV/0!</v>
      </c>
      <c r="AQ64" s="21" t="e">
        <f t="shared" si="14"/>
        <v>#DIV/0!</v>
      </c>
      <c r="AR64" t="e">
        <f t="shared" si="15"/>
        <v>#DIV/0!</v>
      </c>
      <c r="AS64" t="e">
        <f t="shared" si="16"/>
        <v>#DIV/0!</v>
      </c>
      <c r="AT64" t="e">
        <f t="shared" si="17"/>
        <v>#DIV/0!</v>
      </c>
      <c r="AU64" t="e">
        <f t="shared" si="18"/>
        <v>#DIV/0!</v>
      </c>
      <c r="AV64" t="e">
        <f t="shared" si="19"/>
        <v>#DIV/0!</v>
      </c>
      <c r="AW64" t="e">
        <f t="shared" si="20"/>
        <v>#DIV/0!</v>
      </c>
      <c r="AX64" t="e">
        <f t="shared" si="21"/>
        <v>#DIV/0!</v>
      </c>
      <c r="AY64">
        <f t="shared" si="22"/>
        <v>0</v>
      </c>
      <c r="AZ64">
        <f t="shared" si="23"/>
        <v>0</v>
      </c>
      <c r="BA64" s="8">
        <f t="shared" si="24"/>
        <v>0</v>
      </c>
    </row>
    <row r="65" spans="1:53" x14ac:dyDescent="0.35">
      <c r="A65" s="9" t="s">
        <v>53</v>
      </c>
      <c r="B65" s="11" t="s">
        <v>67</v>
      </c>
      <c r="C65">
        <f t="shared" si="1"/>
        <v>1.957703643926207</v>
      </c>
      <c r="D65">
        <v>11.987077390271081</v>
      </c>
      <c r="E65">
        <v>0.76498244929870585</v>
      </c>
      <c r="F65">
        <v>11.22209494097237</v>
      </c>
      <c r="G65">
        <v>-10.02937374634487</v>
      </c>
      <c r="H65">
        <v>33.440661355057721</v>
      </c>
      <c r="I65">
        <v>0</v>
      </c>
      <c r="J65">
        <v>33.440661355057721</v>
      </c>
      <c r="K65">
        <v>0</v>
      </c>
      <c r="L65">
        <v>1.426607709170238</v>
      </c>
      <c r="M65">
        <v>1.285559586199561</v>
      </c>
      <c r="N65">
        <v>9.1042196860696603E-2</v>
      </c>
      <c r="O65">
        <v>8.2040891949904396E-2</v>
      </c>
      <c r="P65">
        <v>1.3355655123095409</v>
      </c>
      <c r="Q65">
        <v>1.203518694249657</v>
      </c>
      <c r="R65">
        <v>-1.1936172128410389</v>
      </c>
      <c r="S65">
        <v>-1.0756047653163849</v>
      </c>
      <c r="T65">
        <v>3.979844605624737</v>
      </c>
      <c r="U65">
        <v>3.5863589909529652</v>
      </c>
      <c r="V65">
        <v>0</v>
      </c>
      <c r="W65">
        <v>0</v>
      </c>
      <c r="X65">
        <v>3.979844605624737</v>
      </c>
      <c r="Y65">
        <v>3.5863589909529652</v>
      </c>
      <c r="Z65">
        <v>0</v>
      </c>
      <c r="AA65">
        <v>0</v>
      </c>
      <c r="AB65">
        <v>932.44043441874999</v>
      </c>
      <c r="AC65">
        <v>840.25042856688003</v>
      </c>
      <c r="AD65" s="19">
        <f t="shared" si="2"/>
        <v>45.427738745328803</v>
      </c>
      <c r="AE65" s="19">
        <f t="shared" si="3"/>
        <v>45.427738745328803</v>
      </c>
      <c r="AF65">
        <f t="shared" si="4"/>
        <v>0.26387132006441055</v>
      </c>
      <c r="AG65">
        <f>D65/AE65</f>
        <v>0.26387132006441055</v>
      </c>
      <c r="AH65">
        <f t="shared" si="6"/>
        <v>0.26387132006441055</v>
      </c>
      <c r="AI65">
        <f>$D65/(AD65)</f>
        <v>0.26387132006441055</v>
      </c>
      <c r="AJ65">
        <f t="shared" si="7"/>
        <v>0.24703177509856364</v>
      </c>
      <c r="AK65">
        <f t="shared" ref="AK65:AK96" si="25">(F65/(AD65))</f>
        <v>0.24703177509856364</v>
      </c>
      <c r="AL65">
        <f t="shared" si="9"/>
        <v>1.6839544965846814E-2</v>
      </c>
      <c r="AM65">
        <f t="shared" si="10"/>
        <v>1.6839544965846814E-2</v>
      </c>
      <c r="AN65">
        <f t="shared" si="11"/>
        <v>-0.2207764247868525</v>
      </c>
      <c r="AO65">
        <f t="shared" si="12"/>
        <v>-0.2207764247868525</v>
      </c>
      <c r="AP65" s="20">
        <f t="shared" si="13"/>
        <v>0.93618273876169522</v>
      </c>
      <c r="AQ65" s="21">
        <f t="shared" si="14"/>
        <v>6.3817261238304751E-2</v>
      </c>
      <c r="AR65">
        <f t="shared" si="15"/>
        <v>0.73612867993558939</v>
      </c>
      <c r="AS65">
        <f t="shared" si="16"/>
        <v>0.73612867993558939</v>
      </c>
      <c r="AT65">
        <f t="shared" si="17"/>
        <v>0</v>
      </c>
      <c r="AU65">
        <f t="shared" si="18"/>
        <v>0</v>
      </c>
      <c r="AV65">
        <f t="shared" si="19"/>
        <v>0.73612867993558939</v>
      </c>
      <c r="AW65">
        <f t="shared" si="20"/>
        <v>0</v>
      </c>
      <c r="AX65">
        <f t="shared" si="21"/>
        <v>1</v>
      </c>
      <c r="AY65">
        <f t="shared" si="22"/>
        <v>5.4064523147949774E-2</v>
      </c>
      <c r="AZ65">
        <f t="shared" si="23"/>
        <v>4.8719185771525265E-2</v>
      </c>
      <c r="BA65" s="8">
        <f t="shared" si="24"/>
        <v>5.4064523147949774E-2</v>
      </c>
    </row>
    <row r="66" spans="1:53" x14ac:dyDescent="0.35">
      <c r="A66" s="10" t="s">
        <v>54</v>
      </c>
      <c r="B66" s="12" t="s">
        <v>67</v>
      </c>
      <c r="C66">
        <f t="shared" si="1"/>
        <v>28.1225464637951</v>
      </c>
      <c r="D66">
        <v>28.1225464637951</v>
      </c>
      <c r="E66">
        <v>0</v>
      </c>
      <c r="F66">
        <v>28.1225464637951</v>
      </c>
      <c r="G66">
        <v>0</v>
      </c>
      <c r="H66">
        <v>1.1458115023238651</v>
      </c>
      <c r="I66">
        <v>1.1458115023238651</v>
      </c>
      <c r="J66">
        <v>0</v>
      </c>
      <c r="K66">
        <v>0</v>
      </c>
      <c r="L66">
        <v>13.85762930642086</v>
      </c>
      <c r="M66">
        <v>14.498115587265049</v>
      </c>
      <c r="N66">
        <v>0</v>
      </c>
      <c r="O66">
        <v>0</v>
      </c>
      <c r="P66">
        <v>13.85762930642086</v>
      </c>
      <c r="Q66">
        <v>14.498115587265049</v>
      </c>
      <c r="R66">
        <v>0</v>
      </c>
      <c r="S66">
        <v>0</v>
      </c>
      <c r="T66">
        <v>0.5646085810429331</v>
      </c>
      <c r="U66">
        <v>0.5907042459080154</v>
      </c>
      <c r="V66">
        <v>0.56460858104293332</v>
      </c>
      <c r="W66">
        <v>0.5907042459080154</v>
      </c>
      <c r="X66">
        <v>0</v>
      </c>
      <c r="Y66">
        <v>0</v>
      </c>
      <c r="Z66">
        <v>0</v>
      </c>
      <c r="AA66">
        <v>0</v>
      </c>
      <c r="AB66">
        <v>193.97380504054999</v>
      </c>
      <c r="AC66">
        <v>202.93908750153</v>
      </c>
      <c r="AD66" s="19">
        <f t="shared" si="2"/>
        <v>29.268357966118966</v>
      </c>
      <c r="AE66" s="19">
        <f t="shared" si="3"/>
        <v>29.268357966118966</v>
      </c>
      <c r="AF66">
        <f t="shared" si="4"/>
        <v>0.96085152765829029</v>
      </c>
      <c r="AG66">
        <f>D66/AE66</f>
        <v>0.96085152765829029</v>
      </c>
      <c r="AH66">
        <f t="shared" si="6"/>
        <v>0.96085152765829029</v>
      </c>
      <c r="AI66">
        <f>$D66/(AD66)</f>
        <v>0.96085152765829029</v>
      </c>
      <c r="AJ66">
        <f t="shared" si="7"/>
        <v>0.96085152765829029</v>
      </c>
      <c r="AK66">
        <f t="shared" si="25"/>
        <v>0.96085152765829029</v>
      </c>
      <c r="AL66">
        <f t="shared" si="9"/>
        <v>0</v>
      </c>
      <c r="AM66">
        <f t="shared" si="10"/>
        <v>0</v>
      </c>
      <c r="AN66">
        <f t="shared" si="11"/>
        <v>0</v>
      </c>
      <c r="AO66">
        <f t="shared" si="12"/>
        <v>0</v>
      </c>
      <c r="AP66" s="20">
        <f t="shared" si="13"/>
        <v>1</v>
      </c>
      <c r="AQ66" s="21">
        <f t="shared" si="14"/>
        <v>0</v>
      </c>
      <c r="AR66">
        <f t="shared" si="15"/>
        <v>3.9148472341709629E-2</v>
      </c>
      <c r="AS66">
        <f t="shared" si="16"/>
        <v>3.9148472341709629E-2</v>
      </c>
      <c r="AT66">
        <f t="shared" si="17"/>
        <v>3.9148472341709629E-2</v>
      </c>
      <c r="AU66">
        <f t="shared" si="18"/>
        <v>3.9148472341709629E-2</v>
      </c>
      <c r="AV66">
        <f t="shared" si="19"/>
        <v>0</v>
      </c>
      <c r="AW66">
        <f t="shared" si="20"/>
        <v>1</v>
      </c>
      <c r="AX66">
        <f t="shared" si="21"/>
        <v>0</v>
      </c>
      <c r="AY66">
        <f t="shared" si="22"/>
        <v>0.14422237887463796</v>
      </c>
      <c r="AZ66">
        <f t="shared" si="23"/>
        <v>0.15088819833173067</v>
      </c>
      <c r="BA66" s="8">
        <f t="shared" si="24"/>
        <v>0.14422237887463796</v>
      </c>
    </row>
    <row r="67" spans="1:53" x14ac:dyDescent="0.35">
      <c r="A67" s="9" t="s">
        <v>55</v>
      </c>
      <c r="B67" s="11" t="s">
        <v>67</v>
      </c>
      <c r="C67">
        <f t="shared" ref="C67:C130" si="26">E67+F67+G67</f>
        <v>-8.1</v>
      </c>
      <c r="D67">
        <v>-8.1</v>
      </c>
      <c r="E67">
        <v>0</v>
      </c>
      <c r="F67">
        <v>-8.1</v>
      </c>
      <c r="G67">
        <v>0</v>
      </c>
      <c r="H67">
        <v>7.1492515149594507</v>
      </c>
      <c r="I67">
        <v>-0.35867162723845958</v>
      </c>
      <c r="J67">
        <v>7.5079231421979111</v>
      </c>
      <c r="K67">
        <v>0</v>
      </c>
      <c r="L67">
        <v>-1.974409057893133</v>
      </c>
      <c r="M67">
        <v>-2.4511712488266699</v>
      </c>
      <c r="N67">
        <v>0</v>
      </c>
      <c r="O67">
        <v>0</v>
      </c>
      <c r="P67">
        <v>-1.974409057893133</v>
      </c>
      <c r="Q67">
        <v>-2.4511712488266699</v>
      </c>
      <c r="R67">
        <v>0</v>
      </c>
      <c r="S67">
        <v>0</v>
      </c>
      <c r="T67">
        <v>1.742660117073104</v>
      </c>
      <c r="U67">
        <v>2.1634616992714961</v>
      </c>
      <c r="V67">
        <v>-8.7427717238133695E-2</v>
      </c>
      <c r="W67">
        <v>-0.1085389605502209</v>
      </c>
      <c r="X67">
        <v>1.8300878343112379</v>
      </c>
      <c r="Y67">
        <v>2.2720006598217171</v>
      </c>
      <c r="Z67">
        <v>0</v>
      </c>
      <c r="AA67">
        <v>0</v>
      </c>
      <c r="AB67">
        <v>330.45426768437</v>
      </c>
      <c r="AC67">
        <v>410.24933347112</v>
      </c>
      <c r="AD67" s="19">
        <f t="shared" ref="AD67:AD130" si="27">D67+H67</f>
        <v>-0.95074848504054899</v>
      </c>
      <c r="AE67" s="19">
        <f t="shared" ref="AE67:AE126" si="28">(D67)+(H67)</f>
        <v>-0.95074848504054899</v>
      </c>
      <c r="AF67">
        <f t="shared" ref="AF67:AF130" si="29">($D67/$AE67)</f>
        <v>8.5196033729725471</v>
      </c>
      <c r="AG67">
        <f>D67/AE67</f>
        <v>8.5196033729725471</v>
      </c>
      <c r="AH67">
        <f t="shared" ref="AH67:AH130" si="30">(($D67)/(AD67))</f>
        <v>8.5196033729725471</v>
      </c>
      <c r="AI67">
        <f>$D67/(AD67)</f>
        <v>8.5196033729725471</v>
      </c>
      <c r="AJ67">
        <f t="shared" ref="AJ67:AJ130" si="31">($F67/(AE67))</f>
        <v>8.5196033729725471</v>
      </c>
      <c r="AK67">
        <f t="shared" si="25"/>
        <v>8.5196033729725471</v>
      </c>
      <c r="AL67">
        <f t="shared" ref="AL67:AL130" si="32">($E67/AE67)</f>
        <v>0</v>
      </c>
      <c r="AM67">
        <f t="shared" ref="AM67:AM130" si="33">(E67/AD67)</f>
        <v>0</v>
      </c>
      <c r="AN67">
        <f t="shared" ref="AN67:AN130" si="34">($G67/$AE67)</f>
        <v>0</v>
      </c>
      <c r="AO67">
        <f t="shared" ref="AO67:AO130" si="35">($G67/$AD67)</f>
        <v>0</v>
      </c>
      <c r="AP67" s="20">
        <f t="shared" ref="AP67:AP130" si="36">(F67/((E67)+(F67)))</f>
        <v>1</v>
      </c>
      <c r="AQ67" s="21">
        <f t="shared" ref="AQ67:AQ130" si="37">(E67/D67)</f>
        <v>0</v>
      </c>
      <c r="AR67">
        <f t="shared" ref="AR67:AR130" si="38">($H67/(AE67))</f>
        <v>-7.5196033729725462</v>
      </c>
      <c r="AS67">
        <f t="shared" ref="AS67:AS130" si="39">($H67/(AD67))</f>
        <v>-7.5196033729725462</v>
      </c>
      <c r="AT67">
        <f t="shared" ref="AT67:AT130" si="40">($I67/(AE67))</f>
        <v>0.37725185249510274</v>
      </c>
      <c r="AU67">
        <f t="shared" ref="AU67:AU130" si="41">($I67/(AD67))</f>
        <v>0.37725185249510274</v>
      </c>
      <c r="AV67">
        <f t="shared" ref="AV67:AV130" si="42">(J67/(AD67))</f>
        <v>-7.8968552254676503</v>
      </c>
      <c r="AW67">
        <f t="shared" ref="AW67:AW130" si="43">(I67/H67)</f>
        <v>-5.0169115814146022E-2</v>
      </c>
      <c r="AX67">
        <f t="shared" ref="AX67:AX130" si="44">J67/H67</f>
        <v>1.0501691158141462</v>
      </c>
      <c r="AY67">
        <f t="shared" ref="AY67:AY130" si="45">(AD67/AC67)</f>
        <v>-2.3174894082002894E-3</v>
      </c>
      <c r="AZ67">
        <f t="shared" ref="AZ67:AZ130" si="46">(AD67)/AB67</f>
        <v>-2.8770954955517373E-3</v>
      </c>
      <c r="BA67" s="8">
        <f t="shared" ref="BA67:BA130" si="47">(AE67/AC67)</f>
        <v>-2.3174894082002894E-3</v>
      </c>
    </row>
    <row r="68" spans="1:53" x14ac:dyDescent="0.35">
      <c r="A68" s="9" t="s">
        <v>56</v>
      </c>
      <c r="B68" s="11" t="s">
        <v>67</v>
      </c>
      <c r="C68">
        <f t="shared" si="26"/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341.21592570296002</v>
      </c>
      <c r="AC68">
        <v>222.36238134761999</v>
      </c>
      <c r="AD68" s="19">
        <f t="shared" si="27"/>
        <v>0</v>
      </c>
      <c r="AE68" s="19">
        <f t="shared" si="28"/>
        <v>0</v>
      </c>
      <c r="AF68">
        <v>0</v>
      </c>
      <c r="AG68">
        <v>0</v>
      </c>
      <c r="AH68">
        <v>0</v>
      </c>
      <c r="AI68">
        <v>0</v>
      </c>
      <c r="AJ68" t="e">
        <f t="shared" si="31"/>
        <v>#DIV/0!</v>
      </c>
      <c r="AK68" t="e">
        <f t="shared" si="25"/>
        <v>#DIV/0!</v>
      </c>
      <c r="AL68" t="e">
        <f t="shared" si="32"/>
        <v>#DIV/0!</v>
      </c>
      <c r="AM68" t="e">
        <f t="shared" si="33"/>
        <v>#DIV/0!</v>
      </c>
      <c r="AN68" t="e">
        <f t="shared" si="34"/>
        <v>#DIV/0!</v>
      </c>
      <c r="AO68" t="e">
        <f t="shared" si="35"/>
        <v>#DIV/0!</v>
      </c>
      <c r="AP68" s="20" t="e">
        <f t="shared" si="36"/>
        <v>#DIV/0!</v>
      </c>
      <c r="AQ68" s="21" t="e">
        <f t="shared" si="37"/>
        <v>#DIV/0!</v>
      </c>
      <c r="AR68" t="e">
        <f t="shared" si="38"/>
        <v>#DIV/0!</v>
      </c>
      <c r="AS68" t="e">
        <f t="shared" si="39"/>
        <v>#DIV/0!</v>
      </c>
      <c r="AT68" t="e">
        <f t="shared" si="40"/>
        <v>#DIV/0!</v>
      </c>
      <c r="AU68" t="e">
        <f t="shared" si="41"/>
        <v>#DIV/0!</v>
      </c>
      <c r="AV68" t="e">
        <f t="shared" si="42"/>
        <v>#DIV/0!</v>
      </c>
      <c r="AW68" t="e">
        <f t="shared" si="43"/>
        <v>#DIV/0!</v>
      </c>
      <c r="AX68" t="e">
        <f t="shared" si="44"/>
        <v>#DIV/0!</v>
      </c>
      <c r="AY68">
        <f t="shared" si="45"/>
        <v>0</v>
      </c>
      <c r="AZ68">
        <f t="shared" si="46"/>
        <v>0</v>
      </c>
      <c r="BA68" s="8">
        <f t="shared" si="47"/>
        <v>0</v>
      </c>
    </row>
    <row r="69" spans="1:53" x14ac:dyDescent="0.35">
      <c r="A69" s="9" t="s">
        <v>57</v>
      </c>
      <c r="B69" s="11" t="s">
        <v>67</v>
      </c>
      <c r="C69">
        <f t="shared" si="26"/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181.71174374815001</v>
      </c>
      <c r="AC69">
        <v>99.489061173690004</v>
      </c>
      <c r="AD69" s="19">
        <f t="shared" si="27"/>
        <v>0</v>
      </c>
      <c r="AE69" s="19">
        <f t="shared" si="28"/>
        <v>0</v>
      </c>
      <c r="AF69">
        <v>0</v>
      </c>
      <c r="AG69">
        <v>0</v>
      </c>
      <c r="AH69">
        <v>0</v>
      </c>
      <c r="AI69">
        <v>0</v>
      </c>
      <c r="AJ69" t="e">
        <f t="shared" si="31"/>
        <v>#DIV/0!</v>
      </c>
      <c r="AK69" t="e">
        <f t="shared" si="25"/>
        <v>#DIV/0!</v>
      </c>
      <c r="AL69" t="e">
        <f t="shared" si="32"/>
        <v>#DIV/0!</v>
      </c>
      <c r="AM69" t="e">
        <f t="shared" si="33"/>
        <v>#DIV/0!</v>
      </c>
      <c r="AN69" t="e">
        <f t="shared" si="34"/>
        <v>#DIV/0!</v>
      </c>
      <c r="AO69" t="e">
        <f t="shared" si="35"/>
        <v>#DIV/0!</v>
      </c>
      <c r="AP69" s="20" t="e">
        <f t="shared" si="36"/>
        <v>#DIV/0!</v>
      </c>
      <c r="AQ69" s="21" t="e">
        <f t="shared" si="37"/>
        <v>#DIV/0!</v>
      </c>
      <c r="AR69" t="e">
        <f t="shared" si="38"/>
        <v>#DIV/0!</v>
      </c>
      <c r="AS69" t="e">
        <f t="shared" si="39"/>
        <v>#DIV/0!</v>
      </c>
      <c r="AT69" t="e">
        <f t="shared" si="40"/>
        <v>#DIV/0!</v>
      </c>
      <c r="AU69" t="e">
        <f t="shared" si="41"/>
        <v>#DIV/0!</v>
      </c>
      <c r="AV69" t="e">
        <f t="shared" si="42"/>
        <v>#DIV/0!</v>
      </c>
      <c r="AW69" t="e">
        <f t="shared" si="43"/>
        <v>#DIV/0!</v>
      </c>
      <c r="AX69" t="e">
        <f t="shared" si="44"/>
        <v>#DIV/0!</v>
      </c>
      <c r="AY69">
        <f t="shared" si="45"/>
        <v>0</v>
      </c>
      <c r="AZ69">
        <f t="shared" si="46"/>
        <v>0</v>
      </c>
      <c r="BA69" s="8">
        <f t="shared" si="47"/>
        <v>0</v>
      </c>
    </row>
    <row r="70" spans="1:53" x14ac:dyDescent="0.35">
      <c r="A70" s="9" t="s">
        <v>58</v>
      </c>
      <c r="B70" s="11" t="s">
        <v>67</v>
      </c>
      <c r="C70">
        <f t="shared" si="26"/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76.037366075549997</v>
      </c>
      <c r="AC70">
        <v>50.417977728389999</v>
      </c>
      <c r="AD70" s="19">
        <f t="shared" si="27"/>
        <v>0</v>
      </c>
      <c r="AE70" s="19">
        <f t="shared" si="28"/>
        <v>0</v>
      </c>
      <c r="AF70">
        <v>0</v>
      </c>
      <c r="AG70">
        <v>0</v>
      </c>
      <c r="AH70">
        <v>0</v>
      </c>
      <c r="AI70">
        <v>0</v>
      </c>
      <c r="AJ70" t="e">
        <f t="shared" si="31"/>
        <v>#DIV/0!</v>
      </c>
      <c r="AK70" t="e">
        <f t="shared" si="25"/>
        <v>#DIV/0!</v>
      </c>
      <c r="AL70" t="e">
        <f t="shared" si="32"/>
        <v>#DIV/0!</v>
      </c>
      <c r="AM70" t="e">
        <f t="shared" si="33"/>
        <v>#DIV/0!</v>
      </c>
      <c r="AN70" t="e">
        <f t="shared" si="34"/>
        <v>#DIV/0!</v>
      </c>
      <c r="AO70" t="e">
        <f t="shared" si="35"/>
        <v>#DIV/0!</v>
      </c>
      <c r="AP70" s="20" t="e">
        <f t="shared" si="36"/>
        <v>#DIV/0!</v>
      </c>
      <c r="AQ70" s="21" t="e">
        <f t="shared" si="37"/>
        <v>#DIV/0!</v>
      </c>
      <c r="AR70" t="e">
        <f t="shared" si="38"/>
        <v>#DIV/0!</v>
      </c>
      <c r="AS70" t="e">
        <f t="shared" si="39"/>
        <v>#DIV/0!</v>
      </c>
      <c r="AT70" t="e">
        <f t="shared" si="40"/>
        <v>#DIV/0!</v>
      </c>
      <c r="AU70" t="e">
        <f t="shared" si="41"/>
        <v>#DIV/0!</v>
      </c>
      <c r="AV70" t="e">
        <f t="shared" si="42"/>
        <v>#DIV/0!</v>
      </c>
      <c r="AW70" t="e">
        <f t="shared" si="43"/>
        <v>#DIV/0!</v>
      </c>
      <c r="AX70" t="e">
        <f t="shared" si="44"/>
        <v>#DIV/0!</v>
      </c>
      <c r="AY70">
        <f t="shared" si="45"/>
        <v>0</v>
      </c>
      <c r="AZ70">
        <f t="shared" si="46"/>
        <v>0</v>
      </c>
      <c r="BA70" s="8">
        <f t="shared" si="47"/>
        <v>0</v>
      </c>
    </row>
    <row r="71" spans="1:53" x14ac:dyDescent="0.35">
      <c r="A71" s="9" t="s">
        <v>59</v>
      </c>
      <c r="B71" s="11" t="s">
        <v>67</v>
      </c>
      <c r="C71">
        <f t="shared" si="26"/>
        <v>48.212593605940782</v>
      </c>
      <c r="D71">
        <v>14.10043735832228</v>
      </c>
      <c r="E71">
        <v>0.8349841230760352</v>
      </c>
      <c r="F71">
        <v>13.265453235246239</v>
      </c>
      <c r="G71">
        <v>34.112156247618508</v>
      </c>
      <c r="H71">
        <v>-1.5797136210380349</v>
      </c>
      <c r="I71">
        <v>0</v>
      </c>
      <c r="J71">
        <v>-1.5797136210380349</v>
      </c>
      <c r="K71">
        <v>0</v>
      </c>
      <c r="L71">
        <v>2.5645492128637088</v>
      </c>
      <c r="M71">
        <v>2.706394591381724</v>
      </c>
      <c r="N71">
        <v>0.15186464229242369</v>
      </c>
      <c r="O71">
        <v>0.1602642852243748</v>
      </c>
      <c r="P71">
        <v>2.4126845705712858</v>
      </c>
      <c r="Q71">
        <v>2.546130306157349</v>
      </c>
      <c r="R71">
        <v>6.2042262399953607</v>
      </c>
      <c r="S71">
        <v>6.5473823841665366</v>
      </c>
      <c r="T71">
        <v>-0.28731401873801232</v>
      </c>
      <c r="U71">
        <v>-0.30320537521384239</v>
      </c>
      <c r="V71">
        <v>0</v>
      </c>
      <c r="W71">
        <v>0</v>
      </c>
      <c r="X71">
        <v>-0.28731401873801232</v>
      </c>
      <c r="Y71">
        <v>-0.30320537521384239</v>
      </c>
      <c r="Z71">
        <v>0</v>
      </c>
      <c r="AA71">
        <v>0</v>
      </c>
      <c r="AB71">
        <v>521.00449074291998</v>
      </c>
      <c r="AC71">
        <v>549.82128194673999</v>
      </c>
      <c r="AD71" s="19">
        <f t="shared" si="27"/>
        <v>12.520723737284245</v>
      </c>
      <c r="AE71" s="19">
        <f>(D71)+(H71*-1)</f>
        <v>15.680150979360315</v>
      </c>
      <c r="AF71">
        <f t="shared" si="29"/>
        <v>0.89925392790430381</v>
      </c>
      <c r="AG71">
        <f t="shared" ref="AG71:AG96" si="48">D71/AE71</f>
        <v>0.89925392790430381</v>
      </c>
      <c r="AH71">
        <f t="shared" si="30"/>
        <v>1.1261679160234133</v>
      </c>
      <c r="AI71">
        <f t="shared" ref="AI71:AI96" si="49">$D71/(AD71)</f>
        <v>1.1261679160234133</v>
      </c>
      <c r="AJ71">
        <f t="shared" si="31"/>
        <v>0.84600290218553842</v>
      </c>
      <c r="AK71">
        <f t="shared" si="25"/>
        <v>1.0594797484225562</v>
      </c>
      <c r="AL71">
        <f t="shared" si="32"/>
        <v>5.3251025718765055E-2</v>
      </c>
      <c r="AM71">
        <f t="shared" si="33"/>
        <v>6.6688167600856593E-2</v>
      </c>
      <c r="AN71">
        <f t="shared" si="34"/>
        <v>2.1754992214373527</v>
      </c>
      <c r="AO71">
        <f t="shared" si="35"/>
        <v>2.7244556275959702</v>
      </c>
      <c r="AP71" s="20">
        <f t="shared" si="36"/>
        <v>0.94078310467559956</v>
      </c>
      <c r="AQ71" s="21">
        <f t="shared" si="37"/>
        <v>5.9216895324400387E-2</v>
      </c>
      <c r="AR71">
        <f t="shared" si="38"/>
        <v>-0.10074607209569615</v>
      </c>
      <c r="AS71">
        <f t="shared" si="39"/>
        <v>-0.12616791602341321</v>
      </c>
      <c r="AT71">
        <f t="shared" si="40"/>
        <v>0</v>
      </c>
      <c r="AU71">
        <f t="shared" si="41"/>
        <v>0</v>
      </c>
      <c r="AV71">
        <f t="shared" si="42"/>
        <v>-0.12616791602341321</v>
      </c>
      <c r="AW71">
        <f t="shared" si="43"/>
        <v>0</v>
      </c>
      <c r="AX71">
        <f t="shared" si="44"/>
        <v>1</v>
      </c>
      <c r="AY71">
        <f t="shared" si="45"/>
        <v>2.2772351941256978E-2</v>
      </c>
      <c r="AZ71">
        <f t="shared" si="46"/>
        <v>2.4031892161678822E-2</v>
      </c>
      <c r="BA71" s="8">
        <f t="shared" si="47"/>
        <v>2.8518632316017221E-2</v>
      </c>
    </row>
    <row r="72" spans="1:53" x14ac:dyDescent="0.35">
      <c r="A72" s="10" t="s">
        <v>60</v>
      </c>
      <c r="B72" s="12" t="s">
        <v>67</v>
      </c>
      <c r="C72">
        <f t="shared" si="26"/>
        <v>30.272820547635053</v>
      </c>
      <c r="D72">
        <v>30.27282054763505</v>
      </c>
      <c r="E72">
        <v>2.6975353066185428</v>
      </c>
      <c r="F72">
        <v>27.575285241016509</v>
      </c>
      <c r="G72">
        <v>0</v>
      </c>
      <c r="H72">
        <v>42.741449230002956</v>
      </c>
      <c r="I72">
        <v>-0.10838709000000001</v>
      </c>
      <c r="J72">
        <v>42.84983632000295</v>
      </c>
      <c r="K72">
        <v>0</v>
      </c>
      <c r="L72">
        <v>4.051990917785762</v>
      </c>
      <c r="M72">
        <v>5.1239153771523451</v>
      </c>
      <c r="N72">
        <v>0.3610627739699882</v>
      </c>
      <c r="O72">
        <v>0.45657928095087619</v>
      </c>
      <c r="P72">
        <v>3.6909281438157731</v>
      </c>
      <c r="Q72">
        <v>4.6673360962014687</v>
      </c>
      <c r="R72">
        <v>0</v>
      </c>
      <c r="S72">
        <v>0</v>
      </c>
      <c r="T72">
        <v>5.7209061118192661</v>
      </c>
      <c r="U72">
        <v>7.2343298374454648</v>
      </c>
      <c r="V72">
        <v>-1.4507518504731301E-2</v>
      </c>
      <c r="W72">
        <v>-1.83453760531468E-2</v>
      </c>
      <c r="X72">
        <v>5.7354136303239978</v>
      </c>
      <c r="Y72">
        <v>7.2526752134986117</v>
      </c>
      <c r="Z72">
        <v>0</v>
      </c>
      <c r="AA72">
        <v>0</v>
      </c>
      <c r="AB72">
        <v>590.81421763174001</v>
      </c>
      <c r="AC72">
        <v>747.10978286638999</v>
      </c>
      <c r="AD72" s="19">
        <f t="shared" si="27"/>
        <v>73.014269777638006</v>
      </c>
      <c r="AE72" s="19">
        <f t="shared" si="28"/>
        <v>73.014269777638006</v>
      </c>
      <c r="AF72">
        <f t="shared" si="29"/>
        <v>0.4146151244110185</v>
      </c>
      <c r="AG72">
        <f t="shared" si="48"/>
        <v>0.4146151244110185</v>
      </c>
      <c r="AH72">
        <f t="shared" si="30"/>
        <v>0.4146151244110185</v>
      </c>
      <c r="AI72">
        <f t="shared" si="49"/>
        <v>0.4146151244110185</v>
      </c>
      <c r="AJ72">
        <f t="shared" si="31"/>
        <v>0.37766980790187893</v>
      </c>
      <c r="AK72">
        <f t="shared" si="25"/>
        <v>0.37766980790187893</v>
      </c>
      <c r="AL72">
        <f t="shared" si="32"/>
        <v>3.6945316509139611E-2</v>
      </c>
      <c r="AM72">
        <f t="shared" si="33"/>
        <v>3.6945316509139611E-2</v>
      </c>
      <c r="AN72">
        <f t="shared" si="34"/>
        <v>0</v>
      </c>
      <c r="AO72">
        <f t="shared" si="35"/>
        <v>0</v>
      </c>
      <c r="AP72" s="20">
        <f t="shared" si="36"/>
        <v>0.91089250166254232</v>
      </c>
      <c r="AQ72" s="21">
        <f t="shared" si="37"/>
        <v>8.9107498337457611E-2</v>
      </c>
      <c r="AR72">
        <f t="shared" si="38"/>
        <v>0.58538487558898156</v>
      </c>
      <c r="AS72">
        <f t="shared" si="39"/>
        <v>0.58538487558898156</v>
      </c>
      <c r="AT72">
        <f t="shared" si="40"/>
        <v>-1.4844644797529097E-3</v>
      </c>
      <c r="AU72">
        <f t="shared" si="41"/>
        <v>-1.4844644797529097E-3</v>
      </c>
      <c r="AV72">
        <f t="shared" si="42"/>
        <v>0.58686934006873437</v>
      </c>
      <c r="AW72">
        <f t="shared" si="43"/>
        <v>-2.5358777475405813E-3</v>
      </c>
      <c r="AX72">
        <f t="shared" si="44"/>
        <v>1.0025358777475404</v>
      </c>
      <c r="AY72">
        <f t="shared" si="45"/>
        <v>9.772897029605028E-2</v>
      </c>
      <c r="AZ72">
        <f t="shared" si="46"/>
        <v>0.12358245214597811</v>
      </c>
      <c r="BA72" s="8">
        <f t="shared" si="47"/>
        <v>9.772897029605028E-2</v>
      </c>
    </row>
    <row r="73" spans="1:53" x14ac:dyDescent="0.35">
      <c r="A73" s="7" t="s">
        <v>61</v>
      </c>
      <c r="B73" s="11" t="s">
        <v>67</v>
      </c>
      <c r="C73">
        <f t="shared" si="26"/>
        <v>12.693842633135697</v>
      </c>
      <c r="D73">
        <v>13.597478788559121</v>
      </c>
      <c r="E73">
        <v>0.72138312864748477</v>
      </c>
      <c r="F73">
        <v>12.876095659911639</v>
      </c>
      <c r="G73">
        <v>-0.90363615542342723</v>
      </c>
      <c r="H73">
        <v>3.194495168104325</v>
      </c>
      <c r="I73">
        <v>0.18207469297122711</v>
      </c>
      <c r="J73">
        <v>3.0124204751330979</v>
      </c>
      <c r="K73">
        <v>0</v>
      </c>
      <c r="L73">
        <v>5.1906806204374947</v>
      </c>
      <c r="M73">
        <v>3.0813115073237962</v>
      </c>
      <c r="N73">
        <v>0.2753796850142286</v>
      </c>
      <c r="O73">
        <v>0.1634719325586298</v>
      </c>
      <c r="P73">
        <v>4.9153009354232662</v>
      </c>
      <c r="Q73">
        <v>2.917839574765166</v>
      </c>
      <c r="R73">
        <v>-0.34495267489070008</v>
      </c>
      <c r="S73">
        <v>-0.20477211455426669</v>
      </c>
      <c r="T73">
        <v>1.219461667784475</v>
      </c>
      <c r="U73">
        <v>0.72390145810355577</v>
      </c>
      <c r="V73">
        <v>6.95049130043911E-2</v>
      </c>
      <c r="W73">
        <v>4.1259769944758801E-2</v>
      </c>
      <c r="X73">
        <v>1.149956754780084</v>
      </c>
      <c r="Y73">
        <v>0.68264168815879689</v>
      </c>
      <c r="Z73">
        <v>0</v>
      </c>
      <c r="AA73">
        <v>0</v>
      </c>
      <c r="AB73">
        <v>441.28867711817003</v>
      </c>
      <c r="AC73">
        <v>261.95945739796002</v>
      </c>
      <c r="AD73" s="19">
        <f t="shared" si="27"/>
        <v>16.791973956663448</v>
      </c>
      <c r="AE73" s="19">
        <f t="shared" si="28"/>
        <v>16.791973956663448</v>
      </c>
      <c r="AF73">
        <f t="shared" si="29"/>
        <v>0.80976059298634895</v>
      </c>
      <c r="AG73">
        <f t="shared" si="48"/>
        <v>0.80976059298634895</v>
      </c>
      <c r="AH73">
        <f t="shared" si="30"/>
        <v>0.80976059298634895</v>
      </c>
      <c r="AI73">
        <f t="shared" si="49"/>
        <v>0.80976059298634895</v>
      </c>
      <c r="AJ73">
        <f t="shared" si="31"/>
        <v>0.76680059730572081</v>
      </c>
      <c r="AK73">
        <f t="shared" si="25"/>
        <v>0.76680059730572081</v>
      </c>
      <c r="AL73">
        <f t="shared" si="32"/>
        <v>4.2959995680628311E-2</v>
      </c>
      <c r="AM73">
        <f t="shared" si="33"/>
        <v>4.2959995680628311E-2</v>
      </c>
      <c r="AN73">
        <f t="shared" si="34"/>
        <v>-5.3813575328041957E-2</v>
      </c>
      <c r="AO73">
        <f t="shared" si="35"/>
        <v>-5.3813575328041957E-2</v>
      </c>
      <c r="AP73" s="20">
        <f t="shared" si="36"/>
        <v>0.94694728781232196</v>
      </c>
      <c r="AQ73" s="21">
        <f t="shared" si="37"/>
        <v>5.305271218767809E-2</v>
      </c>
      <c r="AR73">
        <f t="shared" si="38"/>
        <v>0.190239407013651</v>
      </c>
      <c r="AS73">
        <f t="shared" si="39"/>
        <v>0.190239407013651</v>
      </c>
      <c r="AT73">
        <f t="shared" si="40"/>
        <v>1.0842959466297625E-2</v>
      </c>
      <c r="AU73">
        <f t="shared" si="41"/>
        <v>1.0842959466297625E-2</v>
      </c>
      <c r="AV73">
        <f t="shared" si="42"/>
        <v>0.17939644754735337</v>
      </c>
      <c r="AW73">
        <f t="shared" si="43"/>
        <v>5.699639016179002E-2</v>
      </c>
      <c r="AX73">
        <f t="shared" si="44"/>
        <v>0.94300360983820997</v>
      </c>
      <c r="AY73">
        <f t="shared" si="45"/>
        <v>6.4101422882219691E-2</v>
      </c>
      <c r="AZ73">
        <f t="shared" si="46"/>
        <v>3.8052129654273514E-2</v>
      </c>
      <c r="BA73" s="8">
        <f t="shared" si="47"/>
        <v>6.4101422882219691E-2</v>
      </c>
    </row>
    <row r="74" spans="1:53" x14ac:dyDescent="0.35">
      <c r="A74" s="7" t="s">
        <v>62</v>
      </c>
      <c r="B74" s="11" t="s">
        <v>67</v>
      </c>
      <c r="C74">
        <f t="shared" si="26"/>
        <v>3.9294238314498191</v>
      </c>
      <c r="D74">
        <v>3.824337949750285</v>
      </c>
      <c r="E74">
        <v>1.9136139057485111</v>
      </c>
      <c r="F74">
        <v>1.9107240440017741</v>
      </c>
      <c r="G74">
        <v>0.1050858816995338</v>
      </c>
      <c r="H74">
        <v>0.88649371445437386</v>
      </c>
      <c r="I74">
        <v>0.88649371445437386</v>
      </c>
      <c r="J74">
        <v>0</v>
      </c>
      <c r="K74">
        <v>0</v>
      </c>
      <c r="L74">
        <v>1.189879040716451</v>
      </c>
      <c r="M74">
        <v>0.55387529870065522</v>
      </c>
      <c r="N74">
        <v>0.59538908652734979</v>
      </c>
      <c r="O74">
        <v>0.27714691734118102</v>
      </c>
      <c r="P74">
        <v>0.59448995418910144</v>
      </c>
      <c r="Q74">
        <v>0.27672838135947408</v>
      </c>
      <c r="R74">
        <v>3.2695721390848399E-2</v>
      </c>
      <c r="S74">
        <v>1.5219490243886901E-2</v>
      </c>
      <c r="T74">
        <v>0.27581775052725399</v>
      </c>
      <c r="U74">
        <v>0.12839005792407299</v>
      </c>
      <c r="V74">
        <v>0.27581775052725399</v>
      </c>
      <c r="W74">
        <v>0.12839005792407299</v>
      </c>
      <c r="X74">
        <v>0</v>
      </c>
      <c r="Y74">
        <v>0</v>
      </c>
      <c r="Z74">
        <v>0</v>
      </c>
      <c r="AA74">
        <v>0</v>
      </c>
      <c r="AB74">
        <v>690.46912883131995</v>
      </c>
      <c r="AC74">
        <v>321.40560669490998</v>
      </c>
      <c r="AD74" s="19">
        <f t="shared" si="27"/>
        <v>4.710831664204659</v>
      </c>
      <c r="AE74" s="19">
        <f t="shared" si="28"/>
        <v>4.710831664204659</v>
      </c>
      <c r="AF74">
        <f t="shared" si="29"/>
        <v>0.81181800207585153</v>
      </c>
      <c r="AG74">
        <f t="shared" si="48"/>
        <v>0.81181800207585153</v>
      </c>
      <c r="AH74">
        <f t="shared" si="30"/>
        <v>0.81181800207585153</v>
      </c>
      <c r="AI74">
        <f t="shared" si="49"/>
        <v>0.81181800207585153</v>
      </c>
      <c r="AJ74">
        <f t="shared" si="31"/>
        <v>0.40560227581903335</v>
      </c>
      <c r="AK74">
        <f t="shared" si="25"/>
        <v>0.40560227581903335</v>
      </c>
      <c r="AL74">
        <f t="shared" si="32"/>
        <v>0.40621572625681818</v>
      </c>
      <c r="AM74">
        <f t="shared" si="33"/>
        <v>0.40621572625681818</v>
      </c>
      <c r="AN74">
        <f t="shared" si="34"/>
        <v>2.2307288646722573E-2</v>
      </c>
      <c r="AO74">
        <f t="shared" si="35"/>
        <v>2.2307288646722573E-2</v>
      </c>
      <c r="AP74" s="20">
        <f t="shared" si="36"/>
        <v>0.49962217489867417</v>
      </c>
      <c r="AQ74" s="21">
        <f t="shared" si="37"/>
        <v>0.50037782510132578</v>
      </c>
      <c r="AR74">
        <f t="shared" si="38"/>
        <v>0.18818199792414844</v>
      </c>
      <c r="AS74">
        <f t="shared" si="39"/>
        <v>0.18818199792414844</v>
      </c>
      <c r="AT74">
        <f t="shared" si="40"/>
        <v>0.18818199792414844</v>
      </c>
      <c r="AU74">
        <f t="shared" si="41"/>
        <v>0.18818199792414844</v>
      </c>
      <c r="AV74">
        <f t="shared" si="42"/>
        <v>0</v>
      </c>
      <c r="AW74">
        <f t="shared" si="43"/>
        <v>1</v>
      </c>
      <c r="AX74">
        <f t="shared" si="44"/>
        <v>0</v>
      </c>
      <c r="AY74">
        <f t="shared" si="45"/>
        <v>1.4656967912437053E-2</v>
      </c>
      <c r="AZ74">
        <f t="shared" si="46"/>
        <v>6.8226535662472823E-3</v>
      </c>
      <c r="BA74" s="8">
        <f t="shared" si="47"/>
        <v>1.4656967912437053E-2</v>
      </c>
    </row>
    <row r="75" spans="1:53" x14ac:dyDescent="0.35">
      <c r="A75" s="7" t="s">
        <v>63</v>
      </c>
      <c r="B75" s="11" t="s">
        <v>67</v>
      </c>
      <c r="C75">
        <f t="shared" si="26"/>
        <v>0.47734985167435312</v>
      </c>
      <c r="D75">
        <v>7.0499999999999993E-2</v>
      </c>
      <c r="E75">
        <v>0</v>
      </c>
      <c r="F75">
        <v>7.0499999999999993E-2</v>
      </c>
      <c r="G75">
        <v>0.40684985167435311</v>
      </c>
      <c r="H75">
        <v>0</v>
      </c>
      <c r="I75">
        <v>0</v>
      </c>
      <c r="J75">
        <v>0</v>
      </c>
      <c r="K75">
        <v>0</v>
      </c>
      <c r="L75">
        <v>0.1095018154854439</v>
      </c>
      <c r="M75">
        <v>7.7274257091453996E-2</v>
      </c>
      <c r="N75">
        <v>0</v>
      </c>
      <c r="O75">
        <v>0</v>
      </c>
      <c r="P75">
        <v>0.1095018154854439</v>
      </c>
      <c r="Q75">
        <v>7.7274257091453996E-2</v>
      </c>
      <c r="R75">
        <v>0.63192620408972</v>
      </c>
      <c r="S75">
        <v>0.4459435466085665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91.233487908610002</v>
      </c>
      <c r="AC75">
        <v>64.38249419652</v>
      </c>
      <c r="AD75" s="19">
        <f t="shared" si="27"/>
        <v>7.0499999999999993E-2</v>
      </c>
      <c r="AE75" s="19">
        <f t="shared" si="28"/>
        <v>7.0499999999999993E-2</v>
      </c>
      <c r="AF75">
        <f t="shared" si="29"/>
        <v>1</v>
      </c>
      <c r="AG75">
        <f t="shared" si="48"/>
        <v>1</v>
      </c>
      <c r="AH75">
        <f t="shared" si="30"/>
        <v>1</v>
      </c>
      <c r="AI75">
        <f t="shared" si="49"/>
        <v>1</v>
      </c>
      <c r="AJ75">
        <f t="shared" si="31"/>
        <v>1</v>
      </c>
      <c r="AK75">
        <f t="shared" si="25"/>
        <v>1</v>
      </c>
      <c r="AL75">
        <f t="shared" si="32"/>
        <v>0</v>
      </c>
      <c r="AM75">
        <f t="shared" si="33"/>
        <v>0</v>
      </c>
      <c r="AN75">
        <f t="shared" si="34"/>
        <v>5.7709198819057184</v>
      </c>
      <c r="AO75">
        <f t="shared" si="35"/>
        <v>5.7709198819057184</v>
      </c>
      <c r="AP75" s="20">
        <f t="shared" si="36"/>
        <v>1</v>
      </c>
      <c r="AQ75" s="21">
        <f t="shared" si="37"/>
        <v>0</v>
      </c>
      <c r="AR75">
        <f t="shared" si="38"/>
        <v>0</v>
      </c>
      <c r="AS75">
        <f t="shared" si="39"/>
        <v>0</v>
      </c>
      <c r="AT75">
        <f t="shared" si="40"/>
        <v>0</v>
      </c>
      <c r="AU75">
        <f t="shared" si="41"/>
        <v>0</v>
      </c>
      <c r="AV75">
        <f t="shared" si="42"/>
        <v>0</v>
      </c>
      <c r="AW75" t="e">
        <f t="shared" si="43"/>
        <v>#DIV/0!</v>
      </c>
      <c r="AX75" t="e">
        <f t="shared" si="44"/>
        <v>#DIV/0!</v>
      </c>
      <c r="AY75">
        <f t="shared" si="45"/>
        <v>1.0950181548544395E-3</v>
      </c>
      <c r="AZ75">
        <f t="shared" si="46"/>
        <v>7.727425709145411E-4</v>
      </c>
      <c r="BA75" s="8">
        <f t="shared" si="47"/>
        <v>1.0950181548544395E-3</v>
      </c>
    </row>
    <row r="76" spans="1:53" x14ac:dyDescent="0.35">
      <c r="A76" s="7" t="s">
        <v>64</v>
      </c>
      <c r="B76" s="11" t="s">
        <v>67</v>
      </c>
      <c r="C76">
        <f t="shared" si="26"/>
        <v>1.7694150329493319</v>
      </c>
      <c r="D76">
        <v>1.7694150329493319</v>
      </c>
      <c r="E76">
        <v>1.7694150329493319</v>
      </c>
      <c r="F76">
        <v>0</v>
      </c>
      <c r="G76">
        <v>0</v>
      </c>
      <c r="H76">
        <v>6.6270225953158493</v>
      </c>
      <c r="I76">
        <v>0</v>
      </c>
      <c r="J76">
        <v>6.6270225953158493</v>
      </c>
      <c r="K76">
        <v>0</v>
      </c>
      <c r="L76">
        <v>1.2005477809936591</v>
      </c>
      <c r="M76">
        <v>0.57098503498506004</v>
      </c>
      <c r="N76">
        <v>1.2005477809936591</v>
      </c>
      <c r="O76">
        <v>0.57098503498505992</v>
      </c>
      <c r="P76">
        <v>0</v>
      </c>
      <c r="Q76">
        <v>0</v>
      </c>
      <c r="R76">
        <v>0</v>
      </c>
      <c r="S76">
        <v>0</v>
      </c>
      <c r="T76">
        <v>4.4964336366803703</v>
      </c>
      <c r="U76">
        <v>2.1385207302811242</v>
      </c>
      <c r="V76">
        <v>0</v>
      </c>
      <c r="W76">
        <v>0</v>
      </c>
      <c r="X76">
        <v>4.4964336366803703</v>
      </c>
      <c r="Y76">
        <v>2.1385207302811242</v>
      </c>
      <c r="Z76">
        <v>0</v>
      </c>
      <c r="AA76">
        <v>0</v>
      </c>
      <c r="AB76">
        <v>309.88816247970999</v>
      </c>
      <c r="AC76">
        <v>147.38397429586999</v>
      </c>
      <c r="AD76" s="19">
        <f t="shared" si="27"/>
        <v>8.3964376282651809</v>
      </c>
      <c r="AE76" s="19">
        <f t="shared" si="28"/>
        <v>8.3964376282651809</v>
      </c>
      <c r="AF76">
        <f t="shared" si="29"/>
        <v>0.21073401736385164</v>
      </c>
      <c r="AG76">
        <f t="shared" si="48"/>
        <v>0.21073401736385164</v>
      </c>
      <c r="AH76">
        <f t="shared" si="30"/>
        <v>0.21073401736385164</v>
      </c>
      <c r="AI76">
        <f t="shared" si="49"/>
        <v>0.21073401736385164</v>
      </c>
      <c r="AJ76">
        <f t="shared" si="31"/>
        <v>0</v>
      </c>
      <c r="AK76">
        <f t="shared" si="25"/>
        <v>0</v>
      </c>
      <c r="AL76">
        <f t="shared" si="32"/>
        <v>0.21073401736385164</v>
      </c>
      <c r="AM76">
        <f t="shared" si="33"/>
        <v>0.21073401736385164</v>
      </c>
      <c r="AN76">
        <f t="shared" si="34"/>
        <v>0</v>
      </c>
      <c r="AO76">
        <f t="shared" si="35"/>
        <v>0</v>
      </c>
      <c r="AP76" s="20">
        <f t="shared" si="36"/>
        <v>0</v>
      </c>
      <c r="AQ76" s="21">
        <f t="shared" si="37"/>
        <v>1</v>
      </c>
      <c r="AR76">
        <f t="shared" si="38"/>
        <v>0.78926598263614844</v>
      </c>
      <c r="AS76">
        <f t="shared" si="39"/>
        <v>0.78926598263614844</v>
      </c>
      <c r="AT76">
        <f t="shared" si="40"/>
        <v>0</v>
      </c>
      <c r="AU76">
        <f t="shared" si="41"/>
        <v>0</v>
      </c>
      <c r="AV76">
        <f t="shared" si="42"/>
        <v>0.78926598263614844</v>
      </c>
      <c r="AW76">
        <f t="shared" si="43"/>
        <v>0</v>
      </c>
      <c r="AX76">
        <f t="shared" si="44"/>
        <v>1</v>
      </c>
      <c r="AY76">
        <f t="shared" si="45"/>
        <v>5.696981417674029E-2</v>
      </c>
      <c r="AZ76">
        <f t="shared" si="46"/>
        <v>2.7095057652661837E-2</v>
      </c>
      <c r="BA76" s="8">
        <f t="shared" si="47"/>
        <v>5.696981417674029E-2</v>
      </c>
    </row>
    <row r="77" spans="1:53" x14ac:dyDescent="0.35">
      <c r="A77" s="7" t="s">
        <v>65</v>
      </c>
      <c r="B77" s="11" t="s">
        <v>67</v>
      </c>
      <c r="C77">
        <f t="shared" si="26"/>
        <v>26.050977899376022</v>
      </c>
      <c r="D77">
        <v>26.050977899376029</v>
      </c>
      <c r="E77">
        <v>-5.7942536941247962</v>
      </c>
      <c r="F77">
        <v>31.84523159350082</v>
      </c>
      <c r="G77">
        <v>0</v>
      </c>
      <c r="H77">
        <v>2.2029678393841219</v>
      </c>
      <c r="I77">
        <v>0</v>
      </c>
      <c r="J77">
        <v>2.2029678393841219</v>
      </c>
      <c r="K77">
        <v>9.8869334416288517</v>
      </c>
      <c r="L77">
        <v>4.5583264760584807</v>
      </c>
      <c r="M77">
        <v>2.1433674290645</v>
      </c>
      <c r="N77">
        <v>-1.013862133120206</v>
      </c>
      <c r="O77">
        <v>-0.4767273878045557</v>
      </c>
      <c r="P77">
        <v>5.5721886091786867</v>
      </c>
      <c r="Q77">
        <v>2.620094816869055</v>
      </c>
      <c r="R77">
        <v>0</v>
      </c>
      <c r="S77">
        <v>0</v>
      </c>
      <c r="T77">
        <v>0.38546908553519321</v>
      </c>
      <c r="U77">
        <v>0.1812511427575092</v>
      </c>
      <c r="V77">
        <v>0</v>
      </c>
      <c r="W77">
        <v>0</v>
      </c>
      <c r="X77">
        <v>0.38546908553519321</v>
      </c>
      <c r="Y77">
        <v>0.1812511427575092</v>
      </c>
      <c r="Z77">
        <v>1.7299876668001879</v>
      </c>
      <c r="AA77">
        <v>0.81345626233184243</v>
      </c>
      <c r="AB77">
        <v>1215.4228689920101</v>
      </c>
      <c r="AC77">
        <v>571.50311712429004</v>
      </c>
      <c r="AD77" s="19">
        <f t="shared" si="27"/>
        <v>28.253945738760152</v>
      </c>
      <c r="AE77" s="19">
        <f t="shared" si="28"/>
        <v>28.253945738760152</v>
      </c>
      <c r="AF77">
        <f t="shared" si="29"/>
        <v>0.92202972782091874</v>
      </c>
      <c r="AG77">
        <f t="shared" si="48"/>
        <v>0.92202972782091874</v>
      </c>
      <c r="AH77">
        <f t="shared" si="30"/>
        <v>0.92202972782091874</v>
      </c>
      <c r="AI77">
        <f t="shared" si="49"/>
        <v>0.92202972782091874</v>
      </c>
      <c r="AJ77">
        <f t="shared" si="31"/>
        <v>1.1271074096321338</v>
      </c>
      <c r="AK77">
        <f t="shared" si="25"/>
        <v>1.1271074096321338</v>
      </c>
      <c r="AL77">
        <f t="shared" si="32"/>
        <v>-0.20507768181121527</v>
      </c>
      <c r="AM77">
        <f t="shared" si="33"/>
        <v>-0.20507768181121527</v>
      </c>
      <c r="AN77">
        <f t="shared" si="34"/>
        <v>0</v>
      </c>
      <c r="AO77">
        <f t="shared" si="35"/>
        <v>0</v>
      </c>
      <c r="AP77" s="20">
        <f t="shared" si="36"/>
        <v>1.2224198153522514</v>
      </c>
      <c r="AQ77" s="21">
        <f t="shared" si="37"/>
        <v>-0.2224198153522513</v>
      </c>
      <c r="AR77">
        <f t="shared" si="38"/>
        <v>7.7970272179081257E-2</v>
      </c>
      <c r="AS77">
        <f t="shared" si="39"/>
        <v>7.7970272179081257E-2</v>
      </c>
      <c r="AT77">
        <f t="shared" si="40"/>
        <v>0</v>
      </c>
      <c r="AU77">
        <f t="shared" si="41"/>
        <v>0</v>
      </c>
      <c r="AV77">
        <f t="shared" si="42"/>
        <v>7.7970272179081257E-2</v>
      </c>
      <c r="AW77">
        <f t="shared" si="43"/>
        <v>0</v>
      </c>
      <c r="AX77">
        <f t="shared" si="44"/>
        <v>1</v>
      </c>
      <c r="AY77">
        <f t="shared" si="45"/>
        <v>4.9437955615936745E-2</v>
      </c>
      <c r="AZ77">
        <f t="shared" si="46"/>
        <v>2.324618571822009E-2</v>
      </c>
      <c r="BA77" s="8">
        <f t="shared" si="47"/>
        <v>4.9437955615936745E-2</v>
      </c>
    </row>
    <row r="78" spans="1:53" x14ac:dyDescent="0.35">
      <c r="A78" s="7" t="s">
        <v>28</v>
      </c>
      <c r="B78" s="11" t="s">
        <v>68</v>
      </c>
      <c r="C78">
        <f t="shared" si="26"/>
        <v>46.16341804345641</v>
      </c>
      <c r="D78">
        <v>46.163418043456417</v>
      </c>
      <c r="E78">
        <v>3.337102314023733</v>
      </c>
      <c r="F78">
        <v>42.826315729432679</v>
      </c>
      <c r="G78">
        <v>0</v>
      </c>
      <c r="H78">
        <v>1.1942170290034011</v>
      </c>
      <c r="I78">
        <v>0.5118072981443138</v>
      </c>
      <c r="J78">
        <v>0.68240973085908685</v>
      </c>
      <c r="K78">
        <v>0</v>
      </c>
      <c r="L78">
        <v>3.0883222221251301</v>
      </c>
      <c r="M78">
        <v>3.7637852817975812</v>
      </c>
      <c r="N78">
        <v>0.2232513897520107</v>
      </c>
      <c r="O78">
        <v>0.2720798655236395</v>
      </c>
      <c r="P78">
        <v>2.86507083237312</v>
      </c>
      <c r="Q78">
        <v>3.4917054162739412</v>
      </c>
      <c r="R78">
        <v>0</v>
      </c>
      <c r="S78">
        <v>0</v>
      </c>
      <c r="T78">
        <v>7.9892849035562999E-2</v>
      </c>
      <c r="U78">
        <v>9.7366630711873001E-2</v>
      </c>
      <c r="V78">
        <v>3.42397924438127E-2</v>
      </c>
      <c r="W78">
        <v>4.1728556019374002E-2</v>
      </c>
      <c r="X78">
        <v>4.5653056591750403E-2</v>
      </c>
      <c r="Y78">
        <v>5.5638074692498901E-2</v>
      </c>
      <c r="Z78">
        <v>0</v>
      </c>
      <c r="AA78">
        <v>0</v>
      </c>
      <c r="AB78">
        <v>1226.51571721458</v>
      </c>
      <c r="AC78">
        <v>1494.77336635199</v>
      </c>
      <c r="AD78" s="19">
        <f t="shared" si="27"/>
        <v>47.357635072459821</v>
      </c>
      <c r="AE78" s="19">
        <f t="shared" si="28"/>
        <v>47.357635072459821</v>
      </c>
      <c r="AF78">
        <f t="shared" si="29"/>
        <v>0.97478300959969422</v>
      </c>
      <c r="AG78">
        <f t="shared" si="48"/>
        <v>0.97478300959969422</v>
      </c>
      <c r="AH78">
        <f t="shared" si="30"/>
        <v>0.97478300959969422</v>
      </c>
      <c r="AI78">
        <f t="shared" si="49"/>
        <v>0.97478300959969422</v>
      </c>
      <c r="AJ78">
        <f t="shared" si="31"/>
        <v>0.90431702647114931</v>
      </c>
      <c r="AK78">
        <f t="shared" si="25"/>
        <v>0.90431702647114931</v>
      </c>
      <c r="AL78">
        <f t="shared" si="32"/>
        <v>7.0465983128544754E-2</v>
      </c>
      <c r="AM78">
        <f t="shared" si="33"/>
        <v>7.0465983128544754E-2</v>
      </c>
      <c r="AN78">
        <f t="shared" si="34"/>
        <v>0</v>
      </c>
      <c r="AO78">
        <f t="shared" si="35"/>
        <v>0</v>
      </c>
      <c r="AP78" s="20">
        <f t="shared" si="36"/>
        <v>0.92771110859073924</v>
      </c>
      <c r="AQ78" s="21">
        <f t="shared" si="37"/>
        <v>7.2288891409260828E-2</v>
      </c>
      <c r="AR78">
        <f t="shared" si="38"/>
        <v>2.5216990400305728E-2</v>
      </c>
      <c r="AS78">
        <f t="shared" si="39"/>
        <v>2.5216990400305728E-2</v>
      </c>
      <c r="AT78">
        <f t="shared" si="40"/>
        <v>1.0807281600131006E-2</v>
      </c>
      <c r="AU78">
        <f t="shared" si="41"/>
        <v>1.0807281600131006E-2</v>
      </c>
      <c r="AV78">
        <f t="shared" si="42"/>
        <v>1.4409708800174711E-2</v>
      </c>
      <c r="AW78">
        <f t="shared" si="43"/>
        <v>0.42857142857142777</v>
      </c>
      <c r="AX78">
        <f t="shared" si="44"/>
        <v>0.57142857142857184</v>
      </c>
      <c r="AY78">
        <f t="shared" si="45"/>
        <v>3.1682150711606953E-2</v>
      </c>
      <c r="AZ78">
        <f t="shared" si="46"/>
        <v>3.8611519125094557E-2</v>
      </c>
      <c r="BA78" s="8">
        <f t="shared" si="47"/>
        <v>3.1682150711606953E-2</v>
      </c>
    </row>
    <row r="79" spans="1:53" x14ac:dyDescent="0.35">
      <c r="A79" s="7" t="s">
        <v>29</v>
      </c>
      <c r="B79" s="11" t="s">
        <v>68</v>
      </c>
      <c r="C79">
        <f t="shared" si="26"/>
        <v>115.13396651601344</v>
      </c>
      <c r="D79">
        <v>113.24279834523109</v>
      </c>
      <c r="E79">
        <v>11.814177619868021</v>
      </c>
      <c r="F79">
        <v>101.4286207253631</v>
      </c>
      <c r="G79">
        <v>1.891168170782322</v>
      </c>
      <c r="H79">
        <v>17.661004631055771</v>
      </c>
      <c r="I79">
        <v>0.25966520513249008</v>
      </c>
      <c r="J79">
        <v>17.401339425923279</v>
      </c>
      <c r="K79">
        <v>0</v>
      </c>
      <c r="L79">
        <v>6.6746704355389079</v>
      </c>
      <c r="M79">
        <v>6.570558560398025</v>
      </c>
      <c r="N79">
        <v>0.69634222424581427</v>
      </c>
      <c r="O79">
        <v>0.6854806400812995</v>
      </c>
      <c r="P79">
        <v>5.9783282112930944</v>
      </c>
      <c r="Q79">
        <v>5.8850779203167258</v>
      </c>
      <c r="R79">
        <v>0.1114677883503971</v>
      </c>
      <c r="S79">
        <v>0.10972910768068581</v>
      </c>
      <c r="T79">
        <v>1.040961431502702</v>
      </c>
      <c r="U79">
        <v>1.02472445806263</v>
      </c>
      <c r="V79">
        <v>1.5304987983008099E-2</v>
      </c>
      <c r="W79">
        <v>1.50662599419298E-2</v>
      </c>
      <c r="X79">
        <v>1.025656443519694</v>
      </c>
      <c r="Y79">
        <v>1.0096581981207</v>
      </c>
      <c r="Z79">
        <v>0</v>
      </c>
      <c r="AA79">
        <v>0</v>
      </c>
      <c r="AB79">
        <v>1723.48815255626</v>
      </c>
      <c r="AC79">
        <v>1696.60508992738</v>
      </c>
      <c r="AD79" s="19">
        <f t="shared" si="27"/>
        <v>130.90380297628687</v>
      </c>
      <c r="AE79" s="19">
        <f t="shared" si="28"/>
        <v>130.90380297628687</v>
      </c>
      <c r="AF79">
        <f t="shared" si="29"/>
        <v>0.86508409817356446</v>
      </c>
      <c r="AG79">
        <f t="shared" si="48"/>
        <v>0.86508409817356446</v>
      </c>
      <c r="AH79">
        <f t="shared" si="30"/>
        <v>0.86508409817356446</v>
      </c>
      <c r="AI79">
        <f t="shared" si="49"/>
        <v>0.86508409817356446</v>
      </c>
      <c r="AJ79">
        <f t="shared" si="31"/>
        <v>0.77483326243575079</v>
      </c>
      <c r="AK79">
        <f t="shared" si="25"/>
        <v>0.77483326243575079</v>
      </c>
      <c r="AL79">
        <f t="shared" si="32"/>
        <v>9.0250835737813909E-2</v>
      </c>
      <c r="AM79">
        <f t="shared" si="33"/>
        <v>9.0250835737813909E-2</v>
      </c>
      <c r="AN79">
        <f t="shared" si="34"/>
        <v>1.4447007098219337E-2</v>
      </c>
      <c r="AO79">
        <f t="shared" si="35"/>
        <v>1.4447007098219337E-2</v>
      </c>
      <c r="AP79" s="20">
        <f t="shared" si="36"/>
        <v>0.89567391664190943</v>
      </c>
      <c r="AQ79" s="21">
        <f t="shared" si="37"/>
        <v>0.10432608335809057</v>
      </c>
      <c r="AR79">
        <f t="shared" si="38"/>
        <v>0.13491590182643548</v>
      </c>
      <c r="AS79">
        <f t="shared" si="39"/>
        <v>0.13491590182643548</v>
      </c>
      <c r="AT79">
        <f t="shared" si="40"/>
        <v>1.9836337770838351E-3</v>
      </c>
      <c r="AU79">
        <f t="shared" si="41"/>
        <v>1.9836337770838351E-3</v>
      </c>
      <c r="AV79">
        <f t="shared" si="42"/>
        <v>0.13293226804935163</v>
      </c>
      <c r="AW79">
        <f t="shared" si="43"/>
        <v>1.4702742599131936E-2</v>
      </c>
      <c r="AX79">
        <f t="shared" si="44"/>
        <v>0.98529725740086793</v>
      </c>
      <c r="AY79">
        <f t="shared" si="45"/>
        <v>7.7156318670416085E-2</v>
      </c>
      <c r="AZ79">
        <f t="shared" si="46"/>
        <v>7.5952830184606537E-2</v>
      </c>
      <c r="BA79" s="8">
        <f t="shared" si="47"/>
        <v>7.7156318670416085E-2</v>
      </c>
    </row>
    <row r="80" spans="1:53" x14ac:dyDescent="0.35">
      <c r="A80" s="7" t="s">
        <v>30</v>
      </c>
      <c r="B80" s="11" t="s">
        <v>68</v>
      </c>
      <c r="C80">
        <f t="shared" si="26"/>
        <v>74.838412675886758</v>
      </c>
      <c r="D80">
        <v>70.901973614972704</v>
      </c>
      <c r="E80">
        <v>7.2616030042740149</v>
      </c>
      <c r="F80">
        <v>63.640370610698689</v>
      </c>
      <c r="G80">
        <v>3.9364390609140609</v>
      </c>
      <c r="H80">
        <v>21.5156707802334</v>
      </c>
      <c r="I80">
        <v>1.056915872570517</v>
      </c>
      <c r="J80">
        <v>20.458754907662861</v>
      </c>
      <c r="K80">
        <v>0</v>
      </c>
      <c r="L80">
        <v>2.709478573720514</v>
      </c>
      <c r="M80">
        <v>2.4389326619495169</v>
      </c>
      <c r="N80">
        <v>0.27749802646946448</v>
      </c>
      <c r="O80">
        <v>0.2497893900868029</v>
      </c>
      <c r="P80">
        <v>2.4319805472510501</v>
      </c>
      <c r="Q80">
        <v>2.1891432718627142</v>
      </c>
      <c r="R80">
        <v>0.15042877861513879</v>
      </c>
      <c r="S80">
        <v>0.13540821655505689</v>
      </c>
      <c r="T80">
        <v>0.82220911500771621</v>
      </c>
      <c r="U80">
        <v>0.7401101765463789</v>
      </c>
      <c r="V80">
        <v>4.0389438614303899E-2</v>
      </c>
      <c r="W80">
        <v>3.6356486443428898E-2</v>
      </c>
      <c r="X80">
        <v>0.7818196763934111</v>
      </c>
      <c r="Y80">
        <v>0.70375369010294975</v>
      </c>
      <c r="Z80">
        <v>0</v>
      </c>
      <c r="AA80">
        <v>0</v>
      </c>
      <c r="AB80">
        <v>2907.0902498102801</v>
      </c>
      <c r="AC80">
        <v>2616.8124857180101</v>
      </c>
      <c r="AD80" s="19">
        <f t="shared" si="27"/>
        <v>92.417644395206111</v>
      </c>
      <c r="AE80" s="19">
        <f t="shared" si="28"/>
        <v>92.417644395206111</v>
      </c>
      <c r="AF80">
        <f t="shared" si="29"/>
        <v>0.76719087657952179</v>
      </c>
      <c r="AG80">
        <f t="shared" si="48"/>
        <v>0.76719087657952179</v>
      </c>
      <c r="AH80">
        <f t="shared" si="30"/>
        <v>0.76719087657952179</v>
      </c>
      <c r="AI80">
        <f t="shared" si="49"/>
        <v>0.76719087657952179</v>
      </c>
      <c r="AJ80">
        <f t="shared" si="31"/>
        <v>0.68861710366207785</v>
      </c>
      <c r="AK80">
        <f t="shared" si="25"/>
        <v>0.68861710366207785</v>
      </c>
      <c r="AL80">
        <f t="shared" si="32"/>
        <v>7.8573772917443982E-2</v>
      </c>
      <c r="AM80">
        <f t="shared" si="33"/>
        <v>7.8573772917443982E-2</v>
      </c>
      <c r="AN80">
        <f t="shared" si="34"/>
        <v>4.2594020727044761E-2</v>
      </c>
      <c r="AO80">
        <f t="shared" si="35"/>
        <v>4.2594020727044761E-2</v>
      </c>
      <c r="AP80" s="20">
        <f t="shared" si="36"/>
        <v>0.89758249828548431</v>
      </c>
      <c r="AQ80" s="21">
        <f t="shared" si="37"/>
        <v>0.10241750171451572</v>
      </c>
      <c r="AR80">
        <f t="shared" si="38"/>
        <v>0.23280912342047816</v>
      </c>
      <c r="AS80">
        <f t="shared" si="39"/>
        <v>0.23280912342047816</v>
      </c>
      <c r="AT80">
        <f t="shared" si="40"/>
        <v>1.1436299631819455E-2</v>
      </c>
      <c r="AU80">
        <f t="shared" si="41"/>
        <v>1.1436299631819455E-2</v>
      </c>
      <c r="AV80">
        <f t="shared" si="42"/>
        <v>0.22137282378865847</v>
      </c>
      <c r="AW80">
        <f t="shared" si="43"/>
        <v>4.9123073287657533E-2</v>
      </c>
      <c r="AX80">
        <f t="shared" si="44"/>
        <v>0.95087692671234147</v>
      </c>
      <c r="AY80">
        <f t="shared" si="45"/>
        <v>3.5316876887282293E-2</v>
      </c>
      <c r="AZ80">
        <f t="shared" si="46"/>
        <v>3.1790428384958942E-2</v>
      </c>
      <c r="BA80" s="8">
        <f t="shared" si="47"/>
        <v>3.5316876887282293E-2</v>
      </c>
    </row>
    <row r="81" spans="1:53" x14ac:dyDescent="0.35">
      <c r="A81" s="7" t="s">
        <v>31</v>
      </c>
      <c r="B81" s="11" t="s">
        <v>68</v>
      </c>
      <c r="C81">
        <f t="shared" si="26"/>
        <v>-16.708403646733561</v>
      </c>
      <c r="D81">
        <v>-16.70840364673353</v>
      </c>
      <c r="E81">
        <v>1.1575745271012181</v>
      </c>
      <c r="F81">
        <v>-17.86597817383478</v>
      </c>
      <c r="G81">
        <v>0</v>
      </c>
      <c r="H81">
        <v>51.335913810575683</v>
      </c>
      <c r="I81">
        <v>10.065865453054069</v>
      </c>
      <c r="J81">
        <v>41.270048357521659</v>
      </c>
      <c r="K81">
        <v>0</v>
      </c>
      <c r="L81">
        <v>-0.46446843798251258</v>
      </c>
      <c r="M81">
        <v>-0.4014720796169966</v>
      </c>
      <c r="N81">
        <v>3.2178827123089997E-2</v>
      </c>
      <c r="O81">
        <v>2.7814377874324499E-2</v>
      </c>
      <c r="P81">
        <v>-0.49664726510560259</v>
      </c>
      <c r="Q81">
        <v>-0.42928645749132061</v>
      </c>
      <c r="R81">
        <v>0</v>
      </c>
      <c r="S81">
        <v>0</v>
      </c>
      <c r="T81">
        <v>1.42706102893704</v>
      </c>
      <c r="U81">
        <v>1.2335071926874259</v>
      </c>
      <c r="V81">
        <v>0.2798158880268708</v>
      </c>
      <c r="W81">
        <v>0.24186415542890849</v>
      </c>
      <c r="X81">
        <v>1.1472451409101689</v>
      </c>
      <c r="Y81">
        <v>0.99164303725851966</v>
      </c>
      <c r="Z81">
        <v>0</v>
      </c>
      <c r="AA81">
        <v>0</v>
      </c>
      <c r="AB81">
        <v>4161.7847155581303</v>
      </c>
      <c r="AC81">
        <v>3597.3173374942398</v>
      </c>
      <c r="AD81" s="19">
        <f t="shared" si="27"/>
        <v>34.627510163842153</v>
      </c>
      <c r="AE81" s="19">
        <f t="shared" si="28"/>
        <v>34.627510163842153</v>
      </c>
      <c r="AF81">
        <f t="shared" si="29"/>
        <v>-0.48251819341548696</v>
      </c>
      <c r="AG81">
        <f t="shared" si="48"/>
        <v>-0.48251819341548696</v>
      </c>
      <c r="AH81">
        <f t="shared" si="30"/>
        <v>-0.48251819341548696</v>
      </c>
      <c r="AI81">
        <f t="shared" si="49"/>
        <v>-0.48251819341548696</v>
      </c>
      <c r="AJ81">
        <f t="shared" si="31"/>
        <v>-0.51594752522779797</v>
      </c>
      <c r="AK81">
        <f t="shared" si="25"/>
        <v>-0.51594752522779797</v>
      </c>
      <c r="AL81">
        <f t="shared" si="32"/>
        <v>3.3429331812310052E-2</v>
      </c>
      <c r="AM81">
        <f t="shared" si="33"/>
        <v>3.3429331812310052E-2</v>
      </c>
      <c r="AN81">
        <f t="shared" si="34"/>
        <v>0</v>
      </c>
      <c r="AO81">
        <f t="shared" si="35"/>
        <v>0</v>
      </c>
      <c r="AP81" s="20">
        <f t="shared" si="36"/>
        <v>1.0692809769009572</v>
      </c>
      <c r="AQ81" s="21">
        <f t="shared" si="37"/>
        <v>-6.92809769009574E-2</v>
      </c>
      <c r="AR81">
        <f t="shared" si="38"/>
        <v>1.482518193415487</v>
      </c>
      <c r="AS81">
        <f t="shared" si="39"/>
        <v>1.482518193415487</v>
      </c>
      <c r="AT81">
        <f t="shared" si="40"/>
        <v>0.2906898418461743</v>
      </c>
      <c r="AU81">
        <f t="shared" si="41"/>
        <v>0.2906898418461743</v>
      </c>
      <c r="AV81">
        <f t="shared" si="42"/>
        <v>1.191828351569314</v>
      </c>
      <c r="AW81">
        <f t="shared" si="43"/>
        <v>0.19607843137254929</v>
      </c>
      <c r="AX81">
        <f t="shared" si="44"/>
        <v>0.80392156862745157</v>
      </c>
      <c r="AY81">
        <f t="shared" si="45"/>
        <v>9.6259259095452538E-3</v>
      </c>
      <c r="AZ81">
        <f t="shared" si="46"/>
        <v>8.3203511307043451E-3</v>
      </c>
      <c r="BA81" s="8">
        <f t="shared" si="47"/>
        <v>9.6259259095452538E-3</v>
      </c>
    </row>
    <row r="82" spans="1:53" x14ac:dyDescent="0.35">
      <c r="A82" s="7" t="s">
        <v>32</v>
      </c>
      <c r="B82" s="11" t="s">
        <v>68</v>
      </c>
      <c r="C82">
        <f t="shared" si="26"/>
        <v>31.699453232745938</v>
      </c>
      <c r="D82">
        <v>31.347147941889091</v>
      </c>
      <c r="E82">
        <v>0.32714062722420761</v>
      </c>
      <c r="F82">
        <v>31.020007314664891</v>
      </c>
      <c r="G82">
        <v>0.35230529085683848</v>
      </c>
      <c r="H82">
        <v>26.783472160680049</v>
      </c>
      <c r="I82">
        <v>0.1089287100907681</v>
      </c>
      <c r="J82">
        <v>26.67454345058934</v>
      </c>
      <c r="K82">
        <v>0</v>
      </c>
      <c r="L82">
        <v>1.634232122419994</v>
      </c>
      <c r="M82">
        <v>1.3409627752186619</v>
      </c>
      <c r="N82">
        <v>1.7054939816199599E-2</v>
      </c>
      <c r="O82">
        <v>1.3994364150211399E-2</v>
      </c>
      <c r="P82">
        <v>1.6171771826037951</v>
      </c>
      <c r="Q82">
        <v>1.3269684110684501</v>
      </c>
      <c r="R82">
        <v>1.83668582635995E-2</v>
      </c>
      <c r="S82">
        <v>1.5070853700227701E-2</v>
      </c>
      <c r="T82">
        <v>1.3963123738104031</v>
      </c>
      <c r="U82">
        <v>1.145738656197917</v>
      </c>
      <c r="V82">
        <v>5.6788195664278004E-3</v>
      </c>
      <c r="W82">
        <v>4.6597331806736003E-3</v>
      </c>
      <c r="X82">
        <v>1.3906335542439729</v>
      </c>
      <c r="Y82">
        <v>1.1410789230172469</v>
      </c>
      <c r="Z82">
        <v>0</v>
      </c>
      <c r="AA82">
        <v>0</v>
      </c>
      <c r="AB82">
        <v>2337.6598158571201</v>
      </c>
      <c r="AC82">
        <v>1918.15761738117</v>
      </c>
      <c r="AD82" s="19">
        <f t="shared" si="27"/>
        <v>58.130620102569139</v>
      </c>
      <c r="AE82" s="19">
        <f t="shared" si="28"/>
        <v>58.130620102569139</v>
      </c>
      <c r="AF82">
        <f t="shared" si="29"/>
        <v>0.53925363064385534</v>
      </c>
      <c r="AG82">
        <f t="shared" si="48"/>
        <v>0.53925363064385534</v>
      </c>
      <c r="AH82">
        <f t="shared" si="30"/>
        <v>0.53925363064385534</v>
      </c>
      <c r="AI82">
        <f t="shared" si="49"/>
        <v>0.53925363064385534</v>
      </c>
      <c r="AJ82">
        <f t="shared" si="31"/>
        <v>0.53362594893932558</v>
      </c>
      <c r="AK82">
        <f t="shared" si="25"/>
        <v>0.53362594893932558</v>
      </c>
      <c r="AL82">
        <f t="shared" si="32"/>
        <v>5.6276817045299212E-3</v>
      </c>
      <c r="AM82">
        <f t="shared" si="33"/>
        <v>5.6276817045299212E-3</v>
      </c>
      <c r="AN82">
        <f t="shared" si="34"/>
        <v>6.0605802971860608E-3</v>
      </c>
      <c r="AO82">
        <f t="shared" si="35"/>
        <v>6.0605802971860608E-3</v>
      </c>
      <c r="AP82" s="20">
        <f t="shared" si="36"/>
        <v>0.98956394285596072</v>
      </c>
      <c r="AQ82" s="21">
        <f t="shared" si="37"/>
        <v>1.0436057144039272E-2</v>
      </c>
      <c r="AR82">
        <f t="shared" si="38"/>
        <v>0.46074636935614466</v>
      </c>
      <c r="AS82">
        <f t="shared" si="39"/>
        <v>0.46074636935614466</v>
      </c>
      <c r="AT82">
        <f t="shared" si="40"/>
        <v>1.873861140627225E-3</v>
      </c>
      <c r="AU82">
        <f t="shared" si="41"/>
        <v>1.873861140627225E-3</v>
      </c>
      <c r="AV82">
        <f t="shared" si="42"/>
        <v>0.45887250821551845</v>
      </c>
      <c r="AW82">
        <f t="shared" si="43"/>
        <v>4.0670122767235096E-3</v>
      </c>
      <c r="AX82">
        <f t="shared" si="44"/>
        <v>0.99593298772327876</v>
      </c>
      <c r="AY82">
        <f t="shared" si="45"/>
        <v>3.0305444962303956E-2</v>
      </c>
      <c r="AZ82">
        <f t="shared" si="46"/>
        <v>2.4867014314165777E-2</v>
      </c>
      <c r="BA82" s="8">
        <f t="shared" si="47"/>
        <v>3.0305444962303956E-2</v>
      </c>
    </row>
    <row r="83" spans="1:53" x14ac:dyDescent="0.35">
      <c r="A83" s="7" t="s">
        <v>33</v>
      </c>
      <c r="B83" s="11" t="s">
        <v>68</v>
      </c>
      <c r="C83">
        <f t="shared" si="26"/>
        <v>2.8537190989904531</v>
      </c>
      <c r="D83">
        <v>3.981017193766661</v>
      </c>
      <c r="E83">
        <v>9.1514411801517923</v>
      </c>
      <c r="F83">
        <v>-5.170423986385174</v>
      </c>
      <c r="G83">
        <v>-1.127298094776165</v>
      </c>
      <c r="H83">
        <v>-0.68071461876866124</v>
      </c>
      <c r="I83">
        <v>0</v>
      </c>
      <c r="J83">
        <v>-0.68071461876866124</v>
      </c>
      <c r="K83">
        <v>-4.7259804742539018</v>
      </c>
      <c r="L83">
        <v>8.7220138981422196E-2</v>
      </c>
      <c r="M83">
        <v>7.4762960982461296E-2</v>
      </c>
      <c r="N83">
        <v>0.20049900132632581</v>
      </c>
      <c r="O83">
        <v>0.17186281962214989</v>
      </c>
      <c r="P83">
        <v>-0.1132788623449041</v>
      </c>
      <c r="Q83">
        <v>-9.7099858639687397E-2</v>
      </c>
      <c r="R83">
        <v>-2.4697983383197699E-2</v>
      </c>
      <c r="S83">
        <v>-2.1170504766298601E-2</v>
      </c>
      <c r="T83">
        <v>-1.4913782273698601E-2</v>
      </c>
      <c r="U83">
        <v>-1.2783727878110799E-2</v>
      </c>
      <c r="V83">
        <v>0</v>
      </c>
      <c r="W83">
        <v>0</v>
      </c>
      <c r="X83">
        <v>-1.4913782273698601E-2</v>
      </c>
      <c r="Y83">
        <v>-1.2783727878110799E-2</v>
      </c>
      <c r="Z83">
        <v>-0.103541545721864</v>
      </c>
      <c r="AA83">
        <v>-8.8753269981790298E-2</v>
      </c>
      <c r="AB83">
        <v>5324.8522282316499</v>
      </c>
      <c r="AC83">
        <v>4564.3325500944502</v>
      </c>
      <c r="AD83" s="19">
        <f t="shared" si="27"/>
        <v>3.3003025749979997</v>
      </c>
      <c r="AE83" s="19">
        <f t="shared" si="28"/>
        <v>3.3003025749979997</v>
      </c>
      <c r="AF83">
        <f t="shared" si="29"/>
        <v>1.2062582455092239</v>
      </c>
      <c r="AG83">
        <f t="shared" si="48"/>
        <v>1.2062582455092239</v>
      </c>
      <c r="AH83">
        <f t="shared" si="30"/>
        <v>1.2062582455092239</v>
      </c>
      <c r="AI83">
        <f t="shared" si="49"/>
        <v>1.2062582455092239</v>
      </c>
      <c r="AJ83">
        <f t="shared" si="31"/>
        <v>-1.5666515020636578</v>
      </c>
      <c r="AK83">
        <f t="shared" si="25"/>
        <v>-1.5666515020636578</v>
      </c>
      <c r="AL83">
        <f t="shared" si="32"/>
        <v>2.7729097475728688</v>
      </c>
      <c r="AM83">
        <f t="shared" si="33"/>
        <v>2.7729097475728688</v>
      </c>
      <c r="AN83">
        <f t="shared" si="34"/>
        <v>-0.34157416453757977</v>
      </c>
      <c r="AO83">
        <f t="shared" si="35"/>
        <v>-0.34157416453757977</v>
      </c>
      <c r="AP83" s="20">
        <f t="shared" si="36"/>
        <v>-1.2987695693655632</v>
      </c>
      <c r="AQ83" s="21">
        <f t="shared" si="37"/>
        <v>2.2987695693655388</v>
      </c>
      <c r="AR83">
        <f t="shared" si="38"/>
        <v>-0.20625824550922389</v>
      </c>
      <c r="AS83">
        <f t="shared" si="39"/>
        <v>-0.20625824550922389</v>
      </c>
      <c r="AT83">
        <f t="shared" si="40"/>
        <v>0</v>
      </c>
      <c r="AU83">
        <f t="shared" si="41"/>
        <v>0</v>
      </c>
      <c r="AV83">
        <f t="shared" si="42"/>
        <v>-0.20625824550922389</v>
      </c>
      <c r="AW83">
        <f t="shared" si="43"/>
        <v>0</v>
      </c>
      <c r="AX83">
        <f t="shared" si="44"/>
        <v>1</v>
      </c>
      <c r="AY83">
        <f t="shared" si="45"/>
        <v>7.2306356707722938E-4</v>
      </c>
      <c r="AZ83">
        <f t="shared" si="46"/>
        <v>6.1979233104352449E-4</v>
      </c>
      <c r="BA83" s="8">
        <f t="shared" si="47"/>
        <v>7.2306356707722938E-4</v>
      </c>
    </row>
    <row r="84" spans="1:53" x14ac:dyDescent="0.35">
      <c r="A84" s="7" t="s">
        <v>34</v>
      </c>
      <c r="B84" s="11" t="s">
        <v>68</v>
      </c>
      <c r="C84">
        <f t="shared" si="26"/>
        <v>8.0444134093533837</v>
      </c>
      <c r="D84">
        <v>7.6111093494739919</v>
      </c>
      <c r="E84">
        <v>0.4779750571525323</v>
      </c>
      <c r="F84">
        <v>7.1331342923214649</v>
      </c>
      <c r="G84">
        <v>0.43330405987938642</v>
      </c>
      <c r="H84">
        <v>31.181274689127051</v>
      </c>
      <c r="I84">
        <v>0</v>
      </c>
      <c r="J84">
        <v>31.181274689127051</v>
      </c>
      <c r="K84">
        <v>-16.443131650412699</v>
      </c>
      <c r="L84">
        <v>0.4646170053367924</v>
      </c>
      <c r="M84">
        <v>0.35293158772990241</v>
      </c>
      <c r="N84">
        <v>2.91777886091256E-2</v>
      </c>
      <c r="O84">
        <v>2.2163982682470801E-2</v>
      </c>
      <c r="P84">
        <v>0.435439216727667</v>
      </c>
      <c r="Q84">
        <v>0.33076760504743152</v>
      </c>
      <c r="R84">
        <v>2.64508661559761E-2</v>
      </c>
      <c r="S84">
        <v>2.0092562437512999E-2</v>
      </c>
      <c r="T84">
        <v>1.903447947393816</v>
      </c>
      <c r="U84">
        <v>1.445893926650307</v>
      </c>
      <c r="V84">
        <v>0</v>
      </c>
      <c r="W84">
        <v>0</v>
      </c>
      <c r="X84">
        <v>1.903447947393816</v>
      </c>
      <c r="Y84">
        <v>1.445893926650307</v>
      </c>
      <c r="Z84">
        <v>-1.0037641341076471</v>
      </c>
      <c r="AA84">
        <v>-0.76247762240244477</v>
      </c>
      <c r="AB84">
        <v>2156.5395714307001</v>
      </c>
      <c r="AC84">
        <v>1638.14696019506</v>
      </c>
      <c r="AD84" s="19">
        <f t="shared" si="27"/>
        <v>38.792384038601043</v>
      </c>
      <c r="AE84" s="19">
        <f t="shared" si="28"/>
        <v>38.792384038601043</v>
      </c>
      <c r="AF84">
        <f t="shared" si="29"/>
        <v>0.19620112396032233</v>
      </c>
      <c r="AG84">
        <f t="shared" si="48"/>
        <v>0.19620112396032233</v>
      </c>
      <c r="AH84">
        <f t="shared" si="30"/>
        <v>0.19620112396032233</v>
      </c>
      <c r="AI84">
        <f t="shared" si="49"/>
        <v>0.19620112396032233</v>
      </c>
      <c r="AJ84">
        <f t="shared" si="31"/>
        <v>0.18387976065671846</v>
      </c>
      <c r="AK84">
        <f t="shared" si="25"/>
        <v>0.18387976065671846</v>
      </c>
      <c r="AL84">
        <f t="shared" si="32"/>
        <v>1.2321363303603996E-2</v>
      </c>
      <c r="AM84">
        <f t="shared" si="33"/>
        <v>1.2321363303603996E-2</v>
      </c>
      <c r="AN84">
        <f t="shared" si="34"/>
        <v>1.1169822907718681E-2</v>
      </c>
      <c r="AO84">
        <f t="shared" si="35"/>
        <v>1.1169822907718681E-2</v>
      </c>
      <c r="AP84" s="20">
        <f t="shared" si="36"/>
        <v>0.93720034291905618</v>
      </c>
      <c r="AQ84" s="21">
        <f t="shared" si="37"/>
        <v>6.2799657080943844E-2</v>
      </c>
      <c r="AR84">
        <f t="shared" si="38"/>
        <v>0.8037988760396777</v>
      </c>
      <c r="AS84">
        <f t="shared" si="39"/>
        <v>0.8037988760396777</v>
      </c>
      <c r="AT84">
        <f t="shared" si="40"/>
        <v>0</v>
      </c>
      <c r="AU84">
        <f t="shared" si="41"/>
        <v>0</v>
      </c>
      <c r="AV84">
        <f t="shared" si="42"/>
        <v>0.8037988760396777</v>
      </c>
      <c r="AW84">
        <f t="shared" si="43"/>
        <v>0</v>
      </c>
      <c r="AX84">
        <f t="shared" si="44"/>
        <v>1</v>
      </c>
      <c r="AY84">
        <f t="shared" si="45"/>
        <v>2.3680649527306082E-2</v>
      </c>
      <c r="AZ84">
        <f t="shared" si="46"/>
        <v>1.798825514380209E-2</v>
      </c>
      <c r="BA84" s="8">
        <f t="shared" si="47"/>
        <v>2.3680649527306082E-2</v>
      </c>
    </row>
    <row r="85" spans="1:53" x14ac:dyDescent="0.35">
      <c r="A85" s="7" t="s">
        <v>35</v>
      </c>
      <c r="B85" s="11" t="s">
        <v>68</v>
      </c>
      <c r="C85">
        <f t="shared" si="26"/>
        <v>3.7753618885319389</v>
      </c>
      <c r="D85">
        <v>3.7753618885319331</v>
      </c>
      <c r="E85">
        <v>1.3595775049326151</v>
      </c>
      <c r="F85">
        <v>2.4157843835993238</v>
      </c>
      <c r="G85">
        <v>0</v>
      </c>
      <c r="H85">
        <v>50.527542741764933</v>
      </c>
      <c r="I85">
        <v>0.55038566188227755</v>
      </c>
      <c r="J85">
        <v>49.977157079882673</v>
      </c>
      <c r="K85">
        <v>0.50329327265262691</v>
      </c>
      <c r="L85">
        <v>0.2851657346450196</v>
      </c>
      <c r="M85">
        <v>0.2101477142769097</v>
      </c>
      <c r="N85">
        <v>0.1026934448797204</v>
      </c>
      <c r="O85">
        <v>7.56780709981138E-2</v>
      </c>
      <c r="P85">
        <v>0.182472289765299</v>
      </c>
      <c r="Q85">
        <v>0.1344696432787959</v>
      </c>
      <c r="R85">
        <v>0</v>
      </c>
      <c r="S85">
        <v>0</v>
      </c>
      <c r="T85">
        <v>3.816514620633074</v>
      </c>
      <c r="U85">
        <v>2.8125112052078598</v>
      </c>
      <c r="V85">
        <v>4.1572473379439603E-2</v>
      </c>
      <c r="W85">
        <v>3.0636079991876099E-2</v>
      </c>
      <c r="X85">
        <v>3.7749421472536331</v>
      </c>
      <c r="Y85">
        <v>2.7818751252159828</v>
      </c>
      <c r="Z85">
        <v>3.8015427414745603E-2</v>
      </c>
      <c r="AA85">
        <v>2.8014779505024501E-2</v>
      </c>
      <c r="AB85">
        <v>1796.5276955414199</v>
      </c>
      <c r="AC85">
        <v>1323.9184901480501</v>
      </c>
      <c r="AD85" s="19">
        <f t="shared" si="27"/>
        <v>54.302904630296865</v>
      </c>
      <c r="AE85" s="19">
        <f t="shared" si="28"/>
        <v>54.302904630296865</v>
      </c>
      <c r="AF85">
        <f t="shared" si="29"/>
        <v>6.9524124247776792E-2</v>
      </c>
      <c r="AG85">
        <f t="shared" si="48"/>
        <v>6.9524124247776792E-2</v>
      </c>
      <c r="AH85">
        <f t="shared" si="30"/>
        <v>6.9524124247776792E-2</v>
      </c>
      <c r="AI85">
        <f t="shared" si="49"/>
        <v>6.9524124247776792E-2</v>
      </c>
      <c r="AJ85">
        <f t="shared" si="31"/>
        <v>4.4487203770155255E-2</v>
      </c>
      <c r="AK85">
        <f t="shared" si="25"/>
        <v>4.4487203770155255E-2</v>
      </c>
      <c r="AL85">
        <f t="shared" si="32"/>
        <v>2.5036920477621651E-2</v>
      </c>
      <c r="AM85">
        <f t="shared" si="33"/>
        <v>2.5036920477621651E-2</v>
      </c>
      <c r="AN85">
        <f t="shared" si="34"/>
        <v>0</v>
      </c>
      <c r="AO85">
        <f t="shared" si="35"/>
        <v>0</v>
      </c>
      <c r="AP85" s="20">
        <f t="shared" si="36"/>
        <v>0.63988154114113527</v>
      </c>
      <c r="AQ85" s="21">
        <f t="shared" si="37"/>
        <v>0.36011845885886534</v>
      </c>
      <c r="AR85">
        <f t="shared" si="38"/>
        <v>0.93047587575222324</v>
      </c>
      <c r="AS85">
        <f t="shared" si="39"/>
        <v>0.93047587575222324</v>
      </c>
      <c r="AT85">
        <f t="shared" si="40"/>
        <v>1.0135473703099198E-2</v>
      </c>
      <c r="AU85">
        <f t="shared" si="41"/>
        <v>1.0135473703099198E-2</v>
      </c>
      <c r="AV85">
        <f t="shared" si="42"/>
        <v>0.92034040204912437</v>
      </c>
      <c r="AW85">
        <f t="shared" si="43"/>
        <v>1.0892785043895299E-2</v>
      </c>
      <c r="AX85">
        <f t="shared" si="44"/>
        <v>0.9891072149561051</v>
      </c>
      <c r="AY85">
        <f t="shared" si="45"/>
        <v>4.1016803552780902E-2</v>
      </c>
      <c r="AZ85">
        <f t="shared" si="46"/>
        <v>3.0226589194847667E-2</v>
      </c>
      <c r="BA85" s="8">
        <f t="shared" si="47"/>
        <v>4.1016803552780902E-2</v>
      </c>
    </row>
    <row r="86" spans="1:53" x14ac:dyDescent="0.35">
      <c r="A86" s="7" t="s">
        <v>36</v>
      </c>
      <c r="B86" s="11" t="s">
        <v>68</v>
      </c>
      <c r="C86">
        <f t="shared" si="26"/>
        <v>91.948787240177779</v>
      </c>
      <c r="D86">
        <v>86.82264229997449</v>
      </c>
      <c r="E86">
        <v>32.556193825364851</v>
      </c>
      <c r="F86">
        <v>54.26644847460966</v>
      </c>
      <c r="G86">
        <v>5.126144940203254</v>
      </c>
      <c r="H86">
        <v>13.5098362743579</v>
      </c>
      <c r="I86">
        <v>3.9618288194598297E-2</v>
      </c>
      <c r="J86">
        <v>13.47021798616333</v>
      </c>
      <c r="K86">
        <v>0</v>
      </c>
      <c r="L86">
        <v>2.7498247852126219</v>
      </c>
      <c r="M86">
        <v>2.9511552175299278</v>
      </c>
      <c r="N86">
        <v>1.0311115432753959</v>
      </c>
      <c r="O86">
        <v>1.106605128863595</v>
      </c>
      <c r="P86">
        <v>1.718713241937226</v>
      </c>
      <c r="Q86">
        <v>1.844550088666332</v>
      </c>
      <c r="R86">
        <v>0.1623539670730261</v>
      </c>
      <c r="S86">
        <v>0.17424083148526701</v>
      </c>
      <c r="T86">
        <v>0.42788012029213363</v>
      </c>
      <c r="U86">
        <v>0.45920767616465591</v>
      </c>
      <c r="V86">
        <v>1.2547804114138E-3</v>
      </c>
      <c r="W86">
        <v>1.3466500767292001E-3</v>
      </c>
      <c r="X86">
        <v>0.42662533988072049</v>
      </c>
      <c r="Y86">
        <v>0.45786102608792761</v>
      </c>
      <c r="Z86">
        <v>0</v>
      </c>
      <c r="AA86">
        <v>0</v>
      </c>
      <c r="AB86">
        <v>2941.9883367789698</v>
      </c>
      <c r="AC86">
        <v>3157.38816403392</v>
      </c>
      <c r="AD86" s="19">
        <f t="shared" si="27"/>
        <v>100.33247857433238</v>
      </c>
      <c r="AE86" s="19">
        <f t="shared" si="28"/>
        <v>100.33247857433238</v>
      </c>
      <c r="AF86">
        <f t="shared" si="29"/>
        <v>0.86534932191125935</v>
      </c>
      <c r="AG86">
        <f t="shared" si="48"/>
        <v>0.86534932191125935</v>
      </c>
      <c r="AH86">
        <f t="shared" si="30"/>
        <v>0.86534932191125935</v>
      </c>
      <c r="AI86">
        <f t="shared" si="49"/>
        <v>0.86534932191125935</v>
      </c>
      <c r="AJ86">
        <f t="shared" si="31"/>
        <v>0.54086622044730792</v>
      </c>
      <c r="AK86">
        <f t="shared" si="25"/>
        <v>0.54086622044730792</v>
      </c>
      <c r="AL86">
        <f t="shared" si="32"/>
        <v>0.32448310146395165</v>
      </c>
      <c r="AM86">
        <f t="shared" si="33"/>
        <v>0.32448310146395165</v>
      </c>
      <c r="AN86">
        <f t="shared" si="34"/>
        <v>5.1091580842443703E-2</v>
      </c>
      <c r="AO86">
        <f t="shared" si="35"/>
        <v>5.1091580842443703E-2</v>
      </c>
      <c r="AP86" s="20">
        <f t="shared" si="36"/>
        <v>0.62502645665997647</v>
      </c>
      <c r="AQ86" s="21">
        <f t="shared" si="37"/>
        <v>0.37497354334002359</v>
      </c>
      <c r="AR86">
        <f t="shared" si="38"/>
        <v>0.13465067808874068</v>
      </c>
      <c r="AS86">
        <f t="shared" si="39"/>
        <v>0.13465067808874068</v>
      </c>
      <c r="AT86">
        <f t="shared" si="40"/>
        <v>3.9487002372065063E-4</v>
      </c>
      <c r="AU86">
        <f t="shared" si="41"/>
        <v>3.9487002372065063E-4</v>
      </c>
      <c r="AV86">
        <f t="shared" si="42"/>
        <v>0.1342558080650203</v>
      </c>
      <c r="AW86">
        <f t="shared" si="43"/>
        <v>2.9325513196481199E-3</v>
      </c>
      <c r="AX86">
        <f t="shared" si="44"/>
        <v>0.99706744868035402</v>
      </c>
      <c r="AY86">
        <f t="shared" si="45"/>
        <v>3.1777049055047545E-2</v>
      </c>
      <c r="AZ86">
        <f t="shared" si="46"/>
        <v>3.4103628936945823E-2</v>
      </c>
      <c r="BA86" s="8">
        <f t="shared" si="47"/>
        <v>3.1777049055047545E-2</v>
      </c>
    </row>
    <row r="87" spans="1:53" x14ac:dyDescent="0.35">
      <c r="A87" s="7" t="s">
        <v>37</v>
      </c>
      <c r="B87" s="11" t="s">
        <v>68</v>
      </c>
      <c r="C87">
        <f t="shared" si="26"/>
        <v>24</v>
      </c>
      <c r="D87">
        <v>6</v>
      </c>
      <c r="E87">
        <v>0</v>
      </c>
      <c r="F87">
        <v>6</v>
      </c>
      <c r="G87">
        <v>18</v>
      </c>
      <c r="H87">
        <v>0</v>
      </c>
      <c r="I87">
        <v>0</v>
      </c>
      <c r="J87">
        <v>0</v>
      </c>
      <c r="K87">
        <v>0</v>
      </c>
      <c r="L87">
        <v>3.01069168920573E-2</v>
      </c>
      <c r="M87">
        <v>3.0038729102900001E-2</v>
      </c>
      <c r="N87">
        <v>0</v>
      </c>
      <c r="O87">
        <v>0</v>
      </c>
      <c r="P87">
        <v>3.01069168920573E-2</v>
      </c>
      <c r="Q87">
        <v>3.0038729102900001E-2</v>
      </c>
      <c r="R87">
        <v>9.0320750676179395E-2</v>
      </c>
      <c r="S87">
        <v>9.0116187308698303E-2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19974.2138871676</v>
      </c>
      <c r="AC87">
        <v>19928.975197</v>
      </c>
      <c r="AD87" s="19">
        <f t="shared" si="27"/>
        <v>6</v>
      </c>
      <c r="AE87" s="19">
        <f t="shared" si="28"/>
        <v>6</v>
      </c>
      <c r="AF87">
        <f t="shared" si="29"/>
        <v>1</v>
      </c>
      <c r="AG87">
        <f t="shared" si="48"/>
        <v>1</v>
      </c>
      <c r="AH87">
        <f t="shared" si="30"/>
        <v>1</v>
      </c>
      <c r="AI87">
        <f t="shared" si="49"/>
        <v>1</v>
      </c>
      <c r="AJ87">
        <f t="shared" si="31"/>
        <v>1</v>
      </c>
      <c r="AK87">
        <f t="shared" si="25"/>
        <v>1</v>
      </c>
      <c r="AL87">
        <f t="shared" si="32"/>
        <v>0</v>
      </c>
      <c r="AM87">
        <f t="shared" si="33"/>
        <v>0</v>
      </c>
      <c r="AN87">
        <f t="shared" si="34"/>
        <v>3</v>
      </c>
      <c r="AO87">
        <f t="shared" si="35"/>
        <v>3</v>
      </c>
      <c r="AP87" s="20">
        <f t="shared" si="36"/>
        <v>1</v>
      </c>
      <c r="AQ87" s="21">
        <f t="shared" si="37"/>
        <v>0</v>
      </c>
      <c r="AR87">
        <f t="shared" si="38"/>
        <v>0</v>
      </c>
      <c r="AS87">
        <f t="shared" si="39"/>
        <v>0</v>
      </c>
      <c r="AT87">
        <f t="shared" si="40"/>
        <v>0</v>
      </c>
      <c r="AU87">
        <f t="shared" si="41"/>
        <v>0</v>
      </c>
      <c r="AV87">
        <f t="shared" si="42"/>
        <v>0</v>
      </c>
      <c r="AW87" t="e">
        <f t="shared" si="43"/>
        <v>#DIV/0!</v>
      </c>
      <c r="AX87" t="e">
        <f t="shared" si="44"/>
        <v>#DIV/0!</v>
      </c>
      <c r="AY87">
        <f t="shared" si="45"/>
        <v>3.0106916892059794E-4</v>
      </c>
      <c r="AZ87">
        <f t="shared" si="46"/>
        <v>3.0038729102899463E-4</v>
      </c>
      <c r="BA87" s="8">
        <f t="shared" si="47"/>
        <v>3.0106916892059794E-4</v>
      </c>
    </row>
    <row r="88" spans="1:53" x14ac:dyDescent="0.35">
      <c r="A88" s="7" t="s">
        <v>38</v>
      </c>
      <c r="B88" s="11" t="s">
        <v>68</v>
      </c>
      <c r="C88">
        <f t="shared" si="26"/>
        <v>-0.14843950319521448</v>
      </c>
      <c r="D88">
        <v>-0.1128814600963092</v>
      </c>
      <c r="E88">
        <v>-3.0653485430090801E-2</v>
      </c>
      <c r="F88">
        <v>-8.2227974666218395E-2</v>
      </c>
      <c r="G88">
        <v>-3.5558043098905298E-2</v>
      </c>
      <c r="H88">
        <v>-2.9120811158586099E-2</v>
      </c>
      <c r="I88">
        <v>-2.9120811158586099E-2</v>
      </c>
      <c r="J88">
        <v>0</v>
      </c>
      <c r="K88">
        <v>-4.9811913823897401E-2</v>
      </c>
      <c r="L88">
        <v>-8.8247150862277007E-3</v>
      </c>
      <c r="M88">
        <v>-4.7395976681350004E-3</v>
      </c>
      <c r="N88">
        <v>-2.3963924198852999E-3</v>
      </c>
      <c r="O88">
        <v>-1.2870597876809E-3</v>
      </c>
      <c r="P88">
        <v>-6.4283226663423999E-3</v>
      </c>
      <c r="Q88">
        <v>-3.4525378804541001E-3</v>
      </c>
      <c r="R88">
        <v>-2.7798152070668998E-3</v>
      </c>
      <c r="S88">
        <v>-1.4929893537098001E-3</v>
      </c>
      <c r="T88">
        <v>-2.2765727988909999E-3</v>
      </c>
      <c r="U88">
        <v>-1.2227067982968E-3</v>
      </c>
      <c r="V88">
        <v>-2.2765727988909999E-3</v>
      </c>
      <c r="W88">
        <v>-1.2227067982968E-3</v>
      </c>
      <c r="X88">
        <v>0</v>
      </c>
      <c r="Y88">
        <v>0</v>
      </c>
      <c r="Z88">
        <v>-3.8941376823135999E-3</v>
      </c>
      <c r="AA88">
        <v>-2.0914721549814999E-3</v>
      </c>
      <c r="AB88">
        <v>2381.6675591522499</v>
      </c>
      <c r="AC88">
        <v>1279.1513266244399</v>
      </c>
      <c r="AD88" s="19">
        <f t="shared" si="27"/>
        <v>-0.14200227125489528</v>
      </c>
      <c r="AE88" s="19">
        <f>(D88*-1)+(H88*-1)</f>
        <v>0.14200227125489528</v>
      </c>
      <c r="AF88">
        <f>($D88/$AE88)*-1</f>
        <v>0.7949271451699953</v>
      </c>
      <c r="AG88">
        <f t="shared" si="48"/>
        <v>-0.7949271451699953</v>
      </c>
      <c r="AH88">
        <f t="shared" si="30"/>
        <v>0.7949271451699953</v>
      </c>
      <c r="AI88">
        <f t="shared" si="49"/>
        <v>0.7949271451699953</v>
      </c>
      <c r="AJ88">
        <f t="shared" si="31"/>
        <v>-0.57906098219104174</v>
      </c>
      <c r="AK88">
        <f t="shared" si="25"/>
        <v>0.57906098219104174</v>
      </c>
      <c r="AL88">
        <f t="shared" si="32"/>
        <v>-0.21586616297895359</v>
      </c>
      <c r="AM88">
        <f t="shared" si="33"/>
        <v>0.21586616297895359</v>
      </c>
      <c r="AN88">
        <f t="shared" si="34"/>
        <v>-0.25040474905558596</v>
      </c>
      <c r="AO88">
        <f t="shared" si="35"/>
        <v>0.25040474905558596</v>
      </c>
      <c r="AP88" s="20">
        <f t="shared" si="36"/>
        <v>0.72844534962661189</v>
      </c>
      <c r="AQ88" s="21">
        <f t="shared" si="37"/>
        <v>0.27155465037338805</v>
      </c>
      <c r="AR88">
        <f t="shared" si="38"/>
        <v>-0.20507285483000476</v>
      </c>
      <c r="AS88">
        <f t="shared" si="39"/>
        <v>0.20507285483000476</v>
      </c>
      <c r="AT88">
        <f t="shared" si="40"/>
        <v>-0.20507285483000476</v>
      </c>
      <c r="AU88">
        <f t="shared" si="41"/>
        <v>0.20507285483000476</v>
      </c>
      <c r="AV88">
        <f t="shared" si="42"/>
        <v>0</v>
      </c>
      <c r="AW88">
        <f t="shared" si="43"/>
        <v>1</v>
      </c>
      <c r="AX88">
        <f t="shared" si="44"/>
        <v>0</v>
      </c>
      <c r="AY88">
        <f t="shared" si="45"/>
        <v>-1.1101287885118794E-4</v>
      </c>
      <c r="AZ88">
        <f t="shared" si="46"/>
        <v>-5.9623044664319452E-5</v>
      </c>
      <c r="BA88" s="8">
        <f t="shared" si="47"/>
        <v>1.1101287885118794E-4</v>
      </c>
    </row>
    <row r="89" spans="1:53" x14ac:dyDescent="0.35">
      <c r="A89" s="7" t="s">
        <v>39</v>
      </c>
      <c r="B89" s="11" t="s">
        <v>68</v>
      </c>
      <c r="C89">
        <f t="shared" si="26"/>
        <v>2.9584598606921841</v>
      </c>
      <c r="D89">
        <v>3.2493340902482442</v>
      </c>
      <c r="E89">
        <v>1.9527090644843801</v>
      </c>
      <c r="F89">
        <v>1.2966250257638641</v>
      </c>
      <c r="G89">
        <v>-0.29087422955606002</v>
      </c>
      <c r="H89">
        <v>21.277422987389031</v>
      </c>
      <c r="I89">
        <v>-0.1146164792378447</v>
      </c>
      <c r="J89">
        <v>21.39203946662688</v>
      </c>
      <c r="K89">
        <v>-0.15576643801551521</v>
      </c>
      <c r="L89">
        <v>0.32589363786671027</v>
      </c>
      <c r="M89">
        <v>0.13923031936942129</v>
      </c>
      <c r="N89">
        <v>0.19584796239634961</v>
      </c>
      <c r="O89">
        <v>8.3671392086048305E-2</v>
      </c>
      <c r="P89">
        <v>0.13004567547036061</v>
      </c>
      <c r="Q89">
        <v>5.5558927283372903E-2</v>
      </c>
      <c r="R89">
        <v>-2.91733808216867E-2</v>
      </c>
      <c r="S89">
        <v>-1.24636343178643E-2</v>
      </c>
      <c r="T89">
        <v>2.134030108691968</v>
      </c>
      <c r="U89">
        <v>0.91171369751828557</v>
      </c>
      <c r="V89">
        <v>-1.14955188788979E-2</v>
      </c>
      <c r="W89">
        <v>-4.9111875129049997E-3</v>
      </c>
      <c r="X89">
        <v>2.145525627570867</v>
      </c>
      <c r="Y89">
        <v>0.91662488503119077</v>
      </c>
      <c r="Z89">
        <v>-1.5622675210519001E-2</v>
      </c>
      <c r="AA89">
        <v>-6.6744170681075996E-3</v>
      </c>
      <c r="AB89">
        <v>2333.7834064911899</v>
      </c>
      <c r="AC89">
        <v>997.05355143423003</v>
      </c>
      <c r="AD89" s="19">
        <f t="shared" si="27"/>
        <v>24.526757077637274</v>
      </c>
      <c r="AE89" s="19">
        <f t="shared" si="28"/>
        <v>24.526757077637274</v>
      </c>
      <c r="AF89">
        <f t="shared" si="29"/>
        <v>0.13248119512754031</v>
      </c>
      <c r="AG89">
        <f t="shared" si="48"/>
        <v>0.13248119512754031</v>
      </c>
      <c r="AH89">
        <f t="shared" si="30"/>
        <v>0.13248119512754031</v>
      </c>
      <c r="AI89">
        <f t="shared" si="49"/>
        <v>0.13248119512754031</v>
      </c>
      <c r="AJ89">
        <f t="shared" si="31"/>
        <v>5.2865734416478807E-2</v>
      </c>
      <c r="AK89">
        <f t="shared" si="25"/>
        <v>5.2865734416478807E-2</v>
      </c>
      <c r="AL89">
        <f t="shared" si="32"/>
        <v>7.96154607110615E-2</v>
      </c>
      <c r="AM89">
        <f t="shared" si="33"/>
        <v>7.96154607110615E-2</v>
      </c>
      <c r="AN89">
        <f t="shared" si="34"/>
        <v>-1.1859465506806442E-2</v>
      </c>
      <c r="AO89">
        <f t="shared" si="35"/>
        <v>-1.1859465506806442E-2</v>
      </c>
      <c r="AP89" s="20">
        <f t="shared" si="36"/>
        <v>0.39904330849057257</v>
      </c>
      <c r="AQ89" s="21">
        <f t="shared" si="37"/>
        <v>0.60095669150942743</v>
      </c>
      <c r="AR89">
        <f t="shared" si="38"/>
        <v>0.86751880487245969</v>
      </c>
      <c r="AS89">
        <f t="shared" si="39"/>
        <v>0.86751880487245969</v>
      </c>
      <c r="AT89">
        <f t="shared" si="40"/>
        <v>-4.6731200082846822E-3</v>
      </c>
      <c r="AU89">
        <f t="shared" si="41"/>
        <v>-4.6731200082846822E-3</v>
      </c>
      <c r="AV89">
        <f t="shared" si="42"/>
        <v>0.8721919248807446</v>
      </c>
      <c r="AW89">
        <f t="shared" si="43"/>
        <v>-5.3867650845582675E-3</v>
      </c>
      <c r="AX89">
        <f t="shared" si="44"/>
        <v>1.0053867650845585</v>
      </c>
      <c r="AY89">
        <f t="shared" si="45"/>
        <v>2.4599237465586787E-2</v>
      </c>
      <c r="AZ89">
        <f t="shared" si="46"/>
        <v>1.050944016887707E-2</v>
      </c>
      <c r="BA89" s="8">
        <f t="shared" si="47"/>
        <v>2.4599237465586787E-2</v>
      </c>
    </row>
    <row r="90" spans="1:53" x14ac:dyDescent="0.35">
      <c r="A90" s="9" t="s">
        <v>40</v>
      </c>
      <c r="B90" s="11" t="s">
        <v>68</v>
      </c>
      <c r="C90">
        <f t="shared" si="26"/>
        <v>-3.6541235038564666</v>
      </c>
      <c r="D90">
        <v>-3.6541235038564679</v>
      </c>
      <c r="E90">
        <v>2.0576905158455738</v>
      </c>
      <c r="F90">
        <v>-5.7118140197020404</v>
      </c>
      <c r="G90">
        <v>0</v>
      </c>
      <c r="H90">
        <v>1.817852579227869</v>
      </c>
      <c r="I90">
        <v>0</v>
      </c>
      <c r="J90">
        <v>1.817852579227869</v>
      </c>
      <c r="K90">
        <v>0</v>
      </c>
      <c r="L90">
        <v>-0.88274611984120277</v>
      </c>
      <c r="M90">
        <v>-0.77979727718691727</v>
      </c>
      <c r="N90">
        <v>0.49708728147248649</v>
      </c>
      <c r="O90">
        <v>0.43911527890513008</v>
      </c>
      <c r="P90">
        <v>-1.3798334013136899</v>
      </c>
      <c r="Q90">
        <v>-1.218912556092048</v>
      </c>
      <c r="R90">
        <v>0</v>
      </c>
      <c r="S90">
        <v>0</v>
      </c>
      <c r="T90">
        <v>0.4391483509145675</v>
      </c>
      <c r="U90">
        <v>0.38793338268754662</v>
      </c>
      <c r="V90">
        <v>0</v>
      </c>
      <c r="W90">
        <v>0</v>
      </c>
      <c r="X90">
        <v>0.4391483509145675</v>
      </c>
      <c r="Y90">
        <v>0.38793338268754662</v>
      </c>
      <c r="Z90">
        <v>0</v>
      </c>
      <c r="AA90">
        <v>0</v>
      </c>
      <c r="AB90">
        <v>468.59916169988998</v>
      </c>
      <c r="AC90">
        <v>413.94954015926999</v>
      </c>
      <c r="AD90" s="19">
        <f t="shared" si="27"/>
        <v>-1.8362709246285989</v>
      </c>
      <c r="AE90" s="19">
        <f t="shared" si="28"/>
        <v>-1.8362709246285989</v>
      </c>
      <c r="AF90">
        <f t="shared" si="29"/>
        <v>1.9899697015545486</v>
      </c>
      <c r="AG90">
        <f t="shared" si="48"/>
        <v>1.9899697015545486</v>
      </c>
      <c r="AH90">
        <f t="shared" si="30"/>
        <v>1.9899697015545486</v>
      </c>
      <c r="AI90">
        <f t="shared" si="49"/>
        <v>1.9899697015545486</v>
      </c>
      <c r="AJ90">
        <f t="shared" si="31"/>
        <v>3.1105508142036844</v>
      </c>
      <c r="AK90">
        <f t="shared" si="25"/>
        <v>3.1105508142036844</v>
      </c>
      <c r="AL90">
        <f t="shared" si="32"/>
        <v>-1.1205811126491365</v>
      </c>
      <c r="AM90">
        <f t="shared" si="33"/>
        <v>-1.1205811126491365</v>
      </c>
      <c r="AN90">
        <f t="shared" si="34"/>
        <v>0</v>
      </c>
      <c r="AO90">
        <f t="shared" si="35"/>
        <v>0</v>
      </c>
      <c r="AP90" s="20">
        <f t="shared" si="36"/>
        <v>1.5631146603758579</v>
      </c>
      <c r="AQ90" s="21">
        <f t="shared" si="37"/>
        <v>-0.56311466037585767</v>
      </c>
      <c r="AR90">
        <f t="shared" si="38"/>
        <v>-0.98996970155454855</v>
      </c>
      <c r="AS90">
        <f t="shared" si="39"/>
        <v>-0.98996970155454855</v>
      </c>
      <c r="AT90">
        <f t="shared" si="40"/>
        <v>0</v>
      </c>
      <c r="AU90">
        <f t="shared" si="41"/>
        <v>0</v>
      </c>
      <c r="AV90">
        <f t="shared" si="42"/>
        <v>-0.98996970155454855</v>
      </c>
      <c r="AW90">
        <f t="shared" si="43"/>
        <v>0</v>
      </c>
      <c r="AX90">
        <f t="shared" si="44"/>
        <v>1</v>
      </c>
      <c r="AY90">
        <f t="shared" si="45"/>
        <v>-4.4359776892663799E-3</v>
      </c>
      <c r="AZ90">
        <f t="shared" si="46"/>
        <v>-3.9186389449937208E-3</v>
      </c>
      <c r="BA90" s="8">
        <f t="shared" si="47"/>
        <v>-4.4359776892663799E-3</v>
      </c>
    </row>
    <row r="91" spans="1:53" x14ac:dyDescent="0.35">
      <c r="A91" s="7" t="s">
        <v>41</v>
      </c>
      <c r="B91" s="11" t="s">
        <v>68</v>
      </c>
      <c r="C91">
        <f t="shared" si="26"/>
        <v>10.537972233842755</v>
      </c>
      <c r="D91">
        <v>4.1542265056957364</v>
      </c>
      <c r="E91">
        <v>1.4774852644874339</v>
      </c>
      <c r="F91">
        <v>2.6767412412083029</v>
      </c>
      <c r="G91">
        <v>6.3837457281470176</v>
      </c>
      <c r="H91">
        <v>3.874602555254846</v>
      </c>
      <c r="I91">
        <v>1.257477537461184</v>
      </c>
      <c r="J91">
        <v>2.6171250177936609</v>
      </c>
      <c r="K91">
        <v>0</v>
      </c>
      <c r="L91">
        <v>0.83897070214313363</v>
      </c>
      <c r="M91">
        <v>0.74807530469820316</v>
      </c>
      <c r="N91">
        <v>0.2983869194550714</v>
      </c>
      <c r="O91">
        <v>0.26605921412882499</v>
      </c>
      <c r="P91">
        <v>0.54058378268806218</v>
      </c>
      <c r="Q91">
        <v>0.48201609056937839</v>
      </c>
      <c r="R91">
        <v>1.289235343451685</v>
      </c>
      <c r="S91">
        <v>1.149557570862314</v>
      </c>
      <c r="T91">
        <v>0.78249898551531238</v>
      </c>
      <c r="U91">
        <v>0.69772182213287159</v>
      </c>
      <c r="V91">
        <v>0.25395505302529059</v>
      </c>
      <c r="W91">
        <v>0.2264411655690107</v>
      </c>
      <c r="X91">
        <v>0.52854393249002207</v>
      </c>
      <c r="Y91">
        <v>0.4712806565638612</v>
      </c>
      <c r="Z91">
        <v>0</v>
      </c>
      <c r="AA91">
        <v>0</v>
      </c>
      <c r="AB91">
        <v>555.32196820367994</v>
      </c>
      <c r="AC91">
        <v>495.15751802582002</v>
      </c>
      <c r="AD91" s="19">
        <f t="shared" si="27"/>
        <v>8.0288290609505815</v>
      </c>
      <c r="AE91" s="19">
        <f t="shared" si="28"/>
        <v>8.0288290609505815</v>
      </c>
      <c r="AF91">
        <f t="shared" si="29"/>
        <v>0.51741374416606301</v>
      </c>
      <c r="AG91">
        <f t="shared" si="48"/>
        <v>0.51741374416606301</v>
      </c>
      <c r="AH91">
        <f t="shared" si="30"/>
        <v>0.51741374416606301</v>
      </c>
      <c r="AI91">
        <f t="shared" si="49"/>
        <v>0.51741374416606301</v>
      </c>
      <c r="AJ91">
        <f t="shared" si="31"/>
        <v>0.33339123561952971</v>
      </c>
      <c r="AK91">
        <f t="shared" si="25"/>
        <v>0.33339123561952971</v>
      </c>
      <c r="AL91">
        <f t="shared" si="32"/>
        <v>0.18402250854653338</v>
      </c>
      <c r="AM91">
        <f t="shared" si="33"/>
        <v>0.18402250854653338</v>
      </c>
      <c r="AN91">
        <f t="shared" si="34"/>
        <v>0.79510295706696832</v>
      </c>
      <c r="AO91">
        <f t="shared" si="35"/>
        <v>0.79510295706696832</v>
      </c>
      <c r="AP91" s="20">
        <f t="shared" si="36"/>
        <v>0.64434166927063363</v>
      </c>
      <c r="AQ91" s="21">
        <f t="shared" si="37"/>
        <v>0.35565833072936631</v>
      </c>
      <c r="AR91">
        <f t="shared" si="38"/>
        <v>0.48258625583393705</v>
      </c>
      <c r="AS91">
        <f t="shared" si="39"/>
        <v>0.48258625583393705</v>
      </c>
      <c r="AT91">
        <f t="shared" si="40"/>
        <v>0.15662029019612775</v>
      </c>
      <c r="AU91">
        <f t="shared" si="41"/>
        <v>0.15662029019612775</v>
      </c>
      <c r="AV91">
        <f t="shared" si="42"/>
        <v>0.32596596563780916</v>
      </c>
      <c r="AW91">
        <f t="shared" si="43"/>
        <v>0.32454361951415051</v>
      </c>
      <c r="AX91">
        <f t="shared" si="44"/>
        <v>0.67545638048584922</v>
      </c>
      <c r="AY91">
        <f t="shared" si="45"/>
        <v>1.6214696876584469E-2</v>
      </c>
      <c r="AZ91">
        <f t="shared" si="46"/>
        <v>1.4457971268310752E-2</v>
      </c>
      <c r="BA91" s="8">
        <f t="shared" si="47"/>
        <v>1.6214696876584469E-2</v>
      </c>
    </row>
    <row r="92" spans="1:53" x14ac:dyDescent="0.35">
      <c r="A92" s="9" t="s">
        <v>42</v>
      </c>
      <c r="B92" s="11" t="s">
        <v>68</v>
      </c>
      <c r="C92">
        <f t="shared" si="26"/>
        <v>1.20207297718041</v>
      </c>
      <c r="D92">
        <v>-0.38718454813488101</v>
      </c>
      <c r="E92">
        <v>0.62357924487103089</v>
      </c>
      <c r="F92">
        <v>-1.0107637930059119</v>
      </c>
      <c r="G92">
        <v>1.589257525315291</v>
      </c>
      <c r="H92">
        <v>17.056890492060301</v>
      </c>
      <c r="I92">
        <v>1.0946711428285801E-2</v>
      </c>
      <c r="J92">
        <v>17.045943780632019</v>
      </c>
      <c r="K92">
        <v>0</v>
      </c>
      <c r="L92">
        <v>-0.1795510684723238</v>
      </c>
      <c r="M92">
        <v>-9.5038896705898601E-2</v>
      </c>
      <c r="N92">
        <v>0.28917558883252281</v>
      </c>
      <c r="O92">
        <v>0.15306469157078709</v>
      </c>
      <c r="P92">
        <v>-0.46872665730484631</v>
      </c>
      <c r="Q92">
        <v>-0.24810358827668569</v>
      </c>
      <c r="R92">
        <v>0.73699451107391589</v>
      </c>
      <c r="S92">
        <v>0.39010152268497689</v>
      </c>
      <c r="T92">
        <v>7.9098789644827363</v>
      </c>
      <c r="U92">
        <v>4.1868097820732793</v>
      </c>
      <c r="V92">
        <v>5.0763744128605997E-3</v>
      </c>
      <c r="W92">
        <v>2.6869961151954002E-3</v>
      </c>
      <c r="X92">
        <v>7.9048025900698766</v>
      </c>
      <c r="Y92">
        <v>4.184122785958083</v>
      </c>
      <c r="Z92">
        <v>0</v>
      </c>
      <c r="AA92">
        <v>0</v>
      </c>
      <c r="AB92">
        <v>407.39587848230002</v>
      </c>
      <c r="AC92">
        <v>215.64034757863999</v>
      </c>
      <c r="AD92" s="19">
        <f t="shared" si="27"/>
        <v>16.669705943925422</v>
      </c>
      <c r="AE92" s="19">
        <f>(D92*-1)+(H92)</f>
        <v>17.44407504019518</v>
      </c>
      <c r="AF92">
        <f>($D92/$AE92)*-1</f>
        <v>2.2195762586592772E-2</v>
      </c>
      <c r="AG92">
        <f t="shared" si="48"/>
        <v>-2.2195762586592772E-2</v>
      </c>
      <c r="AH92">
        <f>(($D92)/(AD92))*-1</f>
        <v>2.3226837320185257E-2</v>
      </c>
      <c r="AI92">
        <f t="shared" si="49"/>
        <v>-2.3226837320185257E-2</v>
      </c>
      <c r="AJ92">
        <f t="shared" si="31"/>
        <v>-5.7943100489815512E-2</v>
      </c>
      <c r="AK92">
        <f t="shared" si="25"/>
        <v>-6.0634770427623684E-2</v>
      </c>
      <c r="AL92">
        <f t="shared" si="32"/>
        <v>3.5747337903222737E-2</v>
      </c>
      <c r="AM92">
        <f t="shared" si="33"/>
        <v>3.7407933107438424E-2</v>
      </c>
      <c r="AN92">
        <f t="shared" si="34"/>
        <v>9.1105863833609649E-2</v>
      </c>
      <c r="AO92">
        <f t="shared" si="35"/>
        <v>9.5338065989966039E-2</v>
      </c>
      <c r="AP92" s="20">
        <f t="shared" si="36"/>
        <v>2.6105478585725961</v>
      </c>
      <c r="AQ92" s="21">
        <f t="shared" si="37"/>
        <v>-1.6105478585725961</v>
      </c>
      <c r="AR92">
        <f t="shared" si="38"/>
        <v>0.97780423741340727</v>
      </c>
      <c r="AS92">
        <f t="shared" si="39"/>
        <v>1.0232268373201852</v>
      </c>
      <c r="AT92">
        <f t="shared" si="40"/>
        <v>6.2753177815745738E-4</v>
      </c>
      <c r="AU92">
        <f t="shared" si="41"/>
        <v>6.5668293520647694E-4</v>
      </c>
      <c r="AV92">
        <f t="shared" si="42"/>
        <v>1.022570154384979</v>
      </c>
      <c r="AW92">
        <f t="shared" si="43"/>
        <v>6.4177649691667495E-4</v>
      </c>
      <c r="AX92">
        <f t="shared" si="44"/>
        <v>0.99935822350308356</v>
      </c>
      <c r="AY92">
        <f t="shared" si="45"/>
        <v>7.7303278960104124E-2</v>
      </c>
      <c r="AZ92">
        <f t="shared" si="46"/>
        <v>4.0917708853673795E-2</v>
      </c>
      <c r="BA92" s="8">
        <f t="shared" si="47"/>
        <v>8.0894300329550584E-2</v>
      </c>
    </row>
    <row r="93" spans="1:53" x14ac:dyDescent="0.35">
      <c r="A93" s="9" t="s">
        <v>43</v>
      </c>
      <c r="B93" s="11" t="s">
        <v>68</v>
      </c>
      <c r="C93">
        <f t="shared" si="26"/>
        <v>4.1281532170241384</v>
      </c>
      <c r="D93">
        <v>1.6560605792137399</v>
      </c>
      <c r="E93">
        <v>5.2845564687310003E-3</v>
      </c>
      <c r="F93">
        <v>1.6507760227450099</v>
      </c>
      <c r="G93">
        <v>2.4720926378103978</v>
      </c>
      <c r="H93">
        <v>-0.17410876033898501</v>
      </c>
      <c r="I93">
        <v>3.1619220265415771</v>
      </c>
      <c r="J93">
        <v>-3.3360307868805599</v>
      </c>
      <c r="K93">
        <v>0</v>
      </c>
      <c r="L93">
        <v>0.49790977630896283</v>
      </c>
      <c r="M93">
        <v>0.53238658692329555</v>
      </c>
      <c r="N93">
        <v>1.5888502886091001E-3</v>
      </c>
      <c r="O93">
        <v>1.698867189464E-3</v>
      </c>
      <c r="P93">
        <v>0.4963209260203536</v>
      </c>
      <c r="Q93">
        <v>0.53068771973383111</v>
      </c>
      <c r="R93">
        <v>0.74325728645240741</v>
      </c>
      <c r="S93">
        <v>0.7947227163797006</v>
      </c>
      <c r="T93">
        <v>-5.2347392964920303E-2</v>
      </c>
      <c r="U93">
        <v>-5.5972088119098297E-2</v>
      </c>
      <c r="V93">
        <v>0.95066080836799016</v>
      </c>
      <c r="W93">
        <v>1.016487498680321</v>
      </c>
      <c r="X93">
        <v>-1.00300820133291</v>
      </c>
      <c r="Y93">
        <v>-1.0724595867994211</v>
      </c>
      <c r="Z93">
        <v>0</v>
      </c>
      <c r="AA93">
        <v>0</v>
      </c>
      <c r="AB93">
        <v>311.06354290107998</v>
      </c>
      <c r="AC93">
        <v>332.60254327404999</v>
      </c>
      <c r="AD93" s="19">
        <f t="shared" si="27"/>
        <v>1.4819518188747549</v>
      </c>
      <c r="AE93" s="19">
        <f t="shared" si="28"/>
        <v>1.4819518188747549</v>
      </c>
      <c r="AF93">
        <f t="shared" si="29"/>
        <v>1.1174861140028058</v>
      </c>
      <c r="AG93">
        <f t="shared" si="48"/>
        <v>1.1174861140028058</v>
      </c>
      <c r="AH93">
        <f t="shared" si="30"/>
        <v>1.1174861140028058</v>
      </c>
      <c r="AI93">
        <f t="shared" si="49"/>
        <v>1.1174861140028058</v>
      </c>
      <c r="AJ93">
        <f t="shared" si="31"/>
        <v>1.1139201704941009</v>
      </c>
      <c r="AK93">
        <f t="shared" si="25"/>
        <v>1.1139201704941009</v>
      </c>
      <c r="AL93">
        <f t="shared" si="32"/>
        <v>3.565943508705675E-3</v>
      </c>
      <c r="AM93">
        <f t="shared" si="33"/>
        <v>3.565943508705675E-3</v>
      </c>
      <c r="AN93">
        <f t="shared" si="34"/>
        <v>1.6681329354468866</v>
      </c>
      <c r="AO93">
        <f t="shared" si="35"/>
        <v>1.6681329354468866</v>
      </c>
      <c r="AP93" s="20">
        <f t="shared" si="36"/>
        <v>0.99680895944565029</v>
      </c>
      <c r="AQ93" s="21">
        <f t="shared" si="37"/>
        <v>3.1910405543497619E-3</v>
      </c>
      <c r="AR93">
        <f t="shared" si="38"/>
        <v>-0.1174861140028059</v>
      </c>
      <c r="AS93">
        <f t="shared" si="39"/>
        <v>-0.1174861140028059</v>
      </c>
      <c r="AT93">
        <f t="shared" si="40"/>
        <v>2.1336199910618028</v>
      </c>
      <c r="AU93">
        <f t="shared" si="41"/>
        <v>2.1336199910618028</v>
      </c>
      <c r="AV93">
        <f t="shared" si="42"/>
        <v>-2.2511061050646073</v>
      </c>
      <c r="AW93">
        <f t="shared" si="43"/>
        <v>-18.160614206806144</v>
      </c>
      <c r="AX93">
        <f t="shared" si="44"/>
        <v>19.16061420680613</v>
      </c>
      <c r="AY93">
        <f t="shared" si="45"/>
        <v>4.4556238334404171E-3</v>
      </c>
      <c r="AZ93">
        <f t="shared" si="46"/>
        <v>4.7641449880419587E-3</v>
      </c>
      <c r="BA93" s="8">
        <f t="shared" si="47"/>
        <v>4.4556238334404171E-3</v>
      </c>
    </row>
    <row r="94" spans="1:53" x14ac:dyDescent="0.35">
      <c r="A94" s="10" t="s">
        <v>44</v>
      </c>
      <c r="B94" s="12" t="s">
        <v>68</v>
      </c>
      <c r="C94">
        <f t="shared" si="26"/>
        <v>-0.1736234271695335</v>
      </c>
      <c r="D94">
        <v>-0.17362342716953361</v>
      </c>
      <c r="E94">
        <v>-6.9507208530843301E-2</v>
      </c>
      <c r="F94">
        <v>-0.10411621863869019</v>
      </c>
      <c r="G94">
        <v>0</v>
      </c>
      <c r="H94">
        <v>0.30689155142270308</v>
      </c>
      <c r="I94">
        <v>0.20024042401510739</v>
      </c>
      <c r="J94">
        <v>0.10665112740759559</v>
      </c>
      <c r="K94">
        <v>0</v>
      </c>
      <c r="L94">
        <v>-0.64554443167754627</v>
      </c>
      <c r="M94">
        <v>-0.37816919898380608</v>
      </c>
      <c r="N94">
        <v>-0.25843281727599432</v>
      </c>
      <c r="O94">
        <v>-0.1513936558114537</v>
      </c>
      <c r="P94">
        <v>-0.38711161440155228</v>
      </c>
      <c r="Q94">
        <v>-0.2267755431723521</v>
      </c>
      <c r="R94">
        <v>0</v>
      </c>
      <c r="S94">
        <v>0</v>
      </c>
      <c r="T94">
        <v>1.1410449348886771</v>
      </c>
      <c r="U94">
        <v>0.6684405098345283</v>
      </c>
      <c r="V94">
        <v>0.74450834675371524</v>
      </c>
      <c r="W94">
        <v>0.43614368169354151</v>
      </c>
      <c r="X94">
        <v>0.39653658813496218</v>
      </c>
      <c r="Y94">
        <v>0.23229682814098659</v>
      </c>
      <c r="Z94">
        <v>0</v>
      </c>
      <c r="AA94">
        <v>0</v>
      </c>
      <c r="AB94">
        <v>45.911572818750003</v>
      </c>
      <c r="AC94">
        <v>26.895658710639999</v>
      </c>
      <c r="AD94" s="19">
        <f t="shared" si="27"/>
        <v>0.13326812425316947</v>
      </c>
      <c r="AE94" s="19">
        <f>(D94*-1)+(H94)</f>
        <v>0.48051497859223669</v>
      </c>
      <c r="AF94">
        <f>($D94/$AE94)*-1</f>
        <v>0.36132781475032816</v>
      </c>
      <c r="AG94">
        <f t="shared" si="48"/>
        <v>-0.36132781475032816</v>
      </c>
      <c r="AH94">
        <f>(($D94)/(AD94))*-1</f>
        <v>1.3028128679871052</v>
      </c>
      <c r="AI94">
        <f t="shared" si="49"/>
        <v>-1.3028128679871052</v>
      </c>
      <c r="AJ94">
        <f t="shared" si="31"/>
        <v>-0.21667632285619726</v>
      </c>
      <c r="AK94">
        <f t="shared" si="25"/>
        <v>-0.78125372606656185</v>
      </c>
      <c r="AL94">
        <f t="shared" si="32"/>
        <v>-0.14465149189413068</v>
      </c>
      <c r="AM94">
        <f t="shared" si="33"/>
        <v>-0.52155914192054242</v>
      </c>
      <c r="AN94">
        <f t="shared" si="34"/>
        <v>0</v>
      </c>
      <c r="AO94">
        <f t="shared" si="35"/>
        <v>0</v>
      </c>
      <c r="AP94" s="20">
        <f t="shared" si="36"/>
        <v>0.59966687869273871</v>
      </c>
      <c r="AQ94" s="21">
        <f t="shared" si="37"/>
        <v>0.40033312130726106</v>
      </c>
      <c r="AR94">
        <f t="shared" si="38"/>
        <v>0.63867218524967184</v>
      </c>
      <c r="AS94">
        <f t="shared" si="39"/>
        <v>2.3028128679871052</v>
      </c>
      <c r="AT94">
        <f t="shared" si="40"/>
        <v>0.4167204622876714</v>
      </c>
      <c r="AU94">
        <f t="shared" si="41"/>
        <v>1.5025380235314982</v>
      </c>
      <c r="AV94">
        <f t="shared" si="42"/>
        <v>0.80027484445560615</v>
      </c>
      <c r="AW94">
        <f t="shared" si="43"/>
        <v>0.65247942827628491</v>
      </c>
      <c r="AX94">
        <f t="shared" si="44"/>
        <v>0.34752057172371481</v>
      </c>
      <c r="AY94">
        <f t="shared" si="45"/>
        <v>4.955005032111306E-3</v>
      </c>
      <c r="AZ94">
        <f t="shared" si="46"/>
        <v>2.9027131085072213E-3</v>
      </c>
      <c r="BA94" s="8">
        <f t="shared" si="47"/>
        <v>1.7865893665662241E-2</v>
      </c>
    </row>
    <row r="95" spans="1:53" x14ac:dyDescent="0.35">
      <c r="A95" s="9" t="s">
        <v>45</v>
      </c>
      <c r="B95" s="11" t="s">
        <v>68</v>
      </c>
      <c r="C95">
        <f t="shared" si="26"/>
        <v>-1.5678243516124075</v>
      </c>
      <c r="D95">
        <v>-0.74604999194765043</v>
      </c>
      <c r="E95">
        <v>-0.1105178378938607</v>
      </c>
      <c r="F95">
        <v>-0.63553215405378971</v>
      </c>
      <c r="G95">
        <v>-0.82177435966475709</v>
      </c>
      <c r="H95">
        <v>0.66176208666115244</v>
      </c>
      <c r="I95">
        <v>0.1217969719819347</v>
      </c>
      <c r="J95">
        <v>0.53996511467921771</v>
      </c>
      <c r="K95">
        <v>5.0329327265262701E-2</v>
      </c>
      <c r="L95">
        <v>-0.2928624518272942</v>
      </c>
      <c r="M95">
        <v>-0.29381032599445422</v>
      </c>
      <c r="N95">
        <v>-4.33838554059238E-2</v>
      </c>
      <c r="O95">
        <v>-4.3524270933945598E-2</v>
      </c>
      <c r="P95">
        <v>-0.2494785964213703</v>
      </c>
      <c r="Q95">
        <v>-0.25028605506050861</v>
      </c>
      <c r="R95">
        <v>-0.32258810591490872</v>
      </c>
      <c r="S95">
        <v>-0.32363218968297769</v>
      </c>
      <c r="T95">
        <v>0.25977517501203978</v>
      </c>
      <c r="U95">
        <v>0.26061595940118559</v>
      </c>
      <c r="V95">
        <v>4.7811487467012102E-2</v>
      </c>
      <c r="W95">
        <v>4.7966233401769802E-2</v>
      </c>
      <c r="X95">
        <v>0.21196368754502701</v>
      </c>
      <c r="Y95">
        <v>0.21264972599941601</v>
      </c>
      <c r="Z95">
        <v>1.9756813002897701E-2</v>
      </c>
      <c r="AA95">
        <v>1.9820757604037301E-2</v>
      </c>
      <c r="AB95">
        <v>253.92231856471</v>
      </c>
      <c r="AC95">
        <v>254.7441596875</v>
      </c>
      <c r="AD95" s="19">
        <f t="shared" si="27"/>
        <v>-8.4287905286497988E-2</v>
      </c>
      <c r="AE95" s="19">
        <f>(D95*-1)+(H95)</f>
        <v>1.4078120786088029</v>
      </c>
      <c r="AF95">
        <f>($D95/$AE95)*-1</f>
        <v>0.52993577998343044</v>
      </c>
      <c r="AG95">
        <f t="shared" si="48"/>
        <v>-0.52993577998343044</v>
      </c>
      <c r="AH95">
        <f t="shared" si="30"/>
        <v>8.8512104958807125</v>
      </c>
      <c r="AI95">
        <f t="shared" si="49"/>
        <v>8.8512104958807125</v>
      </c>
      <c r="AJ95">
        <f t="shared" si="31"/>
        <v>-0.45143251980180576</v>
      </c>
      <c r="AK95">
        <f t="shared" si="25"/>
        <v>7.5400159951014363</v>
      </c>
      <c r="AL95">
        <f t="shared" si="32"/>
        <v>-7.8503260181624679E-2</v>
      </c>
      <c r="AM95">
        <f t="shared" si="33"/>
        <v>1.3111945007792769</v>
      </c>
      <c r="AN95">
        <f t="shared" si="34"/>
        <v>-0.5837244701557277</v>
      </c>
      <c r="AO95">
        <f t="shared" si="35"/>
        <v>9.7496118437338417</v>
      </c>
      <c r="AP95" s="20">
        <f t="shared" si="36"/>
        <v>0.85186269139238102</v>
      </c>
      <c r="AQ95" s="21">
        <f t="shared" si="37"/>
        <v>0.14813730860761892</v>
      </c>
      <c r="AR95">
        <f t="shared" si="38"/>
        <v>0.47006422001656956</v>
      </c>
      <c r="AS95">
        <f t="shared" si="39"/>
        <v>-7.8512104958807125</v>
      </c>
      <c r="AT95">
        <f t="shared" si="40"/>
        <v>8.6515078136205667E-2</v>
      </c>
      <c r="AU95">
        <f t="shared" si="41"/>
        <v>-1.4450112571660416</v>
      </c>
      <c r="AV95">
        <f t="shared" si="42"/>
        <v>-6.4061992387146711</v>
      </c>
      <c r="AW95">
        <f t="shared" si="43"/>
        <v>0.18404948611735658</v>
      </c>
      <c r="AX95">
        <f t="shared" si="44"/>
        <v>0.81595051388264339</v>
      </c>
      <c r="AY95">
        <f t="shared" si="45"/>
        <v>-3.3087276815254853E-4</v>
      </c>
      <c r="AZ95">
        <f t="shared" si="46"/>
        <v>-3.3194366593268922E-4</v>
      </c>
      <c r="BA95" s="8">
        <f t="shared" si="47"/>
        <v>5.5263762683933383E-3</v>
      </c>
    </row>
    <row r="96" spans="1:53" x14ac:dyDescent="0.35">
      <c r="A96" s="10" t="s">
        <v>46</v>
      </c>
      <c r="B96" s="12" t="s">
        <v>68</v>
      </c>
      <c r="C96">
        <f t="shared" si="26"/>
        <v>4.2405589852861407</v>
      </c>
      <c r="D96">
        <v>2.8687653080557518</v>
      </c>
      <c r="E96">
        <v>-0.36466848586374179</v>
      </c>
      <c r="F96">
        <v>3.233433793919493</v>
      </c>
      <c r="G96">
        <v>1.3717936772303889</v>
      </c>
      <c r="H96">
        <v>-5.9887947660008241</v>
      </c>
      <c r="I96">
        <v>-6.4199944000000002</v>
      </c>
      <c r="J96">
        <v>0.43119963399917571</v>
      </c>
      <c r="K96">
        <v>0</v>
      </c>
      <c r="L96">
        <v>1.406926427152758</v>
      </c>
      <c r="M96">
        <v>0.951356418582324</v>
      </c>
      <c r="N96">
        <v>-0.1788440931263203</v>
      </c>
      <c r="O96">
        <v>-0.12093345653161609</v>
      </c>
      <c r="P96">
        <v>1.5857705202790779</v>
      </c>
      <c r="Q96">
        <v>1.07228987511394</v>
      </c>
      <c r="R96">
        <v>0.6727677484375747</v>
      </c>
      <c r="S96">
        <v>0.45492209353586399</v>
      </c>
      <c r="T96">
        <v>-2.937080143649355</v>
      </c>
      <c r="U96">
        <v>-1.986038496843253</v>
      </c>
      <c r="V96">
        <v>-3.148553058059071</v>
      </c>
      <c r="W96">
        <v>-2.1290353946178868</v>
      </c>
      <c r="X96">
        <v>0.21147291440971619</v>
      </c>
      <c r="Y96">
        <v>0.14299689777463409</v>
      </c>
      <c r="Z96">
        <v>0</v>
      </c>
      <c r="AA96">
        <v>0</v>
      </c>
      <c r="AB96">
        <v>301.54474727050001</v>
      </c>
      <c r="AC96">
        <v>203.90300819506001</v>
      </c>
      <c r="AD96" s="19">
        <f t="shared" si="27"/>
        <v>-3.1200294579450722</v>
      </c>
      <c r="AE96" s="19">
        <f>(D96)+(H96*-1)</f>
        <v>8.8575600740565754</v>
      </c>
      <c r="AF96">
        <f t="shared" si="29"/>
        <v>0.32387760106287578</v>
      </c>
      <c r="AG96">
        <f t="shared" si="48"/>
        <v>0.32387760106287578</v>
      </c>
      <c r="AH96">
        <f>(($D96)/(AD96))*-1</f>
        <v>0.91946737898596342</v>
      </c>
      <c r="AI96">
        <f t="shared" si="49"/>
        <v>-0.91946737898596342</v>
      </c>
      <c r="AJ96">
        <f t="shared" si="31"/>
        <v>0.36504791013386251</v>
      </c>
      <c r="AK96">
        <f t="shared" si="25"/>
        <v>-1.0363472004040346</v>
      </c>
      <c r="AL96">
        <f t="shared" si="32"/>
        <v>-4.1170309070986781E-2</v>
      </c>
      <c r="AM96">
        <f t="shared" si="33"/>
        <v>0.11687982141807128</v>
      </c>
      <c r="AN96">
        <f t="shared" si="34"/>
        <v>0.15487263600371343</v>
      </c>
      <c r="AO96">
        <f t="shared" si="35"/>
        <v>-0.43967330940967647</v>
      </c>
      <c r="AP96" s="20">
        <f t="shared" si="36"/>
        <v>1.1271168766715491</v>
      </c>
      <c r="AQ96" s="21">
        <f t="shared" si="37"/>
        <v>-0.12711687667154917</v>
      </c>
      <c r="AR96">
        <f t="shared" si="38"/>
        <v>-0.67612239893712434</v>
      </c>
      <c r="AS96">
        <f t="shared" si="39"/>
        <v>1.9194673789859635</v>
      </c>
      <c r="AT96">
        <f t="shared" si="40"/>
        <v>-0.72480393543182353</v>
      </c>
      <c r="AU96">
        <f t="shared" si="41"/>
        <v>2.0576710850122439</v>
      </c>
      <c r="AV96">
        <f t="shared" si="42"/>
        <v>-0.13820370602628038</v>
      </c>
      <c r="AW96">
        <f t="shared" si="43"/>
        <v>1.0720010704736709</v>
      </c>
      <c r="AX96">
        <f t="shared" si="44"/>
        <v>-7.2001070473670728E-2</v>
      </c>
      <c r="AY96">
        <f t="shared" si="45"/>
        <v>-1.5301537164965974E-2</v>
      </c>
      <c r="AZ96">
        <f t="shared" si="46"/>
        <v>-1.0346820782609279E-2</v>
      </c>
      <c r="BA96" s="8">
        <f t="shared" si="47"/>
        <v>4.3440065708021121E-2</v>
      </c>
    </row>
    <row r="97" spans="1:53" x14ac:dyDescent="0.35">
      <c r="A97" s="10" t="s">
        <v>47</v>
      </c>
      <c r="B97" s="12" t="s">
        <v>68</v>
      </c>
      <c r="C97">
        <f t="shared" si="26"/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19.06914282116</v>
      </c>
      <c r="AC97">
        <v>20.729999827290001</v>
      </c>
      <c r="AD97" s="19">
        <f t="shared" si="27"/>
        <v>0</v>
      </c>
      <c r="AE97" s="19">
        <f t="shared" si="28"/>
        <v>0</v>
      </c>
      <c r="AF97">
        <v>0</v>
      </c>
      <c r="AG97">
        <v>0</v>
      </c>
      <c r="AH97">
        <v>0</v>
      </c>
      <c r="AI97">
        <v>0</v>
      </c>
      <c r="AJ97" t="e">
        <f t="shared" si="31"/>
        <v>#DIV/0!</v>
      </c>
      <c r="AK97">
        <v>0</v>
      </c>
      <c r="AL97" t="e">
        <f t="shared" si="32"/>
        <v>#DIV/0!</v>
      </c>
      <c r="AM97" t="e">
        <f t="shared" si="33"/>
        <v>#DIV/0!</v>
      </c>
      <c r="AN97" t="e">
        <f t="shared" si="34"/>
        <v>#DIV/0!</v>
      </c>
      <c r="AO97" t="e">
        <f t="shared" si="35"/>
        <v>#DIV/0!</v>
      </c>
      <c r="AP97" s="20" t="e">
        <f t="shared" si="36"/>
        <v>#DIV/0!</v>
      </c>
      <c r="AQ97" s="21" t="e">
        <f t="shared" si="37"/>
        <v>#DIV/0!</v>
      </c>
      <c r="AR97" t="e">
        <f t="shared" si="38"/>
        <v>#DIV/0!</v>
      </c>
      <c r="AS97" t="e">
        <f t="shared" si="39"/>
        <v>#DIV/0!</v>
      </c>
      <c r="AT97" t="e">
        <f t="shared" si="40"/>
        <v>#DIV/0!</v>
      </c>
      <c r="AU97" t="e">
        <f t="shared" si="41"/>
        <v>#DIV/0!</v>
      </c>
      <c r="AV97" t="e">
        <f t="shared" si="42"/>
        <v>#DIV/0!</v>
      </c>
      <c r="AW97" t="e">
        <f t="shared" si="43"/>
        <v>#DIV/0!</v>
      </c>
      <c r="AX97" t="e">
        <f t="shared" si="44"/>
        <v>#DIV/0!</v>
      </c>
      <c r="AY97">
        <f t="shared" si="45"/>
        <v>0</v>
      </c>
      <c r="AZ97">
        <f t="shared" si="46"/>
        <v>0</v>
      </c>
      <c r="BA97" s="8">
        <f t="shared" si="47"/>
        <v>0</v>
      </c>
    </row>
    <row r="98" spans="1:53" x14ac:dyDescent="0.35">
      <c r="A98" s="10" t="s">
        <v>48</v>
      </c>
      <c r="B98" s="12" t="s">
        <v>68</v>
      </c>
      <c r="C98">
        <f t="shared" si="26"/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417.89075855828003</v>
      </c>
      <c r="AC98">
        <v>371.46659669328</v>
      </c>
      <c r="AD98" s="19">
        <f t="shared" si="27"/>
        <v>0</v>
      </c>
      <c r="AE98" s="19">
        <f t="shared" si="28"/>
        <v>0</v>
      </c>
      <c r="AF98">
        <v>0</v>
      </c>
      <c r="AG98">
        <v>0</v>
      </c>
      <c r="AH98">
        <v>0</v>
      </c>
      <c r="AI98">
        <v>0</v>
      </c>
      <c r="AJ98" t="e">
        <f t="shared" si="31"/>
        <v>#DIV/0!</v>
      </c>
      <c r="AK98">
        <v>0</v>
      </c>
      <c r="AL98" t="e">
        <f t="shared" si="32"/>
        <v>#DIV/0!</v>
      </c>
      <c r="AM98" t="e">
        <f t="shared" si="33"/>
        <v>#DIV/0!</v>
      </c>
      <c r="AN98" t="e">
        <f t="shared" si="34"/>
        <v>#DIV/0!</v>
      </c>
      <c r="AO98" t="e">
        <f t="shared" si="35"/>
        <v>#DIV/0!</v>
      </c>
      <c r="AP98" s="20" t="e">
        <f t="shared" si="36"/>
        <v>#DIV/0!</v>
      </c>
      <c r="AQ98" s="21" t="e">
        <f t="shared" si="37"/>
        <v>#DIV/0!</v>
      </c>
      <c r="AR98" t="e">
        <f t="shared" si="38"/>
        <v>#DIV/0!</v>
      </c>
      <c r="AS98" t="e">
        <f t="shared" si="39"/>
        <v>#DIV/0!</v>
      </c>
      <c r="AT98" t="e">
        <f t="shared" si="40"/>
        <v>#DIV/0!</v>
      </c>
      <c r="AU98" t="e">
        <f t="shared" si="41"/>
        <v>#DIV/0!</v>
      </c>
      <c r="AV98" t="e">
        <f t="shared" si="42"/>
        <v>#DIV/0!</v>
      </c>
      <c r="AW98" t="e">
        <f t="shared" si="43"/>
        <v>#DIV/0!</v>
      </c>
      <c r="AX98" t="e">
        <f t="shared" si="44"/>
        <v>#DIV/0!</v>
      </c>
      <c r="AY98">
        <f t="shared" si="45"/>
        <v>0</v>
      </c>
      <c r="AZ98">
        <f t="shared" si="46"/>
        <v>0</v>
      </c>
      <c r="BA98" s="8">
        <f t="shared" si="47"/>
        <v>0</v>
      </c>
    </row>
    <row r="99" spans="1:53" x14ac:dyDescent="0.35">
      <c r="A99" s="10" t="s">
        <v>49</v>
      </c>
      <c r="B99" s="12" t="s">
        <v>68</v>
      </c>
      <c r="C99">
        <f t="shared" si="26"/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342.39670930134002</v>
      </c>
      <c r="AC99">
        <v>358.46025273358998</v>
      </c>
      <c r="AD99" s="19">
        <f t="shared" si="27"/>
        <v>0</v>
      </c>
      <c r="AE99" s="19">
        <f t="shared" si="28"/>
        <v>0</v>
      </c>
      <c r="AF99">
        <v>0</v>
      </c>
      <c r="AG99">
        <v>0</v>
      </c>
      <c r="AH99">
        <v>0</v>
      </c>
      <c r="AI99">
        <v>0</v>
      </c>
      <c r="AJ99" t="e">
        <f t="shared" si="31"/>
        <v>#DIV/0!</v>
      </c>
      <c r="AK99">
        <v>0</v>
      </c>
      <c r="AL99" t="e">
        <f t="shared" si="32"/>
        <v>#DIV/0!</v>
      </c>
      <c r="AM99" t="e">
        <f t="shared" si="33"/>
        <v>#DIV/0!</v>
      </c>
      <c r="AN99" t="e">
        <f t="shared" si="34"/>
        <v>#DIV/0!</v>
      </c>
      <c r="AO99" t="e">
        <f t="shared" si="35"/>
        <v>#DIV/0!</v>
      </c>
      <c r="AP99" s="20" t="e">
        <f t="shared" si="36"/>
        <v>#DIV/0!</v>
      </c>
      <c r="AQ99" s="21" t="e">
        <f t="shared" si="37"/>
        <v>#DIV/0!</v>
      </c>
      <c r="AR99" t="e">
        <f t="shared" si="38"/>
        <v>#DIV/0!</v>
      </c>
      <c r="AS99" t="e">
        <f t="shared" si="39"/>
        <v>#DIV/0!</v>
      </c>
      <c r="AT99" t="e">
        <f t="shared" si="40"/>
        <v>#DIV/0!</v>
      </c>
      <c r="AU99" t="e">
        <f t="shared" si="41"/>
        <v>#DIV/0!</v>
      </c>
      <c r="AV99" t="e">
        <f t="shared" si="42"/>
        <v>#DIV/0!</v>
      </c>
      <c r="AW99" t="e">
        <f t="shared" si="43"/>
        <v>#DIV/0!</v>
      </c>
      <c r="AX99" t="e">
        <f t="shared" si="44"/>
        <v>#DIV/0!</v>
      </c>
      <c r="AY99">
        <f t="shared" si="45"/>
        <v>0</v>
      </c>
      <c r="AZ99">
        <f t="shared" si="46"/>
        <v>0</v>
      </c>
      <c r="BA99" s="8">
        <f t="shared" si="47"/>
        <v>0</v>
      </c>
    </row>
    <row r="100" spans="1:53" x14ac:dyDescent="0.35">
      <c r="A100" s="10" t="s">
        <v>50</v>
      </c>
      <c r="B100" s="12" t="s">
        <v>68</v>
      </c>
      <c r="C100">
        <f t="shared" si="26"/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55.422589739999999</v>
      </c>
      <c r="AC100">
        <v>30.160077523049999</v>
      </c>
      <c r="AD100" s="19">
        <f t="shared" si="27"/>
        <v>0</v>
      </c>
      <c r="AE100" s="19">
        <f t="shared" si="28"/>
        <v>0</v>
      </c>
      <c r="AF100">
        <v>0</v>
      </c>
      <c r="AG100">
        <v>0</v>
      </c>
      <c r="AH100">
        <v>0</v>
      </c>
      <c r="AI100">
        <v>0</v>
      </c>
      <c r="AJ100" t="e">
        <f t="shared" si="31"/>
        <v>#DIV/0!</v>
      </c>
      <c r="AK100">
        <v>0</v>
      </c>
      <c r="AL100" t="e">
        <f t="shared" si="32"/>
        <v>#DIV/0!</v>
      </c>
      <c r="AM100" t="e">
        <f t="shared" si="33"/>
        <v>#DIV/0!</v>
      </c>
      <c r="AN100" t="e">
        <f t="shared" si="34"/>
        <v>#DIV/0!</v>
      </c>
      <c r="AO100" t="e">
        <f t="shared" si="35"/>
        <v>#DIV/0!</v>
      </c>
      <c r="AP100" s="20" t="e">
        <f t="shared" si="36"/>
        <v>#DIV/0!</v>
      </c>
      <c r="AQ100" s="21" t="e">
        <f t="shared" si="37"/>
        <v>#DIV/0!</v>
      </c>
      <c r="AR100" t="e">
        <f t="shared" si="38"/>
        <v>#DIV/0!</v>
      </c>
      <c r="AS100" t="e">
        <f t="shared" si="39"/>
        <v>#DIV/0!</v>
      </c>
      <c r="AT100" t="e">
        <f t="shared" si="40"/>
        <v>#DIV/0!</v>
      </c>
      <c r="AU100" t="e">
        <f t="shared" si="41"/>
        <v>#DIV/0!</v>
      </c>
      <c r="AV100" t="e">
        <f t="shared" si="42"/>
        <v>#DIV/0!</v>
      </c>
      <c r="AW100" t="e">
        <f t="shared" si="43"/>
        <v>#DIV/0!</v>
      </c>
      <c r="AX100" t="e">
        <f t="shared" si="44"/>
        <v>#DIV/0!</v>
      </c>
      <c r="AY100">
        <f t="shared" si="45"/>
        <v>0</v>
      </c>
      <c r="AZ100">
        <f t="shared" si="46"/>
        <v>0</v>
      </c>
      <c r="BA100" s="8">
        <f t="shared" si="47"/>
        <v>0</v>
      </c>
    </row>
    <row r="101" spans="1:53" x14ac:dyDescent="0.35">
      <c r="A101" s="10" t="s">
        <v>51</v>
      </c>
      <c r="B101" s="12" t="s">
        <v>68</v>
      </c>
      <c r="C101">
        <f t="shared" si="26"/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97.136073348400004</v>
      </c>
      <c r="AC101">
        <v>48.216768505140003</v>
      </c>
      <c r="AD101" s="19">
        <f t="shared" si="27"/>
        <v>0</v>
      </c>
      <c r="AE101" s="19">
        <f t="shared" si="28"/>
        <v>0</v>
      </c>
      <c r="AF101">
        <v>0</v>
      </c>
      <c r="AG101">
        <v>0</v>
      </c>
      <c r="AH101">
        <v>0</v>
      </c>
      <c r="AI101">
        <v>0</v>
      </c>
      <c r="AJ101" t="e">
        <f t="shared" si="31"/>
        <v>#DIV/0!</v>
      </c>
      <c r="AK101">
        <v>0</v>
      </c>
      <c r="AL101" t="e">
        <f t="shared" si="32"/>
        <v>#DIV/0!</v>
      </c>
      <c r="AM101" t="e">
        <f t="shared" si="33"/>
        <v>#DIV/0!</v>
      </c>
      <c r="AN101" t="e">
        <f t="shared" si="34"/>
        <v>#DIV/0!</v>
      </c>
      <c r="AO101" t="e">
        <f t="shared" si="35"/>
        <v>#DIV/0!</v>
      </c>
      <c r="AP101" s="20" t="e">
        <f t="shared" si="36"/>
        <v>#DIV/0!</v>
      </c>
      <c r="AQ101" s="21" t="e">
        <f t="shared" si="37"/>
        <v>#DIV/0!</v>
      </c>
      <c r="AR101" t="e">
        <f t="shared" si="38"/>
        <v>#DIV/0!</v>
      </c>
      <c r="AS101" t="e">
        <f t="shared" si="39"/>
        <v>#DIV/0!</v>
      </c>
      <c r="AT101" t="e">
        <f t="shared" si="40"/>
        <v>#DIV/0!</v>
      </c>
      <c r="AU101" t="e">
        <f t="shared" si="41"/>
        <v>#DIV/0!</v>
      </c>
      <c r="AV101" t="e">
        <f t="shared" si="42"/>
        <v>#DIV/0!</v>
      </c>
      <c r="AW101" t="e">
        <f t="shared" si="43"/>
        <v>#DIV/0!</v>
      </c>
      <c r="AX101" t="e">
        <f t="shared" si="44"/>
        <v>#DIV/0!</v>
      </c>
      <c r="AY101">
        <f t="shared" si="45"/>
        <v>0</v>
      </c>
      <c r="AZ101">
        <f t="shared" si="46"/>
        <v>0</v>
      </c>
      <c r="BA101" s="8">
        <f t="shared" si="47"/>
        <v>0</v>
      </c>
    </row>
    <row r="102" spans="1:53" x14ac:dyDescent="0.35">
      <c r="A102" s="10" t="s">
        <v>52</v>
      </c>
      <c r="B102" s="12" t="s">
        <v>68</v>
      </c>
      <c r="C102">
        <f t="shared" si="26"/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66.343484468840003</v>
      </c>
      <c r="AC102">
        <v>66.557495896739994</v>
      </c>
      <c r="AD102" s="19">
        <f t="shared" si="27"/>
        <v>0</v>
      </c>
      <c r="AE102" s="19">
        <f t="shared" si="28"/>
        <v>0</v>
      </c>
      <c r="AF102">
        <v>0</v>
      </c>
      <c r="AG102">
        <v>0</v>
      </c>
      <c r="AH102">
        <v>0</v>
      </c>
      <c r="AI102">
        <v>0</v>
      </c>
      <c r="AJ102" t="e">
        <f t="shared" si="31"/>
        <v>#DIV/0!</v>
      </c>
      <c r="AK102">
        <v>0</v>
      </c>
      <c r="AL102" t="e">
        <f t="shared" si="32"/>
        <v>#DIV/0!</v>
      </c>
      <c r="AM102" t="e">
        <f t="shared" si="33"/>
        <v>#DIV/0!</v>
      </c>
      <c r="AN102" t="e">
        <f t="shared" si="34"/>
        <v>#DIV/0!</v>
      </c>
      <c r="AO102" t="e">
        <f t="shared" si="35"/>
        <v>#DIV/0!</v>
      </c>
      <c r="AP102" s="20" t="e">
        <f t="shared" si="36"/>
        <v>#DIV/0!</v>
      </c>
      <c r="AQ102" s="21" t="e">
        <f t="shared" si="37"/>
        <v>#DIV/0!</v>
      </c>
      <c r="AR102" t="e">
        <f t="shared" si="38"/>
        <v>#DIV/0!</v>
      </c>
      <c r="AS102" t="e">
        <f t="shared" si="39"/>
        <v>#DIV/0!</v>
      </c>
      <c r="AT102" t="e">
        <f t="shared" si="40"/>
        <v>#DIV/0!</v>
      </c>
      <c r="AU102" t="e">
        <f t="shared" si="41"/>
        <v>#DIV/0!</v>
      </c>
      <c r="AV102" t="e">
        <f t="shared" si="42"/>
        <v>#DIV/0!</v>
      </c>
      <c r="AW102" t="e">
        <f t="shared" si="43"/>
        <v>#DIV/0!</v>
      </c>
      <c r="AX102" t="e">
        <f t="shared" si="44"/>
        <v>#DIV/0!</v>
      </c>
      <c r="AY102">
        <f t="shared" si="45"/>
        <v>0</v>
      </c>
      <c r="AZ102">
        <f t="shared" si="46"/>
        <v>0</v>
      </c>
      <c r="BA102" s="8">
        <f t="shared" si="47"/>
        <v>0</v>
      </c>
    </row>
    <row r="103" spans="1:53" x14ac:dyDescent="0.35">
      <c r="A103" s="10" t="s">
        <v>53</v>
      </c>
      <c r="B103" s="12" t="s">
        <v>68</v>
      </c>
      <c r="C103">
        <f t="shared" si="26"/>
        <v>2.6041998515920959</v>
      </c>
      <c r="D103">
        <v>6.7094683675636091</v>
      </c>
      <c r="E103">
        <v>3.464714722161641</v>
      </c>
      <c r="F103">
        <v>3.2447536454019712</v>
      </c>
      <c r="G103">
        <v>-4.1052685159715168</v>
      </c>
      <c r="H103">
        <v>4.2836647687777969</v>
      </c>
      <c r="I103">
        <v>0</v>
      </c>
      <c r="J103">
        <v>4.2836647687777969</v>
      </c>
      <c r="K103">
        <v>0</v>
      </c>
      <c r="L103">
        <v>0.79850817559321996</v>
      </c>
      <c r="M103">
        <v>0.71955999760414269</v>
      </c>
      <c r="N103">
        <v>0.4123431068129309</v>
      </c>
      <c r="O103">
        <v>0.37157491184103569</v>
      </c>
      <c r="P103">
        <v>0.3861650687802895</v>
      </c>
      <c r="Q103">
        <v>0.34798508576310722</v>
      </c>
      <c r="R103">
        <v>-0.48857678334938898</v>
      </c>
      <c r="S103">
        <v>-0.44027139583780439</v>
      </c>
      <c r="T103">
        <v>0.50980810281572397</v>
      </c>
      <c r="U103">
        <v>0.45940358339866272</v>
      </c>
      <c r="V103">
        <v>0</v>
      </c>
      <c r="W103">
        <v>0</v>
      </c>
      <c r="X103">
        <v>0.50980810281572397</v>
      </c>
      <c r="Y103">
        <v>0.45940358339866272</v>
      </c>
      <c r="Z103">
        <v>0</v>
      </c>
      <c r="AA103">
        <v>0</v>
      </c>
      <c r="AB103">
        <v>932.44043441874999</v>
      </c>
      <c r="AC103">
        <v>840.25042856688003</v>
      </c>
      <c r="AD103" s="19">
        <f t="shared" si="27"/>
        <v>10.993133136341406</v>
      </c>
      <c r="AE103" s="19">
        <f t="shared" si="28"/>
        <v>10.993133136341406</v>
      </c>
      <c r="AF103">
        <f t="shared" si="29"/>
        <v>0.61033267625798704</v>
      </c>
      <c r="AG103">
        <f>D103/AE103</f>
        <v>0.61033267625798704</v>
      </c>
      <c r="AH103">
        <f t="shared" si="30"/>
        <v>0.61033267625798704</v>
      </c>
      <c r="AI103">
        <f>$D103/(AD103)</f>
        <v>0.61033267625798704</v>
      </c>
      <c r="AJ103">
        <f t="shared" si="31"/>
        <v>0.29516186196957572</v>
      </c>
      <c r="AK103">
        <f>(F103/(AD103))</f>
        <v>0.29516186196957572</v>
      </c>
      <c r="AL103">
        <f t="shared" si="32"/>
        <v>0.31517081428841159</v>
      </c>
      <c r="AM103">
        <f t="shared" si="33"/>
        <v>0.31517081428841159</v>
      </c>
      <c r="AN103">
        <f t="shared" si="34"/>
        <v>-0.37343935209883028</v>
      </c>
      <c r="AO103">
        <f t="shared" si="35"/>
        <v>-0.37343935209883028</v>
      </c>
      <c r="AP103" s="20">
        <f t="shared" si="36"/>
        <v>0.48360815904408655</v>
      </c>
      <c r="AQ103" s="21">
        <f t="shared" si="37"/>
        <v>0.51639184095591373</v>
      </c>
      <c r="AR103">
        <f t="shared" si="38"/>
        <v>0.38966732374201296</v>
      </c>
      <c r="AS103">
        <f t="shared" si="39"/>
        <v>0.38966732374201296</v>
      </c>
      <c r="AT103">
        <f t="shared" si="40"/>
        <v>0</v>
      </c>
      <c r="AU103">
        <f t="shared" si="41"/>
        <v>0</v>
      </c>
      <c r="AV103">
        <f t="shared" si="42"/>
        <v>0.38966732374201296</v>
      </c>
      <c r="AW103">
        <f t="shared" si="43"/>
        <v>0</v>
      </c>
      <c r="AX103">
        <f t="shared" si="44"/>
        <v>1</v>
      </c>
      <c r="AY103">
        <f t="shared" si="45"/>
        <v>1.3083162784089438E-2</v>
      </c>
      <c r="AZ103">
        <f t="shared" si="46"/>
        <v>1.178963581002805E-2</v>
      </c>
      <c r="BA103" s="8">
        <f t="shared" si="47"/>
        <v>1.3083162784089438E-2</v>
      </c>
    </row>
    <row r="104" spans="1:53" x14ac:dyDescent="0.35">
      <c r="A104" s="10" t="s">
        <v>54</v>
      </c>
      <c r="B104" s="12" t="s">
        <v>68</v>
      </c>
      <c r="C104">
        <f t="shared" si="26"/>
        <v>-1.5631513525729279</v>
      </c>
      <c r="D104">
        <v>-1.5631513525729299</v>
      </c>
      <c r="E104">
        <v>0.199134188698951</v>
      </c>
      <c r="F104">
        <v>-1.762285541271879</v>
      </c>
      <c r="G104">
        <v>0</v>
      </c>
      <c r="H104">
        <v>0.14987911249498689</v>
      </c>
      <c r="I104">
        <v>7.4029359208051607E-2</v>
      </c>
      <c r="J104">
        <v>7.5849753286935301E-2</v>
      </c>
      <c r="K104">
        <v>0</v>
      </c>
      <c r="L104">
        <v>-0.7702564211840901</v>
      </c>
      <c r="M104">
        <v>-0.80585693116972834</v>
      </c>
      <c r="N104">
        <v>9.8125103029966798E-2</v>
      </c>
      <c r="O104">
        <v>0.10266035079186191</v>
      </c>
      <c r="P104">
        <v>-0.86838152421405468</v>
      </c>
      <c r="Q104">
        <v>-0.90851728196158998</v>
      </c>
      <c r="R104">
        <v>0</v>
      </c>
      <c r="S104">
        <v>0</v>
      </c>
      <c r="T104">
        <v>7.3854235938582702E-2</v>
      </c>
      <c r="U104">
        <v>7.7267707597762497E-2</v>
      </c>
      <c r="V104">
        <v>3.6478610463591903E-2</v>
      </c>
      <c r="W104">
        <v>3.8164616708207401E-2</v>
      </c>
      <c r="X104">
        <v>3.7375625474990799E-2</v>
      </c>
      <c r="Y104">
        <v>3.9103090889555298E-2</v>
      </c>
      <c r="Z104">
        <v>0</v>
      </c>
      <c r="AA104">
        <v>0</v>
      </c>
      <c r="AB104">
        <v>193.97380504054999</v>
      </c>
      <c r="AC104">
        <v>202.93908750153</v>
      </c>
      <c r="AD104" s="19">
        <f t="shared" si="27"/>
        <v>-1.4132722400779429</v>
      </c>
      <c r="AE104" s="19">
        <f>(D104*-1)+(H104)</f>
        <v>1.7130304650679169</v>
      </c>
      <c r="AF104">
        <f>($D104/$AE104)*-1</f>
        <v>0.91250645242374906</v>
      </c>
      <c r="AG104">
        <f>D104/AE104</f>
        <v>-0.91250645242374906</v>
      </c>
      <c r="AH104">
        <f t="shared" si="30"/>
        <v>1.1060511260638086</v>
      </c>
      <c r="AI104">
        <f>$D104/(AD104)</f>
        <v>1.1060511260638086</v>
      </c>
      <c r="AJ104">
        <f t="shared" si="31"/>
        <v>-1.0287531816907933</v>
      </c>
      <c r="AK104">
        <f>(F104/(AD104))</f>
        <v>1.2469540484108623</v>
      </c>
      <c r="AL104">
        <f t="shared" si="32"/>
        <v>0.11624672926704539</v>
      </c>
      <c r="AM104">
        <f t="shared" si="33"/>
        <v>-0.14090292234705509</v>
      </c>
      <c r="AN104">
        <f t="shared" si="34"/>
        <v>0</v>
      </c>
      <c r="AO104">
        <f t="shared" si="35"/>
        <v>0</v>
      </c>
      <c r="AP104" s="20">
        <f t="shared" si="36"/>
        <v>1.1273927750957569</v>
      </c>
      <c r="AQ104" s="21">
        <f t="shared" si="37"/>
        <v>-0.12739277509575661</v>
      </c>
      <c r="AR104">
        <f t="shared" si="38"/>
        <v>8.7493547576250844E-2</v>
      </c>
      <c r="AS104">
        <f t="shared" si="39"/>
        <v>-0.10605112606380845</v>
      </c>
      <c r="AT104">
        <f t="shared" si="40"/>
        <v>4.3215436454667223E-2</v>
      </c>
      <c r="AU104">
        <f t="shared" si="41"/>
        <v>-5.2381527853380065E-2</v>
      </c>
      <c r="AV104">
        <f t="shared" si="42"/>
        <v>-5.3669598210428396E-2</v>
      </c>
      <c r="AW104">
        <f t="shared" si="43"/>
        <v>0.4939271255060822</v>
      </c>
      <c r="AX104">
        <f t="shared" si="44"/>
        <v>0.50607287449391791</v>
      </c>
      <c r="AY104">
        <f t="shared" si="45"/>
        <v>-6.9640218524550527E-3</v>
      </c>
      <c r="AZ104">
        <f t="shared" si="46"/>
        <v>-7.2858922357196638E-3</v>
      </c>
      <c r="BA104" s="8">
        <f t="shared" si="47"/>
        <v>8.4411065712267086E-3</v>
      </c>
    </row>
    <row r="105" spans="1:53" x14ac:dyDescent="0.35">
      <c r="A105" s="10" t="s">
        <v>55</v>
      </c>
      <c r="B105" s="12" t="s">
        <v>68</v>
      </c>
      <c r="C105">
        <f t="shared" si="26"/>
        <v>0</v>
      </c>
      <c r="D105">
        <v>0</v>
      </c>
      <c r="E105">
        <v>0</v>
      </c>
      <c r="F105">
        <v>0</v>
      </c>
      <c r="G105">
        <v>0</v>
      </c>
      <c r="H105">
        <v>1.3754229037270851</v>
      </c>
      <c r="I105">
        <v>0.38291283511333057</v>
      </c>
      <c r="J105">
        <v>0.99251006861375402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0.33526511599412778</v>
      </c>
      <c r="U105">
        <v>0.416221861307843</v>
      </c>
      <c r="V105">
        <v>9.3336613584110897E-2</v>
      </c>
      <c r="W105">
        <v>0.1158746829921613</v>
      </c>
      <c r="X105">
        <v>0.24192850241001679</v>
      </c>
      <c r="Y105">
        <v>0.3003471783156817</v>
      </c>
      <c r="Z105">
        <v>0</v>
      </c>
      <c r="AA105">
        <v>0</v>
      </c>
      <c r="AB105">
        <v>330.45426768437</v>
      </c>
      <c r="AC105">
        <v>410.24933347112</v>
      </c>
      <c r="AD105" s="19">
        <f t="shared" si="27"/>
        <v>1.3754229037270851</v>
      </c>
      <c r="AE105" s="19">
        <f t="shared" si="28"/>
        <v>1.3754229037270851</v>
      </c>
      <c r="AF105">
        <f t="shared" si="29"/>
        <v>0</v>
      </c>
      <c r="AG105">
        <f>D105/AE105</f>
        <v>0</v>
      </c>
      <c r="AH105">
        <f t="shared" si="30"/>
        <v>0</v>
      </c>
      <c r="AI105">
        <f>$D105/(AD105)</f>
        <v>0</v>
      </c>
      <c r="AJ105">
        <f t="shared" si="31"/>
        <v>0</v>
      </c>
      <c r="AK105">
        <f>(F105/(AD105))</f>
        <v>0</v>
      </c>
      <c r="AL105">
        <f t="shared" si="32"/>
        <v>0</v>
      </c>
      <c r="AM105">
        <f t="shared" si="33"/>
        <v>0</v>
      </c>
      <c r="AN105">
        <f t="shared" si="34"/>
        <v>0</v>
      </c>
      <c r="AO105">
        <f t="shared" si="35"/>
        <v>0</v>
      </c>
      <c r="AP105" s="20" t="e">
        <f t="shared" si="36"/>
        <v>#DIV/0!</v>
      </c>
      <c r="AQ105" s="21" t="e">
        <f t="shared" si="37"/>
        <v>#DIV/0!</v>
      </c>
      <c r="AR105">
        <f t="shared" si="38"/>
        <v>1</v>
      </c>
      <c r="AS105">
        <f t="shared" si="39"/>
        <v>1</v>
      </c>
      <c r="AT105">
        <f t="shared" si="40"/>
        <v>0.27839643652561213</v>
      </c>
      <c r="AU105">
        <f t="shared" si="41"/>
        <v>0.27839643652561213</v>
      </c>
      <c r="AV105">
        <f t="shared" si="42"/>
        <v>0.72160356347438748</v>
      </c>
      <c r="AW105">
        <f t="shared" si="43"/>
        <v>0.27839643652561213</v>
      </c>
      <c r="AX105">
        <f t="shared" si="44"/>
        <v>0.72160356347438748</v>
      </c>
      <c r="AY105">
        <f t="shared" si="45"/>
        <v>3.3526511599412741E-3</v>
      </c>
      <c r="AZ105">
        <f t="shared" si="46"/>
        <v>4.1622186130784253E-3</v>
      </c>
      <c r="BA105" s="8">
        <f t="shared" si="47"/>
        <v>3.3526511599412741E-3</v>
      </c>
    </row>
    <row r="106" spans="1:53" x14ac:dyDescent="0.35">
      <c r="A106" s="10" t="s">
        <v>56</v>
      </c>
      <c r="B106" s="12" t="s">
        <v>68</v>
      </c>
      <c r="C106">
        <f t="shared" si="26"/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341.21592570296002</v>
      </c>
      <c r="AC106">
        <v>222.36238134761999</v>
      </c>
      <c r="AD106" s="19">
        <f t="shared" si="27"/>
        <v>0</v>
      </c>
      <c r="AE106" s="19">
        <f t="shared" si="28"/>
        <v>0</v>
      </c>
      <c r="AF106">
        <v>0</v>
      </c>
      <c r="AG106">
        <v>0</v>
      </c>
      <c r="AH106">
        <v>0</v>
      </c>
      <c r="AI106">
        <v>0</v>
      </c>
      <c r="AJ106" t="e">
        <f t="shared" si="31"/>
        <v>#DIV/0!</v>
      </c>
      <c r="AK106">
        <v>0</v>
      </c>
      <c r="AL106" t="e">
        <f t="shared" si="32"/>
        <v>#DIV/0!</v>
      </c>
      <c r="AM106" t="e">
        <f t="shared" si="33"/>
        <v>#DIV/0!</v>
      </c>
      <c r="AN106" t="e">
        <f t="shared" si="34"/>
        <v>#DIV/0!</v>
      </c>
      <c r="AO106" t="e">
        <f t="shared" si="35"/>
        <v>#DIV/0!</v>
      </c>
      <c r="AP106" s="20" t="e">
        <f t="shared" si="36"/>
        <v>#DIV/0!</v>
      </c>
      <c r="AQ106" s="21" t="e">
        <f t="shared" si="37"/>
        <v>#DIV/0!</v>
      </c>
      <c r="AR106" t="e">
        <f t="shared" si="38"/>
        <v>#DIV/0!</v>
      </c>
      <c r="AS106" t="e">
        <f t="shared" si="39"/>
        <v>#DIV/0!</v>
      </c>
      <c r="AT106" t="e">
        <f t="shared" si="40"/>
        <v>#DIV/0!</v>
      </c>
      <c r="AU106" t="e">
        <f t="shared" si="41"/>
        <v>#DIV/0!</v>
      </c>
      <c r="AV106" t="e">
        <f t="shared" si="42"/>
        <v>#DIV/0!</v>
      </c>
      <c r="AW106" t="e">
        <f t="shared" si="43"/>
        <v>#DIV/0!</v>
      </c>
      <c r="AX106" t="e">
        <f t="shared" si="44"/>
        <v>#DIV/0!</v>
      </c>
      <c r="AY106">
        <f t="shared" si="45"/>
        <v>0</v>
      </c>
      <c r="AZ106">
        <f t="shared" si="46"/>
        <v>0</v>
      </c>
      <c r="BA106" s="8">
        <f t="shared" si="47"/>
        <v>0</v>
      </c>
    </row>
    <row r="107" spans="1:53" x14ac:dyDescent="0.35">
      <c r="A107" s="10" t="s">
        <v>57</v>
      </c>
      <c r="B107" s="12" t="s">
        <v>68</v>
      </c>
      <c r="C107">
        <f t="shared" si="26"/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181.71174374815001</v>
      </c>
      <c r="AC107">
        <v>99.489061173690004</v>
      </c>
      <c r="AD107" s="19">
        <f t="shared" si="27"/>
        <v>0</v>
      </c>
      <c r="AE107" s="19">
        <f t="shared" si="28"/>
        <v>0</v>
      </c>
      <c r="AF107">
        <v>0</v>
      </c>
      <c r="AG107">
        <v>0</v>
      </c>
      <c r="AH107">
        <v>0</v>
      </c>
      <c r="AI107">
        <v>0</v>
      </c>
      <c r="AJ107" t="e">
        <f t="shared" si="31"/>
        <v>#DIV/0!</v>
      </c>
      <c r="AK107">
        <v>0</v>
      </c>
      <c r="AL107" t="e">
        <f t="shared" si="32"/>
        <v>#DIV/0!</v>
      </c>
      <c r="AM107" t="e">
        <f t="shared" si="33"/>
        <v>#DIV/0!</v>
      </c>
      <c r="AN107" t="e">
        <f t="shared" si="34"/>
        <v>#DIV/0!</v>
      </c>
      <c r="AO107" t="e">
        <f t="shared" si="35"/>
        <v>#DIV/0!</v>
      </c>
      <c r="AP107" s="20" t="e">
        <f t="shared" si="36"/>
        <v>#DIV/0!</v>
      </c>
      <c r="AQ107" s="21" t="e">
        <f t="shared" si="37"/>
        <v>#DIV/0!</v>
      </c>
      <c r="AR107" t="e">
        <f t="shared" si="38"/>
        <v>#DIV/0!</v>
      </c>
      <c r="AS107" t="e">
        <f t="shared" si="39"/>
        <v>#DIV/0!</v>
      </c>
      <c r="AT107" t="e">
        <f t="shared" si="40"/>
        <v>#DIV/0!</v>
      </c>
      <c r="AU107" t="e">
        <f t="shared" si="41"/>
        <v>#DIV/0!</v>
      </c>
      <c r="AV107" t="e">
        <f t="shared" si="42"/>
        <v>#DIV/0!</v>
      </c>
      <c r="AW107" t="e">
        <f t="shared" si="43"/>
        <v>#DIV/0!</v>
      </c>
      <c r="AX107" t="e">
        <f t="shared" si="44"/>
        <v>#DIV/0!</v>
      </c>
      <c r="AY107">
        <f t="shared" si="45"/>
        <v>0</v>
      </c>
      <c r="AZ107">
        <f t="shared" si="46"/>
        <v>0</v>
      </c>
      <c r="BA107" s="8">
        <f t="shared" si="47"/>
        <v>0</v>
      </c>
    </row>
    <row r="108" spans="1:53" x14ac:dyDescent="0.35">
      <c r="A108" s="10" t="s">
        <v>58</v>
      </c>
      <c r="B108" s="12" t="s">
        <v>68</v>
      </c>
      <c r="C108">
        <f t="shared" si="26"/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76.037366075549997</v>
      </c>
      <c r="AC108">
        <v>50.417977728389999</v>
      </c>
      <c r="AD108" s="19">
        <f t="shared" si="27"/>
        <v>0</v>
      </c>
      <c r="AE108" s="19">
        <f t="shared" si="28"/>
        <v>0</v>
      </c>
      <c r="AF108">
        <v>0</v>
      </c>
      <c r="AG108">
        <v>0</v>
      </c>
      <c r="AH108">
        <v>0</v>
      </c>
      <c r="AI108">
        <v>0</v>
      </c>
      <c r="AJ108" t="e">
        <f t="shared" si="31"/>
        <v>#DIV/0!</v>
      </c>
      <c r="AK108">
        <v>0</v>
      </c>
      <c r="AL108" t="e">
        <f t="shared" si="32"/>
        <v>#DIV/0!</v>
      </c>
      <c r="AM108" t="e">
        <f t="shared" si="33"/>
        <v>#DIV/0!</v>
      </c>
      <c r="AN108" t="e">
        <f t="shared" si="34"/>
        <v>#DIV/0!</v>
      </c>
      <c r="AO108" t="e">
        <f t="shared" si="35"/>
        <v>#DIV/0!</v>
      </c>
      <c r="AP108" s="20" t="e">
        <f t="shared" si="36"/>
        <v>#DIV/0!</v>
      </c>
      <c r="AQ108" s="21" t="e">
        <f t="shared" si="37"/>
        <v>#DIV/0!</v>
      </c>
      <c r="AR108" t="e">
        <f t="shared" si="38"/>
        <v>#DIV/0!</v>
      </c>
      <c r="AS108" t="e">
        <f t="shared" si="39"/>
        <v>#DIV/0!</v>
      </c>
      <c r="AT108" t="e">
        <f t="shared" si="40"/>
        <v>#DIV/0!</v>
      </c>
      <c r="AU108" t="e">
        <f t="shared" si="41"/>
        <v>#DIV/0!</v>
      </c>
      <c r="AV108" t="e">
        <f t="shared" si="42"/>
        <v>#DIV/0!</v>
      </c>
      <c r="AW108" t="e">
        <f t="shared" si="43"/>
        <v>#DIV/0!</v>
      </c>
      <c r="AX108" t="e">
        <f t="shared" si="44"/>
        <v>#DIV/0!</v>
      </c>
      <c r="AY108">
        <f t="shared" si="45"/>
        <v>0</v>
      </c>
      <c r="AZ108">
        <f t="shared" si="46"/>
        <v>0</v>
      </c>
      <c r="BA108" s="8">
        <f t="shared" si="47"/>
        <v>0</v>
      </c>
    </row>
    <row r="109" spans="1:53" x14ac:dyDescent="0.35">
      <c r="A109" s="9" t="s">
        <v>59</v>
      </c>
      <c r="B109" s="11" t="s">
        <v>68</v>
      </c>
      <c r="C109">
        <f t="shared" si="26"/>
        <v>2.8049063918750301</v>
      </c>
      <c r="D109">
        <v>2.644233693332168</v>
      </c>
      <c r="E109">
        <v>0.71001324529060439</v>
      </c>
      <c r="F109">
        <v>1.934220448041565</v>
      </c>
      <c r="G109">
        <v>0.16067269854286079</v>
      </c>
      <c r="H109">
        <v>5.0533623042457521</v>
      </c>
      <c r="I109">
        <v>1.272990789428851</v>
      </c>
      <c r="J109">
        <v>3.780371514816903</v>
      </c>
      <c r="K109">
        <v>0</v>
      </c>
      <c r="L109">
        <v>0.48092603545097301</v>
      </c>
      <c r="M109">
        <v>0.50752608476784022</v>
      </c>
      <c r="N109">
        <v>0.129135278790351</v>
      </c>
      <c r="O109">
        <v>0.13627775919515969</v>
      </c>
      <c r="P109">
        <v>0.35179075666062148</v>
      </c>
      <c r="Q109">
        <v>0.37124832557268039</v>
      </c>
      <c r="R109">
        <v>2.9222713601402699E-2</v>
      </c>
      <c r="S109">
        <v>3.0839023731590299E-2</v>
      </c>
      <c r="T109">
        <v>0.91909179767531501</v>
      </c>
      <c r="U109">
        <v>0.96992682290319099</v>
      </c>
      <c r="V109">
        <v>0.23152810399073689</v>
      </c>
      <c r="W109">
        <v>0.24433393800764469</v>
      </c>
      <c r="X109">
        <v>0.68756369368457815</v>
      </c>
      <c r="Y109">
        <v>0.72559288489554596</v>
      </c>
      <c r="Z109">
        <v>0</v>
      </c>
      <c r="AA109">
        <v>0</v>
      </c>
      <c r="AB109">
        <v>521.00449074291998</v>
      </c>
      <c r="AC109">
        <v>549.82128194673999</v>
      </c>
      <c r="AD109" s="19">
        <f t="shared" si="27"/>
        <v>7.6975959975779205</v>
      </c>
      <c r="AE109" s="19">
        <f t="shared" si="28"/>
        <v>7.6975959975779205</v>
      </c>
      <c r="AF109">
        <f t="shared" si="29"/>
        <v>0.34351422108463303</v>
      </c>
      <c r="AG109">
        <f>D109/AE109</f>
        <v>0.34351422108463303</v>
      </c>
      <c r="AH109">
        <f t="shared" si="30"/>
        <v>0.34351422108463303</v>
      </c>
      <c r="AI109">
        <f>$D109/(AD109)</f>
        <v>0.34351422108463303</v>
      </c>
      <c r="AJ109">
        <f t="shared" si="31"/>
        <v>0.25127591116111775</v>
      </c>
      <c r="AK109">
        <f>(F109/(AD109))</f>
        <v>0.25127591116111775</v>
      </c>
      <c r="AL109">
        <f t="shared" si="32"/>
        <v>9.2238309923515463E-2</v>
      </c>
      <c r="AM109">
        <f t="shared" si="33"/>
        <v>9.2238309923515463E-2</v>
      </c>
      <c r="AN109">
        <f t="shared" si="34"/>
        <v>2.0873100977684085E-2</v>
      </c>
      <c r="AO109">
        <f t="shared" si="35"/>
        <v>2.0873100977684085E-2</v>
      </c>
      <c r="AP109" s="20">
        <f t="shared" si="36"/>
        <v>0.73148619689666283</v>
      </c>
      <c r="AQ109" s="21">
        <f t="shared" si="37"/>
        <v>0.26851380310333739</v>
      </c>
      <c r="AR109">
        <f t="shared" si="38"/>
        <v>0.65648577891536697</v>
      </c>
      <c r="AS109">
        <f t="shared" si="39"/>
        <v>0.65648577891536697</v>
      </c>
      <c r="AT109">
        <f t="shared" si="40"/>
        <v>0.16537511059678928</v>
      </c>
      <c r="AU109">
        <f t="shared" si="41"/>
        <v>0.16537511059678928</v>
      </c>
      <c r="AV109">
        <f t="shared" si="42"/>
        <v>0.49111066831857791</v>
      </c>
      <c r="AW109">
        <f t="shared" si="43"/>
        <v>0.25190966188181385</v>
      </c>
      <c r="AX109">
        <f t="shared" si="44"/>
        <v>0.74809033811818659</v>
      </c>
      <c r="AY109">
        <f t="shared" si="45"/>
        <v>1.4000178331262866E-2</v>
      </c>
      <c r="AZ109">
        <f t="shared" si="46"/>
        <v>1.4774529076710313E-2</v>
      </c>
      <c r="BA109" s="8">
        <f t="shared" si="47"/>
        <v>1.4000178331262866E-2</v>
      </c>
    </row>
    <row r="110" spans="1:53" x14ac:dyDescent="0.35">
      <c r="A110" s="9" t="s">
        <v>60</v>
      </c>
      <c r="B110" s="11" t="s">
        <v>68</v>
      </c>
      <c r="C110">
        <f t="shared" si="26"/>
        <v>1.8004263575689257</v>
      </c>
      <c r="D110">
        <v>1.800426357568927</v>
      </c>
      <c r="E110">
        <v>7.9844312796973599E-2</v>
      </c>
      <c r="F110">
        <v>1.720582044771952</v>
      </c>
      <c r="G110">
        <v>0</v>
      </c>
      <c r="H110">
        <v>2.2594733452900262</v>
      </c>
      <c r="I110">
        <v>1.014811784017208</v>
      </c>
      <c r="J110">
        <v>1.2446615612728209</v>
      </c>
      <c r="K110">
        <v>0</v>
      </c>
      <c r="L110">
        <v>0.2409855149615811</v>
      </c>
      <c r="M110">
        <v>0.30473646432983248</v>
      </c>
      <c r="N110">
        <v>1.0687092396332899E-2</v>
      </c>
      <c r="O110">
        <v>1.3514284256229799E-2</v>
      </c>
      <c r="P110">
        <v>0.23029842256524841</v>
      </c>
      <c r="Q110">
        <v>0.29122218007360251</v>
      </c>
      <c r="R110">
        <v>0</v>
      </c>
      <c r="S110">
        <v>0</v>
      </c>
      <c r="T110">
        <v>0.30242855830655108</v>
      </c>
      <c r="U110">
        <v>0.3824338138555729</v>
      </c>
      <c r="V110">
        <v>0.13583168194154041</v>
      </c>
      <c r="W110">
        <v>0.17176495651798099</v>
      </c>
      <c r="X110">
        <v>0.16659687636501089</v>
      </c>
      <c r="Y110">
        <v>0.21066885733759211</v>
      </c>
      <c r="Z110">
        <v>0</v>
      </c>
      <c r="AA110">
        <v>0</v>
      </c>
      <c r="AB110">
        <v>590.81421763174001</v>
      </c>
      <c r="AC110">
        <v>747.10978286638999</v>
      </c>
      <c r="AD110" s="19">
        <f t="shared" si="27"/>
        <v>4.059899702858953</v>
      </c>
      <c r="AE110" s="19">
        <f t="shared" si="28"/>
        <v>4.059899702858953</v>
      </c>
      <c r="AF110">
        <f t="shared" si="29"/>
        <v>0.44346572313130772</v>
      </c>
      <c r="AG110">
        <f>D110/AE110</f>
        <v>0.44346572313130772</v>
      </c>
      <c r="AH110">
        <f t="shared" si="30"/>
        <v>0.44346572313130772</v>
      </c>
      <c r="AI110">
        <f>$D110/(AD110)</f>
        <v>0.44346572313130772</v>
      </c>
      <c r="AJ110">
        <f t="shared" si="31"/>
        <v>0.42379915039781157</v>
      </c>
      <c r="AK110">
        <f>(F110/(AD110))</f>
        <v>0.42379915039781157</v>
      </c>
      <c r="AL110">
        <f t="shared" si="32"/>
        <v>1.9666572733495803E-2</v>
      </c>
      <c r="AM110">
        <f t="shared" si="33"/>
        <v>1.9666572733495803E-2</v>
      </c>
      <c r="AN110">
        <f t="shared" si="34"/>
        <v>0</v>
      </c>
      <c r="AO110">
        <f t="shared" si="35"/>
        <v>0</v>
      </c>
      <c r="AP110" s="20">
        <f t="shared" si="36"/>
        <v>0.95565255281821937</v>
      </c>
      <c r="AQ110" s="21">
        <f t="shared" si="37"/>
        <v>4.4347447181780589E-2</v>
      </c>
      <c r="AR110">
        <f t="shared" si="38"/>
        <v>0.55653427686869228</v>
      </c>
      <c r="AS110">
        <f t="shared" si="39"/>
        <v>0.55653427686869228</v>
      </c>
      <c r="AT110">
        <f t="shared" si="40"/>
        <v>0.24995981632319256</v>
      </c>
      <c r="AU110">
        <f t="shared" si="41"/>
        <v>0.24995981632319256</v>
      </c>
      <c r="AV110">
        <f t="shared" si="42"/>
        <v>0.30657446054550042</v>
      </c>
      <c r="AW110">
        <f t="shared" si="43"/>
        <v>0.44913642647417318</v>
      </c>
      <c r="AX110">
        <f t="shared" si="44"/>
        <v>0.55086357352582804</v>
      </c>
      <c r="AY110">
        <f t="shared" si="45"/>
        <v>5.4341407326813284E-3</v>
      </c>
      <c r="AZ110">
        <f t="shared" si="46"/>
        <v>6.8717027818540515E-3</v>
      </c>
      <c r="BA110" s="8">
        <f t="shared" si="47"/>
        <v>5.4341407326813284E-3</v>
      </c>
    </row>
    <row r="111" spans="1:53" x14ac:dyDescent="0.35">
      <c r="A111" s="7" t="s">
        <v>61</v>
      </c>
      <c r="B111" s="11" t="s">
        <v>68</v>
      </c>
      <c r="C111">
        <f t="shared" si="26"/>
        <v>4.1921318200426141</v>
      </c>
      <c r="D111">
        <v>2.3892134593666938</v>
      </c>
      <c r="E111">
        <v>2.5366516631069199E-2</v>
      </c>
      <c r="F111">
        <v>2.363846942735623</v>
      </c>
      <c r="G111">
        <v>1.802918360675922</v>
      </c>
      <c r="H111">
        <v>-5.5944951681043253</v>
      </c>
      <c r="I111">
        <v>-2.582074692971227</v>
      </c>
      <c r="J111">
        <v>-3.0124204751330979</v>
      </c>
      <c r="K111">
        <v>5.6145524312524948</v>
      </c>
      <c r="L111">
        <v>0.91205466796225643</v>
      </c>
      <c r="M111">
        <v>0.54141734951583675</v>
      </c>
      <c r="N111">
        <v>9.6833750088789992E-3</v>
      </c>
      <c r="O111">
        <v>5.7482817816048E-3</v>
      </c>
      <c r="P111">
        <v>0.90237129295337759</v>
      </c>
      <c r="Q111">
        <v>0.53566906773423151</v>
      </c>
      <c r="R111">
        <v>0.68824327954573072</v>
      </c>
      <c r="S111">
        <v>0.40855758467447112</v>
      </c>
      <c r="T111">
        <v>-2.1356339731630141</v>
      </c>
      <c r="U111">
        <v>-1.2677631351520511</v>
      </c>
      <c r="V111">
        <v>-0.98567721838292921</v>
      </c>
      <c r="W111">
        <v>-0.58512144699325441</v>
      </c>
      <c r="X111">
        <v>-1.149956754780084</v>
      </c>
      <c r="Y111">
        <v>-0.68264168815879689</v>
      </c>
      <c r="Z111">
        <v>2.1432906019205311</v>
      </c>
      <c r="AA111">
        <v>1.2723082921407041</v>
      </c>
      <c r="AB111">
        <v>441.28867711817003</v>
      </c>
      <c r="AC111">
        <v>261.95945739796002</v>
      </c>
      <c r="AD111" s="19">
        <f t="shared" si="27"/>
        <v>-3.2052817087376315</v>
      </c>
      <c r="AE111" s="19">
        <f>(D111)+(H111*-1)</f>
        <v>7.9837086274710192</v>
      </c>
      <c r="AF111">
        <f t="shared" si="29"/>
        <v>0.29926110418730539</v>
      </c>
      <c r="AG111">
        <f>D111/AE111</f>
        <v>0.29926110418730539</v>
      </c>
      <c r="AH111">
        <f>(($D111)/(AD111))*-1</f>
        <v>0.74539889983887309</v>
      </c>
      <c r="AI111">
        <f>$D111/(AD111)</f>
        <v>-0.74539889983887309</v>
      </c>
      <c r="AJ111">
        <f t="shared" si="31"/>
        <v>0.29608381931698996</v>
      </c>
      <c r="AK111">
        <f>(F111/(AD111))</f>
        <v>-0.73748492567494195</v>
      </c>
      <c r="AL111">
        <f t="shared" si="32"/>
        <v>3.177284870315275E-3</v>
      </c>
      <c r="AM111">
        <f t="shared" si="33"/>
        <v>-7.9139741639306805E-3</v>
      </c>
      <c r="AN111">
        <f t="shared" si="34"/>
        <v>0.22582466931123815</v>
      </c>
      <c r="AO111">
        <f t="shared" si="35"/>
        <v>-0.56248358943338672</v>
      </c>
      <c r="AP111" s="20">
        <f t="shared" si="36"/>
        <v>0.98938290066481005</v>
      </c>
      <c r="AQ111" s="21">
        <f t="shared" si="37"/>
        <v>1.0617099335190032E-2</v>
      </c>
      <c r="AR111">
        <f t="shared" si="38"/>
        <v>-0.70073889581269455</v>
      </c>
      <c r="AS111">
        <f t="shared" si="39"/>
        <v>1.7453988998388732</v>
      </c>
      <c r="AT111">
        <f t="shared" si="40"/>
        <v>-0.32341795191355133</v>
      </c>
      <c r="AU111">
        <f t="shared" si="41"/>
        <v>0.80556872300255677</v>
      </c>
      <c r="AV111">
        <f t="shared" si="42"/>
        <v>0.9398301768363162</v>
      </c>
      <c r="AW111">
        <f t="shared" si="43"/>
        <v>0.46153846153846151</v>
      </c>
      <c r="AX111">
        <f t="shared" si="44"/>
        <v>0.53846153846153844</v>
      </c>
      <c r="AY111">
        <f t="shared" si="45"/>
        <v>-1.2235793052007567E-2</v>
      </c>
      <c r="AZ111">
        <f t="shared" si="46"/>
        <v>-7.2634578563621488E-3</v>
      </c>
      <c r="BA111" s="8">
        <f t="shared" si="47"/>
        <v>3.0476886411252704E-2</v>
      </c>
    </row>
    <row r="112" spans="1:53" x14ac:dyDescent="0.35">
      <c r="A112" s="7" t="s">
        <v>62</v>
      </c>
      <c r="B112" s="11" t="s">
        <v>68</v>
      </c>
      <c r="C112">
        <f t="shared" si="26"/>
        <v>3.2258738534714397</v>
      </c>
      <c r="D112">
        <v>3.2258738534714402</v>
      </c>
      <c r="E112">
        <v>0.45292015012499087</v>
      </c>
      <c r="F112">
        <v>2.7729537033464489</v>
      </c>
      <c r="G112">
        <v>0</v>
      </c>
      <c r="H112">
        <v>5.9276318719664554</v>
      </c>
      <c r="I112">
        <v>-6.6204105470706306E-2</v>
      </c>
      <c r="J112">
        <v>5.9938359774371612</v>
      </c>
      <c r="K112">
        <v>0</v>
      </c>
      <c r="L112">
        <v>1.00367690739557</v>
      </c>
      <c r="M112">
        <v>0.46720030176171901</v>
      </c>
      <c r="N112">
        <v>0.1409185591945567</v>
      </c>
      <c r="O112">
        <v>6.5596002951152699E-2</v>
      </c>
      <c r="P112">
        <v>0.86275834820101271</v>
      </c>
      <c r="Q112">
        <v>0.40160429881056642</v>
      </c>
      <c r="R112">
        <v>0</v>
      </c>
      <c r="S112">
        <v>0</v>
      </c>
      <c r="T112">
        <v>1.8442839043542829</v>
      </c>
      <c r="U112">
        <v>0.85849339593205221</v>
      </c>
      <c r="V112">
        <v>-2.0598304476234501E-2</v>
      </c>
      <c r="W112">
        <v>-9.5882788536487008E-3</v>
      </c>
      <c r="X112">
        <v>1.864882208830517</v>
      </c>
      <c r="Y112">
        <v>0.86808167478570097</v>
      </c>
      <c r="Z112">
        <v>0</v>
      </c>
      <c r="AA112">
        <v>0</v>
      </c>
      <c r="AB112">
        <v>690.46912883131995</v>
      </c>
      <c r="AC112">
        <v>321.40560669490998</v>
      </c>
      <c r="AD112" s="19">
        <f t="shared" si="27"/>
        <v>9.1535057254378955</v>
      </c>
      <c r="AE112" s="19">
        <f t="shared" si="28"/>
        <v>9.1535057254378955</v>
      </c>
      <c r="AF112">
        <f t="shared" si="29"/>
        <v>0.3524194937144825</v>
      </c>
      <c r="AG112">
        <f>D112/AE112</f>
        <v>0.3524194937144825</v>
      </c>
      <c r="AH112">
        <f t="shared" si="30"/>
        <v>0.3524194937144825</v>
      </c>
      <c r="AI112">
        <f>$D112/(AD112)</f>
        <v>0.3524194937144825</v>
      </c>
      <c r="AJ112">
        <f t="shared" si="31"/>
        <v>0.30293898168876637</v>
      </c>
      <c r="AK112">
        <f>(F112/(AD112))</f>
        <v>0.30293898168876637</v>
      </c>
      <c r="AL112">
        <f t="shared" si="32"/>
        <v>4.9480512025716093E-2</v>
      </c>
      <c r="AM112">
        <f t="shared" si="33"/>
        <v>4.9480512025716093E-2</v>
      </c>
      <c r="AN112">
        <f t="shared" si="34"/>
        <v>0</v>
      </c>
      <c r="AO112">
        <f t="shared" si="35"/>
        <v>0</v>
      </c>
      <c r="AP112" s="20">
        <f t="shared" si="36"/>
        <v>0.85959768710807072</v>
      </c>
      <c r="AQ112" s="21">
        <f t="shared" si="37"/>
        <v>0.14040231289192931</v>
      </c>
      <c r="AR112">
        <f t="shared" si="38"/>
        <v>0.64758050628551744</v>
      </c>
      <c r="AS112">
        <f t="shared" si="39"/>
        <v>0.64758050628551744</v>
      </c>
      <c r="AT112">
        <f t="shared" si="40"/>
        <v>-7.2326502496986378E-3</v>
      </c>
      <c r="AU112">
        <f t="shared" si="41"/>
        <v>-7.2326502496986378E-3</v>
      </c>
      <c r="AV112">
        <f t="shared" si="42"/>
        <v>0.6548131565352161</v>
      </c>
      <c r="AW112">
        <f t="shared" si="43"/>
        <v>-1.1168727562824089E-2</v>
      </c>
      <c r="AX112">
        <f t="shared" si="44"/>
        <v>1.0111687275628241</v>
      </c>
      <c r="AY112">
        <f t="shared" si="45"/>
        <v>2.8479608117498521E-2</v>
      </c>
      <c r="AZ112">
        <f t="shared" si="46"/>
        <v>1.3256936976937713E-2</v>
      </c>
      <c r="BA112" s="8">
        <f t="shared" si="47"/>
        <v>2.8479608117498521E-2</v>
      </c>
    </row>
    <row r="113" spans="1:53" x14ac:dyDescent="0.35">
      <c r="A113" s="13" t="s">
        <v>63</v>
      </c>
      <c r="B113" s="12" t="s">
        <v>68</v>
      </c>
      <c r="C113">
        <f t="shared" si="26"/>
        <v>6.369238443699321E-2</v>
      </c>
      <c r="D113">
        <v>6.3692384436993293E-2</v>
      </c>
      <c r="E113">
        <v>2.6529165639306101E-2</v>
      </c>
      <c r="F113">
        <v>3.7163218797687102E-2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9.8928109623369995E-2</v>
      </c>
      <c r="M113">
        <v>6.9812506237616298E-2</v>
      </c>
      <c r="N113">
        <v>4.1205557458412499E-2</v>
      </c>
      <c r="O113">
        <v>2.9078320085581699E-2</v>
      </c>
      <c r="P113">
        <v>5.7722552164957697E-2</v>
      </c>
      <c r="Q113">
        <v>4.0734186152034599E-2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91.233487908610002</v>
      </c>
      <c r="AC113">
        <v>64.38249419652</v>
      </c>
      <c r="AD113" s="19">
        <f t="shared" si="27"/>
        <v>6.3692384436993293E-2</v>
      </c>
      <c r="AE113" s="19">
        <f t="shared" si="28"/>
        <v>6.3692384436993293E-2</v>
      </c>
      <c r="AF113">
        <f t="shared" si="29"/>
        <v>1</v>
      </c>
      <c r="AG113">
        <f>D113/AE113</f>
        <v>1</v>
      </c>
      <c r="AH113">
        <f t="shared" si="30"/>
        <v>1</v>
      </c>
      <c r="AI113">
        <f>$D113/(AD113)</f>
        <v>1</v>
      </c>
      <c r="AJ113">
        <f t="shared" si="31"/>
        <v>0.58347978531798006</v>
      </c>
      <c r="AK113">
        <f>(F113/(AD113))</f>
        <v>0.58347978531798006</v>
      </c>
      <c r="AL113">
        <f t="shared" si="32"/>
        <v>0.4165202146820185</v>
      </c>
      <c r="AM113">
        <f t="shared" si="33"/>
        <v>0.4165202146820185</v>
      </c>
      <c r="AN113">
        <f t="shared" si="34"/>
        <v>0</v>
      </c>
      <c r="AO113">
        <f t="shared" si="35"/>
        <v>0</v>
      </c>
      <c r="AP113" s="20">
        <f t="shared" si="36"/>
        <v>0.58347978531798084</v>
      </c>
      <c r="AQ113" s="21">
        <f t="shared" si="37"/>
        <v>0.4165202146820185</v>
      </c>
      <c r="AR113">
        <f t="shared" si="38"/>
        <v>0</v>
      </c>
      <c r="AS113">
        <f t="shared" si="39"/>
        <v>0</v>
      </c>
      <c r="AT113">
        <f t="shared" si="40"/>
        <v>0</v>
      </c>
      <c r="AU113">
        <f t="shared" si="41"/>
        <v>0</v>
      </c>
      <c r="AV113">
        <f t="shared" si="42"/>
        <v>0</v>
      </c>
      <c r="AW113" t="e">
        <f t="shared" si="43"/>
        <v>#DIV/0!</v>
      </c>
      <c r="AX113" t="e">
        <f t="shared" si="44"/>
        <v>#DIV/0!</v>
      </c>
      <c r="AY113">
        <f t="shared" si="45"/>
        <v>9.8928109623370249E-4</v>
      </c>
      <c r="AZ113">
        <f t="shared" si="46"/>
        <v>6.9812506237616322E-4</v>
      </c>
      <c r="BA113" s="8">
        <f t="shared" si="47"/>
        <v>9.8928109623370249E-4</v>
      </c>
    </row>
    <row r="114" spans="1:53" x14ac:dyDescent="0.35">
      <c r="A114" s="13" t="s">
        <v>64</v>
      </c>
      <c r="B114" s="12" t="s">
        <v>68</v>
      </c>
      <c r="C114">
        <f t="shared" si="26"/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309.88816247970999</v>
      </c>
      <c r="AC114">
        <v>147.38397429586999</v>
      </c>
      <c r="AD114" s="19">
        <f t="shared" si="27"/>
        <v>0</v>
      </c>
      <c r="AE114" s="19">
        <f t="shared" si="28"/>
        <v>0</v>
      </c>
      <c r="AF114">
        <v>0</v>
      </c>
      <c r="AG114">
        <v>0</v>
      </c>
      <c r="AH114">
        <v>0</v>
      </c>
      <c r="AI114">
        <v>0</v>
      </c>
      <c r="AJ114" t="e">
        <f t="shared" si="31"/>
        <v>#DIV/0!</v>
      </c>
      <c r="AK114">
        <v>0</v>
      </c>
      <c r="AL114" t="e">
        <f t="shared" si="32"/>
        <v>#DIV/0!</v>
      </c>
      <c r="AM114" t="e">
        <f t="shared" si="33"/>
        <v>#DIV/0!</v>
      </c>
      <c r="AN114" t="e">
        <f t="shared" si="34"/>
        <v>#DIV/0!</v>
      </c>
      <c r="AO114" t="e">
        <f t="shared" si="35"/>
        <v>#DIV/0!</v>
      </c>
      <c r="AP114" s="20" t="e">
        <f t="shared" si="36"/>
        <v>#DIV/0!</v>
      </c>
      <c r="AQ114" s="21" t="e">
        <f t="shared" si="37"/>
        <v>#DIV/0!</v>
      </c>
      <c r="AR114" t="e">
        <f t="shared" si="38"/>
        <v>#DIV/0!</v>
      </c>
      <c r="AS114" t="e">
        <f t="shared" si="39"/>
        <v>#DIV/0!</v>
      </c>
      <c r="AT114" t="e">
        <f t="shared" si="40"/>
        <v>#DIV/0!</v>
      </c>
      <c r="AU114" t="e">
        <f t="shared" si="41"/>
        <v>#DIV/0!</v>
      </c>
      <c r="AV114" t="e">
        <f t="shared" si="42"/>
        <v>#DIV/0!</v>
      </c>
      <c r="AW114" t="e">
        <f t="shared" si="43"/>
        <v>#DIV/0!</v>
      </c>
      <c r="AX114" t="e">
        <f t="shared" si="44"/>
        <v>#DIV/0!</v>
      </c>
      <c r="AY114">
        <f t="shared" si="45"/>
        <v>0</v>
      </c>
      <c r="AZ114">
        <f t="shared" si="46"/>
        <v>0</v>
      </c>
      <c r="BA114" s="8">
        <f t="shared" si="47"/>
        <v>0</v>
      </c>
    </row>
    <row r="115" spans="1:53" x14ac:dyDescent="0.35">
      <c r="A115" s="7" t="s">
        <v>65</v>
      </c>
      <c r="B115" s="11" t="s">
        <v>68</v>
      </c>
      <c r="C115">
        <f t="shared" si="26"/>
        <v>-4.3303995984909855</v>
      </c>
      <c r="D115">
        <v>-4.3303995984909802</v>
      </c>
      <c r="E115">
        <v>-3.6168747816384302E-2</v>
      </c>
      <c r="F115">
        <v>-4.2942308506746016</v>
      </c>
      <c r="G115">
        <v>0</v>
      </c>
      <c r="H115">
        <v>9.8948958804635723</v>
      </c>
      <c r="I115">
        <v>10.209776743806209</v>
      </c>
      <c r="J115">
        <v>-0.31488086334263699</v>
      </c>
      <c r="K115">
        <v>-9.8869334416288517</v>
      </c>
      <c r="L115">
        <v>-0.75772108125688842</v>
      </c>
      <c r="M115">
        <v>-0.35628748717574549</v>
      </c>
      <c r="N115">
        <v>-6.3287052568285996E-3</v>
      </c>
      <c r="O115">
        <v>-2.9758159681806998E-3</v>
      </c>
      <c r="P115">
        <v>-0.75139237600005959</v>
      </c>
      <c r="Q115">
        <v>-0.35331167120756479</v>
      </c>
      <c r="R115">
        <v>0</v>
      </c>
      <c r="S115">
        <v>0</v>
      </c>
      <c r="T115">
        <v>1.731380911840527</v>
      </c>
      <c r="U115">
        <v>0.81411137908485554</v>
      </c>
      <c r="V115">
        <v>1.7864778752529169</v>
      </c>
      <c r="W115">
        <v>0.84001848280784031</v>
      </c>
      <c r="X115">
        <v>-5.50969634123901E-2</v>
      </c>
      <c r="Y115">
        <v>-2.5907103722984898E-2</v>
      </c>
      <c r="Z115">
        <v>-1.7299876668001879</v>
      </c>
      <c r="AA115">
        <v>-0.81345626233184243</v>
      </c>
      <c r="AB115">
        <v>1215.4228689920101</v>
      </c>
      <c r="AC115">
        <v>571.50311712429004</v>
      </c>
      <c r="AD115" s="19">
        <f t="shared" si="27"/>
        <v>5.5644962819725921</v>
      </c>
      <c r="AE115" s="19">
        <f>(D115*-1)+(H115)</f>
        <v>14.225295478954553</v>
      </c>
      <c r="AF115">
        <f>($D115/$AE115)*-1</f>
        <v>0.30441544113424845</v>
      </c>
      <c r="AG115">
        <f t="shared" ref="AG115:AG141" si="50">D115/AE115</f>
        <v>-0.30441544113424845</v>
      </c>
      <c r="AH115">
        <f>(($D115)/(AD115))*-1</f>
        <v>0.77821951512848719</v>
      </c>
      <c r="AI115">
        <f t="shared" ref="AI115:AI141" si="51">$D115/(AD115)</f>
        <v>-0.77821951512848719</v>
      </c>
      <c r="AJ115">
        <f t="shared" si="31"/>
        <v>-0.30187287547226355</v>
      </c>
      <c r="AK115">
        <f t="shared" ref="AK115:AK141" si="52">(F115/(AD115))</f>
        <v>-0.77171960103319792</v>
      </c>
      <c r="AL115">
        <f t="shared" si="32"/>
        <v>-2.5425656619852805E-3</v>
      </c>
      <c r="AM115">
        <f t="shared" si="33"/>
        <v>-6.4999140952903328E-3</v>
      </c>
      <c r="AN115">
        <f t="shared" si="34"/>
        <v>0</v>
      </c>
      <c r="AO115">
        <f t="shared" si="35"/>
        <v>0</v>
      </c>
      <c r="AP115" s="20">
        <f t="shared" si="36"/>
        <v>0.99164771125764295</v>
      </c>
      <c r="AQ115" s="21">
        <f t="shared" si="37"/>
        <v>8.3522887423571873E-3</v>
      </c>
      <c r="AR115">
        <f t="shared" si="38"/>
        <v>0.69558455886575155</v>
      </c>
      <c r="AS115">
        <f t="shared" si="39"/>
        <v>1.7782195151284872</v>
      </c>
      <c r="AT115">
        <f t="shared" si="40"/>
        <v>0.71771983639362313</v>
      </c>
      <c r="AU115">
        <f t="shared" si="41"/>
        <v>1.8348070025463084</v>
      </c>
      <c r="AV115">
        <f t="shared" si="42"/>
        <v>-5.6587487417821214E-2</v>
      </c>
      <c r="AW115">
        <f t="shared" si="43"/>
        <v>1.0318225544913855</v>
      </c>
      <c r="AX115">
        <f t="shared" si="44"/>
        <v>-3.1822554491385407E-2</v>
      </c>
      <c r="AY115">
        <f t="shared" si="45"/>
        <v>9.7365983058364143E-3</v>
      </c>
      <c r="AZ115">
        <f t="shared" si="46"/>
        <v>4.5782389190911071E-3</v>
      </c>
      <c r="BA115" s="8">
        <f t="shared" si="47"/>
        <v>2.4891019930974142E-2</v>
      </c>
    </row>
    <row r="116" spans="1:53" x14ac:dyDescent="0.35">
      <c r="A116" s="7" t="s">
        <v>28</v>
      </c>
      <c r="B116" s="11" t="s">
        <v>69</v>
      </c>
      <c r="C116">
        <f t="shared" si="26"/>
        <v>61.912545774045448</v>
      </c>
      <c r="D116">
        <v>61.912545774045441</v>
      </c>
      <c r="E116">
        <v>4.8525662396136839</v>
      </c>
      <c r="F116">
        <v>57.059979534431761</v>
      </c>
      <c r="G116">
        <v>0</v>
      </c>
      <c r="H116">
        <v>7.1643447578672595E-2</v>
      </c>
      <c r="I116">
        <v>3.0704334676574501E-2</v>
      </c>
      <c r="J116">
        <v>4.0939112902098097E-2</v>
      </c>
      <c r="K116">
        <v>0</v>
      </c>
      <c r="L116">
        <v>4.1419353038878182</v>
      </c>
      <c r="M116">
        <v>5.0478395755619783</v>
      </c>
      <c r="N116">
        <v>0.32463558348356319</v>
      </c>
      <c r="O116">
        <v>0.39563832501338608</v>
      </c>
      <c r="P116">
        <v>3.8172997204042538</v>
      </c>
      <c r="Q116">
        <v>4.6522012505485932</v>
      </c>
      <c r="R116">
        <v>0</v>
      </c>
      <c r="S116">
        <v>0</v>
      </c>
      <c r="T116">
        <v>4.7929304328934996E-3</v>
      </c>
      <c r="U116">
        <v>5.8412172443556001E-3</v>
      </c>
      <c r="V116">
        <v>2.0541130426686002E-3</v>
      </c>
      <c r="W116">
        <v>2.5033788190095998E-3</v>
      </c>
      <c r="X116">
        <v>2.7388173902246999E-3</v>
      </c>
      <c r="Y116">
        <v>3.3378384253461E-3</v>
      </c>
      <c r="Z116">
        <v>0</v>
      </c>
      <c r="AA116">
        <v>0</v>
      </c>
      <c r="AB116">
        <v>1226.51571721458</v>
      </c>
      <c r="AC116">
        <v>1494.77336635199</v>
      </c>
      <c r="AD116" s="19">
        <f t="shared" si="27"/>
        <v>61.984189221624113</v>
      </c>
      <c r="AE116" s="19">
        <f t="shared" si="28"/>
        <v>61.984189221624113</v>
      </c>
      <c r="AF116">
        <f t="shared" si="29"/>
        <v>0.99884416577068524</v>
      </c>
      <c r="AG116">
        <f t="shared" si="50"/>
        <v>0.99884416577068524</v>
      </c>
      <c r="AH116">
        <f t="shared" si="30"/>
        <v>0.99884416577068524</v>
      </c>
      <c r="AI116">
        <f t="shared" si="51"/>
        <v>0.99884416577068524</v>
      </c>
      <c r="AJ116">
        <f t="shared" si="31"/>
        <v>0.92055700414849551</v>
      </c>
      <c r="AK116">
        <f t="shared" si="52"/>
        <v>0.92055700414849551</v>
      </c>
      <c r="AL116">
        <f t="shared" si="32"/>
        <v>7.8287161622189835E-2</v>
      </c>
      <c r="AM116">
        <f t="shared" si="33"/>
        <v>7.8287161622189835E-2</v>
      </c>
      <c r="AN116">
        <f t="shared" si="34"/>
        <v>0</v>
      </c>
      <c r="AO116">
        <f t="shared" si="35"/>
        <v>0</v>
      </c>
      <c r="AP116" s="20">
        <f t="shared" si="36"/>
        <v>0.92162224668771497</v>
      </c>
      <c r="AQ116" s="21">
        <f t="shared" si="37"/>
        <v>7.8377753312284956E-2</v>
      </c>
      <c r="AR116">
        <f t="shared" si="38"/>
        <v>1.1558342293147025E-3</v>
      </c>
      <c r="AS116">
        <f t="shared" si="39"/>
        <v>1.1558342293147025E-3</v>
      </c>
      <c r="AT116">
        <f t="shared" si="40"/>
        <v>4.9535752684916681E-4</v>
      </c>
      <c r="AU116">
        <f t="shared" si="41"/>
        <v>4.9535752684916681E-4</v>
      </c>
      <c r="AV116">
        <f t="shared" si="42"/>
        <v>6.6047670246553573E-4</v>
      </c>
      <c r="AW116">
        <f t="shared" si="43"/>
        <v>0.42857142857143599</v>
      </c>
      <c r="AX116">
        <f t="shared" si="44"/>
        <v>0.57142857142856407</v>
      </c>
      <c r="AY116">
        <f t="shared" si="45"/>
        <v>4.1467282343207103E-2</v>
      </c>
      <c r="AZ116">
        <f t="shared" si="46"/>
        <v>5.0536807928063365E-2</v>
      </c>
      <c r="BA116" s="8">
        <f t="shared" si="47"/>
        <v>4.1467282343207103E-2</v>
      </c>
    </row>
    <row r="117" spans="1:53" x14ac:dyDescent="0.35">
      <c r="A117" s="7" t="s">
        <v>29</v>
      </c>
      <c r="B117" s="11" t="s">
        <v>69</v>
      </c>
      <c r="C117">
        <f t="shared" si="26"/>
        <v>40.645124362128023</v>
      </c>
      <c r="D117">
        <v>40.479513138385329</v>
      </c>
      <c r="E117">
        <v>24.517772021033171</v>
      </c>
      <c r="F117">
        <v>15.961741117352149</v>
      </c>
      <c r="G117">
        <v>0.1656112237427009</v>
      </c>
      <c r="H117">
        <v>-2.1278849423861459</v>
      </c>
      <c r="I117">
        <v>1.01315101583767E-2</v>
      </c>
      <c r="J117">
        <v>-2.138016452544512</v>
      </c>
      <c r="K117">
        <v>0</v>
      </c>
      <c r="L117">
        <v>2.3859125130950769</v>
      </c>
      <c r="M117">
        <v>2.3486969189980531</v>
      </c>
      <c r="N117">
        <v>1.4451077723739829</v>
      </c>
      <c r="O117">
        <v>1.422566902166903</v>
      </c>
      <c r="P117">
        <v>0.94080474072109321</v>
      </c>
      <c r="Q117">
        <v>0.92613001683115037</v>
      </c>
      <c r="R117">
        <v>9.7613301248435005E-3</v>
      </c>
      <c r="S117">
        <v>9.6090723627586007E-3</v>
      </c>
      <c r="T117">
        <v>-0.12542016731054501</v>
      </c>
      <c r="U117">
        <v>-0.1234638566693981</v>
      </c>
      <c r="V117">
        <v>5.9716372528450005E-4</v>
      </c>
      <c r="W117">
        <v>5.8784913278050002E-4</v>
      </c>
      <c r="X117">
        <v>-0.12601733103582941</v>
      </c>
      <c r="Y117">
        <v>-0.124051705802179</v>
      </c>
      <c r="Z117">
        <v>0</v>
      </c>
      <c r="AA117">
        <v>0</v>
      </c>
      <c r="AB117">
        <v>1723.48815255626</v>
      </c>
      <c r="AC117">
        <v>1696.60508992738</v>
      </c>
      <c r="AD117" s="19">
        <f t="shared" si="27"/>
        <v>38.351628195999183</v>
      </c>
      <c r="AE117" s="19">
        <f>(D117)+(H117*-1)</f>
        <v>42.607398080771475</v>
      </c>
      <c r="AF117">
        <f t="shared" si="29"/>
        <v>0.95005832230467857</v>
      </c>
      <c r="AG117">
        <f t="shared" si="50"/>
        <v>0.95005832230467857</v>
      </c>
      <c r="AH117">
        <f t="shared" si="30"/>
        <v>1.0554835620410015</v>
      </c>
      <c r="AI117">
        <f t="shared" si="51"/>
        <v>1.0554835620410015</v>
      </c>
      <c r="AJ117">
        <f t="shared" si="31"/>
        <v>0.37462370002254636</v>
      </c>
      <c r="AK117">
        <f t="shared" si="52"/>
        <v>0.41619461462700735</v>
      </c>
      <c r="AL117">
        <f t="shared" si="32"/>
        <v>0.57543462228213205</v>
      </c>
      <c r="AM117">
        <f t="shared" si="33"/>
        <v>0.639288947413994</v>
      </c>
      <c r="AN117">
        <f t="shared" si="34"/>
        <v>3.8869123955597865E-3</v>
      </c>
      <c r="AO117">
        <f t="shared" si="35"/>
        <v>4.3182318856537453E-3</v>
      </c>
      <c r="AP117" s="20">
        <f t="shared" si="36"/>
        <v>0.39431652902505349</v>
      </c>
      <c r="AQ117" s="21">
        <f t="shared" si="37"/>
        <v>0.60568347097494635</v>
      </c>
      <c r="AR117">
        <f t="shared" si="38"/>
        <v>-4.9941677695321429E-2</v>
      </c>
      <c r="AS117">
        <f t="shared" si="39"/>
        <v>-5.548356204100157E-2</v>
      </c>
      <c r="AT117">
        <f t="shared" si="40"/>
        <v>2.3778758184600353E-4</v>
      </c>
      <c r="AU117">
        <f t="shared" si="41"/>
        <v>2.6417418594586845E-4</v>
      </c>
      <c r="AV117">
        <f t="shared" si="42"/>
        <v>-5.5747736226947169E-2</v>
      </c>
      <c r="AW117">
        <f t="shared" si="43"/>
        <v>-4.7613054430544217E-3</v>
      </c>
      <c r="AX117">
        <f t="shared" si="44"/>
        <v>1.0047613054430495</v>
      </c>
      <c r="AY117">
        <f t="shared" si="45"/>
        <v>2.2604923457845309E-2</v>
      </c>
      <c r="AZ117">
        <f t="shared" si="46"/>
        <v>2.2252330623286524E-2</v>
      </c>
      <c r="BA117" s="8">
        <f t="shared" si="47"/>
        <v>2.5113326804056212E-2</v>
      </c>
    </row>
    <row r="118" spans="1:53" x14ac:dyDescent="0.35">
      <c r="A118" s="7" t="s">
        <v>30</v>
      </c>
      <c r="B118" s="11" t="s">
        <v>69</v>
      </c>
      <c r="C118">
        <f t="shared" si="26"/>
        <v>62.552451494316109</v>
      </c>
      <c r="D118">
        <v>64.536582715928375</v>
      </c>
      <c r="E118">
        <v>4.2568291943873264</v>
      </c>
      <c r="F118">
        <v>60.279753521541039</v>
      </c>
      <c r="G118">
        <v>-1.984131221612252</v>
      </c>
      <c r="H118">
        <v>2.8314122459696591</v>
      </c>
      <c r="I118">
        <v>-0.10285766593745289</v>
      </c>
      <c r="J118">
        <v>2.934269911907109</v>
      </c>
      <c r="K118">
        <v>0</v>
      </c>
      <c r="L118">
        <v>2.4662287828476401</v>
      </c>
      <c r="M118">
        <v>2.2199717645552992</v>
      </c>
      <c r="N118">
        <v>0.1626723052423576</v>
      </c>
      <c r="O118">
        <v>0.1464292068216709</v>
      </c>
      <c r="P118">
        <v>2.3035564776052828</v>
      </c>
      <c r="Q118">
        <v>2.0735425577336288</v>
      </c>
      <c r="R118">
        <v>-7.5822445530246904E-2</v>
      </c>
      <c r="S118">
        <v>-6.8251449081834795E-2</v>
      </c>
      <c r="T118">
        <v>0.1082008077163667</v>
      </c>
      <c r="U118">
        <v>9.7396778313104407E-2</v>
      </c>
      <c r="V118">
        <v>-3.9306471708930998E-3</v>
      </c>
      <c r="W118">
        <v>-3.5381655572668002E-3</v>
      </c>
      <c r="X118">
        <v>0.11213145488725999</v>
      </c>
      <c r="Y118">
        <v>0.10093494387037261</v>
      </c>
      <c r="Z118">
        <v>0</v>
      </c>
      <c r="AA118">
        <v>0</v>
      </c>
      <c r="AB118">
        <v>2907.0902498102801</v>
      </c>
      <c r="AC118">
        <v>2616.8124857180101</v>
      </c>
      <c r="AD118" s="19">
        <f t="shared" si="27"/>
        <v>67.367994961898034</v>
      </c>
      <c r="AE118" s="19">
        <f t="shared" si="28"/>
        <v>67.367994961898034</v>
      </c>
      <c r="AF118">
        <f t="shared" si="29"/>
        <v>0.95797095864926585</v>
      </c>
      <c r="AG118">
        <f t="shared" si="50"/>
        <v>0.95797095864926585</v>
      </c>
      <c r="AH118">
        <f t="shared" si="30"/>
        <v>0.95797095864926585</v>
      </c>
      <c r="AI118">
        <f t="shared" si="51"/>
        <v>0.95797095864926585</v>
      </c>
      <c r="AJ118">
        <f t="shared" si="31"/>
        <v>0.8947832506464537</v>
      </c>
      <c r="AK118">
        <f t="shared" si="52"/>
        <v>0.8947832506464537</v>
      </c>
      <c r="AL118">
        <f t="shared" si="32"/>
        <v>6.3187708002812051E-2</v>
      </c>
      <c r="AM118">
        <f t="shared" si="33"/>
        <v>6.3187708002812051E-2</v>
      </c>
      <c r="AN118">
        <f t="shared" si="34"/>
        <v>-2.9452134099202984E-2</v>
      </c>
      <c r="AO118">
        <f t="shared" si="35"/>
        <v>-2.9452134099202984E-2</v>
      </c>
      <c r="AP118" s="20">
        <f t="shared" si="36"/>
        <v>0.9340400589054324</v>
      </c>
      <c r="AQ118" s="21">
        <f t="shared" si="37"/>
        <v>6.5959941094567626E-2</v>
      </c>
      <c r="AR118">
        <f t="shared" si="38"/>
        <v>4.2029041350734105E-2</v>
      </c>
      <c r="AS118">
        <f t="shared" si="39"/>
        <v>4.2029041350734105E-2</v>
      </c>
      <c r="AT118">
        <f t="shared" si="40"/>
        <v>-1.5268031354596066E-3</v>
      </c>
      <c r="AU118">
        <f t="shared" si="41"/>
        <v>-1.5268031354596066E-3</v>
      </c>
      <c r="AV118">
        <f t="shared" si="42"/>
        <v>4.3555844486193665E-2</v>
      </c>
      <c r="AW118">
        <f t="shared" si="43"/>
        <v>-3.6327336679377736E-2</v>
      </c>
      <c r="AX118">
        <f t="shared" si="44"/>
        <v>1.0363273366793766</v>
      </c>
      <c r="AY118">
        <f t="shared" si="45"/>
        <v>2.5744295905640091E-2</v>
      </c>
      <c r="AZ118">
        <f t="shared" si="46"/>
        <v>2.3173685428684074E-2</v>
      </c>
      <c r="BA118" s="8">
        <f t="shared" si="47"/>
        <v>2.5744295905640091E-2</v>
      </c>
    </row>
    <row r="119" spans="1:53" x14ac:dyDescent="0.35">
      <c r="A119" s="7" t="s">
        <v>31</v>
      </c>
      <c r="B119" s="11" t="s">
        <v>69</v>
      </c>
      <c r="C119">
        <f t="shared" si="26"/>
        <v>102.23012702811141</v>
      </c>
      <c r="D119">
        <v>102.2301270281114</v>
      </c>
      <c r="E119">
        <v>19.23782439707341</v>
      </c>
      <c r="F119">
        <v>82.992302631038001</v>
      </c>
      <c r="G119">
        <v>0</v>
      </c>
      <c r="H119">
        <v>-111.6512256284006</v>
      </c>
      <c r="I119">
        <v>-114.80593817842519</v>
      </c>
      <c r="J119">
        <v>3.1547125500243278</v>
      </c>
      <c r="K119">
        <v>0</v>
      </c>
      <c r="L119">
        <v>2.841843447131668</v>
      </c>
      <c r="M119">
        <v>2.4564011359343332</v>
      </c>
      <c r="N119">
        <v>0.53478252242471824</v>
      </c>
      <c r="O119">
        <v>0.46224938846923158</v>
      </c>
      <c r="P119">
        <v>2.3070609247069491</v>
      </c>
      <c r="Q119">
        <v>1.994151747465102</v>
      </c>
      <c r="R119">
        <v>0</v>
      </c>
      <c r="S119">
        <v>0</v>
      </c>
      <c r="T119">
        <v>-3.1037357884632151</v>
      </c>
      <c r="U119">
        <v>-2.6827727347599581</v>
      </c>
      <c r="V119">
        <v>-3.191432042478489</v>
      </c>
      <c r="W119">
        <v>-2.758574650659908</v>
      </c>
      <c r="X119">
        <v>8.7696254015273895E-2</v>
      </c>
      <c r="Y119">
        <v>7.5801915899951597E-2</v>
      </c>
      <c r="Z119">
        <v>0</v>
      </c>
      <c r="AA119">
        <v>0</v>
      </c>
      <c r="AB119">
        <v>4161.7847155581303</v>
      </c>
      <c r="AC119">
        <v>3597.3173374942398</v>
      </c>
      <c r="AD119" s="19">
        <f t="shared" si="27"/>
        <v>-9.4210986002891985</v>
      </c>
      <c r="AE119" s="19">
        <f>(D119)+(H119*-1)</f>
        <v>213.88135265651198</v>
      </c>
      <c r="AF119">
        <f t="shared" si="29"/>
        <v>0.4779758766173991</v>
      </c>
      <c r="AG119">
        <f t="shared" si="50"/>
        <v>0.4779758766173991</v>
      </c>
      <c r="AH119">
        <f>(($D119)/(AD119))*-1</f>
        <v>10.851189586846406</v>
      </c>
      <c r="AI119">
        <f t="shared" si="51"/>
        <v>-10.851189586846406</v>
      </c>
      <c r="AJ119">
        <f t="shared" si="31"/>
        <v>0.38802963231825793</v>
      </c>
      <c r="AK119">
        <f t="shared" si="52"/>
        <v>-8.8091958435176974</v>
      </c>
      <c r="AL119">
        <f t="shared" si="32"/>
        <v>8.9946244299141248E-2</v>
      </c>
      <c r="AM119">
        <f t="shared" si="33"/>
        <v>-2.0419937433287099</v>
      </c>
      <c r="AN119">
        <f t="shared" si="34"/>
        <v>0</v>
      </c>
      <c r="AO119">
        <f t="shared" si="35"/>
        <v>0</v>
      </c>
      <c r="AP119" s="20">
        <f t="shared" si="36"/>
        <v>0.81181844377652623</v>
      </c>
      <c r="AQ119" s="21">
        <f t="shared" si="37"/>
        <v>0.18818155622347377</v>
      </c>
      <c r="AR119">
        <f t="shared" si="38"/>
        <v>-0.52202412338260096</v>
      </c>
      <c r="AS119">
        <f t="shared" si="39"/>
        <v>11.851189586846406</v>
      </c>
      <c r="AT119">
        <f t="shared" si="40"/>
        <v>-0.53677394851154048</v>
      </c>
      <c r="AU119">
        <f t="shared" si="41"/>
        <v>12.186045709669253</v>
      </c>
      <c r="AV119">
        <f t="shared" si="42"/>
        <v>-0.33485612282281896</v>
      </c>
      <c r="AW119">
        <f t="shared" si="43"/>
        <v>1.0282550642168871</v>
      </c>
      <c r="AX119">
        <f t="shared" si="44"/>
        <v>-2.8255064216884576E-2</v>
      </c>
      <c r="AY119">
        <f t="shared" si="45"/>
        <v>-2.6189234133154327E-3</v>
      </c>
      <c r="AZ119">
        <f t="shared" si="46"/>
        <v>-2.2637159882561947E-3</v>
      </c>
      <c r="BA119" s="8">
        <f t="shared" si="47"/>
        <v>5.9455792355948764E-2</v>
      </c>
    </row>
    <row r="120" spans="1:53" x14ac:dyDescent="0.35">
      <c r="A120" s="7" t="s">
        <v>32</v>
      </c>
      <c r="B120" s="11" t="s">
        <v>69</v>
      </c>
      <c r="C120">
        <f t="shared" si="26"/>
        <v>35.998304619164635</v>
      </c>
      <c r="D120">
        <v>36.032590507810447</v>
      </c>
      <c r="E120">
        <v>3.3829533441994899</v>
      </c>
      <c r="F120">
        <v>32.649637163610961</v>
      </c>
      <c r="G120">
        <v>-3.4285888645816998E-2</v>
      </c>
      <c r="H120">
        <v>53.163057249189023</v>
      </c>
      <c r="I120">
        <v>-1.5918448299843499E-2</v>
      </c>
      <c r="J120">
        <v>53.178975697488909</v>
      </c>
      <c r="K120">
        <v>0</v>
      </c>
      <c r="L120">
        <v>1.878499982551235</v>
      </c>
      <c r="M120">
        <v>1.5413958123157809</v>
      </c>
      <c r="N120">
        <v>0.1763647217280393</v>
      </c>
      <c r="O120">
        <v>0.1447153825056921</v>
      </c>
      <c r="P120">
        <v>1.702135260823195</v>
      </c>
      <c r="Q120">
        <v>1.396680429810089</v>
      </c>
      <c r="R120">
        <v>-1.7874385470275E-3</v>
      </c>
      <c r="S120">
        <v>-1.4666757076133999E-3</v>
      </c>
      <c r="T120">
        <v>2.7715687578256341</v>
      </c>
      <c r="U120">
        <v>2.27419990233679</v>
      </c>
      <c r="V120">
        <v>-8.2988218254849996E-4</v>
      </c>
      <c r="W120">
        <v>-6.8095657853479996E-4</v>
      </c>
      <c r="X120">
        <v>2.7723986400081841</v>
      </c>
      <c r="Y120">
        <v>2.2748808589153242</v>
      </c>
      <c r="Z120">
        <v>0</v>
      </c>
      <c r="AA120">
        <v>0</v>
      </c>
      <c r="AB120">
        <v>2337.6598158571201</v>
      </c>
      <c r="AC120">
        <v>1918.15761738117</v>
      </c>
      <c r="AD120" s="19">
        <f t="shared" si="27"/>
        <v>89.195647756999477</v>
      </c>
      <c r="AE120" s="19">
        <f t="shared" si="28"/>
        <v>89.195647756999477</v>
      </c>
      <c r="AF120">
        <f t="shared" si="29"/>
        <v>0.40397251899527631</v>
      </c>
      <c r="AG120">
        <f t="shared" si="50"/>
        <v>0.40397251899527631</v>
      </c>
      <c r="AH120">
        <f t="shared" si="30"/>
        <v>0.40397251899527631</v>
      </c>
      <c r="AI120">
        <f t="shared" si="51"/>
        <v>0.40397251899527631</v>
      </c>
      <c r="AJ120">
        <f t="shared" si="31"/>
        <v>0.36604518252460178</v>
      </c>
      <c r="AK120">
        <f t="shared" si="52"/>
        <v>0.36604518252460178</v>
      </c>
      <c r="AL120">
        <f t="shared" si="32"/>
        <v>3.7927336470674582E-2</v>
      </c>
      <c r="AM120">
        <f t="shared" si="33"/>
        <v>3.7927336470674582E-2</v>
      </c>
      <c r="AN120">
        <f t="shared" si="34"/>
        <v>-3.8438970407192843E-4</v>
      </c>
      <c r="AO120">
        <f t="shared" si="35"/>
        <v>-3.8438970407192843E-4</v>
      </c>
      <c r="AP120" s="20">
        <f t="shared" si="36"/>
        <v>0.90611406794451255</v>
      </c>
      <c r="AQ120" s="21">
        <f t="shared" si="37"/>
        <v>9.3885932055487342E-2</v>
      </c>
      <c r="AR120">
        <f t="shared" si="38"/>
        <v>0.59602748100472358</v>
      </c>
      <c r="AS120">
        <f t="shared" si="39"/>
        <v>0.59602748100472358</v>
      </c>
      <c r="AT120">
        <f t="shared" si="40"/>
        <v>-1.7846664831910845E-4</v>
      </c>
      <c r="AU120">
        <f t="shared" si="41"/>
        <v>-1.7846664831910845E-4</v>
      </c>
      <c r="AV120">
        <f t="shared" si="42"/>
        <v>0.59620594765304313</v>
      </c>
      <c r="AW120">
        <f t="shared" si="43"/>
        <v>-2.994268788047611E-4</v>
      </c>
      <c r="AX120">
        <f t="shared" si="44"/>
        <v>1.0002994268788055</v>
      </c>
      <c r="AY120">
        <f t="shared" si="45"/>
        <v>4.6500687403768663E-2</v>
      </c>
      <c r="AZ120">
        <f t="shared" si="46"/>
        <v>3.8155957146525719E-2</v>
      </c>
      <c r="BA120" s="8">
        <f t="shared" si="47"/>
        <v>4.6500687403768663E-2</v>
      </c>
    </row>
    <row r="121" spans="1:53" x14ac:dyDescent="0.35">
      <c r="A121" s="7" t="s">
        <v>33</v>
      </c>
      <c r="B121" s="11" t="s">
        <v>69</v>
      </c>
      <c r="C121">
        <f t="shared" si="26"/>
        <v>227.99500429432956</v>
      </c>
      <c r="D121">
        <v>227.24510700030919</v>
      </c>
      <c r="E121">
        <v>42.258318536499011</v>
      </c>
      <c r="F121">
        <v>184.9867884638102</v>
      </c>
      <c r="G121">
        <v>0.749897294020343</v>
      </c>
      <c r="H121">
        <v>0.4528225967738137</v>
      </c>
      <c r="I121">
        <v>0</v>
      </c>
      <c r="J121">
        <v>0.4528225967738137</v>
      </c>
      <c r="K121">
        <v>264.23338464211298</v>
      </c>
      <c r="L121">
        <v>4.978714949146438</v>
      </c>
      <c r="M121">
        <v>4.2676321756965621</v>
      </c>
      <c r="N121">
        <v>0.92583785411570318</v>
      </c>
      <c r="O121">
        <v>0.79360546969643764</v>
      </c>
      <c r="P121">
        <v>4.052877095030734</v>
      </c>
      <c r="Q121">
        <v>3.474026706000124</v>
      </c>
      <c r="R121">
        <v>1.6429506084188299E-2</v>
      </c>
      <c r="S121">
        <v>1.40829691018362E-2</v>
      </c>
      <c r="T121">
        <v>9.9208940585281992E-3</v>
      </c>
      <c r="U121">
        <v>8.5039467268783007E-3</v>
      </c>
      <c r="V121">
        <v>0</v>
      </c>
      <c r="W121">
        <v>0</v>
      </c>
      <c r="X121">
        <v>9.9208940585281992E-3</v>
      </c>
      <c r="Y121">
        <v>8.5039467268783007E-3</v>
      </c>
      <c r="Z121">
        <v>5.7890914332402303</v>
      </c>
      <c r="AA121">
        <v>4.9622669947756144</v>
      </c>
      <c r="AB121">
        <v>5324.8522282316499</v>
      </c>
      <c r="AC121">
        <v>4564.3325500944502</v>
      </c>
      <c r="AD121" s="19">
        <f t="shared" si="27"/>
        <v>227.697929597083</v>
      </c>
      <c r="AE121" s="19">
        <f t="shared" si="28"/>
        <v>227.697929597083</v>
      </c>
      <c r="AF121">
        <f t="shared" si="29"/>
        <v>0.99801130121132375</v>
      </c>
      <c r="AG121">
        <f t="shared" si="50"/>
        <v>0.99801130121132375</v>
      </c>
      <c r="AH121">
        <f t="shared" si="30"/>
        <v>0.99801130121132375</v>
      </c>
      <c r="AI121">
        <f t="shared" si="51"/>
        <v>0.99801130121132375</v>
      </c>
      <c r="AJ121">
        <f t="shared" si="31"/>
        <v>0.81242191701588506</v>
      </c>
      <c r="AK121">
        <f t="shared" si="52"/>
        <v>0.81242191701588506</v>
      </c>
      <c r="AL121">
        <f t="shared" si="32"/>
        <v>0.1855893841954388</v>
      </c>
      <c r="AM121">
        <f t="shared" si="33"/>
        <v>0.1855893841954388</v>
      </c>
      <c r="AN121">
        <f t="shared" si="34"/>
        <v>3.2933865290180916E-3</v>
      </c>
      <c r="AO121">
        <f t="shared" si="35"/>
        <v>3.2933865290180916E-3</v>
      </c>
      <c r="AP121" s="20">
        <f t="shared" si="36"/>
        <v>0.8140407989667231</v>
      </c>
      <c r="AQ121" s="21">
        <f t="shared" si="37"/>
        <v>0.18595920103327687</v>
      </c>
      <c r="AR121">
        <f t="shared" si="38"/>
        <v>1.9886987886762707E-3</v>
      </c>
      <c r="AS121">
        <f t="shared" si="39"/>
        <v>1.9886987886762707E-3</v>
      </c>
      <c r="AT121">
        <f t="shared" si="40"/>
        <v>0</v>
      </c>
      <c r="AU121">
        <f t="shared" si="41"/>
        <v>0</v>
      </c>
      <c r="AV121">
        <f t="shared" si="42"/>
        <v>1.9886987886762707E-3</v>
      </c>
      <c r="AW121">
        <f t="shared" si="43"/>
        <v>0</v>
      </c>
      <c r="AX121">
        <f t="shared" si="44"/>
        <v>1</v>
      </c>
      <c r="AY121">
        <f t="shared" si="45"/>
        <v>4.9886358432049659E-2</v>
      </c>
      <c r="AZ121">
        <f t="shared" si="46"/>
        <v>4.27613612242344E-2</v>
      </c>
      <c r="BA121" s="8">
        <f t="shared" si="47"/>
        <v>4.9886358432049659E-2</v>
      </c>
    </row>
    <row r="122" spans="1:53" x14ac:dyDescent="0.35">
      <c r="A122" s="7" t="s">
        <v>34</v>
      </c>
      <c r="B122" s="11" t="s">
        <v>69</v>
      </c>
      <c r="C122">
        <f t="shared" si="26"/>
        <v>1.0631452400697414</v>
      </c>
      <c r="D122">
        <v>0.70983413309792809</v>
      </c>
      <c r="E122">
        <v>5.4602625622916998E-2</v>
      </c>
      <c r="F122">
        <v>0.65523150747500836</v>
      </c>
      <c r="G122">
        <v>0.353311106971816</v>
      </c>
      <c r="H122">
        <v>0.75908356013035672</v>
      </c>
      <c r="I122">
        <v>0</v>
      </c>
      <c r="J122">
        <v>0.75908356013035672</v>
      </c>
      <c r="K122">
        <v>1.338299647620516</v>
      </c>
      <c r="L122">
        <v>4.3331529487037099E-2</v>
      </c>
      <c r="M122">
        <v>3.2915423510035499E-2</v>
      </c>
      <c r="N122">
        <v>3.3331945759259001E-3</v>
      </c>
      <c r="O122">
        <v>2.5319556546181E-3</v>
      </c>
      <c r="P122">
        <v>3.9998334911111003E-2</v>
      </c>
      <c r="Q122">
        <v>3.0383467855417099E-2</v>
      </c>
      <c r="R122">
        <v>2.1567729608932398E-2</v>
      </c>
      <c r="S122">
        <v>1.6383242471058601E-2</v>
      </c>
      <c r="T122">
        <v>4.6337940281009703E-2</v>
      </c>
      <c r="U122">
        <v>3.5199148218122603E-2</v>
      </c>
      <c r="V122">
        <v>0</v>
      </c>
      <c r="W122">
        <v>0</v>
      </c>
      <c r="X122">
        <v>4.6337940281009703E-2</v>
      </c>
      <c r="Y122">
        <v>3.5199148218122603E-2</v>
      </c>
      <c r="Z122">
        <v>8.1695945488379801E-2</v>
      </c>
      <c r="AA122">
        <v>6.2057736632796699E-2</v>
      </c>
      <c r="AB122">
        <v>2156.5395714307001</v>
      </c>
      <c r="AC122">
        <v>1638.14696019506</v>
      </c>
      <c r="AD122" s="19">
        <f t="shared" si="27"/>
        <v>1.4689176932282848</v>
      </c>
      <c r="AE122" s="19">
        <f t="shared" si="28"/>
        <v>1.4689176932282848</v>
      </c>
      <c r="AF122">
        <f t="shared" si="29"/>
        <v>0.48323615160350081</v>
      </c>
      <c r="AG122">
        <f t="shared" si="50"/>
        <v>0.48323615160350081</v>
      </c>
      <c r="AH122">
        <f t="shared" si="30"/>
        <v>0.48323615160350081</v>
      </c>
      <c r="AI122">
        <f t="shared" si="51"/>
        <v>0.48323615160350081</v>
      </c>
      <c r="AJ122">
        <f t="shared" si="31"/>
        <v>0.44606413994169153</v>
      </c>
      <c r="AK122">
        <f t="shared" si="52"/>
        <v>0.44606413994169153</v>
      </c>
      <c r="AL122">
        <f t="shared" si="32"/>
        <v>3.7172011661807378E-2</v>
      </c>
      <c r="AM122">
        <f t="shared" si="33"/>
        <v>3.7172011661807378E-2</v>
      </c>
      <c r="AN122">
        <f t="shared" si="34"/>
        <v>0.24052478134110666</v>
      </c>
      <c r="AO122">
        <f t="shared" si="35"/>
        <v>0.24052478134110666</v>
      </c>
      <c r="AP122" s="20">
        <f t="shared" si="36"/>
        <v>0.92307692307692357</v>
      </c>
      <c r="AQ122" s="21">
        <f t="shared" si="37"/>
        <v>7.692307692307615E-2</v>
      </c>
      <c r="AR122">
        <f t="shared" si="38"/>
        <v>0.51676384839649925</v>
      </c>
      <c r="AS122">
        <f t="shared" si="39"/>
        <v>0.51676384839649925</v>
      </c>
      <c r="AT122">
        <f t="shared" si="40"/>
        <v>0</v>
      </c>
      <c r="AU122">
        <f t="shared" si="41"/>
        <v>0</v>
      </c>
      <c r="AV122">
        <f t="shared" si="42"/>
        <v>0.51676384839649925</v>
      </c>
      <c r="AW122">
        <f t="shared" si="43"/>
        <v>0</v>
      </c>
      <c r="AX122">
        <f t="shared" si="44"/>
        <v>1</v>
      </c>
      <c r="AY122">
        <f t="shared" si="45"/>
        <v>8.9669469768046664E-4</v>
      </c>
      <c r="AZ122">
        <f t="shared" si="46"/>
        <v>6.8114571728158436E-4</v>
      </c>
      <c r="BA122" s="8">
        <f t="shared" si="47"/>
        <v>8.9669469768046664E-4</v>
      </c>
    </row>
    <row r="123" spans="1:53" x14ac:dyDescent="0.35">
      <c r="A123" s="7" t="s">
        <v>35</v>
      </c>
      <c r="B123" s="11" t="s">
        <v>69</v>
      </c>
      <c r="C123">
        <f t="shared" si="26"/>
        <v>9.5341563582265767</v>
      </c>
      <c r="D123">
        <v>8.919494114882724</v>
      </c>
      <c r="E123">
        <v>-1.0503963879287279</v>
      </c>
      <c r="F123">
        <v>9.9698905028114524</v>
      </c>
      <c r="G123">
        <v>0.614662243343852</v>
      </c>
      <c r="H123">
        <v>6.8486823031478536</v>
      </c>
      <c r="I123">
        <v>4.1453482675033501E-2</v>
      </c>
      <c r="J123">
        <v>6.8072288204728011</v>
      </c>
      <c r="K123">
        <v>-4.8979840922594699E-2</v>
      </c>
      <c r="L123">
        <v>0.67371927964275846</v>
      </c>
      <c r="M123">
        <v>0.49648519958912501</v>
      </c>
      <c r="N123">
        <v>-7.9339959049236103E-2</v>
      </c>
      <c r="O123">
        <v>-5.8468143326461199E-2</v>
      </c>
      <c r="P123">
        <v>0.75305923869199454</v>
      </c>
      <c r="Q123">
        <v>0.5549533429155864</v>
      </c>
      <c r="R123">
        <v>4.6427498967486699E-2</v>
      </c>
      <c r="S123">
        <v>3.4213903012422497E-2</v>
      </c>
      <c r="T123">
        <v>0.51730392423040783</v>
      </c>
      <c r="U123">
        <v>0.38121774132092229</v>
      </c>
      <c r="V123">
        <v>3.131120456698E-3</v>
      </c>
      <c r="W123">
        <v>2.3074224114612999E-3</v>
      </c>
      <c r="X123">
        <v>0.514172803773711</v>
      </c>
      <c r="Y123">
        <v>0.37891031890946181</v>
      </c>
      <c r="Z123">
        <v>-3.6996115158960999E-3</v>
      </c>
      <c r="AA123">
        <v>-2.7263615831890999E-3</v>
      </c>
      <c r="AB123">
        <v>1796.5276955414199</v>
      </c>
      <c r="AC123">
        <v>1323.9184901480501</v>
      </c>
      <c r="AD123" s="19">
        <f t="shared" si="27"/>
        <v>15.768176418030578</v>
      </c>
      <c r="AE123" s="19">
        <f t="shared" si="28"/>
        <v>15.768176418030578</v>
      </c>
      <c r="AF123">
        <f t="shared" si="29"/>
        <v>0.56566427711218847</v>
      </c>
      <c r="AG123">
        <f t="shared" si="50"/>
        <v>0.56566427711218847</v>
      </c>
      <c r="AH123">
        <f t="shared" si="30"/>
        <v>0.56566427711218847</v>
      </c>
      <c r="AI123">
        <f t="shared" si="51"/>
        <v>0.56566427711218847</v>
      </c>
      <c r="AJ123">
        <f t="shared" si="31"/>
        <v>0.63227923372363415</v>
      </c>
      <c r="AK123">
        <f t="shared" si="52"/>
        <v>0.63227923372363415</v>
      </c>
      <c r="AL123">
        <f t="shared" si="32"/>
        <v>-6.6614956611445675E-2</v>
      </c>
      <c r="AM123">
        <f t="shared" si="33"/>
        <v>-6.6614956611445675E-2</v>
      </c>
      <c r="AN123">
        <f t="shared" si="34"/>
        <v>3.8981187617928896E-2</v>
      </c>
      <c r="AO123">
        <f t="shared" si="35"/>
        <v>3.8981187617928896E-2</v>
      </c>
      <c r="AP123" s="20">
        <f t="shared" si="36"/>
        <v>1.1177641214176124</v>
      </c>
      <c r="AQ123" s="21">
        <f t="shared" si="37"/>
        <v>-0.11776412141761235</v>
      </c>
      <c r="AR123">
        <f t="shared" si="38"/>
        <v>0.43433572288781153</v>
      </c>
      <c r="AS123">
        <f t="shared" si="39"/>
        <v>0.43433572288781153</v>
      </c>
      <c r="AT123">
        <f t="shared" si="40"/>
        <v>2.6289332118095989E-3</v>
      </c>
      <c r="AU123">
        <f t="shared" si="41"/>
        <v>2.6289332118095989E-3</v>
      </c>
      <c r="AV123">
        <f t="shared" si="42"/>
        <v>0.43170678967600074</v>
      </c>
      <c r="AW123">
        <f t="shared" si="43"/>
        <v>6.0527676478700542E-3</v>
      </c>
      <c r="AX123">
        <f t="shared" si="44"/>
        <v>0.99394723235212712</v>
      </c>
      <c r="AY123">
        <f t="shared" si="45"/>
        <v>1.1910232038731679E-2</v>
      </c>
      <c r="AZ123">
        <f t="shared" si="46"/>
        <v>8.7770294091004918E-3</v>
      </c>
      <c r="BA123" s="8">
        <f t="shared" si="47"/>
        <v>1.1910232038731679E-2</v>
      </c>
    </row>
    <row r="124" spans="1:53" x14ac:dyDescent="0.35">
      <c r="A124" s="7" t="s">
        <v>36</v>
      </c>
      <c r="B124" s="11" t="s">
        <v>69</v>
      </c>
      <c r="C124">
        <f t="shared" si="26"/>
        <v>202.94318783825901</v>
      </c>
      <c r="D124">
        <v>199.1047307379088</v>
      </c>
      <c r="E124">
        <v>103.96143780860361</v>
      </c>
      <c r="F124">
        <v>95.143292929305247</v>
      </c>
      <c r="G124">
        <v>3.838457100350162</v>
      </c>
      <c r="H124">
        <v>-0.29967103393948941</v>
      </c>
      <c r="I124">
        <v>-8.7880068603979995E-4</v>
      </c>
      <c r="J124">
        <v>-0.29879223325349358</v>
      </c>
      <c r="K124">
        <v>0</v>
      </c>
      <c r="L124">
        <v>6.3059947144265589</v>
      </c>
      <c r="M124">
        <v>6.7676927283776473</v>
      </c>
      <c r="N124">
        <v>3.2926403852664432</v>
      </c>
      <c r="O124">
        <v>3.5337134586476822</v>
      </c>
      <c r="P124">
        <v>3.0133543291601161</v>
      </c>
      <c r="Q124">
        <v>3.2339792697299639</v>
      </c>
      <c r="R124">
        <v>0.12157064323209781</v>
      </c>
      <c r="S124">
        <v>0.1304715267686169</v>
      </c>
      <c r="T124">
        <v>-9.4911052544333005E-3</v>
      </c>
      <c r="U124">
        <v>-1.01860034655185E-2</v>
      </c>
      <c r="V124">
        <v>-2.7833153238815411E-5</v>
      </c>
      <c r="W124">
        <v>-2.9870977904758459E-5</v>
      </c>
      <c r="X124">
        <v>-9.4632721011950992E-3</v>
      </c>
      <c r="Y124">
        <v>-1.0156132487614E-2</v>
      </c>
      <c r="Z124">
        <v>0</v>
      </c>
      <c r="AA124">
        <v>0</v>
      </c>
      <c r="AB124">
        <v>2941.9883367789698</v>
      </c>
      <c r="AC124">
        <v>3157.38816403392</v>
      </c>
      <c r="AD124" s="19">
        <f t="shared" si="27"/>
        <v>198.80505970396931</v>
      </c>
      <c r="AE124" s="19">
        <f>(D124)+(H124*-1)</f>
        <v>199.40440177184828</v>
      </c>
      <c r="AF124">
        <f t="shared" si="29"/>
        <v>0.9984971694141318</v>
      </c>
      <c r="AG124">
        <f t="shared" si="50"/>
        <v>0.9984971694141318</v>
      </c>
      <c r="AH124">
        <f t="shared" si="30"/>
        <v>1.0015073612029075</v>
      </c>
      <c r="AI124">
        <f t="shared" si="51"/>
        <v>1.0015073612029075</v>
      </c>
      <c r="AJ124">
        <f t="shared" si="31"/>
        <v>0.47713737552376079</v>
      </c>
      <c r="AK124">
        <f t="shared" si="52"/>
        <v>0.47857581226040413</v>
      </c>
      <c r="AL124">
        <f t="shared" si="32"/>
        <v>0.52135979389037124</v>
      </c>
      <c r="AM124">
        <f t="shared" si="33"/>
        <v>0.52293154894250371</v>
      </c>
      <c r="AN124">
        <f t="shared" si="34"/>
        <v>1.9249610671794464E-2</v>
      </c>
      <c r="AO124">
        <f t="shared" si="35"/>
        <v>1.9307642904389945E-2</v>
      </c>
      <c r="AP124" s="20">
        <f t="shared" si="36"/>
        <v>0.47785551140192117</v>
      </c>
      <c r="AQ124" s="21">
        <f t="shared" si="37"/>
        <v>0.52214448859807894</v>
      </c>
      <c r="AR124">
        <f t="shared" si="38"/>
        <v>-1.5028305858682236E-3</v>
      </c>
      <c r="AS124">
        <f t="shared" si="39"/>
        <v>-1.5073612029075849E-3</v>
      </c>
      <c r="AT124">
        <f t="shared" si="40"/>
        <v>-4.4071278177965889E-6</v>
      </c>
      <c r="AU124">
        <f t="shared" si="41"/>
        <v>-4.4204140847741914E-6</v>
      </c>
      <c r="AV124">
        <f t="shared" si="42"/>
        <v>-1.502940788823032E-3</v>
      </c>
      <c r="AW124">
        <f t="shared" si="43"/>
        <v>2.9325513196489001E-3</v>
      </c>
      <c r="AX124">
        <f t="shared" si="44"/>
        <v>0.99706744868049779</v>
      </c>
      <c r="AY124">
        <f t="shared" si="45"/>
        <v>6.2965036091721258E-2</v>
      </c>
      <c r="AZ124">
        <f t="shared" si="46"/>
        <v>6.7575067249121268E-2</v>
      </c>
      <c r="BA124" s="8">
        <f t="shared" si="47"/>
        <v>6.3154858196809938E-2</v>
      </c>
    </row>
    <row r="125" spans="1:53" x14ac:dyDescent="0.35">
      <c r="A125" s="7" t="s">
        <v>37</v>
      </c>
      <c r="B125" s="11" t="s">
        <v>69</v>
      </c>
      <c r="C125">
        <f t="shared" si="26"/>
        <v>1054.3</v>
      </c>
      <c r="D125">
        <v>1054.3</v>
      </c>
      <c r="E125">
        <v>179.8</v>
      </c>
      <c r="F125">
        <v>874.5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5.2902870798831074</v>
      </c>
      <c r="M125">
        <v>5.2783053488644818</v>
      </c>
      <c r="N125">
        <v>0.90220394286539163</v>
      </c>
      <c r="O125">
        <v>0.90016058211688743</v>
      </c>
      <c r="P125">
        <v>4.3880831370177162</v>
      </c>
      <c r="Q125">
        <v>4.3781447667475959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19974.2138871676</v>
      </c>
      <c r="AC125">
        <v>19928.975197</v>
      </c>
      <c r="AD125" s="19">
        <f t="shared" si="27"/>
        <v>1054.3</v>
      </c>
      <c r="AE125" s="19">
        <f t="shared" si="28"/>
        <v>1054.3</v>
      </c>
      <c r="AF125">
        <f t="shared" si="29"/>
        <v>1</v>
      </c>
      <c r="AG125">
        <f t="shared" si="50"/>
        <v>1</v>
      </c>
      <c r="AH125">
        <f t="shared" si="30"/>
        <v>1</v>
      </c>
      <c r="AI125">
        <f t="shared" si="51"/>
        <v>1</v>
      </c>
      <c r="AJ125">
        <f t="shared" si="31"/>
        <v>0.82946030541591576</v>
      </c>
      <c r="AK125">
        <f t="shared" si="52"/>
        <v>0.82946030541591576</v>
      </c>
      <c r="AL125">
        <f t="shared" si="32"/>
        <v>0.17053969458408424</v>
      </c>
      <c r="AM125">
        <f t="shared" si="33"/>
        <v>0.17053969458408424</v>
      </c>
      <c r="AN125">
        <f t="shared" si="34"/>
        <v>0</v>
      </c>
      <c r="AO125">
        <f t="shared" si="35"/>
        <v>0</v>
      </c>
      <c r="AP125" s="20">
        <f t="shared" si="36"/>
        <v>0.82946030541591576</v>
      </c>
      <c r="AQ125" s="21">
        <f t="shared" si="37"/>
        <v>0.17053969458408424</v>
      </c>
      <c r="AR125">
        <f t="shared" si="38"/>
        <v>0</v>
      </c>
      <c r="AS125">
        <f t="shared" si="39"/>
        <v>0</v>
      </c>
      <c r="AT125">
        <f t="shared" si="40"/>
        <v>0</v>
      </c>
      <c r="AU125">
        <f t="shared" si="41"/>
        <v>0</v>
      </c>
      <c r="AV125">
        <f t="shared" si="42"/>
        <v>0</v>
      </c>
      <c r="AW125" t="e">
        <f t="shared" si="43"/>
        <v>#DIV/0!</v>
      </c>
      <c r="AX125" t="e">
        <f t="shared" si="44"/>
        <v>#DIV/0!</v>
      </c>
      <c r="AY125">
        <f t="shared" si="45"/>
        <v>5.2902870798831068E-2</v>
      </c>
      <c r="AZ125">
        <f t="shared" si="46"/>
        <v>5.2783053488644836E-2</v>
      </c>
      <c r="BA125" s="8">
        <f t="shared" si="47"/>
        <v>5.2902870798831068E-2</v>
      </c>
    </row>
    <row r="126" spans="1:53" x14ac:dyDescent="0.35">
      <c r="A126" s="7" t="s">
        <v>38</v>
      </c>
      <c r="B126" s="11" t="s">
        <v>69</v>
      </c>
      <c r="C126">
        <f t="shared" si="26"/>
        <v>2.6756517035228975</v>
      </c>
      <c r="D126">
        <v>0.48248815777999438</v>
      </c>
      <c r="E126">
        <v>0.51497751595394803</v>
      </c>
      <c r="F126">
        <v>-3.2489358173953597E-2</v>
      </c>
      <c r="G126">
        <v>2.1931635457429031</v>
      </c>
      <c r="H126">
        <v>1.254832181317395</v>
      </c>
      <c r="I126">
        <v>0.10436173005807831</v>
      </c>
      <c r="J126">
        <v>1.150470451259316</v>
      </c>
      <c r="K126">
        <v>7.6165976297277194</v>
      </c>
      <c r="L126">
        <v>3.7719396269809198E-2</v>
      </c>
      <c r="M126">
        <v>2.0258417507762201E-2</v>
      </c>
      <c r="N126">
        <v>4.0259311407112801E-2</v>
      </c>
      <c r="O126">
        <v>2.1622560796740801E-2</v>
      </c>
      <c r="P126">
        <v>-2.5399151373036001E-3</v>
      </c>
      <c r="Q126">
        <v>-1.3641432889784999E-3</v>
      </c>
      <c r="R126">
        <v>0.17145458086889959</v>
      </c>
      <c r="S126">
        <v>9.2085208840966604E-2</v>
      </c>
      <c r="T126">
        <v>9.8098806231845803E-2</v>
      </c>
      <c r="U126">
        <v>5.2687125728161997E-2</v>
      </c>
      <c r="V126">
        <v>8.1586695714477003E-3</v>
      </c>
      <c r="W126">
        <v>4.3818764569822999E-3</v>
      </c>
      <c r="X126">
        <v>8.9940136660398004E-2</v>
      </c>
      <c r="Y126">
        <v>4.8305249271179698E-2</v>
      </c>
      <c r="Z126">
        <v>0.59544148305167344</v>
      </c>
      <c r="AA126">
        <v>0.31980104026100231</v>
      </c>
      <c r="AB126">
        <v>2381.6675591522499</v>
      </c>
      <c r="AC126">
        <v>1279.1513266244399</v>
      </c>
      <c r="AD126" s="19">
        <f t="shared" si="27"/>
        <v>1.7373203390973895</v>
      </c>
      <c r="AE126" s="19">
        <f t="shared" si="28"/>
        <v>1.7373203390973895</v>
      </c>
      <c r="AF126">
        <f t="shared" si="29"/>
        <v>0.27771974282570544</v>
      </c>
      <c r="AG126">
        <f t="shared" si="50"/>
        <v>0.27771974282570544</v>
      </c>
      <c r="AH126">
        <f t="shared" si="30"/>
        <v>0.27771974282570544</v>
      </c>
      <c r="AI126">
        <f t="shared" si="51"/>
        <v>0.27771974282570544</v>
      </c>
      <c r="AJ126">
        <f t="shared" si="31"/>
        <v>-1.8700844883237353E-2</v>
      </c>
      <c r="AK126">
        <f t="shared" si="52"/>
        <v>-1.8700844883237353E-2</v>
      </c>
      <c r="AL126">
        <f t="shared" si="32"/>
        <v>0.29642058770894281</v>
      </c>
      <c r="AM126">
        <f t="shared" si="33"/>
        <v>0.29642058770894281</v>
      </c>
      <c r="AN126">
        <f t="shared" si="34"/>
        <v>1.262382933295044</v>
      </c>
      <c r="AO126">
        <f t="shared" si="35"/>
        <v>1.262382933295044</v>
      </c>
      <c r="AP126" s="20">
        <f t="shared" si="36"/>
        <v>-6.7337110041088583E-2</v>
      </c>
      <c r="AQ126" s="21">
        <f t="shared" si="37"/>
        <v>1.0673371100410887</v>
      </c>
      <c r="AR126">
        <f t="shared" si="38"/>
        <v>0.72228025717429456</v>
      </c>
      <c r="AS126">
        <f t="shared" si="39"/>
        <v>0.72228025717429456</v>
      </c>
      <c r="AT126">
        <f t="shared" si="40"/>
        <v>6.0070516478439771E-2</v>
      </c>
      <c r="AU126">
        <f t="shared" si="41"/>
        <v>6.0070516478439771E-2</v>
      </c>
      <c r="AV126">
        <f t="shared" si="42"/>
        <v>0.66220974069585437</v>
      </c>
      <c r="AW126">
        <f t="shared" si="43"/>
        <v>8.3167878232540515E-2</v>
      </c>
      <c r="AX126">
        <f t="shared" si="44"/>
        <v>0.91683212176745887</v>
      </c>
      <c r="AY126">
        <f t="shared" si="45"/>
        <v>1.358182025016551E-3</v>
      </c>
      <c r="AZ126">
        <f t="shared" si="46"/>
        <v>7.2945543235924384E-4</v>
      </c>
      <c r="BA126" s="8">
        <f t="shared" si="47"/>
        <v>1.358182025016551E-3</v>
      </c>
    </row>
    <row r="127" spans="1:53" x14ac:dyDescent="0.35">
      <c r="A127" s="7" t="s">
        <v>39</v>
      </c>
      <c r="B127" s="11" t="s">
        <v>69</v>
      </c>
      <c r="C127">
        <f t="shared" si="26"/>
        <v>2.9555531427100137</v>
      </c>
      <c r="D127">
        <v>2.706739027069029</v>
      </c>
      <c r="E127">
        <v>6.3428250262197894E-2</v>
      </c>
      <c r="F127">
        <v>2.6433107768068318</v>
      </c>
      <c r="G127">
        <v>0.24881411564098421</v>
      </c>
      <c r="H127">
        <v>-22.6690210199828</v>
      </c>
      <c r="I127">
        <v>8.8709204053682503E-2</v>
      </c>
      <c r="J127">
        <v>-22.757730224036489</v>
      </c>
      <c r="K127">
        <v>2.230995755846735</v>
      </c>
      <c r="L127">
        <v>0.2714737862550583</v>
      </c>
      <c r="M127">
        <v>0.1159807298115369</v>
      </c>
      <c r="N127">
        <v>6.3615690622593002E-3</v>
      </c>
      <c r="O127">
        <v>2.7178293446502998E-3</v>
      </c>
      <c r="P127">
        <v>0.26511221719279898</v>
      </c>
      <c r="Q127">
        <v>0.1132629004668866</v>
      </c>
      <c r="R127">
        <v>2.4954940011303699E-2</v>
      </c>
      <c r="S127">
        <v>1.06614056363985E-2</v>
      </c>
      <c r="T127">
        <v>-2.27360115084833</v>
      </c>
      <c r="U127">
        <v>-0.97134211156575756</v>
      </c>
      <c r="V127">
        <v>8.8971353570804993E-3</v>
      </c>
      <c r="W127">
        <v>3.8010898443680001E-3</v>
      </c>
      <c r="X127">
        <v>-2.2824982862054122</v>
      </c>
      <c r="Y127">
        <v>-0.975143201410126</v>
      </c>
      <c r="Z127">
        <v>0.22375886958504049</v>
      </c>
      <c r="AA127">
        <v>9.5595664518028298E-2</v>
      </c>
      <c r="AB127">
        <v>2333.7834064911899</v>
      </c>
      <c r="AC127">
        <v>997.05355143423003</v>
      </c>
      <c r="AD127" s="19">
        <f t="shared" si="27"/>
        <v>-19.96228199291377</v>
      </c>
      <c r="AE127" s="19">
        <f>(D127)+(H127*-1)</f>
        <v>25.375760047051831</v>
      </c>
      <c r="AF127">
        <f t="shared" si="29"/>
        <v>0.10666632337514949</v>
      </c>
      <c r="AG127">
        <f t="shared" si="50"/>
        <v>0.10666632337514949</v>
      </c>
      <c r="AH127">
        <f>(($D127)/(AD127))*-1</f>
        <v>0.13559266560956656</v>
      </c>
      <c r="AI127">
        <f t="shared" si="51"/>
        <v>-0.13559266560956656</v>
      </c>
      <c r="AJ127">
        <f t="shared" si="31"/>
        <v>0.10416676276515836</v>
      </c>
      <c r="AK127">
        <f t="shared" si="52"/>
        <v>-0.1324152608276527</v>
      </c>
      <c r="AL127">
        <f t="shared" si="32"/>
        <v>2.4995606099911488E-3</v>
      </c>
      <c r="AM127">
        <f t="shared" si="33"/>
        <v>-3.1774047819138973E-3</v>
      </c>
      <c r="AN127">
        <f t="shared" si="34"/>
        <v>9.8051886989643719E-3</v>
      </c>
      <c r="AO127">
        <f t="shared" si="35"/>
        <v>-1.2464212043959127E-2</v>
      </c>
      <c r="AP127" s="20">
        <f t="shared" si="36"/>
        <v>0.9765665438640827</v>
      </c>
      <c r="AQ127" s="21">
        <f t="shared" si="37"/>
        <v>2.3433456135917421E-2</v>
      </c>
      <c r="AR127">
        <f t="shared" si="38"/>
        <v>-0.89333367662485041</v>
      </c>
      <c r="AS127">
        <f t="shared" si="39"/>
        <v>1.1355926656095667</v>
      </c>
      <c r="AT127">
        <f t="shared" si="40"/>
        <v>3.495824514780939E-3</v>
      </c>
      <c r="AU127">
        <f t="shared" si="41"/>
        <v>-4.4438408437057738E-3</v>
      </c>
      <c r="AV127">
        <f t="shared" si="42"/>
        <v>1.1400365064532727</v>
      </c>
      <c r="AW127">
        <f t="shared" si="43"/>
        <v>-3.9132348933588754E-3</v>
      </c>
      <c r="AX127">
        <f t="shared" si="44"/>
        <v>1.0039132348933593</v>
      </c>
      <c r="AY127">
        <f t="shared" si="45"/>
        <v>-2.0021273645932716E-2</v>
      </c>
      <c r="AZ127">
        <f t="shared" si="46"/>
        <v>-8.5536138175422091E-3</v>
      </c>
      <c r="BA127" s="8">
        <f t="shared" si="47"/>
        <v>2.5450749371033886E-2</v>
      </c>
    </row>
    <row r="128" spans="1:53" x14ac:dyDescent="0.35">
      <c r="A128" s="9" t="s">
        <v>40</v>
      </c>
      <c r="B128" s="11" t="s">
        <v>69</v>
      </c>
      <c r="C128">
        <f t="shared" si="26"/>
        <v>-0.15673549095230832</v>
      </c>
      <c r="D128">
        <v>-0.15673549095230749</v>
      </c>
      <c r="E128">
        <v>-8.8163713660671002E-3</v>
      </c>
      <c r="F128">
        <v>-0.14791911958624121</v>
      </c>
      <c r="G128">
        <v>0</v>
      </c>
      <c r="H128">
        <v>-4.4081856830334901E-2</v>
      </c>
      <c r="I128">
        <v>0</v>
      </c>
      <c r="J128">
        <v>-4.4081856830334901E-2</v>
      </c>
      <c r="K128">
        <v>0</v>
      </c>
      <c r="L128">
        <v>-3.7863429173517801E-2</v>
      </c>
      <c r="M128">
        <v>-3.3447667807116901E-2</v>
      </c>
      <c r="N128">
        <v>-2.1298178910102998E-3</v>
      </c>
      <c r="O128">
        <v>-1.8814313141501001E-3</v>
      </c>
      <c r="P128">
        <v>-3.5733611282507703E-2</v>
      </c>
      <c r="Q128">
        <v>-3.1566236492966297E-2</v>
      </c>
      <c r="R128">
        <v>0</v>
      </c>
      <c r="S128">
        <v>0</v>
      </c>
      <c r="T128">
        <v>-1.06490894550512E-2</v>
      </c>
      <c r="U128">
        <v>-9.4071565707508995E-3</v>
      </c>
      <c r="V128">
        <v>0</v>
      </c>
      <c r="W128">
        <v>0</v>
      </c>
      <c r="X128">
        <v>-1.06490894550512E-2</v>
      </c>
      <c r="Y128">
        <v>-9.4071565707508995E-3</v>
      </c>
      <c r="Z128">
        <v>0</v>
      </c>
      <c r="AA128">
        <v>0</v>
      </c>
      <c r="AB128">
        <v>468.59916169988998</v>
      </c>
      <c r="AC128">
        <v>413.94954015926999</v>
      </c>
      <c r="AD128" s="19">
        <f t="shared" si="27"/>
        <v>-0.20081734778264237</v>
      </c>
      <c r="AE128" s="19">
        <f>(D128*-1)+(H128*-1)</f>
        <v>0.20081734778264237</v>
      </c>
      <c r="AF128">
        <f>($D128/$AE128)*-1</f>
        <v>0.78048780487805502</v>
      </c>
      <c r="AG128">
        <f t="shared" si="50"/>
        <v>-0.78048780487805502</v>
      </c>
      <c r="AH128">
        <f t="shared" si="30"/>
        <v>0.78048780487805502</v>
      </c>
      <c r="AI128">
        <f t="shared" si="51"/>
        <v>0.78048780487805502</v>
      </c>
      <c r="AJ128">
        <f t="shared" si="31"/>
        <v>-0.7365853658536694</v>
      </c>
      <c r="AK128">
        <f t="shared" si="52"/>
        <v>0.7365853658536694</v>
      </c>
      <c r="AL128">
        <f t="shared" si="32"/>
        <v>-4.3902439024389617E-2</v>
      </c>
      <c r="AM128">
        <f t="shared" si="33"/>
        <v>4.3902439024389617E-2</v>
      </c>
      <c r="AN128">
        <f t="shared" si="34"/>
        <v>0</v>
      </c>
      <c r="AO128">
        <f t="shared" si="35"/>
        <v>0</v>
      </c>
      <c r="AP128" s="20">
        <f t="shared" si="36"/>
        <v>0.94375000000000153</v>
      </c>
      <c r="AQ128" s="21">
        <f t="shared" si="37"/>
        <v>5.6249999999998752E-2</v>
      </c>
      <c r="AR128">
        <f t="shared" si="38"/>
        <v>-0.21951219512194509</v>
      </c>
      <c r="AS128">
        <f t="shared" si="39"/>
        <v>0.21951219512194509</v>
      </c>
      <c r="AT128">
        <f t="shared" si="40"/>
        <v>0</v>
      </c>
      <c r="AU128">
        <f t="shared" si="41"/>
        <v>0</v>
      </c>
      <c r="AV128">
        <f t="shared" si="42"/>
        <v>0.21951219512194509</v>
      </c>
      <c r="AW128">
        <f t="shared" si="43"/>
        <v>0</v>
      </c>
      <c r="AX128">
        <f t="shared" si="44"/>
        <v>1</v>
      </c>
      <c r="AY128">
        <f t="shared" si="45"/>
        <v>-4.8512518628569194E-4</v>
      </c>
      <c r="AZ128">
        <f t="shared" si="46"/>
        <v>-4.2854824377866474E-4</v>
      </c>
      <c r="BA128" s="8">
        <f t="shared" si="47"/>
        <v>4.8512518628569194E-4</v>
      </c>
    </row>
    <row r="129" spans="1:53" x14ac:dyDescent="0.35">
      <c r="A129" s="7" t="s">
        <v>41</v>
      </c>
      <c r="B129" s="11" t="s">
        <v>69</v>
      </c>
      <c r="C129">
        <f t="shared" si="26"/>
        <v>13.950383861545907</v>
      </c>
      <c r="D129">
        <v>16.64724725671066</v>
      </c>
      <c r="E129">
        <v>5.4475010377742272</v>
      </c>
      <c r="F129">
        <v>11.199746218936429</v>
      </c>
      <c r="G129">
        <v>-2.6968633951647489</v>
      </c>
      <c r="H129">
        <v>-0.37390929665895811</v>
      </c>
      <c r="I129">
        <v>-0.1192141238614583</v>
      </c>
      <c r="J129">
        <v>-0.25469517279749709</v>
      </c>
      <c r="K129">
        <v>0</v>
      </c>
      <c r="L129">
        <v>3.3620104008685532</v>
      </c>
      <c r="M129">
        <v>2.9977649381601279</v>
      </c>
      <c r="N129">
        <v>1.100155170720879</v>
      </c>
      <c r="O129">
        <v>0.98096263963686803</v>
      </c>
      <c r="P129">
        <v>2.2618552301476749</v>
      </c>
      <c r="Q129">
        <v>2.0168022985232601</v>
      </c>
      <c r="R129">
        <v>-0.54464757112384632</v>
      </c>
      <c r="S129">
        <v>-0.48563960181305132</v>
      </c>
      <c r="T129">
        <v>-7.5513201970499794E-2</v>
      </c>
      <c r="U129">
        <v>-6.73319836181622E-2</v>
      </c>
      <c r="V129">
        <v>-2.4075999963963299E-2</v>
      </c>
      <c r="W129">
        <v>-2.1467568489516899E-2</v>
      </c>
      <c r="X129">
        <v>-5.1437202006535898E-2</v>
      </c>
      <c r="Y129">
        <v>-4.5864415128646002E-2</v>
      </c>
      <c r="Z129">
        <v>0</v>
      </c>
      <c r="AA129">
        <v>0</v>
      </c>
      <c r="AB129">
        <v>555.32196820367994</v>
      </c>
      <c r="AC129">
        <v>495.15751802582002</v>
      </c>
      <c r="AD129" s="19">
        <f t="shared" si="27"/>
        <v>16.273337960051702</v>
      </c>
      <c r="AE129" s="19">
        <f>(D129)+(H129*-1)</f>
        <v>17.021156553369618</v>
      </c>
      <c r="AF129">
        <f t="shared" si="29"/>
        <v>0.97803267389694881</v>
      </c>
      <c r="AG129">
        <f t="shared" si="50"/>
        <v>0.97803267389694881</v>
      </c>
      <c r="AH129">
        <f t="shared" si="30"/>
        <v>1.0229768039953968</v>
      </c>
      <c r="AI129">
        <f t="shared" si="51"/>
        <v>1.0229768039953968</v>
      </c>
      <c r="AJ129">
        <f t="shared" si="31"/>
        <v>0.657989730828206</v>
      </c>
      <c r="AK129">
        <f t="shared" si="52"/>
        <v>0.68822673298065318</v>
      </c>
      <c r="AL129">
        <f t="shared" si="32"/>
        <v>0.32004294306874259</v>
      </c>
      <c r="AM129">
        <f t="shared" si="33"/>
        <v>0.33475007101474341</v>
      </c>
      <c r="AN129">
        <f t="shared" si="34"/>
        <v>-0.15844184187536073</v>
      </c>
      <c r="AO129">
        <f t="shared" si="35"/>
        <v>-0.16572281616624035</v>
      </c>
      <c r="AP129" s="20">
        <f t="shared" si="36"/>
        <v>0.67276865936028607</v>
      </c>
      <c r="AQ129" s="21">
        <f t="shared" si="37"/>
        <v>0.32723134063971382</v>
      </c>
      <c r="AR129">
        <f t="shared" si="38"/>
        <v>-2.196732610305124E-2</v>
      </c>
      <c r="AS129">
        <f t="shared" si="39"/>
        <v>-2.2976803995396786E-2</v>
      </c>
      <c r="AT129">
        <f t="shared" si="40"/>
        <v>-7.0038791716452373E-3</v>
      </c>
      <c r="AU129">
        <f t="shared" si="41"/>
        <v>-7.3257326895139066E-3</v>
      </c>
      <c r="AV129">
        <f t="shared" si="42"/>
        <v>-1.5651071305882711E-2</v>
      </c>
      <c r="AW129">
        <f t="shared" si="43"/>
        <v>0.31883166566514459</v>
      </c>
      <c r="AX129">
        <f t="shared" si="44"/>
        <v>0.68116833433484814</v>
      </c>
      <c r="AY129">
        <f t="shared" si="45"/>
        <v>3.2864971988980543E-2</v>
      </c>
      <c r="AZ129">
        <f t="shared" si="46"/>
        <v>2.9304329545419672E-2</v>
      </c>
      <c r="BA129" s="8">
        <f t="shared" si="47"/>
        <v>3.4375236028390564E-2</v>
      </c>
    </row>
    <row r="130" spans="1:53" x14ac:dyDescent="0.35">
      <c r="A130" s="9" t="s">
        <v>42</v>
      </c>
      <c r="B130" s="11" t="s">
        <v>69</v>
      </c>
      <c r="C130">
        <f t="shared" si="26"/>
        <v>2.4619885799198751</v>
      </c>
      <c r="D130">
        <v>2.4930645985307538</v>
      </c>
      <c r="E130">
        <v>0.32729011819604897</v>
      </c>
      <c r="F130">
        <v>2.1657744803347061</v>
      </c>
      <c r="G130">
        <v>-3.1076018610880201E-2</v>
      </c>
      <c r="H130">
        <v>-0.25641147142569309</v>
      </c>
      <c r="I130">
        <v>-4.9722637971639995E-4</v>
      </c>
      <c r="J130">
        <v>-0.25591424504597882</v>
      </c>
      <c r="K130">
        <v>0</v>
      </c>
      <c r="L130">
        <v>1.1561215823126889</v>
      </c>
      <c r="M130">
        <v>0.61195135498629538</v>
      </c>
      <c r="N130">
        <v>0.15177591850091621</v>
      </c>
      <c r="O130">
        <v>8.0337120595162903E-2</v>
      </c>
      <c r="P130">
        <v>1.0043456638117729</v>
      </c>
      <c r="Q130">
        <v>0.53161423439113231</v>
      </c>
      <c r="R130">
        <v>-1.4411040864951E-2</v>
      </c>
      <c r="S130">
        <v>-7.6279658809140999E-3</v>
      </c>
      <c r="T130">
        <v>-0.1189070015444073</v>
      </c>
      <c r="U130">
        <v>-6.2939142237013301E-2</v>
      </c>
      <c r="V130">
        <v>-2.3058132918980001E-4</v>
      </c>
      <c r="W130">
        <v>-1.220499288232E-4</v>
      </c>
      <c r="X130">
        <v>-0.11867642021521969</v>
      </c>
      <c r="Y130">
        <v>-6.2817092308188494E-2</v>
      </c>
      <c r="Z130">
        <v>0</v>
      </c>
      <c r="AA130">
        <v>0</v>
      </c>
      <c r="AB130">
        <v>407.39587848230002</v>
      </c>
      <c r="AC130">
        <v>215.64034757863999</v>
      </c>
      <c r="AD130" s="19">
        <f t="shared" si="27"/>
        <v>2.2366531271050607</v>
      </c>
      <c r="AE130" s="19">
        <f>(D130)+(H130*-1)</f>
        <v>2.7494760699564469</v>
      </c>
      <c r="AF130">
        <f t="shared" si="29"/>
        <v>0.90674169736281618</v>
      </c>
      <c r="AG130">
        <f t="shared" si="50"/>
        <v>0.90674169736281618</v>
      </c>
      <c r="AH130">
        <f t="shared" si="30"/>
        <v>1.1146406961000568</v>
      </c>
      <c r="AI130">
        <f t="shared" si="51"/>
        <v>1.1146406961000568</v>
      </c>
      <c r="AJ130">
        <f t="shared" si="31"/>
        <v>0.78770442994581624</v>
      </c>
      <c r="AK130">
        <f t="shared" si="52"/>
        <v>0.96831039828598986</v>
      </c>
      <c r="AL130">
        <f t="shared" si="32"/>
        <v>0.11903726741700044</v>
      </c>
      <c r="AM130">
        <f t="shared" si="33"/>
        <v>0.14633029781406753</v>
      </c>
      <c r="AN130">
        <f t="shared" si="34"/>
        <v>-1.1302523760962378E-2</v>
      </c>
      <c r="AO130">
        <f t="shared" si="35"/>
        <v>-1.3893982144250699E-2</v>
      </c>
      <c r="AP130" s="20">
        <f t="shared" si="36"/>
        <v>0.86871976025453501</v>
      </c>
      <c r="AQ130" s="21">
        <f t="shared" si="37"/>
        <v>0.13128023974546507</v>
      </c>
      <c r="AR130">
        <f t="shared" si="38"/>
        <v>-9.3258302637183807E-2</v>
      </c>
      <c r="AS130">
        <f t="shared" si="39"/>
        <v>-0.11464069610005685</v>
      </c>
      <c r="AT130">
        <f t="shared" si="40"/>
        <v>-1.8084404703485064E-4</v>
      </c>
      <c r="AU130">
        <f t="shared" si="41"/>
        <v>-2.2230822191010403E-4</v>
      </c>
      <c r="AV130">
        <f t="shared" si="42"/>
        <v>-0.11441838787814769</v>
      </c>
      <c r="AW130">
        <f t="shared" si="43"/>
        <v>1.9391736920026761E-3</v>
      </c>
      <c r="AX130">
        <f t="shared" si="44"/>
        <v>0.99806082630800563</v>
      </c>
      <c r="AY130">
        <f t="shared" si="45"/>
        <v>1.0372145807682838E-2</v>
      </c>
      <c r="AZ130">
        <f t="shared" si="46"/>
        <v>5.4901221274928427E-3</v>
      </c>
      <c r="BA130" s="8">
        <f t="shared" si="47"/>
        <v>1.2750285838570932E-2</v>
      </c>
    </row>
    <row r="131" spans="1:53" x14ac:dyDescent="0.35">
      <c r="A131" s="9" t="s">
        <v>43</v>
      </c>
      <c r="B131" s="11" t="s">
        <v>69</v>
      </c>
      <c r="C131">
        <f t="shared" ref="C131:C194" si="53">E131+F131+G131</f>
        <v>-13.921968259466084</v>
      </c>
      <c r="D131">
        <v>-13.901541641016699</v>
      </c>
      <c r="E131">
        <v>-9.3165876622044994E-5</v>
      </c>
      <c r="F131">
        <v>-13.90144847514008</v>
      </c>
      <c r="G131">
        <v>-2.0426618449381002E-2</v>
      </c>
      <c r="H131">
        <v>-15.907093829902591</v>
      </c>
      <c r="I131">
        <v>-0.28382197792848268</v>
      </c>
      <c r="J131">
        <v>-15.62327185197411</v>
      </c>
      <c r="K131">
        <v>0</v>
      </c>
      <c r="L131">
        <v>-4.1796257792179414</v>
      </c>
      <c r="M131">
        <v>-4.4690359761759257</v>
      </c>
      <c r="N131">
        <v>-2.8011173848804801E-5</v>
      </c>
      <c r="O131">
        <v>-2.9950754033447599E-5</v>
      </c>
      <c r="P131">
        <v>-4.1795977680440934</v>
      </c>
      <c r="Q131">
        <v>-4.4690060254218924</v>
      </c>
      <c r="R131">
        <v>-6.1414498663516E-3</v>
      </c>
      <c r="S131">
        <v>-6.5667028218339002E-3</v>
      </c>
      <c r="T131">
        <v>-4.7826134079786158</v>
      </c>
      <c r="U131">
        <v>-5.1137763305683004</v>
      </c>
      <c r="V131">
        <v>-8.5333676385819596E-2</v>
      </c>
      <c r="W131">
        <v>-9.1242443676127202E-2</v>
      </c>
      <c r="X131">
        <v>-4.697279731592797</v>
      </c>
      <c r="Y131">
        <v>-5.0225338868921714</v>
      </c>
      <c r="Z131">
        <v>0</v>
      </c>
      <c r="AA131">
        <v>0</v>
      </c>
      <c r="AB131">
        <v>311.06354290107998</v>
      </c>
      <c r="AC131">
        <v>332.60254327404999</v>
      </c>
      <c r="AD131" s="19">
        <f t="shared" ref="AD131:AD194" si="54">D131+H131</f>
        <v>-29.808635470919292</v>
      </c>
      <c r="AE131" s="19">
        <f>(D131*-1)+(H131*-1)</f>
        <v>29.808635470919292</v>
      </c>
      <c r="AF131">
        <f>($D131/$AE131)*-1</f>
        <v>0.46635954385026329</v>
      </c>
      <c r="AG131">
        <f t="shared" si="50"/>
        <v>-0.46635954385026329</v>
      </c>
      <c r="AH131">
        <f t="shared" ref="AH131:AH194" si="55">(($D131)/(AD131))</f>
        <v>0.46635954385026329</v>
      </c>
      <c r="AI131">
        <f t="shared" si="51"/>
        <v>0.46635954385026329</v>
      </c>
      <c r="AJ131">
        <f t="shared" ref="AJ131:AJ194" si="56">($F131/(AE131))</f>
        <v>-0.46635641838426506</v>
      </c>
      <c r="AK131">
        <f t="shared" si="52"/>
        <v>0.46635641838426506</v>
      </c>
      <c r="AL131">
        <f t="shared" ref="AL131:AL194" si="57">($E131/AE131)</f>
        <v>-3.1254659983660022E-6</v>
      </c>
      <c r="AM131">
        <f t="shared" ref="AM131:AM194" si="58">(E131/AD131)</f>
        <v>3.1254659983660022E-6</v>
      </c>
      <c r="AN131">
        <f t="shared" ref="AN131:AN194" si="59">($G131/$AE131)</f>
        <v>-6.8525842014166669E-4</v>
      </c>
      <c r="AO131">
        <f t="shared" ref="AO131:AO194" si="60">($G131/$AD131)</f>
        <v>6.8525842014166669E-4</v>
      </c>
      <c r="AP131" s="20">
        <f t="shared" ref="AP131:AP194" si="61">(F131/((E131)+(F131)))</f>
        <v>0.99999329816224503</v>
      </c>
      <c r="AQ131" s="21">
        <f t="shared" ref="AQ131:AQ194" si="62">(E131/D131)</f>
        <v>6.7018377549694007E-6</v>
      </c>
      <c r="AR131">
        <f t="shared" ref="AR131:AR194" si="63">($H131/(AE131))</f>
        <v>-0.53364045614973665</v>
      </c>
      <c r="AS131">
        <f t="shared" ref="AS131:AS194" si="64">($H131/(AD131))</f>
        <v>0.53364045614973665</v>
      </c>
      <c r="AT131">
        <f t="shared" ref="AT131:AT194" si="65">($I131/(AE131))</f>
        <v>-9.5214683075773038E-3</v>
      </c>
      <c r="AU131">
        <f t="shared" ref="AU131:AU194" si="66">($I131/(AD131))</f>
        <v>9.5214683075773038E-3</v>
      </c>
      <c r="AV131">
        <f t="shared" ref="AV131:AV194" si="67">(J131/(AD131))</f>
        <v>0.52411898784215938</v>
      </c>
      <c r="AW131">
        <f t="shared" ref="AW131:AW194" si="68">(I131/H131)</f>
        <v>1.7842478391304033E-2</v>
      </c>
      <c r="AX131">
        <f t="shared" ref="AX131:AX194" si="69">J131/H131</f>
        <v>0.98215752160869607</v>
      </c>
      <c r="AY131">
        <f t="shared" ref="AY131:AY194" si="70">(AD131/AC131)</f>
        <v>-8.9622391871965565E-2</v>
      </c>
      <c r="AZ131">
        <f t="shared" ref="AZ131:AZ194" si="71">(AD131)/AB131</f>
        <v>-9.5828123067442234E-2</v>
      </c>
      <c r="BA131" s="8">
        <f t="shared" ref="BA131:BA194" si="72">(AE131/AC131)</f>
        <v>8.9622391871965565E-2</v>
      </c>
    </row>
    <row r="132" spans="1:53" x14ac:dyDescent="0.35">
      <c r="A132" s="9" t="s">
        <v>44</v>
      </c>
      <c r="B132" s="11" t="s">
        <v>69</v>
      </c>
      <c r="C132">
        <f t="shared" si="53"/>
        <v>-6.8806318739233997E-3</v>
      </c>
      <c r="D132">
        <v>-6.8806318739236001E-3</v>
      </c>
      <c r="E132">
        <v>-1.1265363412197001E-3</v>
      </c>
      <c r="F132">
        <v>-5.7540955327036996E-3</v>
      </c>
      <c r="G132">
        <v>0</v>
      </c>
      <c r="H132">
        <v>-5.6816615470212002E-3</v>
      </c>
      <c r="I132">
        <v>-4.2122663193432004E-3</v>
      </c>
      <c r="J132">
        <v>-1.4693952276778001E-3</v>
      </c>
      <c r="K132">
        <v>0</v>
      </c>
      <c r="L132">
        <v>-2.5582685845137999E-2</v>
      </c>
      <c r="M132">
        <v>-1.49867047706839E-2</v>
      </c>
      <c r="N132">
        <v>-4.1885434126735996E-3</v>
      </c>
      <c r="O132">
        <v>-2.4537088843962999E-3</v>
      </c>
      <c r="P132">
        <v>-2.1394142432464399E-2</v>
      </c>
      <c r="Q132">
        <v>-1.2532995886287399E-2</v>
      </c>
      <c r="R132">
        <v>0</v>
      </c>
      <c r="S132">
        <v>0</v>
      </c>
      <c r="T132">
        <v>-2.11248276465285E-2</v>
      </c>
      <c r="U132">
        <v>-1.2375227416955001E-2</v>
      </c>
      <c r="V132">
        <v>-1.5661510151737001E-2</v>
      </c>
      <c r="W132">
        <v>-9.1747375677426E-3</v>
      </c>
      <c r="X132">
        <v>-5.4633174947917003E-3</v>
      </c>
      <c r="Y132">
        <v>-3.2004898492122998E-3</v>
      </c>
      <c r="Z132">
        <v>0</v>
      </c>
      <c r="AA132">
        <v>0</v>
      </c>
      <c r="AB132">
        <v>45.911572818750003</v>
      </c>
      <c r="AC132">
        <v>26.895658710639999</v>
      </c>
      <c r="AD132" s="19">
        <f t="shared" si="54"/>
        <v>-1.25622934209448E-2</v>
      </c>
      <c r="AE132" s="19">
        <f>(D132*-1)+(H132*-1)</f>
        <v>1.25622934209448E-2</v>
      </c>
      <c r="AF132">
        <f>($D132/$AE132)*-1</f>
        <v>0.54772099674504449</v>
      </c>
      <c r="AG132">
        <f t="shared" si="50"/>
        <v>-0.54772099674504449</v>
      </c>
      <c r="AH132">
        <f t="shared" si="55"/>
        <v>0.54772099674504449</v>
      </c>
      <c r="AI132">
        <f t="shared" si="51"/>
        <v>0.54772099674504449</v>
      </c>
      <c r="AJ132">
        <f t="shared" si="56"/>
        <v>-0.45804498747896133</v>
      </c>
      <c r="AK132">
        <f t="shared" si="52"/>
        <v>0.45804498747896133</v>
      </c>
      <c r="AL132">
        <f t="shared" si="57"/>
        <v>-8.9676009266067128E-2</v>
      </c>
      <c r="AM132">
        <f t="shared" si="58"/>
        <v>8.9676009266067128E-2</v>
      </c>
      <c r="AN132">
        <f t="shared" si="59"/>
        <v>0</v>
      </c>
      <c r="AO132">
        <f t="shared" si="60"/>
        <v>0</v>
      </c>
      <c r="AP132" s="20">
        <f t="shared" si="61"/>
        <v>0.83627428964931116</v>
      </c>
      <c r="AQ132" s="21">
        <f t="shared" si="62"/>
        <v>0.16372571035068409</v>
      </c>
      <c r="AR132">
        <f t="shared" si="63"/>
        <v>-0.45227900325495557</v>
      </c>
      <c r="AS132">
        <f t="shared" si="64"/>
        <v>0.45227900325495557</v>
      </c>
      <c r="AT132">
        <f t="shared" si="65"/>
        <v>-0.3353102955165968</v>
      </c>
      <c r="AU132">
        <f t="shared" si="66"/>
        <v>0.3353102955165968</v>
      </c>
      <c r="AV132">
        <f t="shared" si="67"/>
        <v>0.11696870773834289</v>
      </c>
      <c r="AW132">
        <f t="shared" si="68"/>
        <v>0.74137931034480942</v>
      </c>
      <c r="AX132">
        <f t="shared" si="69"/>
        <v>0.25862068965515544</v>
      </c>
      <c r="AY132">
        <f t="shared" si="70"/>
        <v>-4.6707513491666672E-4</v>
      </c>
      <c r="AZ132">
        <f t="shared" si="71"/>
        <v>-2.7361932187638835E-4</v>
      </c>
      <c r="BA132" s="8">
        <f t="shared" si="72"/>
        <v>4.6707513491666672E-4</v>
      </c>
    </row>
    <row r="133" spans="1:53" x14ac:dyDescent="0.35">
      <c r="A133" s="9" t="s">
        <v>45</v>
      </c>
      <c r="B133" s="11" t="s">
        <v>69</v>
      </c>
      <c r="C133">
        <f t="shared" si="53"/>
        <v>0.9739878360894787</v>
      </c>
      <c r="D133">
        <v>1.0519623383661809</v>
      </c>
      <c r="E133">
        <v>0.6196774981599118</v>
      </c>
      <c r="F133">
        <v>0.43228484020626912</v>
      </c>
      <c r="G133">
        <v>-7.7974502276702204E-2</v>
      </c>
      <c r="H133">
        <v>-7.5037116293415806E-2</v>
      </c>
      <c r="I133">
        <v>-1.1853121503268199E-2</v>
      </c>
      <c r="J133">
        <v>-6.31839947901493E-2</v>
      </c>
      <c r="K133">
        <v>-4.8979840922596003E-3</v>
      </c>
      <c r="L133">
        <v>0.41294855970658689</v>
      </c>
      <c r="M133">
        <v>0.41428510274810509</v>
      </c>
      <c r="N133">
        <v>0.24325484004033029</v>
      </c>
      <c r="O133">
        <v>0.24404215496401591</v>
      </c>
      <c r="P133">
        <v>0.1696937196662569</v>
      </c>
      <c r="Q133">
        <v>0.17024294778408941</v>
      </c>
      <c r="R133">
        <v>-3.0608945999922098E-2</v>
      </c>
      <c r="S133">
        <v>-3.07080144500297E-2</v>
      </c>
      <c r="T133">
        <v>-2.9455873055330699E-2</v>
      </c>
      <c r="U133">
        <v>-2.9551209487045101E-2</v>
      </c>
      <c r="V133">
        <v>-4.6529512267556002E-3</v>
      </c>
      <c r="W133">
        <v>-4.6680108980838003E-3</v>
      </c>
      <c r="X133">
        <v>-2.4802921828574499E-2</v>
      </c>
      <c r="Y133">
        <v>-2.4883198588961201E-2</v>
      </c>
      <c r="Z133">
        <v>-1.922707118494E-3</v>
      </c>
      <c r="AA133">
        <v>-1.9289301231751E-3</v>
      </c>
      <c r="AB133">
        <v>253.92231856471</v>
      </c>
      <c r="AC133">
        <v>254.7441596875</v>
      </c>
      <c r="AD133" s="19">
        <f t="shared" si="54"/>
        <v>0.97692522207276511</v>
      </c>
      <c r="AE133" s="19">
        <f>(D133)+(H133*-1)</f>
        <v>1.1269994546595967</v>
      </c>
      <c r="AF133">
        <f t="shared" ref="AF133:AF196" si="73">($D133/$AE133)</f>
        <v>0.93341867559636016</v>
      </c>
      <c r="AG133">
        <f t="shared" si="50"/>
        <v>0.93341867559636016</v>
      </c>
      <c r="AH133">
        <f t="shared" si="55"/>
        <v>1.0768094779395785</v>
      </c>
      <c r="AI133">
        <f t="shared" si="51"/>
        <v>1.0768094779395785</v>
      </c>
      <c r="AJ133">
        <f t="shared" si="56"/>
        <v>0.38357147238978756</v>
      </c>
      <c r="AK133">
        <f t="shared" si="52"/>
        <v>0.44249532148333753</v>
      </c>
      <c r="AL133">
        <f t="shared" si="57"/>
        <v>0.54984720320657265</v>
      </c>
      <c r="AM133">
        <f t="shared" si="58"/>
        <v>0.6343141564562409</v>
      </c>
      <c r="AN133">
        <f t="shared" si="59"/>
        <v>-6.9187701870054519E-2</v>
      </c>
      <c r="AO133">
        <f t="shared" si="60"/>
        <v>-7.9816244391010677E-2</v>
      </c>
      <c r="AP133" s="20">
        <f t="shared" si="61"/>
        <v>0.41093185985884001</v>
      </c>
      <c r="AQ133" s="21">
        <f t="shared" si="62"/>
        <v>0.58906814014115993</v>
      </c>
      <c r="AR133">
        <f t="shared" si="63"/>
        <v>-6.6581324403639841E-2</v>
      </c>
      <c r="AS133">
        <f t="shared" si="64"/>
        <v>-7.680947793957843E-2</v>
      </c>
      <c r="AT133">
        <f t="shared" si="65"/>
        <v>-1.051741547368216E-2</v>
      </c>
      <c r="AU133">
        <f t="shared" si="66"/>
        <v>-1.2133089857296503E-2</v>
      </c>
      <c r="AV133">
        <f t="shared" si="67"/>
        <v>-6.4676388082283653E-2</v>
      </c>
      <c r="AW133">
        <f t="shared" si="68"/>
        <v>0.15796344647519805</v>
      </c>
      <c r="AX133">
        <f t="shared" si="69"/>
        <v>0.84203655352482454</v>
      </c>
      <c r="AY133">
        <f t="shared" si="70"/>
        <v>3.8349268665125815E-3</v>
      </c>
      <c r="AZ133">
        <f t="shared" si="71"/>
        <v>3.8473389326106199E-3</v>
      </c>
      <c r="BA133" s="8">
        <f t="shared" si="72"/>
        <v>4.4240443276191716E-3</v>
      </c>
    </row>
    <row r="134" spans="1:53" x14ac:dyDescent="0.35">
      <c r="A134" s="10" t="s">
        <v>46</v>
      </c>
      <c r="B134" s="12" t="s">
        <v>69</v>
      </c>
      <c r="C134">
        <f t="shared" si="53"/>
        <v>8.3725140766960351</v>
      </c>
      <c r="D134">
        <v>7.9529738437430826</v>
      </c>
      <c r="E134">
        <v>0.36466848586374179</v>
      </c>
      <c r="F134">
        <v>7.5883053578793396</v>
      </c>
      <c r="G134">
        <v>0.41954023295295251</v>
      </c>
      <c r="H134">
        <v>6.360550016758193</v>
      </c>
      <c r="I134">
        <v>6.41999440943819</v>
      </c>
      <c r="J134">
        <v>-5.9444392679996502E-2</v>
      </c>
      <c r="K134">
        <v>0</v>
      </c>
      <c r="L134">
        <v>3.9003710215667908</v>
      </c>
      <c r="M134">
        <v>2.6374108372741398</v>
      </c>
      <c r="N134">
        <v>0.1788440931263203</v>
      </c>
      <c r="O134">
        <v>0.12093345653161609</v>
      </c>
      <c r="P134">
        <v>3.7215269284404711</v>
      </c>
      <c r="Q134">
        <v>2.5164773807425238</v>
      </c>
      <c r="R134">
        <v>0.2057548030638211</v>
      </c>
      <c r="S134">
        <v>0.13913034027304899</v>
      </c>
      <c r="T134">
        <v>3.1193997935888671</v>
      </c>
      <c r="U134">
        <v>2.1093221070279422</v>
      </c>
      <c r="V134">
        <v>3.1485530626878351</v>
      </c>
      <c r="W134">
        <v>2.1290353977478338</v>
      </c>
      <c r="X134">
        <v>-2.9153269098967899E-2</v>
      </c>
      <c r="Y134">
        <v>-1.97132907198918E-2</v>
      </c>
      <c r="Z134">
        <v>0</v>
      </c>
      <c r="AA134">
        <v>0</v>
      </c>
      <c r="AB134">
        <v>301.54474727050001</v>
      </c>
      <c r="AC134">
        <v>203.90300819506001</v>
      </c>
      <c r="AD134" s="19">
        <f t="shared" si="54"/>
        <v>14.313523860501276</v>
      </c>
      <c r="AE134" s="19">
        <f t="shared" ref="AE134:AE192" si="74">(D134)+(H134)</f>
        <v>14.313523860501276</v>
      </c>
      <c r="AF134">
        <f t="shared" si="73"/>
        <v>0.5556265474003661</v>
      </c>
      <c r="AG134">
        <f t="shared" si="50"/>
        <v>0.5556265474003661</v>
      </c>
      <c r="AH134">
        <f t="shared" si="55"/>
        <v>0.5556265474003661</v>
      </c>
      <c r="AI134">
        <f t="shared" si="51"/>
        <v>0.5556265474003661</v>
      </c>
      <c r="AJ134">
        <f t="shared" si="56"/>
        <v>0.5301493490935214</v>
      </c>
      <c r="AK134">
        <f t="shared" si="52"/>
        <v>0.5301493490935214</v>
      </c>
      <c r="AL134">
        <f t="shared" si="57"/>
        <v>2.5477198306844525E-2</v>
      </c>
      <c r="AM134">
        <f t="shared" si="58"/>
        <v>2.5477198306844525E-2</v>
      </c>
      <c r="AN134">
        <f t="shared" si="59"/>
        <v>2.9310757926682893E-2</v>
      </c>
      <c r="AO134">
        <f t="shared" si="60"/>
        <v>2.9310757926682893E-2</v>
      </c>
      <c r="AP134" s="20">
        <f t="shared" si="61"/>
        <v>0.95414690240045974</v>
      </c>
      <c r="AQ134" s="21">
        <f t="shared" si="62"/>
        <v>4.5853097599540184E-2</v>
      </c>
      <c r="AR134">
        <f t="shared" si="63"/>
        <v>0.44437345259963396</v>
      </c>
      <c r="AS134">
        <f t="shared" si="64"/>
        <v>0.44437345259963396</v>
      </c>
      <c r="AT134">
        <f t="shared" si="65"/>
        <v>0.44852647552112684</v>
      </c>
      <c r="AU134">
        <f t="shared" si="66"/>
        <v>0.44852647552112684</v>
      </c>
      <c r="AV134">
        <f t="shared" si="67"/>
        <v>-4.1530229214928414E-3</v>
      </c>
      <c r="AW134">
        <f t="shared" si="68"/>
        <v>1.0093457943925255</v>
      </c>
      <c r="AX134">
        <f t="shared" si="69"/>
        <v>-9.3457943925254697E-3</v>
      </c>
      <c r="AY134">
        <f t="shared" si="70"/>
        <v>7.0197708151556598E-2</v>
      </c>
      <c r="AZ134">
        <f t="shared" si="71"/>
        <v>4.7467329443020817E-2</v>
      </c>
      <c r="BA134" s="8">
        <f t="shared" si="72"/>
        <v>7.0197708151556598E-2</v>
      </c>
    </row>
    <row r="135" spans="1:53" x14ac:dyDescent="0.35">
      <c r="A135" s="9" t="s">
        <v>47</v>
      </c>
      <c r="B135" s="11" t="s">
        <v>69</v>
      </c>
      <c r="C135">
        <f t="shared" si="53"/>
        <v>2.62667508678592E-2</v>
      </c>
      <c r="D135">
        <v>2.62667508678592E-2</v>
      </c>
      <c r="E135">
        <v>2.8942786299298601E-2</v>
      </c>
      <c r="F135">
        <v>-2.6760354314394001E-3</v>
      </c>
      <c r="G135">
        <v>0</v>
      </c>
      <c r="H135">
        <v>-2.8565706996578001E-3</v>
      </c>
      <c r="I135">
        <v>0</v>
      </c>
      <c r="J135">
        <v>-2.8565706996578001E-3</v>
      </c>
      <c r="K135">
        <v>0</v>
      </c>
      <c r="L135">
        <v>0.1267088812672359</v>
      </c>
      <c r="M135">
        <v>0.13774479070298001</v>
      </c>
      <c r="N135">
        <v>0.1396178800792699</v>
      </c>
      <c r="O135">
        <v>0.15177811908347741</v>
      </c>
      <c r="P135">
        <v>-1.29089988120334E-2</v>
      </c>
      <c r="Q135">
        <v>-1.40333283804974E-2</v>
      </c>
      <c r="R135">
        <v>0</v>
      </c>
      <c r="S135">
        <v>0</v>
      </c>
      <c r="T135">
        <v>-1.3779887715664E-2</v>
      </c>
      <c r="U135">
        <v>-1.4980068723843901E-2</v>
      </c>
      <c r="V135">
        <v>0</v>
      </c>
      <c r="W135">
        <v>0</v>
      </c>
      <c r="X135">
        <v>-1.3779887715664E-2</v>
      </c>
      <c r="Y135">
        <v>-1.4980068723843901E-2</v>
      </c>
      <c r="Z135">
        <v>0</v>
      </c>
      <c r="AA135">
        <v>0</v>
      </c>
      <c r="AB135">
        <v>19.06914282116</v>
      </c>
      <c r="AC135">
        <v>20.729999827290001</v>
      </c>
      <c r="AD135" s="19">
        <f t="shared" si="54"/>
        <v>2.34101801682014E-2</v>
      </c>
      <c r="AE135" s="19">
        <f>(D135)+(H135*-1)</f>
        <v>2.9123321567516999E-2</v>
      </c>
      <c r="AF135">
        <f t="shared" si="73"/>
        <v>0.90191466680627852</v>
      </c>
      <c r="AG135">
        <f t="shared" si="50"/>
        <v>0.90191466680627852</v>
      </c>
      <c r="AH135">
        <f t="shared" si="55"/>
        <v>1.1220225850093177</v>
      </c>
      <c r="AI135">
        <f t="shared" si="51"/>
        <v>1.1220225850093177</v>
      </c>
      <c r="AJ135">
        <f t="shared" si="56"/>
        <v>-9.1886340135877362E-2</v>
      </c>
      <c r="AK135">
        <f t="shared" si="52"/>
        <v>-0.11431075763672773</v>
      </c>
      <c r="AL135">
        <f t="shared" si="57"/>
        <v>0.9938010069421559</v>
      </c>
      <c r="AM135">
        <f t="shared" si="58"/>
        <v>1.2363333426460454</v>
      </c>
      <c r="AN135">
        <f t="shared" si="59"/>
        <v>0</v>
      </c>
      <c r="AO135">
        <f t="shared" si="60"/>
        <v>0</v>
      </c>
      <c r="AP135" s="20">
        <f t="shared" si="61"/>
        <v>-0.10187919491458226</v>
      </c>
      <c r="AQ135" s="21">
        <f t="shared" si="62"/>
        <v>1.1018791949145823</v>
      </c>
      <c r="AR135">
        <f t="shared" si="63"/>
        <v>-9.8085333193721494E-2</v>
      </c>
      <c r="AS135">
        <f t="shared" si="64"/>
        <v>-0.12202258500931776</v>
      </c>
      <c r="AT135">
        <f t="shared" si="65"/>
        <v>0</v>
      </c>
      <c r="AU135">
        <f t="shared" si="66"/>
        <v>0</v>
      </c>
      <c r="AV135">
        <f t="shared" si="67"/>
        <v>-0.12202258500931776</v>
      </c>
      <c r="AW135">
        <f t="shared" si="68"/>
        <v>0</v>
      </c>
      <c r="AX135">
        <f t="shared" si="69"/>
        <v>1</v>
      </c>
      <c r="AY135">
        <f t="shared" si="70"/>
        <v>1.129289935515729E-3</v>
      </c>
      <c r="AZ135">
        <f t="shared" si="71"/>
        <v>1.2276472197913575E-3</v>
      </c>
      <c r="BA135" s="8">
        <f t="shared" si="72"/>
        <v>1.4048876898289991E-3</v>
      </c>
    </row>
    <row r="136" spans="1:53" x14ac:dyDescent="0.35">
      <c r="A136" s="9" t="s">
        <v>48</v>
      </c>
      <c r="B136" s="11" t="s">
        <v>69</v>
      </c>
      <c r="C136">
        <f t="shared" si="53"/>
        <v>-1.4467121469156698</v>
      </c>
      <c r="D136">
        <v>-1.048808652685707</v>
      </c>
      <c r="E136">
        <v>0.78867720461602975</v>
      </c>
      <c r="F136">
        <v>-1.8374858573017361</v>
      </c>
      <c r="G136">
        <v>-0.39790349422996352</v>
      </c>
      <c r="H136">
        <v>-0.70896838615191271</v>
      </c>
      <c r="I136">
        <v>-0.8826455907679418</v>
      </c>
      <c r="J136">
        <v>0.17367720461602909</v>
      </c>
      <c r="K136">
        <v>0</v>
      </c>
      <c r="L136">
        <v>-0.28234265530790292</v>
      </c>
      <c r="M136">
        <v>-0.2509767519875501</v>
      </c>
      <c r="N136">
        <v>0.2123144346319894</v>
      </c>
      <c r="O136">
        <v>0.18872807987832979</v>
      </c>
      <c r="P136">
        <v>-0.4946570899398921</v>
      </c>
      <c r="Q136">
        <v>-0.43970483186588</v>
      </c>
      <c r="R136">
        <v>-0.10711689766240599</v>
      </c>
      <c r="S136">
        <v>-9.5217107840031498E-2</v>
      </c>
      <c r="T136">
        <v>-0.19085656488712699</v>
      </c>
      <c r="U136">
        <v>-0.1696539996715527</v>
      </c>
      <c r="V136">
        <v>-0.23761102576249729</v>
      </c>
      <c r="W136">
        <v>-0.21121443168857401</v>
      </c>
      <c r="X136">
        <v>4.6754460875370302E-2</v>
      </c>
      <c r="Y136">
        <v>4.1560432017021399E-2</v>
      </c>
      <c r="Z136">
        <v>0</v>
      </c>
      <c r="AA136">
        <v>0</v>
      </c>
      <c r="AB136">
        <v>417.89075855828003</v>
      </c>
      <c r="AC136">
        <v>371.46659669328</v>
      </c>
      <c r="AD136" s="19">
        <f t="shared" si="54"/>
        <v>-1.7577770388376197</v>
      </c>
      <c r="AE136" s="19">
        <f>(D136*-1)+(H136*-1)</f>
        <v>1.7577770388376197</v>
      </c>
      <c r="AF136">
        <f>($D136/$AE136)*-1</f>
        <v>0.59666762593466449</v>
      </c>
      <c r="AG136">
        <f t="shared" si="50"/>
        <v>-0.59666762593466449</v>
      </c>
      <c r="AH136">
        <f t="shared" si="55"/>
        <v>0.59666762593466449</v>
      </c>
      <c r="AI136">
        <f t="shared" si="51"/>
        <v>0.59666762593466449</v>
      </c>
      <c r="AJ136">
        <f t="shared" si="56"/>
        <v>-1.0453463759640564</v>
      </c>
      <c r="AK136">
        <f t="shared" si="52"/>
        <v>1.0453463759640564</v>
      </c>
      <c r="AL136">
        <f t="shared" si="57"/>
        <v>0.44867875002939228</v>
      </c>
      <c r="AM136">
        <f t="shared" si="58"/>
        <v>-0.44867875002939228</v>
      </c>
      <c r="AN136">
        <f t="shared" si="59"/>
        <v>-0.22636744333234013</v>
      </c>
      <c r="AO136">
        <f t="shared" si="60"/>
        <v>0.22636744333234013</v>
      </c>
      <c r="AP136" s="20">
        <f t="shared" si="61"/>
        <v>1.7519743497504978</v>
      </c>
      <c r="AQ136" s="21">
        <f t="shared" si="62"/>
        <v>-0.75197434975049737</v>
      </c>
      <c r="AR136">
        <f t="shared" si="63"/>
        <v>-0.40333237406533556</v>
      </c>
      <c r="AS136">
        <f t="shared" si="64"/>
        <v>0.40333237406533556</v>
      </c>
      <c r="AT136">
        <f t="shared" si="65"/>
        <v>-0.50213739926402523</v>
      </c>
      <c r="AU136">
        <f t="shared" si="66"/>
        <v>0.50213739926402523</v>
      </c>
      <c r="AV136">
        <f t="shared" si="67"/>
        <v>-9.8805025198689653E-2</v>
      </c>
      <c r="AW136">
        <f t="shared" si="68"/>
        <v>1.2449717194848442</v>
      </c>
      <c r="AX136">
        <f t="shared" si="69"/>
        <v>-0.24497171948484425</v>
      </c>
      <c r="AY136">
        <f t="shared" si="70"/>
        <v>-4.7319922019503045E-3</v>
      </c>
      <c r="AZ136">
        <f t="shared" si="71"/>
        <v>-4.206307516591028E-3</v>
      </c>
      <c r="BA136" s="8">
        <f t="shared" si="72"/>
        <v>4.7319922019503045E-3</v>
      </c>
    </row>
    <row r="137" spans="1:53" x14ac:dyDescent="0.35">
      <c r="A137" s="9" t="s">
        <v>49</v>
      </c>
      <c r="B137" s="11" t="s">
        <v>69</v>
      </c>
      <c r="C137">
        <f t="shared" si="53"/>
        <v>0.97733203671214797</v>
      </c>
      <c r="D137">
        <v>0.973540694996057</v>
      </c>
      <c r="E137">
        <v>0.44152575336758199</v>
      </c>
      <c r="F137">
        <v>0.53201494162847496</v>
      </c>
      <c r="G137">
        <v>3.791341716091E-3</v>
      </c>
      <c r="H137">
        <v>-8.6212863034837994E-3</v>
      </c>
      <c r="I137">
        <v>-2.7209392217096302E-2</v>
      </c>
      <c r="J137">
        <v>1.85881059136132E-2</v>
      </c>
      <c r="K137">
        <v>0</v>
      </c>
      <c r="L137">
        <v>0.27158958003625511</v>
      </c>
      <c r="M137">
        <v>0.28433120662361761</v>
      </c>
      <c r="N137">
        <v>0.12317286226312139</v>
      </c>
      <c r="O137">
        <v>0.12895151774925501</v>
      </c>
      <c r="P137">
        <v>0.14841671777313339</v>
      </c>
      <c r="Q137">
        <v>0.1553796888743619</v>
      </c>
      <c r="R137">
        <v>1.0576742294797E-3</v>
      </c>
      <c r="S137">
        <v>1.1072950215634E-3</v>
      </c>
      <c r="T137">
        <v>-2.4050884966290999E-3</v>
      </c>
      <c r="U137">
        <v>-2.5179232362004E-3</v>
      </c>
      <c r="V137">
        <v>-7.5906302050505001E-3</v>
      </c>
      <c r="W137">
        <v>-7.9467446613657993E-3</v>
      </c>
      <c r="X137">
        <v>5.1855417084216001E-3</v>
      </c>
      <c r="Y137">
        <v>5.4288214251653998E-3</v>
      </c>
      <c r="Z137">
        <v>0</v>
      </c>
      <c r="AA137">
        <v>0</v>
      </c>
      <c r="AB137">
        <v>342.39670930134002</v>
      </c>
      <c r="AC137">
        <v>358.46025273358998</v>
      </c>
      <c r="AD137" s="19">
        <f t="shared" si="54"/>
        <v>0.9649194086925732</v>
      </c>
      <c r="AE137" s="19">
        <f>(D137)+(H137*-1)</f>
        <v>0.9821619812995408</v>
      </c>
      <c r="AF137">
        <f t="shared" si="73"/>
        <v>0.99122213395790726</v>
      </c>
      <c r="AG137">
        <f t="shared" si="50"/>
        <v>0.99122213395790726</v>
      </c>
      <c r="AH137">
        <f t="shared" si="55"/>
        <v>1.00893472162112</v>
      </c>
      <c r="AI137">
        <f t="shared" si="51"/>
        <v>1.00893472162112</v>
      </c>
      <c r="AJ137">
        <f t="shared" si="56"/>
        <v>0.54167739309613994</v>
      </c>
      <c r="AK137">
        <f t="shared" si="52"/>
        <v>0.55135686652767579</v>
      </c>
      <c r="AL137">
        <f t="shared" si="57"/>
        <v>0.44954474086176727</v>
      </c>
      <c r="AM137">
        <f t="shared" si="58"/>
        <v>0.45757785509344406</v>
      </c>
      <c r="AN137">
        <f t="shared" si="59"/>
        <v>3.8602000365301381E-3</v>
      </c>
      <c r="AO137">
        <f t="shared" si="60"/>
        <v>3.9291796619866058E-3</v>
      </c>
      <c r="AP137" s="20">
        <f t="shared" si="61"/>
        <v>0.54647427104280388</v>
      </c>
      <c r="AQ137" s="21">
        <f t="shared" si="62"/>
        <v>0.45352572895719601</v>
      </c>
      <c r="AR137">
        <f t="shared" si="63"/>
        <v>-8.7778660420927759E-3</v>
      </c>
      <c r="AS137">
        <f t="shared" si="64"/>
        <v>-8.9347216211199381E-3</v>
      </c>
      <c r="AT137">
        <f t="shared" si="65"/>
        <v>-2.7703568998969381E-2</v>
      </c>
      <c r="AU137">
        <f t="shared" si="66"/>
        <v>-2.8198616352803938E-2</v>
      </c>
      <c r="AV137">
        <f t="shared" si="67"/>
        <v>1.9263894731684723E-2</v>
      </c>
      <c r="AW137">
        <f t="shared" si="68"/>
        <v>3.1560710617046999</v>
      </c>
      <c r="AX137">
        <f t="shared" si="69"/>
        <v>-2.1560710617047807</v>
      </c>
      <c r="AY137">
        <f t="shared" si="70"/>
        <v>2.6918449153962619E-3</v>
      </c>
      <c r="AZ137">
        <f t="shared" si="71"/>
        <v>2.8181328338741625E-3</v>
      </c>
      <c r="BA137" s="8">
        <f t="shared" si="72"/>
        <v>2.7399466853288475E-3</v>
      </c>
    </row>
    <row r="138" spans="1:53" x14ac:dyDescent="0.35">
      <c r="A138" s="10" t="s">
        <v>50</v>
      </c>
      <c r="B138" s="11" t="s">
        <v>69</v>
      </c>
      <c r="C138">
        <f t="shared" si="53"/>
        <v>-2.3205983330700897E-2</v>
      </c>
      <c r="D138">
        <v>-2.3205983330701199E-2</v>
      </c>
      <c r="E138">
        <v>7.9292813335628005E-3</v>
      </c>
      <c r="F138">
        <v>-3.1135264664263699E-2</v>
      </c>
      <c r="G138">
        <v>0</v>
      </c>
      <c r="H138">
        <v>-6.9654562634122397E-2</v>
      </c>
      <c r="I138">
        <v>-3.4533528024344E-3</v>
      </c>
      <c r="J138">
        <v>-6.6201209831687993E-2</v>
      </c>
      <c r="K138">
        <v>0</v>
      </c>
      <c r="L138">
        <v>-7.6942717779704795E-2</v>
      </c>
      <c r="M138">
        <v>-4.1870983365384903E-2</v>
      </c>
      <c r="N138">
        <v>2.6290653024690899E-2</v>
      </c>
      <c r="O138">
        <v>1.4306948431606899E-2</v>
      </c>
      <c r="P138">
        <v>-0.1032333708043964</v>
      </c>
      <c r="Q138">
        <v>-5.6177931796991397E-2</v>
      </c>
      <c r="R138">
        <v>0</v>
      </c>
      <c r="S138">
        <v>0</v>
      </c>
      <c r="T138">
        <v>-0.2309495477287431</v>
      </c>
      <c r="U138">
        <v>-0.12567901096085179</v>
      </c>
      <c r="V138">
        <v>-1.14500793301846E-2</v>
      </c>
      <c r="W138">
        <v>-6.2309481001066001E-3</v>
      </c>
      <c r="X138">
        <v>-0.21949946839855849</v>
      </c>
      <c r="Y138">
        <v>-0.1194480628607452</v>
      </c>
      <c r="Z138">
        <v>0</v>
      </c>
      <c r="AA138">
        <v>0</v>
      </c>
      <c r="AB138">
        <v>55.422589739999999</v>
      </c>
      <c r="AC138">
        <v>30.160077523049999</v>
      </c>
      <c r="AD138" s="19">
        <f t="shared" si="54"/>
        <v>-9.2860545964823599E-2</v>
      </c>
      <c r="AE138" s="19">
        <f>(D138*-1)+(H138*-1)</f>
        <v>9.2860545964823599E-2</v>
      </c>
      <c r="AF138">
        <f>($D138/$AE138)*-1</f>
        <v>0.24990143111469354</v>
      </c>
      <c r="AG138">
        <f t="shared" si="50"/>
        <v>-0.24990143111469354</v>
      </c>
      <c r="AH138">
        <f t="shared" si="55"/>
        <v>0.24990143111469354</v>
      </c>
      <c r="AI138">
        <f t="shared" si="51"/>
        <v>0.24990143111469354</v>
      </c>
      <c r="AJ138">
        <f t="shared" si="56"/>
        <v>-0.33529056221635845</v>
      </c>
      <c r="AK138">
        <f t="shared" si="52"/>
        <v>0.33529056221635845</v>
      </c>
      <c r="AL138">
        <f t="shared" si="57"/>
        <v>8.5389131101668111E-2</v>
      </c>
      <c r="AM138">
        <f t="shared" si="58"/>
        <v>-8.5389131101668111E-2</v>
      </c>
      <c r="AN138">
        <f t="shared" si="59"/>
        <v>0</v>
      </c>
      <c r="AO138">
        <f t="shared" si="60"/>
        <v>0</v>
      </c>
      <c r="AP138" s="20">
        <f t="shared" si="61"/>
        <v>1.3416912449071949</v>
      </c>
      <c r="AQ138" s="21">
        <f t="shared" si="62"/>
        <v>-0.34169124490719038</v>
      </c>
      <c r="AR138">
        <f t="shared" si="63"/>
        <v>-0.75009856888530646</v>
      </c>
      <c r="AS138">
        <f t="shared" si="64"/>
        <v>0.75009856888530646</v>
      </c>
      <c r="AT138">
        <f t="shared" si="65"/>
        <v>-3.7188590337844454E-2</v>
      </c>
      <c r="AU138">
        <f t="shared" si="66"/>
        <v>3.7188590337844454E-2</v>
      </c>
      <c r="AV138">
        <f t="shared" si="67"/>
        <v>0.71290997854746196</v>
      </c>
      <c r="AW138">
        <f t="shared" si="68"/>
        <v>4.9578271283878116E-2</v>
      </c>
      <c r="AX138">
        <f t="shared" si="69"/>
        <v>0.95042172871612185</v>
      </c>
      <c r="AY138">
        <f t="shared" si="70"/>
        <v>-3.0789226550845049E-3</v>
      </c>
      <c r="AZ138">
        <f t="shared" si="71"/>
        <v>-1.6754999432623699E-3</v>
      </c>
      <c r="BA138" s="8">
        <f t="shared" si="72"/>
        <v>3.0789226550845049E-3</v>
      </c>
    </row>
    <row r="139" spans="1:53" x14ac:dyDescent="0.35">
      <c r="A139" s="9" t="s">
        <v>51</v>
      </c>
      <c r="B139" s="11" t="s">
        <v>69</v>
      </c>
      <c r="C139">
        <f t="shared" si="53"/>
        <v>-1.84302188106782E-2</v>
      </c>
      <c r="D139">
        <v>-7.7036336486297997E-3</v>
      </c>
      <c r="E139">
        <v>-2.4489920461298002E-3</v>
      </c>
      <c r="F139">
        <v>-5.2546416025002997E-3</v>
      </c>
      <c r="G139">
        <v>-1.0726585162048099E-2</v>
      </c>
      <c r="H139">
        <v>-8.4245326386861996E-3</v>
      </c>
      <c r="I139">
        <v>-1.5673549095230001E-3</v>
      </c>
      <c r="J139">
        <v>-6.8571777291632002E-3</v>
      </c>
      <c r="K139">
        <v>0</v>
      </c>
      <c r="L139">
        <v>-1.59770840880986E-2</v>
      </c>
      <c r="M139">
        <v>-7.9307649394054994E-3</v>
      </c>
      <c r="N139">
        <v>-5.0791293611240004E-3</v>
      </c>
      <c r="O139">
        <v>-2.5211972871767999E-3</v>
      </c>
      <c r="P139">
        <v>-1.0897954726974701E-2</v>
      </c>
      <c r="Q139">
        <v>-5.4095676522288999E-3</v>
      </c>
      <c r="R139">
        <v>-2.2246586601722702E-2</v>
      </c>
      <c r="S139">
        <v>-1.10428441178331E-2</v>
      </c>
      <c r="T139">
        <v>-1.74722050022664E-2</v>
      </c>
      <c r="U139">
        <v>-8.6729186678872992E-3</v>
      </c>
      <c r="V139">
        <v>-3.2506427911193E-3</v>
      </c>
      <c r="W139">
        <v>-1.6135662637929999E-3</v>
      </c>
      <c r="X139">
        <v>-1.4221562211146999E-2</v>
      </c>
      <c r="Y139">
        <v>-7.0593524040941996E-3</v>
      </c>
      <c r="Z139">
        <v>0</v>
      </c>
      <c r="AA139">
        <v>0</v>
      </c>
      <c r="AB139">
        <v>97.136073348400004</v>
      </c>
      <c r="AC139">
        <v>48.216768505140003</v>
      </c>
      <c r="AD139" s="19">
        <f t="shared" si="54"/>
        <v>-1.6128166287316E-2</v>
      </c>
      <c r="AE139" s="19">
        <f>(D139*-1)+(H139*-1)</f>
        <v>1.6128166287316E-2</v>
      </c>
      <c r="AF139">
        <f>($D139/$AE139)*-1</f>
        <v>0.47765093138259146</v>
      </c>
      <c r="AG139">
        <f t="shared" si="50"/>
        <v>-0.47765093138259146</v>
      </c>
      <c r="AH139">
        <f t="shared" si="55"/>
        <v>0.47765093138259146</v>
      </c>
      <c r="AI139">
        <f t="shared" si="51"/>
        <v>0.47765093138259146</v>
      </c>
      <c r="AJ139">
        <f t="shared" si="56"/>
        <v>-0.32580527190079966</v>
      </c>
      <c r="AK139">
        <f t="shared" si="52"/>
        <v>0.32580527190079966</v>
      </c>
      <c r="AL139">
        <f t="shared" si="57"/>
        <v>-0.15184565948181042</v>
      </c>
      <c r="AM139">
        <f t="shared" si="58"/>
        <v>0.15184565948181042</v>
      </c>
      <c r="AN139">
        <f t="shared" si="59"/>
        <v>-0.66508398853030326</v>
      </c>
      <c r="AO139">
        <f t="shared" si="60"/>
        <v>0.66508398853030326</v>
      </c>
      <c r="AP139" s="20">
        <f t="shared" si="61"/>
        <v>0.68209910312060429</v>
      </c>
      <c r="AQ139" s="21">
        <f t="shared" si="62"/>
        <v>0.31790089687940809</v>
      </c>
      <c r="AR139">
        <f t="shared" si="63"/>
        <v>-0.52234906861740849</v>
      </c>
      <c r="AS139">
        <f t="shared" si="64"/>
        <v>0.52234906861740849</v>
      </c>
      <c r="AT139">
        <f t="shared" si="65"/>
        <v>-9.7181222068354209E-2</v>
      </c>
      <c r="AU139">
        <f t="shared" si="66"/>
        <v>9.7181222068354209E-2</v>
      </c>
      <c r="AV139">
        <f t="shared" si="67"/>
        <v>0.42516784654905432</v>
      </c>
      <c r="AW139">
        <f t="shared" si="68"/>
        <v>0.18604651162790534</v>
      </c>
      <c r="AX139">
        <f t="shared" si="69"/>
        <v>0.81395348837209469</v>
      </c>
      <c r="AY139">
        <f t="shared" si="70"/>
        <v>-3.3449289090364289E-4</v>
      </c>
      <c r="AZ139">
        <f t="shared" si="71"/>
        <v>-1.6603683607292592E-4</v>
      </c>
      <c r="BA139" s="8">
        <f t="shared" si="72"/>
        <v>3.3449289090364289E-4</v>
      </c>
    </row>
    <row r="140" spans="1:53" x14ac:dyDescent="0.35">
      <c r="A140" s="9" t="s">
        <v>52</v>
      </c>
      <c r="B140" s="11" t="s">
        <v>69</v>
      </c>
      <c r="C140">
        <f t="shared" si="53"/>
        <v>-0.56289206247596146</v>
      </c>
      <c r="D140">
        <v>-0.58431545748586755</v>
      </c>
      <c r="E140">
        <v>-9.795968184518999E-4</v>
      </c>
      <c r="F140">
        <v>-0.5833358606674155</v>
      </c>
      <c r="G140">
        <v>2.1423395009906001E-2</v>
      </c>
      <c r="H140">
        <v>0.44306040520924173</v>
      </c>
      <c r="I140">
        <v>0.45530536543989031</v>
      </c>
      <c r="J140">
        <v>-1.22449602306486E-2</v>
      </c>
      <c r="K140">
        <v>-0.23304046522143079</v>
      </c>
      <c r="L140">
        <v>-0.8779108192297338</v>
      </c>
      <c r="M140">
        <v>-0.88074279209785278</v>
      </c>
      <c r="N140">
        <v>-1.4718053996077001E-3</v>
      </c>
      <c r="O140">
        <v>-1.4765531631247999E-3</v>
      </c>
      <c r="P140">
        <v>-0.87643901383012679</v>
      </c>
      <c r="Q140">
        <v>-0.87926623893472833</v>
      </c>
      <c r="R140">
        <v>3.2187802021793298E-2</v>
      </c>
      <c r="S140">
        <v>3.2291633732274498E-2</v>
      </c>
      <c r="T140">
        <v>0.66568070093355658</v>
      </c>
      <c r="U140">
        <v>0.66782805991647276</v>
      </c>
      <c r="V140">
        <v>0.68407826842865238</v>
      </c>
      <c r="W140">
        <v>0.68628497445553482</v>
      </c>
      <c r="X140">
        <v>-1.8397567495095499E-2</v>
      </c>
      <c r="Y140">
        <v>-1.84569145390618E-2</v>
      </c>
      <c r="Z140">
        <v>-0.350134063912169</v>
      </c>
      <c r="AA140">
        <v>-0.35126352962495422</v>
      </c>
      <c r="AB140">
        <v>66.343484468840003</v>
      </c>
      <c r="AC140">
        <v>66.557495896739994</v>
      </c>
      <c r="AD140" s="19">
        <f t="shared" si="54"/>
        <v>-0.14125505227662583</v>
      </c>
      <c r="AE140" s="19">
        <f>(D140*-1)+(H140)</f>
        <v>1.0273758626951093</v>
      </c>
      <c r="AF140">
        <f>($D140/$AE140)*-1</f>
        <v>0.56874555720341347</v>
      </c>
      <c r="AG140">
        <f t="shared" si="50"/>
        <v>-0.56874555720341347</v>
      </c>
      <c r="AH140">
        <f t="shared" si="55"/>
        <v>4.1365986424441479</v>
      </c>
      <c r="AI140">
        <f t="shared" si="51"/>
        <v>4.1365986424441479</v>
      </c>
      <c r="AJ140">
        <f t="shared" si="56"/>
        <v>-0.56779206310838748</v>
      </c>
      <c r="AK140">
        <f t="shared" si="52"/>
        <v>4.1296636917810474</v>
      </c>
      <c r="AL140">
        <f t="shared" si="57"/>
        <v>-9.5349409502587404E-4</v>
      </c>
      <c r="AM140">
        <f t="shared" si="58"/>
        <v>6.9349506630992106E-3</v>
      </c>
      <c r="AN140">
        <f t="shared" si="59"/>
        <v>2.0852538771648898E-2</v>
      </c>
      <c r="AO140">
        <f t="shared" si="60"/>
        <v>-0.15166462837698469</v>
      </c>
      <c r="AP140" s="20">
        <f t="shared" si="61"/>
        <v>0.99832351376999873</v>
      </c>
      <c r="AQ140" s="21">
        <f t="shared" si="62"/>
        <v>1.6764862300011852E-3</v>
      </c>
      <c r="AR140">
        <f t="shared" si="63"/>
        <v>0.43125444279658653</v>
      </c>
      <c r="AS140">
        <f t="shared" si="64"/>
        <v>-3.1365986424441479</v>
      </c>
      <c r="AT140">
        <f t="shared" si="65"/>
        <v>0.44317311898440975</v>
      </c>
      <c r="AU140">
        <f t="shared" si="66"/>
        <v>-3.2232855257328872</v>
      </c>
      <c r="AV140">
        <f t="shared" si="67"/>
        <v>8.6686883288739081E-2</v>
      </c>
      <c r="AW140">
        <f t="shared" si="68"/>
        <v>1.0276372252782682</v>
      </c>
      <c r="AX140">
        <f t="shared" si="69"/>
        <v>-2.7637225278268184E-2</v>
      </c>
      <c r="AY140">
        <f t="shared" si="70"/>
        <v>-2.1223011829617907E-3</v>
      </c>
      <c r="AZ140">
        <f t="shared" si="71"/>
        <v>-2.1291473218137953E-3</v>
      </c>
      <c r="BA140" s="8">
        <f t="shared" si="72"/>
        <v>1.5435915201632915E-2</v>
      </c>
    </row>
    <row r="141" spans="1:53" x14ac:dyDescent="0.35">
      <c r="A141" s="9" t="s">
        <v>53</v>
      </c>
      <c r="B141" s="11" t="s">
        <v>69</v>
      </c>
      <c r="C141">
        <f t="shared" si="53"/>
        <v>-16.697606960011509</v>
      </c>
      <c r="D141">
        <v>-0.1743682336844401</v>
      </c>
      <c r="E141">
        <v>2.4860569687780369</v>
      </c>
      <c r="F141">
        <v>-2.660425202462477</v>
      </c>
      <c r="G141">
        <v>-16.523238726327069</v>
      </c>
      <c r="H141">
        <v>36.262795760146673</v>
      </c>
      <c r="I141">
        <v>0</v>
      </c>
      <c r="J141">
        <v>36.262795760146673</v>
      </c>
      <c r="K141">
        <v>0</v>
      </c>
      <c r="L141">
        <v>-2.07519362985433E-2</v>
      </c>
      <c r="M141">
        <v>-1.8700200811554799E-2</v>
      </c>
      <c r="N141">
        <v>0.29587095516490508</v>
      </c>
      <c r="O141">
        <v>0.26661831437283778</v>
      </c>
      <c r="P141">
        <v>-0.31662289146344857</v>
      </c>
      <c r="Q141">
        <v>-0.28531851518439311</v>
      </c>
      <c r="R141">
        <v>-1.966465968307672</v>
      </c>
      <c r="S141">
        <v>-1.772042279207579</v>
      </c>
      <c r="T141">
        <v>4.3157128550348984</v>
      </c>
      <c r="U141">
        <v>3.8890200833849069</v>
      </c>
      <c r="V141">
        <v>0</v>
      </c>
      <c r="W141">
        <v>0</v>
      </c>
      <c r="X141">
        <v>4.3157128550348984</v>
      </c>
      <c r="Y141">
        <v>3.8890200833849069</v>
      </c>
      <c r="Z141">
        <v>0</v>
      </c>
      <c r="AA141">
        <v>0</v>
      </c>
      <c r="AB141">
        <v>932.44043441874999</v>
      </c>
      <c r="AC141">
        <v>840.25042856688003</v>
      </c>
      <c r="AD141" s="19">
        <f t="shared" si="54"/>
        <v>36.088427526462233</v>
      </c>
      <c r="AE141" s="19">
        <f>(D141*-1)+(H141)</f>
        <v>36.437163993831113</v>
      </c>
      <c r="AF141">
        <f>($D141/$AE141)*-1</f>
        <v>4.7854501989770936E-3</v>
      </c>
      <c r="AG141">
        <f t="shared" si="50"/>
        <v>-4.7854501989770936E-3</v>
      </c>
      <c r="AH141">
        <f>(($D141)/(AD141))*-1</f>
        <v>4.8316938596613193E-3</v>
      </c>
      <c r="AI141">
        <f t="shared" si="51"/>
        <v>-4.8316938596613193E-3</v>
      </c>
      <c r="AJ141">
        <f t="shared" si="56"/>
        <v>-7.3014057924839934E-2</v>
      </c>
      <c r="AK141">
        <f t="shared" si="52"/>
        <v>-7.3719621075528749E-2</v>
      </c>
      <c r="AL141">
        <f t="shared" si="57"/>
        <v>6.8228607725862839E-2</v>
      </c>
      <c r="AM141">
        <f t="shared" si="58"/>
        <v>6.8887927215867423E-2</v>
      </c>
      <c r="AN141">
        <f t="shared" si="59"/>
        <v>-0.45347213984942647</v>
      </c>
      <c r="AO141">
        <f t="shared" si="60"/>
        <v>-0.45785421695670236</v>
      </c>
      <c r="AP141" s="20">
        <f t="shared" si="61"/>
        <v>15.257510764702335</v>
      </c>
      <c r="AQ141" s="21">
        <f t="shared" si="62"/>
        <v>-14.257510764702335</v>
      </c>
      <c r="AR141">
        <f t="shared" si="63"/>
        <v>0.99521454980102286</v>
      </c>
      <c r="AS141">
        <f t="shared" si="64"/>
        <v>1.0048316938596613</v>
      </c>
      <c r="AT141">
        <f t="shared" si="65"/>
        <v>0</v>
      </c>
      <c r="AU141">
        <f t="shared" si="66"/>
        <v>0</v>
      </c>
      <c r="AV141">
        <f t="shared" si="67"/>
        <v>1.0048316938596613</v>
      </c>
      <c r="AW141">
        <f t="shared" si="68"/>
        <v>0</v>
      </c>
      <c r="AX141">
        <f t="shared" si="69"/>
        <v>1</v>
      </c>
      <c r="AY141">
        <f t="shared" si="70"/>
        <v>4.2949609187363555E-2</v>
      </c>
      <c r="AZ141">
        <f t="shared" si="71"/>
        <v>3.8703198825733538E-2</v>
      </c>
      <c r="BA141" s="8">
        <f t="shared" si="72"/>
        <v>4.3364647913334428E-2</v>
      </c>
    </row>
    <row r="142" spans="1:53" x14ac:dyDescent="0.35">
      <c r="A142" s="9" t="s">
        <v>54</v>
      </c>
      <c r="B142" s="11" t="s">
        <v>69</v>
      </c>
      <c r="C142">
        <f t="shared" si="53"/>
        <v>2.2603788228926911</v>
      </c>
      <c r="D142">
        <v>2.2603788228926902</v>
      </c>
      <c r="E142">
        <v>2.0118179613490819</v>
      </c>
      <c r="F142">
        <v>0.24856086154360921</v>
      </c>
      <c r="G142">
        <v>0</v>
      </c>
      <c r="H142">
        <v>-2.2791011296807091</v>
      </c>
      <c r="I142">
        <v>-2.306024966503025</v>
      </c>
      <c r="J142">
        <v>2.6923836822314501E-2</v>
      </c>
      <c r="K142">
        <v>0</v>
      </c>
      <c r="L142">
        <v>1.113821319845862</v>
      </c>
      <c r="M142">
        <v>1.1653010685747811</v>
      </c>
      <c r="N142">
        <v>0.9913407939877108</v>
      </c>
      <c r="O142">
        <v>1.037159610767296</v>
      </c>
      <c r="P142">
        <v>0.1224805258581511</v>
      </c>
      <c r="Q142">
        <v>0.12814145780748371</v>
      </c>
      <c r="R142">
        <v>0</v>
      </c>
      <c r="S142">
        <v>0</v>
      </c>
      <c r="T142">
        <v>-1.123046899313336</v>
      </c>
      <c r="U142">
        <v>-1.174953045440474</v>
      </c>
      <c r="V142">
        <v>-1.1363138540206741</v>
      </c>
      <c r="W142">
        <v>-1.188833186017541</v>
      </c>
      <c r="X142">
        <v>1.3266954707338499E-2</v>
      </c>
      <c r="Y142">
        <v>1.3880140577067599E-2</v>
      </c>
      <c r="Z142">
        <v>0</v>
      </c>
      <c r="AA142">
        <v>0</v>
      </c>
      <c r="AB142">
        <v>193.97380504054999</v>
      </c>
      <c r="AC142">
        <v>202.93908750153</v>
      </c>
      <c r="AD142" s="19">
        <v>0</v>
      </c>
      <c r="AE142" s="19">
        <v>0</v>
      </c>
      <c r="AF142">
        <v>0</v>
      </c>
      <c r="AG142">
        <v>0</v>
      </c>
      <c r="AH142">
        <v>0</v>
      </c>
      <c r="AI142">
        <v>0</v>
      </c>
      <c r="AJ142" t="e">
        <f t="shared" si="56"/>
        <v>#DIV/0!</v>
      </c>
      <c r="AK142">
        <v>0</v>
      </c>
      <c r="AL142" t="e">
        <f t="shared" si="57"/>
        <v>#DIV/0!</v>
      </c>
      <c r="AM142" t="e">
        <f t="shared" si="58"/>
        <v>#DIV/0!</v>
      </c>
      <c r="AN142" t="e">
        <f t="shared" si="59"/>
        <v>#DIV/0!</v>
      </c>
      <c r="AO142" t="e">
        <f t="shared" si="60"/>
        <v>#DIV/0!</v>
      </c>
      <c r="AP142" s="20">
        <f t="shared" si="61"/>
        <v>0.10996424980902829</v>
      </c>
      <c r="AQ142" s="21">
        <f t="shared" si="62"/>
        <v>0.89003575019097203</v>
      </c>
      <c r="AR142" t="e">
        <f t="shared" si="63"/>
        <v>#DIV/0!</v>
      </c>
      <c r="AS142" t="e">
        <f t="shared" si="64"/>
        <v>#DIV/0!</v>
      </c>
      <c r="AT142" t="e">
        <f t="shared" si="65"/>
        <v>#DIV/0!</v>
      </c>
      <c r="AU142" t="e">
        <f t="shared" si="66"/>
        <v>#DIV/0!</v>
      </c>
      <c r="AV142" t="e">
        <f t="shared" si="67"/>
        <v>#DIV/0!</v>
      </c>
      <c r="AW142">
        <f t="shared" si="68"/>
        <v>1.0118133576749566</v>
      </c>
      <c r="AX142">
        <f t="shared" si="69"/>
        <v>-1.1813357674956003E-2</v>
      </c>
      <c r="AY142">
        <f>(AD142/AC142)</f>
        <v>0</v>
      </c>
      <c r="AZ142">
        <f t="shared" si="71"/>
        <v>0</v>
      </c>
      <c r="BA142" s="8">
        <f t="shared" si="72"/>
        <v>0</v>
      </c>
    </row>
    <row r="143" spans="1:53" x14ac:dyDescent="0.35">
      <c r="A143" s="9" t="s">
        <v>55</v>
      </c>
      <c r="B143" s="11" t="s">
        <v>69</v>
      </c>
      <c r="C143">
        <f t="shared" si="53"/>
        <v>13.348965621899451</v>
      </c>
      <c r="D143">
        <v>13.348965621899451</v>
      </c>
      <c r="E143">
        <v>1.1414792455781</v>
      </c>
      <c r="F143">
        <v>12.20748637632135</v>
      </c>
      <c r="G143">
        <v>0</v>
      </c>
      <c r="H143">
        <v>-5.3846464626538513</v>
      </c>
      <c r="I143">
        <v>0.17176997453820239</v>
      </c>
      <c r="J143">
        <v>-5.5564164371920564</v>
      </c>
      <c r="K143">
        <v>0</v>
      </c>
      <c r="L143">
        <v>3.2538664984422612</v>
      </c>
      <c r="M143">
        <v>4.0395803375278474</v>
      </c>
      <c r="N143">
        <v>0.27824036566252108</v>
      </c>
      <c r="O143">
        <v>0.34542729727078969</v>
      </c>
      <c r="P143">
        <v>2.9756261327797402</v>
      </c>
      <c r="Q143">
        <v>3.6941530402570568</v>
      </c>
      <c r="R143">
        <v>0</v>
      </c>
      <c r="S143">
        <v>0</v>
      </c>
      <c r="T143">
        <v>-1.312530215977282</v>
      </c>
      <c r="U143">
        <v>-1.6294679746115259</v>
      </c>
      <c r="V143">
        <v>4.1869653531148202E-2</v>
      </c>
      <c r="W143">
        <v>5.19799534567566E-2</v>
      </c>
      <c r="X143">
        <v>-1.3543998695084309</v>
      </c>
      <c r="Y143">
        <v>-1.681447928068283</v>
      </c>
      <c r="Z143">
        <v>0</v>
      </c>
      <c r="AA143">
        <v>0</v>
      </c>
      <c r="AB143">
        <v>330.45426768437</v>
      </c>
      <c r="AC143">
        <v>410.24933347112</v>
      </c>
      <c r="AD143" s="19">
        <f t="shared" si="54"/>
        <v>7.9643191592455995</v>
      </c>
      <c r="AE143" s="19">
        <f>(D143)+(H143*-1)</f>
        <v>18.7336120845533</v>
      </c>
      <c r="AF143">
        <f t="shared" si="73"/>
        <v>0.71256763306774507</v>
      </c>
      <c r="AG143">
        <f t="shared" ref="AG143:AG181" si="75">D143/AE143</f>
        <v>0.71256763306774507</v>
      </c>
      <c r="AH143">
        <f t="shared" si="55"/>
        <v>1.6760962682419547</v>
      </c>
      <c r="AI143">
        <f t="shared" ref="AI143:AI181" si="76">$D143/(AD143)</f>
        <v>1.6760962682419547</v>
      </c>
      <c r="AJ143">
        <f t="shared" si="56"/>
        <v>0.65163548392180959</v>
      </c>
      <c r="AK143">
        <f t="shared" ref="AK143:AK181" si="77">(F143/(AD143))</f>
        <v>1.5327721217889609</v>
      </c>
      <c r="AL143">
        <f t="shared" si="57"/>
        <v>6.0932149145935428E-2</v>
      </c>
      <c r="AM143">
        <f t="shared" si="58"/>
        <v>0.14332414645299371</v>
      </c>
      <c r="AN143">
        <f t="shared" si="59"/>
        <v>0</v>
      </c>
      <c r="AO143">
        <f t="shared" si="60"/>
        <v>0</v>
      </c>
      <c r="AP143" s="20">
        <f t="shared" si="61"/>
        <v>0.91448931116389542</v>
      </c>
      <c r="AQ143" s="21">
        <f t="shared" si="62"/>
        <v>8.5510688836104493E-2</v>
      </c>
      <c r="AR143">
        <f t="shared" si="63"/>
        <v>-0.28743236693225505</v>
      </c>
      <c r="AS143">
        <f t="shared" si="64"/>
        <v>-0.67609626824195457</v>
      </c>
      <c r="AT143">
        <f t="shared" si="65"/>
        <v>9.1690792871618396E-3</v>
      </c>
      <c r="AU143">
        <f t="shared" si="66"/>
        <v>2.156743986569128E-2</v>
      </c>
      <c r="AV143">
        <f t="shared" si="67"/>
        <v>-0.69766370810764622</v>
      </c>
      <c r="AW143">
        <f t="shared" si="68"/>
        <v>-3.18999540136094E-2</v>
      </c>
      <c r="AX143">
        <f t="shared" si="69"/>
        <v>1.03189995401361</v>
      </c>
      <c r="AY143">
        <f t="shared" si="70"/>
        <v>1.94133628246498E-2</v>
      </c>
      <c r="AZ143">
        <f t="shared" si="71"/>
        <v>2.4101123629163227E-2</v>
      </c>
      <c r="BA143" s="8">
        <f t="shared" si="72"/>
        <v>4.5663967144195433E-2</v>
      </c>
    </row>
    <row r="144" spans="1:53" x14ac:dyDescent="0.35">
      <c r="A144" s="9" t="s">
        <v>56</v>
      </c>
      <c r="B144" s="11" t="s">
        <v>69</v>
      </c>
      <c r="C144">
        <f t="shared" si="53"/>
        <v>3.572891549409039</v>
      </c>
      <c r="D144">
        <v>3.6115856237378878</v>
      </c>
      <c r="E144">
        <v>0.6751212736122203</v>
      </c>
      <c r="F144">
        <v>2.9364643501256689</v>
      </c>
      <c r="G144">
        <v>-3.8694074328850102E-2</v>
      </c>
      <c r="H144">
        <v>-6.3673793199374204E-2</v>
      </c>
      <c r="I144">
        <v>0</v>
      </c>
      <c r="J144">
        <v>-6.3673793199374204E-2</v>
      </c>
      <c r="K144">
        <v>0</v>
      </c>
      <c r="L144">
        <v>1.6241891285072561</v>
      </c>
      <c r="M144">
        <v>1.0584457968359591</v>
      </c>
      <c r="N144">
        <v>0.30361307947894312</v>
      </c>
      <c r="O144">
        <v>0.19785749220859511</v>
      </c>
      <c r="P144">
        <v>1.320576049028312</v>
      </c>
      <c r="Q144">
        <v>0.86058830462736391</v>
      </c>
      <c r="R144">
        <v>-1.7401358131868602E-2</v>
      </c>
      <c r="S144">
        <v>-1.1340055200862601E-2</v>
      </c>
      <c r="T144">
        <v>-2.8635146292947899E-2</v>
      </c>
      <c r="U144">
        <v>-1.86608503305336E-2</v>
      </c>
      <c r="V144">
        <v>0</v>
      </c>
      <c r="W144">
        <v>0</v>
      </c>
      <c r="X144">
        <v>-2.8635146292947899E-2</v>
      </c>
      <c r="Y144">
        <v>-1.86608503305336E-2</v>
      </c>
      <c r="Z144">
        <v>0</v>
      </c>
      <c r="AA144">
        <v>0</v>
      </c>
      <c r="AB144">
        <v>341.21592570296002</v>
      </c>
      <c r="AC144">
        <v>222.36238134761999</v>
      </c>
      <c r="AD144" s="19">
        <f t="shared" si="54"/>
        <v>3.5479118305385136</v>
      </c>
      <c r="AE144" s="19">
        <f>(D144)+(H144*-1)</f>
        <v>3.6752594169372621</v>
      </c>
      <c r="AF144">
        <f t="shared" si="73"/>
        <v>0.98267502073297563</v>
      </c>
      <c r="AG144">
        <f t="shared" si="75"/>
        <v>0.98267502073297563</v>
      </c>
      <c r="AH144">
        <f t="shared" si="55"/>
        <v>1.017946836404249</v>
      </c>
      <c r="AI144">
        <f t="shared" si="76"/>
        <v>1.017946836404249</v>
      </c>
      <c r="AJ144">
        <f t="shared" si="56"/>
        <v>0.79898151858154809</v>
      </c>
      <c r="AK144">
        <f t="shared" si="77"/>
        <v>0.82765989978955112</v>
      </c>
      <c r="AL144">
        <f t="shared" si="57"/>
        <v>0.18369350215142782</v>
      </c>
      <c r="AM144">
        <f t="shared" si="58"/>
        <v>0.19028693661469828</v>
      </c>
      <c r="AN144">
        <f t="shared" si="59"/>
        <v>-1.0528256631499333E-2</v>
      </c>
      <c r="AO144">
        <f t="shared" si="60"/>
        <v>-1.0906154430274269E-2</v>
      </c>
      <c r="AP144" s="20">
        <f t="shared" si="61"/>
        <v>0.81306790314623945</v>
      </c>
      <c r="AQ144" s="21">
        <f t="shared" si="62"/>
        <v>0.18693209685376061</v>
      </c>
      <c r="AR144">
        <f t="shared" si="63"/>
        <v>-1.7324979267024386E-2</v>
      </c>
      <c r="AS144">
        <f t="shared" si="64"/>
        <v>-1.7946836404248972E-2</v>
      </c>
      <c r="AT144">
        <f t="shared" si="65"/>
        <v>0</v>
      </c>
      <c r="AU144">
        <f t="shared" si="66"/>
        <v>0</v>
      </c>
      <c r="AV144">
        <f t="shared" si="67"/>
        <v>-1.7946836404248972E-2</v>
      </c>
      <c r="AW144">
        <f t="shared" si="68"/>
        <v>0</v>
      </c>
      <c r="AX144">
        <f t="shared" si="69"/>
        <v>1</v>
      </c>
      <c r="AY144">
        <f t="shared" si="70"/>
        <v>1.5955539822143067E-2</v>
      </c>
      <c r="AZ144">
        <f t="shared" si="71"/>
        <v>1.0397849465054249E-2</v>
      </c>
      <c r="BA144" s="8">
        <f t="shared" si="72"/>
        <v>1.652824274800203E-2</v>
      </c>
    </row>
    <row r="145" spans="1:53" x14ac:dyDescent="0.35">
      <c r="A145" s="9" t="s">
        <v>57</v>
      </c>
      <c r="B145" s="11" t="s">
        <v>69</v>
      </c>
      <c r="C145">
        <f t="shared" si="53"/>
        <v>0.59079391103845713</v>
      </c>
      <c r="D145">
        <v>1.4522233867921299</v>
      </c>
      <c r="E145">
        <v>-2.9240262794754598E-2</v>
      </c>
      <c r="F145">
        <v>1.4814636495868849</v>
      </c>
      <c r="G145">
        <v>-0.86142947575367323</v>
      </c>
      <c r="H145">
        <v>-1.9640916209961098E-2</v>
      </c>
      <c r="I145">
        <v>0</v>
      </c>
      <c r="J145">
        <v>-1.9640916209961098E-2</v>
      </c>
      <c r="K145">
        <v>0</v>
      </c>
      <c r="L145">
        <v>1.459681466143107</v>
      </c>
      <c r="M145">
        <v>0.79919071648164497</v>
      </c>
      <c r="N145">
        <v>-2.9390429912396501E-2</v>
      </c>
      <c r="O145">
        <v>-1.6091564690106801E-2</v>
      </c>
      <c r="P145">
        <v>1.4890718960555029</v>
      </c>
      <c r="Q145">
        <v>0.81528228117175172</v>
      </c>
      <c r="R145">
        <v>-0.86585345724568874</v>
      </c>
      <c r="S145">
        <v>-0.47406373302300298</v>
      </c>
      <c r="T145">
        <v>-1.9741784652758498E-2</v>
      </c>
      <c r="U145">
        <v>-1.08088315068854E-2</v>
      </c>
      <c r="V145">
        <v>0</v>
      </c>
      <c r="W145">
        <v>0</v>
      </c>
      <c r="X145">
        <v>-1.9741784652758498E-2</v>
      </c>
      <c r="Y145">
        <v>-1.08088315068854E-2</v>
      </c>
      <c r="Z145">
        <v>0</v>
      </c>
      <c r="AA145">
        <v>0</v>
      </c>
      <c r="AB145">
        <v>181.71174374815001</v>
      </c>
      <c r="AC145">
        <v>99.489061173690004</v>
      </c>
      <c r="AD145" s="19">
        <f t="shared" si="54"/>
        <v>1.4325824705821688</v>
      </c>
      <c r="AE145" s="19">
        <f>(D145)+(H145*-1)</f>
        <v>1.471864303002091</v>
      </c>
      <c r="AF145">
        <f t="shared" si="73"/>
        <v>0.98665575612513978</v>
      </c>
      <c r="AG145">
        <f t="shared" si="75"/>
        <v>0.98665575612513978</v>
      </c>
      <c r="AH145">
        <f t="shared" si="55"/>
        <v>1.0137101469641601</v>
      </c>
      <c r="AI145">
        <f t="shared" si="76"/>
        <v>1.0137101469641601</v>
      </c>
      <c r="AJ145">
        <f t="shared" si="56"/>
        <v>1.0065218964582636</v>
      </c>
      <c r="AK145">
        <f t="shared" si="77"/>
        <v>1.0341210227044395</v>
      </c>
      <c r="AL145">
        <f t="shared" si="57"/>
        <v>-1.9866140333123533E-2</v>
      </c>
      <c r="AM145">
        <f t="shared" si="58"/>
        <v>-2.0410875740279038E-2</v>
      </c>
      <c r="AN145">
        <f t="shared" si="59"/>
        <v>-0.5852641945297925</v>
      </c>
      <c r="AO145">
        <f t="shared" si="60"/>
        <v>-0.60131231076952096</v>
      </c>
      <c r="AP145" s="20">
        <f t="shared" si="61"/>
        <v>1.020134824339487</v>
      </c>
      <c r="AQ145" s="21">
        <f t="shared" si="62"/>
        <v>-2.0134824339487122E-2</v>
      </c>
      <c r="AR145">
        <f t="shared" si="63"/>
        <v>-1.3344243874860245E-2</v>
      </c>
      <c r="AS145">
        <f t="shared" si="64"/>
        <v>-1.37101469641601E-2</v>
      </c>
      <c r="AT145">
        <f t="shared" si="65"/>
        <v>0</v>
      </c>
      <c r="AU145">
        <f t="shared" si="66"/>
        <v>0</v>
      </c>
      <c r="AV145">
        <f t="shared" si="67"/>
        <v>-1.37101469641601E-2</v>
      </c>
      <c r="AW145">
        <f t="shared" si="68"/>
        <v>0</v>
      </c>
      <c r="AX145">
        <f t="shared" si="69"/>
        <v>1</v>
      </c>
      <c r="AY145">
        <f t="shared" si="70"/>
        <v>1.4399396814903475E-2</v>
      </c>
      <c r="AZ145">
        <f t="shared" si="71"/>
        <v>7.883818849747589E-3</v>
      </c>
      <c r="BA145" s="8">
        <f t="shared" si="72"/>
        <v>1.4794232507958647E-2</v>
      </c>
    </row>
    <row r="146" spans="1:53" x14ac:dyDescent="0.35">
      <c r="A146" s="10" t="s">
        <v>58</v>
      </c>
      <c r="B146" s="12" t="s">
        <v>69</v>
      </c>
      <c r="C146">
        <f t="shared" si="53"/>
        <v>-1.2494009366438232</v>
      </c>
      <c r="D146">
        <v>-1.349400936643824</v>
      </c>
      <c r="E146">
        <v>0.34098922567069279</v>
      </c>
      <c r="F146">
        <v>-1.6903901623145161</v>
      </c>
      <c r="G146">
        <v>0.1</v>
      </c>
      <c r="H146">
        <v>0.18483194669322731</v>
      </c>
      <c r="I146">
        <v>0.3141031613848056</v>
      </c>
      <c r="J146">
        <v>-0.1292712146915784</v>
      </c>
      <c r="K146">
        <v>-0.11431613976919899</v>
      </c>
      <c r="L146">
        <v>-2.6764281263188878</v>
      </c>
      <c r="M146">
        <v>-1.7746550232987699</v>
      </c>
      <c r="N146">
        <v>0.67632467828768994</v>
      </c>
      <c r="O146">
        <v>0.44844954956999578</v>
      </c>
      <c r="P146">
        <v>-3.352752804606578</v>
      </c>
      <c r="Q146">
        <v>-2.2231045728687659</v>
      </c>
      <c r="R146">
        <v>0.19834194964882679</v>
      </c>
      <c r="S146">
        <v>0.13151428720011279</v>
      </c>
      <c r="T146">
        <v>0.36659928664522651</v>
      </c>
      <c r="U146">
        <v>0.24308041721168999</v>
      </c>
      <c r="V146">
        <v>0.62299833419922468</v>
      </c>
      <c r="W146">
        <v>0.41309053376824723</v>
      </c>
      <c r="X146">
        <v>-0.25639904755399812</v>
      </c>
      <c r="Y146">
        <v>-0.17001011655655679</v>
      </c>
      <c r="Z146">
        <v>-0.22673686038150731</v>
      </c>
      <c r="AA146">
        <v>-0.1503420563721469</v>
      </c>
      <c r="AB146">
        <v>76.037366075549997</v>
      </c>
      <c r="AC146">
        <v>50.417977728389999</v>
      </c>
      <c r="AD146" s="19">
        <f t="shared" si="54"/>
        <v>-1.1645689899505967</v>
      </c>
      <c r="AE146" s="19">
        <f>(D146*-1)+(H146)</f>
        <v>1.5342328833370513</v>
      </c>
      <c r="AF146">
        <f>($D146/$AE146)*-1</f>
        <v>0.87952810247997915</v>
      </c>
      <c r="AG146">
        <f t="shared" si="75"/>
        <v>-0.87952810247997915</v>
      </c>
      <c r="AH146">
        <f t="shared" si="55"/>
        <v>1.1587127497711134</v>
      </c>
      <c r="AI146">
        <f t="shared" si="76"/>
        <v>1.1587127497711134</v>
      </c>
      <c r="AJ146">
        <f t="shared" si="56"/>
        <v>-1.1017819919475413</v>
      </c>
      <c r="AK146">
        <f t="shared" si="77"/>
        <v>1.4515156911281193</v>
      </c>
      <c r="AL146">
        <f t="shared" si="57"/>
        <v>0.22225388946756255</v>
      </c>
      <c r="AM146">
        <f t="shared" si="58"/>
        <v>-0.29280294135700646</v>
      </c>
      <c r="AN146">
        <f t="shared" si="59"/>
        <v>6.5179153103858536E-2</v>
      </c>
      <c r="AO146">
        <f t="shared" si="60"/>
        <v>-8.5868678337590126E-2</v>
      </c>
      <c r="AP146" s="20">
        <f t="shared" si="61"/>
        <v>1.2526967459491971</v>
      </c>
      <c r="AQ146" s="21">
        <f t="shared" si="62"/>
        <v>-0.25269674594919694</v>
      </c>
      <c r="AR146">
        <f t="shared" si="63"/>
        <v>0.12047189752002083</v>
      </c>
      <c r="AS146">
        <f t="shared" si="64"/>
        <v>-0.15871274977111338</v>
      </c>
      <c r="AT146">
        <f t="shared" si="65"/>
        <v>0.20472978046306231</v>
      </c>
      <c r="AU146">
        <f t="shared" si="66"/>
        <v>-0.26971623329772026</v>
      </c>
      <c r="AV146">
        <f t="shared" si="67"/>
        <v>0.11100348352660699</v>
      </c>
      <c r="AW146">
        <f t="shared" si="68"/>
        <v>1.6993986537734989</v>
      </c>
      <c r="AX146">
        <f t="shared" si="69"/>
        <v>-0.69939865377349952</v>
      </c>
      <c r="AY146">
        <f t="shared" si="70"/>
        <v>-2.3098288396736631E-2</v>
      </c>
      <c r="AZ146">
        <f t="shared" si="71"/>
        <v>-1.531574606087081E-2</v>
      </c>
      <c r="BA146" s="8">
        <f t="shared" si="72"/>
        <v>3.043027412964118E-2</v>
      </c>
    </row>
    <row r="147" spans="1:53" x14ac:dyDescent="0.35">
      <c r="A147" s="9" t="s">
        <v>59</v>
      </c>
      <c r="B147" s="11" t="s">
        <v>69</v>
      </c>
      <c r="C147">
        <f t="shared" si="53"/>
        <v>-3.4329710142523155</v>
      </c>
      <c r="D147">
        <v>-5.4196425105654953</v>
      </c>
      <c r="E147">
        <v>2.5312199052560209</v>
      </c>
      <c r="F147">
        <v>-7.9508624158215149</v>
      </c>
      <c r="G147">
        <v>1.986671496313178</v>
      </c>
      <c r="H147">
        <v>-0.14794341217610449</v>
      </c>
      <c r="I147">
        <v>-6.6142068110831998E-3</v>
      </c>
      <c r="J147">
        <v>-0.14132920536502169</v>
      </c>
      <c r="K147">
        <v>0</v>
      </c>
      <c r="L147">
        <v>-0.98570984582049725</v>
      </c>
      <c r="M147">
        <v>-1.0402295194879061</v>
      </c>
      <c r="N147">
        <v>0.46037139491832468</v>
      </c>
      <c r="O147">
        <v>0.48583456577248668</v>
      </c>
      <c r="P147">
        <v>-1.446081240738821</v>
      </c>
      <c r="Q147">
        <v>-1.5260640852603931</v>
      </c>
      <c r="R147">
        <v>0.3613304107252846</v>
      </c>
      <c r="S147">
        <v>0.3813156185046136</v>
      </c>
      <c r="T147">
        <v>-2.69075456032341E-2</v>
      </c>
      <c r="U147">
        <v>-2.83958036455969E-2</v>
      </c>
      <c r="V147">
        <v>-1.2029739532206001E-3</v>
      </c>
      <c r="W147">
        <v>-1.2695105183549999E-3</v>
      </c>
      <c r="X147">
        <v>-2.5704571650013702E-2</v>
      </c>
      <c r="Y147">
        <v>-2.7126293127241501E-2</v>
      </c>
      <c r="Z147">
        <v>0</v>
      </c>
      <c r="AA147">
        <v>0</v>
      </c>
      <c r="AB147">
        <v>521.00449074291998</v>
      </c>
      <c r="AC147">
        <v>549.82128194673999</v>
      </c>
      <c r="AD147" s="19">
        <f t="shared" si="54"/>
        <v>-5.5675859227415998</v>
      </c>
      <c r="AE147" s="19">
        <f>(D147)+(H147*-1)</f>
        <v>-5.2716990983893908</v>
      </c>
      <c r="AF147">
        <f t="shared" si="73"/>
        <v>1.0280637057265474</v>
      </c>
      <c r="AG147">
        <f t="shared" si="75"/>
        <v>1.0280637057265474</v>
      </c>
      <c r="AH147">
        <f t="shared" si="55"/>
        <v>0.97342772716415416</v>
      </c>
      <c r="AI147">
        <f t="shared" si="76"/>
        <v>0.97342772716415416</v>
      </c>
      <c r="AJ147">
        <f t="shared" si="56"/>
        <v>1.5082162823463618</v>
      </c>
      <c r="AK147">
        <f t="shared" si="77"/>
        <v>1.4280628132464166</v>
      </c>
      <c r="AL147">
        <f t="shared" si="57"/>
        <v>-0.48015257661981486</v>
      </c>
      <c r="AM147">
        <f t="shared" si="58"/>
        <v>-0.45463508608226266</v>
      </c>
      <c r="AN147">
        <f t="shared" si="59"/>
        <v>-0.37685601155045928</v>
      </c>
      <c r="AO147">
        <f t="shared" si="60"/>
        <v>-0.3568281700329643</v>
      </c>
      <c r="AP147" s="20">
        <f t="shared" si="61"/>
        <v>1.4670455478053128</v>
      </c>
      <c r="AQ147" s="21">
        <f t="shared" si="62"/>
        <v>-0.46704554780531249</v>
      </c>
      <c r="AR147">
        <f t="shared" si="63"/>
        <v>2.8063705726547282E-2</v>
      </c>
      <c r="AS147">
        <f t="shared" si="64"/>
        <v>2.6572272835845873E-2</v>
      </c>
      <c r="AT147">
        <f t="shared" si="65"/>
        <v>1.2546631906786888E-3</v>
      </c>
      <c r="AU147">
        <f t="shared" si="66"/>
        <v>1.1879846854390746E-3</v>
      </c>
      <c r="AV147">
        <f t="shared" si="67"/>
        <v>2.5384288150406869E-2</v>
      </c>
      <c r="AW147">
        <f t="shared" si="68"/>
        <v>4.4707680550249693E-2</v>
      </c>
      <c r="AX147">
        <f t="shared" si="69"/>
        <v>0.95529231944975301</v>
      </c>
      <c r="AY147">
        <f t="shared" si="70"/>
        <v>-1.0126173914237318E-2</v>
      </c>
      <c r="AZ147">
        <f t="shared" si="71"/>
        <v>-1.0686253231335048E-2</v>
      </c>
      <c r="BA147" s="8">
        <f t="shared" si="72"/>
        <v>-9.5880230021726381E-3</v>
      </c>
    </row>
    <row r="148" spans="1:53" x14ac:dyDescent="0.35">
      <c r="A148" s="9" t="s">
        <v>60</v>
      </c>
      <c r="B148" s="11" t="s">
        <v>69</v>
      </c>
      <c r="C148">
        <f t="shared" si="53"/>
        <v>5.7337721328573297</v>
      </c>
      <c r="D148">
        <v>5.7337721328573252</v>
      </c>
      <c r="E148">
        <v>0.41206821103311331</v>
      </c>
      <c r="F148">
        <v>5.3217039218242164</v>
      </c>
      <c r="G148">
        <v>0</v>
      </c>
      <c r="H148">
        <v>-0.34763605364891959</v>
      </c>
      <c r="I148">
        <v>-0.16429236256423979</v>
      </c>
      <c r="J148">
        <v>-0.18334369108467991</v>
      </c>
      <c r="K148">
        <v>0</v>
      </c>
      <c r="L148">
        <v>0.76746045418638786</v>
      </c>
      <c r="M148">
        <v>0.97048648487860856</v>
      </c>
      <c r="N148">
        <v>5.5154974607902398E-2</v>
      </c>
      <c r="O148">
        <v>6.97458183529968E-2</v>
      </c>
      <c r="P148">
        <v>0.71230547957848511</v>
      </c>
      <c r="Q148">
        <v>0.90074066652561235</v>
      </c>
      <c r="R148">
        <v>0</v>
      </c>
      <c r="S148">
        <v>0</v>
      </c>
      <c r="T148">
        <v>-4.6530785919462497E-2</v>
      </c>
      <c r="U148">
        <v>-5.8840163840743601E-2</v>
      </c>
      <c r="V148">
        <v>-2.1990391015080699E-2</v>
      </c>
      <c r="W148">
        <v>-2.78077875686202E-2</v>
      </c>
      <c r="X148">
        <v>-2.4540394904382E-2</v>
      </c>
      <c r="Y148">
        <v>-3.1032376272123401E-2</v>
      </c>
      <c r="Z148">
        <v>0</v>
      </c>
      <c r="AA148">
        <v>0</v>
      </c>
      <c r="AB148">
        <v>590.81421763174001</v>
      </c>
      <c r="AC148">
        <v>747.10978286638999</v>
      </c>
      <c r="AD148" s="19">
        <f t="shared" si="54"/>
        <v>5.3861360792084056</v>
      </c>
      <c r="AE148" s="19">
        <f>(D148)+(H148*-1)</f>
        <v>6.0814081865062448</v>
      </c>
      <c r="AF148">
        <f t="shared" si="73"/>
        <v>0.9428362571648663</v>
      </c>
      <c r="AG148">
        <f t="shared" si="75"/>
        <v>0.9428362571648663</v>
      </c>
      <c r="AH148">
        <f t="shared" si="55"/>
        <v>1.0645427535689018</v>
      </c>
      <c r="AI148">
        <f t="shared" si="76"/>
        <v>1.0645427535689018</v>
      </c>
      <c r="AJ148">
        <f t="shared" si="56"/>
        <v>0.87507757391327534</v>
      </c>
      <c r="AK148">
        <f t="shared" si="77"/>
        <v>0.98803740632678949</v>
      </c>
      <c r="AL148">
        <f t="shared" si="57"/>
        <v>6.7758683251591692E-2</v>
      </c>
      <c r="AM148">
        <f t="shared" si="58"/>
        <v>7.650534724211322E-2</v>
      </c>
      <c r="AN148">
        <f t="shared" si="59"/>
        <v>0</v>
      </c>
      <c r="AO148">
        <f t="shared" si="60"/>
        <v>0</v>
      </c>
      <c r="AP148" s="20">
        <f t="shared" si="61"/>
        <v>0.92813313792646901</v>
      </c>
      <c r="AQ148" s="21">
        <f t="shared" si="62"/>
        <v>7.1866862073531046E-2</v>
      </c>
      <c r="AR148">
        <f t="shared" si="63"/>
        <v>-5.7163742835133667E-2</v>
      </c>
      <c r="AS148">
        <f t="shared" si="64"/>
        <v>-6.4542753568901892E-2</v>
      </c>
      <c r="AT148">
        <f t="shared" si="65"/>
        <v>-2.7015513105793573E-2</v>
      </c>
      <c r="AU148">
        <f t="shared" si="66"/>
        <v>-3.0502824315642923E-2</v>
      </c>
      <c r="AV148">
        <f t="shared" si="67"/>
        <v>-3.4039929253258994E-2</v>
      </c>
      <c r="AW148">
        <f t="shared" si="68"/>
        <v>0.47259874469222907</v>
      </c>
      <c r="AX148">
        <f t="shared" si="69"/>
        <v>0.52740125530777127</v>
      </c>
      <c r="AY148">
        <f t="shared" si="70"/>
        <v>7.2092966826692454E-3</v>
      </c>
      <c r="AZ148">
        <f t="shared" si="71"/>
        <v>9.1164632103786555E-3</v>
      </c>
      <c r="BA148" s="8">
        <f t="shared" si="72"/>
        <v>8.1399124010584911E-3</v>
      </c>
    </row>
    <row r="149" spans="1:53" x14ac:dyDescent="0.35">
      <c r="A149" s="7" t="s">
        <v>61</v>
      </c>
      <c r="B149" s="11" t="s">
        <v>69</v>
      </c>
      <c r="C149">
        <f t="shared" si="53"/>
        <v>-2.4256874147586851</v>
      </c>
      <c r="D149">
        <v>0.1488650164938079</v>
      </c>
      <c r="E149">
        <v>0.46869556347929597</v>
      </c>
      <c r="F149">
        <v>-0.3198305469854858</v>
      </c>
      <c r="G149">
        <v>-2.5745524312524952</v>
      </c>
      <c r="H149">
        <v>0</v>
      </c>
      <c r="I149">
        <v>0</v>
      </c>
      <c r="J149">
        <v>0</v>
      </c>
      <c r="K149">
        <v>-1.1142321069096259</v>
      </c>
      <c r="L149">
        <v>5.6827502229728197E-2</v>
      </c>
      <c r="M149">
        <v>3.3734157301740397E-2</v>
      </c>
      <c r="N149">
        <v>0.17891912288063319</v>
      </c>
      <c r="O149">
        <v>0.1062106479912665</v>
      </c>
      <c r="P149">
        <v>-0.12209162065090499</v>
      </c>
      <c r="Q149">
        <v>-7.2476490689526302E-2</v>
      </c>
      <c r="R149">
        <v>-0.98280568177438277</v>
      </c>
      <c r="S149">
        <v>-0.58341683454594284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-0.42534524921424061</v>
      </c>
      <c r="AA149">
        <v>-0.252495059285478</v>
      </c>
      <c r="AB149">
        <v>441.28867711817003</v>
      </c>
      <c r="AC149">
        <v>261.95945739796002</v>
      </c>
      <c r="AD149" s="19">
        <f t="shared" si="54"/>
        <v>0.1488650164938079</v>
      </c>
      <c r="AE149" s="19">
        <f>(D149)+(H149)</f>
        <v>0.1488650164938079</v>
      </c>
      <c r="AF149">
        <f t="shared" si="73"/>
        <v>1</v>
      </c>
      <c r="AG149">
        <f t="shared" si="75"/>
        <v>1</v>
      </c>
      <c r="AH149">
        <f t="shared" si="55"/>
        <v>1</v>
      </c>
      <c r="AI149">
        <f t="shared" si="76"/>
        <v>1</v>
      </c>
      <c r="AJ149">
        <f t="shared" si="56"/>
        <v>-2.1484600916884276</v>
      </c>
      <c r="AK149">
        <f t="shared" si="77"/>
        <v>-2.1484600916884276</v>
      </c>
      <c r="AL149">
        <f t="shared" si="57"/>
        <v>3.1484600916884427</v>
      </c>
      <c r="AM149">
        <f t="shared" si="58"/>
        <v>3.1484600916884427</v>
      </c>
      <c r="AN149">
        <f t="shared" si="59"/>
        <v>-17.29454301548131</v>
      </c>
      <c r="AO149">
        <f t="shared" si="60"/>
        <v>-17.29454301548131</v>
      </c>
      <c r="AP149" s="20">
        <f t="shared" si="61"/>
        <v>-2.1484600916883947</v>
      </c>
      <c r="AQ149" s="21">
        <f t="shared" si="62"/>
        <v>3.1484600916884427</v>
      </c>
      <c r="AR149">
        <f t="shared" si="63"/>
        <v>0</v>
      </c>
      <c r="AS149">
        <f t="shared" si="64"/>
        <v>0</v>
      </c>
      <c r="AT149">
        <f t="shared" si="65"/>
        <v>0</v>
      </c>
      <c r="AU149">
        <f t="shared" si="66"/>
        <v>0</v>
      </c>
      <c r="AV149">
        <f t="shared" si="67"/>
        <v>0</v>
      </c>
      <c r="AW149" t="e">
        <f t="shared" si="68"/>
        <v>#DIV/0!</v>
      </c>
      <c r="AX149" t="e">
        <f t="shared" si="69"/>
        <v>#DIV/0!</v>
      </c>
      <c r="AY149">
        <f t="shared" si="70"/>
        <v>5.6827502229727538E-4</v>
      </c>
      <c r="AZ149">
        <f t="shared" si="71"/>
        <v>3.3734157301739298E-4</v>
      </c>
      <c r="BA149" s="8">
        <f t="shared" si="72"/>
        <v>5.6827502229727538E-4</v>
      </c>
    </row>
    <row r="150" spans="1:53" x14ac:dyDescent="0.35">
      <c r="A150" s="7" t="s">
        <v>62</v>
      </c>
      <c r="B150" s="11" t="s">
        <v>69</v>
      </c>
      <c r="C150">
        <f t="shared" si="53"/>
        <v>4.0123179589086631</v>
      </c>
      <c r="D150">
        <v>4.0098421863494309</v>
      </c>
      <c r="E150">
        <v>0.54698847303368625</v>
      </c>
      <c r="F150">
        <v>3.4628537133157442</v>
      </c>
      <c r="G150">
        <v>2.4757725592319002E-3</v>
      </c>
      <c r="H150">
        <v>8.4973082357751313</v>
      </c>
      <c r="I150">
        <v>7.6160721771276307</v>
      </c>
      <c r="J150">
        <v>0.88123605864749965</v>
      </c>
      <c r="K150">
        <v>0</v>
      </c>
      <c r="L150">
        <v>1.247595593488112</v>
      </c>
      <c r="M150">
        <v>0.58074170428682947</v>
      </c>
      <c r="N150">
        <v>0.17018635071693311</v>
      </c>
      <c r="O150">
        <v>7.9219830430292001E-2</v>
      </c>
      <c r="P150">
        <v>1.077409242771179</v>
      </c>
      <c r="Q150">
        <v>0.50152187385653735</v>
      </c>
      <c r="R150">
        <v>7.7029538616040004E-4</v>
      </c>
      <c r="S150">
        <v>3.5856383085830002E-4</v>
      </c>
      <c r="T150">
        <v>2.6437958948989611</v>
      </c>
      <c r="U150">
        <v>1.230657227232965</v>
      </c>
      <c r="V150">
        <v>2.369613976385013</v>
      </c>
      <c r="W150">
        <v>1.1030286306961341</v>
      </c>
      <c r="X150">
        <v>0.27418191851394841</v>
      </c>
      <c r="Y150">
        <v>0.12762859653683131</v>
      </c>
      <c r="Z150">
        <v>0</v>
      </c>
      <c r="AA150">
        <v>0</v>
      </c>
      <c r="AB150">
        <v>690.46912883131995</v>
      </c>
      <c r="AC150">
        <v>321.40560669490998</v>
      </c>
      <c r="AD150" s="19">
        <f t="shared" si="54"/>
        <v>12.507150422124562</v>
      </c>
      <c r="AE150" s="19">
        <f>(D150)+(H150)</f>
        <v>12.507150422124562</v>
      </c>
      <c r="AF150">
        <f t="shared" si="73"/>
        <v>0.32060397860540707</v>
      </c>
      <c r="AG150">
        <f t="shared" si="75"/>
        <v>0.32060397860540707</v>
      </c>
      <c r="AH150">
        <f t="shared" si="55"/>
        <v>0.32060397860540707</v>
      </c>
      <c r="AI150">
        <f t="shared" si="76"/>
        <v>0.32060397860540707</v>
      </c>
      <c r="AJ150">
        <f t="shared" si="56"/>
        <v>0.27686991812220618</v>
      </c>
      <c r="AK150">
        <f t="shared" si="77"/>
        <v>0.27686991812220618</v>
      </c>
      <c r="AL150">
        <f t="shared" si="57"/>
        <v>4.3734060483200818E-2</v>
      </c>
      <c r="AM150">
        <f t="shared" si="58"/>
        <v>4.3734060483200818E-2</v>
      </c>
      <c r="AN150">
        <f t="shared" si="59"/>
        <v>1.9794857147095431E-4</v>
      </c>
      <c r="AO150">
        <f t="shared" si="60"/>
        <v>1.9794857147095431E-4</v>
      </c>
      <c r="AP150" s="20">
        <f t="shared" si="61"/>
        <v>0.86358852852219947</v>
      </c>
      <c r="AQ150" s="21">
        <f t="shared" si="62"/>
        <v>0.13641147147780042</v>
      </c>
      <c r="AR150">
        <f t="shared" si="63"/>
        <v>0.67939602139459299</v>
      </c>
      <c r="AS150">
        <f t="shared" si="64"/>
        <v>0.67939602139459299</v>
      </c>
      <c r="AT150">
        <f t="shared" si="65"/>
        <v>0.60893744138993933</v>
      </c>
      <c r="AU150">
        <f t="shared" si="66"/>
        <v>0.60893744138993933</v>
      </c>
      <c r="AV150">
        <f t="shared" si="67"/>
        <v>7.0458580004653534E-2</v>
      </c>
      <c r="AW150">
        <f t="shared" si="68"/>
        <v>0.89629232761766309</v>
      </c>
      <c r="AX150">
        <f t="shared" si="69"/>
        <v>0.1037076723823368</v>
      </c>
      <c r="AY150">
        <f t="shared" si="70"/>
        <v>3.8913914883870741E-2</v>
      </c>
      <c r="AZ150">
        <f t="shared" si="71"/>
        <v>1.8113989315197945E-2</v>
      </c>
      <c r="BA150" s="8">
        <f t="shared" si="72"/>
        <v>3.8913914883870741E-2</v>
      </c>
    </row>
    <row r="151" spans="1:53" x14ac:dyDescent="0.35">
      <c r="A151" s="7" t="s">
        <v>63</v>
      </c>
      <c r="B151" s="11" t="s">
        <v>69</v>
      </c>
      <c r="C151">
        <f t="shared" si="53"/>
        <v>-7.3367331368355999E-3</v>
      </c>
      <c r="D151">
        <v>-4.9648577665709999E-3</v>
      </c>
      <c r="E151">
        <v>-1.1457364076702E-3</v>
      </c>
      <c r="F151">
        <v>-3.8191213589006999E-3</v>
      </c>
      <c r="G151">
        <v>-2.3718753702646998E-3</v>
      </c>
      <c r="H151">
        <v>0</v>
      </c>
      <c r="I151">
        <v>0</v>
      </c>
      <c r="J151">
        <v>0</v>
      </c>
      <c r="K151">
        <v>0</v>
      </c>
      <c r="L151">
        <v>-7.7115026817946002E-3</v>
      </c>
      <c r="M151">
        <v>-5.4419247585320999E-3</v>
      </c>
      <c r="N151">
        <v>-1.7795775419526001E-3</v>
      </c>
      <c r="O151">
        <v>-1.2558287904305E-3</v>
      </c>
      <c r="P151">
        <v>-5.9319251398419004E-3</v>
      </c>
      <c r="Q151">
        <v>-4.1860959681015997E-3</v>
      </c>
      <c r="R151">
        <v>-3.6840377184282E-3</v>
      </c>
      <c r="S151">
        <v>-2.5997859170315001E-3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91.233487908610002</v>
      </c>
      <c r="AC151">
        <v>64.38249419652</v>
      </c>
      <c r="AD151" s="19">
        <f t="shared" si="54"/>
        <v>-4.9648577665709999E-3</v>
      </c>
      <c r="AE151" s="19">
        <f>(D151*-1)+(H151)</f>
        <v>4.9648577665709999E-3</v>
      </c>
      <c r="AF151">
        <v>1</v>
      </c>
      <c r="AG151">
        <f t="shared" si="75"/>
        <v>-1</v>
      </c>
      <c r="AH151">
        <f t="shared" si="55"/>
        <v>1</v>
      </c>
      <c r="AI151">
        <f t="shared" si="76"/>
        <v>1</v>
      </c>
      <c r="AJ151">
        <f t="shared" si="56"/>
        <v>-0.76923076923075528</v>
      </c>
      <c r="AK151">
        <f t="shared" si="77"/>
        <v>0.76923076923075528</v>
      </c>
      <c r="AL151">
        <f t="shared" si="57"/>
        <v>-0.23076923076922456</v>
      </c>
      <c r="AM151">
        <f t="shared" si="58"/>
        <v>0.23076923076922456</v>
      </c>
      <c r="AN151">
        <f t="shared" si="59"/>
        <v>-0.47773279352226955</v>
      </c>
      <c r="AO151">
        <f t="shared" si="60"/>
        <v>0.47773279352226955</v>
      </c>
      <c r="AP151" s="20">
        <f t="shared" si="61"/>
        <v>0.76923076923077072</v>
      </c>
      <c r="AQ151" s="21">
        <f t="shared" si="62"/>
        <v>0.23076923076922456</v>
      </c>
      <c r="AR151">
        <f t="shared" si="63"/>
        <v>0</v>
      </c>
      <c r="AS151">
        <f t="shared" si="64"/>
        <v>0</v>
      </c>
      <c r="AT151">
        <f t="shared" si="65"/>
        <v>0</v>
      </c>
      <c r="AU151">
        <f t="shared" si="66"/>
        <v>0</v>
      </c>
      <c r="AV151">
        <f t="shared" si="67"/>
        <v>0</v>
      </c>
      <c r="AW151" t="e">
        <f t="shared" si="68"/>
        <v>#DIV/0!</v>
      </c>
      <c r="AX151" t="e">
        <f t="shared" si="69"/>
        <v>#DIV/0!</v>
      </c>
      <c r="AY151">
        <f t="shared" si="70"/>
        <v>-7.7115026817947666E-5</v>
      </c>
      <c r="AZ151">
        <f t="shared" si="71"/>
        <v>-5.4419247585320588E-5</v>
      </c>
      <c r="BA151" s="8">
        <f t="shared" si="72"/>
        <v>7.7115026817947666E-5</v>
      </c>
    </row>
    <row r="152" spans="1:53" x14ac:dyDescent="0.35">
      <c r="A152" s="7" t="s">
        <v>64</v>
      </c>
      <c r="B152" s="11" t="s">
        <v>69</v>
      </c>
      <c r="C152">
        <f t="shared" si="53"/>
        <v>-0.19161498549824249</v>
      </c>
      <c r="D152">
        <v>-0.19161498549824249</v>
      </c>
      <c r="E152">
        <v>0</v>
      </c>
      <c r="F152">
        <v>-0.19161498549824249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-0.13001073313003439</v>
      </c>
      <c r="M152">
        <v>-6.1833593114673797E-2</v>
      </c>
      <c r="N152">
        <v>0</v>
      </c>
      <c r="O152">
        <v>0</v>
      </c>
      <c r="P152">
        <v>-0.13001073313003439</v>
      </c>
      <c r="Q152">
        <v>-6.1833593114673603E-2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309.88816247970999</v>
      </c>
      <c r="AC152">
        <v>147.38397429586999</v>
      </c>
      <c r="AD152" s="19">
        <f t="shared" si="54"/>
        <v>-0.19161498549824249</v>
      </c>
      <c r="AE152" s="19">
        <f>(D152*-1)+(H152)</f>
        <v>0.19161498549824249</v>
      </c>
      <c r="AF152">
        <v>1</v>
      </c>
      <c r="AG152">
        <f t="shared" si="75"/>
        <v>-1</v>
      </c>
      <c r="AH152">
        <f t="shared" si="55"/>
        <v>1</v>
      </c>
      <c r="AI152">
        <f t="shared" si="76"/>
        <v>1</v>
      </c>
      <c r="AJ152">
        <f t="shared" si="56"/>
        <v>-1</v>
      </c>
      <c r="AK152">
        <f t="shared" si="77"/>
        <v>1</v>
      </c>
      <c r="AL152">
        <f t="shared" si="57"/>
        <v>0</v>
      </c>
      <c r="AM152">
        <f t="shared" si="58"/>
        <v>0</v>
      </c>
      <c r="AN152">
        <f t="shared" si="59"/>
        <v>0</v>
      </c>
      <c r="AO152">
        <f t="shared" si="60"/>
        <v>0</v>
      </c>
      <c r="AP152" s="20">
        <f t="shared" si="61"/>
        <v>1</v>
      </c>
      <c r="AQ152" s="21">
        <f t="shared" si="62"/>
        <v>0</v>
      </c>
      <c r="AR152">
        <f t="shared" si="63"/>
        <v>0</v>
      </c>
      <c r="AS152">
        <f t="shared" si="64"/>
        <v>0</v>
      </c>
      <c r="AT152">
        <f t="shared" si="65"/>
        <v>0</v>
      </c>
      <c r="AU152">
        <f t="shared" si="66"/>
        <v>0</v>
      </c>
      <c r="AV152">
        <f t="shared" si="67"/>
        <v>0</v>
      </c>
      <c r="AW152" t="e">
        <f t="shared" si="68"/>
        <v>#DIV/0!</v>
      </c>
      <c r="AX152" t="e">
        <f t="shared" si="69"/>
        <v>#DIV/0!</v>
      </c>
      <c r="AY152">
        <f t="shared" si="70"/>
        <v>-1.3001073313003472E-3</v>
      </c>
      <c r="AZ152">
        <f t="shared" si="71"/>
        <v>-6.1833593114673602E-4</v>
      </c>
      <c r="BA152" s="8">
        <f t="shared" si="72"/>
        <v>1.3001073313003472E-3</v>
      </c>
    </row>
    <row r="153" spans="1:53" x14ac:dyDescent="0.35">
      <c r="A153" s="7" t="s">
        <v>65</v>
      </c>
      <c r="B153" s="11" t="s">
        <v>69</v>
      </c>
      <c r="C153">
        <f t="shared" si="53"/>
        <v>5.9891531238189888</v>
      </c>
      <c r="D153">
        <v>5.989153123818987</v>
      </c>
      <c r="E153">
        <v>-4.1489705375412E-3</v>
      </c>
      <c r="F153">
        <v>5.9933020943565296</v>
      </c>
      <c r="G153">
        <v>0</v>
      </c>
      <c r="H153">
        <v>2.4919180275215358</v>
      </c>
      <c r="I153">
        <v>2.528038476907192</v>
      </c>
      <c r="J153">
        <v>-3.6120449385656103E-2</v>
      </c>
      <c r="K153">
        <v>0</v>
      </c>
      <c r="L153">
        <v>1.047965084417287</v>
      </c>
      <c r="M153">
        <v>0.49276291212012419</v>
      </c>
      <c r="N153">
        <v>-7.2597513700680002E-4</v>
      </c>
      <c r="O153">
        <v>-3.4136024945629999E-4</v>
      </c>
      <c r="P153">
        <v>1.048691059554294</v>
      </c>
      <c r="Q153">
        <v>0.49310427236958088</v>
      </c>
      <c r="R153">
        <v>0</v>
      </c>
      <c r="S153">
        <v>0</v>
      </c>
      <c r="T153">
        <v>0.43602877269689427</v>
      </c>
      <c r="U153">
        <v>0.20502477706283079</v>
      </c>
      <c r="V153">
        <v>0.44234902683083649</v>
      </c>
      <c r="W153">
        <v>0.20799661923456941</v>
      </c>
      <c r="X153">
        <v>-6.3202541339419001E-3</v>
      </c>
      <c r="Y153">
        <v>-2.9718421717381E-3</v>
      </c>
      <c r="Z153">
        <v>0</v>
      </c>
      <c r="AA153">
        <v>0</v>
      </c>
      <c r="AB153">
        <v>1215.4228689920101</v>
      </c>
      <c r="AC153">
        <v>571.50311712429004</v>
      </c>
      <c r="AD153" s="19">
        <f t="shared" si="54"/>
        <v>8.4810711513405224</v>
      </c>
      <c r="AE153" s="19">
        <f>(D153)+(H153)</f>
        <v>8.4810711513405224</v>
      </c>
      <c r="AF153">
        <f t="shared" si="73"/>
        <v>0.70617885606022046</v>
      </c>
      <c r="AG153">
        <f t="shared" si="75"/>
        <v>0.70617885606022046</v>
      </c>
      <c r="AH153">
        <f t="shared" si="55"/>
        <v>0.70617885606022046</v>
      </c>
      <c r="AI153">
        <f t="shared" si="76"/>
        <v>0.70617885606022046</v>
      </c>
      <c r="AJ153">
        <f t="shared" si="56"/>
        <v>0.70666805966003776</v>
      </c>
      <c r="AK153">
        <f t="shared" si="77"/>
        <v>0.70666805966003776</v>
      </c>
      <c r="AL153">
        <f t="shared" si="57"/>
        <v>-4.8920359981715418E-4</v>
      </c>
      <c r="AM153">
        <f t="shared" si="58"/>
        <v>-4.8920359981715418E-4</v>
      </c>
      <c r="AN153">
        <f t="shared" si="59"/>
        <v>0</v>
      </c>
      <c r="AO153">
        <f t="shared" si="60"/>
        <v>0</v>
      </c>
      <c r="AP153" s="20">
        <f t="shared" si="61"/>
        <v>1.0006927474472209</v>
      </c>
      <c r="AQ153" s="21">
        <f t="shared" si="62"/>
        <v>-6.9274744722098644E-4</v>
      </c>
      <c r="AR153">
        <f t="shared" si="63"/>
        <v>0.29382114393977959</v>
      </c>
      <c r="AS153">
        <f t="shared" si="64"/>
        <v>0.29382114393977959</v>
      </c>
      <c r="AT153">
        <f t="shared" si="65"/>
        <v>0.29808009292642346</v>
      </c>
      <c r="AU153">
        <f t="shared" si="66"/>
        <v>0.29808009292642346</v>
      </c>
      <c r="AV153">
        <f t="shared" si="67"/>
        <v>-4.2589489866438493E-3</v>
      </c>
      <c r="AW153">
        <f t="shared" si="68"/>
        <v>1.0144950391572798</v>
      </c>
      <c r="AX153">
        <f t="shared" si="69"/>
        <v>-1.44950391572798E-2</v>
      </c>
      <c r="AY153">
        <f t="shared" si="70"/>
        <v>1.4839938571141801E-2</v>
      </c>
      <c r="AZ153">
        <f t="shared" si="71"/>
        <v>6.9778768918295504E-3</v>
      </c>
      <c r="BA153" s="8">
        <f t="shared" si="72"/>
        <v>1.4839938571141801E-2</v>
      </c>
    </row>
    <row r="154" spans="1:53" x14ac:dyDescent="0.35">
      <c r="A154" s="7" t="s">
        <v>28</v>
      </c>
      <c r="B154" s="11" t="s">
        <v>70</v>
      </c>
      <c r="C154">
        <f t="shared" si="53"/>
        <v>0.83038838202105758</v>
      </c>
      <c r="D154">
        <v>0.8303883820210558</v>
      </c>
      <c r="E154">
        <v>9.8710831084147799E-5</v>
      </c>
      <c r="F154">
        <v>0.83028967118997343</v>
      </c>
      <c r="G154">
        <v>0</v>
      </c>
      <c r="H154">
        <v>2.0812524626020001E-4</v>
      </c>
      <c r="I154">
        <v>8.9196534112545578E-5</v>
      </c>
      <c r="J154">
        <v>1.189287121476E-4</v>
      </c>
      <c r="K154">
        <v>0</v>
      </c>
      <c r="L154">
        <v>5.5552794872685399E-2</v>
      </c>
      <c r="M154">
        <v>6.7703036362789903E-2</v>
      </c>
      <c r="N154">
        <v>6.6037322652423569E-6</v>
      </c>
      <c r="O154">
        <v>8.0480689891304635E-6</v>
      </c>
      <c r="P154">
        <v>5.5546191140420399E-2</v>
      </c>
      <c r="Q154">
        <v>6.7694988293798206E-2</v>
      </c>
      <c r="R154">
        <v>0</v>
      </c>
      <c r="S154">
        <v>0</v>
      </c>
      <c r="T154">
        <v>1.392353188434114E-5</v>
      </c>
      <c r="U154">
        <v>1.6968820157892139E-5</v>
      </c>
      <c r="V154">
        <v>5.9672279504319192E-6</v>
      </c>
      <c r="W154">
        <v>7.2723514963346503E-6</v>
      </c>
      <c r="X154">
        <v>7.9563039337982033E-6</v>
      </c>
      <c r="Y154">
        <v>9.6964686615574874E-6</v>
      </c>
      <c r="Z154">
        <v>0</v>
      </c>
      <c r="AA154">
        <v>0</v>
      </c>
      <c r="AB154">
        <v>1226.51571721458</v>
      </c>
      <c r="AC154">
        <v>1494.77336635199</v>
      </c>
      <c r="AD154" s="19">
        <f t="shared" si="54"/>
        <v>0.83059650726731604</v>
      </c>
      <c r="AE154" s="19">
        <f t="shared" si="74"/>
        <v>0.83059650726731604</v>
      </c>
      <c r="AF154">
        <f t="shared" si="73"/>
        <v>0.9997494267740844</v>
      </c>
      <c r="AG154">
        <f t="shared" si="75"/>
        <v>0.9997494267740844</v>
      </c>
      <c r="AH154">
        <f t="shared" si="55"/>
        <v>0.9997494267740844</v>
      </c>
      <c r="AI154">
        <f t="shared" si="76"/>
        <v>0.9997494267740844</v>
      </c>
      <c r="AJ154">
        <f t="shared" si="56"/>
        <v>0.99963058347265132</v>
      </c>
      <c r="AK154">
        <f t="shared" si="77"/>
        <v>0.99963058347265132</v>
      </c>
      <c r="AL154">
        <f t="shared" si="57"/>
        <v>1.1884330143514446E-4</v>
      </c>
      <c r="AM154">
        <f t="shared" si="58"/>
        <v>1.1884330143514446E-4</v>
      </c>
      <c r="AN154">
        <f t="shared" si="59"/>
        <v>0</v>
      </c>
      <c r="AO154">
        <f t="shared" si="60"/>
        <v>0</v>
      </c>
      <c r="AP154" s="20">
        <f t="shared" si="61"/>
        <v>0.99988112691215181</v>
      </c>
      <c r="AQ154" s="21">
        <f t="shared" si="62"/>
        <v>1.1887308784824114E-4</v>
      </c>
      <c r="AR154">
        <f t="shared" si="63"/>
        <v>2.5057322591559821E-4</v>
      </c>
      <c r="AS154">
        <f t="shared" si="64"/>
        <v>2.5057322591559821E-4</v>
      </c>
      <c r="AT154">
        <f t="shared" si="65"/>
        <v>1.0738852539364086E-4</v>
      </c>
      <c r="AU154">
        <f t="shared" si="66"/>
        <v>1.0738852539364086E-4</v>
      </c>
      <c r="AV154">
        <f t="shared" si="67"/>
        <v>1.4318470052189183E-4</v>
      </c>
      <c r="AW154">
        <f t="shared" si="68"/>
        <v>0.4285714285763837</v>
      </c>
      <c r="AX154">
        <f t="shared" si="69"/>
        <v>0.57142857142335479</v>
      </c>
      <c r="AY154">
        <f t="shared" si="70"/>
        <v>5.5566718404569614E-4</v>
      </c>
      <c r="AZ154">
        <f t="shared" si="71"/>
        <v>6.7720005182942344E-4</v>
      </c>
      <c r="BA154" s="8">
        <f t="shared" si="72"/>
        <v>5.5566718404569614E-4</v>
      </c>
    </row>
    <row r="155" spans="1:53" x14ac:dyDescent="0.35">
      <c r="A155" s="7" t="s">
        <v>29</v>
      </c>
      <c r="B155" s="11" t="s">
        <v>70</v>
      </c>
      <c r="C155">
        <f t="shared" si="53"/>
        <v>0.64367895118510177</v>
      </c>
      <c r="D155">
        <v>0.50948049435228882</v>
      </c>
      <c r="E155">
        <v>8.3203043236338203E-2</v>
      </c>
      <c r="F155">
        <v>0.42627745111596482</v>
      </c>
      <c r="G155">
        <v>0.13419845683279871</v>
      </c>
      <c r="H155">
        <v>0.1398821561810166</v>
      </c>
      <c r="I155">
        <v>8.2097879474187004E-3</v>
      </c>
      <c r="J155">
        <v>0.13167236823359471</v>
      </c>
      <c r="K155">
        <v>0</v>
      </c>
      <c r="L155">
        <v>3.00294097534568E-2</v>
      </c>
      <c r="M155">
        <v>2.9561009374893001E-2</v>
      </c>
      <c r="N155">
        <v>4.9040901580639003E-3</v>
      </c>
      <c r="O155">
        <v>4.8275958910961002E-3</v>
      </c>
      <c r="P155">
        <v>2.5125319595392801E-2</v>
      </c>
      <c r="Q155">
        <v>2.4733413483795898E-2</v>
      </c>
      <c r="R155">
        <v>7.9098228355860001E-3</v>
      </c>
      <c r="S155">
        <v>7.7864449856387997E-3</v>
      </c>
      <c r="T155">
        <v>8.2448270968589008E-3</v>
      </c>
      <c r="U155">
        <v>8.1162238320890007E-3</v>
      </c>
      <c r="V155">
        <v>4.8389504405939998E-4</v>
      </c>
      <c r="W155">
        <v>4.7634722265079999E-4</v>
      </c>
      <c r="X155">
        <v>7.7609320527994999E-3</v>
      </c>
      <c r="Y155">
        <v>7.6398766094385E-3</v>
      </c>
      <c r="Z155">
        <v>0</v>
      </c>
      <c r="AA155">
        <v>0</v>
      </c>
      <c r="AB155">
        <v>1723.48815255626</v>
      </c>
      <c r="AC155">
        <v>1696.60508992738</v>
      </c>
      <c r="AD155" s="19">
        <f t="shared" si="54"/>
        <v>0.64936265053330544</v>
      </c>
      <c r="AE155" s="19">
        <f t="shared" si="74"/>
        <v>0.64936265053330544</v>
      </c>
      <c r="AF155">
        <f t="shared" si="73"/>
        <v>0.7845854607342525</v>
      </c>
      <c r="AG155">
        <f t="shared" si="75"/>
        <v>0.7845854607342525</v>
      </c>
      <c r="AH155">
        <f t="shared" si="55"/>
        <v>0.7845854607342525</v>
      </c>
      <c r="AI155">
        <f t="shared" si="76"/>
        <v>0.7845854607342525</v>
      </c>
      <c r="AJ155">
        <f t="shared" si="56"/>
        <v>0.656455142231962</v>
      </c>
      <c r="AK155">
        <f t="shared" si="77"/>
        <v>0.656455142231962</v>
      </c>
      <c r="AL155">
        <f t="shared" si="57"/>
        <v>0.12813031850231241</v>
      </c>
      <c r="AM155">
        <f t="shared" si="58"/>
        <v>0.12813031850231241</v>
      </c>
      <c r="AN155">
        <f t="shared" si="59"/>
        <v>0.20666180403598028</v>
      </c>
      <c r="AO155">
        <f t="shared" si="60"/>
        <v>0.20666180403598028</v>
      </c>
      <c r="AP155" s="20">
        <f t="shared" si="61"/>
        <v>0.83669042454291931</v>
      </c>
      <c r="AQ155" s="21">
        <f t="shared" si="62"/>
        <v>0.16330957545708524</v>
      </c>
      <c r="AR155">
        <f t="shared" si="63"/>
        <v>0.2154145392657475</v>
      </c>
      <c r="AS155">
        <f t="shared" si="64"/>
        <v>0.2154145392657475</v>
      </c>
      <c r="AT155">
        <f t="shared" si="65"/>
        <v>1.2642839776319449E-2</v>
      </c>
      <c r="AU155">
        <f t="shared" si="66"/>
        <v>1.2642839776319449E-2</v>
      </c>
      <c r="AV155">
        <f t="shared" si="67"/>
        <v>0.20277169948942314</v>
      </c>
      <c r="AW155">
        <f t="shared" si="68"/>
        <v>5.8690744920994076E-2</v>
      </c>
      <c r="AX155">
        <f t="shared" si="69"/>
        <v>0.94130925507898311</v>
      </c>
      <c r="AY155">
        <f t="shared" si="70"/>
        <v>3.8274236850315013E-4</v>
      </c>
      <c r="AZ155">
        <f t="shared" si="71"/>
        <v>3.7677233206980703E-4</v>
      </c>
      <c r="BA155" s="8">
        <f t="shared" si="72"/>
        <v>3.8274236850315013E-4</v>
      </c>
    </row>
    <row r="156" spans="1:53" x14ac:dyDescent="0.35">
      <c r="A156" s="7" t="s">
        <v>30</v>
      </c>
      <c r="B156" s="11" t="s">
        <v>70</v>
      </c>
      <c r="C156">
        <f t="shared" si="53"/>
        <v>17.239811038462239</v>
      </c>
      <c r="D156">
        <v>0.52520956131547791</v>
      </c>
      <c r="E156">
        <v>1.1950101937878339</v>
      </c>
      <c r="F156">
        <v>-0.66980063247234511</v>
      </c>
      <c r="G156">
        <v>16.714601477146751</v>
      </c>
      <c r="H156">
        <v>1.0730574657911229</v>
      </c>
      <c r="I156">
        <v>6.3387360848420102E-2</v>
      </c>
      <c r="J156">
        <v>1.0096701049426999</v>
      </c>
      <c r="K156">
        <v>0</v>
      </c>
      <c r="L156">
        <v>2.0070584506226102E-2</v>
      </c>
      <c r="M156">
        <v>1.8066503485737601E-2</v>
      </c>
      <c r="N156">
        <v>4.5666634514698198E-2</v>
      </c>
      <c r="O156">
        <v>4.1106745614994999E-2</v>
      </c>
      <c r="P156">
        <v>-2.5596050008472201E-2</v>
      </c>
      <c r="Q156">
        <v>-2.3040242129257898E-2</v>
      </c>
      <c r="R156">
        <v>0.63873898372051396</v>
      </c>
      <c r="S156">
        <v>0.57495984096942188</v>
      </c>
      <c r="T156">
        <v>4.1006280413581501E-2</v>
      </c>
      <c r="U156">
        <v>3.6911735569995899E-2</v>
      </c>
      <c r="V156">
        <v>2.4223119231650998E-3</v>
      </c>
      <c r="W156">
        <v>2.1804400758647E-3</v>
      </c>
      <c r="X156">
        <v>3.8583968490415899E-2</v>
      </c>
      <c r="Y156">
        <v>3.4731295494131197E-2</v>
      </c>
      <c r="Z156">
        <v>0</v>
      </c>
      <c r="AA156">
        <v>0</v>
      </c>
      <c r="AB156">
        <v>2907.0902498102801</v>
      </c>
      <c r="AC156">
        <v>2616.8124857180101</v>
      </c>
      <c r="AD156" s="19">
        <f t="shared" si="54"/>
        <v>1.5982670271066008</v>
      </c>
      <c r="AE156" s="19">
        <f t="shared" si="74"/>
        <v>1.5982670271066008</v>
      </c>
      <c r="AF156">
        <f t="shared" si="73"/>
        <v>0.32861189801699364</v>
      </c>
      <c r="AG156">
        <f t="shared" si="75"/>
        <v>0.32861189801699364</v>
      </c>
      <c r="AH156">
        <f t="shared" si="55"/>
        <v>0.32861189801699364</v>
      </c>
      <c r="AI156">
        <f t="shared" si="76"/>
        <v>0.32861189801699364</v>
      </c>
      <c r="AJ156">
        <f t="shared" si="56"/>
        <v>-0.41907930346589756</v>
      </c>
      <c r="AK156">
        <f t="shared" si="77"/>
        <v>-0.41907930346589756</v>
      </c>
      <c r="AL156">
        <f t="shared" si="57"/>
        <v>0.74769120148289803</v>
      </c>
      <c r="AM156">
        <f t="shared" si="58"/>
        <v>0.74769120148289803</v>
      </c>
      <c r="AN156">
        <f t="shared" si="59"/>
        <v>10.457953016402886</v>
      </c>
      <c r="AO156">
        <f t="shared" si="60"/>
        <v>10.457953016402886</v>
      </c>
      <c r="AP156" s="20">
        <f t="shared" si="61"/>
        <v>-1.2753016734781066</v>
      </c>
      <c r="AQ156" s="21">
        <f t="shared" si="62"/>
        <v>2.2753016734781539</v>
      </c>
      <c r="AR156">
        <f t="shared" si="63"/>
        <v>0.67138810198300636</v>
      </c>
      <c r="AS156">
        <f t="shared" si="64"/>
        <v>0.67138810198300636</v>
      </c>
      <c r="AT156">
        <f t="shared" si="65"/>
        <v>3.9660056657223587E-2</v>
      </c>
      <c r="AU156">
        <f t="shared" si="66"/>
        <v>3.9660056657223587E-2</v>
      </c>
      <c r="AV156">
        <f t="shared" si="67"/>
        <v>0.63172804532578097</v>
      </c>
      <c r="AW156">
        <f t="shared" si="68"/>
        <v>5.907172995780529E-2</v>
      </c>
      <c r="AX156">
        <f t="shared" si="69"/>
        <v>0.94092827004219204</v>
      </c>
      <c r="AY156">
        <f t="shared" si="70"/>
        <v>6.1076864919805776E-4</v>
      </c>
      <c r="AZ156">
        <f t="shared" si="71"/>
        <v>5.4978239055732982E-4</v>
      </c>
      <c r="BA156" s="8">
        <f t="shared" si="72"/>
        <v>6.1076864919805776E-4</v>
      </c>
    </row>
    <row r="157" spans="1:53" x14ac:dyDescent="0.35">
      <c r="A157" s="7" t="s">
        <v>31</v>
      </c>
      <c r="B157" s="11" t="s">
        <v>70</v>
      </c>
      <c r="C157">
        <f t="shared" si="53"/>
        <v>1.1077695919685908</v>
      </c>
      <c r="D157">
        <v>1.107769591968633</v>
      </c>
      <c r="E157">
        <v>0.1207378301873092</v>
      </c>
      <c r="F157">
        <v>0.9870317617812816</v>
      </c>
      <c r="G157">
        <v>0</v>
      </c>
      <c r="H157">
        <v>2.795986302562369</v>
      </c>
      <c r="I157">
        <v>0.30184457546828009</v>
      </c>
      <c r="J157">
        <v>2.494141727094302</v>
      </c>
      <c r="K157">
        <v>0</v>
      </c>
      <c r="L157">
        <v>3.0794324993863101E-2</v>
      </c>
      <c r="M157">
        <v>2.6617657271588099E-2</v>
      </c>
      <c r="N157">
        <v>3.3563296996037E-3</v>
      </c>
      <c r="O157">
        <v>2.9011070595734E-3</v>
      </c>
      <c r="P157">
        <v>2.7437995294260199E-2</v>
      </c>
      <c r="Q157">
        <v>2.3716550212014902E-2</v>
      </c>
      <c r="R157">
        <v>0</v>
      </c>
      <c r="S157">
        <v>0</v>
      </c>
      <c r="T157">
        <v>7.7724205018569095E-2</v>
      </c>
      <c r="U157">
        <v>6.7182386732074606E-2</v>
      </c>
      <c r="V157">
        <v>8.3908242490089002E-3</v>
      </c>
      <c r="W157">
        <v>7.2527676489335001E-3</v>
      </c>
      <c r="X157">
        <v>6.9333380769560193E-2</v>
      </c>
      <c r="Y157">
        <v>5.9929619083138798E-2</v>
      </c>
      <c r="Z157">
        <v>0</v>
      </c>
      <c r="AA157">
        <v>0</v>
      </c>
      <c r="AB157">
        <v>4161.7847155581303</v>
      </c>
      <c r="AC157">
        <v>3597.3173374942398</v>
      </c>
      <c r="AD157" s="19">
        <f t="shared" si="54"/>
        <v>3.903755894531002</v>
      </c>
      <c r="AE157" s="19">
        <f t="shared" si="74"/>
        <v>3.903755894531002</v>
      </c>
      <c r="AF157">
        <f t="shared" si="73"/>
        <v>0.28377020026292415</v>
      </c>
      <c r="AG157">
        <f t="shared" si="75"/>
        <v>0.28377020026292415</v>
      </c>
      <c r="AH157">
        <f t="shared" si="55"/>
        <v>0.28377020026292415</v>
      </c>
      <c r="AI157">
        <f t="shared" si="76"/>
        <v>0.28377020026292415</v>
      </c>
      <c r="AJ157">
        <f t="shared" si="56"/>
        <v>0.25284156808167019</v>
      </c>
      <c r="AK157">
        <f t="shared" si="77"/>
        <v>0.25284156808167019</v>
      </c>
      <c r="AL157">
        <f t="shared" si="57"/>
        <v>3.0928632181243153E-2</v>
      </c>
      <c r="AM157">
        <f t="shared" si="58"/>
        <v>3.0928632181243153E-2</v>
      </c>
      <c r="AN157">
        <f t="shared" si="59"/>
        <v>0</v>
      </c>
      <c r="AO157">
        <f t="shared" si="60"/>
        <v>0</v>
      </c>
      <c r="AP157" s="20">
        <f t="shared" si="61"/>
        <v>0.89100817438692381</v>
      </c>
      <c r="AQ157" s="21">
        <f t="shared" si="62"/>
        <v>0.10899182561307202</v>
      </c>
      <c r="AR157">
        <f t="shared" si="63"/>
        <v>0.7162297997370759</v>
      </c>
      <c r="AS157">
        <f t="shared" si="64"/>
        <v>0.7162297997370759</v>
      </c>
      <c r="AT157">
        <f t="shared" si="65"/>
        <v>7.7321580453109703E-2</v>
      </c>
      <c r="AU157">
        <f t="shared" si="66"/>
        <v>7.7321580453109703E-2</v>
      </c>
      <c r="AV157">
        <f t="shared" si="67"/>
        <v>0.63890821928402075</v>
      </c>
      <c r="AW157">
        <f t="shared" si="68"/>
        <v>0.10795638562022138</v>
      </c>
      <c r="AX157">
        <f t="shared" si="69"/>
        <v>0.8920436143798548</v>
      </c>
      <c r="AY157">
        <f t="shared" si="70"/>
        <v>1.0851853001242909E-3</v>
      </c>
      <c r="AZ157">
        <f t="shared" si="71"/>
        <v>9.3800044003657112E-4</v>
      </c>
      <c r="BA157" s="8">
        <f t="shared" si="72"/>
        <v>1.0851853001242909E-3</v>
      </c>
    </row>
    <row r="158" spans="1:53" x14ac:dyDescent="0.35">
      <c r="A158" s="7" t="s">
        <v>32</v>
      </c>
      <c r="B158" s="11" t="s">
        <v>70</v>
      </c>
      <c r="C158">
        <f t="shared" si="53"/>
        <v>32.315087106731255</v>
      </c>
      <c r="D158">
        <v>32.293957986448447</v>
      </c>
      <c r="E158">
        <v>0.59931616434672996</v>
      </c>
      <c r="F158">
        <v>31.694641822101719</v>
      </c>
      <c r="G158">
        <v>2.1129120282806099E-2</v>
      </c>
      <c r="H158">
        <v>1.757490040666426</v>
      </c>
      <c r="I158">
        <v>9.8099487027312002E-3</v>
      </c>
      <c r="J158">
        <v>1.747680091963616</v>
      </c>
      <c r="K158">
        <v>0</v>
      </c>
      <c r="L158">
        <v>1.6835925105330429</v>
      </c>
      <c r="M158">
        <v>1.381465248595533</v>
      </c>
      <c r="N158">
        <v>3.12443648486493E-2</v>
      </c>
      <c r="O158">
        <v>2.5637441354014301E-2</v>
      </c>
      <c r="P158">
        <v>1.652348145684394</v>
      </c>
      <c r="Q158">
        <v>1.3558278072415191</v>
      </c>
      <c r="R158">
        <v>1.1015320165218001E-3</v>
      </c>
      <c r="S158">
        <v>9.0385778715449999E-4</v>
      </c>
      <c r="T158">
        <v>9.1623859517120806E-2</v>
      </c>
      <c r="U158">
        <v>7.5181599510106098E-2</v>
      </c>
      <c r="V158">
        <v>5.1142557909939997E-4</v>
      </c>
      <c r="W158">
        <v>4.1964825832170003E-4</v>
      </c>
      <c r="X158">
        <v>9.1112433938022194E-2</v>
      </c>
      <c r="Y158">
        <v>7.4761951251783601E-2</v>
      </c>
      <c r="Z158">
        <v>0</v>
      </c>
      <c r="AA158">
        <v>0</v>
      </c>
      <c r="AB158">
        <v>2337.6598158571201</v>
      </c>
      <c r="AC158">
        <v>1918.15761738117</v>
      </c>
      <c r="AD158" s="19">
        <f t="shared" si="54"/>
        <v>34.051448027114873</v>
      </c>
      <c r="AE158" s="19">
        <f t="shared" si="74"/>
        <v>34.051448027114873</v>
      </c>
      <c r="AF158">
        <f t="shared" si="73"/>
        <v>0.94838721574286788</v>
      </c>
      <c r="AG158">
        <f t="shared" si="75"/>
        <v>0.94838721574286788</v>
      </c>
      <c r="AH158">
        <f t="shared" si="55"/>
        <v>0.94838721574286788</v>
      </c>
      <c r="AI158">
        <f t="shared" si="76"/>
        <v>0.94838721574286788</v>
      </c>
      <c r="AJ158">
        <f t="shared" si="56"/>
        <v>0.93078690212714454</v>
      </c>
      <c r="AK158">
        <f t="shared" si="77"/>
        <v>0.93078690212714454</v>
      </c>
      <c r="AL158">
        <f t="shared" si="57"/>
        <v>1.7600313615723468E-2</v>
      </c>
      <c r="AM158">
        <f t="shared" si="58"/>
        <v>1.7600313615723468E-2</v>
      </c>
      <c r="AN158">
        <f t="shared" si="59"/>
        <v>6.2050577896074089E-4</v>
      </c>
      <c r="AO158">
        <f t="shared" si="60"/>
        <v>6.2050577896074089E-4</v>
      </c>
      <c r="AP158" s="20">
        <f t="shared" si="61"/>
        <v>0.98144184851549565</v>
      </c>
      <c r="AQ158" s="21">
        <f t="shared" si="62"/>
        <v>1.8558151484504369E-2</v>
      </c>
      <c r="AR158">
        <f t="shared" si="63"/>
        <v>5.1612784257132088E-2</v>
      </c>
      <c r="AS158">
        <f t="shared" si="64"/>
        <v>5.1612784257132088E-2</v>
      </c>
      <c r="AT158">
        <f t="shared" si="65"/>
        <v>2.880919688031952E-4</v>
      </c>
      <c r="AU158">
        <f t="shared" si="66"/>
        <v>2.880919688031952E-4</v>
      </c>
      <c r="AV158">
        <f t="shared" si="67"/>
        <v>5.1324692288326576E-2</v>
      </c>
      <c r="AW158">
        <f t="shared" si="68"/>
        <v>5.5817947616996723E-3</v>
      </c>
      <c r="AX158">
        <f t="shared" si="69"/>
        <v>0.99441820523825541</v>
      </c>
      <c r="AY158">
        <f t="shared" si="70"/>
        <v>1.775216370050172E-2</v>
      </c>
      <c r="AZ158">
        <f t="shared" si="71"/>
        <v>1.4566468481056411E-2</v>
      </c>
      <c r="BA158" s="8">
        <f t="shared" si="72"/>
        <v>1.775216370050172E-2</v>
      </c>
    </row>
    <row r="159" spans="1:53" x14ac:dyDescent="0.35">
      <c r="A159" s="7" t="s">
        <v>33</v>
      </c>
      <c r="B159" s="11" t="s">
        <v>70</v>
      </c>
      <c r="C159">
        <f t="shared" si="53"/>
        <v>18.613778543454199</v>
      </c>
      <c r="D159">
        <v>18.41942346889493</v>
      </c>
      <c r="E159">
        <v>7.1761873683442404E-2</v>
      </c>
      <c r="F159">
        <v>18.347661595211431</v>
      </c>
      <c r="G159">
        <v>0.1943550745593256</v>
      </c>
      <c r="H159">
        <v>0.117360564253147</v>
      </c>
      <c r="I159">
        <v>0</v>
      </c>
      <c r="J159">
        <v>0.117360564253147</v>
      </c>
      <c r="K159">
        <v>1.0233542195064731</v>
      </c>
      <c r="L159">
        <v>0.40355130277511719</v>
      </c>
      <c r="M159">
        <v>0.34591426539947001</v>
      </c>
      <c r="N159">
        <v>1.5722314904937E-3</v>
      </c>
      <c r="O159">
        <v>1.3476782191809999E-3</v>
      </c>
      <c r="P159">
        <v>0.40197907128462518</v>
      </c>
      <c r="Q159">
        <v>0.34456658718028871</v>
      </c>
      <c r="R159">
        <v>4.2581269534211997E-3</v>
      </c>
      <c r="S159">
        <v>3.6499618436155999E-3</v>
      </c>
      <c r="T159">
        <v>2.5712535834125001E-3</v>
      </c>
      <c r="U159">
        <v>2.2040154209519002E-3</v>
      </c>
      <c r="V159">
        <v>0</v>
      </c>
      <c r="W159">
        <v>0</v>
      </c>
      <c r="X159">
        <v>2.5712535834125001E-3</v>
      </c>
      <c r="Y159">
        <v>2.2040154209519002E-3</v>
      </c>
      <c r="Z159">
        <v>2.24206761508902E-2</v>
      </c>
      <c r="AA159">
        <v>1.9218452938108699E-2</v>
      </c>
      <c r="AB159">
        <v>5324.8522282316499</v>
      </c>
      <c r="AC159">
        <v>4564.3325500944502</v>
      </c>
      <c r="AD159" s="19">
        <f t="shared" si="54"/>
        <v>18.536784033148077</v>
      </c>
      <c r="AE159" s="19">
        <f t="shared" si="74"/>
        <v>18.536784033148077</v>
      </c>
      <c r="AF159">
        <f t="shared" si="73"/>
        <v>0.99366877425753686</v>
      </c>
      <c r="AG159">
        <f t="shared" si="75"/>
        <v>0.99366877425753686</v>
      </c>
      <c r="AH159">
        <f t="shared" si="55"/>
        <v>0.99366877425753686</v>
      </c>
      <c r="AI159">
        <f t="shared" si="76"/>
        <v>0.99366877425753686</v>
      </c>
      <c r="AJ159">
        <f t="shared" si="56"/>
        <v>0.98979745151055054</v>
      </c>
      <c r="AK159">
        <f t="shared" si="77"/>
        <v>0.98979745151055054</v>
      </c>
      <c r="AL159">
        <f t="shared" si="57"/>
        <v>3.8713227469832686E-3</v>
      </c>
      <c r="AM159">
        <f t="shared" si="58"/>
        <v>3.8713227469832686E-3</v>
      </c>
      <c r="AN159">
        <f t="shared" si="59"/>
        <v>1.0484832439746484E-2</v>
      </c>
      <c r="AO159">
        <f t="shared" si="60"/>
        <v>1.0484832439746484E-2</v>
      </c>
      <c r="AP159" s="20">
        <f t="shared" si="61"/>
        <v>0.99610401086632117</v>
      </c>
      <c r="AQ159" s="21">
        <f t="shared" si="62"/>
        <v>3.8959891336787724E-3</v>
      </c>
      <c r="AR159">
        <f t="shared" si="63"/>
        <v>6.3312257424631502E-3</v>
      </c>
      <c r="AS159">
        <f t="shared" si="64"/>
        <v>6.3312257424631502E-3</v>
      </c>
      <c r="AT159">
        <f t="shared" si="65"/>
        <v>0</v>
      </c>
      <c r="AU159">
        <f t="shared" si="66"/>
        <v>0</v>
      </c>
      <c r="AV159">
        <f t="shared" si="67"/>
        <v>6.3312257424631502E-3</v>
      </c>
      <c r="AW159">
        <f t="shared" si="68"/>
        <v>0</v>
      </c>
      <c r="AX159">
        <f t="shared" si="69"/>
        <v>1</v>
      </c>
      <c r="AY159">
        <f t="shared" si="70"/>
        <v>4.0612255635853033E-3</v>
      </c>
      <c r="AZ159">
        <f t="shared" si="71"/>
        <v>3.4811828082042433E-3</v>
      </c>
      <c r="BA159" s="8">
        <f t="shared" si="72"/>
        <v>4.0612255635853033E-3</v>
      </c>
    </row>
    <row r="160" spans="1:53" x14ac:dyDescent="0.35">
      <c r="A160" s="7" t="s">
        <v>34</v>
      </c>
      <c r="B160" s="11" t="s">
        <v>70</v>
      </c>
      <c r="C160">
        <f t="shared" si="53"/>
        <v>29.05580927286822</v>
      </c>
      <c r="D160">
        <v>17.39332324339199</v>
      </c>
      <c r="E160">
        <v>4.1605968119116481</v>
      </c>
      <c r="F160">
        <v>13.232726431480341</v>
      </c>
      <c r="G160">
        <v>11.662486029476231</v>
      </c>
      <c r="H160">
        <v>0.1127275420472031</v>
      </c>
      <c r="I160">
        <v>0</v>
      </c>
      <c r="J160">
        <v>0.1127275420472031</v>
      </c>
      <c r="K160">
        <v>0.1987439034682694</v>
      </c>
      <c r="L160">
        <v>1.061768184786114</v>
      </c>
      <c r="M160">
        <v>0.80653856176878946</v>
      </c>
      <c r="N160">
        <v>0.2539819022962525</v>
      </c>
      <c r="O160">
        <v>0.1929293052179612</v>
      </c>
      <c r="P160">
        <v>0.8077862824898614</v>
      </c>
      <c r="Q160">
        <v>0.61360925655082843</v>
      </c>
      <c r="R160">
        <v>0.71193161009727324</v>
      </c>
      <c r="S160">
        <v>0.5407962916135618</v>
      </c>
      <c r="T160">
        <v>6.8814059291586E-3</v>
      </c>
      <c r="U160">
        <v>5.2272419917809001E-3</v>
      </c>
      <c r="V160">
        <v>0</v>
      </c>
      <c r="W160">
        <v>0</v>
      </c>
      <c r="X160">
        <v>6.8814059291586E-3</v>
      </c>
      <c r="Y160">
        <v>5.2272419917809001E-3</v>
      </c>
      <c r="Z160">
        <v>1.21322389442157E-2</v>
      </c>
      <c r="AA160">
        <v>9.2158709305030003E-3</v>
      </c>
      <c r="AB160">
        <v>2156.5395714307001</v>
      </c>
      <c r="AC160">
        <v>1638.14696019506</v>
      </c>
      <c r="AD160" s="19">
        <f t="shared" si="54"/>
        <v>17.506050785439193</v>
      </c>
      <c r="AE160" s="19">
        <f t="shared" si="74"/>
        <v>17.506050785439193</v>
      </c>
      <c r="AF160">
        <f t="shared" si="73"/>
        <v>0.99356065263211935</v>
      </c>
      <c r="AG160">
        <f t="shared" si="75"/>
        <v>0.99356065263211935</v>
      </c>
      <c r="AH160">
        <f t="shared" si="55"/>
        <v>0.99356065263211935</v>
      </c>
      <c r="AI160">
        <f t="shared" si="76"/>
        <v>0.99356065263211935</v>
      </c>
      <c r="AJ160">
        <f t="shared" si="56"/>
        <v>0.75589443865242145</v>
      </c>
      <c r="AK160">
        <f t="shared" si="77"/>
        <v>0.75589443865242145</v>
      </c>
      <c r="AL160">
        <f t="shared" si="57"/>
        <v>0.23766621397969781</v>
      </c>
      <c r="AM160">
        <f t="shared" si="58"/>
        <v>0.23766621397969781</v>
      </c>
      <c r="AN160">
        <f t="shared" si="59"/>
        <v>0.66619742924409897</v>
      </c>
      <c r="AO160">
        <f t="shared" si="60"/>
        <v>0.66619742924409897</v>
      </c>
      <c r="AP160" s="20">
        <f t="shared" si="61"/>
        <v>0.76079345196483206</v>
      </c>
      <c r="AQ160" s="21">
        <f t="shared" si="62"/>
        <v>0.23920654803516789</v>
      </c>
      <c r="AR160">
        <f t="shared" si="63"/>
        <v>6.4393473678806641E-3</v>
      </c>
      <c r="AS160">
        <f t="shared" si="64"/>
        <v>6.4393473678806641E-3</v>
      </c>
      <c r="AT160">
        <f t="shared" si="65"/>
        <v>0</v>
      </c>
      <c r="AU160">
        <f t="shared" si="66"/>
        <v>0</v>
      </c>
      <c r="AV160">
        <f t="shared" si="67"/>
        <v>6.4393473678806641E-3</v>
      </c>
      <c r="AW160">
        <f t="shared" si="68"/>
        <v>0</v>
      </c>
      <c r="AX160">
        <f t="shared" si="69"/>
        <v>1</v>
      </c>
      <c r="AY160">
        <f t="shared" si="70"/>
        <v>1.0686495907152729E-2</v>
      </c>
      <c r="AZ160">
        <f t="shared" si="71"/>
        <v>8.1176580376057083E-3</v>
      </c>
      <c r="BA160" s="8">
        <f t="shared" si="72"/>
        <v>1.0686495907152729E-2</v>
      </c>
    </row>
    <row r="161" spans="1:53" x14ac:dyDescent="0.35">
      <c r="A161" s="7" t="s">
        <v>35</v>
      </c>
      <c r="B161" s="11" t="s">
        <v>70</v>
      </c>
      <c r="C161">
        <f t="shared" si="53"/>
        <v>43.971710118504795</v>
      </c>
      <c r="D161">
        <v>44.535014678177703</v>
      </c>
      <c r="E161">
        <v>11.083715197058419</v>
      </c>
      <c r="F161">
        <v>33.451299481119278</v>
      </c>
      <c r="G161">
        <v>-0.56330455967290338</v>
      </c>
      <c r="H161">
        <v>0.4565067174930561</v>
      </c>
      <c r="I161">
        <v>1.9287868372448E-3</v>
      </c>
      <c r="J161">
        <v>0.45457793065583019</v>
      </c>
      <c r="K161">
        <v>3.01844575468663E-2</v>
      </c>
      <c r="L161">
        <v>3.363878895081938</v>
      </c>
      <c r="M161">
        <v>2.478949519604047</v>
      </c>
      <c r="N161">
        <v>0.83719015026513932</v>
      </c>
      <c r="O161">
        <v>0.61695209178047894</v>
      </c>
      <c r="P161">
        <v>2.5266887448167989</v>
      </c>
      <c r="Q161">
        <v>1.8619974278235689</v>
      </c>
      <c r="R161">
        <v>-4.2548281020677502E-2</v>
      </c>
      <c r="S161">
        <v>-3.1355183728639303E-2</v>
      </c>
      <c r="T161">
        <v>3.4481482122211901E-2</v>
      </c>
      <c r="U161">
        <v>2.5410502639399299E-2</v>
      </c>
      <c r="V161">
        <v>1.456877331646E-4</v>
      </c>
      <c r="W161">
        <v>1.07361931688E-4</v>
      </c>
      <c r="X161">
        <v>3.4335794389047401E-2</v>
      </c>
      <c r="Y161">
        <v>2.5303140707711301E-2</v>
      </c>
      <c r="Z161">
        <v>2.2799332263643999E-3</v>
      </c>
      <c r="AA161">
        <v>1.6801554254787E-3</v>
      </c>
      <c r="AB161">
        <v>1796.5276955414199</v>
      </c>
      <c r="AC161">
        <v>1323.9184901480501</v>
      </c>
      <c r="AD161" s="19">
        <f t="shared" si="54"/>
        <v>44.991521395670759</v>
      </c>
      <c r="AE161" s="19">
        <f t="shared" si="74"/>
        <v>44.991521395670759</v>
      </c>
      <c r="AF161">
        <f t="shared" si="73"/>
        <v>0.98985349454004057</v>
      </c>
      <c r="AG161">
        <f t="shared" si="75"/>
        <v>0.98985349454004057</v>
      </c>
      <c r="AH161">
        <f t="shared" si="55"/>
        <v>0.98985349454004057</v>
      </c>
      <c r="AI161">
        <f t="shared" si="76"/>
        <v>0.98985349454004057</v>
      </c>
      <c r="AJ161">
        <f t="shared" si="56"/>
        <v>0.74350229650909472</v>
      </c>
      <c r="AK161">
        <f t="shared" si="77"/>
        <v>0.74350229650909472</v>
      </c>
      <c r="AL161">
        <f t="shared" si="57"/>
        <v>0.24635119803094574</v>
      </c>
      <c r="AM161">
        <f t="shared" si="58"/>
        <v>0.24635119803094574</v>
      </c>
      <c r="AN161">
        <f t="shared" si="59"/>
        <v>-1.2520238084838502E-2</v>
      </c>
      <c r="AO161">
        <f t="shared" si="60"/>
        <v>-1.2520238084838502E-2</v>
      </c>
      <c r="AP161" s="20">
        <f t="shared" si="61"/>
        <v>0.7511235759738174</v>
      </c>
      <c r="AQ161" s="21">
        <f t="shared" si="62"/>
        <v>0.24887642402618257</v>
      </c>
      <c r="AR161">
        <f t="shared" si="63"/>
        <v>1.0146505459959458E-2</v>
      </c>
      <c r="AS161">
        <f t="shared" si="64"/>
        <v>1.0146505459959458E-2</v>
      </c>
      <c r="AT161">
        <f t="shared" si="65"/>
        <v>4.2870007001594631E-5</v>
      </c>
      <c r="AU161">
        <f t="shared" si="66"/>
        <v>4.2870007001594631E-5</v>
      </c>
      <c r="AV161">
        <f t="shared" si="67"/>
        <v>1.0103635452958282E-2</v>
      </c>
      <c r="AW161">
        <f t="shared" si="68"/>
        <v>4.2251006684784192E-3</v>
      </c>
      <c r="AX161">
        <f t="shared" si="69"/>
        <v>0.99577489933156293</v>
      </c>
      <c r="AY161">
        <f t="shared" si="70"/>
        <v>3.3983603772041501E-2</v>
      </c>
      <c r="AZ161">
        <f t="shared" si="71"/>
        <v>2.5043600222434452E-2</v>
      </c>
      <c r="BA161" s="8">
        <f t="shared" si="72"/>
        <v>3.3983603772041501E-2</v>
      </c>
    </row>
    <row r="162" spans="1:53" x14ac:dyDescent="0.35">
      <c r="A162" s="7" t="s">
        <v>36</v>
      </c>
      <c r="B162" s="11" t="s">
        <v>70</v>
      </c>
      <c r="C162">
        <f t="shared" si="53"/>
        <v>4.6599063126115929</v>
      </c>
      <c r="D162">
        <v>-0.48813945339185238</v>
      </c>
      <c r="E162">
        <v>59.277619120647593</v>
      </c>
      <c r="F162">
        <v>-59.76575857403941</v>
      </c>
      <c r="G162">
        <v>5.1480457660034098</v>
      </c>
      <c r="H162">
        <v>0.78789688487375997</v>
      </c>
      <c r="I162">
        <v>2.3105480494830999E-3</v>
      </c>
      <c r="J162">
        <v>0.78558633682428081</v>
      </c>
      <c r="K162">
        <v>0</v>
      </c>
      <c r="L162">
        <v>-1.5460229405817901E-2</v>
      </c>
      <c r="M162">
        <v>-1.6592161406265401E-2</v>
      </c>
      <c r="N162">
        <v>1.8774257722216121</v>
      </c>
      <c r="O162">
        <v>2.014882872905865</v>
      </c>
      <c r="P162">
        <v>-1.89288600162743</v>
      </c>
      <c r="Q162">
        <v>-2.0314750343121291</v>
      </c>
      <c r="R162">
        <v>0.16304760449301869</v>
      </c>
      <c r="S162">
        <v>0.17498525407615101</v>
      </c>
      <c r="T162">
        <v>2.49540710213818E-2</v>
      </c>
      <c r="U162">
        <v>2.6781101577593999E-2</v>
      </c>
      <c r="V162">
        <v>7.3179093904349179E-5</v>
      </c>
      <c r="W162">
        <v>7.8536954773000822E-5</v>
      </c>
      <c r="X162">
        <v>2.4880891927477201E-2</v>
      </c>
      <c r="Y162">
        <v>2.6702564622819801E-2</v>
      </c>
      <c r="Z162">
        <v>0</v>
      </c>
      <c r="AA162">
        <v>0</v>
      </c>
      <c r="AB162">
        <v>2941.9883367789698</v>
      </c>
      <c r="AC162">
        <v>3157.38816403392</v>
      </c>
      <c r="AD162" s="19">
        <f t="shared" si="54"/>
        <v>0.29975743148190759</v>
      </c>
      <c r="AE162" s="19">
        <f t="shared" si="74"/>
        <v>0.29975743148190759</v>
      </c>
      <c r="AF162">
        <f t="shared" si="73"/>
        <v>-1.628448212204924</v>
      </c>
      <c r="AG162">
        <f t="shared" si="75"/>
        <v>-1.628448212204924</v>
      </c>
      <c r="AH162">
        <f t="shared" si="55"/>
        <v>-1.628448212204924</v>
      </c>
      <c r="AI162">
        <f t="shared" si="76"/>
        <v>-1.628448212204924</v>
      </c>
      <c r="AJ162">
        <f t="shared" si="56"/>
        <v>-199.38040661269372</v>
      </c>
      <c r="AK162">
        <f t="shared" si="77"/>
        <v>-199.38040661269372</v>
      </c>
      <c r="AL162">
        <f t="shared" si="57"/>
        <v>197.75195840048892</v>
      </c>
      <c r="AM162">
        <f t="shared" si="58"/>
        <v>197.75195840048892</v>
      </c>
      <c r="AN162">
        <f t="shared" si="59"/>
        <v>17.174038823835229</v>
      </c>
      <c r="AO162">
        <f t="shared" si="60"/>
        <v>17.174038823835229</v>
      </c>
      <c r="AP162" s="20">
        <f t="shared" si="61"/>
        <v>122.43582885742896</v>
      </c>
      <c r="AQ162" s="21">
        <f t="shared" si="62"/>
        <v>-121.43582885742012</v>
      </c>
      <c r="AR162">
        <f t="shared" si="63"/>
        <v>2.628448212204924</v>
      </c>
      <c r="AS162">
        <f t="shared" si="64"/>
        <v>2.628448212204924</v>
      </c>
      <c r="AT162">
        <f t="shared" si="65"/>
        <v>7.708059273327998E-3</v>
      </c>
      <c r="AU162">
        <f t="shared" si="66"/>
        <v>7.708059273327998E-3</v>
      </c>
      <c r="AV162">
        <f t="shared" si="67"/>
        <v>2.6207401529316092</v>
      </c>
      <c r="AW162">
        <f t="shared" si="68"/>
        <v>2.9325513196480084E-3</v>
      </c>
      <c r="AX162">
        <f t="shared" si="69"/>
        <v>0.99706744868035702</v>
      </c>
      <c r="AY162">
        <f t="shared" si="70"/>
        <v>9.4938416155628327E-5</v>
      </c>
      <c r="AZ162">
        <f t="shared" si="71"/>
        <v>1.0188940171329722E-4</v>
      </c>
      <c r="BA162" s="8">
        <f t="shared" si="72"/>
        <v>9.4938416155628327E-5</v>
      </c>
    </row>
    <row r="163" spans="1:53" x14ac:dyDescent="0.35">
      <c r="A163" s="7" t="s">
        <v>37</v>
      </c>
      <c r="B163" s="11" t="s">
        <v>70</v>
      </c>
      <c r="C163">
        <f t="shared" si="53"/>
        <v>1824.7079999999999</v>
      </c>
      <c r="D163">
        <v>1824.7279999999989</v>
      </c>
      <c r="E163">
        <v>206.6</v>
      </c>
      <c r="F163">
        <v>1618.1279999999999</v>
      </c>
      <c r="G163">
        <v>-1.9999999999999501E-2</v>
      </c>
      <c r="H163">
        <v>0</v>
      </c>
      <c r="I163">
        <v>0</v>
      </c>
      <c r="J163">
        <v>0</v>
      </c>
      <c r="K163">
        <v>0</v>
      </c>
      <c r="L163">
        <v>9.1561557077690807</v>
      </c>
      <c r="M163">
        <v>9.1354183464125889</v>
      </c>
      <c r="N163">
        <v>1.036681504983259</v>
      </c>
      <c r="O163">
        <v>1.0343335721098379</v>
      </c>
      <c r="P163">
        <v>8.1194742027858222</v>
      </c>
      <c r="Q163">
        <v>8.1010847743027501</v>
      </c>
      <c r="R163">
        <v>-1.003563896402E-4</v>
      </c>
      <c r="S163">
        <v>-1.001290970096E-4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19974.2138871676</v>
      </c>
      <c r="AC163">
        <v>19928.975197</v>
      </c>
      <c r="AD163" s="19">
        <f t="shared" si="54"/>
        <v>1824.7279999999989</v>
      </c>
      <c r="AE163" s="19">
        <f t="shared" si="74"/>
        <v>1824.7279999999989</v>
      </c>
      <c r="AF163">
        <f t="shared" si="73"/>
        <v>1</v>
      </c>
      <c r="AG163">
        <f t="shared" si="75"/>
        <v>1</v>
      </c>
      <c r="AH163">
        <f t="shared" si="55"/>
        <v>1</v>
      </c>
      <c r="AI163">
        <f t="shared" si="76"/>
        <v>1</v>
      </c>
      <c r="AJ163">
        <f t="shared" si="56"/>
        <v>0.88677764576419105</v>
      </c>
      <c r="AK163">
        <f t="shared" si="77"/>
        <v>0.88677764576419105</v>
      </c>
      <c r="AL163">
        <f t="shared" si="57"/>
        <v>0.11322235423580945</v>
      </c>
      <c r="AM163">
        <f t="shared" si="58"/>
        <v>0.11322235423580945</v>
      </c>
      <c r="AN163">
        <f t="shared" si="59"/>
        <v>-1.096053768013617E-5</v>
      </c>
      <c r="AO163">
        <f t="shared" si="60"/>
        <v>-1.096053768013617E-5</v>
      </c>
      <c r="AP163" s="20">
        <f t="shared" si="61"/>
        <v>0.8867776457641906</v>
      </c>
      <c r="AQ163" s="21">
        <f t="shared" si="62"/>
        <v>0.11322235423580945</v>
      </c>
      <c r="AR163">
        <f t="shared" si="63"/>
        <v>0</v>
      </c>
      <c r="AS163">
        <f t="shared" si="64"/>
        <v>0</v>
      </c>
      <c r="AT163">
        <f t="shared" si="65"/>
        <v>0</v>
      </c>
      <c r="AU163">
        <f t="shared" si="66"/>
        <v>0</v>
      </c>
      <c r="AV163">
        <f t="shared" si="67"/>
        <v>0</v>
      </c>
      <c r="AW163" t="e">
        <f t="shared" si="68"/>
        <v>#DIV/0!</v>
      </c>
      <c r="AX163" t="e">
        <f t="shared" si="69"/>
        <v>#DIV/0!</v>
      </c>
      <c r="AY163">
        <f t="shared" si="70"/>
        <v>9.1561557077690758E-2</v>
      </c>
      <c r="AZ163">
        <f t="shared" si="71"/>
        <v>9.135418346412584E-2</v>
      </c>
      <c r="BA163" s="8">
        <f t="shared" si="72"/>
        <v>9.1561557077690758E-2</v>
      </c>
    </row>
    <row r="164" spans="1:53" x14ac:dyDescent="0.35">
      <c r="A164" s="7" t="s">
        <v>38</v>
      </c>
      <c r="B164" s="11" t="s">
        <v>70</v>
      </c>
      <c r="C164">
        <f t="shared" si="53"/>
        <v>-0.23611110498627713</v>
      </c>
      <c r="D164">
        <v>-0.2000281227447073</v>
      </c>
      <c r="E164">
        <v>2.4564657236113301</v>
      </c>
      <c r="F164">
        <v>-2.656493846356037</v>
      </c>
      <c r="G164">
        <v>-3.6082982241570201E-2</v>
      </c>
      <c r="H164">
        <v>-1.924531518112417</v>
      </c>
      <c r="I164">
        <v>-0.95092364114216943</v>
      </c>
      <c r="J164">
        <v>-0.9736078769702472</v>
      </c>
      <c r="K164">
        <v>1.196059834340673</v>
      </c>
      <c r="L164">
        <v>-1.5637565202903901E-2</v>
      </c>
      <c r="M164">
        <v>-8.3986584095685993E-3</v>
      </c>
      <c r="N164">
        <v>0.19203871133009029</v>
      </c>
      <c r="O164">
        <v>0.1031405795561872</v>
      </c>
      <c r="P164">
        <v>-0.20767627653299431</v>
      </c>
      <c r="Q164">
        <v>-0.11153923796575579</v>
      </c>
      <c r="R164">
        <v>-2.8208532869045998E-3</v>
      </c>
      <c r="S164">
        <v>-1.5150301771928E-3</v>
      </c>
      <c r="T164">
        <v>-0.15045377963145881</v>
      </c>
      <c r="U164">
        <v>-8.0806051655565606E-2</v>
      </c>
      <c r="V164">
        <v>-7.4340198954534004E-2</v>
      </c>
      <c r="W164">
        <v>-3.9926799921675402E-2</v>
      </c>
      <c r="X164">
        <v>-7.6113580676924794E-2</v>
      </c>
      <c r="Y164">
        <v>-4.0879251733890197E-2</v>
      </c>
      <c r="Z164">
        <v>9.3504170260837002E-2</v>
      </c>
      <c r="AA164">
        <v>5.0219428389342902E-2</v>
      </c>
      <c r="AB164">
        <v>2381.6675591522499</v>
      </c>
      <c r="AC164">
        <v>1279.1513266244399</v>
      </c>
      <c r="AD164" s="19">
        <f t="shared" si="54"/>
        <v>-2.1245596408571243</v>
      </c>
      <c r="AE164" s="19">
        <f>(D164*-1)+(H164*-1)</f>
        <v>2.1245596408571243</v>
      </c>
      <c r="AF164">
        <f>($D164/$AE164)*-1</f>
        <v>9.4150391873211295E-2</v>
      </c>
      <c r="AG164">
        <f t="shared" si="75"/>
        <v>-9.4150391873211295E-2</v>
      </c>
      <c r="AH164">
        <f t="shared" si="55"/>
        <v>9.4150391873211295E-2</v>
      </c>
      <c r="AI164">
        <f t="shared" si="76"/>
        <v>9.4150391873211295E-2</v>
      </c>
      <c r="AJ164">
        <f t="shared" si="56"/>
        <v>-1.250373863491218</v>
      </c>
      <c r="AK164">
        <f t="shared" si="77"/>
        <v>1.250373863491218</v>
      </c>
      <c r="AL164">
        <f t="shared" si="57"/>
        <v>1.1562234716180069</v>
      </c>
      <c r="AM164">
        <f t="shared" si="58"/>
        <v>-1.1562234716180069</v>
      </c>
      <c r="AN164">
        <f t="shared" si="59"/>
        <v>-1.698374644216296E-2</v>
      </c>
      <c r="AO164">
        <f t="shared" si="60"/>
        <v>1.698374644216296E-2</v>
      </c>
      <c r="AP164" s="20">
        <f t="shared" si="61"/>
        <v>13.280601796910741</v>
      </c>
      <c r="AQ164" s="21">
        <f t="shared" si="62"/>
        <v>-12.280601796910718</v>
      </c>
      <c r="AR164">
        <f t="shared" si="63"/>
        <v>-0.90584960812678872</v>
      </c>
      <c r="AS164">
        <f t="shared" si="64"/>
        <v>0.90584960812678872</v>
      </c>
      <c r="AT164">
        <f t="shared" si="65"/>
        <v>-0.4475862305087055</v>
      </c>
      <c r="AU164">
        <f t="shared" si="66"/>
        <v>0.4475862305087055</v>
      </c>
      <c r="AV164">
        <f t="shared" si="67"/>
        <v>0.458263377618083</v>
      </c>
      <c r="AW164">
        <f t="shared" si="68"/>
        <v>0.49410655642305956</v>
      </c>
      <c r="AX164">
        <f t="shared" si="69"/>
        <v>0.50589344357694022</v>
      </c>
      <c r="AY164">
        <f t="shared" si="70"/>
        <v>-1.6609134483436276E-3</v>
      </c>
      <c r="AZ164">
        <f t="shared" si="71"/>
        <v>-8.9204710065134249E-4</v>
      </c>
      <c r="BA164" s="8">
        <f t="shared" si="72"/>
        <v>1.6609134483436276E-3</v>
      </c>
    </row>
    <row r="165" spans="1:53" x14ac:dyDescent="0.35">
      <c r="A165" s="7" t="s">
        <v>39</v>
      </c>
      <c r="B165" s="11" t="s">
        <v>70</v>
      </c>
      <c r="C165">
        <f t="shared" si="53"/>
        <v>6.0872373355272105</v>
      </c>
      <c r="D165">
        <v>5.9126558224667001</v>
      </c>
      <c r="E165">
        <v>0.38031964593465961</v>
      </c>
      <c r="F165">
        <v>5.5323361765320396</v>
      </c>
      <c r="G165">
        <v>0.1745815130605112</v>
      </c>
      <c r="H165">
        <v>2.4997121076552422</v>
      </c>
      <c r="I165">
        <v>1.39596790432272E-2</v>
      </c>
      <c r="J165">
        <v>2.4857524286120172</v>
      </c>
      <c r="K165">
        <v>0.92377554356033542</v>
      </c>
      <c r="L165">
        <v>0.59301286414972698</v>
      </c>
      <c r="M165">
        <v>0.25335066681943258</v>
      </c>
      <c r="N165">
        <v>3.8144354973469699E-2</v>
      </c>
      <c r="O165">
        <v>1.62962700341787E-2</v>
      </c>
      <c r="P165">
        <v>0.5548685091762573</v>
      </c>
      <c r="Q165">
        <v>0.23705439678525389</v>
      </c>
      <c r="R165">
        <v>1.75097428627961E-2</v>
      </c>
      <c r="S165">
        <v>7.4806219195374998E-3</v>
      </c>
      <c r="T165">
        <v>0.250709914633922</v>
      </c>
      <c r="U165">
        <v>0.10710985863994631</v>
      </c>
      <c r="V165">
        <v>1.4000932069443001E-3</v>
      </c>
      <c r="W165">
        <v>5.981565814719E-4</v>
      </c>
      <c r="X165">
        <v>0.24930982142697819</v>
      </c>
      <c r="Y165">
        <v>0.1065117020584747</v>
      </c>
      <c r="Z165">
        <v>9.2650544419756897E-2</v>
      </c>
      <c r="AA165">
        <v>3.9582745382066901E-2</v>
      </c>
      <c r="AB165">
        <v>2333.7834064911899</v>
      </c>
      <c r="AC165">
        <v>997.05355143423003</v>
      </c>
      <c r="AD165" s="19">
        <f t="shared" si="54"/>
        <v>8.4123679301219418</v>
      </c>
      <c r="AE165" s="19">
        <f t="shared" si="74"/>
        <v>8.4123679301219418</v>
      </c>
      <c r="AF165">
        <f t="shared" si="73"/>
        <v>0.70285273677764504</v>
      </c>
      <c r="AG165">
        <f t="shared" si="75"/>
        <v>0.70285273677764504</v>
      </c>
      <c r="AH165">
        <f t="shared" si="55"/>
        <v>0.70285273677764504</v>
      </c>
      <c r="AI165">
        <f t="shared" si="76"/>
        <v>0.70285273677764504</v>
      </c>
      <c r="AJ165">
        <f t="shared" si="56"/>
        <v>0.65764315380483429</v>
      </c>
      <c r="AK165">
        <f t="shared" si="77"/>
        <v>0.65764315380483429</v>
      </c>
      <c r="AL165">
        <f t="shared" si="57"/>
        <v>4.5209582972810684E-2</v>
      </c>
      <c r="AM165">
        <f t="shared" si="58"/>
        <v>4.5209582972810684E-2</v>
      </c>
      <c r="AN165">
        <f t="shared" si="59"/>
        <v>2.0752957373083008E-2</v>
      </c>
      <c r="AO165">
        <f t="shared" si="60"/>
        <v>2.0752957373083008E-2</v>
      </c>
      <c r="AP165" s="20">
        <f t="shared" si="61"/>
        <v>0.93567701937096781</v>
      </c>
      <c r="AQ165" s="21">
        <f t="shared" si="62"/>
        <v>6.4322980629032134E-2</v>
      </c>
      <c r="AR165">
        <f t="shared" si="63"/>
        <v>0.29714726322235496</v>
      </c>
      <c r="AS165">
        <f t="shared" si="64"/>
        <v>0.29714726322235496</v>
      </c>
      <c r="AT165">
        <f t="shared" si="65"/>
        <v>1.6594232633646644E-3</v>
      </c>
      <c r="AU165">
        <f t="shared" si="66"/>
        <v>1.6594232633646644E-3</v>
      </c>
      <c r="AV165">
        <f t="shared" si="67"/>
        <v>0.29548783995899058</v>
      </c>
      <c r="AW165">
        <f t="shared" si="68"/>
        <v>5.5845147129048936E-3</v>
      </c>
      <c r="AX165">
        <f t="shared" si="69"/>
        <v>0.994415485287096</v>
      </c>
      <c r="AY165">
        <f t="shared" si="70"/>
        <v>8.4372277878364873E-3</v>
      </c>
      <c r="AZ165">
        <f t="shared" si="71"/>
        <v>3.6046052545937917E-3</v>
      </c>
      <c r="BA165" s="8">
        <f t="shared" si="72"/>
        <v>8.4372277878364873E-3</v>
      </c>
    </row>
    <row r="166" spans="1:53" x14ac:dyDescent="0.35">
      <c r="A166" s="9" t="s">
        <v>40</v>
      </c>
      <c r="B166" s="11" t="s">
        <v>70</v>
      </c>
      <c r="C166">
        <f t="shared" si="53"/>
        <v>13.791972576402923</v>
      </c>
      <c r="D166">
        <v>13.79197257640293</v>
      </c>
      <c r="E166">
        <v>0.80433050390652472</v>
      </c>
      <c r="F166">
        <v>12.987642072496399</v>
      </c>
      <c r="G166">
        <v>0</v>
      </c>
      <c r="H166">
        <v>2.7166011792179E-2</v>
      </c>
      <c r="I166">
        <v>0</v>
      </c>
      <c r="J166">
        <v>2.7166011792179E-2</v>
      </c>
      <c r="K166">
        <v>0</v>
      </c>
      <c r="L166">
        <v>3.3318004342018028</v>
      </c>
      <c r="M166">
        <v>2.9432345816350129</v>
      </c>
      <c r="N166">
        <v>0.1943064131915819</v>
      </c>
      <c r="O166">
        <v>0.17164574110391839</v>
      </c>
      <c r="P166">
        <v>3.1374940210102209</v>
      </c>
      <c r="Q166">
        <v>2.7715888405310931</v>
      </c>
      <c r="R166">
        <v>0</v>
      </c>
      <c r="S166">
        <v>0</v>
      </c>
      <c r="T166">
        <v>6.5626384756285001E-3</v>
      </c>
      <c r="U166">
        <v>5.7972813467337004E-3</v>
      </c>
      <c r="V166">
        <v>0</v>
      </c>
      <c r="W166">
        <v>0</v>
      </c>
      <c r="X166">
        <v>6.5626384756285001E-3</v>
      </c>
      <c r="Y166">
        <v>5.7972813467337004E-3</v>
      </c>
      <c r="Z166">
        <v>0</v>
      </c>
      <c r="AA166">
        <v>0</v>
      </c>
      <c r="AB166">
        <v>468.59916169988998</v>
      </c>
      <c r="AC166">
        <v>413.94954015926999</v>
      </c>
      <c r="AD166" s="19">
        <f t="shared" si="54"/>
        <v>13.819138588195109</v>
      </c>
      <c r="AE166" s="19">
        <f t="shared" si="74"/>
        <v>13.819138588195109</v>
      </c>
      <c r="AF166">
        <f t="shared" si="73"/>
        <v>0.99803417473391687</v>
      </c>
      <c r="AG166">
        <f t="shared" si="75"/>
        <v>0.99803417473391687</v>
      </c>
      <c r="AH166">
        <f t="shared" si="55"/>
        <v>0.99803417473391687</v>
      </c>
      <c r="AI166">
        <f t="shared" si="76"/>
        <v>0.99803417473391687</v>
      </c>
      <c r="AJ166">
        <f t="shared" si="56"/>
        <v>0.93983007620974224</v>
      </c>
      <c r="AK166">
        <f t="shared" si="77"/>
        <v>0.93983007620974224</v>
      </c>
      <c r="AL166">
        <f t="shared" si="57"/>
        <v>5.820409852417413E-2</v>
      </c>
      <c r="AM166">
        <f t="shared" si="58"/>
        <v>5.820409852417413E-2</v>
      </c>
      <c r="AN166">
        <f t="shared" si="59"/>
        <v>0</v>
      </c>
      <c r="AO166">
        <f t="shared" si="60"/>
        <v>0</v>
      </c>
      <c r="AP166" s="20">
        <f t="shared" si="61"/>
        <v>0.94168125701738448</v>
      </c>
      <c r="AQ166" s="21">
        <f t="shared" si="62"/>
        <v>5.8318742982615565E-2</v>
      </c>
      <c r="AR166">
        <f t="shared" si="63"/>
        <v>1.9658252660831807E-3</v>
      </c>
      <c r="AS166">
        <f t="shared" si="64"/>
        <v>1.9658252660831807E-3</v>
      </c>
      <c r="AT166">
        <f t="shared" si="65"/>
        <v>0</v>
      </c>
      <c r="AU166">
        <f t="shared" si="66"/>
        <v>0</v>
      </c>
      <c r="AV166">
        <f t="shared" si="67"/>
        <v>1.9658252660831807E-3</v>
      </c>
      <c r="AW166">
        <f t="shared" si="68"/>
        <v>0</v>
      </c>
      <c r="AX166">
        <f t="shared" si="69"/>
        <v>1</v>
      </c>
      <c r="AY166">
        <f t="shared" si="70"/>
        <v>3.3383630726774326E-2</v>
      </c>
      <c r="AZ166">
        <f t="shared" si="71"/>
        <v>2.949031862981746E-2</v>
      </c>
      <c r="BA166" s="8">
        <f t="shared" si="72"/>
        <v>3.3383630726774326E-2</v>
      </c>
    </row>
    <row r="167" spans="1:53" x14ac:dyDescent="0.35">
      <c r="A167" s="7" t="s">
        <v>41</v>
      </c>
      <c r="B167" s="11" t="s">
        <v>70</v>
      </c>
      <c r="C167">
        <f t="shared" si="53"/>
        <v>4.4754177256868832</v>
      </c>
      <c r="D167">
        <v>4.6620195461430924</v>
      </c>
      <c r="E167">
        <v>0.36683396841928578</v>
      </c>
      <c r="F167">
        <v>4.2951855777238066</v>
      </c>
      <c r="G167">
        <v>-0.18660182045620921</v>
      </c>
      <c r="H167">
        <v>0.27410581093383252</v>
      </c>
      <c r="I167">
        <v>0.1171466316901279</v>
      </c>
      <c r="J167">
        <v>0.15695917924369951</v>
      </c>
      <c r="K167">
        <v>0</v>
      </c>
      <c r="L167">
        <v>0.94152252090010602</v>
      </c>
      <c r="M167">
        <v>0.83951649909033765</v>
      </c>
      <c r="N167">
        <v>7.4084297433641699E-2</v>
      </c>
      <c r="O167">
        <v>6.6057888832652595E-2</v>
      </c>
      <c r="P167">
        <v>0.86743822346646393</v>
      </c>
      <c r="Q167">
        <v>0.77345861025768503</v>
      </c>
      <c r="R167">
        <v>-3.7685345301872598E-2</v>
      </c>
      <c r="S167">
        <v>-3.36024560778347E-2</v>
      </c>
      <c r="T167">
        <v>5.5357295598920303E-2</v>
      </c>
      <c r="U167">
        <v>4.9359799652892201E-2</v>
      </c>
      <c r="V167">
        <v>2.3658457647414598E-2</v>
      </c>
      <c r="W167">
        <v>2.1095263360292799E-2</v>
      </c>
      <c r="X167">
        <v>3.1698837951504098E-2</v>
      </c>
      <c r="Y167">
        <v>2.8264536292599701E-2</v>
      </c>
      <c r="Z167">
        <v>0</v>
      </c>
      <c r="AA167">
        <v>0</v>
      </c>
      <c r="AB167">
        <v>555.32196820367994</v>
      </c>
      <c r="AC167">
        <v>495.15751802582002</v>
      </c>
      <c r="AD167" s="19">
        <f t="shared" si="54"/>
        <v>4.936125357076925</v>
      </c>
      <c r="AE167" s="19">
        <f t="shared" si="74"/>
        <v>4.936125357076925</v>
      </c>
      <c r="AF167">
        <f t="shared" si="73"/>
        <v>0.94446943886041168</v>
      </c>
      <c r="AG167">
        <f t="shared" si="75"/>
        <v>0.94446943886041168</v>
      </c>
      <c r="AH167">
        <f t="shared" si="55"/>
        <v>0.94446943886041168</v>
      </c>
      <c r="AI167">
        <f t="shared" si="76"/>
        <v>0.94446943886041168</v>
      </c>
      <c r="AJ167">
        <f t="shared" si="56"/>
        <v>0.87015326131573978</v>
      </c>
      <c r="AK167">
        <f t="shared" si="77"/>
        <v>0.87015326131573978</v>
      </c>
      <c r="AL167">
        <f t="shared" si="57"/>
        <v>7.4316177544671916E-2</v>
      </c>
      <c r="AM167">
        <f t="shared" si="58"/>
        <v>7.4316177544671916E-2</v>
      </c>
      <c r="AN167">
        <f t="shared" si="59"/>
        <v>-3.7803298530228388E-2</v>
      </c>
      <c r="AO167">
        <f t="shared" si="60"/>
        <v>-3.7803298530228388E-2</v>
      </c>
      <c r="AP167" s="20">
        <f t="shared" si="61"/>
        <v>0.92131436498957431</v>
      </c>
      <c r="AQ167" s="21">
        <f t="shared" si="62"/>
        <v>7.8685635010425692E-2</v>
      </c>
      <c r="AR167">
        <f t="shared" si="63"/>
        <v>5.553056113958834E-2</v>
      </c>
      <c r="AS167">
        <f t="shared" si="64"/>
        <v>5.553056113958834E-2</v>
      </c>
      <c r="AT167">
        <f t="shared" si="65"/>
        <v>2.3732507425520449E-2</v>
      </c>
      <c r="AU167">
        <f t="shared" si="66"/>
        <v>2.3732507425520449E-2</v>
      </c>
      <c r="AV167">
        <f t="shared" si="67"/>
        <v>3.1798053714066861E-2</v>
      </c>
      <c r="AW167">
        <f t="shared" si="68"/>
        <v>0.42737741053729938</v>
      </c>
      <c r="AX167">
        <f t="shared" si="69"/>
        <v>0.57262258946268196</v>
      </c>
      <c r="AY167">
        <f t="shared" si="70"/>
        <v>9.9687981649902568E-3</v>
      </c>
      <c r="AZ167">
        <f t="shared" si="71"/>
        <v>8.8887629874322971E-3</v>
      </c>
      <c r="BA167" s="8">
        <f t="shared" si="72"/>
        <v>9.9687981649902568E-3</v>
      </c>
    </row>
    <row r="168" spans="1:53" x14ac:dyDescent="0.35">
      <c r="A168" s="9" t="s">
        <v>42</v>
      </c>
      <c r="B168" s="11" t="s">
        <v>70</v>
      </c>
      <c r="C168">
        <f t="shared" si="53"/>
        <v>5.4274449959136002E-2</v>
      </c>
      <c r="D168">
        <v>4.84917598108634E-2</v>
      </c>
      <c r="E168">
        <v>1.0609563743112701E-2</v>
      </c>
      <c r="F168">
        <v>3.7882196067750201E-2</v>
      </c>
      <c r="G168">
        <v>5.7826901482730996E-3</v>
      </c>
      <c r="H168">
        <v>0.13779688645334431</v>
      </c>
      <c r="I168">
        <v>1.5930275890549999E-4</v>
      </c>
      <c r="J168">
        <v>0.1376375836944348</v>
      </c>
      <c r="K168">
        <v>0</v>
      </c>
      <c r="L168">
        <v>2.2487331501438598E-2</v>
      </c>
      <c r="M168">
        <v>1.19028596930119E-2</v>
      </c>
      <c r="N168">
        <v>4.9200271944671E-3</v>
      </c>
      <c r="O168">
        <v>2.6042393415065999E-3</v>
      </c>
      <c r="P168">
        <v>1.7567304306971201E-2</v>
      </c>
      <c r="Q168">
        <v>9.2986203515055006E-3</v>
      </c>
      <c r="R168">
        <v>2.6816364438313001E-3</v>
      </c>
      <c r="S168">
        <v>1.4194277491995E-3</v>
      </c>
      <c r="T168">
        <v>6.3901254102311997E-2</v>
      </c>
      <c r="U168">
        <v>3.3823829285333597E-2</v>
      </c>
      <c r="V168">
        <v>7.3874282199206526E-5</v>
      </c>
      <c r="W168">
        <v>3.9102692815415341E-5</v>
      </c>
      <c r="X168">
        <v>6.3827379820114702E-2</v>
      </c>
      <c r="Y168">
        <v>3.3784726592518403E-2</v>
      </c>
      <c r="Z168">
        <v>0</v>
      </c>
      <c r="AA168">
        <v>0</v>
      </c>
      <c r="AB168">
        <v>407.39587848230002</v>
      </c>
      <c r="AC168">
        <v>215.64034757863999</v>
      </c>
      <c r="AD168" s="19">
        <f t="shared" si="54"/>
        <v>0.18628864626420771</v>
      </c>
      <c r="AE168" s="19">
        <f t="shared" si="74"/>
        <v>0.18628864626420771</v>
      </c>
      <c r="AF168">
        <f t="shared" si="73"/>
        <v>0.26030442962202305</v>
      </c>
      <c r="AG168">
        <f t="shared" si="75"/>
        <v>0.26030442962202305</v>
      </c>
      <c r="AH168">
        <f t="shared" si="55"/>
        <v>0.26030442962202305</v>
      </c>
      <c r="AI168">
        <f t="shared" si="76"/>
        <v>0.26030442962202305</v>
      </c>
      <c r="AJ168">
        <f t="shared" si="56"/>
        <v>0.20335214639985624</v>
      </c>
      <c r="AK168">
        <f t="shared" si="77"/>
        <v>0.20335214639985624</v>
      </c>
      <c r="AL168">
        <f t="shared" si="57"/>
        <v>5.6952283222164106E-2</v>
      </c>
      <c r="AM168">
        <f t="shared" si="58"/>
        <v>5.6952283222164106E-2</v>
      </c>
      <c r="AN168">
        <f t="shared" si="59"/>
        <v>3.1041559774242389E-2</v>
      </c>
      <c r="AO168">
        <f t="shared" si="60"/>
        <v>3.1041559774242389E-2</v>
      </c>
      <c r="AP168" s="20">
        <f t="shared" si="61"/>
        <v>0.78120893561103566</v>
      </c>
      <c r="AQ168" s="21">
        <f t="shared" si="62"/>
        <v>0.21879106438896215</v>
      </c>
      <c r="AR168">
        <f t="shared" si="63"/>
        <v>0.73969557037797695</v>
      </c>
      <c r="AS168">
        <f t="shared" si="64"/>
        <v>0.73969557037797695</v>
      </c>
      <c r="AT168">
        <f t="shared" si="65"/>
        <v>8.5513938771966582E-4</v>
      </c>
      <c r="AU168">
        <f t="shared" si="66"/>
        <v>8.5513938771966582E-4</v>
      </c>
      <c r="AV168">
        <f t="shared" si="67"/>
        <v>0.73884043099023577</v>
      </c>
      <c r="AW168">
        <f t="shared" si="68"/>
        <v>1.1560693641611214E-3</v>
      </c>
      <c r="AX168">
        <f t="shared" si="69"/>
        <v>0.99884393063580967</v>
      </c>
      <c r="AY168">
        <f t="shared" si="70"/>
        <v>8.638858560375476E-4</v>
      </c>
      <c r="AZ168">
        <f t="shared" si="71"/>
        <v>4.5726688978347467E-4</v>
      </c>
      <c r="BA168" s="8">
        <f t="shared" si="72"/>
        <v>8.638858560375476E-4</v>
      </c>
    </row>
    <row r="169" spans="1:53" x14ac:dyDescent="0.35">
      <c r="A169" s="9" t="s">
        <v>43</v>
      </c>
      <c r="B169" s="11" t="s">
        <v>70</v>
      </c>
      <c r="C169">
        <f t="shared" si="53"/>
        <v>33.827042892683806</v>
      </c>
      <c r="D169">
        <v>11.8328660765875</v>
      </c>
      <c r="E169">
        <v>3.4109288650490001E-4</v>
      </c>
      <c r="F169">
        <v>11.832524983700999</v>
      </c>
      <c r="G169">
        <v>21.994176816096299</v>
      </c>
      <c r="H169">
        <v>33.062446307244088</v>
      </c>
      <c r="I169">
        <v>25.12571084390953</v>
      </c>
      <c r="J169">
        <v>7.9367354633345588</v>
      </c>
      <c r="K169">
        <v>0</v>
      </c>
      <c r="L169">
        <v>3.5576595296319602</v>
      </c>
      <c r="M169">
        <v>3.8040028626403259</v>
      </c>
      <c r="N169">
        <v>1.025526994313E-4</v>
      </c>
      <c r="O169">
        <v>1.096537650551E-4</v>
      </c>
      <c r="P169">
        <v>3.557556976932529</v>
      </c>
      <c r="Q169">
        <v>3.8038932088752722</v>
      </c>
      <c r="R169">
        <v>6.6127506421302549</v>
      </c>
      <c r="S169">
        <v>7.0706379188545974</v>
      </c>
      <c r="T169">
        <v>9.9405272075752222</v>
      </c>
      <c r="U169">
        <v>10.628840010916401</v>
      </c>
      <c r="V169">
        <v>7.5542750204429563</v>
      </c>
      <c r="W169">
        <v>8.0773563528464187</v>
      </c>
      <c r="X169">
        <v>2.3862521871322659</v>
      </c>
      <c r="Y169">
        <v>2.55148365806998</v>
      </c>
      <c r="Z169">
        <v>0</v>
      </c>
      <c r="AA169">
        <v>0</v>
      </c>
      <c r="AB169">
        <v>311.06354290107998</v>
      </c>
      <c r="AC169">
        <v>332.60254327404999</v>
      </c>
      <c r="AD169" s="19">
        <f t="shared" si="54"/>
        <v>44.895312383831588</v>
      </c>
      <c r="AE169" s="19">
        <f t="shared" si="74"/>
        <v>44.895312383831588</v>
      </c>
      <c r="AF169">
        <f t="shared" si="73"/>
        <v>0.26356573656115018</v>
      </c>
      <c r="AG169">
        <f t="shared" si="75"/>
        <v>0.26356573656115018</v>
      </c>
      <c r="AH169">
        <f t="shared" si="55"/>
        <v>0.26356573656115018</v>
      </c>
      <c r="AI169">
        <f t="shared" si="76"/>
        <v>0.26356573656115018</v>
      </c>
      <c r="AJ169">
        <f t="shared" si="56"/>
        <v>0.26355813904442987</v>
      </c>
      <c r="AK169">
        <f t="shared" si="77"/>
        <v>0.26355813904442987</v>
      </c>
      <c r="AL169">
        <f t="shared" si="57"/>
        <v>7.5975167204258011E-6</v>
      </c>
      <c r="AM169">
        <f t="shared" si="58"/>
        <v>7.5975167204258011E-6</v>
      </c>
      <c r="AN169">
        <f t="shared" si="59"/>
        <v>0.48989918208069294</v>
      </c>
      <c r="AO169">
        <f t="shared" si="60"/>
        <v>0.48989918208069294</v>
      </c>
      <c r="AP169" s="20">
        <f t="shared" si="61"/>
        <v>0.99997117411079472</v>
      </c>
      <c r="AQ169" s="21">
        <f t="shared" si="62"/>
        <v>2.8825889205303027E-5</v>
      </c>
      <c r="AR169">
        <f t="shared" si="63"/>
        <v>0.73643426343884977</v>
      </c>
      <c r="AS169">
        <f t="shared" si="64"/>
        <v>0.73643426343884977</v>
      </c>
      <c r="AT169">
        <f t="shared" si="65"/>
        <v>0.55965109740406216</v>
      </c>
      <c r="AU169">
        <f t="shared" si="66"/>
        <v>0.55965109740406216</v>
      </c>
      <c r="AV169">
        <f t="shared" si="67"/>
        <v>0.17678316603478766</v>
      </c>
      <c r="AW169">
        <f t="shared" si="68"/>
        <v>0.75994711977511498</v>
      </c>
      <c r="AX169">
        <f t="shared" si="69"/>
        <v>0.24005288022488508</v>
      </c>
      <c r="AY169">
        <f t="shared" si="70"/>
        <v>0.1349818673720718</v>
      </c>
      <c r="AZ169">
        <f t="shared" si="71"/>
        <v>0.14432842873556725</v>
      </c>
      <c r="BA169" s="8">
        <f t="shared" si="72"/>
        <v>0.1349818673720718</v>
      </c>
    </row>
    <row r="170" spans="1:53" x14ac:dyDescent="0.35">
      <c r="A170" s="9" t="s">
        <v>44</v>
      </c>
      <c r="B170" s="11" t="s">
        <v>70</v>
      </c>
      <c r="C170">
        <f t="shared" si="53"/>
        <v>-9.4391081956542694E-2</v>
      </c>
      <c r="D170">
        <v>-9.4391081956542694E-2</v>
      </c>
      <c r="E170">
        <v>-3.7900585127936898E-2</v>
      </c>
      <c r="F170">
        <v>-5.6490496828605803E-2</v>
      </c>
      <c r="G170">
        <v>0</v>
      </c>
      <c r="H170">
        <v>0.22987065939187659</v>
      </c>
      <c r="I170">
        <v>0.1682830664882291</v>
      </c>
      <c r="J170">
        <v>6.1587592903647403E-2</v>
      </c>
      <c r="K170">
        <v>0</v>
      </c>
      <c r="L170">
        <v>-0.3509528544069509</v>
      </c>
      <c r="M170">
        <v>-0.20559322227792171</v>
      </c>
      <c r="N170">
        <v>-0.14091711058537271</v>
      </c>
      <c r="O170">
        <v>-8.2551267144693796E-2</v>
      </c>
      <c r="P170">
        <v>-0.210035743821578</v>
      </c>
      <c r="Q170">
        <v>-0.1230419551332282</v>
      </c>
      <c r="R170">
        <v>0</v>
      </c>
      <c r="S170">
        <v>0</v>
      </c>
      <c r="T170">
        <v>0.85467570013795235</v>
      </c>
      <c r="U170">
        <v>0.50068129946094686</v>
      </c>
      <c r="V170">
        <v>0.62568858527958593</v>
      </c>
      <c r="W170">
        <v>0.36653735900658008</v>
      </c>
      <c r="X170">
        <v>0.22898711485836659</v>
      </c>
      <c r="Y170">
        <v>0.13414394045436709</v>
      </c>
      <c r="Z170">
        <v>0</v>
      </c>
      <c r="AA170">
        <v>0</v>
      </c>
      <c r="AB170">
        <v>45.911572818750003</v>
      </c>
      <c r="AC170">
        <v>26.895658710639999</v>
      </c>
      <c r="AD170" s="19">
        <f t="shared" si="54"/>
        <v>0.1354795774353339</v>
      </c>
      <c r="AE170" s="19">
        <f>(D170*-1)+(H170)</f>
        <v>0.32426174134841929</v>
      </c>
      <c r="AF170">
        <f>($D170/$AE170)*-1</f>
        <v>0.29109534033840723</v>
      </c>
      <c r="AG170">
        <f t="shared" si="75"/>
        <v>-0.29109534033840723</v>
      </c>
      <c r="AH170">
        <f>(($D170)/(AD170))*-1</f>
        <v>0.69671816035591594</v>
      </c>
      <c r="AI170">
        <f t="shared" si="76"/>
        <v>-0.69671816035591594</v>
      </c>
      <c r="AJ170">
        <f t="shared" si="56"/>
        <v>-0.17421264868835315</v>
      </c>
      <c r="AK170">
        <f t="shared" si="77"/>
        <v>-0.4169668808981149</v>
      </c>
      <c r="AL170">
        <f t="shared" si="57"/>
        <v>-0.11688269165005413</v>
      </c>
      <c r="AM170">
        <f t="shared" si="58"/>
        <v>-0.27975127945780109</v>
      </c>
      <c r="AN170">
        <f t="shared" si="59"/>
        <v>0</v>
      </c>
      <c r="AO170">
        <f t="shared" si="60"/>
        <v>0</v>
      </c>
      <c r="AP170" s="20">
        <f t="shared" si="61"/>
        <v>0.59847281816955777</v>
      </c>
      <c r="AQ170" s="21">
        <f t="shared" si="62"/>
        <v>0.40152718183044228</v>
      </c>
      <c r="AR170">
        <f t="shared" si="63"/>
        <v>0.70890465966159277</v>
      </c>
      <c r="AS170">
        <f t="shared" si="64"/>
        <v>1.696718160355916</v>
      </c>
      <c r="AT170">
        <f t="shared" si="65"/>
        <v>0.518972931522652</v>
      </c>
      <c r="AU170">
        <f t="shared" si="66"/>
        <v>1.2421286637726097</v>
      </c>
      <c r="AV170">
        <f t="shared" si="67"/>
        <v>0.45458949658330561</v>
      </c>
      <c r="AW170">
        <f t="shared" si="68"/>
        <v>0.73207719042274633</v>
      </c>
      <c r="AX170">
        <f t="shared" si="69"/>
        <v>0.26792280957725328</v>
      </c>
      <c r="AY170">
        <f t="shared" si="70"/>
        <v>5.0372284573100192E-3</v>
      </c>
      <c r="AZ170">
        <f t="shared" si="71"/>
        <v>2.9508807718302537E-3</v>
      </c>
      <c r="BA170" s="8">
        <f t="shared" si="72"/>
        <v>1.2056285545449028E-2</v>
      </c>
    </row>
    <row r="171" spans="1:53" x14ac:dyDescent="0.35">
      <c r="A171" s="9" t="s">
        <v>45</v>
      </c>
      <c r="B171" s="11" t="s">
        <v>70</v>
      </c>
      <c r="C171">
        <f t="shared" si="53"/>
        <v>-3.5155799901397318</v>
      </c>
      <c r="D171">
        <v>-1.0746523869851621</v>
      </c>
      <c r="E171">
        <v>5.5841246461699997E-3</v>
      </c>
      <c r="F171">
        <v>-1.0802365116313331</v>
      </c>
      <c r="G171">
        <v>-2.4409276031545688</v>
      </c>
      <c r="H171">
        <v>-1.6885058372569099</v>
      </c>
      <c r="I171">
        <v>-0.92854648594427636</v>
      </c>
      <c r="J171">
        <v>-0.75995935131263259</v>
      </c>
      <c r="K171">
        <v>3.4268640238179242</v>
      </c>
      <c r="L171">
        <v>-0.42185555433477262</v>
      </c>
      <c r="M171">
        <v>-0.4232209256199333</v>
      </c>
      <c r="N171">
        <v>2.1920520780614999E-3</v>
      </c>
      <c r="O171">
        <v>2.1991468405512002E-3</v>
      </c>
      <c r="P171">
        <v>-0.4240476064128344</v>
      </c>
      <c r="Q171">
        <v>-0.4254200724604848</v>
      </c>
      <c r="R171">
        <v>-0.95818785645523963</v>
      </c>
      <c r="S171">
        <v>-0.96128911273016715</v>
      </c>
      <c r="T171">
        <v>-0.66282416025876145</v>
      </c>
      <c r="U171">
        <v>-0.66496944687696224</v>
      </c>
      <c r="V171">
        <v>-0.3645015795782498</v>
      </c>
      <c r="W171">
        <v>-0.3656813198591064</v>
      </c>
      <c r="X171">
        <v>-0.29832258068051137</v>
      </c>
      <c r="Y171">
        <v>-0.29928812701785551</v>
      </c>
      <c r="Z171">
        <v>1.3452178954845251</v>
      </c>
      <c r="AA171">
        <v>1.34957180731028</v>
      </c>
      <c r="AB171">
        <v>253.92231856471</v>
      </c>
      <c r="AC171">
        <v>254.7441596875</v>
      </c>
      <c r="AD171" s="19">
        <f t="shared" si="54"/>
        <v>-2.7631582242420718</v>
      </c>
      <c r="AE171" s="19">
        <f>(D171*-1)+(H171*-1)</f>
        <v>2.7631582242420718</v>
      </c>
      <c r="AF171">
        <f>($D171/$AE171)*-1</f>
        <v>0.38892176986351801</v>
      </c>
      <c r="AG171">
        <f t="shared" si="75"/>
        <v>-0.38892176986351801</v>
      </c>
      <c r="AH171">
        <f t="shared" si="55"/>
        <v>0.38892176986351801</v>
      </c>
      <c r="AI171">
        <f t="shared" si="76"/>
        <v>0.38892176986351801</v>
      </c>
      <c r="AJ171">
        <f t="shared" si="56"/>
        <v>-0.39094269092304318</v>
      </c>
      <c r="AK171">
        <f t="shared" si="77"/>
        <v>0.39094269092304318</v>
      </c>
      <c r="AL171">
        <f t="shared" si="57"/>
        <v>2.0209210595248171E-3</v>
      </c>
      <c r="AM171">
        <f t="shared" si="58"/>
        <v>-2.0209210595248171E-3</v>
      </c>
      <c r="AN171">
        <f t="shared" si="59"/>
        <v>-0.883383217703398</v>
      </c>
      <c r="AO171">
        <f t="shared" si="60"/>
        <v>0.883383217703398</v>
      </c>
      <c r="AP171" s="20">
        <f t="shared" si="61"/>
        <v>1.0051962148075024</v>
      </c>
      <c r="AQ171" s="21">
        <f t="shared" si="62"/>
        <v>-5.1962148075023083E-3</v>
      </c>
      <c r="AR171">
        <f t="shared" si="63"/>
        <v>-0.6110782301364821</v>
      </c>
      <c r="AS171">
        <f t="shared" si="64"/>
        <v>0.6110782301364821</v>
      </c>
      <c r="AT171">
        <f t="shared" si="65"/>
        <v>-0.33604535483992221</v>
      </c>
      <c r="AU171">
        <f t="shared" si="66"/>
        <v>0.33604535483992221</v>
      </c>
      <c r="AV171">
        <f t="shared" si="67"/>
        <v>0.27503287529655951</v>
      </c>
      <c r="AW171">
        <f t="shared" si="68"/>
        <v>0.54992198750864962</v>
      </c>
      <c r="AX171">
        <f t="shared" si="69"/>
        <v>0.45007801249134982</v>
      </c>
      <c r="AY171">
        <f t="shared" si="70"/>
        <v>-1.0846797145935342E-2</v>
      </c>
      <c r="AZ171">
        <f t="shared" si="71"/>
        <v>-1.0881903724968956E-2</v>
      </c>
      <c r="BA171" s="8">
        <f t="shared" si="72"/>
        <v>1.0846797145935342E-2</v>
      </c>
    </row>
    <row r="172" spans="1:53" x14ac:dyDescent="0.35">
      <c r="A172" s="9" t="s">
        <v>46</v>
      </c>
      <c r="B172" s="11" t="s">
        <v>70</v>
      </c>
      <c r="C172">
        <f t="shared" si="53"/>
        <v>3.1760258864367081</v>
      </c>
      <c r="D172">
        <v>4.1228112206977841</v>
      </c>
      <c r="E172">
        <v>0.35377522402826478</v>
      </c>
      <c r="F172">
        <v>3.7690359966695191</v>
      </c>
      <c r="G172">
        <v>-0.94678533426107603</v>
      </c>
      <c r="H172">
        <v>-2.0856298438568488</v>
      </c>
      <c r="I172">
        <v>-2.539636087633188</v>
      </c>
      <c r="J172">
        <v>0.45400624377633791</v>
      </c>
      <c r="K172">
        <v>0</v>
      </c>
      <c r="L172">
        <v>2.021947227357126</v>
      </c>
      <c r="M172">
        <v>1.3672303225363169</v>
      </c>
      <c r="N172">
        <v>0.17350171886126969</v>
      </c>
      <c r="O172">
        <v>0.1173209705128478</v>
      </c>
      <c r="P172">
        <v>1.8484455084958551</v>
      </c>
      <c r="Q172">
        <v>1.2499093520234701</v>
      </c>
      <c r="R172">
        <v>-0.4643312242629356</v>
      </c>
      <c r="S172">
        <v>-0.31397838723145272</v>
      </c>
      <c r="T172">
        <v>-1.022853886423132</v>
      </c>
      <c r="U172">
        <v>-0.69164854063464798</v>
      </c>
      <c r="V172">
        <v>-1.2455118294300449</v>
      </c>
      <c r="W172">
        <v>-0.84220869725679992</v>
      </c>
      <c r="X172">
        <v>0.22265794300691311</v>
      </c>
      <c r="Y172">
        <v>0.15056015662215219</v>
      </c>
      <c r="Z172">
        <v>0</v>
      </c>
      <c r="AA172">
        <v>0</v>
      </c>
      <c r="AB172">
        <v>301.54474727050001</v>
      </c>
      <c r="AC172">
        <v>203.90300819506001</v>
      </c>
      <c r="AD172" s="19">
        <f t="shared" si="54"/>
        <v>2.0371813768409353</v>
      </c>
      <c r="AE172" s="19">
        <f>(D172)+(H172*-1)</f>
        <v>6.2084410645546324</v>
      </c>
      <c r="AF172">
        <f t="shared" si="73"/>
        <v>0.66406545183070642</v>
      </c>
      <c r="AG172">
        <f t="shared" si="75"/>
        <v>0.66406545183070642</v>
      </c>
      <c r="AH172">
        <f t="shared" si="55"/>
        <v>2.0237821077527434</v>
      </c>
      <c r="AI172">
        <f t="shared" si="76"/>
        <v>2.0237821077527434</v>
      </c>
      <c r="AJ172">
        <f t="shared" si="56"/>
        <v>0.60708251193488516</v>
      </c>
      <c r="AK172">
        <f t="shared" si="77"/>
        <v>1.8501229392319387</v>
      </c>
      <c r="AL172">
        <f t="shared" si="57"/>
        <v>5.6982939895821198E-2</v>
      </c>
      <c r="AM172">
        <f t="shared" si="58"/>
        <v>0.17365916852080462</v>
      </c>
      <c r="AN172">
        <f t="shared" si="59"/>
        <v>-0.15249968944160291</v>
      </c>
      <c r="AO172">
        <f t="shared" si="60"/>
        <v>-0.46475259641792893</v>
      </c>
      <c r="AP172" s="20">
        <f t="shared" si="61"/>
        <v>0.91419077782358693</v>
      </c>
      <c r="AQ172" s="21">
        <f t="shared" si="62"/>
        <v>8.5809222176413028E-2</v>
      </c>
      <c r="AR172">
        <f t="shared" si="63"/>
        <v>-0.33593454816929363</v>
      </c>
      <c r="AS172">
        <f t="shared" si="64"/>
        <v>-1.0237821077527436</v>
      </c>
      <c r="AT172">
        <f t="shared" si="65"/>
        <v>-0.40906180170293216</v>
      </c>
      <c r="AU172">
        <f t="shared" si="66"/>
        <v>-1.2466421088000574</v>
      </c>
      <c r="AV172">
        <f t="shared" si="67"/>
        <v>0.22286000104731327</v>
      </c>
      <c r="AW172">
        <f t="shared" si="68"/>
        <v>1.2176830395449121</v>
      </c>
      <c r="AX172">
        <f t="shared" si="69"/>
        <v>-0.21768303954491144</v>
      </c>
      <c r="AY172">
        <f t="shared" si="70"/>
        <v>9.9909334093399131E-3</v>
      </c>
      <c r="AZ172">
        <f t="shared" si="71"/>
        <v>6.7558178190167129E-3</v>
      </c>
      <c r="BA172" s="8">
        <f t="shared" si="72"/>
        <v>3.0448011137802551E-2</v>
      </c>
    </row>
    <row r="173" spans="1:53" x14ac:dyDescent="0.35">
      <c r="A173" s="9" t="s">
        <v>47</v>
      </c>
      <c r="B173" s="11" t="s">
        <v>70</v>
      </c>
      <c r="C173">
        <f t="shared" si="53"/>
        <v>1.1003161672985486</v>
      </c>
      <c r="D173">
        <v>1.1003161672985491</v>
      </c>
      <c r="E173">
        <v>5.4677508422957703E-2</v>
      </c>
      <c r="F173">
        <v>1.045638658875591</v>
      </c>
      <c r="G173">
        <v>0</v>
      </c>
      <c r="H173">
        <v>-0.58381004119310087</v>
      </c>
      <c r="I173">
        <v>0.1</v>
      </c>
      <c r="J173">
        <v>-0.68381004119310085</v>
      </c>
      <c r="K173">
        <v>0</v>
      </c>
      <c r="L173">
        <v>5.307844556033416</v>
      </c>
      <c r="M173">
        <v>5.7701396314342324</v>
      </c>
      <c r="N173">
        <v>0.26376029367341147</v>
      </c>
      <c r="O173">
        <v>0.28673291157211911</v>
      </c>
      <c r="P173">
        <v>5.0440842623600037</v>
      </c>
      <c r="Q173">
        <v>5.4834067198621126</v>
      </c>
      <c r="R173">
        <v>0</v>
      </c>
      <c r="S173">
        <v>0</v>
      </c>
      <c r="T173">
        <v>-2.81625685507505</v>
      </c>
      <c r="U173">
        <v>-3.0615431782559122</v>
      </c>
      <c r="V173">
        <v>0.48239267165046013</v>
      </c>
      <c r="W173">
        <v>0.52440742060537404</v>
      </c>
      <c r="X173">
        <v>-3.29864952672551</v>
      </c>
      <c r="Y173">
        <v>-3.5859505988612859</v>
      </c>
      <c r="Z173">
        <v>0</v>
      </c>
      <c r="AA173">
        <v>0</v>
      </c>
      <c r="AB173">
        <v>19.06914282116</v>
      </c>
      <c r="AC173">
        <v>20.729999827290001</v>
      </c>
      <c r="AD173" s="19">
        <f t="shared" si="54"/>
        <v>0.51650612610544822</v>
      </c>
      <c r="AE173" s="19">
        <f>(D173)+(H173*-1)</f>
        <v>1.68412620849165</v>
      </c>
      <c r="AF173">
        <f t="shared" si="73"/>
        <v>0.65334543322855998</v>
      </c>
      <c r="AG173">
        <f t="shared" si="75"/>
        <v>0.65334543322855998</v>
      </c>
      <c r="AH173">
        <f t="shared" si="55"/>
        <v>2.130306131304069</v>
      </c>
      <c r="AI173">
        <f t="shared" si="76"/>
        <v>2.130306131304069</v>
      </c>
      <c r="AJ173">
        <f t="shared" si="56"/>
        <v>0.62087903721425608</v>
      </c>
      <c r="AK173">
        <f t="shared" si="77"/>
        <v>2.0244458023371381</v>
      </c>
      <c r="AL173">
        <f t="shared" si="57"/>
        <v>3.2466396014303699E-2</v>
      </c>
      <c r="AM173">
        <f t="shared" si="58"/>
        <v>0.10586032896693062</v>
      </c>
      <c r="AN173">
        <f t="shared" si="59"/>
        <v>0</v>
      </c>
      <c r="AO173">
        <f t="shared" si="60"/>
        <v>0</v>
      </c>
      <c r="AP173" s="20">
        <f t="shared" si="61"/>
        <v>0.95030745703100994</v>
      </c>
      <c r="AQ173" s="21">
        <f t="shared" si="62"/>
        <v>4.9692542968990151E-2</v>
      </c>
      <c r="AR173">
        <f t="shared" si="63"/>
        <v>-0.34665456677144008</v>
      </c>
      <c r="AS173">
        <f t="shared" si="64"/>
        <v>-1.1303061313040692</v>
      </c>
      <c r="AT173">
        <f t="shared" si="65"/>
        <v>5.9377972681490879E-2</v>
      </c>
      <c r="AU173">
        <f t="shared" si="66"/>
        <v>0.19360854585408022</v>
      </c>
      <c r="AV173">
        <f t="shared" si="67"/>
        <v>-1.3239146771581494</v>
      </c>
      <c r="AW173">
        <f t="shared" si="68"/>
        <v>-0.17128859208319788</v>
      </c>
      <c r="AX173">
        <f t="shared" si="69"/>
        <v>1.1712885920831979</v>
      </c>
      <c r="AY173">
        <f t="shared" si="70"/>
        <v>2.4915877009583663E-2</v>
      </c>
      <c r="AZ173">
        <f t="shared" si="71"/>
        <v>2.7085964531783212E-2</v>
      </c>
      <c r="BA173" s="8">
        <f t="shared" si="72"/>
        <v>8.1241014111084683E-2</v>
      </c>
    </row>
    <row r="174" spans="1:53" x14ac:dyDescent="0.35">
      <c r="A174" s="9" t="s">
        <v>48</v>
      </c>
      <c r="B174" s="11" t="s">
        <v>70</v>
      </c>
      <c r="C174">
        <f t="shared" si="53"/>
        <v>14.07217103441748</v>
      </c>
      <c r="D174">
        <v>14.15911182500178</v>
      </c>
      <c r="E174">
        <v>2.857648023539249</v>
      </c>
      <c r="F174">
        <v>11.30146380146253</v>
      </c>
      <c r="G174">
        <v>-8.6940790584300404E-2</v>
      </c>
      <c r="H174">
        <v>1.6810953910718081</v>
      </c>
      <c r="I174">
        <v>1.768036181656109</v>
      </c>
      <c r="J174">
        <v>-8.6940790584300404E-2</v>
      </c>
      <c r="K174">
        <v>0</v>
      </c>
      <c r="L174">
        <v>3.8116783449826479</v>
      </c>
      <c r="M174">
        <v>3.388232818033738</v>
      </c>
      <c r="N174">
        <v>0.7692880191590441</v>
      </c>
      <c r="O174">
        <v>0.68382656591835456</v>
      </c>
      <c r="P174">
        <v>3.0423903258236029</v>
      </c>
      <c r="Q174">
        <v>2.7044062521153842</v>
      </c>
      <c r="R174">
        <v>-2.3404739849620299E-2</v>
      </c>
      <c r="S174">
        <v>-2.0804669355275002E-2</v>
      </c>
      <c r="T174">
        <v>0.45255627451743341</v>
      </c>
      <c r="U174">
        <v>0.40228106428377952</v>
      </c>
      <c r="V174">
        <v>0.4759610143670539</v>
      </c>
      <c r="W174">
        <v>0.42308573363905427</v>
      </c>
      <c r="X174">
        <v>-2.3404739849620299E-2</v>
      </c>
      <c r="Y174">
        <v>-2.0804669355275002E-2</v>
      </c>
      <c r="Z174">
        <v>0</v>
      </c>
      <c r="AA174">
        <v>0</v>
      </c>
      <c r="AB174">
        <v>417.89075855828003</v>
      </c>
      <c r="AC174">
        <v>371.46659669328</v>
      </c>
      <c r="AD174" s="19">
        <f t="shared" si="54"/>
        <v>15.840207216073589</v>
      </c>
      <c r="AE174" s="19">
        <f>(D174)+(H174)</f>
        <v>15.840207216073589</v>
      </c>
      <c r="AF174">
        <f t="shared" si="73"/>
        <v>0.89387162881518711</v>
      </c>
      <c r="AG174">
        <f t="shared" si="75"/>
        <v>0.89387162881518711</v>
      </c>
      <c r="AH174">
        <f t="shared" si="55"/>
        <v>0.89387162881518711</v>
      </c>
      <c r="AI174">
        <f t="shared" si="76"/>
        <v>0.89387162881518711</v>
      </c>
      <c r="AJ174">
        <f t="shared" si="56"/>
        <v>0.71346691664453454</v>
      </c>
      <c r="AK174">
        <f t="shared" si="77"/>
        <v>0.71346691664453454</v>
      </c>
      <c r="AL174">
        <f t="shared" si="57"/>
        <v>0.18040471217065254</v>
      </c>
      <c r="AM174">
        <f t="shared" si="58"/>
        <v>0.18040471217065254</v>
      </c>
      <c r="AN174">
        <f t="shared" si="59"/>
        <v>-5.4886144731792824E-3</v>
      </c>
      <c r="AO174">
        <f t="shared" si="60"/>
        <v>-5.4886144731792824E-3</v>
      </c>
      <c r="AP174" s="20">
        <f t="shared" si="61"/>
        <v>0.79817603965149198</v>
      </c>
      <c r="AQ174" s="21">
        <f t="shared" si="62"/>
        <v>0.20182396034850791</v>
      </c>
      <c r="AR174">
        <f t="shared" si="63"/>
        <v>0.1061283711848128</v>
      </c>
      <c r="AS174">
        <f t="shared" si="64"/>
        <v>0.1061283711848128</v>
      </c>
      <c r="AT174">
        <f t="shared" si="65"/>
        <v>0.11161698565799212</v>
      </c>
      <c r="AU174">
        <f t="shared" si="66"/>
        <v>0.11161698565799212</v>
      </c>
      <c r="AV174">
        <f t="shared" si="67"/>
        <v>-5.4886144731792824E-3</v>
      </c>
      <c r="AW174">
        <f t="shared" si="68"/>
        <v>1.0517167503081848</v>
      </c>
      <c r="AX174">
        <f t="shared" si="69"/>
        <v>-5.1716750308184463E-2</v>
      </c>
      <c r="AY174">
        <f t="shared" si="70"/>
        <v>4.2642346195000812E-2</v>
      </c>
      <c r="AZ174">
        <f t="shared" si="71"/>
        <v>3.7905138823175186E-2</v>
      </c>
      <c r="BA174" s="8">
        <f t="shared" si="72"/>
        <v>4.2642346195000812E-2</v>
      </c>
    </row>
    <row r="175" spans="1:53" x14ac:dyDescent="0.35">
      <c r="A175" s="9" t="s">
        <v>49</v>
      </c>
      <c r="B175" s="11" t="s">
        <v>70</v>
      </c>
      <c r="C175">
        <f t="shared" si="53"/>
        <v>13.357727297596252</v>
      </c>
      <c r="D175">
        <v>13.341642509066689</v>
      </c>
      <c r="E175">
        <v>0.55317835395472414</v>
      </c>
      <c r="F175">
        <v>12.788464155111971</v>
      </c>
      <c r="G175">
        <v>1.6084788529556901E-2</v>
      </c>
      <c r="H175">
        <v>7.0403264603798448</v>
      </c>
      <c r="I175">
        <v>2.6177261216507142</v>
      </c>
      <c r="J175">
        <v>4.4226003387291293</v>
      </c>
      <c r="K175">
        <v>0</v>
      </c>
      <c r="L175">
        <v>3.7219307879532999</v>
      </c>
      <c r="M175">
        <v>3.8965451906037001</v>
      </c>
      <c r="N175">
        <v>0.15432069517784169</v>
      </c>
      <c r="O175">
        <v>0.16156065141031381</v>
      </c>
      <c r="P175">
        <v>3.567610092775459</v>
      </c>
      <c r="Q175">
        <v>3.7349845391933858</v>
      </c>
      <c r="R175">
        <v>4.4871888603814003E-3</v>
      </c>
      <c r="S175">
        <v>4.6977053495571002E-3</v>
      </c>
      <c r="T175">
        <v>1.9640466151242331</v>
      </c>
      <c r="U175">
        <v>2.056189872486105</v>
      </c>
      <c r="V175">
        <v>0.73026956313514213</v>
      </c>
      <c r="W175">
        <v>0.76453016356149583</v>
      </c>
      <c r="X175">
        <v>1.23377705198909</v>
      </c>
      <c r="Y175">
        <v>1.2916597089246089</v>
      </c>
      <c r="Z175">
        <v>0</v>
      </c>
      <c r="AA175">
        <v>0</v>
      </c>
      <c r="AB175">
        <v>342.39670930134002</v>
      </c>
      <c r="AC175">
        <v>358.46025273358998</v>
      </c>
      <c r="AD175" s="19">
        <f t="shared" si="54"/>
        <v>20.381968969446532</v>
      </c>
      <c r="AE175" s="19">
        <f t="shared" si="74"/>
        <v>20.381968969446532</v>
      </c>
      <c r="AF175">
        <f t="shared" si="73"/>
        <v>0.65458065062636483</v>
      </c>
      <c r="AG175">
        <f t="shared" si="75"/>
        <v>0.65458065062636483</v>
      </c>
      <c r="AH175">
        <f t="shared" si="55"/>
        <v>0.65458065062636483</v>
      </c>
      <c r="AI175">
        <f t="shared" si="76"/>
        <v>0.65458065062636483</v>
      </c>
      <c r="AJ175">
        <f t="shared" si="56"/>
        <v>0.62744007579848837</v>
      </c>
      <c r="AK175">
        <f t="shared" si="77"/>
        <v>0.62744007579848837</v>
      </c>
      <c r="AL175">
        <f t="shared" si="57"/>
        <v>2.7140574827876681E-2</v>
      </c>
      <c r="AM175">
        <f t="shared" si="58"/>
        <v>2.7140574827876681E-2</v>
      </c>
      <c r="AN175">
        <f t="shared" si="59"/>
        <v>7.8916755067524175E-4</v>
      </c>
      <c r="AO175">
        <f t="shared" si="60"/>
        <v>7.8916755067524175E-4</v>
      </c>
      <c r="AP175" s="20">
        <f t="shared" si="61"/>
        <v>0.95853746241673043</v>
      </c>
      <c r="AQ175" s="21">
        <f t="shared" si="62"/>
        <v>4.1462537583269538E-2</v>
      </c>
      <c r="AR175">
        <f t="shared" si="63"/>
        <v>0.34541934937363528</v>
      </c>
      <c r="AS175">
        <f t="shared" si="64"/>
        <v>0.34541934937363528</v>
      </c>
      <c r="AT175">
        <f t="shared" si="65"/>
        <v>0.12843342689682241</v>
      </c>
      <c r="AU175">
        <f t="shared" si="66"/>
        <v>0.12843342689682241</v>
      </c>
      <c r="AV175">
        <f t="shared" si="67"/>
        <v>0.21698592247681281</v>
      </c>
      <c r="AW175">
        <f t="shared" si="68"/>
        <v>0.37181885476223792</v>
      </c>
      <c r="AX175">
        <f t="shared" si="69"/>
        <v>0.62818114523776192</v>
      </c>
      <c r="AY175">
        <f t="shared" si="70"/>
        <v>5.6859774030775308E-2</v>
      </c>
      <c r="AZ175">
        <f t="shared" si="71"/>
        <v>5.9527350630898028E-2</v>
      </c>
      <c r="BA175" s="8">
        <f t="shared" si="72"/>
        <v>5.6859774030775308E-2</v>
      </c>
    </row>
    <row r="176" spans="1:53" x14ac:dyDescent="0.35">
      <c r="A176" s="10" t="s">
        <v>50</v>
      </c>
      <c r="B176" s="11" t="s">
        <v>70</v>
      </c>
      <c r="C176">
        <f t="shared" si="53"/>
        <v>0.29461204530702118</v>
      </c>
      <c r="D176">
        <v>0.29461204530702151</v>
      </c>
      <c r="E176">
        <v>0.44007731725619958</v>
      </c>
      <c r="F176">
        <v>-0.14546527194917841</v>
      </c>
      <c r="G176">
        <v>0</v>
      </c>
      <c r="H176">
        <v>6.66396128648091E-2</v>
      </c>
      <c r="I176">
        <v>6.1972289180490699E-2</v>
      </c>
      <c r="J176">
        <v>4.6673236843184996E-3</v>
      </c>
      <c r="K176">
        <v>0</v>
      </c>
      <c r="L176">
        <v>0.976827878117561</v>
      </c>
      <c r="M176">
        <v>0.53157394248286405</v>
      </c>
      <c r="N176">
        <v>1.459138548035456</v>
      </c>
      <c r="O176">
        <v>0.79403961330696116</v>
      </c>
      <c r="P176">
        <v>-0.48231066991789362</v>
      </c>
      <c r="Q176">
        <v>-0.26246567082409727</v>
      </c>
      <c r="R176">
        <v>0</v>
      </c>
      <c r="S176">
        <v>0</v>
      </c>
      <c r="T176">
        <v>0.22095305562089251</v>
      </c>
      <c r="U176">
        <v>0.12023908153233349</v>
      </c>
      <c r="V176">
        <v>0.2054778842432618</v>
      </c>
      <c r="W176">
        <v>0.1118177433988863</v>
      </c>
      <c r="X176">
        <v>1.5475171377631099E-2</v>
      </c>
      <c r="Y176">
        <v>8.4213381334471999E-3</v>
      </c>
      <c r="Z176">
        <v>0</v>
      </c>
      <c r="AA176">
        <v>0</v>
      </c>
      <c r="AB176">
        <v>55.422589739999999</v>
      </c>
      <c r="AC176">
        <v>30.160077523049999</v>
      </c>
      <c r="AD176" s="19">
        <f t="shared" si="54"/>
        <v>0.36125165817183058</v>
      </c>
      <c r="AE176" s="19">
        <f t="shared" si="74"/>
        <v>0.36125165817183058</v>
      </c>
      <c r="AF176">
        <f t="shared" si="73"/>
        <v>0.81553133014793877</v>
      </c>
      <c r="AG176">
        <f t="shared" si="75"/>
        <v>0.81553133014793877</v>
      </c>
      <c r="AH176">
        <f t="shared" si="55"/>
        <v>0.81553133014793877</v>
      </c>
      <c r="AI176">
        <f t="shared" si="76"/>
        <v>0.81553133014793877</v>
      </c>
      <c r="AJ176">
        <f t="shared" si="56"/>
        <v>-0.40267018478289546</v>
      </c>
      <c r="AK176">
        <f t="shared" si="77"/>
        <v>-0.40267018478289546</v>
      </c>
      <c r="AL176">
        <f t="shared" si="57"/>
        <v>1.2182015149308334</v>
      </c>
      <c r="AM176">
        <f t="shared" si="58"/>
        <v>1.2182015149308334</v>
      </c>
      <c r="AN176">
        <f t="shared" si="59"/>
        <v>0</v>
      </c>
      <c r="AO176">
        <f t="shared" si="60"/>
        <v>0</v>
      </c>
      <c r="AP176" s="20">
        <f t="shared" si="61"/>
        <v>-0.49375195028969743</v>
      </c>
      <c r="AQ176" s="21">
        <f t="shared" si="62"/>
        <v>1.4937519502896957</v>
      </c>
      <c r="AR176">
        <f t="shared" si="63"/>
        <v>0.18446866985206126</v>
      </c>
      <c r="AS176">
        <f t="shared" si="64"/>
        <v>0.18446866985206126</v>
      </c>
      <c r="AT176">
        <f t="shared" si="65"/>
        <v>0.17154880200165992</v>
      </c>
      <c r="AU176">
        <f t="shared" si="66"/>
        <v>0.17154880200165992</v>
      </c>
      <c r="AV176">
        <f t="shared" si="67"/>
        <v>1.2919867850401593E-2</v>
      </c>
      <c r="AW176">
        <f t="shared" si="68"/>
        <v>0.92996172271008026</v>
      </c>
      <c r="AX176">
        <f t="shared" si="69"/>
        <v>7.0038277289921194E-2</v>
      </c>
      <c r="AY176">
        <f t="shared" si="70"/>
        <v>1.1977809337384564E-2</v>
      </c>
      <c r="AZ176">
        <f t="shared" si="71"/>
        <v>6.5181302401519751E-3</v>
      </c>
      <c r="BA176" s="8">
        <f t="shared" si="72"/>
        <v>1.1977809337384564E-2</v>
      </c>
    </row>
    <row r="177" spans="1:53" x14ac:dyDescent="0.35">
      <c r="A177" s="9" t="s">
        <v>51</v>
      </c>
      <c r="B177" s="11" t="s">
        <v>70</v>
      </c>
      <c r="C177">
        <f t="shared" si="53"/>
        <v>2.1460296418646996E-2</v>
      </c>
      <c r="D177">
        <v>1.019177936447766</v>
      </c>
      <c r="E177">
        <v>0.1612886831869611</v>
      </c>
      <c r="F177">
        <v>0.85788925326080534</v>
      </c>
      <c r="G177">
        <v>-0.99771764002911945</v>
      </c>
      <c r="H177">
        <v>-0.39425692407598317</v>
      </c>
      <c r="I177">
        <v>5.80299956092203E-2</v>
      </c>
      <c r="J177">
        <v>-0.45228691968520368</v>
      </c>
      <c r="K177">
        <v>0</v>
      </c>
      <c r="L177">
        <v>2.1137416878924999</v>
      </c>
      <c r="M177">
        <v>1.0492270289661181</v>
      </c>
      <c r="N177">
        <v>0.33450745080472849</v>
      </c>
      <c r="O177">
        <v>0.16604406337124999</v>
      </c>
      <c r="P177">
        <v>1.779234237087773</v>
      </c>
      <c r="Q177">
        <v>0.8831829655948682</v>
      </c>
      <c r="R177">
        <v>-2.069233735402157</v>
      </c>
      <c r="S177">
        <v>-1.0271340045325741</v>
      </c>
      <c r="T177">
        <v>-0.81767595859095099</v>
      </c>
      <c r="U177">
        <v>-0.40588105992497131</v>
      </c>
      <c r="V177">
        <v>0.1203523118788731</v>
      </c>
      <c r="W177">
        <v>5.9740932085120303E-2</v>
      </c>
      <c r="X177">
        <v>-0.9380282704698244</v>
      </c>
      <c r="Y177">
        <v>-0.46562199201009169</v>
      </c>
      <c r="Z177">
        <v>0</v>
      </c>
      <c r="AA177">
        <v>0</v>
      </c>
      <c r="AB177">
        <v>97.136073348400004</v>
      </c>
      <c r="AC177">
        <v>48.216768505140003</v>
      </c>
      <c r="AD177" s="19">
        <f t="shared" si="54"/>
        <v>0.62492101237178277</v>
      </c>
      <c r="AE177" s="19">
        <f>(D177)+(H177*-1)</f>
        <v>1.4134348605237492</v>
      </c>
      <c r="AF177">
        <f t="shared" si="73"/>
        <v>0.72106466658824941</v>
      </c>
      <c r="AG177">
        <f t="shared" si="75"/>
        <v>0.72106466658824941</v>
      </c>
      <c r="AH177">
        <f t="shared" si="55"/>
        <v>1.6308908106316464</v>
      </c>
      <c r="AI177">
        <f t="shared" si="76"/>
        <v>1.6308908106316464</v>
      </c>
      <c r="AJ177">
        <f t="shared" si="56"/>
        <v>0.60695351248299756</v>
      </c>
      <c r="AK177">
        <f t="shared" si="77"/>
        <v>1.3727962994952445</v>
      </c>
      <c r="AL177">
        <f t="shared" si="57"/>
        <v>0.11411115410525213</v>
      </c>
      <c r="AM177">
        <f t="shared" si="58"/>
        <v>0.25809451113640264</v>
      </c>
      <c r="AN177">
        <f t="shared" si="59"/>
        <v>-0.7058815852747643</v>
      </c>
      <c r="AO177">
        <f t="shared" si="60"/>
        <v>-1.5965499963626597</v>
      </c>
      <c r="AP177" s="20">
        <f t="shared" si="61"/>
        <v>0.84174629628549924</v>
      </c>
      <c r="AQ177" s="21">
        <f t="shared" si="62"/>
        <v>0.15825370371450082</v>
      </c>
      <c r="AR177">
        <f t="shared" si="63"/>
        <v>-0.27893533341175059</v>
      </c>
      <c r="AS177">
        <f t="shared" si="64"/>
        <v>-0.63089081063164643</v>
      </c>
      <c r="AT177">
        <f t="shared" si="65"/>
        <v>4.1056009887655696E-2</v>
      </c>
      <c r="AU177">
        <f t="shared" si="66"/>
        <v>9.285972860630369E-2</v>
      </c>
      <c r="AV177">
        <f t="shared" si="67"/>
        <v>-0.72375053923795041</v>
      </c>
      <c r="AW177">
        <f t="shared" si="68"/>
        <v>-0.14718827258449485</v>
      </c>
      <c r="AX177">
        <f t="shared" si="69"/>
        <v>1.1471882725844953</v>
      </c>
      <c r="AY177">
        <f t="shared" si="70"/>
        <v>1.2960657293015498E-2</v>
      </c>
      <c r="AZ177">
        <f t="shared" si="71"/>
        <v>6.433459690411464E-3</v>
      </c>
      <c r="BA177" s="8">
        <f t="shared" si="72"/>
        <v>2.9314176464834515E-2</v>
      </c>
    </row>
    <row r="178" spans="1:53" x14ac:dyDescent="0.35">
      <c r="A178" s="9" t="s">
        <v>52</v>
      </c>
      <c r="B178" s="11" t="s">
        <v>70</v>
      </c>
      <c r="C178">
        <f t="shared" si="53"/>
        <v>0.12444817677564089</v>
      </c>
      <c r="D178">
        <v>0.1219761448976264</v>
      </c>
      <c r="E178">
        <v>0.1147318750863785</v>
      </c>
      <c r="F178">
        <v>7.2442698112475E-3</v>
      </c>
      <c r="G178">
        <v>2.4720318780148999E-3</v>
      </c>
      <c r="H178">
        <v>8.7534926885911996E-3</v>
      </c>
      <c r="I178">
        <v>1.2073783018746E-3</v>
      </c>
      <c r="J178">
        <v>7.5461143867164996E-3</v>
      </c>
      <c r="K178">
        <v>-8.6962174143261003E-3</v>
      </c>
      <c r="L178">
        <v>0.18326432395663511</v>
      </c>
      <c r="M178">
        <v>0.18385549971363879</v>
      </c>
      <c r="N178">
        <v>0.17238009564599349</v>
      </c>
      <c r="O178">
        <v>0.17293616095830111</v>
      </c>
      <c r="P178">
        <v>1.08842283106422E-2</v>
      </c>
      <c r="Q178">
        <v>1.0919338755337901E-2</v>
      </c>
      <c r="R178">
        <v>3.7141299333880002E-3</v>
      </c>
      <c r="S178">
        <v>3.7261110081967001E-3</v>
      </c>
      <c r="T178">
        <v>1.3151775875360899E-2</v>
      </c>
      <c r="U178">
        <v>1.31942009960344E-2</v>
      </c>
      <c r="V178">
        <v>1.8140380517739001E-3</v>
      </c>
      <c r="W178">
        <v>1.8198897925563999E-3</v>
      </c>
      <c r="X178">
        <v>1.13377378235863E-2</v>
      </c>
      <c r="Y178">
        <v>1.1374311203478E-2</v>
      </c>
      <c r="Z178">
        <v>-1.3065722045519401E-2</v>
      </c>
      <c r="AA178">
        <v>-1.3107869572950501E-2</v>
      </c>
      <c r="AB178">
        <v>66.343484468840003</v>
      </c>
      <c r="AC178">
        <v>66.557495896739994</v>
      </c>
      <c r="AD178" s="19">
        <f t="shared" si="54"/>
        <v>0.13072963758621758</v>
      </c>
      <c r="AE178" s="19">
        <f t="shared" si="74"/>
        <v>0.13072963758621758</v>
      </c>
      <c r="AF178">
        <f t="shared" si="73"/>
        <v>0.93304125330556231</v>
      </c>
      <c r="AG178">
        <f t="shared" si="75"/>
        <v>0.93304125330556231</v>
      </c>
      <c r="AH178">
        <f t="shared" si="55"/>
        <v>0.93304125330556231</v>
      </c>
      <c r="AI178">
        <f t="shared" si="76"/>
        <v>0.93304125330556231</v>
      </c>
      <c r="AJ178">
        <f t="shared" si="56"/>
        <v>5.5414135195393829E-2</v>
      </c>
      <c r="AK178">
        <f t="shared" si="77"/>
        <v>5.5414135195393829E-2</v>
      </c>
      <c r="AL178">
        <f t="shared" si="57"/>
        <v>0.87762711811016536</v>
      </c>
      <c r="AM178">
        <f t="shared" si="58"/>
        <v>0.87762711811016536</v>
      </c>
      <c r="AN178">
        <f t="shared" si="59"/>
        <v>1.8909498440126619E-2</v>
      </c>
      <c r="AO178">
        <f t="shared" si="60"/>
        <v>1.8909498440126619E-2</v>
      </c>
      <c r="AP178" s="20">
        <f t="shared" si="61"/>
        <v>5.9390873660809508E-2</v>
      </c>
      <c r="AQ178" s="21">
        <f t="shared" si="62"/>
        <v>0.94060912633918736</v>
      </c>
      <c r="AR178">
        <f t="shared" si="63"/>
        <v>6.6958746694437812E-2</v>
      </c>
      <c r="AS178">
        <f t="shared" si="64"/>
        <v>6.6958746694437812E-2</v>
      </c>
      <c r="AT178">
        <f t="shared" si="65"/>
        <v>9.2356891992324327E-3</v>
      </c>
      <c r="AU178">
        <f t="shared" si="66"/>
        <v>9.2356891992324327E-3</v>
      </c>
      <c r="AV178">
        <f t="shared" si="67"/>
        <v>5.7723057495204615E-2</v>
      </c>
      <c r="AW178">
        <f t="shared" si="68"/>
        <v>0.13793103448275312</v>
      </c>
      <c r="AX178">
        <f t="shared" si="69"/>
        <v>0.86206896551723544</v>
      </c>
      <c r="AY178">
        <f t="shared" si="70"/>
        <v>1.9641609983199618E-3</v>
      </c>
      <c r="AZ178">
        <f t="shared" si="71"/>
        <v>1.9704970070967293E-3</v>
      </c>
      <c r="BA178" s="8">
        <f t="shared" si="72"/>
        <v>1.9641609983199618E-3</v>
      </c>
    </row>
    <row r="179" spans="1:53" x14ac:dyDescent="0.35">
      <c r="A179" s="9" t="s">
        <v>53</v>
      </c>
      <c r="B179" s="11" t="s">
        <v>70</v>
      </c>
      <c r="C179">
        <f t="shared" si="53"/>
        <v>0.71613001505309626</v>
      </c>
      <c r="D179">
        <v>0.67809759854404916</v>
      </c>
      <c r="E179">
        <v>8.6285741513915298E-2</v>
      </c>
      <c r="F179">
        <v>0.59181185703013028</v>
      </c>
      <c r="G179">
        <v>3.80324165090506E-2</v>
      </c>
      <c r="H179">
        <v>0.19619897405462439</v>
      </c>
      <c r="I179">
        <v>0</v>
      </c>
      <c r="J179">
        <v>0.19619897405462439</v>
      </c>
      <c r="K179">
        <v>0</v>
      </c>
      <c r="L179">
        <v>8.0701845008350703E-2</v>
      </c>
      <c r="M179">
        <v>7.2722886472287293E-2</v>
      </c>
      <c r="N179">
        <v>1.02690505806802E-2</v>
      </c>
      <c r="O179">
        <v>9.2537537336314004E-3</v>
      </c>
      <c r="P179">
        <v>7.0432794427670503E-2</v>
      </c>
      <c r="Q179">
        <v>6.3469132738655606E-2</v>
      </c>
      <c r="R179">
        <v>4.5263192038970997E-3</v>
      </c>
      <c r="S179">
        <v>4.0788038683411999E-3</v>
      </c>
      <c r="T179">
        <v>2.3350059385181799E-2</v>
      </c>
      <c r="U179">
        <v>2.1041448527157901E-2</v>
      </c>
      <c r="V179">
        <v>0</v>
      </c>
      <c r="W179">
        <v>0</v>
      </c>
      <c r="X179">
        <v>2.3350059385181799E-2</v>
      </c>
      <c r="Y179">
        <v>2.1041448527157901E-2</v>
      </c>
      <c r="Z179">
        <v>0</v>
      </c>
      <c r="AA179">
        <v>0</v>
      </c>
      <c r="AB179">
        <v>932.44043441874999</v>
      </c>
      <c r="AC179">
        <v>840.25042856688003</v>
      </c>
      <c r="AD179" s="19">
        <f t="shared" si="54"/>
        <v>0.87429657259867355</v>
      </c>
      <c r="AE179" s="19">
        <f t="shared" si="74"/>
        <v>0.87429657259867355</v>
      </c>
      <c r="AF179">
        <f t="shared" si="73"/>
        <v>0.77559219582496841</v>
      </c>
      <c r="AG179">
        <f t="shared" si="75"/>
        <v>0.77559219582496841</v>
      </c>
      <c r="AH179">
        <f t="shared" si="55"/>
        <v>0.77559219582496841</v>
      </c>
      <c r="AI179">
        <f t="shared" si="76"/>
        <v>0.77559219582496841</v>
      </c>
      <c r="AJ179">
        <f t="shared" si="56"/>
        <v>0.67690057993832309</v>
      </c>
      <c r="AK179">
        <f t="shared" si="77"/>
        <v>0.67690057993832309</v>
      </c>
      <c r="AL179">
        <f t="shared" si="57"/>
        <v>9.8691615886641312E-2</v>
      </c>
      <c r="AM179">
        <f t="shared" si="58"/>
        <v>9.8691615886641312E-2</v>
      </c>
      <c r="AN179">
        <f t="shared" si="59"/>
        <v>4.3500589732391112E-2</v>
      </c>
      <c r="AO179">
        <f t="shared" si="60"/>
        <v>4.3500589732391112E-2</v>
      </c>
      <c r="AP179" s="20">
        <f t="shared" si="61"/>
        <v>0.87275321178075127</v>
      </c>
      <c r="AQ179" s="21">
        <f t="shared" si="62"/>
        <v>0.12724678821924804</v>
      </c>
      <c r="AR179">
        <f t="shared" si="63"/>
        <v>0.22440780417503156</v>
      </c>
      <c r="AS179">
        <f t="shared" si="64"/>
        <v>0.22440780417503156</v>
      </c>
      <c r="AT179">
        <f t="shared" si="65"/>
        <v>0</v>
      </c>
      <c r="AU179">
        <f t="shared" si="66"/>
        <v>0</v>
      </c>
      <c r="AV179">
        <f t="shared" si="67"/>
        <v>0.22440780417503156</v>
      </c>
      <c r="AW179">
        <f t="shared" si="68"/>
        <v>0</v>
      </c>
      <c r="AX179">
        <f t="shared" si="69"/>
        <v>1</v>
      </c>
      <c r="AY179">
        <f t="shared" si="70"/>
        <v>1.0405190439353447E-3</v>
      </c>
      <c r="AZ179">
        <f t="shared" si="71"/>
        <v>9.3764334999444634E-4</v>
      </c>
      <c r="BA179" s="8">
        <f t="shared" si="72"/>
        <v>1.0405190439353447E-3</v>
      </c>
    </row>
    <row r="180" spans="1:53" x14ac:dyDescent="0.35">
      <c r="A180" s="9" t="s">
        <v>54</v>
      </c>
      <c r="B180" s="11" t="s">
        <v>70</v>
      </c>
      <c r="C180">
        <f t="shared" si="53"/>
        <v>0.4580441819920264</v>
      </c>
      <c r="D180">
        <v>0.45804418199202951</v>
      </c>
      <c r="E180">
        <v>8.4225719459962E-3</v>
      </c>
      <c r="F180">
        <v>0.44962161004603018</v>
      </c>
      <c r="G180">
        <v>0</v>
      </c>
      <c r="H180">
        <v>0.14890109120145739</v>
      </c>
      <c r="I180">
        <v>0.1354033797495397</v>
      </c>
      <c r="J180">
        <v>1.34977114519179E-2</v>
      </c>
      <c r="K180">
        <v>0</v>
      </c>
      <c r="L180">
        <v>0.2257052535473604</v>
      </c>
      <c r="M180">
        <v>0.23613713299910441</v>
      </c>
      <c r="N180">
        <v>4.1502955639005001E-3</v>
      </c>
      <c r="O180">
        <v>4.3421182278894997E-3</v>
      </c>
      <c r="P180">
        <v>0.2215549579834572</v>
      </c>
      <c r="Q180">
        <v>0.23179501477121531</v>
      </c>
      <c r="R180">
        <v>0</v>
      </c>
      <c r="S180">
        <v>0</v>
      </c>
      <c r="T180">
        <v>7.3372307441923898E-2</v>
      </c>
      <c r="U180">
        <v>7.6763504830113405E-2</v>
      </c>
      <c r="V180">
        <v>6.6721192756185405E-2</v>
      </c>
      <c r="W180">
        <v>6.9804982029008505E-2</v>
      </c>
      <c r="X180">
        <v>6.6511146857386001E-3</v>
      </c>
      <c r="Y180">
        <v>6.958522801105E-3</v>
      </c>
      <c r="Z180">
        <v>0</v>
      </c>
      <c r="AA180">
        <v>0</v>
      </c>
      <c r="AB180">
        <v>193.97380504054999</v>
      </c>
      <c r="AC180">
        <v>202.93908750153</v>
      </c>
      <c r="AD180" s="19">
        <f t="shared" si="54"/>
        <v>0.6069452731934869</v>
      </c>
      <c r="AE180" s="19">
        <f t="shared" si="74"/>
        <v>0.6069452731934869</v>
      </c>
      <c r="AF180">
        <f t="shared" si="73"/>
        <v>0.75467130600094567</v>
      </c>
      <c r="AG180">
        <f t="shared" si="75"/>
        <v>0.75467130600094567</v>
      </c>
      <c r="AH180">
        <f t="shared" si="55"/>
        <v>0.75467130600094567</v>
      </c>
      <c r="AI180">
        <f t="shared" si="76"/>
        <v>0.75467130600094567</v>
      </c>
      <c r="AJ180">
        <f t="shared" si="56"/>
        <v>0.74079431853931943</v>
      </c>
      <c r="AK180">
        <f t="shared" si="77"/>
        <v>0.74079431853931943</v>
      </c>
      <c r="AL180">
        <f t="shared" si="57"/>
        <v>1.3876987461621082E-2</v>
      </c>
      <c r="AM180">
        <f t="shared" si="58"/>
        <v>1.3876987461621082E-2</v>
      </c>
      <c r="AN180">
        <f t="shared" si="59"/>
        <v>0</v>
      </c>
      <c r="AO180">
        <f t="shared" si="60"/>
        <v>0</v>
      </c>
      <c r="AP180" s="20">
        <f t="shared" si="61"/>
        <v>0.98161187877255296</v>
      </c>
      <c r="AQ180" s="21">
        <f t="shared" si="62"/>
        <v>1.8388121227446923E-2</v>
      </c>
      <c r="AR180">
        <f t="shared" si="63"/>
        <v>0.24532869399905435</v>
      </c>
      <c r="AS180">
        <f t="shared" si="64"/>
        <v>0.24532869399905435</v>
      </c>
      <c r="AT180">
        <f t="shared" si="65"/>
        <v>0.2230899320413271</v>
      </c>
      <c r="AU180">
        <f t="shared" si="66"/>
        <v>0.2230899320413271</v>
      </c>
      <c r="AV180">
        <f t="shared" si="67"/>
        <v>2.2238761957727598E-2</v>
      </c>
      <c r="AW180">
        <f t="shared" si="68"/>
        <v>0.90935115825540991</v>
      </c>
      <c r="AX180">
        <f t="shared" si="69"/>
        <v>9.0648841744591521E-2</v>
      </c>
      <c r="AY180">
        <f t="shared" si="70"/>
        <v>2.9907756098928504E-3</v>
      </c>
      <c r="AZ180">
        <f t="shared" si="71"/>
        <v>3.1290063782921911E-3</v>
      </c>
      <c r="BA180" s="8">
        <f t="shared" si="72"/>
        <v>2.9907756098928504E-3</v>
      </c>
    </row>
    <row r="181" spans="1:53" x14ac:dyDescent="0.35">
      <c r="A181" s="9" t="s">
        <v>55</v>
      </c>
      <c r="B181" s="11" t="s">
        <v>70</v>
      </c>
      <c r="C181">
        <f t="shared" si="53"/>
        <v>6.4610800792816295E-2</v>
      </c>
      <c r="D181">
        <v>6.4610800792815198E-2</v>
      </c>
      <c r="E181">
        <v>5.5249140820460996E-3</v>
      </c>
      <c r="F181">
        <v>5.9085886710770197E-2</v>
      </c>
      <c r="G181">
        <v>0</v>
      </c>
      <c r="H181">
        <v>2.4021959889068901E-2</v>
      </c>
      <c r="I181">
        <v>-1.5880197370153198E-2</v>
      </c>
      <c r="J181">
        <v>3.9902157259222103E-2</v>
      </c>
      <c r="K181">
        <v>0</v>
      </c>
      <c r="L181">
        <v>1.57491543608725E-2</v>
      </c>
      <c r="M181">
        <v>1.9552115711977701E-2</v>
      </c>
      <c r="N181">
        <v>1.3467210379842999E-3</v>
      </c>
      <c r="O181">
        <v>1.6719148827343999E-3</v>
      </c>
      <c r="P181">
        <v>1.4402433322887801E-2</v>
      </c>
      <c r="Q181">
        <v>1.7880200829243301E-2</v>
      </c>
      <c r="R181">
        <v>0</v>
      </c>
      <c r="S181">
        <v>0</v>
      </c>
      <c r="T181">
        <v>5.855453727571E-3</v>
      </c>
      <c r="U181">
        <v>7.2693749901916998E-3</v>
      </c>
      <c r="V181">
        <v>-3.8708648800940002E-3</v>
      </c>
      <c r="W181">
        <v>-4.8055658295570996E-3</v>
      </c>
      <c r="X181">
        <v>9.7263186076647998E-3</v>
      </c>
      <c r="Y181">
        <v>1.20749408197489E-2</v>
      </c>
      <c r="Z181">
        <v>0</v>
      </c>
      <c r="AA181">
        <v>0</v>
      </c>
      <c r="AB181">
        <v>330.45426768437</v>
      </c>
      <c r="AC181">
        <v>410.24933347112</v>
      </c>
      <c r="AD181" s="19">
        <f t="shared" si="54"/>
        <v>8.8632760681884096E-2</v>
      </c>
      <c r="AE181" s="19">
        <f t="shared" si="74"/>
        <v>8.8632760681884096E-2</v>
      </c>
      <c r="AF181">
        <f t="shared" si="73"/>
        <v>0.72897199969560678</v>
      </c>
      <c r="AG181">
        <f t="shared" si="75"/>
        <v>0.72897199969560678</v>
      </c>
      <c r="AH181">
        <f t="shared" si="55"/>
        <v>0.72897199969560678</v>
      </c>
      <c r="AI181">
        <f t="shared" si="76"/>
        <v>0.72897199969560678</v>
      </c>
      <c r="AJ181">
        <f t="shared" si="56"/>
        <v>0.66663710185941361</v>
      </c>
      <c r="AK181">
        <f t="shared" si="77"/>
        <v>0.66663710185941361</v>
      </c>
      <c r="AL181">
        <f t="shared" si="57"/>
        <v>6.2334897836205529E-2</v>
      </c>
      <c r="AM181">
        <f t="shared" si="58"/>
        <v>6.2334897836205529E-2</v>
      </c>
      <c r="AN181">
        <f t="shared" si="59"/>
        <v>0</v>
      </c>
      <c r="AO181">
        <f t="shared" si="60"/>
        <v>0</v>
      </c>
      <c r="AP181" s="20">
        <f t="shared" si="61"/>
        <v>0.91448931116389476</v>
      </c>
      <c r="AQ181" s="21">
        <f t="shared" si="62"/>
        <v>8.5510688836106755E-2</v>
      </c>
      <c r="AR181">
        <f t="shared" si="63"/>
        <v>0.27102800030439328</v>
      </c>
      <c r="AS181">
        <f t="shared" si="64"/>
        <v>0.27102800030439328</v>
      </c>
      <c r="AT181">
        <f t="shared" si="65"/>
        <v>-0.17916848406820524</v>
      </c>
      <c r="AU181">
        <f t="shared" si="66"/>
        <v>-0.17916848406820524</v>
      </c>
      <c r="AV181">
        <f t="shared" si="67"/>
        <v>0.45019648437259857</v>
      </c>
      <c r="AW181">
        <f t="shared" si="68"/>
        <v>-0.6610700144154108</v>
      </c>
      <c r="AX181">
        <f t="shared" si="69"/>
        <v>1.6610700144154109</v>
      </c>
      <c r="AY181">
        <f t="shared" si="70"/>
        <v>2.1604608088442759E-4</v>
      </c>
      <c r="AZ181">
        <f t="shared" si="71"/>
        <v>2.6821490702169041E-4</v>
      </c>
      <c r="BA181" s="8">
        <f t="shared" si="72"/>
        <v>2.1604608088442759E-4</v>
      </c>
    </row>
    <row r="182" spans="1:53" x14ac:dyDescent="0.35">
      <c r="A182" s="9" t="s">
        <v>56</v>
      </c>
      <c r="B182" s="11" t="s">
        <v>70</v>
      </c>
      <c r="C182">
        <f t="shared" si="53"/>
        <v>-5.9962728984468416</v>
      </c>
      <c r="D182">
        <v>1.7405980237011409</v>
      </c>
      <c r="E182">
        <v>-0.33574397714601328</v>
      </c>
      <c r="F182">
        <v>2.0763420008471538</v>
      </c>
      <c r="G182">
        <v>-7.7368709221479817</v>
      </c>
      <c r="H182">
        <v>-1.6726829942206931</v>
      </c>
      <c r="I182">
        <v>0</v>
      </c>
      <c r="J182">
        <v>-1.6726829942206931</v>
      </c>
      <c r="K182">
        <v>0</v>
      </c>
      <c r="L182">
        <v>0.78277540164496529</v>
      </c>
      <c r="M182">
        <v>0.51011629076668319</v>
      </c>
      <c r="N182">
        <v>-0.1509895581758243</v>
      </c>
      <c r="O182">
        <v>-9.8396338463489302E-2</v>
      </c>
      <c r="P182">
        <v>0.93376495982079</v>
      </c>
      <c r="Q182">
        <v>0.60851262923017257</v>
      </c>
      <c r="R182">
        <v>-3.4793974031303891</v>
      </c>
      <c r="S182">
        <v>-2.2674413294774491</v>
      </c>
      <c r="T182">
        <v>-0.75223290202391802</v>
      </c>
      <c r="U182">
        <v>-0.4902124632004487</v>
      </c>
      <c r="V182">
        <v>0</v>
      </c>
      <c r="W182">
        <v>0</v>
      </c>
      <c r="X182">
        <v>-0.75223290202391802</v>
      </c>
      <c r="Y182">
        <v>-0.4902124632004487</v>
      </c>
      <c r="Z182">
        <v>0</v>
      </c>
      <c r="AA182">
        <v>0</v>
      </c>
      <c r="AB182">
        <v>341.21592570296002</v>
      </c>
      <c r="AC182">
        <v>222.36238134761999</v>
      </c>
      <c r="AD182" s="19">
        <v>0</v>
      </c>
      <c r="AE182" s="19">
        <v>0</v>
      </c>
      <c r="AF182">
        <v>0</v>
      </c>
      <c r="AG182">
        <v>0</v>
      </c>
      <c r="AH182">
        <v>0</v>
      </c>
      <c r="AI182">
        <v>0</v>
      </c>
      <c r="AJ182" t="e">
        <f t="shared" si="56"/>
        <v>#DIV/0!</v>
      </c>
      <c r="AK182">
        <v>0</v>
      </c>
      <c r="AL182" t="e">
        <f t="shared" si="57"/>
        <v>#DIV/0!</v>
      </c>
      <c r="AM182" t="e">
        <f t="shared" si="58"/>
        <v>#DIV/0!</v>
      </c>
      <c r="AN182" t="e">
        <f t="shared" si="59"/>
        <v>#DIV/0!</v>
      </c>
      <c r="AO182" t="e">
        <f t="shared" si="60"/>
        <v>#DIV/0!</v>
      </c>
      <c r="AP182" s="20">
        <f t="shared" si="61"/>
        <v>1.1928900139919154</v>
      </c>
      <c r="AQ182" s="21">
        <f t="shared" si="62"/>
        <v>-0.19289001399191535</v>
      </c>
      <c r="AR182" t="e">
        <f t="shared" si="63"/>
        <v>#DIV/0!</v>
      </c>
      <c r="AS182" t="e">
        <f t="shared" si="64"/>
        <v>#DIV/0!</v>
      </c>
      <c r="AT182">
        <v>0</v>
      </c>
      <c r="AU182" t="e">
        <f t="shared" si="66"/>
        <v>#DIV/0!</v>
      </c>
      <c r="AV182" t="e">
        <f t="shared" si="67"/>
        <v>#DIV/0!</v>
      </c>
      <c r="AW182">
        <f t="shared" si="68"/>
        <v>0</v>
      </c>
      <c r="AX182">
        <f t="shared" si="69"/>
        <v>1</v>
      </c>
      <c r="AY182">
        <f t="shared" si="70"/>
        <v>0</v>
      </c>
      <c r="AZ182">
        <f t="shared" si="71"/>
        <v>0</v>
      </c>
      <c r="BA182" s="8">
        <f t="shared" si="72"/>
        <v>0</v>
      </c>
    </row>
    <row r="183" spans="1:53" x14ac:dyDescent="0.35">
      <c r="A183" s="9" t="s">
        <v>57</v>
      </c>
      <c r="B183" s="11" t="s">
        <v>70</v>
      </c>
      <c r="C183">
        <f t="shared" si="53"/>
        <v>0.7084994283487096</v>
      </c>
      <c r="D183">
        <v>0.65254641160964377</v>
      </c>
      <c r="E183">
        <v>0.12712771106513479</v>
      </c>
      <c r="F183">
        <v>0.52541870054450879</v>
      </c>
      <c r="G183">
        <v>5.5953016739065997E-2</v>
      </c>
      <c r="H183">
        <v>1.7931727792675801E-2</v>
      </c>
      <c r="I183">
        <v>0</v>
      </c>
      <c r="J183">
        <v>1.7931727792675801E-2</v>
      </c>
      <c r="K183">
        <v>0</v>
      </c>
      <c r="L183">
        <v>0.65589764735081246</v>
      </c>
      <c r="M183">
        <v>0.35911075319053859</v>
      </c>
      <c r="N183">
        <v>0.1277805917207247</v>
      </c>
      <c r="O183">
        <v>6.99611970271619E-2</v>
      </c>
      <c r="P183">
        <v>0.52811705563008715</v>
      </c>
      <c r="Q183">
        <v>0.28914955616337679</v>
      </c>
      <c r="R183">
        <v>5.62403706286684E-2</v>
      </c>
      <c r="S183">
        <v>3.07921852407162E-2</v>
      </c>
      <c r="T183">
        <v>1.8023818479270402E-2</v>
      </c>
      <c r="U183">
        <v>9.8682272388126002E-3</v>
      </c>
      <c r="V183">
        <v>0</v>
      </c>
      <c r="W183">
        <v>0</v>
      </c>
      <c r="X183">
        <v>1.8023818479270402E-2</v>
      </c>
      <c r="Y183">
        <v>9.8682272388126002E-3</v>
      </c>
      <c r="Z183">
        <v>0</v>
      </c>
      <c r="AA183">
        <v>0</v>
      </c>
      <c r="AB183">
        <v>181.71174374815001</v>
      </c>
      <c r="AC183">
        <v>99.489061173690004</v>
      </c>
      <c r="AD183" s="19">
        <f t="shared" si="54"/>
        <v>0.6704781394023196</v>
      </c>
      <c r="AE183" s="19">
        <f>(D183)+(H183)</f>
        <v>0.6704781394023196</v>
      </c>
      <c r="AF183">
        <f t="shared" si="73"/>
        <v>0.97325531327738646</v>
      </c>
      <c r="AG183">
        <f>D183/AE183</f>
        <v>0.97325531327738646</v>
      </c>
      <c r="AH183">
        <f t="shared" si="55"/>
        <v>0.97325531327738646</v>
      </c>
      <c r="AI183">
        <f>$D183/(AD183)</f>
        <v>0.97325531327738646</v>
      </c>
      <c r="AJ183">
        <f t="shared" si="56"/>
        <v>0.78364777263712093</v>
      </c>
      <c r="AK183">
        <f>(F183/(AD183))</f>
        <v>0.78364777263712093</v>
      </c>
      <c r="AL183">
        <f t="shared" si="57"/>
        <v>0.18960754064026533</v>
      </c>
      <c r="AM183">
        <f t="shared" si="58"/>
        <v>0.18960754064026533</v>
      </c>
      <c r="AN183">
        <f t="shared" si="59"/>
        <v>8.345241022912972E-2</v>
      </c>
      <c r="AO183">
        <f t="shared" si="60"/>
        <v>8.345241022912972E-2</v>
      </c>
      <c r="AP183" s="20">
        <f t="shared" si="61"/>
        <v>0.80518211608650581</v>
      </c>
      <c r="AQ183" s="21">
        <f t="shared" si="62"/>
        <v>0.19481788391349422</v>
      </c>
      <c r="AR183">
        <f t="shared" si="63"/>
        <v>2.6744686722613473E-2</v>
      </c>
      <c r="AS183">
        <f t="shared" si="64"/>
        <v>2.6744686722613473E-2</v>
      </c>
      <c r="AT183">
        <f t="shared" si="65"/>
        <v>0</v>
      </c>
      <c r="AU183">
        <f t="shared" si="66"/>
        <v>0</v>
      </c>
      <c r="AV183">
        <f t="shared" si="67"/>
        <v>2.6744686722613473E-2</v>
      </c>
      <c r="AW183">
        <f t="shared" si="68"/>
        <v>0</v>
      </c>
      <c r="AX183">
        <f t="shared" si="69"/>
        <v>1</v>
      </c>
      <c r="AY183">
        <f t="shared" si="70"/>
        <v>6.7392146583008291E-3</v>
      </c>
      <c r="AZ183">
        <f t="shared" si="71"/>
        <v>3.6897898042935139E-3</v>
      </c>
      <c r="BA183" s="8">
        <f t="shared" si="72"/>
        <v>6.7392146583008291E-3</v>
      </c>
    </row>
    <row r="184" spans="1:53" x14ac:dyDescent="0.35">
      <c r="A184" s="9" t="s">
        <v>58</v>
      </c>
      <c r="B184" s="11" t="s">
        <v>70</v>
      </c>
      <c r="C184">
        <f t="shared" si="53"/>
        <v>1.0573141337899381</v>
      </c>
      <c r="D184">
        <v>1.0573141337899381</v>
      </c>
      <c r="E184">
        <v>1.2073783018730999E-3</v>
      </c>
      <c r="F184">
        <v>1.056106755488065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2.0970974668715678</v>
      </c>
      <c r="M184">
        <v>1.390519146519885</v>
      </c>
      <c r="N184">
        <v>2.3947376635719999E-3</v>
      </c>
      <c r="O184">
        <v>1.5878749675172E-3</v>
      </c>
      <c r="P184">
        <v>2.0947027292079961</v>
      </c>
      <c r="Q184">
        <v>1.3889312715523681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76.037366075549997</v>
      </c>
      <c r="AC184">
        <v>50.417977728389999</v>
      </c>
      <c r="AD184" s="19">
        <f t="shared" si="54"/>
        <v>1.0573141337899381</v>
      </c>
      <c r="AE184" s="19">
        <f t="shared" si="74"/>
        <v>1.0573141337899381</v>
      </c>
      <c r="AF184">
        <f t="shared" si="73"/>
        <v>1</v>
      </c>
      <c r="AG184">
        <f>D184/AE184</f>
        <v>1</v>
      </c>
      <c r="AH184">
        <f t="shared" si="55"/>
        <v>1</v>
      </c>
      <c r="AI184">
        <f>$D184/(AD184)</f>
        <v>1</v>
      </c>
      <c r="AJ184">
        <f t="shared" si="56"/>
        <v>0.99885807040378316</v>
      </c>
      <c r="AK184">
        <f>(F184/(AD184))</f>
        <v>0.99885807040378316</v>
      </c>
      <c r="AL184">
        <f t="shared" si="57"/>
        <v>1.1419295962168381E-3</v>
      </c>
      <c r="AM184">
        <f t="shared" si="58"/>
        <v>1.1419295962168381E-3</v>
      </c>
      <c r="AN184">
        <f t="shared" si="59"/>
        <v>0</v>
      </c>
      <c r="AO184">
        <f t="shared" si="60"/>
        <v>0</v>
      </c>
      <c r="AP184" s="20">
        <f t="shared" si="61"/>
        <v>0.99885807040378316</v>
      </c>
      <c r="AQ184" s="21">
        <f t="shared" si="62"/>
        <v>1.1419295962168381E-3</v>
      </c>
      <c r="AR184">
        <f t="shared" si="63"/>
        <v>0</v>
      </c>
      <c r="AS184">
        <f t="shared" si="64"/>
        <v>0</v>
      </c>
      <c r="AT184">
        <f t="shared" si="65"/>
        <v>0</v>
      </c>
      <c r="AU184">
        <f t="shared" si="66"/>
        <v>0</v>
      </c>
      <c r="AV184">
        <f t="shared" si="67"/>
        <v>0</v>
      </c>
      <c r="AW184" t="e">
        <f t="shared" si="68"/>
        <v>#DIV/0!</v>
      </c>
      <c r="AX184" t="e">
        <f t="shared" si="69"/>
        <v>#DIV/0!</v>
      </c>
      <c r="AY184">
        <f t="shared" si="70"/>
        <v>2.0970974668715683E-2</v>
      </c>
      <c r="AZ184">
        <f t="shared" si="71"/>
        <v>1.3905191465198845E-2</v>
      </c>
      <c r="BA184" s="8">
        <f t="shared" si="72"/>
        <v>2.0970974668715683E-2</v>
      </c>
    </row>
    <row r="185" spans="1:53" x14ac:dyDescent="0.35">
      <c r="A185" s="9" t="s">
        <v>59</v>
      </c>
      <c r="B185" s="11" t="s">
        <v>70</v>
      </c>
      <c r="C185">
        <f t="shared" si="53"/>
        <v>0.26257357591797148</v>
      </c>
      <c r="D185">
        <v>0.1497873810746348</v>
      </c>
      <c r="E185">
        <v>4.9594344938770699E-2</v>
      </c>
      <c r="F185">
        <v>0.1001930361358631</v>
      </c>
      <c r="G185">
        <v>0.1127861948433377</v>
      </c>
      <c r="H185">
        <v>8.81079020611963E-2</v>
      </c>
      <c r="I185">
        <v>3.9390999393046997E-3</v>
      </c>
      <c r="J185">
        <v>8.4168802121890707E-2</v>
      </c>
      <c r="K185">
        <v>0</v>
      </c>
      <c r="L185">
        <v>2.72429216534293E-2</v>
      </c>
      <c r="M185">
        <v>2.87497293662566E-2</v>
      </c>
      <c r="N185">
        <v>9.0200846288038001E-3</v>
      </c>
      <c r="O185">
        <v>9.5189860778459E-3</v>
      </c>
      <c r="P185">
        <v>1.8222837024625699E-2</v>
      </c>
      <c r="Q185">
        <v>1.9230743288411099E-2</v>
      </c>
      <c r="R185">
        <v>2.05132464942057E-2</v>
      </c>
      <c r="S185">
        <v>2.1647835450037699E-2</v>
      </c>
      <c r="T185">
        <v>1.6024825694129701E-2</v>
      </c>
      <c r="U185">
        <v>1.6911159812760701E-2</v>
      </c>
      <c r="V185">
        <v>7.164327880066E-4</v>
      </c>
      <c r="W185">
        <v>7.5605873064310005E-4</v>
      </c>
      <c r="X185">
        <v>1.5308392906123699E-2</v>
      </c>
      <c r="Y185">
        <v>1.61551010821172E-2</v>
      </c>
      <c r="Z185">
        <v>0</v>
      </c>
      <c r="AA185">
        <v>0</v>
      </c>
      <c r="AB185">
        <v>521.00449074291998</v>
      </c>
      <c r="AC185">
        <v>549.82128194673999</v>
      </c>
      <c r="AD185" s="19">
        <f t="shared" si="54"/>
        <v>0.23789528313583108</v>
      </c>
      <c r="AE185" s="19">
        <f t="shared" si="74"/>
        <v>0.23789528313583108</v>
      </c>
      <c r="AF185">
        <f t="shared" si="73"/>
        <v>0.62963577545634097</v>
      </c>
      <c r="AG185">
        <f>D185/AE185</f>
        <v>0.62963577545634097</v>
      </c>
      <c r="AH185">
        <f t="shared" si="55"/>
        <v>0.62963577545634097</v>
      </c>
      <c r="AI185">
        <f>$D185/(AD185)</f>
        <v>0.62963577545634097</v>
      </c>
      <c r="AJ185">
        <f t="shared" si="56"/>
        <v>0.42116445023693838</v>
      </c>
      <c r="AK185">
        <f>(F185/(AD185))</f>
        <v>0.42116445023693838</v>
      </c>
      <c r="AL185">
        <f t="shared" si="57"/>
        <v>0.20847132521939837</v>
      </c>
      <c r="AM185">
        <f t="shared" si="58"/>
        <v>0.20847132521939837</v>
      </c>
      <c r="AN185">
        <f t="shared" si="59"/>
        <v>0.47410017280140926</v>
      </c>
      <c r="AO185">
        <f t="shared" si="60"/>
        <v>0.47410017280140926</v>
      </c>
      <c r="AP185" s="20">
        <f t="shared" si="61"/>
        <v>0.66890171533168352</v>
      </c>
      <c r="AQ185" s="21">
        <f t="shared" si="62"/>
        <v>0.33109828466831426</v>
      </c>
      <c r="AR185">
        <f t="shared" si="63"/>
        <v>0.37036422454365908</v>
      </c>
      <c r="AS185">
        <f t="shared" si="64"/>
        <v>0.37036422454365908</v>
      </c>
      <c r="AT185">
        <f t="shared" si="65"/>
        <v>1.6558125438139063E-2</v>
      </c>
      <c r="AU185">
        <f t="shared" si="66"/>
        <v>1.6558125438139063E-2</v>
      </c>
      <c r="AV185">
        <f t="shared" si="67"/>
        <v>0.3538060991055163</v>
      </c>
      <c r="AW185">
        <f t="shared" si="68"/>
        <v>4.4707680550250248E-2</v>
      </c>
      <c r="AX185">
        <f t="shared" si="69"/>
        <v>0.95529231944973958</v>
      </c>
      <c r="AY185">
        <f t="shared" si="70"/>
        <v>4.3267747347560016E-4</v>
      </c>
      <c r="AZ185">
        <f t="shared" si="71"/>
        <v>4.5660889179017865E-4</v>
      </c>
      <c r="BA185" s="8">
        <f t="shared" si="72"/>
        <v>4.3267747347560016E-4</v>
      </c>
    </row>
    <row r="186" spans="1:53" x14ac:dyDescent="0.35">
      <c r="A186" s="9" t="s">
        <v>60</v>
      </c>
      <c r="B186" s="11" t="s">
        <v>70</v>
      </c>
      <c r="C186">
        <f t="shared" si="53"/>
        <v>14.861503111824634</v>
      </c>
      <c r="D186">
        <v>14.861503111824639</v>
      </c>
      <c r="E186">
        <v>1.550165795496744</v>
      </c>
      <c r="F186">
        <v>13.31133731632789</v>
      </c>
      <c r="G186">
        <v>0</v>
      </c>
      <c r="H186">
        <v>1.759052535380377</v>
      </c>
      <c r="I186">
        <v>0.21456229224262149</v>
      </c>
      <c r="J186">
        <v>1.544490243137751</v>
      </c>
      <c r="K186">
        <v>0</v>
      </c>
      <c r="L186">
        <v>1.989199372387606</v>
      </c>
      <c r="M186">
        <v>2.5154274674357882</v>
      </c>
      <c r="N186">
        <v>0.20748835459620391</v>
      </c>
      <c r="O186">
        <v>0.26237787602853141</v>
      </c>
      <c r="P186">
        <v>1.7817110177914031</v>
      </c>
      <c r="Q186">
        <v>2.2530495914072559</v>
      </c>
      <c r="R186">
        <v>0</v>
      </c>
      <c r="S186">
        <v>0</v>
      </c>
      <c r="T186">
        <v>0.2354476645495831</v>
      </c>
      <c r="U186">
        <v>0.29773361623413219</v>
      </c>
      <c r="V186">
        <v>2.8718977741052101E-2</v>
      </c>
      <c r="W186">
        <v>3.63163725312311E-2</v>
      </c>
      <c r="X186">
        <v>0.2067286868085309</v>
      </c>
      <c r="Y186">
        <v>0.2614172437029012</v>
      </c>
      <c r="Z186">
        <v>0</v>
      </c>
      <c r="AA186">
        <v>0</v>
      </c>
      <c r="AB186">
        <v>590.81421763174001</v>
      </c>
      <c r="AC186">
        <v>747.10978286638999</v>
      </c>
      <c r="AD186" s="19">
        <f t="shared" si="54"/>
        <v>16.620555647205016</v>
      </c>
      <c r="AE186" s="19">
        <f t="shared" si="74"/>
        <v>16.620555647205016</v>
      </c>
      <c r="AF186">
        <f t="shared" si="73"/>
        <v>0.89416403562439339</v>
      </c>
      <c r="AG186">
        <f>D186/AE186</f>
        <v>0.89416403562439339</v>
      </c>
      <c r="AH186">
        <f t="shared" si="55"/>
        <v>0.89416403562439339</v>
      </c>
      <c r="AI186">
        <f>$D186/(AD186)</f>
        <v>0.89416403562439339</v>
      </c>
      <c r="AJ186">
        <f t="shared" si="56"/>
        <v>0.80089604697219507</v>
      </c>
      <c r="AK186">
        <f>(F186/(AD186))</f>
        <v>0.80089604697219507</v>
      </c>
      <c r="AL186">
        <f t="shared" si="57"/>
        <v>9.3267988652198069E-2</v>
      </c>
      <c r="AM186">
        <f t="shared" si="58"/>
        <v>9.3267988652198069E-2</v>
      </c>
      <c r="AN186">
        <f t="shared" si="59"/>
        <v>0</v>
      </c>
      <c r="AO186">
        <f t="shared" si="60"/>
        <v>0</v>
      </c>
      <c r="AP186" s="20">
        <f t="shared" si="61"/>
        <v>0.89569252962956714</v>
      </c>
      <c r="AQ186" s="21">
        <f t="shared" si="62"/>
        <v>0.10430747037043284</v>
      </c>
      <c r="AR186">
        <f t="shared" si="63"/>
        <v>0.10583596437560659</v>
      </c>
      <c r="AS186">
        <f t="shared" si="64"/>
        <v>0.10583596437560659</v>
      </c>
      <c r="AT186">
        <f t="shared" si="65"/>
        <v>1.2909453618580027E-2</v>
      </c>
      <c r="AU186">
        <f t="shared" si="66"/>
        <v>1.2909453618580027E-2</v>
      </c>
      <c r="AV186">
        <f t="shared" si="67"/>
        <v>9.2926510757026293E-2</v>
      </c>
      <c r="AW186">
        <f t="shared" si="68"/>
        <v>0.12197605695512932</v>
      </c>
      <c r="AX186">
        <f t="shared" si="69"/>
        <v>0.87802394304486808</v>
      </c>
      <c r="AY186">
        <f t="shared" si="70"/>
        <v>2.2246470369371895E-2</v>
      </c>
      <c r="AZ186">
        <f t="shared" si="71"/>
        <v>2.8131610836699197E-2</v>
      </c>
      <c r="BA186" s="8">
        <f t="shared" si="72"/>
        <v>2.2246470369371895E-2</v>
      </c>
    </row>
    <row r="187" spans="1:53" x14ac:dyDescent="0.35">
      <c r="A187" s="7" t="s">
        <v>61</v>
      </c>
      <c r="B187" s="11" t="s">
        <v>70</v>
      </c>
      <c r="C187">
        <f t="shared" si="53"/>
        <v>-2.3244291230590001E-4</v>
      </c>
      <c r="D187">
        <v>0</v>
      </c>
      <c r="E187">
        <v>0</v>
      </c>
      <c r="F187">
        <v>0</v>
      </c>
      <c r="G187">
        <v>-2.3244291230590001E-4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-8.8732399514901417E-5</v>
      </c>
      <c r="S187">
        <v>-5.2673663377023061E-5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441.28867711817003</v>
      </c>
      <c r="AC187">
        <v>261.95945739796002</v>
      </c>
      <c r="AD187" s="19">
        <f t="shared" si="54"/>
        <v>0</v>
      </c>
      <c r="AE187" s="19">
        <f t="shared" si="74"/>
        <v>0</v>
      </c>
      <c r="AF187">
        <v>0</v>
      </c>
      <c r="AG187">
        <v>0</v>
      </c>
      <c r="AH187">
        <v>0</v>
      </c>
      <c r="AI187">
        <v>0</v>
      </c>
      <c r="AJ187" t="e">
        <f t="shared" si="56"/>
        <v>#DIV/0!</v>
      </c>
      <c r="AK187">
        <v>0</v>
      </c>
      <c r="AL187" t="e">
        <f t="shared" si="57"/>
        <v>#DIV/0!</v>
      </c>
      <c r="AM187" t="e">
        <f t="shared" si="58"/>
        <v>#DIV/0!</v>
      </c>
      <c r="AN187" t="e">
        <f t="shared" si="59"/>
        <v>#DIV/0!</v>
      </c>
      <c r="AO187" t="e">
        <f t="shared" si="60"/>
        <v>#DIV/0!</v>
      </c>
      <c r="AP187" s="20" t="e">
        <f t="shared" si="61"/>
        <v>#DIV/0!</v>
      </c>
      <c r="AQ187" s="21" t="e">
        <f t="shared" si="62"/>
        <v>#DIV/0!</v>
      </c>
      <c r="AR187" t="e">
        <f t="shared" si="63"/>
        <v>#DIV/0!</v>
      </c>
      <c r="AS187" t="e">
        <f t="shared" si="64"/>
        <v>#DIV/0!</v>
      </c>
      <c r="AT187">
        <v>0</v>
      </c>
      <c r="AU187" t="e">
        <f t="shared" si="66"/>
        <v>#DIV/0!</v>
      </c>
      <c r="AV187" t="e">
        <f t="shared" si="67"/>
        <v>#DIV/0!</v>
      </c>
      <c r="AW187" t="e">
        <f t="shared" si="68"/>
        <v>#DIV/0!</v>
      </c>
      <c r="AX187" t="e">
        <f t="shared" si="69"/>
        <v>#DIV/0!</v>
      </c>
      <c r="AY187">
        <f t="shared" si="70"/>
        <v>0</v>
      </c>
      <c r="AZ187">
        <f t="shared" si="71"/>
        <v>0</v>
      </c>
      <c r="BA187" s="8">
        <f t="shared" si="72"/>
        <v>0</v>
      </c>
    </row>
    <row r="188" spans="1:53" x14ac:dyDescent="0.35">
      <c r="A188" s="7" t="s">
        <v>62</v>
      </c>
      <c r="B188" s="11" t="s">
        <v>70</v>
      </c>
      <c r="C188">
        <f t="shared" si="53"/>
        <v>7.7171335028739893E-2</v>
      </c>
      <c r="D188">
        <v>7.6428054034677104E-2</v>
      </c>
      <c r="E188">
        <v>2.01332522861585E-2</v>
      </c>
      <c r="F188">
        <v>5.6294801748519398E-2</v>
      </c>
      <c r="G188">
        <v>7.4328099406199995E-4</v>
      </c>
      <c r="H188">
        <v>0.1064973008292113</v>
      </c>
      <c r="I188">
        <v>5.8988637891250299E-2</v>
      </c>
      <c r="J188">
        <v>4.7508662937961001E-2</v>
      </c>
      <c r="K188">
        <v>0</v>
      </c>
      <c r="L188">
        <v>2.3779315743929798E-2</v>
      </c>
      <c r="M188">
        <v>1.10690037893568E-2</v>
      </c>
      <c r="N188">
        <v>6.2641260347612998E-3</v>
      </c>
      <c r="O188">
        <v>2.9158801524168999E-3</v>
      </c>
      <c r="P188">
        <v>1.75151897091687E-2</v>
      </c>
      <c r="Q188">
        <v>8.1531236369397995E-3</v>
      </c>
      <c r="R188">
        <v>2.31259498459E-4</v>
      </c>
      <c r="S188">
        <v>1.0764869318919999E-4</v>
      </c>
      <c r="T188">
        <v>3.3134860939218101E-2</v>
      </c>
      <c r="U188">
        <v>1.5423904760153999E-2</v>
      </c>
      <c r="V188">
        <v>1.8353331946459401E-2</v>
      </c>
      <c r="W188">
        <v>8.5432694132310007E-3</v>
      </c>
      <c r="X188">
        <v>1.4781528992759E-2</v>
      </c>
      <c r="Y188">
        <v>6.8806353469231998E-3</v>
      </c>
      <c r="Z188">
        <v>0</v>
      </c>
      <c r="AA188">
        <v>0</v>
      </c>
      <c r="AB188">
        <v>690.46912883131995</v>
      </c>
      <c r="AC188">
        <v>321.40560669490998</v>
      </c>
      <c r="AD188" s="19">
        <f t="shared" si="54"/>
        <v>0.18292535486388839</v>
      </c>
      <c r="AE188" s="19">
        <f t="shared" si="74"/>
        <v>0.18292535486388839</v>
      </c>
      <c r="AF188">
        <f t="shared" si="73"/>
        <v>0.41781006297101847</v>
      </c>
      <c r="AG188">
        <f t="shared" ref="AG188:AG201" si="78">D188/AE188</f>
        <v>0.41781006297101847</v>
      </c>
      <c r="AH188">
        <f t="shared" si="55"/>
        <v>0.41781006297101847</v>
      </c>
      <c r="AI188">
        <f t="shared" ref="AI188:AI201" si="79">$D188/(AD188)</f>
        <v>0.41781006297101847</v>
      </c>
      <c r="AJ188">
        <f t="shared" si="56"/>
        <v>0.30774739669307949</v>
      </c>
      <c r="AK188">
        <f t="shared" ref="AK188:AK203" si="80">(F188/(AD188))</f>
        <v>0.30774739669307949</v>
      </c>
      <c r="AL188">
        <f t="shared" si="57"/>
        <v>0.1100626662779433</v>
      </c>
      <c r="AM188">
        <f t="shared" si="58"/>
        <v>0.1100626662779433</v>
      </c>
      <c r="AN188">
        <f t="shared" si="59"/>
        <v>4.0633021847357497E-3</v>
      </c>
      <c r="AO188">
        <f t="shared" si="60"/>
        <v>4.0633021847357497E-3</v>
      </c>
      <c r="AP188" s="20">
        <f t="shared" si="61"/>
        <v>0.73657248584370094</v>
      </c>
      <c r="AQ188" s="21">
        <f t="shared" si="62"/>
        <v>0.26342751415630178</v>
      </c>
      <c r="AR188">
        <f t="shared" si="63"/>
        <v>0.58218993702898159</v>
      </c>
      <c r="AS188">
        <f t="shared" si="64"/>
        <v>0.58218993702898159</v>
      </c>
      <c r="AT188">
        <f t="shared" si="65"/>
        <v>0.32247381963611732</v>
      </c>
      <c r="AU188">
        <f t="shared" si="66"/>
        <v>0.32247381963611732</v>
      </c>
      <c r="AV188">
        <f t="shared" si="67"/>
        <v>0.25971611739286432</v>
      </c>
      <c r="AW188">
        <f t="shared" si="68"/>
        <v>0.55389796203238817</v>
      </c>
      <c r="AX188">
        <f t="shared" si="69"/>
        <v>0.44610203796761183</v>
      </c>
      <c r="AY188">
        <f t="shared" si="70"/>
        <v>5.6914176683149111E-4</v>
      </c>
      <c r="AZ188">
        <f t="shared" si="71"/>
        <v>2.6492908549511219E-4</v>
      </c>
      <c r="BA188" s="8">
        <f t="shared" si="72"/>
        <v>5.6914176683149111E-4</v>
      </c>
    </row>
    <row r="189" spans="1:53" x14ac:dyDescent="0.35">
      <c r="A189" s="7" t="s">
        <v>63</v>
      </c>
      <c r="B189" s="11" t="s">
        <v>70</v>
      </c>
      <c r="C189">
        <f t="shared" si="53"/>
        <v>-0.39634581993233947</v>
      </c>
      <c r="D189">
        <v>8.1321563717489005E-3</v>
      </c>
      <c r="E189">
        <v>4.6165707683641002E-3</v>
      </c>
      <c r="F189">
        <v>3.5155856033847999E-3</v>
      </c>
      <c r="G189">
        <v>-0.40447797630408838</v>
      </c>
      <c r="H189">
        <v>0</v>
      </c>
      <c r="I189">
        <v>0</v>
      </c>
      <c r="J189">
        <v>0</v>
      </c>
      <c r="K189">
        <v>0</v>
      </c>
      <c r="L189">
        <v>1.26310054825253E-2</v>
      </c>
      <c r="M189">
        <v>8.9135651372827997E-3</v>
      </c>
      <c r="N189">
        <v>7.1705373113886001E-3</v>
      </c>
      <c r="O189">
        <v>5.0601712969568996E-3</v>
      </c>
      <c r="P189">
        <v>5.4604681711365004E-3</v>
      </c>
      <c r="Q189">
        <v>3.8533938403259001E-3</v>
      </c>
      <c r="R189">
        <v>-0.62824216637129171</v>
      </c>
      <c r="S189">
        <v>-0.44334376069153492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91.233487908610002</v>
      </c>
      <c r="AC189">
        <v>64.38249419652</v>
      </c>
      <c r="AD189" s="19">
        <f t="shared" si="54"/>
        <v>8.1321563717489005E-3</v>
      </c>
      <c r="AE189" s="19">
        <f t="shared" si="74"/>
        <v>8.1321563717489005E-3</v>
      </c>
      <c r="AF189">
        <f t="shared" si="73"/>
        <v>1</v>
      </c>
      <c r="AG189">
        <f t="shared" si="78"/>
        <v>1</v>
      </c>
      <c r="AH189">
        <f t="shared" si="55"/>
        <v>1</v>
      </c>
      <c r="AI189">
        <f t="shared" si="79"/>
        <v>1</v>
      </c>
      <c r="AJ189">
        <f t="shared" si="56"/>
        <v>0.43230668996945742</v>
      </c>
      <c r="AK189">
        <f t="shared" si="80"/>
        <v>0.43230668996945742</v>
      </c>
      <c r="AL189">
        <f t="shared" si="57"/>
        <v>0.56769331003054246</v>
      </c>
      <c r="AM189">
        <f t="shared" si="58"/>
        <v>0.56769331003054246</v>
      </c>
      <c r="AN189">
        <f t="shared" si="59"/>
        <v>-49.738096245817935</v>
      </c>
      <c r="AO189">
        <f t="shared" si="60"/>
        <v>-49.738096245817935</v>
      </c>
      <c r="AP189" s="20">
        <f t="shared" si="61"/>
        <v>0.43230668996945742</v>
      </c>
      <c r="AQ189" s="21">
        <f t="shared" si="62"/>
        <v>0.56769331003054246</v>
      </c>
      <c r="AR189">
        <f t="shared" si="63"/>
        <v>0</v>
      </c>
      <c r="AS189">
        <f t="shared" si="64"/>
        <v>0</v>
      </c>
      <c r="AT189">
        <f t="shared" si="65"/>
        <v>0</v>
      </c>
      <c r="AU189">
        <f t="shared" si="66"/>
        <v>0</v>
      </c>
      <c r="AV189">
        <f t="shared" si="67"/>
        <v>0</v>
      </c>
      <c r="AW189" t="e">
        <f t="shared" si="68"/>
        <v>#DIV/0!</v>
      </c>
      <c r="AX189" t="e">
        <f t="shared" si="69"/>
        <v>#DIV/0!</v>
      </c>
      <c r="AY189">
        <f t="shared" si="70"/>
        <v>1.2631005482525184E-4</v>
      </c>
      <c r="AZ189">
        <f t="shared" si="71"/>
        <v>8.9135651372827129E-5</v>
      </c>
      <c r="BA189" s="8">
        <f t="shared" si="72"/>
        <v>1.2631005482525184E-4</v>
      </c>
    </row>
    <row r="190" spans="1:53" x14ac:dyDescent="0.35">
      <c r="A190" s="7" t="s">
        <v>64</v>
      </c>
      <c r="B190" s="11" t="s">
        <v>70</v>
      </c>
      <c r="C190">
        <f t="shared" si="53"/>
        <v>10.602450953905006</v>
      </c>
      <c r="D190">
        <v>7.7024509539050037</v>
      </c>
      <c r="E190">
        <v>2.430584967050669</v>
      </c>
      <c r="F190">
        <v>5.2718659868543361</v>
      </c>
      <c r="G190">
        <v>2.9</v>
      </c>
      <c r="H190">
        <v>-0.1270225953158492</v>
      </c>
      <c r="I190">
        <v>0</v>
      </c>
      <c r="J190">
        <v>-0.1270225953158492</v>
      </c>
      <c r="K190">
        <v>0</v>
      </c>
      <c r="L190">
        <v>5.2261115841824903</v>
      </c>
      <c r="M190">
        <v>2.4855583034441739</v>
      </c>
      <c r="N190">
        <v>1.64915146213341</v>
      </c>
      <c r="O190">
        <v>0.78434263109673064</v>
      </c>
      <c r="P190">
        <v>3.5769601220490799</v>
      </c>
      <c r="Q190">
        <v>1.701215672347443</v>
      </c>
      <c r="R190">
        <v>1.967649477397261</v>
      </c>
      <c r="S190">
        <v>0.93582148372314078</v>
      </c>
      <c r="T190">
        <v>-8.6184808031336296E-2</v>
      </c>
      <c r="U190">
        <v>-4.0989818487876702E-2</v>
      </c>
      <c r="V190">
        <v>0</v>
      </c>
      <c r="W190">
        <v>0</v>
      </c>
      <c r="X190">
        <v>-8.6184808031336296E-2</v>
      </c>
      <c r="Y190">
        <v>-4.0989818487876702E-2</v>
      </c>
      <c r="Z190">
        <v>0</v>
      </c>
      <c r="AA190">
        <v>0</v>
      </c>
      <c r="AB190">
        <v>309.88816247970999</v>
      </c>
      <c r="AC190">
        <v>147.38397429586999</v>
      </c>
      <c r="AD190" s="19">
        <f t="shared" si="54"/>
        <v>7.5754283585891544</v>
      </c>
      <c r="AE190" s="19">
        <f>(D190)+(H190*-1)</f>
        <v>7.8294735492208529</v>
      </c>
      <c r="AF190">
        <f t="shared" si="73"/>
        <v>0.98377635552156761</v>
      </c>
      <c r="AG190">
        <f t="shared" si="78"/>
        <v>0.98377635552156761</v>
      </c>
      <c r="AH190">
        <f t="shared" si="55"/>
        <v>1.0167677112505233</v>
      </c>
      <c r="AI190">
        <f t="shared" si="79"/>
        <v>1.0167677112505233</v>
      </c>
      <c r="AJ190">
        <f t="shared" si="56"/>
        <v>0.67333594700999577</v>
      </c>
      <c r="AK190">
        <f t="shared" si="80"/>
        <v>0.69591655247811846</v>
      </c>
      <c r="AL190">
        <f t="shared" si="57"/>
        <v>0.31044040851157201</v>
      </c>
      <c r="AM190">
        <f t="shared" si="58"/>
        <v>0.32085115877240511</v>
      </c>
      <c r="AN190">
        <f t="shared" si="59"/>
        <v>0.37039527393110516</v>
      </c>
      <c r="AO190">
        <f t="shared" si="60"/>
        <v>0.38281663593477572</v>
      </c>
      <c r="AP190" s="20">
        <f t="shared" si="61"/>
        <v>0.68444005919720841</v>
      </c>
      <c r="AQ190" s="21">
        <f t="shared" si="62"/>
        <v>0.31555994080279165</v>
      </c>
      <c r="AR190">
        <f t="shared" si="63"/>
        <v>-1.6223644478432372E-2</v>
      </c>
      <c r="AS190">
        <f t="shared" si="64"/>
        <v>-1.6767711250523377E-2</v>
      </c>
      <c r="AT190">
        <f t="shared" si="65"/>
        <v>0</v>
      </c>
      <c r="AU190">
        <f t="shared" si="66"/>
        <v>0</v>
      </c>
      <c r="AV190">
        <f t="shared" si="67"/>
        <v>-1.6767711250523377E-2</v>
      </c>
      <c r="AW190">
        <f t="shared" si="68"/>
        <v>0</v>
      </c>
      <c r="AX190">
        <f t="shared" si="69"/>
        <v>1</v>
      </c>
      <c r="AY190">
        <f t="shared" si="70"/>
        <v>5.1399267761511533E-2</v>
      </c>
      <c r="AZ190">
        <f t="shared" si="71"/>
        <v>2.4445684849562971E-2</v>
      </c>
      <c r="BA190" s="8">
        <f t="shared" si="72"/>
        <v>5.312296392213825E-2</v>
      </c>
    </row>
    <row r="191" spans="1:53" x14ac:dyDescent="0.35">
      <c r="A191" s="7" t="s">
        <v>65</v>
      </c>
      <c r="B191" s="11" t="s">
        <v>70</v>
      </c>
      <c r="C191">
        <f t="shared" si="53"/>
        <v>1.5765726587907913</v>
      </c>
      <c r="D191">
        <v>1.5765726587907949</v>
      </c>
      <c r="E191">
        <v>1.4258862393990299E-2</v>
      </c>
      <c r="F191">
        <v>1.562313796396801</v>
      </c>
      <c r="G191">
        <v>0</v>
      </c>
      <c r="H191">
        <v>0.2080116396299764</v>
      </c>
      <c r="I191">
        <v>8.3875661141119495E-2</v>
      </c>
      <c r="J191">
        <v>0.1241359784888587</v>
      </c>
      <c r="K191">
        <v>0</v>
      </c>
      <c r="L191">
        <v>0.27586422742956351</v>
      </c>
      <c r="M191">
        <v>0.1297139208922648</v>
      </c>
      <c r="N191">
        <v>2.4949754370087E-3</v>
      </c>
      <c r="O191">
        <v>1.1731606141174001E-3</v>
      </c>
      <c r="P191">
        <v>0.27336925199255457</v>
      </c>
      <c r="Q191">
        <v>0.1285407602781472</v>
      </c>
      <c r="R191">
        <v>0</v>
      </c>
      <c r="S191">
        <v>0</v>
      </c>
      <c r="T191">
        <v>3.6397288728128502E-2</v>
      </c>
      <c r="U191">
        <v>1.7114343076537201E-2</v>
      </c>
      <c r="V191">
        <v>1.46763261000515E-2</v>
      </c>
      <c r="W191">
        <v>6.9009447889260998E-3</v>
      </c>
      <c r="X191">
        <v>2.17209626280765E-2</v>
      </c>
      <c r="Y191">
        <v>1.0213398287610601E-2</v>
      </c>
      <c r="Z191">
        <v>0</v>
      </c>
      <c r="AA191">
        <v>0</v>
      </c>
      <c r="AB191">
        <v>1215.4228689920101</v>
      </c>
      <c r="AC191">
        <v>571.50311712429004</v>
      </c>
      <c r="AD191" s="19">
        <f t="shared" si="54"/>
        <v>1.7845842984207714</v>
      </c>
      <c r="AE191" s="19">
        <f t="shared" si="74"/>
        <v>1.7845842984207714</v>
      </c>
      <c r="AF191">
        <f t="shared" si="73"/>
        <v>0.88343972329351328</v>
      </c>
      <c r="AG191">
        <f t="shared" si="78"/>
        <v>0.88343972329351328</v>
      </c>
      <c r="AH191">
        <f t="shared" si="55"/>
        <v>0.88343972329351328</v>
      </c>
      <c r="AI191">
        <f t="shared" si="79"/>
        <v>0.88343972329351328</v>
      </c>
      <c r="AJ191">
        <f t="shared" si="56"/>
        <v>0.875449704325728</v>
      </c>
      <c r="AK191">
        <f t="shared" si="80"/>
        <v>0.875449704325728</v>
      </c>
      <c r="AL191">
        <f t="shared" si="57"/>
        <v>7.9900189677833463E-3</v>
      </c>
      <c r="AM191">
        <f t="shared" si="58"/>
        <v>7.9900189677833463E-3</v>
      </c>
      <c r="AN191">
        <f t="shared" si="59"/>
        <v>0</v>
      </c>
      <c r="AO191">
        <f t="shared" si="60"/>
        <v>0</v>
      </c>
      <c r="AP191" s="20">
        <f t="shared" si="61"/>
        <v>0.99095578480669155</v>
      </c>
      <c r="AQ191" s="21">
        <f t="shared" si="62"/>
        <v>9.0442151933083827E-3</v>
      </c>
      <c r="AR191">
        <f t="shared" si="63"/>
        <v>0.11656027670648662</v>
      </c>
      <c r="AS191">
        <f t="shared" si="64"/>
        <v>0.11656027670648662</v>
      </c>
      <c r="AT191">
        <f t="shared" si="65"/>
        <v>4.7000111575196207E-2</v>
      </c>
      <c r="AU191">
        <f t="shared" si="66"/>
        <v>4.7000111575196207E-2</v>
      </c>
      <c r="AV191">
        <f t="shared" si="67"/>
        <v>6.9560165131291415E-2</v>
      </c>
      <c r="AW191">
        <f t="shared" si="68"/>
        <v>0.40322580645161282</v>
      </c>
      <c r="AX191">
        <f t="shared" si="69"/>
        <v>0.59677419354839578</v>
      </c>
      <c r="AY191">
        <f t="shared" si="70"/>
        <v>3.1226151615769077E-3</v>
      </c>
      <c r="AZ191">
        <f t="shared" si="71"/>
        <v>1.468282639688017E-3</v>
      </c>
      <c r="BA191" s="8">
        <f t="shared" si="72"/>
        <v>3.1226151615769077E-3</v>
      </c>
    </row>
    <row r="192" spans="1:53" x14ac:dyDescent="0.35">
      <c r="A192" s="7" t="s">
        <v>28</v>
      </c>
      <c r="B192" s="11" t="s">
        <v>71</v>
      </c>
      <c r="C192">
        <f t="shared" si="53"/>
        <v>30.447629669960556</v>
      </c>
      <c r="D192">
        <v>30.447629669960548</v>
      </c>
      <c r="E192">
        <v>2.3474363010853931</v>
      </c>
      <c r="F192">
        <v>28.100193368875161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2.0369395358085818</v>
      </c>
      <c r="M192">
        <v>2.4824492048994808</v>
      </c>
      <c r="N192">
        <v>0.15704295740927829</v>
      </c>
      <c r="O192">
        <v>0.19139064164757921</v>
      </c>
      <c r="P192">
        <v>1.879896578399304</v>
      </c>
      <c r="Q192">
        <v>2.2910585632519052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1226.51571721458</v>
      </c>
      <c r="AC192">
        <v>1494.77336635199</v>
      </c>
      <c r="AD192" s="19">
        <f t="shared" si="54"/>
        <v>30.447629669960548</v>
      </c>
      <c r="AE192" s="19">
        <f t="shared" si="74"/>
        <v>30.447629669960548</v>
      </c>
      <c r="AF192">
        <f t="shared" si="73"/>
        <v>1</v>
      </c>
      <c r="AG192">
        <f t="shared" si="78"/>
        <v>1</v>
      </c>
      <c r="AH192">
        <f t="shared" si="55"/>
        <v>1</v>
      </c>
      <c r="AI192">
        <f t="shared" si="79"/>
        <v>1</v>
      </c>
      <c r="AJ192">
        <f t="shared" si="56"/>
        <v>0.92290249433106597</v>
      </c>
      <c r="AK192">
        <f t="shared" si="80"/>
        <v>0.92290249433106597</v>
      </c>
      <c r="AL192">
        <f t="shared" si="57"/>
        <v>7.7097505668934224E-2</v>
      </c>
      <c r="AM192">
        <f t="shared" si="58"/>
        <v>7.7097505668934224E-2</v>
      </c>
      <c r="AN192">
        <f t="shared" si="59"/>
        <v>0</v>
      </c>
      <c r="AO192">
        <f t="shared" si="60"/>
        <v>0</v>
      </c>
      <c r="AP192" s="20">
        <f t="shared" si="61"/>
        <v>0.92290249433106575</v>
      </c>
      <c r="AQ192" s="21">
        <f t="shared" si="62"/>
        <v>7.7097505668934224E-2</v>
      </c>
      <c r="AR192">
        <f t="shared" si="63"/>
        <v>0</v>
      </c>
      <c r="AS192">
        <f t="shared" si="64"/>
        <v>0</v>
      </c>
      <c r="AT192">
        <f t="shared" si="65"/>
        <v>0</v>
      </c>
      <c r="AU192">
        <f t="shared" si="66"/>
        <v>0</v>
      </c>
      <c r="AV192">
        <f t="shared" si="67"/>
        <v>0</v>
      </c>
      <c r="AW192" t="e">
        <f t="shared" si="68"/>
        <v>#DIV/0!</v>
      </c>
      <c r="AX192" t="e">
        <f t="shared" si="69"/>
        <v>#DIV/0!</v>
      </c>
      <c r="AY192">
        <f t="shared" si="70"/>
        <v>2.0369395358085827E-2</v>
      </c>
      <c r="AZ192">
        <f t="shared" si="71"/>
        <v>2.4824492048994843E-2</v>
      </c>
      <c r="BA192" s="8">
        <f t="shared" si="72"/>
        <v>2.0369395358085827E-2</v>
      </c>
    </row>
    <row r="193" spans="1:53" x14ac:dyDescent="0.35">
      <c r="A193" s="7" t="s">
        <v>29</v>
      </c>
      <c r="B193" s="11" t="s">
        <v>71</v>
      </c>
      <c r="C193">
        <f t="shared" si="53"/>
        <v>20.579312535860982</v>
      </c>
      <c r="D193">
        <v>20.504749809281801</v>
      </c>
      <c r="E193">
        <v>5.6667672200197003</v>
      </c>
      <c r="F193">
        <v>14.837982589262079</v>
      </c>
      <c r="G193">
        <v>7.4562726579202293E-2</v>
      </c>
      <c r="H193">
        <v>-1.118440898688092</v>
      </c>
      <c r="I193">
        <v>0</v>
      </c>
      <c r="J193">
        <v>-1.1184408986881</v>
      </c>
      <c r="K193">
        <v>0</v>
      </c>
      <c r="L193">
        <v>1.2085752854931859</v>
      </c>
      <c r="M193">
        <v>1.189723861975454</v>
      </c>
      <c r="N193">
        <v>0.33400626071811729</v>
      </c>
      <c r="O193">
        <v>0.32879641276412691</v>
      </c>
      <c r="P193">
        <v>0.87456902477507015</v>
      </c>
      <c r="Q193">
        <v>0.86092744921132791</v>
      </c>
      <c r="R193">
        <v>4.3948192199748997E-3</v>
      </c>
      <c r="S193">
        <v>4.3262685890010002E-3</v>
      </c>
      <c r="T193">
        <v>-6.5922288299629095E-2</v>
      </c>
      <c r="U193">
        <v>-6.4894028835025194E-2</v>
      </c>
      <c r="V193">
        <v>0</v>
      </c>
      <c r="W193">
        <v>0</v>
      </c>
      <c r="X193">
        <v>-6.5922288299629095E-2</v>
      </c>
      <c r="Y193">
        <v>-6.4894028835025194E-2</v>
      </c>
      <c r="Z193">
        <v>0</v>
      </c>
      <c r="AA193">
        <v>0</v>
      </c>
      <c r="AB193">
        <v>1723.48815255626</v>
      </c>
      <c r="AC193">
        <v>1696.60508992738</v>
      </c>
      <c r="AD193" s="19">
        <f t="shared" si="54"/>
        <v>19.386308910593709</v>
      </c>
      <c r="AE193" s="19">
        <f>(D193)+(H193*-1)</f>
        <v>21.623190707969894</v>
      </c>
      <c r="AF193">
        <f t="shared" si="73"/>
        <v>0.94827586206896575</v>
      </c>
      <c r="AG193">
        <f t="shared" si="78"/>
        <v>0.94827586206896575</v>
      </c>
      <c r="AH193">
        <f t="shared" si="55"/>
        <v>1.0576923076923075</v>
      </c>
      <c r="AI193">
        <f t="shared" si="79"/>
        <v>1.0576923076923075</v>
      </c>
      <c r="AJ193">
        <f t="shared" si="56"/>
        <v>0.68620689655172318</v>
      </c>
      <c r="AK193">
        <f t="shared" si="80"/>
        <v>0.76538461538461389</v>
      </c>
      <c r="AL193">
        <f t="shared" si="57"/>
        <v>0.26206896551724157</v>
      </c>
      <c r="AM193">
        <f t="shared" si="58"/>
        <v>0.29230769230769238</v>
      </c>
      <c r="AN193">
        <f t="shared" si="59"/>
        <v>3.4482758620687694E-3</v>
      </c>
      <c r="AO193">
        <f t="shared" si="60"/>
        <v>3.8461538461536256E-3</v>
      </c>
      <c r="AP193" s="20">
        <f t="shared" si="61"/>
        <v>0.72363636363636319</v>
      </c>
      <c r="AQ193" s="21">
        <f t="shared" si="62"/>
        <v>0.27636363636363648</v>
      </c>
      <c r="AR193">
        <f t="shared" si="63"/>
        <v>-5.1724137931034211E-2</v>
      </c>
      <c r="AS193">
        <f t="shared" si="64"/>
        <v>-5.7692307692307356E-2</v>
      </c>
      <c r="AT193">
        <f t="shared" si="65"/>
        <v>0</v>
      </c>
      <c r="AU193">
        <f t="shared" si="66"/>
        <v>0</v>
      </c>
      <c r="AV193">
        <f t="shared" si="67"/>
        <v>-5.7692307692307765E-2</v>
      </c>
      <c r="AW193">
        <f t="shared" si="68"/>
        <v>0</v>
      </c>
      <c r="AX193">
        <f t="shared" si="69"/>
        <v>1.0000000000000071</v>
      </c>
      <c r="AY193">
        <f t="shared" si="70"/>
        <v>1.1426529971935604E-2</v>
      </c>
      <c r="AZ193">
        <f t="shared" si="71"/>
        <v>1.1248298331404328E-2</v>
      </c>
      <c r="BA193" s="8">
        <f t="shared" si="72"/>
        <v>1.2744975737928167E-2</v>
      </c>
    </row>
    <row r="194" spans="1:53" x14ac:dyDescent="0.35">
      <c r="A194" s="7" t="s">
        <v>30</v>
      </c>
      <c r="B194" s="11" t="s">
        <v>71</v>
      </c>
      <c r="C194">
        <f t="shared" si="53"/>
        <v>53.297862831851091</v>
      </c>
      <c r="D194">
        <v>53.297862831851091</v>
      </c>
      <c r="E194">
        <v>14.26602324193016</v>
      </c>
      <c r="F194">
        <v>39.031839589920928</v>
      </c>
      <c r="G194">
        <v>0</v>
      </c>
      <c r="H194">
        <v>-5.9346656686429924</v>
      </c>
      <c r="I194">
        <v>-5.9346656686429426</v>
      </c>
      <c r="J194">
        <v>0</v>
      </c>
      <c r="K194">
        <v>0</v>
      </c>
      <c r="L194">
        <v>2.0367474980625899</v>
      </c>
      <c r="M194">
        <v>1.833374895579158</v>
      </c>
      <c r="N194">
        <v>0.5451679598668604</v>
      </c>
      <c r="O194">
        <v>0.49073203843125179</v>
      </c>
      <c r="P194">
        <v>1.49157953819573</v>
      </c>
      <c r="Q194">
        <v>1.3426428571479061</v>
      </c>
      <c r="R194">
        <v>0</v>
      </c>
      <c r="S194">
        <v>0</v>
      </c>
      <c r="T194">
        <v>-0.22678987130461431</v>
      </c>
      <c r="U194">
        <v>-0.20414452798740079</v>
      </c>
      <c r="V194">
        <v>-0.22678987130461389</v>
      </c>
      <c r="W194">
        <v>-0.2041445279874006</v>
      </c>
      <c r="X194">
        <v>0</v>
      </c>
      <c r="Y194">
        <v>0</v>
      </c>
      <c r="Z194">
        <v>0</v>
      </c>
      <c r="AA194">
        <v>0</v>
      </c>
      <c r="AB194">
        <v>2907.0902498102801</v>
      </c>
      <c r="AC194">
        <v>2616.8124857180101</v>
      </c>
      <c r="AD194" s="19">
        <f t="shared" si="54"/>
        <v>47.363197163208099</v>
      </c>
      <c r="AE194" s="19">
        <f>(D194)+(H194*-1)</f>
        <v>59.232528500494084</v>
      </c>
      <c r="AF194">
        <f t="shared" si="73"/>
        <v>0.899807321772639</v>
      </c>
      <c r="AG194">
        <f t="shared" si="78"/>
        <v>0.899807321772639</v>
      </c>
      <c r="AH194">
        <f t="shared" si="55"/>
        <v>1.1253012048192781</v>
      </c>
      <c r="AI194">
        <f t="shared" si="79"/>
        <v>1.1253012048192781</v>
      </c>
      <c r="AJ194">
        <f t="shared" si="56"/>
        <v>0.6589595375722539</v>
      </c>
      <c r="AK194">
        <f t="shared" si="80"/>
        <v>0.82409638554216946</v>
      </c>
      <c r="AL194">
        <f t="shared" si="57"/>
        <v>0.24084778420038511</v>
      </c>
      <c r="AM194">
        <f t="shared" si="58"/>
        <v>0.30120481927710863</v>
      </c>
      <c r="AN194">
        <f t="shared" si="59"/>
        <v>0</v>
      </c>
      <c r="AO194">
        <f t="shared" si="60"/>
        <v>0</v>
      </c>
      <c r="AP194" s="20">
        <f t="shared" si="61"/>
        <v>0.73233404710920769</v>
      </c>
      <c r="AQ194" s="21">
        <f t="shared" si="62"/>
        <v>0.2676659528907922</v>
      </c>
      <c r="AR194">
        <f t="shared" si="63"/>
        <v>-0.10019267822736098</v>
      </c>
      <c r="AS194">
        <f t="shared" si="64"/>
        <v>-0.12530120481927817</v>
      </c>
      <c r="AT194">
        <f t="shared" si="65"/>
        <v>-0.10019267822736014</v>
      </c>
      <c r="AU194">
        <f t="shared" si="66"/>
        <v>-0.12530120481927712</v>
      </c>
      <c r="AV194">
        <f t="shared" si="67"/>
        <v>0</v>
      </c>
      <c r="AW194">
        <f t="shared" si="68"/>
        <v>0.99999999999999167</v>
      </c>
      <c r="AX194">
        <f t="shared" si="69"/>
        <v>0</v>
      </c>
      <c r="AY194">
        <f t="shared" si="70"/>
        <v>1.8099576267579763E-2</v>
      </c>
      <c r="AZ194">
        <f t="shared" si="71"/>
        <v>1.6292303675917552E-2</v>
      </c>
      <c r="BA194" s="8">
        <f t="shared" si="72"/>
        <v>2.2635373693672078E-2</v>
      </c>
    </row>
    <row r="195" spans="1:53" x14ac:dyDescent="0.35">
      <c r="A195" s="7" t="s">
        <v>31</v>
      </c>
      <c r="B195" s="11" t="s">
        <v>71</v>
      </c>
      <c r="C195">
        <f t="shared" ref="C195:C258" si="81">E195+F195+G195</f>
        <v>100.43280362318829</v>
      </c>
      <c r="D195">
        <v>100.43280362318831</v>
      </c>
      <c r="E195">
        <v>23.966919046442669</v>
      </c>
      <c r="F195">
        <v>76.465884576745623</v>
      </c>
      <c r="G195">
        <v>0</v>
      </c>
      <c r="H195">
        <v>0.7988973015483225</v>
      </c>
      <c r="I195">
        <v>0</v>
      </c>
      <c r="J195">
        <v>0.79889730154820882</v>
      </c>
      <c r="K195">
        <v>0</v>
      </c>
      <c r="L195">
        <v>2.7918805654534271</v>
      </c>
      <c r="M195">
        <v>2.4132147741265229</v>
      </c>
      <c r="N195">
        <v>0.66624422584684018</v>
      </c>
      <c r="O195">
        <v>0.57588079837110207</v>
      </c>
      <c r="P195">
        <v>2.125636339606586</v>
      </c>
      <c r="Q195">
        <v>1.837333975755421</v>
      </c>
      <c r="R195">
        <v>0</v>
      </c>
      <c r="S195">
        <v>0</v>
      </c>
      <c r="T195">
        <v>2.22081408615615E-2</v>
      </c>
      <c r="U195">
        <v>1.9196026612373601E-2</v>
      </c>
      <c r="V195">
        <v>0</v>
      </c>
      <c r="W195">
        <v>0</v>
      </c>
      <c r="X195">
        <v>2.22081408615615E-2</v>
      </c>
      <c r="Y195">
        <v>1.9196026612373601E-2</v>
      </c>
      <c r="Z195">
        <v>0</v>
      </c>
      <c r="AA195">
        <v>0</v>
      </c>
      <c r="AB195">
        <v>4161.7847155581303</v>
      </c>
      <c r="AC195">
        <v>3597.3173374942398</v>
      </c>
      <c r="AD195" s="19">
        <f t="shared" ref="AD195:AD258" si="82">D195+H195</f>
        <v>101.23170092473663</v>
      </c>
      <c r="AE195" s="19">
        <f t="shared" ref="AE195:AE257" si="83">(D195)+(H195)</f>
        <v>101.23170092473663</v>
      </c>
      <c r="AF195">
        <f t="shared" si="73"/>
        <v>0.99210822998872372</v>
      </c>
      <c r="AG195">
        <f t="shared" si="78"/>
        <v>0.99210822998872372</v>
      </c>
      <c r="AH195">
        <f t="shared" ref="AH195:AH258" si="84">(($D195)/(AD195))</f>
        <v>0.99210822998872372</v>
      </c>
      <c r="AI195">
        <f t="shared" si="79"/>
        <v>0.99210822998872372</v>
      </c>
      <c r="AJ195">
        <f t="shared" ref="AJ195:AJ258" si="85">($F195/(AE195))</f>
        <v>0.75535512965050544</v>
      </c>
      <c r="AK195">
        <f t="shared" si="80"/>
        <v>0.75535512965050544</v>
      </c>
      <c r="AL195">
        <f t="shared" ref="AL195:AL258" si="86">($E195/AE195)</f>
        <v>0.23675310033821823</v>
      </c>
      <c r="AM195">
        <f t="shared" ref="AM195:AM258" si="87">(E195/AD195)</f>
        <v>0.23675310033821823</v>
      </c>
      <c r="AN195">
        <f t="shared" ref="AN195:AN258" si="88">($G195/$AE195)</f>
        <v>0</v>
      </c>
      <c r="AO195">
        <f t="shared" ref="AO195:AO258" si="89">($G195/$AD195)</f>
        <v>0</v>
      </c>
      <c r="AP195" s="20">
        <f t="shared" ref="AP195:AP258" si="90">(F195/((E195)+(F195)))</f>
        <v>0.76136363636363624</v>
      </c>
      <c r="AQ195" s="21">
        <f t="shared" ref="AQ195:AQ258" si="91">(E195/D195)</f>
        <v>0.23863636363636367</v>
      </c>
      <c r="AR195">
        <f t="shared" ref="AR195:AR258" si="92">($H195/(AE195))</f>
        <v>7.8917700112762484E-3</v>
      </c>
      <c r="AS195">
        <f t="shared" ref="AS195:AS258" si="93">($H195/(AD195))</f>
        <v>7.8917700112762484E-3</v>
      </c>
      <c r="AT195">
        <f t="shared" ref="AT195:AT258" si="94">($I195/(AE195))</f>
        <v>0</v>
      </c>
      <c r="AU195">
        <f t="shared" ref="AU195:AU258" si="95">($I195/(AD195))</f>
        <v>0</v>
      </c>
      <c r="AV195">
        <f t="shared" ref="AV195:AV258" si="96">(J195/(AD195))</f>
        <v>7.8917700112751243E-3</v>
      </c>
      <c r="AW195">
        <f t="shared" ref="AW195:AW258" si="97">(I195/H195)</f>
        <v>0</v>
      </c>
      <c r="AX195">
        <f t="shared" ref="AX195:AX258" si="98">J195/H195</f>
        <v>0.99999999999985767</v>
      </c>
      <c r="AY195">
        <f t="shared" ref="AY195:AY258" si="99">(AD195/AC195)</f>
        <v>2.8140887063149937E-2</v>
      </c>
      <c r="AZ195">
        <f t="shared" ref="AZ195:AZ258" si="100">(AD195)/AB195</f>
        <v>2.4324108007388989E-2</v>
      </c>
      <c r="BA195" s="8">
        <f t="shared" ref="BA195:BA258" si="101">(AE195/AC195)</f>
        <v>2.8140887063149937E-2</v>
      </c>
    </row>
    <row r="196" spans="1:53" x14ac:dyDescent="0.35">
      <c r="A196" s="7" t="s">
        <v>32</v>
      </c>
      <c r="B196" s="11" t="s">
        <v>71</v>
      </c>
      <c r="C196">
        <f t="shared" si="81"/>
        <v>45.651274374176523</v>
      </c>
      <c r="D196">
        <v>45.651274374176523</v>
      </c>
      <c r="E196">
        <v>11.412818593544131</v>
      </c>
      <c r="F196">
        <v>34.238455780632393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2.379954283240993</v>
      </c>
      <c r="M196">
        <v>1.952862177144373</v>
      </c>
      <c r="N196">
        <v>0.59498857081024792</v>
      </c>
      <c r="O196">
        <v>0.48821554428609321</v>
      </c>
      <c r="P196">
        <v>1.784965712430745</v>
      </c>
      <c r="Q196">
        <v>1.4646466328582799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2337.6598158571201</v>
      </c>
      <c r="AC196">
        <v>1918.15761738117</v>
      </c>
      <c r="AD196" s="19">
        <f t="shared" si="82"/>
        <v>45.651274374176523</v>
      </c>
      <c r="AE196" s="19">
        <f t="shared" si="83"/>
        <v>45.651274374176523</v>
      </c>
      <c r="AF196">
        <f t="shared" si="73"/>
        <v>1</v>
      </c>
      <c r="AG196">
        <f t="shared" si="78"/>
        <v>1</v>
      </c>
      <c r="AH196">
        <f t="shared" si="84"/>
        <v>1</v>
      </c>
      <c r="AI196">
        <f t="shared" si="79"/>
        <v>1</v>
      </c>
      <c r="AJ196">
        <f t="shared" si="85"/>
        <v>0.75</v>
      </c>
      <c r="AK196">
        <f t="shared" si="80"/>
        <v>0.75</v>
      </c>
      <c r="AL196">
        <f t="shared" si="86"/>
        <v>0.25</v>
      </c>
      <c r="AM196">
        <f t="shared" si="87"/>
        <v>0.25</v>
      </c>
      <c r="AN196">
        <f t="shared" si="88"/>
        <v>0</v>
      </c>
      <c r="AO196">
        <f t="shared" si="89"/>
        <v>0</v>
      </c>
      <c r="AP196" s="20">
        <f t="shared" si="90"/>
        <v>0.75</v>
      </c>
      <c r="AQ196" s="21">
        <f t="shared" si="91"/>
        <v>0.25</v>
      </c>
      <c r="AR196">
        <f t="shared" si="92"/>
        <v>0</v>
      </c>
      <c r="AS196">
        <f t="shared" si="93"/>
        <v>0</v>
      </c>
      <c r="AT196">
        <f t="shared" si="94"/>
        <v>0</v>
      </c>
      <c r="AU196">
        <f t="shared" si="95"/>
        <v>0</v>
      </c>
      <c r="AV196">
        <f t="shared" si="96"/>
        <v>0</v>
      </c>
      <c r="AW196" t="e">
        <f t="shared" si="97"/>
        <v>#DIV/0!</v>
      </c>
      <c r="AX196" t="e">
        <f t="shared" si="98"/>
        <v>#DIV/0!</v>
      </c>
      <c r="AY196">
        <f t="shared" si="99"/>
        <v>2.3799542832409926E-2</v>
      </c>
      <c r="AZ196">
        <f t="shared" si="100"/>
        <v>1.9528621771443742E-2</v>
      </c>
      <c r="BA196" s="8">
        <f t="shared" si="101"/>
        <v>2.3799542832409926E-2</v>
      </c>
    </row>
    <row r="197" spans="1:53" x14ac:dyDescent="0.35">
      <c r="A197" s="7" t="s">
        <v>33</v>
      </c>
      <c r="B197" s="11" t="s">
        <v>71</v>
      </c>
      <c r="C197">
        <f t="shared" si="81"/>
        <v>-186.37394385761746</v>
      </c>
      <c r="D197">
        <v>29.96967941429034</v>
      </c>
      <c r="E197">
        <v>4.6827624084828594</v>
      </c>
      <c r="F197">
        <v>25.286917005807481</v>
      </c>
      <c r="G197">
        <v>-216.3436232719078</v>
      </c>
      <c r="H197">
        <v>0</v>
      </c>
      <c r="I197">
        <v>0</v>
      </c>
      <c r="J197">
        <v>0</v>
      </c>
      <c r="K197">
        <v>0</v>
      </c>
      <c r="L197">
        <v>0.65660595684839507</v>
      </c>
      <c r="M197">
        <v>0.56282649977393184</v>
      </c>
      <c r="N197">
        <v>0.1025946807575612</v>
      </c>
      <c r="O197">
        <v>8.7941640589676406E-2</v>
      </c>
      <c r="P197">
        <v>0.55401127609083289</v>
      </c>
      <c r="Q197">
        <v>0.4748848591842556</v>
      </c>
      <c r="R197">
        <v>-4.7398742509993284</v>
      </c>
      <c r="S197">
        <v>-4.0629037952430496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5324.8522282316499</v>
      </c>
      <c r="AC197">
        <v>4564.3325500944502</v>
      </c>
      <c r="AD197" s="19">
        <f t="shared" si="82"/>
        <v>29.96967941429034</v>
      </c>
      <c r="AE197" s="19">
        <f t="shared" si="83"/>
        <v>29.96967941429034</v>
      </c>
      <c r="AF197">
        <f t="shared" ref="AF197:AF260" si="102">($D197/$AE197)</f>
        <v>1</v>
      </c>
      <c r="AG197">
        <f t="shared" si="78"/>
        <v>1</v>
      </c>
      <c r="AH197">
        <f t="shared" si="84"/>
        <v>1</v>
      </c>
      <c r="AI197">
        <f t="shared" si="79"/>
        <v>1</v>
      </c>
      <c r="AJ197">
        <f t="shared" si="85"/>
        <v>0.84375000000000022</v>
      </c>
      <c r="AK197">
        <f t="shared" si="80"/>
        <v>0.84375000000000022</v>
      </c>
      <c r="AL197">
        <f t="shared" si="86"/>
        <v>0.15624999999999981</v>
      </c>
      <c r="AM197">
        <f t="shared" si="87"/>
        <v>0.15624999999999981</v>
      </c>
      <c r="AN197">
        <f t="shared" si="88"/>
        <v>-7.2187499999999805</v>
      </c>
      <c r="AO197">
        <f t="shared" si="89"/>
        <v>-7.2187499999999805</v>
      </c>
      <c r="AP197" s="20">
        <f t="shared" si="90"/>
        <v>0.84375000000000022</v>
      </c>
      <c r="AQ197" s="21">
        <f t="shared" si="91"/>
        <v>0.15624999999999981</v>
      </c>
      <c r="AR197">
        <f t="shared" si="92"/>
        <v>0</v>
      </c>
      <c r="AS197">
        <f t="shared" si="93"/>
        <v>0</v>
      </c>
      <c r="AT197">
        <f t="shared" si="94"/>
        <v>0</v>
      </c>
      <c r="AU197">
        <f t="shared" si="95"/>
        <v>0</v>
      </c>
      <c r="AV197">
        <f t="shared" si="96"/>
        <v>0</v>
      </c>
      <c r="AW197" t="e">
        <f t="shared" si="97"/>
        <v>#DIV/0!</v>
      </c>
      <c r="AX197" t="e">
        <f t="shared" si="98"/>
        <v>#DIV/0!</v>
      </c>
      <c r="AY197">
        <f t="shared" si="99"/>
        <v>6.5660595684839344E-3</v>
      </c>
      <c r="AZ197">
        <f t="shared" si="100"/>
        <v>5.6282649977393052E-3</v>
      </c>
      <c r="BA197" s="8">
        <f t="shared" si="101"/>
        <v>6.5660595684839344E-3</v>
      </c>
    </row>
    <row r="198" spans="1:53" x14ac:dyDescent="0.35">
      <c r="A198" s="7" t="s">
        <v>34</v>
      </c>
      <c r="B198" s="11" t="s">
        <v>71</v>
      </c>
      <c r="C198">
        <f t="shared" si="81"/>
        <v>9.7954529108252686E-4</v>
      </c>
      <c r="D198">
        <v>6.3663101002469995E-4</v>
      </c>
      <c r="E198">
        <v>7.3429182238626822E-5</v>
      </c>
      <c r="F198">
        <v>5.6320182778790001E-4</v>
      </c>
      <c r="G198">
        <v>3.4291428105600002E-4</v>
      </c>
      <c r="H198">
        <v>5.2061290207910005E-4</v>
      </c>
      <c r="I198">
        <v>0</v>
      </c>
      <c r="J198">
        <v>5.2061290207910005E-4</v>
      </c>
      <c r="K198">
        <v>9.1786477798900005E-4</v>
      </c>
      <c r="L198">
        <v>3.8862875279654929E-5</v>
      </c>
      <c r="M198">
        <v>2.952095192076953E-5</v>
      </c>
      <c r="N198">
        <v>4.4824538958376792E-6</v>
      </c>
      <c r="O198">
        <v>3.404954085350909E-6</v>
      </c>
      <c r="P198">
        <v>3.4380421383595212E-5</v>
      </c>
      <c r="Q198">
        <v>2.6115997835418628E-5</v>
      </c>
      <c r="R198">
        <v>2.093305969408377E-5</v>
      </c>
      <c r="S198">
        <v>1.5901135578477721E-5</v>
      </c>
      <c r="T198">
        <v>3.1780598122921333E-5</v>
      </c>
      <c r="U198">
        <v>2.4141124465248961E-5</v>
      </c>
      <c r="V198">
        <v>0</v>
      </c>
      <c r="W198">
        <v>0</v>
      </c>
      <c r="X198">
        <v>3.1780598122921333E-5</v>
      </c>
      <c r="Y198">
        <v>2.4141124465248961E-5</v>
      </c>
      <c r="Z198">
        <v>5.6030673700746547E-5</v>
      </c>
      <c r="AA198">
        <v>4.2561926066220217E-5</v>
      </c>
      <c r="AB198">
        <v>2156.5395714307001</v>
      </c>
      <c r="AC198">
        <v>1638.14696019506</v>
      </c>
      <c r="AD198" s="19">
        <f t="shared" si="82"/>
        <v>1.1572439121038001E-3</v>
      </c>
      <c r="AE198" s="19">
        <f t="shared" si="83"/>
        <v>1.1572439121038001E-3</v>
      </c>
      <c r="AF198">
        <f t="shared" si="102"/>
        <v>0.55012690355600391</v>
      </c>
      <c r="AG198">
        <f t="shared" si="78"/>
        <v>0.55012690355600391</v>
      </c>
      <c r="AH198">
        <f t="shared" si="84"/>
        <v>0.55012690355600391</v>
      </c>
      <c r="AI198">
        <f t="shared" si="79"/>
        <v>0.55012690355600391</v>
      </c>
      <c r="AJ198">
        <f t="shared" si="85"/>
        <v>0.48667512690909975</v>
      </c>
      <c r="AK198">
        <f t="shared" si="80"/>
        <v>0.48667512690909975</v>
      </c>
      <c r="AL198">
        <f t="shared" si="86"/>
        <v>6.3451776648482838E-2</v>
      </c>
      <c r="AM198">
        <f t="shared" si="87"/>
        <v>6.3451776648482838E-2</v>
      </c>
      <c r="AN198">
        <f t="shared" si="88"/>
        <v>0.29631979694980842</v>
      </c>
      <c r="AO198">
        <f t="shared" si="89"/>
        <v>0.29631979694980842</v>
      </c>
      <c r="AP198" s="20">
        <f t="shared" si="90"/>
        <v>0.88465974625463628</v>
      </c>
      <c r="AQ198" s="21">
        <f t="shared" si="91"/>
        <v>0.11534025374569473</v>
      </c>
      <c r="AR198">
        <f t="shared" si="92"/>
        <v>0.44987309644399598</v>
      </c>
      <c r="AS198">
        <f t="shared" si="93"/>
        <v>0.44987309644399598</v>
      </c>
      <c r="AT198">
        <f t="shared" si="94"/>
        <v>0</v>
      </c>
      <c r="AU198">
        <f t="shared" si="95"/>
        <v>0</v>
      </c>
      <c r="AV198">
        <f t="shared" si="96"/>
        <v>0.44987309644399598</v>
      </c>
      <c r="AW198">
        <f t="shared" si="97"/>
        <v>0</v>
      </c>
      <c r="AX198">
        <f t="shared" si="98"/>
        <v>1</v>
      </c>
      <c r="AY198">
        <f t="shared" si="99"/>
        <v>7.0643473401556288E-7</v>
      </c>
      <c r="AZ198">
        <f t="shared" si="100"/>
        <v>5.3662076385459358E-7</v>
      </c>
      <c r="BA198" s="8">
        <f t="shared" si="101"/>
        <v>7.0643473401556288E-7</v>
      </c>
    </row>
    <row r="199" spans="1:53" x14ac:dyDescent="0.35">
      <c r="A199" s="7" t="s">
        <v>35</v>
      </c>
      <c r="B199" s="11" t="s">
        <v>71</v>
      </c>
      <c r="C199">
        <f t="shared" si="81"/>
        <v>1.1412818593541299E-2</v>
      </c>
      <c r="D199">
        <v>1.1412818593541299E-2</v>
      </c>
      <c r="E199">
        <v>0</v>
      </c>
      <c r="F199">
        <v>1.1412818593541299E-2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8.6204843262379998E-4</v>
      </c>
      <c r="M199">
        <v>6.3527095195140004E-4</v>
      </c>
      <c r="N199">
        <v>0</v>
      </c>
      <c r="O199">
        <v>0</v>
      </c>
      <c r="P199">
        <v>8.6204843262379998E-4</v>
      </c>
      <c r="Q199">
        <v>6.3527095195140004E-4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1796.5276955414199</v>
      </c>
      <c r="AC199">
        <v>1323.9184901480501</v>
      </c>
      <c r="AD199" s="19">
        <f t="shared" si="82"/>
        <v>1.1412818593541299E-2</v>
      </c>
      <c r="AE199" s="19">
        <f t="shared" si="83"/>
        <v>1.1412818593541299E-2</v>
      </c>
      <c r="AF199">
        <f t="shared" si="102"/>
        <v>1</v>
      </c>
      <c r="AG199">
        <f t="shared" si="78"/>
        <v>1</v>
      </c>
      <c r="AH199">
        <f t="shared" si="84"/>
        <v>1</v>
      </c>
      <c r="AI199">
        <f t="shared" si="79"/>
        <v>1</v>
      </c>
      <c r="AJ199">
        <f t="shared" si="85"/>
        <v>1</v>
      </c>
      <c r="AK199">
        <f t="shared" si="80"/>
        <v>1</v>
      </c>
      <c r="AL199">
        <f t="shared" si="86"/>
        <v>0</v>
      </c>
      <c r="AM199">
        <f t="shared" si="87"/>
        <v>0</v>
      </c>
      <c r="AN199">
        <f t="shared" si="88"/>
        <v>0</v>
      </c>
      <c r="AO199">
        <f t="shared" si="89"/>
        <v>0</v>
      </c>
      <c r="AP199" s="20">
        <f t="shared" si="90"/>
        <v>1</v>
      </c>
      <c r="AQ199" s="21">
        <f t="shared" si="91"/>
        <v>0</v>
      </c>
      <c r="AR199">
        <f t="shared" si="92"/>
        <v>0</v>
      </c>
      <c r="AS199">
        <f t="shared" si="93"/>
        <v>0</v>
      </c>
      <c r="AT199">
        <f t="shared" si="94"/>
        <v>0</v>
      </c>
      <c r="AU199">
        <f t="shared" si="95"/>
        <v>0</v>
      </c>
      <c r="AV199">
        <f t="shared" si="96"/>
        <v>0</v>
      </c>
      <c r="AW199" t="e">
        <f t="shared" si="97"/>
        <v>#DIV/0!</v>
      </c>
      <c r="AX199" t="e">
        <f t="shared" si="98"/>
        <v>#DIV/0!</v>
      </c>
      <c r="AY199">
        <f t="shared" si="99"/>
        <v>8.6204843262405345E-6</v>
      </c>
      <c r="AZ199">
        <f t="shared" si="100"/>
        <v>6.3527095195166559E-6</v>
      </c>
      <c r="BA199" s="8">
        <f t="shared" si="101"/>
        <v>8.6204843262405345E-6</v>
      </c>
    </row>
    <row r="200" spans="1:53" x14ac:dyDescent="0.35">
      <c r="A200" s="7" t="s">
        <v>36</v>
      </c>
      <c r="B200" s="11" t="s">
        <v>71</v>
      </c>
      <c r="C200">
        <f t="shared" si="81"/>
        <v>0</v>
      </c>
      <c r="D200">
        <v>0</v>
      </c>
      <c r="E200">
        <v>0</v>
      </c>
      <c r="F200">
        <v>0</v>
      </c>
      <c r="G200">
        <v>0</v>
      </c>
      <c r="H200">
        <v>15.395615788971099</v>
      </c>
      <c r="I200">
        <v>0</v>
      </c>
      <c r="J200">
        <v>15.395615788971099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0.4876060525070649</v>
      </c>
      <c r="U200">
        <v>0.52330648617822106</v>
      </c>
      <c r="V200">
        <v>0</v>
      </c>
      <c r="W200">
        <v>0</v>
      </c>
      <c r="X200">
        <v>0.4876060525070649</v>
      </c>
      <c r="Y200">
        <v>0.52330648617822106</v>
      </c>
      <c r="Z200">
        <v>0</v>
      </c>
      <c r="AA200">
        <v>0</v>
      </c>
      <c r="AB200">
        <v>2941.9883367789698</v>
      </c>
      <c r="AC200">
        <v>3157.38816403392</v>
      </c>
      <c r="AD200" s="19">
        <f t="shared" si="82"/>
        <v>15.395615788971099</v>
      </c>
      <c r="AE200" s="19">
        <f t="shared" si="83"/>
        <v>15.395615788971099</v>
      </c>
      <c r="AF200">
        <f t="shared" si="102"/>
        <v>0</v>
      </c>
      <c r="AG200">
        <f t="shared" si="78"/>
        <v>0</v>
      </c>
      <c r="AH200">
        <f t="shared" si="84"/>
        <v>0</v>
      </c>
      <c r="AI200">
        <f t="shared" si="79"/>
        <v>0</v>
      </c>
      <c r="AJ200">
        <f t="shared" si="85"/>
        <v>0</v>
      </c>
      <c r="AK200">
        <f t="shared" si="80"/>
        <v>0</v>
      </c>
      <c r="AL200">
        <f t="shared" si="86"/>
        <v>0</v>
      </c>
      <c r="AM200">
        <f t="shared" si="87"/>
        <v>0</v>
      </c>
      <c r="AN200">
        <f t="shared" si="88"/>
        <v>0</v>
      </c>
      <c r="AO200">
        <f t="shared" si="89"/>
        <v>0</v>
      </c>
      <c r="AP200" s="20" t="e">
        <f t="shared" si="90"/>
        <v>#DIV/0!</v>
      </c>
      <c r="AQ200" s="21" t="e">
        <f t="shared" si="91"/>
        <v>#DIV/0!</v>
      </c>
      <c r="AR200">
        <f t="shared" si="92"/>
        <v>1</v>
      </c>
      <c r="AS200">
        <f t="shared" si="93"/>
        <v>1</v>
      </c>
      <c r="AT200">
        <f t="shared" si="94"/>
        <v>0</v>
      </c>
      <c r="AU200">
        <f t="shared" si="95"/>
        <v>0</v>
      </c>
      <c r="AV200">
        <f t="shared" si="96"/>
        <v>1</v>
      </c>
      <c r="AW200">
        <f t="shared" si="97"/>
        <v>0</v>
      </c>
      <c r="AX200">
        <f t="shared" si="98"/>
        <v>1</v>
      </c>
      <c r="AY200">
        <f t="shared" si="99"/>
        <v>4.8760605250706525E-3</v>
      </c>
      <c r="AZ200">
        <f t="shared" si="100"/>
        <v>5.2330648617822054E-3</v>
      </c>
      <c r="BA200" s="8">
        <f t="shared" si="101"/>
        <v>4.8760605250706525E-3</v>
      </c>
    </row>
    <row r="201" spans="1:53" x14ac:dyDescent="0.35">
      <c r="A201" s="7" t="s">
        <v>37</v>
      </c>
      <c r="B201" s="11" t="s">
        <v>71</v>
      </c>
      <c r="C201">
        <f t="shared" si="81"/>
        <v>0.27200000000027469</v>
      </c>
      <c r="D201">
        <v>0.27200000000084401</v>
      </c>
      <c r="E201">
        <v>-3.1000000000000232</v>
      </c>
      <c r="F201">
        <v>3.3720000000002979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1.3648468991078E-3</v>
      </c>
      <c r="M201">
        <v>1.3617557193335E-3</v>
      </c>
      <c r="N201">
        <v>-1.55552403942316E-2</v>
      </c>
      <c r="O201">
        <v>-1.5520010036498199E-2</v>
      </c>
      <c r="P201">
        <v>1.6920087293339402E-2</v>
      </c>
      <c r="Q201">
        <v>1.6881765755829999E-2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19974.2138871676</v>
      </c>
      <c r="AC201">
        <v>19928.975197</v>
      </c>
      <c r="AD201" s="19">
        <f t="shared" si="82"/>
        <v>0.27200000000084401</v>
      </c>
      <c r="AE201" s="19">
        <f t="shared" si="83"/>
        <v>0.27200000000084401</v>
      </c>
      <c r="AF201">
        <f t="shared" si="102"/>
        <v>1</v>
      </c>
      <c r="AG201">
        <f t="shared" si="78"/>
        <v>1</v>
      </c>
      <c r="AH201">
        <f t="shared" si="84"/>
        <v>1</v>
      </c>
      <c r="AI201">
        <f t="shared" si="79"/>
        <v>1</v>
      </c>
      <c r="AJ201">
        <f t="shared" si="85"/>
        <v>12.397058823492038</v>
      </c>
      <c r="AK201">
        <f t="shared" si="80"/>
        <v>12.397058823492038</v>
      </c>
      <c r="AL201">
        <f t="shared" si="86"/>
        <v>-11.397058823494133</v>
      </c>
      <c r="AM201">
        <f t="shared" si="87"/>
        <v>-11.397058823494133</v>
      </c>
      <c r="AN201">
        <f t="shared" si="88"/>
        <v>0</v>
      </c>
      <c r="AO201">
        <f t="shared" si="89"/>
        <v>0</v>
      </c>
      <c r="AP201" s="20">
        <f t="shared" si="90"/>
        <v>12.397058823517987</v>
      </c>
      <c r="AQ201" s="21">
        <f t="shared" si="91"/>
        <v>-11.397058823494133</v>
      </c>
      <c r="AR201">
        <f t="shared" si="92"/>
        <v>0</v>
      </c>
      <c r="AS201">
        <f t="shared" si="93"/>
        <v>0</v>
      </c>
      <c r="AT201">
        <f t="shared" si="94"/>
        <v>0</v>
      </c>
      <c r="AU201">
        <f t="shared" si="95"/>
        <v>0</v>
      </c>
      <c r="AV201">
        <f t="shared" si="96"/>
        <v>0</v>
      </c>
      <c r="AW201" t="e">
        <f t="shared" si="97"/>
        <v>#DIV/0!</v>
      </c>
      <c r="AX201" t="e">
        <f t="shared" si="98"/>
        <v>#DIV/0!</v>
      </c>
      <c r="AY201">
        <f t="shared" si="99"/>
        <v>1.3648468991109459E-5</v>
      </c>
      <c r="AZ201">
        <f t="shared" si="100"/>
        <v>1.3617557193356679E-5</v>
      </c>
      <c r="BA201" s="8">
        <f t="shared" si="101"/>
        <v>1.3648468991109459E-5</v>
      </c>
    </row>
    <row r="202" spans="1:53" x14ac:dyDescent="0.35">
      <c r="A202" s="7" t="s">
        <v>38</v>
      </c>
      <c r="B202" s="11" t="s">
        <v>71</v>
      </c>
      <c r="C202">
        <f t="shared" si="81"/>
        <v>-2.6645352591003757E-14</v>
      </c>
      <c r="D202">
        <v>-1.7763568394002501E-14</v>
      </c>
      <c r="E202">
        <v>-1.154631945610163E-14</v>
      </c>
      <c r="F202">
        <v>-5.3290705182007514E-15</v>
      </c>
      <c r="G202">
        <v>-9.7699626167013776E-15</v>
      </c>
      <c r="H202">
        <v>-2.442490654175344E-15</v>
      </c>
      <c r="I202">
        <v>-1.9984014443252822E-15</v>
      </c>
      <c r="J202">
        <v>-4.163336342344337E-16</v>
      </c>
      <c r="K202">
        <v>-2.664535259100376E-14</v>
      </c>
      <c r="L202">
        <v>-1.332267629550188E-15</v>
      </c>
      <c r="M202">
        <v>-7.2164496600635175E-16</v>
      </c>
      <c r="N202">
        <v>-8.3266726846886741E-16</v>
      </c>
      <c r="O202">
        <v>-4.7184478546569153E-16</v>
      </c>
      <c r="P202">
        <v>-4.163336342344337E-16</v>
      </c>
      <c r="Q202">
        <v>-2.3592239273284581E-16</v>
      </c>
      <c r="R202">
        <v>-7.7715611723760968E-16</v>
      </c>
      <c r="S202">
        <v>-4.163336342344337E-16</v>
      </c>
      <c r="T202">
        <v>-1.8041124150158801E-16</v>
      </c>
      <c r="U202">
        <v>-9.714451465470121E-17</v>
      </c>
      <c r="V202">
        <v>-1.52655665885959E-16</v>
      </c>
      <c r="W202">
        <v>-8.3266726846886741E-17</v>
      </c>
      <c r="X202">
        <v>-3.2959746043559329E-17</v>
      </c>
      <c r="Y202">
        <v>-1.647987302177967E-17</v>
      </c>
      <c r="Z202">
        <v>-2.109423746787797E-15</v>
      </c>
      <c r="AA202">
        <v>-1.165734175856414E-15</v>
      </c>
      <c r="AB202">
        <v>2381.6675591522499</v>
      </c>
      <c r="AC202">
        <v>1279.1513266244399</v>
      </c>
      <c r="AD202" s="19">
        <v>0</v>
      </c>
      <c r="AE202" s="19">
        <v>0</v>
      </c>
      <c r="AF202">
        <v>0</v>
      </c>
      <c r="AG202">
        <v>0</v>
      </c>
      <c r="AH202">
        <v>0</v>
      </c>
      <c r="AI202">
        <v>0</v>
      </c>
      <c r="AJ202" t="e">
        <f t="shared" si="85"/>
        <v>#DIV/0!</v>
      </c>
      <c r="AK202" t="e">
        <f t="shared" si="80"/>
        <v>#DIV/0!</v>
      </c>
      <c r="AL202" t="e">
        <f t="shared" si="86"/>
        <v>#DIV/0!</v>
      </c>
      <c r="AM202" t="e">
        <f t="shared" si="87"/>
        <v>#DIV/0!</v>
      </c>
      <c r="AN202" t="e">
        <f t="shared" si="88"/>
        <v>#DIV/0!</v>
      </c>
      <c r="AO202" t="e">
        <f t="shared" si="89"/>
        <v>#DIV/0!</v>
      </c>
      <c r="AP202" s="20">
        <f t="shared" si="90"/>
        <v>0.31578947368421051</v>
      </c>
      <c r="AQ202" s="21">
        <f t="shared" si="91"/>
        <v>0.65000000000000024</v>
      </c>
      <c r="AR202" t="e">
        <f t="shared" si="92"/>
        <v>#DIV/0!</v>
      </c>
      <c r="AS202" t="e">
        <f t="shared" si="93"/>
        <v>#DIV/0!</v>
      </c>
      <c r="AT202">
        <v>0</v>
      </c>
      <c r="AU202" t="e">
        <f t="shared" si="95"/>
        <v>#DIV/0!</v>
      </c>
      <c r="AV202" t="e">
        <f t="shared" si="96"/>
        <v>#DIV/0!</v>
      </c>
      <c r="AW202">
        <f t="shared" si="97"/>
        <v>0.81818181818181845</v>
      </c>
      <c r="AX202">
        <f t="shared" si="98"/>
        <v>0.17045454545454547</v>
      </c>
      <c r="AY202">
        <f t="shared" si="99"/>
        <v>0</v>
      </c>
      <c r="AZ202">
        <f t="shared" si="100"/>
        <v>0</v>
      </c>
      <c r="BA202" s="8">
        <f t="shared" si="101"/>
        <v>0</v>
      </c>
    </row>
    <row r="203" spans="1:53" x14ac:dyDescent="0.35">
      <c r="A203" s="7" t="s">
        <v>39</v>
      </c>
      <c r="B203" s="11" t="s">
        <v>71</v>
      </c>
      <c r="C203">
        <f t="shared" si="81"/>
        <v>6.4348398866345011</v>
      </c>
      <c r="D203">
        <v>6.4771357218701624</v>
      </c>
      <c r="E203">
        <v>0.60354303931876307</v>
      </c>
      <c r="F203">
        <v>5.8735926825513989</v>
      </c>
      <c r="G203">
        <v>-4.2295835235661203E-2</v>
      </c>
      <c r="H203">
        <v>7.2337052758079695E-2</v>
      </c>
      <c r="I203">
        <v>4.4287991484539E-3</v>
      </c>
      <c r="J203">
        <v>6.7908253609623104E-2</v>
      </c>
      <c r="K203">
        <v>0.5273109280821302</v>
      </c>
      <c r="L203">
        <v>0.64962766669383099</v>
      </c>
      <c r="M203">
        <v>0.2775379970503965</v>
      </c>
      <c r="N203">
        <v>6.0532660302005298E-2</v>
      </c>
      <c r="O203">
        <v>2.5861141939738999E-2</v>
      </c>
      <c r="P203">
        <v>0.58909500639182544</v>
      </c>
      <c r="Q203">
        <v>0.2516768551106574</v>
      </c>
      <c r="R203">
        <v>-4.2420826017640998E-3</v>
      </c>
      <c r="S203">
        <v>-1.8123290755268E-3</v>
      </c>
      <c r="T203">
        <v>7.255082001766E-3</v>
      </c>
      <c r="U203">
        <v>3.0995615341544002E-3</v>
      </c>
      <c r="V203">
        <v>4.4418869398559998E-4</v>
      </c>
      <c r="W203">
        <v>1.897690735196E-4</v>
      </c>
      <c r="X203">
        <v>6.8108933077802997E-3</v>
      </c>
      <c r="Y203">
        <v>2.9097924606344E-3</v>
      </c>
      <c r="Z203">
        <v>5.2886921401925802E-2</v>
      </c>
      <c r="AA203">
        <v>2.2594681520807201E-2</v>
      </c>
      <c r="AB203">
        <v>2333.7834064911899</v>
      </c>
      <c r="AC203">
        <v>997.05355143423003</v>
      </c>
      <c r="AD203" s="19">
        <f t="shared" si="82"/>
        <v>6.5494727746282422</v>
      </c>
      <c r="AE203" s="19">
        <f>(D203)+(H203)</f>
        <v>6.5494727746282422</v>
      </c>
      <c r="AF203">
        <f t="shared" si="102"/>
        <v>0.98895528613565609</v>
      </c>
      <c r="AG203">
        <f>D203/AE203</f>
        <v>0.98895528613565609</v>
      </c>
      <c r="AH203">
        <f t="shared" si="84"/>
        <v>0.98895528613565609</v>
      </c>
      <c r="AI203">
        <f>$D203/(AD203)</f>
        <v>0.98895528613565609</v>
      </c>
      <c r="AJ203">
        <f t="shared" si="85"/>
        <v>0.89680389317822495</v>
      </c>
      <c r="AK203">
        <f t="shared" si="80"/>
        <v>0.89680389317822495</v>
      </c>
      <c r="AL203">
        <f t="shared" si="86"/>
        <v>9.2151392957430994E-2</v>
      </c>
      <c r="AM203">
        <f t="shared" si="87"/>
        <v>9.2151392957430994E-2</v>
      </c>
      <c r="AN203">
        <f t="shared" si="88"/>
        <v>-6.4578992372499753E-3</v>
      </c>
      <c r="AO203">
        <f t="shared" si="89"/>
        <v>-6.4578992372499753E-3</v>
      </c>
      <c r="AP203" s="20">
        <f t="shared" si="90"/>
        <v>0.90681945458068913</v>
      </c>
      <c r="AQ203" s="21">
        <f t="shared" si="91"/>
        <v>9.3180545419310798E-2</v>
      </c>
      <c r="AR203">
        <f t="shared" si="92"/>
        <v>1.1044713864343936E-2</v>
      </c>
      <c r="AS203">
        <f t="shared" si="93"/>
        <v>1.1044713864343936E-2</v>
      </c>
      <c r="AT203">
        <f t="shared" si="94"/>
        <v>6.7620697128636974E-4</v>
      </c>
      <c r="AU203">
        <f t="shared" si="95"/>
        <v>6.7620697128636974E-4</v>
      </c>
      <c r="AV203">
        <f t="shared" si="96"/>
        <v>1.0368506893057156E-2</v>
      </c>
      <c r="AW203">
        <f t="shared" si="97"/>
        <v>6.1224489795918935E-2</v>
      </c>
      <c r="AX203">
        <f t="shared" si="98"/>
        <v>0.93877551020404382</v>
      </c>
      <c r="AY203">
        <f t="shared" si="99"/>
        <v>6.568827486955974E-3</v>
      </c>
      <c r="AZ203">
        <f t="shared" si="100"/>
        <v>2.8063755858455095E-3</v>
      </c>
      <c r="BA203" s="8">
        <f t="shared" si="101"/>
        <v>6.568827486955974E-3</v>
      </c>
    </row>
    <row r="204" spans="1:53" x14ac:dyDescent="0.35">
      <c r="A204" s="9" t="s">
        <v>40</v>
      </c>
      <c r="B204" s="11" t="s">
        <v>71</v>
      </c>
      <c r="C204">
        <f t="shared" si="81"/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468.59916169988998</v>
      </c>
      <c r="AC204">
        <v>413.94954015926999</v>
      </c>
      <c r="AD204" s="19">
        <f t="shared" si="82"/>
        <v>0</v>
      </c>
      <c r="AE204" s="19">
        <f t="shared" si="83"/>
        <v>0</v>
      </c>
      <c r="AF204">
        <v>0</v>
      </c>
      <c r="AG204">
        <v>0</v>
      </c>
      <c r="AH204">
        <v>0</v>
      </c>
      <c r="AI204">
        <v>0</v>
      </c>
      <c r="AJ204" t="e">
        <f t="shared" si="85"/>
        <v>#DIV/0!</v>
      </c>
      <c r="AK204">
        <v>0</v>
      </c>
      <c r="AL204" t="e">
        <f t="shared" si="86"/>
        <v>#DIV/0!</v>
      </c>
      <c r="AM204" t="e">
        <f t="shared" si="87"/>
        <v>#DIV/0!</v>
      </c>
      <c r="AN204" t="e">
        <f t="shared" si="88"/>
        <v>#DIV/0!</v>
      </c>
      <c r="AO204" t="e">
        <f t="shared" si="89"/>
        <v>#DIV/0!</v>
      </c>
      <c r="AP204" s="20" t="e">
        <f t="shared" si="90"/>
        <v>#DIV/0!</v>
      </c>
      <c r="AQ204" s="21" t="e">
        <f t="shared" si="91"/>
        <v>#DIV/0!</v>
      </c>
      <c r="AR204" t="e">
        <f t="shared" si="92"/>
        <v>#DIV/0!</v>
      </c>
      <c r="AS204" t="e">
        <f t="shared" si="93"/>
        <v>#DIV/0!</v>
      </c>
      <c r="AT204" s="22" t="s">
        <v>105</v>
      </c>
      <c r="AU204" t="e">
        <f t="shared" si="95"/>
        <v>#DIV/0!</v>
      </c>
      <c r="AV204" t="e">
        <f t="shared" si="96"/>
        <v>#DIV/0!</v>
      </c>
      <c r="AW204" t="e">
        <f t="shared" si="97"/>
        <v>#DIV/0!</v>
      </c>
      <c r="AX204" t="e">
        <f t="shared" si="98"/>
        <v>#DIV/0!</v>
      </c>
      <c r="AY204">
        <f t="shared" si="99"/>
        <v>0</v>
      </c>
      <c r="AZ204">
        <f t="shared" si="100"/>
        <v>0</v>
      </c>
      <c r="BA204" s="8">
        <f t="shared" si="101"/>
        <v>0</v>
      </c>
    </row>
    <row r="205" spans="1:53" x14ac:dyDescent="0.35">
      <c r="A205" s="7" t="s">
        <v>41</v>
      </c>
      <c r="B205" s="11" t="s">
        <v>71</v>
      </c>
      <c r="C205">
        <f t="shared" si="81"/>
        <v>0.68476911561264764</v>
      </c>
      <c r="D205">
        <v>1.141281859354407</v>
      </c>
      <c r="E205">
        <v>0.91302548748352841</v>
      </c>
      <c r="F205">
        <v>0.22825637187088429</v>
      </c>
      <c r="G205">
        <v>-0.45651274374176509</v>
      </c>
      <c r="H205">
        <v>0.5706409296772037</v>
      </c>
      <c r="I205">
        <v>0.57064092967720637</v>
      </c>
      <c r="J205">
        <v>0</v>
      </c>
      <c r="K205">
        <v>0</v>
      </c>
      <c r="L205">
        <v>0.2304886460988555</v>
      </c>
      <c r="M205">
        <v>0.2055171458543521</v>
      </c>
      <c r="N205">
        <v>0.18439091687908471</v>
      </c>
      <c r="O205">
        <v>0.1644137166834809</v>
      </c>
      <c r="P205">
        <v>4.6097729219771198E-2</v>
      </c>
      <c r="Q205">
        <v>4.1103429170870898E-2</v>
      </c>
      <c r="R205">
        <v>-9.2195458439542105E-2</v>
      </c>
      <c r="S205">
        <v>-8.2206858341740102E-2</v>
      </c>
      <c r="T205">
        <v>0.11524432304942769</v>
      </c>
      <c r="U205">
        <v>0.10275857292717561</v>
      </c>
      <c r="V205">
        <v>0.1152443230494281</v>
      </c>
      <c r="W205">
        <v>0.1027585729271758</v>
      </c>
      <c r="X205">
        <v>0</v>
      </c>
      <c r="Y205">
        <v>0</v>
      </c>
      <c r="Z205">
        <v>0</v>
      </c>
      <c r="AA205">
        <v>0</v>
      </c>
      <c r="AB205">
        <v>555.32196820367994</v>
      </c>
      <c r="AC205">
        <v>495.15751802582002</v>
      </c>
      <c r="AD205" s="19">
        <f t="shared" si="82"/>
        <v>1.7119227890316107</v>
      </c>
      <c r="AE205" s="19">
        <f t="shared" si="83"/>
        <v>1.7119227890316107</v>
      </c>
      <c r="AF205">
        <f t="shared" si="102"/>
        <v>0.66666666666666663</v>
      </c>
      <c r="AG205">
        <f t="shared" ref="AG205:AG213" si="103">D205/AE205</f>
        <v>0.66666666666666663</v>
      </c>
      <c r="AH205">
        <f t="shared" si="84"/>
        <v>0.66666666666666663</v>
      </c>
      <c r="AI205">
        <f t="shared" ref="AI205:AI212" si="104">$D205/(AD205)</f>
        <v>0.66666666666666663</v>
      </c>
      <c r="AJ205">
        <f t="shared" si="85"/>
        <v>0.13333333333333502</v>
      </c>
      <c r="AK205">
        <f t="shared" ref="AK205:AK267" si="105">(F205/(AD205))</f>
        <v>0.13333333333333502</v>
      </c>
      <c r="AL205">
        <f t="shared" si="86"/>
        <v>0.53333333333333488</v>
      </c>
      <c r="AM205">
        <f t="shared" si="87"/>
        <v>0.53333333333333488</v>
      </c>
      <c r="AN205">
        <f t="shared" si="88"/>
        <v>-0.266666666666668</v>
      </c>
      <c r="AO205">
        <f t="shared" si="89"/>
        <v>-0.266666666666668</v>
      </c>
      <c r="AP205" s="20">
        <f t="shared" si="90"/>
        <v>0.20000000000000154</v>
      </c>
      <c r="AQ205" s="21">
        <f t="shared" si="91"/>
        <v>0.80000000000000249</v>
      </c>
      <c r="AR205">
        <f t="shared" si="92"/>
        <v>0.33333333333333343</v>
      </c>
      <c r="AS205">
        <f t="shared" si="93"/>
        <v>0.33333333333333343</v>
      </c>
      <c r="AT205">
        <f t="shared" si="94"/>
        <v>0.33333333333333498</v>
      </c>
      <c r="AU205">
        <f t="shared" si="95"/>
        <v>0.33333333333333498</v>
      </c>
      <c r="AV205">
        <f t="shared" si="96"/>
        <v>0</v>
      </c>
      <c r="AW205">
        <f t="shared" si="97"/>
        <v>1.0000000000000047</v>
      </c>
      <c r="AX205">
        <f t="shared" si="98"/>
        <v>0</v>
      </c>
      <c r="AY205">
        <f t="shared" si="99"/>
        <v>3.457329691482827E-3</v>
      </c>
      <c r="AZ205">
        <f t="shared" si="100"/>
        <v>3.0827571878152583E-3</v>
      </c>
      <c r="BA205" s="8">
        <f t="shared" si="101"/>
        <v>3.457329691482827E-3</v>
      </c>
    </row>
    <row r="206" spans="1:53" x14ac:dyDescent="0.35">
      <c r="A206" s="9" t="s">
        <v>42</v>
      </c>
      <c r="B206" s="11" t="s">
        <v>71</v>
      </c>
      <c r="C206">
        <f t="shared" si="81"/>
        <v>10.27563253304036</v>
      </c>
      <c r="D206">
        <v>10.27563253304036</v>
      </c>
      <c r="E206">
        <v>3.6363244687153311</v>
      </c>
      <c r="F206">
        <v>6.6393080643250286</v>
      </c>
      <c r="G206">
        <v>0</v>
      </c>
      <c r="H206">
        <v>0.49977919238267532</v>
      </c>
      <c r="I206">
        <v>0</v>
      </c>
      <c r="J206">
        <v>0.49977919238267532</v>
      </c>
      <c r="K206">
        <v>0</v>
      </c>
      <c r="L206">
        <v>4.7651715685039084</v>
      </c>
      <c r="M206">
        <v>2.522272088593748</v>
      </c>
      <c r="N206">
        <v>1.686291322355262</v>
      </c>
      <c r="O206">
        <v>0.89257762799711693</v>
      </c>
      <c r="P206">
        <v>3.0788802461486462</v>
      </c>
      <c r="Q206">
        <v>1.6296944605966319</v>
      </c>
      <c r="R206">
        <v>0</v>
      </c>
      <c r="S206">
        <v>0</v>
      </c>
      <c r="T206">
        <v>0.23176515804882669</v>
      </c>
      <c r="U206">
        <v>0.12267654602804071</v>
      </c>
      <c r="V206">
        <v>0</v>
      </c>
      <c r="W206">
        <v>0</v>
      </c>
      <c r="X206">
        <v>0.23176515804882669</v>
      </c>
      <c r="Y206">
        <v>0.12267654602804071</v>
      </c>
      <c r="Z206">
        <v>0</v>
      </c>
      <c r="AA206">
        <v>0</v>
      </c>
      <c r="AB206">
        <v>407.39587848230002</v>
      </c>
      <c r="AC206">
        <v>215.64034757863999</v>
      </c>
      <c r="AD206" s="19">
        <f t="shared" si="82"/>
        <v>10.775411725423035</v>
      </c>
      <c r="AE206" s="19">
        <f t="shared" si="83"/>
        <v>10.775411725423035</v>
      </c>
      <c r="AF206">
        <f t="shared" si="102"/>
        <v>0.95361855257896844</v>
      </c>
      <c r="AG206">
        <f t="shared" si="103"/>
        <v>0.95361855257896844</v>
      </c>
      <c r="AH206">
        <f t="shared" si="84"/>
        <v>0.95361855257896844</v>
      </c>
      <c r="AI206">
        <f t="shared" si="104"/>
        <v>0.95361855257896844</v>
      </c>
      <c r="AJ206">
        <f t="shared" si="85"/>
        <v>0.61615353858456612</v>
      </c>
      <c r="AK206">
        <f t="shared" si="105"/>
        <v>0.61615353858456612</v>
      </c>
      <c r="AL206">
        <f t="shared" si="86"/>
        <v>0.33746501399440226</v>
      </c>
      <c r="AM206">
        <f t="shared" si="87"/>
        <v>0.33746501399440226</v>
      </c>
      <c r="AN206">
        <f t="shared" si="88"/>
        <v>0</v>
      </c>
      <c r="AO206">
        <f t="shared" si="89"/>
        <v>0</v>
      </c>
      <c r="AP206" s="20">
        <f t="shared" si="90"/>
        <v>0.64612159329140451</v>
      </c>
      <c r="AQ206" s="21">
        <f t="shared" si="91"/>
        <v>0.35387840670859544</v>
      </c>
      <c r="AR206">
        <f t="shared" si="92"/>
        <v>4.6381447421031542E-2</v>
      </c>
      <c r="AS206">
        <f t="shared" si="93"/>
        <v>4.6381447421031542E-2</v>
      </c>
      <c r="AT206">
        <f t="shared" si="94"/>
        <v>0</v>
      </c>
      <c r="AU206">
        <f t="shared" si="95"/>
        <v>0</v>
      </c>
      <c r="AV206">
        <f t="shared" si="96"/>
        <v>4.6381447421031542E-2</v>
      </c>
      <c r="AW206">
        <f t="shared" si="97"/>
        <v>0</v>
      </c>
      <c r="AX206">
        <f t="shared" si="98"/>
        <v>1</v>
      </c>
      <c r="AY206">
        <f t="shared" si="99"/>
        <v>4.9969367265527365E-2</v>
      </c>
      <c r="AZ206">
        <f t="shared" si="100"/>
        <v>2.6449486346217885E-2</v>
      </c>
      <c r="BA206" s="8">
        <f t="shared" si="101"/>
        <v>4.9969367265527365E-2</v>
      </c>
    </row>
    <row r="207" spans="1:53" x14ac:dyDescent="0.35">
      <c r="A207" s="9" t="s">
        <v>43</v>
      </c>
      <c r="B207" s="11" t="s">
        <v>71</v>
      </c>
      <c r="C207">
        <f t="shared" si="81"/>
        <v>-5.7014876505385779</v>
      </c>
      <c r="D207">
        <v>-5.7014876505385761</v>
      </c>
      <c r="E207">
        <v>0</v>
      </c>
      <c r="F207">
        <v>-5.7014876505385779</v>
      </c>
      <c r="G207">
        <v>0</v>
      </c>
      <c r="H207">
        <v>7.8223493436008482</v>
      </c>
      <c r="I207">
        <v>9.2782922355949484</v>
      </c>
      <c r="J207">
        <v>-1.455942891994098</v>
      </c>
      <c r="K207">
        <v>0</v>
      </c>
      <c r="L207">
        <v>-1.7142044659113751</v>
      </c>
      <c r="M207">
        <v>-1.8329012771360631</v>
      </c>
      <c r="N207">
        <v>0</v>
      </c>
      <c r="O207">
        <v>0</v>
      </c>
      <c r="P207">
        <v>-1.7142044659113751</v>
      </c>
      <c r="Q207">
        <v>-1.8329012771360631</v>
      </c>
      <c r="R207">
        <v>0</v>
      </c>
      <c r="S207">
        <v>0</v>
      </c>
      <c r="T207">
        <v>2.351860952895835</v>
      </c>
      <c r="U207">
        <v>2.5147110685640222</v>
      </c>
      <c r="V207">
        <v>2.7896035142311102</v>
      </c>
      <c r="W207">
        <v>2.9827642767334841</v>
      </c>
      <c r="X207">
        <v>-0.43774256133527611</v>
      </c>
      <c r="Y207">
        <v>-0.46805320816946328</v>
      </c>
      <c r="Z207">
        <v>0</v>
      </c>
      <c r="AA207">
        <v>0</v>
      </c>
      <c r="AB207">
        <v>311.06354290107998</v>
      </c>
      <c r="AC207">
        <v>332.60254327404999</v>
      </c>
      <c r="AD207" s="19">
        <f t="shared" si="82"/>
        <v>2.1208616930622721</v>
      </c>
      <c r="AE207" s="19">
        <f>(D207*-1)+(H207)</f>
        <v>13.523836994139424</v>
      </c>
      <c r="AF207">
        <f>($D207/$AE207)*-1</f>
        <v>0.42158801921446737</v>
      </c>
      <c r="AG207">
        <f t="shared" si="103"/>
        <v>-0.42158801921446737</v>
      </c>
      <c r="AH207">
        <f>(($D207)/(AD207)*-1)</f>
        <v>2.6882882882882879</v>
      </c>
      <c r="AI207">
        <f t="shared" si="104"/>
        <v>-2.6882882882882879</v>
      </c>
      <c r="AJ207">
        <f t="shared" si="85"/>
        <v>-0.42158801921446748</v>
      </c>
      <c r="AK207">
        <f t="shared" si="105"/>
        <v>-2.6882882882882888</v>
      </c>
      <c r="AL207">
        <f t="shared" si="86"/>
        <v>0</v>
      </c>
      <c r="AM207">
        <f t="shared" si="87"/>
        <v>0</v>
      </c>
      <c r="AN207">
        <f t="shared" si="88"/>
        <v>0</v>
      </c>
      <c r="AO207">
        <f t="shared" si="89"/>
        <v>0</v>
      </c>
      <c r="AP207" s="20">
        <f t="shared" si="90"/>
        <v>1</v>
      </c>
      <c r="AQ207" s="21">
        <f t="shared" si="91"/>
        <v>0</v>
      </c>
      <c r="AR207">
        <f t="shared" si="92"/>
        <v>0.57841198078553269</v>
      </c>
      <c r="AS207">
        <f t="shared" si="93"/>
        <v>3.6882882882882879</v>
      </c>
      <c r="AT207">
        <f t="shared" si="94"/>
        <v>0.68606951116134507</v>
      </c>
      <c r="AU207">
        <f t="shared" si="95"/>
        <v>4.3747747747747745</v>
      </c>
      <c r="AV207">
        <f t="shared" si="96"/>
        <v>-0.68648648648648536</v>
      </c>
      <c r="AW207">
        <f t="shared" si="97"/>
        <v>1.1861260381045433</v>
      </c>
      <c r="AX207">
        <f t="shared" si="98"/>
        <v>-0.18612603810454295</v>
      </c>
      <c r="AY207">
        <f t="shared" si="99"/>
        <v>6.37656486984459E-3</v>
      </c>
      <c r="AZ207">
        <f t="shared" si="100"/>
        <v>6.8180979142795865E-3</v>
      </c>
      <c r="BA207" s="8">
        <f t="shared" si="101"/>
        <v>4.0660654188072076E-2</v>
      </c>
    </row>
    <row r="208" spans="1:53" x14ac:dyDescent="0.35">
      <c r="A208" s="9" t="s">
        <v>44</v>
      </c>
      <c r="B208" s="11" t="s">
        <v>71</v>
      </c>
      <c r="C208">
        <f t="shared" si="81"/>
        <v>0.61379999999999979</v>
      </c>
      <c r="D208">
        <v>0.6137999999999999</v>
      </c>
      <c r="E208">
        <v>0.21110000000000001</v>
      </c>
      <c r="F208">
        <v>0.40269999999999978</v>
      </c>
      <c r="G208">
        <v>0</v>
      </c>
      <c r="H208">
        <v>-0.17325621916755879</v>
      </c>
      <c r="I208">
        <v>-0.1201896021839934</v>
      </c>
      <c r="J208">
        <v>-5.3066616983565199E-2</v>
      </c>
      <c r="K208">
        <v>0</v>
      </c>
      <c r="L208">
        <v>2.2821526946175101</v>
      </c>
      <c r="M208">
        <v>1.33691782336267</v>
      </c>
      <c r="N208">
        <v>0.78488503394225595</v>
      </c>
      <c r="O208">
        <v>0.45979692491342422</v>
      </c>
      <c r="P208">
        <v>1.497267660675254</v>
      </c>
      <c r="Q208">
        <v>0.87712089844924601</v>
      </c>
      <c r="R208">
        <v>0</v>
      </c>
      <c r="S208">
        <v>0</v>
      </c>
      <c r="T208">
        <v>-0.64417912582679371</v>
      </c>
      <c r="U208">
        <v>-0.37736938320876229</v>
      </c>
      <c r="V208">
        <v>-0.4468736143519178</v>
      </c>
      <c r="W208">
        <v>-0.2617849810079016</v>
      </c>
      <c r="X208">
        <v>-0.19730551147487579</v>
      </c>
      <c r="Y208">
        <v>-0.115584402200861</v>
      </c>
      <c r="Z208">
        <v>0</v>
      </c>
      <c r="AA208">
        <v>0</v>
      </c>
      <c r="AB208">
        <v>45.911572818750003</v>
      </c>
      <c r="AC208">
        <v>26.895658710639999</v>
      </c>
      <c r="AD208" s="19">
        <f t="shared" si="82"/>
        <v>0.44054378083244111</v>
      </c>
      <c r="AE208" s="19">
        <f>(D208)+(H208*-1)</f>
        <v>0.78705621916755875</v>
      </c>
      <c r="AF208">
        <f t="shared" si="102"/>
        <v>0.77986805141975024</v>
      </c>
      <c r="AG208">
        <f t="shared" si="103"/>
        <v>0.77986805141975024</v>
      </c>
      <c r="AH208">
        <f t="shared" si="84"/>
        <v>1.3932780956303092</v>
      </c>
      <c r="AI208">
        <f t="shared" si="104"/>
        <v>1.3932780956303092</v>
      </c>
      <c r="AJ208">
        <f t="shared" si="85"/>
        <v>0.51165341203443027</v>
      </c>
      <c r="AK208">
        <f t="shared" si="105"/>
        <v>0.91409757104973177</v>
      </c>
      <c r="AL208">
        <f t="shared" si="86"/>
        <v>0.26821463938531981</v>
      </c>
      <c r="AM208">
        <f t="shared" si="87"/>
        <v>0.47918052458057731</v>
      </c>
      <c r="AN208">
        <f t="shared" si="88"/>
        <v>0</v>
      </c>
      <c r="AO208">
        <f t="shared" si="89"/>
        <v>0</v>
      </c>
      <c r="AP208" s="20">
        <f t="shared" si="90"/>
        <v>0.65607689801238178</v>
      </c>
      <c r="AQ208" s="21">
        <f t="shared" si="91"/>
        <v>0.34392310198761816</v>
      </c>
      <c r="AR208">
        <f t="shared" si="92"/>
        <v>-0.2201319485802497</v>
      </c>
      <c r="AS208">
        <f t="shared" si="93"/>
        <v>-0.3932780956303093</v>
      </c>
      <c r="AT208">
        <f t="shared" si="94"/>
        <v>-0.15270777265582583</v>
      </c>
      <c r="AU208">
        <f t="shared" si="95"/>
        <v>-0.27282101669188469</v>
      </c>
      <c r="AV208">
        <f t="shared" si="96"/>
        <v>-0.12045707893842418</v>
      </c>
      <c r="AW208">
        <f t="shared" si="97"/>
        <v>0.69371017537763624</v>
      </c>
      <c r="AX208">
        <f t="shared" si="98"/>
        <v>0.30628982462236259</v>
      </c>
      <c r="AY208">
        <f t="shared" si="99"/>
        <v>1.6379735687907161E-2</v>
      </c>
      <c r="AZ208">
        <f t="shared" si="100"/>
        <v>9.5954844015390776E-3</v>
      </c>
      <c r="BA208" s="8">
        <f t="shared" si="101"/>
        <v>2.9263318204443049E-2</v>
      </c>
    </row>
    <row r="209" spans="1:53" x14ac:dyDescent="0.35">
      <c r="A209" s="9" t="s">
        <v>45</v>
      </c>
      <c r="B209" s="11" t="s">
        <v>71</v>
      </c>
      <c r="C209">
        <f t="shared" si="81"/>
        <v>4.7477325349143564</v>
      </c>
      <c r="D209">
        <v>4.7477325349143564</v>
      </c>
      <c r="E209">
        <v>1.9972432538702221</v>
      </c>
      <c r="F209">
        <v>2.7504892810441341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1.8637257634241731</v>
      </c>
      <c r="M209">
        <v>1.869757869946526</v>
      </c>
      <c r="N209">
        <v>0.78401925144045759</v>
      </c>
      <c r="O209">
        <v>0.78655679625154373</v>
      </c>
      <c r="P209">
        <v>1.0797065119837159</v>
      </c>
      <c r="Q209">
        <v>1.0832010736949831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253.92231856471</v>
      </c>
      <c r="AC209">
        <v>254.7441596875</v>
      </c>
      <c r="AD209" s="19">
        <f t="shared" si="82"/>
        <v>4.7477325349143564</v>
      </c>
      <c r="AE209" s="19">
        <f t="shared" si="83"/>
        <v>4.7477325349143564</v>
      </c>
      <c r="AF209">
        <f t="shared" si="102"/>
        <v>1</v>
      </c>
      <c r="AG209">
        <f t="shared" si="103"/>
        <v>1</v>
      </c>
      <c r="AH209">
        <f t="shared" si="84"/>
        <v>1</v>
      </c>
      <c r="AI209">
        <f t="shared" si="104"/>
        <v>1</v>
      </c>
      <c r="AJ209">
        <f t="shared" si="85"/>
        <v>0.57932692307692302</v>
      </c>
      <c r="AK209">
        <f t="shared" si="105"/>
        <v>0.57932692307692302</v>
      </c>
      <c r="AL209">
        <f t="shared" si="86"/>
        <v>0.42067307692307693</v>
      </c>
      <c r="AM209">
        <f t="shared" si="87"/>
        <v>0.42067307692307693</v>
      </c>
      <c r="AN209">
        <f t="shared" si="88"/>
        <v>0</v>
      </c>
      <c r="AO209">
        <f t="shared" si="89"/>
        <v>0</v>
      </c>
      <c r="AP209" s="20">
        <f t="shared" si="90"/>
        <v>0.57932692307692302</v>
      </c>
      <c r="AQ209" s="21">
        <f t="shared" si="91"/>
        <v>0.42067307692307693</v>
      </c>
      <c r="AR209">
        <f t="shared" si="92"/>
        <v>0</v>
      </c>
      <c r="AS209">
        <f t="shared" si="93"/>
        <v>0</v>
      </c>
      <c r="AT209">
        <f t="shared" si="94"/>
        <v>0</v>
      </c>
      <c r="AU209">
        <f t="shared" si="95"/>
        <v>0</v>
      </c>
      <c r="AV209">
        <f t="shared" si="96"/>
        <v>0</v>
      </c>
      <c r="AW209" t="e">
        <f t="shared" si="97"/>
        <v>#DIV/0!</v>
      </c>
      <c r="AX209" t="e">
        <f t="shared" si="98"/>
        <v>#DIV/0!</v>
      </c>
      <c r="AY209">
        <f t="shared" si="99"/>
        <v>1.863725763424174E-2</v>
      </c>
      <c r="AZ209">
        <f t="shared" si="100"/>
        <v>1.869757869946527E-2</v>
      </c>
      <c r="BA209" s="8">
        <f t="shared" si="101"/>
        <v>1.863725763424174E-2</v>
      </c>
    </row>
    <row r="210" spans="1:53" x14ac:dyDescent="0.35">
      <c r="A210" s="9" t="s">
        <v>46</v>
      </c>
      <c r="B210" s="11" t="s">
        <v>71</v>
      </c>
      <c r="C210">
        <f t="shared" si="81"/>
        <v>14.505692432394579</v>
      </c>
      <c r="D210">
        <v>13.558428489130421</v>
      </c>
      <c r="E210">
        <v>4.56512743741763E-2</v>
      </c>
      <c r="F210">
        <v>13.512777214756239</v>
      </c>
      <c r="G210">
        <v>0.94726394326416241</v>
      </c>
      <c r="H210">
        <v>5.6949964781785178</v>
      </c>
      <c r="I210">
        <v>2.5907098207345158</v>
      </c>
      <c r="J210">
        <v>3.104286657444002</v>
      </c>
      <c r="K210">
        <v>0</v>
      </c>
      <c r="L210">
        <v>6.6494499562066292</v>
      </c>
      <c r="M210">
        <v>4.4963238828922023</v>
      </c>
      <c r="N210">
        <v>2.2388720391268001E-2</v>
      </c>
      <c r="O210">
        <v>1.51391376528356E-2</v>
      </c>
      <c r="P210">
        <v>6.6270612358153631</v>
      </c>
      <c r="Q210">
        <v>4.4811847452393661</v>
      </c>
      <c r="R210">
        <v>0.46456594811881358</v>
      </c>
      <c r="S210">
        <v>0.31413710629634078</v>
      </c>
      <c r="T210">
        <v>2.7929928688106971</v>
      </c>
      <c r="U210">
        <v>1.888607422191253</v>
      </c>
      <c r="V210">
        <v>1.2705598822044659</v>
      </c>
      <c r="W210">
        <v>0.85914606179842568</v>
      </c>
      <c r="X210">
        <v>1.5224329866062321</v>
      </c>
      <c r="Y210">
        <v>1.0294613603928271</v>
      </c>
      <c r="Z210">
        <v>0</v>
      </c>
      <c r="AA210">
        <v>0</v>
      </c>
      <c r="AB210">
        <v>301.54474727050001</v>
      </c>
      <c r="AC210">
        <v>203.90300819506001</v>
      </c>
      <c r="AD210" s="19">
        <f t="shared" si="82"/>
        <v>19.253424967308938</v>
      </c>
      <c r="AE210" s="19">
        <f t="shared" si="83"/>
        <v>19.253424967308938</v>
      </c>
      <c r="AF210">
        <f t="shared" si="102"/>
        <v>0.70420865441612335</v>
      </c>
      <c r="AG210">
        <f t="shared" si="103"/>
        <v>0.70420865441612335</v>
      </c>
      <c r="AH210">
        <f t="shared" si="84"/>
        <v>0.70420865441612335</v>
      </c>
      <c r="AI210">
        <f t="shared" si="104"/>
        <v>0.70420865441612335</v>
      </c>
      <c r="AJ210">
        <f t="shared" si="85"/>
        <v>0.70183758150563114</v>
      </c>
      <c r="AK210">
        <f t="shared" si="105"/>
        <v>0.70183758150563114</v>
      </c>
      <c r="AL210">
        <f t="shared" si="86"/>
        <v>2.3710729104919875E-3</v>
      </c>
      <c r="AM210">
        <f t="shared" si="87"/>
        <v>2.3710729104919875E-3</v>
      </c>
      <c r="AN210">
        <f t="shared" si="88"/>
        <v>4.9199762892708956E-2</v>
      </c>
      <c r="AO210">
        <f t="shared" si="89"/>
        <v>4.9199762892708956E-2</v>
      </c>
      <c r="AP210" s="20">
        <f t="shared" si="90"/>
        <v>0.99663299663299665</v>
      </c>
      <c r="AQ210" s="21">
        <f t="shared" si="91"/>
        <v>3.3670033670033521E-3</v>
      </c>
      <c r="AR210">
        <f t="shared" si="92"/>
        <v>0.29579134558387671</v>
      </c>
      <c r="AS210">
        <f t="shared" si="93"/>
        <v>0.29579134558387671</v>
      </c>
      <c r="AT210">
        <f t="shared" si="94"/>
        <v>0.13455838767042086</v>
      </c>
      <c r="AU210">
        <f t="shared" si="95"/>
        <v>0.13455838767042086</v>
      </c>
      <c r="AV210">
        <f t="shared" si="96"/>
        <v>0.16123295791345585</v>
      </c>
      <c r="AW210">
        <f t="shared" si="97"/>
        <v>0.45490981963927851</v>
      </c>
      <c r="AX210">
        <f t="shared" si="98"/>
        <v>0.54509018036072154</v>
      </c>
      <c r="AY210">
        <f t="shared" si="99"/>
        <v>9.4424428250173276E-2</v>
      </c>
      <c r="AZ210">
        <f t="shared" si="100"/>
        <v>6.3849313050834536E-2</v>
      </c>
      <c r="BA210" s="8">
        <f t="shared" si="101"/>
        <v>9.4424428250173276E-2</v>
      </c>
    </row>
    <row r="211" spans="1:53" x14ac:dyDescent="0.35">
      <c r="A211" s="9" t="s">
        <v>47</v>
      </c>
      <c r="B211" s="11" t="s">
        <v>71</v>
      </c>
      <c r="C211">
        <f t="shared" si="81"/>
        <v>0</v>
      </c>
      <c r="D211">
        <v>0</v>
      </c>
      <c r="E211">
        <v>0</v>
      </c>
      <c r="F211">
        <v>0</v>
      </c>
      <c r="G211">
        <v>0</v>
      </c>
      <c r="H211">
        <v>-1.13737075332348E-2</v>
      </c>
      <c r="I211">
        <v>-1.13737075332348E-2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-5.48659316352813E-2</v>
      </c>
      <c r="U211">
        <v>-5.9644566302236197E-2</v>
      </c>
      <c r="V211">
        <v>-5.4865931635281202E-2</v>
      </c>
      <c r="W211">
        <v>-5.9644566302236003E-2</v>
      </c>
      <c r="X211">
        <v>0</v>
      </c>
      <c r="Y211">
        <v>0</v>
      </c>
      <c r="Z211">
        <v>0</v>
      </c>
      <c r="AA211">
        <v>0</v>
      </c>
      <c r="AB211">
        <v>19.06914282116</v>
      </c>
      <c r="AC211">
        <v>20.729999827290001</v>
      </c>
      <c r="AD211" s="19">
        <f t="shared" si="82"/>
        <v>-1.13737075332348E-2</v>
      </c>
      <c r="AE211" s="19">
        <f>(D211)+(H211*-1)</f>
        <v>1.13737075332348E-2</v>
      </c>
      <c r="AF211">
        <f t="shared" si="102"/>
        <v>0</v>
      </c>
      <c r="AG211">
        <f t="shared" si="103"/>
        <v>0</v>
      </c>
      <c r="AH211">
        <f t="shared" si="84"/>
        <v>0</v>
      </c>
      <c r="AI211">
        <f t="shared" si="104"/>
        <v>0</v>
      </c>
      <c r="AJ211">
        <f t="shared" si="85"/>
        <v>0</v>
      </c>
      <c r="AK211">
        <f t="shared" si="105"/>
        <v>0</v>
      </c>
      <c r="AL211">
        <f t="shared" si="86"/>
        <v>0</v>
      </c>
      <c r="AM211">
        <f t="shared" si="87"/>
        <v>0</v>
      </c>
      <c r="AN211">
        <f t="shared" si="88"/>
        <v>0</v>
      </c>
      <c r="AO211">
        <f t="shared" si="89"/>
        <v>0</v>
      </c>
      <c r="AP211" s="20" t="e">
        <f t="shared" si="90"/>
        <v>#DIV/0!</v>
      </c>
      <c r="AQ211" s="21" t="e">
        <f t="shared" si="91"/>
        <v>#DIV/0!</v>
      </c>
      <c r="AR211">
        <f t="shared" si="92"/>
        <v>-1</v>
      </c>
      <c r="AS211">
        <f t="shared" si="93"/>
        <v>1</v>
      </c>
      <c r="AT211">
        <f t="shared" si="94"/>
        <v>-1</v>
      </c>
      <c r="AU211">
        <f t="shared" si="95"/>
        <v>1</v>
      </c>
      <c r="AV211">
        <f t="shared" si="96"/>
        <v>0</v>
      </c>
      <c r="AW211">
        <f t="shared" si="97"/>
        <v>1</v>
      </c>
      <c r="AX211">
        <f t="shared" si="98"/>
        <v>0</v>
      </c>
      <c r="AY211">
        <f t="shared" si="99"/>
        <v>-5.4865931635280989E-4</v>
      </c>
      <c r="AZ211">
        <f t="shared" si="100"/>
        <v>-5.9644566302235731E-4</v>
      </c>
      <c r="BA211" s="8">
        <f t="shared" si="101"/>
        <v>5.4865931635280989E-4</v>
      </c>
    </row>
    <row r="212" spans="1:53" x14ac:dyDescent="0.35">
      <c r="A212" s="9" t="s">
        <v>48</v>
      </c>
      <c r="B212" s="11" t="s">
        <v>71</v>
      </c>
      <c r="C212">
        <f t="shared" si="81"/>
        <v>7.075487897565349</v>
      </c>
      <c r="D212">
        <v>6.5953424585950131</v>
      </c>
      <c r="E212">
        <v>-0.91100784237983401</v>
      </c>
      <c r="F212">
        <v>7.5063503009748516</v>
      </c>
      <c r="G212">
        <v>0.48014543897033191</v>
      </c>
      <c r="H212">
        <v>5.864286921181141</v>
      </c>
      <c r="I212">
        <v>2.5309368338247782</v>
      </c>
      <c r="J212">
        <v>3.3333500873563642</v>
      </c>
      <c r="K212">
        <v>0</v>
      </c>
      <c r="L212">
        <v>1.7754873566843989</v>
      </c>
      <c r="M212">
        <v>1.578245587758127</v>
      </c>
      <c r="N212">
        <v>-0.24524623492110481</v>
      </c>
      <c r="O212">
        <v>-0.2180014330833264</v>
      </c>
      <c r="P212">
        <v>2.020733591605504</v>
      </c>
      <c r="Q212">
        <v>1.7962470208414529</v>
      </c>
      <c r="R212">
        <v>0.1292566931305503</v>
      </c>
      <c r="S212">
        <v>0.11489735753593359</v>
      </c>
      <c r="T212">
        <v>1.578684859791925</v>
      </c>
      <c r="U212">
        <v>1.403306199307419</v>
      </c>
      <c r="V212">
        <v>0.68133631835396868</v>
      </c>
      <c r="W212">
        <v>0.6056455621455934</v>
      </c>
      <c r="X212">
        <v>0.89734854143795628</v>
      </c>
      <c r="Y212">
        <v>0.79766063716182589</v>
      </c>
      <c r="Z212">
        <v>0</v>
      </c>
      <c r="AA212">
        <v>0</v>
      </c>
      <c r="AB212">
        <v>417.89075855828003</v>
      </c>
      <c r="AC212">
        <v>371.46659669328</v>
      </c>
      <c r="AD212" s="19">
        <f t="shared" si="82"/>
        <v>12.459629379776153</v>
      </c>
      <c r="AE212" s="19">
        <f t="shared" si="83"/>
        <v>12.459629379776153</v>
      </c>
      <c r="AF212">
        <f t="shared" si="102"/>
        <v>0.52933696962930876</v>
      </c>
      <c r="AG212">
        <f t="shared" si="103"/>
        <v>0.52933696962930876</v>
      </c>
      <c r="AH212">
        <f t="shared" si="84"/>
        <v>0.52933696962930876</v>
      </c>
      <c r="AI212">
        <f t="shared" si="104"/>
        <v>0.52933696962930876</v>
      </c>
      <c r="AJ212">
        <f t="shared" si="85"/>
        <v>0.6024537385645502</v>
      </c>
      <c r="AK212">
        <f t="shared" si="105"/>
        <v>0.6024537385645502</v>
      </c>
      <c r="AL212">
        <f t="shared" si="86"/>
        <v>-7.3116768935241064E-2</v>
      </c>
      <c r="AM212">
        <f t="shared" si="87"/>
        <v>-7.3116768935241064E-2</v>
      </c>
      <c r="AN212">
        <f t="shared" si="88"/>
        <v>3.8536093196293621E-2</v>
      </c>
      <c r="AO212">
        <f t="shared" si="89"/>
        <v>3.8536093196293621E-2</v>
      </c>
      <c r="AP212" s="20">
        <f t="shared" si="90"/>
        <v>1.1381289672369648</v>
      </c>
      <c r="AQ212" s="21">
        <f t="shared" si="91"/>
        <v>-0.13812896723696488</v>
      </c>
      <c r="AR212">
        <f t="shared" si="92"/>
        <v>0.47066303037069129</v>
      </c>
      <c r="AS212">
        <f t="shared" si="93"/>
        <v>0.47066303037069129</v>
      </c>
      <c r="AT212">
        <f t="shared" si="94"/>
        <v>0.20313098862578274</v>
      </c>
      <c r="AU212">
        <f t="shared" si="95"/>
        <v>0.20313098862578274</v>
      </c>
      <c r="AV212">
        <f t="shared" si="96"/>
        <v>0.26753204174490863</v>
      </c>
      <c r="AW212">
        <f t="shared" si="97"/>
        <v>0.43158475494835025</v>
      </c>
      <c r="AX212">
        <f t="shared" si="98"/>
        <v>0.56841524505164998</v>
      </c>
      <c r="AY212">
        <f t="shared" si="99"/>
        <v>3.3541722164763227E-2</v>
      </c>
      <c r="AZ212">
        <f t="shared" si="100"/>
        <v>2.9815517870655433E-2</v>
      </c>
      <c r="BA212" s="8">
        <f t="shared" si="101"/>
        <v>3.3541722164763227E-2</v>
      </c>
    </row>
    <row r="213" spans="1:53" x14ac:dyDescent="0.35">
      <c r="A213" s="9" t="s">
        <v>49</v>
      </c>
      <c r="B213" s="11" t="s">
        <v>71</v>
      </c>
      <c r="C213">
        <f t="shared" si="81"/>
        <v>1.1662351082618985</v>
      </c>
      <c r="D213">
        <v>1.166510413053409</v>
      </c>
      <c r="E213">
        <v>1.488969708484992</v>
      </c>
      <c r="F213">
        <v>-0.32245929543158519</v>
      </c>
      <c r="G213">
        <v>-2.753047915082E-4</v>
      </c>
      <c r="H213">
        <v>-1.184956304280554</v>
      </c>
      <c r="I213">
        <v>0.1559669822328637</v>
      </c>
      <c r="J213">
        <v>-1.340923286513416</v>
      </c>
      <c r="K213">
        <v>0</v>
      </c>
      <c r="L213">
        <v>0.32542252708848268</v>
      </c>
      <c r="M213">
        <v>0.34068972667221858</v>
      </c>
      <c r="N213">
        <v>0.4153793055520727</v>
      </c>
      <c r="O213">
        <v>0.43486682787437791</v>
      </c>
      <c r="P213">
        <v>-8.9956778463591194E-2</v>
      </c>
      <c r="Q213">
        <v>-9.4177101202159705E-2</v>
      </c>
      <c r="R213">
        <v>-7.6802041344636862E-5</v>
      </c>
      <c r="S213">
        <v>-8.0405209521350329E-5</v>
      </c>
      <c r="T213">
        <v>-0.33056839502962188</v>
      </c>
      <c r="U213">
        <v>-0.34607701303509941</v>
      </c>
      <c r="V213">
        <v>4.3510258402004599E-2</v>
      </c>
      <c r="W213">
        <v>4.55515424056245E-2</v>
      </c>
      <c r="X213">
        <v>-0.374078653431626</v>
      </c>
      <c r="Y213">
        <v>-0.39162855544072439</v>
      </c>
      <c r="Z213">
        <v>0</v>
      </c>
      <c r="AA213">
        <v>0</v>
      </c>
      <c r="AB213">
        <v>342.39670930134002</v>
      </c>
      <c r="AC213">
        <v>358.46025273358998</v>
      </c>
      <c r="AD213" s="19">
        <v>0</v>
      </c>
      <c r="AE213" s="19">
        <f>(D213)+(H213*-1)</f>
        <v>2.3514667173339632</v>
      </c>
      <c r="AF213">
        <f t="shared" si="102"/>
        <v>0.49607779028060012</v>
      </c>
      <c r="AG213">
        <f t="shared" si="103"/>
        <v>0.49607779028060012</v>
      </c>
      <c r="AH213">
        <v>0</v>
      </c>
      <c r="AI213">
        <v>0</v>
      </c>
      <c r="AJ213">
        <f t="shared" si="85"/>
        <v>-0.13713113311558237</v>
      </c>
      <c r="AK213" t="e">
        <f t="shared" si="105"/>
        <v>#DIV/0!</v>
      </c>
      <c r="AL213">
        <f t="shared" si="86"/>
        <v>0.63320892339618151</v>
      </c>
      <c r="AM213" t="e">
        <f t="shared" si="87"/>
        <v>#DIV/0!</v>
      </c>
      <c r="AN213">
        <f t="shared" si="88"/>
        <v>-1.1707790268889453E-4</v>
      </c>
      <c r="AO213" t="e">
        <f t="shared" si="89"/>
        <v>#DIV/0!</v>
      </c>
      <c r="AP213" s="20">
        <f t="shared" si="90"/>
        <v>-0.27643070462399888</v>
      </c>
      <c r="AQ213" s="21">
        <f t="shared" si="91"/>
        <v>1.2764307046239964</v>
      </c>
      <c r="AR213">
        <f t="shared" si="92"/>
        <v>-0.50392220971939983</v>
      </c>
      <c r="AS213" t="e">
        <f t="shared" si="93"/>
        <v>#DIV/0!</v>
      </c>
      <c r="AT213">
        <f t="shared" si="94"/>
        <v>6.6327531273627949E-2</v>
      </c>
      <c r="AU213" t="e">
        <f t="shared" si="95"/>
        <v>#DIV/0!</v>
      </c>
      <c r="AV213" t="e">
        <f t="shared" si="96"/>
        <v>#DIV/0!</v>
      </c>
      <c r="AW213">
        <f t="shared" si="97"/>
        <v>-0.13162255997917074</v>
      </c>
      <c r="AX213">
        <f t="shared" si="98"/>
        <v>1.1316225599791694</v>
      </c>
      <c r="AY213">
        <f t="shared" si="99"/>
        <v>0</v>
      </c>
      <c r="AZ213">
        <f t="shared" si="100"/>
        <v>0</v>
      </c>
      <c r="BA213" s="8">
        <f t="shared" si="101"/>
        <v>6.5599092211810405E-3</v>
      </c>
    </row>
    <row r="214" spans="1:53" x14ac:dyDescent="0.35">
      <c r="A214" s="10" t="s">
        <v>50</v>
      </c>
      <c r="B214" s="11" t="s">
        <v>71</v>
      </c>
      <c r="C214">
        <f t="shared" si="81"/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55.422589739999999</v>
      </c>
      <c r="AC214">
        <v>30.160077523049999</v>
      </c>
      <c r="AD214" s="19">
        <f t="shared" si="82"/>
        <v>0</v>
      </c>
      <c r="AE214" s="19">
        <f t="shared" si="83"/>
        <v>0</v>
      </c>
      <c r="AF214">
        <v>0</v>
      </c>
      <c r="AG214">
        <v>0</v>
      </c>
      <c r="AH214">
        <v>0</v>
      </c>
      <c r="AI214">
        <v>0</v>
      </c>
      <c r="AJ214" t="e">
        <f t="shared" si="85"/>
        <v>#DIV/0!</v>
      </c>
      <c r="AK214" t="e">
        <f t="shared" si="105"/>
        <v>#DIV/0!</v>
      </c>
      <c r="AL214" t="e">
        <f t="shared" si="86"/>
        <v>#DIV/0!</v>
      </c>
      <c r="AM214" t="e">
        <f t="shared" si="87"/>
        <v>#DIV/0!</v>
      </c>
      <c r="AN214" t="e">
        <f t="shared" si="88"/>
        <v>#DIV/0!</v>
      </c>
      <c r="AO214" t="e">
        <f t="shared" si="89"/>
        <v>#DIV/0!</v>
      </c>
      <c r="AP214" s="20" t="e">
        <f t="shared" si="90"/>
        <v>#DIV/0!</v>
      </c>
      <c r="AQ214" s="21" t="e">
        <f t="shared" si="91"/>
        <v>#DIV/0!</v>
      </c>
      <c r="AR214" t="e">
        <f t="shared" si="92"/>
        <v>#DIV/0!</v>
      </c>
      <c r="AS214" t="e">
        <f t="shared" si="93"/>
        <v>#DIV/0!</v>
      </c>
      <c r="AT214" t="e">
        <f t="shared" si="94"/>
        <v>#DIV/0!</v>
      </c>
      <c r="AU214" t="e">
        <f t="shared" si="95"/>
        <v>#DIV/0!</v>
      </c>
      <c r="AV214" t="e">
        <f t="shared" si="96"/>
        <v>#DIV/0!</v>
      </c>
      <c r="AW214" t="e">
        <f t="shared" si="97"/>
        <v>#DIV/0!</v>
      </c>
      <c r="AX214" t="e">
        <f t="shared" si="98"/>
        <v>#DIV/0!</v>
      </c>
      <c r="AY214">
        <f t="shared" si="99"/>
        <v>0</v>
      </c>
      <c r="AZ214">
        <f t="shared" si="100"/>
        <v>0</v>
      </c>
      <c r="BA214" s="8">
        <f t="shared" si="101"/>
        <v>0</v>
      </c>
    </row>
    <row r="215" spans="1:53" x14ac:dyDescent="0.35">
      <c r="A215" s="9" t="s">
        <v>51</v>
      </c>
      <c r="B215" s="11" t="s">
        <v>71</v>
      </c>
      <c r="C215">
        <f t="shared" si="81"/>
        <v>0.65929308868577596</v>
      </c>
      <c r="D215">
        <v>0.55575232444005618</v>
      </c>
      <c r="E215">
        <v>0.35618561001317589</v>
      </c>
      <c r="F215">
        <v>0.19956671442688059</v>
      </c>
      <c r="G215">
        <v>0.10354076424571949</v>
      </c>
      <c r="H215">
        <v>0</v>
      </c>
      <c r="I215">
        <v>0</v>
      </c>
      <c r="J215">
        <v>0</v>
      </c>
      <c r="K215">
        <v>0</v>
      </c>
      <c r="L215">
        <v>1.152612134056253</v>
      </c>
      <c r="M215">
        <v>0.57213793525164292</v>
      </c>
      <c r="N215">
        <v>0.73871729909731676</v>
      </c>
      <c r="O215">
        <v>0.36668726430358928</v>
      </c>
      <c r="P215">
        <v>0.41389483495893481</v>
      </c>
      <c r="Q215">
        <v>0.205450670948053</v>
      </c>
      <c r="R215">
        <v>0.21474015670436719</v>
      </c>
      <c r="S215">
        <v>0.10659352460578431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97.136073348400004</v>
      </c>
      <c r="AC215">
        <v>48.216768505140003</v>
      </c>
      <c r="AD215" s="19">
        <f t="shared" si="82"/>
        <v>0.55575232444005618</v>
      </c>
      <c r="AE215" s="19">
        <f t="shared" si="83"/>
        <v>0.55575232444005618</v>
      </c>
      <c r="AF215">
        <f t="shared" si="102"/>
        <v>1</v>
      </c>
      <c r="AG215">
        <f>D215/AE215</f>
        <v>1</v>
      </c>
      <c r="AH215">
        <f t="shared" si="84"/>
        <v>1</v>
      </c>
      <c r="AI215">
        <f>$D215/(AD215)</f>
        <v>1</v>
      </c>
      <c r="AJ215">
        <f t="shared" si="85"/>
        <v>0.35909290101116975</v>
      </c>
      <c r="AK215">
        <f t="shared" si="105"/>
        <v>0.35909290101116975</v>
      </c>
      <c r="AL215">
        <f t="shared" si="86"/>
        <v>0.6409070989888308</v>
      </c>
      <c r="AM215">
        <f t="shared" si="87"/>
        <v>0.6409070989888308</v>
      </c>
      <c r="AN215">
        <f t="shared" si="88"/>
        <v>0.18630738854766135</v>
      </c>
      <c r="AO215">
        <f t="shared" si="89"/>
        <v>0.18630738854766135</v>
      </c>
      <c r="AP215" s="20">
        <f t="shared" si="90"/>
        <v>0.35909290101116953</v>
      </c>
      <c r="AQ215" s="21">
        <f t="shared" si="91"/>
        <v>0.6409070989888308</v>
      </c>
      <c r="AR215">
        <f t="shared" si="92"/>
        <v>0</v>
      </c>
      <c r="AS215">
        <f t="shared" si="93"/>
        <v>0</v>
      </c>
      <c r="AT215">
        <f t="shared" si="94"/>
        <v>0</v>
      </c>
      <c r="AU215">
        <f t="shared" si="95"/>
        <v>0</v>
      </c>
      <c r="AV215">
        <f t="shared" si="96"/>
        <v>0</v>
      </c>
      <c r="AW215" t="e">
        <f t="shared" si="97"/>
        <v>#DIV/0!</v>
      </c>
      <c r="AX215" t="e">
        <f t="shared" si="98"/>
        <v>#DIV/0!</v>
      </c>
      <c r="AY215">
        <f t="shared" si="99"/>
        <v>1.1526121340562504E-2</v>
      </c>
      <c r="AZ215">
        <f t="shared" si="100"/>
        <v>5.7213793525164192E-3</v>
      </c>
      <c r="BA215" s="8">
        <f t="shared" si="101"/>
        <v>1.1526121340562504E-2</v>
      </c>
    </row>
    <row r="216" spans="1:53" x14ac:dyDescent="0.35">
      <c r="A216" s="9" t="s">
        <v>52</v>
      </c>
      <c r="B216" s="11" t="s">
        <v>71</v>
      </c>
      <c r="C216">
        <f t="shared" si="81"/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66.343484468840003</v>
      </c>
      <c r="AC216">
        <v>66.557495896739994</v>
      </c>
      <c r="AD216" s="19">
        <f t="shared" si="82"/>
        <v>0</v>
      </c>
      <c r="AE216" s="19">
        <f t="shared" si="83"/>
        <v>0</v>
      </c>
      <c r="AF216">
        <v>0</v>
      </c>
      <c r="AG216">
        <v>0</v>
      </c>
      <c r="AH216">
        <v>0</v>
      </c>
      <c r="AI216">
        <v>0</v>
      </c>
      <c r="AJ216" t="e">
        <f t="shared" si="85"/>
        <v>#DIV/0!</v>
      </c>
      <c r="AK216" t="e">
        <f t="shared" si="105"/>
        <v>#DIV/0!</v>
      </c>
      <c r="AL216" t="e">
        <f t="shared" si="86"/>
        <v>#DIV/0!</v>
      </c>
      <c r="AM216" t="e">
        <f t="shared" si="87"/>
        <v>#DIV/0!</v>
      </c>
      <c r="AN216" t="e">
        <f t="shared" si="88"/>
        <v>#DIV/0!</v>
      </c>
      <c r="AO216" t="e">
        <f t="shared" si="89"/>
        <v>#DIV/0!</v>
      </c>
      <c r="AP216" s="20" t="e">
        <f t="shared" si="90"/>
        <v>#DIV/0!</v>
      </c>
      <c r="AQ216" s="21" t="e">
        <f t="shared" si="91"/>
        <v>#DIV/0!</v>
      </c>
      <c r="AR216" t="e">
        <f t="shared" si="92"/>
        <v>#DIV/0!</v>
      </c>
      <c r="AS216" t="e">
        <f t="shared" si="93"/>
        <v>#DIV/0!</v>
      </c>
      <c r="AT216" t="e">
        <f t="shared" si="94"/>
        <v>#DIV/0!</v>
      </c>
      <c r="AU216" t="e">
        <f t="shared" si="95"/>
        <v>#DIV/0!</v>
      </c>
      <c r="AV216" t="e">
        <f t="shared" si="96"/>
        <v>#DIV/0!</v>
      </c>
      <c r="AW216" t="e">
        <f t="shared" si="97"/>
        <v>#DIV/0!</v>
      </c>
      <c r="AX216" t="e">
        <f t="shared" si="98"/>
        <v>#DIV/0!</v>
      </c>
      <c r="AY216">
        <f t="shared" si="99"/>
        <v>0</v>
      </c>
      <c r="AZ216">
        <f t="shared" si="100"/>
        <v>0</v>
      </c>
      <c r="BA216" s="8">
        <f t="shared" si="101"/>
        <v>0</v>
      </c>
    </row>
    <row r="217" spans="1:53" x14ac:dyDescent="0.35">
      <c r="A217" s="9" t="s">
        <v>53</v>
      </c>
      <c r="B217" s="11" t="s">
        <v>71</v>
      </c>
      <c r="C217">
        <f t="shared" si="81"/>
        <v>52.727221902173859</v>
      </c>
      <c r="D217">
        <v>52.727221902173874</v>
      </c>
      <c r="E217">
        <v>12.143238983530949</v>
      </c>
      <c r="F217">
        <v>40.58398291864291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6.2751794119408801</v>
      </c>
      <c r="M217">
        <v>5.6547549801443484</v>
      </c>
      <c r="N217">
        <v>1.4451928342651721</v>
      </c>
      <c r="O217">
        <v>1.3023072075483959</v>
      </c>
      <c r="P217">
        <v>4.8299865776757072</v>
      </c>
      <c r="Q217">
        <v>4.3524477725959532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932.44043441874999</v>
      </c>
      <c r="AC217">
        <v>840.25042856688003</v>
      </c>
      <c r="AD217" s="19">
        <f t="shared" si="82"/>
        <v>52.727221902173874</v>
      </c>
      <c r="AE217" s="19">
        <f t="shared" si="83"/>
        <v>52.727221902173874</v>
      </c>
      <c r="AF217">
        <f t="shared" si="102"/>
        <v>1</v>
      </c>
      <c r="AG217">
        <f>D217/AE217</f>
        <v>1</v>
      </c>
      <c r="AH217">
        <f t="shared" si="84"/>
        <v>1</v>
      </c>
      <c r="AI217">
        <f>$D217/(AD217)</f>
        <v>1</v>
      </c>
      <c r="AJ217">
        <f t="shared" si="85"/>
        <v>0.76969696969696955</v>
      </c>
      <c r="AK217">
        <f t="shared" si="105"/>
        <v>0.76969696969696955</v>
      </c>
      <c r="AL217">
        <f t="shared" si="86"/>
        <v>0.23030303030303023</v>
      </c>
      <c r="AM217">
        <f t="shared" si="87"/>
        <v>0.23030303030303023</v>
      </c>
      <c r="AN217">
        <f t="shared" si="88"/>
        <v>0</v>
      </c>
      <c r="AO217">
        <f t="shared" si="89"/>
        <v>0</v>
      </c>
      <c r="AP217" s="20">
        <f t="shared" si="90"/>
        <v>0.76969696969696966</v>
      </c>
      <c r="AQ217" s="21">
        <f t="shared" si="91"/>
        <v>0.23030303030303023</v>
      </c>
      <c r="AR217">
        <f t="shared" si="92"/>
        <v>0</v>
      </c>
      <c r="AS217">
        <f t="shared" si="93"/>
        <v>0</v>
      </c>
      <c r="AT217">
        <f t="shared" si="94"/>
        <v>0</v>
      </c>
      <c r="AU217">
        <f t="shared" si="95"/>
        <v>0</v>
      </c>
      <c r="AV217">
        <f t="shared" si="96"/>
        <v>0</v>
      </c>
      <c r="AW217" t="e">
        <f t="shared" si="97"/>
        <v>#DIV/0!</v>
      </c>
      <c r="AX217" t="e">
        <f t="shared" si="98"/>
        <v>#DIV/0!</v>
      </c>
      <c r="AY217">
        <f t="shared" si="99"/>
        <v>6.2751794119408802E-2</v>
      </c>
      <c r="AZ217">
        <f t="shared" si="100"/>
        <v>5.6547549801443497E-2</v>
      </c>
      <c r="BA217" s="8">
        <f t="shared" si="101"/>
        <v>6.2751794119408802E-2</v>
      </c>
    </row>
    <row r="218" spans="1:53" x14ac:dyDescent="0.35">
      <c r="A218" s="9" t="s">
        <v>54</v>
      </c>
      <c r="B218" s="11" t="s">
        <v>71</v>
      </c>
      <c r="C218">
        <f t="shared" si="81"/>
        <v>4.4408920985006262E-15</v>
      </c>
      <c r="D218">
        <v>0</v>
      </c>
      <c r="E218">
        <v>0.78002577101263615</v>
      </c>
      <c r="F218">
        <v>-0.78002577101263171</v>
      </c>
      <c r="G218">
        <v>0</v>
      </c>
      <c r="H218">
        <v>-2.3725783868301029</v>
      </c>
      <c r="I218">
        <v>6.5002147584385994E-2</v>
      </c>
      <c r="J218">
        <v>-2.4375805344144892</v>
      </c>
      <c r="K218">
        <v>0</v>
      </c>
      <c r="L218">
        <v>0</v>
      </c>
      <c r="M218">
        <v>0</v>
      </c>
      <c r="N218">
        <v>0.38436448129134071</v>
      </c>
      <c r="O218">
        <v>0.4021294374513984</v>
      </c>
      <c r="P218">
        <v>-0.38436448129133538</v>
      </c>
      <c r="Q218">
        <v>-0.4021294374513964</v>
      </c>
      <c r="R218">
        <v>0</v>
      </c>
      <c r="S218">
        <v>0</v>
      </c>
      <c r="T218">
        <v>-1.169108630594496</v>
      </c>
      <c r="U218">
        <v>-1.2231437055813379</v>
      </c>
      <c r="V218">
        <v>3.20303734409449E-2</v>
      </c>
      <c r="W218">
        <v>3.3510786454283001E-2</v>
      </c>
      <c r="X218">
        <v>-1.201139004035441</v>
      </c>
      <c r="Y218">
        <v>-1.2566544920356211</v>
      </c>
      <c r="Z218">
        <v>0</v>
      </c>
      <c r="AA218">
        <v>0</v>
      </c>
      <c r="AB218">
        <v>193.97380504054999</v>
      </c>
      <c r="AC218">
        <v>202.93908750153</v>
      </c>
      <c r="AD218" s="19">
        <f t="shared" si="82"/>
        <v>-2.3725783868301029</v>
      </c>
      <c r="AE218" s="19">
        <f>(D218)+(H218*-1)</f>
        <v>2.3725783868301029</v>
      </c>
      <c r="AF218">
        <f t="shared" si="102"/>
        <v>0</v>
      </c>
      <c r="AG218">
        <f>D218/AE218</f>
        <v>0</v>
      </c>
      <c r="AH218">
        <f t="shared" si="84"/>
        <v>0</v>
      </c>
      <c r="AI218">
        <f>$D218/(AD218)</f>
        <v>0</v>
      </c>
      <c r="AJ218">
        <f t="shared" si="85"/>
        <v>-0.32876712328766916</v>
      </c>
      <c r="AK218">
        <f t="shared" si="105"/>
        <v>0.32876712328766916</v>
      </c>
      <c r="AL218">
        <f t="shared" si="86"/>
        <v>0.32876712328767105</v>
      </c>
      <c r="AM218">
        <f t="shared" si="87"/>
        <v>-0.32876712328767105</v>
      </c>
      <c r="AN218">
        <f t="shared" si="88"/>
        <v>0</v>
      </c>
      <c r="AO218">
        <f t="shared" si="89"/>
        <v>0</v>
      </c>
      <c r="AP218" s="20" t="e">
        <f>(F218/D218)</f>
        <v>#DIV/0!</v>
      </c>
      <c r="AQ218" s="21" t="e">
        <f t="shared" si="91"/>
        <v>#DIV/0!</v>
      </c>
      <c r="AR218">
        <f t="shared" si="92"/>
        <v>-1</v>
      </c>
      <c r="AS218">
        <f t="shared" si="93"/>
        <v>1</v>
      </c>
      <c r="AT218">
        <f t="shared" si="94"/>
        <v>2.7397260273972438E-2</v>
      </c>
      <c r="AU218">
        <f t="shared" si="95"/>
        <v>-2.7397260273972438E-2</v>
      </c>
      <c r="AV218">
        <f t="shared" si="96"/>
        <v>1.0273972602739725</v>
      </c>
      <c r="AW218">
        <f t="shared" si="97"/>
        <v>-2.7397260273972438E-2</v>
      </c>
      <c r="AX218">
        <f t="shared" si="98"/>
        <v>1.0273972602739725</v>
      </c>
      <c r="AY218">
        <f t="shared" si="99"/>
        <v>-1.1691086305944958E-2</v>
      </c>
      <c r="AZ218">
        <f t="shared" si="100"/>
        <v>-1.2231437055813378E-2</v>
      </c>
      <c r="BA218" s="8">
        <f t="shared" si="101"/>
        <v>1.1691086305944958E-2</v>
      </c>
    </row>
    <row r="219" spans="1:53" x14ac:dyDescent="0.35">
      <c r="A219" s="9" t="s">
        <v>55</v>
      </c>
      <c r="B219" s="11" t="s">
        <v>71</v>
      </c>
      <c r="C219">
        <f t="shared" si="81"/>
        <v>10.503584387998931</v>
      </c>
      <c r="D219">
        <v>10.503584387998931</v>
      </c>
      <c r="E219">
        <v>1.4762368351181501</v>
      </c>
      <c r="F219">
        <v>9.0273475528807801</v>
      </c>
      <c r="G219">
        <v>0</v>
      </c>
      <c r="H219">
        <v>0.83901230197362509</v>
      </c>
      <c r="I219">
        <v>0.83901230197362509</v>
      </c>
      <c r="J219">
        <v>0</v>
      </c>
      <c r="K219">
        <v>0</v>
      </c>
      <c r="L219">
        <v>2.5602928587666658</v>
      </c>
      <c r="M219">
        <v>3.178528896479957</v>
      </c>
      <c r="N219">
        <v>0.35983893566083569</v>
      </c>
      <c r="O219">
        <v>0.44672954156796141</v>
      </c>
      <c r="P219">
        <v>2.20045392310583</v>
      </c>
      <c r="Q219">
        <v>2.731799354911995</v>
      </c>
      <c r="R219">
        <v>0</v>
      </c>
      <c r="S219">
        <v>0</v>
      </c>
      <c r="T219">
        <v>0.2045127763827769</v>
      </c>
      <c r="U219">
        <v>0.25389664592711542</v>
      </c>
      <c r="V219">
        <v>0.2045127763827769</v>
      </c>
      <c r="W219">
        <v>0.25389664592711497</v>
      </c>
      <c r="X219">
        <v>0</v>
      </c>
      <c r="Y219">
        <v>0</v>
      </c>
      <c r="Z219">
        <v>0</v>
      </c>
      <c r="AA219">
        <v>0</v>
      </c>
      <c r="AB219">
        <v>330.45426768437</v>
      </c>
      <c r="AC219">
        <v>410.24933347112</v>
      </c>
      <c r="AD219" s="19">
        <f t="shared" si="82"/>
        <v>11.342596689972556</v>
      </c>
      <c r="AE219" s="19">
        <f>(D219)+(H219)</f>
        <v>11.342596689972556</v>
      </c>
      <c r="AF219">
        <f t="shared" si="102"/>
        <v>0.92602996254681647</v>
      </c>
      <c r="AG219">
        <f>D219/AE219</f>
        <v>0.92602996254681647</v>
      </c>
      <c r="AH219">
        <f t="shared" si="84"/>
        <v>0.92602996254681647</v>
      </c>
      <c r="AI219">
        <f>$D219/(AD219)</f>
        <v>0.92602996254681647</v>
      </c>
      <c r="AJ219">
        <f t="shared" si="85"/>
        <v>0.79588014981273414</v>
      </c>
      <c r="AK219">
        <f t="shared" si="105"/>
        <v>0.79588014981273414</v>
      </c>
      <c r="AL219">
        <f t="shared" si="86"/>
        <v>0.13014981273408233</v>
      </c>
      <c r="AM219">
        <f t="shared" si="87"/>
        <v>0.13014981273408233</v>
      </c>
      <c r="AN219">
        <f t="shared" si="88"/>
        <v>0</v>
      </c>
      <c r="AO219">
        <f t="shared" si="89"/>
        <v>0</v>
      </c>
      <c r="AP219" s="20">
        <f t="shared" si="90"/>
        <v>0.85945399393326594</v>
      </c>
      <c r="AQ219" s="21">
        <f t="shared" si="91"/>
        <v>0.14054600606673398</v>
      </c>
      <c r="AR219">
        <f t="shared" si="92"/>
        <v>7.3970037453183493E-2</v>
      </c>
      <c r="AS219">
        <f t="shared" si="93"/>
        <v>7.3970037453183493E-2</v>
      </c>
      <c r="AT219">
        <f t="shared" si="94"/>
        <v>7.3970037453183493E-2</v>
      </c>
      <c r="AU219">
        <f t="shared" si="95"/>
        <v>7.3970037453183493E-2</v>
      </c>
      <c r="AV219">
        <f t="shared" si="96"/>
        <v>0</v>
      </c>
      <c r="AW219">
        <f t="shared" si="97"/>
        <v>1</v>
      </c>
      <c r="AX219">
        <f t="shared" si="98"/>
        <v>0</v>
      </c>
      <c r="AY219">
        <f t="shared" si="99"/>
        <v>2.7648056351494431E-2</v>
      </c>
      <c r="AZ219">
        <f t="shared" si="100"/>
        <v>3.4324255424070721E-2</v>
      </c>
      <c r="BA219" s="8">
        <f t="shared" si="101"/>
        <v>2.7648056351494431E-2</v>
      </c>
    </row>
    <row r="220" spans="1:53" x14ac:dyDescent="0.35">
      <c r="A220" s="9" t="s">
        <v>56</v>
      </c>
      <c r="B220" s="11" t="s">
        <v>71</v>
      </c>
      <c r="C220">
        <f t="shared" si="81"/>
        <v>0.45651274374176509</v>
      </c>
      <c r="D220">
        <v>0.45651274374176509</v>
      </c>
      <c r="E220">
        <v>0</v>
      </c>
      <c r="F220">
        <v>0.45651274374176509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0.20530124788873119</v>
      </c>
      <c r="M220">
        <v>0.13378998732291689</v>
      </c>
      <c r="N220">
        <v>0</v>
      </c>
      <c r="O220">
        <v>0</v>
      </c>
      <c r="P220">
        <v>0.20530124788873119</v>
      </c>
      <c r="Q220">
        <v>0.13378998732291689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341.21592570296002</v>
      </c>
      <c r="AC220">
        <v>222.36238134761999</v>
      </c>
      <c r="AD220" s="19">
        <f t="shared" si="82"/>
        <v>0.45651274374176509</v>
      </c>
      <c r="AE220" s="19">
        <f t="shared" si="83"/>
        <v>0.45651274374176509</v>
      </c>
      <c r="AF220">
        <f t="shared" si="102"/>
        <v>1</v>
      </c>
      <c r="AG220">
        <f>D220/AE220</f>
        <v>1</v>
      </c>
      <c r="AH220">
        <f t="shared" si="84"/>
        <v>1</v>
      </c>
      <c r="AI220">
        <f>$D220/(AD220)</f>
        <v>1</v>
      </c>
      <c r="AJ220">
        <f t="shared" si="85"/>
        <v>1</v>
      </c>
      <c r="AK220">
        <f t="shared" si="105"/>
        <v>1</v>
      </c>
      <c r="AL220">
        <f t="shared" si="86"/>
        <v>0</v>
      </c>
      <c r="AM220">
        <f t="shared" si="87"/>
        <v>0</v>
      </c>
      <c r="AN220">
        <f t="shared" si="88"/>
        <v>0</v>
      </c>
      <c r="AO220">
        <f t="shared" si="89"/>
        <v>0</v>
      </c>
      <c r="AP220" s="20">
        <f t="shared" si="90"/>
        <v>1</v>
      </c>
      <c r="AQ220" s="21">
        <f t="shared" si="91"/>
        <v>0</v>
      </c>
      <c r="AR220">
        <f t="shared" si="92"/>
        <v>0</v>
      </c>
      <c r="AS220">
        <f t="shared" si="93"/>
        <v>0</v>
      </c>
      <c r="AT220">
        <f t="shared" si="94"/>
        <v>0</v>
      </c>
      <c r="AU220">
        <f t="shared" si="95"/>
        <v>0</v>
      </c>
      <c r="AV220">
        <f t="shared" si="96"/>
        <v>0</v>
      </c>
      <c r="AW220" t="e">
        <f t="shared" si="97"/>
        <v>#DIV/0!</v>
      </c>
      <c r="AX220" t="e">
        <f t="shared" si="98"/>
        <v>#DIV/0!</v>
      </c>
      <c r="AY220">
        <f t="shared" si="99"/>
        <v>2.0530124788873212E-3</v>
      </c>
      <c r="AZ220">
        <f t="shared" si="100"/>
        <v>1.3378998732291728E-3</v>
      </c>
      <c r="BA220" s="8">
        <f t="shared" si="101"/>
        <v>2.0530124788873212E-3</v>
      </c>
    </row>
    <row r="221" spans="1:53" x14ac:dyDescent="0.35">
      <c r="A221" s="9" t="s">
        <v>57</v>
      </c>
      <c r="B221" s="11" t="s">
        <v>71</v>
      </c>
      <c r="C221">
        <f t="shared" si="81"/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181.71174374815001</v>
      </c>
      <c r="AC221">
        <v>99.489061173690004</v>
      </c>
      <c r="AD221" s="19">
        <f t="shared" si="82"/>
        <v>0</v>
      </c>
      <c r="AE221" s="19">
        <f t="shared" si="83"/>
        <v>0</v>
      </c>
      <c r="AF221">
        <v>0</v>
      </c>
      <c r="AG221">
        <v>0</v>
      </c>
      <c r="AH221">
        <v>0</v>
      </c>
      <c r="AI221">
        <v>0</v>
      </c>
      <c r="AJ221" t="e">
        <f t="shared" si="85"/>
        <v>#DIV/0!</v>
      </c>
      <c r="AK221" t="e">
        <f t="shared" si="105"/>
        <v>#DIV/0!</v>
      </c>
      <c r="AL221" t="e">
        <f t="shared" si="86"/>
        <v>#DIV/0!</v>
      </c>
      <c r="AM221" t="e">
        <f t="shared" si="87"/>
        <v>#DIV/0!</v>
      </c>
      <c r="AN221" t="e">
        <f t="shared" si="88"/>
        <v>#DIV/0!</v>
      </c>
      <c r="AO221" t="e">
        <f t="shared" si="89"/>
        <v>#DIV/0!</v>
      </c>
      <c r="AP221" s="20" t="e">
        <f t="shared" si="90"/>
        <v>#DIV/0!</v>
      </c>
      <c r="AQ221" s="21" t="e">
        <f t="shared" si="91"/>
        <v>#DIV/0!</v>
      </c>
      <c r="AR221" t="e">
        <f t="shared" si="92"/>
        <v>#DIV/0!</v>
      </c>
      <c r="AS221" t="e">
        <f t="shared" si="93"/>
        <v>#DIV/0!</v>
      </c>
      <c r="AT221">
        <v>0</v>
      </c>
      <c r="AU221" t="e">
        <f t="shared" si="95"/>
        <v>#DIV/0!</v>
      </c>
      <c r="AV221" t="e">
        <f t="shared" si="96"/>
        <v>#DIV/0!</v>
      </c>
      <c r="AW221" t="e">
        <f t="shared" si="97"/>
        <v>#DIV/0!</v>
      </c>
      <c r="AX221" t="e">
        <f t="shared" si="98"/>
        <v>#DIV/0!</v>
      </c>
      <c r="AY221">
        <f t="shared" si="99"/>
        <v>0</v>
      </c>
      <c r="AZ221">
        <f t="shared" si="100"/>
        <v>0</v>
      </c>
      <c r="BA221" s="8">
        <f t="shared" si="101"/>
        <v>0</v>
      </c>
    </row>
    <row r="222" spans="1:53" x14ac:dyDescent="0.35">
      <c r="A222" s="9" t="s">
        <v>58</v>
      </c>
      <c r="B222" s="11" t="s">
        <v>71</v>
      </c>
      <c r="C222">
        <f t="shared" si="81"/>
        <v>0.72970577116271818</v>
      </c>
      <c r="D222">
        <v>0.35570577116271801</v>
      </c>
      <c r="E222">
        <v>-4.4512743741764997E-2</v>
      </c>
      <c r="F222">
        <v>0.40021851490448318</v>
      </c>
      <c r="G222">
        <v>0.374</v>
      </c>
      <c r="H222">
        <v>0</v>
      </c>
      <c r="I222">
        <v>0</v>
      </c>
      <c r="J222">
        <v>0</v>
      </c>
      <c r="K222">
        <v>0</v>
      </c>
      <c r="L222">
        <v>0.70551376153752976</v>
      </c>
      <c r="M222">
        <v>0.46780390947431361</v>
      </c>
      <c r="N222">
        <v>-8.8287443779602806E-2</v>
      </c>
      <c r="O222">
        <v>-5.8540617645194998E-2</v>
      </c>
      <c r="P222">
        <v>0.79380120531713239</v>
      </c>
      <c r="Q222">
        <v>0.52634452711950885</v>
      </c>
      <c r="R222">
        <v>0.74179889168661206</v>
      </c>
      <c r="S222">
        <v>0.49186343412842198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76.037366075549997</v>
      </c>
      <c r="AC222">
        <v>50.417977728389999</v>
      </c>
      <c r="AD222" s="19">
        <f t="shared" si="82"/>
        <v>0.35570577116271801</v>
      </c>
      <c r="AE222" s="19">
        <f t="shared" si="83"/>
        <v>0.35570577116271801</v>
      </c>
      <c r="AF222">
        <f t="shared" si="102"/>
        <v>1</v>
      </c>
      <c r="AG222">
        <f>D222/AE222</f>
        <v>1</v>
      </c>
      <c r="AH222">
        <f t="shared" si="84"/>
        <v>1</v>
      </c>
      <c r="AI222">
        <f>$D222/(AD222)</f>
        <v>1</v>
      </c>
      <c r="AJ222">
        <f t="shared" si="85"/>
        <v>1.125139222780287</v>
      </c>
      <c r="AK222">
        <f t="shared" si="105"/>
        <v>1.125139222780287</v>
      </c>
      <c r="AL222">
        <f t="shared" si="86"/>
        <v>-0.12513922278028655</v>
      </c>
      <c r="AM222">
        <f t="shared" si="87"/>
        <v>-0.12513922278028655</v>
      </c>
      <c r="AN222">
        <f t="shared" si="88"/>
        <v>1.0514307900529207</v>
      </c>
      <c r="AO222">
        <f t="shared" si="89"/>
        <v>1.0514307900529207</v>
      </c>
      <c r="AP222" s="20">
        <f t="shared" si="90"/>
        <v>1.1251392227802866</v>
      </c>
      <c r="AQ222" s="21">
        <f t="shared" si="91"/>
        <v>-0.12513922278028655</v>
      </c>
      <c r="AR222">
        <f t="shared" si="92"/>
        <v>0</v>
      </c>
      <c r="AS222">
        <f t="shared" si="93"/>
        <v>0</v>
      </c>
      <c r="AT222">
        <f t="shared" si="94"/>
        <v>0</v>
      </c>
      <c r="AU222">
        <f t="shared" si="95"/>
        <v>0</v>
      </c>
      <c r="AV222">
        <f t="shared" si="96"/>
        <v>0</v>
      </c>
      <c r="AW222" t="e">
        <f t="shared" si="97"/>
        <v>#DIV/0!</v>
      </c>
      <c r="AX222" t="e">
        <f t="shared" si="98"/>
        <v>#DIV/0!</v>
      </c>
      <c r="AY222">
        <f t="shared" si="99"/>
        <v>7.0551376153752919E-3</v>
      </c>
      <c r="AZ222">
        <f t="shared" si="100"/>
        <v>4.6780390947431319E-3</v>
      </c>
      <c r="BA222" s="8">
        <f t="shared" si="101"/>
        <v>7.0551376153752919E-3</v>
      </c>
    </row>
    <row r="223" spans="1:53" x14ac:dyDescent="0.35">
      <c r="A223" s="9" t="s">
        <v>59</v>
      </c>
      <c r="B223" s="11" t="s">
        <v>71</v>
      </c>
      <c r="C223">
        <f t="shared" si="81"/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521.00449074291998</v>
      </c>
      <c r="AC223">
        <v>549.82128194673999</v>
      </c>
      <c r="AD223" s="19">
        <f t="shared" si="82"/>
        <v>0</v>
      </c>
      <c r="AE223" s="19">
        <f t="shared" si="83"/>
        <v>0</v>
      </c>
      <c r="AF223">
        <v>0</v>
      </c>
      <c r="AG223">
        <v>0</v>
      </c>
      <c r="AH223">
        <v>0</v>
      </c>
      <c r="AI223">
        <v>0</v>
      </c>
      <c r="AJ223" t="e">
        <f t="shared" si="85"/>
        <v>#DIV/0!</v>
      </c>
      <c r="AK223" t="e">
        <f t="shared" si="105"/>
        <v>#DIV/0!</v>
      </c>
      <c r="AL223" t="e">
        <f t="shared" si="86"/>
        <v>#DIV/0!</v>
      </c>
      <c r="AM223" t="e">
        <f t="shared" si="87"/>
        <v>#DIV/0!</v>
      </c>
      <c r="AN223" t="e">
        <f t="shared" si="88"/>
        <v>#DIV/0!</v>
      </c>
      <c r="AO223" t="e">
        <f t="shared" si="89"/>
        <v>#DIV/0!</v>
      </c>
      <c r="AP223" s="20" t="e">
        <f t="shared" si="90"/>
        <v>#DIV/0!</v>
      </c>
      <c r="AQ223" s="21" t="e">
        <f t="shared" si="91"/>
        <v>#DIV/0!</v>
      </c>
      <c r="AR223" t="e">
        <f t="shared" si="92"/>
        <v>#DIV/0!</v>
      </c>
      <c r="AS223" t="e">
        <f t="shared" si="93"/>
        <v>#DIV/0!</v>
      </c>
      <c r="AT223">
        <v>0</v>
      </c>
      <c r="AU223" t="e">
        <f t="shared" si="95"/>
        <v>#DIV/0!</v>
      </c>
      <c r="AV223" t="e">
        <f t="shared" si="96"/>
        <v>#DIV/0!</v>
      </c>
      <c r="AW223" t="e">
        <f t="shared" si="97"/>
        <v>#DIV/0!</v>
      </c>
      <c r="AX223" t="e">
        <f t="shared" si="98"/>
        <v>#DIV/0!</v>
      </c>
      <c r="AY223">
        <f t="shared" si="99"/>
        <v>0</v>
      </c>
      <c r="AZ223">
        <f t="shared" si="100"/>
        <v>0</v>
      </c>
      <c r="BA223" s="8">
        <f t="shared" si="101"/>
        <v>0</v>
      </c>
    </row>
    <row r="224" spans="1:53" x14ac:dyDescent="0.35">
      <c r="A224" s="9" t="s">
        <v>60</v>
      </c>
      <c r="B224" s="11" t="s">
        <v>71</v>
      </c>
      <c r="C224">
        <f t="shared" si="81"/>
        <v>3.8322799069066691</v>
      </c>
      <c r="D224">
        <v>3.83227990690667</v>
      </c>
      <c r="E224">
        <v>2.2988468883408602</v>
      </c>
      <c r="F224">
        <v>1.5334330185658089</v>
      </c>
      <c r="G224">
        <v>0</v>
      </c>
      <c r="H224">
        <v>2.6534631329298E-3</v>
      </c>
      <c r="I224">
        <v>6.061594821082928E-5</v>
      </c>
      <c r="J224">
        <v>2.5928471847223001E-3</v>
      </c>
      <c r="K224">
        <v>0</v>
      </c>
      <c r="L224">
        <v>0.51294735991859142</v>
      </c>
      <c r="M224">
        <v>0.64864381941725213</v>
      </c>
      <c r="N224">
        <v>0.3076986730813529</v>
      </c>
      <c r="O224">
        <v>0.38909809881619178</v>
      </c>
      <c r="P224">
        <v>0.20524868683723871</v>
      </c>
      <c r="Q224">
        <v>0.2595457206010589</v>
      </c>
      <c r="R224">
        <v>0</v>
      </c>
      <c r="S224">
        <v>0</v>
      </c>
      <c r="T224">
        <v>3.5516375153660002E-4</v>
      </c>
      <c r="U224">
        <v>4.4911971542919998E-4</v>
      </c>
      <c r="V224">
        <v>8.1133923823251131E-6</v>
      </c>
      <c r="W224">
        <v>1.025973079216147E-5</v>
      </c>
      <c r="X224">
        <v>3.4705035915470002E-4</v>
      </c>
      <c r="Y224">
        <v>4.3885998463630001E-4</v>
      </c>
      <c r="Z224">
        <v>0</v>
      </c>
      <c r="AA224">
        <v>0</v>
      </c>
      <c r="AB224">
        <v>590.81421763174001</v>
      </c>
      <c r="AC224">
        <v>747.10978286638999</v>
      </c>
      <c r="AD224" s="23">
        <f t="shared" si="82"/>
        <v>3.8349333700395998</v>
      </c>
      <c r="AE224" s="23">
        <f t="shared" si="83"/>
        <v>3.8349333700395998</v>
      </c>
      <c r="AF224" s="24">
        <f t="shared" si="102"/>
        <v>0.99930808103377755</v>
      </c>
      <c r="AG224" s="24">
        <f t="shared" ref="AG224:AG229" si="106">D224/AE224</f>
        <v>0.99930808103377755</v>
      </c>
      <c r="AH224" s="24">
        <f t="shared" si="84"/>
        <v>0.99930808103377755</v>
      </c>
      <c r="AI224" s="24">
        <f t="shared" ref="AI224:AI229" si="107">$D224/(AD224)</f>
        <v>0.99930808103377755</v>
      </c>
      <c r="AJ224" s="24">
        <f t="shared" si="85"/>
        <v>0.3998591033017021</v>
      </c>
      <c r="AK224" s="24">
        <f t="shared" si="105"/>
        <v>0.3998591033017021</v>
      </c>
      <c r="AL224" s="24">
        <f t="shared" si="86"/>
        <v>0.59944897773207517</v>
      </c>
      <c r="AM224" s="24">
        <f t="shared" si="87"/>
        <v>0.59944897773207517</v>
      </c>
      <c r="AN224" s="24">
        <f t="shared" si="88"/>
        <v>0</v>
      </c>
      <c r="AO224" s="24">
        <f t="shared" si="89"/>
        <v>0</v>
      </c>
      <c r="AP224" s="24">
        <f t="shared" si="90"/>
        <v>0.40013596496492915</v>
      </c>
      <c r="AQ224" s="24">
        <f t="shared" si="91"/>
        <v>0.59986403503507069</v>
      </c>
      <c r="AR224" s="24">
        <f t="shared" si="92"/>
        <v>6.9191896622245624E-4</v>
      </c>
      <c r="AS224" s="24">
        <f t="shared" si="93"/>
        <v>6.9191896622245624E-4</v>
      </c>
      <c r="AT224" s="24">
        <f t="shared" si="94"/>
        <v>1.5806258508789516E-5</v>
      </c>
      <c r="AU224" s="24">
        <f t="shared" si="95"/>
        <v>1.5806258508789516E-5</v>
      </c>
      <c r="AV224">
        <f t="shared" si="96"/>
        <v>6.7611270771453485E-4</v>
      </c>
      <c r="AW224" s="24">
        <f t="shared" si="97"/>
        <v>2.2844089091941015E-2</v>
      </c>
      <c r="AX224" s="24">
        <f t="shared" si="98"/>
        <v>0.97715591090931375</v>
      </c>
      <c r="AY224" s="24">
        <f t="shared" si="99"/>
        <v>5.1330252367012882E-3</v>
      </c>
      <c r="AZ224" s="24">
        <f t="shared" si="100"/>
        <v>6.4909293913267829E-3</v>
      </c>
      <c r="BA224" s="23">
        <f t="shared" si="101"/>
        <v>5.1330252367012882E-3</v>
      </c>
    </row>
    <row r="225" spans="1:53" x14ac:dyDescent="0.35">
      <c r="A225" s="7" t="s">
        <v>61</v>
      </c>
      <c r="B225" s="11" t="s">
        <v>71</v>
      </c>
      <c r="C225">
        <f t="shared" si="81"/>
        <v>15.14914616994127</v>
      </c>
      <c r="D225">
        <v>14.902985591190401</v>
      </c>
      <c r="E225">
        <v>-0.69891173880890034</v>
      </c>
      <c r="F225">
        <v>15.6018973299993</v>
      </c>
      <c r="G225">
        <v>0.2461605787508705</v>
      </c>
      <c r="H225">
        <v>3.285928135838565</v>
      </c>
      <c r="I225">
        <v>3.285928135838565</v>
      </c>
      <c r="J225">
        <v>0</v>
      </c>
      <c r="K225">
        <v>-1.4672521220830279</v>
      </c>
      <c r="L225">
        <v>5.6890427775433512</v>
      </c>
      <c r="M225">
        <v>3.3771511402726562</v>
      </c>
      <c r="N225">
        <v>-0.26680149125028052</v>
      </c>
      <c r="O225">
        <v>-0.1583797126572869</v>
      </c>
      <c r="P225">
        <v>5.9558442687936326</v>
      </c>
      <c r="Q225">
        <v>3.5355308529299432</v>
      </c>
      <c r="R225">
        <v>9.3968960386458397E-2</v>
      </c>
      <c r="S225">
        <v>5.5782210492781897E-2</v>
      </c>
      <c r="T225">
        <v>1.254365148133092</v>
      </c>
      <c r="U225">
        <v>0.74462099442416596</v>
      </c>
      <c r="V225">
        <v>1.254365148133092</v>
      </c>
      <c r="W225">
        <v>0.74462099442416596</v>
      </c>
      <c r="X225">
        <v>0</v>
      </c>
      <c r="Y225">
        <v>0</v>
      </c>
      <c r="Z225">
        <v>-0.56010656635848299</v>
      </c>
      <c r="AA225">
        <v>-0.33249258323709963</v>
      </c>
      <c r="AB225">
        <v>441.28867711817003</v>
      </c>
      <c r="AC225">
        <v>261.95945739796002</v>
      </c>
      <c r="AD225" s="19">
        <f t="shared" si="82"/>
        <v>18.188913727028964</v>
      </c>
      <c r="AE225" s="19">
        <f t="shared" si="83"/>
        <v>18.188913727028964</v>
      </c>
      <c r="AF225">
        <f t="shared" si="102"/>
        <v>0.81934445425646107</v>
      </c>
      <c r="AG225">
        <f t="shared" si="106"/>
        <v>0.81934445425646107</v>
      </c>
      <c r="AH225">
        <f t="shared" si="84"/>
        <v>0.81934445425646107</v>
      </c>
      <c r="AI225">
        <f t="shared" si="107"/>
        <v>0.81934445425646107</v>
      </c>
      <c r="AJ225">
        <f t="shared" si="85"/>
        <v>0.85776960428454152</v>
      </c>
      <c r="AK225">
        <f t="shared" si="105"/>
        <v>0.85776960428454152</v>
      </c>
      <c r="AL225">
        <f t="shared" si="86"/>
        <v>-3.8425150028080474E-2</v>
      </c>
      <c r="AM225">
        <f t="shared" si="87"/>
        <v>-3.8425150028080474E-2</v>
      </c>
      <c r="AN225">
        <f t="shared" si="88"/>
        <v>1.3533550295808629E-2</v>
      </c>
      <c r="AO225">
        <f t="shared" si="89"/>
        <v>1.3533550295808629E-2</v>
      </c>
      <c r="AP225" s="20">
        <f t="shared" si="90"/>
        <v>1.0468974310236232</v>
      </c>
      <c r="AQ225" s="21">
        <f t="shared" si="91"/>
        <v>-4.6897431023623072E-2</v>
      </c>
      <c r="AR225">
        <f t="shared" si="92"/>
        <v>0.18065554574353898</v>
      </c>
      <c r="AS225">
        <f t="shared" si="93"/>
        <v>0.18065554574353898</v>
      </c>
      <c r="AT225">
        <f t="shared" si="94"/>
        <v>0.18065554574353898</v>
      </c>
      <c r="AU225">
        <f t="shared" si="95"/>
        <v>0.18065554574353898</v>
      </c>
      <c r="AV225">
        <f t="shared" si="96"/>
        <v>0</v>
      </c>
      <c r="AW225">
        <f t="shared" si="97"/>
        <v>1</v>
      </c>
      <c r="AX225">
        <f t="shared" si="98"/>
        <v>0</v>
      </c>
      <c r="AY225">
        <f t="shared" si="99"/>
        <v>6.9434079256764439E-2</v>
      </c>
      <c r="AZ225">
        <f t="shared" si="100"/>
        <v>4.1217721346968224E-2</v>
      </c>
      <c r="BA225" s="8">
        <f t="shared" si="101"/>
        <v>6.9434079256764439E-2</v>
      </c>
    </row>
    <row r="226" spans="1:53" x14ac:dyDescent="0.35">
      <c r="A226" s="7" t="s">
        <v>62</v>
      </c>
      <c r="B226" s="11" t="s">
        <v>71</v>
      </c>
      <c r="C226">
        <f t="shared" si="81"/>
        <v>2.014715481806916</v>
      </c>
      <c r="D226">
        <v>1.641063455184661</v>
      </c>
      <c r="E226">
        <v>0.95449139438317199</v>
      </c>
      <c r="F226">
        <v>0.68657206080148825</v>
      </c>
      <c r="G226">
        <v>0.37365202662225599</v>
      </c>
      <c r="H226">
        <v>6.5253723489826498E-2</v>
      </c>
      <c r="I226">
        <v>6.3087624784770896E-2</v>
      </c>
      <c r="J226">
        <v>2.1660987050564E-3</v>
      </c>
      <c r="K226">
        <v>0</v>
      </c>
      <c r="L226">
        <v>0.51058955444495968</v>
      </c>
      <c r="M226">
        <v>0.2376736897654359</v>
      </c>
      <c r="N226">
        <v>0.29697409581569939</v>
      </c>
      <c r="O226">
        <v>0.13823809849380689</v>
      </c>
      <c r="P226">
        <v>0.21361545862926021</v>
      </c>
      <c r="Q226">
        <v>9.9435591271628904E-2</v>
      </c>
      <c r="R226">
        <v>0.1162556031503645</v>
      </c>
      <c r="S226">
        <v>5.4115674549374097E-2</v>
      </c>
      <c r="T226">
        <v>2.0302608955969199E-2</v>
      </c>
      <c r="U226">
        <v>9.4506359176803993E-3</v>
      </c>
      <c r="V226">
        <v>1.9628663430459801E-2</v>
      </c>
      <c r="W226">
        <v>9.1369218623216005E-3</v>
      </c>
      <c r="X226">
        <v>6.7394552550930004E-4</v>
      </c>
      <c r="Y226">
        <v>3.1371405535860001E-4</v>
      </c>
      <c r="Z226">
        <v>0</v>
      </c>
      <c r="AA226">
        <v>0</v>
      </c>
      <c r="AB226">
        <v>690.46912883131995</v>
      </c>
      <c r="AC226">
        <v>321.40560669490998</v>
      </c>
      <c r="AD226" s="19">
        <f t="shared" si="82"/>
        <v>1.7063171786744875</v>
      </c>
      <c r="AE226" s="19">
        <f t="shared" si="83"/>
        <v>1.7063171786744875</v>
      </c>
      <c r="AF226">
        <f t="shared" si="102"/>
        <v>0.96175756517875688</v>
      </c>
      <c r="AG226">
        <f t="shared" si="106"/>
        <v>0.96175756517875688</v>
      </c>
      <c r="AH226">
        <f t="shared" si="84"/>
        <v>0.96175756517875688</v>
      </c>
      <c r="AI226">
        <f t="shared" si="107"/>
        <v>0.96175756517875688</v>
      </c>
      <c r="AJ226">
        <f t="shared" si="85"/>
        <v>0.40237071359431292</v>
      </c>
      <c r="AK226">
        <f t="shared" si="105"/>
        <v>0.40237071359431292</v>
      </c>
      <c r="AL226">
        <f t="shared" si="86"/>
        <v>0.55938685158444357</v>
      </c>
      <c r="AM226">
        <f t="shared" si="87"/>
        <v>0.55938685158444357</v>
      </c>
      <c r="AN226">
        <f t="shared" si="88"/>
        <v>0.2189815769847191</v>
      </c>
      <c r="AO226">
        <f t="shared" si="89"/>
        <v>0.2189815769847191</v>
      </c>
      <c r="AP226" s="20">
        <f t="shared" si="90"/>
        <v>0.41837020904486105</v>
      </c>
      <c r="AQ226" s="21">
        <f t="shared" si="91"/>
        <v>0.58162979095513867</v>
      </c>
      <c r="AR226">
        <f t="shared" si="92"/>
        <v>3.8242434821243093E-2</v>
      </c>
      <c r="AS226">
        <f t="shared" si="93"/>
        <v>3.8242434821243093E-2</v>
      </c>
      <c r="AT226">
        <f t="shared" si="94"/>
        <v>3.6972976403940934E-2</v>
      </c>
      <c r="AU226">
        <f t="shared" si="95"/>
        <v>3.6972976403940934E-2</v>
      </c>
      <c r="AV226">
        <f t="shared" si="96"/>
        <v>1.2694584173026278E-3</v>
      </c>
      <c r="AW226">
        <f t="shared" si="97"/>
        <v>0.96680497925312547</v>
      </c>
      <c r="AX226">
        <f t="shared" si="98"/>
        <v>3.3195020746886718E-2</v>
      </c>
      <c r="AY226">
        <f t="shared" si="99"/>
        <v>5.3089216340092863E-3</v>
      </c>
      <c r="AZ226">
        <f t="shared" si="100"/>
        <v>2.4712432568311637E-3</v>
      </c>
      <c r="BA226" s="8">
        <f t="shared" si="101"/>
        <v>5.3089216340092863E-3</v>
      </c>
    </row>
    <row r="227" spans="1:53" x14ac:dyDescent="0.35">
      <c r="A227" s="7" t="s">
        <v>63</v>
      </c>
      <c r="B227" s="11" t="s">
        <v>71</v>
      </c>
      <c r="C227">
        <f t="shared" si="81"/>
        <v>-1.403090843141E-4</v>
      </c>
      <c r="D227">
        <v>-1.403090843141E-4</v>
      </c>
      <c r="E227">
        <v>0</v>
      </c>
      <c r="F227">
        <v>-1.403090843141E-4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-2.179304888159E-4</v>
      </c>
      <c r="M227">
        <v>-1.537912092703E-4</v>
      </c>
      <c r="N227">
        <v>0</v>
      </c>
      <c r="O227">
        <v>0</v>
      </c>
      <c r="P227">
        <v>-2.179304888156E-4</v>
      </c>
      <c r="Q227">
        <v>-1.537912092703E-4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91.233487908610002</v>
      </c>
      <c r="AC227">
        <v>64.38249419652</v>
      </c>
      <c r="AD227" s="19">
        <f t="shared" si="82"/>
        <v>-1.403090843141E-4</v>
      </c>
      <c r="AE227" s="19">
        <f>(D227*-1)+(H227)</f>
        <v>1.403090843141E-4</v>
      </c>
      <c r="AF227">
        <f>($D227/$AE227)*-1</f>
        <v>1</v>
      </c>
      <c r="AG227">
        <f t="shared" si="106"/>
        <v>-1</v>
      </c>
      <c r="AH227">
        <f t="shared" si="84"/>
        <v>1</v>
      </c>
      <c r="AI227">
        <f t="shared" si="107"/>
        <v>1</v>
      </c>
      <c r="AJ227">
        <f t="shared" si="85"/>
        <v>-1</v>
      </c>
      <c r="AK227">
        <f t="shared" si="105"/>
        <v>1</v>
      </c>
      <c r="AL227">
        <f t="shared" si="86"/>
        <v>0</v>
      </c>
      <c r="AM227">
        <f t="shared" si="87"/>
        <v>0</v>
      </c>
      <c r="AN227">
        <f t="shared" si="88"/>
        <v>0</v>
      </c>
      <c r="AO227">
        <f t="shared" si="89"/>
        <v>0</v>
      </c>
      <c r="AP227" s="20">
        <f t="shared" si="90"/>
        <v>1</v>
      </c>
      <c r="AQ227" s="21">
        <f t="shared" si="91"/>
        <v>0</v>
      </c>
      <c r="AR227">
        <f t="shared" si="92"/>
        <v>0</v>
      </c>
      <c r="AS227">
        <f t="shared" si="93"/>
        <v>0</v>
      </c>
      <c r="AT227">
        <f t="shared" si="94"/>
        <v>0</v>
      </c>
      <c r="AU227">
        <f t="shared" si="95"/>
        <v>0</v>
      </c>
      <c r="AV227">
        <f t="shared" si="96"/>
        <v>0</v>
      </c>
      <c r="AW227" t="e">
        <f t="shared" si="97"/>
        <v>#DIV/0!</v>
      </c>
      <c r="AX227" t="e">
        <f t="shared" si="98"/>
        <v>#DIV/0!</v>
      </c>
      <c r="AY227">
        <f t="shared" si="99"/>
        <v>-2.1793048881552027E-6</v>
      </c>
      <c r="AZ227">
        <f t="shared" si="100"/>
        <v>-1.5379120927027341E-6</v>
      </c>
      <c r="BA227" s="8">
        <f t="shared" si="101"/>
        <v>2.1793048881552027E-6</v>
      </c>
    </row>
    <row r="228" spans="1:53" x14ac:dyDescent="0.35">
      <c r="A228" s="7" t="s">
        <v>64</v>
      </c>
      <c r="B228" s="11" t="s">
        <v>71</v>
      </c>
      <c r="C228">
        <f t="shared" si="81"/>
        <v>-0.31086267167395487</v>
      </c>
      <c r="D228">
        <v>2.5891373283260459</v>
      </c>
      <c r="E228">
        <v>2.835790430632358</v>
      </c>
      <c r="F228">
        <v>-0.24665310230631299</v>
      </c>
      <c r="G228">
        <v>-2.9</v>
      </c>
      <c r="H228">
        <v>-6.4232296886403001E-3</v>
      </c>
      <c r="I228">
        <v>0</v>
      </c>
      <c r="J228">
        <v>-6.4232296886403001E-3</v>
      </c>
      <c r="K228">
        <v>0</v>
      </c>
      <c r="L228">
        <v>1.756729210686371</v>
      </c>
      <c r="M228">
        <v>0.83550701246794823</v>
      </c>
      <c r="N228">
        <v>1.9240832961523839</v>
      </c>
      <c r="O228">
        <v>0.91510124424905481</v>
      </c>
      <c r="P228">
        <v>-0.1673540854660116</v>
      </c>
      <c r="Q228">
        <v>-7.9594231781106403E-2</v>
      </c>
      <c r="R228">
        <v>-1.967649477397261</v>
      </c>
      <c r="S228">
        <v>-0.93582148372314078</v>
      </c>
      <c r="T228">
        <v>-4.3581601862259E-3</v>
      </c>
      <c r="U228">
        <v>-2.0727573577650001E-3</v>
      </c>
      <c r="V228">
        <v>0</v>
      </c>
      <c r="W228">
        <v>0</v>
      </c>
      <c r="X228">
        <v>-4.3581601862259E-3</v>
      </c>
      <c r="Y228">
        <v>-2.0727573577650001E-3</v>
      </c>
      <c r="Z228">
        <v>0</v>
      </c>
      <c r="AA228">
        <v>0</v>
      </c>
      <c r="AB228">
        <v>309.88816247970999</v>
      </c>
      <c r="AC228">
        <v>147.38397429586999</v>
      </c>
      <c r="AD228" s="19">
        <f t="shared" si="82"/>
        <v>2.5827140986374055</v>
      </c>
      <c r="AE228" s="19">
        <f>(D228)+(H228*-1)</f>
        <v>2.5955605580146863</v>
      </c>
      <c r="AF228">
        <f t="shared" si="102"/>
        <v>0.99752530155044683</v>
      </c>
      <c r="AG228">
        <f t="shared" si="106"/>
        <v>0.99752530155044683</v>
      </c>
      <c r="AH228">
        <f t="shared" si="84"/>
        <v>1.0024870076374419</v>
      </c>
      <c r="AI228">
        <f t="shared" si="107"/>
        <v>1.0024870076374419</v>
      </c>
      <c r="AJ228">
        <f t="shared" si="85"/>
        <v>-9.5028837429620608E-2</v>
      </c>
      <c r="AK228">
        <f t="shared" si="105"/>
        <v>-9.5501512318550016E-2</v>
      </c>
      <c r="AL228">
        <f t="shared" si="86"/>
        <v>1.092554138980067</v>
      </c>
      <c r="AM228">
        <f t="shared" si="87"/>
        <v>1.0979885199559918</v>
      </c>
      <c r="AN228">
        <f t="shared" si="88"/>
        <v>-1.1172923671710344</v>
      </c>
      <c r="AO228">
        <f t="shared" si="89"/>
        <v>-1.1228497964718545</v>
      </c>
      <c r="AP228" s="20">
        <f t="shared" si="90"/>
        <v>-9.5264588559225483E-2</v>
      </c>
      <c r="AQ228" s="21">
        <f t="shared" si="91"/>
        <v>1.0952645885592251</v>
      </c>
      <c r="AR228">
        <f t="shared" si="92"/>
        <v>-2.4746984495531681E-3</v>
      </c>
      <c r="AS228">
        <f t="shared" si="93"/>
        <v>-2.4870076374419775E-3</v>
      </c>
      <c r="AT228">
        <f t="shared" si="94"/>
        <v>0</v>
      </c>
      <c r="AU228">
        <f t="shared" si="95"/>
        <v>0</v>
      </c>
      <c r="AV228">
        <f t="shared" si="96"/>
        <v>-2.4870076374419775E-3</v>
      </c>
      <c r="AW228">
        <f t="shared" si="97"/>
        <v>0</v>
      </c>
      <c r="AX228">
        <f t="shared" si="98"/>
        <v>1</v>
      </c>
      <c r="AY228">
        <f t="shared" si="99"/>
        <v>1.7523710505001483E-2</v>
      </c>
      <c r="AZ228">
        <f t="shared" si="100"/>
        <v>8.3343425511018324E-3</v>
      </c>
      <c r="BA228" s="8">
        <f t="shared" si="101"/>
        <v>1.7610873708726008E-2</v>
      </c>
    </row>
    <row r="229" spans="1:53" x14ac:dyDescent="0.35">
      <c r="A229" s="7" t="s">
        <v>65</v>
      </c>
      <c r="B229" s="11" t="s">
        <v>71</v>
      </c>
      <c r="C229">
        <f t="shared" si="81"/>
        <v>-7.7699446744038436</v>
      </c>
      <c r="D229">
        <v>-7.7699446744038454</v>
      </c>
      <c r="E229">
        <v>1.58988966934996</v>
      </c>
      <c r="F229">
        <v>-9.3598343437538034</v>
      </c>
      <c r="G229">
        <v>0</v>
      </c>
      <c r="H229">
        <v>-3.0772058116450829</v>
      </c>
      <c r="I229">
        <v>-3.0772058116450851</v>
      </c>
      <c r="J229">
        <v>0</v>
      </c>
      <c r="K229">
        <v>0</v>
      </c>
      <c r="L229">
        <v>-1.3595629562793881</v>
      </c>
      <c r="M229">
        <v>-0.63927912437979018</v>
      </c>
      <c r="N229">
        <v>0.27819440029479181</v>
      </c>
      <c r="O229">
        <v>0.1308095898070856</v>
      </c>
      <c r="P229">
        <v>-1.6377573565741801</v>
      </c>
      <c r="Q229">
        <v>-0.77008871418687574</v>
      </c>
      <c r="R229">
        <v>0</v>
      </c>
      <c r="S229">
        <v>0</v>
      </c>
      <c r="T229">
        <v>-0.53844077476411378</v>
      </c>
      <c r="U229">
        <v>-0.25317985123952091</v>
      </c>
      <c r="V229">
        <v>-0.53844077476411356</v>
      </c>
      <c r="W229">
        <v>-0.25317985123952058</v>
      </c>
      <c r="X229">
        <v>0</v>
      </c>
      <c r="Y229">
        <v>0</v>
      </c>
      <c r="Z229">
        <v>0</v>
      </c>
      <c r="AA229">
        <v>0</v>
      </c>
      <c r="AB229">
        <v>1215.4228689920101</v>
      </c>
      <c r="AC229">
        <v>571.50311712429004</v>
      </c>
      <c r="AD229" s="19">
        <f t="shared" si="82"/>
        <v>-10.847150486048928</v>
      </c>
      <c r="AE229" s="19">
        <f>(D229*-1)+(H229*-1)</f>
        <v>10.847150486048928</v>
      </c>
      <c r="AF229">
        <f>($D229/$AE229)*-1</f>
        <v>0.71631205673758891</v>
      </c>
      <c r="AG229">
        <f t="shared" si="106"/>
        <v>-0.71631205673758891</v>
      </c>
      <c r="AH229">
        <f t="shared" si="84"/>
        <v>0.71631205673758891</v>
      </c>
      <c r="AI229">
        <f t="shared" si="107"/>
        <v>0.71631205673758891</v>
      </c>
      <c r="AJ229">
        <f t="shared" si="85"/>
        <v>-0.86288416075650121</v>
      </c>
      <c r="AK229">
        <f t="shared" si="105"/>
        <v>0.86288416075650121</v>
      </c>
      <c r="AL229">
        <f t="shared" si="86"/>
        <v>0.14657210401891244</v>
      </c>
      <c r="AM229">
        <f t="shared" si="87"/>
        <v>-0.14657210401891244</v>
      </c>
      <c r="AN229">
        <f t="shared" si="88"/>
        <v>0</v>
      </c>
      <c r="AO229">
        <f t="shared" si="89"/>
        <v>0</v>
      </c>
      <c r="AP229" s="20">
        <f t="shared" si="90"/>
        <v>1.2046204620462044</v>
      </c>
      <c r="AQ229" s="21">
        <f t="shared" si="91"/>
        <v>-0.2046204620462044</v>
      </c>
      <c r="AR229">
        <f t="shared" si="92"/>
        <v>-0.28368794326241104</v>
      </c>
      <c r="AS229">
        <f t="shared" si="93"/>
        <v>0.28368794326241104</v>
      </c>
      <c r="AT229">
        <f t="shared" si="94"/>
        <v>-0.28368794326241126</v>
      </c>
      <c r="AU229">
        <f t="shared" si="95"/>
        <v>0.28368794326241126</v>
      </c>
      <c r="AV229">
        <f t="shared" si="96"/>
        <v>0</v>
      </c>
      <c r="AW229">
        <f t="shared" si="97"/>
        <v>1.0000000000000007</v>
      </c>
      <c r="AX229">
        <f t="shared" si="98"/>
        <v>0</v>
      </c>
      <c r="AY229">
        <f t="shared" si="99"/>
        <v>-1.8980037310434999E-2</v>
      </c>
      <c r="AZ229">
        <f t="shared" si="100"/>
        <v>-8.9245897561931065E-3</v>
      </c>
      <c r="BA229" s="8">
        <f t="shared" si="101"/>
        <v>1.8980037310434999E-2</v>
      </c>
    </row>
    <row r="230" spans="1:53" x14ac:dyDescent="0.35">
      <c r="A230" s="7" t="s">
        <v>28</v>
      </c>
      <c r="B230" s="11" t="s">
        <v>72</v>
      </c>
      <c r="C230">
        <f t="shared" si="81"/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1226.51571721458</v>
      </c>
      <c r="AC230">
        <v>1494.77336635199</v>
      </c>
      <c r="AD230" s="19">
        <f t="shared" si="82"/>
        <v>0</v>
      </c>
      <c r="AE230" s="19">
        <f t="shared" si="83"/>
        <v>0</v>
      </c>
      <c r="AF230">
        <v>0</v>
      </c>
      <c r="AG230">
        <v>0</v>
      </c>
      <c r="AH230">
        <v>0</v>
      </c>
      <c r="AI230">
        <v>0</v>
      </c>
      <c r="AJ230" t="e">
        <f t="shared" si="85"/>
        <v>#DIV/0!</v>
      </c>
      <c r="AK230" t="e">
        <f t="shared" si="105"/>
        <v>#DIV/0!</v>
      </c>
      <c r="AL230" t="e">
        <f t="shared" si="86"/>
        <v>#DIV/0!</v>
      </c>
      <c r="AM230" t="e">
        <f t="shared" si="87"/>
        <v>#DIV/0!</v>
      </c>
      <c r="AN230" t="e">
        <f t="shared" si="88"/>
        <v>#DIV/0!</v>
      </c>
      <c r="AO230" t="e">
        <f t="shared" si="89"/>
        <v>#DIV/0!</v>
      </c>
      <c r="AP230" s="20" t="e">
        <f t="shared" si="90"/>
        <v>#DIV/0!</v>
      </c>
      <c r="AQ230" s="21" t="e">
        <f t="shared" si="91"/>
        <v>#DIV/0!</v>
      </c>
      <c r="AR230" t="e">
        <f t="shared" si="92"/>
        <v>#DIV/0!</v>
      </c>
      <c r="AS230" t="e">
        <f t="shared" si="93"/>
        <v>#DIV/0!</v>
      </c>
      <c r="AT230" t="e">
        <f t="shared" si="94"/>
        <v>#DIV/0!</v>
      </c>
      <c r="AU230" t="e">
        <f t="shared" si="95"/>
        <v>#DIV/0!</v>
      </c>
      <c r="AV230" t="e">
        <f t="shared" si="96"/>
        <v>#DIV/0!</v>
      </c>
      <c r="AW230" t="e">
        <f t="shared" si="97"/>
        <v>#DIV/0!</v>
      </c>
      <c r="AX230" t="e">
        <f t="shared" si="98"/>
        <v>#DIV/0!</v>
      </c>
      <c r="AY230">
        <f t="shared" si="99"/>
        <v>0</v>
      </c>
      <c r="AZ230">
        <f t="shared" si="100"/>
        <v>0</v>
      </c>
      <c r="BA230" s="8">
        <f t="shared" si="101"/>
        <v>0</v>
      </c>
    </row>
    <row r="231" spans="1:53" x14ac:dyDescent="0.35">
      <c r="A231" s="7" t="s">
        <v>29</v>
      </c>
      <c r="B231" s="11" t="s">
        <v>72</v>
      </c>
      <c r="C231">
        <f t="shared" si="81"/>
        <v>5.2454879528363696</v>
      </c>
      <c r="D231">
        <v>0.67106453921286402</v>
      </c>
      <c r="E231">
        <v>0.67106453921286402</v>
      </c>
      <c r="F231">
        <v>0</v>
      </c>
      <c r="G231">
        <v>4.5744234136235056</v>
      </c>
      <c r="H231">
        <v>0</v>
      </c>
      <c r="I231">
        <v>0</v>
      </c>
      <c r="J231">
        <v>0</v>
      </c>
      <c r="K231">
        <v>0</v>
      </c>
      <c r="L231">
        <v>3.9553372979778303E-2</v>
      </c>
      <c r="M231">
        <v>3.89364173010147E-2</v>
      </c>
      <c r="N231">
        <v>3.9553372979777401E-2</v>
      </c>
      <c r="O231">
        <v>3.89364173010147E-2</v>
      </c>
      <c r="P231">
        <v>0</v>
      </c>
      <c r="Q231">
        <v>0</v>
      </c>
      <c r="R231">
        <v>0.269622167278734</v>
      </c>
      <c r="S231">
        <v>0.26541658594164191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1723.48815255626</v>
      </c>
      <c r="AC231">
        <v>1696.60508992738</v>
      </c>
      <c r="AD231" s="19">
        <f t="shared" si="82"/>
        <v>0.67106453921286402</v>
      </c>
      <c r="AE231" s="19">
        <f t="shared" si="83"/>
        <v>0.67106453921286402</v>
      </c>
      <c r="AF231">
        <f t="shared" si="102"/>
        <v>1</v>
      </c>
      <c r="AG231">
        <f>D231/AE231</f>
        <v>1</v>
      </c>
      <c r="AH231">
        <f t="shared" si="84"/>
        <v>1</v>
      </c>
      <c r="AI231">
        <f>$D231/(AD231)</f>
        <v>1</v>
      </c>
      <c r="AJ231">
        <f t="shared" si="85"/>
        <v>0</v>
      </c>
      <c r="AK231">
        <f t="shared" si="105"/>
        <v>0</v>
      </c>
      <c r="AL231">
        <f t="shared" si="86"/>
        <v>1</v>
      </c>
      <c r="AM231">
        <f t="shared" si="87"/>
        <v>1</v>
      </c>
      <c r="AN231">
        <f t="shared" si="88"/>
        <v>6.816666872293907</v>
      </c>
      <c r="AO231">
        <f t="shared" si="89"/>
        <v>6.816666872293907</v>
      </c>
      <c r="AP231" s="20">
        <f t="shared" si="90"/>
        <v>0</v>
      </c>
      <c r="AQ231" s="21">
        <f t="shared" si="91"/>
        <v>1</v>
      </c>
      <c r="AR231">
        <f t="shared" si="92"/>
        <v>0</v>
      </c>
      <c r="AS231">
        <f t="shared" si="93"/>
        <v>0</v>
      </c>
      <c r="AT231">
        <f t="shared" si="94"/>
        <v>0</v>
      </c>
      <c r="AU231">
        <f t="shared" si="95"/>
        <v>0</v>
      </c>
      <c r="AV231">
        <f t="shared" si="96"/>
        <v>0</v>
      </c>
      <c r="AW231" t="e">
        <f t="shared" si="97"/>
        <v>#DIV/0!</v>
      </c>
      <c r="AX231" t="e">
        <f t="shared" si="98"/>
        <v>#DIV/0!</v>
      </c>
      <c r="AY231">
        <f t="shared" si="99"/>
        <v>3.9553372979777375E-4</v>
      </c>
      <c r="AZ231">
        <f t="shared" si="100"/>
        <v>3.8936417301015265E-4</v>
      </c>
      <c r="BA231" s="8">
        <f t="shared" si="101"/>
        <v>3.9553372979777375E-4</v>
      </c>
    </row>
    <row r="232" spans="1:53" x14ac:dyDescent="0.35">
      <c r="A232" s="7" t="s">
        <v>30</v>
      </c>
      <c r="B232" s="11" t="s">
        <v>72</v>
      </c>
      <c r="C232">
        <f t="shared" si="81"/>
        <v>0.88915929744339339</v>
      </c>
      <c r="D232">
        <v>1.003731486523151</v>
      </c>
      <c r="E232">
        <v>2.9114479823818522</v>
      </c>
      <c r="F232">
        <v>-1.907716495858693</v>
      </c>
      <c r="G232">
        <v>-0.11457218907976589</v>
      </c>
      <c r="H232">
        <v>-0.57747680337610063</v>
      </c>
      <c r="I232">
        <v>-2.60466271577008E-2</v>
      </c>
      <c r="J232">
        <v>-0.55143017621844592</v>
      </c>
      <c r="K232">
        <v>0</v>
      </c>
      <c r="L232">
        <v>3.8357027566986397E-2</v>
      </c>
      <c r="M232">
        <v>3.4527014996822203E-2</v>
      </c>
      <c r="N232">
        <v>0.1112593278376612</v>
      </c>
      <c r="O232">
        <v>0.10014990014747061</v>
      </c>
      <c r="P232">
        <v>-7.2902300270675E-2</v>
      </c>
      <c r="Q232">
        <v>-6.5622885150648097E-2</v>
      </c>
      <c r="R232">
        <v>-4.3783110064272001E-3</v>
      </c>
      <c r="S232">
        <v>-3.9411294192616998E-3</v>
      </c>
      <c r="T232">
        <v>-2.2067947418010499E-2</v>
      </c>
      <c r="U232">
        <v>-1.9864426411039901E-2</v>
      </c>
      <c r="V232">
        <v>-9.9535703455459995E-4</v>
      </c>
      <c r="W232">
        <v>-8.9596899027819996E-4</v>
      </c>
      <c r="X232">
        <v>-2.1072590383456099E-2</v>
      </c>
      <c r="Y232">
        <v>-1.8968457420761801E-2</v>
      </c>
      <c r="Z232">
        <v>0</v>
      </c>
      <c r="AA232">
        <v>0</v>
      </c>
      <c r="AB232">
        <v>2907.0902498102801</v>
      </c>
      <c r="AC232">
        <v>2616.8124857180101</v>
      </c>
      <c r="AD232" s="19">
        <f t="shared" si="82"/>
        <v>0.42625468314705039</v>
      </c>
      <c r="AE232" s="19">
        <f>(D232)+(H232*-1)</f>
        <v>1.5812082898992517</v>
      </c>
      <c r="AF232">
        <f t="shared" si="102"/>
        <v>0.63478764495163686</v>
      </c>
      <c r="AG232">
        <f>D232/AE232</f>
        <v>0.63478764495163686</v>
      </c>
      <c r="AH232">
        <f t="shared" si="84"/>
        <v>2.3547694047900496</v>
      </c>
      <c r="AI232">
        <f>$D232/(AD232)</f>
        <v>2.3547694047900496</v>
      </c>
      <c r="AJ232">
        <f t="shared" si="85"/>
        <v>-1.2064928498321021</v>
      </c>
      <c r="AK232">
        <f t="shared" si="105"/>
        <v>-4.4755320499330775</v>
      </c>
      <c r="AL232">
        <f t="shared" si="86"/>
        <v>1.8412804947837442</v>
      </c>
      <c r="AM232">
        <f t="shared" si="87"/>
        <v>6.8303014547231466</v>
      </c>
      <c r="AN232">
        <f t="shared" si="88"/>
        <v>-7.2458631675315827E-2</v>
      </c>
      <c r="AO232">
        <f t="shared" si="89"/>
        <v>-0.26878810628865396</v>
      </c>
      <c r="AP232" s="20">
        <f t="shared" si="90"/>
        <v>-1.9006243417418947</v>
      </c>
      <c r="AQ232" s="21">
        <f t="shared" si="91"/>
        <v>2.9006243417419184</v>
      </c>
      <c r="AR232">
        <f t="shared" si="92"/>
        <v>-0.36521235504836314</v>
      </c>
      <c r="AS232">
        <f t="shared" si="93"/>
        <v>-1.3547694047900496</v>
      </c>
      <c r="AT232">
        <f t="shared" si="94"/>
        <v>-1.6472609790934241E-2</v>
      </c>
      <c r="AU232">
        <f t="shared" si="95"/>
        <v>-6.1105785314539689E-2</v>
      </c>
      <c r="AV232">
        <f t="shared" si="96"/>
        <v>-1.2936636194756179</v>
      </c>
      <c r="AW232">
        <f t="shared" si="97"/>
        <v>4.5104196403084058E-2</v>
      </c>
      <c r="AX232">
        <f t="shared" si="98"/>
        <v>0.95489580359699577</v>
      </c>
      <c r="AY232">
        <f t="shared" si="99"/>
        <v>1.6289080148977245E-4</v>
      </c>
      <c r="AZ232">
        <f t="shared" si="100"/>
        <v>1.4662588585781546E-4</v>
      </c>
      <c r="BA232" s="8">
        <f t="shared" si="101"/>
        <v>6.0424974984991876E-4</v>
      </c>
    </row>
    <row r="233" spans="1:53" x14ac:dyDescent="0.35">
      <c r="A233" s="7" t="s">
        <v>31</v>
      </c>
      <c r="B233" s="11" t="s">
        <v>72</v>
      </c>
      <c r="C233">
        <f t="shared" si="81"/>
        <v>69.618193420619207</v>
      </c>
      <c r="D233">
        <v>69.61819342061915</v>
      </c>
      <c r="E233">
        <v>0</v>
      </c>
      <c r="F233">
        <v>69.618193420619207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1.9352808465074871</v>
      </c>
      <c r="M233">
        <v>1.672796604792248</v>
      </c>
      <c r="N233">
        <v>0</v>
      </c>
      <c r="O233">
        <v>0</v>
      </c>
      <c r="P233">
        <v>1.9352808465074891</v>
      </c>
      <c r="Q233">
        <v>1.672796604792248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4161.7847155581303</v>
      </c>
      <c r="AC233">
        <v>3597.3173374942398</v>
      </c>
      <c r="AD233" s="19">
        <f t="shared" si="82"/>
        <v>69.61819342061915</v>
      </c>
      <c r="AE233" s="19">
        <f t="shared" si="83"/>
        <v>69.61819342061915</v>
      </c>
      <c r="AF233">
        <f t="shared" si="102"/>
        <v>1</v>
      </c>
      <c r="AG233">
        <f>D233/AE233</f>
        <v>1</v>
      </c>
      <c r="AH233">
        <f t="shared" si="84"/>
        <v>1</v>
      </c>
      <c r="AI233">
        <f>$D233/(AD233)</f>
        <v>1</v>
      </c>
      <c r="AJ233">
        <f t="shared" si="85"/>
        <v>1.0000000000000009</v>
      </c>
      <c r="AK233">
        <f t="shared" si="105"/>
        <v>1.0000000000000009</v>
      </c>
      <c r="AL233">
        <f t="shared" si="86"/>
        <v>0</v>
      </c>
      <c r="AM233">
        <f t="shared" si="87"/>
        <v>0</v>
      </c>
      <c r="AN233">
        <f t="shared" si="88"/>
        <v>0</v>
      </c>
      <c r="AO233">
        <f t="shared" si="89"/>
        <v>0</v>
      </c>
      <c r="AP233" s="20">
        <f t="shared" si="90"/>
        <v>1</v>
      </c>
      <c r="AQ233" s="21">
        <f t="shared" si="91"/>
        <v>0</v>
      </c>
      <c r="AR233">
        <f t="shared" si="92"/>
        <v>0</v>
      </c>
      <c r="AS233">
        <f t="shared" si="93"/>
        <v>0</v>
      </c>
      <c r="AT233">
        <f t="shared" si="94"/>
        <v>0</v>
      </c>
      <c r="AU233">
        <f t="shared" si="95"/>
        <v>0</v>
      </c>
      <c r="AV233">
        <f t="shared" si="96"/>
        <v>0</v>
      </c>
      <c r="AW233" t="e">
        <f t="shared" si="97"/>
        <v>#DIV/0!</v>
      </c>
      <c r="AX233" t="e">
        <f t="shared" si="98"/>
        <v>#DIV/0!</v>
      </c>
      <c r="AY233">
        <f t="shared" si="99"/>
        <v>1.9352808465074881E-2</v>
      </c>
      <c r="AZ233">
        <f t="shared" si="100"/>
        <v>1.6727966047922486E-2</v>
      </c>
      <c r="BA233" s="8">
        <f t="shared" si="101"/>
        <v>1.9352808465074881E-2</v>
      </c>
    </row>
    <row r="234" spans="1:53" x14ac:dyDescent="0.35">
      <c r="A234" s="7" t="s">
        <v>32</v>
      </c>
      <c r="B234" s="11" t="s">
        <v>72</v>
      </c>
      <c r="C234">
        <f t="shared" si="81"/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2337.6598158571201</v>
      </c>
      <c r="AC234">
        <v>1918.15761738117</v>
      </c>
      <c r="AD234" s="19">
        <f t="shared" si="82"/>
        <v>0</v>
      </c>
      <c r="AE234" s="19">
        <f t="shared" si="83"/>
        <v>0</v>
      </c>
      <c r="AF234">
        <v>0</v>
      </c>
      <c r="AG234">
        <v>0</v>
      </c>
      <c r="AH234">
        <v>0</v>
      </c>
      <c r="AI234">
        <v>0</v>
      </c>
      <c r="AJ234" t="e">
        <f t="shared" si="85"/>
        <v>#DIV/0!</v>
      </c>
      <c r="AK234" t="e">
        <f t="shared" si="105"/>
        <v>#DIV/0!</v>
      </c>
      <c r="AL234" t="e">
        <f t="shared" si="86"/>
        <v>#DIV/0!</v>
      </c>
      <c r="AM234" t="e">
        <f t="shared" si="87"/>
        <v>#DIV/0!</v>
      </c>
      <c r="AN234" t="e">
        <f t="shared" si="88"/>
        <v>#DIV/0!</v>
      </c>
      <c r="AO234" t="e">
        <f t="shared" si="89"/>
        <v>#DIV/0!</v>
      </c>
      <c r="AP234" s="20" t="e">
        <f t="shared" si="90"/>
        <v>#DIV/0!</v>
      </c>
      <c r="AQ234" s="21" t="e">
        <f t="shared" si="91"/>
        <v>#DIV/0!</v>
      </c>
      <c r="AR234" t="e">
        <f t="shared" si="92"/>
        <v>#DIV/0!</v>
      </c>
      <c r="AS234" t="e">
        <f t="shared" si="93"/>
        <v>#DIV/0!</v>
      </c>
      <c r="AT234" t="e">
        <f t="shared" si="94"/>
        <v>#DIV/0!</v>
      </c>
      <c r="AU234" t="e">
        <f t="shared" si="95"/>
        <v>#DIV/0!</v>
      </c>
      <c r="AV234" t="e">
        <f t="shared" si="96"/>
        <v>#DIV/0!</v>
      </c>
      <c r="AW234" t="e">
        <f t="shared" si="97"/>
        <v>#DIV/0!</v>
      </c>
      <c r="AX234" t="e">
        <f t="shared" si="98"/>
        <v>#DIV/0!</v>
      </c>
      <c r="AY234">
        <f t="shared" si="99"/>
        <v>0</v>
      </c>
      <c r="AZ234">
        <f t="shared" si="100"/>
        <v>0</v>
      </c>
      <c r="BA234" s="8">
        <f t="shared" si="101"/>
        <v>0</v>
      </c>
    </row>
    <row r="235" spans="1:53" x14ac:dyDescent="0.35">
      <c r="A235" s="7" t="s">
        <v>33</v>
      </c>
      <c r="B235" s="11" t="s">
        <v>72</v>
      </c>
      <c r="C235">
        <f t="shared" si="81"/>
        <v>13.111734743751949</v>
      </c>
      <c r="D235">
        <v>13.111734743751979</v>
      </c>
      <c r="E235">
        <v>10.30207729866228</v>
      </c>
      <c r="F235">
        <v>2.8096574450896701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0.2872651061211719</v>
      </c>
      <c r="M235">
        <v>0.2462365936510941</v>
      </c>
      <c r="N235">
        <v>0.22570829766663439</v>
      </c>
      <c r="O235">
        <v>0.19347160929728829</v>
      </c>
      <c r="P235">
        <v>6.1556808454536503E-2</v>
      </c>
      <c r="Q235">
        <v>5.2764984353805298E-2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5324.8522282316499</v>
      </c>
      <c r="AC235">
        <v>4564.3325500944502</v>
      </c>
      <c r="AD235" s="19">
        <f t="shared" si="82"/>
        <v>13.111734743751979</v>
      </c>
      <c r="AE235" s="19">
        <f t="shared" si="83"/>
        <v>13.111734743751979</v>
      </c>
      <c r="AF235">
        <f t="shared" si="102"/>
        <v>1</v>
      </c>
      <c r="AG235">
        <f>D235/AE235</f>
        <v>1</v>
      </c>
      <c r="AH235">
        <f t="shared" si="84"/>
        <v>1</v>
      </c>
      <c r="AI235">
        <f>$D235/(AD235)</f>
        <v>1</v>
      </c>
      <c r="AJ235">
        <f t="shared" si="85"/>
        <v>0.21428571428571125</v>
      </c>
      <c r="AK235">
        <f t="shared" si="105"/>
        <v>0.21428571428571125</v>
      </c>
      <c r="AL235">
        <f t="shared" si="86"/>
        <v>0.78571428571428648</v>
      </c>
      <c r="AM235">
        <f t="shared" si="87"/>
        <v>0.78571428571428648</v>
      </c>
      <c r="AN235">
        <f t="shared" si="88"/>
        <v>0</v>
      </c>
      <c r="AO235">
        <f t="shared" si="89"/>
        <v>0</v>
      </c>
      <c r="AP235" s="20">
        <f t="shared" si="90"/>
        <v>0.21428571428571175</v>
      </c>
      <c r="AQ235" s="21">
        <f t="shared" si="91"/>
        <v>0.78571428571428648</v>
      </c>
      <c r="AR235">
        <f t="shared" si="92"/>
        <v>0</v>
      </c>
      <c r="AS235">
        <f t="shared" si="93"/>
        <v>0</v>
      </c>
      <c r="AT235">
        <f t="shared" si="94"/>
        <v>0</v>
      </c>
      <c r="AU235">
        <f t="shared" si="95"/>
        <v>0</v>
      </c>
      <c r="AV235">
        <f t="shared" si="96"/>
        <v>0</v>
      </c>
      <c r="AW235" t="e">
        <f t="shared" si="97"/>
        <v>#DIV/0!</v>
      </c>
      <c r="AX235" t="e">
        <f t="shared" si="98"/>
        <v>#DIV/0!</v>
      </c>
      <c r="AY235">
        <f t="shared" si="99"/>
        <v>2.8726510612117114E-3</v>
      </c>
      <c r="AZ235">
        <f t="shared" si="100"/>
        <v>2.4623659365109376E-3</v>
      </c>
      <c r="BA235" s="8">
        <f t="shared" si="101"/>
        <v>2.8726510612117114E-3</v>
      </c>
    </row>
    <row r="236" spans="1:53" x14ac:dyDescent="0.35">
      <c r="A236" s="7" t="s">
        <v>34</v>
      </c>
      <c r="B236" s="11" t="s">
        <v>72</v>
      </c>
      <c r="C236">
        <f t="shared" si="81"/>
        <v>19.74567554165753</v>
      </c>
      <c r="D236">
        <v>31.3557937785978</v>
      </c>
      <c r="E236">
        <v>3.474560932223</v>
      </c>
      <c r="F236">
        <v>27.8812328463748</v>
      </c>
      <c r="G236">
        <v>-11.61011823694027</v>
      </c>
      <c r="H236">
        <v>0</v>
      </c>
      <c r="I236">
        <v>0</v>
      </c>
      <c r="J236">
        <v>0</v>
      </c>
      <c r="K236">
        <v>0</v>
      </c>
      <c r="L236">
        <v>1.9141013926408741</v>
      </c>
      <c r="M236">
        <v>1.453986478801111</v>
      </c>
      <c r="N236">
        <v>0.21210312729263739</v>
      </c>
      <c r="O236">
        <v>0.1611174206239068</v>
      </c>
      <c r="P236">
        <v>1.7019982653482371</v>
      </c>
      <c r="Q236">
        <v>1.292869058177204</v>
      </c>
      <c r="R236">
        <v>-0.70873483997783726</v>
      </c>
      <c r="S236">
        <v>-0.53836796647500607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2156.5395714307001</v>
      </c>
      <c r="AC236">
        <v>1638.14696019506</v>
      </c>
      <c r="AD236" s="19">
        <f t="shared" si="82"/>
        <v>31.3557937785978</v>
      </c>
      <c r="AE236" s="19">
        <f t="shared" si="83"/>
        <v>31.3557937785978</v>
      </c>
      <c r="AF236">
        <f t="shared" si="102"/>
        <v>1</v>
      </c>
      <c r="AG236">
        <f>D236/AE236</f>
        <v>1</v>
      </c>
      <c r="AH236">
        <f t="shared" si="84"/>
        <v>1</v>
      </c>
      <c r="AI236">
        <f>$D236/(AD236)</f>
        <v>1</v>
      </c>
      <c r="AJ236">
        <f t="shared" si="85"/>
        <v>0.88918918918918921</v>
      </c>
      <c r="AK236">
        <f t="shared" si="105"/>
        <v>0.88918918918918921</v>
      </c>
      <c r="AL236">
        <f t="shared" si="86"/>
        <v>0.11081081081081083</v>
      </c>
      <c r="AM236">
        <f t="shared" si="87"/>
        <v>0.11081081081081083</v>
      </c>
      <c r="AN236">
        <f t="shared" si="88"/>
        <v>-0.37027027027027037</v>
      </c>
      <c r="AO236">
        <f t="shared" si="89"/>
        <v>-0.37027027027027037</v>
      </c>
      <c r="AP236" s="20">
        <f t="shared" si="90"/>
        <v>0.88918918918918921</v>
      </c>
      <c r="AQ236" s="21">
        <f t="shared" si="91"/>
        <v>0.11081081081081083</v>
      </c>
      <c r="AR236">
        <f t="shared" si="92"/>
        <v>0</v>
      </c>
      <c r="AS236">
        <f t="shared" si="93"/>
        <v>0</v>
      </c>
      <c r="AT236">
        <f t="shared" si="94"/>
        <v>0</v>
      </c>
      <c r="AU236">
        <f t="shared" si="95"/>
        <v>0</v>
      </c>
      <c r="AV236">
        <f t="shared" si="96"/>
        <v>0</v>
      </c>
      <c r="AW236" t="e">
        <f t="shared" si="97"/>
        <v>#DIV/0!</v>
      </c>
      <c r="AX236" t="e">
        <f t="shared" si="98"/>
        <v>#DIV/0!</v>
      </c>
      <c r="AY236">
        <f t="shared" si="99"/>
        <v>1.9141013926408747E-2</v>
      </c>
      <c r="AZ236">
        <f t="shared" si="100"/>
        <v>1.4539864788011107E-2</v>
      </c>
      <c r="BA236" s="8">
        <f t="shared" si="101"/>
        <v>1.9141013926408747E-2</v>
      </c>
    </row>
    <row r="237" spans="1:53" x14ac:dyDescent="0.35">
      <c r="A237" s="7" t="s">
        <v>35</v>
      </c>
      <c r="B237" s="11" t="s">
        <v>72</v>
      </c>
      <c r="C237">
        <f t="shared" si="81"/>
        <v>10.431316194499331</v>
      </c>
      <c r="D237">
        <v>10.431316194499329</v>
      </c>
      <c r="E237">
        <v>5.831950301301049</v>
      </c>
      <c r="F237">
        <v>4.5993658931982822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0.78791226741857923</v>
      </c>
      <c r="M237">
        <v>0.58063765008396651</v>
      </c>
      <c r="N237">
        <v>0.4405067490710004</v>
      </c>
      <c r="O237">
        <v>0.32462345644738161</v>
      </c>
      <c r="P237">
        <v>0.34740551834757921</v>
      </c>
      <c r="Q237">
        <v>0.25601419363658451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1796.5276955414199</v>
      </c>
      <c r="AC237">
        <v>1323.9184901480501</v>
      </c>
      <c r="AD237" s="19">
        <f t="shared" si="82"/>
        <v>10.431316194499329</v>
      </c>
      <c r="AE237" s="19">
        <f t="shared" si="83"/>
        <v>10.431316194499329</v>
      </c>
      <c r="AF237">
        <f t="shared" si="102"/>
        <v>1</v>
      </c>
      <c r="AG237">
        <f>D237/AE237</f>
        <v>1</v>
      </c>
      <c r="AH237">
        <f t="shared" si="84"/>
        <v>1</v>
      </c>
      <c r="AI237">
        <f>$D237/(AD237)</f>
        <v>1</v>
      </c>
      <c r="AJ237">
        <f t="shared" si="85"/>
        <v>0.44091903719912473</v>
      </c>
      <c r="AK237">
        <f t="shared" si="105"/>
        <v>0.44091903719912473</v>
      </c>
      <c r="AL237">
        <f t="shared" si="86"/>
        <v>0.55908096280087538</v>
      </c>
      <c r="AM237">
        <f t="shared" si="87"/>
        <v>0.55908096280087538</v>
      </c>
      <c r="AN237">
        <f t="shared" si="88"/>
        <v>0</v>
      </c>
      <c r="AO237">
        <f t="shared" si="89"/>
        <v>0</v>
      </c>
      <c r="AP237" s="20">
        <f t="shared" si="90"/>
        <v>0.44091903719912467</v>
      </c>
      <c r="AQ237" s="21">
        <f t="shared" si="91"/>
        <v>0.55908096280087538</v>
      </c>
      <c r="AR237">
        <f t="shared" si="92"/>
        <v>0</v>
      </c>
      <c r="AS237">
        <f t="shared" si="93"/>
        <v>0</v>
      </c>
      <c r="AT237">
        <f t="shared" si="94"/>
        <v>0</v>
      </c>
      <c r="AU237">
        <f t="shared" si="95"/>
        <v>0</v>
      </c>
      <c r="AV237">
        <f t="shared" si="96"/>
        <v>0</v>
      </c>
      <c r="AW237" t="e">
        <f t="shared" si="97"/>
        <v>#DIV/0!</v>
      </c>
      <c r="AX237" t="e">
        <f t="shared" si="98"/>
        <v>#DIV/0!</v>
      </c>
      <c r="AY237">
        <f t="shared" si="99"/>
        <v>7.879122674185798E-3</v>
      </c>
      <c r="AZ237">
        <f t="shared" si="100"/>
        <v>5.8063765008396608E-3</v>
      </c>
      <c r="BA237" s="8">
        <f t="shared" si="101"/>
        <v>7.879122674185798E-3</v>
      </c>
    </row>
    <row r="238" spans="1:53" x14ac:dyDescent="0.35">
      <c r="A238" s="7" t="s">
        <v>36</v>
      </c>
      <c r="B238" s="11" t="s">
        <v>72</v>
      </c>
      <c r="C238">
        <f t="shared" si="81"/>
        <v>84.034402848133738</v>
      </c>
      <c r="D238">
        <v>82.109950874512379</v>
      </c>
      <c r="E238">
        <v>-73.129174997612637</v>
      </c>
      <c r="F238">
        <v>155.23912587212499</v>
      </c>
      <c r="G238">
        <v>1.9244519736213841</v>
      </c>
      <c r="H238">
        <v>3.8489039472381102E-2</v>
      </c>
      <c r="I238">
        <v>3.8489039472427697E-2</v>
      </c>
      <c r="J238">
        <v>0</v>
      </c>
      <c r="K238">
        <v>0</v>
      </c>
      <c r="L238">
        <v>2.60056561337101</v>
      </c>
      <c r="M238">
        <v>2.7909679262838369</v>
      </c>
      <c r="N238">
        <v>-2.316128749408557</v>
      </c>
      <c r="O238">
        <v>-2.4857058093465452</v>
      </c>
      <c r="P238">
        <v>4.916694362779567</v>
      </c>
      <c r="Q238">
        <v>5.2766737356303821</v>
      </c>
      <c r="R238">
        <v>6.0950756563383099E-2</v>
      </c>
      <c r="S238">
        <v>6.5413310772277494E-2</v>
      </c>
      <c r="T238">
        <v>1.2190151312676E-3</v>
      </c>
      <c r="U238">
        <v>1.3082662154442E-3</v>
      </c>
      <c r="V238">
        <v>1.2190151312676E-3</v>
      </c>
      <c r="W238">
        <v>1.3082662154455E-3</v>
      </c>
      <c r="X238">
        <v>0</v>
      </c>
      <c r="Y238">
        <v>0</v>
      </c>
      <c r="Z238">
        <v>0</v>
      </c>
      <c r="AA238">
        <v>0</v>
      </c>
      <c r="AB238">
        <v>2941.9883367789698</v>
      </c>
      <c r="AC238">
        <v>3157.38816403392</v>
      </c>
      <c r="AD238" s="19">
        <f t="shared" si="82"/>
        <v>82.14843991398476</v>
      </c>
      <c r="AE238" s="19">
        <f t="shared" si="83"/>
        <v>82.14843991398476</v>
      </c>
      <c r="AF238">
        <f t="shared" si="102"/>
        <v>0.9995314696236145</v>
      </c>
      <c r="AG238">
        <f>D238/AE238</f>
        <v>0.9995314696236145</v>
      </c>
      <c r="AH238">
        <f t="shared" si="84"/>
        <v>0.9995314696236145</v>
      </c>
      <c r="AI238">
        <f>$D238/(AD238)</f>
        <v>0.9995314696236145</v>
      </c>
      <c r="AJ238">
        <f t="shared" si="85"/>
        <v>1.8897391847571465</v>
      </c>
      <c r="AK238">
        <f t="shared" si="105"/>
        <v>1.8897391847571465</v>
      </c>
      <c r="AL238">
        <f t="shared" si="86"/>
        <v>-0.89020771513353225</v>
      </c>
      <c r="AM238">
        <f t="shared" si="87"/>
        <v>-0.89020771513353225</v>
      </c>
      <c r="AN238">
        <f t="shared" si="88"/>
        <v>2.3426518819303469E-2</v>
      </c>
      <c r="AO238">
        <f t="shared" si="89"/>
        <v>2.3426518819303469E-2</v>
      </c>
      <c r="AP238" s="20">
        <f t="shared" si="90"/>
        <v>1.8906250000000009</v>
      </c>
      <c r="AQ238" s="21">
        <f t="shared" si="91"/>
        <v>-0.89062500000000056</v>
      </c>
      <c r="AR238">
        <f t="shared" si="92"/>
        <v>4.6853037638550234E-4</v>
      </c>
      <c r="AS238">
        <f t="shared" si="93"/>
        <v>4.6853037638550234E-4</v>
      </c>
      <c r="AT238">
        <f t="shared" si="94"/>
        <v>4.6853037638606954E-4</v>
      </c>
      <c r="AU238">
        <f t="shared" si="95"/>
        <v>4.6853037638606954E-4</v>
      </c>
      <c r="AV238">
        <f t="shared" si="96"/>
        <v>0</v>
      </c>
      <c r="AW238">
        <f t="shared" si="97"/>
        <v>1.0000000000012106</v>
      </c>
      <c r="AX238">
        <f t="shared" si="98"/>
        <v>0</v>
      </c>
      <c r="AY238">
        <f t="shared" si="99"/>
        <v>2.601784628502276E-2</v>
      </c>
      <c r="AZ238">
        <f t="shared" si="100"/>
        <v>2.7922761924992816E-2</v>
      </c>
      <c r="BA238" s="8">
        <f t="shared" si="101"/>
        <v>2.601784628502276E-2</v>
      </c>
    </row>
    <row r="239" spans="1:53" x14ac:dyDescent="0.35">
      <c r="A239" s="7" t="s">
        <v>37</v>
      </c>
      <c r="B239" s="11" t="s">
        <v>72</v>
      </c>
      <c r="C239">
        <f t="shared" si="81"/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19974.2138871676</v>
      </c>
      <c r="AC239">
        <v>19928.975197</v>
      </c>
      <c r="AD239" s="19">
        <f t="shared" si="82"/>
        <v>0</v>
      </c>
      <c r="AE239" s="19">
        <f t="shared" si="83"/>
        <v>0</v>
      </c>
      <c r="AF239">
        <v>0</v>
      </c>
      <c r="AG239">
        <v>0</v>
      </c>
      <c r="AH239">
        <v>0</v>
      </c>
      <c r="AI239">
        <v>0</v>
      </c>
      <c r="AJ239" t="e">
        <f t="shared" si="85"/>
        <v>#DIV/0!</v>
      </c>
      <c r="AK239" t="e">
        <f t="shared" si="105"/>
        <v>#DIV/0!</v>
      </c>
      <c r="AL239" t="e">
        <f t="shared" si="86"/>
        <v>#DIV/0!</v>
      </c>
      <c r="AM239" t="e">
        <f t="shared" si="87"/>
        <v>#DIV/0!</v>
      </c>
      <c r="AN239" t="e">
        <f t="shared" si="88"/>
        <v>#DIV/0!</v>
      </c>
      <c r="AO239" t="e">
        <f t="shared" si="89"/>
        <v>#DIV/0!</v>
      </c>
      <c r="AP239" s="20" t="e">
        <f t="shared" si="90"/>
        <v>#DIV/0!</v>
      </c>
      <c r="AQ239" s="21" t="e">
        <f t="shared" si="91"/>
        <v>#DIV/0!</v>
      </c>
      <c r="AR239" t="e">
        <f t="shared" si="92"/>
        <v>#DIV/0!</v>
      </c>
      <c r="AS239" t="e">
        <f t="shared" si="93"/>
        <v>#DIV/0!</v>
      </c>
      <c r="AT239" t="e">
        <f t="shared" si="94"/>
        <v>#DIV/0!</v>
      </c>
      <c r="AU239" t="e">
        <f t="shared" si="95"/>
        <v>#DIV/0!</v>
      </c>
      <c r="AV239" t="e">
        <f t="shared" si="96"/>
        <v>#DIV/0!</v>
      </c>
      <c r="AW239" t="e">
        <f t="shared" si="97"/>
        <v>#DIV/0!</v>
      </c>
      <c r="AX239" t="e">
        <f t="shared" si="98"/>
        <v>#DIV/0!</v>
      </c>
      <c r="AY239">
        <f t="shared" si="99"/>
        <v>0</v>
      </c>
      <c r="AZ239">
        <f t="shared" si="100"/>
        <v>0</v>
      </c>
      <c r="BA239" s="8">
        <f t="shared" si="101"/>
        <v>0</v>
      </c>
    </row>
    <row r="240" spans="1:53" x14ac:dyDescent="0.35">
      <c r="A240" s="7" t="s">
        <v>38</v>
      </c>
      <c r="B240" s="11" t="s">
        <v>72</v>
      </c>
      <c r="C240">
        <f t="shared" si="81"/>
        <v>0</v>
      </c>
      <c r="D240">
        <v>0</v>
      </c>
      <c r="E240">
        <v>0</v>
      </c>
      <c r="F240">
        <v>0</v>
      </c>
      <c r="G240">
        <v>0</v>
      </c>
      <c r="H240">
        <v>0.10239412195682911</v>
      </c>
      <c r="I240">
        <v>0</v>
      </c>
      <c r="J240">
        <v>0.10239412195682911</v>
      </c>
      <c r="K240">
        <v>0.45146499226420111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8.0048482009580993E-3</v>
      </c>
      <c r="U240">
        <v>4.2992617321149004E-3</v>
      </c>
      <c r="V240">
        <v>0</v>
      </c>
      <c r="W240">
        <v>0</v>
      </c>
      <c r="X240">
        <v>8.0048482009580993E-3</v>
      </c>
      <c r="Y240">
        <v>4.2992617321149004E-3</v>
      </c>
      <c r="Z240">
        <v>3.5294103431497498E-2</v>
      </c>
      <c r="AA240">
        <v>1.8955835818870399E-2</v>
      </c>
      <c r="AB240">
        <v>2381.6675591522499</v>
      </c>
      <c r="AC240">
        <v>1279.1513266244399</v>
      </c>
      <c r="AD240" s="19">
        <f t="shared" si="82"/>
        <v>0.10239412195682911</v>
      </c>
      <c r="AE240" s="19">
        <f t="shared" si="83"/>
        <v>0.10239412195682911</v>
      </c>
      <c r="AF240">
        <f t="shared" si="102"/>
        <v>0</v>
      </c>
      <c r="AG240">
        <f t="shared" ref="AG240:AG245" si="108">D240/AE240</f>
        <v>0</v>
      </c>
      <c r="AH240">
        <f t="shared" si="84"/>
        <v>0</v>
      </c>
      <c r="AI240">
        <f t="shared" ref="AI240:AI245" si="109">$D240/(AD240)</f>
        <v>0</v>
      </c>
      <c r="AJ240">
        <f t="shared" si="85"/>
        <v>0</v>
      </c>
      <c r="AK240">
        <f t="shared" si="105"/>
        <v>0</v>
      </c>
      <c r="AL240">
        <f t="shared" si="86"/>
        <v>0</v>
      </c>
      <c r="AM240">
        <f t="shared" si="87"/>
        <v>0</v>
      </c>
      <c r="AN240">
        <f t="shared" si="88"/>
        <v>0</v>
      </c>
      <c r="AO240">
        <f t="shared" si="89"/>
        <v>0</v>
      </c>
      <c r="AP240" s="20" t="e">
        <f t="shared" si="90"/>
        <v>#DIV/0!</v>
      </c>
      <c r="AQ240" s="21" t="e">
        <f t="shared" si="91"/>
        <v>#DIV/0!</v>
      </c>
      <c r="AR240">
        <f t="shared" si="92"/>
        <v>1</v>
      </c>
      <c r="AS240">
        <f t="shared" si="93"/>
        <v>1</v>
      </c>
      <c r="AT240">
        <f t="shared" si="94"/>
        <v>0</v>
      </c>
      <c r="AU240">
        <f t="shared" si="95"/>
        <v>0</v>
      </c>
      <c r="AV240">
        <f t="shared" si="96"/>
        <v>1</v>
      </c>
      <c r="AW240">
        <f t="shared" si="97"/>
        <v>0</v>
      </c>
      <c r="AX240">
        <f t="shared" si="98"/>
        <v>1</v>
      </c>
      <c r="AY240">
        <f t="shared" si="99"/>
        <v>8.0048482009581747E-5</v>
      </c>
      <c r="AZ240">
        <f t="shared" si="100"/>
        <v>4.29926173211496E-5</v>
      </c>
      <c r="BA240" s="8">
        <f t="shared" si="101"/>
        <v>8.0048482009581747E-5</v>
      </c>
    </row>
    <row r="241" spans="1:53" x14ac:dyDescent="0.35">
      <c r="A241" s="7" t="s">
        <v>39</v>
      </c>
      <c r="B241" s="11" t="s">
        <v>72</v>
      </c>
      <c r="C241">
        <f t="shared" si="81"/>
        <v>5.2478877966865269</v>
      </c>
      <c r="D241">
        <v>5.234121210982785</v>
      </c>
      <c r="E241">
        <v>-0.2326627954038098</v>
      </c>
      <c r="F241">
        <v>5.4667840063865967</v>
      </c>
      <c r="G241">
        <v>1.3766585703740101E-2</v>
      </c>
      <c r="H241">
        <v>-7.2337052758079695E-2</v>
      </c>
      <c r="I241">
        <v>-4.4287991484539E-3</v>
      </c>
      <c r="J241">
        <v>-6.7908253609623104E-2</v>
      </c>
      <c r="K241">
        <v>1.4269426648543519</v>
      </c>
      <c r="L241">
        <v>0.52495888545341129</v>
      </c>
      <c r="M241">
        <v>0.22427622016784379</v>
      </c>
      <c r="N241">
        <v>-2.3335035020850301E-2</v>
      </c>
      <c r="O241">
        <v>-9.9693396892222008E-3</v>
      </c>
      <c r="P241">
        <v>0.54829392047426162</v>
      </c>
      <c r="Q241">
        <v>0.23424555985706619</v>
      </c>
      <c r="R241">
        <v>1.3807268109058001E-3</v>
      </c>
      <c r="S241">
        <v>5.8988274856390001E-4</v>
      </c>
      <c r="T241">
        <v>-7.255082001766E-3</v>
      </c>
      <c r="U241">
        <v>-3.0995615341544002E-3</v>
      </c>
      <c r="V241">
        <v>-4.4418869398559998E-4</v>
      </c>
      <c r="W241">
        <v>-1.897690735196E-4</v>
      </c>
      <c r="X241">
        <v>-6.8108933077802997E-3</v>
      </c>
      <c r="Y241">
        <v>-2.9097924606344E-3</v>
      </c>
      <c r="Z241">
        <v>0.14311595027185239</v>
      </c>
      <c r="AA241">
        <v>6.1142891876146299E-2</v>
      </c>
      <c r="AB241">
        <v>2333.7834064911899</v>
      </c>
      <c r="AC241">
        <v>997.05355143423003</v>
      </c>
      <c r="AD241" s="19">
        <f t="shared" si="82"/>
        <v>5.1617841582247053</v>
      </c>
      <c r="AE241" s="19">
        <f>(D241)+(H241*-1)</f>
        <v>5.3064582637408648</v>
      </c>
      <c r="AF241">
        <f t="shared" si="102"/>
        <v>0.98636811048673267</v>
      </c>
      <c r="AG241">
        <f t="shared" si="108"/>
        <v>0.98636811048673267</v>
      </c>
      <c r="AH241">
        <f t="shared" si="84"/>
        <v>1.0140139631066942</v>
      </c>
      <c r="AI241">
        <f t="shared" si="109"/>
        <v>1.0140139631066942</v>
      </c>
      <c r="AJ241">
        <f t="shared" si="85"/>
        <v>1.0302133239681242</v>
      </c>
      <c r="AK241">
        <f t="shared" si="105"/>
        <v>1.0590880669963523</v>
      </c>
      <c r="AL241">
        <f t="shared" si="86"/>
        <v>-4.3845213481391025E-2</v>
      </c>
      <c r="AM241">
        <f t="shared" si="87"/>
        <v>-4.507410388965772E-2</v>
      </c>
      <c r="AN241">
        <f t="shared" si="88"/>
        <v>2.5943077321096551E-3</v>
      </c>
      <c r="AO241">
        <f t="shared" si="89"/>
        <v>2.6670207978000478E-3</v>
      </c>
      <c r="AP241" s="20">
        <f t="shared" si="90"/>
        <v>1.044451166876994</v>
      </c>
      <c r="AQ241" s="21">
        <f t="shared" si="91"/>
        <v>-4.4451166876994019E-2</v>
      </c>
      <c r="AR241">
        <f t="shared" si="92"/>
        <v>-1.36318895132673E-2</v>
      </c>
      <c r="AS241">
        <f t="shared" si="93"/>
        <v>-1.4013963106694219E-2</v>
      </c>
      <c r="AT241">
        <f t="shared" si="94"/>
        <v>-8.3460548040412814E-4</v>
      </c>
      <c r="AU241">
        <f t="shared" si="95"/>
        <v>-8.5799774122618459E-4</v>
      </c>
      <c r="AV241">
        <f t="shared" si="96"/>
        <v>-1.3155965365467513E-2</v>
      </c>
      <c r="AW241">
        <f t="shared" si="97"/>
        <v>6.1224489795918935E-2</v>
      </c>
      <c r="AX241">
        <f t="shared" si="98"/>
        <v>0.93877551020404382</v>
      </c>
      <c r="AY241">
        <f t="shared" si="99"/>
        <v>5.1770380345164428E-3</v>
      </c>
      <c r="AZ241">
        <f t="shared" si="100"/>
        <v>2.2117665863368931E-3</v>
      </c>
      <c r="BA241" s="8">
        <f t="shared" si="101"/>
        <v>5.3221396745517756E-3</v>
      </c>
    </row>
    <row r="242" spans="1:53" x14ac:dyDescent="0.35">
      <c r="A242" s="9" t="s">
        <v>40</v>
      </c>
      <c r="B242" s="11" t="s">
        <v>72</v>
      </c>
      <c r="C242">
        <f t="shared" si="81"/>
        <v>15.521433287220013</v>
      </c>
      <c r="D242">
        <v>15.52143328722001</v>
      </c>
      <c r="E242">
        <v>4.7933838092885326</v>
      </c>
      <c r="F242">
        <v>10.72804947793148</v>
      </c>
      <c r="G242">
        <v>0</v>
      </c>
      <c r="H242">
        <v>1.940179160902501</v>
      </c>
      <c r="I242">
        <v>0</v>
      </c>
      <c r="J242">
        <v>1.940179160902501</v>
      </c>
      <c r="K242">
        <v>0</v>
      </c>
      <c r="L242">
        <v>3.7495954896454329</v>
      </c>
      <c r="M242">
        <v>3.3123049625002459</v>
      </c>
      <c r="N242">
        <v>1.1579633129787379</v>
      </c>
      <c r="O242">
        <v>1.0229177090074291</v>
      </c>
      <c r="P242">
        <v>2.5916321766666961</v>
      </c>
      <c r="Q242">
        <v>2.289387253492817</v>
      </c>
      <c r="R242">
        <v>0</v>
      </c>
      <c r="S242">
        <v>0</v>
      </c>
      <c r="T242">
        <v>0.46869943620567911</v>
      </c>
      <c r="U242">
        <v>0.41403812031253068</v>
      </c>
      <c r="V242">
        <v>0</v>
      </c>
      <c r="W242">
        <v>0</v>
      </c>
      <c r="X242">
        <v>0.46869943620567911</v>
      </c>
      <c r="Y242">
        <v>0.41403812031253068</v>
      </c>
      <c r="Z242">
        <v>0</v>
      </c>
      <c r="AA242">
        <v>0</v>
      </c>
      <c r="AB242">
        <v>468.59916169988998</v>
      </c>
      <c r="AC242">
        <v>413.94954015926999</v>
      </c>
      <c r="AD242" s="19">
        <f t="shared" si="82"/>
        <v>17.461612448122512</v>
      </c>
      <c r="AE242" s="19">
        <f t="shared" si="83"/>
        <v>17.461612448122512</v>
      </c>
      <c r="AF242">
        <f t="shared" si="102"/>
        <v>0.88888888888888884</v>
      </c>
      <c r="AG242">
        <f t="shared" si="108"/>
        <v>0.88888888888888884</v>
      </c>
      <c r="AH242">
        <f t="shared" si="84"/>
        <v>0.88888888888888884</v>
      </c>
      <c r="AI242">
        <f t="shared" si="109"/>
        <v>0.88888888888888884</v>
      </c>
      <c r="AJ242">
        <f t="shared" si="85"/>
        <v>0.61437908496732041</v>
      </c>
      <c r="AK242">
        <f t="shared" si="105"/>
        <v>0.61437908496732041</v>
      </c>
      <c r="AL242">
        <f t="shared" si="86"/>
        <v>0.2745098039215686</v>
      </c>
      <c r="AM242">
        <f t="shared" si="87"/>
        <v>0.2745098039215686</v>
      </c>
      <c r="AN242">
        <f t="shared" si="88"/>
        <v>0</v>
      </c>
      <c r="AO242">
        <f t="shared" si="89"/>
        <v>0</v>
      </c>
      <c r="AP242" s="20">
        <f t="shared" si="90"/>
        <v>0.69117647058823528</v>
      </c>
      <c r="AQ242" s="21">
        <f t="shared" si="91"/>
        <v>0.30882352941176472</v>
      </c>
      <c r="AR242">
        <f t="shared" si="92"/>
        <v>0.11111111111111109</v>
      </c>
      <c r="AS242">
        <f t="shared" si="93"/>
        <v>0.11111111111111109</v>
      </c>
      <c r="AT242">
        <f t="shared" si="94"/>
        <v>0</v>
      </c>
      <c r="AU242">
        <f t="shared" si="95"/>
        <v>0</v>
      </c>
      <c r="AV242">
        <f t="shared" si="96"/>
        <v>0.11111111111111109</v>
      </c>
      <c r="AW242">
        <f t="shared" si="97"/>
        <v>0</v>
      </c>
      <c r="AX242">
        <f t="shared" si="98"/>
        <v>1</v>
      </c>
      <c r="AY242">
        <f t="shared" si="99"/>
        <v>4.2182949258511154E-2</v>
      </c>
      <c r="AZ242">
        <f t="shared" si="100"/>
        <v>3.7263430828127775E-2</v>
      </c>
      <c r="BA242" s="8">
        <f t="shared" si="101"/>
        <v>4.2182949258511154E-2</v>
      </c>
    </row>
    <row r="243" spans="1:53" x14ac:dyDescent="0.35">
      <c r="A243" s="7" t="s">
        <v>41</v>
      </c>
      <c r="B243" s="11" t="s">
        <v>72</v>
      </c>
      <c r="C243">
        <f t="shared" si="81"/>
        <v>-0.57064092967720548</v>
      </c>
      <c r="D243">
        <v>-0.22825637187087719</v>
      </c>
      <c r="E243">
        <v>0.45651274374176681</v>
      </c>
      <c r="F243">
        <v>-0.68476911561264941</v>
      </c>
      <c r="G243">
        <v>-0.34238455780632288</v>
      </c>
      <c r="H243">
        <v>0</v>
      </c>
      <c r="I243">
        <v>0</v>
      </c>
      <c r="J243">
        <v>0</v>
      </c>
      <c r="K243">
        <v>0</v>
      </c>
      <c r="L243">
        <v>-4.60977292197704E-2</v>
      </c>
      <c r="M243">
        <v>-4.1103429170870003E-2</v>
      </c>
      <c r="N243">
        <v>9.2195458439542494E-2</v>
      </c>
      <c r="O243">
        <v>8.2206858341741004E-2</v>
      </c>
      <c r="P243">
        <v>-0.13829318765931381</v>
      </c>
      <c r="Q243">
        <v>-0.123310287512611</v>
      </c>
      <c r="R243">
        <v>-6.9146593829656905E-2</v>
      </c>
      <c r="S243">
        <v>-6.16551437563055E-2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555.32196820367994</v>
      </c>
      <c r="AC243">
        <v>495.15751802582002</v>
      </c>
      <c r="AD243" s="19">
        <f t="shared" si="82"/>
        <v>-0.22825637187087719</v>
      </c>
      <c r="AE243" s="19">
        <f>(D243*-1)+(H243)</f>
        <v>0.22825637187087719</v>
      </c>
      <c r="AF243">
        <v>1</v>
      </c>
      <c r="AG243">
        <f t="shared" si="108"/>
        <v>-1</v>
      </c>
      <c r="AH243">
        <f t="shared" si="84"/>
        <v>1</v>
      </c>
      <c r="AI243">
        <f t="shared" si="109"/>
        <v>1</v>
      </c>
      <c r="AJ243">
        <f t="shared" si="85"/>
        <v>-3.0000000000000782</v>
      </c>
      <c r="AK243">
        <f t="shared" si="105"/>
        <v>3.0000000000000782</v>
      </c>
      <c r="AL243">
        <f t="shared" si="86"/>
        <v>2.0000000000000546</v>
      </c>
      <c r="AM243">
        <f t="shared" si="87"/>
        <v>-2.0000000000000546</v>
      </c>
      <c r="AN243">
        <f t="shared" si="88"/>
        <v>-1.5000000000000311</v>
      </c>
      <c r="AO243">
        <f t="shared" si="89"/>
        <v>1.5000000000000311</v>
      </c>
      <c r="AP243" s="20">
        <f t="shared" si="90"/>
        <v>3.0000000000000071</v>
      </c>
      <c r="AQ243" s="21">
        <f t="shared" si="91"/>
        <v>-2.0000000000000546</v>
      </c>
      <c r="AR243">
        <f t="shared" si="92"/>
        <v>0</v>
      </c>
      <c r="AS243">
        <f t="shared" si="93"/>
        <v>0</v>
      </c>
      <c r="AT243">
        <f t="shared" si="94"/>
        <v>0</v>
      </c>
      <c r="AU243">
        <f t="shared" si="95"/>
        <v>0</v>
      </c>
      <c r="AV243">
        <f t="shared" si="96"/>
        <v>0</v>
      </c>
      <c r="AW243" t="e">
        <f t="shared" si="97"/>
        <v>#DIV/0!</v>
      </c>
      <c r="AX243" t="e">
        <f t="shared" si="98"/>
        <v>#DIV/0!</v>
      </c>
      <c r="AY243">
        <f t="shared" si="99"/>
        <v>-4.6097729219770169E-4</v>
      </c>
      <c r="AZ243">
        <f t="shared" si="100"/>
        <v>-4.110342917086935E-4</v>
      </c>
      <c r="BA243" s="8">
        <f t="shared" si="101"/>
        <v>4.6097729219770169E-4</v>
      </c>
    </row>
    <row r="244" spans="1:53" x14ac:dyDescent="0.35">
      <c r="A244" s="9" t="s">
        <v>42</v>
      </c>
      <c r="B244" s="11" t="s">
        <v>72</v>
      </c>
      <c r="C244">
        <f t="shared" si="81"/>
        <v>-1.7880031451621601</v>
      </c>
      <c r="D244">
        <v>-0.84014605616053473</v>
      </c>
      <c r="E244">
        <v>-0.1120194741547377</v>
      </c>
      <c r="F244">
        <v>-0.72812658200579605</v>
      </c>
      <c r="G244">
        <v>-0.94785708900162635</v>
      </c>
      <c r="H244">
        <v>0.20249674174124971</v>
      </c>
      <c r="I244">
        <v>-4.3084413136437001E-3</v>
      </c>
      <c r="J244">
        <v>0.2068051830548967</v>
      </c>
      <c r="K244">
        <v>0</v>
      </c>
      <c r="L244">
        <v>-0.3896052225820803</v>
      </c>
      <c r="M244">
        <v>-0.20622350409885909</v>
      </c>
      <c r="N244">
        <v>-5.1947363010944103E-2</v>
      </c>
      <c r="O244">
        <v>-2.74964672131809E-2</v>
      </c>
      <c r="P244">
        <v>-0.33765785957113609</v>
      </c>
      <c r="Q244">
        <v>-0.17872703688567881</v>
      </c>
      <c r="R244">
        <v>-0.43955461009260371</v>
      </c>
      <c r="S244">
        <v>-0.232662414880765</v>
      </c>
      <c r="T244">
        <v>9.3904848519784395E-2</v>
      </c>
      <c r="U244">
        <v>4.9705152269982698E-2</v>
      </c>
      <c r="V244">
        <v>-1.9979755004209E-3</v>
      </c>
      <c r="W244">
        <v>-1.0575564312761999E-3</v>
      </c>
      <c r="X244">
        <v>9.5902824020203697E-2</v>
      </c>
      <c r="Y244">
        <v>5.0762708701258298E-2</v>
      </c>
      <c r="Z244">
        <v>0</v>
      </c>
      <c r="AA244">
        <v>0</v>
      </c>
      <c r="AB244">
        <v>407.39587848230002</v>
      </c>
      <c r="AC244">
        <v>215.64034757863999</v>
      </c>
      <c r="AD244" s="19">
        <f t="shared" si="82"/>
        <v>-0.63764931441928496</v>
      </c>
      <c r="AE244" s="19">
        <f t="shared" ref="AE244:AE245" si="110">(D244*-1)+(H244)</f>
        <v>1.0426427979017845</v>
      </c>
      <c r="AF244">
        <f>($D244/$AE244)*-1</f>
        <v>0.80578512396694779</v>
      </c>
      <c r="AG244">
        <f t="shared" si="108"/>
        <v>-0.80578512396694779</v>
      </c>
      <c r="AH244">
        <f t="shared" si="84"/>
        <v>1.3175675675675524</v>
      </c>
      <c r="AI244">
        <f t="shared" si="109"/>
        <v>1.3175675675675524</v>
      </c>
      <c r="AJ244">
        <f t="shared" si="85"/>
        <v>-0.69834710743802075</v>
      </c>
      <c r="AK244">
        <f t="shared" si="105"/>
        <v>1.1418918918918777</v>
      </c>
      <c r="AL244">
        <f t="shared" si="86"/>
        <v>-0.10743801652892612</v>
      </c>
      <c r="AM244">
        <f t="shared" si="87"/>
        <v>0.17567567567567324</v>
      </c>
      <c r="AN244">
        <f t="shared" si="88"/>
        <v>-0.90909090909091306</v>
      </c>
      <c r="AO244">
        <f t="shared" si="89"/>
        <v>1.4864864864864653</v>
      </c>
      <c r="AP244" s="20">
        <f t="shared" si="90"/>
        <v>0.86666666666666681</v>
      </c>
      <c r="AQ244" s="21">
        <f t="shared" si="91"/>
        <v>0.13333333333333303</v>
      </c>
      <c r="AR244">
        <f t="shared" si="92"/>
        <v>0.19421487603305213</v>
      </c>
      <c r="AS244">
        <f t="shared" si="93"/>
        <v>-0.31756756756755233</v>
      </c>
      <c r="AT244">
        <f t="shared" si="94"/>
        <v>-4.1322314049586414E-3</v>
      </c>
      <c r="AU244">
        <f t="shared" si="95"/>
        <v>6.7567567567565733E-3</v>
      </c>
      <c r="AV244">
        <f t="shared" si="96"/>
        <v>-0.32432432432431407</v>
      </c>
      <c r="AW244">
        <f t="shared" si="97"/>
        <v>-2.1276595744681291E-2</v>
      </c>
      <c r="AX244">
        <f t="shared" si="98"/>
        <v>1.0212765957446976</v>
      </c>
      <c r="AY244">
        <f t="shared" si="99"/>
        <v>-2.9570037406230123E-3</v>
      </c>
      <c r="AZ244">
        <f t="shared" si="100"/>
        <v>-1.5651835182888055E-3</v>
      </c>
      <c r="BA244" s="8">
        <f t="shared" si="101"/>
        <v>4.83510071101862E-3</v>
      </c>
    </row>
    <row r="245" spans="1:53" x14ac:dyDescent="0.35">
      <c r="A245" s="9" t="s">
        <v>43</v>
      </c>
      <c r="B245" s="11" t="s">
        <v>72</v>
      </c>
      <c r="C245">
        <f t="shared" si="81"/>
        <v>-0.1222839174378247</v>
      </c>
      <c r="D245">
        <v>-0.1222839174378247</v>
      </c>
      <c r="E245">
        <v>-0.1222839174378247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-3.6765779429734399E-2</v>
      </c>
      <c r="M245">
        <v>-3.9311555541792199E-2</v>
      </c>
      <c r="N245">
        <v>-3.6765779429734503E-2</v>
      </c>
      <c r="O245">
        <v>-3.9311555541792199E-2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311.06354290107998</v>
      </c>
      <c r="AC245">
        <v>332.60254327404999</v>
      </c>
      <c r="AD245" s="19">
        <f t="shared" si="82"/>
        <v>-0.1222839174378247</v>
      </c>
      <c r="AE245" s="19">
        <f t="shared" si="110"/>
        <v>0.1222839174378247</v>
      </c>
      <c r="AF245">
        <v>1</v>
      </c>
      <c r="AG245">
        <f t="shared" si="108"/>
        <v>-1</v>
      </c>
      <c r="AH245">
        <f t="shared" si="84"/>
        <v>1</v>
      </c>
      <c r="AI245">
        <f t="shared" si="109"/>
        <v>1</v>
      </c>
      <c r="AJ245">
        <f t="shared" si="85"/>
        <v>0</v>
      </c>
      <c r="AK245">
        <f t="shared" si="105"/>
        <v>0</v>
      </c>
      <c r="AL245">
        <f t="shared" si="86"/>
        <v>-1</v>
      </c>
      <c r="AM245">
        <f t="shared" si="87"/>
        <v>1</v>
      </c>
      <c r="AN245">
        <f t="shared" si="88"/>
        <v>0</v>
      </c>
      <c r="AO245">
        <f t="shared" si="89"/>
        <v>0</v>
      </c>
      <c r="AP245" s="20">
        <f t="shared" si="90"/>
        <v>0</v>
      </c>
      <c r="AQ245" s="21">
        <f t="shared" si="91"/>
        <v>1</v>
      </c>
      <c r="AR245">
        <f t="shared" si="92"/>
        <v>0</v>
      </c>
      <c r="AS245">
        <f t="shared" si="93"/>
        <v>0</v>
      </c>
      <c r="AT245">
        <f t="shared" si="94"/>
        <v>0</v>
      </c>
      <c r="AU245">
        <f t="shared" si="95"/>
        <v>0</v>
      </c>
      <c r="AV245">
        <f t="shared" si="96"/>
        <v>0</v>
      </c>
      <c r="AW245" t="e">
        <f t="shared" si="97"/>
        <v>#DIV/0!</v>
      </c>
      <c r="AX245" t="e">
        <f t="shared" si="98"/>
        <v>#DIV/0!</v>
      </c>
      <c r="AY245">
        <f t="shared" si="99"/>
        <v>-3.6765779429734569E-4</v>
      </c>
      <c r="AZ245">
        <f t="shared" si="100"/>
        <v>-3.9311555541792208E-4</v>
      </c>
      <c r="BA245" s="8">
        <f t="shared" si="101"/>
        <v>3.6765779429734569E-4</v>
      </c>
    </row>
    <row r="246" spans="1:53" x14ac:dyDescent="0.35">
      <c r="A246" s="9" t="s">
        <v>44</v>
      </c>
      <c r="B246" s="11" t="s">
        <v>72</v>
      </c>
      <c r="C246">
        <f t="shared" si="81"/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45.911572818750003</v>
      </c>
      <c r="AC246">
        <v>26.895658710639999</v>
      </c>
      <c r="AD246" s="19">
        <f t="shared" si="82"/>
        <v>0</v>
      </c>
      <c r="AE246" s="19">
        <f t="shared" si="83"/>
        <v>0</v>
      </c>
      <c r="AF246">
        <v>0</v>
      </c>
      <c r="AG246">
        <v>0</v>
      </c>
      <c r="AH246">
        <v>0</v>
      </c>
      <c r="AI246">
        <v>0</v>
      </c>
      <c r="AJ246" t="e">
        <f t="shared" si="85"/>
        <v>#DIV/0!</v>
      </c>
      <c r="AK246" t="e">
        <f t="shared" si="105"/>
        <v>#DIV/0!</v>
      </c>
      <c r="AL246" t="e">
        <f t="shared" si="86"/>
        <v>#DIV/0!</v>
      </c>
      <c r="AM246" t="e">
        <f t="shared" si="87"/>
        <v>#DIV/0!</v>
      </c>
      <c r="AN246" t="e">
        <f t="shared" si="88"/>
        <v>#DIV/0!</v>
      </c>
      <c r="AO246" t="e">
        <f t="shared" si="89"/>
        <v>#DIV/0!</v>
      </c>
      <c r="AP246" s="20" t="e">
        <f t="shared" si="90"/>
        <v>#DIV/0!</v>
      </c>
      <c r="AQ246" s="21" t="e">
        <f t="shared" si="91"/>
        <v>#DIV/0!</v>
      </c>
      <c r="AR246" t="e">
        <f t="shared" si="92"/>
        <v>#DIV/0!</v>
      </c>
      <c r="AS246" t="e">
        <f t="shared" si="93"/>
        <v>#DIV/0!</v>
      </c>
      <c r="AT246" t="e">
        <f t="shared" si="94"/>
        <v>#DIV/0!</v>
      </c>
      <c r="AU246" t="e">
        <f t="shared" si="95"/>
        <v>#DIV/0!</v>
      </c>
      <c r="AV246" t="e">
        <f t="shared" si="96"/>
        <v>#DIV/0!</v>
      </c>
      <c r="AW246" t="e">
        <f t="shared" si="97"/>
        <v>#DIV/0!</v>
      </c>
      <c r="AX246" t="e">
        <f t="shared" si="98"/>
        <v>#DIV/0!</v>
      </c>
      <c r="AY246">
        <f t="shared" si="99"/>
        <v>0</v>
      </c>
      <c r="AZ246">
        <f t="shared" si="100"/>
        <v>0</v>
      </c>
      <c r="BA246" s="8">
        <f t="shared" si="101"/>
        <v>0</v>
      </c>
    </row>
    <row r="247" spans="1:53" x14ac:dyDescent="0.35">
      <c r="A247" s="9" t="s">
        <v>45</v>
      </c>
      <c r="B247" s="11" t="s">
        <v>72</v>
      </c>
      <c r="C247">
        <f t="shared" si="81"/>
        <v>-0.51357683670948573</v>
      </c>
      <c r="D247">
        <v>1.312474138257574</v>
      </c>
      <c r="E247">
        <v>0.57064092967720637</v>
      </c>
      <c r="F247">
        <v>0.74183320858036783</v>
      </c>
      <c r="G247">
        <v>-1.8260509749670599</v>
      </c>
      <c r="H247">
        <v>-0.45651274374176509</v>
      </c>
      <c r="I247">
        <v>-0.45651274374176509</v>
      </c>
      <c r="J247">
        <v>0</v>
      </c>
      <c r="K247">
        <v>0</v>
      </c>
      <c r="L247">
        <v>0.51521265094658641</v>
      </c>
      <c r="M247">
        <v>0.51688018039387185</v>
      </c>
      <c r="N247">
        <v>0.22400550041155931</v>
      </c>
      <c r="O247">
        <v>0.22473051321472681</v>
      </c>
      <c r="P247">
        <v>0.2912071505350266</v>
      </c>
      <c r="Q247">
        <v>0.29214966717914459</v>
      </c>
      <c r="R247">
        <v>-0.71681760131699002</v>
      </c>
      <c r="S247">
        <v>-0.71913764228712573</v>
      </c>
      <c r="T247">
        <v>-0.17920440032924739</v>
      </c>
      <c r="U247">
        <v>-0.1797844105717816</v>
      </c>
      <c r="V247">
        <v>-0.1792044003292475</v>
      </c>
      <c r="W247">
        <v>-0.17978441057178149</v>
      </c>
      <c r="X247">
        <v>0</v>
      </c>
      <c r="Y247">
        <v>0</v>
      </c>
      <c r="Z247">
        <v>0</v>
      </c>
      <c r="AA247">
        <v>0</v>
      </c>
      <c r="AB247">
        <v>253.92231856471</v>
      </c>
      <c r="AC247">
        <v>254.7441596875</v>
      </c>
      <c r="AD247" s="19">
        <f t="shared" si="82"/>
        <v>0.85596139451580888</v>
      </c>
      <c r="AE247" s="19">
        <f>(D247)+(H247*-1)</f>
        <v>1.7689868819993391</v>
      </c>
      <c r="AF247">
        <f t="shared" si="102"/>
        <v>0.74193548387096764</v>
      </c>
      <c r="AG247">
        <f t="shared" ref="AG247:AG253" si="111">D247/AE247</f>
        <v>0.74193548387096764</v>
      </c>
      <c r="AH247">
        <f t="shared" si="84"/>
        <v>1.5333333333333337</v>
      </c>
      <c r="AI247">
        <f t="shared" ref="AI247:AI253" si="112">$D247/(AD247)</f>
        <v>1.5333333333333337</v>
      </c>
      <c r="AJ247">
        <f t="shared" si="85"/>
        <v>0.41935483870967732</v>
      </c>
      <c r="AK247">
        <f t="shared" si="105"/>
        <v>0.86666666666666681</v>
      </c>
      <c r="AL247">
        <f t="shared" si="86"/>
        <v>0.32258064516129042</v>
      </c>
      <c r="AM247">
        <f t="shared" si="87"/>
        <v>0.66666666666666718</v>
      </c>
      <c r="AN247">
        <f t="shared" si="88"/>
        <v>-1.0322580645161292</v>
      </c>
      <c r="AO247">
        <f t="shared" si="89"/>
        <v>-2.1333333333333346</v>
      </c>
      <c r="AP247" s="20">
        <f t="shared" si="90"/>
        <v>0.56521739130434767</v>
      </c>
      <c r="AQ247" s="21">
        <f t="shared" si="91"/>
        <v>0.43478260869565238</v>
      </c>
      <c r="AR247">
        <f t="shared" si="92"/>
        <v>-0.25806451612903236</v>
      </c>
      <c r="AS247">
        <f t="shared" si="93"/>
        <v>-0.53333333333333377</v>
      </c>
      <c r="AT247">
        <f t="shared" si="94"/>
        <v>-0.25806451612903236</v>
      </c>
      <c r="AU247">
        <f t="shared" si="95"/>
        <v>-0.53333333333333377</v>
      </c>
      <c r="AV247">
        <f t="shared" si="96"/>
        <v>0</v>
      </c>
      <c r="AW247">
        <f t="shared" si="97"/>
        <v>1</v>
      </c>
      <c r="AX247">
        <f t="shared" si="98"/>
        <v>0</v>
      </c>
      <c r="AY247">
        <f t="shared" si="99"/>
        <v>3.3600825061733883E-3</v>
      </c>
      <c r="AZ247">
        <f t="shared" si="100"/>
        <v>3.3709576982208999E-3</v>
      </c>
      <c r="BA247" s="8">
        <f t="shared" si="101"/>
        <v>6.9441705127583388E-3</v>
      </c>
    </row>
    <row r="248" spans="1:53" x14ac:dyDescent="0.35">
      <c r="A248" s="9" t="s">
        <v>46</v>
      </c>
      <c r="B248" s="11" t="s">
        <v>72</v>
      </c>
      <c r="C248">
        <f t="shared" si="81"/>
        <v>-5.6493452038043417</v>
      </c>
      <c r="D248">
        <v>-5.7977118455204177</v>
      </c>
      <c r="E248">
        <v>0.44295659642621987</v>
      </c>
      <c r="F248">
        <v>-6.2406684419466352</v>
      </c>
      <c r="G248">
        <v>0.14836664171607339</v>
      </c>
      <c r="H248">
        <v>-5.9803169430171206</v>
      </c>
      <c r="I248">
        <v>-2.704838006669958</v>
      </c>
      <c r="J248">
        <v>-3.2754789363471639</v>
      </c>
      <c r="K248">
        <v>0</v>
      </c>
      <c r="L248">
        <v>-2.843367489691051</v>
      </c>
      <c r="M248">
        <v>-1.922670481910133</v>
      </c>
      <c r="N248">
        <v>0.217238872710732</v>
      </c>
      <c r="O248">
        <v>0.1468958091413432</v>
      </c>
      <c r="P248">
        <v>-3.0606063624017832</v>
      </c>
      <c r="Q248">
        <v>-2.0695662910514758</v>
      </c>
      <c r="R248">
        <v>7.2763341271621207E-2</v>
      </c>
      <c r="S248">
        <v>4.92021973717158E-2</v>
      </c>
      <c r="T248">
        <v>-2.9329223712561232</v>
      </c>
      <c r="U248">
        <v>-1.983227032521476</v>
      </c>
      <c r="V248">
        <v>-1.3265316831826359</v>
      </c>
      <c r="W248">
        <v>-0.89699390593051476</v>
      </c>
      <c r="X248">
        <v>-1.6063906880734879</v>
      </c>
      <c r="Y248">
        <v>-1.0862331265909611</v>
      </c>
      <c r="Z248">
        <v>0</v>
      </c>
      <c r="AA248">
        <v>0</v>
      </c>
      <c r="AB248">
        <v>301.54474727050001</v>
      </c>
      <c r="AC248">
        <v>203.90300819506001</v>
      </c>
      <c r="AD248" s="19">
        <f t="shared" si="82"/>
        <v>-11.778028788537538</v>
      </c>
      <c r="AE248" s="19">
        <f>(D248*-1)+(H248*-1)</f>
        <v>11.778028788537538</v>
      </c>
      <c r="AF248">
        <f>($D248/$AE248)*-1</f>
        <v>0.49224806201550403</v>
      </c>
      <c r="AG248">
        <f t="shared" si="111"/>
        <v>-0.49224806201550403</v>
      </c>
      <c r="AH248">
        <f t="shared" si="84"/>
        <v>0.49224806201550403</v>
      </c>
      <c r="AI248">
        <f t="shared" si="112"/>
        <v>0.49224806201550403</v>
      </c>
      <c r="AJ248">
        <f t="shared" si="85"/>
        <v>-0.52985678282770865</v>
      </c>
      <c r="AK248">
        <f t="shared" si="105"/>
        <v>0.52985678282770865</v>
      </c>
      <c r="AL248">
        <f t="shared" si="86"/>
        <v>3.7608720812204871E-2</v>
      </c>
      <c r="AM248">
        <f t="shared" si="87"/>
        <v>-3.7608720812204871E-2</v>
      </c>
      <c r="AN248">
        <f t="shared" si="88"/>
        <v>1.2596899224806181E-2</v>
      </c>
      <c r="AO248">
        <f t="shared" si="89"/>
        <v>-1.2596899224806181E-2</v>
      </c>
      <c r="AP248" s="20">
        <f t="shared" si="90"/>
        <v>1.0764019682641643</v>
      </c>
      <c r="AQ248" s="21">
        <f t="shared" si="91"/>
        <v>-7.6401968264164205E-2</v>
      </c>
      <c r="AR248">
        <f t="shared" si="92"/>
        <v>-0.50775193798449603</v>
      </c>
      <c r="AS248">
        <f t="shared" si="93"/>
        <v>0.50775193798449603</v>
      </c>
      <c r="AT248">
        <f t="shared" si="94"/>
        <v>-0.22965116279069769</v>
      </c>
      <c r="AU248">
        <f t="shared" si="95"/>
        <v>0.22965116279069769</v>
      </c>
      <c r="AV248">
        <f t="shared" si="96"/>
        <v>0.27810077519379844</v>
      </c>
      <c r="AW248">
        <f t="shared" si="97"/>
        <v>0.45229007633587798</v>
      </c>
      <c r="AX248">
        <f t="shared" si="98"/>
        <v>0.54770992366412219</v>
      </c>
      <c r="AY248">
        <f t="shared" si="99"/>
        <v>-5.7762898609471751E-2</v>
      </c>
      <c r="AZ248">
        <f t="shared" si="100"/>
        <v>-3.9058975144316097E-2</v>
      </c>
      <c r="BA248" s="8">
        <f t="shared" si="101"/>
        <v>5.7762898609471751E-2</v>
      </c>
    </row>
    <row r="249" spans="1:53" x14ac:dyDescent="0.35">
      <c r="A249" s="9" t="s">
        <v>47</v>
      </c>
      <c r="B249" s="11" t="s">
        <v>72</v>
      </c>
      <c r="C249">
        <f t="shared" si="81"/>
        <v>0.27042472190449318</v>
      </c>
      <c r="D249">
        <v>0.19510445104624</v>
      </c>
      <c r="E249">
        <v>1.99651988508226E-2</v>
      </c>
      <c r="F249">
        <v>0.17513925219541729</v>
      </c>
      <c r="G249">
        <v>7.5320270858253296E-2</v>
      </c>
      <c r="H249">
        <v>-8.6448289280998403E-2</v>
      </c>
      <c r="I249">
        <v>-8.8626292466765094E-2</v>
      </c>
      <c r="J249">
        <v>2.1780031857667002E-3</v>
      </c>
      <c r="K249">
        <v>0</v>
      </c>
      <c r="L249">
        <v>0.94116957391091915</v>
      </c>
      <c r="M249">
        <v>1.0231422192178621</v>
      </c>
      <c r="N249">
        <v>9.6310656136810294E-2</v>
      </c>
      <c r="O249">
        <v>0.10469898431233279</v>
      </c>
      <c r="P249">
        <v>0.84485891777410949</v>
      </c>
      <c r="Q249">
        <v>0.91844323490552959</v>
      </c>
      <c r="R249">
        <v>0.3633394668874913</v>
      </c>
      <c r="S249">
        <v>0.39498508960074769</v>
      </c>
      <c r="T249">
        <v>-0.41702021225872649</v>
      </c>
      <c r="U249">
        <v>-0.4533412439759556</v>
      </c>
      <c r="V249">
        <v>-0.42752674001517887</v>
      </c>
      <c r="W249">
        <v>-0.46476285430313802</v>
      </c>
      <c r="X249">
        <v>1.0506527756452199E-2</v>
      </c>
      <c r="Y249">
        <v>1.14216103271822E-2</v>
      </c>
      <c r="Z249">
        <v>0</v>
      </c>
      <c r="AA249">
        <v>0</v>
      </c>
      <c r="AB249">
        <v>19.06914282116</v>
      </c>
      <c r="AC249">
        <v>20.729999827290001</v>
      </c>
      <c r="AD249" s="19">
        <f t="shared" si="82"/>
        <v>0.10865616176524159</v>
      </c>
      <c r="AE249" s="19">
        <f t="shared" si="83"/>
        <v>0.10865616176524159</v>
      </c>
      <c r="AF249">
        <f t="shared" si="102"/>
        <v>1.7956133170595086</v>
      </c>
      <c r="AG249">
        <f t="shared" si="111"/>
        <v>1.7956133170595086</v>
      </c>
      <c r="AH249">
        <f t="shared" si="84"/>
        <v>1.7956133170595086</v>
      </c>
      <c r="AI249">
        <f t="shared" si="112"/>
        <v>1.7956133170595086</v>
      </c>
      <c r="AJ249">
        <f t="shared" si="85"/>
        <v>1.611866730336164</v>
      </c>
      <c r="AK249">
        <f t="shared" si="105"/>
        <v>1.611866730336164</v>
      </c>
      <c r="AL249">
        <f t="shared" si="86"/>
        <v>0.18374658672334346</v>
      </c>
      <c r="AM249">
        <f t="shared" si="87"/>
        <v>0.18374658672334346</v>
      </c>
      <c r="AN249">
        <f t="shared" si="88"/>
        <v>0.69319833900434868</v>
      </c>
      <c r="AO249">
        <f t="shared" si="89"/>
        <v>0.69319833900434868</v>
      </c>
      <c r="AP249" s="20">
        <f t="shared" si="90"/>
        <v>0.89766917800306445</v>
      </c>
      <c r="AQ249" s="21">
        <f t="shared" si="91"/>
        <v>0.10233082199693549</v>
      </c>
      <c r="AR249">
        <f t="shared" si="92"/>
        <v>-0.79561331705950844</v>
      </c>
      <c r="AS249">
        <f t="shared" si="93"/>
        <v>-0.79561331705950844</v>
      </c>
      <c r="AT249">
        <f t="shared" si="94"/>
        <v>-0.81565822892076489</v>
      </c>
      <c r="AU249">
        <f t="shared" si="95"/>
        <v>-0.81565822892076489</v>
      </c>
      <c r="AV249">
        <f t="shared" si="96"/>
        <v>2.0044911861256537E-2</v>
      </c>
      <c r="AW249">
        <f t="shared" si="97"/>
        <v>1.0251942890238943</v>
      </c>
      <c r="AX249">
        <f t="shared" si="98"/>
        <v>-2.5194289023894333E-2</v>
      </c>
      <c r="AY249">
        <f t="shared" si="99"/>
        <v>5.2414936165219462E-3</v>
      </c>
      <c r="AZ249">
        <f t="shared" si="100"/>
        <v>5.6980097524190606E-3</v>
      </c>
      <c r="BA249" s="8">
        <f t="shared" si="101"/>
        <v>5.2414936165219462E-3</v>
      </c>
    </row>
    <row r="250" spans="1:53" x14ac:dyDescent="0.35">
      <c r="A250" s="9" t="s">
        <v>48</v>
      </c>
      <c r="B250" s="11" t="s">
        <v>72</v>
      </c>
      <c r="C250">
        <f t="shared" si="81"/>
        <v>6.4596553239459826</v>
      </c>
      <c r="D250">
        <v>6.0031425802042193</v>
      </c>
      <c r="E250">
        <v>0.1141281859354412</v>
      </c>
      <c r="F250">
        <v>5.8890143942687772</v>
      </c>
      <c r="G250">
        <v>0.45651274374176459</v>
      </c>
      <c r="H250">
        <v>-2.2825637187088241</v>
      </c>
      <c r="I250">
        <v>-2.282563718708825</v>
      </c>
      <c r="J250">
        <v>0</v>
      </c>
      <c r="K250">
        <v>0</v>
      </c>
      <c r="L250">
        <v>1.616065248838781</v>
      </c>
      <c r="M250">
        <v>1.436533940332879</v>
      </c>
      <c r="N250">
        <v>3.07236739322964E-2</v>
      </c>
      <c r="O250">
        <v>2.73105311850356E-2</v>
      </c>
      <c r="P250">
        <v>1.5853415749064861</v>
      </c>
      <c r="Q250">
        <v>1.4092234091478431</v>
      </c>
      <c r="R250">
        <v>0.1228946957291846</v>
      </c>
      <c r="S250">
        <v>0.10924212474014269</v>
      </c>
      <c r="T250">
        <v>-0.6144734786459245</v>
      </c>
      <c r="U250">
        <v>-0.5462106237007136</v>
      </c>
      <c r="V250">
        <v>-0.6144734786459245</v>
      </c>
      <c r="W250">
        <v>-0.5462106237007136</v>
      </c>
      <c r="X250">
        <v>0</v>
      </c>
      <c r="Y250">
        <v>0</v>
      </c>
      <c r="Z250">
        <v>0</v>
      </c>
      <c r="AA250">
        <v>0</v>
      </c>
      <c r="AB250">
        <v>417.89075855828003</v>
      </c>
      <c r="AC250">
        <v>371.46659669328</v>
      </c>
      <c r="AD250" s="19">
        <f t="shared" si="82"/>
        <v>3.7205788614953952</v>
      </c>
      <c r="AE250" s="19">
        <f>(D250)+(H250*-1)</f>
        <v>8.285706298913043</v>
      </c>
      <c r="AF250">
        <f t="shared" si="102"/>
        <v>0.72451790633608859</v>
      </c>
      <c r="AG250">
        <f t="shared" si="111"/>
        <v>0.72451790633608859</v>
      </c>
      <c r="AH250">
        <f t="shared" si="84"/>
        <v>1.6134969325153354</v>
      </c>
      <c r="AI250">
        <f t="shared" si="112"/>
        <v>1.6134969325153354</v>
      </c>
      <c r="AJ250">
        <f t="shared" si="85"/>
        <v>0.71074380165289286</v>
      </c>
      <c r="AK250">
        <f t="shared" si="105"/>
        <v>1.5828220858895685</v>
      </c>
      <c r="AL250">
        <f t="shared" si="86"/>
        <v>1.3774104683195574E-2</v>
      </c>
      <c r="AM250">
        <f t="shared" si="87"/>
        <v>3.0674846625766774E-2</v>
      </c>
      <c r="AN250">
        <f t="shared" si="88"/>
        <v>5.5096418732782267E-2</v>
      </c>
      <c r="AO250">
        <f t="shared" si="89"/>
        <v>0.12269938650306703</v>
      </c>
      <c r="AP250" s="20">
        <f t="shared" si="90"/>
        <v>0.9809885931558936</v>
      </c>
      <c r="AQ250" s="21">
        <f t="shared" si="91"/>
        <v>1.9011406844106425E-2</v>
      </c>
      <c r="AR250">
        <f t="shared" si="92"/>
        <v>-0.27548209366391146</v>
      </c>
      <c r="AS250">
        <f t="shared" si="93"/>
        <v>-0.61349693251533544</v>
      </c>
      <c r="AT250">
        <f t="shared" si="94"/>
        <v>-0.27548209366391158</v>
      </c>
      <c r="AU250">
        <f t="shared" si="95"/>
        <v>-0.61349693251533566</v>
      </c>
      <c r="AV250">
        <f t="shared" si="96"/>
        <v>0</v>
      </c>
      <c r="AW250">
        <f t="shared" si="97"/>
        <v>1.0000000000000004</v>
      </c>
      <c r="AX250">
        <f t="shared" si="98"/>
        <v>0</v>
      </c>
      <c r="AY250">
        <f t="shared" si="99"/>
        <v>1.0015917701928599E-2</v>
      </c>
      <c r="AZ250">
        <f t="shared" si="100"/>
        <v>8.9032331663216578E-3</v>
      </c>
      <c r="BA250" s="8">
        <f t="shared" si="101"/>
        <v>2.2305387274847089E-2</v>
      </c>
    </row>
    <row r="251" spans="1:53" x14ac:dyDescent="0.35">
      <c r="A251" s="9" t="s">
        <v>49</v>
      </c>
      <c r="B251" s="11" t="s">
        <v>72</v>
      </c>
      <c r="C251">
        <f t="shared" si="81"/>
        <v>1.5000000000000009</v>
      </c>
      <c r="D251">
        <v>1.5</v>
      </c>
      <c r="E251">
        <v>2.9</v>
      </c>
      <c r="F251">
        <v>-1.399999999999999</v>
      </c>
      <c r="G251">
        <v>0</v>
      </c>
      <c r="H251">
        <v>-1.6999999999999991</v>
      </c>
      <c r="I251">
        <v>-1.7</v>
      </c>
      <c r="J251">
        <v>0</v>
      </c>
      <c r="K251">
        <v>0</v>
      </c>
      <c r="L251">
        <v>0.4184564365396497</v>
      </c>
      <c r="M251">
        <v>0.43808832247855101</v>
      </c>
      <c r="N251">
        <v>0.80901577730998819</v>
      </c>
      <c r="O251">
        <v>0.84697075679186451</v>
      </c>
      <c r="P251">
        <v>-0.39055934077033783</v>
      </c>
      <c r="Q251">
        <v>-0.40888243431331261</v>
      </c>
      <c r="R251">
        <v>0</v>
      </c>
      <c r="S251">
        <v>0</v>
      </c>
      <c r="T251">
        <v>-0.47425062807826901</v>
      </c>
      <c r="U251">
        <v>-0.49650009880902418</v>
      </c>
      <c r="V251">
        <v>-0.4742506280782689</v>
      </c>
      <c r="W251">
        <v>-0.4965000988090239</v>
      </c>
      <c r="X251">
        <v>0</v>
      </c>
      <c r="Y251">
        <v>0</v>
      </c>
      <c r="Z251">
        <v>0</v>
      </c>
      <c r="AA251">
        <v>0</v>
      </c>
      <c r="AB251">
        <v>342.39670930134002</v>
      </c>
      <c r="AC251">
        <v>358.46025273358998</v>
      </c>
      <c r="AD251" s="19">
        <f t="shared" si="82"/>
        <v>-0.19999999999999907</v>
      </c>
      <c r="AE251" s="19">
        <f>(D251)+(H251*-1)</f>
        <v>3.1999999999999993</v>
      </c>
      <c r="AF251">
        <f t="shared" si="102"/>
        <v>0.46875000000000011</v>
      </c>
      <c r="AG251">
        <f t="shared" si="111"/>
        <v>0.46875000000000011</v>
      </c>
      <c r="AH251" s="25">
        <f>(($D251)/(AD251))*-1</f>
        <v>7.5000000000000346</v>
      </c>
      <c r="AI251">
        <f t="shared" si="112"/>
        <v>-7.5000000000000346</v>
      </c>
      <c r="AJ251">
        <f t="shared" si="85"/>
        <v>-0.43749999999999978</v>
      </c>
      <c r="AK251">
        <f t="shared" si="105"/>
        <v>7.0000000000000275</v>
      </c>
      <c r="AL251">
        <f t="shared" si="86"/>
        <v>0.90625000000000022</v>
      </c>
      <c r="AM251">
        <f t="shared" si="87"/>
        <v>-14.500000000000068</v>
      </c>
      <c r="AN251">
        <f t="shared" si="88"/>
        <v>0</v>
      </c>
      <c r="AO251">
        <f t="shared" si="89"/>
        <v>0</v>
      </c>
      <c r="AP251" s="20">
        <f t="shared" si="90"/>
        <v>-0.93333333333333213</v>
      </c>
      <c r="AQ251" s="21">
        <f t="shared" si="91"/>
        <v>1.9333333333333333</v>
      </c>
      <c r="AR251">
        <f t="shared" si="92"/>
        <v>-0.53124999999999978</v>
      </c>
      <c r="AS251">
        <f t="shared" si="93"/>
        <v>8.5000000000000355</v>
      </c>
      <c r="AT251">
        <f t="shared" si="94"/>
        <v>-0.53125000000000011</v>
      </c>
      <c r="AU251">
        <f t="shared" si="95"/>
        <v>8.5000000000000391</v>
      </c>
      <c r="AV251">
        <f t="shared" si="96"/>
        <v>0</v>
      </c>
      <c r="AW251">
        <f t="shared" si="97"/>
        <v>1.0000000000000004</v>
      </c>
      <c r="AX251">
        <f t="shared" si="98"/>
        <v>0</v>
      </c>
      <c r="AY251">
        <f t="shared" si="99"/>
        <v>-5.5794191538619594E-4</v>
      </c>
      <c r="AZ251">
        <f t="shared" si="100"/>
        <v>-5.8411776330473148E-4</v>
      </c>
      <c r="BA251" s="8">
        <f t="shared" si="101"/>
        <v>8.9270706461791749E-3</v>
      </c>
    </row>
    <row r="252" spans="1:53" x14ac:dyDescent="0.35">
      <c r="A252" s="10" t="s">
        <v>50</v>
      </c>
      <c r="B252" s="11" t="s">
        <v>72</v>
      </c>
      <c r="C252">
        <f t="shared" si="81"/>
        <v>0.63608896592116526</v>
      </c>
      <c r="D252">
        <v>0.63608896592116526</v>
      </c>
      <c r="E252">
        <v>0</v>
      </c>
      <c r="F252">
        <v>0.63608896592116526</v>
      </c>
      <c r="G252">
        <v>0</v>
      </c>
      <c r="H252">
        <v>-0.37597881601197791</v>
      </c>
      <c r="I252">
        <v>-2.17980388809976E-2</v>
      </c>
      <c r="J252">
        <v>-0.3541807771309804</v>
      </c>
      <c r="K252">
        <v>0</v>
      </c>
      <c r="L252">
        <v>2.1090428744257408</v>
      </c>
      <c r="M252">
        <v>1.1477070431122109</v>
      </c>
      <c r="N252">
        <v>0</v>
      </c>
      <c r="O252">
        <v>0</v>
      </c>
      <c r="P252">
        <v>2.1090428744257399</v>
      </c>
      <c r="Q252">
        <v>1.1477070431122109</v>
      </c>
      <c r="R252">
        <v>0</v>
      </c>
      <c r="S252">
        <v>0</v>
      </c>
      <c r="T252">
        <v>-1.2466109071657201</v>
      </c>
      <c r="U252">
        <v>-0.6783855062994717</v>
      </c>
      <c r="V252">
        <v>-7.2274478950985405E-2</v>
      </c>
      <c r="W252">
        <v>-3.9330603249067203E-2</v>
      </c>
      <c r="X252">
        <v>-1.1743364282147351</v>
      </c>
      <c r="Y252">
        <v>-0.63905490305040458</v>
      </c>
      <c r="Z252">
        <v>0</v>
      </c>
      <c r="AA252">
        <v>0</v>
      </c>
      <c r="AB252">
        <v>55.422589739999999</v>
      </c>
      <c r="AC252">
        <v>30.160077523049999</v>
      </c>
      <c r="AD252" s="19">
        <f t="shared" si="82"/>
        <v>0.26011014990918735</v>
      </c>
      <c r="AE252" s="19">
        <f t="shared" si="83"/>
        <v>0.26011014990918735</v>
      </c>
      <c r="AF252">
        <f t="shared" si="102"/>
        <v>2.445459995095324</v>
      </c>
      <c r="AG252">
        <f t="shared" si="111"/>
        <v>2.445459995095324</v>
      </c>
      <c r="AH252">
        <f t="shared" si="84"/>
        <v>2.445459995095324</v>
      </c>
      <c r="AI252">
        <f t="shared" si="112"/>
        <v>2.445459995095324</v>
      </c>
      <c r="AJ252">
        <f t="shared" si="85"/>
        <v>2.445459995095324</v>
      </c>
      <c r="AK252">
        <f t="shared" si="105"/>
        <v>2.445459995095324</v>
      </c>
      <c r="AL252">
        <f t="shared" si="86"/>
        <v>0</v>
      </c>
      <c r="AM252">
        <f t="shared" si="87"/>
        <v>0</v>
      </c>
      <c r="AN252">
        <f t="shared" si="88"/>
        <v>0</v>
      </c>
      <c r="AO252">
        <f t="shared" si="89"/>
        <v>0</v>
      </c>
      <c r="AP252" s="20">
        <f t="shared" si="90"/>
        <v>1</v>
      </c>
      <c r="AQ252" s="21">
        <f t="shared" si="91"/>
        <v>0</v>
      </c>
      <c r="AR252">
        <f t="shared" si="92"/>
        <v>-1.445459995095324</v>
      </c>
      <c r="AS252">
        <f t="shared" si="93"/>
        <v>-1.445459995095324</v>
      </c>
      <c r="AT252">
        <f t="shared" si="94"/>
        <v>-8.3803107601175819E-2</v>
      </c>
      <c r="AU252">
        <f t="shared" si="95"/>
        <v>-8.3803107601175819E-2</v>
      </c>
      <c r="AV252">
        <f t="shared" si="96"/>
        <v>-1.3616568874941484</v>
      </c>
      <c r="AW252">
        <f t="shared" si="97"/>
        <v>5.7976774096504306E-2</v>
      </c>
      <c r="AX252">
        <f t="shared" si="98"/>
        <v>0.94202322590349596</v>
      </c>
      <c r="AY252">
        <f t="shared" si="99"/>
        <v>8.6243196726002048E-3</v>
      </c>
      <c r="AZ252">
        <f t="shared" si="100"/>
        <v>4.6932153681273894E-3</v>
      </c>
      <c r="BA252" s="8">
        <f t="shared" si="101"/>
        <v>8.6243196726002048E-3</v>
      </c>
    </row>
    <row r="253" spans="1:53" x14ac:dyDescent="0.35">
      <c r="A253" s="9" t="s">
        <v>51</v>
      </c>
      <c r="B253" s="11" t="s">
        <v>72</v>
      </c>
      <c r="C253">
        <f t="shared" si="81"/>
        <v>0.23917700000000031</v>
      </c>
      <c r="D253">
        <v>0.2377970000000004</v>
      </c>
      <c r="E253">
        <v>1.33940000000001E-2</v>
      </c>
      <c r="F253">
        <v>0.2244030000000001</v>
      </c>
      <c r="G253">
        <v>1.3800000000000999E-3</v>
      </c>
      <c r="H253">
        <v>1.1412818593544E-2</v>
      </c>
      <c r="I253">
        <v>1.1412818593544E-2</v>
      </c>
      <c r="J253">
        <v>0</v>
      </c>
      <c r="K253">
        <v>0</v>
      </c>
      <c r="L253">
        <v>0.4931831961626596</v>
      </c>
      <c r="M253">
        <v>0.2448081251412004</v>
      </c>
      <c r="N253">
        <v>2.77787176852641E-2</v>
      </c>
      <c r="O253">
        <v>1.3788904099468299E-2</v>
      </c>
      <c r="P253">
        <v>0.46540447847739669</v>
      </c>
      <c r="Q253">
        <v>0.23101922104173231</v>
      </c>
      <c r="R253">
        <v>2.8620748399038999E-3</v>
      </c>
      <c r="S253">
        <v>1.4206874464139001E-3</v>
      </c>
      <c r="T253">
        <v>2.36698122818568E-2</v>
      </c>
      <c r="U253">
        <v>1.1749310220322899E-2</v>
      </c>
      <c r="V253">
        <v>2.36698122818568E-2</v>
      </c>
      <c r="W253">
        <v>1.1749310220323101E-2</v>
      </c>
      <c r="X253">
        <v>0</v>
      </c>
      <c r="Y253">
        <v>0</v>
      </c>
      <c r="Z253">
        <v>0</v>
      </c>
      <c r="AA253">
        <v>0</v>
      </c>
      <c r="AB253">
        <v>97.136073348400004</v>
      </c>
      <c r="AC253">
        <v>48.216768505140003</v>
      </c>
      <c r="AD253" s="19">
        <f t="shared" si="82"/>
        <v>0.24920981859354441</v>
      </c>
      <c r="AE253" s="19">
        <f t="shared" si="83"/>
        <v>0.24920981859354441</v>
      </c>
      <c r="AF253">
        <f t="shared" si="102"/>
        <v>0.95420397696224779</v>
      </c>
      <c r="AG253">
        <f t="shared" si="111"/>
        <v>0.95420397696224779</v>
      </c>
      <c r="AH253">
        <f t="shared" si="84"/>
        <v>0.95420397696224779</v>
      </c>
      <c r="AI253">
        <f t="shared" si="112"/>
        <v>0.95420397696224779</v>
      </c>
      <c r="AJ253">
        <f t="shared" si="85"/>
        <v>0.90045810099479395</v>
      </c>
      <c r="AK253">
        <f t="shared" si="105"/>
        <v>0.90045810099479395</v>
      </c>
      <c r="AL253">
        <f t="shared" si="86"/>
        <v>5.3745875967452998E-2</v>
      </c>
      <c r="AM253">
        <f t="shared" si="87"/>
        <v>5.3745875967452998E-2</v>
      </c>
      <c r="AN253">
        <f t="shared" si="88"/>
        <v>5.5375025261378196E-3</v>
      </c>
      <c r="AO253">
        <f t="shared" si="89"/>
        <v>5.5375025261378196E-3</v>
      </c>
      <c r="AP253" s="20">
        <f t="shared" si="90"/>
        <v>0.94367464686265978</v>
      </c>
      <c r="AQ253" s="21">
        <f t="shared" si="91"/>
        <v>5.6325353137340162E-2</v>
      </c>
      <c r="AR253">
        <f t="shared" si="92"/>
        <v>4.5796023037752175E-2</v>
      </c>
      <c r="AS253">
        <f t="shared" si="93"/>
        <v>4.5796023037752175E-2</v>
      </c>
      <c r="AT253">
        <f t="shared" si="94"/>
        <v>4.5796023037752175E-2</v>
      </c>
      <c r="AU253">
        <f t="shared" si="95"/>
        <v>4.5796023037752175E-2</v>
      </c>
      <c r="AV253">
        <f t="shared" si="96"/>
        <v>0</v>
      </c>
      <c r="AW253">
        <f t="shared" si="97"/>
        <v>1</v>
      </c>
      <c r="AX253">
        <f t="shared" si="98"/>
        <v>0</v>
      </c>
      <c r="AY253">
        <f t="shared" si="99"/>
        <v>5.1685300844451689E-3</v>
      </c>
      <c r="AZ253">
        <f t="shared" si="100"/>
        <v>2.5655743536152453E-3</v>
      </c>
      <c r="BA253" s="8">
        <f t="shared" si="101"/>
        <v>5.1685300844451689E-3</v>
      </c>
    </row>
    <row r="254" spans="1:53" x14ac:dyDescent="0.35">
      <c r="A254" s="9" t="s">
        <v>52</v>
      </c>
      <c r="B254" s="11" t="s">
        <v>72</v>
      </c>
      <c r="C254">
        <f t="shared" si="81"/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66.343484468840003</v>
      </c>
      <c r="AC254">
        <v>66.557495896739994</v>
      </c>
      <c r="AD254" s="19">
        <f t="shared" si="82"/>
        <v>0</v>
      </c>
      <c r="AE254" s="19">
        <f t="shared" si="83"/>
        <v>0</v>
      </c>
      <c r="AF254">
        <v>0</v>
      </c>
      <c r="AG254">
        <v>0</v>
      </c>
      <c r="AH254">
        <v>0</v>
      </c>
      <c r="AI254">
        <v>0</v>
      </c>
      <c r="AJ254" t="e">
        <f t="shared" si="85"/>
        <v>#DIV/0!</v>
      </c>
      <c r="AK254" t="e">
        <f t="shared" si="105"/>
        <v>#DIV/0!</v>
      </c>
      <c r="AL254" t="e">
        <f t="shared" si="86"/>
        <v>#DIV/0!</v>
      </c>
      <c r="AM254" t="e">
        <f t="shared" si="87"/>
        <v>#DIV/0!</v>
      </c>
      <c r="AN254" t="e">
        <f t="shared" si="88"/>
        <v>#DIV/0!</v>
      </c>
      <c r="AO254" t="e">
        <f t="shared" si="89"/>
        <v>#DIV/0!</v>
      </c>
      <c r="AP254" s="20" t="e">
        <f t="shared" si="90"/>
        <v>#DIV/0!</v>
      </c>
      <c r="AQ254" s="21" t="e">
        <f t="shared" si="91"/>
        <v>#DIV/0!</v>
      </c>
      <c r="AR254" t="e">
        <f t="shared" si="92"/>
        <v>#DIV/0!</v>
      </c>
      <c r="AS254" t="e">
        <f t="shared" si="93"/>
        <v>#DIV/0!</v>
      </c>
      <c r="AT254" t="e">
        <f t="shared" si="94"/>
        <v>#DIV/0!</v>
      </c>
      <c r="AU254" t="e">
        <f t="shared" si="95"/>
        <v>#DIV/0!</v>
      </c>
      <c r="AV254" t="e">
        <f t="shared" si="96"/>
        <v>#DIV/0!</v>
      </c>
      <c r="AW254" t="e">
        <f t="shared" si="97"/>
        <v>#DIV/0!</v>
      </c>
      <c r="AX254" t="e">
        <f t="shared" si="98"/>
        <v>#DIV/0!</v>
      </c>
      <c r="AY254">
        <f t="shared" si="99"/>
        <v>0</v>
      </c>
      <c r="AZ254">
        <f t="shared" si="100"/>
        <v>0</v>
      </c>
      <c r="BA254" s="8">
        <f t="shared" si="101"/>
        <v>0</v>
      </c>
    </row>
    <row r="255" spans="1:53" x14ac:dyDescent="0.35">
      <c r="A255" s="9" t="s">
        <v>53</v>
      </c>
      <c r="B255" s="11" t="s">
        <v>72</v>
      </c>
      <c r="C255">
        <f t="shared" si="81"/>
        <v>-1.2554100452898529</v>
      </c>
      <c r="D255">
        <v>0</v>
      </c>
      <c r="E255">
        <v>0</v>
      </c>
      <c r="F255">
        <v>0</v>
      </c>
      <c r="G255">
        <v>-1.2554100452898529</v>
      </c>
      <c r="H255">
        <v>-34.466712152503263</v>
      </c>
      <c r="I255">
        <v>0</v>
      </c>
      <c r="J255">
        <v>-34.466712152503263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-0.14940903361763991</v>
      </c>
      <c r="S255">
        <v>-0.13463702333676991</v>
      </c>
      <c r="T255">
        <v>-4.1019571047752059</v>
      </c>
      <c r="U255">
        <v>-3.6963982770640551</v>
      </c>
      <c r="V255">
        <v>0</v>
      </c>
      <c r="W255">
        <v>0</v>
      </c>
      <c r="X255">
        <v>-4.1019571047752059</v>
      </c>
      <c r="Y255">
        <v>-3.6963982770640551</v>
      </c>
      <c r="Z255">
        <v>0</v>
      </c>
      <c r="AA255">
        <v>0</v>
      </c>
      <c r="AB255">
        <v>932.44043441874999</v>
      </c>
      <c r="AC255">
        <v>840.25042856688003</v>
      </c>
      <c r="AD255" s="19">
        <f t="shared" si="82"/>
        <v>-34.466712152503263</v>
      </c>
      <c r="AE255" s="19">
        <f>(D255)+(H255*-1)</f>
        <v>34.466712152503263</v>
      </c>
      <c r="AF255">
        <f t="shared" si="102"/>
        <v>0</v>
      </c>
      <c r="AG255">
        <f>D255/AE255</f>
        <v>0</v>
      </c>
      <c r="AH255">
        <f t="shared" si="84"/>
        <v>0</v>
      </c>
      <c r="AI255">
        <f>$D255/(AD255)</f>
        <v>0</v>
      </c>
      <c r="AJ255">
        <f t="shared" si="85"/>
        <v>0</v>
      </c>
      <c r="AK255">
        <f t="shared" si="105"/>
        <v>0</v>
      </c>
      <c r="AL255">
        <f t="shared" si="86"/>
        <v>0</v>
      </c>
      <c r="AM255">
        <f t="shared" si="87"/>
        <v>0</v>
      </c>
      <c r="AN255">
        <f t="shared" si="88"/>
        <v>-3.642384105960262E-2</v>
      </c>
      <c r="AO255">
        <f t="shared" si="89"/>
        <v>3.642384105960262E-2</v>
      </c>
      <c r="AP255" s="20" t="e">
        <f t="shared" si="90"/>
        <v>#DIV/0!</v>
      </c>
      <c r="AQ255" s="21" t="e">
        <f t="shared" si="91"/>
        <v>#DIV/0!</v>
      </c>
      <c r="AR255">
        <f t="shared" si="92"/>
        <v>-1</v>
      </c>
      <c r="AS255">
        <f t="shared" si="93"/>
        <v>1</v>
      </c>
      <c r="AT255">
        <f t="shared" si="94"/>
        <v>0</v>
      </c>
      <c r="AU255">
        <f t="shared" si="95"/>
        <v>0</v>
      </c>
      <c r="AV255">
        <f t="shared" si="96"/>
        <v>1</v>
      </c>
      <c r="AW255">
        <f t="shared" si="97"/>
        <v>0</v>
      </c>
      <c r="AX255">
        <f t="shared" si="98"/>
        <v>1</v>
      </c>
      <c r="AY255">
        <f t="shared" si="99"/>
        <v>-4.1019571047752071E-2</v>
      </c>
      <c r="AZ255">
        <f t="shared" si="100"/>
        <v>-3.6963982770640551E-2</v>
      </c>
      <c r="BA255" s="8">
        <f t="shared" si="101"/>
        <v>4.1019571047752071E-2</v>
      </c>
    </row>
    <row r="256" spans="1:53" x14ac:dyDescent="0.35">
      <c r="A256" s="9" t="s">
        <v>54</v>
      </c>
      <c r="B256" s="11" t="s">
        <v>72</v>
      </c>
      <c r="C256">
        <f t="shared" si="81"/>
        <v>0</v>
      </c>
      <c r="D256">
        <v>0</v>
      </c>
      <c r="E256">
        <v>0</v>
      </c>
      <c r="F256">
        <v>0</v>
      </c>
      <c r="G256">
        <v>0</v>
      </c>
      <c r="H256">
        <v>0.65002147584386361</v>
      </c>
      <c r="I256">
        <v>0.39001288550631807</v>
      </c>
      <c r="J256">
        <v>0.26000859033754531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0.32030373440945098</v>
      </c>
      <c r="U256">
        <v>0.3351078645428322</v>
      </c>
      <c r="V256">
        <v>0.19218224064567049</v>
      </c>
      <c r="W256">
        <v>0.20106471872569931</v>
      </c>
      <c r="X256">
        <v>0.1281214937637801</v>
      </c>
      <c r="Y256">
        <v>0.13404314581713281</v>
      </c>
      <c r="Z256">
        <v>0</v>
      </c>
      <c r="AA256">
        <v>0</v>
      </c>
      <c r="AB256">
        <v>193.97380504054999</v>
      </c>
      <c r="AC256">
        <v>202.93908750153</v>
      </c>
      <c r="AD256" s="19">
        <f t="shared" si="82"/>
        <v>0.65002147584386361</v>
      </c>
      <c r="AE256" s="19">
        <f t="shared" si="83"/>
        <v>0.65002147584386361</v>
      </c>
      <c r="AF256">
        <f t="shared" si="102"/>
        <v>0</v>
      </c>
      <c r="AG256">
        <f>D256/AE256</f>
        <v>0</v>
      </c>
      <c r="AH256">
        <f t="shared" si="84"/>
        <v>0</v>
      </c>
      <c r="AI256">
        <f>$D256/(AD256)</f>
        <v>0</v>
      </c>
      <c r="AJ256">
        <f t="shared" si="85"/>
        <v>0</v>
      </c>
      <c r="AK256">
        <f t="shared" si="105"/>
        <v>0</v>
      </c>
      <c r="AL256">
        <f t="shared" si="86"/>
        <v>0</v>
      </c>
      <c r="AM256">
        <f t="shared" si="87"/>
        <v>0</v>
      </c>
      <c r="AN256">
        <f t="shared" si="88"/>
        <v>0</v>
      </c>
      <c r="AO256">
        <f t="shared" si="89"/>
        <v>0</v>
      </c>
      <c r="AP256" s="20" t="e">
        <f t="shared" si="90"/>
        <v>#DIV/0!</v>
      </c>
      <c r="AQ256" s="21" t="e">
        <f t="shared" si="91"/>
        <v>#DIV/0!</v>
      </c>
      <c r="AR256">
        <f t="shared" si="92"/>
        <v>1</v>
      </c>
      <c r="AS256">
        <f t="shared" si="93"/>
        <v>1</v>
      </c>
      <c r="AT256">
        <f t="shared" si="94"/>
        <v>0.59999999999999987</v>
      </c>
      <c r="AU256">
        <f t="shared" si="95"/>
        <v>0.59999999999999987</v>
      </c>
      <c r="AV256">
        <f t="shared" si="96"/>
        <v>0.3999999999999998</v>
      </c>
      <c r="AW256">
        <f t="shared" si="97"/>
        <v>0.59999999999999987</v>
      </c>
      <c r="AX256">
        <f t="shared" si="98"/>
        <v>0.3999999999999998</v>
      </c>
      <c r="AY256">
        <f t="shared" si="99"/>
        <v>3.2030373440945078E-3</v>
      </c>
      <c r="AZ256">
        <f t="shared" si="100"/>
        <v>3.3510786454283214E-3</v>
      </c>
      <c r="BA256" s="8">
        <f t="shared" si="101"/>
        <v>3.2030373440945078E-3</v>
      </c>
    </row>
    <row r="257" spans="1:53" x14ac:dyDescent="0.35">
      <c r="A257" s="9" t="s">
        <v>55</v>
      </c>
      <c r="B257" s="11" t="s">
        <v>72</v>
      </c>
      <c r="C257">
        <f t="shared" si="81"/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330.45426768437</v>
      </c>
      <c r="AC257">
        <v>410.24933347112</v>
      </c>
      <c r="AD257" s="19">
        <f t="shared" si="82"/>
        <v>0</v>
      </c>
      <c r="AE257" s="19">
        <f t="shared" si="83"/>
        <v>0</v>
      </c>
      <c r="AF257">
        <v>0</v>
      </c>
      <c r="AG257">
        <v>0</v>
      </c>
      <c r="AH257">
        <v>0</v>
      </c>
      <c r="AI257">
        <v>0</v>
      </c>
      <c r="AJ257" t="e">
        <f t="shared" si="85"/>
        <v>#DIV/0!</v>
      </c>
      <c r="AK257" t="e">
        <f t="shared" si="105"/>
        <v>#DIV/0!</v>
      </c>
      <c r="AL257" t="e">
        <f t="shared" si="86"/>
        <v>#DIV/0!</v>
      </c>
      <c r="AM257" t="e">
        <f t="shared" si="87"/>
        <v>#DIV/0!</v>
      </c>
      <c r="AN257" t="e">
        <f t="shared" si="88"/>
        <v>#DIV/0!</v>
      </c>
      <c r="AO257" t="e">
        <f t="shared" si="89"/>
        <v>#DIV/0!</v>
      </c>
      <c r="AP257" s="20" t="e">
        <f t="shared" si="90"/>
        <v>#DIV/0!</v>
      </c>
      <c r="AQ257" s="21" t="e">
        <f t="shared" si="91"/>
        <v>#DIV/0!</v>
      </c>
      <c r="AR257" t="e">
        <f t="shared" si="92"/>
        <v>#DIV/0!</v>
      </c>
      <c r="AS257" t="e">
        <f t="shared" si="93"/>
        <v>#DIV/0!</v>
      </c>
      <c r="AT257" t="e">
        <f t="shared" si="94"/>
        <v>#DIV/0!</v>
      </c>
      <c r="AU257" t="e">
        <f t="shared" si="95"/>
        <v>#DIV/0!</v>
      </c>
      <c r="AV257" t="e">
        <f t="shared" si="96"/>
        <v>#DIV/0!</v>
      </c>
      <c r="AW257" t="e">
        <f t="shared" si="97"/>
        <v>#DIV/0!</v>
      </c>
      <c r="AX257" t="e">
        <f t="shared" si="98"/>
        <v>#DIV/0!</v>
      </c>
      <c r="AY257">
        <f t="shared" si="99"/>
        <v>0</v>
      </c>
      <c r="AZ257">
        <f t="shared" si="100"/>
        <v>0</v>
      </c>
      <c r="BA257" s="8">
        <f t="shared" si="101"/>
        <v>0</v>
      </c>
    </row>
    <row r="258" spans="1:53" x14ac:dyDescent="0.35">
      <c r="A258" s="9" t="s">
        <v>56</v>
      </c>
      <c r="B258" s="11" t="s">
        <v>72</v>
      </c>
      <c r="C258">
        <f t="shared" si="81"/>
        <v>0.79889730154809069</v>
      </c>
      <c r="D258">
        <v>0.79889730154809158</v>
      </c>
      <c r="E258">
        <v>0.34238455780632382</v>
      </c>
      <c r="F258">
        <v>0.45651274374176681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0.35927718380528167</v>
      </c>
      <c r="M258">
        <v>0.23413247781510629</v>
      </c>
      <c r="N258">
        <v>0.15397593591654901</v>
      </c>
      <c r="O258">
        <v>0.10034249049218801</v>
      </c>
      <c r="P258">
        <v>0.205301247888733</v>
      </c>
      <c r="Q258">
        <v>0.13378998732291819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341.21592570296002</v>
      </c>
      <c r="AC258">
        <v>222.36238134761999</v>
      </c>
      <c r="AD258" s="19">
        <f t="shared" si="82"/>
        <v>0.79889730154809158</v>
      </c>
      <c r="AE258" s="19">
        <f>(D258)+(H258)</f>
        <v>0.79889730154809158</v>
      </c>
      <c r="AF258">
        <f t="shared" si="102"/>
        <v>1</v>
      </c>
      <c r="AG258">
        <f>D258/AE258</f>
        <v>1</v>
      </c>
      <c r="AH258">
        <f t="shared" si="84"/>
        <v>1</v>
      </c>
      <c r="AI258">
        <f>$D258/(AD258)</f>
        <v>1</v>
      </c>
      <c r="AJ258">
        <f t="shared" si="85"/>
        <v>0.57142857142857173</v>
      </c>
      <c r="AK258">
        <f t="shared" si="105"/>
        <v>0.57142857142857173</v>
      </c>
      <c r="AL258">
        <f t="shared" si="86"/>
        <v>0.42857142857142716</v>
      </c>
      <c r="AM258">
        <f t="shared" si="87"/>
        <v>0.42857142857142716</v>
      </c>
      <c r="AN258">
        <f t="shared" si="88"/>
        <v>0</v>
      </c>
      <c r="AO258">
        <f t="shared" si="89"/>
        <v>0</v>
      </c>
      <c r="AP258" s="20">
        <f t="shared" si="90"/>
        <v>0.57142857142857229</v>
      </c>
      <c r="AQ258" s="21">
        <f t="shared" si="91"/>
        <v>0.42857142857142716</v>
      </c>
      <c r="AR258">
        <f t="shared" si="92"/>
        <v>0</v>
      </c>
      <c r="AS258">
        <f t="shared" si="93"/>
        <v>0</v>
      </c>
      <c r="AT258">
        <f t="shared" si="94"/>
        <v>0</v>
      </c>
      <c r="AU258">
        <f t="shared" si="95"/>
        <v>0</v>
      </c>
      <c r="AV258">
        <f t="shared" si="96"/>
        <v>0</v>
      </c>
      <c r="AW258" t="e">
        <f t="shared" si="97"/>
        <v>#DIV/0!</v>
      </c>
      <c r="AX258" t="e">
        <f t="shared" si="98"/>
        <v>#DIV/0!</v>
      </c>
      <c r="AY258">
        <f t="shared" si="99"/>
        <v>3.5927718380528236E-3</v>
      </c>
      <c r="AZ258">
        <f t="shared" si="100"/>
        <v>2.3413247781510602E-3</v>
      </c>
      <c r="BA258" s="8">
        <f t="shared" si="101"/>
        <v>3.5927718380528236E-3</v>
      </c>
    </row>
    <row r="259" spans="1:53" x14ac:dyDescent="0.35">
      <c r="A259" s="9" t="s">
        <v>57</v>
      </c>
      <c r="B259" s="11" t="s">
        <v>72</v>
      </c>
      <c r="C259">
        <f t="shared" ref="C259:C267" si="113">E259+F259+G259</f>
        <v>1.6802751266758575</v>
      </c>
      <c r="D259">
        <v>1.6802751266758571</v>
      </c>
      <c r="E259">
        <v>1.0192067280989019</v>
      </c>
      <c r="F259">
        <v>0.66106839857695565</v>
      </c>
      <c r="G259">
        <v>0</v>
      </c>
      <c r="H259">
        <v>-2.782368016327577</v>
      </c>
      <c r="I259">
        <v>0</v>
      </c>
      <c r="J259">
        <v>-2.782368016327577</v>
      </c>
      <c r="K259">
        <v>0</v>
      </c>
      <c r="L259">
        <v>1.688904394969011</v>
      </c>
      <c r="M259">
        <v>0.92469264342358404</v>
      </c>
      <c r="N259">
        <v>1.0244409948944539</v>
      </c>
      <c r="O259">
        <v>0.56089205192566349</v>
      </c>
      <c r="P259">
        <v>0.66446340007455706</v>
      </c>
      <c r="Q259">
        <v>0.36380059149792032</v>
      </c>
      <c r="R259">
        <v>0</v>
      </c>
      <c r="S259">
        <v>0</v>
      </c>
      <c r="T259">
        <v>-2.796657223923404</v>
      </c>
      <c r="U259">
        <v>-1.531198787120716</v>
      </c>
      <c r="V259">
        <v>0</v>
      </c>
      <c r="W259">
        <v>0</v>
      </c>
      <c r="X259">
        <v>-2.796657223923404</v>
      </c>
      <c r="Y259">
        <v>-1.531198787120716</v>
      </c>
      <c r="Z259">
        <v>0</v>
      </c>
      <c r="AA259">
        <v>0</v>
      </c>
      <c r="AB259">
        <v>181.71174374815001</v>
      </c>
      <c r="AC259">
        <v>99.489061173690004</v>
      </c>
      <c r="AD259" s="19">
        <f t="shared" ref="AD259:AD267" si="114">D259+H259</f>
        <v>-1.1020928896517199</v>
      </c>
      <c r="AE259" s="19">
        <f>(D259)+(H259*-1)</f>
        <v>4.4626431430034339</v>
      </c>
      <c r="AF259">
        <f t="shared" si="102"/>
        <v>0.37652016368599972</v>
      </c>
      <c r="AG259">
        <f>D259/AE259</f>
        <v>0.37652016368599972</v>
      </c>
      <c r="AH259">
        <f>(($D259)/(AD259))*-1</f>
        <v>1.5246220554120919</v>
      </c>
      <c r="AI259">
        <f>$D259/(AD259)</f>
        <v>-1.5246220554120919</v>
      </c>
      <c r="AJ259">
        <f t="shared" ref="AJ259:AJ267" si="115">($F259/(AE259))</f>
        <v>0.14813382504343503</v>
      </c>
      <c r="AK259">
        <f t="shared" si="105"/>
        <v>-0.59983001867098928</v>
      </c>
      <c r="AL259">
        <f t="shared" ref="AL259:AL267" si="116">($E259/AE259)</f>
        <v>0.22838633864256477</v>
      </c>
      <c r="AM259">
        <f t="shared" ref="AM259:AM267" si="117">(E259/AD259)</f>
        <v>-0.92479203674110311</v>
      </c>
      <c r="AN259">
        <f t="shared" ref="AN259:AN267" si="118">($G259/$AE259)</f>
        <v>0</v>
      </c>
      <c r="AO259">
        <f t="shared" ref="AO259:AO267" si="119">($G259/$AD259)</f>
        <v>0</v>
      </c>
      <c r="AP259" s="20">
        <f t="shared" ref="AP259:AP267" si="120">(F259/((E259)+(F259)))</f>
        <v>0.39342866420023048</v>
      </c>
      <c r="AQ259" s="21">
        <f t="shared" ref="AQ259:AQ267" si="121">(E259/D259)</f>
        <v>0.60657133579976974</v>
      </c>
      <c r="AR259">
        <f t="shared" ref="AR259:AR267" si="122">($H259/(AE259))</f>
        <v>-0.62347983631400039</v>
      </c>
      <c r="AS259">
        <f t="shared" ref="AS259:AS267" si="123">($H259/(AD259))</f>
        <v>2.5246220554120922</v>
      </c>
      <c r="AT259">
        <f t="shared" ref="AT259:AT267" si="124">($I259/(AE259))</f>
        <v>0</v>
      </c>
      <c r="AU259">
        <f t="shared" ref="AU259:AU267" si="125">($I259/(AD259))</f>
        <v>0</v>
      </c>
      <c r="AV259">
        <f t="shared" ref="AV259:AV267" si="126">(J259/(AD259))</f>
        <v>2.5246220554120922</v>
      </c>
      <c r="AW259">
        <f t="shared" ref="AW259:AW267" si="127">(I259/H259)</f>
        <v>0</v>
      </c>
      <c r="AX259">
        <f t="shared" ref="AX259:AX267" si="128">J259/H259</f>
        <v>1</v>
      </c>
      <c r="AY259">
        <f t="shared" ref="AY259:AY267" si="129">(AD259/AC259)</f>
        <v>-1.1077528289543953E-2</v>
      </c>
      <c r="AZ259">
        <f t="shared" ref="AZ259:AZ267" si="130">(AD259)/AB259</f>
        <v>-6.0650614369713255E-3</v>
      </c>
      <c r="BA259" s="8">
        <f t="shared" ref="BA259:BA267" si="131">(AE259/AC259)</f>
        <v>4.4855616188924141E-2</v>
      </c>
    </row>
    <row r="260" spans="1:53" x14ac:dyDescent="0.35">
      <c r="A260" s="9" t="s">
        <v>58</v>
      </c>
      <c r="B260" s="11" t="s">
        <v>72</v>
      </c>
      <c r="C260">
        <f t="shared" si="113"/>
        <v>1.0209999999999999</v>
      </c>
      <c r="D260">
        <v>1.0209999999999999</v>
      </c>
      <c r="E260">
        <v>-1.19999999999999E-2</v>
      </c>
      <c r="F260">
        <v>1.0329999999999999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2.0250713059145209</v>
      </c>
      <c r="M260">
        <v>1.3427608723131521</v>
      </c>
      <c r="N260">
        <v>-2.38010339578591E-2</v>
      </c>
      <c r="O260">
        <v>-1.57817144640135E-2</v>
      </c>
      <c r="P260">
        <v>2.0488723398723798</v>
      </c>
      <c r="Q260">
        <v>1.358542586777165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76.037366075549997</v>
      </c>
      <c r="AC260">
        <v>50.417977728389999</v>
      </c>
      <c r="AD260" s="19">
        <f t="shared" si="114"/>
        <v>1.0209999999999999</v>
      </c>
      <c r="AE260" s="19">
        <f t="shared" ref="AE260:AE267" si="132">(D260)+(H260)</f>
        <v>1.0209999999999999</v>
      </c>
      <c r="AF260">
        <f t="shared" si="102"/>
        <v>1</v>
      </c>
      <c r="AG260">
        <f>D260/AE260</f>
        <v>1</v>
      </c>
      <c r="AH260">
        <f t="shared" ref="AH260:AH266" si="133">(($D260)/(AD260))</f>
        <v>1</v>
      </c>
      <c r="AI260">
        <f>$D260/(AD260)</f>
        <v>1</v>
      </c>
      <c r="AJ260">
        <f t="shared" si="115"/>
        <v>1.0117531831537707</v>
      </c>
      <c r="AK260">
        <f t="shared" si="105"/>
        <v>1.0117531831537707</v>
      </c>
      <c r="AL260">
        <f t="shared" si="116"/>
        <v>-1.1753183153770715E-2</v>
      </c>
      <c r="AM260">
        <f t="shared" si="117"/>
        <v>-1.1753183153770715E-2</v>
      </c>
      <c r="AN260">
        <f t="shared" si="118"/>
        <v>0</v>
      </c>
      <c r="AO260">
        <f t="shared" si="119"/>
        <v>0</v>
      </c>
      <c r="AP260" s="20">
        <f t="shared" si="120"/>
        <v>1.0117531831537707</v>
      </c>
      <c r="AQ260" s="21">
        <f t="shared" si="121"/>
        <v>-1.1753183153770715E-2</v>
      </c>
      <c r="AR260">
        <f t="shared" si="122"/>
        <v>0</v>
      </c>
      <c r="AS260">
        <f t="shared" si="123"/>
        <v>0</v>
      </c>
      <c r="AT260">
        <f t="shared" si="124"/>
        <v>0</v>
      </c>
      <c r="AU260">
        <f t="shared" si="125"/>
        <v>0</v>
      </c>
      <c r="AV260">
        <f t="shared" si="126"/>
        <v>0</v>
      </c>
      <c r="AW260" t="e">
        <f t="shared" si="127"/>
        <v>#DIV/0!</v>
      </c>
      <c r="AX260" t="e">
        <f t="shared" si="128"/>
        <v>#DIV/0!</v>
      </c>
      <c r="AY260">
        <f t="shared" si="129"/>
        <v>2.0250713059145213E-2</v>
      </c>
      <c r="AZ260">
        <f t="shared" si="130"/>
        <v>1.3427608723131521E-2</v>
      </c>
      <c r="BA260" s="8">
        <f t="shared" si="131"/>
        <v>2.0250713059145213E-2</v>
      </c>
    </row>
    <row r="261" spans="1:53" x14ac:dyDescent="0.35">
      <c r="A261" s="9" t="s">
        <v>59</v>
      </c>
      <c r="B261" s="11" t="s">
        <v>72</v>
      </c>
      <c r="C261">
        <f t="shared" si="113"/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521.00449074291998</v>
      </c>
      <c r="AC261">
        <v>549.82128194673999</v>
      </c>
      <c r="AD261" s="19">
        <f t="shared" si="114"/>
        <v>0</v>
      </c>
      <c r="AE261" s="19">
        <f t="shared" si="132"/>
        <v>0</v>
      </c>
      <c r="AF261">
        <v>0</v>
      </c>
      <c r="AG261">
        <v>0</v>
      </c>
      <c r="AH261">
        <v>0</v>
      </c>
      <c r="AI261">
        <v>0</v>
      </c>
      <c r="AJ261" t="e">
        <f t="shared" si="115"/>
        <v>#DIV/0!</v>
      </c>
      <c r="AK261" t="e">
        <f t="shared" si="105"/>
        <v>#DIV/0!</v>
      </c>
      <c r="AL261" t="e">
        <f t="shared" si="116"/>
        <v>#DIV/0!</v>
      </c>
      <c r="AM261" t="e">
        <f t="shared" si="117"/>
        <v>#DIV/0!</v>
      </c>
      <c r="AN261" t="e">
        <f t="shared" si="118"/>
        <v>#DIV/0!</v>
      </c>
      <c r="AO261" t="e">
        <f t="shared" si="119"/>
        <v>#DIV/0!</v>
      </c>
      <c r="AP261" s="20" t="e">
        <f t="shared" si="120"/>
        <v>#DIV/0!</v>
      </c>
      <c r="AQ261" s="21" t="e">
        <f t="shared" si="121"/>
        <v>#DIV/0!</v>
      </c>
      <c r="AR261" t="e">
        <f t="shared" si="122"/>
        <v>#DIV/0!</v>
      </c>
      <c r="AS261" t="e">
        <f t="shared" si="123"/>
        <v>#DIV/0!</v>
      </c>
      <c r="AT261" t="e">
        <f t="shared" si="124"/>
        <v>#DIV/0!</v>
      </c>
      <c r="AU261" t="e">
        <f t="shared" si="125"/>
        <v>#DIV/0!</v>
      </c>
      <c r="AV261" t="e">
        <f t="shared" si="126"/>
        <v>#DIV/0!</v>
      </c>
      <c r="AW261" t="e">
        <f t="shared" si="127"/>
        <v>#DIV/0!</v>
      </c>
      <c r="AX261" t="e">
        <f t="shared" si="128"/>
        <v>#DIV/0!</v>
      </c>
      <c r="AY261">
        <f t="shared" si="129"/>
        <v>0</v>
      </c>
      <c r="AZ261">
        <f t="shared" si="130"/>
        <v>0</v>
      </c>
      <c r="BA261" s="8">
        <f t="shared" si="131"/>
        <v>0</v>
      </c>
    </row>
    <row r="262" spans="1:53" x14ac:dyDescent="0.35">
      <c r="A262" s="9" t="s">
        <v>60</v>
      </c>
      <c r="B262" s="11" t="s">
        <v>72</v>
      </c>
      <c r="C262">
        <f t="shared" si="113"/>
        <v>1.2984084998357872</v>
      </c>
      <c r="D262">
        <v>1.298408499835787</v>
      </c>
      <c r="E262">
        <v>0.65080196341236274</v>
      </c>
      <c r="F262">
        <v>0.64760653642342447</v>
      </c>
      <c r="G262">
        <v>0</v>
      </c>
      <c r="H262">
        <v>0.1065142329643791</v>
      </c>
      <c r="I262">
        <v>0.1065142329643802</v>
      </c>
      <c r="J262">
        <v>0</v>
      </c>
      <c r="K262">
        <v>0</v>
      </c>
      <c r="L262">
        <v>0.17379085773101099</v>
      </c>
      <c r="M262">
        <v>0.2197659536766742</v>
      </c>
      <c r="N262">
        <v>8.7109281438595407E-2</v>
      </c>
      <c r="O262">
        <v>0.11015340254015581</v>
      </c>
      <c r="P262">
        <v>8.6681576292415102E-2</v>
      </c>
      <c r="Q262">
        <v>0.1096125511365198</v>
      </c>
      <c r="R262">
        <v>0</v>
      </c>
      <c r="S262">
        <v>0</v>
      </c>
      <c r="T262">
        <v>1.4256838205989501E-2</v>
      </c>
      <c r="U262">
        <v>1.80283801211382E-2</v>
      </c>
      <c r="V262">
        <v>1.42568382059894E-2</v>
      </c>
      <c r="W262">
        <v>1.8028380121138401E-2</v>
      </c>
      <c r="X262">
        <v>0</v>
      </c>
      <c r="Y262">
        <v>0</v>
      </c>
      <c r="Z262">
        <v>0</v>
      </c>
      <c r="AA262">
        <v>0</v>
      </c>
      <c r="AB262">
        <v>590.81421763174001</v>
      </c>
      <c r="AC262">
        <v>747.10978286638999</v>
      </c>
      <c r="AD262" s="19">
        <f t="shared" si="114"/>
        <v>1.4049227328001661</v>
      </c>
      <c r="AE262" s="19">
        <f t="shared" si="132"/>
        <v>1.4049227328001661</v>
      </c>
      <c r="AF262">
        <f t="shared" ref="AF262:AF267" si="134">($D262/$AE262)</f>
        <v>0.92418498862774856</v>
      </c>
      <c r="AG262">
        <f>D262/AE262</f>
        <v>0.92418498862774856</v>
      </c>
      <c r="AH262">
        <f t="shared" si="133"/>
        <v>0.92418498862774856</v>
      </c>
      <c r="AI262">
        <f>$D262/(AD262)</f>
        <v>0.92418498862774856</v>
      </c>
      <c r="AJ262">
        <f t="shared" si="115"/>
        <v>0.46095526914328816</v>
      </c>
      <c r="AK262">
        <f t="shared" si="105"/>
        <v>0.46095526914328816</v>
      </c>
      <c r="AL262">
        <f t="shared" si="116"/>
        <v>0.46322971948446062</v>
      </c>
      <c r="AM262">
        <f t="shared" si="117"/>
        <v>0.46322971948446062</v>
      </c>
      <c r="AN262">
        <f t="shared" si="118"/>
        <v>0</v>
      </c>
      <c r="AO262">
        <f t="shared" si="119"/>
        <v>0</v>
      </c>
      <c r="AP262" s="20">
        <f t="shared" si="120"/>
        <v>0.49876948318293418</v>
      </c>
      <c r="AQ262" s="21">
        <f t="shared" si="121"/>
        <v>0.50123051681706587</v>
      </c>
      <c r="AR262">
        <f t="shared" si="122"/>
        <v>7.5815011372251398E-2</v>
      </c>
      <c r="AS262">
        <f t="shared" si="123"/>
        <v>7.5815011372251398E-2</v>
      </c>
      <c r="AT262">
        <f t="shared" si="124"/>
        <v>7.5815011372252175E-2</v>
      </c>
      <c r="AU262">
        <f t="shared" si="125"/>
        <v>7.5815011372252175E-2</v>
      </c>
      <c r="AV262">
        <f t="shared" si="126"/>
        <v>0</v>
      </c>
      <c r="AW262">
        <f t="shared" si="127"/>
        <v>1.0000000000000102</v>
      </c>
      <c r="AX262">
        <f t="shared" si="128"/>
        <v>0</v>
      </c>
      <c r="AY262">
        <f t="shared" si="129"/>
        <v>1.8804769593699948E-3</v>
      </c>
      <c r="AZ262">
        <f t="shared" si="130"/>
        <v>2.377943337978145E-3</v>
      </c>
      <c r="BA262" s="8">
        <f t="shared" si="131"/>
        <v>1.8804769593699948E-3</v>
      </c>
    </row>
    <row r="263" spans="1:53" x14ac:dyDescent="0.35">
      <c r="A263" s="7" t="s">
        <v>61</v>
      </c>
      <c r="B263" s="11" t="s">
        <v>72</v>
      </c>
      <c r="C263">
        <f t="shared" si="113"/>
        <v>-2.8158699935514391</v>
      </c>
      <c r="D263">
        <v>-3.57454952088105</v>
      </c>
      <c r="E263">
        <v>0</v>
      </c>
      <c r="F263">
        <v>-3.57454952088105</v>
      </c>
      <c r="G263">
        <v>0.75867952732961097</v>
      </c>
      <c r="H263">
        <v>0</v>
      </c>
      <c r="I263">
        <v>0</v>
      </c>
      <c r="J263">
        <v>0</v>
      </c>
      <c r="K263">
        <v>0</v>
      </c>
      <c r="L263">
        <v>-1.364543031348058</v>
      </c>
      <c r="M263">
        <v>-0.81002520713302584</v>
      </c>
      <c r="N263">
        <v>0</v>
      </c>
      <c r="O263">
        <v>0</v>
      </c>
      <c r="P263">
        <v>-1.364543031348058</v>
      </c>
      <c r="Q263">
        <v>-0.81002520713302673</v>
      </c>
      <c r="R263">
        <v>0.2896171548321122</v>
      </c>
      <c r="S263">
        <v>0.1719236333649343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441.28867711817003</v>
      </c>
      <c r="AC263">
        <v>261.95945739796002</v>
      </c>
      <c r="AD263" s="19">
        <f t="shared" si="114"/>
        <v>-3.57454952088105</v>
      </c>
      <c r="AE263" s="19">
        <f>(D263*-1)+(H263)</f>
        <v>3.57454952088105</v>
      </c>
      <c r="AF263">
        <f t="shared" si="134"/>
        <v>-1</v>
      </c>
      <c r="AG263">
        <f>D263/AE263</f>
        <v>-1</v>
      </c>
      <c r="AH263">
        <f t="shared" si="133"/>
        <v>1</v>
      </c>
      <c r="AI263">
        <f>$D263/(AD263)</f>
        <v>1</v>
      </c>
      <c r="AJ263">
        <f t="shared" si="115"/>
        <v>-1</v>
      </c>
      <c r="AK263">
        <f t="shared" si="105"/>
        <v>1</v>
      </c>
      <c r="AL263">
        <f t="shared" si="116"/>
        <v>0</v>
      </c>
      <c r="AM263">
        <f t="shared" si="117"/>
        <v>0</v>
      </c>
      <c r="AN263">
        <f t="shared" si="118"/>
        <v>0.21224479417552247</v>
      </c>
      <c r="AO263">
        <f t="shared" si="119"/>
        <v>-0.21224479417552247</v>
      </c>
      <c r="AP263" s="20">
        <f t="shared" si="120"/>
        <v>1</v>
      </c>
      <c r="AQ263" s="21">
        <f t="shared" si="121"/>
        <v>0</v>
      </c>
      <c r="AR263">
        <f t="shared" si="122"/>
        <v>0</v>
      </c>
      <c r="AS263">
        <f t="shared" si="123"/>
        <v>0</v>
      </c>
      <c r="AT263">
        <f t="shared" si="124"/>
        <v>0</v>
      </c>
      <c r="AU263">
        <f t="shared" si="125"/>
        <v>0</v>
      </c>
      <c r="AV263">
        <f t="shared" si="126"/>
        <v>0</v>
      </c>
      <c r="AW263" t="e">
        <f t="shared" si="127"/>
        <v>#DIV/0!</v>
      </c>
      <c r="AX263" t="e">
        <f t="shared" si="128"/>
        <v>#DIV/0!</v>
      </c>
      <c r="AY263">
        <f t="shared" si="129"/>
        <v>-1.3645430313480587E-2</v>
      </c>
      <c r="AZ263">
        <f t="shared" si="130"/>
        <v>-8.1002520713302668E-3</v>
      </c>
      <c r="BA263" s="8">
        <f t="shared" si="131"/>
        <v>1.3645430313480587E-2</v>
      </c>
    </row>
    <row r="264" spans="1:53" x14ac:dyDescent="0.35">
      <c r="A264" s="7" t="s">
        <v>62</v>
      </c>
      <c r="B264" s="11" t="s">
        <v>72</v>
      </c>
      <c r="C264">
        <f t="shared" si="113"/>
        <v>-0.24016619392314489</v>
      </c>
      <c r="D264">
        <v>-0.24016619392314451</v>
      </c>
      <c r="E264">
        <v>-1.29965922303392E-2</v>
      </c>
      <c r="F264">
        <v>-0.2271696016928057</v>
      </c>
      <c r="G264">
        <v>0</v>
      </c>
      <c r="H264">
        <v>-0.96472621076456377</v>
      </c>
      <c r="I264">
        <v>-0.96472621076456377</v>
      </c>
      <c r="J264">
        <v>0</v>
      </c>
      <c r="K264">
        <v>0</v>
      </c>
      <c r="L264">
        <v>-7.4723710140849706E-2</v>
      </c>
      <c r="M264">
        <v>-3.4783045887894798E-2</v>
      </c>
      <c r="N264">
        <v>-4.0436731530561999E-3</v>
      </c>
      <c r="O264">
        <v>-1.882284332152E-3</v>
      </c>
      <c r="P264">
        <v>-7.0680036987793501E-2</v>
      </c>
      <c r="Q264">
        <v>-3.2900761555742598E-2</v>
      </c>
      <c r="R264">
        <v>0</v>
      </c>
      <c r="S264">
        <v>0</v>
      </c>
      <c r="T264">
        <v>-0.3001584884237305</v>
      </c>
      <c r="U264">
        <v>-0.13972039740537659</v>
      </c>
      <c r="V264">
        <v>-0.30015848842373088</v>
      </c>
      <c r="W264">
        <v>-0.13972039740537659</v>
      </c>
      <c r="X264">
        <v>0</v>
      </c>
      <c r="Y264">
        <v>0</v>
      </c>
      <c r="Z264">
        <v>0</v>
      </c>
      <c r="AA264">
        <v>0</v>
      </c>
      <c r="AB264">
        <v>690.46912883131995</v>
      </c>
      <c r="AC264">
        <v>321.40560669490998</v>
      </c>
      <c r="AD264" s="19">
        <f t="shared" si="114"/>
        <v>-1.2048924046877083</v>
      </c>
      <c r="AE264" s="19">
        <f>(D264*-1)+(H264*-1)</f>
        <v>1.2048924046877083</v>
      </c>
      <c r="AF264">
        <f t="shared" si="134"/>
        <v>-0.19932584269662842</v>
      </c>
      <c r="AG264">
        <f>D264/AE264</f>
        <v>-0.19932584269662842</v>
      </c>
      <c r="AH264">
        <f t="shared" si="133"/>
        <v>0.19932584269662842</v>
      </c>
      <c r="AI264">
        <f>$D264/(AD264)</f>
        <v>0.19932584269662842</v>
      </c>
      <c r="AJ264">
        <f t="shared" si="115"/>
        <v>-0.18853932584269628</v>
      </c>
      <c r="AK264">
        <f t="shared" si="105"/>
        <v>0.18853932584269628</v>
      </c>
      <c r="AL264">
        <f t="shared" si="116"/>
        <v>-1.078651685393248E-2</v>
      </c>
      <c r="AM264">
        <f t="shared" si="117"/>
        <v>1.078651685393248E-2</v>
      </c>
      <c r="AN264">
        <f t="shared" si="118"/>
        <v>0</v>
      </c>
      <c r="AO264">
        <f t="shared" si="119"/>
        <v>0</v>
      </c>
      <c r="AP264" s="20">
        <f t="shared" si="120"/>
        <v>0.94588500563697897</v>
      </c>
      <c r="AQ264" s="21">
        <f t="shared" si="121"/>
        <v>5.4114994363021113E-2</v>
      </c>
      <c r="AR264">
        <f t="shared" si="122"/>
        <v>-0.80067415730337155</v>
      </c>
      <c r="AS264">
        <f t="shared" si="123"/>
        <v>0.80067415730337155</v>
      </c>
      <c r="AT264">
        <f t="shared" si="124"/>
        <v>-0.80067415730337155</v>
      </c>
      <c r="AU264">
        <f t="shared" si="125"/>
        <v>0.80067415730337155</v>
      </c>
      <c r="AV264">
        <f t="shared" si="126"/>
        <v>0</v>
      </c>
      <c r="AW264">
        <f t="shared" si="127"/>
        <v>1</v>
      </c>
      <c r="AX264">
        <f t="shared" si="128"/>
        <v>0</v>
      </c>
      <c r="AY264">
        <f t="shared" si="129"/>
        <v>-3.7488219856458087E-3</v>
      </c>
      <c r="AZ264">
        <f t="shared" si="130"/>
        <v>-1.7450344329327152E-3</v>
      </c>
      <c r="BA264" s="8">
        <f t="shared" si="131"/>
        <v>3.7488219856458087E-3</v>
      </c>
    </row>
    <row r="265" spans="1:53" x14ac:dyDescent="0.35">
      <c r="A265" s="7" t="s">
        <v>63</v>
      </c>
      <c r="B265" s="11" t="s">
        <v>72</v>
      </c>
      <c r="C265">
        <f t="shared" si="113"/>
        <v>0.14534662604214299</v>
      </c>
      <c r="D265">
        <v>0.14534662604214299</v>
      </c>
      <c r="E265">
        <v>0</v>
      </c>
      <c r="F265">
        <v>0.14534662604214299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0.22575488547941269</v>
      </c>
      <c r="M265">
        <v>0.1593128021015037</v>
      </c>
      <c r="N265">
        <v>0</v>
      </c>
      <c r="O265">
        <v>0</v>
      </c>
      <c r="P265">
        <v>0.22575488547941239</v>
      </c>
      <c r="Q265">
        <v>0.15931280210150359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91.233487908610002</v>
      </c>
      <c r="AC265">
        <v>64.38249419652</v>
      </c>
      <c r="AD265" s="19">
        <f t="shared" si="114"/>
        <v>0.14534662604214299</v>
      </c>
      <c r="AE265" s="19">
        <f t="shared" si="132"/>
        <v>0.14534662604214299</v>
      </c>
      <c r="AF265">
        <f t="shared" si="134"/>
        <v>1</v>
      </c>
      <c r="AG265">
        <f>D265/AE265</f>
        <v>1</v>
      </c>
      <c r="AH265">
        <f t="shared" si="133"/>
        <v>1</v>
      </c>
      <c r="AI265">
        <f>$D265/(AD265)</f>
        <v>1</v>
      </c>
      <c r="AJ265">
        <f t="shared" si="115"/>
        <v>1</v>
      </c>
      <c r="AK265">
        <f t="shared" si="105"/>
        <v>1</v>
      </c>
      <c r="AL265">
        <f t="shared" si="116"/>
        <v>0</v>
      </c>
      <c r="AM265">
        <f t="shared" si="117"/>
        <v>0</v>
      </c>
      <c r="AN265">
        <f t="shared" si="118"/>
        <v>0</v>
      </c>
      <c r="AO265">
        <f t="shared" si="119"/>
        <v>0</v>
      </c>
      <c r="AP265" s="20">
        <f t="shared" si="120"/>
        <v>1</v>
      </c>
      <c r="AQ265" s="21">
        <f t="shared" si="121"/>
        <v>0</v>
      </c>
      <c r="AR265">
        <f t="shared" si="122"/>
        <v>0</v>
      </c>
      <c r="AS265">
        <f t="shared" si="123"/>
        <v>0</v>
      </c>
      <c r="AT265">
        <f t="shared" si="124"/>
        <v>0</v>
      </c>
      <c r="AU265">
        <f t="shared" si="125"/>
        <v>0</v>
      </c>
      <c r="AV265">
        <f t="shared" si="126"/>
        <v>0</v>
      </c>
      <c r="AW265" t="e">
        <f t="shared" si="127"/>
        <v>#DIV/0!</v>
      </c>
      <c r="AX265" t="e">
        <f t="shared" si="128"/>
        <v>#DIV/0!</v>
      </c>
      <c r="AY265">
        <f t="shared" si="129"/>
        <v>2.2575488547941229E-3</v>
      </c>
      <c r="AZ265">
        <f t="shared" si="130"/>
        <v>1.5931280210150351E-3</v>
      </c>
      <c r="BA265" s="8">
        <f t="shared" si="131"/>
        <v>2.2575488547941229E-3</v>
      </c>
    </row>
    <row r="266" spans="1:53" x14ac:dyDescent="0.35">
      <c r="A266" s="7" t="s">
        <v>64</v>
      </c>
      <c r="B266" s="11" t="s">
        <v>72</v>
      </c>
      <c r="C266">
        <f t="shared" si="113"/>
        <v>1.5108626716739559</v>
      </c>
      <c r="D266">
        <v>1.510862671673955</v>
      </c>
      <c r="E266">
        <v>0.66420956936764153</v>
      </c>
      <c r="F266">
        <v>0.84665310230631441</v>
      </c>
      <c r="G266">
        <v>0</v>
      </c>
      <c r="H266">
        <v>6.4232296886403001E-3</v>
      </c>
      <c r="I266">
        <v>0</v>
      </c>
      <c r="J266">
        <v>6.4232296886403001E-3</v>
      </c>
      <c r="K266">
        <v>0</v>
      </c>
      <c r="L266">
        <v>1.0251200504614819</v>
      </c>
      <c r="M266">
        <v>0.48755094727856191</v>
      </c>
      <c r="N266">
        <v>0.45066607312017209</v>
      </c>
      <c r="O266">
        <v>0.21433847748577059</v>
      </c>
      <c r="P266">
        <v>0.57445397734130843</v>
      </c>
      <c r="Q266">
        <v>0.27321246979279129</v>
      </c>
      <c r="R266">
        <v>0</v>
      </c>
      <c r="S266">
        <v>0</v>
      </c>
      <c r="T266">
        <v>4.3581601862259E-3</v>
      </c>
      <c r="U266">
        <v>2.0727573577650001E-3</v>
      </c>
      <c r="V266">
        <v>0</v>
      </c>
      <c r="W266">
        <v>0</v>
      </c>
      <c r="X266">
        <v>4.3581601862259E-3</v>
      </c>
      <c r="Y266">
        <v>2.0727573577650001E-3</v>
      </c>
      <c r="Z266">
        <v>0</v>
      </c>
      <c r="AA266">
        <v>0</v>
      </c>
      <c r="AB266">
        <v>309.88816247970999</v>
      </c>
      <c r="AC266">
        <v>147.38397429586999</v>
      </c>
      <c r="AD266" s="19">
        <f t="shared" si="114"/>
        <v>1.5172859013625954</v>
      </c>
      <c r="AE266" s="19">
        <f t="shared" si="132"/>
        <v>1.5172859013625954</v>
      </c>
      <c r="AF266">
        <f t="shared" si="134"/>
        <v>0.99576663192950521</v>
      </c>
      <c r="AG266">
        <f>D266/AE266</f>
        <v>0.99576663192950521</v>
      </c>
      <c r="AH266">
        <f t="shared" si="133"/>
        <v>0.99576663192950521</v>
      </c>
      <c r="AI266">
        <f>$D266/(AD266)</f>
        <v>0.99576663192950521</v>
      </c>
      <c r="AJ266">
        <f t="shared" si="115"/>
        <v>0.55800498874073723</v>
      </c>
      <c r="AK266">
        <f t="shared" si="105"/>
        <v>0.55800498874073723</v>
      </c>
      <c r="AL266">
        <f t="shared" si="116"/>
        <v>0.43776164318876853</v>
      </c>
      <c r="AM266">
        <f t="shared" si="117"/>
        <v>0.43776164318876853</v>
      </c>
      <c r="AN266">
        <f t="shared" si="118"/>
        <v>0</v>
      </c>
      <c r="AO266">
        <f t="shared" si="119"/>
        <v>0</v>
      </c>
      <c r="AP266" s="20">
        <f t="shared" si="120"/>
        <v>0.5603772719914164</v>
      </c>
      <c r="AQ266" s="21">
        <f t="shared" si="121"/>
        <v>0.43962272800858387</v>
      </c>
      <c r="AR266">
        <f t="shared" si="122"/>
        <v>4.2333680704947779E-3</v>
      </c>
      <c r="AS266">
        <f t="shared" si="123"/>
        <v>4.2333680704947779E-3</v>
      </c>
      <c r="AT266">
        <f t="shared" si="124"/>
        <v>0</v>
      </c>
      <c r="AU266">
        <f t="shared" si="125"/>
        <v>0</v>
      </c>
      <c r="AV266">
        <f t="shared" si="126"/>
        <v>4.2333680704947779E-3</v>
      </c>
      <c r="AW266">
        <f t="shared" si="127"/>
        <v>0</v>
      </c>
      <c r="AX266">
        <f t="shared" si="128"/>
        <v>1</v>
      </c>
      <c r="AY266">
        <f t="shared" si="129"/>
        <v>1.0294782106477047E-2</v>
      </c>
      <c r="AZ266">
        <f t="shared" si="130"/>
        <v>4.8962370463632669E-3</v>
      </c>
      <c r="BA266" s="8">
        <f t="shared" si="131"/>
        <v>1.0294782106477047E-2</v>
      </c>
    </row>
    <row r="267" spans="1:53" x14ac:dyDescent="0.35">
      <c r="A267" s="7" t="s">
        <v>65</v>
      </c>
      <c r="B267" s="11" t="s">
        <v>72</v>
      </c>
      <c r="C267">
        <f t="shared" si="113"/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1215.4228689920101</v>
      </c>
      <c r="AC267">
        <v>571.50311712429004</v>
      </c>
      <c r="AD267" s="19">
        <f t="shared" si="114"/>
        <v>0</v>
      </c>
      <c r="AE267" s="19">
        <f t="shared" si="132"/>
        <v>0</v>
      </c>
      <c r="AF267">
        <v>0</v>
      </c>
      <c r="AG267">
        <v>0</v>
      </c>
      <c r="AH267">
        <v>0</v>
      </c>
      <c r="AI267">
        <v>0</v>
      </c>
      <c r="AJ267" t="e">
        <f t="shared" si="115"/>
        <v>#DIV/0!</v>
      </c>
      <c r="AK267" t="e">
        <f t="shared" si="105"/>
        <v>#DIV/0!</v>
      </c>
      <c r="AL267" t="e">
        <f t="shared" si="116"/>
        <v>#DIV/0!</v>
      </c>
      <c r="AM267" t="e">
        <f t="shared" si="117"/>
        <v>#DIV/0!</v>
      </c>
      <c r="AN267" t="e">
        <f t="shared" si="118"/>
        <v>#DIV/0!</v>
      </c>
      <c r="AO267" t="e">
        <f t="shared" si="119"/>
        <v>#DIV/0!</v>
      </c>
      <c r="AP267" s="20" t="e">
        <f t="shared" si="120"/>
        <v>#DIV/0!</v>
      </c>
      <c r="AQ267" s="21" t="e">
        <f t="shared" si="121"/>
        <v>#DIV/0!</v>
      </c>
      <c r="AR267" t="e">
        <f t="shared" si="122"/>
        <v>#DIV/0!</v>
      </c>
      <c r="AS267" t="e">
        <f t="shared" si="123"/>
        <v>#DIV/0!</v>
      </c>
      <c r="AT267" t="e">
        <f t="shared" si="124"/>
        <v>#DIV/0!</v>
      </c>
      <c r="AU267" t="e">
        <f t="shared" si="125"/>
        <v>#DIV/0!</v>
      </c>
      <c r="AV267" t="e">
        <f t="shared" si="126"/>
        <v>#DIV/0!</v>
      </c>
      <c r="AW267" t="e">
        <f t="shared" si="127"/>
        <v>#DIV/0!</v>
      </c>
      <c r="AX267" t="e">
        <f t="shared" si="128"/>
        <v>#DIV/0!</v>
      </c>
      <c r="AY267">
        <f t="shared" si="129"/>
        <v>0</v>
      </c>
      <c r="AZ267">
        <f t="shared" si="130"/>
        <v>0</v>
      </c>
      <c r="BA267" s="8">
        <f t="shared" si="131"/>
        <v>0</v>
      </c>
    </row>
  </sheetData>
  <conditionalFormatting sqref="C2:G267">
    <cfRule type="cellIs" dxfId="2" priority="2" operator="lessThan">
      <formula>0</formula>
    </cfRule>
  </conditionalFormatting>
  <conditionalFormatting sqref="E1:F1 E268:F1048576">
    <cfRule type="cellIs" dxfId="1" priority="3" operator="lessThan">
      <formula>0</formula>
    </cfRule>
  </conditionalFormatting>
  <conditionalFormatting sqref="AH2:AI267">
    <cfRule type="cellIs" dxfId="0" priority="1" operator="greaterThan">
      <formula>10</formula>
    </cfRule>
  </conditionalFormatting>
  <pageMargins left="0.7" right="0.7" top="0.78740157499999996" bottom="0.78740157499999996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67"/>
  <sheetViews>
    <sheetView topLeftCell="AF1" zoomScale="148" workbookViewId="0">
      <selection activeCell="AC1" sqref="AC1:AL2"/>
    </sheetView>
  </sheetViews>
  <sheetFormatPr baseColWidth="10" defaultColWidth="8.7265625" defaultRowHeight="14.5" x14ac:dyDescent="0.35"/>
  <cols>
    <col min="3" max="12" width="8.81640625" bestFit="1" customWidth="1"/>
    <col min="13" max="14" width="12.6328125" bestFit="1" customWidth="1"/>
    <col min="15" max="27" width="8.81640625" bestFit="1" customWidth="1"/>
    <col min="28" max="28" width="17.6328125" customWidth="1"/>
    <col min="29" max="30" width="27.54296875" customWidth="1"/>
    <col min="31" max="36" width="20.08984375" customWidth="1"/>
    <col min="37" max="37" width="22.54296875" customWidth="1"/>
    <col min="38" max="38" width="19.81640625" customWidth="1"/>
  </cols>
  <sheetData>
    <row r="1" spans="1:3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74</v>
      </c>
      <c r="AD1" s="1" t="s">
        <v>75</v>
      </c>
      <c r="AE1" s="1" t="s">
        <v>73</v>
      </c>
      <c r="AF1" s="2" t="s">
        <v>79</v>
      </c>
      <c r="AG1" s="2" t="s">
        <v>78</v>
      </c>
      <c r="AH1" s="2" t="s">
        <v>80</v>
      </c>
      <c r="AI1" s="2" t="s">
        <v>81</v>
      </c>
      <c r="AJ1" s="2" t="s">
        <v>82</v>
      </c>
      <c r="AK1" s="2" t="s">
        <v>76</v>
      </c>
      <c r="AL1" s="2" t="s">
        <v>77</v>
      </c>
    </row>
    <row r="2" spans="1:38" x14ac:dyDescent="0.35">
      <c r="A2" t="s">
        <v>28</v>
      </c>
      <c r="B2" t="s">
        <v>66</v>
      </c>
      <c r="C2">
        <v>110.0051</v>
      </c>
      <c r="D2">
        <v>2.1168</v>
      </c>
      <c r="E2">
        <v>107.8883</v>
      </c>
      <c r="F2">
        <v>0</v>
      </c>
      <c r="G2">
        <v>24.0029</v>
      </c>
      <c r="H2">
        <v>10.3255</v>
      </c>
      <c r="I2">
        <v>13.6774</v>
      </c>
      <c r="J2">
        <v>0</v>
      </c>
      <c r="K2">
        <v>7.3593163001337496</v>
      </c>
      <c r="L2">
        <v>8.9689107490462359</v>
      </c>
      <c r="M2">
        <v>0.1416134410506705</v>
      </c>
      <c r="N2">
        <v>0.1725864552969005</v>
      </c>
      <c r="O2">
        <v>7.2177028590830803</v>
      </c>
      <c r="P2">
        <v>8.7963242937493362</v>
      </c>
      <c r="Q2">
        <v>0</v>
      </c>
      <c r="R2">
        <v>0</v>
      </c>
      <c r="S2">
        <v>1.605788579079338</v>
      </c>
      <c r="T2">
        <v>1.956998973850139</v>
      </c>
      <c r="U2">
        <v>0.690773613741827</v>
      </c>
      <c r="V2">
        <v>0.84185631338253319</v>
      </c>
      <c r="W2">
        <v>0.91501496533751059</v>
      </c>
      <c r="X2">
        <v>1.115142660467606</v>
      </c>
      <c r="Y2">
        <v>0</v>
      </c>
      <c r="Z2">
        <v>0</v>
      </c>
      <c r="AA2">
        <v>1226.51571721458</v>
      </c>
      <c r="AB2">
        <v>1494.77336635199</v>
      </c>
      <c r="AC2">
        <f>C2/(C2+G2)</f>
        <v>0.82088457405528026</v>
      </c>
      <c r="AD2">
        <f>(E2/(C2+G2))</f>
        <v>0.80508850217897432</v>
      </c>
      <c r="AE2">
        <f>(E2/C2)</f>
        <v>0.98075725579995843</v>
      </c>
      <c r="AF2">
        <f>(D2/(C2+G2))</f>
        <v>1.5796071876305891E-2</v>
      </c>
      <c r="AG2">
        <f>(D2/(C2))</f>
        <v>1.9242744200041635E-2</v>
      </c>
      <c r="AH2">
        <f>(G2/(C2+G2))</f>
        <v>0.17911542594471971</v>
      </c>
      <c r="AI2">
        <f>(H2/G2)</f>
        <v>0.43017718692324675</v>
      </c>
      <c r="AJ2">
        <f>I2/G2</f>
        <v>0.5698228130767532</v>
      </c>
      <c r="AK2">
        <f>(C2+G2)/AA2</f>
        <v>0.10925909722896375</v>
      </c>
      <c r="AL2">
        <f>(C2+G2)/AB2</f>
        <v>8.96510487921309E-2</v>
      </c>
    </row>
    <row r="3" spans="1:38" x14ac:dyDescent="0.35">
      <c r="A3" t="s">
        <v>29</v>
      </c>
      <c r="B3" t="s">
        <v>66</v>
      </c>
      <c r="C3">
        <v>81</v>
      </c>
      <c r="D3">
        <v>2.4</v>
      </c>
      <c r="E3">
        <v>78.599999999999994</v>
      </c>
      <c r="F3">
        <v>63.75</v>
      </c>
      <c r="G3">
        <v>51.7</v>
      </c>
      <c r="H3">
        <v>3.7</v>
      </c>
      <c r="I3">
        <v>48</v>
      </c>
      <c r="J3">
        <v>0</v>
      </c>
      <c r="K3">
        <v>4.7742400680565593</v>
      </c>
      <c r="L3">
        <v>4.6997712099071647</v>
      </c>
      <c r="M3">
        <v>0.14145896497945359</v>
      </c>
      <c r="N3">
        <v>0.13925248029354559</v>
      </c>
      <c r="O3">
        <v>4.6327811030771064</v>
      </c>
      <c r="P3">
        <v>4.5605187296136194</v>
      </c>
      <c r="Q3">
        <v>3.7575037572667358</v>
      </c>
      <c r="R3">
        <v>3.698894007797306</v>
      </c>
      <c r="S3">
        <v>3.0472618705990642</v>
      </c>
      <c r="T3">
        <v>2.999730512990129</v>
      </c>
      <c r="U3">
        <v>0.2180825710099909</v>
      </c>
      <c r="V3">
        <v>0.2146809071192162</v>
      </c>
      <c r="W3">
        <v>2.829179299589073</v>
      </c>
      <c r="X3">
        <v>2.7850496058709129</v>
      </c>
      <c r="Y3">
        <v>0</v>
      </c>
      <c r="Z3">
        <v>0</v>
      </c>
      <c r="AA3">
        <v>1723.48815255626</v>
      </c>
      <c r="AB3">
        <v>1696.60508992738</v>
      </c>
      <c r="AC3">
        <f t="shared" ref="AC3:AC66" si="0">C3/(C3+G3)</f>
        <v>0.6103993971363979</v>
      </c>
      <c r="AD3">
        <f t="shared" ref="AD3:AD66" si="1">(E3/(C3+G3))</f>
        <v>0.59231348907309722</v>
      </c>
      <c r="AE3">
        <f t="shared" ref="AE3:AE66" si="2">(E3/C3)</f>
        <v>0.97037037037037033</v>
      </c>
      <c r="AF3">
        <f t="shared" ref="AF3:AF66" si="3">(D3/(C3+G3))</f>
        <v>1.8085908063300678E-2</v>
      </c>
      <c r="AG3">
        <f t="shared" ref="AG3:AG66" si="4">(D3/(C3))</f>
        <v>2.9629629629629627E-2</v>
      </c>
      <c r="AH3">
        <f t="shared" ref="AH3:AH66" si="5">(G3/(C3+G3))</f>
        <v>0.38960060286360215</v>
      </c>
      <c r="AI3">
        <f t="shared" ref="AI3:AI66" si="6">(H3/G3)</f>
        <v>7.1566731141199227E-2</v>
      </c>
      <c r="AJ3">
        <f t="shared" ref="AJ3:AJ66" si="7">I3/G3</f>
        <v>0.92843326885880073</v>
      </c>
      <c r="AK3">
        <f t="shared" ref="AK3:AK66" si="8">(C3+G3)/AA3</f>
        <v>7.6995017228972937E-2</v>
      </c>
      <c r="AL3">
        <f t="shared" ref="AL3:AL66" si="9">(C3+G3)/AB3</f>
        <v>7.8215019386556214E-2</v>
      </c>
    </row>
    <row r="4" spans="1:38" x14ac:dyDescent="0.35">
      <c r="A4" t="s">
        <v>30</v>
      </c>
      <c r="B4" t="s">
        <v>66</v>
      </c>
      <c r="C4">
        <v>16.5</v>
      </c>
      <c r="D4">
        <v>5.5</v>
      </c>
      <c r="E4">
        <v>11</v>
      </c>
      <c r="F4">
        <v>48.5</v>
      </c>
      <c r="G4">
        <v>348</v>
      </c>
      <c r="H4">
        <v>0</v>
      </c>
      <c r="I4">
        <v>348</v>
      </c>
      <c r="J4">
        <v>0</v>
      </c>
      <c r="K4">
        <v>0.630538110393977</v>
      </c>
      <c r="L4">
        <v>0.56757783839276432</v>
      </c>
      <c r="M4">
        <v>0.21017937013132559</v>
      </c>
      <c r="N4">
        <v>0.18919261279758809</v>
      </c>
      <c r="O4">
        <v>0.4203587402626513</v>
      </c>
      <c r="P4">
        <v>0.37838522559517618</v>
      </c>
      <c r="Q4">
        <v>1.853399900248963</v>
      </c>
      <c r="R4">
        <v>1.668334858306004</v>
      </c>
      <c r="S4">
        <v>13.29862196467297</v>
      </c>
      <c r="T4">
        <v>11.97073259155648</v>
      </c>
      <c r="U4">
        <v>0</v>
      </c>
      <c r="V4">
        <v>0</v>
      </c>
      <c r="W4">
        <v>13.29862196467297</v>
      </c>
      <c r="X4">
        <v>11.97073259155648</v>
      </c>
      <c r="Y4">
        <v>0</v>
      </c>
      <c r="Z4">
        <v>0</v>
      </c>
      <c r="AA4">
        <v>2907.0902498102801</v>
      </c>
      <c r="AB4">
        <v>2616.8124857180101</v>
      </c>
      <c r="AC4">
        <f t="shared" si="0"/>
        <v>4.5267489711934158E-2</v>
      </c>
      <c r="AD4">
        <f t="shared" si="1"/>
        <v>3.017832647462277E-2</v>
      </c>
      <c r="AE4">
        <f t="shared" si="2"/>
        <v>0.66666666666666663</v>
      </c>
      <c r="AF4">
        <f t="shared" si="3"/>
        <v>1.5089163237311385E-2</v>
      </c>
      <c r="AG4">
        <f t="shared" si="4"/>
        <v>0.33333333333333331</v>
      </c>
      <c r="AH4">
        <f t="shared" si="5"/>
        <v>0.95473251028806583</v>
      </c>
      <c r="AI4">
        <f t="shared" si="6"/>
        <v>0</v>
      </c>
      <c r="AJ4">
        <f t="shared" si="7"/>
        <v>1</v>
      </c>
      <c r="AK4">
        <f t="shared" si="8"/>
        <v>0.12538310429949248</v>
      </c>
      <c r="AL4">
        <f t="shared" si="9"/>
        <v>0.13929160075066946</v>
      </c>
    </row>
    <row r="5" spans="1:38" x14ac:dyDescent="0.35">
      <c r="A5" t="s">
        <v>31</v>
      </c>
      <c r="B5" t="s">
        <v>66</v>
      </c>
      <c r="C5">
        <v>143</v>
      </c>
      <c r="D5">
        <v>11.2</v>
      </c>
      <c r="E5">
        <v>131.80000000000001</v>
      </c>
      <c r="F5">
        <v>0</v>
      </c>
      <c r="G5">
        <v>1072</v>
      </c>
      <c r="H5">
        <v>223</v>
      </c>
      <c r="I5">
        <v>849</v>
      </c>
      <c r="J5">
        <v>0</v>
      </c>
      <c r="K5">
        <v>3.975184466200266</v>
      </c>
      <c r="L5">
        <v>3.4360258824878329</v>
      </c>
      <c r="M5">
        <v>0.3113431190310697</v>
      </c>
      <c r="N5">
        <v>0.26911531387317289</v>
      </c>
      <c r="O5">
        <v>3.6638413471691962</v>
      </c>
      <c r="P5">
        <v>3.1669105686146599</v>
      </c>
      <c r="Q5">
        <v>0</v>
      </c>
      <c r="R5">
        <v>0</v>
      </c>
      <c r="S5">
        <v>29.79998425011668</v>
      </c>
      <c r="T5">
        <v>25.758180042146549</v>
      </c>
      <c r="U5">
        <v>6.1990638878507633</v>
      </c>
      <c r="V5">
        <v>5.3582781244390683</v>
      </c>
      <c r="W5">
        <v>23.600920362265921</v>
      </c>
      <c r="X5">
        <v>20.399901917707481</v>
      </c>
      <c r="Y5">
        <v>0</v>
      </c>
      <c r="Z5">
        <v>0</v>
      </c>
      <c r="AA5">
        <v>4161.7847155581303</v>
      </c>
      <c r="AB5">
        <v>3597.3173374942398</v>
      </c>
      <c r="AC5">
        <f t="shared" si="0"/>
        <v>0.1176954732510288</v>
      </c>
      <c r="AD5">
        <f t="shared" si="1"/>
        <v>0.10847736625514404</v>
      </c>
      <c r="AE5">
        <f t="shared" si="2"/>
        <v>0.92167832167832175</v>
      </c>
      <c r="AF5">
        <f t="shared" si="3"/>
        <v>9.2181069958847724E-3</v>
      </c>
      <c r="AG5">
        <f t="shared" si="4"/>
        <v>7.8321678321678315E-2</v>
      </c>
      <c r="AH5">
        <f t="shared" si="5"/>
        <v>0.8823045267489712</v>
      </c>
      <c r="AI5">
        <f t="shared" si="6"/>
        <v>0.2080223880597015</v>
      </c>
      <c r="AJ5">
        <f t="shared" si="7"/>
        <v>0.79197761194029848</v>
      </c>
      <c r="AK5">
        <f t="shared" si="8"/>
        <v>0.29194205924634387</v>
      </c>
      <c r="AL5">
        <f t="shared" si="9"/>
        <v>0.33775168716316939</v>
      </c>
    </row>
    <row r="6" spans="1:38" x14ac:dyDescent="0.35">
      <c r="A6" t="s">
        <v>32</v>
      </c>
      <c r="B6" t="s">
        <v>66</v>
      </c>
      <c r="C6">
        <v>22</v>
      </c>
      <c r="D6">
        <v>3.63</v>
      </c>
      <c r="E6">
        <v>18.37</v>
      </c>
      <c r="F6">
        <v>0</v>
      </c>
      <c r="G6">
        <v>591</v>
      </c>
      <c r="H6">
        <v>0</v>
      </c>
      <c r="I6">
        <v>591</v>
      </c>
      <c r="J6">
        <v>0</v>
      </c>
      <c r="K6">
        <v>1.14693390160691</v>
      </c>
      <c r="L6">
        <v>0.94111212635674024</v>
      </c>
      <c r="M6">
        <v>0.18924409376514009</v>
      </c>
      <c r="N6">
        <v>0.15528350084886211</v>
      </c>
      <c r="O6">
        <v>0.95768980784177005</v>
      </c>
      <c r="P6">
        <v>0.78582862550787813</v>
      </c>
      <c r="Q6">
        <v>0</v>
      </c>
      <c r="R6">
        <v>0</v>
      </c>
      <c r="S6">
        <v>30.810815265894721</v>
      </c>
      <c r="T6">
        <v>25.281693939856069</v>
      </c>
      <c r="U6">
        <v>0</v>
      </c>
      <c r="V6">
        <v>0</v>
      </c>
      <c r="W6">
        <v>30.810815265894721</v>
      </c>
      <c r="X6">
        <v>25.281693939856069</v>
      </c>
      <c r="Y6">
        <v>0</v>
      </c>
      <c r="Z6">
        <v>0</v>
      </c>
      <c r="AA6">
        <v>2337.6598158571201</v>
      </c>
      <c r="AB6">
        <v>1918.15761738117</v>
      </c>
      <c r="AC6">
        <f t="shared" si="0"/>
        <v>3.588907014681892E-2</v>
      </c>
      <c r="AD6">
        <f t="shared" si="1"/>
        <v>2.9967373572593804E-2</v>
      </c>
      <c r="AE6">
        <f t="shared" si="2"/>
        <v>0.83500000000000008</v>
      </c>
      <c r="AF6">
        <f t="shared" si="3"/>
        <v>5.921696574225122E-3</v>
      </c>
      <c r="AG6">
        <f t="shared" si="4"/>
        <v>0.16500000000000001</v>
      </c>
      <c r="AH6">
        <f t="shared" si="5"/>
        <v>0.96411092985318103</v>
      </c>
      <c r="AI6">
        <f t="shared" si="6"/>
        <v>0</v>
      </c>
      <c r="AJ6">
        <f t="shared" si="7"/>
        <v>1</v>
      </c>
      <c r="AK6">
        <f t="shared" si="8"/>
        <v>0.26222806066212806</v>
      </c>
      <c r="AL6">
        <f t="shared" si="9"/>
        <v>0.31957749167501631</v>
      </c>
    </row>
    <row r="7" spans="1:38" x14ac:dyDescent="0.35">
      <c r="A7" t="s">
        <v>33</v>
      </c>
      <c r="B7" t="s">
        <v>66</v>
      </c>
      <c r="C7">
        <v>497</v>
      </c>
      <c r="D7">
        <v>12.1906</v>
      </c>
      <c r="E7">
        <v>484.80939999999998</v>
      </c>
      <c r="F7">
        <v>0</v>
      </c>
      <c r="G7">
        <v>19</v>
      </c>
      <c r="H7">
        <v>0</v>
      </c>
      <c r="I7">
        <v>19</v>
      </c>
      <c r="J7">
        <v>0</v>
      </c>
      <c r="K7">
        <v>10.88877715515526</v>
      </c>
      <c r="L7">
        <v>9.3335923458114554</v>
      </c>
      <c r="M7">
        <v>0.26708395731918649</v>
      </c>
      <c r="N7">
        <v>0.22893780855301629</v>
      </c>
      <c r="O7">
        <v>10.62169319783607</v>
      </c>
      <c r="P7">
        <v>9.1046545372584404</v>
      </c>
      <c r="Q7">
        <v>0</v>
      </c>
      <c r="R7">
        <v>0</v>
      </c>
      <c r="S7">
        <v>0.41627115884899379</v>
      </c>
      <c r="T7">
        <v>0.35681741362257069</v>
      </c>
      <c r="U7">
        <v>0</v>
      </c>
      <c r="V7">
        <v>0</v>
      </c>
      <c r="W7">
        <v>0.41627115884899379</v>
      </c>
      <c r="X7">
        <v>0.35681741362257069</v>
      </c>
      <c r="Y7">
        <v>0</v>
      </c>
      <c r="Z7">
        <v>0</v>
      </c>
      <c r="AA7">
        <v>5324.8522282316499</v>
      </c>
      <c r="AB7">
        <v>4564.3325500944502</v>
      </c>
      <c r="AC7">
        <f t="shared" si="0"/>
        <v>0.96317829457364346</v>
      </c>
      <c r="AD7">
        <f t="shared" si="1"/>
        <v>0.93955310077519372</v>
      </c>
      <c r="AE7">
        <f t="shared" si="2"/>
        <v>0.97547162977867197</v>
      </c>
      <c r="AF7">
        <f t="shared" si="3"/>
        <v>2.3625193798449611E-2</v>
      </c>
      <c r="AG7">
        <f t="shared" si="4"/>
        <v>2.4528370221327967E-2</v>
      </c>
      <c r="AH7">
        <f t="shared" si="5"/>
        <v>3.6821705426356592E-2</v>
      </c>
      <c r="AI7">
        <f t="shared" si="6"/>
        <v>0</v>
      </c>
      <c r="AJ7">
        <f t="shared" si="7"/>
        <v>1</v>
      </c>
      <c r="AK7">
        <f t="shared" si="8"/>
        <v>9.6904097594340266E-2</v>
      </c>
      <c r="AL7">
        <f t="shared" si="9"/>
        <v>0.11305048314004254</v>
      </c>
    </row>
    <row r="8" spans="1:38" x14ac:dyDescent="0.35">
      <c r="A8" t="s">
        <v>34</v>
      </c>
      <c r="B8" t="s">
        <v>66</v>
      </c>
      <c r="C8">
        <v>24</v>
      </c>
      <c r="D8">
        <v>2.5</v>
      </c>
      <c r="E8">
        <v>21.5</v>
      </c>
      <c r="F8">
        <v>14</v>
      </c>
      <c r="G8">
        <v>215</v>
      </c>
      <c r="H8">
        <v>101</v>
      </c>
      <c r="I8">
        <v>114</v>
      </c>
      <c r="J8">
        <v>0</v>
      </c>
      <c r="K8">
        <v>1.465070020161209</v>
      </c>
      <c r="L8">
        <v>1.112894023274418</v>
      </c>
      <c r="M8">
        <v>0.15261146043345919</v>
      </c>
      <c r="N8">
        <v>0.1159264607577518</v>
      </c>
      <c r="O8">
        <v>1.3124585597277501</v>
      </c>
      <c r="P8">
        <v>0.99696756251666563</v>
      </c>
      <c r="Q8">
        <v>0.85462417842737204</v>
      </c>
      <c r="R8">
        <v>0.64918818024341018</v>
      </c>
      <c r="S8">
        <v>13.1245855972775</v>
      </c>
      <c r="T8">
        <v>9.9696756251666603</v>
      </c>
      <c r="U8">
        <v>6.1655030015117536</v>
      </c>
      <c r="V8">
        <v>4.6834290146131741</v>
      </c>
      <c r="W8">
        <v>6.9590825957657438</v>
      </c>
      <c r="X8">
        <v>5.2862466105534844</v>
      </c>
      <c r="Y8">
        <v>0</v>
      </c>
      <c r="Z8">
        <v>0</v>
      </c>
      <c r="AA8">
        <v>2156.5395714307001</v>
      </c>
      <c r="AB8">
        <v>1638.14696019506</v>
      </c>
      <c r="AC8">
        <f t="shared" si="0"/>
        <v>0.100418410041841</v>
      </c>
      <c r="AD8">
        <f t="shared" si="1"/>
        <v>8.9958158995815898E-2</v>
      </c>
      <c r="AE8">
        <f t="shared" si="2"/>
        <v>0.89583333333333337</v>
      </c>
      <c r="AF8">
        <f t="shared" si="3"/>
        <v>1.0460251046025104E-2</v>
      </c>
      <c r="AG8">
        <f t="shared" si="4"/>
        <v>0.10416666666666667</v>
      </c>
      <c r="AH8">
        <f t="shared" si="5"/>
        <v>0.89958158995815896</v>
      </c>
      <c r="AI8">
        <f t="shared" si="6"/>
        <v>0.4697674418604651</v>
      </c>
      <c r="AJ8">
        <f t="shared" si="7"/>
        <v>0.53023255813953485</v>
      </c>
      <c r="AK8">
        <f t="shared" si="8"/>
        <v>0.11082569648441075</v>
      </c>
      <c r="AL8">
        <f t="shared" si="9"/>
        <v>0.14589655617438707</v>
      </c>
    </row>
    <row r="9" spans="1:38" x14ac:dyDescent="0.35">
      <c r="A9" t="s">
        <v>35</v>
      </c>
      <c r="B9" t="s">
        <v>66</v>
      </c>
      <c r="C9">
        <v>14.892899999999999</v>
      </c>
      <c r="D9">
        <v>4.1786000000000003</v>
      </c>
      <c r="E9">
        <v>10.7143</v>
      </c>
      <c r="F9">
        <v>0</v>
      </c>
      <c r="G9">
        <v>175.61519999999999</v>
      </c>
      <c r="H9">
        <v>11</v>
      </c>
      <c r="I9">
        <v>164.61519999999999</v>
      </c>
      <c r="J9">
        <v>11.4316</v>
      </c>
      <c r="K9">
        <v>1.1249106429758049</v>
      </c>
      <c r="L9">
        <v>0.82898248866192525</v>
      </c>
      <c r="M9">
        <v>0.31562366045153722</v>
      </c>
      <c r="N9">
        <v>0.2325931300903599</v>
      </c>
      <c r="O9">
        <v>0.80928698252426767</v>
      </c>
      <c r="P9">
        <v>0.59638935857156539</v>
      </c>
      <c r="Q9">
        <v>0</v>
      </c>
      <c r="R9">
        <v>0</v>
      </c>
      <c r="S9">
        <v>13.264804540977551</v>
      </c>
      <c r="T9">
        <v>9.7752570381095527</v>
      </c>
      <c r="U9">
        <v>0.83086686090243378</v>
      </c>
      <c r="V9">
        <v>0.61229225841046264</v>
      </c>
      <c r="W9">
        <v>12.43393768007512</v>
      </c>
      <c r="X9">
        <v>9.1629647796990881</v>
      </c>
      <c r="Y9">
        <v>0.86346705519020561</v>
      </c>
      <c r="Z9">
        <v>0.63631638011318581</v>
      </c>
      <c r="AA9">
        <v>1796.5276955414199</v>
      </c>
      <c r="AB9">
        <v>1323.9184901480501</v>
      </c>
      <c r="AC9">
        <f t="shared" si="0"/>
        <v>7.8174628795311063E-2</v>
      </c>
      <c r="AD9">
        <f t="shared" si="1"/>
        <v>5.624065328455851E-2</v>
      </c>
      <c r="AE9">
        <f t="shared" si="2"/>
        <v>0.71942334938124886</v>
      </c>
      <c r="AF9">
        <f t="shared" si="3"/>
        <v>2.1933975510752563E-2</v>
      </c>
      <c r="AG9">
        <f t="shared" si="4"/>
        <v>0.28057665061875126</v>
      </c>
      <c r="AH9">
        <f t="shared" si="5"/>
        <v>0.92182537120468899</v>
      </c>
      <c r="AI9">
        <f t="shared" si="6"/>
        <v>6.2636947143527438E-2</v>
      </c>
      <c r="AJ9">
        <f t="shared" si="7"/>
        <v>0.93736305285647259</v>
      </c>
      <c r="AK9">
        <f t="shared" si="8"/>
        <v>0.10604239526771476</v>
      </c>
      <c r="AL9">
        <f t="shared" si="9"/>
        <v>0.14389715183953355</v>
      </c>
    </row>
    <row r="10" spans="1:38" x14ac:dyDescent="0.35">
      <c r="A10" t="s">
        <v>36</v>
      </c>
      <c r="B10" t="s">
        <v>66</v>
      </c>
      <c r="C10">
        <v>83.000000005000004</v>
      </c>
      <c r="D10">
        <v>6.384615385</v>
      </c>
      <c r="E10">
        <v>76.61538462</v>
      </c>
      <c r="F10">
        <v>0</v>
      </c>
      <c r="G10">
        <v>423</v>
      </c>
      <c r="H10">
        <v>423</v>
      </c>
      <c r="I10">
        <v>0</v>
      </c>
      <c r="J10">
        <v>0</v>
      </c>
      <c r="K10">
        <v>2.628755024499684</v>
      </c>
      <c r="L10">
        <v>2.8212212457603552</v>
      </c>
      <c r="M10">
        <v>0.20221192496151411</v>
      </c>
      <c r="N10">
        <v>0.2170170189046427</v>
      </c>
      <c r="O10">
        <v>2.4265430995381698</v>
      </c>
      <c r="P10">
        <v>2.6042042268557122</v>
      </c>
      <c r="Q10">
        <v>0</v>
      </c>
      <c r="R10">
        <v>0</v>
      </c>
      <c r="S10">
        <v>13.39714909995639</v>
      </c>
      <c r="T10">
        <v>14.37803116728602</v>
      </c>
      <c r="U10">
        <v>13.39714909995639</v>
      </c>
      <c r="V10">
        <v>14.37803116728602</v>
      </c>
      <c r="W10">
        <v>0</v>
      </c>
      <c r="X10">
        <v>0</v>
      </c>
      <c r="Y10">
        <v>0</v>
      </c>
      <c r="Z10">
        <v>0</v>
      </c>
      <c r="AA10">
        <v>2941.9883367789698</v>
      </c>
      <c r="AB10">
        <v>3157.38816403392</v>
      </c>
      <c r="AC10">
        <f t="shared" si="0"/>
        <v>0.16403162056162024</v>
      </c>
      <c r="AD10">
        <f t="shared" si="1"/>
        <v>0.15141380359534176</v>
      </c>
      <c r="AE10">
        <f t="shared" si="2"/>
        <v>0.92307692307692302</v>
      </c>
      <c r="AF10">
        <f t="shared" si="3"/>
        <v>1.261781696627848E-2</v>
      </c>
      <c r="AG10">
        <f t="shared" si="4"/>
        <v>7.6923076923076913E-2</v>
      </c>
      <c r="AH10">
        <f t="shared" si="5"/>
        <v>0.83596837943837976</v>
      </c>
      <c r="AI10">
        <f t="shared" si="6"/>
        <v>1</v>
      </c>
      <c r="AJ10">
        <f t="shared" si="7"/>
        <v>0</v>
      </c>
      <c r="AK10">
        <f t="shared" si="8"/>
        <v>0.17199252413046379</v>
      </c>
      <c r="AL10">
        <f t="shared" si="9"/>
        <v>0.16025904124456078</v>
      </c>
    </row>
    <row r="11" spans="1:38" x14ac:dyDescent="0.35">
      <c r="A11" t="s">
        <v>37</v>
      </c>
      <c r="B11" t="s">
        <v>66</v>
      </c>
      <c r="C11">
        <v>1395</v>
      </c>
      <c r="D11">
        <v>9.4499999999999993</v>
      </c>
      <c r="E11">
        <v>1385.55</v>
      </c>
      <c r="F11">
        <v>0</v>
      </c>
      <c r="G11">
        <v>510</v>
      </c>
      <c r="H11">
        <v>56</v>
      </c>
      <c r="I11">
        <v>454</v>
      </c>
      <c r="J11">
        <v>0</v>
      </c>
      <c r="K11">
        <v>6.9998581774039028</v>
      </c>
      <c r="L11">
        <v>6.9840045164241253</v>
      </c>
      <c r="M11">
        <v>4.7418394104994099E-2</v>
      </c>
      <c r="N11">
        <v>4.7310998337066597E-2</v>
      </c>
      <c r="O11">
        <v>6.9524397832989084</v>
      </c>
      <c r="P11">
        <v>6.9366935180870586</v>
      </c>
      <c r="Q11">
        <v>0</v>
      </c>
      <c r="R11">
        <v>0</v>
      </c>
      <c r="S11">
        <v>2.5590879358250822</v>
      </c>
      <c r="T11">
        <v>2.5532919737464539</v>
      </c>
      <c r="U11">
        <v>0.28099789099255812</v>
      </c>
      <c r="V11">
        <v>0.2803614716270616</v>
      </c>
      <c r="W11">
        <v>2.278090044832525</v>
      </c>
      <c r="X11">
        <v>2.2729305021193928</v>
      </c>
      <c r="Y11">
        <v>0</v>
      </c>
      <c r="Z11">
        <v>0</v>
      </c>
      <c r="AA11">
        <v>19974.2138871676</v>
      </c>
      <c r="AB11">
        <v>19928.975197</v>
      </c>
      <c r="AC11">
        <f t="shared" si="0"/>
        <v>0.73228346456692917</v>
      </c>
      <c r="AD11">
        <f t="shared" si="1"/>
        <v>0.72732283464566927</v>
      </c>
      <c r="AE11">
        <f t="shared" si="2"/>
        <v>0.99322580645161285</v>
      </c>
      <c r="AF11">
        <f t="shared" si="3"/>
        <v>4.9606299212598421E-3</v>
      </c>
      <c r="AG11">
        <f t="shared" si="4"/>
        <v>6.7741935483870966E-3</v>
      </c>
      <c r="AH11">
        <f t="shared" si="5"/>
        <v>0.26771653543307089</v>
      </c>
      <c r="AI11">
        <f t="shared" si="6"/>
        <v>0.10980392156862745</v>
      </c>
      <c r="AJ11">
        <f t="shared" si="7"/>
        <v>0.8901960784313725</v>
      </c>
      <c r="AK11">
        <f t="shared" si="8"/>
        <v>9.5372964901705798E-2</v>
      </c>
      <c r="AL11">
        <f t="shared" si="9"/>
        <v>9.558946113228986E-2</v>
      </c>
    </row>
    <row r="12" spans="1:38" x14ac:dyDescent="0.35">
      <c r="A12" t="s">
        <v>38</v>
      </c>
      <c r="B12" t="s">
        <v>66</v>
      </c>
      <c r="C12">
        <v>1.8620000000000001</v>
      </c>
      <c r="D12">
        <v>1.8620000000000001</v>
      </c>
      <c r="E12">
        <v>0</v>
      </c>
      <c r="F12">
        <v>0</v>
      </c>
      <c r="G12">
        <v>3.3</v>
      </c>
      <c r="H12">
        <v>3.3</v>
      </c>
      <c r="I12">
        <v>0</v>
      </c>
      <c r="J12">
        <v>0</v>
      </c>
      <c r="K12">
        <v>0.145565263565308</v>
      </c>
      <c r="L12">
        <v>7.81805165395449E-2</v>
      </c>
      <c r="M12">
        <v>0.145565263565308</v>
      </c>
      <c r="N12">
        <v>7.81805165395449E-2</v>
      </c>
      <c r="O12">
        <v>0</v>
      </c>
      <c r="P12">
        <v>0</v>
      </c>
      <c r="Q12">
        <v>0</v>
      </c>
      <c r="R12">
        <v>0</v>
      </c>
      <c r="S12">
        <v>0.2579835498203632</v>
      </c>
      <c r="T12">
        <v>0.1385583805480656</v>
      </c>
      <c r="U12">
        <v>0.2579835498203632</v>
      </c>
      <c r="V12">
        <v>0.1385583805480656</v>
      </c>
      <c r="W12">
        <v>0</v>
      </c>
      <c r="X12">
        <v>0</v>
      </c>
      <c r="Y12">
        <v>0</v>
      </c>
      <c r="Z12">
        <v>0</v>
      </c>
      <c r="AA12">
        <v>2381.6675591522499</v>
      </c>
      <c r="AB12">
        <v>1279.1513266244399</v>
      </c>
      <c r="AC12">
        <f t="shared" si="0"/>
        <v>0.36071290197597833</v>
      </c>
      <c r="AD12">
        <f t="shared" si="1"/>
        <v>0</v>
      </c>
      <c r="AE12">
        <f t="shared" si="2"/>
        <v>0</v>
      </c>
      <c r="AF12">
        <f t="shared" si="3"/>
        <v>0.36071290197597833</v>
      </c>
      <c r="AG12">
        <f t="shared" si="4"/>
        <v>1</v>
      </c>
      <c r="AH12">
        <f t="shared" si="5"/>
        <v>0.63928709802402173</v>
      </c>
      <c r="AI12">
        <f t="shared" si="6"/>
        <v>1</v>
      </c>
      <c r="AJ12">
        <f t="shared" si="7"/>
        <v>0</v>
      </c>
      <c r="AK12">
        <f t="shared" si="8"/>
        <v>2.1673889708761049E-3</v>
      </c>
      <c r="AL12">
        <f t="shared" si="9"/>
        <v>4.0354881338567133E-3</v>
      </c>
    </row>
    <row r="13" spans="1:38" x14ac:dyDescent="0.35">
      <c r="A13" t="s">
        <v>39</v>
      </c>
      <c r="B13" t="s">
        <v>66</v>
      </c>
      <c r="C13">
        <v>0</v>
      </c>
      <c r="D13">
        <v>0</v>
      </c>
      <c r="E13">
        <v>0</v>
      </c>
      <c r="F13">
        <v>0</v>
      </c>
      <c r="G13">
        <v>3.8</v>
      </c>
      <c r="H13">
        <v>0</v>
      </c>
      <c r="I13">
        <v>3.8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0.38112295919650652</v>
      </c>
      <c r="T13">
        <v>0.16282573564584751</v>
      </c>
      <c r="U13">
        <v>0</v>
      </c>
      <c r="V13">
        <v>0</v>
      </c>
      <c r="W13">
        <v>0.38112295919650652</v>
      </c>
      <c r="X13">
        <v>0.16282573564584751</v>
      </c>
      <c r="Y13">
        <v>0</v>
      </c>
      <c r="Z13">
        <v>0</v>
      </c>
      <c r="AA13">
        <v>2333.7834064911899</v>
      </c>
      <c r="AB13">
        <v>997.05355143423003</v>
      </c>
      <c r="AC13">
        <f t="shared" si="0"/>
        <v>0</v>
      </c>
      <c r="AD13">
        <f t="shared" si="1"/>
        <v>0</v>
      </c>
      <c r="AE13">
        <v>0</v>
      </c>
      <c r="AF13">
        <f t="shared" si="3"/>
        <v>0</v>
      </c>
      <c r="AG13">
        <v>0</v>
      </c>
      <c r="AH13">
        <f t="shared" si="5"/>
        <v>1</v>
      </c>
      <c r="AI13">
        <f t="shared" si="6"/>
        <v>0</v>
      </c>
      <c r="AJ13">
        <f t="shared" si="7"/>
        <v>1</v>
      </c>
      <c r="AK13">
        <f t="shared" si="8"/>
        <v>1.6282573564584751E-3</v>
      </c>
      <c r="AL13">
        <f t="shared" si="9"/>
        <v>3.8112295919650653E-3</v>
      </c>
    </row>
    <row r="14" spans="1:38" x14ac:dyDescent="0.35">
      <c r="A14" t="s">
        <v>40</v>
      </c>
      <c r="B14" t="s">
        <v>66</v>
      </c>
      <c r="C14">
        <v>31.764700000000001</v>
      </c>
      <c r="D14">
        <v>0</v>
      </c>
      <c r="E14">
        <v>31.764700000000001</v>
      </c>
      <c r="F14">
        <v>0</v>
      </c>
      <c r="G14">
        <v>0</v>
      </c>
      <c r="H14">
        <v>0</v>
      </c>
      <c r="I14">
        <v>0</v>
      </c>
      <c r="J14">
        <v>0</v>
      </c>
      <c r="K14">
        <v>7.6735681329126031</v>
      </c>
      <c r="L14">
        <v>6.7786506242927107</v>
      </c>
      <c r="M14">
        <v>0</v>
      </c>
      <c r="N14">
        <v>0</v>
      </c>
      <c r="O14">
        <v>7.6735681329126031</v>
      </c>
      <c r="P14">
        <v>6.7786506242927107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468.59916169988998</v>
      </c>
      <c r="AB14">
        <v>413.94954015926999</v>
      </c>
      <c r="AC14">
        <f t="shared" si="0"/>
        <v>1</v>
      </c>
      <c r="AD14">
        <f>(E14/(C14+G14))</f>
        <v>1</v>
      </c>
      <c r="AE14">
        <f t="shared" si="2"/>
        <v>1</v>
      </c>
      <c r="AF14">
        <f t="shared" si="3"/>
        <v>0</v>
      </c>
      <c r="AG14">
        <f t="shared" si="4"/>
        <v>0</v>
      </c>
      <c r="AH14">
        <f t="shared" si="5"/>
        <v>0</v>
      </c>
      <c r="AI14">
        <v>0</v>
      </c>
      <c r="AJ14">
        <v>0</v>
      </c>
      <c r="AK14">
        <f t="shared" si="8"/>
        <v>6.7786506242927105E-2</v>
      </c>
      <c r="AL14">
        <f t="shared" si="9"/>
        <v>7.6735681329126032E-2</v>
      </c>
    </row>
    <row r="15" spans="1:38" x14ac:dyDescent="0.35">
      <c r="A15" t="s">
        <v>41</v>
      </c>
      <c r="B15" t="s">
        <v>66</v>
      </c>
      <c r="C15">
        <v>0</v>
      </c>
      <c r="D15">
        <v>0</v>
      </c>
      <c r="E15">
        <v>0</v>
      </c>
      <c r="F15">
        <v>0</v>
      </c>
      <c r="G15">
        <v>54</v>
      </c>
      <c r="H15">
        <v>0</v>
      </c>
      <c r="I15">
        <v>54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10.90562054178165</v>
      </c>
      <c r="T15">
        <v>9.7240885633744618</v>
      </c>
      <c r="U15">
        <v>0</v>
      </c>
      <c r="V15">
        <v>0</v>
      </c>
      <c r="W15">
        <v>10.90562054178165</v>
      </c>
      <c r="X15">
        <v>9.7240885633744618</v>
      </c>
      <c r="Y15">
        <v>0</v>
      </c>
      <c r="Z15">
        <v>0</v>
      </c>
      <c r="AA15">
        <v>555.32196820367994</v>
      </c>
      <c r="AB15">
        <v>495.15751802582002</v>
      </c>
      <c r="AC15">
        <f t="shared" si="0"/>
        <v>0</v>
      </c>
      <c r="AD15">
        <f t="shared" si="1"/>
        <v>0</v>
      </c>
      <c r="AE15">
        <v>0</v>
      </c>
      <c r="AF15">
        <f t="shared" si="3"/>
        <v>0</v>
      </c>
      <c r="AG15">
        <v>0</v>
      </c>
      <c r="AH15">
        <f t="shared" si="5"/>
        <v>1</v>
      </c>
      <c r="AI15">
        <f t="shared" si="6"/>
        <v>0</v>
      </c>
      <c r="AJ15">
        <f t="shared" si="7"/>
        <v>1</v>
      </c>
      <c r="AK15">
        <f t="shared" si="8"/>
        <v>9.7240885633744611E-2</v>
      </c>
      <c r="AL15">
        <f t="shared" si="9"/>
        <v>0.10905620541781649</v>
      </c>
    </row>
    <row r="16" spans="1:38" x14ac:dyDescent="0.35">
      <c r="A16" t="s">
        <v>42</v>
      </c>
      <c r="B16" t="s">
        <v>66</v>
      </c>
      <c r="C16">
        <v>9.0751215444483115</v>
      </c>
      <c r="D16">
        <v>2.2540984E-2</v>
      </c>
      <c r="E16">
        <v>9.0525805604483107</v>
      </c>
      <c r="F16">
        <v>0</v>
      </c>
      <c r="G16">
        <v>21.104230256601589</v>
      </c>
      <c r="H16">
        <v>0.80696442599999996</v>
      </c>
      <c r="I16">
        <v>20.297265830601589</v>
      </c>
      <c r="J16">
        <v>0</v>
      </c>
      <c r="K16">
        <v>4.2084524748499499</v>
      </c>
      <c r="L16">
        <v>2.227592870663416</v>
      </c>
      <c r="M16">
        <v>1.04530456628853E-2</v>
      </c>
      <c r="N16">
        <v>5.5329435545527E-3</v>
      </c>
      <c r="O16">
        <v>4.1979994291870648</v>
      </c>
      <c r="P16">
        <v>2.2220599271088641</v>
      </c>
      <c r="Q16">
        <v>0</v>
      </c>
      <c r="R16">
        <v>0</v>
      </c>
      <c r="S16">
        <v>9.7867725096785403</v>
      </c>
      <c r="T16">
        <v>5.1802758376502558</v>
      </c>
      <c r="U16">
        <v>0.37421773571651062</v>
      </c>
      <c r="V16">
        <v>0.19807869166625841</v>
      </c>
      <c r="W16">
        <v>9.4125547739620288</v>
      </c>
      <c r="X16">
        <v>4.9821971459839984</v>
      </c>
      <c r="Y16">
        <v>0</v>
      </c>
      <c r="Z16">
        <v>0</v>
      </c>
      <c r="AA16">
        <v>407.39587848230002</v>
      </c>
      <c r="AB16">
        <v>215.64034757863999</v>
      </c>
      <c r="AC16">
        <f t="shared" si="0"/>
        <v>0.30070631086690869</v>
      </c>
      <c r="AD16">
        <f t="shared" si="1"/>
        <v>0.29995941000076032</v>
      </c>
      <c r="AE16">
        <f t="shared" si="2"/>
        <v>0.99751617828041206</v>
      </c>
      <c r="AF16">
        <f t="shared" si="3"/>
        <v>7.4690086614835204E-4</v>
      </c>
      <c r="AG16">
        <f t="shared" si="4"/>
        <v>2.4838217195878114E-3</v>
      </c>
      <c r="AH16">
        <f t="shared" si="5"/>
        <v>0.69929368913309131</v>
      </c>
      <c r="AI16">
        <f t="shared" si="6"/>
        <v>3.8237093520507547E-2</v>
      </c>
      <c r="AJ16">
        <f t="shared" si="7"/>
        <v>0.96176290647949247</v>
      </c>
      <c r="AK16">
        <f t="shared" si="8"/>
        <v>7.4078687083136738E-2</v>
      </c>
      <c r="AL16">
        <f t="shared" si="9"/>
        <v>0.1399522498452849</v>
      </c>
    </row>
    <row r="17" spans="1:38" x14ac:dyDescent="0.35">
      <c r="A17" t="s">
        <v>43</v>
      </c>
      <c r="B17" t="s">
        <v>66</v>
      </c>
      <c r="C17">
        <v>9</v>
      </c>
      <c r="D17">
        <v>0</v>
      </c>
      <c r="E17">
        <v>9</v>
      </c>
      <c r="F17">
        <v>0</v>
      </c>
      <c r="G17">
        <v>9.6999999999999993</v>
      </c>
      <c r="H17">
        <v>0</v>
      </c>
      <c r="I17">
        <v>9.6999999999999993</v>
      </c>
      <c r="J17">
        <v>0</v>
      </c>
      <c r="K17">
        <v>2.7059324055091158</v>
      </c>
      <c r="L17">
        <v>2.8932995220407598</v>
      </c>
      <c r="M17">
        <v>0</v>
      </c>
      <c r="N17">
        <v>0</v>
      </c>
      <c r="O17">
        <v>2.7059324055091158</v>
      </c>
      <c r="P17">
        <v>2.8932995220407598</v>
      </c>
      <c r="Q17">
        <v>0</v>
      </c>
      <c r="R17">
        <v>0</v>
      </c>
      <c r="S17">
        <v>2.9163938148264918</v>
      </c>
      <c r="T17">
        <v>3.1183339293105958</v>
      </c>
      <c r="U17">
        <v>0</v>
      </c>
      <c r="V17">
        <v>0</v>
      </c>
      <c r="W17">
        <v>2.9163938148264918</v>
      </c>
      <c r="X17">
        <v>3.1183339293105958</v>
      </c>
      <c r="Y17">
        <v>0</v>
      </c>
      <c r="Z17">
        <v>0</v>
      </c>
      <c r="AA17">
        <v>311.06354290107998</v>
      </c>
      <c r="AB17">
        <v>332.60254327404999</v>
      </c>
      <c r="AC17">
        <f t="shared" si="0"/>
        <v>0.48128342245989308</v>
      </c>
      <c r="AD17">
        <f t="shared" si="1"/>
        <v>0.48128342245989308</v>
      </c>
      <c r="AE17">
        <f t="shared" si="2"/>
        <v>1</v>
      </c>
      <c r="AF17">
        <f t="shared" si="3"/>
        <v>0</v>
      </c>
      <c r="AG17">
        <f t="shared" si="4"/>
        <v>0</v>
      </c>
      <c r="AH17">
        <f t="shared" si="5"/>
        <v>0.51871657754010692</v>
      </c>
      <c r="AI17">
        <f t="shared" si="6"/>
        <v>0</v>
      </c>
      <c r="AJ17">
        <f t="shared" si="7"/>
        <v>1</v>
      </c>
      <c r="AK17">
        <f t="shared" si="8"/>
        <v>6.0116334513513559E-2</v>
      </c>
      <c r="AL17">
        <f t="shared" si="9"/>
        <v>5.6223262203356078E-2</v>
      </c>
    </row>
    <row r="18" spans="1:38" x14ac:dyDescent="0.35">
      <c r="A18" t="s">
        <v>44</v>
      </c>
      <c r="B18" t="s">
        <v>66</v>
      </c>
      <c r="C18">
        <v>0</v>
      </c>
      <c r="D18">
        <v>0</v>
      </c>
      <c r="E18">
        <v>0</v>
      </c>
      <c r="F18">
        <v>0</v>
      </c>
      <c r="G18">
        <v>0.34351350790000001</v>
      </c>
      <c r="H18">
        <v>0.166216216</v>
      </c>
      <c r="I18">
        <v>0.17729729189999999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1.2772080118792739</v>
      </c>
      <c r="T18">
        <v>0.74820679582493232</v>
      </c>
      <c r="U18">
        <v>0.61800388601095835</v>
      </c>
      <c r="V18">
        <v>0.36203555181215291</v>
      </c>
      <c r="W18">
        <v>0.659204125868316</v>
      </c>
      <c r="X18">
        <v>0.38617124401277941</v>
      </c>
      <c r="Y18">
        <v>0</v>
      </c>
      <c r="Z18">
        <v>0</v>
      </c>
      <c r="AA18">
        <v>45.911572818750003</v>
      </c>
      <c r="AB18">
        <v>26.895658710639999</v>
      </c>
      <c r="AC18">
        <f t="shared" si="0"/>
        <v>0</v>
      </c>
      <c r="AD18">
        <f t="shared" si="1"/>
        <v>0</v>
      </c>
      <c r="AE18">
        <v>0</v>
      </c>
      <c r="AF18">
        <f t="shared" si="3"/>
        <v>0</v>
      </c>
      <c r="AG18">
        <v>0</v>
      </c>
      <c r="AH18">
        <f t="shared" si="5"/>
        <v>1</v>
      </c>
      <c r="AI18">
        <f t="shared" si="6"/>
        <v>0.48387097501966964</v>
      </c>
      <c r="AJ18">
        <f t="shared" si="7"/>
        <v>0.51612902498033031</v>
      </c>
      <c r="AK18">
        <f t="shared" si="8"/>
        <v>7.4820679582493247E-3</v>
      </c>
      <c r="AL18">
        <f t="shared" si="9"/>
        <v>1.2772080118792743E-2</v>
      </c>
    </row>
    <row r="19" spans="1:38" x14ac:dyDescent="0.35">
      <c r="A19" t="s">
        <v>45</v>
      </c>
      <c r="B19" t="s">
        <v>66</v>
      </c>
      <c r="C19">
        <v>4.352352529</v>
      </c>
      <c r="D19">
        <v>2.8823529000000001E-2</v>
      </c>
      <c r="E19">
        <v>4.3235289999999997</v>
      </c>
      <c r="F19">
        <v>4.5</v>
      </c>
      <c r="G19">
        <v>13.1</v>
      </c>
      <c r="H19">
        <v>1.1000000000000001</v>
      </c>
      <c r="I19">
        <v>12</v>
      </c>
      <c r="J19">
        <v>0</v>
      </c>
      <c r="K19">
        <v>1.7085190625524529</v>
      </c>
      <c r="L19">
        <v>1.7140488294221521</v>
      </c>
      <c r="M19">
        <v>1.1314696688378799E-2</v>
      </c>
      <c r="N19">
        <v>1.1351317663970699E-2</v>
      </c>
      <c r="O19">
        <v>1.6972043658640741</v>
      </c>
      <c r="P19">
        <v>1.7026975117581811</v>
      </c>
      <c r="Q19">
        <v>1.766478181686381</v>
      </c>
      <c r="R19">
        <v>1.772195538161492</v>
      </c>
      <c r="S19">
        <v>5.1424142622425748</v>
      </c>
      <c r="T19">
        <v>5.1590581222034544</v>
      </c>
      <c r="U19">
        <v>0.43180577774555973</v>
      </c>
      <c r="V19">
        <v>0.43320335377280911</v>
      </c>
      <c r="W19">
        <v>4.7106084844970146</v>
      </c>
      <c r="X19">
        <v>4.7258547684306453</v>
      </c>
      <c r="Y19">
        <v>0</v>
      </c>
      <c r="Z19">
        <v>0</v>
      </c>
      <c r="AA19">
        <v>253.92231856471</v>
      </c>
      <c r="AB19">
        <v>254.7441596875</v>
      </c>
      <c r="AC19">
        <f t="shared" si="0"/>
        <v>0.24938486211345084</v>
      </c>
      <c r="AD19">
        <f t="shared" si="1"/>
        <v>0.24773330660240411</v>
      </c>
      <c r="AE19">
        <f t="shared" si="2"/>
        <v>0.99337748291115036</v>
      </c>
      <c r="AF19">
        <f t="shared" si="3"/>
        <v>1.6515555110467137E-3</v>
      </c>
      <c r="AG19">
        <f t="shared" si="4"/>
        <v>6.6225170888495367E-3</v>
      </c>
      <c r="AH19">
        <f t="shared" si="5"/>
        <v>0.75061513788654921</v>
      </c>
      <c r="AI19">
        <f t="shared" si="6"/>
        <v>8.3969465648854977E-2</v>
      </c>
      <c r="AJ19">
        <f t="shared" si="7"/>
        <v>0.91603053435114501</v>
      </c>
      <c r="AK19">
        <f t="shared" si="8"/>
        <v>6.8731069516256058E-2</v>
      </c>
      <c r="AL19">
        <f t="shared" si="9"/>
        <v>6.8509333247950277E-2</v>
      </c>
    </row>
    <row r="20" spans="1:38" x14ac:dyDescent="0.35">
      <c r="A20" t="s">
        <v>46</v>
      </c>
      <c r="B20" t="s">
        <v>66</v>
      </c>
      <c r="C20">
        <v>6.3664610000000001</v>
      </c>
      <c r="D20">
        <v>5.4100000000000003E-4</v>
      </c>
      <c r="E20">
        <v>6.36592</v>
      </c>
      <c r="F20">
        <v>0</v>
      </c>
      <c r="G20">
        <v>2.2164000000000001</v>
      </c>
      <c r="H20">
        <v>1.1082000000000001</v>
      </c>
      <c r="I20">
        <v>1.1082000000000001</v>
      </c>
      <c r="J20">
        <v>0</v>
      </c>
      <c r="K20">
        <v>3.1222987126848292</v>
      </c>
      <c r="L20">
        <v>2.1112823412204822</v>
      </c>
      <c r="M20">
        <v>2.6532222588999997E-4</v>
      </c>
      <c r="N20">
        <v>1.794095254176E-4</v>
      </c>
      <c r="O20">
        <v>3.122033390458939</v>
      </c>
      <c r="P20">
        <v>2.1111029316950649</v>
      </c>
      <c r="Q20">
        <v>0</v>
      </c>
      <c r="R20">
        <v>0</v>
      </c>
      <c r="S20">
        <v>1.086987396419244</v>
      </c>
      <c r="T20">
        <v>0.73501529045431646</v>
      </c>
      <c r="U20">
        <v>0.5434936982096219</v>
      </c>
      <c r="V20">
        <v>0.36750764522715818</v>
      </c>
      <c r="W20">
        <v>0.5434936982096219</v>
      </c>
      <c r="X20">
        <v>0.36750764522715818</v>
      </c>
      <c r="Y20">
        <v>0</v>
      </c>
      <c r="Z20">
        <v>0</v>
      </c>
      <c r="AA20">
        <v>301.54474727050001</v>
      </c>
      <c r="AB20">
        <v>203.90300819506001</v>
      </c>
      <c r="AC20">
        <f t="shared" si="0"/>
        <v>0.74176443029894101</v>
      </c>
      <c r="AD20">
        <f t="shared" si="1"/>
        <v>0.74170139770409882</v>
      </c>
      <c r="AE20">
        <f t="shared" si="2"/>
        <v>0.99991502343295591</v>
      </c>
      <c r="AF20">
        <f t="shared" si="3"/>
        <v>6.3032594842209373E-5</v>
      </c>
      <c r="AG20">
        <f t="shared" si="4"/>
        <v>8.4976567044076767E-5</v>
      </c>
      <c r="AH20">
        <f t="shared" si="5"/>
        <v>0.25823556970105888</v>
      </c>
      <c r="AI20">
        <f t="shared" si="6"/>
        <v>0.5</v>
      </c>
      <c r="AJ20">
        <f t="shared" si="7"/>
        <v>0.5</v>
      </c>
      <c r="AK20">
        <f t="shared" si="8"/>
        <v>2.8462976316747993E-2</v>
      </c>
      <c r="AL20">
        <f t="shared" si="9"/>
        <v>4.2092861091040733E-2</v>
      </c>
    </row>
    <row r="21" spans="1:38" x14ac:dyDescent="0.35">
      <c r="A21" t="s">
        <v>47</v>
      </c>
      <c r="B21" t="s">
        <v>66</v>
      </c>
      <c r="C21">
        <v>0.88253820443329634</v>
      </c>
      <c r="D21">
        <v>2.1328006607137899E-2</v>
      </c>
      <c r="E21">
        <v>0.86121019782615837</v>
      </c>
      <c r="F21">
        <v>0</v>
      </c>
      <c r="G21">
        <v>0.91931062961801724</v>
      </c>
      <c r="H21">
        <v>0</v>
      </c>
      <c r="I21">
        <v>0.91931062961801724</v>
      </c>
      <c r="J21">
        <v>0</v>
      </c>
      <c r="K21">
        <v>4.2572996227017779</v>
      </c>
      <c r="L21">
        <v>4.6280958337256317</v>
      </c>
      <c r="M21">
        <v>0.1028847408819596</v>
      </c>
      <c r="N21">
        <v>0.1118456493150361</v>
      </c>
      <c r="O21">
        <v>4.1544148818198181</v>
      </c>
      <c r="P21">
        <v>4.5162501844105956</v>
      </c>
      <c r="Q21">
        <v>0</v>
      </c>
      <c r="R21">
        <v>0</v>
      </c>
      <c r="S21">
        <v>4.434687106981019</v>
      </c>
      <c r="T21">
        <v>4.8209331601308669</v>
      </c>
      <c r="U21">
        <v>0</v>
      </c>
      <c r="V21">
        <v>0</v>
      </c>
      <c r="W21">
        <v>4.434687106981019</v>
      </c>
      <c r="X21">
        <v>4.8209331601308669</v>
      </c>
      <c r="Y21">
        <v>0</v>
      </c>
      <c r="Z21">
        <v>0</v>
      </c>
      <c r="AA21">
        <v>19.06914282116</v>
      </c>
      <c r="AB21">
        <v>20.729999827290001</v>
      </c>
      <c r="AC21">
        <f t="shared" si="0"/>
        <v>0.48979591836734693</v>
      </c>
      <c r="AD21">
        <f t="shared" si="1"/>
        <v>0.4779591836734694</v>
      </c>
      <c r="AE21">
        <f t="shared" si="2"/>
        <v>0.97583333333333333</v>
      </c>
      <c r="AF21">
        <f t="shared" si="3"/>
        <v>1.1836734693877497E-2</v>
      </c>
      <c r="AG21">
        <f t="shared" si="4"/>
        <v>2.4166666666666559E-2</v>
      </c>
      <c r="AH21">
        <f t="shared" si="5"/>
        <v>0.51020408163265318</v>
      </c>
      <c r="AI21">
        <f t="shared" si="6"/>
        <v>0</v>
      </c>
      <c r="AJ21">
        <f t="shared" si="7"/>
        <v>1</v>
      </c>
      <c r="AK21">
        <f t="shared" si="8"/>
        <v>9.4490289938564981E-2</v>
      </c>
      <c r="AL21">
        <f t="shared" si="9"/>
        <v>8.6919867296827963E-2</v>
      </c>
    </row>
    <row r="22" spans="1:38" x14ac:dyDescent="0.35">
      <c r="A22" t="s">
        <v>48</v>
      </c>
      <c r="B22" t="s">
        <v>66</v>
      </c>
      <c r="C22">
        <v>23.4348086526857</v>
      </c>
      <c r="D22">
        <v>2.2863227953839709</v>
      </c>
      <c r="E22">
        <v>21.148485857301729</v>
      </c>
      <c r="F22">
        <v>2.857903494229963</v>
      </c>
      <c r="G22">
        <v>6.8589683861519131</v>
      </c>
      <c r="H22">
        <v>4.5726455907679417</v>
      </c>
      <c r="I22">
        <v>2.2863227953839709</v>
      </c>
      <c r="J22">
        <v>0</v>
      </c>
      <c r="K22">
        <v>6.308725700048833</v>
      </c>
      <c r="L22">
        <v>5.6078791341391749</v>
      </c>
      <c r="M22">
        <v>0.61548543415110557</v>
      </c>
      <c r="N22">
        <v>0.54711015942821217</v>
      </c>
      <c r="O22">
        <v>5.6932402658977272</v>
      </c>
      <c r="P22">
        <v>5.060768974710963</v>
      </c>
      <c r="Q22">
        <v>0.76935679268888202</v>
      </c>
      <c r="R22">
        <v>0.68388769928526516</v>
      </c>
      <c r="S22">
        <v>1.8464563024533169</v>
      </c>
      <c r="T22">
        <v>1.6413304782846361</v>
      </c>
      <c r="U22">
        <v>1.2309708683022109</v>
      </c>
      <c r="V22">
        <v>1.0942203188564239</v>
      </c>
      <c r="W22">
        <v>0.61548543415110557</v>
      </c>
      <c r="X22">
        <v>0.54711015942821217</v>
      </c>
      <c r="Y22">
        <v>0</v>
      </c>
      <c r="Z22">
        <v>0</v>
      </c>
      <c r="AA22">
        <v>417.89075855828003</v>
      </c>
      <c r="AB22">
        <v>371.46659669328</v>
      </c>
      <c r="AC22">
        <f t="shared" si="0"/>
        <v>0.77358490566037741</v>
      </c>
      <c r="AD22">
        <f t="shared" si="1"/>
        <v>0.69811320754716988</v>
      </c>
      <c r="AE22">
        <f t="shared" si="2"/>
        <v>0.90243902439024393</v>
      </c>
      <c r="AF22">
        <f t="shared" si="3"/>
        <v>7.5471698113207558E-2</v>
      </c>
      <c r="AG22">
        <f t="shared" si="4"/>
        <v>9.7560975609756101E-2</v>
      </c>
      <c r="AH22">
        <f t="shared" si="5"/>
        <v>0.22641509433962267</v>
      </c>
      <c r="AI22">
        <f t="shared" si="6"/>
        <v>0.66666666666666663</v>
      </c>
      <c r="AJ22">
        <f t="shared" si="7"/>
        <v>0.33333333333333331</v>
      </c>
      <c r="AK22">
        <f t="shared" si="8"/>
        <v>7.2492096124238098E-2</v>
      </c>
      <c r="AL22">
        <f t="shared" si="9"/>
        <v>8.1551820025021482E-2</v>
      </c>
    </row>
    <row r="23" spans="1:38" x14ac:dyDescent="0.35">
      <c r="A23" t="s">
        <v>49</v>
      </c>
      <c r="B23" t="s">
        <v>66</v>
      </c>
      <c r="C23">
        <v>25.918306382883841</v>
      </c>
      <c r="D23">
        <v>4.0163261841927023</v>
      </c>
      <c r="E23">
        <v>21.901980198691131</v>
      </c>
      <c r="F23">
        <v>2.0803991745458599</v>
      </c>
      <c r="G23">
        <v>11.15325113020419</v>
      </c>
      <c r="H23">
        <v>0.9535162883335192</v>
      </c>
      <c r="I23">
        <v>10.19973484187067</v>
      </c>
      <c r="J23">
        <v>0</v>
      </c>
      <c r="K23">
        <v>7.2304547534162724</v>
      </c>
      <c r="L23">
        <v>7.5696715765084619</v>
      </c>
      <c r="M23">
        <v>1.120438362012109</v>
      </c>
      <c r="N23">
        <v>1.173003733706439</v>
      </c>
      <c r="O23">
        <v>6.1100163914041632</v>
      </c>
      <c r="P23">
        <v>6.3966678428020227</v>
      </c>
      <c r="Q23">
        <v>0.5803709501069918</v>
      </c>
      <c r="R23">
        <v>0.60759905630837163</v>
      </c>
      <c r="S23">
        <v>3.1114331491847049</v>
      </c>
      <c r="T23">
        <v>3.257406051875436</v>
      </c>
      <c r="U23">
        <v>0.2660033521323712</v>
      </c>
      <c r="V23">
        <v>0.27848290080800359</v>
      </c>
      <c r="W23">
        <v>2.8454297970523341</v>
      </c>
      <c r="X23">
        <v>2.9789231510674319</v>
      </c>
      <c r="Y23">
        <v>0</v>
      </c>
      <c r="Z23">
        <v>0</v>
      </c>
      <c r="AA23">
        <v>342.39670930134002</v>
      </c>
      <c r="AB23">
        <v>358.46025273358998</v>
      </c>
      <c r="AC23">
        <f t="shared" si="0"/>
        <v>0.69914263445050673</v>
      </c>
      <c r="AD23">
        <f t="shared" si="1"/>
        <v>0.59080280592361634</v>
      </c>
      <c r="AE23">
        <f t="shared" si="2"/>
        <v>0.84503901895206213</v>
      </c>
      <c r="AF23">
        <f t="shared" si="3"/>
        <v>0.10833982852689011</v>
      </c>
      <c r="AG23">
        <f t="shared" si="4"/>
        <v>0.15496098104793757</v>
      </c>
      <c r="AH23">
        <f t="shared" si="5"/>
        <v>0.30085736554949327</v>
      </c>
      <c r="AI23">
        <f t="shared" si="6"/>
        <v>8.5492227979274651E-2</v>
      </c>
      <c r="AJ23">
        <f t="shared" si="7"/>
        <v>0.91450777202072531</v>
      </c>
      <c r="AK23">
        <f t="shared" si="8"/>
        <v>0.10827077628383897</v>
      </c>
      <c r="AL23">
        <f t="shared" si="9"/>
        <v>0.10341887902600977</v>
      </c>
    </row>
    <row r="24" spans="1:38" x14ac:dyDescent="0.35">
      <c r="A24" t="s">
        <v>50</v>
      </c>
      <c r="B24" t="s">
        <v>66</v>
      </c>
      <c r="C24">
        <v>2.641211834610071</v>
      </c>
      <c r="D24">
        <v>0.2311060355223796</v>
      </c>
      <c r="E24">
        <v>2.4101057990876908</v>
      </c>
      <c r="F24">
        <v>0</v>
      </c>
      <c r="G24">
        <v>1.048561098329887</v>
      </c>
      <c r="H24">
        <v>0.2311060355223796</v>
      </c>
      <c r="I24">
        <v>0.81745506280750724</v>
      </c>
      <c r="J24">
        <v>0</v>
      </c>
      <c r="K24">
        <v>8.7573111594010662</v>
      </c>
      <c r="L24">
        <v>4.7655871856594887</v>
      </c>
      <c r="M24">
        <v>0.76626472642769428</v>
      </c>
      <c r="N24">
        <v>0.41698887873437651</v>
      </c>
      <c r="O24">
        <v>7.9910464329733726</v>
      </c>
      <c r="P24">
        <v>4.348598306925112</v>
      </c>
      <c r="Q24">
        <v>0</v>
      </c>
      <c r="R24">
        <v>0</v>
      </c>
      <c r="S24">
        <v>3.4766525302480362</v>
      </c>
      <c r="T24">
        <v>1.891938112688212</v>
      </c>
      <c r="U24">
        <v>0.76626472642769428</v>
      </c>
      <c r="V24">
        <v>0.41698887873437651</v>
      </c>
      <c r="W24">
        <v>2.7103878038203408</v>
      </c>
      <c r="X24">
        <v>1.4749492339538359</v>
      </c>
      <c r="Y24">
        <v>0</v>
      </c>
      <c r="Z24">
        <v>0</v>
      </c>
      <c r="AA24">
        <v>55.422589739999999</v>
      </c>
      <c r="AB24">
        <v>30.160077523049999</v>
      </c>
      <c r="AC24">
        <f t="shared" si="0"/>
        <v>0.71581961345940914</v>
      </c>
      <c r="AD24">
        <f t="shared" si="1"/>
        <v>0.65318539728333724</v>
      </c>
      <c r="AE24">
        <f t="shared" si="2"/>
        <v>0.91250000000227205</v>
      </c>
      <c r="AF24">
        <f t="shared" si="3"/>
        <v>6.2634216176071747E-2</v>
      </c>
      <c r="AG24">
        <f t="shared" si="4"/>
        <v>8.7499999997727701E-2</v>
      </c>
      <c r="AH24">
        <f t="shared" si="5"/>
        <v>0.28418038654059091</v>
      </c>
      <c r="AI24">
        <f t="shared" si="6"/>
        <v>0.22040302266646888</v>
      </c>
      <c r="AJ24">
        <f t="shared" si="7"/>
        <v>0.77959697733353095</v>
      </c>
      <c r="AK24">
        <f t="shared" si="8"/>
        <v>6.6575252983477023E-2</v>
      </c>
      <c r="AL24">
        <f t="shared" si="9"/>
        <v>0.12233963689649104</v>
      </c>
    </row>
    <row r="25" spans="1:38" x14ac:dyDescent="0.35">
      <c r="A25" t="s">
        <v>51</v>
      </c>
      <c r="B25" t="s">
        <v>66</v>
      </c>
      <c r="C25">
        <v>2.5949763727608071</v>
      </c>
      <c r="D25">
        <v>0.57158069884599272</v>
      </c>
      <c r="E25">
        <v>2.023395673914814</v>
      </c>
      <c r="F25">
        <v>2.503523460945448</v>
      </c>
      <c r="G25">
        <v>1.966237604030215</v>
      </c>
      <c r="H25">
        <v>0.36581164726143528</v>
      </c>
      <c r="I25">
        <v>1.60042595676878</v>
      </c>
      <c r="J25">
        <v>0</v>
      </c>
      <c r="K25">
        <v>5.3818960772623692</v>
      </c>
      <c r="L25">
        <v>2.6714857655953939</v>
      </c>
      <c r="M25">
        <v>1.185439664595235</v>
      </c>
      <c r="N25">
        <v>0.5884329880166066</v>
      </c>
      <c r="O25">
        <v>4.1964564126671338</v>
      </c>
      <c r="P25">
        <v>2.083052777578787</v>
      </c>
      <c r="Q25">
        <v>5.19222573092713</v>
      </c>
      <c r="R25">
        <v>2.5773364875127358</v>
      </c>
      <c r="S25">
        <v>4.0779124462076091</v>
      </c>
      <c r="T25">
        <v>2.0242094787771259</v>
      </c>
      <c r="U25">
        <v>0.75868138534095053</v>
      </c>
      <c r="V25">
        <v>0.3765971123306282</v>
      </c>
      <c r="W25">
        <v>3.3192310608666582</v>
      </c>
      <c r="X25">
        <v>1.6476123664464979</v>
      </c>
      <c r="Y25">
        <v>0</v>
      </c>
      <c r="Z25">
        <v>0</v>
      </c>
      <c r="AA25">
        <v>97.136073348400004</v>
      </c>
      <c r="AB25">
        <v>48.216768505140003</v>
      </c>
      <c r="AC25">
        <f t="shared" si="0"/>
        <v>0.56892230576441105</v>
      </c>
      <c r="AD25">
        <f t="shared" si="1"/>
        <v>0.44360902255639095</v>
      </c>
      <c r="AE25">
        <f t="shared" si="2"/>
        <v>0.7797356828193831</v>
      </c>
      <c r="AF25">
        <f t="shared" si="3"/>
        <v>0.12531328320802004</v>
      </c>
      <c r="AG25">
        <f t="shared" si="4"/>
        <v>0.22026431718061673</v>
      </c>
      <c r="AH25">
        <f t="shared" si="5"/>
        <v>0.431077694235589</v>
      </c>
      <c r="AI25">
        <f t="shared" si="6"/>
        <v>0.18604651162790695</v>
      </c>
      <c r="AJ25">
        <f t="shared" si="7"/>
        <v>0.81395348837209325</v>
      </c>
      <c r="AK25">
        <f t="shared" si="8"/>
        <v>4.6956952443725199E-2</v>
      </c>
      <c r="AL25">
        <f t="shared" si="9"/>
        <v>9.4598085234699772E-2</v>
      </c>
    </row>
    <row r="26" spans="1:38" x14ac:dyDescent="0.35">
      <c r="A26" t="s">
        <v>52</v>
      </c>
      <c r="B26" t="s">
        <v>66</v>
      </c>
      <c r="C26">
        <v>3.5438003328451551</v>
      </c>
      <c r="D26">
        <v>0.2286322795383971</v>
      </c>
      <c r="E26">
        <v>3.315168053306758</v>
      </c>
      <c r="F26">
        <v>5.2145883075488326</v>
      </c>
      <c r="G26">
        <v>2.857903494229963</v>
      </c>
      <c r="H26">
        <v>0</v>
      </c>
      <c r="I26">
        <v>2.857903494229963</v>
      </c>
      <c r="J26">
        <v>1.257477537461184</v>
      </c>
      <c r="K26">
        <v>5.3244195640159759</v>
      </c>
      <c r="L26">
        <v>5.3415951260588308</v>
      </c>
      <c r="M26">
        <v>0.34351093961393397</v>
      </c>
      <c r="N26">
        <v>0.34461904039089231</v>
      </c>
      <c r="O26">
        <v>4.9809086244020424</v>
      </c>
      <c r="P26">
        <v>4.9969760856679386</v>
      </c>
      <c r="Q26">
        <v>7.8347122849077087</v>
      </c>
      <c r="R26">
        <v>7.8599855725063756</v>
      </c>
      <c r="S26">
        <v>4.2938867451741736</v>
      </c>
      <c r="T26">
        <v>4.3077380048861542</v>
      </c>
      <c r="U26">
        <v>0</v>
      </c>
      <c r="V26">
        <v>0</v>
      </c>
      <c r="W26">
        <v>4.2938867451741736</v>
      </c>
      <c r="X26">
        <v>4.3077380048861542</v>
      </c>
      <c r="Y26">
        <v>1.8893101678766371</v>
      </c>
      <c r="Z26">
        <v>1.895404722149908</v>
      </c>
      <c r="AA26">
        <v>66.343484468840003</v>
      </c>
      <c r="AB26">
        <v>66.557495896739994</v>
      </c>
      <c r="AC26">
        <f t="shared" si="0"/>
        <v>0.5535714285714286</v>
      </c>
      <c r="AD26">
        <f t="shared" si="1"/>
        <v>0.5178571428571429</v>
      </c>
      <c r="AE26">
        <f t="shared" si="2"/>
        <v>0.93548387096774199</v>
      </c>
      <c r="AF26">
        <f t="shared" si="3"/>
        <v>3.5714285714285719E-2</v>
      </c>
      <c r="AG26">
        <f t="shared" si="4"/>
        <v>6.4516129032258063E-2</v>
      </c>
      <c r="AH26">
        <f t="shared" si="5"/>
        <v>0.44642857142857134</v>
      </c>
      <c r="AI26">
        <f t="shared" si="6"/>
        <v>0</v>
      </c>
      <c r="AJ26">
        <f t="shared" si="7"/>
        <v>1</v>
      </c>
      <c r="AK26">
        <f t="shared" si="8"/>
        <v>9.6493331309449842E-2</v>
      </c>
      <c r="AL26">
        <f t="shared" si="9"/>
        <v>9.6183063091901499E-2</v>
      </c>
    </row>
    <row r="27" spans="1:38" x14ac:dyDescent="0.35">
      <c r="A27" t="s">
        <v>53</v>
      </c>
      <c r="B27" t="s">
        <v>66</v>
      </c>
      <c r="C27">
        <v>22</v>
      </c>
      <c r="D27">
        <v>0</v>
      </c>
      <c r="E27">
        <v>22</v>
      </c>
      <c r="F27">
        <v>45</v>
      </c>
      <c r="G27">
        <v>0</v>
      </c>
      <c r="H27">
        <v>0</v>
      </c>
      <c r="I27">
        <v>0</v>
      </c>
      <c r="J27">
        <v>0</v>
      </c>
      <c r="K27">
        <v>2.6182670370692831</v>
      </c>
      <c r="L27">
        <v>2.3594000418604768</v>
      </c>
      <c r="M27">
        <v>0</v>
      </c>
      <c r="N27">
        <v>0</v>
      </c>
      <c r="O27">
        <v>2.6182670370692831</v>
      </c>
      <c r="P27">
        <v>2.3594000418604768</v>
      </c>
      <c r="Q27">
        <v>5.3555462121871704</v>
      </c>
      <c r="R27">
        <v>4.826045540169158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932.44043441874999</v>
      </c>
      <c r="AB27">
        <v>840.25042856688003</v>
      </c>
      <c r="AC27">
        <f t="shared" si="0"/>
        <v>1</v>
      </c>
      <c r="AD27">
        <f t="shared" si="1"/>
        <v>1</v>
      </c>
      <c r="AE27">
        <f t="shared" si="2"/>
        <v>1</v>
      </c>
      <c r="AF27">
        <f t="shared" si="3"/>
        <v>0</v>
      </c>
      <c r="AG27">
        <f t="shared" si="4"/>
        <v>0</v>
      </c>
      <c r="AH27">
        <f t="shared" si="5"/>
        <v>0</v>
      </c>
      <c r="AI27">
        <v>0</v>
      </c>
      <c r="AJ27">
        <v>0</v>
      </c>
      <c r="AK27">
        <f t="shared" si="8"/>
        <v>2.3594000418604769E-2</v>
      </c>
      <c r="AL27">
        <f t="shared" si="9"/>
        <v>2.6182670370692829E-2</v>
      </c>
    </row>
    <row r="28" spans="1:38" x14ac:dyDescent="0.35">
      <c r="A28" t="s">
        <v>54</v>
      </c>
      <c r="B28" t="s">
        <v>66</v>
      </c>
      <c r="C28">
        <v>11.08851553379704</v>
      </c>
      <c r="D28">
        <v>0.31570903379703807</v>
      </c>
      <c r="E28">
        <v>10.7728065</v>
      </c>
      <c r="F28">
        <v>0</v>
      </c>
      <c r="G28">
        <v>6.6522016324629796</v>
      </c>
      <c r="H28">
        <v>2.7058387100000001</v>
      </c>
      <c r="I28">
        <v>3.9463629224629799</v>
      </c>
      <c r="K28">
        <v>5.4639624481968951</v>
      </c>
      <c r="L28">
        <v>5.7165015304406683</v>
      </c>
      <c r="M28">
        <v>0.15556837161527981</v>
      </c>
      <c r="N28">
        <v>0.1627585919299977</v>
      </c>
      <c r="O28">
        <v>5.3083940765816164</v>
      </c>
      <c r="P28">
        <v>5.5537429385106707</v>
      </c>
      <c r="Q28">
        <v>0</v>
      </c>
      <c r="R28">
        <v>0</v>
      </c>
      <c r="S28">
        <v>3.2779301978544808</v>
      </c>
      <c r="T28">
        <v>3.4294329747629302</v>
      </c>
      <c r="U28">
        <v>1.3333255526634811</v>
      </c>
      <c r="V28">
        <v>1.394950575637957</v>
      </c>
      <c r="W28">
        <v>1.944604645191</v>
      </c>
      <c r="X28">
        <v>2.0344823991249732</v>
      </c>
      <c r="Y28">
        <v>0</v>
      </c>
      <c r="Z28">
        <v>0</v>
      </c>
      <c r="AA28">
        <v>193.97380504054999</v>
      </c>
      <c r="AB28">
        <v>202.93908750153</v>
      </c>
      <c r="AC28">
        <f t="shared" si="0"/>
        <v>0.62503197756207995</v>
      </c>
      <c r="AD28">
        <f t="shared" si="1"/>
        <v>0.60723624637273055</v>
      </c>
      <c r="AE28">
        <f t="shared" si="2"/>
        <v>0.97152828682660175</v>
      </c>
      <c r="AF28">
        <f t="shared" si="3"/>
        <v>1.7795731189349306E-2</v>
      </c>
      <c r="AG28">
        <f t="shared" si="4"/>
        <v>2.8471713173398049E-2</v>
      </c>
      <c r="AH28">
        <f t="shared" si="5"/>
        <v>0.37496802243791999</v>
      </c>
      <c r="AI28">
        <f t="shared" si="6"/>
        <v>0.40675837256577002</v>
      </c>
      <c r="AJ28">
        <f t="shared" si="7"/>
        <v>0.59324162743423003</v>
      </c>
      <c r="AK28">
        <f t="shared" si="8"/>
        <v>9.1459345052035984E-2</v>
      </c>
      <c r="AL28">
        <f t="shared" si="9"/>
        <v>8.741892646051376E-2</v>
      </c>
    </row>
    <row r="29" spans="1:38" x14ac:dyDescent="0.35">
      <c r="A29" t="s">
        <v>55</v>
      </c>
      <c r="B29" t="s">
        <v>66</v>
      </c>
      <c r="C29">
        <v>8.1</v>
      </c>
      <c r="D29">
        <v>0</v>
      </c>
      <c r="E29">
        <v>8.1</v>
      </c>
      <c r="F29">
        <v>0</v>
      </c>
      <c r="G29">
        <v>10.6</v>
      </c>
      <c r="H29">
        <v>5.3</v>
      </c>
      <c r="I29">
        <v>5.3</v>
      </c>
      <c r="J29">
        <v>0</v>
      </c>
      <c r="K29">
        <v>1.974409057893133</v>
      </c>
      <c r="L29">
        <v>2.4511712488266699</v>
      </c>
      <c r="M29">
        <v>0</v>
      </c>
      <c r="N29">
        <v>0</v>
      </c>
      <c r="O29">
        <v>1.974409057893133</v>
      </c>
      <c r="P29">
        <v>2.4511712488266699</v>
      </c>
      <c r="Q29">
        <v>0</v>
      </c>
      <c r="R29">
        <v>0</v>
      </c>
      <c r="S29">
        <v>2.5837945695885449</v>
      </c>
      <c r="T29">
        <v>3.2077055848842839</v>
      </c>
      <c r="U29">
        <v>1.291897284794272</v>
      </c>
      <c r="V29">
        <v>1.603852792442142</v>
      </c>
      <c r="W29">
        <v>1.291897284794272</v>
      </c>
      <c r="X29">
        <v>1.603852792442142</v>
      </c>
      <c r="Y29">
        <v>0</v>
      </c>
      <c r="Z29">
        <v>0</v>
      </c>
      <c r="AA29">
        <v>330.45426768437</v>
      </c>
      <c r="AB29">
        <v>410.24933347112</v>
      </c>
      <c r="AC29">
        <f t="shared" si="0"/>
        <v>0.43315508021390375</v>
      </c>
      <c r="AD29">
        <f t="shared" si="1"/>
        <v>0.43315508021390375</v>
      </c>
      <c r="AE29">
        <f t="shared" si="2"/>
        <v>1</v>
      </c>
      <c r="AF29">
        <f t="shared" si="3"/>
        <v>0</v>
      </c>
      <c r="AG29">
        <f t="shared" si="4"/>
        <v>0</v>
      </c>
      <c r="AH29">
        <f t="shared" si="5"/>
        <v>0.5668449197860963</v>
      </c>
      <c r="AI29">
        <f t="shared" si="6"/>
        <v>0.5</v>
      </c>
      <c r="AJ29">
        <f t="shared" si="7"/>
        <v>0.5</v>
      </c>
      <c r="AK29">
        <f t="shared" si="8"/>
        <v>5.6588768337109546E-2</v>
      </c>
      <c r="AL29">
        <f t="shared" si="9"/>
        <v>4.5582036274816787E-2</v>
      </c>
    </row>
    <row r="30" spans="1:38" x14ac:dyDescent="0.35">
      <c r="A30" t="s">
        <v>56</v>
      </c>
      <c r="B30" t="s">
        <v>66</v>
      </c>
      <c r="C30">
        <v>7.2019168054595077</v>
      </c>
      <c r="D30">
        <v>1.829058236307177</v>
      </c>
      <c r="E30">
        <v>5.3728585691523314</v>
      </c>
      <c r="F30">
        <v>9.0309750417666859</v>
      </c>
      <c r="G30">
        <v>14.86109816999581</v>
      </c>
      <c r="H30">
        <v>0</v>
      </c>
      <c r="I30">
        <v>14.86109816999581</v>
      </c>
      <c r="J30">
        <v>0</v>
      </c>
      <c r="K30">
        <v>3.2388197867879112</v>
      </c>
      <c r="L30">
        <v>2.110662563777582</v>
      </c>
      <c r="M30">
        <v>0.82255740616835848</v>
      </c>
      <c r="N30">
        <v>0.53604128603875123</v>
      </c>
      <c r="O30">
        <v>2.416262380619552</v>
      </c>
      <c r="P30">
        <v>1.5746212777388311</v>
      </c>
      <c r="Q30">
        <v>4.0613771929562708</v>
      </c>
      <c r="R30">
        <v>2.6467038498163342</v>
      </c>
      <c r="S30">
        <v>6.6832789251179134</v>
      </c>
      <c r="T30">
        <v>4.3553354490648539</v>
      </c>
      <c r="U30">
        <v>0</v>
      </c>
      <c r="V30">
        <v>0</v>
      </c>
      <c r="W30">
        <v>6.6832789251179134</v>
      </c>
      <c r="X30">
        <v>4.3553354490648539</v>
      </c>
      <c r="Y30">
        <v>0</v>
      </c>
      <c r="Z30">
        <v>0</v>
      </c>
      <c r="AA30">
        <v>341.21592570296002</v>
      </c>
      <c r="AB30">
        <v>222.36238134761999</v>
      </c>
      <c r="AC30">
        <f t="shared" si="0"/>
        <v>0.32642487046632124</v>
      </c>
      <c r="AD30">
        <f t="shared" si="1"/>
        <v>0.24352331606217617</v>
      </c>
      <c r="AE30">
        <f t="shared" si="2"/>
        <v>0.74603174603174605</v>
      </c>
      <c r="AF30">
        <f t="shared" si="3"/>
        <v>8.2901554404145095E-2</v>
      </c>
      <c r="AG30">
        <f t="shared" si="4"/>
        <v>0.25396825396825401</v>
      </c>
      <c r="AH30">
        <f t="shared" si="5"/>
        <v>0.67357512953367871</v>
      </c>
      <c r="AI30">
        <f t="shared" si="6"/>
        <v>0</v>
      </c>
      <c r="AJ30">
        <f t="shared" si="7"/>
        <v>1</v>
      </c>
      <c r="AK30">
        <f t="shared" si="8"/>
        <v>6.465998012842436E-2</v>
      </c>
      <c r="AL30">
        <f t="shared" si="9"/>
        <v>9.9220987119058232E-2</v>
      </c>
    </row>
    <row r="31" spans="1:38" x14ac:dyDescent="0.35">
      <c r="A31" t="s">
        <v>57</v>
      </c>
      <c r="B31" t="s">
        <v>66</v>
      </c>
      <c r="C31">
        <v>2.5149550749223679</v>
      </c>
      <c r="D31">
        <v>0.18290582363071761</v>
      </c>
      <c r="E31">
        <v>2.3320492512916502</v>
      </c>
      <c r="F31">
        <v>1.4060885191611421</v>
      </c>
      <c r="G31">
        <v>4.5840772047448617</v>
      </c>
      <c r="H31">
        <v>0</v>
      </c>
      <c r="I31">
        <v>4.5840772047448617</v>
      </c>
      <c r="J31">
        <v>0</v>
      </c>
      <c r="K31">
        <v>2.52787094908023</v>
      </c>
      <c r="L31">
        <v>1.3840355185893001</v>
      </c>
      <c r="M31">
        <v>0.1838451599331076</v>
      </c>
      <c r="N31">
        <v>0.1006571286246763</v>
      </c>
      <c r="O31">
        <v>2.344025789147123</v>
      </c>
      <c r="P31">
        <v>1.2833783899646241</v>
      </c>
      <c r="Q31">
        <v>1.413309666985765</v>
      </c>
      <c r="R31">
        <v>0.77380167630219954</v>
      </c>
      <c r="S31">
        <v>4.6076193208235097</v>
      </c>
      <c r="T31">
        <v>2.5227192861559522</v>
      </c>
      <c r="U31">
        <v>0</v>
      </c>
      <c r="V31">
        <v>0</v>
      </c>
      <c r="W31">
        <v>4.6076193208235097</v>
      </c>
      <c r="X31">
        <v>2.5227192861559522</v>
      </c>
      <c r="Y31">
        <v>0</v>
      </c>
      <c r="Z31">
        <v>0</v>
      </c>
      <c r="AA31">
        <v>181.71174374815001</v>
      </c>
      <c r="AB31">
        <v>99.489061173690004</v>
      </c>
      <c r="AC31">
        <f t="shared" si="0"/>
        <v>0.35426731078904994</v>
      </c>
      <c r="AD31">
        <f t="shared" si="1"/>
        <v>0.32850241545893721</v>
      </c>
      <c r="AE31">
        <f t="shared" si="2"/>
        <v>0.92727272727272725</v>
      </c>
      <c r="AF31">
        <f t="shared" si="3"/>
        <v>2.5764895330112714E-2</v>
      </c>
      <c r="AG31">
        <f t="shared" si="4"/>
        <v>7.272727272727271E-2</v>
      </c>
      <c r="AH31">
        <f t="shared" si="5"/>
        <v>0.64573268921095017</v>
      </c>
      <c r="AI31">
        <f t="shared" si="6"/>
        <v>0</v>
      </c>
      <c r="AJ31">
        <f t="shared" si="7"/>
        <v>1</v>
      </c>
      <c r="AK31">
        <f t="shared" si="8"/>
        <v>3.9067548047452515E-2</v>
      </c>
      <c r="AL31">
        <f t="shared" si="9"/>
        <v>7.1354902699037395E-2</v>
      </c>
    </row>
    <row r="32" spans="1:38" x14ac:dyDescent="0.35">
      <c r="A32" t="s">
        <v>58</v>
      </c>
      <c r="B32" t="s">
        <v>66</v>
      </c>
      <c r="C32">
        <v>4.1153810316911672</v>
      </c>
      <c r="D32">
        <v>0.11431613976919899</v>
      </c>
      <c r="E32">
        <v>4.0010648919219678</v>
      </c>
      <c r="F32">
        <v>0</v>
      </c>
      <c r="G32">
        <v>3.3151680533067731</v>
      </c>
      <c r="H32">
        <v>0.68589683861519435</v>
      </c>
      <c r="I32">
        <v>2.629271214691578</v>
      </c>
      <c r="J32">
        <v>0.11431613976919899</v>
      </c>
      <c r="K32">
        <v>8.1625269737342627</v>
      </c>
      <c r="L32">
        <v>5.4123140293972876</v>
      </c>
      <c r="M32">
        <v>0.22673686038150731</v>
      </c>
      <c r="N32">
        <v>0.1503420563721469</v>
      </c>
      <c r="O32">
        <v>7.9357901133527564</v>
      </c>
      <c r="P32">
        <v>5.2619719730251413</v>
      </c>
      <c r="Q32">
        <v>0</v>
      </c>
      <c r="R32">
        <v>0</v>
      </c>
      <c r="S32">
        <v>6.5753689510637114</v>
      </c>
      <c r="T32">
        <v>4.3599196347922593</v>
      </c>
      <c r="U32">
        <v>1.360421162289043</v>
      </c>
      <c r="V32">
        <v>0.90205233823288122</v>
      </c>
      <c r="W32">
        <v>5.2149477887746674</v>
      </c>
      <c r="X32">
        <v>3.4578672965593782</v>
      </c>
      <c r="Y32">
        <v>0.22673686038150731</v>
      </c>
      <c r="Z32">
        <v>0.1503420563721469</v>
      </c>
      <c r="AA32">
        <v>76.037366075549997</v>
      </c>
      <c r="AB32">
        <v>50.417977728389999</v>
      </c>
      <c r="AC32">
        <f t="shared" si="0"/>
        <v>0.55384615384615388</v>
      </c>
      <c r="AD32">
        <f t="shared" si="1"/>
        <v>0.53846153846153844</v>
      </c>
      <c r="AE32">
        <f t="shared" si="2"/>
        <v>0.9722222222222221</v>
      </c>
      <c r="AF32">
        <f t="shared" si="3"/>
        <v>1.5384615384615373E-2</v>
      </c>
      <c r="AG32">
        <f t="shared" si="4"/>
        <v>2.7777777777777755E-2</v>
      </c>
      <c r="AH32">
        <f t="shared" si="5"/>
        <v>0.44615384615384612</v>
      </c>
      <c r="AI32">
        <f t="shared" si="6"/>
        <v>0.2068965517241379</v>
      </c>
      <c r="AJ32">
        <f t="shared" si="7"/>
        <v>0.79310344827586188</v>
      </c>
      <c r="AK32">
        <f t="shared" si="8"/>
        <v>9.7722336641895488E-2</v>
      </c>
      <c r="AL32">
        <f t="shared" si="9"/>
        <v>0.14737895924797975</v>
      </c>
    </row>
    <row r="33" spans="1:38" x14ac:dyDescent="0.35">
      <c r="A33" t="s">
        <v>59</v>
      </c>
      <c r="B33" t="s">
        <v>66</v>
      </c>
      <c r="C33">
        <v>11</v>
      </c>
      <c r="D33">
        <v>0</v>
      </c>
      <c r="E33">
        <v>11</v>
      </c>
      <c r="F33">
        <v>0</v>
      </c>
      <c r="G33">
        <v>25</v>
      </c>
      <c r="H33">
        <v>0</v>
      </c>
      <c r="I33">
        <v>25</v>
      </c>
      <c r="J33">
        <v>0</v>
      </c>
      <c r="K33">
        <v>2.000650095073174</v>
      </c>
      <c r="L33">
        <v>2.111306177863205</v>
      </c>
      <c r="M33">
        <v>0</v>
      </c>
      <c r="N33">
        <v>0</v>
      </c>
      <c r="O33">
        <v>2.000650095073174</v>
      </c>
      <c r="P33">
        <v>2.111306177863205</v>
      </c>
      <c r="Q33">
        <v>0</v>
      </c>
      <c r="R33">
        <v>0</v>
      </c>
      <c r="S33">
        <v>4.5469320342572148</v>
      </c>
      <c r="T33">
        <v>4.7984231315072847</v>
      </c>
      <c r="U33">
        <v>0</v>
      </c>
      <c r="V33">
        <v>0</v>
      </c>
      <c r="W33">
        <v>4.5469320342572148</v>
      </c>
      <c r="X33">
        <v>4.7984231315072847</v>
      </c>
      <c r="Y33">
        <v>0</v>
      </c>
      <c r="Z33">
        <v>0</v>
      </c>
      <c r="AA33">
        <v>521.00449074291998</v>
      </c>
      <c r="AB33">
        <v>549.82128194673999</v>
      </c>
      <c r="AC33">
        <f t="shared" si="0"/>
        <v>0.30555555555555558</v>
      </c>
      <c r="AD33">
        <f t="shared" si="1"/>
        <v>0.30555555555555558</v>
      </c>
      <c r="AE33">
        <f t="shared" si="2"/>
        <v>1</v>
      </c>
      <c r="AF33">
        <f t="shared" si="3"/>
        <v>0</v>
      </c>
      <c r="AG33">
        <f t="shared" si="4"/>
        <v>0</v>
      </c>
      <c r="AH33">
        <f t="shared" si="5"/>
        <v>0.69444444444444442</v>
      </c>
      <c r="AI33">
        <f t="shared" si="6"/>
        <v>0</v>
      </c>
      <c r="AJ33">
        <f t="shared" si="7"/>
        <v>1</v>
      </c>
      <c r="AK33">
        <f t="shared" si="8"/>
        <v>6.9097293093704895E-2</v>
      </c>
      <c r="AL33">
        <f t="shared" si="9"/>
        <v>6.5475821293303885E-2</v>
      </c>
    </row>
    <row r="34" spans="1:38" x14ac:dyDescent="0.35">
      <c r="A34" t="s">
        <v>60</v>
      </c>
      <c r="B34" t="s">
        <v>66</v>
      </c>
      <c r="C34">
        <v>1.6825977000000001</v>
      </c>
      <c r="D34">
        <v>0</v>
      </c>
      <c r="E34">
        <v>1.6825977000000001</v>
      </c>
      <c r="F34">
        <v>0</v>
      </c>
      <c r="G34">
        <v>0.21161295999999999</v>
      </c>
      <c r="H34">
        <v>0.10838709000000001</v>
      </c>
      <c r="I34">
        <v>0.10322587</v>
      </c>
      <c r="J34">
        <v>0</v>
      </c>
      <c r="K34">
        <v>0.22521425078179019</v>
      </c>
      <c r="L34">
        <v>0.2847930279580338</v>
      </c>
      <c r="M34">
        <v>0</v>
      </c>
      <c r="N34">
        <v>0</v>
      </c>
      <c r="O34">
        <v>0.22521425078179019</v>
      </c>
      <c r="P34">
        <v>0.2847930279580338</v>
      </c>
      <c r="Q34">
        <v>0</v>
      </c>
      <c r="R34">
        <v>0</v>
      </c>
      <c r="S34">
        <v>2.8324212164391301E-2</v>
      </c>
      <c r="T34">
        <v>3.5817174618485603E-2</v>
      </c>
      <c r="U34">
        <v>1.4507518504731301E-2</v>
      </c>
      <c r="V34">
        <v>1.83453760531468E-2</v>
      </c>
      <c r="W34">
        <v>1.3816693659659899E-2</v>
      </c>
      <c r="X34">
        <v>1.74717985653388E-2</v>
      </c>
      <c r="Y34">
        <v>0</v>
      </c>
      <c r="Z34">
        <v>0</v>
      </c>
      <c r="AA34">
        <v>590.81421763174001</v>
      </c>
      <c r="AB34">
        <v>747.10978286638999</v>
      </c>
      <c r="AC34">
        <f t="shared" si="0"/>
        <v>0.88828435798159844</v>
      </c>
      <c r="AD34">
        <f t="shared" si="1"/>
        <v>0.88828435798159844</v>
      </c>
      <c r="AE34">
        <f t="shared" si="2"/>
        <v>1</v>
      </c>
      <c r="AF34">
        <f t="shared" si="3"/>
        <v>0</v>
      </c>
      <c r="AG34">
        <f t="shared" si="4"/>
        <v>0</v>
      </c>
      <c r="AH34">
        <f t="shared" si="5"/>
        <v>0.11171564201840146</v>
      </c>
      <c r="AI34">
        <f t="shared" si="6"/>
        <v>0.51219495252086644</v>
      </c>
      <c r="AJ34">
        <f t="shared" si="7"/>
        <v>0.48780504747913361</v>
      </c>
      <c r="AK34">
        <f t="shared" si="8"/>
        <v>3.2061020257651944E-3</v>
      </c>
      <c r="AL34">
        <f t="shared" si="9"/>
        <v>2.5353846294618163E-3</v>
      </c>
    </row>
    <row r="35" spans="1:38" x14ac:dyDescent="0.35">
      <c r="A35" t="s">
        <v>61</v>
      </c>
      <c r="B35" t="s">
        <v>66</v>
      </c>
      <c r="C35">
        <v>4.5999999999999996</v>
      </c>
      <c r="D35">
        <v>1</v>
      </c>
      <c r="E35">
        <v>3.6</v>
      </c>
      <c r="F35">
        <v>4.7152702260000003</v>
      </c>
      <c r="G35">
        <v>2.4</v>
      </c>
      <c r="H35">
        <v>2.4</v>
      </c>
      <c r="I35">
        <v>0</v>
      </c>
      <c r="J35">
        <v>0</v>
      </c>
      <c r="K35">
        <v>1.755996918642198</v>
      </c>
      <c r="L35">
        <v>1.0424015476762829</v>
      </c>
      <c r="M35">
        <v>0.38173846057439093</v>
      </c>
      <c r="N35">
        <v>0.2266090321035398</v>
      </c>
      <c r="O35">
        <v>1.374258458067807</v>
      </c>
      <c r="P35">
        <v>0.81579251557274324</v>
      </c>
      <c r="Q35">
        <v>1.7999999972655001</v>
      </c>
      <c r="R35">
        <v>1.068522822020499</v>
      </c>
      <c r="S35">
        <v>0.91617230537853822</v>
      </c>
      <c r="T35">
        <v>0.54386167704849553</v>
      </c>
      <c r="U35">
        <v>0.91617230537853822</v>
      </c>
      <c r="V35">
        <v>0.54386167704849553</v>
      </c>
      <c r="W35">
        <v>0</v>
      </c>
      <c r="X35">
        <v>0</v>
      </c>
      <c r="Y35">
        <v>0</v>
      </c>
      <c r="Z35">
        <v>0</v>
      </c>
      <c r="AA35">
        <v>441.28867711817003</v>
      </c>
      <c r="AB35">
        <v>261.95945739796002</v>
      </c>
      <c r="AC35">
        <f t="shared" si="0"/>
        <v>0.65714285714285714</v>
      </c>
      <c r="AD35">
        <f t="shared" si="1"/>
        <v>0.51428571428571435</v>
      </c>
      <c r="AE35">
        <f t="shared" si="2"/>
        <v>0.78260869565217395</v>
      </c>
      <c r="AF35">
        <f t="shared" si="3"/>
        <v>0.14285714285714285</v>
      </c>
      <c r="AG35">
        <f t="shared" si="4"/>
        <v>0.21739130434782611</v>
      </c>
      <c r="AH35">
        <f t="shared" si="5"/>
        <v>0.34285714285714286</v>
      </c>
      <c r="AI35">
        <f t="shared" si="6"/>
        <v>1</v>
      </c>
      <c r="AJ35">
        <f t="shared" si="7"/>
        <v>0</v>
      </c>
      <c r="AK35">
        <f t="shared" si="8"/>
        <v>1.5862632247247786E-2</v>
      </c>
      <c r="AL35">
        <f t="shared" si="9"/>
        <v>2.6721692240207363E-2</v>
      </c>
    </row>
    <row r="36" spans="1:38" x14ac:dyDescent="0.35">
      <c r="A36" t="s">
        <v>62</v>
      </c>
      <c r="B36" t="s">
        <v>66</v>
      </c>
      <c r="C36">
        <v>0</v>
      </c>
      <c r="D36">
        <v>0</v>
      </c>
      <c r="E36">
        <v>0</v>
      </c>
      <c r="F36">
        <v>0</v>
      </c>
      <c r="G36">
        <v>0.1</v>
      </c>
      <c r="H36">
        <v>0.1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3.1113334029335599E-2</v>
      </c>
      <c r="T36">
        <v>1.44829067404155E-2</v>
      </c>
      <c r="U36">
        <v>3.1113334029335599E-2</v>
      </c>
      <c r="V36">
        <v>1.44829067404155E-2</v>
      </c>
      <c r="W36">
        <v>0</v>
      </c>
      <c r="X36">
        <v>0</v>
      </c>
      <c r="Y36">
        <v>0</v>
      </c>
      <c r="Z36">
        <v>0</v>
      </c>
      <c r="AA36">
        <v>690.46912883131995</v>
      </c>
      <c r="AB36">
        <v>321.40560669490998</v>
      </c>
      <c r="AC36">
        <f t="shared" si="0"/>
        <v>0</v>
      </c>
      <c r="AD36">
        <f t="shared" si="1"/>
        <v>0</v>
      </c>
      <c r="AE36">
        <v>0</v>
      </c>
      <c r="AF36">
        <f t="shared" si="3"/>
        <v>0</v>
      </c>
      <c r="AG36">
        <v>0</v>
      </c>
      <c r="AH36">
        <f t="shared" si="5"/>
        <v>1</v>
      </c>
      <c r="AI36">
        <f t="shared" si="6"/>
        <v>1</v>
      </c>
      <c r="AJ36">
        <f t="shared" si="7"/>
        <v>0</v>
      </c>
      <c r="AK36">
        <f t="shared" si="8"/>
        <v>1.4482906740415584E-4</v>
      </c>
      <c r="AL36">
        <f t="shared" si="9"/>
        <v>3.1113334029335611E-4</v>
      </c>
    </row>
    <row r="37" spans="1:38" x14ac:dyDescent="0.35">
      <c r="A37" t="s">
        <v>63</v>
      </c>
      <c r="B37" t="s">
        <v>66</v>
      </c>
      <c r="C37">
        <v>0.71743400000000002</v>
      </c>
      <c r="D37">
        <v>0.17</v>
      </c>
      <c r="E37">
        <v>0.54743399999999998</v>
      </c>
      <c r="F37">
        <v>0</v>
      </c>
      <c r="G37">
        <v>0</v>
      </c>
      <c r="H37">
        <v>0</v>
      </c>
      <c r="I37">
        <v>0</v>
      </c>
      <c r="J37">
        <v>0</v>
      </c>
      <c r="K37">
        <v>1.1143308580281419</v>
      </c>
      <c r="L37">
        <v>0.7863713384702169</v>
      </c>
      <c r="M37">
        <v>0.26404693095780818</v>
      </c>
      <c r="N37">
        <v>0.18633508802194609</v>
      </c>
      <c r="O37">
        <v>0.85028392707033384</v>
      </c>
      <c r="P37">
        <v>0.6000362504482708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91.233487908610002</v>
      </c>
      <c r="AB37">
        <v>64.38249419652</v>
      </c>
      <c r="AC37">
        <f t="shared" si="0"/>
        <v>1</v>
      </c>
      <c r="AD37">
        <f t="shared" si="1"/>
        <v>0.76304440547841335</v>
      </c>
      <c r="AE37">
        <f t="shared" si="2"/>
        <v>0.76304440547841335</v>
      </c>
      <c r="AF37">
        <f t="shared" si="3"/>
        <v>0.23695559452158665</v>
      </c>
      <c r="AG37">
        <f t="shared" si="4"/>
        <v>0.23695559452158665</v>
      </c>
      <c r="AH37">
        <f t="shared" si="5"/>
        <v>0</v>
      </c>
      <c r="AI37">
        <v>0</v>
      </c>
      <c r="AJ37">
        <v>0</v>
      </c>
      <c r="AK37">
        <f t="shared" si="8"/>
        <v>7.863713384702169E-3</v>
      </c>
      <c r="AL37">
        <f t="shared" si="9"/>
        <v>1.1143308580281419E-2</v>
      </c>
    </row>
    <row r="38" spans="1:38" x14ac:dyDescent="0.35">
      <c r="A38" t="s">
        <v>64</v>
      </c>
      <c r="B38" t="s">
        <v>66</v>
      </c>
      <c r="C38">
        <v>4.4197489986439056</v>
      </c>
      <c r="D38">
        <v>0</v>
      </c>
      <c r="E38">
        <v>4.4197489986439056</v>
      </c>
      <c r="F38">
        <v>0</v>
      </c>
      <c r="G38">
        <v>0</v>
      </c>
      <c r="H38">
        <v>0</v>
      </c>
      <c r="I38">
        <v>0</v>
      </c>
      <c r="J38">
        <v>0</v>
      </c>
      <c r="K38">
        <v>2.998798899106466</v>
      </c>
      <c r="L38">
        <v>1.4262400226188989</v>
      </c>
      <c r="M38">
        <v>0</v>
      </c>
      <c r="N38">
        <v>0</v>
      </c>
      <c r="O38">
        <v>2.998798899106466</v>
      </c>
      <c r="P38">
        <v>1.4262400226188989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309.88816247970999</v>
      </c>
      <c r="AB38">
        <v>147.38397429586999</v>
      </c>
      <c r="AC38">
        <f t="shared" si="0"/>
        <v>1</v>
      </c>
      <c r="AD38">
        <f t="shared" si="1"/>
        <v>1</v>
      </c>
      <c r="AE38">
        <f t="shared" si="2"/>
        <v>1</v>
      </c>
      <c r="AF38">
        <f t="shared" si="3"/>
        <v>0</v>
      </c>
      <c r="AG38">
        <f t="shared" si="4"/>
        <v>0</v>
      </c>
      <c r="AH38">
        <f t="shared" si="5"/>
        <v>0</v>
      </c>
      <c r="AI38">
        <v>0</v>
      </c>
      <c r="AJ38">
        <v>0</v>
      </c>
      <c r="AK38">
        <f t="shared" si="8"/>
        <v>1.4262400226188987E-2</v>
      </c>
      <c r="AL38">
        <f t="shared" si="9"/>
        <v>2.9987988991064658E-2</v>
      </c>
    </row>
    <row r="39" spans="1:38" x14ac:dyDescent="0.35">
      <c r="A39" t="s">
        <v>65</v>
      </c>
      <c r="B39" t="s">
        <v>66</v>
      </c>
      <c r="C39">
        <v>17</v>
      </c>
      <c r="D39">
        <v>8</v>
      </c>
      <c r="E39">
        <v>9</v>
      </c>
      <c r="F39">
        <v>0</v>
      </c>
      <c r="G39">
        <v>17</v>
      </c>
      <c r="H39">
        <v>0</v>
      </c>
      <c r="I39">
        <v>17</v>
      </c>
      <c r="J39">
        <v>0</v>
      </c>
      <c r="K39">
        <v>2.9746119470950938</v>
      </c>
      <c r="L39">
        <v>1.3986901541599801</v>
      </c>
      <c r="M39">
        <v>1.3998173868682799</v>
      </c>
      <c r="N39">
        <v>0.65820713136940245</v>
      </c>
      <c r="O39">
        <v>1.5747945602268141</v>
      </c>
      <c r="P39">
        <v>0.74048302279057776</v>
      </c>
      <c r="Q39">
        <v>0</v>
      </c>
      <c r="R39">
        <v>0</v>
      </c>
      <c r="S39">
        <v>2.9746119470950938</v>
      </c>
      <c r="T39">
        <v>1.3986901541599801</v>
      </c>
      <c r="U39">
        <v>0</v>
      </c>
      <c r="V39">
        <v>0</v>
      </c>
      <c r="W39">
        <v>2.9746119470950938</v>
      </c>
      <c r="X39">
        <v>1.3986901541599801</v>
      </c>
      <c r="Y39">
        <v>0</v>
      </c>
      <c r="Z39">
        <v>0</v>
      </c>
      <c r="AA39">
        <v>1215.4228689920101</v>
      </c>
      <c r="AB39">
        <v>571.50311712429004</v>
      </c>
      <c r="AC39">
        <f t="shared" si="0"/>
        <v>0.5</v>
      </c>
      <c r="AD39">
        <f t="shared" si="1"/>
        <v>0.26470588235294118</v>
      </c>
      <c r="AE39">
        <f t="shared" si="2"/>
        <v>0.52941176470588236</v>
      </c>
      <c r="AF39">
        <f t="shared" si="3"/>
        <v>0.23529411764705882</v>
      </c>
      <c r="AG39">
        <f t="shared" si="4"/>
        <v>0.47058823529411764</v>
      </c>
      <c r="AH39">
        <f t="shared" si="5"/>
        <v>0.5</v>
      </c>
      <c r="AI39">
        <f t="shared" si="6"/>
        <v>0</v>
      </c>
      <c r="AJ39">
        <f t="shared" si="7"/>
        <v>1</v>
      </c>
      <c r="AK39">
        <f t="shared" si="8"/>
        <v>2.7973803083199605E-2</v>
      </c>
      <c r="AL39">
        <f t="shared" si="9"/>
        <v>5.9492238941901879E-2</v>
      </c>
    </row>
    <row r="40" spans="1:38" x14ac:dyDescent="0.35">
      <c r="A40" t="s">
        <v>28</v>
      </c>
      <c r="B40" t="s">
        <v>67</v>
      </c>
      <c r="C40">
        <v>0.36671521951269881</v>
      </c>
      <c r="D40">
        <v>1.154445264360187</v>
      </c>
      <c r="E40">
        <v>-0.78773004484749265</v>
      </c>
      <c r="F40">
        <v>0</v>
      </c>
      <c r="G40">
        <v>-1.1041831494786929</v>
      </c>
      <c r="H40">
        <v>-0.51176420691943925</v>
      </c>
      <c r="I40">
        <v>-0.59241894255925409</v>
      </c>
      <c r="J40">
        <v>0</v>
      </c>
      <c r="K40">
        <v>2.4533165212040398E-2</v>
      </c>
      <c r="L40">
        <v>2.9898941722940699E-2</v>
      </c>
      <c r="M40">
        <v>7.7232126979732196E-2</v>
      </c>
      <c r="N40">
        <v>9.4123968258795196E-2</v>
      </c>
      <c r="O40">
        <v>-5.2698961767692502E-2</v>
      </c>
      <c r="P40">
        <v>-6.4225026535854796E-2</v>
      </c>
      <c r="Q40">
        <v>0</v>
      </c>
      <c r="R40">
        <v>0</v>
      </c>
      <c r="S40">
        <v>-7.3869602866517697E-2</v>
      </c>
      <c r="T40">
        <v>-9.0026008960267995E-2</v>
      </c>
      <c r="U40">
        <v>-3.4236909650618402E-2</v>
      </c>
      <c r="V40">
        <v>-4.17250427154457E-2</v>
      </c>
      <c r="W40">
        <v>-3.9632693215899302E-2</v>
      </c>
      <c r="X40">
        <v>-4.8300966244822302E-2</v>
      </c>
      <c r="Y40">
        <v>0</v>
      </c>
      <c r="Z40">
        <v>0</v>
      </c>
      <c r="AA40">
        <v>1226.51571721458</v>
      </c>
      <c r="AB40">
        <v>1494.77336635199</v>
      </c>
      <c r="AC40">
        <f t="shared" si="0"/>
        <v>-0.49726259897106129</v>
      </c>
      <c r="AD40">
        <f t="shared" si="1"/>
        <v>1.0681549838835924</v>
      </c>
      <c r="AE40">
        <f t="shared" si="2"/>
        <v>-2.1480702270667953</v>
      </c>
      <c r="AF40">
        <f t="shared" si="3"/>
        <v>-1.5654175828546477</v>
      </c>
      <c r="AG40">
        <f t="shared" si="4"/>
        <v>3.1480702270667833</v>
      </c>
      <c r="AH40">
        <f t="shared" si="5"/>
        <v>1.4972625989710613</v>
      </c>
      <c r="AI40">
        <f t="shared" si="6"/>
        <v>0.4634776460418305</v>
      </c>
      <c r="AJ40">
        <f t="shared" si="7"/>
        <v>0.53652235395816994</v>
      </c>
      <c r="AK40">
        <f t="shared" si="8"/>
        <v>-6.0127067237327001E-4</v>
      </c>
      <c r="AL40">
        <f t="shared" si="9"/>
        <v>-4.9336437654478162E-4</v>
      </c>
    </row>
    <row r="41" spans="1:38" x14ac:dyDescent="0.35">
      <c r="A41" t="s">
        <v>29</v>
      </c>
      <c r="B41" t="s">
        <v>67</v>
      </c>
      <c r="C41">
        <v>5.3821266931310277</v>
      </c>
      <c r="D41">
        <v>0.47940422310436759</v>
      </c>
      <c r="E41">
        <v>4.9027224700266601</v>
      </c>
      <c r="F41">
        <v>-2.5626602590321919</v>
      </c>
      <c r="G41">
        <v>-1.3104260956735769</v>
      </c>
      <c r="H41">
        <v>-0.10074472111954109</v>
      </c>
      <c r="I41">
        <v>-1.20968137455403</v>
      </c>
      <c r="J41">
        <v>0</v>
      </c>
      <c r="K41">
        <v>0.31722919641608449</v>
      </c>
      <c r="L41">
        <v>0.3122810380302487</v>
      </c>
      <c r="M41">
        <v>2.8256677169634498E-2</v>
      </c>
      <c r="N41">
        <v>2.7815927971034798E-2</v>
      </c>
      <c r="O41">
        <v>0.28897251924645051</v>
      </c>
      <c r="P41">
        <v>0.28446511005921321</v>
      </c>
      <c r="Q41">
        <v>-0.15104636159861329</v>
      </c>
      <c r="R41">
        <v>-0.1486903321749721</v>
      </c>
      <c r="S41">
        <v>-7.7238132990021094E-2</v>
      </c>
      <c r="T41">
        <v>-7.6033368359971598E-2</v>
      </c>
      <c r="U41">
        <v>-5.9380183236307999E-3</v>
      </c>
      <c r="V41">
        <v>-5.8453967884906999E-3</v>
      </c>
      <c r="W41">
        <v>-7.1300114666389997E-2</v>
      </c>
      <c r="X41">
        <v>-7.0187971571480795E-2</v>
      </c>
      <c r="Y41">
        <v>0</v>
      </c>
      <c r="Z41">
        <v>0</v>
      </c>
      <c r="AA41">
        <v>1723.48815255626</v>
      </c>
      <c r="AB41">
        <v>1696.60508992738</v>
      </c>
      <c r="AC41">
        <f t="shared" si="0"/>
        <v>1.3218375379790608</v>
      </c>
      <c r="AD41">
        <f t="shared" si="1"/>
        <v>1.2040969989512824</v>
      </c>
      <c r="AE41">
        <f t="shared" si="2"/>
        <v>0.91092661870702329</v>
      </c>
      <c r="AF41">
        <f t="shared" si="3"/>
        <v>0.1177405390277784</v>
      </c>
      <c r="AG41">
        <f t="shared" si="4"/>
        <v>8.907338129297665E-2</v>
      </c>
      <c r="AH41">
        <f t="shared" si="5"/>
        <v>-0.32183753797906084</v>
      </c>
      <c r="AI41">
        <f t="shared" si="6"/>
        <v>7.6879361188054579E-2</v>
      </c>
      <c r="AJ41">
        <f t="shared" si="7"/>
        <v>0.92312063881194095</v>
      </c>
      <c r="AK41">
        <f t="shared" si="8"/>
        <v>2.3624766967027568E-3</v>
      </c>
      <c r="AL41">
        <f t="shared" si="9"/>
        <v>2.3999106342606409E-3</v>
      </c>
    </row>
    <row r="42" spans="1:38" x14ac:dyDescent="0.35">
      <c r="A42" t="s">
        <v>30</v>
      </c>
      <c r="B42" t="s">
        <v>67</v>
      </c>
      <c r="C42">
        <v>46.119277635451212</v>
      </c>
      <c r="D42">
        <v>3.2426565634137821</v>
      </c>
      <c r="E42">
        <v>42.87662107203743</v>
      </c>
      <c r="F42">
        <v>12.15217990868312</v>
      </c>
      <c r="G42">
        <v>32.305560508499518</v>
      </c>
      <c r="H42">
        <v>22.949473478961181</v>
      </c>
      <c r="I42">
        <v>9.3560870295383438</v>
      </c>
      <c r="J42">
        <v>0</v>
      </c>
      <c r="K42">
        <v>1.76242194987834</v>
      </c>
      <c r="L42">
        <v>1.5864412065797071</v>
      </c>
      <c r="M42">
        <v>0.12391627528191219</v>
      </c>
      <c r="N42">
        <v>0.1115430304795457</v>
      </c>
      <c r="O42">
        <v>1.6385056745964279</v>
      </c>
      <c r="P42">
        <v>1.4748981761001609</v>
      </c>
      <c r="Q42">
        <v>0.4643886398053762</v>
      </c>
      <c r="R42">
        <v>0.41801866692911188</v>
      </c>
      <c r="S42">
        <v>1.2345386108028831</v>
      </c>
      <c r="T42">
        <v>1.1112678909988369</v>
      </c>
      <c r="U42">
        <v>0.87700106920974974</v>
      </c>
      <c r="V42">
        <v>0.78943106360247617</v>
      </c>
      <c r="W42">
        <v>0.35753754159313361</v>
      </c>
      <c r="X42">
        <v>0.32183682739636049</v>
      </c>
      <c r="Y42">
        <v>0</v>
      </c>
      <c r="Z42">
        <v>0</v>
      </c>
      <c r="AA42">
        <v>2907.0902498102801</v>
      </c>
      <c r="AB42">
        <v>2616.8124857180101</v>
      </c>
      <c r="AC42">
        <f t="shared" si="0"/>
        <v>0.5880697841007736</v>
      </c>
      <c r="AD42">
        <f t="shared" si="1"/>
        <v>0.54672246812083103</v>
      </c>
      <c r="AE42">
        <f t="shared" si="2"/>
        <v>0.92968977985636969</v>
      </c>
      <c r="AF42">
        <f t="shared" si="3"/>
        <v>4.1347315979942553E-2</v>
      </c>
      <c r="AG42">
        <f t="shared" si="4"/>
        <v>7.0310220143630336E-2</v>
      </c>
      <c r="AH42">
        <f t="shared" si="5"/>
        <v>0.41193021589922652</v>
      </c>
      <c r="AI42">
        <f t="shared" si="6"/>
        <v>0.71038772018591745</v>
      </c>
      <c r="AJ42">
        <f t="shared" si="7"/>
        <v>0.28961227981408277</v>
      </c>
      <c r="AK42">
        <f t="shared" si="8"/>
        <v>2.697709097578543E-2</v>
      </c>
      <c r="AL42">
        <f t="shared" si="9"/>
        <v>2.9969605606812229E-2</v>
      </c>
    </row>
    <row r="43" spans="1:38" x14ac:dyDescent="0.35">
      <c r="A43" t="s">
        <v>31</v>
      </c>
      <c r="B43" t="s">
        <v>67</v>
      </c>
      <c r="C43">
        <v>189.22094940972289</v>
      </c>
      <c r="D43">
        <v>13.93513761981457</v>
      </c>
      <c r="E43">
        <v>175.28581178990839</v>
      </c>
      <c r="F43">
        <v>0</v>
      </c>
      <c r="G43">
        <v>42.688711835254708</v>
      </c>
      <c r="H43">
        <v>-4.4335859146559358</v>
      </c>
      <c r="I43">
        <v>47.122297749910672</v>
      </c>
      <c r="J43">
        <v>0</v>
      </c>
      <c r="K43">
        <v>5.2600571942181622</v>
      </c>
      <c r="L43">
        <v>4.5466299278372659</v>
      </c>
      <c r="M43">
        <v>0.3873758223821665</v>
      </c>
      <c r="N43">
        <v>0.33483561914484439</v>
      </c>
      <c r="O43">
        <v>4.8726813718359949</v>
      </c>
      <c r="P43">
        <v>4.2117943086924212</v>
      </c>
      <c r="Q43">
        <v>0</v>
      </c>
      <c r="R43">
        <v>0</v>
      </c>
      <c r="S43">
        <v>1.186681847339887</v>
      </c>
      <c r="T43">
        <v>1.0257309003916151</v>
      </c>
      <c r="U43">
        <v>-0.1232470059965349</v>
      </c>
      <c r="V43">
        <v>-0.1065308808041347</v>
      </c>
      <c r="W43">
        <v>1.30992885333642</v>
      </c>
      <c r="X43">
        <v>1.1322617811957481</v>
      </c>
      <c r="Y43">
        <v>0</v>
      </c>
      <c r="Z43">
        <v>0</v>
      </c>
      <c r="AA43">
        <v>4161.7847155581303</v>
      </c>
      <c r="AB43">
        <v>3597.3173374942398</v>
      </c>
      <c r="AC43">
        <f t="shared" si="0"/>
        <v>0.81592525466129451</v>
      </c>
      <c r="AD43">
        <f t="shared" si="1"/>
        <v>0.75583660831079114</v>
      </c>
      <c r="AE43">
        <f t="shared" si="2"/>
        <v>0.92635520716239228</v>
      </c>
      <c r="AF43">
        <f t="shared" si="3"/>
        <v>6.0088646350503691E-2</v>
      </c>
      <c r="AG43">
        <f t="shared" si="4"/>
        <v>7.3644792837608122E-2</v>
      </c>
      <c r="AH43">
        <f t="shared" si="5"/>
        <v>0.18407474533870549</v>
      </c>
      <c r="AI43">
        <f t="shared" si="6"/>
        <v>-0.10385850788297703</v>
      </c>
      <c r="AJ43">
        <f t="shared" si="7"/>
        <v>1.1038585078829777</v>
      </c>
      <c r="AK43">
        <f t="shared" si="8"/>
        <v>5.5723608282288714E-2</v>
      </c>
      <c r="AL43">
        <f t="shared" si="9"/>
        <v>6.4467390415580472E-2</v>
      </c>
    </row>
    <row r="44" spans="1:38" x14ac:dyDescent="0.35">
      <c r="A44" t="s">
        <v>32</v>
      </c>
      <c r="B44" t="s">
        <v>67</v>
      </c>
      <c r="C44">
        <v>38.105763873469748</v>
      </c>
      <c r="D44">
        <v>3.4734084577736981</v>
      </c>
      <c r="E44">
        <v>34.632355415696047</v>
      </c>
      <c r="F44">
        <v>7.6498244929870598</v>
      </c>
      <c r="G44">
        <v>-8.1926568414287431</v>
      </c>
      <c r="H44">
        <v>3.6063458324081852</v>
      </c>
      <c r="I44">
        <v>-11.799002673836981</v>
      </c>
      <c r="J44">
        <v>0</v>
      </c>
      <c r="K44">
        <v>1.986581474232286</v>
      </c>
      <c r="L44">
        <v>1.6300816575185899</v>
      </c>
      <c r="M44">
        <v>0.18108045065221939</v>
      </c>
      <c r="N44">
        <v>0.14858485542731309</v>
      </c>
      <c r="O44">
        <v>1.805501023580067</v>
      </c>
      <c r="P44">
        <v>1.481496802091276</v>
      </c>
      <c r="Q44">
        <v>0.39881104783407961</v>
      </c>
      <c r="R44">
        <v>0.32724284522049651</v>
      </c>
      <c r="S44">
        <v>-0.4271107216212009</v>
      </c>
      <c r="T44">
        <v>-0.35046403184309582</v>
      </c>
      <c r="U44">
        <v>0.18801092255035179</v>
      </c>
      <c r="V44">
        <v>0.15427162703251979</v>
      </c>
      <c r="W44">
        <v>-0.61512164417155191</v>
      </c>
      <c r="X44">
        <v>-0.50473565887561733</v>
      </c>
      <c r="Y44">
        <v>0</v>
      </c>
      <c r="Z44">
        <v>0</v>
      </c>
      <c r="AA44">
        <v>2337.6598158571201</v>
      </c>
      <c r="AB44">
        <v>1918.15761738117</v>
      </c>
      <c r="AC44">
        <f t="shared" si="0"/>
        <v>1.2738818415838011</v>
      </c>
      <c r="AD44">
        <f t="shared" si="1"/>
        <v>1.1577652357744077</v>
      </c>
      <c r="AE44">
        <f t="shared" si="2"/>
        <v>0.90884821337509047</v>
      </c>
      <c r="AF44">
        <f t="shared" si="3"/>
        <v>0.11611660580939337</v>
      </c>
      <c r="AG44">
        <f t="shared" si="4"/>
        <v>9.115178662490947E-2</v>
      </c>
      <c r="AH44">
        <f t="shared" si="5"/>
        <v>-0.27388184158380119</v>
      </c>
      <c r="AI44">
        <f t="shared" si="6"/>
        <v>-0.44019246774398807</v>
      </c>
      <c r="AJ44">
        <f t="shared" si="7"/>
        <v>1.4401924677439946</v>
      </c>
      <c r="AK44">
        <f t="shared" si="8"/>
        <v>1.279617625675494E-2</v>
      </c>
      <c r="AL44">
        <f t="shared" si="9"/>
        <v>1.5594707526110859E-2</v>
      </c>
    </row>
    <row r="45" spans="1:38" x14ac:dyDescent="0.35">
      <c r="A45" t="s">
        <v>33</v>
      </c>
      <c r="B45" t="s">
        <v>67</v>
      </c>
      <c r="C45">
        <v>54.106824187597113</v>
      </c>
      <c r="D45">
        <v>26.236916652536529</v>
      </c>
      <c r="E45">
        <v>27.869907535060641</v>
      </c>
      <c r="F45">
        <v>243.68669096730491</v>
      </c>
      <c r="G45">
        <v>128.1492710841033</v>
      </c>
      <c r="H45">
        <v>0</v>
      </c>
      <c r="I45">
        <v>128.1492710841033</v>
      </c>
      <c r="J45">
        <v>1021.60958905524</v>
      </c>
      <c r="K45">
        <v>1.1854268634847269</v>
      </c>
      <c r="L45">
        <v>1.0161187929447151</v>
      </c>
      <c r="M45">
        <v>0.57482482629346554</v>
      </c>
      <c r="N45">
        <v>0.49272572323100211</v>
      </c>
      <c r="O45">
        <v>0.61060203719126172</v>
      </c>
      <c r="P45">
        <v>0.52339306971371258</v>
      </c>
      <c r="Q45">
        <v>5.3389337497387714</v>
      </c>
      <c r="R45">
        <v>4.5764028844840201</v>
      </c>
      <c r="S45">
        <v>2.8076234515701861</v>
      </c>
      <c r="T45">
        <v>2.4066258666235489</v>
      </c>
      <c r="U45">
        <v>0</v>
      </c>
      <c r="V45">
        <v>0</v>
      </c>
      <c r="W45">
        <v>2.8076234515701861</v>
      </c>
      <c r="X45">
        <v>2.4066258666235489</v>
      </c>
      <c r="Y45">
        <v>22.382453027751001</v>
      </c>
      <c r="Z45">
        <v>19.185689015721469</v>
      </c>
      <c r="AA45">
        <v>5324.8522282316499</v>
      </c>
      <c r="AB45">
        <v>4564.3325500944502</v>
      </c>
      <c r="AC45">
        <f t="shared" si="0"/>
        <v>0.29687250847186608</v>
      </c>
      <c r="AD45">
        <f t="shared" si="1"/>
        <v>0.15291618913218374</v>
      </c>
      <c r="AE45">
        <f t="shared" si="2"/>
        <v>0.51509043366565299</v>
      </c>
      <c r="AF45">
        <f t="shared" si="3"/>
        <v>0.14395631933968264</v>
      </c>
      <c r="AG45">
        <f t="shared" si="4"/>
        <v>0.48490956633434801</v>
      </c>
      <c r="AH45">
        <f t="shared" si="5"/>
        <v>0.70312749152813392</v>
      </c>
      <c r="AI45">
        <f t="shared" si="6"/>
        <v>0</v>
      </c>
      <c r="AJ45">
        <f t="shared" si="7"/>
        <v>1</v>
      </c>
      <c r="AK45">
        <f t="shared" si="8"/>
        <v>3.4227446595682623E-2</v>
      </c>
      <c r="AL45">
        <f t="shared" si="9"/>
        <v>3.9930503150549135E-2</v>
      </c>
    </row>
    <row r="46" spans="1:38" x14ac:dyDescent="0.35">
      <c r="A46" t="s">
        <v>34</v>
      </c>
      <c r="B46" t="s">
        <v>67</v>
      </c>
      <c r="C46">
        <v>23.75934855125389</v>
      </c>
      <c r="D46">
        <v>1.281290935211151</v>
      </c>
      <c r="E46">
        <v>22.47805761604274</v>
      </c>
      <c r="F46">
        <v>13.12665236129739</v>
      </c>
      <c r="G46">
        <v>-186.96912589332601</v>
      </c>
      <c r="H46">
        <v>-101</v>
      </c>
      <c r="I46">
        <v>-85.969125893326037</v>
      </c>
      <c r="J46">
        <v>120.836905973052</v>
      </c>
      <c r="K46">
        <v>1.4503795525417811</v>
      </c>
      <c r="L46">
        <v>1.101734874982673</v>
      </c>
      <c r="M46">
        <v>7.8215872345090698E-2</v>
      </c>
      <c r="N46">
        <v>5.9414209328007402E-2</v>
      </c>
      <c r="O46">
        <v>1.3721636801966901</v>
      </c>
      <c r="P46">
        <v>1.0423206656546651</v>
      </c>
      <c r="Q46">
        <v>0.8013110349839645</v>
      </c>
      <c r="R46">
        <v>0.60869053993703692</v>
      </c>
      <c r="S46">
        <v>-11.413452543419121</v>
      </c>
      <c r="T46">
        <v>-8.6698676143135298</v>
      </c>
      <c r="U46">
        <v>-6.1655030015117536</v>
      </c>
      <c r="V46">
        <v>-4.6834290146131741</v>
      </c>
      <c r="W46">
        <v>-5.2479495419073627</v>
      </c>
      <c r="X46">
        <v>-3.9864385997003549</v>
      </c>
      <c r="Y46">
        <v>7.3764386779232263</v>
      </c>
      <c r="Z46">
        <v>5.6032779353492641</v>
      </c>
      <c r="AA46">
        <v>2156.5395714307001</v>
      </c>
      <c r="AB46">
        <v>1638.14696019506</v>
      </c>
      <c r="AC46">
        <f t="shared" si="0"/>
        <v>-0.14557552211750502</v>
      </c>
      <c r="AD46">
        <f t="shared" si="1"/>
        <v>-0.13772494504989657</v>
      </c>
      <c r="AE46">
        <f t="shared" si="2"/>
        <v>0.94607213525037792</v>
      </c>
      <c r="AF46">
        <f t="shared" si="3"/>
        <v>-7.8505770676084406E-3</v>
      </c>
      <c r="AG46">
        <f t="shared" si="4"/>
        <v>5.3927864749622162E-2</v>
      </c>
      <c r="AH46">
        <f t="shared" si="5"/>
        <v>1.145575522117505</v>
      </c>
      <c r="AI46">
        <f t="shared" si="6"/>
        <v>0.54019613942905675</v>
      </c>
      <c r="AJ46">
        <f t="shared" si="7"/>
        <v>0.45980386057094341</v>
      </c>
      <c r="AK46">
        <f t="shared" si="8"/>
        <v>-7.5681327393308559E-2</v>
      </c>
      <c r="AL46">
        <f t="shared" si="9"/>
        <v>-9.9630729908773363E-2</v>
      </c>
    </row>
    <row r="47" spans="1:38" x14ac:dyDescent="0.35">
      <c r="A47" t="s">
        <v>35</v>
      </c>
      <c r="B47" t="s">
        <v>67</v>
      </c>
      <c r="C47">
        <v>24.886187363532709</v>
      </c>
      <c r="D47">
        <v>0.52057790283490757</v>
      </c>
      <c r="E47">
        <v>24.365609460697801</v>
      </c>
      <c r="F47">
        <v>0</v>
      </c>
      <c r="G47">
        <v>-60.841604635503842</v>
      </c>
      <c r="H47">
        <v>-10.86448882326709</v>
      </c>
      <c r="I47">
        <v>-49.977115812236761</v>
      </c>
      <c r="J47">
        <v>-0.50327929573277252</v>
      </c>
      <c r="K47">
        <v>1.8797371249607491</v>
      </c>
      <c r="L47">
        <v>1.385238169458487</v>
      </c>
      <c r="M47">
        <v>3.9320993453055599E-2</v>
      </c>
      <c r="N47">
        <v>2.89768927095789E-2</v>
      </c>
      <c r="O47">
        <v>1.840416131507693</v>
      </c>
      <c r="P47">
        <v>1.356261276748908</v>
      </c>
      <c r="Q47">
        <v>0</v>
      </c>
      <c r="R47">
        <v>0</v>
      </c>
      <c r="S47">
        <v>-4.5955702777970959</v>
      </c>
      <c r="T47">
        <v>-3.3866221370535561</v>
      </c>
      <c r="U47">
        <v>-0.82063124762704553</v>
      </c>
      <c r="V47">
        <v>-0.60474930891576673</v>
      </c>
      <c r="W47">
        <v>-3.7749390301700489</v>
      </c>
      <c r="X47">
        <v>-2.7818728281377889</v>
      </c>
      <c r="Y47">
        <v>-3.8014371691152501E-2</v>
      </c>
      <c r="Z47">
        <v>-2.8014001508676899E-2</v>
      </c>
      <c r="AA47">
        <v>1796.5276955414199</v>
      </c>
      <c r="AB47">
        <v>1323.9184901480501</v>
      </c>
      <c r="AC47">
        <f t="shared" si="0"/>
        <v>-0.69214013497022087</v>
      </c>
      <c r="AD47">
        <f t="shared" si="1"/>
        <v>-0.67766170745268739</v>
      </c>
      <c r="AE47">
        <f t="shared" si="2"/>
        <v>0.97908165299768879</v>
      </c>
      <c r="AF47">
        <f t="shared" si="3"/>
        <v>-1.4478427517533541E-2</v>
      </c>
      <c r="AG47">
        <f t="shared" si="4"/>
        <v>2.0918347002311131E-2</v>
      </c>
      <c r="AH47">
        <f t="shared" si="5"/>
        <v>1.692140134970221</v>
      </c>
      <c r="AI47">
        <f t="shared" si="6"/>
        <v>0.17857005725531386</v>
      </c>
      <c r="AJ47">
        <f t="shared" si="7"/>
        <v>0.82142994274468628</v>
      </c>
      <c r="AK47">
        <f t="shared" si="8"/>
        <v>-2.001383967595069E-2</v>
      </c>
      <c r="AL47">
        <f t="shared" si="9"/>
        <v>-2.7158331528363455E-2</v>
      </c>
    </row>
    <row r="48" spans="1:38" x14ac:dyDescent="0.35">
      <c r="A48" t="s">
        <v>36</v>
      </c>
      <c r="B48" t="s">
        <v>67</v>
      </c>
      <c r="C48">
        <v>71.618784378598804</v>
      </c>
      <c r="D48">
        <v>1.8120430642510199</v>
      </c>
      <c r="E48">
        <v>69.806741314347775</v>
      </c>
      <c r="F48">
        <v>0</v>
      </c>
      <c r="G48">
        <v>0.49401987796943558</v>
      </c>
      <c r="H48">
        <v>-421.75808205314382</v>
      </c>
      <c r="I48">
        <v>422.2521019311132</v>
      </c>
      <c r="J48">
        <v>0</v>
      </c>
      <c r="K48">
        <v>2.2682920394272248</v>
      </c>
      <c r="L48">
        <v>2.434366699665794</v>
      </c>
      <c r="M48">
        <v>5.7390569993647098E-2</v>
      </c>
      <c r="N48">
        <v>6.1592462539634997E-2</v>
      </c>
      <c r="O48">
        <v>2.210901469433578</v>
      </c>
      <c r="P48">
        <v>2.3727742371261602</v>
      </c>
      <c r="Q48">
        <v>0</v>
      </c>
      <c r="R48">
        <v>0</v>
      </c>
      <c r="S48">
        <v>1.5646472726947601E-2</v>
      </c>
      <c r="T48">
        <v>1.6792040668327901E-2</v>
      </c>
      <c r="U48">
        <v>-13.357815388599549</v>
      </c>
      <c r="V48">
        <v>-14.335817609491439</v>
      </c>
      <c r="W48">
        <v>13.373461861326501</v>
      </c>
      <c r="X48">
        <v>14.35260965015976</v>
      </c>
      <c r="Y48">
        <v>0</v>
      </c>
      <c r="Z48">
        <v>0</v>
      </c>
      <c r="AA48">
        <v>2941.9883367789698</v>
      </c>
      <c r="AB48">
        <v>3157.38816403392</v>
      </c>
      <c r="AC48">
        <f t="shared" si="0"/>
        <v>0.99314934590240345</v>
      </c>
      <c r="AD48">
        <f t="shared" si="1"/>
        <v>0.9680214496441466</v>
      </c>
      <c r="AE48">
        <f t="shared" si="2"/>
        <v>0.97469877379275227</v>
      </c>
      <c r="AF48">
        <f t="shared" si="3"/>
        <v>2.5127896258256715E-2</v>
      </c>
      <c r="AG48">
        <f t="shared" si="4"/>
        <v>2.5301226207247611E-2</v>
      </c>
      <c r="AH48">
        <f t="shared" si="5"/>
        <v>6.8506540975965284E-3</v>
      </c>
      <c r="AI48">
        <f t="shared" si="6"/>
        <v>-853.72694675099183</v>
      </c>
      <c r="AJ48">
        <f t="shared" si="7"/>
        <v>854.72694675099171</v>
      </c>
      <c r="AK48">
        <f t="shared" si="8"/>
        <v>2.451158740334124E-2</v>
      </c>
      <c r="AL48">
        <f t="shared" si="9"/>
        <v>2.2839385121541718E-2</v>
      </c>
    </row>
    <row r="49" spans="1:38" x14ac:dyDescent="0.35">
      <c r="A49" t="s">
        <v>37</v>
      </c>
      <c r="B49" t="s">
        <v>67</v>
      </c>
      <c r="C49">
        <v>1048</v>
      </c>
      <c r="D49">
        <v>294.55</v>
      </c>
      <c r="E49">
        <v>753.45</v>
      </c>
      <c r="F49">
        <v>0</v>
      </c>
      <c r="G49">
        <v>0</v>
      </c>
      <c r="H49">
        <v>0</v>
      </c>
      <c r="I49">
        <v>0</v>
      </c>
      <c r="J49">
        <v>0</v>
      </c>
      <c r="K49">
        <v>5.2586748171464457</v>
      </c>
      <c r="L49">
        <v>5.2467646833064396</v>
      </c>
      <c r="M49">
        <v>1.4779987284260361</v>
      </c>
      <c r="N49">
        <v>1.4746512762098389</v>
      </c>
      <c r="O49">
        <v>3.7806760887204089</v>
      </c>
      <c r="P49">
        <v>3.7721134070966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19974.2138871676</v>
      </c>
      <c r="AB49">
        <v>19928.975197</v>
      </c>
      <c r="AC49">
        <f t="shared" si="0"/>
        <v>1</v>
      </c>
      <c r="AD49">
        <f t="shared" si="1"/>
        <v>0.7189408396946565</v>
      </c>
      <c r="AE49">
        <f t="shared" si="2"/>
        <v>0.7189408396946565</v>
      </c>
      <c r="AF49">
        <f t="shared" si="3"/>
        <v>0.2810591603053435</v>
      </c>
      <c r="AG49">
        <f t="shared" si="4"/>
        <v>0.2810591603053435</v>
      </c>
      <c r="AH49">
        <f t="shared" si="5"/>
        <v>0</v>
      </c>
      <c r="AI49">
        <v>0</v>
      </c>
      <c r="AJ49">
        <v>0</v>
      </c>
      <c r="AK49">
        <f t="shared" si="8"/>
        <v>5.2467646833064395E-2</v>
      </c>
      <c r="AL49">
        <f t="shared" si="9"/>
        <v>5.2586748171464442E-2</v>
      </c>
    </row>
    <row r="50" spans="1:38" x14ac:dyDescent="0.35">
      <c r="A50" t="s">
        <v>38</v>
      </c>
      <c r="B50" t="s">
        <v>67</v>
      </c>
      <c r="C50">
        <v>4.9963816139161317</v>
      </c>
      <c r="D50">
        <v>4.2542129426510002E-4</v>
      </c>
      <c r="E50">
        <v>4.9959561926218674</v>
      </c>
      <c r="F50">
        <v>2.160413488701348</v>
      </c>
      <c r="G50">
        <v>-1.5306958497704479</v>
      </c>
      <c r="H50">
        <v>-1.5306958497704479</v>
      </c>
      <c r="I50">
        <v>0</v>
      </c>
      <c r="J50">
        <v>3.026441309603181</v>
      </c>
      <c r="K50">
        <v>0.39060129242887259</v>
      </c>
      <c r="L50">
        <v>0.20978501364374219</v>
      </c>
      <c r="M50">
        <v>3.3258089595061817E-5</v>
      </c>
      <c r="N50">
        <v>1.786232896484885E-5</v>
      </c>
      <c r="O50">
        <v>0.3905680343392775</v>
      </c>
      <c r="P50">
        <v>0.20976715131477741</v>
      </c>
      <c r="Q50">
        <v>0.16889428511968749</v>
      </c>
      <c r="R50">
        <v>9.0710119487471305E-2</v>
      </c>
      <c r="S50">
        <v>-0.11966495424820529</v>
      </c>
      <c r="T50">
        <v>-6.42699206229813E-2</v>
      </c>
      <c r="U50">
        <v>-0.11966495424820529</v>
      </c>
      <c r="V50">
        <v>-6.42699206229813E-2</v>
      </c>
      <c r="W50">
        <v>0</v>
      </c>
      <c r="X50">
        <v>0</v>
      </c>
      <c r="Y50">
        <v>0.23659759768921751</v>
      </c>
      <c r="Z50">
        <v>0.12707236566132829</v>
      </c>
      <c r="AA50">
        <v>2381.6675591522499</v>
      </c>
      <c r="AB50">
        <v>1279.1513266244399</v>
      </c>
      <c r="AC50">
        <f t="shared" si="0"/>
        <v>1.4416718519625438</v>
      </c>
      <c r="AD50">
        <f t="shared" si="1"/>
        <v>1.4415490995483851</v>
      </c>
      <c r="AE50">
        <f t="shared" si="2"/>
        <v>0.99991485412301584</v>
      </c>
      <c r="AF50">
        <f t="shared" si="3"/>
        <v>1.2275241415892458E-4</v>
      </c>
      <c r="AG50">
        <f t="shared" si="4"/>
        <v>8.5145876984295756E-5</v>
      </c>
      <c r="AH50">
        <f t="shared" si="5"/>
        <v>-0.44167185196254383</v>
      </c>
      <c r="AI50">
        <f t="shared" si="6"/>
        <v>1</v>
      </c>
      <c r="AJ50">
        <f t="shared" si="7"/>
        <v>0</v>
      </c>
      <c r="AK50">
        <f t="shared" si="8"/>
        <v>1.4551509302076098E-3</v>
      </c>
      <c r="AL50">
        <f t="shared" si="9"/>
        <v>2.7093633818066724E-3</v>
      </c>
    </row>
    <row r="51" spans="1:38" x14ac:dyDescent="0.35">
      <c r="A51" t="s">
        <v>39</v>
      </c>
      <c r="B51" t="s">
        <v>67</v>
      </c>
      <c r="C51">
        <v>1.654135338345865</v>
      </c>
      <c r="D51">
        <v>0</v>
      </c>
      <c r="E51">
        <v>1.654135338345865</v>
      </c>
      <c r="F51">
        <v>9.9097744360902258</v>
      </c>
      <c r="G51">
        <v>44.019548872180451</v>
      </c>
      <c r="H51">
        <v>3.007518796992481</v>
      </c>
      <c r="I51">
        <v>41.012030075187972</v>
      </c>
      <c r="J51">
        <v>15.47368421052632</v>
      </c>
      <c r="K51">
        <v>0.16590235659523431</v>
      </c>
      <c r="L51">
        <v>7.0877842979989003E-2</v>
      </c>
      <c r="M51">
        <v>0</v>
      </c>
      <c r="N51">
        <v>0</v>
      </c>
      <c r="O51">
        <v>0.16590235659523431</v>
      </c>
      <c r="P51">
        <v>7.0877842979989003E-2</v>
      </c>
      <c r="Q51">
        <v>0.9939059363296312</v>
      </c>
      <c r="R51">
        <v>0.42462271385284328</v>
      </c>
      <c r="S51">
        <v>4.4149633496475413</v>
      </c>
      <c r="T51">
        <v>1.886188270502926</v>
      </c>
      <c r="U51">
        <v>0.30164064835497151</v>
      </c>
      <c r="V51">
        <v>0.12886880541816181</v>
      </c>
      <c r="W51">
        <v>4.1133227012925699</v>
      </c>
      <c r="X51">
        <v>1.7573194650847641</v>
      </c>
      <c r="Y51">
        <v>1.5519411357863291</v>
      </c>
      <c r="Z51">
        <v>0.66303000387644273</v>
      </c>
      <c r="AA51">
        <v>2333.7834064911899</v>
      </c>
      <c r="AB51">
        <v>997.05355143423003</v>
      </c>
      <c r="AC51">
        <f t="shared" si="0"/>
        <v>3.62163763869226E-2</v>
      </c>
      <c r="AD51">
        <f t="shared" si="1"/>
        <v>3.62163763869226E-2</v>
      </c>
      <c r="AE51">
        <f t="shared" si="2"/>
        <v>1</v>
      </c>
      <c r="AF51">
        <f t="shared" si="3"/>
        <v>0</v>
      </c>
      <c r="AG51">
        <f t="shared" si="4"/>
        <v>0</v>
      </c>
      <c r="AH51">
        <f t="shared" si="5"/>
        <v>0.96378362361307734</v>
      </c>
      <c r="AI51">
        <f t="shared" si="6"/>
        <v>6.8322344822874317E-2</v>
      </c>
      <c r="AJ51">
        <f t="shared" si="7"/>
        <v>0.93167765517712575</v>
      </c>
      <c r="AK51">
        <f t="shared" si="8"/>
        <v>1.9570661134829154E-2</v>
      </c>
      <c r="AL51">
        <f t="shared" si="9"/>
        <v>4.5808657062427753E-2</v>
      </c>
    </row>
    <row r="52" spans="1:38" x14ac:dyDescent="0.35">
      <c r="A52" t="s">
        <v>40</v>
      </c>
      <c r="B52" t="s">
        <v>67</v>
      </c>
      <c r="C52">
        <v>8.4705882300000006</v>
      </c>
      <c r="D52">
        <v>0</v>
      </c>
      <c r="E52">
        <v>8.4705882300000006</v>
      </c>
      <c r="F52">
        <v>0</v>
      </c>
      <c r="G52">
        <v>8.4705999999999992</v>
      </c>
      <c r="H52">
        <v>0</v>
      </c>
      <c r="I52">
        <v>8.4705999999999992</v>
      </c>
      <c r="J52">
        <v>0</v>
      </c>
      <c r="K52">
        <v>2.0462852131061382</v>
      </c>
      <c r="L52">
        <v>1.8076405000965221</v>
      </c>
      <c r="M52">
        <v>0</v>
      </c>
      <c r="N52">
        <v>0</v>
      </c>
      <c r="O52">
        <v>2.0462852131061382</v>
      </c>
      <c r="P52">
        <v>1.8076405000965221</v>
      </c>
      <c r="Q52">
        <v>0</v>
      </c>
      <c r="R52">
        <v>0</v>
      </c>
      <c r="S52">
        <v>2.0462880564478652</v>
      </c>
      <c r="T52">
        <v>1.8076430118381039</v>
      </c>
      <c r="U52">
        <v>0</v>
      </c>
      <c r="V52">
        <v>0</v>
      </c>
      <c r="W52">
        <v>2.0462880564478652</v>
      </c>
      <c r="X52">
        <v>1.8076430118381039</v>
      </c>
      <c r="Y52">
        <v>0</v>
      </c>
      <c r="Z52">
        <v>0</v>
      </c>
      <c r="AA52">
        <v>468.59916169988998</v>
      </c>
      <c r="AB52">
        <v>413.94954015926999</v>
      </c>
      <c r="AC52">
        <f t="shared" si="0"/>
        <v>0.49999965262176888</v>
      </c>
      <c r="AD52">
        <f t="shared" si="1"/>
        <v>0.49999965262176888</v>
      </c>
      <c r="AE52">
        <f t="shared" si="2"/>
        <v>1</v>
      </c>
      <c r="AF52">
        <f t="shared" si="3"/>
        <v>0</v>
      </c>
      <c r="AG52">
        <f t="shared" si="4"/>
        <v>0</v>
      </c>
      <c r="AH52">
        <f t="shared" si="5"/>
        <v>0.50000034737823096</v>
      </c>
      <c r="AI52">
        <f t="shared" si="6"/>
        <v>0</v>
      </c>
      <c r="AJ52">
        <f t="shared" si="7"/>
        <v>1</v>
      </c>
      <c r="AK52">
        <f t="shared" si="8"/>
        <v>3.6152835119346263E-2</v>
      </c>
      <c r="AL52">
        <f t="shared" si="9"/>
        <v>4.0925732695540042E-2</v>
      </c>
    </row>
    <row r="53" spans="1:38" x14ac:dyDescent="0.35">
      <c r="A53" t="s">
        <v>41</v>
      </c>
      <c r="B53" t="s">
        <v>67</v>
      </c>
      <c r="C53">
        <v>15.736781814144811</v>
      </c>
      <c r="D53">
        <v>2.2949473478961182</v>
      </c>
      <c r="E53">
        <v>13.441834466248689</v>
      </c>
      <c r="F53">
        <v>12.021152774693951</v>
      </c>
      <c r="G53">
        <v>2.827267662189584</v>
      </c>
      <c r="H53">
        <v>0</v>
      </c>
      <c r="I53">
        <v>2.827267662189584</v>
      </c>
      <c r="J53">
        <v>0</v>
      </c>
      <c r="K53">
        <v>3.1781365002569171</v>
      </c>
      <c r="L53">
        <v>2.8338122233934211</v>
      </c>
      <c r="M53">
        <v>0.46347823962080031</v>
      </c>
      <c r="N53">
        <v>0.41326428257820719</v>
      </c>
      <c r="O53">
        <v>2.7146582606361171</v>
      </c>
      <c r="P53">
        <v>2.4205479408152142</v>
      </c>
      <c r="Q53">
        <v>2.427743159918478</v>
      </c>
      <c r="R53">
        <v>2.164717670647752</v>
      </c>
      <c r="S53">
        <v>0.57098348692388257</v>
      </c>
      <c r="T53">
        <v>0.50912224332400235</v>
      </c>
      <c r="U53">
        <v>0</v>
      </c>
      <c r="V53">
        <v>0</v>
      </c>
      <c r="W53">
        <v>0.57098348692388257</v>
      </c>
      <c r="X53">
        <v>0.50912224332400235</v>
      </c>
      <c r="Y53">
        <v>0</v>
      </c>
      <c r="Z53">
        <v>0</v>
      </c>
      <c r="AA53">
        <v>555.32196820367994</v>
      </c>
      <c r="AB53">
        <v>495.15751802582002</v>
      </c>
      <c r="AC53">
        <f t="shared" si="0"/>
        <v>0.84770199703497828</v>
      </c>
      <c r="AD53">
        <f t="shared" si="1"/>
        <v>0.72407878913404378</v>
      </c>
      <c r="AE53">
        <f t="shared" si="2"/>
        <v>0.85416666666666652</v>
      </c>
      <c r="AF53">
        <f t="shared" si="3"/>
        <v>0.12362320790093433</v>
      </c>
      <c r="AG53">
        <f t="shared" si="4"/>
        <v>0.14583333333333334</v>
      </c>
      <c r="AH53">
        <f t="shared" si="5"/>
        <v>0.15229800296502163</v>
      </c>
      <c r="AI53">
        <f t="shared" si="6"/>
        <v>0</v>
      </c>
      <c r="AJ53">
        <f t="shared" si="7"/>
        <v>1</v>
      </c>
      <c r="AK53">
        <f t="shared" si="8"/>
        <v>3.3429344667174253E-2</v>
      </c>
      <c r="AL53">
        <f t="shared" si="9"/>
        <v>3.7491199871808011E-2</v>
      </c>
    </row>
    <row r="54" spans="1:38" x14ac:dyDescent="0.35">
      <c r="A54" t="s">
        <v>42</v>
      </c>
      <c r="B54" t="s">
        <v>67</v>
      </c>
      <c r="C54">
        <v>1.885402004076548</v>
      </c>
      <c r="D54">
        <v>1.8854020040765489</v>
      </c>
      <c r="E54">
        <v>0</v>
      </c>
      <c r="F54">
        <v>0</v>
      </c>
      <c r="G54">
        <v>-0.77448880067103687</v>
      </c>
      <c r="H54">
        <v>-0.77448880067103743</v>
      </c>
      <c r="I54">
        <v>0</v>
      </c>
      <c r="J54">
        <v>0</v>
      </c>
      <c r="K54">
        <v>0.87432710308954587</v>
      </c>
      <c r="L54">
        <v>0.4627935881679428</v>
      </c>
      <c r="M54">
        <v>0.8743271030895452</v>
      </c>
      <c r="N54">
        <v>0.46279358816794303</v>
      </c>
      <c r="O54">
        <v>0</v>
      </c>
      <c r="P54">
        <v>0</v>
      </c>
      <c r="Q54">
        <v>0</v>
      </c>
      <c r="R54">
        <v>0</v>
      </c>
      <c r="S54">
        <v>-0.35915764807817041</v>
      </c>
      <c r="T54">
        <v>-0.19010717623268381</v>
      </c>
      <c r="U54">
        <v>-0.35915764807817141</v>
      </c>
      <c r="V54">
        <v>-0.190107176232684</v>
      </c>
      <c r="W54">
        <v>0</v>
      </c>
      <c r="X54">
        <v>0</v>
      </c>
      <c r="Y54">
        <v>0</v>
      </c>
      <c r="Z54">
        <v>0</v>
      </c>
      <c r="AA54">
        <v>407.39587848230002</v>
      </c>
      <c r="AB54">
        <v>215.64034757863999</v>
      </c>
      <c r="AC54">
        <f t="shared" si="0"/>
        <v>1.6971640973361706</v>
      </c>
      <c r="AD54">
        <f t="shared" si="1"/>
        <v>0</v>
      </c>
      <c r="AE54">
        <f t="shared" si="2"/>
        <v>0</v>
      </c>
      <c r="AF54">
        <f t="shared" si="3"/>
        <v>1.6971640973361715</v>
      </c>
      <c r="AG54">
        <f t="shared" si="4"/>
        <v>1.0000000000000004</v>
      </c>
      <c r="AH54">
        <f t="shared" si="5"/>
        <v>-0.69716409733617057</v>
      </c>
      <c r="AI54">
        <f t="shared" si="6"/>
        <v>1.0000000000000007</v>
      </c>
      <c r="AJ54">
        <f t="shared" si="7"/>
        <v>0</v>
      </c>
      <c r="AK54">
        <f t="shared" si="8"/>
        <v>2.7268641193525884E-3</v>
      </c>
      <c r="AL54">
        <f t="shared" si="9"/>
        <v>5.151694550113735E-3</v>
      </c>
    </row>
    <row r="55" spans="1:38" x14ac:dyDescent="0.35">
      <c r="A55" t="s">
        <v>43</v>
      </c>
      <c r="B55" t="s">
        <v>67</v>
      </c>
      <c r="C55">
        <v>9.3883508485756941</v>
      </c>
      <c r="D55">
        <v>0.1167514339592107</v>
      </c>
      <c r="E55">
        <v>9.2715994146164817</v>
      </c>
      <c r="F55">
        <v>24.28429826351584</v>
      </c>
      <c r="G55">
        <v>21.16616035296634</v>
      </c>
      <c r="H55">
        <v>5.822977768715635</v>
      </c>
      <c r="I55">
        <v>15.3431825842507</v>
      </c>
      <c r="J55">
        <v>0</v>
      </c>
      <c r="K55">
        <v>2.822693643938885</v>
      </c>
      <c r="L55">
        <v>3.0181456692150008</v>
      </c>
      <c r="M55">
        <v>3.5102387615542803E-2</v>
      </c>
      <c r="N55">
        <v>3.7532985341306398E-2</v>
      </c>
      <c r="O55">
        <v>2.7875912563233429</v>
      </c>
      <c r="P55">
        <v>2.9806126838736948</v>
      </c>
      <c r="Q55">
        <v>7.3012966240329176</v>
      </c>
      <c r="R55">
        <v>7.8068609509917337</v>
      </c>
      <c r="S55">
        <v>6.363799911032654</v>
      </c>
      <c r="T55">
        <v>6.8044490702972862</v>
      </c>
      <c r="U55">
        <v>1.7507315823252001</v>
      </c>
      <c r="V55">
        <v>1.8719576438976571</v>
      </c>
      <c r="W55">
        <v>4.6130683287074534</v>
      </c>
      <c r="X55">
        <v>4.9324914263996291</v>
      </c>
      <c r="Y55">
        <v>0</v>
      </c>
      <c r="Z55">
        <v>0</v>
      </c>
      <c r="AA55">
        <v>311.06354290107998</v>
      </c>
      <c r="AB55">
        <v>332.60254327404999</v>
      </c>
      <c r="AC55">
        <f t="shared" si="0"/>
        <v>0.30726562066886803</v>
      </c>
      <c r="AD55">
        <f t="shared" si="1"/>
        <v>0.30344453404800531</v>
      </c>
      <c r="AE55">
        <f t="shared" si="2"/>
        <v>0.98756422338254168</v>
      </c>
      <c r="AF55">
        <f t="shared" si="3"/>
        <v>3.8210866208626651E-3</v>
      </c>
      <c r="AG55">
        <f t="shared" si="4"/>
        <v>1.2435776617458118E-2</v>
      </c>
      <c r="AH55">
        <f t="shared" si="5"/>
        <v>0.69273437933113191</v>
      </c>
      <c r="AI55">
        <f t="shared" si="6"/>
        <v>0.27510789258003382</v>
      </c>
      <c r="AJ55">
        <f t="shared" si="7"/>
        <v>0.7248921074199659</v>
      </c>
      <c r="AK55">
        <f t="shared" si="8"/>
        <v>9.8225947395122887E-2</v>
      </c>
      <c r="AL55">
        <f t="shared" si="9"/>
        <v>9.1864935549715407E-2</v>
      </c>
    </row>
    <row r="56" spans="1:38" x14ac:dyDescent="0.35">
      <c r="A56" t="s">
        <v>44</v>
      </c>
      <c r="B56" t="s">
        <v>67</v>
      </c>
      <c r="C56">
        <v>1.2481951410000001</v>
      </c>
      <c r="D56">
        <v>0.33243433</v>
      </c>
      <c r="E56">
        <v>0.91576081099999995</v>
      </c>
      <c r="F56">
        <v>0</v>
      </c>
      <c r="G56">
        <v>0.67566216200000007</v>
      </c>
      <c r="H56">
        <v>0.61666216200000001</v>
      </c>
      <c r="I56">
        <v>5.8999999999999997E-2</v>
      </c>
      <c r="J56">
        <v>0</v>
      </c>
      <c r="K56">
        <v>4.6408796097126643</v>
      </c>
      <c r="L56">
        <v>2.7186939247924111</v>
      </c>
      <c r="M56">
        <v>1.2360148289228849</v>
      </c>
      <c r="N56">
        <v>0.72407523765824</v>
      </c>
      <c r="O56">
        <v>3.4048647807897798</v>
      </c>
      <c r="P56">
        <v>1.99461868713417</v>
      </c>
      <c r="Q56">
        <v>0</v>
      </c>
      <c r="R56">
        <v>0</v>
      </c>
      <c r="S56">
        <v>2.5121606771902791</v>
      </c>
      <c r="T56">
        <v>1.471659802785201</v>
      </c>
      <c r="U56">
        <v>2.2927944194802219</v>
      </c>
      <c r="V56">
        <v>1.3431518986170721</v>
      </c>
      <c r="W56">
        <v>0.21936625771005719</v>
      </c>
      <c r="X56">
        <v>0.12850790416812899</v>
      </c>
      <c r="Y56">
        <v>0</v>
      </c>
      <c r="Z56">
        <v>0</v>
      </c>
      <c r="AA56">
        <v>45.911572818750003</v>
      </c>
      <c r="AB56">
        <v>26.895658710639999</v>
      </c>
      <c r="AC56">
        <f t="shared" si="0"/>
        <v>0.64879819259651195</v>
      </c>
      <c r="AD56">
        <f t="shared" si="1"/>
        <v>0.47600246108273858</v>
      </c>
      <c r="AE56">
        <f t="shared" si="2"/>
        <v>0.73366798260913912</v>
      </c>
      <c r="AF56">
        <f t="shared" si="3"/>
        <v>0.17279573151377328</v>
      </c>
      <c r="AG56">
        <f t="shared" si="4"/>
        <v>0.26633201739086082</v>
      </c>
      <c r="AH56">
        <f t="shared" si="5"/>
        <v>0.35120180740348811</v>
      </c>
      <c r="AI56">
        <f t="shared" si="6"/>
        <v>0.91267825354411358</v>
      </c>
      <c r="AJ56">
        <f t="shared" si="7"/>
        <v>8.732174645588632E-2</v>
      </c>
      <c r="AK56">
        <f t="shared" si="8"/>
        <v>4.1903537275776115E-2</v>
      </c>
      <c r="AL56">
        <f t="shared" si="9"/>
        <v>7.1530402869029439E-2</v>
      </c>
    </row>
    <row r="57" spans="1:38" x14ac:dyDescent="0.35">
      <c r="A57" t="s">
        <v>45</v>
      </c>
      <c r="B57" t="s">
        <v>67</v>
      </c>
      <c r="C57">
        <v>3.252665849099563</v>
      </c>
      <c r="D57">
        <v>1.5678041258934421</v>
      </c>
      <c r="E57">
        <v>1.684861723206122</v>
      </c>
      <c r="F57">
        <v>1.237368369740294</v>
      </c>
      <c r="G57">
        <v>3.751470525980066</v>
      </c>
      <c r="H57">
        <v>1.54465361043267</v>
      </c>
      <c r="I57">
        <v>2.206816915547396</v>
      </c>
      <c r="J57">
        <v>1.0928320704267229</v>
      </c>
      <c r="K57">
        <v>1.2768362788335079</v>
      </c>
      <c r="L57">
        <v>1.280968867756558</v>
      </c>
      <c r="M57">
        <v>0.6154426181219228</v>
      </c>
      <c r="N57">
        <v>0.61743455035989681</v>
      </c>
      <c r="O57">
        <v>0.66139366071158512</v>
      </c>
      <c r="P57">
        <v>0.6635343173966608</v>
      </c>
      <c r="Q57">
        <v>0.48572982841223911</v>
      </c>
      <c r="R57">
        <v>0.4873019342035354</v>
      </c>
      <c r="S57">
        <v>1.4726424074185149</v>
      </c>
      <c r="T57">
        <v>1.477408739485826</v>
      </c>
      <c r="U57">
        <v>0.60635486690942364</v>
      </c>
      <c r="V57">
        <v>0.60831738586973727</v>
      </c>
      <c r="W57">
        <v>0.8662875405090924</v>
      </c>
      <c r="X57">
        <v>0.86909135361608847</v>
      </c>
      <c r="Y57">
        <v>0.42899200192354658</v>
      </c>
      <c r="Z57">
        <v>0.43038047092667181</v>
      </c>
      <c r="AA57">
        <v>253.92231856471</v>
      </c>
      <c r="AB57">
        <v>254.7441596875</v>
      </c>
      <c r="AC57">
        <f t="shared" si="0"/>
        <v>0.46439213557754067</v>
      </c>
      <c r="AD57">
        <f t="shared" si="1"/>
        <v>0.2405523869010856</v>
      </c>
      <c r="AE57">
        <f t="shared" si="2"/>
        <v>0.51799410126082979</v>
      </c>
      <c r="AF57">
        <f t="shared" si="3"/>
        <v>0.2238397486764552</v>
      </c>
      <c r="AG57">
        <f t="shared" si="4"/>
        <v>0.48200589873917055</v>
      </c>
      <c r="AH57">
        <f t="shared" si="5"/>
        <v>0.53560786442245945</v>
      </c>
      <c r="AI57">
        <f t="shared" si="6"/>
        <v>0.41174616719909629</v>
      </c>
      <c r="AJ57">
        <f t="shared" si="7"/>
        <v>0.58825383280090371</v>
      </c>
      <c r="AK57">
        <f t="shared" si="8"/>
        <v>2.7583776072423828E-2</v>
      </c>
      <c r="AL57">
        <f t="shared" si="9"/>
        <v>2.7494786862520222E-2</v>
      </c>
    </row>
    <row r="58" spans="1:38" x14ac:dyDescent="0.35">
      <c r="A58" t="s">
        <v>46</v>
      </c>
      <c r="B58" t="s">
        <v>67</v>
      </c>
      <c r="C58">
        <v>4.0254459051713392</v>
      </c>
      <c r="D58">
        <v>0.707075905171339</v>
      </c>
      <c r="E58">
        <v>3.3183700000000012</v>
      </c>
      <c r="F58">
        <v>0</v>
      </c>
      <c r="G58">
        <v>6.7446143999999997</v>
      </c>
      <c r="H58">
        <v>5.3117944000000001</v>
      </c>
      <c r="I58">
        <v>1.43282</v>
      </c>
      <c r="J58">
        <v>0</v>
      </c>
      <c r="K58">
        <v>1.9741964283923019</v>
      </c>
      <c r="L58">
        <v>1.3349414777105451</v>
      </c>
      <c r="M58">
        <v>0.3467707080098239</v>
      </c>
      <c r="N58">
        <v>0.2344845703901644</v>
      </c>
      <c r="O58">
        <v>1.6274257203824789</v>
      </c>
      <c r="P58">
        <v>1.10045690732038</v>
      </c>
      <c r="Q58">
        <v>0</v>
      </c>
      <c r="R58">
        <v>0</v>
      </c>
      <c r="S58">
        <v>3.3077562021781892</v>
      </c>
      <c r="T58">
        <v>2.236687742383308</v>
      </c>
      <c r="U58">
        <v>2.6050593598494491</v>
      </c>
      <c r="V58">
        <v>1.7615277493907291</v>
      </c>
      <c r="W58">
        <v>0.70269684232874052</v>
      </c>
      <c r="X58">
        <v>0.47515999299257961</v>
      </c>
      <c r="Y58">
        <v>0</v>
      </c>
      <c r="Z58">
        <v>0</v>
      </c>
      <c r="AA58">
        <v>301.54474727050001</v>
      </c>
      <c r="AB58">
        <v>203.90300819506001</v>
      </c>
      <c r="AC58">
        <f t="shared" si="0"/>
        <v>0.37376261516739012</v>
      </c>
      <c r="AD58">
        <f t="shared" si="1"/>
        <v>0.30811062389378235</v>
      </c>
      <c r="AE58">
        <f t="shared" si="2"/>
        <v>0.82434842702444866</v>
      </c>
      <c r="AF58">
        <f t="shared" si="3"/>
        <v>6.5651991273607851E-2</v>
      </c>
      <c r="AG58">
        <f t="shared" si="4"/>
        <v>0.17565157297555165</v>
      </c>
      <c r="AH58">
        <f t="shared" si="5"/>
        <v>0.62623738483260993</v>
      </c>
      <c r="AI58">
        <f t="shared" si="6"/>
        <v>0.78756087227166027</v>
      </c>
      <c r="AJ58">
        <f t="shared" si="7"/>
        <v>0.21243912772833981</v>
      </c>
      <c r="AK58">
        <f t="shared" si="8"/>
        <v>3.5716292200938526E-2</v>
      </c>
      <c r="AL58">
        <f t="shared" si="9"/>
        <v>5.2819526305704918E-2</v>
      </c>
    </row>
    <row r="59" spans="1:38" x14ac:dyDescent="0.35">
      <c r="A59" t="s">
        <v>47</v>
      </c>
      <c r="B59" t="s">
        <v>67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19.06914282116</v>
      </c>
      <c r="AB59">
        <v>20.729999827290001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f t="shared" si="8"/>
        <v>0</v>
      </c>
      <c r="AL59">
        <f t="shared" si="9"/>
        <v>0</v>
      </c>
    </row>
    <row r="60" spans="1:38" x14ac:dyDescent="0.35">
      <c r="A60" t="s">
        <v>48</v>
      </c>
      <c r="B60" t="s">
        <v>67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417.89075855828003</v>
      </c>
      <c r="AB60">
        <v>371.46659669328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f t="shared" si="8"/>
        <v>0</v>
      </c>
      <c r="AL60">
        <f t="shared" si="9"/>
        <v>0</v>
      </c>
    </row>
    <row r="61" spans="1:38" x14ac:dyDescent="0.35">
      <c r="A61" t="s">
        <v>49</v>
      </c>
      <c r="B61" t="s">
        <v>67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342.39670930134002</v>
      </c>
      <c r="AB61">
        <v>358.46025273358998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f t="shared" si="8"/>
        <v>0</v>
      </c>
      <c r="AL61">
        <f t="shared" si="9"/>
        <v>0</v>
      </c>
    </row>
    <row r="62" spans="1:38" x14ac:dyDescent="0.35">
      <c r="A62" t="s">
        <v>50</v>
      </c>
      <c r="B62" t="s">
        <v>67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55.422589739999999</v>
      </c>
      <c r="AB62">
        <v>30.160077523049999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f t="shared" si="8"/>
        <v>0</v>
      </c>
      <c r="AL62">
        <f t="shared" si="9"/>
        <v>0</v>
      </c>
    </row>
    <row r="63" spans="1:38" x14ac:dyDescent="0.35">
      <c r="A63" t="s">
        <v>51</v>
      </c>
      <c r="B63" t="s">
        <v>67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97.136073348400004</v>
      </c>
      <c r="AB63">
        <v>48.216768505140003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f t="shared" si="8"/>
        <v>0</v>
      </c>
      <c r="AL63">
        <f t="shared" si="9"/>
        <v>0</v>
      </c>
    </row>
    <row r="64" spans="1:38" x14ac:dyDescent="0.35">
      <c r="A64" t="s">
        <v>52</v>
      </c>
      <c r="B64" t="s">
        <v>67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66.343484468840003</v>
      </c>
      <c r="AB64">
        <v>66.557495896739994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f t="shared" si="8"/>
        <v>0</v>
      </c>
      <c r="AL64">
        <f t="shared" si="9"/>
        <v>0</v>
      </c>
    </row>
    <row r="65" spans="1:38" x14ac:dyDescent="0.35">
      <c r="A65" t="s">
        <v>53</v>
      </c>
      <c r="B65" t="s">
        <v>67</v>
      </c>
      <c r="C65">
        <v>11.987077390271081</v>
      </c>
      <c r="D65">
        <v>0.76498244929870585</v>
      </c>
      <c r="E65">
        <v>11.22209494097237</v>
      </c>
      <c r="F65">
        <v>-10.02937374634487</v>
      </c>
      <c r="G65">
        <v>33.440661355057721</v>
      </c>
      <c r="H65">
        <v>0</v>
      </c>
      <c r="I65">
        <v>33.440661355057721</v>
      </c>
      <c r="J65">
        <v>0</v>
      </c>
      <c r="K65">
        <v>1.426607709170238</v>
      </c>
      <c r="L65">
        <v>1.285559586199561</v>
      </c>
      <c r="M65">
        <v>9.1042196860696603E-2</v>
      </c>
      <c r="N65">
        <v>8.2040891949904396E-2</v>
      </c>
      <c r="O65">
        <v>1.3355655123095409</v>
      </c>
      <c r="P65">
        <v>1.203518694249657</v>
      </c>
      <c r="Q65">
        <v>-1.1936172128410389</v>
      </c>
      <c r="R65">
        <v>-1.0756047653163849</v>
      </c>
      <c r="S65">
        <v>3.979844605624737</v>
      </c>
      <c r="T65">
        <v>3.5863589909529652</v>
      </c>
      <c r="U65">
        <v>0</v>
      </c>
      <c r="V65">
        <v>0</v>
      </c>
      <c r="W65">
        <v>3.979844605624737</v>
      </c>
      <c r="X65">
        <v>3.5863589909529652</v>
      </c>
      <c r="Y65">
        <v>0</v>
      </c>
      <c r="Z65">
        <v>0</v>
      </c>
      <c r="AA65">
        <v>932.44043441874999</v>
      </c>
      <c r="AB65">
        <v>840.25042856688003</v>
      </c>
      <c r="AC65">
        <f t="shared" si="0"/>
        <v>0.26387132006441055</v>
      </c>
      <c r="AD65">
        <f t="shared" si="1"/>
        <v>0.24703177509856364</v>
      </c>
      <c r="AE65">
        <f t="shared" si="2"/>
        <v>0.93618273876169489</v>
      </c>
      <c r="AF65">
        <f t="shared" si="3"/>
        <v>1.6839544965846814E-2</v>
      </c>
      <c r="AG65">
        <f t="shared" si="4"/>
        <v>6.3817261238304751E-2</v>
      </c>
      <c r="AH65">
        <f t="shared" si="5"/>
        <v>0.73612867993558939</v>
      </c>
      <c r="AI65">
        <f t="shared" si="6"/>
        <v>0</v>
      </c>
      <c r="AJ65">
        <f t="shared" si="7"/>
        <v>1</v>
      </c>
      <c r="AK65">
        <f t="shared" si="8"/>
        <v>4.8719185771525265E-2</v>
      </c>
      <c r="AL65">
        <f t="shared" si="9"/>
        <v>5.4064523147949774E-2</v>
      </c>
    </row>
    <row r="66" spans="1:38" x14ac:dyDescent="0.35">
      <c r="A66" t="s">
        <v>54</v>
      </c>
      <c r="B66" t="s">
        <v>67</v>
      </c>
      <c r="C66">
        <v>28.1225464637951</v>
      </c>
      <c r="D66">
        <v>0</v>
      </c>
      <c r="E66">
        <v>28.1225464637951</v>
      </c>
      <c r="F66">
        <v>0</v>
      </c>
      <c r="G66">
        <v>1.1458115023238651</v>
      </c>
      <c r="H66">
        <v>1.1458115023238651</v>
      </c>
      <c r="I66">
        <v>0</v>
      </c>
      <c r="J66">
        <v>0</v>
      </c>
      <c r="K66">
        <v>13.85762930642086</v>
      </c>
      <c r="L66">
        <v>14.498115587265049</v>
      </c>
      <c r="M66">
        <v>0</v>
      </c>
      <c r="N66">
        <v>0</v>
      </c>
      <c r="O66">
        <v>13.85762930642086</v>
      </c>
      <c r="P66">
        <v>14.498115587265049</v>
      </c>
      <c r="Q66">
        <v>0</v>
      </c>
      <c r="R66">
        <v>0</v>
      </c>
      <c r="S66">
        <v>0.5646085810429331</v>
      </c>
      <c r="T66">
        <v>0.5907042459080154</v>
      </c>
      <c r="U66">
        <v>0.56460858104293332</v>
      </c>
      <c r="V66">
        <v>0.5907042459080154</v>
      </c>
      <c r="W66">
        <v>0</v>
      </c>
      <c r="X66">
        <v>0</v>
      </c>
      <c r="Y66">
        <v>0</v>
      </c>
      <c r="Z66">
        <v>0</v>
      </c>
      <c r="AA66">
        <v>193.97380504054999</v>
      </c>
      <c r="AB66">
        <v>202.93908750153</v>
      </c>
      <c r="AC66">
        <f t="shared" si="0"/>
        <v>0.96085152765829029</v>
      </c>
      <c r="AD66">
        <f t="shared" si="1"/>
        <v>0.96085152765829029</v>
      </c>
      <c r="AE66">
        <f t="shared" si="2"/>
        <v>1</v>
      </c>
      <c r="AF66">
        <f t="shared" si="3"/>
        <v>0</v>
      </c>
      <c r="AG66">
        <f t="shared" si="4"/>
        <v>0</v>
      </c>
      <c r="AH66">
        <f t="shared" si="5"/>
        <v>3.9148472341709629E-2</v>
      </c>
      <c r="AI66">
        <f t="shared" si="6"/>
        <v>1</v>
      </c>
      <c r="AJ66">
        <f t="shared" si="7"/>
        <v>0</v>
      </c>
      <c r="AK66">
        <f t="shared" si="8"/>
        <v>0.15088819833173067</v>
      </c>
      <c r="AL66">
        <f t="shared" si="9"/>
        <v>0.14422237887463796</v>
      </c>
    </row>
    <row r="67" spans="1:38" x14ac:dyDescent="0.35">
      <c r="A67" t="s">
        <v>55</v>
      </c>
      <c r="B67" t="s">
        <v>67</v>
      </c>
      <c r="C67">
        <v>-8.1</v>
      </c>
      <c r="D67">
        <v>0</v>
      </c>
      <c r="E67">
        <v>-8.1</v>
      </c>
      <c r="F67">
        <v>0</v>
      </c>
      <c r="G67">
        <v>7.1492515149594507</v>
      </c>
      <c r="H67">
        <v>-0.35867162723845958</v>
      </c>
      <c r="I67">
        <v>7.5079231421979111</v>
      </c>
      <c r="J67">
        <v>0</v>
      </c>
      <c r="K67">
        <v>-1.974409057893133</v>
      </c>
      <c r="L67">
        <v>-2.4511712488266699</v>
      </c>
      <c r="M67">
        <v>0</v>
      </c>
      <c r="N67">
        <v>0</v>
      </c>
      <c r="O67">
        <v>-1.974409057893133</v>
      </c>
      <c r="P67">
        <v>-2.4511712488266699</v>
      </c>
      <c r="Q67">
        <v>0</v>
      </c>
      <c r="R67">
        <v>0</v>
      </c>
      <c r="S67">
        <v>1.742660117073104</v>
      </c>
      <c r="T67">
        <v>2.1634616992714961</v>
      </c>
      <c r="U67">
        <v>-8.7427717238133695E-2</v>
      </c>
      <c r="V67">
        <v>-0.1085389605502209</v>
      </c>
      <c r="W67">
        <v>1.8300878343112379</v>
      </c>
      <c r="X67">
        <v>2.2720006598217171</v>
      </c>
      <c r="Y67">
        <v>0</v>
      </c>
      <c r="Z67">
        <v>0</v>
      </c>
      <c r="AA67">
        <v>330.45426768437</v>
      </c>
      <c r="AB67">
        <v>410.24933347112</v>
      </c>
      <c r="AC67">
        <f t="shared" ref="AC67:AC130" si="10">C67/(C67+G67)</f>
        <v>8.5196033729725471</v>
      </c>
      <c r="AD67">
        <f t="shared" ref="AD67:AD130" si="11">(E67/(C67+G67))</f>
        <v>8.5196033729725471</v>
      </c>
      <c r="AE67">
        <f t="shared" ref="AE67:AE130" si="12">(E67/C67)</f>
        <v>1</v>
      </c>
      <c r="AF67">
        <f t="shared" ref="AF67:AF130" si="13">(D67/(C67+G67))</f>
        <v>0</v>
      </c>
      <c r="AG67">
        <f t="shared" ref="AG67:AG130" si="14">(D67/(C67))</f>
        <v>0</v>
      </c>
      <c r="AH67">
        <f t="shared" ref="AH67:AH130" si="15">(G67/(C67+G67))</f>
        <v>-7.5196033729725462</v>
      </c>
      <c r="AI67">
        <f t="shared" ref="AI67:AI130" si="16">(H67/G67)</f>
        <v>-5.0169115814146022E-2</v>
      </c>
      <c r="AJ67">
        <f t="shared" ref="AJ67:AJ130" si="17">I67/G67</f>
        <v>1.0501691158141462</v>
      </c>
      <c r="AK67">
        <f t="shared" ref="AK67:AK130" si="18">(C67+G67)/AA67</f>
        <v>-2.8770954955517373E-3</v>
      </c>
      <c r="AL67">
        <f t="shared" ref="AL67:AL130" si="19">(C67+G67)/AB67</f>
        <v>-2.3174894082002894E-3</v>
      </c>
    </row>
    <row r="68" spans="1:38" x14ac:dyDescent="0.35">
      <c r="A68" t="s">
        <v>56</v>
      </c>
      <c r="B68" t="s">
        <v>67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341.21592570296002</v>
      </c>
      <c r="AB68">
        <v>222.36238134761999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f t="shared" si="18"/>
        <v>0</v>
      </c>
      <c r="AL68">
        <f t="shared" si="19"/>
        <v>0</v>
      </c>
    </row>
    <row r="69" spans="1:38" x14ac:dyDescent="0.35">
      <c r="A69" t="s">
        <v>57</v>
      </c>
      <c r="B69" t="s">
        <v>67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181.71174374815001</v>
      </c>
      <c r="AB69">
        <v>99.489061173690004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f t="shared" si="18"/>
        <v>0</v>
      </c>
      <c r="AL69">
        <f t="shared" si="19"/>
        <v>0</v>
      </c>
    </row>
    <row r="70" spans="1:38" x14ac:dyDescent="0.35">
      <c r="A70" t="s">
        <v>58</v>
      </c>
      <c r="B70" t="s">
        <v>67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76.037366075549997</v>
      </c>
      <c r="AB70">
        <v>50.417977728389999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f t="shared" si="18"/>
        <v>0</v>
      </c>
      <c r="AL70">
        <f t="shared" si="19"/>
        <v>0</v>
      </c>
    </row>
    <row r="71" spans="1:38" x14ac:dyDescent="0.35">
      <c r="A71" t="s">
        <v>59</v>
      </c>
      <c r="B71" t="s">
        <v>67</v>
      </c>
      <c r="C71">
        <v>14.10043735832228</v>
      </c>
      <c r="D71">
        <v>0.8349841230760352</v>
      </c>
      <c r="E71">
        <v>13.265453235246239</v>
      </c>
      <c r="F71">
        <v>34.112156247618508</v>
      </c>
      <c r="G71">
        <v>-1.5797136210380349</v>
      </c>
      <c r="H71">
        <v>0</v>
      </c>
      <c r="I71">
        <v>-1.5797136210380349</v>
      </c>
      <c r="J71">
        <v>0</v>
      </c>
      <c r="K71">
        <v>2.5645492128637088</v>
      </c>
      <c r="L71">
        <v>2.706394591381724</v>
      </c>
      <c r="M71">
        <v>0.15186464229242369</v>
      </c>
      <c r="N71">
        <v>0.1602642852243748</v>
      </c>
      <c r="O71">
        <v>2.4126845705712858</v>
      </c>
      <c r="P71">
        <v>2.546130306157349</v>
      </c>
      <c r="Q71">
        <v>6.2042262399953607</v>
      </c>
      <c r="R71">
        <v>6.5473823841665366</v>
      </c>
      <c r="S71">
        <v>-0.28731401873801232</v>
      </c>
      <c r="T71">
        <v>-0.30320537521384239</v>
      </c>
      <c r="U71">
        <v>0</v>
      </c>
      <c r="V71">
        <v>0</v>
      </c>
      <c r="W71">
        <v>-0.28731401873801232</v>
      </c>
      <c r="X71">
        <v>-0.30320537521384239</v>
      </c>
      <c r="Y71">
        <v>0</v>
      </c>
      <c r="Z71">
        <v>0</v>
      </c>
      <c r="AA71">
        <v>521.00449074291998</v>
      </c>
      <c r="AB71">
        <v>549.82128194673999</v>
      </c>
      <c r="AC71">
        <f t="shared" si="10"/>
        <v>1.1261679160234133</v>
      </c>
      <c r="AD71">
        <f t="shared" si="11"/>
        <v>1.0594797484225562</v>
      </c>
      <c r="AE71">
        <f t="shared" si="12"/>
        <v>0.94078310467559922</v>
      </c>
      <c r="AF71">
        <f t="shared" si="13"/>
        <v>6.6688167600856593E-2</v>
      </c>
      <c r="AG71">
        <f t="shared" si="14"/>
        <v>5.9216895324400387E-2</v>
      </c>
      <c r="AH71">
        <f t="shared" si="15"/>
        <v>-0.12616791602341321</v>
      </c>
      <c r="AI71">
        <f t="shared" si="16"/>
        <v>0</v>
      </c>
      <c r="AJ71">
        <f t="shared" si="17"/>
        <v>1</v>
      </c>
      <c r="AK71">
        <f t="shared" si="18"/>
        <v>2.4031892161678822E-2</v>
      </c>
      <c r="AL71">
        <f t="shared" si="19"/>
        <v>2.2772351941256978E-2</v>
      </c>
    </row>
    <row r="72" spans="1:38" x14ac:dyDescent="0.35">
      <c r="A72" t="s">
        <v>60</v>
      </c>
      <c r="B72" t="s">
        <v>67</v>
      </c>
      <c r="C72">
        <v>30.27282054763505</v>
      </c>
      <c r="D72">
        <v>2.6975353066185428</v>
      </c>
      <c r="E72">
        <v>27.575285241016509</v>
      </c>
      <c r="F72">
        <v>0</v>
      </c>
      <c r="G72">
        <v>42.741449230002956</v>
      </c>
      <c r="H72">
        <v>-0.10838709000000001</v>
      </c>
      <c r="I72">
        <v>42.84983632000295</v>
      </c>
      <c r="J72">
        <v>0</v>
      </c>
      <c r="K72">
        <v>4.051990917785762</v>
      </c>
      <c r="L72">
        <v>5.1239153771523451</v>
      </c>
      <c r="M72">
        <v>0.3610627739699882</v>
      </c>
      <c r="N72">
        <v>0.45657928095087619</v>
      </c>
      <c r="O72">
        <v>3.6909281438157731</v>
      </c>
      <c r="P72">
        <v>4.6673360962014687</v>
      </c>
      <c r="Q72">
        <v>0</v>
      </c>
      <c r="R72">
        <v>0</v>
      </c>
      <c r="S72">
        <v>5.7209061118192661</v>
      </c>
      <c r="T72">
        <v>7.2343298374454648</v>
      </c>
      <c r="U72">
        <v>-1.4507518504731301E-2</v>
      </c>
      <c r="V72">
        <v>-1.83453760531468E-2</v>
      </c>
      <c r="W72">
        <v>5.7354136303239978</v>
      </c>
      <c r="X72">
        <v>7.2526752134986117</v>
      </c>
      <c r="Y72">
        <v>0</v>
      </c>
      <c r="Z72">
        <v>0</v>
      </c>
      <c r="AA72">
        <v>590.81421763174001</v>
      </c>
      <c r="AB72">
        <v>747.10978286638999</v>
      </c>
      <c r="AC72">
        <f t="shared" si="10"/>
        <v>0.4146151244110185</v>
      </c>
      <c r="AD72">
        <f t="shared" si="11"/>
        <v>0.37766980790187893</v>
      </c>
      <c r="AE72">
        <f t="shared" si="12"/>
        <v>0.91089250166254243</v>
      </c>
      <c r="AF72">
        <f t="shared" si="13"/>
        <v>3.6945316509139611E-2</v>
      </c>
      <c r="AG72">
        <f t="shared" si="14"/>
        <v>8.9107498337457611E-2</v>
      </c>
      <c r="AH72">
        <f t="shared" si="15"/>
        <v>0.58538487558898156</v>
      </c>
      <c r="AI72">
        <f t="shared" si="16"/>
        <v>-2.5358777475405813E-3</v>
      </c>
      <c r="AJ72">
        <f t="shared" si="17"/>
        <v>1.0025358777475404</v>
      </c>
      <c r="AK72">
        <f t="shared" si="18"/>
        <v>0.12358245214597811</v>
      </c>
      <c r="AL72">
        <f t="shared" si="19"/>
        <v>9.772897029605028E-2</v>
      </c>
    </row>
    <row r="73" spans="1:38" x14ac:dyDescent="0.35">
      <c r="A73" t="s">
        <v>61</v>
      </c>
      <c r="B73" t="s">
        <v>67</v>
      </c>
      <c r="C73">
        <v>13.597478788559121</v>
      </c>
      <c r="D73">
        <v>0.72138312864748477</v>
      </c>
      <c r="E73">
        <v>12.876095659911639</v>
      </c>
      <c r="F73">
        <v>-0.90363615542342723</v>
      </c>
      <c r="G73">
        <v>3.194495168104325</v>
      </c>
      <c r="H73">
        <v>0.18207469297122711</v>
      </c>
      <c r="I73">
        <v>3.0124204751330979</v>
      </c>
      <c r="J73">
        <v>0</v>
      </c>
      <c r="K73">
        <v>5.1906806204374947</v>
      </c>
      <c r="L73">
        <v>3.0813115073237962</v>
      </c>
      <c r="M73">
        <v>0.2753796850142286</v>
      </c>
      <c r="N73">
        <v>0.1634719325586298</v>
      </c>
      <c r="O73">
        <v>4.9153009354232662</v>
      </c>
      <c r="P73">
        <v>2.917839574765166</v>
      </c>
      <c r="Q73">
        <v>-0.34495267489070008</v>
      </c>
      <c r="R73">
        <v>-0.20477211455426669</v>
      </c>
      <c r="S73">
        <v>1.219461667784475</v>
      </c>
      <c r="T73">
        <v>0.72390145810355577</v>
      </c>
      <c r="U73">
        <v>6.95049130043911E-2</v>
      </c>
      <c r="V73">
        <v>4.1259769944758801E-2</v>
      </c>
      <c r="W73">
        <v>1.149956754780084</v>
      </c>
      <c r="X73">
        <v>0.68264168815879689</v>
      </c>
      <c r="Y73">
        <v>0</v>
      </c>
      <c r="Z73">
        <v>0</v>
      </c>
      <c r="AA73">
        <v>441.28867711817003</v>
      </c>
      <c r="AB73">
        <v>261.95945739796002</v>
      </c>
      <c r="AC73">
        <f t="shared" si="10"/>
        <v>0.80976059298634895</v>
      </c>
      <c r="AD73">
        <f t="shared" si="11"/>
        <v>0.76680059730572081</v>
      </c>
      <c r="AE73">
        <f t="shared" si="12"/>
        <v>0.94694728781232218</v>
      </c>
      <c r="AF73">
        <f t="shared" si="13"/>
        <v>4.2959995680628311E-2</v>
      </c>
      <c r="AG73">
        <f t="shared" si="14"/>
        <v>5.305271218767809E-2</v>
      </c>
      <c r="AH73">
        <f t="shared" si="15"/>
        <v>0.190239407013651</v>
      </c>
      <c r="AI73">
        <f t="shared" si="16"/>
        <v>5.699639016179002E-2</v>
      </c>
      <c r="AJ73">
        <f t="shared" si="17"/>
        <v>0.94300360983820997</v>
      </c>
      <c r="AK73">
        <f t="shared" si="18"/>
        <v>3.8052129654273514E-2</v>
      </c>
      <c r="AL73">
        <f t="shared" si="19"/>
        <v>6.4101422882219691E-2</v>
      </c>
    </row>
    <row r="74" spans="1:38" x14ac:dyDescent="0.35">
      <c r="A74" t="s">
        <v>62</v>
      </c>
      <c r="B74" t="s">
        <v>67</v>
      </c>
      <c r="C74">
        <v>3.824337949750285</v>
      </c>
      <c r="D74">
        <v>1.9136139057485111</v>
      </c>
      <c r="E74">
        <v>1.9107240440017741</v>
      </c>
      <c r="F74">
        <v>0.1050858816995338</v>
      </c>
      <c r="G74">
        <v>0.88649371445437386</v>
      </c>
      <c r="H74">
        <v>0.88649371445437386</v>
      </c>
      <c r="I74">
        <v>0</v>
      </c>
      <c r="J74">
        <v>0</v>
      </c>
      <c r="K74">
        <v>1.189879040716451</v>
      </c>
      <c r="L74">
        <v>0.55387529870065522</v>
      </c>
      <c r="M74">
        <v>0.59538908652734979</v>
      </c>
      <c r="N74">
        <v>0.27714691734118102</v>
      </c>
      <c r="O74">
        <v>0.59448995418910144</v>
      </c>
      <c r="P74">
        <v>0.27672838135947408</v>
      </c>
      <c r="Q74">
        <v>3.2695721390848399E-2</v>
      </c>
      <c r="R74">
        <v>1.5219490243886901E-2</v>
      </c>
      <c r="S74">
        <v>0.27581775052725399</v>
      </c>
      <c r="T74">
        <v>0.12839005792407299</v>
      </c>
      <c r="U74">
        <v>0.27581775052725399</v>
      </c>
      <c r="V74">
        <v>0.12839005792407299</v>
      </c>
      <c r="W74">
        <v>0</v>
      </c>
      <c r="X74">
        <v>0</v>
      </c>
      <c r="Y74">
        <v>0</v>
      </c>
      <c r="Z74">
        <v>0</v>
      </c>
      <c r="AA74">
        <v>690.46912883131995</v>
      </c>
      <c r="AB74">
        <v>321.40560669490998</v>
      </c>
      <c r="AC74">
        <f t="shared" si="10"/>
        <v>0.81181800207585153</v>
      </c>
      <c r="AD74">
        <f t="shared" si="11"/>
        <v>0.40560227581903335</v>
      </c>
      <c r="AE74">
        <f t="shared" si="12"/>
        <v>0.49962217489867422</v>
      </c>
      <c r="AF74">
        <f t="shared" si="13"/>
        <v>0.40621572625681818</v>
      </c>
      <c r="AG74">
        <f t="shared" si="14"/>
        <v>0.50037782510132578</v>
      </c>
      <c r="AH74">
        <f t="shared" si="15"/>
        <v>0.18818199792414844</v>
      </c>
      <c r="AI74">
        <f t="shared" si="16"/>
        <v>1</v>
      </c>
      <c r="AJ74">
        <f t="shared" si="17"/>
        <v>0</v>
      </c>
      <c r="AK74">
        <f t="shared" si="18"/>
        <v>6.8226535662472823E-3</v>
      </c>
      <c r="AL74">
        <f t="shared" si="19"/>
        <v>1.4656967912437053E-2</v>
      </c>
    </row>
    <row r="75" spans="1:38" x14ac:dyDescent="0.35">
      <c r="A75" t="s">
        <v>63</v>
      </c>
      <c r="B75" t="s">
        <v>67</v>
      </c>
      <c r="C75">
        <v>7.0499999999999993E-2</v>
      </c>
      <c r="D75">
        <v>0</v>
      </c>
      <c r="E75">
        <v>7.0499999999999993E-2</v>
      </c>
      <c r="F75">
        <v>0.40684985167435311</v>
      </c>
      <c r="G75">
        <v>0</v>
      </c>
      <c r="H75">
        <v>0</v>
      </c>
      <c r="I75">
        <v>0</v>
      </c>
      <c r="J75">
        <v>0</v>
      </c>
      <c r="K75">
        <v>0.1095018154854439</v>
      </c>
      <c r="L75">
        <v>7.7274257091453996E-2</v>
      </c>
      <c r="M75">
        <v>0</v>
      </c>
      <c r="N75">
        <v>0</v>
      </c>
      <c r="O75">
        <v>0.1095018154854439</v>
      </c>
      <c r="P75">
        <v>7.7274257091453996E-2</v>
      </c>
      <c r="Q75">
        <v>0.63192620408972</v>
      </c>
      <c r="R75">
        <v>0.4459435466085665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91.233487908610002</v>
      </c>
      <c r="AB75">
        <v>64.38249419652</v>
      </c>
      <c r="AC75">
        <f t="shared" si="10"/>
        <v>1</v>
      </c>
      <c r="AD75">
        <f t="shared" si="11"/>
        <v>1</v>
      </c>
      <c r="AE75">
        <f t="shared" si="12"/>
        <v>1</v>
      </c>
      <c r="AF75">
        <f t="shared" si="13"/>
        <v>0</v>
      </c>
      <c r="AG75">
        <f t="shared" si="14"/>
        <v>0</v>
      </c>
      <c r="AH75">
        <f t="shared" si="15"/>
        <v>0</v>
      </c>
      <c r="AI75">
        <v>0</v>
      </c>
      <c r="AJ75">
        <v>0</v>
      </c>
      <c r="AK75">
        <f t="shared" si="18"/>
        <v>7.727425709145411E-4</v>
      </c>
      <c r="AL75">
        <f t="shared" si="19"/>
        <v>1.0950181548544395E-3</v>
      </c>
    </row>
    <row r="76" spans="1:38" x14ac:dyDescent="0.35">
      <c r="A76" t="s">
        <v>64</v>
      </c>
      <c r="B76" t="s">
        <v>67</v>
      </c>
      <c r="C76">
        <v>1.7694150329493319</v>
      </c>
      <c r="D76">
        <v>1.7694150329493319</v>
      </c>
      <c r="E76">
        <v>0</v>
      </c>
      <c r="F76">
        <v>0</v>
      </c>
      <c r="G76">
        <v>6.6270225953158493</v>
      </c>
      <c r="H76">
        <v>0</v>
      </c>
      <c r="I76">
        <v>6.6270225953158493</v>
      </c>
      <c r="J76">
        <v>0</v>
      </c>
      <c r="K76">
        <v>1.2005477809936591</v>
      </c>
      <c r="L76">
        <v>0.57098503498506004</v>
      </c>
      <c r="M76">
        <v>1.2005477809936591</v>
      </c>
      <c r="N76">
        <v>0.57098503498505992</v>
      </c>
      <c r="O76">
        <v>0</v>
      </c>
      <c r="P76">
        <v>0</v>
      </c>
      <c r="Q76">
        <v>0</v>
      </c>
      <c r="R76">
        <v>0</v>
      </c>
      <c r="S76">
        <v>4.4964336366803703</v>
      </c>
      <c r="T76">
        <v>2.1385207302811242</v>
      </c>
      <c r="U76">
        <v>0</v>
      </c>
      <c r="V76">
        <v>0</v>
      </c>
      <c r="W76">
        <v>4.4964336366803703</v>
      </c>
      <c r="X76">
        <v>2.1385207302811242</v>
      </c>
      <c r="Y76">
        <v>0</v>
      </c>
      <c r="Z76">
        <v>0</v>
      </c>
      <c r="AA76">
        <v>309.88816247970999</v>
      </c>
      <c r="AB76">
        <v>147.38397429586999</v>
      </c>
      <c r="AC76">
        <f t="shared" si="10"/>
        <v>0.21073401736385164</v>
      </c>
      <c r="AD76">
        <f t="shared" si="11"/>
        <v>0</v>
      </c>
      <c r="AE76">
        <f t="shared" si="12"/>
        <v>0</v>
      </c>
      <c r="AF76">
        <f t="shared" si="13"/>
        <v>0.21073401736385164</v>
      </c>
      <c r="AG76">
        <f t="shared" si="14"/>
        <v>1</v>
      </c>
      <c r="AH76">
        <f t="shared" si="15"/>
        <v>0.78926598263614844</v>
      </c>
      <c r="AI76">
        <f t="shared" si="16"/>
        <v>0</v>
      </c>
      <c r="AJ76">
        <f t="shared" si="17"/>
        <v>1</v>
      </c>
      <c r="AK76">
        <f t="shared" si="18"/>
        <v>2.7095057652661837E-2</v>
      </c>
      <c r="AL76">
        <f t="shared" si="19"/>
        <v>5.696981417674029E-2</v>
      </c>
    </row>
    <row r="77" spans="1:38" x14ac:dyDescent="0.35">
      <c r="A77" t="s">
        <v>65</v>
      </c>
      <c r="B77" t="s">
        <v>67</v>
      </c>
      <c r="C77">
        <v>26.050977899376029</v>
      </c>
      <c r="D77">
        <v>-5.7942536941247962</v>
      </c>
      <c r="E77">
        <v>31.84523159350082</v>
      </c>
      <c r="F77">
        <v>0</v>
      </c>
      <c r="G77">
        <v>2.2029678393841219</v>
      </c>
      <c r="H77">
        <v>0</v>
      </c>
      <c r="I77">
        <v>2.2029678393841219</v>
      </c>
      <c r="J77">
        <v>9.8869334416288517</v>
      </c>
      <c r="K77">
        <v>4.5583264760584807</v>
      </c>
      <c r="L77">
        <v>2.1433674290645</v>
      </c>
      <c r="M77">
        <v>-1.013862133120206</v>
      </c>
      <c r="N77">
        <v>-0.4767273878045557</v>
      </c>
      <c r="O77">
        <v>5.5721886091786867</v>
      </c>
      <c r="P77">
        <v>2.620094816869055</v>
      </c>
      <c r="Q77">
        <v>0</v>
      </c>
      <c r="R77">
        <v>0</v>
      </c>
      <c r="S77">
        <v>0.38546908553519321</v>
      </c>
      <c r="T77">
        <v>0.1812511427575092</v>
      </c>
      <c r="U77">
        <v>0</v>
      </c>
      <c r="V77">
        <v>0</v>
      </c>
      <c r="W77">
        <v>0.38546908553519321</v>
      </c>
      <c r="X77">
        <v>0.1812511427575092</v>
      </c>
      <c r="Y77">
        <v>1.7299876668001879</v>
      </c>
      <c r="Z77">
        <v>0.81345626233184243</v>
      </c>
      <c r="AA77">
        <v>1215.4228689920101</v>
      </c>
      <c r="AB77">
        <v>571.50311712429004</v>
      </c>
      <c r="AC77">
        <f t="shared" si="10"/>
        <v>0.92202972782091874</v>
      </c>
      <c r="AD77">
        <f t="shared" si="11"/>
        <v>1.1271074096321338</v>
      </c>
      <c r="AE77">
        <f t="shared" si="12"/>
        <v>1.2224198153522512</v>
      </c>
      <c r="AF77">
        <f t="shared" si="13"/>
        <v>-0.20507768181121527</v>
      </c>
      <c r="AG77">
        <f t="shared" si="14"/>
        <v>-0.2224198153522513</v>
      </c>
      <c r="AH77">
        <f t="shared" si="15"/>
        <v>7.7970272179081257E-2</v>
      </c>
      <c r="AI77">
        <f t="shared" si="16"/>
        <v>0</v>
      </c>
      <c r="AJ77">
        <f t="shared" si="17"/>
        <v>1</v>
      </c>
      <c r="AK77">
        <f t="shared" si="18"/>
        <v>2.324618571822009E-2</v>
      </c>
      <c r="AL77">
        <f t="shared" si="19"/>
        <v>4.9437955615936745E-2</v>
      </c>
    </row>
    <row r="78" spans="1:38" x14ac:dyDescent="0.35">
      <c r="A78" t="s">
        <v>28</v>
      </c>
      <c r="B78" t="s">
        <v>68</v>
      </c>
      <c r="C78">
        <v>46.163418043456417</v>
      </c>
      <c r="D78">
        <v>3.337102314023733</v>
      </c>
      <c r="E78">
        <v>42.826315729432679</v>
      </c>
      <c r="F78">
        <v>0</v>
      </c>
      <c r="G78">
        <v>1.1942170290034011</v>
      </c>
      <c r="H78">
        <v>0.5118072981443138</v>
      </c>
      <c r="I78">
        <v>0.68240973085908685</v>
      </c>
      <c r="J78">
        <v>0</v>
      </c>
      <c r="K78">
        <v>3.0883222221251301</v>
      </c>
      <c r="L78">
        <v>3.7637852817975812</v>
      </c>
      <c r="M78">
        <v>0.2232513897520107</v>
      </c>
      <c r="N78">
        <v>0.2720798655236395</v>
      </c>
      <c r="O78">
        <v>2.86507083237312</v>
      </c>
      <c r="P78">
        <v>3.4917054162739412</v>
      </c>
      <c r="Q78">
        <v>0</v>
      </c>
      <c r="R78">
        <v>0</v>
      </c>
      <c r="S78">
        <v>7.9892849035562999E-2</v>
      </c>
      <c r="T78">
        <v>9.7366630711873001E-2</v>
      </c>
      <c r="U78">
        <v>3.42397924438127E-2</v>
      </c>
      <c r="V78">
        <v>4.1728556019374002E-2</v>
      </c>
      <c r="W78">
        <v>4.5653056591750403E-2</v>
      </c>
      <c r="X78">
        <v>5.5638074692498901E-2</v>
      </c>
      <c r="Y78">
        <v>0</v>
      </c>
      <c r="Z78">
        <v>0</v>
      </c>
      <c r="AA78">
        <v>1226.51571721458</v>
      </c>
      <c r="AB78">
        <v>1494.77336635199</v>
      </c>
      <c r="AC78">
        <f t="shared" si="10"/>
        <v>0.97478300959969422</v>
      </c>
      <c r="AD78">
        <f t="shared" si="11"/>
        <v>0.90431702647114931</v>
      </c>
      <c r="AE78">
        <f t="shared" si="12"/>
        <v>0.92771110859073902</v>
      </c>
      <c r="AF78">
        <f t="shared" si="13"/>
        <v>7.0465983128544754E-2</v>
      </c>
      <c r="AG78">
        <f t="shared" si="14"/>
        <v>7.2288891409260828E-2</v>
      </c>
      <c r="AH78">
        <f t="shared" si="15"/>
        <v>2.5216990400305728E-2</v>
      </c>
      <c r="AI78">
        <f t="shared" si="16"/>
        <v>0.42857142857142777</v>
      </c>
      <c r="AJ78">
        <f t="shared" si="17"/>
        <v>0.57142857142857184</v>
      </c>
      <c r="AK78">
        <f t="shared" si="18"/>
        <v>3.8611519125094557E-2</v>
      </c>
      <c r="AL78">
        <f t="shared" si="19"/>
        <v>3.1682150711606953E-2</v>
      </c>
    </row>
    <row r="79" spans="1:38" x14ac:dyDescent="0.35">
      <c r="A79" t="s">
        <v>29</v>
      </c>
      <c r="B79" t="s">
        <v>68</v>
      </c>
      <c r="C79">
        <v>113.24279834523109</v>
      </c>
      <c r="D79">
        <v>11.814177619868021</v>
      </c>
      <c r="E79">
        <v>101.4286207253631</v>
      </c>
      <c r="F79">
        <v>1.891168170782322</v>
      </c>
      <c r="G79">
        <v>17.661004631055771</v>
      </c>
      <c r="H79">
        <v>0.25966520513249008</v>
      </c>
      <c r="I79">
        <v>17.401339425923279</v>
      </c>
      <c r="J79">
        <v>0</v>
      </c>
      <c r="K79">
        <v>6.6746704355389079</v>
      </c>
      <c r="L79">
        <v>6.570558560398025</v>
      </c>
      <c r="M79">
        <v>0.69634222424581427</v>
      </c>
      <c r="N79">
        <v>0.6854806400812995</v>
      </c>
      <c r="O79">
        <v>5.9783282112930944</v>
      </c>
      <c r="P79">
        <v>5.8850779203167258</v>
      </c>
      <c r="Q79">
        <v>0.1114677883503971</v>
      </c>
      <c r="R79">
        <v>0.10972910768068581</v>
      </c>
      <c r="S79">
        <v>1.040961431502702</v>
      </c>
      <c r="T79">
        <v>1.02472445806263</v>
      </c>
      <c r="U79">
        <v>1.5304987983008099E-2</v>
      </c>
      <c r="V79">
        <v>1.50662599419298E-2</v>
      </c>
      <c r="W79">
        <v>1.025656443519694</v>
      </c>
      <c r="X79">
        <v>1.0096581981207</v>
      </c>
      <c r="Y79">
        <v>0</v>
      </c>
      <c r="Z79">
        <v>0</v>
      </c>
      <c r="AA79">
        <v>1723.48815255626</v>
      </c>
      <c r="AB79">
        <v>1696.60508992738</v>
      </c>
      <c r="AC79">
        <f t="shared" si="10"/>
        <v>0.86508409817356446</v>
      </c>
      <c r="AD79">
        <f t="shared" si="11"/>
        <v>0.77483326243575079</v>
      </c>
      <c r="AE79">
        <f t="shared" si="12"/>
        <v>0.89567391664190965</v>
      </c>
      <c r="AF79">
        <f t="shared" si="13"/>
        <v>9.0250835737813909E-2</v>
      </c>
      <c r="AG79">
        <f t="shared" si="14"/>
        <v>0.10432608335809057</v>
      </c>
      <c r="AH79">
        <f t="shared" si="15"/>
        <v>0.13491590182643548</v>
      </c>
      <c r="AI79">
        <f t="shared" si="16"/>
        <v>1.4702742599131936E-2</v>
      </c>
      <c r="AJ79">
        <f t="shared" si="17"/>
        <v>0.98529725740086793</v>
      </c>
      <c r="AK79">
        <f t="shared" si="18"/>
        <v>7.5952830184606537E-2</v>
      </c>
      <c r="AL79">
        <f t="shared" si="19"/>
        <v>7.7156318670416085E-2</v>
      </c>
    </row>
    <row r="80" spans="1:38" x14ac:dyDescent="0.35">
      <c r="A80" t="s">
        <v>30</v>
      </c>
      <c r="B80" t="s">
        <v>68</v>
      </c>
      <c r="C80">
        <v>70.901973614972704</v>
      </c>
      <c r="D80">
        <v>7.2616030042740149</v>
      </c>
      <c r="E80">
        <v>63.640370610698689</v>
      </c>
      <c r="F80">
        <v>3.9364390609140609</v>
      </c>
      <c r="G80">
        <v>21.5156707802334</v>
      </c>
      <c r="H80">
        <v>1.056915872570517</v>
      </c>
      <c r="I80">
        <v>20.458754907662861</v>
      </c>
      <c r="J80">
        <v>0</v>
      </c>
      <c r="K80">
        <v>2.709478573720514</v>
      </c>
      <c r="L80">
        <v>2.4389326619495169</v>
      </c>
      <c r="M80">
        <v>0.27749802646946448</v>
      </c>
      <c r="N80">
        <v>0.2497893900868029</v>
      </c>
      <c r="O80">
        <v>2.4319805472510501</v>
      </c>
      <c r="P80">
        <v>2.1891432718627142</v>
      </c>
      <c r="Q80">
        <v>0.15042877861513879</v>
      </c>
      <c r="R80">
        <v>0.13540821655505689</v>
      </c>
      <c r="S80">
        <v>0.82220911500771621</v>
      </c>
      <c r="T80">
        <v>0.7401101765463789</v>
      </c>
      <c r="U80">
        <v>4.0389438614303899E-2</v>
      </c>
      <c r="V80">
        <v>3.6356486443428898E-2</v>
      </c>
      <c r="W80">
        <v>0.7818196763934111</v>
      </c>
      <c r="X80">
        <v>0.70375369010294975</v>
      </c>
      <c r="Y80">
        <v>0</v>
      </c>
      <c r="Z80">
        <v>0</v>
      </c>
      <c r="AA80">
        <v>2907.0902498102801</v>
      </c>
      <c r="AB80">
        <v>2616.8124857180101</v>
      </c>
      <c r="AC80">
        <f t="shared" si="10"/>
        <v>0.76719087657952179</v>
      </c>
      <c r="AD80">
        <f t="shared" si="11"/>
        <v>0.68861710366207785</v>
      </c>
      <c r="AE80">
        <f t="shared" si="12"/>
        <v>0.89758249828548431</v>
      </c>
      <c r="AF80">
        <f t="shared" si="13"/>
        <v>7.8573772917443982E-2</v>
      </c>
      <c r="AG80">
        <f t="shared" si="14"/>
        <v>0.10241750171451572</v>
      </c>
      <c r="AH80">
        <f t="shared" si="15"/>
        <v>0.23280912342047816</v>
      </c>
      <c r="AI80">
        <f t="shared" si="16"/>
        <v>4.9123073287657533E-2</v>
      </c>
      <c r="AJ80">
        <f t="shared" si="17"/>
        <v>0.95087692671234147</v>
      </c>
      <c r="AK80">
        <f t="shared" si="18"/>
        <v>3.1790428384958942E-2</v>
      </c>
      <c r="AL80">
        <f t="shared" si="19"/>
        <v>3.5316876887282293E-2</v>
      </c>
    </row>
    <row r="81" spans="1:38" x14ac:dyDescent="0.35">
      <c r="A81" t="s">
        <v>31</v>
      </c>
      <c r="B81" t="s">
        <v>68</v>
      </c>
      <c r="C81">
        <v>-16.70840364673353</v>
      </c>
      <c r="D81">
        <v>1.1575745271012181</v>
      </c>
      <c r="E81">
        <v>-17.86597817383478</v>
      </c>
      <c r="F81">
        <v>0</v>
      </c>
      <c r="G81">
        <v>51.335913810575683</v>
      </c>
      <c r="H81">
        <v>10.065865453054069</v>
      </c>
      <c r="I81">
        <v>41.270048357521659</v>
      </c>
      <c r="J81">
        <v>0</v>
      </c>
      <c r="K81">
        <v>-0.46446843798251258</v>
      </c>
      <c r="L81">
        <v>-0.4014720796169966</v>
      </c>
      <c r="M81">
        <v>3.2178827123089997E-2</v>
      </c>
      <c r="N81">
        <v>2.7814377874324499E-2</v>
      </c>
      <c r="O81">
        <v>-0.49664726510560259</v>
      </c>
      <c r="P81">
        <v>-0.42928645749132061</v>
      </c>
      <c r="Q81">
        <v>0</v>
      </c>
      <c r="R81">
        <v>0</v>
      </c>
      <c r="S81">
        <v>1.42706102893704</v>
      </c>
      <c r="T81">
        <v>1.2335071926874259</v>
      </c>
      <c r="U81">
        <v>0.2798158880268708</v>
      </c>
      <c r="V81">
        <v>0.24186415542890849</v>
      </c>
      <c r="W81">
        <v>1.1472451409101689</v>
      </c>
      <c r="X81">
        <v>0.99164303725851966</v>
      </c>
      <c r="Y81">
        <v>0</v>
      </c>
      <c r="Z81">
        <v>0</v>
      </c>
      <c r="AA81">
        <v>4161.7847155581303</v>
      </c>
      <c r="AB81">
        <v>3597.3173374942398</v>
      </c>
      <c r="AC81">
        <f t="shared" si="10"/>
        <v>-0.48251819341548696</v>
      </c>
      <c r="AD81">
        <f t="shared" si="11"/>
        <v>-0.51594752522779797</v>
      </c>
      <c r="AE81">
        <f t="shared" si="12"/>
        <v>1.0692809769009592</v>
      </c>
      <c r="AF81">
        <f t="shared" si="13"/>
        <v>3.3429331812310052E-2</v>
      </c>
      <c r="AG81">
        <f t="shared" si="14"/>
        <v>-6.92809769009574E-2</v>
      </c>
      <c r="AH81">
        <f t="shared" si="15"/>
        <v>1.482518193415487</v>
      </c>
      <c r="AI81">
        <f t="shared" si="16"/>
        <v>0.19607843137254929</v>
      </c>
      <c r="AJ81">
        <f t="shared" si="17"/>
        <v>0.80392156862745157</v>
      </c>
      <c r="AK81">
        <f t="shared" si="18"/>
        <v>8.3203511307043451E-3</v>
      </c>
      <c r="AL81">
        <f t="shared" si="19"/>
        <v>9.6259259095452538E-3</v>
      </c>
    </row>
    <row r="82" spans="1:38" x14ac:dyDescent="0.35">
      <c r="A82" t="s">
        <v>32</v>
      </c>
      <c r="B82" t="s">
        <v>68</v>
      </c>
      <c r="C82">
        <v>31.347147941889091</v>
      </c>
      <c r="D82">
        <v>0.32714062722420761</v>
      </c>
      <c r="E82">
        <v>31.020007314664891</v>
      </c>
      <c r="F82">
        <v>0.35230529085683848</v>
      </c>
      <c r="G82">
        <v>26.783472160680049</v>
      </c>
      <c r="H82">
        <v>0.1089287100907681</v>
      </c>
      <c r="I82">
        <v>26.67454345058934</v>
      </c>
      <c r="J82">
        <v>0</v>
      </c>
      <c r="K82">
        <v>1.634232122419994</v>
      </c>
      <c r="L82">
        <v>1.3409627752186619</v>
      </c>
      <c r="M82">
        <v>1.7054939816199599E-2</v>
      </c>
      <c r="N82">
        <v>1.3994364150211399E-2</v>
      </c>
      <c r="O82">
        <v>1.6171771826037951</v>
      </c>
      <c r="P82">
        <v>1.3269684110684501</v>
      </c>
      <c r="Q82">
        <v>1.83668582635995E-2</v>
      </c>
      <c r="R82">
        <v>1.5070853700227701E-2</v>
      </c>
      <c r="S82">
        <v>1.3963123738104031</v>
      </c>
      <c r="T82">
        <v>1.145738656197917</v>
      </c>
      <c r="U82">
        <v>5.6788195664278004E-3</v>
      </c>
      <c r="V82">
        <v>4.6597331806736003E-3</v>
      </c>
      <c r="W82">
        <v>1.3906335542439729</v>
      </c>
      <c r="X82">
        <v>1.1410789230172469</v>
      </c>
      <c r="Y82">
        <v>0</v>
      </c>
      <c r="Z82">
        <v>0</v>
      </c>
      <c r="AA82">
        <v>2337.6598158571201</v>
      </c>
      <c r="AB82">
        <v>1918.15761738117</v>
      </c>
      <c r="AC82">
        <f t="shared" si="10"/>
        <v>0.53925363064385534</v>
      </c>
      <c r="AD82">
        <f t="shared" si="11"/>
        <v>0.53362594893932558</v>
      </c>
      <c r="AE82">
        <f t="shared" si="12"/>
        <v>0.98956394285596094</v>
      </c>
      <c r="AF82">
        <f t="shared" si="13"/>
        <v>5.6276817045299212E-3</v>
      </c>
      <c r="AG82">
        <f t="shared" si="14"/>
        <v>1.0436057144039272E-2</v>
      </c>
      <c r="AH82">
        <f t="shared" si="15"/>
        <v>0.46074636935614466</v>
      </c>
      <c r="AI82">
        <f t="shared" si="16"/>
        <v>4.0670122767235096E-3</v>
      </c>
      <c r="AJ82">
        <f t="shared" si="17"/>
        <v>0.99593298772327876</v>
      </c>
      <c r="AK82">
        <f t="shared" si="18"/>
        <v>2.4867014314165777E-2</v>
      </c>
      <c r="AL82">
        <f t="shared" si="19"/>
        <v>3.0305444962303956E-2</v>
      </c>
    </row>
    <row r="83" spans="1:38" x14ac:dyDescent="0.35">
      <c r="A83" t="s">
        <v>33</v>
      </c>
      <c r="B83" t="s">
        <v>68</v>
      </c>
      <c r="C83">
        <v>3.981017193766661</v>
      </c>
      <c r="D83">
        <v>9.1514411801517923</v>
      </c>
      <c r="E83">
        <v>-5.170423986385174</v>
      </c>
      <c r="F83">
        <v>-1.127298094776165</v>
      </c>
      <c r="G83">
        <v>-0.68071461876866124</v>
      </c>
      <c r="H83">
        <v>0</v>
      </c>
      <c r="I83">
        <v>-0.68071461876866124</v>
      </c>
      <c r="J83">
        <v>-4.7259804742539018</v>
      </c>
      <c r="K83">
        <v>8.7220138981422196E-2</v>
      </c>
      <c r="L83">
        <v>7.4762960982461296E-2</v>
      </c>
      <c r="M83">
        <v>0.20049900132632581</v>
      </c>
      <c r="N83">
        <v>0.17186281962214989</v>
      </c>
      <c r="O83">
        <v>-0.1132788623449041</v>
      </c>
      <c r="P83">
        <v>-9.7099858639687397E-2</v>
      </c>
      <c r="Q83">
        <v>-2.4697983383197699E-2</v>
      </c>
      <c r="R83">
        <v>-2.1170504766298601E-2</v>
      </c>
      <c r="S83">
        <v>-1.4913782273698601E-2</v>
      </c>
      <c r="T83">
        <v>-1.2783727878110799E-2</v>
      </c>
      <c r="U83">
        <v>0</v>
      </c>
      <c r="V83">
        <v>0</v>
      </c>
      <c r="W83">
        <v>-1.4913782273698601E-2</v>
      </c>
      <c r="X83">
        <v>-1.2783727878110799E-2</v>
      </c>
      <c r="Y83">
        <v>-0.103541545721864</v>
      </c>
      <c r="Z83">
        <v>-8.8753269981790298E-2</v>
      </c>
      <c r="AA83">
        <v>5324.8522282316499</v>
      </c>
      <c r="AB83">
        <v>4564.3325500944502</v>
      </c>
      <c r="AC83">
        <f t="shared" si="10"/>
        <v>1.2062582455092239</v>
      </c>
      <c r="AD83">
        <f t="shared" si="11"/>
        <v>-1.5666515020636578</v>
      </c>
      <c r="AE83">
        <f t="shared" si="12"/>
        <v>-1.2987695693655494</v>
      </c>
      <c r="AF83">
        <f t="shared" si="13"/>
        <v>2.7729097475728688</v>
      </c>
      <c r="AG83">
        <f t="shared" si="14"/>
        <v>2.2987695693655388</v>
      </c>
      <c r="AH83">
        <f t="shared" si="15"/>
        <v>-0.20625824550922389</v>
      </c>
      <c r="AI83">
        <f t="shared" si="16"/>
        <v>0</v>
      </c>
      <c r="AJ83">
        <f t="shared" si="17"/>
        <v>1</v>
      </c>
      <c r="AK83">
        <f t="shared" si="18"/>
        <v>6.1979233104352449E-4</v>
      </c>
      <c r="AL83">
        <f t="shared" si="19"/>
        <v>7.2306356707722938E-4</v>
      </c>
    </row>
    <row r="84" spans="1:38" x14ac:dyDescent="0.35">
      <c r="A84" t="s">
        <v>34</v>
      </c>
      <c r="B84" t="s">
        <v>68</v>
      </c>
      <c r="C84">
        <v>7.6111093494739919</v>
      </c>
      <c r="D84">
        <v>0.4779750571525323</v>
      </c>
      <c r="E84">
        <v>7.1331342923214649</v>
      </c>
      <c r="F84">
        <v>0.43330405987938642</v>
      </c>
      <c r="G84">
        <v>31.181274689127051</v>
      </c>
      <c r="H84">
        <v>0</v>
      </c>
      <c r="I84">
        <v>31.181274689127051</v>
      </c>
      <c r="J84">
        <v>-16.443131650412699</v>
      </c>
      <c r="K84">
        <v>0.4646170053367924</v>
      </c>
      <c r="L84">
        <v>0.35293158772990241</v>
      </c>
      <c r="M84">
        <v>2.91777886091256E-2</v>
      </c>
      <c r="N84">
        <v>2.2163982682470801E-2</v>
      </c>
      <c r="O84">
        <v>0.435439216727667</v>
      </c>
      <c r="P84">
        <v>0.33076760504743152</v>
      </c>
      <c r="Q84">
        <v>2.64508661559761E-2</v>
      </c>
      <c r="R84">
        <v>2.0092562437512999E-2</v>
      </c>
      <c r="S84">
        <v>1.903447947393816</v>
      </c>
      <c r="T84">
        <v>1.445893926650307</v>
      </c>
      <c r="U84">
        <v>0</v>
      </c>
      <c r="V84">
        <v>0</v>
      </c>
      <c r="W84">
        <v>1.903447947393816</v>
      </c>
      <c r="X84">
        <v>1.445893926650307</v>
      </c>
      <c r="Y84">
        <v>-1.0037641341076471</v>
      </c>
      <c r="Z84">
        <v>-0.76247762240244477</v>
      </c>
      <c r="AA84">
        <v>2156.5395714307001</v>
      </c>
      <c r="AB84">
        <v>1638.14696019506</v>
      </c>
      <c r="AC84">
        <f t="shared" si="10"/>
        <v>0.19620112396032233</v>
      </c>
      <c r="AD84">
        <f t="shared" si="11"/>
        <v>0.18387976065671846</v>
      </c>
      <c r="AE84">
        <f t="shared" si="12"/>
        <v>0.93720034291905685</v>
      </c>
      <c r="AF84">
        <f t="shared" si="13"/>
        <v>1.2321363303603996E-2</v>
      </c>
      <c r="AG84">
        <f t="shared" si="14"/>
        <v>6.2799657080943844E-2</v>
      </c>
      <c r="AH84">
        <f t="shared" si="15"/>
        <v>0.8037988760396777</v>
      </c>
      <c r="AI84">
        <f t="shared" si="16"/>
        <v>0</v>
      </c>
      <c r="AJ84">
        <f t="shared" si="17"/>
        <v>1</v>
      </c>
      <c r="AK84">
        <f t="shared" si="18"/>
        <v>1.798825514380209E-2</v>
      </c>
      <c r="AL84">
        <f t="shared" si="19"/>
        <v>2.3680649527306082E-2</v>
      </c>
    </row>
    <row r="85" spans="1:38" x14ac:dyDescent="0.35">
      <c r="A85" t="s">
        <v>35</v>
      </c>
      <c r="B85" t="s">
        <v>68</v>
      </c>
      <c r="C85">
        <v>3.7753618885319331</v>
      </c>
      <c r="D85">
        <v>1.3595775049326151</v>
      </c>
      <c r="E85">
        <v>2.4157843835993238</v>
      </c>
      <c r="F85">
        <v>0</v>
      </c>
      <c r="G85">
        <v>50.527542741764933</v>
      </c>
      <c r="H85">
        <v>0.55038566188227755</v>
      </c>
      <c r="I85">
        <v>49.977157079882673</v>
      </c>
      <c r="J85">
        <v>0.50329327265262691</v>
      </c>
      <c r="K85">
        <v>0.2851657346450196</v>
      </c>
      <c r="L85">
        <v>0.2101477142769097</v>
      </c>
      <c r="M85">
        <v>0.1026934448797204</v>
      </c>
      <c r="N85">
        <v>7.56780709981138E-2</v>
      </c>
      <c r="O85">
        <v>0.182472289765299</v>
      </c>
      <c r="P85">
        <v>0.1344696432787959</v>
      </c>
      <c r="Q85">
        <v>0</v>
      </c>
      <c r="R85">
        <v>0</v>
      </c>
      <c r="S85">
        <v>3.816514620633074</v>
      </c>
      <c r="T85">
        <v>2.8125112052078598</v>
      </c>
      <c r="U85">
        <v>4.1572473379439603E-2</v>
      </c>
      <c r="V85">
        <v>3.0636079991876099E-2</v>
      </c>
      <c r="W85">
        <v>3.7749421472536331</v>
      </c>
      <c r="X85">
        <v>2.7818751252159828</v>
      </c>
      <c r="Y85">
        <v>3.8015427414745603E-2</v>
      </c>
      <c r="Z85">
        <v>2.8014779505024501E-2</v>
      </c>
      <c r="AA85">
        <v>1796.5276955414199</v>
      </c>
      <c r="AB85">
        <v>1323.9184901480501</v>
      </c>
      <c r="AC85">
        <f t="shared" si="10"/>
        <v>6.9524124247776792E-2</v>
      </c>
      <c r="AD85">
        <f t="shared" si="11"/>
        <v>4.4487203770155255E-2</v>
      </c>
      <c r="AE85">
        <f t="shared" si="12"/>
        <v>0.63988154114113616</v>
      </c>
      <c r="AF85">
        <f t="shared" si="13"/>
        <v>2.5036920477621651E-2</v>
      </c>
      <c r="AG85">
        <f t="shared" si="14"/>
        <v>0.36011845885886534</v>
      </c>
      <c r="AH85">
        <f t="shared" si="15"/>
        <v>0.93047587575222324</v>
      </c>
      <c r="AI85">
        <f t="shared" si="16"/>
        <v>1.0892785043895299E-2</v>
      </c>
      <c r="AJ85">
        <f t="shared" si="17"/>
        <v>0.9891072149561051</v>
      </c>
      <c r="AK85">
        <f t="shared" si="18"/>
        <v>3.0226589194847667E-2</v>
      </c>
      <c r="AL85">
        <f t="shared" si="19"/>
        <v>4.1016803552780902E-2</v>
      </c>
    </row>
    <row r="86" spans="1:38" x14ac:dyDescent="0.35">
      <c r="A86" t="s">
        <v>36</v>
      </c>
      <c r="B86" t="s">
        <v>68</v>
      </c>
      <c r="C86">
        <v>86.82264229997449</v>
      </c>
      <c r="D86">
        <v>32.556193825364851</v>
      </c>
      <c r="E86">
        <v>54.26644847460966</v>
      </c>
      <c r="F86">
        <v>5.126144940203254</v>
      </c>
      <c r="G86">
        <v>13.5098362743579</v>
      </c>
      <c r="H86">
        <v>3.9618288194598297E-2</v>
      </c>
      <c r="I86">
        <v>13.47021798616333</v>
      </c>
      <c r="J86">
        <v>0</v>
      </c>
      <c r="K86">
        <v>2.7498247852126219</v>
      </c>
      <c r="L86">
        <v>2.9511552175299278</v>
      </c>
      <c r="M86">
        <v>1.0311115432753959</v>
      </c>
      <c r="N86">
        <v>1.106605128863595</v>
      </c>
      <c r="O86">
        <v>1.718713241937226</v>
      </c>
      <c r="P86">
        <v>1.844550088666332</v>
      </c>
      <c r="Q86">
        <v>0.1623539670730261</v>
      </c>
      <c r="R86">
        <v>0.17424083148526701</v>
      </c>
      <c r="S86">
        <v>0.42788012029213363</v>
      </c>
      <c r="T86">
        <v>0.45920767616465591</v>
      </c>
      <c r="U86">
        <v>1.2547804114138E-3</v>
      </c>
      <c r="V86">
        <v>1.3466500767292001E-3</v>
      </c>
      <c r="W86">
        <v>0.42662533988072049</v>
      </c>
      <c r="X86">
        <v>0.45786102608792761</v>
      </c>
      <c r="Y86">
        <v>0</v>
      </c>
      <c r="Z86">
        <v>0</v>
      </c>
      <c r="AA86">
        <v>2941.9883367789698</v>
      </c>
      <c r="AB86">
        <v>3157.38816403392</v>
      </c>
      <c r="AC86">
        <f t="shared" si="10"/>
        <v>0.86534932191125935</v>
      </c>
      <c r="AD86">
        <f t="shared" si="11"/>
        <v>0.54086622044730792</v>
      </c>
      <c r="AE86">
        <f t="shared" si="12"/>
        <v>0.62502645665997669</v>
      </c>
      <c r="AF86">
        <f t="shared" si="13"/>
        <v>0.32448310146395165</v>
      </c>
      <c r="AG86">
        <f t="shared" si="14"/>
        <v>0.37497354334002359</v>
      </c>
      <c r="AH86">
        <f t="shared" si="15"/>
        <v>0.13465067808874068</v>
      </c>
      <c r="AI86">
        <f t="shared" si="16"/>
        <v>2.9325513196481199E-3</v>
      </c>
      <c r="AJ86">
        <f t="shared" si="17"/>
        <v>0.99706744868035402</v>
      </c>
      <c r="AK86">
        <f t="shared" si="18"/>
        <v>3.4103628936945823E-2</v>
      </c>
      <c r="AL86">
        <f t="shared" si="19"/>
        <v>3.1777049055047545E-2</v>
      </c>
    </row>
    <row r="87" spans="1:38" x14ac:dyDescent="0.35">
      <c r="A87" t="s">
        <v>37</v>
      </c>
      <c r="B87" t="s">
        <v>68</v>
      </c>
      <c r="C87">
        <v>6</v>
      </c>
      <c r="D87">
        <v>0</v>
      </c>
      <c r="E87">
        <v>6</v>
      </c>
      <c r="F87">
        <v>18</v>
      </c>
      <c r="G87">
        <v>0</v>
      </c>
      <c r="H87">
        <v>0</v>
      </c>
      <c r="I87">
        <v>0</v>
      </c>
      <c r="J87">
        <v>0</v>
      </c>
      <c r="K87">
        <v>3.01069168920573E-2</v>
      </c>
      <c r="L87">
        <v>3.0038729102900001E-2</v>
      </c>
      <c r="M87">
        <v>0</v>
      </c>
      <c r="N87">
        <v>0</v>
      </c>
      <c r="O87">
        <v>3.01069168920573E-2</v>
      </c>
      <c r="P87">
        <v>3.0038729102900001E-2</v>
      </c>
      <c r="Q87">
        <v>9.0320750676179395E-2</v>
      </c>
      <c r="R87">
        <v>9.0116187308698303E-2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19974.2138871676</v>
      </c>
      <c r="AB87">
        <v>19928.975197</v>
      </c>
      <c r="AC87">
        <f t="shared" si="10"/>
        <v>1</v>
      </c>
      <c r="AD87">
        <f t="shared" si="11"/>
        <v>1</v>
      </c>
      <c r="AE87">
        <f t="shared" si="12"/>
        <v>1</v>
      </c>
      <c r="AF87">
        <f t="shared" si="13"/>
        <v>0</v>
      </c>
      <c r="AG87">
        <f t="shared" si="14"/>
        <v>0</v>
      </c>
      <c r="AH87">
        <f t="shared" si="15"/>
        <v>0</v>
      </c>
      <c r="AI87">
        <v>0</v>
      </c>
      <c r="AJ87">
        <v>0</v>
      </c>
      <c r="AK87">
        <f t="shared" si="18"/>
        <v>3.0038729102899463E-4</v>
      </c>
      <c r="AL87">
        <f t="shared" si="19"/>
        <v>3.0106916892059794E-4</v>
      </c>
    </row>
    <row r="88" spans="1:38" x14ac:dyDescent="0.35">
      <c r="A88" t="s">
        <v>38</v>
      </c>
      <c r="B88" t="s">
        <v>68</v>
      </c>
      <c r="C88">
        <v>-0.1128814600963092</v>
      </c>
      <c r="D88">
        <v>-3.0653485430090801E-2</v>
      </c>
      <c r="E88">
        <v>-8.2227974666218395E-2</v>
      </c>
      <c r="F88">
        <v>-3.5558043098905298E-2</v>
      </c>
      <c r="G88">
        <v>-2.9120811158586099E-2</v>
      </c>
      <c r="H88">
        <v>-2.9120811158586099E-2</v>
      </c>
      <c r="I88">
        <v>0</v>
      </c>
      <c r="J88">
        <v>-4.9811913823897401E-2</v>
      </c>
      <c r="K88">
        <v>-8.8247150862277007E-3</v>
      </c>
      <c r="L88">
        <v>-4.7395976681350004E-3</v>
      </c>
      <c r="M88">
        <v>-2.3963924198852999E-3</v>
      </c>
      <c r="N88">
        <v>-1.2870597876809E-3</v>
      </c>
      <c r="O88">
        <v>-6.4283226663423999E-3</v>
      </c>
      <c r="P88">
        <v>-3.4525378804541001E-3</v>
      </c>
      <c r="Q88">
        <v>-2.7798152070668998E-3</v>
      </c>
      <c r="R88">
        <v>-1.4929893537098001E-3</v>
      </c>
      <c r="S88">
        <v>-2.2765727988909999E-3</v>
      </c>
      <c r="T88">
        <v>-1.2227067982968E-3</v>
      </c>
      <c r="U88">
        <v>-2.2765727988909999E-3</v>
      </c>
      <c r="V88">
        <v>-1.2227067982968E-3</v>
      </c>
      <c r="W88">
        <v>0</v>
      </c>
      <c r="X88">
        <v>0</v>
      </c>
      <c r="Y88">
        <v>-3.8941376823135999E-3</v>
      </c>
      <c r="Z88">
        <v>-2.0914721549814999E-3</v>
      </c>
      <c r="AA88">
        <v>2381.6675591522499</v>
      </c>
      <c r="AB88">
        <v>1279.1513266244399</v>
      </c>
      <c r="AC88">
        <f t="shared" si="10"/>
        <v>0.7949271451699953</v>
      </c>
      <c r="AD88">
        <f t="shared" si="11"/>
        <v>0.57906098219104174</v>
      </c>
      <c r="AE88">
        <f t="shared" si="12"/>
        <v>0.72844534962661189</v>
      </c>
      <c r="AF88">
        <f t="shared" si="13"/>
        <v>0.21586616297895359</v>
      </c>
      <c r="AG88">
        <f t="shared" si="14"/>
        <v>0.27155465037338805</v>
      </c>
      <c r="AH88">
        <f t="shared" si="15"/>
        <v>0.20507285483000476</v>
      </c>
      <c r="AI88">
        <f t="shared" si="16"/>
        <v>1</v>
      </c>
      <c r="AJ88">
        <f t="shared" si="17"/>
        <v>0</v>
      </c>
      <c r="AK88">
        <f t="shared" si="18"/>
        <v>-5.9623044664319452E-5</v>
      </c>
      <c r="AL88">
        <f t="shared" si="19"/>
        <v>-1.1101287885118794E-4</v>
      </c>
    </row>
    <row r="89" spans="1:38" x14ac:dyDescent="0.35">
      <c r="A89" t="s">
        <v>39</v>
      </c>
      <c r="B89" t="s">
        <v>68</v>
      </c>
      <c r="C89">
        <v>3.2493340902482442</v>
      </c>
      <c r="D89">
        <v>1.9527090644843801</v>
      </c>
      <c r="E89">
        <v>1.2966250257638641</v>
      </c>
      <c r="F89">
        <v>-0.29087422955606002</v>
      </c>
      <c r="G89">
        <v>21.277422987389031</v>
      </c>
      <c r="H89">
        <v>-0.1146164792378447</v>
      </c>
      <c r="I89">
        <v>21.39203946662688</v>
      </c>
      <c r="J89">
        <v>-0.15576643801551521</v>
      </c>
      <c r="K89">
        <v>0.32589363786671027</v>
      </c>
      <c r="L89">
        <v>0.13923031936942129</v>
      </c>
      <c r="M89">
        <v>0.19584796239634961</v>
      </c>
      <c r="N89">
        <v>8.3671392086048305E-2</v>
      </c>
      <c r="O89">
        <v>0.13004567547036061</v>
      </c>
      <c r="P89">
        <v>5.5558927283372903E-2</v>
      </c>
      <c r="Q89">
        <v>-2.91733808216867E-2</v>
      </c>
      <c r="R89">
        <v>-1.24636343178643E-2</v>
      </c>
      <c r="S89">
        <v>2.134030108691968</v>
      </c>
      <c r="T89">
        <v>0.91171369751828557</v>
      </c>
      <c r="U89">
        <v>-1.14955188788979E-2</v>
      </c>
      <c r="V89">
        <v>-4.9111875129049997E-3</v>
      </c>
      <c r="W89">
        <v>2.145525627570867</v>
      </c>
      <c r="X89">
        <v>0.91662488503119077</v>
      </c>
      <c r="Y89">
        <v>-1.5622675210519001E-2</v>
      </c>
      <c r="Z89">
        <v>-6.6744170681075996E-3</v>
      </c>
      <c r="AA89">
        <v>2333.7834064911899</v>
      </c>
      <c r="AB89">
        <v>997.05355143423003</v>
      </c>
      <c r="AC89">
        <f t="shared" si="10"/>
        <v>0.13248119512754031</v>
      </c>
      <c r="AD89">
        <f t="shared" si="11"/>
        <v>5.2865734416478807E-2</v>
      </c>
      <c r="AE89">
        <f t="shared" si="12"/>
        <v>0.39904330849057257</v>
      </c>
      <c r="AF89">
        <f t="shared" si="13"/>
        <v>7.96154607110615E-2</v>
      </c>
      <c r="AG89">
        <f t="shared" si="14"/>
        <v>0.60095669150942743</v>
      </c>
      <c r="AH89">
        <f t="shared" si="15"/>
        <v>0.86751880487245969</v>
      </c>
      <c r="AI89">
        <f t="shared" si="16"/>
        <v>-5.3867650845582675E-3</v>
      </c>
      <c r="AJ89">
        <f t="shared" si="17"/>
        <v>1.0053867650845585</v>
      </c>
      <c r="AK89">
        <f t="shared" si="18"/>
        <v>1.050944016887707E-2</v>
      </c>
      <c r="AL89">
        <f t="shared" si="19"/>
        <v>2.4599237465586787E-2</v>
      </c>
    </row>
    <row r="90" spans="1:38" x14ac:dyDescent="0.35">
      <c r="A90" t="s">
        <v>40</v>
      </c>
      <c r="B90" t="s">
        <v>68</v>
      </c>
      <c r="C90">
        <v>-3.6541235038564679</v>
      </c>
      <c r="D90">
        <v>2.0576905158455738</v>
      </c>
      <c r="E90">
        <v>-5.7118140197020404</v>
      </c>
      <c r="F90">
        <v>0</v>
      </c>
      <c r="G90">
        <v>1.817852579227869</v>
      </c>
      <c r="H90">
        <v>0</v>
      </c>
      <c r="I90">
        <v>1.817852579227869</v>
      </c>
      <c r="J90">
        <v>0</v>
      </c>
      <c r="K90">
        <v>-0.88274611984120277</v>
      </c>
      <c r="L90">
        <v>-0.77979727718691727</v>
      </c>
      <c r="M90">
        <v>0.49708728147248649</v>
      </c>
      <c r="N90">
        <v>0.43911527890513008</v>
      </c>
      <c r="O90">
        <v>-1.3798334013136899</v>
      </c>
      <c r="P90">
        <v>-1.218912556092048</v>
      </c>
      <c r="Q90">
        <v>0</v>
      </c>
      <c r="R90">
        <v>0</v>
      </c>
      <c r="S90">
        <v>0.4391483509145675</v>
      </c>
      <c r="T90">
        <v>0.38793338268754662</v>
      </c>
      <c r="U90">
        <v>0</v>
      </c>
      <c r="V90">
        <v>0</v>
      </c>
      <c r="W90">
        <v>0.4391483509145675</v>
      </c>
      <c r="X90">
        <v>0.38793338268754662</v>
      </c>
      <c r="Y90">
        <v>0</v>
      </c>
      <c r="Z90">
        <v>0</v>
      </c>
      <c r="AA90">
        <v>468.59916169988998</v>
      </c>
      <c r="AB90">
        <v>413.94954015926999</v>
      </c>
      <c r="AC90">
        <f t="shared" si="10"/>
        <v>1.9899697015545486</v>
      </c>
      <c r="AD90">
        <f t="shared" si="11"/>
        <v>3.1105508142036844</v>
      </c>
      <c r="AE90">
        <f t="shared" si="12"/>
        <v>1.5631146603758572</v>
      </c>
      <c r="AF90">
        <f t="shared" si="13"/>
        <v>-1.1205811126491365</v>
      </c>
      <c r="AG90">
        <f t="shared" si="14"/>
        <v>-0.56311466037585767</v>
      </c>
      <c r="AH90">
        <f t="shared" si="15"/>
        <v>-0.98996970155454855</v>
      </c>
      <c r="AI90">
        <f t="shared" si="16"/>
        <v>0</v>
      </c>
      <c r="AJ90">
        <f t="shared" si="17"/>
        <v>1</v>
      </c>
      <c r="AK90">
        <f t="shared" si="18"/>
        <v>-3.9186389449937208E-3</v>
      </c>
      <c r="AL90">
        <f t="shared" si="19"/>
        <v>-4.4359776892663799E-3</v>
      </c>
    </row>
    <row r="91" spans="1:38" x14ac:dyDescent="0.35">
      <c r="A91" t="s">
        <v>41</v>
      </c>
      <c r="B91" t="s">
        <v>68</v>
      </c>
      <c r="C91">
        <v>4.1542265056957364</v>
      </c>
      <c r="D91">
        <v>1.4774852644874339</v>
      </c>
      <c r="E91">
        <v>2.6767412412083029</v>
      </c>
      <c r="F91">
        <v>6.3837457281470176</v>
      </c>
      <c r="G91">
        <v>3.874602555254846</v>
      </c>
      <c r="H91">
        <v>1.257477537461184</v>
      </c>
      <c r="I91">
        <v>2.6171250177936609</v>
      </c>
      <c r="J91">
        <v>0</v>
      </c>
      <c r="K91">
        <v>0.83897070214313363</v>
      </c>
      <c r="L91">
        <v>0.74807530469820316</v>
      </c>
      <c r="M91">
        <v>0.2983869194550714</v>
      </c>
      <c r="N91">
        <v>0.26605921412882499</v>
      </c>
      <c r="O91">
        <v>0.54058378268806218</v>
      </c>
      <c r="P91">
        <v>0.48201609056937839</v>
      </c>
      <c r="Q91">
        <v>1.289235343451685</v>
      </c>
      <c r="R91">
        <v>1.149557570862314</v>
      </c>
      <c r="S91">
        <v>0.78249898551531238</v>
      </c>
      <c r="T91">
        <v>0.69772182213287159</v>
      </c>
      <c r="U91">
        <v>0.25395505302529059</v>
      </c>
      <c r="V91">
        <v>0.2264411655690107</v>
      </c>
      <c r="W91">
        <v>0.52854393249002207</v>
      </c>
      <c r="X91">
        <v>0.4712806565638612</v>
      </c>
      <c r="Y91">
        <v>0</v>
      </c>
      <c r="Z91">
        <v>0</v>
      </c>
      <c r="AA91">
        <v>555.32196820367994</v>
      </c>
      <c r="AB91">
        <v>495.15751802582002</v>
      </c>
      <c r="AC91">
        <f t="shared" si="10"/>
        <v>0.51741374416606301</v>
      </c>
      <c r="AD91">
        <f t="shared" si="11"/>
        <v>0.33339123561952971</v>
      </c>
      <c r="AE91">
        <f t="shared" si="12"/>
        <v>0.64434166927063385</v>
      </c>
      <c r="AF91">
        <f t="shared" si="13"/>
        <v>0.18402250854653338</v>
      </c>
      <c r="AG91">
        <f t="shared" si="14"/>
        <v>0.35565833072936631</v>
      </c>
      <c r="AH91">
        <f t="shared" si="15"/>
        <v>0.48258625583393705</v>
      </c>
      <c r="AI91">
        <f t="shared" si="16"/>
        <v>0.32454361951415051</v>
      </c>
      <c r="AJ91">
        <f t="shared" si="17"/>
        <v>0.67545638048584922</v>
      </c>
      <c r="AK91">
        <f t="shared" si="18"/>
        <v>1.4457971268310752E-2</v>
      </c>
      <c r="AL91">
        <f t="shared" si="19"/>
        <v>1.6214696876584469E-2</v>
      </c>
    </row>
    <row r="92" spans="1:38" x14ac:dyDescent="0.35">
      <c r="A92" t="s">
        <v>42</v>
      </c>
      <c r="B92" t="s">
        <v>68</v>
      </c>
      <c r="C92">
        <v>-0.38718454813488101</v>
      </c>
      <c r="D92">
        <v>0.62357924487103089</v>
      </c>
      <c r="E92">
        <v>-1.0107637930059119</v>
      </c>
      <c r="F92">
        <v>1.589257525315291</v>
      </c>
      <c r="G92">
        <v>17.056890492060301</v>
      </c>
      <c r="H92">
        <v>1.0946711428285801E-2</v>
      </c>
      <c r="I92">
        <v>17.045943780632019</v>
      </c>
      <c r="J92">
        <v>0</v>
      </c>
      <c r="K92">
        <v>-0.1795510684723238</v>
      </c>
      <c r="L92">
        <v>-9.5038896705898601E-2</v>
      </c>
      <c r="M92">
        <v>0.28917558883252281</v>
      </c>
      <c r="N92">
        <v>0.15306469157078709</v>
      </c>
      <c r="O92">
        <v>-0.46872665730484631</v>
      </c>
      <c r="P92">
        <v>-0.24810358827668569</v>
      </c>
      <c r="Q92">
        <v>0.73699451107391589</v>
      </c>
      <c r="R92">
        <v>0.39010152268497689</v>
      </c>
      <c r="S92">
        <v>7.9098789644827363</v>
      </c>
      <c r="T92">
        <v>4.1868097820732793</v>
      </c>
      <c r="U92">
        <v>5.0763744128605997E-3</v>
      </c>
      <c r="V92">
        <v>2.6869961151954002E-3</v>
      </c>
      <c r="W92">
        <v>7.9048025900698766</v>
      </c>
      <c r="X92">
        <v>4.184122785958083</v>
      </c>
      <c r="Y92">
        <v>0</v>
      </c>
      <c r="Z92">
        <v>0</v>
      </c>
      <c r="AA92">
        <v>407.39587848230002</v>
      </c>
      <c r="AB92">
        <v>215.64034757863999</v>
      </c>
      <c r="AC92">
        <f t="shared" si="10"/>
        <v>-2.3226837320185257E-2</v>
      </c>
      <c r="AD92">
        <f t="shared" si="11"/>
        <v>-6.0634770427623684E-2</v>
      </c>
      <c r="AE92">
        <f t="shared" si="12"/>
        <v>2.6105478585725961</v>
      </c>
      <c r="AF92">
        <f t="shared" si="13"/>
        <v>3.7407933107438424E-2</v>
      </c>
      <c r="AG92">
        <f t="shared" si="14"/>
        <v>-1.6105478585725961</v>
      </c>
      <c r="AH92">
        <f t="shared" si="15"/>
        <v>1.0232268373201852</v>
      </c>
      <c r="AI92">
        <f t="shared" si="16"/>
        <v>6.4177649691667495E-4</v>
      </c>
      <c r="AJ92">
        <f t="shared" si="17"/>
        <v>0.99935822350308356</v>
      </c>
      <c r="AK92">
        <f t="shared" si="18"/>
        <v>4.0917708853673795E-2</v>
      </c>
      <c r="AL92">
        <f t="shared" si="19"/>
        <v>7.7303278960104124E-2</v>
      </c>
    </row>
    <row r="93" spans="1:38" x14ac:dyDescent="0.35">
      <c r="A93" t="s">
        <v>43</v>
      </c>
      <c r="B93" t="s">
        <v>68</v>
      </c>
      <c r="C93">
        <v>1.6560605792137399</v>
      </c>
      <c r="D93">
        <v>5.2845564687310003E-3</v>
      </c>
      <c r="E93">
        <v>1.6507760227450099</v>
      </c>
      <c r="F93">
        <v>2.4720926378103978</v>
      </c>
      <c r="G93">
        <v>-0.17410876033898501</v>
      </c>
      <c r="H93">
        <v>3.1619220265415771</v>
      </c>
      <c r="I93">
        <v>-3.3360307868805599</v>
      </c>
      <c r="J93">
        <v>0</v>
      </c>
      <c r="K93">
        <v>0.49790977630896283</v>
      </c>
      <c r="L93">
        <v>0.53238658692329555</v>
      </c>
      <c r="M93">
        <v>1.5888502886091001E-3</v>
      </c>
      <c r="N93">
        <v>1.698867189464E-3</v>
      </c>
      <c r="O93">
        <v>0.4963209260203536</v>
      </c>
      <c r="P93">
        <v>0.53068771973383111</v>
      </c>
      <c r="Q93">
        <v>0.74325728645240741</v>
      </c>
      <c r="R93">
        <v>0.7947227163797006</v>
      </c>
      <c r="S93">
        <v>-5.2347392964920303E-2</v>
      </c>
      <c r="T93">
        <v>-5.5972088119098297E-2</v>
      </c>
      <c r="U93">
        <v>0.95066080836799016</v>
      </c>
      <c r="V93">
        <v>1.016487498680321</v>
      </c>
      <c r="W93">
        <v>-1.00300820133291</v>
      </c>
      <c r="X93">
        <v>-1.0724595867994211</v>
      </c>
      <c r="Y93">
        <v>0</v>
      </c>
      <c r="Z93">
        <v>0</v>
      </c>
      <c r="AA93">
        <v>311.06354290107998</v>
      </c>
      <c r="AB93">
        <v>332.60254327404999</v>
      </c>
      <c r="AC93">
        <f t="shared" si="10"/>
        <v>1.1174861140028058</v>
      </c>
      <c r="AD93">
        <f t="shared" si="11"/>
        <v>1.1139201704941009</v>
      </c>
      <c r="AE93">
        <f t="shared" si="12"/>
        <v>0.99680895944565084</v>
      </c>
      <c r="AF93">
        <f t="shared" si="13"/>
        <v>3.565943508705675E-3</v>
      </c>
      <c r="AG93">
        <f t="shared" si="14"/>
        <v>3.1910405543497619E-3</v>
      </c>
      <c r="AH93">
        <f t="shared" si="15"/>
        <v>-0.1174861140028059</v>
      </c>
      <c r="AI93">
        <f t="shared" si="16"/>
        <v>-18.160614206806144</v>
      </c>
      <c r="AJ93">
        <f t="shared" si="17"/>
        <v>19.16061420680613</v>
      </c>
      <c r="AK93">
        <f t="shared" si="18"/>
        <v>4.7641449880419587E-3</v>
      </c>
      <c r="AL93">
        <f t="shared" si="19"/>
        <v>4.4556238334404171E-3</v>
      </c>
    </row>
    <row r="94" spans="1:38" x14ac:dyDescent="0.35">
      <c r="A94" t="s">
        <v>44</v>
      </c>
      <c r="B94" t="s">
        <v>68</v>
      </c>
      <c r="C94">
        <v>-0.17362342716953361</v>
      </c>
      <c r="D94">
        <v>-6.9507208530843301E-2</v>
      </c>
      <c r="E94">
        <v>-0.10411621863869019</v>
      </c>
      <c r="F94">
        <v>0</v>
      </c>
      <c r="G94">
        <v>0.30689155142270308</v>
      </c>
      <c r="H94">
        <v>0.20024042401510739</v>
      </c>
      <c r="I94">
        <v>0.10665112740759559</v>
      </c>
      <c r="J94">
        <v>0</v>
      </c>
      <c r="K94">
        <v>-0.64554443167754627</v>
      </c>
      <c r="L94">
        <v>-0.37816919898380608</v>
      </c>
      <c r="M94">
        <v>-0.25843281727599432</v>
      </c>
      <c r="N94">
        <v>-0.1513936558114537</v>
      </c>
      <c r="O94">
        <v>-0.38711161440155228</v>
      </c>
      <c r="P94">
        <v>-0.2267755431723521</v>
      </c>
      <c r="Q94">
        <v>0</v>
      </c>
      <c r="R94">
        <v>0</v>
      </c>
      <c r="S94">
        <v>1.1410449348886771</v>
      </c>
      <c r="T94">
        <v>0.6684405098345283</v>
      </c>
      <c r="U94">
        <v>0.74450834675371524</v>
      </c>
      <c r="V94">
        <v>0.43614368169354151</v>
      </c>
      <c r="W94">
        <v>0.39653658813496218</v>
      </c>
      <c r="X94">
        <v>0.23229682814098659</v>
      </c>
      <c r="Y94">
        <v>0</v>
      </c>
      <c r="Z94">
        <v>0</v>
      </c>
      <c r="AA94">
        <v>45.911572818750003</v>
      </c>
      <c r="AB94">
        <v>26.895658710639999</v>
      </c>
      <c r="AC94">
        <f t="shared" si="10"/>
        <v>-1.3028128679871052</v>
      </c>
      <c r="AD94">
        <f t="shared" si="11"/>
        <v>-0.78125372606656185</v>
      </c>
      <c r="AE94">
        <f t="shared" si="12"/>
        <v>0.59966687869273827</v>
      </c>
      <c r="AF94">
        <f t="shared" si="13"/>
        <v>-0.52155914192054242</v>
      </c>
      <c r="AG94">
        <f t="shared" si="14"/>
        <v>0.40033312130726106</v>
      </c>
      <c r="AH94">
        <f t="shared" si="15"/>
        <v>2.3028128679871052</v>
      </c>
      <c r="AI94">
        <f t="shared" si="16"/>
        <v>0.65247942827628491</v>
      </c>
      <c r="AJ94">
        <f t="shared" si="17"/>
        <v>0.34752057172371481</v>
      </c>
      <c r="AK94">
        <f t="shared" si="18"/>
        <v>2.9027131085072213E-3</v>
      </c>
      <c r="AL94">
        <f t="shared" si="19"/>
        <v>4.955005032111306E-3</v>
      </c>
    </row>
    <row r="95" spans="1:38" x14ac:dyDescent="0.35">
      <c r="A95" t="s">
        <v>45</v>
      </c>
      <c r="B95" t="s">
        <v>68</v>
      </c>
      <c r="C95">
        <v>-0.74604999194765043</v>
      </c>
      <c r="D95">
        <v>-0.1105178378938607</v>
      </c>
      <c r="E95">
        <v>-0.63553215405378971</v>
      </c>
      <c r="F95">
        <v>-0.82177435966475709</v>
      </c>
      <c r="G95">
        <v>0.66176208666115244</v>
      </c>
      <c r="H95">
        <v>0.1217969719819347</v>
      </c>
      <c r="I95">
        <v>0.53996511467921771</v>
      </c>
      <c r="J95">
        <v>5.0329327265262701E-2</v>
      </c>
      <c r="K95">
        <v>-0.2928624518272942</v>
      </c>
      <c r="L95">
        <v>-0.29381032599445422</v>
      </c>
      <c r="M95">
        <v>-4.33838554059238E-2</v>
      </c>
      <c r="N95">
        <v>-4.3524270933945598E-2</v>
      </c>
      <c r="O95">
        <v>-0.2494785964213703</v>
      </c>
      <c r="P95">
        <v>-0.25028605506050861</v>
      </c>
      <c r="Q95">
        <v>-0.32258810591490872</v>
      </c>
      <c r="R95">
        <v>-0.32363218968297769</v>
      </c>
      <c r="S95">
        <v>0.25977517501203978</v>
      </c>
      <c r="T95">
        <v>0.26061595940118559</v>
      </c>
      <c r="U95">
        <v>4.7811487467012102E-2</v>
      </c>
      <c r="V95">
        <v>4.7966233401769802E-2</v>
      </c>
      <c r="W95">
        <v>0.21196368754502701</v>
      </c>
      <c r="X95">
        <v>0.21264972599941601</v>
      </c>
      <c r="Y95">
        <v>1.9756813002897701E-2</v>
      </c>
      <c r="Z95">
        <v>1.9820757604037301E-2</v>
      </c>
      <c r="AA95">
        <v>253.92231856471</v>
      </c>
      <c r="AB95">
        <v>254.7441596875</v>
      </c>
      <c r="AC95">
        <f t="shared" si="10"/>
        <v>8.8512104958807125</v>
      </c>
      <c r="AD95">
        <f t="shared" si="11"/>
        <v>7.5400159951014363</v>
      </c>
      <c r="AE95">
        <f t="shared" si="12"/>
        <v>0.85186269139238102</v>
      </c>
      <c r="AF95">
        <f t="shared" si="13"/>
        <v>1.3111945007792769</v>
      </c>
      <c r="AG95">
        <f t="shared" si="14"/>
        <v>0.14813730860761892</v>
      </c>
      <c r="AH95">
        <f t="shared" si="15"/>
        <v>-7.8512104958807125</v>
      </c>
      <c r="AI95">
        <f t="shared" si="16"/>
        <v>0.18404948611735658</v>
      </c>
      <c r="AJ95">
        <f t="shared" si="17"/>
        <v>0.81595051388264339</v>
      </c>
      <c r="AK95">
        <f t="shared" si="18"/>
        <v>-3.3194366593268922E-4</v>
      </c>
      <c r="AL95">
        <f t="shared" si="19"/>
        <v>-3.3087276815254853E-4</v>
      </c>
    </row>
    <row r="96" spans="1:38" x14ac:dyDescent="0.35">
      <c r="A96" t="s">
        <v>46</v>
      </c>
      <c r="B96" t="s">
        <v>68</v>
      </c>
      <c r="C96">
        <v>2.8687653080557518</v>
      </c>
      <c r="D96">
        <v>-0.36466848586374179</v>
      </c>
      <c r="E96">
        <v>3.233433793919493</v>
      </c>
      <c r="F96">
        <v>1.3717936772303889</v>
      </c>
      <c r="G96">
        <v>-5.9887947660008241</v>
      </c>
      <c r="H96">
        <v>-6.4199944000000002</v>
      </c>
      <c r="I96">
        <v>0.43119963399917571</v>
      </c>
      <c r="J96">
        <v>0</v>
      </c>
      <c r="K96">
        <v>1.406926427152758</v>
      </c>
      <c r="L96">
        <v>0.951356418582324</v>
      </c>
      <c r="M96">
        <v>-0.1788440931263203</v>
      </c>
      <c r="N96">
        <v>-0.12093345653161609</v>
      </c>
      <c r="O96">
        <v>1.5857705202790779</v>
      </c>
      <c r="P96">
        <v>1.07228987511394</v>
      </c>
      <c r="Q96">
        <v>0.6727677484375747</v>
      </c>
      <c r="R96">
        <v>0.45492209353586399</v>
      </c>
      <c r="S96">
        <v>-2.937080143649355</v>
      </c>
      <c r="T96">
        <v>-1.986038496843253</v>
      </c>
      <c r="U96">
        <v>-3.148553058059071</v>
      </c>
      <c r="V96">
        <v>-2.1290353946178868</v>
      </c>
      <c r="W96">
        <v>0.21147291440971619</v>
      </c>
      <c r="X96">
        <v>0.14299689777463409</v>
      </c>
      <c r="Y96">
        <v>0</v>
      </c>
      <c r="Z96">
        <v>0</v>
      </c>
      <c r="AA96">
        <v>301.54474727050001</v>
      </c>
      <c r="AB96">
        <v>203.90300819506001</v>
      </c>
      <c r="AC96">
        <f t="shared" si="10"/>
        <v>-0.91946737898596342</v>
      </c>
      <c r="AD96">
        <f t="shared" si="11"/>
        <v>-1.0363472004040346</v>
      </c>
      <c r="AE96">
        <f t="shared" si="12"/>
        <v>1.1271168766715489</v>
      </c>
      <c r="AF96">
        <f t="shared" si="13"/>
        <v>0.11687982141807128</v>
      </c>
      <c r="AG96">
        <f t="shared" si="14"/>
        <v>-0.12711687667154917</v>
      </c>
      <c r="AH96">
        <f t="shared" si="15"/>
        <v>1.9194673789859635</v>
      </c>
      <c r="AI96">
        <f t="shared" si="16"/>
        <v>1.0720010704736709</v>
      </c>
      <c r="AJ96">
        <f t="shared" si="17"/>
        <v>-7.2001070473670728E-2</v>
      </c>
      <c r="AK96">
        <f t="shared" si="18"/>
        <v>-1.0346820782609279E-2</v>
      </c>
      <c r="AL96">
        <f t="shared" si="19"/>
        <v>-1.5301537164965974E-2</v>
      </c>
    </row>
    <row r="97" spans="1:38" x14ac:dyDescent="0.35">
      <c r="A97" t="s">
        <v>47</v>
      </c>
      <c r="B97" t="s">
        <v>68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19.06914282116</v>
      </c>
      <c r="AB97">
        <v>20.729999827290001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f t="shared" si="18"/>
        <v>0</v>
      </c>
      <c r="AL97">
        <f t="shared" si="19"/>
        <v>0</v>
      </c>
    </row>
    <row r="98" spans="1:38" x14ac:dyDescent="0.35">
      <c r="A98" t="s">
        <v>48</v>
      </c>
      <c r="B98" t="s">
        <v>68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417.89075855828003</v>
      </c>
      <c r="AB98">
        <v>371.46659669328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f t="shared" si="18"/>
        <v>0</v>
      </c>
      <c r="AL98">
        <f t="shared" si="19"/>
        <v>0</v>
      </c>
    </row>
    <row r="99" spans="1:38" x14ac:dyDescent="0.35">
      <c r="A99" t="s">
        <v>49</v>
      </c>
      <c r="B99" t="s">
        <v>68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342.39670930134002</v>
      </c>
      <c r="AB99">
        <v>358.46025273358998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f t="shared" si="18"/>
        <v>0</v>
      </c>
      <c r="AL99">
        <f t="shared" si="19"/>
        <v>0</v>
      </c>
    </row>
    <row r="100" spans="1:38" x14ac:dyDescent="0.35">
      <c r="A100" t="s">
        <v>50</v>
      </c>
      <c r="B100" t="s">
        <v>68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55.422589739999999</v>
      </c>
      <c r="AB100">
        <v>30.160077523049999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f t="shared" si="18"/>
        <v>0</v>
      </c>
      <c r="AL100">
        <f t="shared" si="19"/>
        <v>0</v>
      </c>
    </row>
    <row r="101" spans="1:38" x14ac:dyDescent="0.35">
      <c r="A101" t="s">
        <v>51</v>
      </c>
      <c r="B101" t="s">
        <v>68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97.136073348400004</v>
      </c>
      <c r="AB101">
        <v>48.216768505140003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f t="shared" si="18"/>
        <v>0</v>
      </c>
      <c r="AL101">
        <f t="shared" si="19"/>
        <v>0</v>
      </c>
    </row>
    <row r="102" spans="1:38" x14ac:dyDescent="0.35">
      <c r="A102" t="s">
        <v>52</v>
      </c>
      <c r="B102" t="s">
        <v>68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66.343484468840003</v>
      </c>
      <c r="AB102">
        <v>66.557495896739994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f t="shared" si="18"/>
        <v>0</v>
      </c>
      <c r="AL102">
        <f t="shared" si="19"/>
        <v>0</v>
      </c>
    </row>
    <row r="103" spans="1:38" x14ac:dyDescent="0.35">
      <c r="A103" t="s">
        <v>53</v>
      </c>
      <c r="B103" t="s">
        <v>68</v>
      </c>
      <c r="C103">
        <v>6.7094683675636091</v>
      </c>
      <c r="D103">
        <v>3.464714722161641</v>
      </c>
      <c r="E103">
        <v>3.2447536454019712</v>
      </c>
      <c r="F103">
        <v>-4.1052685159715168</v>
      </c>
      <c r="G103">
        <v>4.2836647687777969</v>
      </c>
      <c r="H103">
        <v>0</v>
      </c>
      <c r="I103">
        <v>4.2836647687777969</v>
      </c>
      <c r="J103">
        <v>0</v>
      </c>
      <c r="K103">
        <v>0.79850817559321996</v>
      </c>
      <c r="L103">
        <v>0.71955999760414269</v>
      </c>
      <c r="M103">
        <v>0.4123431068129309</v>
      </c>
      <c r="N103">
        <v>0.37157491184103569</v>
      </c>
      <c r="O103">
        <v>0.3861650687802895</v>
      </c>
      <c r="P103">
        <v>0.34798508576310722</v>
      </c>
      <c r="Q103">
        <v>-0.48857678334938898</v>
      </c>
      <c r="R103">
        <v>-0.44027139583780439</v>
      </c>
      <c r="S103">
        <v>0.50980810281572397</v>
      </c>
      <c r="T103">
        <v>0.45940358339866272</v>
      </c>
      <c r="U103">
        <v>0</v>
      </c>
      <c r="V103">
        <v>0</v>
      </c>
      <c r="W103">
        <v>0.50980810281572397</v>
      </c>
      <c r="X103">
        <v>0.45940358339866272</v>
      </c>
      <c r="Y103">
        <v>0</v>
      </c>
      <c r="Z103">
        <v>0</v>
      </c>
      <c r="AA103">
        <v>932.44043441874999</v>
      </c>
      <c r="AB103">
        <v>840.25042856688003</v>
      </c>
      <c r="AC103">
        <f t="shared" si="10"/>
        <v>0.61033267625798704</v>
      </c>
      <c r="AD103">
        <f t="shared" si="11"/>
        <v>0.29516186196957572</v>
      </c>
      <c r="AE103">
        <f t="shared" si="12"/>
        <v>0.48360815904408677</v>
      </c>
      <c r="AF103">
        <f t="shared" si="13"/>
        <v>0.31517081428841159</v>
      </c>
      <c r="AG103">
        <f t="shared" si="14"/>
        <v>0.51639184095591373</v>
      </c>
      <c r="AH103">
        <f t="shared" si="15"/>
        <v>0.38966732374201296</v>
      </c>
      <c r="AI103">
        <f t="shared" si="16"/>
        <v>0</v>
      </c>
      <c r="AJ103">
        <f t="shared" si="17"/>
        <v>1</v>
      </c>
      <c r="AK103">
        <f t="shared" si="18"/>
        <v>1.178963581002805E-2</v>
      </c>
      <c r="AL103">
        <f t="shared" si="19"/>
        <v>1.3083162784089438E-2</v>
      </c>
    </row>
    <row r="104" spans="1:38" x14ac:dyDescent="0.35">
      <c r="A104" t="s">
        <v>54</v>
      </c>
      <c r="B104" t="s">
        <v>68</v>
      </c>
      <c r="C104">
        <v>-1.5631513525729299</v>
      </c>
      <c r="D104">
        <v>0.199134188698951</v>
      </c>
      <c r="E104">
        <v>-1.762285541271879</v>
      </c>
      <c r="F104">
        <v>0</v>
      </c>
      <c r="G104">
        <v>0.14987911249498689</v>
      </c>
      <c r="H104">
        <v>7.4029359208051607E-2</v>
      </c>
      <c r="I104">
        <v>7.5849753286935301E-2</v>
      </c>
      <c r="J104">
        <v>0</v>
      </c>
      <c r="K104">
        <v>-0.7702564211840901</v>
      </c>
      <c r="L104">
        <v>-0.80585693116972834</v>
      </c>
      <c r="M104">
        <v>9.8125103029966798E-2</v>
      </c>
      <c r="N104">
        <v>0.10266035079186191</v>
      </c>
      <c r="O104">
        <v>-0.86838152421405468</v>
      </c>
      <c r="P104">
        <v>-0.90851728196158998</v>
      </c>
      <c r="Q104">
        <v>0</v>
      </c>
      <c r="R104">
        <v>0</v>
      </c>
      <c r="S104">
        <v>7.3854235938582702E-2</v>
      </c>
      <c r="T104">
        <v>7.7267707597762497E-2</v>
      </c>
      <c r="U104">
        <v>3.6478610463591903E-2</v>
      </c>
      <c r="V104">
        <v>3.8164616708207401E-2</v>
      </c>
      <c r="W104">
        <v>3.7375625474990799E-2</v>
      </c>
      <c r="X104">
        <v>3.9103090889555298E-2</v>
      </c>
      <c r="Y104">
        <v>0</v>
      </c>
      <c r="Z104">
        <v>0</v>
      </c>
      <c r="AA104">
        <v>193.97380504054999</v>
      </c>
      <c r="AB104">
        <v>202.93908750153</v>
      </c>
      <c r="AC104">
        <f t="shared" si="10"/>
        <v>1.1060511260638086</v>
      </c>
      <c r="AD104">
        <f t="shared" si="11"/>
        <v>1.2469540484108623</v>
      </c>
      <c r="AE104">
        <f t="shared" si="12"/>
        <v>1.1273927750957553</v>
      </c>
      <c r="AF104">
        <f t="shared" si="13"/>
        <v>-0.14090292234705509</v>
      </c>
      <c r="AG104">
        <f t="shared" si="14"/>
        <v>-0.12739277509575661</v>
      </c>
      <c r="AH104">
        <f t="shared" si="15"/>
        <v>-0.10605112606380845</v>
      </c>
      <c r="AI104">
        <f t="shared" si="16"/>
        <v>0.4939271255060822</v>
      </c>
      <c r="AJ104">
        <f t="shared" si="17"/>
        <v>0.50607287449391791</v>
      </c>
      <c r="AK104">
        <f t="shared" si="18"/>
        <v>-7.2858922357196638E-3</v>
      </c>
      <c r="AL104">
        <f t="shared" si="19"/>
        <v>-6.9640218524550527E-3</v>
      </c>
    </row>
    <row r="105" spans="1:38" x14ac:dyDescent="0.35">
      <c r="A105" t="s">
        <v>55</v>
      </c>
      <c r="B105" t="s">
        <v>68</v>
      </c>
      <c r="C105">
        <v>0</v>
      </c>
      <c r="D105">
        <v>0</v>
      </c>
      <c r="E105">
        <v>0</v>
      </c>
      <c r="F105">
        <v>0</v>
      </c>
      <c r="G105">
        <v>1.3754229037270851</v>
      </c>
      <c r="H105">
        <v>0.38291283511333057</v>
      </c>
      <c r="I105">
        <v>0.99251006861375402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0.33526511599412778</v>
      </c>
      <c r="T105">
        <v>0.416221861307843</v>
      </c>
      <c r="U105">
        <v>9.3336613584110897E-2</v>
      </c>
      <c r="V105">
        <v>0.1158746829921613</v>
      </c>
      <c r="W105">
        <v>0.24192850241001679</v>
      </c>
      <c r="X105">
        <v>0.3003471783156817</v>
      </c>
      <c r="Y105">
        <v>0</v>
      </c>
      <c r="Z105">
        <v>0</v>
      </c>
      <c r="AA105">
        <v>330.45426768437</v>
      </c>
      <c r="AB105">
        <v>410.24933347112</v>
      </c>
      <c r="AC105">
        <f t="shared" si="10"/>
        <v>0</v>
      </c>
      <c r="AD105">
        <f t="shared" si="11"/>
        <v>0</v>
      </c>
      <c r="AE105">
        <v>0</v>
      </c>
      <c r="AF105">
        <f t="shared" si="13"/>
        <v>0</v>
      </c>
      <c r="AG105">
        <v>0</v>
      </c>
      <c r="AH105">
        <f t="shared" si="15"/>
        <v>1</v>
      </c>
      <c r="AI105">
        <f t="shared" si="16"/>
        <v>0.27839643652561213</v>
      </c>
      <c r="AJ105">
        <f t="shared" si="17"/>
        <v>0.72160356347438748</v>
      </c>
      <c r="AK105">
        <f t="shared" si="18"/>
        <v>4.1622186130784253E-3</v>
      </c>
      <c r="AL105">
        <f t="shared" si="19"/>
        <v>3.3526511599412741E-3</v>
      </c>
    </row>
    <row r="106" spans="1:38" x14ac:dyDescent="0.35">
      <c r="A106" t="s">
        <v>56</v>
      </c>
      <c r="B106" t="s">
        <v>68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341.21592570296002</v>
      </c>
      <c r="AB106">
        <v>222.36238134761999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f t="shared" si="18"/>
        <v>0</v>
      </c>
      <c r="AL106">
        <f t="shared" si="19"/>
        <v>0</v>
      </c>
    </row>
    <row r="107" spans="1:38" x14ac:dyDescent="0.35">
      <c r="A107" t="s">
        <v>57</v>
      </c>
      <c r="B107" t="s">
        <v>68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181.71174374815001</v>
      </c>
      <c r="AB107">
        <v>99.489061173690004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f t="shared" si="18"/>
        <v>0</v>
      </c>
      <c r="AL107">
        <f t="shared" si="19"/>
        <v>0</v>
      </c>
    </row>
    <row r="108" spans="1:38" x14ac:dyDescent="0.35">
      <c r="A108" t="s">
        <v>58</v>
      </c>
      <c r="B108" t="s">
        <v>68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76.037366075549997</v>
      </c>
      <c r="AB108">
        <v>50.417977728389999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f t="shared" si="18"/>
        <v>0</v>
      </c>
      <c r="AL108">
        <f t="shared" si="19"/>
        <v>0</v>
      </c>
    </row>
    <row r="109" spans="1:38" x14ac:dyDescent="0.35">
      <c r="A109" t="s">
        <v>59</v>
      </c>
      <c r="B109" t="s">
        <v>68</v>
      </c>
      <c r="C109">
        <v>2.644233693332168</v>
      </c>
      <c r="D109">
        <v>0.71001324529060439</v>
      </c>
      <c r="E109">
        <v>1.934220448041565</v>
      </c>
      <c r="F109">
        <v>0.16067269854286079</v>
      </c>
      <c r="G109">
        <v>5.0533623042457521</v>
      </c>
      <c r="H109">
        <v>1.272990789428851</v>
      </c>
      <c r="I109">
        <v>3.780371514816903</v>
      </c>
      <c r="J109">
        <v>0</v>
      </c>
      <c r="K109">
        <v>0.48092603545097301</v>
      </c>
      <c r="L109">
        <v>0.50752608476784022</v>
      </c>
      <c r="M109">
        <v>0.129135278790351</v>
      </c>
      <c r="N109">
        <v>0.13627775919515969</v>
      </c>
      <c r="O109">
        <v>0.35179075666062148</v>
      </c>
      <c r="P109">
        <v>0.37124832557268039</v>
      </c>
      <c r="Q109">
        <v>2.9222713601402699E-2</v>
      </c>
      <c r="R109">
        <v>3.0839023731590299E-2</v>
      </c>
      <c r="S109">
        <v>0.91909179767531501</v>
      </c>
      <c r="T109">
        <v>0.96992682290319099</v>
      </c>
      <c r="U109">
        <v>0.23152810399073689</v>
      </c>
      <c r="V109">
        <v>0.24433393800764469</v>
      </c>
      <c r="W109">
        <v>0.68756369368457815</v>
      </c>
      <c r="X109">
        <v>0.72559288489554596</v>
      </c>
      <c r="Y109">
        <v>0</v>
      </c>
      <c r="Z109">
        <v>0</v>
      </c>
      <c r="AA109">
        <v>521.00449074291998</v>
      </c>
      <c r="AB109">
        <v>549.82128194673999</v>
      </c>
      <c r="AC109">
        <f t="shared" si="10"/>
        <v>0.34351422108463303</v>
      </c>
      <c r="AD109">
        <f t="shared" si="11"/>
        <v>0.25127591116111775</v>
      </c>
      <c r="AE109">
        <f t="shared" si="12"/>
        <v>0.73148619689666317</v>
      </c>
      <c r="AF109">
        <f t="shared" si="13"/>
        <v>9.2238309923515463E-2</v>
      </c>
      <c r="AG109">
        <f t="shared" si="14"/>
        <v>0.26851380310333739</v>
      </c>
      <c r="AH109">
        <f t="shared" si="15"/>
        <v>0.65648577891536697</v>
      </c>
      <c r="AI109">
        <f t="shared" si="16"/>
        <v>0.25190966188181385</v>
      </c>
      <c r="AJ109">
        <f t="shared" si="17"/>
        <v>0.74809033811818659</v>
      </c>
      <c r="AK109">
        <f t="shared" si="18"/>
        <v>1.4774529076710313E-2</v>
      </c>
      <c r="AL109">
        <f t="shared" si="19"/>
        <v>1.4000178331262866E-2</v>
      </c>
    </row>
    <row r="110" spans="1:38" x14ac:dyDescent="0.35">
      <c r="A110" t="s">
        <v>60</v>
      </c>
      <c r="B110" t="s">
        <v>68</v>
      </c>
      <c r="C110">
        <v>1.800426357568927</v>
      </c>
      <c r="D110">
        <v>7.9844312796973599E-2</v>
      </c>
      <c r="E110">
        <v>1.720582044771952</v>
      </c>
      <c r="F110">
        <v>0</v>
      </c>
      <c r="G110">
        <v>2.2594733452900262</v>
      </c>
      <c r="H110">
        <v>1.014811784017208</v>
      </c>
      <c r="I110">
        <v>1.2446615612728209</v>
      </c>
      <c r="J110">
        <v>0</v>
      </c>
      <c r="K110">
        <v>0.2409855149615811</v>
      </c>
      <c r="L110">
        <v>0.30473646432983248</v>
      </c>
      <c r="M110">
        <v>1.0687092396332899E-2</v>
      </c>
      <c r="N110">
        <v>1.3514284256229799E-2</v>
      </c>
      <c r="O110">
        <v>0.23029842256524841</v>
      </c>
      <c r="P110">
        <v>0.29122218007360251</v>
      </c>
      <c r="Q110">
        <v>0</v>
      </c>
      <c r="R110">
        <v>0</v>
      </c>
      <c r="S110">
        <v>0.30242855830655108</v>
      </c>
      <c r="T110">
        <v>0.3824338138555729</v>
      </c>
      <c r="U110">
        <v>0.13583168194154041</v>
      </c>
      <c r="V110">
        <v>0.17176495651798099</v>
      </c>
      <c r="W110">
        <v>0.16659687636501089</v>
      </c>
      <c r="X110">
        <v>0.21066885733759211</v>
      </c>
      <c r="Y110">
        <v>0</v>
      </c>
      <c r="Z110">
        <v>0</v>
      </c>
      <c r="AA110">
        <v>590.81421763174001</v>
      </c>
      <c r="AB110">
        <v>747.10978286638999</v>
      </c>
      <c r="AC110">
        <f t="shared" si="10"/>
        <v>0.44346572313130772</v>
      </c>
      <c r="AD110">
        <f t="shared" si="11"/>
        <v>0.42379915039781157</v>
      </c>
      <c r="AE110">
        <f t="shared" si="12"/>
        <v>0.95565255281821859</v>
      </c>
      <c r="AF110">
        <f t="shared" si="13"/>
        <v>1.9666572733495803E-2</v>
      </c>
      <c r="AG110">
        <f t="shared" si="14"/>
        <v>4.4347447181780589E-2</v>
      </c>
      <c r="AH110">
        <f t="shared" si="15"/>
        <v>0.55653427686869228</v>
      </c>
      <c r="AI110">
        <f t="shared" si="16"/>
        <v>0.44913642647417318</v>
      </c>
      <c r="AJ110">
        <f t="shared" si="17"/>
        <v>0.55086357352582804</v>
      </c>
      <c r="AK110">
        <f t="shared" si="18"/>
        <v>6.8717027818540515E-3</v>
      </c>
      <c r="AL110">
        <f t="shared" si="19"/>
        <v>5.4341407326813284E-3</v>
      </c>
    </row>
    <row r="111" spans="1:38" x14ac:dyDescent="0.35">
      <c r="A111" t="s">
        <v>61</v>
      </c>
      <c r="B111" t="s">
        <v>68</v>
      </c>
      <c r="C111">
        <v>2.3892134593666938</v>
      </c>
      <c r="D111">
        <v>2.5366516631069199E-2</v>
      </c>
      <c r="E111">
        <v>2.363846942735623</v>
      </c>
      <c r="F111">
        <v>1.802918360675922</v>
      </c>
      <c r="G111">
        <v>-5.5944951681043253</v>
      </c>
      <c r="H111">
        <v>-2.582074692971227</v>
      </c>
      <c r="I111">
        <v>-3.0124204751330979</v>
      </c>
      <c r="J111">
        <v>5.6145524312524948</v>
      </c>
      <c r="K111">
        <v>0.91205466796225643</v>
      </c>
      <c r="L111">
        <v>0.54141734951583675</v>
      </c>
      <c r="M111">
        <v>9.6833750088789992E-3</v>
      </c>
      <c r="N111">
        <v>5.7482817816048E-3</v>
      </c>
      <c r="O111">
        <v>0.90237129295337759</v>
      </c>
      <c r="P111">
        <v>0.53566906773423151</v>
      </c>
      <c r="Q111">
        <v>0.68824327954573072</v>
      </c>
      <c r="R111">
        <v>0.40855758467447112</v>
      </c>
      <c r="S111">
        <v>-2.1356339731630141</v>
      </c>
      <c r="T111">
        <v>-1.2677631351520511</v>
      </c>
      <c r="U111">
        <v>-0.98567721838292921</v>
      </c>
      <c r="V111">
        <v>-0.58512144699325441</v>
      </c>
      <c r="W111">
        <v>-1.149956754780084</v>
      </c>
      <c r="X111">
        <v>-0.68264168815879689</v>
      </c>
      <c r="Y111">
        <v>2.1432906019205311</v>
      </c>
      <c r="Z111">
        <v>1.2723082921407041</v>
      </c>
      <c r="AA111">
        <v>441.28867711817003</v>
      </c>
      <c r="AB111">
        <v>261.95945739796002</v>
      </c>
      <c r="AC111">
        <f t="shared" si="10"/>
        <v>-0.74539889983887309</v>
      </c>
      <c r="AD111">
        <f t="shared" si="11"/>
        <v>-0.73748492567494195</v>
      </c>
      <c r="AE111">
        <f t="shared" si="12"/>
        <v>0.98938290066480927</v>
      </c>
      <c r="AF111">
        <f t="shared" si="13"/>
        <v>-7.9139741639306805E-3</v>
      </c>
      <c r="AG111">
        <f t="shared" si="14"/>
        <v>1.0617099335190032E-2</v>
      </c>
      <c r="AH111">
        <f t="shared" si="15"/>
        <v>1.7453988998388732</v>
      </c>
      <c r="AI111">
        <f t="shared" si="16"/>
        <v>0.46153846153846151</v>
      </c>
      <c r="AJ111">
        <f t="shared" si="17"/>
        <v>0.53846153846153844</v>
      </c>
      <c r="AK111">
        <f t="shared" si="18"/>
        <v>-7.2634578563621488E-3</v>
      </c>
      <c r="AL111">
        <f t="shared" si="19"/>
        <v>-1.2235793052007567E-2</v>
      </c>
    </row>
    <row r="112" spans="1:38" x14ac:dyDescent="0.35">
      <c r="A112" t="s">
        <v>62</v>
      </c>
      <c r="B112" t="s">
        <v>68</v>
      </c>
      <c r="C112">
        <v>3.2258738534714402</v>
      </c>
      <c r="D112">
        <v>0.45292015012499087</v>
      </c>
      <c r="E112">
        <v>2.7729537033464489</v>
      </c>
      <c r="F112">
        <v>0</v>
      </c>
      <c r="G112">
        <v>5.9276318719664554</v>
      </c>
      <c r="H112">
        <v>-6.6204105470706306E-2</v>
      </c>
      <c r="I112">
        <v>5.9938359774371612</v>
      </c>
      <c r="J112">
        <v>0</v>
      </c>
      <c r="K112">
        <v>1.00367690739557</v>
      </c>
      <c r="L112">
        <v>0.46720030176171901</v>
      </c>
      <c r="M112">
        <v>0.1409185591945567</v>
      </c>
      <c r="N112">
        <v>6.5596002951152699E-2</v>
      </c>
      <c r="O112">
        <v>0.86275834820101271</v>
      </c>
      <c r="P112">
        <v>0.40160429881056642</v>
      </c>
      <c r="Q112">
        <v>0</v>
      </c>
      <c r="R112">
        <v>0</v>
      </c>
      <c r="S112">
        <v>1.8442839043542829</v>
      </c>
      <c r="T112">
        <v>0.85849339593205221</v>
      </c>
      <c r="U112">
        <v>-2.0598304476234501E-2</v>
      </c>
      <c r="V112">
        <v>-9.5882788536487008E-3</v>
      </c>
      <c r="W112">
        <v>1.864882208830517</v>
      </c>
      <c r="X112">
        <v>0.86808167478570097</v>
      </c>
      <c r="Y112">
        <v>0</v>
      </c>
      <c r="Z112">
        <v>0</v>
      </c>
      <c r="AA112">
        <v>690.46912883131995</v>
      </c>
      <c r="AB112">
        <v>321.40560669490998</v>
      </c>
      <c r="AC112">
        <f t="shared" si="10"/>
        <v>0.3524194937144825</v>
      </c>
      <c r="AD112">
        <f t="shared" si="11"/>
        <v>0.30293898168876637</v>
      </c>
      <c r="AE112">
        <f t="shared" si="12"/>
        <v>0.8595976871080705</v>
      </c>
      <c r="AF112">
        <f t="shared" si="13"/>
        <v>4.9480512025716093E-2</v>
      </c>
      <c r="AG112">
        <f t="shared" si="14"/>
        <v>0.14040231289192931</v>
      </c>
      <c r="AH112">
        <f t="shared" si="15"/>
        <v>0.64758050628551744</v>
      </c>
      <c r="AI112">
        <f t="shared" si="16"/>
        <v>-1.1168727562824089E-2</v>
      </c>
      <c r="AJ112">
        <f t="shared" si="17"/>
        <v>1.0111687275628241</v>
      </c>
      <c r="AK112">
        <f t="shared" si="18"/>
        <v>1.3256936976937713E-2</v>
      </c>
      <c r="AL112">
        <f t="shared" si="19"/>
        <v>2.8479608117498521E-2</v>
      </c>
    </row>
    <row r="113" spans="1:38" x14ac:dyDescent="0.35">
      <c r="A113" t="s">
        <v>63</v>
      </c>
      <c r="B113" t="s">
        <v>68</v>
      </c>
      <c r="C113">
        <v>6.3692384436993293E-2</v>
      </c>
      <c r="D113">
        <v>2.6529165639306101E-2</v>
      </c>
      <c r="E113">
        <v>3.7163218797687102E-2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9.8928109623369995E-2</v>
      </c>
      <c r="L113">
        <v>6.9812506237616298E-2</v>
      </c>
      <c r="M113">
        <v>4.1205557458412499E-2</v>
      </c>
      <c r="N113">
        <v>2.9078320085581699E-2</v>
      </c>
      <c r="O113">
        <v>5.7722552164957697E-2</v>
      </c>
      <c r="P113">
        <v>4.0734186152034599E-2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91.233487908610002</v>
      </c>
      <c r="AB113">
        <v>64.38249419652</v>
      </c>
      <c r="AC113">
        <f t="shared" si="10"/>
        <v>1</v>
      </c>
      <c r="AD113">
        <f t="shared" si="11"/>
        <v>0.58347978531798006</v>
      </c>
      <c r="AE113">
        <f t="shared" si="12"/>
        <v>0.58347978531798006</v>
      </c>
      <c r="AF113">
        <f t="shared" si="13"/>
        <v>0.4165202146820185</v>
      </c>
      <c r="AG113">
        <f t="shared" si="14"/>
        <v>0.4165202146820185</v>
      </c>
      <c r="AH113">
        <f t="shared" si="15"/>
        <v>0</v>
      </c>
      <c r="AI113">
        <v>0</v>
      </c>
      <c r="AJ113">
        <v>0</v>
      </c>
      <c r="AK113">
        <f t="shared" si="18"/>
        <v>6.9812506237616322E-4</v>
      </c>
      <c r="AL113">
        <f t="shared" si="19"/>
        <v>9.8928109623370249E-4</v>
      </c>
    </row>
    <row r="114" spans="1:38" x14ac:dyDescent="0.35">
      <c r="A114" t="s">
        <v>64</v>
      </c>
      <c r="B114" t="s">
        <v>68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309.88816247970999</v>
      </c>
      <c r="AB114">
        <v>147.38397429586999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f t="shared" si="18"/>
        <v>0</v>
      </c>
      <c r="AL114">
        <f t="shared" si="19"/>
        <v>0</v>
      </c>
    </row>
    <row r="115" spans="1:38" x14ac:dyDescent="0.35">
      <c r="A115" t="s">
        <v>65</v>
      </c>
      <c r="B115" t="s">
        <v>68</v>
      </c>
      <c r="C115">
        <v>-4.3303995984909802</v>
      </c>
      <c r="D115">
        <v>-3.6168747816384302E-2</v>
      </c>
      <c r="E115">
        <v>-4.2942308506746016</v>
      </c>
      <c r="F115">
        <v>0</v>
      </c>
      <c r="G115">
        <v>9.8948958804635723</v>
      </c>
      <c r="H115">
        <v>10.209776743806209</v>
      </c>
      <c r="I115">
        <v>-0.31488086334263699</v>
      </c>
      <c r="J115">
        <v>-9.8869334416288517</v>
      </c>
      <c r="K115">
        <v>-0.75772108125688842</v>
      </c>
      <c r="L115">
        <v>-0.35628748717574549</v>
      </c>
      <c r="M115">
        <v>-6.3287052568285996E-3</v>
      </c>
      <c r="N115">
        <v>-2.9758159681806998E-3</v>
      </c>
      <c r="O115">
        <v>-0.75139237600005959</v>
      </c>
      <c r="P115">
        <v>-0.35331167120756479</v>
      </c>
      <c r="Q115">
        <v>0</v>
      </c>
      <c r="R115">
        <v>0</v>
      </c>
      <c r="S115">
        <v>1.731380911840527</v>
      </c>
      <c r="T115">
        <v>0.81411137908485554</v>
      </c>
      <c r="U115">
        <v>1.7864778752529169</v>
      </c>
      <c r="V115">
        <v>0.84001848280784031</v>
      </c>
      <c r="W115">
        <v>-5.50969634123901E-2</v>
      </c>
      <c r="X115">
        <v>-2.5907103722984898E-2</v>
      </c>
      <c r="Y115">
        <v>-1.7299876668001879</v>
      </c>
      <c r="Z115">
        <v>-0.81345626233184243</v>
      </c>
      <c r="AA115">
        <v>1215.4228689920101</v>
      </c>
      <c r="AB115">
        <v>571.50311712429004</v>
      </c>
      <c r="AC115">
        <f t="shared" si="10"/>
        <v>-0.77821951512848719</v>
      </c>
      <c r="AD115">
        <f t="shared" si="11"/>
        <v>-0.77171960103319792</v>
      </c>
      <c r="AE115">
        <f t="shared" si="12"/>
        <v>0.99164771125764417</v>
      </c>
      <c r="AF115">
        <f t="shared" si="13"/>
        <v>-6.4999140952903328E-3</v>
      </c>
      <c r="AG115">
        <f t="shared" si="14"/>
        <v>8.3522887423571873E-3</v>
      </c>
      <c r="AH115">
        <f t="shared" si="15"/>
        <v>1.7782195151284872</v>
      </c>
      <c r="AI115">
        <f t="shared" si="16"/>
        <v>1.0318225544913855</v>
      </c>
      <c r="AJ115">
        <f t="shared" si="17"/>
        <v>-3.1822554491385407E-2</v>
      </c>
      <c r="AK115">
        <f t="shared" si="18"/>
        <v>4.5782389190911071E-3</v>
      </c>
      <c r="AL115">
        <f t="shared" si="19"/>
        <v>9.7365983058364143E-3</v>
      </c>
    </row>
    <row r="116" spans="1:38" x14ac:dyDescent="0.35">
      <c r="A116" t="s">
        <v>28</v>
      </c>
      <c r="B116" t="s">
        <v>69</v>
      </c>
      <c r="C116">
        <v>61.912545774045441</v>
      </c>
      <c r="D116">
        <v>4.8525662396136839</v>
      </c>
      <c r="E116">
        <v>57.059979534431761</v>
      </c>
      <c r="F116">
        <v>0</v>
      </c>
      <c r="G116">
        <v>7.1643447578672595E-2</v>
      </c>
      <c r="H116">
        <v>3.0704334676574501E-2</v>
      </c>
      <c r="I116">
        <v>4.0939112902098097E-2</v>
      </c>
      <c r="J116">
        <v>0</v>
      </c>
      <c r="K116">
        <v>4.1419353038878182</v>
      </c>
      <c r="L116">
        <v>5.0478395755619783</v>
      </c>
      <c r="M116">
        <v>0.32463558348356319</v>
      </c>
      <c r="N116">
        <v>0.39563832501338608</v>
      </c>
      <c r="O116">
        <v>3.8172997204042538</v>
      </c>
      <c r="P116">
        <v>4.6522012505485932</v>
      </c>
      <c r="Q116">
        <v>0</v>
      </c>
      <c r="R116">
        <v>0</v>
      </c>
      <c r="S116">
        <v>4.7929304328934996E-3</v>
      </c>
      <c r="T116">
        <v>5.8412172443556001E-3</v>
      </c>
      <c r="U116">
        <v>2.0541130426686002E-3</v>
      </c>
      <c r="V116">
        <v>2.5033788190095998E-3</v>
      </c>
      <c r="W116">
        <v>2.7388173902246999E-3</v>
      </c>
      <c r="X116">
        <v>3.3378384253461E-3</v>
      </c>
      <c r="Y116">
        <v>0</v>
      </c>
      <c r="Z116">
        <v>0</v>
      </c>
      <c r="AA116">
        <v>1226.51571721458</v>
      </c>
      <c r="AB116">
        <v>1494.77336635199</v>
      </c>
      <c r="AC116">
        <f t="shared" si="10"/>
        <v>0.99884416577068524</v>
      </c>
      <c r="AD116">
        <f t="shared" si="11"/>
        <v>0.92055700414849551</v>
      </c>
      <c r="AE116">
        <f t="shared" si="12"/>
        <v>0.92162224668771509</v>
      </c>
      <c r="AF116">
        <f t="shared" si="13"/>
        <v>7.8287161622189835E-2</v>
      </c>
      <c r="AG116">
        <f t="shared" si="14"/>
        <v>7.8377753312284956E-2</v>
      </c>
      <c r="AH116">
        <f t="shared" si="15"/>
        <v>1.1558342293147025E-3</v>
      </c>
      <c r="AI116">
        <f t="shared" si="16"/>
        <v>0.42857142857143599</v>
      </c>
      <c r="AJ116">
        <f t="shared" si="17"/>
        <v>0.57142857142856407</v>
      </c>
      <c r="AK116">
        <f t="shared" si="18"/>
        <v>5.0536807928063365E-2</v>
      </c>
      <c r="AL116">
        <f t="shared" si="19"/>
        <v>4.1467282343207103E-2</v>
      </c>
    </row>
    <row r="117" spans="1:38" x14ac:dyDescent="0.35">
      <c r="A117" t="s">
        <v>29</v>
      </c>
      <c r="B117" t="s">
        <v>69</v>
      </c>
      <c r="C117">
        <v>40.479513138385329</v>
      </c>
      <c r="D117">
        <v>24.517772021033171</v>
      </c>
      <c r="E117">
        <v>15.961741117352149</v>
      </c>
      <c r="F117">
        <v>0.1656112237427009</v>
      </c>
      <c r="G117">
        <v>-2.1278849423861459</v>
      </c>
      <c r="H117">
        <v>1.01315101583767E-2</v>
      </c>
      <c r="I117">
        <v>-2.138016452544512</v>
      </c>
      <c r="J117">
        <v>0</v>
      </c>
      <c r="K117">
        <v>2.3859125130950769</v>
      </c>
      <c r="L117">
        <v>2.3486969189980531</v>
      </c>
      <c r="M117">
        <v>1.4451077723739829</v>
      </c>
      <c r="N117">
        <v>1.422566902166903</v>
      </c>
      <c r="O117">
        <v>0.94080474072109321</v>
      </c>
      <c r="P117">
        <v>0.92613001683115037</v>
      </c>
      <c r="Q117">
        <v>9.7613301248435005E-3</v>
      </c>
      <c r="R117">
        <v>9.6090723627586007E-3</v>
      </c>
      <c r="S117">
        <v>-0.12542016731054501</v>
      </c>
      <c r="T117">
        <v>-0.1234638566693981</v>
      </c>
      <c r="U117">
        <v>5.9716372528450005E-4</v>
      </c>
      <c r="V117">
        <v>5.8784913278050002E-4</v>
      </c>
      <c r="W117">
        <v>-0.12601733103582941</v>
      </c>
      <c r="X117">
        <v>-0.124051705802179</v>
      </c>
      <c r="Y117">
        <v>0</v>
      </c>
      <c r="Z117">
        <v>0</v>
      </c>
      <c r="AA117">
        <v>1723.48815255626</v>
      </c>
      <c r="AB117">
        <v>1696.60508992738</v>
      </c>
      <c r="AC117">
        <f t="shared" si="10"/>
        <v>1.0554835620410015</v>
      </c>
      <c r="AD117">
        <f t="shared" si="11"/>
        <v>0.41619461462700735</v>
      </c>
      <c r="AE117">
        <f t="shared" si="12"/>
        <v>0.39431652902505343</v>
      </c>
      <c r="AF117">
        <f t="shared" si="13"/>
        <v>0.639288947413994</v>
      </c>
      <c r="AG117">
        <f t="shared" si="14"/>
        <v>0.60568347097494635</v>
      </c>
      <c r="AH117">
        <f t="shared" si="15"/>
        <v>-5.548356204100157E-2</v>
      </c>
      <c r="AI117">
        <f t="shared" si="16"/>
        <v>-4.7613054430544217E-3</v>
      </c>
      <c r="AJ117">
        <f t="shared" si="17"/>
        <v>1.0047613054430495</v>
      </c>
      <c r="AK117">
        <f t="shared" si="18"/>
        <v>2.2252330623286524E-2</v>
      </c>
      <c r="AL117">
        <f t="shared" si="19"/>
        <v>2.2604923457845309E-2</v>
      </c>
    </row>
    <row r="118" spans="1:38" x14ac:dyDescent="0.35">
      <c r="A118" t="s">
        <v>30</v>
      </c>
      <c r="B118" t="s">
        <v>69</v>
      </c>
      <c r="C118">
        <v>64.536582715928375</v>
      </c>
      <c r="D118">
        <v>4.2568291943873264</v>
      </c>
      <c r="E118">
        <v>60.279753521541039</v>
      </c>
      <c r="F118">
        <v>-1.984131221612252</v>
      </c>
      <c r="G118">
        <v>2.8314122459696591</v>
      </c>
      <c r="H118">
        <v>-0.10285766593745289</v>
      </c>
      <c r="I118">
        <v>2.934269911907109</v>
      </c>
      <c r="J118">
        <v>0</v>
      </c>
      <c r="K118">
        <v>2.4662287828476401</v>
      </c>
      <c r="L118">
        <v>2.2199717645552992</v>
      </c>
      <c r="M118">
        <v>0.1626723052423576</v>
      </c>
      <c r="N118">
        <v>0.1464292068216709</v>
      </c>
      <c r="O118">
        <v>2.3035564776052828</v>
      </c>
      <c r="P118">
        <v>2.0735425577336288</v>
      </c>
      <c r="Q118">
        <v>-7.5822445530246904E-2</v>
      </c>
      <c r="R118">
        <v>-6.8251449081834795E-2</v>
      </c>
      <c r="S118">
        <v>0.1082008077163667</v>
      </c>
      <c r="T118">
        <v>9.7396778313104407E-2</v>
      </c>
      <c r="U118">
        <v>-3.9306471708930998E-3</v>
      </c>
      <c r="V118">
        <v>-3.5381655572668002E-3</v>
      </c>
      <c r="W118">
        <v>0.11213145488725999</v>
      </c>
      <c r="X118">
        <v>0.10093494387037261</v>
      </c>
      <c r="Y118">
        <v>0</v>
      </c>
      <c r="Z118">
        <v>0</v>
      </c>
      <c r="AA118">
        <v>2907.0902498102801</v>
      </c>
      <c r="AB118">
        <v>2616.8124857180101</v>
      </c>
      <c r="AC118">
        <f t="shared" si="10"/>
        <v>0.95797095864926585</v>
      </c>
      <c r="AD118">
        <f t="shared" si="11"/>
        <v>0.8947832506464537</v>
      </c>
      <c r="AE118">
        <f t="shared" si="12"/>
        <v>0.93404005890543218</v>
      </c>
      <c r="AF118">
        <f t="shared" si="13"/>
        <v>6.3187708002812051E-2</v>
      </c>
      <c r="AG118">
        <f t="shared" si="14"/>
        <v>6.5959941094567626E-2</v>
      </c>
      <c r="AH118">
        <f t="shared" si="15"/>
        <v>4.2029041350734105E-2</v>
      </c>
      <c r="AI118">
        <f t="shared" si="16"/>
        <v>-3.6327336679377736E-2</v>
      </c>
      <c r="AJ118">
        <f t="shared" si="17"/>
        <v>1.0363273366793766</v>
      </c>
      <c r="AK118">
        <f t="shared" si="18"/>
        <v>2.3173685428684074E-2</v>
      </c>
      <c r="AL118">
        <f t="shared" si="19"/>
        <v>2.5744295905640091E-2</v>
      </c>
    </row>
    <row r="119" spans="1:38" x14ac:dyDescent="0.35">
      <c r="A119" t="s">
        <v>31</v>
      </c>
      <c r="B119" t="s">
        <v>69</v>
      </c>
      <c r="C119">
        <v>102.2301270281114</v>
      </c>
      <c r="D119">
        <v>19.23782439707341</v>
      </c>
      <c r="E119">
        <v>82.992302631038001</v>
      </c>
      <c r="F119">
        <v>0</v>
      </c>
      <c r="G119">
        <v>-111.6512256284006</v>
      </c>
      <c r="H119">
        <v>-114.80593817842519</v>
      </c>
      <c r="I119">
        <v>3.1547125500243278</v>
      </c>
      <c r="J119">
        <v>0</v>
      </c>
      <c r="K119">
        <v>2.841843447131668</v>
      </c>
      <c r="L119">
        <v>2.4564011359343332</v>
      </c>
      <c r="M119">
        <v>0.53478252242471824</v>
      </c>
      <c r="N119">
        <v>0.46224938846923158</v>
      </c>
      <c r="O119">
        <v>2.3070609247069491</v>
      </c>
      <c r="P119">
        <v>1.994151747465102</v>
      </c>
      <c r="Q119">
        <v>0</v>
      </c>
      <c r="R119">
        <v>0</v>
      </c>
      <c r="S119">
        <v>-3.1037357884632151</v>
      </c>
      <c r="T119">
        <v>-2.6827727347599581</v>
      </c>
      <c r="U119">
        <v>-3.191432042478489</v>
      </c>
      <c r="V119">
        <v>-2.758574650659908</v>
      </c>
      <c r="W119">
        <v>8.7696254015273895E-2</v>
      </c>
      <c r="X119">
        <v>7.5801915899951597E-2</v>
      </c>
      <c r="Y119">
        <v>0</v>
      </c>
      <c r="Z119">
        <v>0</v>
      </c>
      <c r="AA119">
        <v>4161.7847155581303</v>
      </c>
      <c r="AB119">
        <v>3597.3173374942398</v>
      </c>
      <c r="AC119">
        <f t="shared" si="10"/>
        <v>-10.851189586846406</v>
      </c>
      <c r="AD119">
        <f t="shared" si="11"/>
        <v>-8.8091958435176974</v>
      </c>
      <c r="AE119">
        <f t="shared" si="12"/>
        <v>0.81181844377652634</v>
      </c>
      <c r="AF119">
        <f t="shared" si="13"/>
        <v>-2.0419937433287099</v>
      </c>
      <c r="AG119">
        <f t="shared" si="14"/>
        <v>0.18818155622347377</v>
      </c>
      <c r="AH119">
        <f t="shared" si="15"/>
        <v>11.851189586846406</v>
      </c>
      <c r="AI119">
        <f t="shared" si="16"/>
        <v>1.0282550642168871</v>
      </c>
      <c r="AJ119">
        <f t="shared" si="17"/>
        <v>-2.8255064216884576E-2</v>
      </c>
      <c r="AK119">
        <f t="shared" si="18"/>
        <v>-2.2637159882561947E-3</v>
      </c>
      <c r="AL119">
        <f t="shared" si="19"/>
        <v>-2.6189234133154327E-3</v>
      </c>
    </row>
    <row r="120" spans="1:38" x14ac:dyDescent="0.35">
      <c r="A120" t="s">
        <v>32</v>
      </c>
      <c r="B120" t="s">
        <v>69</v>
      </c>
      <c r="C120">
        <v>36.032590507810447</v>
      </c>
      <c r="D120">
        <v>3.3829533441994899</v>
      </c>
      <c r="E120">
        <v>32.649637163610961</v>
      </c>
      <c r="F120">
        <v>-3.4285888645816998E-2</v>
      </c>
      <c r="G120">
        <v>53.163057249189023</v>
      </c>
      <c r="H120">
        <v>-1.5918448299843499E-2</v>
      </c>
      <c r="I120">
        <v>53.178975697488909</v>
      </c>
      <c r="J120">
        <v>0</v>
      </c>
      <c r="K120">
        <v>1.878499982551235</v>
      </c>
      <c r="L120">
        <v>1.5413958123157809</v>
      </c>
      <c r="M120">
        <v>0.1763647217280393</v>
      </c>
      <c r="N120">
        <v>0.1447153825056921</v>
      </c>
      <c r="O120">
        <v>1.702135260823195</v>
      </c>
      <c r="P120">
        <v>1.396680429810089</v>
      </c>
      <c r="Q120">
        <v>-1.7874385470275E-3</v>
      </c>
      <c r="R120">
        <v>-1.4666757076133999E-3</v>
      </c>
      <c r="S120">
        <v>2.7715687578256341</v>
      </c>
      <c r="T120">
        <v>2.27419990233679</v>
      </c>
      <c r="U120">
        <v>-8.2988218254849996E-4</v>
      </c>
      <c r="V120">
        <v>-6.8095657853479996E-4</v>
      </c>
      <c r="W120">
        <v>2.7723986400081841</v>
      </c>
      <c r="X120">
        <v>2.2748808589153242</v>
      </c>
      <c r="Y120">
        <v>0</v>
      </c>
      <c r="Z120">
        <v>0</v>
      </c>
      <c r="AA120">
        <v>2337.6598158571201</v>
      </c>
      <c r="AB120">
        <v>1918.15761738117</v>
      </c>
      <c r="AC120">
        <f t="shared" si="10"/>
        <v>0.40397251899527631</v>
      </c>
      <c r="AD120">
        <f t="shared" si="11"/>
        <v>0.36604518252460178</v>
      </c>
      <c r="AE120">
        <f t="shared" si="12"/>
        <v>0.90611406794451277</v>
      </c>
      <c r="AF120">
        <f t="shared" si="13"/>
        <v>3.7927336470674582E-2</v>
      </c>
      <c r="AG120">
        <f t="shared" si="14"/>
        <v>9.3885932055487342E-2</v>
      </c>
      <c r="AH120">
        <f t="shared" si="15"/>
        <v>0.59602748100472358</v>
      </c>
      <c r="AI120">
        <f t="shared" si="16"/>
        <v>-2.994268788047611E-4</v>
      </c>
      <c r="AJ120">
        <f t="shared" si="17"/>
        <v>1.0002994268788055</v>
      </c>
      <c r="AK120">
        <f t="shared" si="18"/>
        <v>3.8155957146525719E-2</v>
      </c>
      <c r="AL120">
        <f t="shared" si="19"/>
        <v>4.6500687403768663E-2</v>
      </c>
    </row>
    <row r="121" spans="1:38" x14ac:dyDescent="0.35">
      <c r="A121" t="s">
        <v>33</v>
      </c>
      <c r="B121" t="s">
        <v>69</v>
      </c>
      <c r="C121">
        <v>227.24510700030919</v>
      </c>
      <c r="D121">
        <v>42.258318536499011</v>
      </c>
      <c r="E121">
        <v>184.9867884638102</v>
      </c>
      <c r="F121">
        <v>0.749897294020343</v>
      </c>
      <c r="G121">
        <v>0.4528225967738137</v>
      </c>
      <c r="H121">
        <v>0</v>
      </c>
      <c r="I121">
        <v>0.4528225967738137</v>
      </c>
      <c r="J121">
        <v>264.23338464211298</v>
      </c>
      <c r="K121">
        <v>4.978714949146438</v>
      </c>
      <c r="L121">
        <v>4.2676321756965621</v>
      </c>
      <c r="M121">
        <v>0.92583785411570318</v>
      </c>
      <c r="N121">
        <v>0.79360546969643764</v>
      </c>
      <c r="O121">
        <v>4.052877095030734</v>
      </c>
      <c r="P121">
        <v>3.474026706000124</v>
      </c>
      <c r="Q121">
        <v>1.6429506084188299E-2</v>
      </c>
      <c r="R121">
        <v>1.40829691018362E-2</v>
      </c>
      <c r="S121">
        <v>9.9208940585281992E-3</v>
      </c>
      <c r="T121">
        <v>8.5039467268783007E-3</v>
      </c>
      <c r="U121">
        <v>0</v>
      </c>
      <c r="V121">
        <v>0</v>
      </c>
      <c r="W121">
        <v>9.9208940585281992E-3</v>
      </c>
      <c r="X121">
        <v>8.5039467268783007E-3</v>
      </c>
      <c r="Y121">
        <v>5.7890914332402303</v>
      </c>
      <c r="Z121">
        <v>4.9622669947756144</v>
      </c>
      <c r="AA121">
        <v>5324.8522282316499</v>
      </c>
      <c r="AB121">
        <v>4564.3325500944502</v>
      </c>
      <c r="AC121">
        <f t="shared" si="10"/>
        <v>0.99801130121132375</v>
      </c>
      <c r="AD121">
        <f t="shared" si="11"/>
        <v>0.81242191701588506</v>
      </c>
      <c r="AE121">
        <f t="shared" si="12"/>
        <v>0.81404079896672321</v>
      </c>
      <c r="AF121">
        <f t="shared" si="13"/>
        <v>0.1855893841954388</v>
      </c>
      <c r="AG121">
        <f t="shared" si="14"/>
        <v>0.18595920103327687</v>
      </c>
      <c r="AH121">
        <f t="shared" si="15"/>
        <v>1.9886987886762707E-3</v>
      </c>
      <c r="AI121">
        <f t="shared" si="16"/>
        <v>0</v>
      </c>
      <c r="AJ121">
        <f t="shared" si="17"/>
        <v>1</v>
      </c>
      <c r="AK121">
        <f t="shared" si="18"/>
        <v>4.27613612242344E-2</v>
      </c>
      <c r="AL121">
        <f t="shared" si="19"/>
        <v>4.9886358432049659E-2</v>
      </c>
    </row>
    <row r="122" spans="1:38" x14ac:dyDescent="0.35">
      <c r="A122" t="s">
        <v>34</v>
      </c>
      <c r="B122" t="s">
        <v>69</v>
      </c>
      <c r="C122">
        <v>0.70983413309792809</v>
      </c>
      <c r="D122">
        <v>5.4602625622916998E-2</v>
      </c>
      <c r="E122">
        <v>0.65523150747500836</v>
      </c>
      <c r="F122">
        <v>0.353311106971816</v>
      </c>
      <c r="G122">
        <v>0.75908356013035672</v>
      </c>
      <c r="H122">
        <v>0</v>
      </c>
      <c r="I122">
        <v>0.75908356013035672</v>
      </c>
      <c r="J122">
        <v>1.338299647620516</v>
      </c>
      <c r="K122">
        <v>4.3331529487037099E-2</v>
      </c>
      <c r="L122">
        <v>3.2915423510035499E-2</v>
      </c>
      <c r="M122">
        <v>3.3331945759259001E-3</v>
      </c>
      <c r="N122">
        <v>2.5319556546181E-3</v>
      </c>
      <c r="O122">
        <v>3.9998334911111003E-2</v>
      </c>
      <c r="P122">
        <v>3.0383467855417099E-2</v>
      </c>
      <c r="Q122">
        <v>2.1567729608932398E-2</v>
      </c>
      <c r="R122">
        <v>1.6383242471058601E-2</v>
      </c>
      <c r="S122">
        <v>4.6337940281009703E-2</v>
      </c>
      <c r="T122">
        <v>3.5199148218122603E-2</v>
      </c>
      <c r="U122">
        <v>0</v>
      </c>
      <c r="V122">
        <v>0</v>
      </c>
      <c r="W122">
        <v>4.6337940281009703E-2</v>
      </c>
      <c r="X122">
        <v>3.5199148218122603E-2</v>
      </c>
      <c r="Y122">
        <v>8.1695945488379801E-2</v>
      </c>
      <c r="Z122">
        <v>6.2057736632796699E-2</v>
      </c>
      <c r="AA122">
        <v>2156.5395714307001</v>
      </c>
      <c r="AB122">
        <v>1638.14696019506</v>
      </c>
      <c r="AC122">
        <f t="shared" si="10"/>
        <v>0.48323615160350081</v>
      </c>
      <c r="AD122">
        <f t="shared" si="11"/>
        <v>0.44606413994169153</v>
      </c>
      <c r="AE122">
        <f t="shared" si="12"/>
        <v>0.92307692307692002</v>
      </c>
      <c r="AF122">
        <f t="shared" si="13"/>
        <v>3.7172011661807378E-2</v>
      </c>
      <c r="AG122">
        <f t="shared" si="14"/>
        <v>7.692307692307615E-2</v>
      </c>
      <c r="AH122">
        <f t="shared" si="15"/>
        <v>0.51676384839649925</v>
      </c>
      <c r="AI122">
        <f t="shared" si="16"/>
        <v>0</v>
      </c>
      <c r="AJ122">
        <f t="shared" si="17"/>
        <v>1</v>
      </c>
      <c r="AK122">
        <f t="shared" si="18"/>
        <v>6.8114571728158436E-4</v>
      </c>
      <c r="AL122">
        <f t="shared" si="19"/>
        <v>8.9669469768046664E-4</v>
      </c>
    </row>
    <row r="123" spans="1:38" x14ac:dyDescent="0.35">
      <c r="A123" t="s">
        <v>35</v>
      </c>
      <c r="B123" t="s">
        <v>69</v>
      </c>
      <c r="C123">
        <v>8.919494114882724</v>
      </c>
      <c r="D123">
        <v>-1.0503963879287279</v>
      </c>
      <c r="E123">
        <v>9.9698905028114524</v>
      </c>
      <c r="F123">
        <v>0.614662243343852</v>
      </c>
      <c r="G123">
        <v>6.8486823031478536</v>
      </c>
      <c r="H123">
        <v>4.1453482675033501E-2</v>
      </c>
      <c r="I123">
        <v>6.8072288204728011</v>
      </c>
      <c r="J123">
        <v>-4.8979840922594699E-2</v>
      </c>
      <c r="K123">
        <v>0.67371927964275846</v>
      </c>
      <c r="L123">
        <v>0.49648519958912501</v>
      </c>
      <c r="M123">
        <v>-7.9339959049236103E-2</v>
      </c>
      <c r="N123">
        <v>-5.8468143326461199E-2</v>
      </c>
      <c r="O123">
        <v>0.75305923869199454</v>
      </c>
      <c r="P123">
        <v>0.5549533429155864</v>
      </c>
      <c r="Q123">
        <v>4.6427498967486699E-2</v>
      </c>
      <c r="R123">
        <v>3.4213903012422497E-2</v>
      </c>
      <c r="S123">
        <v>0.51730392423040783</v>
      </c>
      <c r="T123">
        <v>0.38121774132092229</v>
      </c>
      <c r="U123">
        <v>3.131120456698E-3</v>
      </c>
      <c r="V123">
        <v>2.3074224114612999E-3</v>
      </c>
      <c r="W123">
        <v>0.514172803773711</v>
      </c>
      <c r="X123">
        <v>0.37891031890946181</v>
      </c>
      <c r="Y123">
        <v>-3.6996115158960999E-3</v>
      </c>
      <c r="Z123">
        <v>-2.7263615831890999E-3</v>
      </c>
      <c r="AA123">
        <v>1796.5276955414199</v>
      </c>
      <c r="AB123">
        <v>1323.9184901480501</v>
      </c>
      <c r="AC123">
        <f t="shared" si="10"/>
        <v>0.56566427711218847</v>
      </c>
      <c r="AD123">
        <f t="shared" si="11"/>
        <v>0.63227923372363415</v>
      </c>
      <c r="AE123">
        <f t="shared" si="12"/>
        <v>1.1177641214176124</v>
      </c>
      <c r="AF123">
        <f t="shared" si="13"/>
        <v>-6.6614956611445675E-2</v>
      </c>
      <c r="AG123">
        <f t="shared" si="14"/>
        <v>-0.11776412141761235</v>
      </c>
      <c r="AH123">
        <f t="shared" si="15"/>
        <v>0.43433572288781153</v>
      </c>
      <c r="AI123">
        <f t="shared" si="16"/>
        <v>6.0527676478700542E-3</v>
      </c>
      <c r="AJ123">
        <f t="shared" si="17"/>
        <v>0.99394723235212712</v>
      </c>
      <c r="AK123">
        <f t="shared" si="18"/>
        <v>8.7770294091004918E-3</v>
      </c>
      <c r="AL123">
        <f t="shared" si="19"/>
        <v>1.1910232038731679E-2</v>
      </c>
    </row>
    <row r="124" spans="1:38" x14ac:dyDescent="0.35">
      <c r="A124" t="s">
        <v>36</v>
      </c>
      <c r="B124" t="s">
        <v>69</v>
      </c>
      <c r="C124">
        <v>199.1047307379088</v>
      </c>
      <c r="D124">
        <v>103.96143780860361</v>
      </c>
      <c r="E124">
        <v>95.143292929305247</v>
      </c>
      <c r="F124">
        <v>3.838457100350162</v>
      </c>
      <c r="G124">
        <v>-0.29967103393948941</v>
      </c>
      <c r="H124">
        <v>-8.7880068603979995E-4</v>
      </c>
      <c r="I124">
        <v>-0.29879223325349358</v>
      </c>
      <c r="J124">
        <v>0</v>
      </c>
      <c r="K124">
        <v>6.3059947144265589</v>
      </c>
      <c r="L124">
        <v>6.7676927283776473</v>
      </c>
      <c r="M124">
        <v>3.2926403852664432</v>
      </c>
      <c r="N124">
        <v>3.5337134586476822</v>
      </c>
      <c r="O124">
        <v>3.0133543291601161</v>
      </c>
      <c r="P124">
        <v>3.2339792697299639</v>
      </c>
      <c r="Q124">
        <v>0.12157064323209781</v>
      </c>
      <c r="R124">
        <v>0.1304715267686169</v>
      </c>
      <c r="S124">
        <v>-9.4911052544333005E-3</v>
      </c>
      <c r="T124">
        <v>-1.01860034655185E-2</v>
      </c>
      <c r="U124">
        <v>-2.7833153238815411E-5</v>
      </c>
      <c r="V124">
        <v>-2.9870977904758459E-5</v>
      </c>
      <c r="W124">
        <v>-9.4632721011950992E-3</v>
      </c>
      <c r="X124">
        <v>-1.0156132487614E-2</v>
      </c>
      <c r="Y124">
        <v>0</v>
      </c>
      <c r="Z124">
        <v>0</v>
      </c>
      <c r="AA124">
        <v>2941.9883367789698</v>
      </c>
      <c r="AB124">
        <v>3157.38816403392</v>
      </c>
      <c r="AC124">
        <f t="shared" si="10"/>
        <v>1.0015073612029075</v>
      </c>
      <c r="AD124">
        <f t="shared" si="11"/>
        <v>0.47857581226040413</v>
      </c>
      <c r="AE124">
        <f t="shared" si="12"/>
        <v>0.47785551140192128</v>
      </c>
      <c r="AF124">
        <f t="shared" si="13"/>
        <v>0.52293154894250371</v>
      </c>
      <c r="AG124">
        <f t="shared" si="14"/>
        <v>0.52214448859807894</v>
      </c>
      <c r="AH124">
        <f t="shared" si="15"/>
        <v>-1.5073612029075849E-3</v>
      </c>
      <c r="AI124">
        <f t="shared" si="16"/>
        <v>2.9325513196489001E-3</v>
      </c>
      <c r="AJ124">
        <f t="shared" si="17"/>
        <v>0.99706744868049779</v>
      </c>
      <c r="AK124">
        <f t="shared" si="18"/>
        <v>6.7575067249121268E-2</v>
      </c>
      <c r="AL124">
        <f t="shared" si="19"/>
        <v>6.2965036091721258E-2</v>
      </c>
    </row>
    <row r="125" spans="1:38" x14ac:dyDescent="0.35">
      <c r="A125" t="s">
        <v>37</v>
      </c>
      <c r="B125" t="s">
        <v>69</v>
      </c>
      <c r="C125">
        <v>1054.3</v>
      </c>
      <c r="D125">
        <v>179.8</v>
      </c>
      <c r="E125">
        <v>874.5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5.2902870798831074</v>
      </c>
      <c r="L125">
        <v>5.2783053488644818</v>
      </c>
      <c r="M125">
        <v>0.90220394286539163</v>
      </c>
      <c r="N125">
        <v>0.90016058211688743</v>
      </c>
      <c r="O125">
        <v>4.3880831370177162</v>
      </c>
      <c r="P125">
        <v>4.3781447667475959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19974.2138871676</v>
      </c>
      <c r="AB125">
        <v>19928.975197</v>
      </c>
      <c r="AC125">
        <f t="shared" si="10"/>
        <v>1</v>
      </c>
      <c r="AD125">
        <f t="shared" si="11"/>
        <v>0.82946030541591576</v>
      </c>
      <c r="AE125">
        <f t="shared" si="12"/>
        <v>0.82946030541591576</v>
      </c>
      <c r="AF125">
        <f t="shared" si="13"/>
        <v>0.17053969458408424</v>
      </c>
      <c r="AG125">
        <f t="shared" si="14"/>
        <v>0.17053969458408424</v>
      </c>
      <c r="AH125">
        <f t="shared" si="15"/>
        <v>0</v>
      </c>
      <c r="AI125">
        <v>0</v>
      </c>
      <c r="AJ125">
        <v>0</v>
      </c>
      <c r="AK125">
        <f t="shared" si="18"/>
        <v>5.2783053488644836E-2</v>
      </c>
      <c r="AL125">
        <f t="shared" si="19"/>
        <v>5.2902870798831068E-2</v>
      </c>
    </row>
    <row r="126" spans="1:38" x14ac:dyDescent="0.35">
      <c r="A126" t="s">
        <v>38</v>
      </c>
      <c r="B126" t="s">
        <v>69</v>
      </c>
      <c r="C126">
        <v>0.48248815777999438</v>
      </c>
      <c r="D126">
        <v>0.51497751595394803</v>
      </c>
      <c r="E126">
        <v>-3.2489358173953597E-2</v>
      </c>
      <c r="F126">
        <v>2.1931635457429031</v>
      </c>
      <c r="G126">
        <v>1.254832181317395</v>
      </c>
      <c r="H126">
        <v>0.10436173005807831</v>
      </c>
      <c r="I126">
        <v>1.150470451259316</v>
      </c>
      <c r="J126">
        <v>7.6165976297277194</v>
      </c>
      <c r="K126">
        <v>3.7719396269809198E-2</v>
      </c>
      <c r="L126">
        <v>2.0258417507762201E-2</v>
      </c>
      <c r="M126">
        <v>4.0259311407112801E-2</v>
      </c>
      <c r="N126">
        <v>2.1622560796740801E-2</v>
      </c>
      <c r="O126">
        <v>-2.5399151373036001E-3</v>
      </c>
      <c r="P126">
        <v>-1.3641432889784999E-3</v>
      </c>
      <c r="Q126">
        <v>0.17145458086889959</v>
      </c>
      <c r="R126">
        <v>9.2085208840966604E-2</v>
      </c>
      <c r="S126">
        <v>9.8098806231845803E-2</v>
      </c>
      <c r="T126">
        <v>5.2687125728161997E-2</v>
      </c>
      <c r="U126">
        <v>8.1586695714477003E-3</v>
      </c>
      <c r="V126">
        <v>4.3818764569822999E-3</v>
      </c>
      <c r="W126">
        <v>8.9940136660398004E-2</v>
      </c>
      <c r="X126">
        <v>4.8305249271179698E-2</v>
      </c>
      <c r="Y126">
        <v>0.59544148305167344</v>
      </c>
      <c r="Z126">
        <v>0.31980104026100231</v>
      </c>
      <c r="AA126">
        <v>2381.6675591522499</v>
      </c>
      <c r="AB126">
        <v>1279.1513266244399</v>
      </c>
      <c r="AC126">
        <f t="shared" si="10"/>
        <v>0.27771974282570544</v>
      </c>
      <c r="AD126">
        <f t="shared" si="11"/>
        <v>-1.8700844883237353E-2</v>
      </c>
      <c r="AE126">
        <f t="shared" si="12"/>
        <v>-6.7337110041088596E-2</v>
      </c>
      <c r="AF126">
        <f t="shared" si="13"/>
        <v>0.29642058770894281</v>
      </c>
      <c r="AG126">
        <f t="shared" si="14"/>
        <v>1.0673371100410887</v>
      </c>
      <c r="AH126">
        <f t="shared" si="15"/>
        <v>0.72228025717429456</v>
      </c>
      <c r="AI126">
        <f t="shared" si="16"/>
        <v>8.3167878232540515E-2</v>
      </c>
      <c r="AJ126">
        <f t="shared" si="17"/>
        <v>0.91683212176745887</v>
      </c>
      <c r="AK126">
        <f t="shared" si="18"/>
        <v>7.2945543235924384E-4</v>
      </c>
      <c r="AL126">
        <f t="shared" si="19"/>
        <v>1.358182025016551E-3</v>
      </c>
    </row>
    <row r="127" spans="1:38" x14ac:dyDescent="0.35">
      <c r="A127" t="s">
        <v>39</v>
      </c>
      <c r="B127" t="s">
        <v>69</v>
      </c>
      <c r="C127">
        <v>2.706739027069029</v>
      </c>
      <c r="D127">
        <v>6.3428250262197894E-2</v>
      </c>
      <c r="E127">
        <v>2.6433107768068318</v>
      </c>
      <c r="F127">
        <v>0.24881411564098421</v>
      </c>
      <c r="G127">
        <v>-22.6690210199828</v>
      </c>
      <c r="H127">
        <v>8.8709204053682503E-2</v>
      </c>
      <c r="I127">
        <v>-22.757730224036489</v>
      </c>
      <c r="J127">
        <v>2.230995755846735</v>
      </c>
      <c r="K127">
        <v>0.2714737862550583</v>
      </c>
      <c r="L127">
        <v>0.1159807298115369</v>
      </c>
      <c r="M127">
        <v>6.3615690622593002E-3</v>
      </c>
      <c r="N127">
        <v>2.7178293446502998E-3</v>
      </c>
      <c r="O127">
        <v>0.26511221719279898</v>
      </c>
      <c r="P127">
        <v>0.1132629004668866</v>
      </c>
      <c r="Q127">
        <v>2.4954940011303699E-2</v>
      </c>
      <c r="R127">
        <v>1.06614056363985E-2</v>
      </c>
      <c r="S127">
        <v>-2.27360115084833</v>
      </c>
      <c r="T127">
        <v>-0.97134211156575756</v>
      </c>
      <c r="U127">
        <v>8.8971353570804993E-3</v>
      </c>
      <c r="V127">
        <v>3.8010898443680001E-3</v>
      </c>
      <c r="W127">
        <v>-2.2824982862054122</v>
      </c>
      <c r="X127">
        <v>-0.975143201410126</v>
      </c>
      <c r="Y127">
        <v>0.22375886958504049</v>
      </c>
      <c r="Z127">
        <v>9.5595664518028298E-2</v>
      </c>
      <c r="AA127">
        <v>2333.7834064911899</v>
      </c>
      <c r="AB127">
        <v>997.05355143423003</v>
      </c>
      <c r="AC127">
        <f t="shared" si="10"/>
        <v>-0.13559266560956656</v>
      </c>
      <c r="AD127">
        <f t="shared" si="11"/>
        <v>-0.1324152608276527</v>
      </c>
      <c r="AE127">
        <f t="shared" si="12"/>
        <v>0.97656654386408281</v>
      </c>
      <c r="AF127">
        <f t="shared" si="13"/>
        <v>-3.1774047819138973E-3</v>
      </c>
      <c r="AG127">
        <f t="shared" si="14"/>
        <v>2.3433456135917421E-2</v>
      </c>
      <c r="AH127">
        <f t="shared" si="15"/>
        <v>1.1355926656095667</v>
      </c>
      <c r="AI127">
        <f t="shared" si="16"/>
        <v>-3.9132348933588754E-3</v>
      </c>
      <c r="AJ127">
        <f t="shared" si="17"/>
        <v>1.0039132348933593</v>
      </c>
      <c r="AK127">
        <f t="shared" si="18"/>
        <v>-8.5536138175422091E-3</v>
      </c>
      <c r="AL127">
        <f t="shared" si="19"/>
        <v>-2.0021273645932716E-2</v>
      </c>
    </row>
    <row r="128" spans="1:38" x14ac:dyDescent="0.35">
      <c r="A128" t="s">
        <v>40</v>
      </c>
      <c r="B128" t="s">
        <v>69</v>
      </c>
      <c r="C128">
        <v>-0.15673549095230749</v>
      </c>
      <c r="D128">
        <v>-8.8163713660671002E-3</v>
      </c>
      <c r="E128">
        <v>-0.14791911958624121</v>
      </c>
      <c r="F128">
        <v>0</v>
      </c>
      <c r="G128">
        <v>-4.4081856830334901E-2</v>
      </c>
      <c r="H128">
        <v>0</v>
      </c>
      <c r="I128">
        <v>-4.4081856830334901E-2</v>
      </c>
      <c r="J128">
        <v>0</v>
      </c>
      <c r="K128">
        <v>-3.7863429173517801E-2</v>
      </c>
      <c r="L128">
        <v>-3.3447667807116901E-2</v>
      </c>
      <c r="M128">
        <v>-2.1298178910102998E-3</v>
      </c>
      <c r="N128">
        <v>-1.8814313141501001E-3</v>
      </c>
      <c r="O128">
        <v>-3.5733611282507703E-2</v>
      </c>
      <c r="P128">
        <v>-3.1566236492966297E-2</v>
      </c>
      <c r="Q128">
        <v>0</v>
      </c>
      <c r="R128">
        <v>0</v>
      </c>
      <c r="S128">
        <v>-1.06490894550512E-2</v>
      </c>
      <c r="T128">
        <v>-9.4071565707508995E-3</v>
      </c>
      <c r="U128">
        <v>0</v>
      </c>
      <c r="V128">
        <v>0</v>
      </c>
      <c r="W128">
        <v>-1.06490894550512E-2</v>
      </c>
      <c r="X128">
        <v>-9.4071565707508995E-3</v>
      </c>
      <c r="Y128">
        <v>0</v>
      </c>
      <c r="Z128">
        <v>0</v>
      </c>
      <c r="AA128">
        <v>468.59916169988998</v>
      </c>
      <c r="AB128">
        <v>413.94954015926999</v>
      </c>
      <c r="AC128">
        <f t="shared" si="10"/>
        <v>0.78048780487805502</v>
      </c>
      <c r="AD128">
        <f t="shared" si="11"/>
        <v>0.7365853658536694</v>
      </c>
      <c r="AE128">
        <f t="shared" si="12"/>
        <v>0.94375000000000653</v>
      </c>
      <c r="AF128">
        <f t="shared" si="13"/>
        <v>4.3902439024389617E-2</v>
      </c>
      <c r="AG128">
        <f t="shared" si="14"/>
        <v>5.6249999999998752E-2</v>
      </c>
      <c r="AH128">
        <f t="shared" si="15"/>
        <v>0.21951219512194509</v>
      </c>
      <c r="AI128">
        <f t="shared" si="16"/>
        <v>0</v>
      </c>
      <c r="AJ128">
        <f t="shared" si="17"/>
        <v>1</v>
      </c>
      <c r="AK128">
        <f t="shared" si="18"/>
        <v>-4.2854824377866474E-4</v>
      </c>
      <c r="AL128">
        <f t="shared" si="19"/>
        <v>-4.8512518628569194E-4</v>
      </c>
    </row>
    <row r="129" spans="1:38" x14ac:dyDescent="0.35">
      <c r="A129" t="s">
        <v>41</v>
      </c>
      <c r="B129" t="s">
        <v>69</v>
      </c>
      <c r="C129">
        <v>16.64724725671066</v>
      </c>
      <c r="D129">
        <v>5.4475010377742272</v>
      </c>
      <c r="E129">
        <v>11.199746218936429</v>
      </c>
      <c r="F129">
        <v>-2.6968633951647489</v>
      </c>
      <c r="G129">
        <v>-0.37390929665895811</v>
      </c>
      <c r="H129">
        <v>-0.1192141238614583</v>
      </c>
      <c r="I129">
        <v>-0.25469517279749709</v>
      </c>
      <c r="J129">
        <v>0</v>
      </c>
      <c r="K129">
        <v>3.3620104008685532</v>
      </c>
      <c r="L129">
        <v>2.9977649381601279</v>
      </c>
      <c r="M129">
        <v>1.100155170720879</v>
      </c>
      <c r="N129">
        <v>0.98096263963686803</v>
      </c>
      <c r="O129">
        <v>2.2618552301476749</v>
      </c>
      <c r="P129">
        <v>2.0168022985232601</v>
      </c>
      <c r="Q129">
        <v>-0.54464757112384632</v>
      </c>
      <c r="R129">
        <v>-0.48563960181305132</v>
      </c>
      <c r="S129">
        <v>-7.5513201970499794E-2</v>
      </c>
      <c r="T129">
        <v>-6.73319836181622E-2</v>
      </c>
      <c r="U129">
        <v>-2.4075999963963299E-2</v>
      </c>
      <c r="V129">
        <v>-2.1467568489516899E-2</v>
      </c>
      <c r="W129">
        <v>-5.1437202006535898E-2</v>
      </c>
      <c r="X129">
        <v>-4.5864415128646002E-2</v>
      </c>
      <c r="Y129">
        <v>0</v>
      </c>
      <c r="Z129">
        <v>0</v>
      </c>
      <c r="AA129">
        <v>555.32196820367994</v>
      </c>
      <c r="AB129">
        <v>495.15751802582002</v>
      </c>
      <c r="AC129">
        <f t="shared" si="10"/>
        <v>1.0229768039953968</v>
      </c>
      <c r="AD129">
        <f t="shared" si="11"/>
        <v>0.68822673298065318</v>
      </c>
      <c r="AE129">
        <f t="shared" si="12"/>
        <v>0.67276865936028596</v>
      </c>
      <c r="AF129">
        <f t="shared" si="13"/>
        <v>0.33475007101474341</v>
      </c>
      <c r="AG129">
        <f t="shared" si="14"/>
        <v>0.32723134063971382</v>
      </c>
      <c r="AH129">
        <f t="shared" si="15"/>
        <v>-2.2976803995396786E-2</v>
      </c>
      <c r="AI129">
        <f t="shared" si="16"/>
        <v>0.31883166566514459</v>
      </c>
      <c r="AJ129">
        <f t="shared" si="17"/>
        <v>0.68116833433484814</v>
      </c>
      <c r="AK129">
        <f t="shared" si="18"/>
        <v>2.9304329545419672E-2</v>
      </c>
      <c r="AL129">
        <f t="shared" si="19"/>
        <v>3.2864971988980543E-2</v>
      </c>
    </row>
    <row r="130" spans="1:38" x14ac:dyDescent="0.35">
      <c r="A130" t="s">
        <v>42</v>
      </c>
      <c r="B130" t="s">
        <v>69</v>
      </c>
      <c r="C130">
        <v>2.4930645985307538</v>
      </c>
      <c r="D130">
        <v>0.32729011819604897</v>
      </c>
      <c r="E130">
        <v>2.1657744803347061</v>
      </c>
      <c r="F130">
        <v>-3.1076018610880201E-2</v>
      </c>
      <c r="G130">
        <v>-0.25641147142569309</v>
      </c>
      <c r="H130">
        <v>-4.9722637971639995E-4</v>
      </c>
      <c r="I130">
        <v>-0.25591424504597882</v>
      </c>
      <c r="J130">
        <v>0</v>
      </c>
      <c r="K130">
        <v>1.1561215823126889</v>
      </c>
      <c r="L130">
        <v>0.61195135498629538</v>
      </c>
      <c r="M130">
        <v>0.15177591850091621</v>
      </c>
      <c r="N130">
        <v>8.0337120595162903E-2</v>
      </c>
      <c r="O130">
        <v>1.0043456638117729</v>
      </c>
      <c r="P130">
        <v>0.53161423439113231</v>
      </c>
      <c r="Q130">
        <v>-1.4411040864951E-2</v>
      </c>
      <c r="R130">
        <v>-7.6279658809140999E-3</v>
      </c>
      <c r="S130">
        <v>-0.1189070015444073</v>
      </c>
      <c r="T130">
        <v>-6.2939142237013301E-2</v>
      </c>
      <c r="U130">
        <v>-2.3058132918980001E-4</v>
      </c>
      <c r="V130">
        <v>-1.220499288232E-4</v>
      </c>
      <c r="W130">
        <v>-0.11867642021521969</v>
      </c>
      <c r="X130">
        <v>-6.2817092308188494E-2</v>
      </c>
      <c r="Y130">
        <v>0</v>
      </c>
      <c r="Z130">
        <v>0</v>
      </c>
      <c r="AA130">
        <v>407.39587848230002</v>
      </c>
      <c r="AB130">
        <v>215.64034757863999</v>
      </c>
      <c r="AC130">
        <f t="shared" si="10"/>
        <v>1.1146406961000568</v>
      </c>
      <c r="AD130">
        <f t="shared" si="11"/>
        <v>0.96831039828598986</v>
      </c>
      <c r="AE130">
        <f t="shared" si="12"/>
        <v>0.86871976025453546</v>
      </c>
      <c r="AF130">
        <f t="shared" si="13"/>
        <v>0.14633029781406753</v>
      </c>
      <c r="AG130">
        <f t="shared" si="14"/>
        <v>0.13128023974546507</v>
      </c>
      <c r="AH130">
        <f t="shared" si="15"/>
        <v>-0.11464069610005685</v>
      </c>
      <c r="AI130">
        <f t="shared" si="16"/>
        <v>1.9391736920026761E-3</v>
      </c>
      <c r="AJ130">
        <f t="shared" si="17"/>
        <v>0.99806082630800563</v>
      </c>
      <c r="AK130">
        <f t="shared" si="18"/>
        <v>5.4901221274928427E-3</v>
      </c>
      <c r="AL130">
        <f t="shared" si="19"/>
        <v>1.0372145807682838E-2</v>
      </c>
    </row>
    <row r="131" spans="1:38" x14ac:dyDescent="0.35">
      <c r="A131" t="s">
        <v>43</v>
      </c>
      <c r="B131" t="s">
        <v>69</v>
      </c>
      <c r="C131">
        <v>-13.901541641016699</v>
      </c>
      <c r="D131">
        <v>-9.3165876622044994E-5</v>
      </c>
      <c r="E131">
        <v>-13.90144847514008</v>
      </c>
      <c r="F131">
        <v>-2.0426618449381002E-2</v>
      </c>
      <c r="G131">
        <v>-15.907093829902591</v>
      </c>
      <c r="H131">
        <v>-0.28382197792848268</v>
      </c>
      <c r="I131">
        <v>-15.62327185197411</v>
      </c>
      <c r="J131">
        <v>0</v>
      </c>
      <c r="K131">
        <v>-4.1796257792179414</v>
      </c>
      <c r="L131">
        <v>-4.4690359761759257</v>
      </c>
      <c r="M131">
        <v>-2.8011173848804801E-5</v>
      </c>
      <c r="N131">
        <v>-2.9950754033447599E-5</v>
      </c>
      <c r="O131">
        <v>-4.1795977680440934</v>
      </c>
      <c r="P131">
        <v>-4.4690060254218924</v>
      </c>
      <c r="Q131">
        <v>-6.1414498663516E-3</v>
      </c>
      <c r="R131">
        <v>-6.5667028218339002E-3</v>
      </c>
      <c r="S131">
        <v>-4.7826134079786158</v>
      </c>
      <c r="T131">
        <v>-5.1137763305683004</v>
      </c>
      <c r="U131">
        <v>-8.5333676385819596E-2</v>
      </c>
      <c r="V131">
        <v>-9.1242443676127202E-2</v>
      </c>
      <c r="W131">
        <v>-4.697279731592797</v>
      </c>
      <c r="X131">
        <v>-5.0225338868921714</v>
      </c>
      <c r="Y131">
        <v>0</v>
      </c>
      <c r="Z131">
        <v>0</v>
      </c>
      <c r="AA131">
        <v>311.06354290107998</v>
      </c>
      <c r="AB131">
        <v>332.60254327404999</v>
      </c>
      <c r="AC131">
        <f t="shared" ref="AC131:AC194" si="20">C131/(C131+G131)</f>
        <v>0.46635954385026329</v>
      </c>
      <c r="AD131">
        <f t="shared" ref="AD131:AD194" si="21">(E131/(C131+G131))</f>
        <v>0.46635641838426506</v>
      </c>
      <c r="AE131">
        <f t="shared" ref="AE131:AE194" si="22">(E131/C131)</f>
        <v>0.99999329816224525</v>
      </c>
      <c r="AF131">
        <f t="shared" ref="AF131:AF194" si="23">(D131/(C131+G131))</f>
        <v>3.1254659983660022E-6</v>
      </c>
      <c r="AG131">
        <f t="shared" ref="AG131:AG194" si="24">(D131/(C131))</f>
        <v>6.7018377549694007E-6</v>
      </c>
      <c r="AH131">
        <f t="shared" ref="AH131:AH194" si="25">(G131/(C131+G131))</f>
        <v>0.53364045614973665</v>
      </c>
      <c r="AI131">
        <f t="shared" ref="AI131:AI194" si="26">(H131/G131)</f>
        <v>1.7842478391304033E-2</v>
      </c>
      <c r="AJ131">
        <f t="shared" ref="AJ131:AJ194" si="27">I131/G131</f>
        <v>0.98215752160869607</v>
      </c>
      <c r="AK131">
        <f t="shared" ref="AK131:AK194" si="28">(C131+G131)/AA131</f>
        <v>-9.5828123067442234E-2</v>
      </c>
      <c r="AL131">
        <f t="shared" ref="AL131:AL194" si="29">(C131+G131)/AB131</f>
        <v>-8.9622391871965565E-2</v>
      </c>
    </row>
    <row r="132" spans="1:38" x14ac:dyDescent="0.35">
      <c r="A132" t="s">
        <v>44</v>
      </c>
      <c r="B132" t="s">
        <v>69</v>
      </c>
      <c r="C132">
        <v>-6.8806318739236001E-3</v>
      </c>
      <c r="D132">
        <v>-1.1265363412197001E-3</v>
      </c>
      <c r="E132">
        <v>-5.7540955327036996E-3</v>
      </c>
      <c r="F132">
        <v>0</v>
      </c>
      <c r="G132">
        <v>-5.6816615470212002E-3</v>
      </c>
      <c r="H132">
        <v>-4.2122663193432004E-3</v>
      </c>
      <c r="I132">
        <v>-1.4693952276778001E-3</v>
      </c>
      <c r="J132">
        <v>0</v>
      </c>
      <c r="K132">
        <v>-2.5582685845137999E-2</v>
      </c>
      <c r="L132">
        <v>-1.49867047706839E-2</v>
      </c>
      <c r="M132">
        <v>-4.1885434126735996E-3</v>
      </c>
      <c r="N132">
        <v>-2.4537088843962999E-3</v>
      </c>
      <c r="O132">
        <v>-2.1394142432464399E-2</v>
      </c>
      <c r="P132">
        <v>-1.2532995886287399E-2</v>
      </c>
      <c r="Q132">
        <v>0</v>
      </c>
      <c r="R132">
        <v>0</v>
      </c>
      <c r="S132">
        <v>-2.11248276465285E-2</v>
      </c>
      <c r="T132">
        <v>-1.2375227416955001E-2</v>
      </c>
      <c r="U132">
        <v>-1.5661510151737001E-2</v>
      </c>
      <c r="V132">
        <v>-9.1747375677426E-3</v>
      </c>
      <c r="W132">
        <v>-5.4633174947917003E-3</v>
      </c>
      <c r="X132">
        <v>-3.2004898492122998E-3</v>
      </c>
      <c r="Y132">
        <v>0</v>
      </c>
      <c r="Z132">
        <v>0</v>
      </c>
      <c r="AA132">
        <v>45.911572818750003</v>
      </c>
      <c r="AB132">
        <v>26.895658710639999</v>
      </c>
      <c r="AC132">
        <f t="shared" si="20"/>
        <v>0.54772099674504449</v>
      </c>
      <c r="AD132">
        <f t="shared" si="21"/>
        <v>0.45804498747896133</v>
      </c>
      <c r="AE132">
        <f t="shared" si="22"/>
        <v>0.83627428964928674</v>
      </c>
      <c r="AF132">
        <f t="shared" si="23"/>
        <v>8.9676009266067128E-2</v>
      </c>
      <c r="AG132">
        <f t="shared" si="24"/>
        <v>0.16372571035068409</v>
      </c>
      <c r="AH132">
        <f t="shared" si="25"/>
        <v>0.45227900325495557</v>
      </c>
      <c r="AI132">
        <f t="shared" si="26"/>
        <v>0.74137931034480942</v>
      </c>
      <c r="AJ132">
        <f t="shared" si="27"/>
        <v>0.25862068965515544</v>
      </c>
      <c r="AK132">
        <f t="shared" si="28"/>
        <v>-2.7361932187638835E-4</v>
      </c>
      <c r="AL132">
        <f t="shared" si="29"/>
        <v>-4.6707513491666672E-4</v>
      </c>
    </row>
    <row r="133" spans="1:38" x14ac:dyDescent="0.35">
      <c r="A133" t="s">
        <v>45</v>
      </c>
      <c r="B133" t="s">
        <v>69</v>
      </c>
      <c r="C133">
        <v>1.0519623383661809</v>
      </c>
      <c r="D133">
        <v>0.6196774981599118</v>
      </c>
      <c r="E133">
        <v>0.43228484020626912</v>
      </c>
      <c r="F133">
        <v>-7.7974502276702204E-2</v>
      </c>
      <c r="G133">
        <v>-7.5037116293415806E-2</v>
      </c>
      <c r="H133">
        <v>-1.1853121503268199E-2</v>
      </c>
      <c r="I133">
        <v>-6.31839947901493E-2</v>
      </c>
      <c r="J133">
        <v>-4.8979840922596003E-3</v>
      </c>
      <c r="K133">
        <v>0.41294855970658689</v>
      </c>
      <c r="L133">
        <v>0.41428510274810509</v>
      </c>
      <c r="M133">
        <v>0.24325484004033029</v>
      </c>
      <c r="N133">
        <v>0.24404215496401591</v>
      </c>
      <c r="O133">
        <v>0.1696937196662569</v>
      </c>
      <c r="P133">
        <v>0.17024294778408941</v>
      </c>
      <c r="Q133">
        <v>-3.0608945999922098E-2</v>
      </c>
      <c r="R133">
        <v>-3.07080144500297E-2</v>
      </c>
      <c r="S133">
        <v>-2.9455873055330699E-2</v>
      </c>
      <c r="T133">
        <v>-2.9551209487045101E-2</v>
      </c>
      <c r="U133">
        <v>-4.6529512267556002E-3</v>
      </c>
      <c r="V133">
        <v>-4.6680108980838003E-3</v>
      </c>
      <c r="W133">
        <v>-2.4802921828574499E-2</v>
      </c>
      <c r="X133">
        <v>-2.4883198588961201E-2</v>
      </c>
      <c r="Y133">
        <v>-1.922707118494E-3</v>
      </c>
      <c r="Z133">
        <v>-1.9289301231751E-3</v>
      </c>
      <c r="AA133">
        <v>253.92231856471</v>
      </c>
      <c r="AB133">
        <v>254.7441596875</v>
      </c>
      <c r="AC133">
        <f t="shared" si="20"/>
        <v>1.0768094779395785</v>
      </c>
      <c r="AD133">
        <f t="shared" si="21"/>
        <v>0.44249532148333753</v>
      </c>
      <c r="AE133">
        <f t="shared" si="22"/>
        <v>0.41093185985884001</v>
      </c>
      <c r="AF133">
        <f t="shared" si="23"/>
        <v>0.6343141564562409</v>
      </c>
      <c r="AG133">
        <f t="shared" si="24"/>
        <v>0.58906814014115993</v>
      </c>
      <c r="AH133">
        <f t="shared" si="25"/>
        <v>-7.680947793957843E-2</v>
      </c>
      <c r="AI133">
        <f t="shared" si="26"/>
        <v>0.15796344647519805</v>
      </c>
      <c r="AJ133">
        <f t="shared" si="27"/>
        <v>0.84203655352482454</v>
      </c>
      <c r="AK133">
        <f t="shared" si="28"/>
        <v>3.8473389326106199E-3</v>
      </c>
      <c r="AL133">
        <f t="shared" si="29"/>
        <v>3.8349268665125815E-3</v>
      </c>
    </row>
    <row r="134" spans="1:38" x14ac:dyDescent="0.35">
      <c r="A134" t="s">
        <v>46</v>
      </c>
      <c r="B134" t="s">
        <v>69</v>
      </c>
      <c r="C134">
        <v>7.9529738437430826</v>
      </c>
      <c r="D134">
        <v>0.36466848586374179</v>
      </c>
      <c r="E134">
        <v>7.5883053578793396</v>
      </c>
      <c r="F134">
        <v>0.41954023295295251</v>
      </c>
      <c r="G134">
        <v>6.360550016758193</v>
      </c>
      <c r="H134">
        <v>6.41999440943819</v>
      </c>
      <c r="I134">
        <v>-5.9444392679996502E-2</v>
      </c>
      <c r="J134">
        <v>0</v>
      </c>
      <c r="K134">
        <v>3.9003710215667908</v>
      </c>
      <c r="L134">
        <v>2.6374108372741398</v>
      </c>
      <c r="M134">
        <v>0.1788440931263203</v>
      </c>
      <c r="N134">
        <v>0.12093345653161609</v>
      </c>
      <c r="O134">
        <v>3.7215269284404711</v>
      </c>
      <c r="P134">
        <v>2.5164773807425238</v>
      </c>
      <c r="Q134">
        <v>0.2057548030638211</v>
      </c>
      <c r="R134">
        <v>0.13913034027304899</v>
      </c>
      <c r="S134">
        <v>3.1193997935888671</v>
      </c>
      <c r="T134">
        <v>2.1093221070279422</v>
      </c>
      <c r="U134">
        <v>3.1485530626878351</v>
      </c>
      <c r="V134">
        <v>2.1290353977478338</v>
      </c>
      <c r="W134">
        <v>-2.9153269098967899E-2</v>
      </c>
      <c r="X134">
        <v>-1.97132907198918E-2</v>
      </c>
      <c r="Y134">
        <v>0</v>
      </c>
      <c r="Z134">
        <v>0</v>
      </c>
      <c r="AA134">
        <v>301.54474727050001</v>
      </c>
      <c r="AB134">
        <v>203.90300819506001</v>
      </c>
      <c r="AC134">
        <f t="shared" si="20"/>
        <v>0.5556265474003661</v>
      </c>
      <c r="AD134">
        <f t="shared" si="21"/>
        <v>0.5301493490935214</v>
      </c>
      <c r="AE134">
        <f t="shared" si="22"/>
        <v>0.95414690240045963</v>
      </c>
      <c r="AF134">
        <f t="shared" si="23"/>
        <v>2.5477198306844525E-2</v>
      </c>
      <c r="AG134">
        <f t="shared" si="24"/>
        <v>4.5853097599540184E-2</v>
      </c>
      <c r="AH134">
        <f t="shared" si="25"/>
        <v>0.44437345259963396</v>
      </c>
      <c r="AI134">
        <f t="shared" si="26"/>
        <v>1.0093457943925255</v>
      </c>
      <c r="AJ134">
        <f t="shared" si="27"/>
        <v>-9.3457943925254697E-3</v>
      </c>
      <c r="AK134">
        <f t="shared" si="28"/>
        <v>4.7467329443020817E-2</v>
      </c>
      <c r="AL134">
        <f t="shared" si="29"/>
        <v>7.0197708151556598E-2</v>
      </c>
    </row>
    <row r="135" spans="1:38" x14ac:dyDescent="0.35">
      <c r="A135" t="s">
        <v>47</v>
      </c>
      <c r="B135" t="s">
        <v>69</v>
      </c>
      <c r="C135">
        <v>2.62667508678592E-2</v>
      </c>
      <c r="D135">
        <v>2.8942786299298601E-2</v>
      </c>
      <c r="E135">
        <v>-2.6760354314394001E-3</v>
      </c>
      <c r="F135">
        <v>0</v>
      </c>
      <c r="G135">
        <v>-2.8565706996578001E-3</v>
      </c>
      <c r="H135">
        <v>0</v>
      </c>
      <c r="I135">
        <v>-2.8565706996578001E-3</v>
      </c>
      <c r="J135">
        <v>0</v>
      </c>
      <c r="K135">
        <v>0.1267088812672359</v>
      </c>
      <c r="L135">
        <v>0.13774479070298001</v>
      </c>
      <c r="M135">
        <v>0.1396178800792699</v>
      </c>
      <c r="N135">
        <v>0.15177811908347741</v>
      </c>
      <c r="O135">
        <v>-1.29089988120334E-2</v>
      </c>
      <c r="P135">
        <v>-1.40333283804974E-2</v>
      </c>
      <c r="Q135">
        <v>0</v>
      </c>
      <c r="R135">
        <v>0</v>
      </c>
      <c r="S135">
        <v>-1.3779887715664E-2</v>
      </c>
      <c r="T135">
        <v>-1.4980068723843901E-2</v>
      </c>
      <c r="U135">
        <v>0</v>
      </c>
      <c r="V135">
        <v>0</v>
      </c>
      <c r="W135">
        <v>-1.3779887715664E-2</v>
      </c>
      <c r="X135">
        <v>-1.4980068723843901E-2</v>
      </c>
      <c r="Y135">
        <v>0</v>
      </c>
      <c r="Z135">
        <v>0</v>
      </c>
      <c r="AA135">
        <v>19.06914282116</v>
      </c>
      <c r="AB135">
        <v>20.729999827290001</v>
      </c>
      <c r="AC135">
        <f t="shared" si="20"/>
        <v>1.1220225850093177</v>
      </c>
      <c r="AD135">
        <f t="shared" si="21"/>
        <v>-0.11431075763672773</v>
      </c>
      <c r="AE135">
        <f t="shared" si="22"/>
        <v>-0.10187919491458226</v>
      </c>
      <c r="AF135">
        <f t="shared" si="23"/>
        <v>1.2363333426460454</v>
      </c>
      <c r="AG135">
        <f t="shared" si="24"/>
        <v>1.1018791949145823</v>
      </c>
      <c r="AH135">
        <f t="shared" si="25"/>
        <v>-0.12202258500931776</v>
      </c>
      <c r="AI135">
        <f t="shared" si="26"/>
        <v>0</v>
      </c>
      <c r="AJ135">
        <f t="shared" si="27"/>
        <v>1</v>
      </c>
      <c r="AK135">
        <f t="shared" si="28"/>
        <v>1.2276472197913575E-3</v>
      </c>
      <c r="AL135">
        <f t="shared" si="29"/>
        <v>1.129289935515729E-3</v>
      </c>
    </row>
    <row r="136" spans="1:38" x14ac:dyDescent="0.35">
      <c r="A136" t="s">
        <v>48</v>
      </c>
      <c r="B136" t="s">
        <v>69</v>
      </c>
      <c r="C136">
        <v>-1.048808652685707</v>
      </c>
      <c r="D136">
        <v>0.78867720461602975</v>
      </c>
      <c r="E136">
        <v>-1.8374858573017361</v>
      </c>
      <c r="F136">
        <v>-0.39790349422996352</v>
      </c>
      <c r="G136">
        <v>-0.70896838615191271</v>
      </c>
      <c r="H136">
        <v>-0.8826455907679418</v>
      </c>
      <c r="I136">
        <v>0.17367720461602909</v>
      </c>
      <c r="J136">
        <v>0</v>
      </c>
      <c r="K136">
        <v>-0.28234265530790292</v>
      </c>
      <c r="L136">
        <v>-0.2509767519875501</v>
      </c>
      <c r="M136">
        <v>0.2123144346319894</v>
      </c>
      <c r="N136">
        <v>0.18872807987832979</v>
      </c>
      <c r="O136">
        <v>-0.4946570899398921</v>
      </c>
      <c r="P136">
        <v>-0.43970483186588</v>
      </c>
      <c r="Q136">
        <v>-0.10711689766240599</v>
      </c>
      <c r="R136">
        <v>-9.5217107840031498E-2</v>
      </c>
      <c r="S136">
        <v>-0.19085656488712699</v>
      </c>
      <c r="T136">
        <v>-0.1696539996715527</v>
      </c>
      <c r="U136">
        <v>-0.23761102576249729</v>
      </c>
      <c r="V136">
        <v>-0.21121443168857401</v>
      </c>
      <c r="W136">
        <v>4.6754460875370302E-2</v>
      </c>
      <c r="X136">
        <v>4.1560432017021399E-2</v>
      </c>
      <c r="Y136">
        <v>0</v>
      </c>
      <c r="Z136">
        <v>0</v>
      </c>
      <c r="AA136">
        <v>417.89075855828003</v>
      </c>
      <c r="AB136">
        <v>371.46659669328</v>
      </c>
      <c r="AC136">
        <f t="shared" si="20"/>
        <v>0.59666762593466449</v>
      </c>
      <c r="AD136">
        <f t="shared" si="21"/>
        <v>1.0453463759640564</v>
      </c>
      <c r="AE136">
        <f t="shared" si="22"/>
        <v>1.7519743497504967</v>
      </c>
      <c r="AF136">
        <f t="shared" si="23"/>
        <v>-0.44867875002939228</v>
      </c>
      <c r="AG136">
        <f t="shared" si="24"/>
        <v>-0.75197434975049737</v>
      </c>
      <c r="AH136">
        <f t="shared" si="25"/>
        <v>0.40333237406533556</v>
      </c>
      <c r="AI136">
        <f t="shared" si="26"/>
        <v>1.2449717194848442</v>
      </c>
      <c r="AJ136">
        <f t="shared" si="27"/>
        <v>-0.24497171948484425</v>
      </c>
      <c r="AK136">
        <f t="shared" si="28"/>
        <v>-4.206307516591028E-3</v>
      </c>
      <c r="AL136">
        <f t="shared" si="29"/>
        <v>-4.7319922019503045E-3</v>
      </c>
    </row>
    <row r="137" spans="1:38" x14ac:dyDescent="0.35">
      <c r="A137" t="s">
        <v>49</v>
      </c>
      <c r="B137" t="s">
        <v>69</v>
      </c>
      <c r="C137">
        <v>0.973540694996057</v>
      </c>
      <c r="D137">
        <v>0.44152575336758199</v>
      </c>
      <c r="E137">
        <v>0.53201494162847496</v>
      </c>
      <c r="F137">
        <v>3.791341716091E-3</v>
      </c>
      <c r="G137">
        <v>-8.6212863034837994E-3</v>
      </c>
      <c r="H137">
        <v>-2.7209392217096302E-2</v>
      </c>
      <c r="I137">
        <v>1.85881059136132E-2</v>
      </c>
      <c r="J137">
        <v>0</v>
      </c>
      <c r="K137">
        <v>0.27158958003625511</v>
      </c>
      <c r="L137">
        <v>0.28433120662361761</v>
      </c>
      <c r="M137">
        <v>0.12317286226312139</v>
      </c>
      <c r="N137">
        <v>0.12895151774925501</v>
      </c>
      <c r="O137">
        <v>0.14841671777313339</v>
      </c>
      <c r="P137">
        <v>0.1553796888743619</v>
      </c>
      <c r="Q137">
        <v>1.0576742294797E-3</v>
      </c>
      <c r="R137">
        <v>1.1072950215634E-3</v>
      </c>
      <c r="S137">
        <v>-2.4050884966290999E-3</v>
      </c>
      <c r="T137">
        <v>-2.5179232362004E-3</v>
      </c>
      <c r="U137">
        <v>-7.5906302050505001E-3</v>
      </c>
      <c r="V137">
        <v>-7.9467446613657993E-3</v>
      </c>
      <c r="W137">
        <v>5.1855417084216001E-3</v>
      </c>
      <c r="X137">
        <v>5.4288214251653998E-3</v>
      </c>
      <c r="Y137">
        <v>0</v>
      </c>
      <c r="Z137">
        <v>0</v>
      </c>
      <c r="AA137">
        <v>342.39670930134002</v>
      </c>
      <c r="AB137">
        <v>358.46025273358998</v>
      </c>
      <c r="AC137">
        <f t="shared" si="20"/>
        <v>1.00893472162112</v>
      </c>
      <c r="AD137">
        <f t="shared" si="21"/>
        <v>0.55135686652767579</v>
      </c>
      <c r="AE137">
        <f t="shared" si="22"/>
        <v>0.54647427104280388</v>
      </c>
      <c r="AF137">
        <f t="shared" si="23"/>
        <v>0.45757785509344406</v>
      </c>
      <c r="AG137">
        <f t="shared" si="24"/>
        <v>0.45352572895719601</v>
      </c>
      <c r="AH137">
        <f t="shared" si="25"/>
        <v>-8.9347216211199381E-3</v>
      </c>
      <c r="AI137">
        <f t="shared" si="26"/>
        <v>3.1560710617046999</v>
      </c>
      <c r="AJ137">
        <f t="shared" si="27"/>
        <v>-2.1560710617047807</v>
      </c>
      <c r="AK137">
        <f t="shared" si="28"/>
        <v>2.8181328338741625E-3</v>
      </c>
      <c r="AL137">
        <f t="shared" si="29"/>
        <v>2.6918449153962619E-3</v>
      </c>
    </row>
    <row r="138" spans="1:38" x14ac:dyDescent="0.35">
      <c r="A138" t="s">
        <v>50</v>
      </c>
      <c r="B138" t="s">
        <v>69</v>
      </c>
      <c r="C138">
        <v>-2.3205983330701199E-2</v>
      </c>
      <c r="D138">
        <v>7.9292813335628005E-3</v>
      </c>
      <c r="E138">
        <v>-3.1135264664263699E-2</v>
      </c>
      <c r="F138">
        <v>0</v>
      </c>
      <c r="G138">
        <v>-6.9654562634122397E-2</v>
      </c>
      <c r="H138">
        <v>-3.4533528024344E-3</v>
      </c>
      <c r="I138">
        <v>-6.6201209831687993E-2</v>
      </c>
      <c r="J138">
        <v>0</v>
      </c>
      <c r="K138">
        <v>-7.6942717779704795E-2</v>
      </c>
      <c r="L138">
        <v>-4.1870983365384903E-2</v>
      </c>
      <c r="M138">
        <v>2.6290653024690899E-2</v>
      </c>
      <c r="N138">
        <v>1.4306948431606899E-2</v>
      </c>
      <c r="O138">
        <v>-0.1032333708043964</v>
      </c>
      <c r="P138">
        <v>-5.6177931796991397E-2</v>
      </c>
      <c r="Q138">
        <v>0</v>
      </c>
      <c r="R138">
        <v>0</v>
      </c>
      <c r="S138">
        <v>-0.2309495477287431</v>
      </c>
      <c r="T138">
        <v>-0.12567901096085179</v>
      </c>
      <c r="U138">
        <v>-1.14500793301846E-2</v>
      </c>
      <c r="V138">
        <v>-6.2309481001066001E-3</v>
      </c>
      <c r="W138">
        <v>-0.21949946839855849</v>
      </c>
      <c r="X138">
        <v>-0.1194480628607452</v>
      </c>
      <c r="Y138">
        <v>0</v>
      </c>
      <c r="Z138">
        <v>0</v>
      </c>
      <c r="AA138">
        <v>55.422589739999999</v>
      </c>
      <c r="AB138">
        <v>30.160077523049999</v>
      </c>
      <c r="AC138">
        <f t="shared" si="20"/>
        <v>0.24990143111469354</v>
      </c>
      <c r="AD138">
        <f t="shared" si="21"/>
        <v>0.33529056221635845</v>
      </c>
      <c r="AE138">
        <f t="shared" si="22"/>
        <v>1.3416912449071774</v>
      </c>
      <c r="AF138">
        <f t="shared" si="23"/>
        <v>-8.5389131101668111E-2</v>
      </c>
      <c r="AG138">
        <f t="shared" si="24"/>
        <v>-0.34169124490719038</v>
      </c>
      <c r="AH138">
        <f t="shared" si="25"/>
        <v>0.75009856888530646</v>
      </c>
      <c r="AI138">
        <f t="shared" si="26"/>
        <v>4.9578271283878116E-2</v>
      </c>
      <c r="AJ138">
        <f t="shared" si="27"/>
        <v>0.95042172871612185</v>
      </c>
      <c r="AK138">
        <f t="shared" si="28"/>
        <v>-1.6754999432623699E-3</v>
      </c>
      <c r="AL138">
        <f t="shared" si="29"/>
        <v>-3.0789226550845049E-3</v>
      </c>
    </row>
    <row r="139" spans="1:38" x14ac:dyDescent="0.35">
      <c r="A139" t="s">
        <v>51</v>
      </c>
      <c r="B139" t="s">
        <v>69</v>
      </c>
      <c r="C139">
        <v>-7.7036336486297997E-3</v>
      </c>
      <c r="D139">
        <v>-2.4489920461298002E-3</v>
      </c>
      <c r="E139">
        <v>-5.2546416025002997E-3</v>
      </c>
      <c r="F139">
        <v>-1.0726585162048099E-2</v>
      </c>
      <c r="G139">
        <v>-8.4245326386861996E-3</v>
      </c>
      <c r="H139">
        <v>-1.5673549095230001E-3</v>
      </c>
      <c r="I139">
        <v>-6.8571777291632002E-3</v>
      </c>
      <c r="J139">
        <v>0</v>
      </c>
      <c r="K139">
        <v>-1.59770840880986E-2</v>
      </c>
      <c r="L139">
        <v>-7.9307649394054994E-3</v>
      </c>
      <c r="M139">
        <v>-5.0791293611240004E-3</v>
      </c>
      <c r="N139">
        <v>-2.5211972871767999E-3</v>
      </c>
      <c r="O139">
        <v>-1.0897954726974701E-2</v>
      </c>
      <c r="P139">
        <v>-5.4095676522288999E-3</v>
      </c>
      <c r="Q139">
        <v>-2.2246586601722702E-2</v>
      </c>
      <c r="R139">
        <v>-1.10428441178331E-2</v>
      </c>
      <c r="S139">
        <v>-1.74722050022664E-2</v>
      </c>
      <c r="T139">
        <v>-8.6729186678872992E-3</v>
      </c>
      <c r="U139">
        <v>-3.2506427911193E-3</v>
      </c>
      <c r="V139">
        <v>-1.6135662637929999E-3</v>
      </c>
      <c r="W139">
        <v>-1.4221562211146999E-2</v>
      </c>
      <c r="X139">
        <v>-7.0593524040941996E-3</v>
      </c>
      <c r="Y139">
        <v>0</v>
      </c>
      <c r="Z139">
        <v>0</v>
      </c>
      <c r="AA139">
        <v>97.136073348400004</v>
      </c>
      <c r="AB139">
        <v>48.216768505140003</v>
      </c>
      <c r="AC139">
        <f t="shared" si="20"/>
        <v>0.47765093138259146</v>
      </c>
      <c r="AD139">
        <f t="shared" si="21"/>
        <v>0.32580527190079966</v>
      </c>
      <c r="AE139">
        <f t="shared" si="22"/>
        <v>0.68209910312063082</v>
      </c>
      <c r="AF139">
        <f t="shared" si="23"/>
        <v>0.15184565948181042</v>
      </c>
      <c r="AG139">
        <f t="shared" si="24"/>
        <v>0.31790089687940809</v>
      </c>
      <c r="AH139">
        <f t="shared" si="25"/>
        <v>0.52234906861740849</v>
      </c>
      <c r="AI139">
        <f t="shared" si="26"/>
        <v>0.18604651162790534</v>
      </c>
      <c r="AJ139">
        <f t="shared" si="27"/>
        <v>0.81395348837209469</v>
      </c>
      <c r="AK139">
        <f t="shared" si="28"/>
        <v>-1.6603683607292592E-4</v>
      </c>
      <c r="AL139">
        <f t="shared" si="29"/>
        <v>-3.3449289090364289E-4</v>
      </c>
    </row>
    <row r="140" spans="1:38" x14ac:dyDescent="0.35">
      <c r="A140" t="s">
        <v>52</v>
      </c>
      <c r="B140" t="s">
        <v>69</v>
      </c>
      <c r="C140">
        <v>-0.58431545748586755</v>
      </c>
      <c r="D140">
        <v>-9.795968184518999E-4</v>
      </c>
      <c r="E140">
        <v>-0.5833358606674155</v>
      </c>
      <c r="F140">
        <v>2.1423395009906001E-2</v>
      </c>
      <c r="G140">
        <v>0.44306040520924173</v>
      </c>
      <c r="H140">
        <v>0.45530536543989031</v>
      </c>
      <c r="I140">
        <v>-1.22449602306486E-2</v>
      </c>
      <c r="J140">
        <v>-0.23304046522143079</v>
      </c>
      <c r="K140">
        <v>-0.8779108192297338</v>
      </c>
      <c r="L140">
        <v>-0.88074279209785278</v>
      </c>
      <c r="M140">
        <v>-1.4718053996077001E-3</v>
      </c>
      <c r="N140">
        <v>-1.4765531631247999E-3</v>
      </c>
      <c r="O140">
        <v>-0.87643901383012679</v>
      </c>
      <c r="P140">
        <v>-0.87926623893472833</v>
      </c>
      <c r="Q140">
        <v>3.2187802021793298E-2</v>
      </c>
      <c r="R140">
        <v>3.2291633732274498E-2</v>
      </c>
      <c r="S140">
        <v>0.66568070093355658</v>
      </c>
      <c r="T140">
        <v>0.66782805991647276</v>
      </c>
      <c r="U140">
        <v>0.68407826842865238</v>
      </c>
      <c r="V140">
        <v>0.68628497445553482</v>
      </c>
      <c r="W140">
        <v>-1.8397567495095499E-2</v>
      </c>
      <c r="X140">
        <v>-1.84569145390618E-2</v>
      </c>
      <c r="Y140">
        <v>-0.350134063912169</v>
      </c>
      <c r="Z140">
        <v>-0.35126352962495422</v>
      </c>
      <c r="AA140">
        <v>66.343484468840003</v>
      </c>
      <c r="AB140">
        <v>66.557495896739994</v>
      </c>
      <c r="AC140">
        <f t="shared" si="20"/>
        <v>4.1365986424441479</v>
      </c>
      <c r="AD140">
        <f t="shared" si="21"/>
        <v>4.1296636917810474</v>
      </c>
      <c r="AE140">
        <f t="shared" si="22"/>
        <v>0.99832351376999851</v>
      </c>
      <c r="AF140">
        <f t="shared" si="23"/>
        <v>6.9349506630992106E-3</v>
      </c>
      <c r="AG140">
        <f t="shared" si="24"/>
        <v>1.6764862300011852E-3</v>
      </c>
      <c r="AH140">
        <f t="shared" si="25"/>
        <v>-3.1365986424441479</v>
      </c>
      <c r="AI140">
        <f t="shared" si="26"/>
        <v>1.0276372252782682</v>
      </c>
      <c r="AJ140">
        <f t="shared" si="27"/>
        <v>-2.7637225278268184E-2</v>
      </c>
      <c r="AK140">
        <f t="shared" si="28"/>
        <v>-2.1291473218137953E-3</v>
      </c>
      <c r="AL140">
        <f t="shared" si="29"/>
        <v>-2.1223011829617907E-3</v>
      </c>
    </row>
    <row r="141" spans="1:38" x14ac:dyDescent="0.35">
      <c r="A141" t="s">
        <v>53</v>
      </c>
      <c r="B141" t="s">
        <v>69</v>
      </c>
      <c r="C141">
        <v>-0.1743682336844401</v>
      </c>
      <c r="D141">
        <v>2.4860569687780369</v>
      </c>
      <c r="E141">
        <v>-2.660425202462477</v>
      </c>
      <c r="F141">
        <v>-16.523238726327069</v>
      </c>
      <c r="G141">
        <v>36.262795760146673</v>
      </c>
      <c r="H141">
        <v>0</v>
      </c>
      <c r="I141">
        <v>36.262795760146673</v>
      </c>
      <c r="J141">
        <v>0</v>
      </c>
      <c r="K141">
        <v>-2.07519362985433E-2</v>
      </c>
      <c r="L141">
        <v>-1.8700200811554799E-2</v>
      </c>
      <c r="M141">
        <v>0.29587095516490508</v>
      </c>
      <c r="N141">
        <v>0.26661831437283778</v>
      </c>
      <c r="O141">
        <v>-0.31662289146344857</v>
      </c>
      <c r="P141">
        <v>-0.28531851518439311</v>
      </c>
      <c r="Q141">
        <v>-1.966465968307672</v>
      </c>
      <c r="R141">
        <v>-1.772042279207579</v>
      </c>
      <c r="S141">
        <v>4.3157128550348984</v>
      </c>
      <c r="T141">
        <v>3.8890200833849069</v>
      </c>
      <c r="U141">
        <v>0</v>
      </c>
      <c r="V141">
        <v>0</v>
      </c>
      <c r="W141">
        <v>4.3157128550348984</v>
      </c>
      <c r="X141">
        <v>3.8890200833849069</v>
      </c>
      <c r="Y141">
        <v>0</v>
      </c>
      <c r="Z141">
        <v>0</v>
      </c>
      <c r="AA141">
        <v>932.44043441874999</v>
      </c>
      <c r="AB141">
        <v>840.25042856688003</v>
      </c>
      <c r="AC141">
        <f t="shared" si="20"/>
        <v>-4.8316938596613193E-3</v>
      </c>
      <c r="AD141">
        <f t="shared" si="21"/>
        <v>-7.3719621075528749E-2</v>
      </c>
      <c r="AE141">
        <f t="shared" si="22"/>
        <v>15.257510764702335</v>
      </c>
      <c r="AF141">
        <f t="shared" si="23"/>
        <v>6.8887927215867423E-2</v>
      </c>
      <c r="AG141">
        <f t="shared" si="24"/>
        <v>-14.257510764702335</v>
      </c>
      <c r="AH141">
        <f t="shared" si="25"/>
        <v>1.0048316938596613</v>
      </c>
      <c r="AI141">
        <f t="shared" si="26"/>
        <v>0</v>
      </c>
      <c r="AJ141">
        <f t="shared" si="27"/>
        <v>1</v>
      </c>
      <c r="AK141">
        <f t="shared" si="28"/>
        <v>3.8703198825733538E-2</v>
      </c>
      <c r="AL141">
        <f t="shared" si="29"/>
        <v>4.2949609187363555E-2</v>
      </c>
    </row>
    <row r="142" spans="1:38" x14ac:dyDescent="0.35">
      <c r="A142" t="s">
        <v>54</v>
      </c>
      <c r="B142" t="s">
        <v>69</v>
      </c>
      <c r="C142">
        <v>2.2603788228926902</v>
      </c>
      <c r="D142">
        <v>2.0118179613490819</v>
      </c>
      <c r="E142">
        <v>0.24856086154360921</v>
      </c>
      <c r="F142">
        <v>0</v>
      </c>
      <c r="G142">
        <v>-2.2791011296807091</v>
      </c>
      <c r="H142">
        <v>-2.306024966503025</v>
      </c>
      <c r="I142">
        <v>2.6923836822314501E-2</v>
      </c>
      <c r="J142">
        <v>0</v>
      </c>
      <c r="K142">
        <v>1.113821319845862</v>
      </c>
      <c r="L142">
        <v>1.1653010685747811</v>
      </c>
      <c r="M142">
        <v>0.9913407939877108</v>
      </c>
      <c r="N142">
        <v>1.037159610767296</v>
      </c>
      <c r="O142">
        <v>0.1224805258581511</v>
      </c>
      <c r="P142">
        <v>0.12814145780748371</v>
      </c>
      <c r="Q142">
        <v>0</v>
      </c>
      <c r="R142">
        <v>0</v>
      </c>
      <c r="S142">
        <v>-1.123046899313336</v>
      </c>
      <c r="T142">
        <v>-1.174953045440474</v>
      </c>
      <c r="U142">
        <v>-1.1363138540206741</v>
      </c>
      <c r="V142">
        <v>-1.188833186017541</v>
      </c>
      <c r="W142">
        <v>1.3266954707338499E-2</v>
      </c>
      <c r="X142">
        <v>1.3880140577067599E-2</v>
      </c>
      <c r="Y142">
        <v>0</v>
      </c>
      <c r="Z142">
        <v>0</v>
      </c>
      <c r="AA142">
        <v>193.97380504054999</v>
      </c>
      <c r="AB142">
        <v>202.93908750153</v>
      </c>
      <c r="AC142">
        <f t="shared" si="20"/>
        <v>-120.73185470602326</v>
      </c>
      <c r="AD142">
        <f t="shared" si="21"/>
        <v>-13.276187830800456</v>
      </c>
      <c r="AE142">
        <f t="shared" si="22"/>
        <v>0.10996424980902833</v>
      </c>
      <c r="AF142">
        <f t="shared" si="23"/>
        <v>-107.45566687522285</v>
      </c>
      <c r="AG142">
        <f t="shared" si="24"/>
        <v>0.89003575019097203</v>
      </c>
      <c r="AH142">
        <f t="shared" si="25"/>
        <v>121.73185470602326</v>
      </c>
      <c r="AI142">
        <f t="shared" si="26"/>
        <v>1.0118133576749566</v>
      </c>
      <c r="AJ142">
        <f t="shared" si="27"/>
        <v>-1.1813357674956003E-2</v>
      </c>
      <c r="AK142">
        <f t="shared" si="28"/>
        <v>-9.6519768656932919E-5</v>
      </c>
      <c r="AL142">
        <f t="shared" si="29"/>
        <v>-9.2255794674733343E-5</v>
      </c>
    </row>
    <row r="143" spans="1:38" x14ac:dyDescent="0.35">
      <c r="A143" t="s">
        <v>55</v>
      </c>
      <c r="B143" t="s">
        <v>69</v>
      </c>
      <c r="C143">
        <v>13.348965621899451</v>
      </c>
      <c r="D143">
        <v>1.1414792455781</v>
      </c>
      <c r="E143">
        <v>12.20748637632135</v>
      </c>
      <c r="F143">
        <v>0</v>
      </c>
      <c r="G143">
        <v>-5.3846464626538513</v>
      </c>
      <c r="H143">
        <v>0.17176997453820239</v>
      </c>
      <c r="I143">
        <v>-5.5564164371920564</v>
      </c>
      <c r="J143">
        <v>0</v>
      </c>
      <c r="K143">
        <v>3.2538664984422612</v>
      </c>
      <c r="L143">
        <v>4.0395803375278474</v>
      </c>
      <c r="M143">
        <v>0.27824036566252108</v>
      </c>
      <c r="N143">
        <v>0.34542729727078969</v>
      </c>
      <c r="O143">
        <v>2.9756261327797402</v>
      </c>
      <c r="P143">
        <v>3.6941530402570568</v>
      </c>
      <c r="Q143">
        <v>0</v>
      </c>
      <c r="R143">
        <v>0</v>
      </c>
      <c r="S143">
        <v>-1.312530215977282</v>
      </c>
      <c r="T143">
        <v>-1.6294679746115259</v>
      </c>
      <c r="U143">
        <v>4.1869653531148202E-2</v>
      </c>
      <c r="V143">
        <v>5.19799534567566E-2</v>
      </c>
      <c r="W143">
        <v>-1.3543998695084309</v>
      </c>
      <c r="X143">
        <v>-1.681447928068283</v>
      </c>
      <c r="Y143">
        <v>0</v>
      </c>
      <c r="Z143">
        <v>0</v>
      </c>
      <c r="AA143">
        <v>330.45426768437</v>
      </c>
      <c r="AB143">
        <v>410.24933347112</v>
      </c>
      <c r="AC143">
        <f t="shared" si="20"/>
        <v>1.6760962682419547</v>
      </c>
      <c r="AD143">
        <f t="shared" si="21"/>
        <v>1.5327721217889609</v>
      </c>
      <c r="AE143">
        <f t="shared" si="22"/>
        <v>0.91448931116389542</v>
      </c>
      <c r="AF143">
        <f t="shared" si="23"/>
        <v>0.14332414645299371</v>
      </c>
      <c r="AG143">
        <f t="shared" si="24"/>
        <v>8.5510688836104493E-2</v>
      </c>
      <c r="AH143">
        <f t="shared" si="25"/>
        <v>-0.67609626824195457</v>
      </c>
      <c r="AI143">
        <f t="shared" si="26"/>
        <v>-3.18999540136094E-2</v>
      </c>
      <c r="AJ143">
        <f t="shared" si="27"/>
        <v>1.03189995401361</v>
      </c>
      <c r="AK143">
        <f t="shared" si="28"/>
        <v>2.4101123629163227E-2</v>
      </c>
      <c r="AL143">
        <f t="shared" si="29"/>
        <v>1.94133628246498E-2</v>
      </c>
    </row>
    <row r="144" spans="1:38" x14ac:dyDescent="0.35">
      <c r="A144" t="s">
        <v>56</v>
      </c>
      <c r="B144" t="s">
        <v>69</v>
      </c>
      <c r="C144">
        <v>3.6115856237378878</v>
      </c>
      <c r="D144">
        <v>0.6751212736122203</v>
      </c>
      <c r="E144">
        <v>2.9364643501256689</v>
      </c>
      <c r="F144">
        <v>-3.8694074328850102E-2</v>
      </c>
      <c r="G144">
        <v>-6.3673793199374204E-2</v>
      </c>
      <c r="H144">
        <v>0</v>
      </c>
      <c r="I144">
        <v>-6.3673793199374204E-2</v>
      </c>
      <c r="J144">
        <v>0</v>
      </c>
      <c r="K144">
        <v>1.6241891285072561</v>
      </c>
      <c r="L144">
        <v>1.0584457968359591</v>
      </c>
      <c r="M144">
        <v>0.30361307947894312</v>
      </c>
      <c r="N144">
        <v>0.19785749220859511</v>
      </c>
      <c r="O144">
        <v>1.320576049028312</v>
      </c>
      <c r="P144">
        <v>0.86058830462736391</v>
      </c>
      <c r="Q144">
        <v>-1.7401358131868602E-2</v>
      </c>
      <c r="R144">
        <v>-1.1340055200862601E-2</v>
      </c>
      <c r="S144">
        <v>-2.8635146292947899E-2</v>
      </c>
      <c r="T144">
        <v>-1.86608503305336E-2</v>
      </c>
      <c r="U144">
        <v>0</v>
      </c>
      <c r="V144">
        <v>0</v>
      </c>
      <c r="W144">
        <v>-2.8635146292947899E-2</v>
      </c>
      <c r="X144">
        <v>-1.86608503305336E-2</v>
      </c>
      <c r="Y144">
        <v>0</v>
      </c>
      <c r="Z144">
        <v>0</v>
      </c>
      <c r="AA144">
        <v>341.21592570296002</v>
      </c>
      <c r="AB144">
        <v>222.36238134761999</v>
      </c>
      <c r="AC144">
        <f t="shared" si="20"/>
        <v>1.017946836404249</v>
      </c>
      <c r="AD144">
        <f t="shared" si="21"/>
        <v>0.82765989978955112</v>
      </c>
      <c r="AE144">
        <f t="shared" si="22"/>
        <v>0.81306790314623978</v>
      </c>
      <c r="AF144">
        <f t="shared" si="23"/>
        <v>0.19028693661469828</v>
      </c>
      <c r="AG144">
        <f t="shared" si="24"/>
        <v>0.18693209685376061</v>
      </c>
      <c r="AH144">
        <f t="shared" si="25"/>
        <v>-1.7946836404248972E-2</v>
      </c>
      <c r="AI144">
        <f t="shared" si="26"/>
        <v>0</v>
      </c>
      <c r="AJ144">
        <f t="shared" si="27"/>
        <v>1</v>
      </c>
      <c r="AK144">
        <f t="shared" si="28"/>
        <v>1.0397849465054249E-2</v>
      </c>
      <c r="AL144">
        <f t="shared" si="29"/>
        <v>1.5955539822143067E-2</v>
      </c>
    </row>
    <row r="145" spans="1:38" x14ac:dyDescent="0.35">
      <c r="A145" t="s">
        <v>57</v>
      </c>
      <c r="B145" t="s">
        <v>69</v>
      </c>
      <c r="C145">
        <v>1.4522233867921299</v>
      </c>
      <c r="D145">
        <v>-2.9240262794754598E-2</v>
      </c>
      <c r="E145">
        <v>1.4814636495868849</v>
      </c>
      <c r="F145">
        <v>-0.86142947575367323</v>
      </c>
      <c r="G145">
        <v>-1.9640916209961098E-2</v>
      </c>
      <c r="H145">
        <v>0</v>
      </c>
      <c r="I145">
        <v>-1.9640916209961098E-2</v>
      </c>
      <c r="J145">
        <v>0</v>
      </c>
      <c r="K145">
        <v>1.459681466143107</v>
      </c>
      <c r="L145">
        <v>0.79919071648164497</v>
      </c>
      <c r="M145">
        <v>-2.9390429912396501E-2</v>
      </c>
      <c r="N145">
        <v>-1.6091564690106801E-2</v>
      </c>
      <c r="O145">
        <v>1.4890718960555029</v>
      </c>
      <c r="P145">
        <v>0.81528228117175172</v>
      </c>
      <c r="Q145">
        <v>-0.86585345724568874</v>
      </c>
      <c r="R145">
        <v>-0.47406373302300298</v>
      </c>
      <c r="S145">
        <v>-1.9741784652758498E-2</v>
      </c>
      <c r="T145">
        <v>-1.08088315068854E-2</v>
      </c>
      <c r="U145">
        <v>0</v>
      </c>
      <c r="V145">
        <v>0</v>
      </c>
      <c r="W145">
        <v>-1.9741784652758498E-2</v>
      </c>
      <c r="X145">
        <v>-1.08088315068854E-2</v>
      </c>
      <c r="Y145">
        <v>0</v>
      </c>
      <c r="Z145">
        <v>0</v>
      </c>
      <c r="AA145">
        <v>181.71174374815001</v>
      </c>
      <c r="AB145">
        <v>99.489061173690004</v>
      </c>
      <c r="AC145">
        <f t="shared" si="20"/>
        <v>1.0137101469641601</v>
      </c>
      <c r="AD145">
        <f t="shared" si="21"/>
        <v>1.0341210227044395</v>
      </c>
      <c r="AE145">
        <f t="shared" si="22"/>
        <v>1.0201348243394874</v>
      </c>
      <c r="AF145">
        <f t="shared" si="23"/>
        <v>-2.0410875740279038E-2</v>
      </c>
      <c r="AG145">
        <f t="shared" si="24"/>
        <v>-2.0134824339487122E-2</v>
      </c>
      <c r="AH145">
        <f t="shared" si="25"/>
        <v>-1.37101469641601E-2</v>
      </c>
      <c r="AI145">
        <f t="shared" si="26"/>
        <v>0</v>
      </c>
      <c r="AJ145">
        <f t="shared" si="27"/>
        <v>1</v>
      </c>
      <c r="AK145">
        <f t="shared" si="28"/>
        <v>7.883818849747589E-3</v>
      </c>
      <c r="AL145">
        <f t="shared" si="29"/>
        <v>1.4399396814903475E-2</v>
      </c>
    </row>
    <row r="146" spans="1:38" x14ac:dyDescent="0.35">
      <c r="A146" t="s">
        <v>58</v>
      </c>
      <c r="B146" t="s">
        <v>69</v>
      </c>
      <c r="C146">
        <v>-1.349400936643824</v>
      </c>
      <c r="D146">
        <v>0.34098922567069279</v>
      </c>
      <c r="E146">
        <v>-1.6903901623145161</v>
      </c>
      <c r="F146">
        <v>0.1</v>
      </c>
      <c r="G146">
        <v>0.18483194669322731</v>
      </c>
      <c r="H146">
        <v>0.3141031613848056</v>
      </c>
      <c r="I146">
        <v>-0.1292712146915784</v>
      </c>
      <c r="J146">
        <v>-0.11431613976919899</v>
      </c>
      <c r="K146">
        <v>-2.6764281263188878</v>
      </c>
      <c r="L146">
        <v>-1.7746550232987699</v>
      </c>
      <c r="M146">
        <v>0.67632467828768994</v>
      </c>
      <c r="N146">
        <v>0.44844954956999578</v>
      </c>
      <c r="O146">
        <v>-3.352752804606578</v>
      </c>
      <c r="P146">
        <v>-2.2231045728687659</v>
      </c>
      <c r="Q146">
        <v>0.19834194964882679</v>
      </c>
      <c r="R146">
        <v>0.13151428720011279</v>
      </c>
      <c r="S146">
        <v>0.36659928664522651</v>
      </c>
      <c r="T146">
        <v>0.24308041721168999</v>
      </c>
      <c r="U146">
        <v>0.62299833419922468</v>
      </c>
      <c r="V146">
        <v>0.41309053376824723</v>
      </c>
      <c r="W146">
        <v>-0.25639904755399812</v>
      </c>
      <c r="X146">
        <v>-0.17001011655655679</v>
      </c>
      <c r="Y146">
        <v>-0.22673686038150731</v>
      </c>
      <c r="Z146">
        <v>-0.1503420563721469</v>
      </c>
      <c r="AA146">
        <v>76.037366075549997</v>
      </c>
      <c r="AB146">
        <v>50.417977728389999</v>
      </c>
      <c r="AC146">
        <f t="shared" si="20"/>
        <v>1.1587127497711134</v>
      </c>
      <c r="AD146">
        <f t="shared" si="21"/>
        <v>1.4515156911281193</v>
      </c>
      <c r="AE146">
        <f t="shared" si="22"/>
        <v>1.2526967459491964</v>
      </c>
      <c r="AF146">
        <f t="shared" si="23"/>
        <v>-0.29280294135700646</v>
      </c>
      <c r="AG146">
        <f t="shared" si="24"/>
        <v>-0.25269674594919694</v>
      </c>
      <c r="AH146">
        <f t="shared" si="25"/>
        <v>-0.15871274977111338</v>
      </c>
      <c r="AI146">
        <f t="shared" si="26"/>
        <v>1.6993986537734989</v>
      </c>
      <c r="AJ146">
        <f t="shared" si="27"/>
        <v>-0.69939865377349952</v>
      </c>
      <c r="AK146">
        <f t="shared" si="28"/>
        <v>-1.531574606087081E-2</v>
      </c>
      <c r="AL146">
        <f t="shared" si="29"/>
        <v>-2.3098288396736631E-2</v>
      </c>
    </row>
    <row r="147" spans="1:38" x14ac:dyDescent="0.35">
      <c r="A147" t="s">
        <v>59</v>
      </c>
      <c r="B147" t="s">
        <v>69</v>
      </c>
      <c r="C147">
        <v>-5.4196425105654953</v>
      </c>
      <c r="D147">
        <v>2.5312199052560209</v>
      </c>
      <c r="E147">
        <v>-7.9508624158215149</v>
      </c>
      <c r="F147">
        <v>1.986671496313178</v>
      </c>
      <c r="G147">
        <v>-0.14794341217610449</v>
      </c>
      <c r="H147">
        <v>-6.6142068110831998E-3</v>
      </c>
      <c r="I147">
        <v>-0.14132920536502169</v>
      </c>
      <c r="J147">
        <v>0</v>
      </c>
      <c r="K147">
        <v>-0.98570984582049725</v>
      </c>
      <c r="L147">
        <v>-1.0402295194879061</v>
      </c>
      <c r="M147">
        <v>0.46037139491832468</v>
      </c>
      <c r="N147">
        <v>0.48583456577248668</v>
      </c>
      <c r="O147">
        <v>-1.446081240738821</v>
      </c>
      <c r="P147">
        <v>-1.5260640852603931</v>
      </c>
      <c r="Q147">
        <v>0.3613304107252846</v>
      </c>
      <c r="R147">
        <v>0.3813156185046136</v>
      </c>
      <c r="S147">
        <v>-2.69075456032341E-2</v>
      </c>
      <c r="T147">
        <v>-2.83958036455969E-2</v>
      </c>
      <c r="U147">
        <v>-1.2029739532206001E-3</v>
      </c>
      <c r="V147">
        <v>-1.2695105183549999E-3</v>
      </c>
      <c r="W147">
        <v>-2.5704571650013702E-2</v>
      </c>
      <c r="X147">
        <v>-2.7126293127241501E-2</v>
      </c>
      <c r="Y147">
        <v>0</v>
      </c>
      <c r="Z147">
        <v>0</v>
      </c>
      <c r="AA147">
        <v>521.00449074291998</v>
      </c>
      <c r="AB147">
        <v>549.82128194673999</v>
      </c>
      <c r="AC147">
        <f t="shared" si="20"/>
        <v>0.97342772716415416</v>
      </c>
      <c r="AD147">
        <f t="shared" si="21"/>
        <v>1.4280628132464166</v>
      </c>
      <c r="AE147">
        <f t="shared" si="22"/>
        <v>1.4670455478053122</v>
      </c>
      <c r="AF147">
        <f t="shared" si="23"/>
        <v>-0.45463508608226266</v>
      </c>
      <c r="AG147">
        <f t="shared" si="24"/>
        <v>-0.46704554780531249</v>
      </c>
      <c r="AH147">
        <f t="shared" si="25"/>
        <v>2.6572272835845873E-2</v>
      </c>
      <c r="AI147">
        <f t="shared" si="26"/>
        <v>4.4707680550249693E-2</v>
      </c>
      <c r="AJ147">
        <f t="shared" si="27"/>
        <v>0.95529231944975301</v>
      </c>
      <c r="AK147">
        <f t="shared" si="28"/>
        <v>-1.0686253231335048E-2</v>
      </c>
      <c r="AL147">
        <f t="shared" si="29"/>
        <v>-1.0126173914237318E-2</v>
      </c>
    </row>
    <row r="148" spans="1:38" x14ac:dyDescent="0.35">
      <c r="A148" t="s">
        <v>60</v>
      </c>
      <c r="B148" t="s">
        <v>69</v>
      </c>
      <c r="C148">
        <v>5.7337721328573252</v>
      </c>
      <c r="D148">
        <v>0.41206821103311331</v>
      </c>
      <c r="E148">
        <v>5.3217039218242164</v>
      </c>
      <c r="F148">
        <v>0</v>
      </c>
      <c r="G148">
        <v>-0.34763605364891959</v>
      </c>
      <c r="H148">
        <v>-0.16429236256423979</v>
      </c>
      <c r="I148">
        <v>-0.18334369108467991</v>
      </c>
      <c r="J148">
        <v>0</v>
      </c>
      <c r="K148">
        <v>0.76746045418638786</v>
      </c>
      <c r="L148">
        <v>0.97048648487860856</v>
      </c>
      <c r="M148">
        <v>5.5154974607902398E-2</v>
      </c>
      <c r="N148">
        <v>6.97458183529968E-2</v>
      </c>
      <c r="O148">
        <v>0.71230547957848511</v>
      </c>
      <c r="P148">
        <v>0.90074066652561235</v>
      </c>
      <c r="Q148">
        <v>0</v>
      </c>
      <c r="R148">
        <v>0</v>
      </c>
      <c r="S148">
        <v>-4.6530785919462497E-2</v>
      </c>
      <c r="T148">
        <v>-5.8840163840743601E-2</v>
      </c>
      <c r="U148">
        <v>-2.1990391015080699E-2</v>
      </c>
      <c r="V148">
        <v>-2.78077875686202E-2</v>
      </c>
      <c r="W148">
        <v>-2.4540394904382E-2</v>
      </c>
      <c r="X148">
        <v>-3.1032376272123401E-2</v>
      </c>
      <c r="Y148">
        <v>0</v>
      </c>
      <c r="Z148">
        <v>0</v>
      </c>
      <c r="AA148">
        <v>590.81421763174001</v>
      </c>
      <c r="AB148">
        <v>747.10978286638999</v>
      </c>
      <c r="AC148">
        <f t="shared" si="20"/>
        <v>1.0645427535689018</v>
      </c>
      <c r="AD148">
        <f t="shared" si="21"/>
        <v>0.98803740632678949</v>
      </c>
      <c r="AE148">
        <f t="shared" si="22"/>
        <v>0.92813313792646968</v>
      </c>
      <c r="AF148">
        <f t="shared" si="23"/>
        <v>7.650534724211322E-2</v>
      </c>
      <c r="AG148">
        <f t="shared" si="24"/>
        <v>7.1866862073531046E-2</v>
      </c>
      <c r="AH148">
        <f t="shared" si="25"/>
        <v>-6.4542753568901892E-2</v>
      </c>
      <c r="AI148">
        <f t="shared" si="26"/>
        <v>0.47259874469222907</v>
      </c>
      <c r="AJ148">
        <f t="shared" si="27"/>
        <v>0.52740125530777127</v>
      </c>
      <c r="AK148">
        <f t="shared" si="28"/>
        <v>9.1164632103786555E-3</v>
      </c>
      <c r="AL148">
        <f t="shared" si="29"/>
        <v>7.2092966826692454E-3</v>
      </c>
    </row>
    <row r="149" spans="1:38" x14ac:dyDescent="0.35">
      <c r="A149" t="s">
        <v>61</v>
      </c>
      <c r="B149" t="s">
        <v>69</v>
      </c>
      <c r="C149">
        <v>0.1488650164938079</v>
      </c>
      <c r="D149">
        <v>0.46869556347929597</v>
      </c>
      <c r="E149">
        <v>-0.3198305469854858</v>
      </c>
      <c r="F149">
        <v>-2.5745524312524952</v>
      </c>
      <c r="G149">
        <v>0</v>
      </c>
      <c r="H149">
        <v>0</v>
      </c>
      <c r="I149">
        <v>0</v>
      </c>
      <c r="J149">
        <v>-1.1142321069096259</v>
      </c>
      <c r="K149">
        <v>5.6827502229728197E-2</v>
      </c>
      <c r="L149">
        <v>3.3734157301740397E-2</v>
      </c>
      <c r="M149">
        <v>0.17891912288063319</v>
      </c>
      <c r="N149">
        <v>0.1062106479912665</v>
      </c>
      <c r="O149">
        <v>-0.12209162065090499</v>
      </c>
      <c r="P149">
        <v>-7.2476490689526302E-2</v>
      </c>
      <c r="Q149">
        <v>-0.98280568177438277</v>
      </c>
      <c r="R149">
        <v>-0.58341683454594284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-0.42534524921424061</v>
      </c>
      <c r="Z149">
        <v>-0.252495059285478</v>
      </c>
      <c r="AA149">
        <v>441.28867711817003</v>
      </c>
      <c r="AB149">
        <v>261.95945739796002</v>
      </c>
      <c r="AC149">
        <f t="shared" si="20"/>
        <v>1</v>
      </c>
      <c r="AD149">
        <f t="shared" si="21"/>
        <v>-2.1484600916884276</v>
      </c>
      <c r="AE149">
        <f t="shared" si="22"/>
        <v>-2.1484600916884276</v>
      </c>
      <c r="AF149">
        <f t="shared" si="23"/>
        <v>3.1484600916884427</v>
      </c>
      <c r="AG149">
        <f t="shared" si="24"/>
        <v>3.1484600916884427</v>
      </c>
      <c r="AH149">
        <f t="shared" si="25"/>
        <v>0</v>
      </c>
      <c r="AI149">
        <v>0</v>
      </c>
      <c r="AJ149">
        <v>0</v>
      </c>
      <c r="AK149">
        <f t="shared" si="28"/>
        <v>3.3734157301739298E-4</v>
      </c>
      <c r="AL149">
        <f t="shared" si="29"/>
        <v>5.6827502229727538E-4</v>
      </c>
    </row>
    <row r="150" spans="1:38" x14ac:dyDescent="0.35">
      <c r="A150" t="s">
        <v>62</v>
      </c>
      <c r="B150" t="s">
        <v>69</v>
      </c>
      <c r="C150">
        <v>4.0098421863494309</v>
      </c>
      <c r="D150">
        <v>0.54698847303368625</v>
      </c>
      <c r="E150">
        <v>3.4628537133157442</v>
      </c>
      <c r="F150">
        <v>2.4757725592319002E-3</v>
      </c>
      <c r="G150">
        <v>8.4973082357751313</v>
      </c>
      <c r="H150">
        <v>7.6160721771276307</v>
      </c>
      <c r="I150">
        <v>0.88123605864749965</v>
      </c>
      <c r="J150">
        <v>0</v>
      </c>
      <c r="K150">
        <v>1.247595593488112</v>
      </c>
      <c r="L150">
        <v>0.58074170428682947</v>
      </c>
      <c r="M150">
        <v>0.17018635071693311</v>
      </c>
      <c r="N150">
        <v>7.9219830430292001E-2</v>
      </c>
      <c r="O150">
        <v>1.077409242771179</v>
      </c>
      <c r="P150">
        <v>0.50152187385653735</v>
      </c>
      <c r="Q150">
        <v>7.7029538616040004E-4</v>
      </c>
      <c r="R150">
        <v>3.5856383085830002E-4</v>
      </c>
      <c r="S150">
        <v>2.6437958948989611</v>
      </c>
      <c r="T150">
        <v>1.230657227232965</v>
      </c>
      <c r="U150">
        <v>2.369613976385013</v>
      </c>
      <c r="V150">
        <v>1.1030286306961341</v>
      </c>
      <c r="W150">
        <v>0.27418191851394841</v>
      </c>
      <c r="X150">
        <v>0.12762859653683131</v>
      </c>
      <c r="Y150">
        <v>0</v>
      </c>
      <c r="Z150">
        <v>0</v>
      </c>
      <c r="AA150">
        <v>690.46912883131995</v>
      </c>
      <c r="AB150">
        <v>321.40560669490998</v>
      </c>
      <c r="AC150">
        <f t="shared" si="20"/>
        <v>0.32060397860540707</v>
      </c>
      <c r="AD150">
        <f t="shared" si="21"/>
        <v>0.27686991812220618</v>
      </c>
      <c r="AE150">
        <f t="shared" si="22"/>
        <v>0.86358852852219947</v>
      </c>
      <c r="AF150">
        <f t="shared" si="23"/>
        <v>4.3734060483200818E-2</v>
      </c>
      <c r="AG150">
        <f t="shared" si="24"/>
        <v>0.13641147147780042</v>
      </c>
      <c r="AH150">
        <f t="shared" si="25"/>
        <v>0.67939602139459299</v>
      </c>
      <c r="AI150">
        <f t="shared" si="26"/>
        <v>0.89629232761766309</v>
      </c>
      <c r="AJ150">
        <f t="shared" si="27"/>
        <v>0.1037076723823368</v>
      </c>
      <c r="AK150">
        <f t="shared" si="28"/>
        <v>1.8113989315197945E-2</v>
      </c>
      <c r="AL150">
        <f t="shared" si="29"/>
        <v>3.8913914883870741E-2</v>
      </c>
    </row>
    <row r="151" spans="1:38" x14ac:dyDescent="0.35">
      <c r="A151" t="s">
        <v>63</v>
      </c>
      <c r="B151" t="s">
        <v>69</v>
      </c>
      <c r="C151">
        <v>-4.9648577665709999E-3</v>
      </c>
      <c r="D151">
        <v>-1.1457364076702E-3</v>
      </c>
      <c r="E151">
        <v>-3.8191213589006999E-3</v>
      </c>
      <c r="F151">
        <v>-2.3718753702646998E-3</v>
      </c>
      <c r="G151">
        <v>0</v>
      </c>
      <c r="H151">
        <v>0</v>
      </c>
      <c r="I151">
        <v>0</v>
      </c>
      <c r="J151">
        <v>0</v>
      </c>
      <c r="K151">
        <v>-7.7115026817946002E-3</v>
      </c>
      <c r="L151">
        <v>-5.4419247585320999E-3</v>
      </c>
      <c r="M151">
        <v>-1.7795775419526001E-3</v>
      </c>
      <c r="N151">
        <v>-1.2558287904305E-3</v>
      </c>
      <c r="O151">
        <v>-5.9319251398419004E-3</v>
      </c>
      <c r="P151">
        <v>-4.1860959681015997E-3</v>
      </c>
      <c r="Q151">
        <v>-3.6840377184282E-3</v>
      </c>
      <c r="R151">
        <v>-2.5997859170315001E-3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91.233487908610002</v>
      </c>
      <c r="AB151">
        <v>64.38249419652</v>
      </c>
      <c r="AC151">
        <f t="shared" si="20"/>
        <v>1</v>
      </c>
      <c r="AD151">
        <f t="shared" si="21"/>
        <v>0.76923076923075528</v>
      </c>
      <c r="AE151">
        <f t="shared" si="22"/>
        <v>0.76923076923075528</v>
      </c>
      <c r="AF151">
        <f t="shared" si="23"/>
        <v>0.23076923076922456</v>
      </c>
      <c r="AG151">
        <f t="shared" si="24"/>
        <v>0.23076923076922456</v>
      </c>
      <c r="AH151">
        <f t="shared" si="25"/>
        <v>0</v>
      </c>
      <c r="AI151">
        <v>0</v>
      </c>
      <c r="AJ151">
        <v>0</v>
      </c>
      <c r="AK151">
        <f t="shared" si="28"/>
        <v>-5.4419247585320588E-5</v>
      </c>
      <c r="AL151">
        <f t="shared" si="29"/>
        <v>-7.7115026817947666E-5</v>
      </c>
    </row>
    <row r="152" spans="1:38" x14ac:dyDescent="0.35">
      <c r="A152" t="s">
        <v>64</v>
      </c>
      <c r="B152" t="s">
        <v>69</v>
      </c>
      <c r="C152">
        <v>-0.19161498549824249</v>
      </c>
      <c r="D152">
        <v>0</v>
      </c>
      <c r="E152">
        <v>-0.19161498549824249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-0.13001073313003439</v>
      </c>
      <c r="L152">
        <v>-6.1833593114673797E-2</v>
      </c>
      <c r="M152">
        <v>0</v>
      </c>
      <c r="N152">
        <v>0</v>
      </c>
      <c r="O152">
        <v>-0.13001073313003439</v>
      </c>
      <c r="P152">
        <v>-6.1833593114673603E-2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309.88816247970999</v>
      </c>
      <c r="AB152">
        <v>147.38397429586999</v>
      </c>
      <c r="AC152">
        <f t="shared" si="20"/>
        <v>1</v>
      </c>
      <c r="AD152">
        <f t="shared" si="21"/>
        <v>1</v>
      </c>
      <c r="AE152">
        <f t="shared" si="22"/>
        <v>1</v>
      </c>
      <c r="AF152">
        <f t="shared" si="23"/>
        <v>0</v>
      </c>
      <c r="AG152">
        <f t="shared" si="24"/>
        <v>0</v>
      </c>
      <c r="AH152">
        <f t="shared" si="25"/>
        <v>0</v>
      </c>
      <c r="AI152">
        <v>0</v>
      </c>
      <c r="AJ152">
        <v>0</v>
      </c>
      <c r="AK152">
        <f t="shared" si="28"/>
        <v>-6.1833593114673602E-4</v>
      </c>
      <c r="AL152">
        <f t="shared" si="29"/>
        <v>-1.3001073313003472E-3</v>
      </c>
    </row>
    <row r="153" spans="1:38" x14ac:dyDescent="0.35">
      <c r="A153" t="s">
        <v>65</v>
      </c>
      <c r="B153" t="s">
        <v>69</v>
      </c>
      <c r="C153">
        <v>5.989153123818987</v>
      </c>
      <c r="D153">
        <v>-4.1489705375412E-3</v>
      </c>
      <c r="E153">
        <v>5.9933020943565296</v>
      </c>
      <c r="F153">
        <v>0</v>
      </c>
      <c r="G153">
        <v>2.4919180275215358</v>
      </c>
      <c r="H153">
        <v>2.528038476907192</v>
      </c>
      <c r="I153">
        <v>-3.6120449385656103E-2</v>
      </c>
      <c r="J153">
        <v>0</v>
      </c>
      <c r="K153">
        <v>1.047965084417287</v>
      </c>
      <c r="L153">
        <v>0.49276291212012419</v>
      </c>
      <c r="M153">
        <v>-7.2597513700680002E-4</v>
      </c>
      <c r="N153">
        <v>-3.4136024945629999E-4</v>
      </c>
      <c r="O153">
        <v>1.048691059554294</v>
      </c>
      <c r="P153">
        <v>0.49310427236958088</v>
      </c>
      <c r="Q153">
        <v>0</v>
      </c>
      <c r="R153">
        <v>0</v>
      </c>
      <c r="S153">
        <v>0.43602877269689427</v>
      </c>
      <c r="T153">
        <v>0.20502477706283079</v>
      </c>
      <c r="U153">
        <v>0.44234902683083649</v>
      </c>
      <c r="V153">
        <v>0.20799661923456941</v>
      </c>
      <c r="W153">
        <v>-6.3202541339419001E-3</v>
      </c>
      <c r="X153">
        <v>-2.9718421717381E-3</v>
      </c>
      <c r="Y153">
        <v>0</v>
      </c>
      <c r="Z153">
        <v>0</v>
      </c>
      <c r="AA153">
        <v>1215.4228689920101</v>
      </c>
      <c r="AB153">
        <v>571.50311712429004</v>
      </c>
      <c r="AC153">
        <f t="shared" si="20"/>
        <v>0.70617885606022046</v>
      </c>
      <c r="AD153">
        <f t="shared" si="21"/>
        <v>0.70666805966003776</v>
      </c>
      <c r="AE153">
        <f t="shared" si="22"/>
        <v>1.0006927474472211</v>
      </c>
      <c r="AF153">
        <f t="shared" si="23"/>
        <v>-4.8920359981715418E-4</v>
      </c>
      <c r="AG153">
        <f t="shared" si="24"/>
        <v>-6.9274744722098644E-4</v>
      </c>
      <c r="AH153">
        <f t="shared" si="25"/>
        <v>0.29382114393977959</v>
      </c>
      <c r="AI153">
        <f t="shared" si="26"/>
        <v>1.0144950391572798</v>
      </c>
      <c r="AJ153">
        <f t="shared" si="27"/>
        <v>-1.44950391572798E-2</v>
      </c>
      <c r="AK153">
        <f t="shared" si="28"/>
        <v>6.9778768918295504E-3</v>
      </c>
      <c r="AL153">
        <f t="shared" si="29"/>
        <v>1.4839938571141801E-2</v>
      </c>
    </row>
    <row r="154" spans="1:38" x14ac:dyDescent="0.35">
      <c r="A154" t="s">
        <v>28</v>
      </c>
      <c r="B154" t="s">
        <v>70</v>
      </c>
      <c r="C154">
        <v>0.8303883820210558</v>
      </c>
      <c r="D154">
        <v>9.8710831084147799E-5</v>
      </c>
      <c r="E154">
        <v>0.83028967118997343</v>
      </c>
      <c r="F154">
        <v>0</v>
      </c>
      <c r="G154">
        <v>2.0812524626020001E-4</v>
      </c>
      <c r="H154">
        <v>8.9196534112545578E-5</v>
      </c>
      <c r="I154">
        <v>1.189287121476E-4</v>
      </c>
      <c r="J154">
        <v>0</v>
      </c>
      <c r="K154">
        <v>5.5552794872685399E-2</v>
      </c>
      <c r="L154">
        <v>6.7703036362789903E-2</v>
      </c>
      <c r="M154">
        <v>6.6037322652423569E-6</v>
      </c>
      <c r="N154">
        <v>8.0480689891304635E-6</v>
      </c>
      <c r="O154">
        <v>5.5546191140420399E-2</v>
      </c>
      <c r="P154">
        <v>6.7694988293798206E-2</v>
      </c>
      <c r="Q154">
        <v>0</v>
      </c>
      <c r="R154">
        <v>0</v>
      </c>
      <c r="S154">
        <v>1.392353188434114E-5</v>
      </c>
      <c r="T154">
        <v>1.6968820157892139E-5</v>
      </c>
      <c r="U154">
        <v>5.9672279504319192E-6</v>
      </c>
      <c r="V154">
        <v>7.2723514963346503E-6</v>
      </c>
      <c r="W154">
        <v>7.9563039337982033E-6</v>
      </c>
      <c r="X154">
        <v>9.6964686615574874E-6</v>
      </c>
      <c r="Y154">
        <v>0</v>
      </c>
      <c r="Z154">
        <v>0</v>
      </c>
      <c r="AA154">
        <v>1226.51571721458</v>
      </c>
      <c r="AB154">
        <v>1494.77336635199</v>
      </c>
      <c r="AC154">
        <f t="shared" si="20"/>
        <v>0.9997494267740844</v>
      </c>
      <c r="AD154">
        <f t="shared" si="21"/>
        <v>0.99963058347265132</v>
      </c>
      <c r="AE154">
        <f t="shared" si="22"/>
        <v>0.99988112691215392</v>
      </c>
      <c r="AF154">
        <f t="shared" si="23"/>
        <v>1.1884330143514446E-4</v>
      </c>
      <c r="AG154">
        <f t="shared" si="24"/>
        <v>1.1887308784824114E-4</v>
      </c>
      <c r="AH154">
        <f t="shared" si="25"/>
        <v>2.5057322591559821E-4</v>
      </c>
      <c r="AI154">
        <f t="shared" si="26"/>
        <v>0.4285714285763837</v>
      </c>
      <c r="AJ154">
        <f t="shared" si="27"/>
        <v>0.57142857142335479</v>
      </c>
      <c r="AK154">
        <f t="shared" si="28"/>
        <v>6.7720005182942344E-4</v>
      </c>
      <c r="AL154">
        <f t="shared" si="29"/>
        <v>5.5566718404569614E-4</v>
      </c>
    </row>
    <row r="155" spans="1:38" x14ac:dyDescent="0.35">
      <c r="A155" t="s">
        <v>29</v>
      </c>
      <c r="B155" t="s">
        <v>70</v>
      </c>
      <c r="C155">
        <v>0.50948049435228882</v>
      </c>
      <c r="D155">
        <v>8.3203043236338203E-2</v>
      </c>
      <c r="E155">
        <v>0.42627745111596482</v>
      </c>
      <c r="F155">
        <v>0.13419845683279871</v>
      </c>
      <c r="G155">
        <v>0.1398821561810166</v>
      </c>
      <c r="H155">
        <v>8.2097879474187004E-3</v>
      </c>
      <c r="I155">
        <v>0.13167236823359471</v>
      </c>
      <c r="J155">
        <v>0</v>
      </c>
      <c r="K155">
        <v>3.00294097534568E-2</v>
      </c>
      <c r="L155">
        <v>2.9561009374893001E-2</v>
      </c>
      <c r="M155">
        <v>4.9040901580639003E-3</v>
      </c>
      <c r="N155">
        <v>4.8275958910961002E-3</v>
      </c>
      <c r="O155">
        <v>2.5125319595392801E-2</v>
      </c>
      <c r="P155">
        <v>2.4733413483795898E-2</v>
      </c>
      <c r="Q155">
        <v>7.9098228355860001E-3</v>
      </c>
      <c r="R155">
        <v>7.7864449856387997E-3</v>
      </c>
      <c r="S155">
        <v>8.2448270968589008E-3</v>
      </c>
      <c r="T155">
        <v>8.1162238320890007E-3</v>
      </c>
      <c r="U155">
        <v>4.8389504405939998E-4</v>
      </c>
      <c r="V155">
        <v>4.7634722265079999E-4</v>
      </c>
      <c r="W155">
        <v>7.7609320527994999E-3</v>
      </c>
      <c r="X155">
        <v>7.6398766094385E-3</v>
      </c>
      <c r="Y155">
        <v>0</v>
      </c>
      <c r="Z155">
        <v>0</v>
      </c>
      <c r="AA155">
        <v>1723.48815255626</v>
      </c>
      <c r="AB155">
        <v>1696.60508992738</v>
      </c>
      <c r="AC155">
        <f t="shared" si="20"/>
        <v>0.7845854607342525</v>
      </c>
      <c r="AD155">
        <f t="shared" si="21"/>
        <v>0.656455142231962</v>
      </c>
      <c r="AE155">
        <f t="shared" si="22"/>
        <v>0.83669042454294262</v>
      </c>
      <c r="AF155">
        <f t="shared" si="23"/>
        <v>0.12813031850231241</v>
      </c>
      <c r="AG155">
        <f t="shared" si="24"/>
        <v>0.16330957545708524</v>
      </c>
      <c r="AH155">
        <f t="shared" si="25"/>
        <v>0.2154145392657475</v>
      </c>
      <c r="AI155">
        <f t="shared" si="26"/>
        <v>5.8690744920994076E-2</v>
      </c>
      <c r="AJ155">
        <f t="shared" si="27"/>
        <v>0.94130925507898311</v>
      </c>
      <c r="AK155">
        <f t="shared" si="28"/>
        <v>3.7677233206980703E-4</v>
      </c>
      <c r="AL155">
        <f t="shared" si="29"/>
        <v>3.8274236850315013E-4</v>
      </c>
    </row>
    <row r="156" spans="1:38" x14ac:dyDescent="0.35">
      <c r="A156" t="s">
        <v>30</v>
      </c>
      <c r="B156" t="s">
        <v>70</v>
      </c>
      <c r="C156">
        <v>0.52520956131547791</v>
      </c>
      <c r="D156">
        <v>1.1950101937878339</v>
      </c>
      <c r="E156">
        <v>-0.66980063247234511</v>
      </c>
      <c r="F156">
        <v>16.714601477146751</v>
      </c>
      <c r="G156">
        <v>1.0730574657911229</v>
      </c>
      <c r="H156">
        <v>6.3387360848420102E-2</v>
      </c>
      <c r="I156">
        <v>1.0096701049426999</v>
      </c>
      <c r="J156">
        <v>0</v>
      </c>
      <c r="K156">
        <v>2.0070584506226102E-2</v>
      </c>
      <c r="L156">
        <v>1.8066503485737601E-2</v>
      </c>
      <c r="M156">
        <v>4.5666634514698198E-2</v>
      </c>
      <c r="N156">
        <v>4.1106745614994999E-2</v>
      </c>
      <c r="O156">
        <v>-2.5596050008472201E-2</v>
      </c>
      <c r="P156">
        <v>-2.3040242129257898E-2</v>
      </c>
      <c r="Q156">
        <v>0.63873898372051396</v>
      </c>
      <c r="R156">
        <v>0.57495984096942188</v>
      </c>
      <c r="S156">
        <v>4.1006280413581501E-2</v>
      </c>
      <c r="T156">
        <v>3.6911735569995899E-2</v>
      </c>
      <c r="U156">
        <v>2.4223119231650998E-3</v>
      </c>
      <c r="V156">
        <v>2.1804400758647E-3</v>
      </c>
      <c r="W156">
        <v>3.8583968490415899E-2</v>
      </c>
      <c r="X156">
        <v>3.4731295494131197E-2</v>
      </c>
      <c r="Y156">
        <v>0</v>
      </c>
      <c r="Z156">
        <v>0</v>
      </c>
      <c r="AA156">
        <v>2907.0902498102801</v>
      </c>
      <c r="AB156">
        <v>2616.8124857180101</v>
      </c>
      <c r="AC156">
        <f t="shared" si="20"/>
        <v>0.32861189801699364</v>
      </c>
      <c r="AD156">
        <f t="shared" si="21"/>
        <v>-0.41907930346589756</v>
      </c>
      <c r="AE156">
        <f t="shared" si="22"/>
        <v>-1.2753016734781331</v>
      </c>
      <c r="AF156">
        <f t="shared" si="23"/>
        <v>0.74769120148289803</v>
      </c>
      <c r="AG156">
        <f t="shared" si="24"/>
        <v>2.2753016734781539</v>
      </c>
      <c r="AH156">
        <f t="shared" si="25"/>
        <v>0.67138810198300636</v>
      </c>
      <c r="AI156">
        <f t="shared" si="26"/>
        <v>5.907172995780529E-2</v>
      </c>
      <c r="AJ156">
        <f t="shared" si="27"/>
        <v>0.94092827004219204</v>
      </c>
      <c r="AK156">
        <f t="shared" si="28"/>
        <v>5.4978239055732982E-4</v>
      </c>
      <c r="AL156">
        <f t="shared" si="29"/>
        <v>6.1076864919805776E-4</v>
      </c>
    </row>
    <row r="157" spans="1:38" x14ac:dyDescent="0.35">
      <c r="A157" t="s">
        <v>31</v>
      </c>
      <c r="B157" t="s">
        <v>70</v>
      </c>
      <c r="C157">
        <v>1.107769591968633</v>
      </c>
      <c r="D157">
        <v>0.1207378301873092</v>
      </c>
      <c r="E157">
        <v>0.9870317617812816</v>
      </c>
      <c r="F157">
        <v>0</v>
      </c>
      <c r="G157">
        <v>2.795986302562369</v>
      </c>
      <c r="H157">
        <v>0.30184457546828009</v>
      </c>
      <c r="I157">
        <v>2.494141727094302</v>
      </c>
      <c r="J157">
        <v>0</v>
      </c>
      <c r="K157">
        <v>3.0794324993863101E-2</v>
      </c>
      <c r="L157">
        <v>2.6617657271588099E-2</v>
      </c>
      <c r="M157">
        <v>3.3563296996037E-3</v>
      </c>
      <c r="N157">
        <v>2.9011070595734E-3</v>
      </c>
      <c r="O157">
        <v>2.7437995294260199E-2</v>
      </c>
      <c r="P157">
        <v>2.3716550212014902E-2</v>
      </c>
      <c r="Q157">
        <v>0</v>
      </c>
      <c r="R157">
        <v>0</v>
      </c>
      <c r="S157">
        <v>7.7724205018569095E-2</v>
      </c>
      <c r="T157">
        <v>6.7182386732074606E-2</v>
      </c>
      <c r="U157">
        <v>8.3908242490089002E-3</v>
      </c>
      <c r="V157">
        <v>7.2527676489335001E-3</v>
      </c>
      <c r="W157">
        <v>6.9333380769560193E-2</v>
      </c>
      <c r="X157">
        <v>5.9929619083138798E-2</v>
      </c>
      <c r="Y157">
        <v>0</v>
      </c>
      <c r="Z157">
        <v>0</v>
      </c>
      <c r="AA157">
        <v>4161.7847155581303</v>
      </c>
      <c r="AB157">
        <v>3597.3173374942398</v>
      </c>
      <c r="AC157">
        <f t="shared" si="20"/>
        <v>0.28377020026292415</v>
      </c>
      <c r="AD157">
        <f t="shared" si="21"/>
        <v>0.25284156808167019</v>
      </c>
      <c r="AE157">
        <f t="shared" si="22"/>
        <v>0.89100817438688984</v>
      </c>
      <c r="AF157">
        <f t="shared" si="23"/>
        <v>3.0928632181243153E-2</v>
      </c>
      <c r="AG157">
        <f t="shared" si="24"/>
        <v>0.10899182561307202</v>
      </c>
      <c r="AH157">
        <f t="shared" si="25"/>
        <v>0.7162297997370759</v>
      </c>
      <c r="AI157">
        <f t="shared" si="26"/>
        <v>0.10795638562022138</v>
      </c>
      <c r="AJ157">
        <f t="shared" si="27"/>
        <v>0.8920436143798548</v>
      </c>
      <c r="AK157">
        <f t="shared" si="28"/>
        <v>9.3800044003657112E-4</v>
      </c>
      <c r="AL157">
        <f t="shared" si="29"/>
        <v>1.0851853001242909E-3</v>
      </c>
    </row>
    <row r="158" spans="1:38" x14ac:dyDescent="0.35">
      <c r="A158" t="s">
        <v>32</v>
      </c>
      <c r="B158" t="s">
        <v>70</v>
      </c>
      <c r="C158">
        <v>32.293957986448447</v>
      </c>
      <c r="D158">
        <v>0.59931616434672996</v>
      </c>
      <c r="E158">
        <v>31.694641822101719</v>
      </c>
      <c r="F158">
        <v>2.1129120282806099E-2</v>
      </c>
      <c r="G158">
        <v>1.757490040666426</v>
      </c>
      <c r="H158">
        <v>9.8099487027312002E-3</v>
      </c>
      <c r="I158">
        <v>1.747680091963616</v>
      </c>
      <c r="J158">
        <v>0</v>
      </c>
      <c r="K158">
        <v>1.6835925105330429</v>
      </c>
      <c r="L158">
        <v>1.381465248595533</v>
      </c>
      <c r="M158">
        <v>3.12443648486493E-2</v>
      </c>
      <c r="N158">
        <v>2.5637441354014301E-2</v>
      </c>
      <c r="O158">
        <v>1.652348145684394</v>
      </c>
      <c r="P158">
        <v>1.3558278072415191</v>
      </c>
      <c r="Q158">
        <v>1.1015320165218001E-3</v>
      </c>
      <c r="R158">
        <v>9.0385778715449999E-4</v>
      </c>
      <c r="S158">
        <v>9.1623859517120806E-2</v>
      </c>
      <c r="T158">
        <v>7.5181599510106098E-2</v>
      </c>
      <c r="U158">
        <v>5.1142557909939997E-4</v>
      </c>
      <c r="V158">
        <v>4.1964825832170003E-4</v>
      </c>
      <c r="W158">
        <v>9.1112433938022194E-2</v>
      </c>
      <c r="X158">
        <v>7.4761951251783601E-2</v>
      </c>
      <c r="Y158">
        <v>0</v>
      </c>
      <c r="Z158">
        <v>0</v>
      </c>
      <c r="AA158">
        <v>2337.6598158571201</v>
      </c>
      <c r="AB158">
        <v>1918.15761738117</v>
      </c>
      <c r="AC158">
        <f t="shared" si="20"/>
        <v>0.94838721574286788</v>
      </c>
      <c r="AD158">
        <f t="shared" si="21"/>
        <v>0.93078690212714454</v>
      </c>
      <c r="AE158">
        <f t="shared" si="22"/>
        <v>0.98144184851549565</v>
      </c>
      <c r="AF158">
        <f t="shared" si="23"/>
        <v>1.7600313615723468E-2</v>
      </c>
      <c r="AG158">
        <f t="shared" si="24"/>
        <v>1.8558151484504369E-2</v>
      </c>
      <c r="AH158">
        <f t="shared" si="25"/>
        <v>5.1612784257132088E-2</v>
      </c>
      <c r="AI158">
        <f t="shared" si="26"/>
        <v>5.5817947616996723E-3</v>
      </c>
      <c r="AJ158">
        <f t="shared" si="27"/>
        <v>0.99441820523825541</v>
      </c>
      <c r="AK158">
        <f t="shared" si="28"/>
        <v>1.4566468481056411E-2</v>
      </c>
      <c r="AL158">
        <f t="shared" si="29"/>
        <v>1.775216370050172E-2</v>
      </c>
    </row>
    <row r="159" spans="1:38" x14ac:dyDescent="0.35">
      <c r="A159" t="s">
        <v>33</v>
      </c>
      <c r="B159" t="s">
        <v>70</v>
      </c>
      <c r="C159">
        <v>18.41942346889493</v>
      </c>
      <c r="D159">
        <v>7.1761873683442404E-2</v>
      </c>
      <c r="E159">
        <v>18.347661595211431</v>
      </c>
      <c r="F159">
        <v>0.1943550745593256</v>
      </c>
      <c r="G159">
        <v>0.117360564253147</v>
      </c>
      <c r="H159">
        <v>0</v>
      </c>
      <c r="I159">
        <v>0.117360564253147</v>
      </c>
      <c r="J159">
        <v>1.0233542195064731</v>
      </c>
      <c r="K159">
        <v>0.40355130277511719</v>
      </c>
      <c r="L159">
        <v>0.34591426539947001</v>
      </c>
      <c r="M159">
        <v>1.5722314904937E-3</v>
      </c>
      <c r="N159">
        <v>1.3476782191809999E-3</v>
      </c>
      <c r="O159">
        <v>0.40197907128462518</v>
      </c>
      <c r="P159">
        <v>0.34456658718028871</v>
      </c>
      <c r="Q159">
        <v>4.2581269534211997E-3</v>
      </c>
      <c r="R159">
        <v>3.6499618436155999E-3</v>
      </c>
      <c r="S159">
        <v>2.5712535834125001E-3</v>
      </c>
      <c r="T159">
        <v>2.2040154209519002E-3</v>
      </c>
      <c r="U159">
        <v>0</v>
      </c>
      <c r="V159">
        <v>0</v>
      </c>
      <c r="W159">
        <v>2.5712535834125001E-3</v>
      </c>
      <c r="X159">
        <v>2.2040154209519002E-3</v>
      </c>
      <c r="Y159">
        <v>2.24206761508902E-2</v>
      </c>
      <c r="Z159">
        <v>1.9218452938108699E-2</v>
      </c>
      <c r="AA159">
        <v>5324.8522282316499</v>
      </c>
      <c r="AB159">
        <v>4564.3325500944502</v>
      </c>
      <c r="AC159">
        <f t="shared" si="20"/>
        <v>0.99366877425753686</v>
      </c>
      <c r="AD159">
        <f t="shared" si="21"/>
        <v>0.98979745151055054</v>
      </c>
      <c r="AE159">
        <f t="shared" si="22"/>
        <v>0.99610401086631817</v>
      </c>
      <c r="AF159">
        <f t="shared" si="23"/>
        <v>3.8713227469832686E-3</v>
      </c>
      <c r="AG159">
        <f t="shared" si="24"/>
        <v>3.8959891336787724E-3</v>
      </c>
      <c r="AH159">
        <f t="shared" si="25"/>
        <v>6.3312257424631502E-3</v>
      </c>
      <c r="AI159">
        <f t="shared" si="26"/>
        <v>0</v>
      </c>
      <c r="AJ159">
        <f t="shared" si="27"/>
        <v>1</v>
      </c>
      <c r="AK159">
        <f t="shared" si="28"/>
        <v>3.4811828082042433E-3</v>
      </c>
      <c r="AL159">
        <f t="shared" si="29"/>
        <v>4.0612255635853033E-3</v>
      </c>
    </row>
    <row r="160" spans="1:38" x14ac:dyDescent="0.35">
      <c r="A160" t="s">
        <v>34</v>
      </c>
      <c r="B160" t="s">
        <v>70</v>
      </c>
      <c r="C160">
        <v>17.39332324339199</v>
      </c>
      <c r="D160">
        <v>4.1605968119116481</v>
      </c>
      <c r="E160">
        <v>13.232726431480341</v>
      </c>
      <c r="F160">
        <v>11.662486029476231</v>
      </c>
      <c r="G160">
        <v>0.1127275420472031</v>
      </c>
      <c r="H160">
        <v>0</v>
      </c>
      <c r="I160">
        <v>0.1127275420472031</v>
      </c>
      <c r="J160">
        <v>0.1987439034682694</v>
      </c>
      <c r="K160">
        <v>1.061768184786114</v>
      </c>
      <c r="L160">
        <v>0.80653856176878946</v>
      </c>
      <c r="M160">
        <v>0.2539819022962525</v>
      </c>
      <c r="N160">
        <v>0.1929293052179612</v>
      </c>
      <c r="O160">
        <v>0.8077862824898614</v>
      </c>
      <c r="P160">
        <v>0.61360925655082843</v>
      </c>
      <c r="Q160">
        <v>0.71193161009727324</v>
      </c>
      <c r="R160">
        <v>0.5407962916135618</v>
      </c>
      <c r="S160">
        <v>6.8814059291586E-3</v>
      </c>
      <c r="T160">
        <v>5.2272419917809001E-3</v>
      </c>
      <c r="U160">
        <v>0</v>
      </c>
      <c r="V160">
        <v>0</v>
      </c>
      <c r="W160">
        <v>6.8814059291586E-3</v>
      </c>
      <c r="X160">
        <v>5.2272419917809001E-3</v>
      </c>
      <c r="Y160">
        <v>1.21322389442157E-2</v>
      </c>
      <c r="Z160">
        <v>9.2158709305030003E-3</v>
      </c>
      <c r="AA160">
        <v>2156.5395714307001</v>
      </c>
      <c r="AB160">
        <v>1638.14696019506</v>
      </c>
      <c r="AC160">
        <f t="shared" si="20"/>
        <v>0.99356065263211935</v>
      </c>
      <c r="AD160">
        <f t="shared" si="21"/>
        <v>0.75589443865242145</v>
      </c>
      <c r="AE160">
        <f t="shared" si="22"/>
        <v>0.76079345196483206</v>
      </c>
      <c r="AF160">
        <f t="shared" si="23"/>
        <v>0.23766621397969781</v>
      </c>
      <c r="AG160">
        <f t="shared" si="24"/>
        <v>0.23920654803516789</v>
      </c>
      <c r="AH160">
        <f t="shared" si="25"/>
        <v>6.4393473678806641E-3</v>
      </c>
      <c r="AI160">
        <f t="shared" si="26"/>
        <v>0</v>
      </c>
      <c r="AJ160">
        <f t="shared" si="27"/>
        <v>1</v>
      </c>
      <c r="AK160">
        <f t="shared" si="28"/>
        <v>8.1176580376057083E-3</v>
      </c>
      <c r="AL160">
        <f t="shared" si="29"/>
        <v>1.0686495907152729E-2</v>
      </c>
    </row>
    <row r="161" spans="1:38" x14ac:dyDescent="0.35">
      <c r="A161" t="s">
        <v>35</v>
      </c>
      <c r="B161" t="s">
        <v>70</v>
      </c>
      <c r="C161">
        <v>44.535014678177703</v>
      </c>
      <c r="D161">
        <v>11.083715197058419</v>
      </c>
      <c r="E161">
        <v>33.451299481119278</v>
      </c>
      <c r="F161">
        <v>-0.56330455967290338</v>
      </c>
      <c r="G161">
        <v>0.4565067174930561</v>
      </c>
      <c r="H161">
        <v>1.9287868372448E-3</v>
      </c>
      <c r="I161">
        <v>0.45457793065583019</v>
      </c>
      <c r="J161">
        <v>3.01844575468663E-2</v>
      </c>
      <c r="K161">
        <v>3.363878895081938</v>
      </c>
      <c r="L161">
        <v>2.478949519604047</v>
      </c>
      <c r="M161">
        <v>0.83719015026513932</v>
      </c>
      <c r="N161">
        <v>0.61695209178047894</v>
      </c>
      <c r="O161">
        <v>2.5266887448167989</v>
      </c>
      <c r="P161">
        <v>1.8619974278235689</v>
      </c>
      <c r="Q161">
        <v>-4.2548281020677502E-2</v>
      </c>
      <c r="R161">
        <v>-3.1355183728639303E-2</v>
      </c>
      <c r="S161">
        <v>3.4481482122211901E-2</v>
      </c>
      <c r="T161">
        <v>2.5410502639399299E-2</v>
      </c>
      <c r="U161">
        <v>1.456877331646E-4</v>
      </c>
      <c r="V161">
        <v>1.07361931688E-4</v>
      </c>
      <c r="W161">
        <v>3.4335794389047401E-2</v>
      </c>
      <c r="X161">
        <v>2.5303140707711301E-2</v>
      </c>
      <c r="Y161">
        <v>2.2799332263643999E-3</v>
      </c>
      <c r="Z161">
        <v>1.6801554254787E-3</v>
      </c>
      <c r="AA161">
        <v>1796.5276955414199</v>
      </c>
      <c r="AB161">
        <v>1323.9184901480501</v>
      </c>
      <c r="AC161">
        <f t="shared" si="20"/>
        <v>0.98985349454004057</v>
      </c>
      <c r="AD161">
        <f t="shared" si="21"/>
        <v>0.74350229650909472</v>
      </c>
      <c r="AE161">
        <f t="shared" si="22"/>
        <v>0.75112357597381729</v>
      </c>
      <c r="AF161">
        <f t="shared" si="23"/>
        <v>0.24635119803094574</v>
      </c>
      <c r="AG161">
        <f t="shared" si="24"/>
        <v>0.24887642402618257</v>
      </c>
      <c r="AH161">
        <f t="shared" si="25"/>
        <v>1.0146505459959458E-2</v>
      </c>
      <c r="AI161">
        <f t="shared" si="26"/>
        <v>4.2251006684784192E-3</v>
      </c>
      <c r="AJ161">
        <f t="shared" si="27"/>
        <v>0.99577489933156293</v>
      </c>
      <c r="AK161">
        <f t="shared" si="28"/>
        <v>2.5043600222434452E-2</v>
      </c>
      <c r="AL161">
        <f t="shared" si="29"/>
        <v>3.3983603772041501E-2</v>
      </c>
    </row>
    <row r="162" spans="1:38" x14ac:dyDescent="0.35">
      <c r="A162" t="s">
        <v>36</v>
      </c>
      <c r="B162" t="s">
        <v>70</v>
      </c>
      <c r="C162">
        <v>-0.48813945339185238</v>
      </c>
      <c r="D162">
        <v>59.277619120647593</v>
      </c>
      <c r="E162">
        <v>-59.76575857403941</v>
      </c>
      <c r="F162">
        <v>5.1480457660034098</v>
      </c>
      <c r="G162">
        <v>0.78789688487375997</v>
      </c>
      <c r="H162">
        <v>2.3105480494830999E-3</v>
      </c>
      <c r="I162">
        <v>0.78558633682428081</v>
      </c>
      <c r="J162">
        <v>0</v>
      </c>
      <c r="K162">
        <v>-1.5460229405817901E-2</v>
      </c>
      <c r="L162">
        <v>-1.6592161406265401E-2</v>
      </c>
      <c r="M162">
        <v>1.8774257722216121</v>
      </c>
      <c r="N162">
        <v>2.014882872905865</v>
      </c>
      <c r="O162">
        <v>-1.89288600162743</v>
      </c>
      <c r="P162">
        <v>-2.0314750343121291</v>
      </c>
      <c r="Q162">
        <v>0.16304760449301869</v>
      </c>
      <c r="R162">
        <v>0.17498525407615101</v>
      </c>
      <c r="S162">
        <v>2.49540710213818E-2</v>
      </c>
      <c r="T162">
        <v>2.6781101577593999E-2</v>
      </c>
      <c r="U162">
        <v>7.3179093904349179E-5</v>
      </c>
      <c r="V162">
        <v>7.8536954773000822E-5</v>
      </c>
      <c r="W162">
        <v>2.4880891927477201E-2</v>
      </c>
      <c r="X162">
        <v>2.6702564622819801E-2</v>
      </c>
      <c r="Y162">
        <v>0</v>
      </c>
      <c r="Z162">
        <v>0</v>
      </c>
      <c r="AA162">
        <v>2941.9883367789698</v>
      </c>
      <c r="AB162">
        <v>3157.38816403392</v>
      </c>
      <c r="AC162">
        <f t="shared" si="20"/>
        <v>-1.628448212204924</v>
      </c>
      <c r="AD162">
        <f t="shared" si="21"/>
        <v>-199.38040661269372</v>
      </c>
      <c r="AE162">
        <f t="shared" si="22"/>
        <v>122.43582885742005</v>
      </c>
      <c r="AF162">
        <f t="shared" si="23"/>
        <v>197.75195840048892</v>
      </c>
      <c r="AG162">
        <f t="shared" si="24"/>
        <v>-121.43582885742012</v>
      </c>
      <c r="AH162">
        <f t="shared" si="25"/>
        <v>2.628448212204924</v>
      </c>
      <c r="AI162">
        <f t="shared" si="26"/>
        <v>2.9325513196480084E-3</v>
      </c>
      <c r="AJ162">
        <f t="shared" si="27"/>
        <v>0.99706744868035702</v>
      </c>
      <c r="AK162">
        <f t="shared" si="28"/>
        <v>1.0188940171329722E-4</v>
      </c>
      <c r="AL162">
        <f t="shared" si="29"/>
        <v>9.4938416155628327E-5</v>
      </c>
    </row>
    <row r="163" spans="1:38" x14ac:dyDescent="0.35">
      <c r="A163" t="s">
        <v>37</v>
      </c>
      <c r="B163" t="s">
        <v>70</v>
      </c>
      <c r="C163">
        <v>1824.7279999999989</v>
      </c>
      <c r="D163">
        <v>206.6</v>
      </c>
      <c r="E163">
        <v>1618.1279999999999</v>
      </c>
      <c r="F163">
        <v>-1.9999999999999501E-2</v>
      </c>
      <c r="G163">
        <v>0</v>
      </c>
      <c r="H163">
        <v>0</v>
      </c>
      <c r="I163">
        <v>0</v>
      </c>
      <c r="J163">
        <v>0</v>
      </c>
      <c r="K163">
        <v>9.1561557077690807</v>
      </c>
      <c r="L163">
        <v>9.1354183464125889</v>
      </c>
      <c r="M163">
        <v>1.036681504983259</v>
      </c>
      <c r="N163">
        <v>1.0343335721098379</v>
      </c>
      <c r="O163">
        <v>8.1194742027858222</v>
      </c>
      <c r="P163">
        <v>8.1010847743027501</v>
      </c>
      <c r="Q163">
        <v>-1.003563896402E-4</v>
      </c>
      <c r="R163">
        <v>-1.001290970096E-4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19974.2138871676</v>
      </c>
      <c r="AB163">
        <v>19928.975197</v>
      </c>
      <c r="AC163">
        <f t="shared" si="20"/>
        <v>1</v>
      </c>
      <c r="AD163">
        <f t="shared" si="21"/>
        <v>0.88677764576419105</v>
      </c>
      <c r="AE163">
        <f t="shared" si="22"/>
        <v>0.88677764576419105</v>
      </c>
      <c r="AF163">
        <f t="shared" si="23"/>
        <v>0.11322235423580945</v>
      </c>
      <c r="AG163">
        <f t="shared" si="24"/>
        <v>0.11322235423580945</v>
      </c>
      <c r="AH163">
        <f t="shared" si="25"/>
        <v>0</v>
      </c>
      <c r="AI163">
        <v>0</v>
      </c>
      <c r="AJ163">
        <v>0</v>
      </c>
      <c r="AK163">
        <f t="shared" si="28"/>
        <v>9.135418346412584E-2</v>
      </c>
      <c r="AL163">
        <f t="shared" si="29"/>
        <v>9.1561557077690758E-2</v>
      </c>
    </row>
    <row r="164" spans="1:38" x14ac:dyDescent="0.35">
      <c r="A164" t="s">
        <v>38</v>
      </c>
      <c r="B164" t="s">
        <v>70</v>
      </c>
      <c r="C164">
        <v>-0.2000281227447073</v>
      </c>
      <c r="D164">
        <v>2.4564657236113301</v>
      </c>
      <c r="E164">
        <v>-2.656493846356037</v>
      </c>
      <c r="F164">
        <v>-3.6082982241570201E-2</v>
      </c>
      <c r="G164">
        <v>-1.924531518112417</v>
      </c>
      <c r="H164">
        <v>-0.95092364114216943</v>
      </c>
      <c r="I164">
        <v>-0.9736078769702472</v>
      </c>
      <c r="J164">
        <v>1.196059834340673</v>
      </c>
      <c r="K164">
        <v>-1.5637565202903901E-2</v>
      </c>
      <c r="L164">
        <v>-8.3986584095685993E-3</v>
      </c>
      <c r="M164">
        <v>0.19203871133009029</v>
      </c>
      <c r="N164">
        <v>0.1031405795561872</v>
      </c>
      <c r="O164">
        <v>-0.20767627653299431</v>
      </c>
      <c r="P164">
        <v>-0.11153923796575579</v>
      </c>
      <c r="Q164">
        <v>-2.8208532869045998E-3</v>
      </c>
      <c r="R164">
        <v>-1.5150301771928E-3</v>
      </c>
      <c r="S164">
        <v>-0.15045377963145881</v>
      </c>
      <c r="T164">
        <v>-8.0806051655565606E-2</v>
      </c>
      <c r="U164">
        <v>-7.4340198954534004E-2</v>
      </c>
      <c r="V164">
        <v>-3.9926799921675402E-2</v>
      </c>
      <c r="W164">
        <v>-7.6113580676924794E-2</v>
      </c>
      <c r="X164">
        <v>-4.0879251733890197E-2</v>
      </c>
      <c r="Y164">
        <v>9.3504170260837002E-2</v>
      </c>
      <c r="Z164">
        <v>5.0219428389342902E-2</v>
      </c>
      <c r="AA164">
        <v>2381.6675591522499</v>
      </c>
      <c r="AB164">
        <v>1279.1513266244399</v>
      </c>
      <c r="AC164">
        <f t="shared" si="20"/>
        <v>9.4150391873211295E-2</v>
      </c>
      <c r="AD164">
        <f t="shared" si="21"/>
        <v>1.250373863491218</v>
      </c>
      <c r="AE164">
        <f t="shared" si="22"/>
        <v>13.280601796910716</v>
      </c>
      <c r="AF164">
        <f t="shared" si="23"/>
        <v>-1.1562234716180069</v>
      </c>
      <c r="AG164">
        <f t="shared" si="24"/>
        <v>-12.280601796910718</v>
      </c>
      <c r="AH164">
        <f t="shared" si="25"/>
        <v>0.90584960812678872</v>
      </c>
      <c r="AI164">
        <f t="shared" si="26"/>
        <v>0.49410655642305956</v>
      </c>
      <c r="AJ164">
        <f t="shared" si="27"/>
        <v>0.50589344357694022</v>
      </c>
      <c r="AK164">
        <f t="shared" si="28"/>
        <v>-8.9204710065134249E-4</v>
      </c>
      <c r="AL164">
        <f t="shared" si="29"/>
        <v>-1.6609134483436276E-3</v>
      </c>
    </row>
    <row r="165" spans="1:38" x14ac:dyDescent="0.35">
      <c r="A165" t="s">
        <v>39</v>
      </c>
      <c r="B165" t="s">
        <v>70</v>
      </c>
      <c r="C165">
        <v>5.9126558224667001</v>
      </c>
      <c r="D165">
        <v>0.38031964593465961</v>
      </c>
      <c r="E165">
        <v>5.5323361765320396</v>
      </c>
      <c r="F165">
        <v>0.1745815130605112</v>
      </c>
      <c r="G165">
        <v>2.4997121076552422</v>
      </c>
      <c r="H165">
        <v>1.39596790432272E-2</v>
      </c>
      <c r="I165">
        <v>2.4857524286120172</v>
      </c>
      <c r="J165">
        <v>0.92377554356033542</v>
      </c>
      <c r="K165">
        <v>0.59301286414972698</v>
      </c>
      <c r="L165">
        <v>0.25335066681943258</v>
      </c>
      <c r="M165">
        <v>3.8144354973469699E-2</v>
      </c>
      <c r="N165">
        <v>1.62962700341787E-2</v>
      </c>
      <c r="O165">
        <v>0.5548685091762573</v>
      </c>
      <c r="P165">
        <v>0.23705439678525389</v>
      </c>
      <c r="Q165">
        <v>1.75097428627961E-2</v>
      </c>
      <c r="R165">
        <v>7.4806219195374998E-3</v>
      </c>
      <c r="S165">
        <v>0.250709914633922</v>
      </c>
      <c r="T165">
        <v>0.10710985863994631</v>
      </c>
      <c r="U165">
        <v>1.4000932069443001E-3</v>
      </c>
      <c r="V165">
        <v>5.981565814719E-4</v>
      </c>
      <c r="W165">
        <v>0.24930982142697819</v>
      </c>
      <c r="X165">
        <v>0.1065117020584747</v>
      </c>
      <c r="Y165">
        <v>9.2650544419756897E-2</v>
      </c>
      <c r="Z165">
        <v>3.9582745382066901E-2</v>
      </c>
      <c r="AA165">
        <v>2333.7834064911899</v>
      </c>
      <c r="AB165">
        <v>997.05355143423003</v>
      </c>
      <c r="AC165">
        <f t="shared" si="20"/>
        <v>0.70285273677764504</v>
      </c>
      <c r="AD165">
        <f t="shared" si="21"/>
        <v>0.65764315380483429</v>
      </c>
      <c r="AE165">
        <f t="shared" si="22"/>
        <v>0.9356770193709677</v>
      </c>
      <c r="AF165">
        <f t="shared" si="23"/>
        <v>4.5209582972810684E-2</v>
      </c>
      <c r="AG165">
        <f t="shared" si="24"/>
        <v>6.4322980629032134E-2</v>
      </c>
      <c r="AH165">
        <f t="shared" si="25"/>
        <v>0.29714726322235496</v>
      </c>
      <c r="AI165">
        <f t="shared" si="26"/>
        <v>5.5845147129048936E-3</v>
      </c>
      <c r="AJ165">
        <f t="shared" si="27"/>
        <v>0.994415485287096</v>
      </c>
      <c r="AK165">
        <f t="shared" si="28"/>
        <v>3.6046052545937917E-3</v>
      </c>
      <c r="AL165">
        <f t="shared" si="29"/>
        <v>8.4372277878364873E-3</v>
      </c>
    </row>
    <row r="166" spans="1:38" x14ac:dyDescent="0.35">
      <c r="A166" t="s">
        <v>40</v>
      </c>
      <c r="B166" t="s">
        <v>70</v>
      </c>
      <c r="C166">
        <v>13.79197257640293</v>
      </c>
      <c r="D166">
        <v>0.80433050390652472</v>
      </c>
      <c r="E166">
        <v>12.987642072496399</v>
      </c>
      <c r="F166">
        <v>0</v>
      </c>
      <c r="G166">
        <v>2.7166011792179E-2</v>
      </c>
      <c r="H166">
        <v>0</v>
      </c>
      <c r="I166">
        <v>2.7166011792179E-2</v>
      </c>
      <c r="J166">
        <v>0</v>
      </c>
      <c r="K166">
        <v>3.3318004342018028</v>
      </c>
      <c r="L166">
        <v>2.9432345816350129</v>
      </c>
      <c r="M166">
        <v>0.1943064131915819</v>
      </c>
      <c r="N166">
        <v>0.17164574110391839</v>
      </c>
      <c r="O166">
        <v>3.1374940210102209</v>
      </c>
      <c r="P166">
        <v>2.7715888405310931</v>
      </c>
      <c r="Q166">
        <v>0</v>
      </c>
      <c r="R166">
        <v>0</v>
      </c>
      <c r="S166">
        <v>6.5626384756285001E-3</v>
      </c>
      <c r="T166">
        <v>5.7972813467337004E-3</v>
      </c>
      <c r="U166">
        <v>0</v>
      </c>
      <c r="V166">
        <v>0</v>
      </c>
      <c r="W166">
        <v>6.5626384756285001E-3</v>
      </c>
      <c r="X166">
        <v>5.7972813467337004E-3</v>
      </c>
      <c r="Y166">
        <v>0</v>
      </c>
      <c r="Z166">
        <v>0</v>
      </c>
      <c r="AA166">
        <v>468.59916169988998</v>
      </c>
      <c r="AB166">
        <v>413.94954015926999</v>
      </c>
      <c r="AC166">
        <f t="shared" si="20"/>
        <v>0.99803417473391687</v>
      </c>
      <c r="AD166">
        <f t="shared" si="21"/>
        <v>0.93983007620974224</v>
      </c>
      <c r="AE166">
        <f t="shared" si="22"/>
        <v>0.94168125701738403</v>
      </c>
      <c r="AF166">
        <f t="shared" si="23"/>
        <v>5.820409852417413E-2</v>
      </c>
      <c r="AG166">
        <f t="shared" si="24"/>
        <v>5.8318742982615565E-2</v>
      </c>
      <c r="AH166">
        <f t="shared" si="25"/>
        <v>1.9658252660831807E-3</v>
      </c>
      <c r="AI166">
        <f t="shared" si="26"/>
        <v>0</v>
      </c>
      <c r="AJ166">
        <f t="shared" si="27"/>
        <v>1</v>
      </c>
      <c r="AK166">
        <f t="shared" si="28"/>
        <v>2.949031862981746E-2</v>
      </c>
      <c r="AL166">
        <f t="shared" si="29"/>
        <v>3.3383630726774326E-2</v>
      </c>
    </row>
    <row r="167" spans="1:38" x14ac:dyDescent="0.35">
      <c r="A167" t="s">
        <v>41</v>
      </c>
      <c r="B167" t="s">
        <v>70</v>
      </c>
      <c r="C167">
        <v>4.6620195461430924</v>
      </c>
      <c r="D167">
        <v>0.36683396841928578</v>
      </c>
      <c r="E167">
        <v>4.2951855777238066</v>
      </c>
      <c r="F167">
        <v>-0.18660182045620921</v>
      </c>
      <c r="G167">
        <v>0.27410581093383252</v>
      </c>
      <c r="H167">
        <v>0.1171466316901279</v>
      </c>
      <c r="I167">
        <v>0.15695917924369951</v>
      </c>
      <c r="J167">
        <v>0</v>
      </c>
      <c r="K167">
        <v>0.94152252090010602</v>
      </c>
      <c r="L167">
        <v>0.83951649909033765</v>
      </c>
      <c r="M167">
        <v>7.4084297433641699E-2</v>
      </c>
      <c r="N167">
        <v>6.6057888832652595E-2</v>
      </c>
      <c r="O167">
        <v>0.86743822346646393</v>
      </c>
      <c r="P167">
        <v>0.77345861025768503</v>
      </c>
      <c r="Q167">
        <v>-3.7685345301872598E-2</v>
      </c>
      <c r="R167">
        <v>-3.36024560778347E-2</v>
      </c>
      <c r="S167">
        <v>5.5357295598920303E-2</v>
      </c>
      <c r="T167">
        <v>4.9359799652892201E-2</v>
      </c>
      <c r="U167">
        <v>2.3658457647414598E-2</v>
      </c>
      <c r="V167">
        <v>2.1095263360292799E-2</v>
      </c>
      <c r="W167">
        <v>3.1698837951504098E-2</v>
      </c>
      <c r="X167">
        <v>2.8264536292599701E-2</v>
      </c>
      <c r="Y167">
        <v>0</v>
      </c>
      <c r="Z167">
        <v>0</v>
      </c>
      <c r="AA167">
        <v>555.32196820367994</v>
      </c>
      <c r="AB167">
        <v>495.15751802582002</v>
      </c>
      <c r="AC167">
        <f t="shared" si="20"/>
        <v>0.94446943886041168</v>
      </c>
      <c r="AD167">
        <f t="shared" si="21"/>
        <v>0.87015326131573978</v>
      </c>
      <c r="AE167">
        <f t="shared" si="22"/>
        <v>0.92131436498957431</v>
      </c>
      <c r="AF167">
        <f t="shared" si="23"/>
        <v>7.4316177544671916E-2</v>
      </c>
      <c r="AG167">
        <f t="shared" si="24"/>
        <v>7.8685635010425692E-2</v>
      </c>
      <c r="AH167">
        <f t="shared" si="25"/>
        <v>5.553056113958834E-2</v>
      </c>
      <c r="AI167">
        <f t="shared" si="26"/>
        <v>0.42737741053729938</v>
      </c>
      <c r="AJ167">
        <f t="shared" si="27"/>
        <v>0.57262258946268196</v>
      </c>
      <c r="AK167">
        <f t="shared" si="28"/>
        <v>8.8887629874322971E-3</v>
      </c>
      <c r="AL167">
        <f t="shared" si="29"/>
        <v>9.9687981649902568E-3</v>
      </c>
    </row>
    <row r="168" spans="1:38" x14ac:dyDescent="0.35">
      <c r="A168" t="s">
        <v>42</v>
      </c>
      <c r="B168" t="s">
        <v>70</v>
      </c>
      <c r="C168">
        <v>4.84917598108634E-2</v>
      </c>
      <c r="D168">
        <v>1.0609563743112701E-2</v>
      </c>
      <c r="E168">
        <v>3.7882196067750201E-2</v>
      </c>
      <c r="F168">
        <v>5.7826901482730996E-3</v>
      </c>
      <c r="G168">
        <v>0.13779688645334431</v>
      </c>
      <c r="H168">
        <v>1.5930275890549999E-4</v>
      </c>
      <c r="I168">
        <v>0.1376375836944348</v>
      </c>
      <c r="J168">
        <v>0</v>
      </c>
      <c r="K168">
        <v>2.2487331501438598E-2</v>
      </c>
      <c r="L168">
        <v>1.19028596930119E-2</v>
      </c>
      <c r="M168">
        <v>4.9200271944671E-3</v>
      </c>
      <c r="N168">
        <v>2.6042393415065999E-3</v>
      </c>
      <c r="O168">
        <v>1.7567304306971201E-2</v>
      </c>
      <c r="P168">
        <v>9.2986203515055006E-3</v>
      </c>
      <c r="Q168">
        <v>2.6816364438313001E-3</v>
      </c>
      <c r="R168">
        <v>1.4194277491995E-3</v>
      </c>
      <c r="S168">
        <v>6.3901254102311997E-2</v>
      </c>
      <c r="T168">
        <v>3.3823829285333597E-2</v>
      </c>
      <c r="U168">
        <v>7.3874282199206526E-5</v>
      </c>
      <c r="V168">
        <v>3.9102692815415341E-5</v>
      </c>
      <c r="W168">
        <v>6.3827379820114702E-2</v>
      </c>
      <c r="X168">
        <v>3.3784726592518403E-2</v>
      </c>
      <c r="Y168">
        <v>0</v>
      </c>
      <c r="Z168">
        <v>0</v>
      </c>
      <c r="AA168">
        <v>407.39587848230002</v>
      </c>
      <c r="AB168">
        <v>215.64034757863999</v>
      </c>
      <c r="AC168">
        <f t="shared" si="20"/>
        <v>0.26030442962202305</v>
      </c>
      <c r="AD168">
        <f t="shared" si="21"/>
        <v>0.20335214639985624</v>
      </c>
      <c r="AE168">
        <f t="shared" si="22"/>
        <v>0.78120893561102756</v>
      </c>
      <c r="AF168">
        <f t="shared" si="23"/>
        <v>5.6952283222164106E-2</v>
      </c>
      <c r="AG168">
        <f t="shared" si="24"/>
        <v>0.21879106438896215</v>
      </c>
      <c r="AH168">
        <f t="shared" si="25"/>
        <v>0.73969557037797695</v>
      </c>
      <c r="AI168">
        <f t="shared" si="26"/>
        <v>1.1560693641611214E-3</v>
      </c>
      <c r="AJ168">
        <f t="shared" si="27"/>
        <v>0.99884393063580967</v>
      </c>
      <c r="AK168">
        <f t="shared" si="28"/>
        <v>4.5726688978347467E-4</v>
      </c>
      <c r="AL168">
        <f t="shared" si="29"/>
        <v>8.638858560375476E-4</v>
      </c>
    </row>
    <row r="169" spans="1:38" x14ac:dyDescent="0.35">
      <c r="A169" t="s">
        <v>43</v>
      </c>
      <c r="B169" t="s">
        <v>70</v>
      </c>
      <c r="C169">
        <v>11.8328660765875</v>
      </c>
      <c r="D169">
        <v>3.4109288650490001E-4</v>
      </c>
      <c r="E169">
        <v>11.832524983700999</v>
      </c>
      <c r="F169">
        <v>21.994176816096299</v>
      </c>
      <c r="G169">
        <v>33.062446307244088</v>
      </c>
      <c r="H169">
        <v>25.12571084390953</v>
      </c>
      <c r="I169">
        <v>7.9367354633345588</v>
      </c>
      <c r="J169">
        <v>0</v>
      </c>
      <c r="K169">
        <v>3.5576595296319602</v>
      </c>
      <c r="L169">
        <v>3.8040028626403259</v>
      </c>
      <c r="M169">
        <v>1.025526994313E-4</v>
      </c>
      <c r="N169">
        <v>1.096537650551E-4</v>
      </c>
      <c r="O169">
        <v>3.557556976932529</v>
      </c>
      <c r="P169">
        <v>3.8038932088752722</v>
      </c>
      <c r="Q169">
        <v>6.6127506421302549</v>
      </c>
      <c r="R169">
        <v>7.0706379188545974</v>
      </c>
      <c r="S169">
        <v>9.9405272075752222</v>
      </c>
      <c r="T169">
        <v>10.628840010916401</v>
      </c>
      <c r="U169">
        <v>7.5542750204429563</v>
      </c>
      <c r="V169">
        <v>8.0773563528464187</v>
      </c>
      <c r="W169">
        <v>2.3862521871322659</v>
      </c>
      <c r="X169">
        <v>2.55148365806998</v>
      </c>
      <c r="Y169">
        <v>0</v>
      </c>
      <c r="Z169">
        <v>0</v>
      </c>
      <c r="AA169">
        <v>311.06354290107998</v>
      </c>
      <c r="AB169">
        <v>332.60254327404999</v>
      </c>
      <c r="AC169">
        <f t="shared" si="20"/>
        <v>0.26356573656115018</v>
      </c>
      <c r="AD169">
        <f t="shared" si="21"/>
        <v>0.26355813904442987</v>
      </c>
      <c r="AE169">
        <f t="shared" si="22"/>
        <v>0.99997117411079506</v>
      </c>
      <c r="AF169">
        <f t="shared" si="23"/>
        <v>7.5975167204258011E-6</v>
      </c>
      <c r="AG169">
        <f t="shared" si="24"/>
        <v>2.8825889205303027E-5</v>
      </c>
      <c r="AH169">
        <f t="shared" si="25"/>
        <v>0.73643426343884977</v>
      </c>
      <c r="AI169">
        <f t="shared" si="26"/>
        <v>0.75994711977511498</v>
      </c>
      <c r="AJ169">
        <f t="shared" si="27"/>
        <v>0.24005288022488508</v>
      </c>
      <c r="AK169">
        <f t="shared" si="28"/>
        <v>0.14432842873556725</v>
      </c>
      <c r="AL169">
        <f t="shared" si="29"/>
        <v>0.1349818673720718</v>
      </c>
    </row>
    <row r="170" spans="1:38" x14ac:dyDescent="0.35">
      <c r="A170" t="s">
        <v>44</v>
      </c>
      <c r="B170" t="s">
        <v>70</v>
      </c>
      <c r="C170">
        <v>-9.4391081956542694E-2</v>
      </c>
      <c r="D170">
        <v>-3.7900585127936898E-2</v>
      </c>
      <c r="E170">
        <v>-5.6490496828605803E-2</v>
      </c>
      <c r="F170">
        <v>0</v>
      </c>
      <c r="G170">
        <v>0.22987065939187659</v>
      </c>
      <c r="H170">
        <v>0.1682830664882291</v>
      </c>
      <c r="I170">
        <v>6.1587592903647403E-2</v>
      </c>
      <c r="J170">
        <v>0</v>
      </c>
      <c r="K170">
        <v>-0.3509528544069509</v>
      </c>
      <c r="L170">
        <v>-0.20559322227792171</v>
      </c>
      <c r="M170">
        <v>-0.14091711058537271</v>
      </c>
      <c r="N170">
        <v>-8.2551267144693796E-2</v>
      </c>
      <c r="O170">
        <v>-0.210035743821578</v>
      </c>
      <c r="P170">
        <v>-0.1230419551332282</v>
      </c>
      <c r="Q170">
        <v>0</v>
      </c>
      <c r="R170">
        <v>0</v>
      </c>
      <c r="S170">
        <v>0.85467570013795235</v>
      </c>
      <c r="T170">
        <v>0.50068129946094686</v>
      </c>
      <c r="U170">
        <v>0.62568858527958593</v>
      </c>
      <c r="V170">
        <v>0.36653735900658008</v>
      </c>
      <c r="W170">
        <v>0.22898711485836659</v>
      </c>
      <c r="X170">
        <v>0.13414394045436709</v>
      </c>
      <c r="Y170">
        <v>0</v>
      </c>
      <c r="Z170">
        <v>0</v>
      </c>
      <c r="AA170">
        <v>45.911572818750003</v>
      </c>
      <c r="AB170">
        <v>26.895658710639999</v>
      </c>
      <c r="AC170">
        <f t="shared" si="20"/>
        <v>-0.69671816035591594</v>
      </c>
      <c r="AD170">
        <f t="shared" si="21"/>
        <v>-0.4169668808981149</v>
      </c>
      <c r="AE170">
        <f t="shared" si="22"/>
        <v>0.59847281816955777</v>
      </c>
      <c r="AF170">
        <f t="shared" si="23"/>
        <v>-0.27975127945780109</v>
      </c>
      <c r="AG170">
        <f t="shared" si="24"/>
        <v>0.40152718183044228</v>
      </c>
      <c r="AH170">
        <f t="shared" si="25"/>
        <v>1.696718160355916</v>
      </c>
      <c r="AI170">
        <f t="shared" si="26"/>
        <v>0.73207719042274633</v>
      </c>
      <c r="AJ170">
        <f t="shared" si="27"/>
        <v>0.26792280957725328</v>
      </c>
      <c r="AK170">
        <f t="shared" si="28"/>
        <v>2.9508807718302537E-3</v>
      </c>
      <c r="AL170">
        <f t="shared" si="29"/>
        <v>5.0372284573100192E-3</v>
      </c>
    </row>
    <row r="171" spans="1:38" x14ac:dyDescent="0.35">
      <c r="A171" t="s">
        <v>45</v>
      </c>
      <c r="B171" t="s">
        <v>70</v>
      </c>
      <c r="C171">
        <v>-1.0746523869851621</v>
      </c>
      <c r="D171">
        <v>5.5841246461699997E-3</v>
      </c>
      <c r="E171">
        <v>-1.0802365116313331</v>
      </c>
      <c r="F171">
        <v>-2.4409276031545688</v>
      </c>
      <c r="G171">
        <v>-1.6885058372569099</v>
      </c>
      <c r="H171">
        <v>-0.92854648594427636</v>
      </c>
      <c r="I171">
        <v>-0.75995935131263259</v>
      </c>
      <c r="J171">
        <v>3.4268640238179242</v>
      </c>
      <c r="K171">
        <v>-0.42185555433477262</v>
      </c>
      <c r="L171">
        <v>-0.4232209256199333</v>
      </c>
      <c r="M171">
        <v>2.1920520780614999E-3</v>
      </c>
      <c r="N171">
        <v>2.1991468405512002E-3</v>
      </c>
      <c r="O171">
        <v>-0.4240476064128344</v>
      </c>
      <c r="P171">
        <v>-0.4254200724604848</v>
      </c>
      <c r="Q171">
        <v>-0.95818785645523963</v>
      </c>
      <c r="R171">
        <v>-0.96128911273016715</v>
      </c>
      <c r="S171">
        <v>-0.66282416025876145</v>
      </c>
      <c r="T171">
        <v>-0.66496944687696224</v>
      </c>
      <c r="U171">
        <v>-0.3645015795782498</v>
      </c>
      <c r="V171">
        <v>-0.3656813198591064</v>
      </c>
      <c r="W171">
        <v>-0.29832258068051137</v>
      </c>
      <c r="X171">
        <v>-0.29928812701785551</v>
      </c>
      <c r="Y171">
        <v>1.3452178954845251</v>
      </c>
      <c r="Z171">
        <v>1.34957180731028</v>
      </c>
      <c r="AA171">
        <v>253.92231856471</v>
      </c>
      <c r="AB171">
        <v>254.7441596875</v>
      </c>
      <c r="AC171">
        <f t="shared" si="20"/>
        <v>0.38892176986351801</v>
      </c>
      <c r="AD171">
        <f t="shared" si="21"/>
        <v>0.39094269092304318</v>
      </c>
      <c r="AE171">
        <f t="shared" si="22"/>
        <v>1.0051962148075033</v>
      </c>
      <c r="AF171">
        <f t="shared" si="23"/>
        <v>-2.0209210595248171E-3</v>
      </c>
      <c r="AG171">
        <f t="shared" si="24"/>
        <v>-5.1962148075023083E-3</v>
      </c>
      <c r="AH171">
        <f t="shared" si="25"/>
        <v>0.6110782301364821</v>
      </c>
      <c r="AI171">
        <f t="shared" si="26"/>
        <v>0.54992198750864962</v>
      </c>
      <c r="AJ171">
        <f t="shared" si="27"/>
        <v>0.45007801249134982</v>
      </c>
      <c r="AK171">
        <f t="shared" si="28"/>
        <v>-1.0881903724968956E-2</v>
      </c>
      <c r="AL171">
        <f t="shared" si="29"/>
        <v>-1.0846797145935342E-2</v>
      </c>
    </row>
    <row r="172" spans="1:38" x14ac:dyDescent="0.35">
      <c r="A172" t="s">
        <v>46</v>
      </c>
      <c r="B172" t="s">
        <v>70</v>
      </c>
      <c r="C172">
        <v>4.1228112206977841</v>
      </c>
      <c r="D172">
        <v>0.35377522402826478</v>
      </c>
      <c r="E172">
        <v>3.7690359966695191</v>
      </c>
      <c r="F172">
        <v>-0.94678533426107603</v>
      </c>
      <c r="G172">
        <v>-2.0856298438568488</v>
      </c>
      <c r="H172">
        <v>-2.539636087633188</v>
      </c>
      <c r="I172">
        <v>0.45400624377633791</v>
      </c>
      <c r="J172">
        <v>0</v>
      </c>
      <c r="K172">
        <v>2.021947227357126</v>
      </c>
      <c r="L172">
        <v>1.3672303225363169</v>
      </c>
      <c r="M172">
        <v>0.17350171886126969</v>
      </c>
      <c r="N172">
        <v>0.1173209705128478</v>
      </c>
      <c r="O172">
        <v>1.8484455084958551</v>
      </c>
      <c r="P172">
        <v>1.2499093520234701</v>
      </c>
      <c r="Q172">
        <v>-0.4643312242629356</v>
      </c>
      <c r="R172">
        <v>-0.31397838723145272</v>
      </c>
      <c r="S172">
        <v>-1.022853886423132</v>
      </c>
      <c r="T172">
        <v>-0.69164854063464798</v>
      </c>
      <c r="U172">
        <v>-1.2455118294300449</v>
      </c>
      <c r="V172">
        <v>-0.84220869725679992</v>
      </c>
      <c r="W172">
        <v>0.22265794300691311</v>
      </c>
      <c r="X172">
        <v>0.15056015662215219</v>
      </c>
      <c r="Y172">
        <v>0</v>
      </c>
      <c r="Z172">
        <v>0</v>
      </c>
      <c r="AA172">
        <v>301.54474727050001</v>
      </c>
      <c r="AB172">
        <v>203.90300819506001</v>
      </c>
      <c r="AC172">
        <f t="shared" si="20"/>
        <v>2.0237821077527434</v>
      </c>
      <c r="AD172">
        <f t="shared" si="21"/>
        <v>1.8501229392319387</v>
      </c>
      <c r="AE172">
        <f t="shared" si="22"/>
        <v>0.91419077782358693</v>
      </c>
      <c r="AF172">
        <f t="shared" si="23"/>
        <v>0.17365916852080462</v>
      </c>
      <c r="AG172">
        <f t="shared" si="24"/>
        <v>8.5809222176413028E-2</v>
      </c>
      <c r="AH172">
        <f t="shared" si="25"/>
        <v>-1.0237821077527436</v>
      </c>
      <c r="AI172">
        <f t="shared" si="26"/>
        <v>1.2176830395449121</v>
      </c>
      <c r="AJ172">
        <f t="shared" si="27"/>
        <v>-0.21768303954491144</v>
      </c>
      <c r="AK172">
        <f t="shared" si="28"/>
        <v>6.7558178190167129E-3</v>
      </c>
      <c r="AL172">
        <f t="shared" si="29"/>
        <v>9.9909334093399131E-3</v>
      </c>
    </row>
    <row r="173" spans="1:38" x14ac:dyDescent="0.35">
      <c r="A173" t="s">
        <v>47</v>
      </c>
      <c r="B173" t="s">
        <v>70</v>
      </c>
      <c r="C173">
        <v>1.1003161672985491</v>
      </c>
      <c r="D173">
        <v>5.4677508422957703E-2</v>
      </c>
      <c r="E173">
        <v>1.045638658875591</v>
      </c>
      <c r="F173">
        <v>0</v>
      </c>
      <c r="G173">
        <v>-0.58381004119310087</v>
      </c>
      <c r="H173">
        <v>0.1</v>
      </c>
      <c r="I173">
        <v>-0.68381004119310085</v>
      </c>
      <c r="J173">
        <v>0</v>
      </c>
      <c r="K173">
        <v>5.307844556033416</v>
      </c>
      <c r="L173">
        <v>5.7701396314342324</v>
      </c>
      <c r="M173">
        <v>0.26376029367341147</v>
      </c>
      <c r="N173">
        <v>0.28673291157211911</v>
      </c>
      <c r="O173">
        <v>5.0440842623600037</v>
      </c>
      <c r="P173">
        <v>5.4834067198621126</v>
      </c>
      <c r="Q173">
        <v>0</v>
      </c>
      <c r="R173">
        <v>0</v>
      </c>
      <c r="S173">
        <v>-2.81625685507505</v>
      </c>
      <c r="T173">
        <v>-3.0615431782559122</v>
      </c>
      <c r="U173">
        <v>0.48239267165046013</v>
      </c>
      <c r="V173">
        <v>0.52440742060537404</v>
      </c>
      <c r="W173">
        <v>-3.29864952672551</v>
      </c>
      <c r="X173">
        <v>-3.5859505988612859</v>
      </c>
      <c r="Y173">
        <v>0</v>
      </c>
      <c r="Z173">
        <v>0</v>
      </c>
      <c r="AA173">
        <v>19.06914282116</v>
      </c>
      <c r="AB173">
        <v>20.729999827290001</v>
      </c>
      <c r="AC173">
        <f t="shared" si="20"/>
        <v>2.130306131304069</v>
      </c>
      <c r="AD173">
        <f t="shared" si="21"/>
        <v>2.0244458023371381</v>
      </c>
      <c r="AE173">
        <f t="shared" si="22"/>
        <v>0.95030745703100949</v>
      </c>
      <c r="AF173">
        <f t="shared" si="23"/>
        <v>0.10586032896693062</v>
      </c>
      <c r="AG173">
        <f t="shared" si="24"/>
        <v>4.9692542968990151E-2</v>
      </c>
      <c r="AH173">
        <f t="shared" si="25"/>
        <v>-1.1303061313040692</v>
      </c>
      <c r="AI173">
        <f t="shared" si="26"/>
        <v>-0.17128859208319788</v>
      </c>
      <c r="AJ173">
        <f t="shared" si="27"/>
        <v>1.1712885920831979</v>
      </c>
      <c r="AK173">
        <f t="shared" si="28"/>
        <v>2.7085964531783212E-2</v>
      </c>
      <c r="AL173">
        <f t="shared" si="29"/>
        <v>2.4915877009583663E-2</v>
      </c>
    </row>
    <row r="174" spans="1:38" x14ac:dyDescent="0.35">
      <c r="A174" t="s">
        <v>48</v>
      </c>
      <c r="B174" t="s">
        <v>70</v>
      </c>
      <c r="C174">
        <v>14.15911182500178</v>
      </c>
      <c r="D174">
        <v>2.857648023539249</v>
      </c>
      <c r="E174">
        <v>11.30146380146253</v>
      </c>
      <c r="F174">
        <v>-8.6940790584300404E-2</v>
      </c>
      <c r="G174">
        <v>1.6810953910718081</v>
      </c>
      <c r="H174">
        <v>1.768036181656109</v>
      </c>
      <c r="I174">
        <v>-8.6940790584300404E-2</v>
      </c>
      <c r="J174">
        <v>0</v>
      </c>
      <c r="K174">
        <v>3.8116783449826479</v>
      </c>
      <c r="L174">
        <v>3.388232818033738</v>
      </c>
      <c r="M174">
        <v>0.7692880191590441</v>
      </c>
      <c r="N174">
        <v>0.68382656591835456</v>
      </c>
      <c r="O174">
        <v>3.0423903258236029</v>
      </c>
      <c r="P174">
        <v>2.7044062521153842</v>
      </c>
      <c r="Q174">
        <v>-2.3404739849620299E-2</v>
      </c>
      <c r="R174">
        <v>-2.0804669355275002E-2</v>
      </c>
      <c r="S174">
        <v>0.45255627451743341</v>
      </c>
      <c r="T174">
        <v>0.40228106428377952</v>
      </c>
      <c r="U174">
        <v>0.4759610143670539</v>
      </c>
      <c r="V174">
        <v>0.42308573363905427</v>
      </c>
      <c r="W174">
        <v>-2.3404739849620299E-2</v>
      </c>
      <c r="X174">
        <v>-2.0804669355275002E-2</v>
      </c>
      <c r="Y174">
        <v>0</v>
      </c>
      <c r="Z174">
        <v>0</v>
      </c>
      <c r="AA174">
        <v>417.89075855828003</v>
      </c>
      <c r="AB174">
        <v>371.46659669328</v>
      </c>
      <c r="AC174">
        <f t="shared" si="20"/>
        <v>0.89387162881518711</v>
      </c>
      <c r="AD174">
        <f t="shared" si="21"/>
        <v>0.71346691664453454</v>
      </c>
      <c r="AE174">
        <f t="shared" si="22"/>
        <v>0.79817603965149198</v>
      </c>
      <c r="AF174">
        <f t="shared" si="23"/>
        <v>0.18040471217065254</v>
      </c>
      <c r="AG174">
        <f t="shared" si="24"/>
        <v>0.20182396034850791</v>
      </c>
      <c r="AH174">
        <f t="shared" si="25"/>
        <v>0.1061283711848128</v>
      </c>
      <c r="AI174">
        <f t="shared" si="26"/>
        <v>1.0517167503081848</v>
      </c>
      <c r="AJ174">
        <f t="shared" si="27"/>
        <v>-5.1716750308184463E-2</v>
      </c>
      <c r="AK174">
        <f t="shared" si="28"/>
        <v>3.7905138823175186E-2</v>
      </c>
      <c r="AL174">
        <f t="shared" si="29"/>
        <v>4.2642346195000812E-2</v>
      </c>
    </row>
    <row r="175" spans="1:38" x14ac:dyDescent="0.35">
      <c r="A175" t="s">
        <v>49</v>
      </c>
      <c r="B175" t="s">
        <v>70</v>
      </c>
      <c r="C175">
        <v>13.341642509066689</v>
      </c>
      <c r="D175">
        <v>0.55317835395472414</v>
      </c>
      <c r="E175">
        <v>12.788464155111971</v>
      </c>
      <c r="F175">
        <v>1.6084788529556901E-2</v>
      </c>
      <c r="G175">
        <v>7.0403264603798448</v>
      </c>
      <c r="H175">
        <v>2.6177261216507142</v>
      </c>
      <c r="I175">
        <v>4.4226003387291293</v>
      </c>
      <c r="J175">
        <v>0</v>
      </c>
      <c r="K175">
        <v>3.7219307879532999</v>
      </c>
      <c r="L175">
        <v>3.8965451906037001</v>
      </c>
      <c r="M175">
        <v>0.15432069517784169</v>
      </c>
      <c r="N175">
        <v>0.16156065141031381</v>
      </c>
      <c r="O175">
        <v>3.567610092775459</v>
      </c>
      <c r="P175">
        <v>3.7349845391933858</v>
      </c>
      <c r="Q175">
        <v>4.4871888603814003E-3</v>
      </c>
      <c r="R175">
        <v>4.6977053495571002E-3</v>
      </c>
      <c r="S175">
        <v>1.9640466151242331</v>
      </c>
      <c r="T175">
        <v>2.056189872486105</v>
      </c>
      <c r="U175">
        <v>0.73026956313514213</v>
      </c>
      <c r="V175">
        <v>0.76453016356149583</v>
      </c>
      <c r="W175">
        <v>1.23377705198909</v>
      </c>
      <c r="X175">
        <v>1.2916597089246089</v>
      </c>
      <c r="Y175">
        <v>0</v>
      </c>
      <c r="Z175">
        <v>0</v>
      </c>
      <c r="AA175">
        <v>342.39670930134002</v>
      </c>
      <c r="AB175">
        <v>358.46025273358998</v>
      </c>
      <c r="AC175">
        <f t="shared" si="20"/>
        <v>0.65458065062636483</v>
      </c>
      <c r="AD175">
        <f t="shared" si="21"/>
        <v>0.62744007579848837</v>
      </c>
      <c r="AE175">
        <f t="shared" si="22"/>
        <v>0.95853746241673088</v>
      </c>
      <c r="AF175">
        <f t="shared" si="23"/>
        <v>2.7140574827876681E-2</v>
      </c>
      <c r="AG175">
        <f t="shared" si="24"/>
        <v>4.1462537583269538E-2</v>
      </c>
      <c r="AH175">
        <f t="shared" si="25"/>
        <v>0.34541934937363528</v>
      </c>
      <c r="AI175">
        <f t="shared" si="26"/>
        <v>0.37181885476223792</v>
      </c>
      <c r="AJ175">
        <f t="shared" si="27"/>
        <v>0.62818114523776192</v>
      </c>
      <c r="AK175">
        <f t="shared" si="28"/>
        <v>5.9527350630898028E-2</v>
      </c>
      <c r="AL175">
        <f t="shared" si="29"/>
        <v>5.6859774030775308E-2</v>
      </c>
    </row>
    <row r="176" spans="1:38" x14ac:dyDescent="0.35">
      <c r="A176" t="s">
        <v>50</v>
      </c>
      <c r="B176" t="s">
        <v>70</v>
      </c>
      <c r="C176">
        <v>0.29461204530702151</v>
      </c>
      <c r="D176">
        <v>0.44007731725619958</v>
      </c>
      <c r="E176">
        <v>-0.14546527194917841</v>
      </c>
      <c r="F176">
        <v>0</v>
      </c>
      <c r="G176">
        <v>6.66396128648091E-2</v>
      </c>
      <c r="H176">
        <v>6.1972289180490699E-2</v>
      </c>
      <c r="I176">
        <v>4.6673236843184996E-3</v>
      </c>
      <c r="J176">
        <v>0</v>
      </c>
      <c r="K176">
        <v>0.976827878117561</v>
      </c>
      <c r="L176">
        <v>0.53157394248286405</v>
      </c>
      <c r="M176">
        <v>1.459138548035456</v>
      </c>
      <c r="N176">
        <v>0.79403961330696116</v>
      </c>
      <c r="O176">
        <v>-0.48231066991789362</v>
      </c>
      <c r="P176">
        <v>-0.26246567082409727</v>
      </c>
      <c r="Q176">
        <v>0</v>
      </c>
      <c r="R176">
        <v>0</v>
      </c>
      <c r="S176">
        <v>0.22095305562089251</v>
      </c>
      <c r="T176">
        <v>0.12023908153233349</v>
      </c>
      <c r="U176">
        <v>0.2054778842432618</v>
      </c>
      <c r="V176">
        <v>0.1118177433988863</v>
      </c>
      <c r="W176">
        <v>1.5475171377631099E-2</v>
      </c>
      <c r="X176">
        <v>8.4213381334471999E-3</v>
      </c>
      <c r="Y176">
        <v>0</v>
      </c>
      <c r="Z176">
        <v>0</v>
      </c>
      <c r="AA176">
        <v>55.422589739999999</v>
      </c>
      <c r="AB176">
        <v>30.160077523049999</v>
      </c>
      <c r="AC176">
        <f t="shared" si="20"/>
        <v>0.81553133014793877</v>
      </c>
      <c r="AD176">
        <f t="shared" si="21"/>
        <v>-0.40267018478289546</v>
      </c>
      <c r="AE176">
        <f t="shared" si="22"/>
        <v>-0.49375195028969687</v>
      </c>
      <c r="AF176">
        <f t="shared" si="23"/>
        <v>1.2182015149308334</v>
      </c>
      <c r="AG176">
        <f t="shared" si="24"/>
        <v>1.4937519502896957</v>
      </c>
      <c r="AH176">
        <f t="shared" si="25"/>
        <v>0.18446866985206126</v>
      </c>
      <c r="AI176">
        <f t="shared" si="26"/>
        <v>0.92996172271008026</v>
      </c>
      <c r="AJ176">
        <f t="shared" si="27"/>
        <v>7.0038277289921194E-2</v>
      </c>
      <c r="AK176">
        <f t="shared" si="28"/>
        <v>6.5181302401519751E-3</v>
      </c>
      <c r="AL176">
        <f t="shared" si="29"/>
        <v>1.1977809337384564E-2</v>
      </c>
    </row>
    <row r="177" spans="1:38" x14ac:dyDescent="0.35">
      <c r="A177" t="s">
        <v>51</v>
      </c>
      <c r="B177" t="s">
        <v>70</v>
      </c>
      <c r="C177">
        <v>1.019177936447766</v>
      </c>
      <c r="D177">
        <v>0.1612886831869611</v>
      </c>
      <c r="E177">
        <v>0.85788925326080534</v>
      </c>
      <c r="F177">
        <v>-0.99771764002911945</v>
      </c>
      <c r="G177">
        <v>-0.39425692407598317</v>
      </c>
      <c r="H177">
        <v>5.80299956092203E-2</v>
      </c>
      <c r="I177">
        <v>-0.45228691968520368</v>
      </c>
      <c r="J177">
        <v>0</v>
      </c>
      <c r="K177">
        <v>2.1137416878924999</v>
      </c>
      <c r="L177">
        <v>1.0492270289661181</v>
      </c>
      <c r="M177">
        <v>0.33450745080472849</v>
      </c>
      <c r="N177">
        <v>0.16604406337124999</v>
      </c>
      <c r="O177">
        <v>1.779234237087773</v>
      </c>
      <c r="P177">
        <v>0.8831829655948682</v>
      </c>
      <c r="Q177">
        <v>-2.069233735402157</v>
      </c>
      <c r="R177">
        <v>-1.0271340045325741</v>
      </c>
      <c r="S177">
        <v>-0.81767595859095099</v>
      </c>
      <c r="T177">
        <v>-0.40588105992497131</v>
      </c>
      <c r="U177">
        <v>0.1203523118788731</v>
      </c>
      <c r="V177">
        <v>5.9740932085120303E-2</v>
      </c>
      <c r="W177">
        <v>-0.9380282704698244</v>
      </c>
      <c r="X177">
        <v>-0.46562199201009169</v>
      </c>
      <c r="Y177">
        <v>0</v>
      </c>
      <c r="Z177">
        <v>0</v>
      </c>
      <c r="AA177">
        <v>97.136073348400004</v>
      </c>
      <c r="AB177">
        <v>48.216768505140003</v>
      </c>
      <c r="AC177">
        <f t="shared" si="20"/>
        <v>1.6308908106316464</v>
      </c>
      <c r="AD177">
        <f t="shared" si="21"/>
        <v>1.3727962994952445</v>
      </c>
      <c r="AE177">
        <f t="shared" si="22"/>
        <v>0.84174629628549957</v>
      </c>
      <c r="AF177">
        <f t="shared" si="23"/>
        <v>0.25809451113640264</v>
      </c>
      <c r="AG177">
        <f t="shared" si="24"/>
        <v>0.15825370371450082</v>
      </c>
      <c r="AH177">
        <f t="shared" si="25"/>
        <v>-0.63089081063164643</v>
      </c>
      <c r="AI177">
        <f t="shared" si="26"/>
        <v>-0.14718827258449485</v>
      </c>
      <c r="AJ177">
        <f t="shared" si="27"/>
        <v>1.1471882725844953</v>
      </c>
      <c r="AK177">
        <f t="shared" si="28"/>
        <v>6.433459690411464E-3</v>
      </c>
      <c r="AL177">
        <f t="shared" si="29"/>
        <v>1.2960657293015498E-2</v>
      </c>
    </row>
    <row r="178" spans="1:38" x14ac:dyDescent="0.35">
      <c r="A178" t="s">
        <v>52</v>
      </c>
      <c r="B178" t="s">
        <v>70</v>
      </c>
      <c r="C178">
        <v>0.1219761448976264</v>
      </c>
      <c r="D178">
        <v>0.1147318750863785</v>
      </c>
      <c r="E178">
        <v>7.2442698112475E-3</v>
      </c>
      <c r="F178">
        <v>2.4720318780148999E-3</v>
      </c>
      <c r="G178">
        <v>8.7534926885911996E-3</v>
      </c>
      <c r="H178">
        <v>1.2073783018746E-3</v>
      </c>
      <c r="I178">
        <v>7.5461143867164996E-3</v>
      </c>
      <c r="J178">
        <v>-8.6962174143261003E-3</v>
      </c>
      <c r="K178">
        <v>0.18326432395663511</v>
      </c>
      <c r="L178">
        <v>0.18385549971363879</v>
      </c>
      <c r="M178">
        <v>0.17238009564599349</v>
      </c>
      <c r="N178">
        <v>0.17293616095830111</v>
      </c>
      <c r="O178">
        <v>1.08842283106422E-2</v>
      </c>
      <c r="P178">
        <v>1.0919338755337901E-2</v>
      </c>
      <c r="Q178">
        <v>3.7141299333880002E-3</v>
      </c>
      <c r="R178">
        <v>3.7261110081967001E-3</v>
      </c>
      <c r="S178">
        <v>1.3151775875360899E-2</v>
      </c>
      <c r="T178">
        <v>1.31942009960344E-2</v>
      </c>
      <c r="U178">
        <v>1.8140380517739001E-3</v>
      </c>
      <c r="V178">
        <v>1.8198897925563999E-3</v>
      </c>
      <c r="W178">
        <v>1.13377378235863E-2</v>
      </c>
      <c r="X178">
        <v>1.1374311203478E-2</v>
      </c>
      <c r="Y178">
        <v>-1.3065722045519401E-2</v>
      </c>
      <c r="Z178">
        <v>-1.3107869572950501E-2</v>
      </c>
      <c r="AA178">
        <v>66.343484468840003</v>
      </c>
      <c r="AB178">
        <v>66.557495896739994</v>
      </c>
      <c r="AC178">
        <f t="shared" si="20"/>
        <v>0.93304125330556231</v>
      </c>
      <c r="AD178">
        <f t="shared" si="21"/>
        <v>5.5414135195393829E-2</v>
      </c>
      <c r="AE178">
        <f t="shared" si="22"/>
        <v>5.9390873660809314E-2</v>
      </c>
      <c r="AF178">
        <f t="shared" si="23"/>
        <v>0.87762711811016536</v>
      </c>
      <c r="AG178">
        <f t="shared" si="24"/>
        <v>0.94060912633918736</v>
      </c>
      <c r="AH178">
        <f t="shared" si="25"/>
        <v>6.6958746694437812E-2</v>
      </c>
      <c r="AI178">
        <f t="shared" si="26"/>
        <v>0.13793103448275312</v>
      </c>
      <c r="AJ178">
        <f t="shared" si="27"/>
        <v>0.86206896551723544</v>
      </c>
      <c r="AK178">
        <f t="shared" si="28"/>
        <v>1.9704970070967293E-3</v>
      </c>
      <c r="AL178">
        <f t="shared" si="29"/>
        <v>1.9641609983199618E-3</v>
      </c>
    </row>
    <row r="179" spans="1:38" x14ac:dyDescent="0.35">
      <c r="A179" t="s">
        <v>53</v>
      </c>
      <c r="B179" t="s">
        <v>70</v>
      </c>
      <c r="C179">
        <v>0.67809759854404916</v>
      </c>
      <c r="D179">
        <v>8.6285741513915298E-2</v>
      </c>
      <c r="E179">
        <v>0.59181185703013028</v>
      </c>
      <c r="F179">
        <v>3.80324165090506E-2</v>
      </c>
      <c r="G179">
        <v>0.19619897405462439</v>
      </c>
      <c r="H179">
        <v>0</v>
      </c>
      <c r="I179">
        <v>0.19619897405462439</v>
      </c>
      <c r="J179">
        <v>0</v>
      </c>
      <c r="K179">
        <v>8.0701845008350703E-2</v>
      </c>
      <c r="L179">
        <v>7.2722886472287293E-2</v>
      </c>
      <c r="M179">
        <v>1.02690505806802E-2</v>
      </c>
      <c r="N179">
        <v>9.2537537336314004E-3</v>
      </c>
      <c r="O179">
        <v>7.0432794427670503E-2</v>
      </c>
      <c r="P179">
        <v>6.3469132738655606E-2</v>
      </c>
      <c r="Q179">
        <v>4.5263192038970997E-3</v>
      </c>
      <c r="R179">
        <v>4.0788038683411999E-3</v>
      </c>
      <c r="S179">
        <v>2.3350059385181799E-2</v>
      </c>
      <c r="T179">
        <v>2.1041448527157901E-2</v>
      </c>
      <c r="U179">
        <v>0</v>
      </c>
      <c r="V179">
        <v>0</v>
      </c>
      <c r="W179">
        <v>2.3350059385181799E-2</v>
      </c>
      <c r="X179">
        <v>2.1041448527157901E-2</v>
      </c>
      <c r="Y179">
        <v>0</v>
      </c>
      <c r="Z179">
        <v>0</v>
      </c>
      <c r="AA179">
        <v>932.44043441874999</v>
      </c>
      <c r="AB179">
        <v>840.25042856688003</v>
      </c>
      <c r="AC179">
        <f t="shared" si="20"/>
        <v>0.77559219582496841</v>
      </c>
      <c r="AD179">
        <f t="shared" si="21"/>
        <v>0.67690057993832309</v>
      </c>
      <c r="AE179">
        <f t="shared" si="22"/>
        <v>0.87275321178074672</v>
      </c>
      <c r="AF179">
        <f t="shared" si="23"/>
        <v>9.8691615886641312E-2</v>
      </c>
      <c r="AG179">
        <f t="shared" si="24"/>
        <v>0.12724678821924804</v>
      </c>
      <c r="AH179">
        <f t="shared" si="25"/>
        <v>0.22440780417503156</v>
      </c>
      <c r="AI179">
        <f t="shared" si="26"/>
        <v>0</v>
      </c>
      <c r="AJ179">
        <f t="shared" si="27"/>
        <v>1</v>
      </c>
      <c r="AK179">
        <f t="shared" si="28"/>
        <v>9.3764334999444634E-4</v>
      </c>
      <c r="AL179">
        <f t="shared" si="29"/>
        <v>1.0405190439353447E-3</v>
      </c>
    </row>
    <row r="180" spans="1:38" x14ac:dyDescent="0.35">
      <c r="A180" t="s">
        <v>54</v>
      </c>
      <c r="B180" t="s">
        <v>70</v>
      </c>
      <c r="C180">
        <v>0.45804418199202951</v>
      </c>
      <c r="D180">
        <v>8.4225719459962E-3</v>
      </c>
      <c r="E180">
        <v>0.44962161004603018</v>
      </c>
      <c r="F180">
        <v>0</v>
      </c>
      <c r="G180">
        <v>0.14890109120145739</v>
      </c>
      <c r="H180">
        <v>0.1354033797495397</v>
      </c>
      <c r="I180">
        <v>1.34977114519179E-2</v>
      </c>
      <c r="J180">
        <v>0</v>
      </c>
      <c r="K180">
        <v>0.2257052535473604</v>
      </c>
      <c r="L180">
        <v>0.23613713299910441</v>
      </c>
      <c r="M180">
        <v>4.1502955639005001E-3</v>
      </c>
      <c r="N180">
        <v>4.3421182278894997E-3</v>
      </c>
      <c r="O180">
        <v>0.2215549579834572</v>
      </c>
      <c r="P180">
        <v>0.23179501477121531</v>
      </c>
      <c r="Q180">
        <v>0</v>
      </c>
      <c r="R180">
        <v>0</v>
      </c>
      <c r="S180">
        <v>7.3372307441923898E-2</v>
      </c>
      <c r="T180">
        <v>7.6763504830113405E-2</v>
      </c>
      <c r="U180">
        <v>6.6721192756185405E-2</v>
      </c>
      <c r="V180">
        <v>6.9804982029008505E-2</v>
      </c>
      <c r="W180">
        <v>6.6511146857386001E-3</v>
      </c>
      <c r="X180">
        <v>6.958522801105E-3</v>
      </c>
      <c r="Y180">
        <v>0</v>
      </c>
      <c r="Z180">
        <v>0</v>
      </c>
      <c r="AA180">
        <v>193.97380504054999</v>
      </c>
      <c r="AB180">
        <v>202.93908750153</v>
      </c>
      <c r="AC180">
        <f t="shared" si="20"/>
        <v>0.75467130600094567</v>
      </c>
      <c r="AD180">
        <f t="shared" si="21"/>
        <v>0.74079431853931943</v>
      </c>
      <c r="AE180">
        <f t="shared" si="22"/>
        <v>0.9816118787725463</v>
      </c>
      <c r="AF180">
        <f t="shared" si="23"/>
        <v>1.3876987461621082E-2</v>
      </c>
      <c r="AG180">
        <f t="shared" si="24"/>
        <v>1.8388121227446923E-2</v>
      </c>
      <c r="AH180">
        <f t="shared" si="25"/>
        <v>0.24532869399905435</v>
      </c>
      <c r="AI180">
        <f t="shared" si="26"/>
        <v>0.90935115825540991</v>
      </c>
      <c r="AJ180">
        <f t="shared" si="27"/>
        <v>9.0648841744591521E-2</v>
      </c>
      <c r="AK180">
        <f t="shared" si="28"/>
        <v>3.1290063782921911E-3</v>
      </c>
      <c r="AL180">
        <f t="shared" si="29"/>
        <v>2.9907756098928504E-3</v>
      </c>
    </row>
    <row r="181" spans="1:38" x14ac:dyDescent="0.35">
      <c r="A181" t="s">
        <v>55</v>
      </c>
      <c r="B181" t="s">
        <v>70</v>
      </c>
      <c r="C181">
        <v>6.4610800792815198E-2</v>
      </c>
      <c r="D181">
        <v>5.5249140820460996E-3</v>
      </c>
      <c r="E181">
        <v>5.9085886710770197E-2</v>
      </c>
      <c r="F181">
        <v>0</v>
      </c>
      <c r="G181">
        <v>2.4021959889068901E-2</v>
      </c>
      <c r="H181">
        <v>-1.5880197370153198E-2</v>
      </c>
      <c r="I181">
        <v>3.9902157259222103E-2</v>
      </c>
      <c r="J181">
        <v>0</v>
      </c>
      <c r="K181">
        <v>1.57491543608725E-2</v>
      </c>
      <c r="L181">
        <v>1.9552115711977701E-2</v>
      </c>
      <c r="M181">
        <v>1.3467210379842999E-3</v>
      </c>
      <c r="N181">
        <v>1.6719148827343999E-3</v>
      </c>
      <c r="O181">
        <v>1.4402433322887801E-2</v>
      </c>
      <c r="P181">
        <v>1.7880200829243301E-2</v>
      </c>
      <c r="Q181">
        <v>0</v>
      </c>
      <c r="R181">
        <v>0</v>
      </c>
      <c r="S181">
        <v>5.855453727571E-3</v>
      </c>
      <c r="T181">
        <v>7.2693749901916998E-3</v>
      </c>
      <c r="U181">
        <v>-3.8708648800940002E-3</v>
      </c>
      <c r="V181">
        <v>-4.8055658295570996E-3</v>
      </c>
      <c r="W181">
        <v>9.7263186076647998E-3</v>
      </c>
      <c r="X181">
        <v>1.20749408197489E-2</v>
      </c>
      <c r="Y181">
        <v>0</v>
      </c>
      <c r="Z181">
        <v>0</v>
      </c>
      <c r="AA181">
        <v>330.45426768437</v>
      </c>
      <c r="AB181">
        <v>410.24933347112</v>
      </c>
      <c r="AC181">
        <f t="shared" si="20"/>
        <v>0.72897199969560678</v>
      </c>
      <c r="AD181">
        <f t="shared" si="21"/>
        <v>0.66663710185941361</v>
      </c>
      <c r="AE181">
        <f t="shared" si="22"/>
        <v>0.9144893111639103</v>
      </c>
      <c r="AF181">
        <f t="shared" si="23"/>
        <v>6.2334897836205529E-2</v>
      </c>
      <c r="AG181">
        <f t="shared" si="24"/>
        <v>8.5510688836106755E-2</v>
      </c>
      <c r="AH181">
        <f t="shared" si="25"/>
        <v>0.27102800030439328</v>
      </c>
      <c r="AI181">
        <f t="shared" si="26"/>
        <v>-0.6610700144154108</v>
      </c>
      <c r="AJ181">
        <f t="shared" si="27"/>
        <v>1.6610700144154109</v>
      </c>
      <c r="AK181">
        <f t="shared" si="28"/>
        <v>2.6821490702169041E-4</v>
      </c>
      <c r="AL181">
        <f t="shared" si="29"/>
        <v>2.1604608088442759E-4</v>
      </c>
    </row>
    <row r="182" spans="1:38" x14ac:dyDescent="0.35">
      <c r="A182" t="s">
        <v>56</v>
      </c>
      <c r="B182" t="s">
        <v>70</v>
      </c>
      <c r="C182">
        <v>1.7405980237011409</v>
      </c>
      <c r="D182">
        <v>-0.33574397714601328</v>
      </c>
      <c r="E182">
        <v>2.0763420008471538</v>
      </c>
      <c r="F182">
        <v>-7.7368709221479817</v>
      </c>
      <c r="G182">
        <v>-1.6726829942206931</v>
      </c>
      <c r="H182">
        <v>0</v>
      </c>
      <c r="I182">
        <v>-1.6726829942206931</v>
      </c>
      <c r="J182">
        <v>0</v>
      </c>
      <c r="K182">
        <v>0.78277540164496529</v>
      </c>
      <c r="L182">
        <v>0.51011629076668319</v>
      </c>
      <c r="M182">
        <v>-0.1509895581758243</v>
      </c>
      <c r="N182">
        <v>-9.8396338463489302E-2</v>
      </c>
      <c r="O182">
        <v>0.93376495982079</v>
      </c>
      <c r="P182">
        <v>0.60851262923017257</v>
      </c>
      <c r="Q182">
        <v>-3.4793974031303891</v>
      </c>
      <c r="R182">
        <v>-2.2674413294774491</v>
      </c>
      <c r="S182">
        <v>-0.75223290202391802</v>
      </c>
      <c r="T182">
        <v>-0.4902124632004487</v>
      </c>
      <c r="U182">
        <v>0</v>
      </c>
      <c r="V182">
        <v>0</v>
      </c>
      <c r="W182">
        <v>-0.75223290202391802</v>
      </c>
      <c r="X182">
        <v>-0.4902124632004487</v>
      </c>
      <c r="Y182">
        <v>0</v>
      </c>
      <c r="Z182">
        <v>0</v>
      </c>
      <c r="AA182">
        <v>341.21592570296002</v>
      </c>
      <c r="AB182">
        <v>222.36238134761999</v>
      </c>
      <c r="AC182">
        <f t="shared" si="20"/>
        <v>25.629054967902871</v>
      </c>
      <c r="AD182">
        <f t="shared" si="21"/>
        <v>30.57264373926122</v>
      </c>
      <c r="AE182">
        <f t="shared" si="22"/>
        <v>1.1928900139919152</v>
      </c>
      <c r="AF182">
        <f t="shared" si="23"/>
        <v>-4.9435887713583524</v>
      </c>
      <c r="AG182">
        <f t="shared" si="24"/>
        <v>-0.19289001399191535</v>
      </c>
      <c r="AH182">
        <f t="shared" si="25"/>
        <v>-24.629054967902871</v>
      </c>
      <c r="AI182">
        <f t="shared" si="26"/>
        <v>0</v>
      </c>
      <c r="AJ182">
        <f t="shared" si="27"/>
        <v>1</v>
      </c>
      <c r="AK182">
        <f t="shared" si="28"/>
        <v>1.9903827566234447E-4</v>
      </c>
      <c r="AL182">
        <f t="shared" si="29"/>
        <v>3.0542499621046953E-4</v>
      </c>
    </row>
    <row r="183" spans="1:38" x14ac:dyDescent="0.35">
      <c r="A183" t="s">
        <v>57</v>
      </c>
      <c r="B183" t="s">
        <v>70</v>
      </c>
      <c r="C183">
        <v>0.65254641160964377</v>
      </c>
      <c r="D183">
        <v>0.12712771106513479</v>
      </c>
      <c r="E183">
        <v>0.52541870054450879</v>
      </c>
      <c r="F183">
        <v>5.5953016739065997E-2</v>
      </c>
      <c r="G183">
        <v>1.7931727792675801E-2</v>
      </c>
      <c r="H183">
        <v>0</v>
      </c>
      <c r="I183">
        <v>1.7931727792675801E-2</v>
      </c>
      <c r="J183">
        <v>0</v>
      </c>
      <c r="K183">
        <v>0.65589764735081246</v>
      </c>
      <c r="L183">
        <v>0.35911075319053859</v>
      </c>
      <c r="M183">
        <v>0.1277805917207247</v>
      </c>
      <c r="N183">
        <v>6.99611970271619E-2</v>
      </c>
      <c r="O183">
        <v>0.52811705563008715</v>
      </c>
      <c r="P183">
        <v>0.28914955616337679</v>
      </c>
      <c r="Q183">
        <v>5.62403706286684E-2</v>
      </c>
      <c r="R183">
        <v>3.07921852407162E-2</v>
      </c>
      <c r="S183">
        <v>1.8023818479270402E-2</v>
      </c>
      <c r="T183">
        <v>9.8682272388126002E-3</v>
      </c>
      <c r="U183">
        <v>0</v>
      </c>
      <c r="V183">
        <v>0</v>
      </c>
      <c r="W183">
        <v>1.8023818479270402E-2</v>
      </c>
      <c r="X183">
        <v>9.8682272388126002E-3</v>
      </c>
      <c r="Y183">
        <v>0</v>
      </c>
      <c r="Z183">
        <v>0</v>
      </c>
      <c r="AA183">
        <v>181.71174374815001</v>
      </c>
      <c r="AB183">
        <v>99.489061173690004</v>
      </c>
      <c r="AC183">
        <f t="shared" si="20"/>
        <v>0.97325531327738646</v>
      </c>
      <c r="AD183">
        <f t="shared" si="21"/>
        <v>0.78364777263712093</v>
      </c>
      <c r="AE183">
        <f t="shared" si="22"/>
        <v>0.80518211608650547</v>
      </c>
      <c r="AF183">
        <f t="shared" si="23"/>
        <v>0.18960754064026533</v>
      </c>
      <c r="AG183">
        <f t="shared" si="24"/>
        <v>0.19481788391349422</v>
      </c>
      <c r="AH183">
        <f t="shared" si="25"/>
        <v>2.6744686722613473E-2</v>
      </c>
      <c r="AI183">
        <f t="shared" si="26"/>
        <v>0</v>
      </c>
      <c r="AJ183">
        <f t="shared" si="27"/>
        <v>1</v>
      </c>
      <c r="AK183">
        <f t="shared" si="28"/>
        <v>3.6897898042935139E-3</v>
      </c>
      <c r="AL183">
        <f t="shared" si="29"/>
        <v>6.7392146583008291E-3</v>
      </c>
    </row>
    <row r="184" spans="1:38" x14ac:dyDescent="0.35">
      <c r="A184" t="s">
        <v>58</v>
      </c>
      <c r="B184" t="s">
        <v>70</v>
      </c>
      <c r="C184">
        <v>1.0573141337899381</v>
      </c>
      <c r="D184">
        <v>1.2073783018730999E-3</v>
      </c>
      <c r="E184">
        <v>1.056106755488065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2.0970974668715678</v>
      </c>
      <c r="L184">
        <v>1.390519146519885</v>
      </c>
      <c r="M184">
        <v>2.3947376635719999E-3</v>
      </c>
      <c r="N184">
        <v>1.5878749675172E-3</v>
      </c>
      <c r="O184">
        <v>2.0947027292079961</v>
      </c>
      <c r="P184">
        <v>1.3889312715523681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76.037366075549997</v>
      </c>
      <c r="AB184">
        <v>50.417977728389999</v>
      </c>
      <c r="AC184">
        <f t="shared" si="20"/>
        <v>1</v>
      </c>
      <c r="AD184">
        <f t="shared" si="21"/>
        <v>0.99885807040378316</v>
      </c>
      <c r="AE184">
        <f t="shared" si="22"/>
        <v>0.99885807040378316</v>
      </c>
      <c r="AF184">
        <f t="shared" si="23"/>
        <v>1.1419295962168381E-3</v>
      </c>
      <c r="AG184">
        <f t="shared" si="24"/>
        <v>1.1419295962168381E-3</v>
      </c>
      <c r="AH184">
        <f t="shared" si="25"/>
        <v>0</v>
      </c>
      <c r="AI184">
        <v>0</v>
      </c>
      <c r="AJ184">
        <v>0</v>
      </c>
      <c r="AK184">
        <f t="shared" si="28"/>
        <v>1.3905191465198845E-2</v>
      </c>
      <c r="AL184">
        <f t="shared" si="29"/>
        <v>2.0970974668715683E-2</v>
      </c>
    </row>
    <row r="185" spans="1:38" x14ac:dyDescent="0.35">
      <c r="A185" t="s">
        <v>59</v>
      </c>
      <c r="B185" t="s">
        <v>70</v>
      </c>
      <c r="C185">
        <v>0.1497873810746348</v>
      </c>
      <c r="D185">
        <v>4.9594344938770699E-2</v>
      </c>
      <c r="E185">
        <v>0.1001930361358631</v>
      </c>
      <c r="F185">
        <v>0.1127861948433377</v>
      </c>
      <c r="G185">
        <v>8.81079020611963E-2</v>
      </c>
      <c r="H185">
        <v>3.9390999393046997E-3</v>
      </c>
      <c r="I185">
        <v>8.4168802121890707E-2</v>
      </c>
      <c r="J185">
        <v>0</v>
      </c>
      <c r="K185">
        <v>2.72429216534293E-2</v>
      </c>
      <c r="L185">
        <v>2.87497293662566E-2</v>
      </c>
      <c r="M185">
        <v>9.0200846288038001E-3</v>
      </c>
      <c r="N185">
        <v>9.5189860778459E-3</v>
      </c>
      <c r="O185">
        <v>1.8222837024625699E-2</v>
      </c>
      <c r="P185">
        <v>1.9230743288411099E-2</v>
      </c>
      <c r="Q185">
        <v>2.05132464942057E-2</v>
      </c>
      <c r="R185">
        <v>2.1647835450037699E-2</v>
      </c>
      <c r="S185">
        <v>1.6024825694129701E-2</v>
      </c>
      <c r="T185">
        <v>1.6911159812760701E-2</v>
      </c>
      <c r="U185">
        <v>7.164327880066E-4</v>
      </c>
      <c r="V185">
        <v>7.5605873064310005E-4</v>
      </c>
      <c r="W185">
        <v>1.5308392906123699E-2</v>
      </c>
      <c r="X185">
        <v>1.61551010821172E-2</v>
      </c>
      <c r="Y185">
        <v>0</v>
      </c>
      <c r="Z185">
        <v>0</v>
      </c>
      <c r="AA185">
        <v>521.00449074291998</v>
      </c>
      <c r="AB185">
        <v>549.82128194673999</v>
      </c>
      <c r="AC185">
        <f t="shared" si="20"/>
        <v>0.62963577545634097</v>
      </c>
      <c r="AD185">
        <f t="shared" si="21"/>
        <v>0.42116445023693838</v>
      </c>
      <c r="AE185">
        <f t="shared" si="22"/>
        <v>0.66890171533167908</v>
      </c>
      <c r="AF185">
        <f t="shared" si="23"/>
        <v>0.20847132521939837</v>
      </c>
      <c r="AG185">
        <f t="shared" si="24"/>
        <v>0.33109828466831426</v>
      </c>
      <c r="AH185">
        <f t="shared" si="25"/>
        <v>0.37036422454365908</v>
      </c>
      <c r="AI185">
        <f t="shared" si="26"/>
        <v>4.4707680550250248E-2</v>
      </c>
      <c r="AJ185">
        <f t="shared" si="27"/>
        <v>0.95529231944973958</v>
      </c>
      <c r="AK185">
        <f t="shared" si="28"/>
        <v>4.5660889179017865E-4</v>
      </c>
      <c r="AL185">
        <f t="shared" si="29"/>
        <v>4.3267747347560016E-4</v>
      </c>
    </row>
    <row r="186" spans="1:38" x14ac:dyDescent="0.35">
      <c r="A186" t="s">
        <v>60</v>
      </c>
      <c r="B186" t="s">
        <v>70</v>
      </c>
      <c r="C186">
        <v>14.861503111824639</v>
      </c>
      <c r="D186">
        <v>1.550165795496744</v>
      </c>
      <c r="E186">
        <v>13.31133731632789</v>
      </c>
      <c r="F186">
        <v>0</v>
      </c>
      <c r="G186">
        <v>1.759052535380377</v>
      </c>
      <c r="H186">
        <v>0.21456229224262149</v>
      </c>
      <c r="I186">
        <v>1.544490243137751</v>
      </c>
      <c r="J186">
        <v>0</v>
      </c>
      <c r="K186">
        <v>1.989199372387606</v>
      </c>
      <c r="L186">
        <v>2.5154274674357882</v>
      </c>
      <c r="M186">
        <v>0.20748835459620391</v>
      </c>
      <c r="N186">
        <v>0.26237787602853141</v>
      </c>
      <c r="O186">
        <v>1.7817110177914031</v>
      </c>
      <c r="P186">
        <v>2.2530495914072559</v>
      </c>
      <c r="Q186">
        <v>0</v>
      </c>
      <c r="R186">
        <v>0</v>
      </c>
      <c r="S186">
        <v>0.2354476645495831</v>
      </c>
      <c r="T186">
        <v>0.29773361623413219</v>
      </c>
      <c r="U186">
        <v>2.8718977741052101E-2</v>
      </c>
      <c r="V186">
        <v>3.63163725312311E-2</v>
      </c>
      <c r="W186">
        <v>0.2067286868085309</v>
      </c>
      <c r="X186">
        <v>0.2614172437029012</v>
      </c>
      <c r="Y186">
        <v>0</v>
      </c>
      <c r="Z186">
        <v>0</v>
      </c>
      <c r="AA186">
        <v>590.81421763174001</v>
      </c>
      <c r="AB186">
        <v>747.10978286638999</v>
      </c>
      <c r="AC186">
        <f t="shared" si="20"/>
        <v>0.89416403562439339</v>
      </c>
      <c r="AD186">
        <f t="shared" si="21"/>
        <v>0.80089604697219507</v>
      </c>
      <c r="AE186">
        <f t="shared" si="22"/>
        <v>0.8956925296295668</v>
      </c>
      <c r="AF186">
        <f t="shared" si="23"/>
        <v>9.3267988652198069E-2</v>
      </c>
      <c r="AG186">
        <f t="shared" si="24"/>
        <v>0.10430747037043284</v>
      </c>
      <c r="AH186">
        <f t="shared" si="25"/>
        <v>0.10583596437560659</v>
      </c>
      <c r="AI186">
        <f t="shared" si="26"/>
        <v>0.12197605695512932</v>
      </c>
      <c r="AJ186">
        <f t="shared" si="27"/>
        <v>0.87802394304486808</v>
      </c>
      <c r="AK186">
        <f t="shared" si="28"/>
        <v>2.8131610836699197E-2</v>
      </c>
      <c r="AL186">
        <f t="shared" si="29"/>
        <v>2.2246470369371895E-2</v>
      </c>
    </row>
    <row r="187" spans="1:38" x14ac:dyDescent="0.35">
      <c r="A187" t="s">
        <v>61</v>
      </c>
      <c r="B187" t="s">
        <v>70</v>
      </c>
      <c r="C187">
        <v>0</v>
      </c>
      <c r="D187">
        <v>0</v>
      </c>
      <c r="E187">
        <v>0</v>
      </c>
      <c r="F187">
        <v>-2.3244291230590001E-4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-8.8732399514901417E-5</v>
      </c>
      <c r="R187">
        <v>-5.2673663377023061E-5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441.28867711817003</v>
      </c>
      <c r="AB187">
        <v>261.95945739796002</v>
      </c>
      <c r="AC187">
        <v>0</v>
      </c>
      <c r="AD187">
        <v>0</v>
      </c>
      <c r="AE187">
        <v>0</v>
      </c>
      <c r="AF187">
        <v>0</v>
      </c>
      <c r="AG187">
        <v>0</v>
      </c>
      <c r="AH187" t="e">
        <f t="shared" si="25"/>
        <v>#DIV/0!</v>
      </c>
      <c r="AI187">
        <v>0</v>
      </c>
      <c r="AJ187">
        <v>0</v>
      </c>
      <c r="AK187">
        <f t="shared" si="28"/>
        <v>0</v>
      </c>
      <c r="AL187">
        <f t="shared" si="29"/>
        <v>0</v>
      </c>
    </row>
    <row r="188" spans="1:38" x14ac:dyDescent="0.35">
      <c r="A188" t="s">
        <v>62</v>
      </c>
      <c r="B188" t="s">
        <v>70</v>
      </c>
      <c r="C188">
        <v>7.6428054034677104E-2</v>
      </c>
      <c r="D188">
        <v>2.01332522861585E-2</v>
      </c>
      <c r="E188">
        <v>5.6294801748519398E-2</v>
      </c>
      <c r="F188">
        <v>7.4328099406199995E-4</v>
      </c>
      <c r="G188">
        <v>0.1064973008292113</v>
      </c>
      <c r="H188">
        <v>5.8988637891250299E-2</v>
      </c>
      <c r="I188">
        <v>4.7508662937961001E-2</v>
      </c>
      <c r="J188">
        <v>0</v>
      </c>
      <c r="K188">
        <v>2.3779315743929798E-2</v>
      </c>
      <c r="L188">
        <v>1.10690037893568E-2</v>
      </c>
      <c r="M188">
        <v>6.2641260347612998E-3</v>
      </c>
      <c r="N188">
        <v>2.9158801524168999E-3</v>
      </c>
      <c r="O188">
        <v>1.75151897091687E-2</v>
      </c>
      <c r="P188">
        <v>8.1531236369397995E-3</v>
      </c>
      <c r="Q188">
        <v>2.31259498459E-4</v>
      </c>
      <c r="R188">
        <v>1.0764869318919999E-4</v>
      </c>
      <c r="S188">
        <v>3.3134860939218101E-2</v>
      </c>
      <c r="T188">
        <v>1.5423904760153999E-2</v>
      </c>
      <c r="U188">
        <v>1.8353331946459401E-2</v>
      </c>
      <c r="V188">
        <v>8.5432694132310007E-3</v>
      </c>
      <c r="W188">
        <v>1.4781528992759E-2</v>
      </c>
      <c r="X188">
        <v>6.8806353469231998E-3</v>
      </c>
      <c r="Y188">
        <v>0</v>
      </c>
      <c r="Z188">
        <v>0</v>
      </c>
      <c r="AA188">
        <v>690.46912883131995</v>
      </c>
      <c r="AB188">
        <v>321.40560669490998</v>
      </c>
      <c r="AC188">
        <f t="shared" si="20"/>
        <v>0.41781006297101847</v>
      </c>
      <c r="AD188">
        <f t="shared" si="21"/>
        <v>0.30774739669307949</v>
      </c>
      <c r="AE188">
        <f t="shared" si="22"/>
        <v>0.7365724858437086</v>
      </c>
      <c r="AF188">
        <f t="shared" si="23"/>
        <v>0.1100626662779433</v>
      </c>
      <c r="AG188">
        <f t="shared" si="24"/>
        <v>0.26342751415630178</v>
      </c>
      <c r="AH188">
        <f t="shared" si="25"/>
        <v>0.58218993702898159</v>
      </c>
      <c r="AI188">
        <f t="shared" si="26"/>
        <v>0.55389796203238817</v>
      </c>
      <c r="AJ188">
        <f t="shared" si="27"/>
        <v>0.44610203796761183</v>
      </c>
      <c r="AK188">
        <f t="shared" si="28"/>
        <v>2.6492908549511219E-4</v>
      </c>
      <c r="AL188">
        <f t="shared" si="29"/>
        <v>5.6914176683149111E-4</v>
      </c>
    </row>
    <row r="189" spans="1:38" x14ac:dyDescent="0.35">
      <c r="A189" t="s">
        <v>63</v>
      </c>
      <c r="B189" t="s">
        <v>70</v>
      </c>
      <c r="C189">
        <v>8.1321563717489005E-3</v>
      </c>
      <c r="D189">
        <v>4.6165707683641002E-3</v>
      </c>
      <c r="E189">
        <v>3.5155856033847999E-3</v>
      </c>
      <c r="F189">
        <v>-0.40447797630408838</v>
      </c>
      <c r="G189">
        <v>0</v>
      </c>
      <c r="H189">
        <v>0</v>
      </c>
      <c r="I189">
        <v>0</v>
      </c>
      <c r="J189">
        <v>0</v>
      </c>
      <c r="K189">
        <v>1.26310054825253E-2</v>
      </c>
      <c r="L189">
        <v>8.9135651372827997E-3</v>
      </c>
      <c r="M189">
        <v>7.1705373113886001E-3</v>
      </c>
      <c r="N189">
        <v>5.0601712969568996E-3</v>
      </c>
      <c r="O189">
        <v>5.4604681711365004E-3</v>
      </c>
      <c r="P189">
        <v>3.8533938403259001E-3</v>
      </c>
      <c r="Q189">
        <v>-0.62824216637129171</v>
      </c>
      <c r="R189">
        <v>-0.44334376069153492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91.233487908610002</v>
      </c>
      <c r="AB189">
        <v>64.38249419652</v>
      </c>
      <c r="AC189">
        <f t="shared" si="20"/>
        <v>1</v>
      </c>
      <c r="AD189">
        <f t="shared" si="21"/>
        <v>0.43230668996945742</v>
      </c>
      <c r="AE189">
        <f t="shared" si="22"/>
        <v>0.43230668996945742</v>
      </c>
      <c r="AF189">
        <f t="shared" si="23"/>
        <v>0.56769331003054246</v>
      </c>
      <c r="AG189">
        <f t="shared" si="24"/>
        <v>0.56769331003054246</v>
      </c>
      <c r="AH189">
        <f t="shared" si="25"/>
        <v>0</v>
      </c>
      <c r="AI189">
        <v>0</v>
      </c>
      <c r="AJ189">
        <v>0</v>
      </c>
      <c r="AK189">
        <f t="shared" si="28"/>
        <v>8.9135651372827129E-5</v>
      </c>
      <c r="AL189">
        <f t="shared" si="29"/>
        <v>1.2631005482525184E-4</v>
      </c>
    </row>
    <row r="190" spans="1:38" x14ac:dyDescent="0.35">
      <c r="A190" t="s">
        <v>64</v>
      </c>
      <c r="B190" t="s">
        <v>70</v>
      </c>
      <c r="C190">
        <v>7.7024509539050037</v>
      </c>
      <c r="D190">
        <v>2.430584967050669</v>
      </c>
      <c r="E190">
        <v>5.2718659868543361</v>
      </c>
      <c r="F190">
        <v>2.9</v>
      </c>
      <c r="G190">
        <v>-0.1270225953158492</v>
      </c>
      <c r="H190">
        <v>0</v>
      </c>
      <c r="I190">
        <v>-0.1270225953158492</v>
      </c>
      <c r="J190">
        <v>0</v>
      </c>
      <c r="K190">
        <v>5.2261115841824903</v>
      </c>
      <c r="L190">
        <v>2.4855583034441739</v>
      </c>
      <c r="M190">
        <v>1.64915146213341</v>
      </c>
      <c r="N190">
        <v>0.78434263109673064</v>
      </c>
      <c r="O190">
        <v>3.5769601220490799</v>
      </c>
      <c r="P190">
        <v>1.701215672347443</v>
      </c>
      <c r="Q190">
        <v>1.967649477397261</v>
      </c>
      <c r="R190">
        <v>0.93582148372314078</v>
      </c>
      <c r="S190">
        <v>-8.6184808031336296E-2</v>
      </c>
      <c r="T190">
        <v>-4.0989818487876702E-2</v>
      </c>
      <c r="U190">
        <v>0</v>
      </c>
      <c r="V190">
        <v>0</v>
      </c>
      <c r="W190">
        <v>-8.6184808031336296E-2</v>
      </c>
      <c r="X190">
        <v>-4.0989818487876702E-2</v>
      </c>
      <c r="Y190">
        <v>0</v>
      </c>
      <c r="Z190">
        <v>0</v>
      </c>
      <c r="AA190">
        <v>309.88816247970999</v>
      </c>
      <c r="AB190">
        <v>147.38397429586999</v>
      </c>
      <c r="AC190">
        <f t="shared" si="20"/>
        <v>1.0167677112505233</v>
      </c>
      <c r="AD190">
        <f t="shared" si="21"/>
        <v>0.69591655247811846</v>
      </c>
      <c r="AE190">
        <f t="shared" si="22"/>
        <v>0.68444005919720852</v>
      </c>
      <c r="AF190">
        <f t="shared" si="23"/>
        <v>0.32085115877240511</v>
      </c>
      <c r="AG190">
        <f t="shared" si="24"/>
        <v>0.31555994080279165</v>
      </c>
      <c r="AH190">
        <f t="shared" si="25"/>
        <v>-1.6767711250523377E-2</v>
      </c>
      <c r="AI190">
        <f t="shared" si="26"/>
        <v>0</v>
      </c>
      <c r="AJ190">
        <f t="shared" si="27"/>
        <v>1</v>
      </c>
      <c r="AK190">
        <f t="shared" si="28"/>
        <v>2.4445684849562971E-2</v>
      </c>
      <c r="AL190">
        <f t="shared" si="29"/>
        <v>5.1399267761511533E-2</v>
      </c>
    </row>
    <row r="191" spans="1:38" x14ac:dyDescent="0.35">
      <c r="A191" t="s">
        <v>65</v>
      </c>
      <c r="B191" t="s">
        <v>70</v>
      </c>
      <c r="C191">
        <v>1.5765726587907949</v>
      </c>
      <c r="D191">
        <v>1.4258862393990299E-2</v>
      </c>
      <c r="E191">
        <v>1.562313796396801</v>
      </c>
      <c r="F191">
        <v>0</v>
      </c>
      <c r="G191">
        <v>0.2080116396299764</v>
      </c>
      <c r="H191">
        <v>8.3875661141119495E-2</v>
      </c>
      <c r="I191">
        <v>0.1241359784888587</v>
      </c>
      <c r="J191">
        <v>0</v>
      </c>
      <c r="K191">
        <v>0.27586422742956351</v>
      </c>
      <c r="L191">
        <v>0.1297139208922648</v>
      </c>
      <c r="M191">
        <v>2.4949754370087E-3</v>
      </c>
      <c r="N191">
        <v>1.1731606141174001E-3</v>
      </c>
      <c r="O191">
        <v>0.27336925199255457</v>
      </c>
      <c r="P191">
        <v>0.1285407602781472</v>
      </c>
      <c r="Q191">
        <v>0</v>
      </c>
      <c r="R191">
        <v>0</v>
      </c>
      <c r="S191">
        <v>3.6397288728128502E-2</v>
      </c>
      <c r="T191">
        <v>1.7114343076537201E-2</v>
      </c>
      <c r="U191">
        <v>1.46763261000515E-2</v>
      </c>
      <c r="V191">
        <v>6.9009447889260998E-3</v>
      </c>
      <c r="W191">
        <v>2.17209626280765E-2</v>
      </c>
      <c r="X191">
        <v>1.0213398287610601E-2</v>
      </c>
      <c r="Y191">
        <v>0</v>
      </c>
      <c r="Z191">
        <v>0</v>
      </c>
      <c r="AA191">
        <v>1215.4228689920101</v>
      </c>
      <c r="AB191">
        <v>571.50311712429004</v>
      </c>
      <c r="AC191">
        <f t="shared" si="20"/>
        <v>0.88343972329351328</v>
      </c>
      <c r="AD191">
        <f t="shared" si="21"/>
        <v>0.875449704325728</v>
      </c>
      <c r="AE191">
        <f t="shared" si="22"/>
        <v>0.99095578480668933</v>
      </c>
      <c r="AF191">
        <f t="shared" si="23"/>
        <v>7.9900189677833463E-3</v>
      </c>
      <c r="AG191">
        <f t="shared" si="24"/>
        <v>9.0442151933083827E-3</v>
      </c>
      <c r="AH191">
        <f t="shared" si="25"/>
        <v>0.11656027670648662</v>
      </c>
      <c r="AI191">
        <f t="shared" si="26"/>
        <v>0.40322580645161282</v>
      </c>
      <c r="AJ191">
        <f t="shared" si="27"/>
        <v>0.59677419354839578</v>
      </c>
      <c r="AK191">
        <f t="shared" si="28"/>
        <v>1.468282639688017E-3</v>
      </c>
      <c r="AL191">
        <f t="shared" si="29"/>
        <v>3.1226151615769077E-3</v>
      </c>
    </row>
    <row r="192" spans="1:38" x14ac:dyDescent="0.35">
      <c r="A192" t="s">
        <v>28</v>
      </c>
      <c r="B192" t="s">
        <v>71</v>
      </c>
      <c r="C192">
        <v>30.447629669960548</v>
      </c>
      <c r="D192">
        <v>2.3474363010853931</v>
      </c>
      <c r="E192">
        <v>28.100193368875161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2.0369395358085818</v>
      </c>
      <c r="L192">
        <v>2.4824492048994808</v>
      </c>
      <c r="M192">
        <v>0.15704295740927829</v>
      </c>
      <c r="N192">
        <v>0.19139064164757921</v>
      </c>
      <c r="O192">
        <v>1.879896578399304</v>
      </c>
      <c r="P192">
        <v>2.2910585632519052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1226.51571721458</v>
      </c>
      <c r="AB192">
        <v>1494.77336635199</v>
      </c>
      <c r="AC192">
        <f t="shared" si="20"/>
        <v>1</v>
      </c>
      <c r="AD192">
        <f t="shared" si="21"/>
        <v>0.92290249433106597</v>
      </c>
      <c r="AE192">
        <f t="shared" si="22"/>
        <v>0.92290249433106597</v>
      </c>
      <c r="AF192">
        <f t="shared" si="23"/>
        <v>7.7097505668934224E-2</v>
      </c>
      <c r="AG192">
        <f t="shared" si="24"/>
        <v>7.7097505668934224E-2</v>
      </c>
      <c r="AH192">
        <f t="shared" si="25"/>
        <v>0</v>
      </c>
      <c r="AI192">
        <v>0</v>
      </c>
      <c r="AJ192">
        <v>0</v>
      </c>
      <c r="AK192">
        <f t="shared" si="28"/>
        <v>2.4824492048994843E-2</v>
      </c>
      <c r="AL192">
        <f t="shared" si="29"/>
        <v>2.0369395358085827E-2</v>
      </c>
    </row>
    <row r="193" spans="1:38" x14ac:dyDescent="0.35">
      <c r="A193" t="s">
        <v>29</v>
      </c>
      <c r="B193" t="s">
        <v>71</v>
      </c>
      <c r="C193">
        <v>20.504749809281801</v>
      </c>
      <c r="D193">
        <v>5.6667672200197003</v>
      </c>
      <c r="E193">
        <v>14.837982589262079</v>
      </c>
      <c r="F193">
        <v>7.4562726579202293E-2</v>
      </c>
      <c r="G193">
        <v>-1.118440898688092</v>
      </c>
      <c r="H193">
        <v>0</v>
      </c>
      <c r="I193">
        <v>-1.1184408986881</v>
      </c>
      <c r="J193">
        <v>0</v>
      </c>
      <c r="K193">
        <v>1.2085752854931859</v>
      </c>
      <c r="L193">
        <v>1.189723861975454</v>
      </c>
      <c r="M193">
        <v>0.33400626071811729</v>
      </c>
      <c r="N193">
        <v>0.32879641276412691</v>
      </c>
      <c r="O193">
        <v>0.87456902477507015</v>
      </c>
      <c r="P193">
        <v>0.86092744921132791</v>
      </c>
      <c r="Q193">
        <v>4.3948192199748997E-3</v>
      </c>
      <c r="R193">
        <v>4.3262685890010002E-3</v>
      </c>
      <c r="S193">
        <v>-6.5922288299629095E-2</v>
      </c>
      <c r="T193">
        <v>-6.4894028835025194E-2</v>
      </c>
      <c r="U193">
        <v>0</v>
      </c>
      <c r="V193">
        <v>0</v>
      </c>
      <c r="W193">
        <v>-6.5922288299629095E-2</v>
      </c>
      <c r="X193">
        <v>-6.4894028835025194E-2</v>
      </c>
      <c r="Y193">
        <v>0</v>
      </c>
      <c r="Z193">
        <v>0</v>
      </c>
      <c r="AA193">
        <v>1723.48815255626</v>
      </c>
      <c r="AB193">
        <v>1696.60508992738</v>
      </c>
      <c r="AC193">
        <f t="shared" si="20"/>
        <v>1.0576923076923075</v>
      </c>
      <c r="AD193">
        <f t="shared" si="21"/>
        <v>0.76538461538461389</v>
      </c>
      <c r="AE193">
        <f t="shared" si="22"/>
        <v>0.72363636363636252</v>
      </c>
      <c r="AF193">
        <f t="shared" si="23"/>
        <v>0.29230769230769238</v>
      </c>
      <c r="AG193">
        <f t="shared" si="24"/>
        <v>0.27636363636363648</v>
      </c>
      <c r="AH193">
        <f t="shared" si="25"/>
        <v>-5.7692307692307356E-2</v>
      </c>
      <c r="AI193">
        <f t="shared" si="26"/>
        <v>0</v>
      </c>
      <c r="AJ193">
        <f t="shared" si="27"/>
        <v>1.0000000000000071</v>
      </c>
      <c r="AK193">
        <f t="shared" si="28"/>
        <v>1.1248298331404328E-2</v>
      </c>
      <c r="AL193">
        <f t="shared" si="29"/>
        <v>1.1426529971935604E-2</v>
      </c>
    </row>
    <row r="194" spans="1:38" x14ac:dyDescent="0.35">
      <c r="A194" t="s">
        <v>30</v>
      </c>
      <c r="B194" t="s">
        <v>71</v>
      </c>
      <c r="C194">
        <v>53.297862831851091</v>
      </c>
      <c r="D194">
        <v>14.26602324193016</v>
      </c>
      <c r="E194">
        <v>39.031839589920928</v>
      </c>
      <c r="F194">
        <v>0</v>
      </c>
      <c r="G194">
        <v>-5.9346656686429924</v>
      </c>
      <c r="H194">
        <v>-5.9346656686429426</v>
      </c>
      <c r="I194">
        <v>0</v>
      </c>
      <c r="J194">
        <v>0</v>
      </c>
      <c r="K194">
        <v>2.0367474980625899</v>
      </c>
      <c r="L194">
        <v>1.833374895579158</v>
      </c>
      <c r="M194">
        <v>0.5451679598668604</v>
      </c>
      <c r="N194">
        <v>0.49073203843125179</v>
      </c>
      <c r="O194">
        <v>1.49157953819573</v>
      </c>
      <c r="P194">
        <v>1.3426428571479061</v>
      </c>
      <c r="Q194">
        <v>0</v>
      </c>
      <c r="R194">
        <v>0</v>
      </c>
      <c r="S194">
        <v>-0.22678987130461431</v>
      </c>
      <c r="T194">
        <v>-0.20414452798740079</v>
      </c>
      <c r="U194">
        <v>-0.22678987130461389</v>
      </c>
      <c r="V194">
        <v>-0.2041445279874006</v>
      </c>
      <c r="W194">
        <v>0</v>
      </c>
      <c r="X194">
        <v>0</v>
      </c>
      <c r="Y194">
        <v>0</v>
      </c>
      <c r="Z194">
        <v>0</v>
      </c>
      <c r="AA194">
        <v>2907.0902498102801</v>
      </c>
      <c r="AB194">
        <v>2616.8124857180101</v>
      </c>
      <c r="AC194">
        <f t="shared" si="20"/>
        <v>1.1253012048192781</v>
      </c>
      <c r="AD194">
        <f t="shared" si="21"/>
        <v>0.82409638554216946</v>
      </c>
      <c r="AE194">
        <f t="shared" si="22"/>
        <v>0.73233404710920769</v>
      </c>
      <c r="AF194">
        <f t="shared" si="23"/>
        <v>0.30120481927710863</v>
      </c>
      <c r="AG194">
        <f t="shared" si="24"/>
        <v>0.2676659528907922</v>
      </c>
      <c r="AH194">
        <f t="shared" si="25"/>
        <v>-0.12530120481927817</v>
      </c>
      <c r="AI194">
        <f t="shared" si="26"/>
        <v>0.99999999999999167</v>
      </c>
      <c r="AJ194">
        <f t="shared" si="27"/>
        <v>0</v>
      </c>
      <c r="AK194">
        <f t="shared" si="28"/>
        <v>1.6292303675917552E-2</v>
      </c>
      <c r="AL194">
        <f t="shared" si="29"/>
        <v>1.8099576267579763E-2</v>
      </c>
    </row>
    <row r="195" spans="1:38" x14ac:dyDescent="0.35">
      <c r="A195" t="s">
        <v>31</v>
      </c>
      <c r="B195" t="s">
        <v>71</v>
      </c>
      <c r="C195">
        <v>100.43280362318831</v>
      </c>
      <c r="D195">
        <v>23.966919046442669</v>
      </c>
      <c r="E195">
        <v>76.465884576745623</v>
      </c>
      <c r="F195">
        <v>0</v>
      </c>
      <c r="G195">
        <v>0.7988973015483225</v>
      </c>
      <c r="H195">
        <v>0</v>
      </c>
      <c r="I195">
        <v>0.79889730154820882</v>
      </c>
      <c r="J195">
        <v>0</v>
      </c>
      <c r="K195">
        <v>2.7918805654534271</v>
      </c>
      <c r="L195">
        <v>2.4132147741265229</v>
      </c>
      <c r="M195">
        <v>0.66624422584684018</v>
      </c>
      <c r="N195">
        <v>0.57588079837110207</v>
      </c>
      <c r="O195">
        <v>2.125636339606586</v>
      </c>
      <c r="P195">
        <v>1.837333975755421</v>
      </c>
      <c r="Q195">
        <v>0</v>
      </c>
      <c r="R195">
        <v>0</v>
      </c>
      <c r="S195">
        <v>2.22081408615615E-2</v>
      </c>
      <c r="T195">
        <v>1.9196026612373601E-2</v>
      </c>
      <c r="U195">
        <v>0</v>
      </c>
      <c r="V195">
        <v>0</v>
      </c>
      <c r="W195">
        <v>2.22081408615615E-2</v>
      </c>
      <c r="X195">
        <v>1.9196026612373601E-2</v>
      </c>
      <c r="Y195">
        <v>0</v>
      </c>
      <c r="Z195">
        <v>0</v>
      </c>
      <c r="AA195">
        <v>4161.7847155581303</v>
      </c>
      <c r="AB195">
        <v>3597.3173374942398</v>
      </c>
      <c r="AC195">
        <f t="shared" ref="AC195:AC258" si="30">C195/(C195+G195)</f>
        <v>0.99210822998872372</v>
      </c>
      <c r="AD195">
        <f t="shared" ref="AD195:AD258" si="31">(E195/(C195+G195))</f>
        <v>0.75535512965050544</v>
      </c>
      <c r="AE195">
        <f t="shared" ref="AE195:AE258" si="32">(E195/C195)</f>
        <v>0.76136363636363613</v>
      </c>
      <c r="AF195">
        <f t="shared" ref="AF195:AF258" si="33">(D195/(C195+G195))</f>
        <v>0.23675310033821823</v>
      </c>
      <c r="AG195">
        <f t="shared" ref="AG195:AG258" si="34">(D195/(C195))</f>
        <v>0.23863636363636367</v>
      </c>
      <c r="AH195">
        <f t="shared" ref="AH195:AH258" si="35">(G195/(C195+G195))</f>
        <v>7.8917700112762484E-3</v>
      </c>
      <c r="AI195">
        <f t="shared" ref="AI195:AI256" si="36">(H195/G195)</f>
        <v>0</v>
      </c>
      <c r="AJ195">
        <f t="shared" ref="AJ195:AJ256" si="37">I195/G195</f>
        <v>0.99999999999985767</v>
      </c>
      <c r="AK195">
        <f t="shared" ref="AK195:AK258" si="38">(C195+G195)/AA195</f>
        <v>2.4324108007388989E-2</v>
      </c>
      <c r="AL195">
        <f t="shared" ref="AL195:AL258" si="39">(C195+G195)/AB195</f>
        <v>2.8140887063149937E-2</v>
      </c>
    </row>
    <row r="196" spans="1:38" x14ac:dyDescent="0.35">
      <c r="A196" t="s">
        <v>32</v>
      </c>
      <c r="B196" t="s">
        <v>71</v>
      </c>
      <c r="C196">
        <v>45.651274374176523</v>
      </c>
      <c r="D196">
        <v>11.412818593544131</v>
      </c>
      <c r="E196">
        <v>34.238455780632393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2.379954283240993</v>
      </c>
      <c r="L196">
        <v>1.952862177144373</v>
      </c>
      <c r="M196">
        <v>0.59498857081024792</v>
      </c>
      <c r="N196">
        <v>0.48821554428609321</v>
      </c>
      <c r="O196">
        <v>1.784965712430745</v>
      </c>
      <c r="P196">
        <v>1.4646466328582799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2337.6598158571201</v>
      </c>
      <c r="AB196">
        <v>1918.15761738117</v>
      </c>
      <c r="AC196">
        <f t="shared" si="30"/>
        <v>1</v>
      </c>
      <c r="AD196">
        <f t="shared" si="31"/>
        <v>0.75</v>
      </c>
      <c r="AE196">
        <f t="shared" si="32"/>
        <v>0.75</v>
      </c>
      <c r="AF196">
        <f t="shared" si="33"/>
        <v>0.25</v>
      </c>
      <c r="AG196">
        <f t="shared" si="34"/>
        <v>0.25</v>
      </c>
      <c r="AH196">
        <f t="shared" si="35"/>
        <v>0</v>
      </c>
      <c r="AI196">
        <v>0</v>
      </c>
      <c r="AJ196">
        <v>0</v>
      </c>
      <c r="AK196">
        <f t="shared" si="38"/>
        <v>1.9528621771443742E-2</v>
      </c>
      <c r="AL196">
        <f t="shared" si="39"/>
        <v>2.3799542832409926E-2</v>
      </c>
    </row>
    <row r="197" spans="1:38" x14ac:dyDescent="0.35">
      <c r="A197" t="s">
        <v>33</v>
      </c>
      <c r="B197" t="s">
        <v>71</v>
      </c>
      <c r="C197">
        <v>29.96967941429034</v>
      </c>
      <c r="D197">
        <v>4.6827624084828594</v>
      </c>
      <c r="E197">
        <v>25.286917005807481</v>
      </c>
      <c r="F197">
        <v>-216.3436232719078</v>
      </c>
      <c r="G197">
        <v>0</v>
      </c>
      <c r="H197">
        <v>0</v>
      </c>
      <c r="I197">
        <v>0</v>
      </c>
      <c r="J197">
        <v>0</v>
      </c>
      <c r="K197">
        <v>0.65660595684839507</v>
      </c>
      <c r="L197">
        <v>0.56282649977393184</v>
      </c>
      <c r="M197">
        <v>0.1025946807575612</v>
      </c>
      <c r="N197">
        <v>8.7941640589676406E-2</v>
      </c>
      <c r="O197">
        <v>0.55401127609083289</v>
      </c>
      <c r="P197">
        <v>0.4748848591842556</v>
      </c>
      <c r="Q197">
        <v>-4.7398742509993284</v>
      </c>
      <c r="R197">
        <v>-4.0629037952430496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5324.8522282316499</v>
      </c>
      <c r="AB197">
        <v>4564.3325500944502</v>
      </c>
      <c r="AC197">
        <f t="shared" si="30"/>
        <v>1</v>
      </c>
      <c r="AD197">
        <f t="shared" si="31"/>
        <v>0.84375000000000022</v>
      </c>
      <c r="AE197">
        <f t="shared" si="32"/>
        <v>0.84375000000000022</v>
      </c>
      <c r="AF197">
        <f t="shared" si="33"/>
        <v>0.15624999999999981</v>
      </c>
      <c r="AG197">
        <f t="shared" si="34"/>
        <v>0.15624999999999981</v>
      </c>
      <c r="AH197">
        <f t="shared" si="35"/>
        <v>0</v>
      </c>
      <c r="AI197">
        <v>0</v>
      </c>
      <c r="AJ197">
        <v>0</v>
      </c>
      <c r="AK197">
        <f t="shared" si="38"/>
        <v>5.6282649977393052E-3</v>
      </c>
      <c r="AL197">
        <f t="shared" si="39"/>
        <v>6.5660595684839344E-3</v>
      </c>
    </row>
    <row r="198" spans="1:38" x14ac:dyDescent="0.35">
      <c r="A198" t="s">
        <v>34</v>
      </c>
      <c r="B198" t="s">
        <v>71</v>
      </c>
      <c r="C198">
        <v>6.3663101002469995E-4</v>
      </c>
      <c r="D198">
        <v>7.3429182238626822E-5</v>
      </c>
      <c r="E198">
        <v>5.6320182778790001E-4</v>
      </c>
      <c r="F198">
        <v>3.4291428105600002E-4</v>
      </c>
      <c r="G198">
        <v>5.2061290207910005E-4</v>
      </c>
      <c r="H198">
        <v>0</v>
      </c>
      <c r="I198">
        <v>5.2061290207910005E-4</v>
      </c>
      <c r="J198">
        <v>9.1786477798900005E-4</v>
      </c>
      <c r="K198">
        <v>3.8862875279654929E-5</v>
      </c>
      <c r="L198">
        <v>2.952095192076953E-5</v>
      </c>
      <c r="M198">
        <v>4.4824538958376792E-6</v>
      </c>
      <c r="N198">
        <v>3.404954085350909E-6</v>
      </c>
      <c r="O198">
        <v>3.4380421383595212E-5</v>
      </c>
      <c r="P198">
        <v>2.6115997835418628E-5</v>
      </c>
      <c r="Q198">
        <v>2.093305969408377E-5</v>
      </c>
      <c r="R198">
        <v>1.5901135578477721E-5</v>
      </c>
      <c r="S198">
        <v>3.1780598122921333E-5</v>
      </c>
      <c r="T198">
        <v>2.4141124465248961E-5</v>
      </c>
      <c r="U198">
        <v>0</v>
      </c>
      <c r="V198">
        <v>0</v>
      </c>
      <c r="W198">
        <v>3.1780598122921333E-5</v>
      </c>
      <c r="X198">
        <v>2.4141124465248961E-5</v>
      </c>
      <c r="Y198">
        <v>5.6030673700746547E-5</v>
      </c>
      <c r="Z198">
        <v>4.2561926066220217E-5</v>
      </c>
      <c r="AA198">
        <v>2156.5395714307001</v>
      </c>
      <c r="AB198">
        <v>1638.14696019506</v>
      </c>
      <c r="AC198">
        <f t="shared" si="30"/>
        <v>0.55012690355600391</v>
      </c>
      <c r="AD198">
        <f t="shared" si="31"/>
        <v>0.48667512690909975</v>
      </c>
      <c r="AE198">
        <f t="shared" si="32"/>
        <v>0.88465974625717492</v>
      </c>
      <c r="AF198">
        <f t="shared" si="33"/>
        <v>6.3451776648482838E-2</v>
      </c>
      <c r="AG198">
        <f t="shared" si="34"/>
        <v>0.11534025374569473</v>
      </c>
      <c r="AH198">
        <f t="shared" si="35"/>
        <v>0.44987309644399598</v>
      </c>
      <c r="AI198">
        <f t="shared" si="36"/>
        <v>0</v>
      </c>
      <c r="AJ198">
        <f t="shared" si="37"/>
        <v>1</v>
      </c>
      <c r="AK198">
        <f t="shared" si="38"/>
        <v>5.3662076385459358E-7</v>
      </c>
      <c r="AL198">
        <f t="shared" si="39"/>
        <v>7.0643473401556288E-7</v>
      </c>
    </row>
    <row r="199" spans="1:38" x14ac:dyDescent="0.35">
      <c r="A199" t="s">
        <v>35</v>
      </c>
      <c r="B199" t="s">
        <v>71</v>
      </c>
      <c r="C199">
        <v>1.1412818593541299E-2</v>
      </c>
      <c r="D199">
        <v>0</v>
      </c>
      <c r="E199">
        <v>1.1412818593541299E-2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8.6204843262379998E-4</v>
      </c>
      <c r="L199">
        <v>6.3527095195140004E-4</v>
      </c>
      <c r="M199">
        <v>0</v>
      </c>
      <c r="N199">
        <v>0</v>
      </c>
      <c r="O199">
        <v>8.6204843262379998E-4</v>
      </c>
      <c r="P199">
        <v>6.3527095195140004E-4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1796.5276955414199</v>
      </c>
      <c r="AB199">
        <v>1323.9184901480501</v>
      </c>
      <c r="AC199">
        <f t="shared" si="30"/>
        <v>1</v>
      </c>
      <c r="AD199">
        <f t="shared" si="31"/>
        <v>1</v>
      </c>
      <c r="AE199">
        <f t="shared" si="32"/>
        <v>1</v>
      </c>
      <c r="AF199">
        <f t="shared" si="33"/>
        <v>0</v>
      </c>
      <c r="AG199">
        <f t="shared" si="34"/>
        <v>0</v>
      </c>
      <c r="AH199">
        <f t="shared" si="35"/>
        <v>0</v>
      </c>
      <c r="AI199">
        <v>0</v>
      </c>
      <c r="AJ199">
        <v>0</v>
      </c>
      <c r="AK199">
        <f t="shared" si="38"/>
        <v>6.3527095195166559E-6</v>
      </c>
      <c r="AL199">
        <f t="shared" si="39"/>
        <v>8.6204843262405345E-6</v>
      </c>
    </row>
    <row r="200" spans="1:38" x14ac:dyDescent="0.35">
      <c r="A200" t="s">
        <v>36</v>
      </c>
      <c r="B200" t="s">
        <v>71</v>
      </c>
      <c r="C200">
        <v>0</v>
      </c>
      <c r="D200">
        <v>0</v>
      </c>
      <c r="E200">
        <v>0</v>
      </c>
      <c r="F200">
        <v>0</v>
      </c>
      <c r="G200">
        <v>15.395615788971099</v>
      </c>
      <c r="H200">
        <v>0</v>
      </c>
      <c r="I200">
        <v>15.395615788971099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0.4876060525070649</v>
      </c>
      <c r="T200">
        <v>0.52330648617822106</v>
      </c>
      <c r="U200">
        <v>0</v>
      </c>
      <c r="V200">
        <v>0</v>
      </c>
      <c r="W200">
        <v>0.4876060525070649</v>
      </c>
      <c r="X200">
        <v>0.52330648617822106</v>
      </c>
      <c r="Y200">
        <v>0</v>
      </c>
      <c r="Z200">
        <v>0</v>
      </c>
      <c r="AA200">
        <v>2941.9883367789698</v>
      </c>
      <c r="AB200">
        <v>3157.38816403392</v>
      </c>
      <c r="AC200">
        <f t="shared" si="30"/>
        <v>0</v>
      </c>
      <c r="AD200">
        <f t="shared" si="31"/>
        <v>0</v>
      </c>
      <c r="AE200">
        <v>0</v>
      </c>
      <c r="AF200">
        <f t="shared" si="33"/>
        <v>0</v>
      </c>
      <c r="AG200">
        <v>0</v>
      </c>
      <c r="AH200">
        <f t="shared" si="35"/>
        <v>1</v>
      </c>
      <c r="AI200">
        <f t="shared" si="36"/>
        <v>0</v>
      </c>
      <c r="AJ200">
        <f t="shared" si="37"/>
        <v>1</v>
      </c>
      <c r="AK200">
        <f t="shared" si="38"/>
        <v>5.2330648617822054E-3</v>
      </c>
      <c r="AL200">
        <f t="shared" si="39"/>
        <v>4.8760605250706525E-3</v>
      </c>
    </row>
    <row r="201" spans="1:38" x14ac:dyDescent="0.35">
      <c r="A201" t="s">
        <v>37</v>
      </c>
      <c r="B201" t="s">
        <v>71</v>
      </c>
      <c r="C201">
        <v>0.27200000000084401</v>
      </c>
      <c r="D201">
        <v>-3.1000000000000232</v>
      </c>
      <c r="E201">
        <v>3.3720000000002979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1.3648468991078E-3</v>
      </c>
      <c r="L201">
        <v>1.3617557193335E-3</v>
      </c>
      <c r="M201">
        <v>-1.55552403942316E-2</v>
      </c>
      <c r="N201">
        <v>-1.5520010036498199E-2</v>
      </c>
      <c r="O201">
        <v>1.6920087293339402E-2</v>
      </c>
      <c r="P201">
        <v>1.6881765755829999E-2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19974.2138871676</v>
      </c>
      <c r="AB201">
        <v>19928.975197</v>
      </c>
      <c r="AC201">
        <f t="shared" si="30"/>
        <v>1</v>
      </c>
      <c r="AD201">
        <f t="shared" si="31"/>
        <v>12.397058823492038</v>
      </c>
      <c r="AE201">
        <f t="shared" si="32"/>
        <v>12.397058823492038</v>
      </c>
      <c r="AF201">
        <f t="shared" si="33"/>
        <v>-11.397058823494133</v>
      </c>
      <c r="AG201">
        <f t="shared" si="34"/>
        <v>-11.397058823494133</v>
      </c>
      <c r="AH201">
        <f t="shared" si="35"/>
        <v>0</v>
      </c>
      <c r="AI201">
        <v>0</v>
      </c>
      <c r="AJ201">
        <v>0</v>
      </c>
      <c r="AK201">
        <f t="shared" si="38"/>
        <v>1.3617557193356679E-5</v>
      </c>
      <c r="AL201">
        <f t="shared" si="39"/>
        <v>1.3648468991109459E-5</v>
      </c>
    </row>
    <row r="202" spans="1:38" x14ac:dyDescent="0.35">
      <c r="A202" t="s">
        <v>38</v>
      </c>
      <c r="B202" t="s">
        <v>71</v>
      </c>
      <c r="C202">
        <v>-1.7763568394002501E-14</v>
      </c>
      <c r="D202">
        <v>-1.154631945610163E-14</v>
      </c>
      <c r="E202">
        <v>-5.3290705182007514E-15</v>
      </c>
      <c r="F202">
        <v>-9.7699626167013776E-15</v>
      </c>
      <c r="G202">
        <v>-2.442490654175344E-15</v>
      </c>
      <c r="H202">
        <v>-1.9984014443252822E-15</v>
      </c>
      <c r="I202">
        <v>-4.163336342344337E-16</v>
      </c>
      <c r="J202">
        <v>-2.664535259100376E-14</v>
      </c>
      <c r="K202">
        <v>-1.332267629550188E-15</v>
      </c>
      <c r="L202">
        <v>-7.2164496600635175E-16</v>
      </c>
      <c r="M202">
        <v>-8.3266726846886741E-16</v>
      </c>
      <c r="N202">
        <v>-4.7184478546569153E-16</v>
      </c>
      <c r="O202">
        <v>-4.163336342344337E-16</v>
      </c>
      <c r="P202">
        <v>-2.3592239273284581E-16</v>
      </c>
      <c r="Q202">
        <v>-7.7715611723760968E-16</v>
      </c>
      <c r="R202">
        <v>-4.163336342344337E-16</v>
      </c>
      <c r="S202">
        <v>-1.8041124150158801E-16</v>
      </c>
      <c r="T202">
        <v>-9.714451465470121E-17</v>
      </c>
      <c r="U202">
        <v>-1.52655665885959E-16</v>
      </c>
      <c r="V202">
        <v>-8.3266726846886741E-17</v>
      </c>
      <c r="W202">
        <v>-3.2959746043559329E-17</v>
      </c>
      <c r="X202">
        <v>-1.647987302177967E-17</v>
      </c>
      <c r="Y202">
        <v>-2.109423746787797E-15</v>
      </c>
      <c r="Z202">
        <v>-1.165734175856414E-15</v>
      </c>
      <c r="AA202">
        <v>2381.6675591522499</v>
      </c>
      <c r="AB202">
        <v>1279.1513266244399</v>
      </c>
      <c r="AC202">
        <f t="shared" si="30"/>
        <v>0.87912087912087911</v>
      </c>
      <c r="AD202">
        <f t="shared" si="31"/>
        <v>0.2637362637362638</v>
      </c>
      <c r="AE202">
        <f t="shared" si="32"/>
        <v>0.30000000000000004</v>
      </c>
      <c r="AF202">
        <f t="shared" si="33"/>
        <v>0.57142857142857162</v>
      </c>
      <c r="AG202">
        <f t="shared" si="34"/>
        <v>0.65000000000000024</v>
      </c>
      <c r="AH202">
        <f t="shared" si="35"/>
        <v>0.12087912087912088</v>
      </c>
      <c r="AI202">
        <f t="shared" si="36"/>
        <v>0.81818181818181845</v>
      </c>
      <c r="AJ202">
        <f t="shared" si="37"/>
        <v>0.17045454545454547</v>
      </c>
      <c r="AK202">
        <f t="shared" si="38"/>
        <v>-8.4839964211336678E-18</v>
      </c>
      <c r="AL202">
        <f t="shared" si="39"/>
        <v>-1.5796457094329671E-17</v>
      </c>
    </row>
    <row r="203" spans="1:38" x14ac:dyDescent="0.35">
      <c r="A203" t="s">
        <v>39</v>
      </c>
      <c r="B203" t="s">
        <v>71</v>
      </c>
      <c r="C203">
        <v>6.4771357218701624</v>
      </c>
      <c r="D203">
        <v>0.60354303931876307</v>
      </c>
      <c r="E203">
        <v>5.8735926825513989</v>
      </c>
      <c r="F203">
        <v>-4.2295835235661203E-2</v>
      </c>
      <c r="G203">
        <v>7.2337052758079695E-2</v>
      </c>
      <c r="H203">
        <v>4.4287991484539E-3</v>
      </c>
      <c r="I203">
        <v>6.7908253609623104E-2</v>
      </c>
      <c r="J203">
        <v>0.5273109280821302</v>
      </c>
      <c r="K203">
        <v>0.64962766669383099</v>
      </c>
      <c r="L203">
        <v>0.2775379970503965</v>
      </c>
      <c r="M203">
        <v>6.0532660302005298E-2</v>
      </c>
      <c r="N203">
        <v>2.5861141939738999E-2</v>
      </c>
      <c r="O203">
        <v>0.58909500639182544</v>
      </c>
      <c r="P203">
        <v>0.2516768551106574</v>
      </c>
      <c r="Q203">
        <v>-4.2420826017640998E-3</v>
      </c>
      <c r="R203">
        <v>-1.8123290755268E-3</v>
      </c>
      <c r="S203">
        <v>7.255082001766E-3</v>
      </c>
      <c r="T203">
        <v>3.0995615341544002E-3</v>
      </c>
      <c r="U203">
        <v>4.4418869398559998E-4</v>
      </c>
      <c r="V203">
        <v>1.897690735196E-4</v>
      </c>
      <c r="W203">
        <v>6.8108933077802997E-3</v>
      </c>
      <c r="X203">
        <v>2.9097924606344E-3</v>
      </c>
      <c r="Y203">
        <v>5.2886921401925802E-2</v>
      </c>
      <c r="Z203">
        <v>2.2594681520807201E-2</v>
      </c>
      <c r="AA203">
        <v>2333.7834064911899</v>
      </c>
      <c r="AB203">
        <v>997.05355143423003</v>
      </c>
      <c r="AC203">
        <f t="shared" si="30"/>
        <v>0.98895528613565609</v>
      </c>
      <c r="AD203">
        <f t="shared" si="31"/>
        <v>0.89680389317822495</v>
      </c>
      <c r="AE203">
        <f t="shared" si="32"/>
        <v>0.90681945458068913</v>
      </c>
      <c r="AF203">
        <f t="shared" si="33"/>
        <v>9.2151392957430994E-2</v>
      </c>
      <c r="AG203">
        <f t="shared" si="34"/>
        <v>9.3180545419310798E-2</v>
      </c>
      <c r="AH203">
        <f t="shared" si="35"/>
        <v>1.1044713864343936E-2</v>
      </c>
      <c r="AI203">
        <f t="shared" si="36"/>
        <v>6.1224489795918935E-2</v>
      </c>
      <c r="AJ203">
        <f t="shared" si="37"/>
        <v>0.93877551020404382</v>
      </c>
      <c r="AK203">
        <f t="shared" si="38"/>
        <v>2.8063755858455095E-3</v>
      </c>
      <c r="AL203">
        <f t="shared" si="39"/>
        <v>6.568827486955974E-3</v>
      </c>
    </row>
    <row r="204" spans="1:38" x14ac:dyDescent="0.35">
      <c r="A204" t="s">
        <v>40</v>
      </c>
      <c r="B204" t="s">
        <v>71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468.59916169988998</v>
      </c>
      <c r="AB204">
        <v>413.94954015926999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f t="shared" si="38"/>
        <v>0</v>
      </c>
      <c r="AL204">
        <f t="shared" si="39"/>
        <v>0</v>
      </c>
    </row>
    <row r="205" spans="1:38" x14ac:dyDescent="0.35">
      <c r="A205" t="s">
        <v>41</v>
      </c>
      <c r="B205" t="s">
        <v>71</v>
      </c>
      <c r="C205">
        <v>1.141281859354407</v>
      </c>
      <c r="D205">
        <v>0.91302548748352841</v>
      </c>
      <c r="E205">
        <v>0.22825637187088429</v>
      </c>
      <c r="F205">
        <v>-0.45651274374176509</v>
      </c>
      <c r="G205">
        <v>0.5706409296772037</v>
      </c>
      <c r="H205">
        <v>0.57064092967720637</v>
      </c>
      <c r="I205">
        <v>0</v>
      </c>
      <c r="J205">
        <v>0</v>
      </c>
      <c r="K205">
        <v>0.2304886460988555</v>
      </c>
      <c r="L205">
        <v>0.2055171458543521</v>
      </c>
      <c r="M205">
        <v>0.18439091687908471</v>
      </c>
      <c r="N205">
        <v>0.1644137166834809</v>
      </c>
      <c r="O205">
        <v>4.6097729219771198E-2</v>
      </c>
      <c r="P205">
        <v>4.1103429170870898E-2</v>
      </c>
      <c r="Q205">
        <v>-9.2195458439542105E-2</v>
      </c>
      <c r="R205">
        <v>-8.2206858341740102E-2</v>
      </c>
      <c r="S205">
        <v>0.11524432304942769</v>
      </c>
      <c r="T205">
        <v>0.10275857292717561</v>
      </c>
      <c r="U205">
        <v>0.1152443230494281</v>
      </c>
      <c r="V205">
        <v>0.1027585729271758</v>
      </c>
      <c r="W205">
        <v>0</v>
      </c>
      <c r="X205">
        <v>0</v>
      </c>
      <c r="Y205">
        <v>0</v>
      </c>
      <c r="Z205">
        <v>0</v>
      </c>
      <c r="AA205">
        <v>555.32196820367994</v>
      </c>
      <c r="AB205">
        <v>495.15751802582002</v>
      </c>
      <c r="AC205">
        <f t="shared" si="30"/>
        <v>0.66666666666666663</v>
      </c>
      <c r="AD205">
        <f t="shared" si="31"/>
        <v>0.13333333333333502</v>
      </c>
      <c r="AE205">
        <f t="shared" si="32"/>
        <v>0.20000000000000254</v>
      </c>
      <c r="AF205">
        <f t="shared" si="33"/>
        <v>0.53333333333333488</v>
      </c>
      <c r="AG205">
        <f t="shared" si="34"/>
        <v>0.80000000000000249</v>
      </c>
      <c r="AH205">
        <f t="shared" si="35"/>
        <v>0.33333333333333343</v>
      </c>
      <c r="AI205">
        <f t="shared" si="36"/>
        <v>1.0000000000000047</v>
      </c>
      <c r="AJ205">
        <f t="shared" si="37"/>
        <v>0</v>
      </c>
      <c r="AK205">
        <f t="shared" si="38"/>
        <v>3.0827571878152583E-3</v>
      </c>
      <c r="AL205">
        <f t="shared" si="39"/>
        <v>3.457329691482827E-3</v>
      </c>
    </row>
    <row r="206" spans="1:38" x14ac:dyDescent="0.35">
      <c r="A206" t="s">
        <v>42</v>
      </c>
      <c r="B206" t="s">
        <v>71</v>
      </c>
      <c r="C206">
        <v>10.27563253304036</v>
      </c>
      <c r="D206">
        <v>3.6363244687153311</v>
      </c>
      <c r="E206">
        <v>6.6393080643250286</v>
      </c>
      <c r="F206">
        <v>0</v>
      </c>
      <c r="G206">
        <v>0.49977919238267532</v>
      </c>
      <c r="H206">
        <v>0</v>
      </c>
      <c r="I206">
        <v>0.49977919238267532</v>
      </c>
      <c r="J206">
        <v>0</v>
      </c>
      <c r="K206">
        <v>4.7651715685039084</v>
      </c>
      <c r="L206">
        <v>2.522272088593748</v>
      </c>
      <c r="M206">
        <v>1.686291322355262</v>
      </c>
      <c r="N206">
        <v>0.89257762799711693</v>
      </c>
      <c r="O206">
        <v>3.0788802461486462</v>
      </c>
      <c r="P206">
        <v>1.6296944605966319</v>
      </c>
      <c r="Q206">
        <v>0</v>
      </c>
      <c r="R206">
        <v>0</v>
      </c>
      <c r="S206">
        <v>0.23176515804882669</v>
      </c>
      <c r="T206">
        <v>0.12267654602804071</v>
      </c>
      <c r="U206">
        <v>0</v>
      </c>
      <c r="V206">
        <v>0</v>
      </c>
      <c r="W206">
        <v>0.23176515804882669</v>
      </c>
      <c r="X206">
        <v>0.12267654602804071</v>
      </c>
      <c r="Y206">
        <v>0</v>
      </c>
      <c r="Z206">
        <v>0</v>
      </c>
      <c r="AA206">
        <v>407.39587848230002</v>
      </c>
      <c r="AB206">
        <v>215.64034757863999</v>
      </c>
      <c r="AC206">
        <f t="shared" si="30"/>
        <v>0.95361855257896844</v>
      </c>
      <c r="AD206">
        <f t="shared" si="31"/>
        <v>0.61615353858456612</v>
      </c>
      <c r="AE206">
        <f t="shared" si="32"/>
        <v>0.64612159329140451</v>
      </c>
      <c r="AF206">
        <f t="shared" si="33"/>
        <v>0.33746501399440226</v>
      </c>
      <c r="AG206">
        <f t="shared" si="34"/>
        <v>0.35387840670859544</v>
      </c>
      <c r="AH206">
        <f t="shared" si="35"/>
        <v>4.6381447421031542E-2</v>
      </c>
      <c r="AI206">
        <f t="shared" si="36"/>
        <v>0</v>
      </c>
      <c r="AJ206">
        <f t="shared" si="37"/>
        <v>1</v>
      </c>
      <c r="AK206">
        <f t="shared" si="38"/>
        <v>2.6449486346217885E-2</v>
      </c>
      <c r="AL206">
        <f t="shared" si="39"/>
        <v>4.9969367265527365E-2</v>
      </c>
    </row>
    <row r="207" spans="1:38" x14ac:dyDescent="0.35">
      <c r="A207" t="s">
        <v>43</v>
      </c>
      <c r="B207" t="s">
        <v>71</v>
      </c>
      <c r="C207">
        <v>-5.7014876505385761</v>
      </c>
      <c r="D207">
        <v>0</v>
      </c>
      <c r="E207">
        <v>-5.7014876505385779</v>
      </c>
      <c r="F207">
        <v>0</v>
      </c>
      <c r="G207">
        <v>7.8223493436008482</v>
      </c>
      <c r="H207">
        <v>9.2782922355949484</v>
      </c>
      <c r="I207">
        <v>-1.455942891994098</v>
      </c>
      <c r="J207">
        <v>0</v>
      </c>
      <c r="K207">
        <v>-1.7142044659113751</v>
      </c>
      <c r="L207">
        <v>-1.8329012771360631</v>
      </c>
      <c r="M207">
        <v>0</v>
      </c>
      <c r="N207">
        <v>0</v>
      </c>
      <c r="O207">
        <v>-1.7142044659113751</v>
      </c>
      <c r="P207">
        <v>-1.8329012771360631</v>
      </c>
      <c r="Q207">
        <v>0</v>
      </c>
      <c r="R207">
        <v>0</v>
      </c>
      <c r="S207">
        <v>2.351860952895835</v>
      </c>
      <c r="T207">
        <v>2.5147110685640222</v>
      </c>
      <c r="U207">
        <v>2.7896035142311102</v>
      </c>
      <c r="V207">
        <v>2.9827642767334841</v>
      </c>
      <c r="W207">
        <v>-0.43774256133527611</v>
      </c>
      <c r="X207">
        <v>-0.46805320816946328</v>
      </c>
      <c r="Y207">
        <v>0</v>
      </c>
      <c r="Z207">
        <v>0</v>
      </c>
      <c r="AA207">
        <v>311.06354290107998</v>
      </c>
      <c r="AB207">
        <v>332.60254327404999</v>
      </c>
      <c r="AC207">
        <f t="shared" si="30"/>
        <v>-2.6882882882882879</v>
      </c>
      <c r="AD207">
        <f t="shared" si="31"/>
        <v>-2.6882882882882888</v>
      </c>
      <c r="AE207">
        <f t="shared" si="32"/>
        <v>1.0000000000000002</v>
      </c>
      <c r="AF207">
        <f t="shared" si="33"/>
        <v>0</v>
      </c>
      <c r="AG207">
        <f t="shared" si="34"/>
        <v>0</v>
      </c>
      <c r="AH207">
        <f t="shared" si="35"/>
        <v>3.6882882882882879</v>
      </c>
      <c r="AI207">
        <f t="shared" si="36"/>
        <v>1.1861260381045433</v>
      </c>
      <c r="AJ207">
        <f t="shared" si="37"/>
        <v>-0.18612603810454295</v>
      </c>
      <c r="AK207">
        <f t="shared" si="38"/>
        <v>6.8180979142795865E-3</v>
      </c>
      <c r="AL207">
        <f t="shared" si="39"/>
        <v>6.37656486984459E-3</v>
      </c>
    </row>
    <row r="208" spans="1:38" x14ac:dyDescent="0.35">
      <c r="A208" t="s">
        <v>44</v>
      </c>
      <c r="B208" t="s">
        <v>71</v>
      </c>
      <c r="C208">
        <v>0.6137999999999999</v>
      </c>
      <c r="D208">
        <v>0.21110000000000001</v>
      </c>
      <c r="E208">
        <v>0.40269999999999978</v>
      </c>
      <c r="F208">
        <v>0</v>
      </c>
      <c r="G208">
        <v>-0.17325621916755879</v>
      </c>
      <c r="H208">
        <v>-0.1201896021839934</v>
      </c>
      <c r="I208">
        <v>-5.3066616983565199E-2</v>
      </c>
      <c r="J208">
        <v>0</v>
      </c>
      <c r="K208">
        <v>2.2821526946175101</v>
      </c>
      <c r="L208">
        <v>1.33691782336267</v>
      </c>
      <c r="M208">
        <v>0.78488503394225573</v>
      </c>
      <c r="N208">
        <v>0.45979692491342422</v>
      </c>
      <c r="O208">
        <v>1.497267660675254</v>
      </c>
      <c r="P208">
        <v>0.87712089844924601</v>
      </c>
      <c r="Q208">
        <v>0</v>
      </c>
      <c r="R208">
        <v>0</v>
      </c>
      <c r="S208">
        <v>-0.64417912582679371</v>
      </c>
      <c r="T208">
        <v>-0.37736938320876229</v>
      </c>
      <c r="U208">
        <v>-0.4468736143519178</v>
      </c>
      <c r="V208">
        <v>-0.2617849810079016</v>
      </c>
      <c r="W208">
        <v>-0.19730551147487579</v>
      </c>
      <c r="X208">
        <v>-0.115584402200861</v>
      </c>
      <c r="Y208">
        <v>0</v>
      </c>
      <c r="Z208">
        <v>0</v>
      </c>
      <c r="AA208">
        <v>45.911572818750003</v>
      </c>
      <c r="AB208">
        <v>26.895658710639999</v>
      </c>
      <c r="AC208">
        <f t="shared" si="30"/>
        <v>1.3932780956303092</v>
      </c>
      <c r="AD208">
        <f t="shared" si="31"/>
        <v>0.91409757104973177</v>
      </c>
      <c r="AE208">
        <f t="shared" si="32"/>
        <v>0.65607689801238167</v>
      </c>
      <c r="AF208">
        <f t="shared" si="33"/>
        <v>0.47918052458057731</v>
      </c>
      <c r="AG208">
        <f t="shared" si="34"/>
        <v>0.34392310198761816</v>
      </c>
      <c r="AH208">
        <f t="shared" si="35"/>
        <v>-0.3932780956303093</v>
      </c>
      <c r="AI208">
        <f t="shared" si="36"/>
        <v>0.69371017537763624</v>
      </c>
      <c r="AJ208">
        <f t="shared" si="37"/>
        <v>0.30628982462236259</v>
      </c>
      <c r="AK208">
        <f t="shared" si="38"/>
        <v>9.5954844015390776E-3</v>
      </c>
      <c r="AL208">
        <f t="shared" si="39"/>
        <v>1.6379735687907161E-2</v>
      </c>
    </row>
    <row r="209" spans="1:38" x14ac:dyDescent="0.35">
      <c r="A209" t="s">
        <v>45</v>
      </c>
      <c r="B209" t="s">
        <v>71</v>
      </c>
      <c r="C209">
        <v>4.7477325349143564</v>
      </c>
      <c r="D209">
        <v>1.9972432538702221</v>
      </c>
      <c r="E209">
        <v>2.7504892810441341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1.8637257634241731</v>
      </c>
      <c r="L209">
        <v>1.869757869946526</v>
      </c>
      <c r="M209">
        <v>0.78401925144045759</v>
      </c>
      <c r="N209">
        <v>0.78655679625154373</v>
      </c>
      <c r="O209">
        <v>1.0797065119837159</v>
      </c>
      <c r="P209">
        <v>1.0832010736949831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253.92231856471</v>
      </c>
      <c r="AB209">
        <v>254.7441596875</v>
      </c>
      <c r="AC209">
        <f t="shared" si="30"/>
        <v>1</v>
      </c>
      <c r="AD209">
        <f t="shared" si="31"/>
        <v>0.57932692307692302</v>
      </c>
      <c r="AE209">
        <f t="shared" si="32"/>
        <v>0.57932692307692302</v>
      </c>
      <c r="AF209">
        <f t="shared" si="33"/>
        <v>0.42067307692307693</v>
      </c>
      <c r="AG209">
        <f t="shared" si="34"/>
        <v>0.42067307692307693</v>
      </c>
      <c r="AH209">
        <f t="shared" si="35"/>
        <v>0</v>
      </c>
      <c r="AI209">
        <v>0</v>
      </c>
      <c r="AJ209">
        <v>0</v>
      </c>
      <c r="AK209">
        <f t="shared" si="38"/>
        <v>1.869757869946527E-2</v>
      </c>
      <c r="AL209">
        <f t="shared" si="39"/>
        <v>1.863725763424174E-2</v>
      </c>
    </row>
    <row r="210" spans="1:38" x14ac:dyDescent="0.35">
      <c r="A210" t="s">
        <v>46</v>
      </c>
      <c r="B210" t="s">
        <v>71</v>
      </c>
      <c r="C210">
        <v>13.558428489130421</v>
      </c>
      <c r="D210">
        <v>4.56512743741763E-2</v>
      </c>
      <c r="E210">
        <v>13.512777214756239</v>
      </c>
      <c r="F210">
        <v>0.94726394326416241</v>
      </c>
      <c r="G210">
        <v>5.6949964781785178</v>
      </c>
      <c r="H210">
        <v>2.5907098207345158</v>
      </c>
      <c r="I210">
        <v>3.104286657444002</v>
      </c>
      <c r="J210">
        <v>0</v>
      </c>
      <c r="K210">
        <v>6.6494499562066292</v>
      </c>
      <c r="L210">
        <v>4.4963238828922023</v>
      </c>
      <c r="M210">
        <v>2.2388720391268001E-2</v>
      </c>
      <c r="N210">
        <v>1.51391376528356E-2</v>
      </c>
      <c r="O210">
        <v>6.6270612358153631</v>
      </c>
      <c r="P210">
        <v>4.4811847452393661</v>
      </c>
      <c r="Q210">
        <v>0.46456594811881358</v>
      </c>
      <c r="R210">
        <v>0.31413710629634078</v>
      </c>
      <c r="S210">
        <v>2.7929928688106971</v>
      </c>
      <c r="T210">
        <v>1.888607422191253</v>
      </c>
      <c r="U210">
        <v>1.2705598822044659</v>
      </c>
      <c r="V210">
        <v>0.85914606179842568</v>
      </c>
      <c r="W210">
        <v>1.5224329866062321</v>
      </c>
      <c r="X210">
        <v>1.0294613603928271</v>
      </c>
      <c r="Y210">
        <v>0</v>
      </c>
      <c r="Z210">
        <v>0</v>
      </c>
      <c r="AA210">
        <v>301.54474727050001</v>
      </c>
      <c r="AB210">
        <v>203.90300819506001</v>
      </c>
      <c r="AC210">
        <f t="shared" si="30"/>
        <v>0.70420865441612335</v>
      </c>
      <c r="AD210">
        <f t="shared" si="31"/>
        <v>0.70183758150563114</v>
      </c>
      <c r="AE210">
        <f t="shared" si="32"/>
        <v>0.99663299663299632</v>
      </c>
      <c r="AF210">
        <f t="shared" si="33"/>
        <v>2.3710729104919875E-3</v>
      </c>
      <c r="AG210">
        <f t="shared" si="34"/>
        <v>3.3670033670033521E-3</v>
      </c>
      <c r="AH210">
        <f t="shared" si="35"/>
        <v>0.29579134558387671</v>
      </c>
      <c r="AI210">
        <f t="shared" si="36"/>
        <v>0.45490981963927851</v>
      </c>
      <c r="AJ210">
        <f t="shared" si="37"/>
        <v>0.54509018036072154</v>
      </c>
      <c r="AK210">
        <f t="shared" si="38"/>
        <v>6.3849313050834536E-2</v>
      </c>
      <c r="AL210">
        <f t="shared" si="39"/>
        <v>9.4424428250173276E-2</v>
      </c>
    </row>
    <row r="211" spans="1:38" x14ac:dyDescent="0.35">
      <c r="A211" t="s">
        <v>47</v>
      </c>
      <c r="B211" t="s">
        <v>71</v>
      </c>
      <c r="C211">
        <v>0</v>
      </c>
      <c r="D211">
        <v>0</v>
      </c>
      <c r="E211">
        <v>0</v>
      </c>
      <c r="F211">
        <v>0</v>
      </c>
      <c r="G211">
        <v>-1.13737075332348E-2</v>
      </c>
      <c r="H211">
        <v>-1.13737075332348E-2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-5.48659316352813E-2</v>
      </c>
      <c r="T211">
        <v>-5.9644566302236197E-2</v>
      </c>
      <c r="U211">
        <v>-5.4865931635281202E-2</v>
      </c>
      <c r="V211">
        <v>-5.9644566302236003E-2</v>
      </c>
      <c r="W211">
        <v>0</v>
      </c>
      <c r="X211">
        <v>0</v>
      </c>
      <c r="Y211">
        <v>0</v>
      </c>
      <c r="Z211">
        <v>0</v>
      </c>
      <c r="AA211">
        <v>19.06914282116</v>
      </c>
      <c r="AB211">
        <v>20.729999827290001</v>
      </c>
      <c r="AC211">
        <f t="shared" si="30"/>
        <v>0</v>
      </c>
      <c r="AD211">
        <f t="shared" si="31"/>
        <v>0</v>
      </c>
      <c r="AE211">
        <v>0</v>
      </c>
      <c r="AF211">
        <f t="shared" si="33"/>
        <v>0</v>
      </c>
      <c r="AG211">
        <v>0</v>
      </c>
      <c r="AH211">
        <f t="shared" si="35"/>
        <v>1</v>
      </c>
      <c r="AI211">
        <f t="shared" si="36"/>
        <v>1</v>
      </c>
      <c r="AJ211">
        <f t="shared" si="37"/>
        <v>0</v>
      </c>
      <c r="AK211">
        <f t="shared" si="38"/>
        <v>-5.9644566302235731E-4</v>
      </c>
      <c r="AL211">
        <f t="shared" si="39"/>
        <v>-5.4865931635280989E-4</v>
      </c>
    </row>
    <row r="212" spans="1:38" x14ac:dyDescent="0.35">
      <c r="A212" t="s">
        <v>48</v>
      </c>
      <c r="B212" t="s">
        <v>71</v>
      </c>
      <c r="C212">
        <v>6.5953424585950131</v>
      </c>
      <c r="D212">
        <v>-0.91100784237983401</v>
      </c>
      <c r="E212">
        <v>7.5063503009748516</v>
      </c>
      <c r="F212">
        <v>0.48014543897033191</v>
      </c>
      <c r="G212">
        <v>5.864286921181141</v>
      </c>
      <c r="H212">
        <v>2.5309368338247782</v>
      </c>
      <c r="I212">
        <v>3.3333500873563642</v>
      </c>
      <c r="J212">
        <v>0</v>
      </c>
      <c r="K212">
        <v>1.7754873566843989</v>
      </c>
      <c r="L212">
        <v>1.578245587758127</v>
      </c>
      <c r="M212">
        <v>-0.24524623492110481</v>
      </c>
      <c r="N212">
        <v>-0.2180014330833264</v>
      </c>
      <c r="O212">
        <v>2.020733591605504</v>
      </c>
      <c r="P212">
        <v>1.7962470208414529</v>
      </c>
      <c r="Q212">
        <v>0.1292566931305503</v>
      </c>
      <c r="R212">
        <v>0.11489735753593359</v>
      </c>
      <c r="S212">
        <v>1.578684859791925</v>
      </c>
      <c r="T212">
        <v>1.403306199307419</v>
      </c>
      <c r="U212">
        <v>0.68133631835396868</v>
      </c>
      <c r="V212">
        <v>0.6056455621455934</v>
      </c>
      <c r="W212">
        <v>0.89734854143795628</v>
      </c>
      <c r="X212">
        <v>0.79766063716182589</v>
      </c>
      <c r="Y212">
        <v>0</v>
      </c>
      <c r="Z212">
        <v>0</v>
      </c>
      <c r="AA212">
        <v>417.89075855828003</v>
      </c>
      <c r="AB212">
        <v>371.46659669328</v>
      </c>
      <c r="AC212">
        <f t="shared" si="30"/>
        <v>0.52933696962930876</v>
      </c>
      <c r="AD212">
        <f t="shared" si="31"/>
        <v>0.6024537385645502</v>
      </c>
      <c r="AE212">
        <f t="shared" si="32"/>
        <v>1.1381289672369657</v>
      </c>
      <c r="AF212">
        <f t="shared" si="33"/>
        <v>-7.3116768935241064E-2</v>
      </c>
      <c r="AG212">
        <f t="shared" si="34"/>
        <v>-0.13812896723696488</v>
      </c>
      <c r="AH212">
        <f t="shared" si="35"/>
        <v>0.47066303037069129</v>
      </c>
      <c r="AI212">
        <f t="shared" si="36"/>
        <v>0.43158475494835025</v>
      </c>
      <c r="AJ212">
        <f t="shared" si="37"/>
        <v>0.56841524505164998</v>
      </c>
      <c r="AK212">
        <f t="shared" si="38"/>
        <v>2.9815517870655433E-2</v>
      </c>
      <c r="AL212">
        <f t="shared" si="39"/>
        <v>3.3541722164763227E-2</v>
      </c>
    </row>
    <row r="213" spans="1:38" x14ac:dyDescent="0.35">
      <c r="A213" t="s">
        <v>49</v>
      </c>
      <c r="B213" t="s">
        <v>71</v>
      </c>
      <c r="C213">
        <v>1.166510413053409</v>
      </c>
      <c r="D213">
        <v>1.488969708484992</v>
      </c>
      <c r="E213">
        <v>-0.32245929543158519</v>
      </c>
      <c r="F213">
        <v>-2.753047915082E-4</v>
      </c>
      <c r="G213">
        <v>-1.184956304280554</v>
      </c>
      <c r="H213">
        <v>0.1559669822328637</v>
      </c>
      <c r="I213">
        <v>-1.340923286513416</v>
      </c>
      <c r="J213">
        <v>0</v>
      </c>
      <c r="K213">
        <v>0.32542252708848268</v>
      </c>
      <c r="L213">
        <v>0.34068972667221858</v>
      </c>
      <c r="M213">
        <v>0.4153793055520727</v>
      </c>
      <c r="N213">
        <v>0.43486682787437791</v>
      </c>
      <c r="O213">
        <v>-8.9956778463591194E-2</v>
      </c>
      <c r="P213">
        <v>-9.4177101202159705E-2</v>
      </c>
      <c r="Q213">
        <v>-7.6802041344636862E-5</v>
      </c>
      <c r="R213">
        <v>-8.0405209521350329E-5</v>
      </c>
      <c r="S213">
        <v>-0.33056839502962188</v>
      </c>
      <c r="T213">
        <v>-0.34607701303509941</v>
      </c>
      <c r="U213">
        <v>4.3510258402004599E-2</v>
      </c>
      <c r="V213">
        <v>4.55515424056245E-2</v>
      </c>
      <c r="W213">
        <v>-0.374078653431626</v>
      </c>
      <c r="X213">
        <v>-0.39162855544072439</v>
      </c>
      <c r="Y213">
        <v>0</v>
      </c>
      <c r="Z213">
        <v>0</v>
      </c>
      <c r="AA213">
        <v>342.39670930134002</v>
      </c>
      <c r="AB213">
        <v>358.46025273358998</v>
      </c>
      <c r="AC213">
        <f t="shared" si="30"/>
        <v>-63.239579952459522</v>
      </c>
      <c r="AD213">
        <f t="shared" si="31"/>
        <v>17.481361646384066</v>
      </c>
      <c r="AE213">
        <f t="shared" si="32"/>
        <v>-0.27643070462399832</v>
      </c>
      <c r="AF213">
        <f t="shared" si="33"/>
        <v>-80.720941598843467</v>
      </c>
      <c r="AG213">
        <f t="shared" si="34"/>
        <v>1.2764307046239964</v>
      </c>
      <c r="AH213">
        <f t="shared" si="35"/>
        <v>64.239579952459522</v>
      </c>
      <c r="AI213">
        <f t="shared" si="36"/>
        <v>-0.13162255997917074</v>
      </c>
      <c r="AJ213">
        <f t="shared" si="37"/>
        <v>1.1316225599791694</v>
      </c>
      <c r="AK213">
        <f t="shared" si="38"/>
        <v>-5.3872863628811825E-5</v>
      </c>
      <c r="AL213">
        <f t="shared" si="39"/>
        <v>-5.1458679411393831E-5</v>
      </c>
    </row>
    <row r="214" spans="1:38" x14ac:dyDescent="0.35">
      <c r="A214" t="s">
        <v>50</v>
      </c>
      <c r="B214" t="s">
        <v>71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55.422589739999999</v>
      </c>
      <c r="AB214">
        <v>30.160077523049999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f t="shared" si="38"/>
        <v>0</v>
      </c>
      <c r="AL214">
        <f t="shared" si="39"/>
        <v>0</v>
      </c>
    </row>
    <row r="215" spans="1:38" x14ac:dyDescent="0.35">
      <c r="A215" t="s">
        <v>51</v>
      </c>
      <c r="B215" t="s">
        <v>71</v>
      </c>
      <c r="C215">
        <v>0.55575232444005618</v>
      </c>
      <c r="D215">
        <v>0.35618561001317589</v>
      </c>
      <c r="E215">
        <v>0.19956671442688059</v>
      </c>
      <c r="F215">
        <v>0.10354076424571949</v>
      </c>
      <c r="G215">
        <v>0</v>
      </c>
      <c r="H215">
        <v>0</v>
      </c>
      <c r="I215">
        <v>0</v>
      </c>
      <c r="J215">
        <v>0</v>
      </c>
      <c r="K215">
        <v>1.152612134056253</v>
      </c>
      <c r="L215">
        <v>0.57213793525164292</v>
      </c>
      <c r="M215">
        <v>0.73871729909731676</v>
      </c>
      <c r="N215">
        <v>0.36668726430358928</v>
      </c>
      <c r="O215">
        <v>0.41389483495893481</v>
      </c>
      <c r="P215">
        <v>0.205450670948053</v>
      </c>
      <c r="Q215">
        <v>0.21474015670436719</v>
      </c>
      <c r="R215">
        <v>0.10659352460578431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97.136073348400004</v>
      </c>
      <c r="AB215">
        <v>48.216768505140003</v>
      </c>
      <c r="AC215">
        <f t="shared" si="30"/>
        <v>1</v>
      </c>
      <c r="AD215">
        <f t="shared" si="31"/>
        <v>0.35909290101116975</v>
      </c>
      <c r="AE215">
        <f t="shared" si="32"/>
        <v>0.35909290101116975</v>
      </c>
      <c r="AF215">
        <f t="shared" si="33"/>
        <v>0.6409070989888308</v>
      </c>
      <c r="AG215">
        <f t="shared" si="34"/>
        <v>0.6409070989888308</v>
      </c>
      <c r="AH215">
        <f t="shared" si="35"/>
        <v>0</v>
      </c>
      <c r="AI215">
        <v>0</v>
      </c>
      <c r="AJ215">
        <v>0</v>
      </c>
      <c r="AK215">
        <f t="shared" si="38"/>
        <v>5.7213793525164192E-3</v>
      </c>
      <c r="AL215">
        <f t="shared" si="39"/>
        <v>1.1526121340562504E-2</v>
      </c>
    </row>
    <row r="216" spans="1:38" x14ac:dyDescent="0.35">
      <c r="A216" t="s">
        <v>52</v>
      </c>
      <c r="B216" t="s">
        <v>71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66.343484468840003</v>
      </c>
      <c r="AB216">
        <v>66.557495896739994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f t="shared" si="38"/>
        <v>0</v>
      </c>
      <c r="AL216">
        <f t="shared" si="39"/>
        <v>0</v>
      </c>
    </row>
    <row r="217" spans="1:38" x14ac:dyDescent="0.35">
      <c r="A217" t="s">
        <v>53</v>
      </c>
      <c r="B217" t="s">
        <v>71</v>
      </c>
      <c r="C217">
        <v>52.727221902173874</v>
      </c>
      <c r="D217">
        <v>12.143238983530949</v>
      </c>
      <c r="E217">
        <v>40.58398291864291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6.2751794119408801</v>
      </c>
      <c r="L217">
        <v>5.6547549801443484</v>
      </c>
      <c r="M217">
        <v>1.4451928342651721</v>
      </c>
      <c r="N217">
        <v>1.3023072075483959</v>
      </c>
      <c r="O217">
        <v>4.8299865776757072</v>
      </c>
      <c r="P217">
        <v>4.3524477725959532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932.44043441874999</v>
      </c>
      <c r="AB217">
        <v>840.25042856688003</v>
      </c>
      <c r="AC217">
        <f t="shared" si="30"/>
        <v>1</v>
      </c>
      <c r="AD217">
        <f t="shared" si="31"/>
        <v>0.76969696969696955</v>
      </c>
      <c r="AE217">
        <f t="shared" si="32"/>
        <v>0.76969696969696955</v>
      </c>
      <c r="AF217">
        <f t="shared" si="33"/>
        <v>0.23030303030303023</v>
      </c>
      <c r="AG217">
        <f t="shared" si="34"/>
        <v>0.23030303030303023</v>
      </c>
      <c r="AH217">
        <f t="shared" si="35"/>
        <v>0</v>
      </c>
      <c r="AI217">
        <v>0</v>
      </c>
      <c r="AJ217">
        <v>0</v>
      </c>
      <c r="AK217">
        <f t="shared" si="38"/>
        <v>5.6547549801443497E-2</v>
      </c>
      <c r="AL217">
        <f t="shared" si="39"/>
        <v>6.2751794119408802E-2</v>
      </c>
    </row>
    <row r="218" spans="1:38" x14ac:dyDescent="0.35">
      <c r="A218" t="s">
        <v>54</v>
      </c>
      <c r="B218" t="s">
        <v>71</v>
      </c>
      <c r="C218">
        <v>0</v>
      </c>
      <c r="D218">
        <v>0.78002577101263615</v>
      </c>
      <c r="E218">
        <v>-0.78002577101263171</v>
      </c>
      <c r="F218">
        <v>0</v>
      </c>
      <c r="G218">
        <v>-2.3725783868301029</v>
      </c>
      <c r="H218">
        <v>6.5002147584385994E-2</v>
      </c>
      <c r="I218">
        <v>-2.4375805344144892</v>
      </c>
      <c r="J218">
        <v>0</v>
      </c>
      <c r="K218">
        <v>0</v>
      </c>
      <c r="L218">
        <v>0</v>
      </c>
      <c r="M218">
        <v>0.38436448129134071</v>
      </c>
      <c r="N218">
        <v>0.4021294374513984</v>
      </c>
      <c r="O218">
        <v>-0.38436448129133538</v>
      </c>
      <c r="P218">
        <v>-0.4021294374513964</v>
      </c>
      <c r="Q218">
        <v>0</v>
      </c>
      <c r="R218">
        <v>0</v>
      </c>
      <c r="S218">
        <v>-1.169108630594496</v>
      </c>
      <c r="T218">
        <v>-1.2231437055813379</v>
      </c>
      <c r="U218">
        <v>3.20303734409449E-2</v>
      </c>
      <c r="V218">
        <v>3.3510786454283001E-2</v>
      </c>
      <c r="W218">
        <v>-1.201139004035441</v>
      </c>
      <c r="X218">
        <v>-1.2566544920356211</v>
      </c>
      <c r="Y218">
        <v>0</v>
      </c>
      <c r="Z218">
        <v>0</v>
      </c>
      <c r="AA218">
        <v>193.97380504054999</v>
      </c>
      <c r="AB218">
        <v>202.93908750153</v>
      </c>
      <c r="AC218">
        <f t="shared" si="30"/>
        <v>0</v>
      </c>
      <c r="AD218">
        <f t="shared" si="31"/>
        <v>0.32876712328766916</v>
      </c>
      <c r="AE218">
        <v>0</v>
      </c>
      <c r="AF218">
        <f t="shared" si="33"/>
        <v>-0.32876712328767105</v>
      </c>
      <c r="AG218">
        <v>0</v>
      </c>
      <c r="AH218">
        <f t="shared" si="35"/>
        <v>1</v>
      </c>
      <c r="AI218">
        <f t="shared" si="36"/>
        <v>-2.7397260273972438E-2</v>
      </c>
      <c r="AJ218">
        <f t="shared" si="37"/>
        <v>1.0273972602739725</v>
      </c>
      <c r="AK218">
        <f t="shared" si="38"/>
        <v>-1.2231437055813378E-2</v>
      </c>
      <c r="AL218">
        <f t="shared" si="39"/>
        <v>-1.1691086305944958E-2</v>
      </c>
    </row>
    <row r="219" spans="1:38" x14ac:dyDescent="0.35">
      <c r="A219" t="s">
        <v>55</v>
      </c>
      <c r="B219" t="s">
        <v>71</v>
      </c>
      <c r="C219">
        <v>10.503584387998931</v>
      </c>
      <c r="D219">
        <v>1.4762368351181501</v>
      </c>
      <c r="E219">
        <v>9.0273475528807801</v>
      </c>
      <c r="F219">
        <v>0</v>
      </c>
      <c r="G219">
        <v>0.83901230197362509</v>
      </c>
      <c r="H219">
        <v>0.83901230197362509</v>
      </c>
      <c r="I219">
        <v>0</v>
      </c>
      <c r="J219">
        <v>0</v>
      </c>
      <c r="K219">
        <v>2.5602928587666658</v>
      </c>
      <c r="L219">
        <v>3.178528896479957</v>
      </c>
      <c r="M219">
        <v>0.35983893566083569</v>
      </c>
      <c r="N219">
        <v>0.44672954156796141</v>
      </c>
      <c r="O219">
        <v>2.20045392310583</v>
      </c>
      <c r="P219">
        <v>2.731799354911995</v>
      </c>
      <c r="Q219">
        <v>0</v>
      </c>
      <c r="R219">
        <v>0</v>
      </c>
      <c r="S219">
        <v>0.2045127763827769</v>
      </c>
      <c r="T219">
        <v>0.25389664592711542</v>
      </c>
      <c r="U219">
        <v>0.2045127763827769</v>
      </c>
      <c r="V219">
        <v>0.25389664592711497</v>
      </c>
      <c r="W219">
        <v>0</v>
      </c>
      <c r="X219">
        <v>0</v>
      </c>
      <c r="Y219">
        <v>0</v>
      </c>
      <c r="Z219">
        <v>0</v>
      </c>
      <c r="AA219">
        <v>330.45426768437</v>
      </c>
      <c r="AB219">
        <v>410.24933347112</v>
      </c>
      <c r="AC219">
        <f t="shared" si="30"/>
        <v>0.92602996254681647</v>
      </c>
      <c r="AD219">
        <f t="shared" si="31"/>
        <v>0.79588014981273414</v>
      </c>
      <c r="AE219">
        <f t="shared" si="32"/>
        <v>0.85945399393326594</v>
      </c>
      <c r="AF219">
        <f t="shared" si="33"/>
        <v>0.13014981273408233</v>
      </c>
      <c r="AG219">
        <f t="shared" si="34"/>
        <v>0.14054600606673398</v>
      </c>
      <c r="AH219">
        <f t="shared" si="35"/>
        <v>7.3970037453183493E-2</v>
      </c>
      <c r="AI219">
        <f t="shared" si="36"/>
        <v>1</v>
      </c>
      <c r="AJ219">
        <f t="shared" si="37"/>
        <v>0</v>
      </c>
      <c r="AK219">
        <f t="shared" si="38"/>
        <v>3.4324255424070721E-2</v>
      </c>
      <c r="AL219">
        <f t="shared" si="39"/>
        <v>2.7648056351494431E-2</v>
      </c>
    </row>
    <row r="220" spans="1:38" x14ac:dyDescent="0.35">
      <c r="A220" t="s">
        <v>56</v>
      </c>
      <c r="B220" t="s">
        <v>71</v>
      </c>
      <c r="C220">
        <v>0.45651274374176509</v>
      </c>
      <c r="D220">
        <v>0</v>
      </c>
      <c r="E220">
        <v>0.45651274374176509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0.20530124788873119</v>
      </c>
      <c r="L220">
        <v>0.13378998732291689</v>
      </c>
      <c r="M220">
        <v>0</v>
      </c>
      <c r="N220">
        <v>0</v>
      </c>
      <c r="O220">
        <v>0.20530124788873119</v>
      </c>
      <c r="P220">
        <v>0.13378998732291689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341.21592570296002</v>
      </c>
      <c r="AB220">
        <v>222.36238134761999</v>
      </c>
      <c r="AC220">
        <f t="shared" si="30"/>
        <v>1</v>
      </c>
      <c r="AD220">
        <f t="shared" si="31"/>
        <v>1</v>
      </c>
      <c r="AE220">
        <f t="shared" si="32"/>
        <v>1</v>
      </c>
      <c r="AF220">
        <f t="shared" si="33"/>
        <v>0</v>
      </c>
      <c r="AG220">
        <f t="shared" si="34"/>
        <v>0</v>
      </c>
      <c r="AH220">
        <f t="shared" si="35"/>
        <v>0</v>
      </c>
      <c r="AI220">
        <v>0</v>
      </c>
      <c r="AJ220">
        <v>0</v>
      </c>
      <c r="AK220">
        <f t="shared" si="38"/>
        <v>1.3378998732291728E-3</v>
      </c>
      <c r="AL220">
        <f t="shared" si="39"/>
        <v>2.0530124788873212E-3</v>
      </c>
    </row>
    <row r="221" spans="1:38" x14ac:dyDescent="0.35">
      <c r="A221" t="s">
        <v>57</v>
      </c>
      <c r="B221" t="s">
        <v>71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181.71174374815001</v>
      </c>
      <c r="AB221">
        <v>99.489061173690004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f t="shared" si="38"/>
        <v>0</v>
      </c>
      <c r="AL221">
        <f t="shared" si="39"/>
        <v>0</v>
      </c>
    </row>
    <row r="222" spans="1:38" x14ac:dyDescent="0.35">
      <c r="A222" t="s">
        <v>58</v>
      </c>
      <c r="B222" t="s">
        <v>71</v>
      </c>
      <c r="C222">
        <v>0.35570577116271801</v>
      </c>
      <c r="D222">
        <v>-4.4512743741764997E-2</v>
      </c>
      <c r="E222">
        <v>0.40021851490448318</v>
      </c>
      <c r="F222">
        <v>0.374</v>
      </c>
      <c r="G222">
        <v>0</v>
      </c>
      <c r="H222">
        <v>0</v>
      </c>
      <c r="I222">
        <v>0</v>
      </c>
      <c r="J222">
        <v>0</v>
      </c>
      <c r="K222">
        <v>0.70551376153752976</v>
      </c>
      <c r="L222">
        <v>0.46780390947431361</v>
      </c>
      <c r="M222">
        <v>-8.8287443779602806E-2</v>
      </c>
      <c r="N222">
        <v>-5.8540617645194998E-2</v>
      </c>
      <c r="O222">
        <v>0.79380120531713239</v>
      </c>
      <c r="P222">
        <v>0.52634452711950885</v>
      </c>
      <c r="Q222">
        <v>0.74179889168661206</v>
      </c>
      <c r="R222">
        <v>0.49186343412842198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76.037366075549997</v>
      </c>
      <c r="AB222">
        <v>50.417977728389999</v>
      </c>
      <c r="AC222">
        <f t="shared" si="30"/>
        <v>1</v>
      </c>
      <c r="AD222">
        <f t="shared" si="31"/>
        <v>1.125139222780287</v>
      </c>
      <c r="AE222">
        <f t="shared" si="32"/>
        <v>1.125139222780287</v>
      </c>
      <c r="AF222">
        <f t="shared" si="33"/>
        <v>-0.12513922278028655</v>
      </c>
      <c r="AG222">
        <f t="shared" si="34"/>
        <v>-0.12513922278028655</v>
      </c>
      <c r="AH222">
        <f t="shared" si="35"/>
        <v>0</v>
      </c>
      <c r="AI222">
        <v>0</v>
      </c>
      <c r="AJ222">
        <v>0</v>
      </c>
      <c r="AK222">
        <f t="shared" si="38"/>
        <v>4.6780390947431319E-3</v>
      </c>
      <c r="AL222">
        <f t="shared" si="39"/>
        <v>7.0551376153752919E-3</v>
      </c>
    </row>
    <row r="223" spans="1:38" x14ac:dyDescent="0.35">
      <c r="A223" t="s">
        <v>59</v>
      </c>
      <c r="B223" t="s">
        <v>71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521.00449074291998</v>
      </c>
      <c r="AB223">
        <v>549.82128194673999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f t="shared" si="38"/>
        <v>0</v>
      </c>
      <c r="AL223">
        <f t="shared" si="39"/>
        <v>0</v>
      </c>
    </row>
    <row r="224" spans="1:38" x14ac:dyDescent="0.35">
      <c r="A224" t="s">
        <v>60</v>
      </c>
      <c r="B224" t="s">
        <v>71</v>
      </c>
      <c r="C224">
        <v>3.83227990690667</v>
      </c>
      <c r="D224">
        <v>2.2988468883408602</v>
      </c>
      <c r="E224">
        <v>1.5334330185658089</v>
      </c>
      <c r="F224">
        <v>0</v>
      </c>
      <c r="G224">
        <v>2.6534631329298E-3</v>
      </c>
      <c r="H224">
        <v>6.061594821082928E-5</v>
      </c>
      <c r="I224">
        <v>2.5928471847223001E-3</v>
      </c>
      <c r="J224">
        <v>0</v>
      </c>
      <c r="K224">
        <v>0.51294735991859142</v>
      </c>
      <c r="L224">
        <v>0.64864381941725213</v>
      </c>
      <c r="M224">
        <v>0.3076986730813529</v>
      </c>
      <c r="N224">
        <v>0.38909809881619178</v>
      </c>
      <c r="O224">
        <v>0.20524868683723871</v>
      </c>
      <c r="P224">
        <v>0.2595457206010589</v>
      </c>
      <c r="Q224">
        <v>0</v>
      </c>
      <c r="R224">
        <v>0</v>
      </c>
      <c r="S224">
        <v>3.5516375153660002E-4</v>
      </c>
      <c r="T224">
        <v>4.4911971542919998E-4</v>
      </c>
      <c r="U224">
        <v>8.1133923823251131E-6</v>
      </c>
      <c r="V224">
        <v>1.025973079216147E-5</v>
      </c>
      <c r="W224">
        <v>3.4705035915470002E-4</v>
      </c>
      <c r="X224">
        <v>4.3885998463630001E-4</v>
      </c>
      <c r="Y224">
        <v>0</v>
      </c>
      <c r="Z224">
        <v>0</v>
      </c>
      <c r="AA224">
        <v>590.81421763174001</v>
      </c>
      <c r="AB224">
        <v>747.10978286638999</v>
      </c>
      <c r="AC224">
        <f t="shared" si="30"/>
        <v>0.99930808103377755</v>
      </c>
      <c r="AD224">
        <f t="shared" si="31"/>
        <v>0.3998591033017021</v>
      </c>
      <c r="AE224">
        <f t="shared" si="32"/>
        <v>0.40013596496492909</v>
      </c>
      <c r="AF224">
        <f t="shared" si="33"/>
        <v>0.59944897773207517</v>
      </c>
      <c r="AG224">
        <f t="shared" si="34"/>
        <v>0.59986403503507069</v>
      </c>
      <c r="AH224">
        <f t="shared" si="35"/>
        <v>6.9191896622245624E-4</v>
      </c>
      <c r="AI224">
        <f t="shared" si="36"/>
        <v>2.2844089091941015E-2</v>
      </c>
      <c r="AJ224">
        <f t="shared" si="37"/>
        <v>0.97715591090931375</v>
      </c>
      <c r="AK224">
        <f t="shared" si="38"/>
        <v>6.4909293913267829E-3</v>
      </c>
      <c r="AL224">
        <f t="shared" si="39"/>
        <v>5.1330252367012882E-3</v>
      </c>
    </row>
    <row r="225" spans="1:38" x14ac:dyDescent="0.35">
      <c r="A225" t="s">
        <v>61</v>
      </c>
      <c r="B225" t="s">
        <v>71</v>
      </c>
      <c r="C225">
        <v>14.902985591190401</v>
      </c>
      <c r="D225">
        <v>-0.69891173880890034</v>
      </c>
      <c r="E225">
        <v>15.6018973299993</v>
      </c>
      <c r="F225">
        <v>0.2461605787508705</v>
      </c>
      <c r="G225">
        <v>3.285928135838565</v>
      </c>
      <c r="H225">
        <v>3.285928135838565</v>
      </c>
      <c r="I225">
        <v>0</v>
      </c>
      <c r="J225">
        <v>-1.4672521220830279</v>
      </c>
      <c r="K225">
        <v>5.6890427775433512</v>
      </c>
      <c r="L225">
        <v>3.3771511402726562</v>
      </c>
      <c r="M225">
        <v>-0.26680149125028052</v>
      </c>
      <c r="N225">
        <v>-0.1583797126572869</v>
      </c>
      <c r="O225">
        <v>5.9558442687936326</v>
      </c>
      <c r="P225">
        <v>3.5355308529299432</v>
      </c>
      <c r="Q225">
        <v>9.3968960386458397E-2</v>
      </c>
      <c r="R225">
        <v>5.5782210492781897E-2</v>
      </c>
      <c r="S225">
        <v>1.254365148133092</v>
      </c>
      <c r="T225">
        <v>0.74462099442416596</v>
      </c>
      <c r="U225">
        <v>1.254365148133092</v>
      </c>
      <c r="V225">
        <v>0.74462099442416596</v>
      </c>
      <c r="W225">
        <v>0</v>
      </c>
      <c r="X225">
        <v>0</v>
      </c>
      <c r="Y225">
        <v>-0.56010656635848299</v>
      </c>
      <c r="Z225">
        <v>-0.33249258323709963</v>
      </c>
      <c r="AA225">
        <v>441.28867711817003</v>
      </c>
      <c r="AB225">
        <v>261.95945739796002</v>
      </c>
      <c r="AC225">
        <f t="shared" si="30"/>
        <v>0.81934445425646107</v>
      </c>
      <c r="AD225">
        <f t="shared" si="31"/>
        <v>0.85776960428454152</v>
      </c>
      <c r="AE225">
        <f t="shared" si="32"/>
        <v>1.046897431023623</v>
      </c>
      <c r="AF225">
        <f t="shared" si="33"/>
        <v>-3.8425150028080474E-2</v>
      </c>
      <c r="AG225">
        <f t="shared" si="34"/>
        <v>-4.6897431023623072E-2</v>
      </c>
      <c r="AH225">
        <f t="shared" si="35"/>
        <v>0.18065554574353898</v>
      </c>
      <c r="AI225">
        <f t="shared" si="36"/>
        <v>1</v>
      </c>
      <c r="AJ225">
        <f t="shared" si="37"/>
        <v>0</v>
      </c>
      <c r="AK225">
        <f t="shared" si="38"/>
        <v>4.1217721346968224E-2</v>
      </c>
      <c r="AL225">
        <f t="shared" si="39"/>
        <v>6.9434079256764439E-2</v>
      </c>
    </row>
    <row r="226" spans="1:38" x14ac:dyDescent="0.35">
      <c r="A226" t="s">
        <v>62</v>
      </c>
      <c r="B226" t="s">
        <v>71</v>
      </c>
      <c r="C226">
        <v>1.641063455184661</v>
      </c>
      <c r="D226">
        <v>0.95449139438317199</v>
      </c>
      <c r="E226">
        <v>0.68657206080148825</v>
      </c>
      <c r="F226">
        <v>0.37365202662225599</v>
      </c>
      <c r="G226">
        <v>6.5253723489826498E-2</v>
      </c>
      <c r="H226">
        <v>6.3087624784770896E-2</v>
      </c>
      <c r="I226">
        <v>2.1660987050564E-3</v>
      </c>
      <c r="J226">
        <v>0</v>
      </c>
      <c r="K226">
        <v>0.51058955444495968</v>
      </c>
      <c r="L226">
        <v>0.2376736897654359</v>
      </c>
      <c r="M226">
        <v>0.29697409581569939</v>
      </c>
      <c r="N226">
        <v>0.13823809849380689</v>
      </c>
      <c r="O226">
        <v>0.21361545862926021</v>
      </c>
      <c r="P226">
        <v>9.9435591271628904E-2</v>
      </c>
      <c r="Q226">
        <v>0.1162556031503645</v>
      </c>
      <c r="R226">
        <v>5.4115674549374097E-2</v>
      </c>
      <c r="S226">
        <v>2.0302608955969199E-2</v>
      </c>
      <c r="T226">
        <v>9.4506359176803993E-3</v>
      </c>
      <c r="U226">
        <v>1.9628663430459801E-2</v>
      </c>
      <c r="V226">
        <v>9.1369218623216005E-3</v>
      </c>
      <c r="W226">
        <v>6.7394552550930004E-4</v>
      </c>
      <c r="X226">
        <v>3.1371405535860001E-4</v>
      </c>
      <c r="Y226">
        <v>0</v>
      </c>
      <c r="Z226">
        <v>0</v>
      </c>
      <c r="AA226">
        <v>690.46912883131995</v>
      </c>
      <c r="AB226">
        <v>321.40560669490998</v>
      </c>
      <c r="AC226">
        <f t="shared" si="30"/>
        <v>0.96175756517875688</v>
      </c>
      <c r="AD226">
        <f t="shared" si="31"/>
        <v>0.40237071359431292</v>
      </c>
      <c r="AE226">
        <f t="shared" si="32"/>
        <v>0.41837020904486083</v>
      </c>
      <c r="AF226">
        <f t="shared" si="33"/>
        <v>0.55938685158444357</v>
      </c>
      <c r="AG226">
        <f t="shared" si="34"/>
        <v>0.58162979095513867</v>
      </c>
      <c r="AH226">
        <f t="shared" si="35"/>
        <v>3.8242434821243093E-2</v>
      </c>
      <c r="AI226">
        <f t="shared" si="36"/>
        <v>0.96680497925312547</v>
      </c>
      <c r="AJ226">
        <f t="shared" si="37"/>
        <v>3.3195020746886718E-2</v>
      </c>
      <c r="AK226">
        <f t="shared" si="38"/>
        <v>2.4712432568311637E-3</v>
      </c>
      <c r="AL226">
        <f t="shared" si="39"/>
        <v>5.3089216340092863E-3</v>
      </c>
    </row>
    <row r="227" spans="1:38" x14ac:dyDescent="0.35">
      <c r="A227" t="s">
        <v>63</v>
      </c>
      <c r="B227" t="s">
        <v>71</v>
      </c>
      <c r="C227">
        <v>-1.403090843141E-4</v>
      </c>
      <c r="D227">
        <v>0</v>
      </c>
      <c r="E227">
        <v>-1.403090843141E-4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-2.179304888159E-4</v>
      </c>
      <c r="L227">
        <v>-1.537912092703E-4</v>
      </c>
      <c r="M227">
        <v>0</v>
      </c>
      <c r="N227">
        <v>0</v>
      </c>
      <c r="O227">
        <v>-2.179304888156E-4</v>
      </c>
      <c r="P227">
        <v>-1.537912092703E-4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91.233487908610002</v>
      </c>
      <c r="AB227">
        <v>64.38249419652</v>
      </c>
      <c r="AC227">
        <f t="shared" si="30"/>
        <v>1</v>
      </c>
      <c r="AD227">
        <f t="shared" si="31"/>
        <v>1</v>
      </c>
      <c r="AE227">
        <f t="shared" si="32"/>
        <v>1</v>
      </c>
      <c r="AF227">
        <f t="shared" si="33"/>
        <v>0</v>
      </c>
      <c r="AG227">
        <f t="shared" si="34"/>
        <v>0</v>
      </c>
      <c r="AH227">
        <f t="shared" si="35"/>
        <v>0</v>
      </c>
      <c r="AI227">
        <v>0</v>
      </c>
      <c r="AJ227">
        <v>0</v>
      </c>
      <c r="AK227">
        <f t="shared" si="38"/>
        <v>-1.5379120927027341E-6</v>
      </c>
      <c r="AL227">
        <f t="shared" si="39"/>
        <v>-2.1793048881552027E-6</v>
      </c>
    </row>
    <row r="228" spans="1:38" x14ac:dyDescent="0.35">
      <c r="A228" t="s">
        <v>64</v>
      </c>
      <c r="B228" t="s">
        <v>71</v>
      </c>
      <c r="C228">
        <v>2.5891373283260459</v>
      </c>
      <c r="D228">
        <v>2.835790430632358</v>
      </c>
      <c r="E228">
        <v>-0.24665310230631299</v>
      </c>
      <c r="F228">
        <v>-2.9</v>
      </c>
      <c r="G228">
        <v>-6.4232296886403001E-3</v>
      </c>
      <c r="H228">
        <v>0</v>
      </c>
      <c r="I228">
        <v>-6.4232296886403001E-3</v>
      </c>
      <c r="J228">
        <v>0</v>
      </c>
      <c r="K228">
        <v>1.756729210686371</v>
      </c>
      <c r="L228">
        <v>0.83550701246794823</v>
      </c>
      <c r="M228">
        <v>1.9240832961523839</v>
      </c>
      <c r="N228">
        <v>0.91510124424905481</v>
      </c>
      <c r="O228">
        <v>-0.1673540854660116</v>
      </c>
      <c r="P228">
        <v>-7.9594231781106403E-2</v>
      </c>
      <c r="Q228">
        <v>-1.967649477397261</v>
      </c>
      <c r="R228">
        <v>-0.93582148372314078</v>
      </c>
      <c r="S228">
        <v>-4.3581601862259E-3</v>
      </c>
      <c r="T228">
        <v>-2.0727573577650001E-3</v>
      </c>
      <c r="U228">
        <v>0</v>
      </c>
      <c r="V228">
        <v>0</v>
      </c>
      <c r="W228">
        <v>-4.3581601862259E-3</v>
      </c>
      <c r="X228">
        <v>-2.0727573577650001E-3</v>
      </c>
      <c r="Y228">
        <v>0</v>
      </c>
      <c r="Z228">
        <v>0</v>
      </c>
      <c r="AA228">
        <v>309.88816247970999</v>
      </c>
      <c r="AB228">
        <v>147.38397429586999</v>
      </c>
      <c r="AC228">
        <f t="shared" si="30"/>
        <v>1.0024870076374419</v>
      </c>
      <c r="AD228">
        <f t="shared" si="31"/>
        <v>-9.5501512318550016E-2</v>
      </c>
      <c r="AE228">
        <f t="shared" si="32"/>
        <v>-9.5264588559225455E-2</v>
      </c>
      <c r="AF228">
        <f t="shared" si="33"/>
        <v>1.0979885199559918</v>
      </c>
      <c r="AG228">
        <f t="shared" si="34"/>
        <v>1.0952645885592251</v>
      </c>
      <c r="AH228">
        <f t="shared" si="35"/>
        <v>-2.4870076374419775E-3</v>
      </c>
      <c r="AI228">
        <f t="shared" si="36"/>
        <v>0</v>
      </c>
      <c r="AJ228">
        <f t="shared" si="37"/>
        <v>1</v>
      </c>
      <c r="AK228">
        <f t="shared" si="38"/>
        <v>8.3343425511018324E-3</v>
      </c>
      <c r="AL228">
        <f t="shared" si="39"/>
        <v>1.7523710505001483E-2</v>
      </c>
    </row>
    <row r="229" spans="1:38" x14ac:dyDescent="0.35">
      <c r="A229" t="s">
        <v>65</v>
      </c>
      <c r="B229" t="s">
        <v>71</v>
      </c>
      <c r="C229">
        <v>-7.7699446744038454</v>
      </c>
      <c r="D229">
        <v>1.58988966934996</v>
      </c>
      <c r="E229">
        <v>-9.3598343437538034</v>
      </c>
      <c r="F229">
        <v>0</v>
      </c>
      <c r="G229">
        <v>-3.0772058116450829</v>
      </c>
      <c r="H229">
        <v>-3.0772058116450851</v>
      </c>
      <c r="I229">
        <v>0</v>
      </c>
      <c r="J229">
        <v>0</v>
      </c>
      <c r="K229">
        <v>-1.3595629562793881</v>
      </c>
      <c r="L229">
        <v>-0.63927912437979018</v>
      </c>
      <c r="M229">
        <v>0.27819440029479181</v>
      </c>
      <c r="N229">
        <v>0.1308095898070856</v>
      </c>
      <c r="O229">
        <v>-1.6377573565741801</v>
      </c>
      <c r="P229">
        <v>-0.77008871418687574</v>
      </c>
      <c r="Q229">
        <v>0</v>
      </c>
      <c r="R229">
        <v>0</v>
      </c>
      <c r="S229">
        <v>-0.53844077476411378</v>
      </c>
      <c r="T229">
        <v>-0.25317985123952091</v>
      </c>
      <c r="U229">
        <v>-0.53844077476411356</v>
      </c>
      <c r="V229">
        <v>-0.25317985123952058</v>
      </c>
      <c r="W229">
        <v>0</v>
      </c>
      <c r="X229">
        <v>0</v>
      </c>
      <c r="Y229">
        <v>0</v>
      </c>
      <c r="Z229">
        <v>0</v>
      </c>
      <c r="AA229">
        <v>1215.4228689920101</v>
      </c>
      <c r="AB229">
        <v>571.50311712429004</v>
      </c>
      <c r="AC229">
        <f t="shared" si="30"/>
        <v>0.71631205673758891</v>
      </c>
      <c r="AD229">
        <f t="shared" si="31"/>
        <v>0.86288416075650121</v>
      </c>
      <c r="AE229">
        <f t="shared" si="32"/>
        <v>1.2046204620462042</v>
      </c>
      <c r="AF229">
        <f t="shared" si="33"/>
        <v>-0.14657210401891244</v>
      </c>
      <c r="AG229">
        <f t="shared" si="34"/>
        <v>-0.2046204620462044</v>
      </c>
      <c r="AH229">
        <f t="shared" si="35"/>
        <v>0.28368794326241104</v>
      </c>
      <c r="AI229">
        <f t="shared" si="36"/>
        <v>1.0000000000000007</v>
      </c>
      <c r="AJ229">
        <f t="shared" si="37"/>
        <v>0</v>
      </c>
      <c r="AK229">
        <f t="shared" si="38"/>
        <v>-8.9245897561931065E-3</v>
      </c>
      <c r="AL229">
        <f t="shared" si="39"/>
        <v>-1.8980037310434999E-2</v>
      </c>
    </row>
    <row r="230" spans="1:38" x14ac:dyDescent="0.35">
      <c r="A230" t="s">
        <v>28</v>
      </c>
      <c r="B230" t="s">
        <v>72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1226.51571721458</v>
      </c>
      <c r="AB230">
        <v>1494.77336635199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f t="shared" si="38"/>
        <v>0</v>
      </c>
      <c r="AL230">
        <f t="shared" si="39"/>
        <v>0</v>
      </c>
    </row>
    <row r="231" spans="1:38" x14ac:dyDescent="0.35">
      <c r="A231" t="s">
        <v>29</v>
      </c>
      <c r="B231" t="s">
        <v>72</v>
      </c>
      <c r="C231">
        <v>0.67106453921286402</v>
      </c>
      <c r="D231">
        <v>0.67106453921286402</v>
      </c>
      <c r="E231">
        <v>0</v>
      </c>
      <c r="F231">
        <v>4.5744234136235056</v>
      </c>
      <c r="G231">
        <v>0</v>
      </c>
      <c r="H231">
        <v>0</v>
      </c>
      <c r="I231">
        <v>0</v>
      </c>
      <c r="J231">
        <v>0</v>
      </c>
      <c r="K231">
        <v>3.9553372979778303E-2</v>
      </c>
      <c r="L231">
        <v>3.89364173010147E-2</v>
      </c>
      <c r="M231">
        <v>3.9553372979777401E-2</v>
      </c>
      <c r="N231">
        <v>3.89364173010147E-2</v>
      </c>
      <c r="O231">
        <v>0</v>
      </c>
      <c r="P231">
        <v>0</v>
      </c>
      <c r="Q231">
        <v>0.269622167278734</v>
      </c>
      <c r="R231">
        <v>0.26541658594164191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1723.48815255626</v>
      </c>
      <c r="AB231">
        <v>1696.60508992738</v>
      </c>
      <c r="AC231">
        <f t="shared" si="30"/>
        <v>1</v>
      </c>
      <c r="AD231">
        <f t="shared" si="31"/>
        <v>0</v>
      </c>
      <c r="AE231">
        <f t="shared" si="32"/>
        <v>0</v>
      </c>
      <c r="AF231">
        <f t="shared" si="33"/>
        <v>1</v>
      </c>
      <c r="AG231">
        <f t="shared" si="34"/>
        <v>1</v>
      </c>
      <c r="AH231">
        <f t="shared" si="35"/>
        <v>0</v>
      </c>
      <c r="AI231">
        <v>0</v>
      </c>
      <c r="AJ231">
        <v>0</v>
      </c>
      <c r="AK231">
        <f t="shared" si="38"/>
        <v>3.8936417301015265E-4</v>
      </c>
      <c r="AL231">
        <f t="shared" si="39"/>
        <v>3.9553372979777375E-4</v>
      </c>
    </row>
    <row r="232" spans="1:38" x14ac:dyDescent="0.35">
      <c r="A232" t="s">
        <v>30</v>
      </c>
      <c r="B232" t="s">
        <v>72</v>
      </c>
      <c r="C232">
        <v>1.003731486523151</v>
      </c>
      <c r="D232">
        <v>2.9114479823818522</v>
      </c>
      <c r="E232">
        <v>-1.907716495858693</v>
      </c>
      <c r="F232">
        <v>-0.11457218907976589</v>
      </c>
      <c r="G232">
        <v>-0.57747680337610063</v>
      </c>
      <c r="H232">
        <v>-2.60466271577008E-2</v>
      </c>
      <c r="I232">
        <v>-0.55143017621844592</v>
      </c>
      <c r="J232">
        <v>0</v>
      </c>
      <c r="K232">
        <v>3.8357027566986397E-2</v>
      </c>
      <c r="L232">
        <v>3.4527014996822203E-2</v>
      </c>
      <c r="M232">
        <v>0.1112593278376612</v>
      </c>
      <c r="N232">
        <v>0.10014990014747061</v>
      </c>
      <c r="O232">
        <v>-7.2902300270675E-2</v>
      </c>
      <c r="P232">
        <v>-6.5622885150648097E-2</v>
      </c>
      <c r="Q232">
        <v>-4.3783110064272001E-3</v>
      </c>
      <c r="R232">
        <v>-3.9411294192616998E-3</v>
      </c>
      <c r="S232">
        <v>-2.2067947418010499E-2</v>
      </c>
      <c r="T232">
        <v>-1.9864426411039901E-2</v>
      </c>
      <c r="U232">
        <v>-9.9535703455459995E-4</v>
      </c>
      <c r="V232">
        <v>-8.9596899027819996E-4</v>
      </c>
      <c r="W232">
        <v>-2.1072590383456099E-2</v>
      </c>
      <c r="X232">
        <v>-1.8968457420761801E-2</v>
      </c>
      <c r="Y232">
        <v>0</v>
      </c>
      <c r="Z232">
        <v>0</v>
      </c>
      <c r="AA232">
        <v>2907.0902498102801</v>
      </c>
      <c r="AB232">
        <v>2616.8124857180101</v>
      </c>
      <c r="AC232">
        <f t="shared" si="30"/>
        <v>2.3547694047900496</v>
      </c>
      <c r="AD232">
        <f t="shared" si="31"/>
        <v>-4.4755320499330775</v>
      </c>
      <c r="AE232">
        <f t="shared" si="32"/>
        <v>-1.9006243417419102</v>
      </c>
      <c r="AF232">
        <f t="shared" si="33"/>
        <v>6.8303014547231466</v>
      </c>
      <c r="AG232">
        <f t="shared" si="34"/>
        <v>2.9006243417419184</v>
      </c>
      <c r="AH232">
        <f t="shared" si="35"/>
        <v>-1.3547694047900496</v>
      </c>
      <c r="AI232">
        <f t="shared" si="36"/>
        <v>4.5104196403084058E-2</v>
      </c>
      <c r="AJ232">
        <f t="shared" si="37"/>
        <v>0.95489580359699577</v>
      </c>
      <c r="AK232">
        <f t="shared" si="38"/>
        <v>1.4662588585781546E-4</v>
      </c>
      <c r="AL232">
        <f t="shared" si="39"/>
        <v>1.6289080148977245E-4</v>
      </c>
    </row>
    <row r="233" spans="1:38" x14ac:dyDescent="0.35">
      <c r="A233" t="s">
        <v>31</v>
      </c>
      <c r="B233" t="s">
        <v>72</v>
      </c>
      <c r="C233">
        <v>69.61819342061915</v>
      </c>
      <c r="D233">
        <v>0</v>
      </c>
      <c r="E233">
        <v>69.618193420619207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1.9352808465074871</v>
      </c>
      <c r="L233">
        <v>1.672796604792248</v>
      </c>
      <c r="M233">
        <v>0</v>
      </c>
      <c r="N233">
        <v>0</v>
      </c>
      <c r="O233">
        <v>1.9352808465074891</v>
      </c>
      <c r="P233">
        <v>1.672796604792248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4161.7847155581303</v>
      </c>
      <c r="AB233">
        <v>3597.3173374942398</v>
      </c>
      <c r="AC233">
        <f t="shared" si="30"/>
        <v>1</v>
      </c>
      <c r="AD233">
        <f t="shared" si="31"/>
        <v>1.0000000000000009</v>
      </c>
      <c r="AE233">
        <f t="shared" si="32"/>
        <v>1.0000000000000009</v>
      </c>
      <c r="AF233">
        <f t="shared" si="33"/>
        <v>0</v>
      </c>
      <c r="AG233">
        <f t="shared" si="34"/>
        <v>0</v>
      </c>
      <c r="AH233">
        <f t="shared" si="35"/>
        <v>0</v>
      </c>
      <c r="AI233">
        <v>0</v>
      </c>
      <c r="AJ233">
        <v>0</v>
      </c>
      <c r="AK233">
        <f t="shared" si="38"/>
        <v>1.6727966047922486E-2</v>
      </c>
      <c r="AL233">
        <f t="shared" si="39"/>
        <v>1.9352808465074881E-2</v>
      </c>
    </row>
    <row r="234" spans="1:38" x14ac:dyDescent="0.35">
      <c r="A234" t="s">
        <v>32</v>
      </c>
      <c r="B234" t="s">
        <v>72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2337.6598158571201</v>
      </c>
      <c r="AB234">
        <v>1918.15761738117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f t="shared" si="38"/>
        <v>0</v>
      </c>
      <c r="AL234">
        <f t="shared" si="39"/>
        <v>0</v>
      </c>
    </row>
    <row r="235" spans="1:38" x14ac:dyDescent="0.35">
      <c r="A235" t="s">
        <v>33</v>
      </c>
      <c r="B235" t="s">
        <v>72</v>
      </c>
      <c r="C235">
        <v>13.111734743751979</v>
      </c>
      <c r="D235">
        <v>10.30207729866228</v>
      </c>
      <c r="E235">
        <v>2.8096574450896701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0.2872651061211719</v>
      </c>
      <c r="L235">
        <v>0.2462365936510941</v>
      </c>
      <c r="M235">
        <v>0.22570829766663439</v>
      </c>
      <c r="N235">
        <v>0.19347160929728829</v>
      </c>
      <c r="O235">
        <v>6.1556808454536503E-2</v>
      </c>
      <c r="P235">
        <v>5.2764984353805298E-2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5324.8522282316499</v>
      </c>
      <c r="AB235">
        <v>4564.3325500944502</v>
      </c>
      <c r="AC235">
        <f t="shared" si="30"/>
        <v>1</v>
      </c>
      <c r="AD235">
        <f t="shared" si="31"/>
        <v>0.21428571428571125</v>
      </c>
      <c r="AE235">
        <f t="shared" si="32"/>
        <v>0.21428571428571125</v>
      </c>
      <c r="AF235">
        <f t="shared" si="33"/>
        <v>0.78571428571428648</v>
      </c>
      <c r="AG235">
        <f t="shared" si="34"/>
        <v>0.78571428571428648</v>
      </c>
      <c r="AH235">
        <f t="shared" si="35"/>
        <v>0</v>
      </c>
      <c r="AI235">
        <v>0</v>
      </c>
      <c r="AJ235">
        <v>0</v>
      </c>
      <c r="AK235">
        <f t="shared" si="38"/>
        <v>2.4623659365109376E-3</v>
      </c>
      <c r="AL235">
        <f t="shared" si="39"/>
        <v>2.8726510612117114E-3</v>
      </c>
    </row>
    <row r="236" spans="1:38" x14ac:dyDescent="0.35">
      <c r="A236" t="s">
        <v>34</v>
      </c>
      <c r="B236" t="s">
        <v>72</v>
      </c>
      <c r="C236">
        <v>31.3557937785978</v>
      </c>
      <c r="D236">
        <v>3.474560932223</v>
      </c>
      <c r="E236">
        <v>27.8812328463748</v>
      </c>
      <c r="F236">
        <v>-11.61011823694027</v>
      </c>
      <c r="G236">
        <v>0</v>
      </c>
      <c r="H236">
        <v>0</v>
      </c>
      <c r="I236">
        <v>0</v>
      </c>
      <c r="J236">
        <v>0</v>
      </c>
      <c r="K236">
        <v>1.9141013926408741</v>
      </c>
      <c r="L236">
        <v>1.453986478801111</v>
      </c>
      <c r="M236">
        <v>0.21210312729263739</v>
      </c>
      <c r="N236">
        <v>0.1611174206239068</v>
      </c>
      <c r="O236">
        <v>1.7019982653482371</v>
      </c>
      <c r="P236">
        <v>1.292869058177204</v>
      </c>
      <c r="Q236">
        <v>-0.70873483997783726</v>
      </c>
      <c r="R236">
        <v>-0.53836796647500607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2156.5395714307001</v>
      </c>
      <c r="AB236">
        <v>1638.14696019506</v>
      </c>
      <c r="AC236">
        <f t="shared" si="30"/>
        <v>1</v>
      </c>
      <c r="AD236">
        <f t="shared" si="31"/>
        <v>0.88918918918918921</v>
      </c>
      <c r="AE236">
        <f t="shared" si="32"/>
        <v>0.88918918918918921</v>
      </c>
      <c r="AF236">
        <f t="shared" si="33"/>
        <v>0.11081081081081083</v>
      </c>
      <c r="AG236">
        <f t="shared" si="34"/>
        <v>0.11081081081081083</v>
      </c>
      <c r="AH236">
        <f t="shared" si="35"/>
        <v>0</v>
      </c>
      <c r="AI236">
        <v>0</v>
      </c>
      <c r="AJ236">
        <v>0</v>
      </c>
      <c r="AK236">
        <f t="shared" si="38"/>
        <v>1.4539864788011107E-2</v>
      </c>
      <c r="AL236">
        <f t="shared" si="39"/>
        <v>1.9141013926408747E-2</v>
      </c>
    </row>
    <row r="237" spans="1:38" x14ac:dyDescent="0.35">
      <c r="A237" t="s">
        <v>35</v>
      </c>
      <c r="B237" t="s">
        <v>72</v>
      </c>
      <c r="C237">
        <v>10.431316194499329</v>
      </c>
      <c r="D237">
        <v>5.831950301301049</v>
      </c>
      <c r="E237">
        <v>4.5993658931982822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0.78791226741857923</v>
      </c>
      <c r="L237">
        <v>0.58063765008396651</v>
      </c>
      <c r="M237">
        <v>0.4405067490710004</v>
      </c>
      <c r="N237">
        <v>0.32462345644738161</v>
      </c>
      <c r="O237">
        <v>0.34740551834757921</v>
      </c>
      <c r="P237">
        <v>0.25601419363658451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1796.5276955414199</v>
      </c>
      <c r="AB237">
        <v>1323.9184901480501</v>
      </c>
      <c r="AC237">
        <f t="shared" si="30"/>
        <v>1</v>
      </c>
      <c r="AD237">
        <f t="shared" si="31"/>
        <v>0.44091903719912473</v>
      </c>
      <c r="AE237">
        <f t="shared" si="32"/>
        <v>0.44091903719912473</v>
      </c>
      <c r="AF237">
        <f t="shared" si="33"/>
        <v>0.55908096280087538</v>
      </c>
      <c r="AG237">
        <f t="shared" si="34"/>
        <v>0.55908096280087538</v>
      </c>
      <c r="AH237">
        <f t="shared" si="35"/>
        <v>0</v>
      </c>
      <c r="AI237">
        <v>0</v>
      </c>
      <c r="AJ237">
        <v>0</v>
      </c>
      <c r="AK237">
        <f t="shared" si="38"/>
        <v>5.8063765008396608E-3</v>
      </c>
      <c r="AL237">
        <f t="shared" si="39"/>
        <v>7.879122674185798E-3</v>
      </c>
    </row>
    <row r="238" spans="1:38" x14ac:dyDescent="0.35">
      <c r="A238" t="s">
        <v>36</v>
      </c>
      <c r="B238" t="s">
        <v>72</v>
      </c>
      <c r="C238">
        <v>82.109950874512379</v>
      </c>
      <c r="D238">
        <v>-73.129174997612637</v>
      </c>
      <c r="E238">
        <v>155.23912587212499</v>
      </c>
      <c r="F238">
        <v>1.9244519736213841</v>
      </c>
      <c r="G238">
        <v>3.8489039472381102E-2</v>
      </c>
      <c r="H238">
        <v>3.8489039472427697E-2</v>
      </c>
      <c r="I238">
        <v>0</v>
      </c>
      <c r="J238">
        <v>0</v>
      </c>
      <c r="K238">
        <v>2.60056561337101</v>
      </c>
      <c r="L238">
        <v>2.7909679262838369</v>
      </c>
      <c r="M238">
        <v>-2.316128749408557</v>
      </c>
      <c r="N238">
        <v>-2.4857058093465452</v>
      </c>
      <c r="O238">
        <v>4.916694362779567</v>
      </c>
      <c r="P238">
        <v>5.2766737356303821</v>
      </c>
      <c r="Q238">
        <v>6.0950756563383099E-2</v>
      </c>
      <c r="R238">
        <v>6.5413310772277494E-2</v>
      </c>
      <c r="S238">
        <v>1.2190151312676E-3</v>
      </c>
      <c r="T238">
        <v>1.3082662154442E-3</v>
      </c>
      <c r="U238">
        <v>1.2190151312676E-3</v>
      </c>
      <c r="V238">
        <v>1.3082662154455E-3</v>
      </c>
      <c r="W238">
        <v>0</v>
      </c>
      <c r="X238">
        <v>0</v>
      </c>
      <c r="Y238">
        <v>0</v>
      </c>
      <c r="Z238">
        <v>0</v>
      </c>
      <c r="AA238">
        <v>2941.9883367789698</v>
      </c>
      <c r="AB238">
        <v>3157.38816403392</v>
      </c>
      <c r="AC238">
        <f t="shared" si="30"/>
        <v>0.9995314696236145</v>
      </c>
      <c r="AD238">
        <f t="shared" si="31"/>
        <v>1.8897391847571465</v>
      </c>
      <c r="AE238">
        <f t="shared" si="32"/>
        <v>1.8906250000000002</v>
      </c>
      <c r="AF238">
        <f t="shared" si="33"/>
        <v>-0.89020771513353225</v>
      </c>
      <c r="AG238">
        <f t="shared" si="34"/>
        <v>-0.89062500000000056</v>
      </c>
      <c r="AH238">
        <f t="shared" si="35"/>
        <v>4.6853037638550234E-4</v>
      </c>
      <c r="AI238">
        <f t="shared" si="36"/>
        <v>1.0000000000012106</v>
      </c>
      <c r="AJ238">
        <f t="shared" si="37"/>
        <v>0</v>
      </c>
      <c r="AK238">
        <f t="shared" si="38"/>
        <v>2.7922761924992816E-2</v>
      </c>
      <c r="AL238">
        <f t="shared" si="39"/>
        <v>2.601784628502276E-2</v>
      </c>
    </row>
    <row r="239" spans="1:38" x14ac:dyDescent="0.35">
      <c r="A239" t="s">
        <v>37</v>
      </c>
      <c r="B239" t="s">
        <v>72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19974.2138871676</v>
      </c>
      <c r="AB239">
        <v>19928.975197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f t="shared" si="38"/>
        <v>0</v>
      </c>
      <c r="AL239">
        <f t="shared" si="39"/>
        <v>0</v>
      </c>
    </row>
    <row r="240" spans="1:38" x14ac:dyDescent="0.35">
      <c r="A240" t="s">
        <v>38</v>
      </c>
      <c r="B240" t="s">
        <v>72</v>
      </c>
      <c r="C240">
        <v>0</v>
      </c>
      <c r="D240">
        <v>0</v>
      </c>
      <c r="E240">
        <v>0</v>
      </c>
      <c r="F240">
        <v>0</v>
      </c>
      <c r="G240">
        <v>0.10239412195682911</v>
      </c>
      <c r="H240">
        <v>0</v>
      </c>
      <c r="I240">
        <v>0.10239412195682911</v>
      </c>
      <c r="J240">
        <v>0.45146499226420111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8.0048482009580993E-3</v>
      </c>
      <c r="T240">
        <v>4.2992617321149004E-3</v>
      </c>
      <c r="U240">
        <v>0</v>
      </c>
      <c r="V240">
        <v>0</v>
      </c>
      <c r="W240">
        <v>8.0048482009580993E-3</v>
      </c>
      <c r="X240">
        <v>4.2992617321149004E-3</v>
      </c>
      <c r="Y240">
        <v>3.5294103431497498E-2</v>
      </c>
      <c r="Z240">
        <v>1.8955835818870399E-2</v>
      </c>
      <c r="AA240">
        <v>2381.6675591522499</v>
      </c>
      <c r="AB240">
        <v>1279.1513266244399</v>
      </c>
      <c r="AC240">
        <f t="shared" si="30"/>
        <v>0</v>
      </c>
      <c r="AD240">
        <f t="shared" si="31"/>
        <v>0</v>
      </c>
      <c r="AE240">
        <v>0</v>
      </c>
      <c r="AF240">
        <f t="shared" si="33"/>
        <v>0</v>
      </c>
      <c r="AG240">
        <v>0</v>
      </c>
      <c r="AH240">
        <f t="shared" si="35"/>
        <v>1</v>
      </c>
      <c r="AI240">
        <f t="shared" si="36"/>
        <v>0</v>
      </c>
      <c r="AJ240">
        <f t="shared" si="37"/>
        <v>1</v>
      </c>
      <c r="AK240">
        <f t="shared" si="38"/>
        <v>4.29926173211496E-5</v>
      </c>
      <c r="AL240">
        <f t="shared" si="39"/>
        <v>8.0048482009581747E-5</v>
      </c>
    </row>
    <row r="241" spans="1:38" x14ac:dyDescent="0.35">
      <c r="A241" t="s">
        <v>39</v>
      </c>
      <c r="B241" t="s">
        <v>72</v>
      </c>
      <c r="C241">
        <v>5.234121210982785</v>
      </c>
      <c r="D241">
        <v>-0.2326627954038098</v>
      </c>
      <c r="E241">
        <v>5.4667840063865967</v>
      </c>
      <c r="F241">
        <v>1.3766585703740101E-2</v>
      </c>
      <c r="G241">
        <v>-7.2337052758079695E-2</v>
      </c>
      <c r="H241">
        <v>-4.4287991484539E-3</v>
      </c>
      <c r="I241">
        <v>-6.7908253609623104E-2</v>
      </c>
      <c r="J241">
        <v>1.4269426648543519</v>
      </c>
      <c r="K241">
        <v>0.52495888545341129</v>
      </c>
      <c r="L241">
        <v>0.22427622016784379</v>
      </c>
      <c r="M241">
        <v>-2.3335035020850301E-2</v>
      </c>
      <c r="N241">
        <v>-9.9693396892222008E-3</v>
      </c>
      <c r="O241">
        <v>0.54829392047426162</v>
      </c>
      <c r="P241">
        <v>0.23424555985706619</v>
      </c>
      <c r="Q241">
        <v>1.3807268109058001E-3</v>
      </c>
      <c r="R241">
        <v>5.8988274856390001E-4</v>
      </c>
      <c r="S241">
        <v>-7.255082001766E-3</v>
      </c>
      <c r="T241">
        <v>-3.0995615341544002E-3</v>
      </c>
      <c r="U241">
        <v>-4.4418869398559998E-4</v>
      </c>
      <c r="V241">
        <v>-1.897690735196E-4</v>
      </c>
      <c r="W241">
        <v>-6.8108933077802997E-3</v>
      </c>
      <c r="X241">
        <v>-2.9097924606344E-3</v>
      </c>
      <c r="Y241">
        <v>0.14311595027185239</v>
      </c>
      <c r="Z241">
        <v>6.1142891876146299E-2</v>
      </c>
      <c r="AA241">
        <v>2333.7834064911899</v>
      </c>
      <c r="AB241">
        <v>997.05355143423003</v>
      </c>
      <c r="AC241">
        <f t="shared" si="30"/>
        <v>1.0140139631066942</v>
      </c>
      <c r="AD241">
        <f t="shared" si="31"/>
        <v>1.0590880669963523</v>
      </c>
      <c r="AE241">
        <f t="shared" si="32"/>
        <v>1.0444511668769945</v>
      </c>
      <c r="AF241">
        <f t="shared" si="33"/>
        <v>-4.507410388965772E-2</v>
      </c>
      <c r="AG241">
        <f t="shared" si="34"/>
        <v>-4.4451166876994019E-2</v>
      </c>
      <c r="AH241">
        <f t="shared" si="35"/>
        <v>-1.4013963106694219E-2</v>
      </c>
      <c r="AI241">
        <f t="shared" si="36"/>
        <v>6.1224489795918935E-2</v>
      </c>
      <c r="AJ241">
        <f t="shared" si="37"/>
        <v>0.93877551020404382</v>
      </c>
      <c r="AK241">
        <f t="shared" si="38"/>
        <v>2.2117665863368931E-3</v>
      </c>
      <c r="AL241">
        <f t="shared" si="39"/>
        <v>5.1770380345164428E-3</v>
      </c>
    </row>
    <row r="242" spans="1:38" x14ac:dyDescent="0.35">
      <c r="A242" t="s">
        <v>40</v>
      </c>
      <c r="B242" t="s">
        <v>72</v>
      </c>
      <c r="C242">
        <v>15.52143328722001</v>
      </c>
      <c r="D242">
        <v>4.7933838092885326</v>
      </c>
      <c r="E242">
        <v>10.72804947793148</v>
      </c>
      <c r="F242">
        <v>0</v>
      </c>
      <c r="G242">
        <v>1.940179160902501</v>
      </c>
      <c r="H242">
        <v>0</v>
      </c>
      <c r="I242">
        <v>1.940179160902501</v>
      </c>
      <c r="J242">
        <v>0</v>
      </c>
      <c r="K242">
        <v>3.7495954896454329</v>
      </c>
      <c r="L242">
        <v>3.3123049625002459</v>
      </c>
      <c r="M242">
        <v>1.1579633129787379</v>
      </c>
      <c r="N242">
        <v>1.0229177090074291</v>
      </c>
      <c r="O242">
        <v>2.5916321766666961</v>
      </c>
      <c r="P242">
        <v>2.289387253492817</v>
      </c>
      <c r="Q242">
        <v>0</v>
      </c>
      <c r="R242">
        <v>0</v>
      </c>
      <c r="S242">
        <v>0.46869943620567911</v>
      </c>
      <c r="T242">
        <v>0.41403812031253068</v>
      </c>
      <c r="U242">
        <v>0</v>
      </c>
      <c r="V242">
        <v>0</v>
      </c>
      <c r="W242">
        <v>0.46869943620567911</v>
      </c>
      <c r="X242">
        <v>0.41403812031253068</v>
      </c>
      <c r="Y242">
        <v>0</v>
      </c>
      <c r="Z242">
        <v>0</v>
      </c>
      <c r="AA242">
        <v>468.59916169988998</v>
      </c>
      <c r="AB242">
        <v>413.94954015926999</v>
      </c>
      <c r="AC242">
        <f t="shared" si="30"/>
        <v>0.88888888888888884</v>
      </c>
      <c r="AD242">
        <f t="shared" si="31"/>
        <v>0.61437908496732041</v>
      </c>
      <c r="AE242">
        <f t="shared" si="32"/>
        <v>0.6911764705882355</v>
      </c>
      <c r="AF242">
        <f t="shared" si="33"/>
        <v>0.2745098039215686</v>
      </c>
      <c r="AG242">
        <f t="shared" si="34"/>
        <v>0.30882352941176472</v>
      </c>
      <c r="AH242">
        <f t="shared" si="35"/>
        <v>0.11111111111111109</v>
      </c>
      <c r="AI242">
        <f t="shared" si="36"/>
        <v>0</v>
      </c>
      <c r="AJ242">
        <f t="shared" si="37"/>
        <v>1</v>
      </c>
      <c r="AK242">
        <f t="shared" si="38"/>
        <v>3.7263430828127775E-2</v>
      </c>
      <c r="AL242">
        <f t="shared" si="39"/>
        <v>4.2182949258511154E-2</v>
      </c>
    </row>
    <row r="243" spans="1:38" x14ac:dyDescent="0.35">
      <c r="A243" t="s">
        <v>41</v>
      </c>
      <c r="B243" t="s">
        <v>72</v>
      </c>
      <c r="C243">
        <v>-0.22825637187087719</v>
      </c>
      <c r="D243">
        <v>0.45651274374176681</v>
      </c>
      <c r="E243">
        <v>-0.68476911561264941</v>
      </c>
      <c r="F243">
        <v>-0.34238455780632288</v>
      </c>
      <c r="G243">
        <v>0</v>
      </c>
      <c r="H243">
        <v>0</v>
      </c>
      <c r="I243">
        <v>0</v>
      </c>
      <c r="J243">
        <v>0</v>
      </c>
      <c r="K243">
        <v>-4.60977292197704E-2</v>
      </c>
      <c r="L243">
        <v>-4.1103429170870003E-2</v>
      </c>
      <c r="M243">
        <v>9.2195458439542494E-2</v>
      </c>
      <c r="N243">
        <v>8.2206858341741004E-2</v>
      </c>
      <c r="O243">
        <v>-0.13829318765931381</v>
      </c>
      <c r="P243">
        <v>-0.123310287512611</v>
      </c>
      <c r="Q243">
        <v>-6.9146593829656905E-2</v>
      </c>
      <c r="R243">
        <v>-6.16551437563055E-2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555.32196820367994</v>
      </c>
      <c r="AB243">
        <v>495.15751802582002</v>
      </c>
      <c r="AC243">
        <f t="shared" si="30"/>
        <v>1</v>
      </c>
      <c r="AD243">
        <f t="shared" si="31"/>
        <v>3.0000000000000782</v>
      </c>
      <c r="AE243">
        <f t="shared" si="32"/>
        <v>3.0000000000000782</v>
      </c>
      <c r="AF243">
        <f t="shared" si="33"/>
        <v>-2.0000000000000546</v>
      </c>
      <c r="AG243">
        <f t="shared" si="34"/>
        <v>-2.0000000000000546</v>
      </c>
      <c r="AH243">
        <f t="shared" si="35"/>
        <v>0</v>
      </c>
      <c r="AI243">
        <v>0</v>
      </c>
      <c r="AJ243">
        <v>0</v>
      </c>
      <c r="AK243">
        <f t="shared" si="38"/>
        <v>-4.110342917086935E-4</v>
      </c>
      <c r="AL243">
        <f t="shared" si="39"/>
        <v>-4.6097729219770169E-4</v>
      </c>
    </row>
    <row r="244" spans="1:38" x14ac:dyDescent="0.35">
      <c r="A244" t="s">
        <v>42</v>
      </c>
      <c r="B244" t="s">
        <v>72</v>
      </c>
      <c r="C244">
        <v>-0.84014605616053473</v>
      </c>
      <c r="D244">
        <v>-0.1120194741547377</v>
      </c>
      <c r="E244">
        <v>-0.72812658200579605</v>
      </c>
      <c r="F244">
        <v>-0.94785708900162635</v>
      </c>
      <c r="G244">
        <v>0.20249674174124971</v>
      </c>
      <c r="H244">
        <v>-4.3084413136437001E-3</v>
      </c>
      <c r="I244">
        <v>0.2068051830548967</v>
      </c>
      <c r="J244">
        <v>0</v>
      </c>
      <c r="K244">
        <v>-0.3896052225820803</v>
      </c>
      <c r="L244">
        <v>-0.20622350409885909</v>
      </c>
      <c r="M244">
        <v>-5.1947363010944103E-2</v>
      </c>
      <c r="N244">
        <v>-2.74964672131809E-2</v>
      </c>
      <c r="O244">
        <v>-0.33765785957113609</v>
      </c>
      <c r="P244">
        <v>-0.17872703688567881</v>
      </c>
      <c r="Q244">
        <v>-0.43955461009260371</v>
      </c>
      <c r="R244">
        <v>-0.232662414880765</v>
      </c>
      <c r="S244">
        <v>9.3904848519784395E-2</v>
      </c>
      <c r="T244">
        <v>4.9705152269982698E-2</v>
      </c>
      <c r="U244">
        <v>-1.9979755004209E-3</v>
      </c>
      <c r="V244">
        <v>-1.0575564312761999E-3</v>
      </c>
      <c r="W244">
        <v>9.5902824020203697E-2</v>
      </c>
      <c r="X244">
        <v>5.0762708701258298E-2</v>
      </c>
      <c r="Y244">
        <v>0</v>
      </c>
      <c r="Z244">
        <v>0</v>
      </c>
      <c r="AA244">
        <v>407.39587848230002</v>
      </c>
      <c r="AB244">
        <v>215.64034757863999</v>
      </c>
      <c r="AC244">
        <f t="shared" si="30"/>
        <v>1.3175675675675524</v>
      </c>
      <c r="AD244">
        <f t="shared" si="31"/>
        <v>1.1418918918918777</v>
      </c>
      <c r="AE244">
        <f t="shared" si="32"/>
        <v>0.86666666666666581</v>
      </c>
      <c r="AF244">
        <f t="shared" si="33"/>
        <v>0.17567567567567324</v>
      </c>
      <c r="AG244">
        <f t="shared" si="34"/>
        <v>0.13333333333333303</v>
      </c>
      <c r="AH244">
        <f t="shared" si="35"/>
        <v>-0.31756756756755233</v>
      </c>
      <c r="AI244">
        <f t="shared" si="36"/>
        <v>-2.1276595744681291E-2</v>
      </c>
      <c r="AJ244">
        <f t="shared" si="37"/>
        <v>1.0212765957446976</v>
      </c>
      <c r="AK244">
        <f t="shared" si="38"/>
        <v>-1.5651835182888055E-3</v>
      </c>
      <c r="AL244">
        <f t="shared" si="39"/>
        <v>-2.9570037406230123E-3</v>
      </c>
    </row>
    <row r="245" spans="1:38" x14ac:dyDescent="0.35">
      <c r="A245" t="s">
        <v>43</v>
      </c>
      <c r="B245" t="s">
        <v>72</v>
      </c>
      <c r="C245">
        <v>-0.1222839174378247</v>
      </c>
      <c r="D245">
        <v>-0.1222839174378247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-3.6765779429734399E-2</v>
      </c>
      <c r="L245">
        <v>-3.9311555541792199E-2</v>
      </c>
      <c r="M245">
        <v>-3.6765779429734503E-2</v>
      </c>
      <c r="N245">
        <v>-3.9311555541792199E-2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311.06354290107998</v>
      </c>
      <c r="AB245">
        <v>332.60254327404999</v>
      </c>
      <c r="AC245">
        <f t="shared" si="30"/>
        <v>1</v>
      </c>
      <c r="AD245">
        <f t="shared" si="31"/>
        <v>0</v>
      </c>
      <c r="AE245">
        <f t="shared" si="32"/>
        <v>0</v>
      </c>
      <c r="AF245">
        <f t="shared" si="33"/>
        <v>1</v>
      </c>
      <c r="AG245">
        <f t="shared" si="34"/>
        <v>1</v>
      </c>
      <c r="AH245">
        <f t="shared" si="35"/>
        <v>0</v>
      </c>
      <c r="AI245">
        <v>0</v>
      </c>
      <c r="AJ245">
        <v>0</v>
      </c>
      <c r="AK245">
        <f t="shared" si="38"/>
        <v>-3.9311555541792208E-4</v>
      </c>
      <c r="AL245">
        <f t="shared" si="39"/>
        <v>-3.6765779429734569E-4</v>
      </c>
    </row>
    <row r="246" spans="1:38" x14ac:dyDescent="0.35">
      <c r="A246" t="s">
        <v>44</v>
      </c>
      <c r="B246" t="s">
        <v>72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45.911572818750003</v>
      </c>
      <c r="AB246">
        <v>26.895658710639999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f t="shared" si="38"/>
        <v>0</v>
      </c>
      <c r="AL246">
        <f t="shared" si="39"/>
        <v>0</v>
      </c>
    </row>
    <row r="247" spans="1:38" x14ac:dyDescent="0.35">
      <c r="A247" t="s">
        <v>45</v>
      </c>
      <c r="B247" t="s">
        <v>72</v>
      </c>
      <c r="C247">
        <v>1.312474138257574</v>
      </c>
      <c r="D247">
        <v>0.57064092967720637</v>
      </c>
      <c r="E247">
        <v>0.74183320858036783</v>
      </c>
      <c r="F247">
        <v>-1.8260509749670599</v>
      </c>
      <c r="G247">
        <v>-0.45651274374176509</v>
      </c>
      <c r="H247">
        <v>-0.45651274374176509</v>
      </c>
      <c r="I247">
        <v>0</v>
      </c>
      <c r="J247">
        <v>0</v>
      </c>
      <c r="K247">
        <v>0.51521265094658641</v>
      </c>
      <c r="L247">
        <v>0.51688018039387185</v>
      </c>
      <c r="M247">
        <v>0.22400550041155931</v>
      </c>
      <c r="N247">
        <v>0.22473051321472681</v>
      </c>
      <c r="O247">
        <v>0.2912071505350266</v>
      </c>
      <c r="P247">
        <v>0.29214966717914459</v>
      </c>
      <c r="Q247">
        <v>-0.71681760131699002</v>
      </c>
      <c r="R247">
        <v>-0.71913764228712573</v>
      </c>
      <c r="S247">
        <v>-0.17920440032924739</v>
      </c>
      <c r="T247">
        <v>-0.1797844105717816</v>
      </c>
      <c r="U247">
        <v>-0.1792044003292475</v>
      </c>
      <c r="V247">
        <v>-0.17978441057178149</v>
      </c>
      <c r="W247">
        <v>0</v>
      </c>
      <c r="X247">
        <v>0</v>
      </c>
      <c r="Y247">
        <v>0</v>
      </c>
      <c r="Z247">
        <v>0</v>
      </c>
      <c r="AA247">
        <v>253.92231856471</v>
      </c>
      <c r="AB247">
        <v>254.7441596875</v>
      </c>
      <c r="AC247">
        <f t="shared" si="30"/>
        <v>1.5333333333333337</v>
      </c>
      <c r="AD247">
        <f t="shared" si="31"/>
        <v>0.86666666666666681</v>
      </c>
      <c r="AE247">
        <f t="shared" si="32"/>
        <v>0.56521739130434778</v>
      </c>
      <c r="AF247">
        <f t="shared" si="33"/>
        <v>0.66666666666666718</v>
      </c>
      <c r="AG247">
        <f t="shared" si="34"/>
        <v>0.43478260869565238</v>
      </c>
      <c r="AH247">
        <f t="shared" si="35"/>
        <v>-0.53333333333333377</v>
      </c>
      <c r="AI247">
        <f t="shared" si="36"/>
        <v>1</v>
      </c>
      <c r="AJ247">
        <f t="shared" si="37"/>
        <v>0</v>
      </c>
      <c r="AK247">
        <f t="shared" si="38"/>
        <v>3.3709576982208999E-3</v>
      </c>
      <c r="AL247">
        <f t="shared" si="39"/>
        <v>3.3600825061733883E-3</v>
      </c>
    </row>
    <row r="248" spans="1:38" x14ac:dyDescent="0.35">
      <c r="A248" t="s">
        <v>46</v>
      </c>
      <c r="B248" t="s">
        <v>72</v>
      </c>
      <c r="C248">
        <v>-5.7977118455204177</v>
      </c>
      <c r="D248">
        <v>0.44295659642621987</v>
      </c>
      <c r="E248">
        <v>-6.2406684419466352</v>
      </c>
      <c r="F248">
        <v>0.14836664171607339</v>
      </c>
      <c r="G248">
        <v>-5.9803169430171206</v>
      </c>
      <c r="H248">
        <v>-2.704838006669958</v>
      </c>
      <c r="I248">
        <v>-3.2754789363471639</v>
      </c>
      <c r="J248">
        <v>0</v>
      </c>
      <c r="K248">
        <v>-2.843367489691051</v>
      </c>
      <c r="L248">
        <v>-1.922670481910133</v>
      </c>
      <c r="M248">
        <v>0.217238872710732</v>
      </c>
      <c r="N248">
        <v>0.1468958091413432</v>
      </c>
      <c r="O248">
        <v>-3.0606063624017832</v>
      </c>
      <c r="P248">
        <v>-2.0695662910514758</v>
      </c>
      <c r="Q248">
        <v>7.2763341271621207E-2</v>
      </c>
      <c r="R248">
        <v>4.92021973717158E-2</v>
      </c>
      <c r="S248">
        <v>-2.9329223712561232</v>
      </c>
      <c r="T248">
        <v>-1.983227032521476</v>
      </c>
      <c r="U248">
        <v>-1.3265316831826359</v>
      </c>
      <c r="V248">
        <v>-0.89699390593051476</v>
      </c>
      <c r="W248">
        <v>-1.6063906880734879</v>
      </c>
      <c r="X248">
        <v>-1.0862331265909611</v>
      </c>
      <c r="Y248">
        <v>0</v>
      </c>
      <c r="Z248">
        <v>0</v>
      </c>
      <c r="AA248">
        <v>301.54474727050001</v>
      </c>
      <c r="AB248">
        <v>203.90300819506001</v>
      </c>
      <c r="AC248">
        <f t="shared" si="30"/>
        <v>0.49224806201550403</v>
      </c>
      <c r="AD248">
        <f t="shared" si="31"/>
        <v>0.52985678282770865</v>
      </c>
      <c r="AE248">
        <f t="shared" si="32"/>
        <v>1.0764019682641639</v>
      </c>
      <c r="AF248">
        <f t="shared" si="33"/>
        <v>-3.7608720812204871E-2</v>
      </c>
      <c r="AG248">
        <f t="shared" si="34"/>
        <v>-7.6401968264164205E-2</v>
      </c>
      <c r="AH248">
        <f t="shared" si="35"/>
        <v>0.50775193798449603</v>
      </c>
      <c r="AI248">
        <f t="shared" si="36"/>
        <v>0.45229007633587798</v>
      </c>
      <c r="AJ248">
        <f t="shared" si="37"/>
        <v>0.54770992366412219</v>
      </c>
      <c r="AK248">
        <f t="shared" si="38"/>
        <v>-3.9058975144316097E-2</v>
      </c>
      <c r="AL248">
        <f t="shared" si="39"/>
        <v>-5.7762898609471751E-2</v>
      </c>
    </row>
    <row r="249" spans="1:38" x14ac:dyDescent="0.35">
      <c r="A249" t="s">
        <v>47</v>
      </c>
      <c r="B249" t="s">
        <v>72</v>
      </c>
      <c r="C249">
        <v>0.19510445104624</v>
      </c>
      <c r="D249">
        <v>1.99651988508226E-2</v>
      </c>
      <c r="E249">
        <v>0.17513925219541729</v>
      </c>
      <c r="F249">
        <v>7.5320270858253296E-2</v>
      </c>
      <c r="G249">
        <v>-8.6448289280998403E-2</v>
      </c>
      <c r="H249">
        <v>-8.8626292466765094E-2</v>
      </c>
      <c r="I249">
        <v>2.1780031857667002E-3</v>
      </c>
      <c r="J249">
        <v>0</v>
      </c>
      <c r="K249">
        <v>0.94116957391091915</v>
      </c>
      <c r="L249">
        <v>1.0231422192178621</v>
      </c>
      <c r="M249">
        <v>9.6310656136810294E-2</v>
      </c>
      <c r="N249">
        <v>0.10469898431233279</v>
      </c>
      <c r="O249">
        <v>0.84485891777410949</v>
      </c>
      <c r="P249">
        <v>0.91844323490552959</v>
      </c>
      <c r="Q249">
        <v>0.3633394668874913</v>
      </c>
      <c r="R249">
        <v>0.39498508960074769</v>
      </c>
      <c r="S249">
        <v>-0.41702021225872649</v>
      </c>
      <c r="T249">
        <v>-0.4533412439759556</v>
      </c>
      <c r="U249">
        <v>-0.42752674001517887</v>
      </c>
      <c r="V249">
        <v>-0.46476285430313802</v>
      </c>
      <c r="W249">
        <v>1.0506527756452199E-2</v>
      </c>
      <c r="X249">
        <v>1.14216103271822E-2</v>
      </c>
      <c r="Y249">
        <v>0</v>
      </c>
      <c r="Z249">
        <v>0</v>
      </c>
      <c r="AA249">
        <v>19.06914282116</v>
      </c>
      <c r="AB249">
        <v>20.729999827290001</v>
      </c>
      <c r="AC249">
        <f t="shared" si="30"/>
        <v>1.7956133170595086</v>
      </c>
      <c r="AD249">
        <f t="shared" si="31"/>
        <v>1.611866730336164</v>
      </c>
      <c r="AE249">
        <f t="shared" si="32"/>
        <v>0.89766917800306401</v>
      </c>
      <c r="AF249">
        <f t="shared" si="33"/>
        <v>0.18374658672334346</v>
      </c>
      <c r="AG249">
        <f t="shared" si="34"/>
        <v>0.10233082199693549</v>
      </c>
      <c r="AH249">
        <f t="shared" si="35"/>
        <v>-0.79561331705950844</v>
      </c>
      <c r="AI249">
        <f t="shared" si="36"/>
        <v>1.0251942890238943</v>
      </c>
      <c r="AJ249">
        <f t="shared" si="37"/>
        <v>-2.5194289023894333E-2</v>
      </c>
      <c r="AK249">
        <f t="shared" si="38"/>
        <v>5.6980097524190606E-3</v>
      </c>
      <c r="AL249">
        <f t="shared" si="39"/>
        <v>5.2414936165219462E-3</v>
      </c>
    </row>
    <row r="250" spans="1:38" x14ac:dyDescent="0.35">
      <c r="A250" t="s">
        <v>48</v>
      </c>
      <c r="B250" t="s">
        <v>72</v>
      </c>
      <c r="C250">
        <v>6.0031425802042193</v>
      </c>
      <c r="D250">
        <v>0.1141281859354412</v>
      </c>
      <c r="E250">
        <v>5.8890143942687772</v>
      </c>
      <c r="F250">
        <v>0.45651274374176459</v>
      </c>
      <c r="G250">
        <v>-2.2825637187088241</v>
      </c>
      <c r="H250">
        <v>-2.282563718708825</v>
      </c>
      <c r="I250">
        <v>0</v>
      </c>
      <c r="J250">
        <v>0</v>
      </c>
      <c r="K250">
        <v>1.616065248838781</v>
      </c>
      <c r="L250">
        <v>1.436533940332879</v>
      </c>
      <c r="M250">
        <v>3.07236739322964E-2</v>
      </c>
      <c r="N250">
        <v>2.73105311850356E-2</v>
      </c>
      <c r="O250">
        <v>1.5853415749064861</v>
      </c>
      <c r="P250">
        <v>1.4092234091478431</v>
      </c>
      <c r="Q250">
        <v>0.1228946957291846</v>
      </c>
      <c r="R250">
        <v>0.10924212474014269</v>
      </c>
      <c r="S250">
        <v>-0.6144734786459245</v>
      </c>
      <c r="T250">
        <v>-0.5462106237007136</v>
      </c>
      <c r="U250">
        <v>-0.6144734786459245</v>
      </c>
      <c r="V250">
        <v>-0.5462106237007136</v>
      </c>
      <c r="W250">
        <v>0</v>
      </c>
      <c r="X250">
        <v>0</v>
      </c>
      <c r="Y250">
        <v>0</v>
      </c>
      <c r="Z250">
        <v>0</v>
      </c>
      <c r="AA250">
        <v>417.89075855828003</v>
      </c>
      <c r="AB250">
        <v>371.46659669328</v>
      </c>
      <c r="AC250">
        <f t="shared" si="30"/>
        <v>1.6134969325153354</v>
      </c>
      <c r="AD250">
        <f t="shared" si="31"/>
        <v>1.5828220858895685</v>
      </c>
      <c r="AE250">
        <f t="shared" si="32"/>
        <v>0.98098859315589337</v>
      </c>
      <c r="AF250">
        <f t="shared" si="33"/>
        <v>3.0674846625766774E-2</v>
      </c>
      <c r="AG250">
        <f t="shared" si="34"/>
        <v>1.9011406844106425E-2</v>
      </c>
      <c r="AH250">
        <f t="shared" si="35"/>
        <v>-0.61349693251533544</v>
      </c>
      <c r="AI250">
        <f t="shared" si="36"/>
        <v>1.0000000000000004</v>
      </c>
      <c r="AJ250">
        <f t="shared" si="37"/>
        <v>0</v>
      </c>
      <c r="AK250">
        <f t="shared" si="38"/>
        <v>8.9032331663216578E-3</v>
      </c>
      <c r="AL250">
        <f t="shared" si="39"/>
        <v>1.0015917701928599E-2</v>
      </c>
    </row>
    <row r="251" spans="1:38" x14ac:dyDescent="0.35">
      <c r="A251" t="s">
        <v>49</v>
      </c>
      <c r="B251" t="s">
        <v>72</v>
      </c>
      <c r="C251">
        <v>1.5</v>
      </c>
      <c r="D251">
        <v>2.9</v>
      </c>
      <c r="E251">
        <v>-1.399999999999999</v>
      </c>
      <c r="F251">
        <v>0</v>
      </c>
      <c r="G251">
        <v>-1.6999999999999991</v>
      </c>
      <c r="H251">
        <v>-1.7</v>
      </c>
      <c r="I251">
        <v>0</v>
      </c>
      <c r="J251">
        <v>0</v>
      </c>
      <c r="K251">
        <v>0.4184564365396497</v>
      </c>
      <c r="L251">
        <v>0.43808832247855101</v>
      </c>
      <c r="M251">
        <v>0.80901577730998819</v>
      </c>
      <c r="N251">
        <v>0.84697075679186451</v>
      </c>
      <c r="O251">
        <v>-0.39055934077033783</v>
      </c>
      <c r="P251">
        <v>-0.40888243431331261</v>
      </c>
      <c r="Q251">
        <v>0</v>
      </c>
      <c r="R251">
        <v>0</v>
      </c>
      <c r="S251">
        <v>-0.47425062807826901</v>
      </c>
      <c r="T251">
        <v>-0.49650009880902418</v>
      </c>
      <c r="U251">
        <v>-0.4742506280782689</v>
      </c>
      <c r="V251">
        <v>-0.4965000988090239</v>
      </c>
      <c r="W251">
        <v>0</v>
      </c>
      <c r="X251">
        <v>0</v>
      </c>
      <c r="Y251">
        <v>0</v>
      </c>
      <c r="Z251">
        <v>0</v>
      </c>
      <c r="AA251">
        <v>342.39670930134002</v>
      </c>
      <c r="AB251">
        <v>358.46025273358998</v>
      </c>
      <c r="AC251">
        <f t="shared" si="30"/>
        <v>-7.5000000000000346</v>
      </c>
      <c r="AD251">
        <f t="shared" si="31"/>
        <v>7.0000000000000275</v>
      </c>
      <c r="AE251">
        <f t="shared" si="32"/>
        <v>-0.93333333333333268</v>
      </c>
      <c r="AF251">
        <f t="shared" si="33"/>
        <v>-14.500000000000068</v>
      </c>
      <c r="AG251">
        <f t="shared" si="34"/>
        <v>1.9333333333333333</v>
      </c>
      <c r="AH251">
        <f t="shared" si="35"/>
        <v>8.5000000000000355</v>
      </c>
      <c r="AI251">
        <f t="shared" si="36"/>
        <v>1.0000000000000004</v>
      </c>
      <c r="AJ251">
        <f t="shared" si="37"/>
        <v>0</v>
      </c>
      <c r="AK251">
        <f t="shared" si="38"/>
        <v>-5.8411776330473148E-4</v>
      </c>
      <c r="AL251">
        <f t="shared" si="39"/>
        <v>-5.5794191538619594E-4</v>
      </c>
    </row>
    <row r="252" spans="1:38" x14ac:dyDescent="0.35">
      <c r="A252" t="s">
        <v>50</v>
      </c>
      <c r="B252" t="s">
        <v>72</v>
      </c>
      <c r="C252">
        <v>0.63608896592116526</v>
      </c>
      <c r="D252">
        <v>0</v>
      </c>
      <c r="E252">
        <v>0.63608896592116526</v>
      </c>
      <c r="F252">
        <v>0</v>
      </c>
      <c r="G252">
        <v>-0.37597881601197791</v>
      </c>
      <c r="H252">
        <v>-2.17980388809976E-2</v>
      </c>
      <c r="I252">
        <v>-0.3541807771309804</v>
      </c>
      <c r="J252">
        <v>0</v>
      </c>
      <c r="K252">
        <v>2.1090428744257408</v>
      </c>
      <c r="L252">
        <v>1.1477070431122109</v>
      </c>
      <c r="M252">
        <v>0</v>
      </c>
      <c r="N252">
        <v>0</v>
      </c>
      <c r="O252">
        <v>2.1090428744257399</v>
      </c>
      <c r="P252">
        <v>1.1477070431122109</v>
      </c>
      <c r="Q252">
        <v>0</v>
      </c>
      <c r="R252">
        <v>0</v>
      </c>
      <c r="S252">
        <v>-1.2466109071657201</v>
      </c>
      <c r="T252">
        <v>-0.6783855062994717</v>
      </c>
      <c r="U252">
        <v>-7.2274478950985405E-2</v>
      </c>
      <c r="V252">
        <v>-3.9330603249067203E-2</v>
      </c>
      <c r="W252">
        <v>-1.1743364282147351</v>
      </c>
      <c r="X252">
        <v>-0.63905490305040458</v>
      </c>
      <c r="Y252">
        <v>0</v>
      </c>
      <c r="Z252">
        <v>0</v>
      </c>
      <c r="AA252">
        <v>55.422589739999999</v>
      </c>
      <c r="AB252">
        <v>30.160077523049999</v>
      </c>
      <c r="AC252">
        <f t="shared" si="30"/>
        <v>2.445459995095324</v>
      </c>
      <c r="AD252">
        <f t="shared" si="31"/>
        <v>2.445459995095324</v>
      </c>
      <c r="AE252">
        <f t="shared" si="32"/>
        <v>1</v>
      </c>
      <c r="AF252">
        <f t="shared" si="33"/>
        <v>0</v>
      </c>
      <c r="AG252">
        <f t="shared" si="34"/>
        <v>0</v>
      </c>
      <c r="AH252">
        <f t="shared" si="35"/>
        <v>-1.445459995095324</v>
      </c>
      <c r="AI252">
        <f t="shared" si="36"/>
        <v>5.7976774096504306E-2</v>
      </c>
      <c r="AJ252">
        <f t="shared" si="37"/>
        <v>0.94202322590349596</v>
      </c>
      <c r="AK252">
        <f t="shared" si="38"/>
        <v>4.6932153681273894E-3</v>
      </c>
      <c r="AL252">
        <f t="shared" si="39"/>
        <v>8.6243196726002048E-3</v>
      </c>
    </row>
    <row r="253" spans="1:38" x14ac:dyDescent="0.35">
      <c r="A253" t="s">
        <v>51</v>
      </c>
      <c r="B253" t="s">
        <v>72</v>
      </c>
      <c r="C253">
        <v>0.2377970000000004</v>
      </c>
      <c r="D253">
        <v>1.33940000000001E-2</v>
      </c>
      <c r="E253">
        <v>0.2244030000000001</v>
      </c>
      <c r="F253">
        <v>1.3800000000000999E-3</v>
      </c>
      <c r="G253">
        <v>1.1412818593544E-2</v>
      </c>
      <c r="H253">
        <v>1.1412818593544E-2</v>
      </c>
      <c r="I253">
        <v>0</v>
      </c>
      <c r="J253">
        <v>0</v>
      </c>
      <c r="K253">
        <v>0.4931831961626596</v>
      </c>
      <c r="L253">
        <v>0.2448081251412004</v>
      </c>
      <c r="M253">
        <v>2.77787176852641E-2</v>
      </c>
      <c r="N253">
        <v>1.3788904099468299E-2</v>
      </c>
      <c r="O253">
        <v>0.46540447847739669</v>
      </c>
      <c r="P253">
        <v>0.23101922104173231</v>
      </c>
      <c r="Q253">
        <v>2.8620748399038999E-3</v>
      </c>
      <c r="R253">
        <v>1.4206874464139001E-3</v>
      </c>
      <c r="S253">
        <v>2.36698122818568E-2</v>
      </c>
      <c r="T253">
        <v>1.1749310220322899E-2</v>
      </c>
      <c r="U253">
        <v>2.36698122818568E-2</v>
      </c>
      <c r="V253">
        <v>1.1749310220323101E-2</v>
      </c>
      <c r="W253">
        <v>0</v>
      </c>
      <c r="X253">
        <v>0</v>
      </c>
      <c r="Y253">
        <v>0</v>
      </c>
      <c r="Z253">
        <v>0</v>
      </c>
      <c r="AA253">
        <v>97.136073348400004</v>
      </c>
      <c r="AB253">
        <v>48.216768505140003</v>
      </c>
      <c r="AC253">
        <f t="shared" si="30"/>
        <v>0.95420397696224779</v>
      </c>
      <c r="AD253">
        <f t="shared" si="31"/>
        <v>0.90045810099479395</v>
      </c>
      <c r="AE253">
        <f t="shared" si="32"/>
        <v>0.94367464686265901</v>
      </c>
      <c r="AF253">
        <f t="shared" si="33"/>
        <v>5.3745875967452998E-2</v>
      </c>
      <c r="AG253">
        <f t="shared" si="34"/>
        <v>5.6325353137340162E-2</v>
      </c>
      <c r="AH253">
        <f t="shared" si="35"/>
        <v>4.5796023037752175E-2</v>
      </c>
      <c r="AI253">
        <f t="shared" si="36"/>
        <v>1</v>
      </c>
      <c r="AJ253">
        <f t="shared" si="37"/>
        <v>0</v>
      </c>
      <c r="AK253">
        <f t="shared" si="38"/>
        <v>2.5655743536152453E-3</v>
      </c>
      <c r="AL253">
        <f t="shared" si="39"/>
        <v>5.1685300844451689E-3</v>
      </c>
    </row>
    <row r="254" spans="1:38" x14ac:dyDescent="0.35">
      <c r="A254" t="s">
        <v>52</v>
      </c>
      <c r="B254" t="s">
        <v>72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66.343484468840003</v>
      </c>
      <c r="AB254">
        <v>66.557495896739994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f t="shared" si="38"/>
        <v>0</v>
      </c>
      <c r="AL254">
        <f t="shared" si="39"/>
        <v>0</v>
      </c>
    </row>
    <row r="255" spans="1:38" x14ac:dyDescent="0.35">
      <c r="A255" t="s">
        <v>53</v>
      </c>
      <c r="B255" t="s">
        <v>72</v>
      </c>
      <c r="C255">
        <v>0</v>
      </c>
      <c r="D255">
        <v>0</v>
      </c>
      <c r="E255">
        <v>0</v>
      </c>
      <c r="F255">
        <v>-1.2554100452898529</v>
      </c>
      <c r="G255">
        <v>-34.466712152503263</v>
      </c>
      <c r="H255">
        <v>0</v>
      </c>
      <c r="I255">
        <v>-34.466712152503263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-0.14940903361763991</v>
      </c>
      <c r="R255">
        <v>-0.13463702333676991</v>
      </c>
      <c r="S255">
        <v>-4.1019571047752059</v>
      </c>
      <c r="T255">
        <v>-3.6963982770640551</v>
      </c>
      <c r="U255">
        <v>0</v>
      </c>
      <c r="V255">
        <v>0</v>
      </c>
      <c r="W255">
        <v>-4.1019571047752059</v>
      </c>
      <c r="X255">
        <v>-3.6963982770640551</v>
      </c>
      <c r="Y255">
        <v>0</v>
      </c>
      <c r="Z255">
        <v>0</v>
      </c>
      <c r="AA255">
        <v>932.44043441874999</v>
      </c>
      <c r="AB255">
        <v>840.25042856688003</v>
      </c>
      <c r="AC255">
        <f t="shared" si="30"/>
        <v>0</v>
      </c>
      <c r="AD255">
        <f t="shared" si="31"/>
        <v>0</v>
      </c>
      <c r="AE255">
        <v>0</v>
      </c>
      <c r="AF255">
        <f t="shared" si="33"/>
        <v>0</v>
      </c>
      <c r="AG255">
        <v>0</v>
      </c>
      <c r="AH255">
        <f t="shared" si="35"/>
        <v>1</v>
      </c>
      <c r="AI255">
        <f t="shared" si="36"/>
        <v>0</v>
      </c>
      <c r="AJ255">
        <f t="shared" si="37"/>
        <v>1</v>
      </c>
      <c r="AK255">
        <f t="shared" si="38"/>
        <v>-3.6963982770640551E-2</v>
      </c>
      <c r="AL255">
        <f t="shared" si="39"/>
        <v>-4.1019571047752071E-2</v>
      </c>
    </row>
    <row r="256" spans="1:38" x14ac:dyDescent="0.35">
      <c r="A256" t="s">
        <v>54</v>
      </c>
      <c r="B256" t="s">
        <v>72</v>
      </c>
      <c r="C256">
        <v>0</v>
      </c>
      <c r="D256">
        <v>0</v>
      </c>
      <c r="E256">
        <v>0</v>
      </c>
      <c r="F256">
        <v>0</v>
      </c>
      <c r="G256">
        <v>0.65002147584386361</v>
      </c>
      <c r="H256">
        <v>0.39001288550631807</v>
      </c>
      <c r="I256">
        <v>0.26000859033754531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0.32030373440945098</v>
      </c>
      <c r="T256">
        <v>0.3351078645428322</v>
      </c>
      <c r="U256">
        <v>0.19218224064567049</v>
      </c>
      <c r="V256">
        <v>0.20106471872569931</v>
      </c>
      <c r="W256">
        <v>0.1281214937637801</v>
      </c>
      <c r="X256">
        <v>0.13404314581713281</v>
      </c>
      <c r="Y256">
        <v>0</v>
      </c>
      <c r="Z256">
        <v>0</v>
      </c>
      <c r="AA256">
        <v>193.97380504054999</v>
      </c>
      <c r="AB256">
        <v>202.93908750153</v>
      </c>
      <c r="AC256">
        <f t="shared" si="30"/>
        <v>0</v>
      </c>
      <c r="AD256">
        <f t="shared" si="31"/>
        <v>0</v>
      </c>
      <c r="AE256">
        <v>0</v>
      </c>
      <c r="AF256">
        <f t="shared" si="33"/>
        <v>0</v>
      </c>
      <c r="AG256">
        <v>0</v>
      </c>
      <c r="AH256">
        <f t="shared" si="35"/>
        <v>1</v>
      </c>
      <c r="AI256">
        <f t="shared" si="36"/>
        <v>0.59999999999999987</v>
      </c>
      <c r="AJ256">
        <f t="shared" si="37"/>
        <v>0.3999999999999998</v>
      </c>
      <c r="AK256">
        <f t="shared" si="38"/>
        <v>3.3510786454283214E-3</v>
      </c>
      <c r="AL256">
        <f t="shared" si="39"/>
        <v>3.2030373440945078E-3</v>
      </c>
    </row>
    <row r="257" spans="1:38" x14ac:dyDescent="0.35">
      <c r="A257" t="s">
        <v>55</v>
      </c>
      <c r="B257" t="s">
        <v>72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330.45426768437</v>
      </c>
      <c r="AB257">
        <v>410.24933347112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f t="shared" si="38"/>
        <v>0</v>
      </c>
      <c r="AL257">
        <f t="shared" si="39"/>
        <v>0</v>
      </c>
    </row>
    <row r="258" spans="1:38" x14ac:dyDescent="0.35">
      <c r="A258" t="s">
        <v>56</v>
      </c>
      <c r="B258" t="s">
        <v>72</v>
      </c>
      <c r="C258">
        <v>0.79889730154809158</v>
      </c>
      <c r="D258">
        <v>0.34238455780632382</v>
      </c>
      <c r="E258">
        <v>0.45651274374176681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0.35927718380528167</v>
      </c>
      <c r="L258">
        <v>0.23413247781510629</v>
      </c>
      <c r="M258">
        <v>0.15397593591654901</v>
      </c>
      <c r="N258">
        <v>0.10034249049218801</v>
      </c>
      <c r="O258">
        <v>0.205301247888733</v>
      </c>
      <c r="P258">
        <v>0.13378998732291819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341.21592570296002</v>
      </c>
      <c r="AB258">
        <v>222.36238134761999</v>
      </c>
      <c r="AC258">
        <f t="shared" si="30"/>
        <v>1</v>
      </c>
      <c r="AD258">
        <f t="shared" si="31"/>
        <v>0.57142857142857173</v>
      </c>
      <c r="AE258">
        <f t="shared" si="32"/>
        <v>0.57142857142857173</v>
      </c>
      <c r="AF258">
        <f t="shared" si="33"/>
        <v>0.42857142857142716</v>
      </c>
      <c r="AG258">
        <f t="shared" si="34"/>
        <v>0.42857142857142716</v>
      </c>
      <c r="AH258">
        <f t="shared" si="35"/>
        <v>0</v>
      </c>
      <c r="AI258">
        <v>0</v>
      </c>
      <c r="AJ258">
        <v>0</v>
      </c>
      <c r="AK258">
        <f t="shared" si="38"/>
        <v>2.3413247781510602E-3</v>
      </c>
      <c r="AL258">
        <f t="shared" si="39"/>
        <v>3.5927718380528236E-3</v>
      </c>
    </row>
    <row r="259" spans="1:38" x14ac:dyDescent="0.35">
      <c r="A259" t="s">
        <v>57</v>
      </c>
      <c r="B259" t="s">
        <v>72</v>
      </c>
      <c r="C259">
        <v>1.6802751266758571</v>
      </c>
      <c r="D259">
        <v>1.0192067280989019</v>
      </c>
      <c r="E259">
        <v>0.66106839857695565</v>
      </c>
      <c r="F259">
        <v>0</v>
      </c>
      <c r="G259">
        <v>-2.782368016327577</v>
      </c>
      <c r="H259">
        <v>0</v>
      </c>
      <c r="I259">
        <v>-2.782368016327577</v>
      </c>
      <c r="J259">
        <v>0</v>
      </c>
      <c r="K259">
        <v>1.688904394969011</v>
      </c>
      <c r="L259">
        <v>0.92469264342358404</v>
      </c>
      <c r="M259">
        <v>1.0244409948944539</v>
      </c>
      <c r="N259">
        <v>0.56089205192566349</v>
      </c>
      <c r="O259">
        <v>0.66446340007455706</v>
      </c>
      <c r="P259">
        <v>0.36380059149792032</v>
      </c>
      <c r="Q259">
        <v>0</v>
      </c>
      <c r="R259">
        <v>0</v>
      </c>
      <c r="S259">
        <v>-2.796657223923404</v>
      </c>
      <c r="T259">
        <v>-1.531198787120716</v>
      </c>
      <c r="U259">
        <v>0</v>
      </c>
      <c r="V259">
        <v>0</v>
      </c>
      <c r="W259">
        <v>-2.796657223923404</v>
      </c>
      <c r="X259">
        <v>-1.531198787120716</v>
      </c>
      <c r="Y259">
        <v>0</v>
      </c>
      <c r="Z259">
        <v>0</v>
      </c>
      <c r="AA259">
        <v>181.71174374815001</v>
      </c>
      <c r="AB259">
        <v>99.489061173690004</v>
      </c>
      <c r="AC259">
        <f t="shared" ref="AC259:AC266" si="40">C259/(C259+G259)</f>
        <v>-1.5246220554120919</v>
      </c>
      <c r="AD259">
        <f t="shared" ref="AD259:AD266" si="41">(E259/(C259+G259))</f>
        <v>-0.59983001867098928</v>
      </c>
      <c r="AE259">
        <f t="shared" ref="AE259:AE266" si="42">(E259/C259)</f>
        <v>0.39342866420023054</v>
      </c>
      <c r="AF259">
        <f t="shared" ref="AF259:AF266" si="43">(D259/(C259+G259))</f>
        <v>-0.92479203674110311</v>
      </c>
      <c r="AG259">
        <f t="shared" ref="AG259:AG266" si="44">(D259/(C259))</f>
        <v>0.60657133579976974</v>
      </c>
      <c r="AH259">
        <f t="shared" ref="AH259:AH266" si="45">(G259/(C259+G259))</f>
        <v>2.5246220554120922</v>
      </c>
      <c r="AI259">
        <f t="shared" ref="AI259:AI266" si="46">(H259/G259)</f>
        <v>0</v>
      </c>
      <c r="AJ259">
        <f t="shared" ref="AJ259:AJ266" si="47">I259/G259</f>
        <v>1</v>
      </c>
      <c r="AK259">
        <f t="shared" ref="AK259:AK267" si="48">(C259+G259)/AA259</f>
        <v>-6.0650614369713255E-3</v>
      </c>
      <c r="AL259">
        <f t="shared" ref="AL259:AL267" si="49">(C259+G259)/AB259</f>
        <v>-1.1077528289543953E-2</v>
      </c>
    </row>
    <row r="260" spans="1:38" x14ac:dyDescent="0.35">
      <c r="A260" t="s">
        <v>58</v>
      </c>
      <c r="B260" t="s">
        <v>72</v>
      </c>
      <c r="C260">
        <v>1.0209999999999999</v>
      </c>
      <c r="D260">
        <v>-1.19999999999999E-2</v>
      </c>
      <c r="E260">
        <v>1.0329999999999999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2.0250713059145209</v>
      </c>
      <c r="L260">
        <v>1.3427608723131521</v>
      </c>
      <c r="M260">
        <v>-2.38010339578591E-2</v>
      </c>
      <c r="N260">
        <v>-1.57817144640135E-2</v>
      </c>
      <c r="O260">
        <v>2.0488723398723798</v>
      </c>
      <c r="P260">
        <v>1.358542586777165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76.037366075549997</v>
      </c>
      <c r="AB260">
        <v>50.417977728389999</v>
      </c>
      <c r="AC260">
        <f t="shared" si="40"/>
        <v>1</v>
      </c>
      <c r="AD260">
        <f t="shared" si="41"/>
        <v>1.0117531831537707</v>
      </c>
      <c r="AE260">
        <f t="shared" si="42"/>
        <v>1.0117531831537707</v>
      </c>
      <c r="AF260">
        <f t="shared" si="43"/>
        <v>-1.1753183153770715E-2</v>
      </c>
      <c r="AG260">
        <f t="shared" si="44"/>
        <v>-1.1753183153770715E-2</v>
      </c>
      <c r="AH260">
        <f t="shared" si="45"/>
        <v>0</v>
      </c>
      <c r="AI260">
        <v>0</v>
      </c>
      <c r="AJ260">
        <v>0</v>
      </c>
      <c r="AK260">
        <f t="shared" si="48"/>
        <v>1.3427608723131521E-2</v>
      </c>
      <c r="AL260">
        <f t="shared" si="49"/>
        <v>2.0250713059145213E-2</v>
      </c>
    </row>
    <row r="261" spans="1:38" x14ac:dyDescent="0.35">
      <c r="A261" t="s">
        <v>59</v>
      </c>
      <c r="B261" t="s">
        <v>72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521.00449074291998</v>
      </c>
      <c r="AB261">
        <v>549.82128194673999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f t="shared" si="48"/>
        <v>0</v>
      </c>
      <c r="AL261">
        <f t="shared" si="49"/>
        <v>0</v>
      </c>
    </row>
    <row r="262" spans="1:38" x14ac:dyDescent="0.35">
      <c r="A262" t="s">
        <v>60</v>
      </c>
      <c r="B262" t="s">
        <v>72</v>
      </c>
      <c r="C262">
        <v>1.298408499835787</v>
      </c>
      <c r="D262">
        <v>0.65080196341236274</v>
      </c>
      <c r="E262">
        <v>0.64760653642342447</v>
      </c>
      <c r="F262">
        <v>0</v>
      </c>
      <c r="G262">
        <v>0.1065142329643791</v>
      </c>
      <c r="H262">
        <v>0.1065142329643802</v>
      </c>
      <c r="I262">
        <v>0</v>
      </c>
      <c r="J262">
        <v>0</v>
      </c>
      <c r="K262">
        <v>0.17379085773101099</v>
      </c>
      <c r="L262">
        <v>0.2197659536766742</v>
      </c>
      <c r="M262">
        <v>8.7109281438595407E-2</v>
      </c>
      <c r="N262">
        <v>0.11015340254015581</v>
      </c>
      <c r="O262">
        <v>8.6681576292415102E-2</v>
      </c>
      <c r="P262">
        <v>0.1096125511365198</v>
      </c>
      <c r="Q262">
        <v>0</v>
      </c>
      <c r="R262">
        <v>0</v>
      </c>
      <c r="S262">
        <v>1.4256838205989501E-2</v>
      </c>
      <c r="T262">
        <v>1.80283801211382E-2</v>
      </c>
      <c r="U262">
        <v>1.42568382059894E-2</v>
      </c>
      <c r="V262">
        <v>1.8028380121138401E-2</v>
      </c>
      <c r="W262">
        <v>0</v>
      </c>
      <c r="X262">
        <v>0</v>
      </c>
      <c r="Y262">
        <v>0</v>
      </c>
      <c r="Z262">
        <v>0</v>
      </c>
      <c r="AA262">
        <v>590.81421763174001</v>
      </c>
      <c r="AB262">
        <v>747.10978286638999</v>
      </c>
      <c r="AC262">
        <f t="shared" si="40"/>
        <v>0.92418498862774856</v>
      </c>
      <c r="AD262">
        <f t="shared" si="41"/>
        <v>0.46095526914328816</v>
      </c>
      <c r="AE262">
        <f t="shared" si="42"/>
        <v>0.49876948318293429</v>
      </c>
      <c r="AF262">
        <f t="shared" si="43"/>
        <v>0.46322971948446062</v>
      </c>
      <c r="AG262">
        <f t="shared" si="44"/>
        <v>0.50123051681706587</v>
      </c>
      <c r="AH262">
        <f t="shared" si="45"/>
        <v>7.5815011372251398E-2</v>
      </c>
      <c r="AI262">
        <f t="shared" si="46"/>
        <v>1.0000000000000102</v>
      </c>
      <c r="AJ262">
        <f t="shared" si="47"/>
        <v>0</v>
      </c>
      <c r="AK262">
        <f t="shared" si="48"/>
        <v>2.377943337978145E-3</v>
      </c>
      <c r="AL262">
        <f t="shared" si="49"/>
        <v>1.8804769593699948E-3</v>
      </c>
    </row>
    <row r="263" spans="1:38" x14ac:dyDescent="0.35">
      <c r="A263" t="s">
        <v>61</v>
      </c>
      <c r="B263" t="s">
        <v>72</v>
      </c>
      <c r="C263">
        <v>-3.57454952088105</v>
      </c>
      <c r="D263">
        <v>0</v>
      </c>
      <c r="E263">
        <v>-3.57454952088105</v>
      </c>
      <c r="F263">
        <v>0.75867952732961097</v>
      </c>
      <c r="G263">
        <v>0</v>
      </c>
      <c r="H263">
        <v>0</v>
      </c>
      <c r="I263">
        <v>0</v>
      </c>
      <c r="J263">
        <v>0</v>
      </c>
      <c r="K263">
        <v>-1.364543031348058</v>
      </c>
      <c r="L263">
        <v>-0.81002520713302584</v>
      </c>
      <c r="M263">
        <v>0</v>
      </c>
      <c r="N263">
        <v>0</v>
      </c>
      <c r="O263">
        <v>-1.364543031348058</v>
      </c>
      <c r="P263">
        <v>-0.81002520713302673</v>
      </c>
      <c r="Q263">
        <v>0.2896171548321122</v>
      </c>
      <c r="R263">
        <v>0.1719236333649343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441.28867711817003</v>
      </c>
      <c r="AB263">
        <v>261.95945739796002</v>
      </c>
      <c r="AC263">
        <f t="shared" si="40"/>
        <v>1</v>
      </c>
      <c r="AD263">
        <f t="shared" si="41"/>
        <v>1</v>
      </c>
      <c r="AE263">
        <f t="shared" si="42"/>
        <v>1</v>
      </c>
      <c r="AF263">
        <f t="shared" si="43"/>
        <v>0</v>
      </c>
      <c r="AG263">
        <f t="shared" si="44"/>
        <v>0</v>
      </c>
      <c r="AH263">
        <f t="shared" si="45"/>
        <v>0</v>
      </c>
      <c r="AI263">
        <v>0</v>
      </c>
      <c r="AJ263">
        <v>0</v>
      </c>
      <c r="AK263">
        <f t="shared" si="48"/>
        <v>-8.1002520713302668E-3</v>
      </c>
      <c r="AL263">
        <f t="shared" si="49"/>
        <v>-1.3645430313480587E-2</v>
      </c>
    </row>
    <row r="264" spans="1:38" x14ac:dyDescent="0.35">
      <c r="A264" t="s">
        <v>62</v>
      </c>
      <c r="B264" t="s">
        <v>72</v>
      </c>
      <c r="C264">
        <v>-0.24016619392314451</v>
      </c>
      <c r="D264">
        <v>-1.29965922303392E-2</v>
      </c>
      <c r="E264">
        <v>-0.2271696016928057</v>
      </c>
      <c r="F264">
        <v>0</v>
      </c>
      <c r="G264">
        <v>-0.96472621076456377</v>
      </c>
      <c r="H264">
        <v>-0.96472621076456377</v>
      </c>
      <c r="I264">
        <v>0</v>
      </c>
      <c r="J264">
        <v>0</v>
      </c>
      <c r="K264">
        <v>-7.4723710140849706E-2</v>
      </c>
      <c r="L264">
        <v>-3.4783045887894798E-2</v>
      </c>
      <c r="M264">
        <v>-4.0436731530561999E-3</v>
      </c>
      <c r="N264">
        <v>-1.882284332152E-3</v>
      </c>
      <c r="O264">
        <v>-7.0680036987793501E-2</v>
      </c>
      <c r="P264">
        <v>-3.2900761555742598E-2</v>
      </c>
      <c r="Q264">
        <v>0</v>
      </c>
      <c r="R264">
        <v>0</v>
      </c>
      <c r="S264">
        <v>-0.3001584884237305</v>
      </c>
      <c r="T264">
        <v>-0.13972039740537659</v>
      </c>
      <c r="U264">
        <v>-0.30015848842373088</v>
      </c>
      <c r="V264">
        <v>-0.13972039740537659</v>
      </c>
      <c r="W264">
        <v>0</v>
      </c>
      <c r="X264">
        <v>0</v>
      </c>
      <c r="Y264">
        <v>0</v>
      </c>
      <c r="Z264">
        <v>0</v>
      </c>
      <c r="AA264">
        <v>690.46912883131995</v>
      </c>
      <c r="AB264">
        <v>321.40560669490998</v>
      </c>
      <c r="AC264">
        <f t="shared" si="40"/>
        <v>0.19932584269662842</v>
      </c>
      <c r="AD264">
        <f t="shared" si="41"/>
        <v>0.18853932584269628</v>
      </c>
      <c r="AE264">
        <f t="shared" si="42"/>
        <v>0.94588500563698052</v>
      </c>
      <c r="AF264">
        <f t="shared" si="43"/>
        <v>1.078651685393248E-2</v>
      </c>
      <c r="AG264">
        <f t="shared" si="44"/>
        <v>5.4114994363021113E-2</v>
      </c>
      <c r="AH264">
        <f t="shared" si="45"/>
        <v>0.80067415730337155</v>
      </c>
      <c r="AI264">
        <f t="shared" si="46"/>
        <v>1</v>
      </c>
      <c r="AJ264">
        <f t="shared" si="47"/>
        <v>0</v>
      </c>
      <c r="AK264">
        <f t="shared" si="48"/>
        <v>-1.7450344329327152E-3</v>
      </c>
      <c r="AL264">
        <f t="shared" si="49"/>
        <v>-3.7488219856458087E-3</v>
      </c>
    </row>
    <row r="265" spans="1:38" x14ac:dyDescent="0.35">
      <c r="A265" t="s">
        <v>63</v>
      </c>
      <c r="B265" t="s">
        <v>72</v>
      </c>
      <c r="C265">
        <v>0.14534662604214299</v>
      </c>
      <c r="D265">
        <v>0</v>
      </c>
      <c r="E265">
        <v>0.14534662604214299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0.22575488547941269</v>
      </c>
      <c r="L265">
        <v>0.1593128021015037</v>
      </c>
      <c r="M265">
        <v>0</v>
      </c>
      <c r="N265">
        <v>0</v>
      </c>
      <c r="O265">
        <v>0.22575488547941239</v>
      </c>
      <c r="P265">
        <v>0.15931280210150359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91.233487908610002</v>
      </c>
      <c r="AB265">
        <v>64.38249419652</v>
      </c>
      <c r="AC265">
        <f t="shared" si="40"/>
        <v>1</v>
      </c>
      <c r="AD265">
        <f t="shared" si="41"/>
        <v>1</v>
      </c>
      <c r="AE265">
        <f t="shared" si="42"/>
        <v>1</v>
      </c>
      <c r="AF265">
        <f t="shared" si="43"/>
        <v>0</v>
      </c>
      <c r="AG265">
        <f t="shared" si="44"/>
        <v>0</v>
      </c>
      <c r="AH265">
        <f t="shared" si="45"/>
        <v>0</v>
      </c>
      <c r="AI265">
        <v>0</v>
      </c>
      <c r="AJ265">
        <v>0</v>
      </c>
      <c r="AK265">
        <f t="shared" si="48"/>
        <v>1.5931280210150351E-3</v>
      </c>
      <c r="AL265">
        <f t="shared" si="49"/>
        <v>2.2575488547941229E-3</v>
      </c>
    </row>
    <row r="266" spans="1:38" x14ac:dyDescent="0.35">
      <c r="A266" t="s">
        <v>64</v>
      </c>
      <c r="B266" t="s">
        <v>72</v>
      </c>
      <c r="C266">
        <v>1.510862671673955</v>
      </c>
      <c r="D266">
        <v>0.66420956936764153</v>
      </c>
      <c r="E266">
        <v>0.84665310230631441</v>
      </c>
      <c r="F266">
        <v>0</v>
      </c>
      <c r="G266">
        <v>6.4232296886403001E-3</v>
      </c>
      <c r="H266">
        <v>0</v>
      </c>
      <c r="I266">
        <v>6.4232296886403001E-3</v>
      </c>
      <c r="J266">
        <v>0</v>
      </c>
      <c r="K266">
        <v>1.0251200504614819</v>
      </c>
      <c r="L266">
        <v>0.48755094727856191</v>
      </c>
      <c r="M266">
        <v>0.45066607312017209</v>
      </c>
      <c r="N266">
        <v>0.21433847748577059</v>
      </c>
      <c r="O266">
        <v>0.57445397734130843</v>
      </c>
      <c r="P266">
        <v>0.27321246979279129</v>
      </c>
      <c r="Q266">
        <v>0</v>
      </c>
      <c r="R266">
        <v>0</v>
      </c>
      <c r="S266">
        <v>4.3581601862259E-3</v>
      </c>
      <c r="T266">
        <v>2.0727573577650001E-3</v>
      </c>
      <c r="U266">
        <v>0</v>
      </c>
      <c r="V266">
        <v>0</v>
      </c>
      <c r="W266">
        <v>4.3581601862259E-3</v>
      </c>
      <c r="X266">
        <v>2.0727573577650001E-3</v>
      </c>
      <c r="Y266">
        <v>0</v>
      </c>
      <c r="Z266">
        <v>0</v>
      </c>
      <c r="AA266">
        <v>309.88816247970999</v>
      </c>
      <c r="AB266">
        <v>147.38397429586999</v>
      </c>
      <c r="AC266">
        <f t="shared" si="40"/>
        <v>0.99576663192950521</v>
      </c>
      <c r="AD266">
        <f t="shared" si="41"/>
        <v>0.55800498874073723</v>
      </c>
      <c r="AE266">
        <f t="shared" si="42"/>
        <v>0.56037727199141674</v>
      </c>
      <c r="AF266">
        <f t="shared" si="43"/>
        <v>0.43776164318876853</v>
      </c>
      <c r="AG266">
        <f t="shared" si="44"/>
        <v>0.43962272800858387</v>
      </c>
      <c r="AH266">
        <f t="shared" si="45"/>
        <v>4.2333680704947779E-3</v>
      </c>
      <c r="AI266">
        <f t="shared" si="46"/>
        <v>0</v>
      </c>
      <c r="AJ266">
        <f t="shared" si="47"/>
        <v>1</v>
      </c>
      <c r="AK266">
        <f t="shared" si="48"/>
        <v>4.8962370463632669E-3</v>
      </c>
      <c r="AL266">
        <f t="shared" si="49"/>
        <v>1.0294782106477047E-2</v>
      </c>
    </row>
    <row r="267" spans="1:38" x14ac:dyDescent="0.35">
      <c r="A267" t="s">
        <v>65</v>
      </c>
      <c r="B267" t="s">
        <v>72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1215.4228689920101</v>
      </c>
      <c r="AB267">
        <v>571.50311712429004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f t="shared" si="48"/>
        <v>0</v>
      </c>
      <c r="AL267">
        <f t="shared" si="49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diff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aulis pesenti</cp:lastModifiedBy>
  <dcterms:created xsi:type="dcterms:W3CDTF">2024-05-06T15:35:04Z</dcterms:created>
  <dcterms:modified xsi:type="dcterms:W3CDTF">2024-05-10T09:44:07Z</dcterms:modified>
</cp:coreProperties>
</file>