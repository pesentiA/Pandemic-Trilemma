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295" documentId="8_{156132C1-ABC5-4D93-A771-6B4678AA5516}" xr6:coauthVersionLast="47" xr6:coauthVersionMax="47" xr10:uidLastSave="{303068AF-2ED1-41FE-A096-2BF0C79A8866}"/>
  <bookViews>
    <workbookView xWindow="-30480" yWindow="-21720" windowWidth="51840" windowHeight="21120" xr2:uid="{00000000-000D-0000-FFFF-FFFF00000000}"/>
  </bookViews>
  <sheets>
    <sheet name="classi" sheetId="5" r:id="rId1"/>
    <sheet name="Qualitative Measures" sheetId="1" r:id="rId2"/>
    <sheet name="imf" sheetId="2" r:id="rId3"/>
    <sheet name="pap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4" l="1"/>
  <c r="D44" i="4"/>
  <c r="E44" i="4"/>
  <c r="F44" i="4"/>
  <c r="G44" i="4"/>
  <c r="H44" i="4"/>
  <c r="I44" i="4"/>
  <c r="J44" i="4"/>
  <c r="K44" i="4"/>
  <c r="L44" i="4"/>
  <c r="M44" i="4"/>
  <c r="B44" i="4"/>
  <c r="C18" i="4"/>
  <c r="D18" i="4"/>
  <c r="E18" i="4"/>
  <c r="F18" i="4"/>
  <c r="G18" i="4"/>
  <c r="H18" i="4"/>
  <c r="I18" i="4"/>
  <c r="J18" i="4"/>
  <c r="K18" i="4"/>
  <c r="L18" i="4"/>
  <c r="M18" i="4"/>
  <c r="B18" i="4"/>
</calcChain>
</file>

<file path=xl/sharedStrings.xml><?xml version="1.0" encoding="utf-8"?>
<sst xmlns="http://schemas.openxmlformats.org/spreadsheetml/2006/main" count="467" uniqueCount="344">
  <si>
    <t>Country</t>
  </si>
  <si>
    <t>Non-Health Spending</t>
  </si>
  <si>
    <t>Australia</t>
  </si>
  <si>
    <t>Canada</t>
  </si>
  <si>
    <t>Germany</t>
  </si>
  <si>
    <t>Italy</t>
  </si>
  <si>
    <t>Spain</t>
  </si>
  <si>
    <t>United Kingdom</t>
  </si>
  <si>
    <t>United States</t>
  </si>
  <si>
    <t>Turkey</t>
  </si>
  <si>
    <t>Portugal</t>
  </si>
  <si>
    <t>Chile</t>
  </si>
  <si>
    <t>Colombia</t>
  </si>
  <si>
    <t xml:space="preserve">Additional spending (AUD 239.2 bn):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Forgone revenue (AUD 102.5 bn):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</si>
  <si>
    <t>Additional spending (CAD 289.9 bn):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</si>
  <si>
    <t>Additional spending (€346 bn):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Forgone revenue (€109 bn): a temporary VAT reduction (the general VAT cut was expired at end-2020, but special VAT cuts for restaurants and food services remain in place), corporate tax reliefs, personal income tax reliefs, and social security contribution reduction.</t>
  </si>
  <si>
    <t>Additional spending (€150 bn): including broadening the wage supplementation fund to provide income support to laid-off workers and the self-employed, vouchers for the payment of babysitters (€80 bn), grants for SME  (€60 bn), education (€4 bn), and other (€10 bn).
Forgone revenue (€10 bn): corporate income tax credits (€4 bn) and social security contribution reduction (€6 bn).</t>
  </si>
  <si>
    <t>Additional spending (74.14 bn):
• 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Forgone revenue (0.8bn): 
•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</si>
  <si>
    <t>Additional spending (£271 bn):
• Coronavirus Job Retention Scheme to subsidise furloughed employees' wages (initially for 3 months and extended several times until September 2021) and firms' social security contributions (until the 1st August 2020); 
• Income support for the self-employed (initially for 3 months, but extended too until September 2021);                                                                                                               • Paid sick leave for self-isolating individuals and compensation for small firms needing to close for over 2 weeks, and support for low-income people in need to self-isolate.  
• Grant support for sectors impacted by local and national restrictions;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doubling the number of work coaches to 27,000.
• Additional transfers to devolved administrations.
Forgone revenue (£34 bn): 
• Property tax (business rate) holiday for firms in affected sectors.
• Temporary cut on stamp duty land tax until June 2021.
• VAT reduced at 5% for hospitality, accommodation, and attractions until the end of September 2021, at 12.5% until March 2022, aftern which it will return to normal.</t>
  </si>
  <si>
    <t xml:space="preserve">Additional spending ($4263 bn): 
•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</si>
  <si>
    <t>Additional spending: 
• Cash aid and raised minimum pension (TL 29.8 bn);
• Unemployment benefits (TL 7.3 bn);
• Short-time work allowance (TL 36.7 bn); 
• Cash aid to employees (TL 14 bn).
• Normalization support (TL 4.8 bn).
• Social Support Program (TL 9.9 bn).
Forgone revenue (TL 44.6 bn):  40,6 bn TL forgone tax revenue and 4 bn TL Financing cost of Tax and SSP Deferrals
• VAT rate on food and beverage, cinema, theatre, museum and accommodation services was reduced from 8% to 1% until 31 December, 2020. It is prolonged for five months for 2021.It was again prolonged to end of September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It was again prolonged to end of September 2021.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 Support to tradespeople (TL 9 bn), Supports for Artists (TL 0,2 bn) and Additional Payments for Treasury Interest Supported Loans Given to Agricultural Producers and Tradesmen (1,2 bn)</t>
  </si>
  <si>
    <t>Additional spending (€8.7 bn):
•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€1.1 bn in 2021);
Forgone revenue (€1.2 bn):
• Exemption from payment of the Single Social Fee (€0.7 bn);
• Lowering of reduced electricity VAT rate (€0.2 bn);
• Temporary waiver of VAT on purchases of certain medical material;
• VAT refund program for catering, accommodation and culture (€0.2);
• Other tax relief measures, such as road toll reductions,property rents, SME taxes (€0.1).</t>
  </si>
  <si>
    <t xml:space="preserve">Additional spending: cash transfers for the most vulnerable
Forgone revenue: Tax deferrals (CIT,VAT) and suspension of stamp tax for six months.
</t>
  </si>
  <si>
    <t>Additional spending (30,037 bn pesos):
•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Forgone revenue (1,995 bn pesos):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</si>
  <si>
    <t xml:space="preserve">CRI, GRC, IRL, </t>
  </si>
  <si>
    <t>Description</t>
  </si>
  <si>
    <t>Total spending LC</t>
  </si>
  <si>
    <t>Total spending USD</t>
  </si>
  <si>
    <t>Non-Health Spending amount LC</t>
  </si>
  <si>
    <t>Forgone Revenues amount LC</t>
  </si>
  <si>
    <t>Accelerated Spending amount LC</t>
  </si>
  <si>
    <t>Costa Rica</t>
  </si>
  <si>
    <t xml:space="preserve">Deferred revenue: mostly due to postponement of VAT, CIT, and social security contributions as well as property taxes.  </t>
  </si>
  <si>
    <t>Accelerated spending (£5 bn): 
• Bring forward public infrastructure spending to FY2020/21.
Deferred revenue (£7.5 bn):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</si>
  <si>
    <t>Greece</t>
  </si>
  <si>
    <t>Ireland</t>
  </si>
  <si>
    <t>NLD</t>
  </si>
  <si>
    <t>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</si>
  <si>
    <t>Deferred revenue: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</si>
  <si>
    <t xml:space="preserve">Accelerated spending: Early annual bonus payment to pensioners.
Deferred revenue: 
•Tax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</si>
  <si>
    <t>USA</t>
  </si>
  <si>
    <t>Deferred revenue: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</si>
  <si>
    <t>The government implemented a fiscal package of measures totaling about 13.7 percent of GDP (€23.5 billion) in 2020, including loan guarantees, financed from national and EU resources (some of the latter involves reprogrammed funds). Key measures included: (i) health spending for hiring doctors and nurses, procurement of medical supplies, and cash bonuses to health sector workers; (ii) temporary transfers to vulnerable individuals, including cash stipends and full coverage of pension and health benefit payments for employees working in hard hit firms and for self-employed professionals, extension of unemployment benefits, support for short-term employment, subsidies to households loans tied to their primary residency and paid leave for parents who have children not going to school; (iii) liquidity support to hard hit businesses through loan guarantees, loan and interest payment subsidies, refundable advance payment, rent reductions, and deferred payments of taxes and social security contributions; and (iv) VAT rate reductions for critical products needed for COVID protection, research spending and transportation and hospitality sectors. The government extended selected support measures in parallel to the imposition of new movement restrictions in November 2020 and March 2021, increasing the cost of fiscal measures to about 8.5 percent of GDP in 2021.</t>
  </si>
  <si>
    <t>Social Assistance</t>
  </si>
  <si>
    <t>Social Insurance</t>
  </si>
  <si>
    <t>Labor Markets</t>
  </si>
  <si>
    <t>Cash Based Transfer</t>
  </si>
  <si>
    <t>Public Works</t>
  </si>
  <si>
    <t>In-kind/School feeding</t>
  </si>
  <si>
    <t>Utility and financial support</t>
  </si>
  <si>
    <t>Paid leave/unemployment</t>
  </si>
  <si>
    <t>Health Insurance support</t>
  </si>
  <si>
    <t xml:space="preserve">Pensions 
and 
disability 
benefits </t>
  </si>
  <si>
    <t xml:space="preserve">Social security 
contributions 
(waiver/subsidy)  </t>
  </si>
  <si>
    <t>Wage subsidy</t>
  </si>
  <si>
    <t>Activation (training)</t>
  </si>
  <si>
    <t>Labor regulation adjustement</t>
  </si>
  <si>
    <t>Reduce work time subsidy</t>
  </si>
  <si>
    <t>France</t>
  </si>
  <si>
    <t>Japan</t>
  </si>
  <si>
    <t>Korea</t>
  </si>
  <si>
    <t>Mexico</t>
  </si>
  <si>
    <t>Austria</t>
  </si>
  <si>
    <t>Belgium</t>
  </si>
  <si>
    <t>Czech republic</t>
  </si>
  <si>
    <t>Denmark</t>
  </si>
  <si>
    <t>Estonia</t>
  </si>
  <si>
    <t>Finland</t>
  </si>
  <si>
    <t>Iceland</t>
  </si>
  <si>
    <t>Israel</t>
  </si>
  <si>
    <t>Latvia</t>
  </si>
  <si>
    <t>Lithuania</t>
  </si>
  <si>
    <t>Luxembourg</t>
  </si>
  <si>
    <t>New Zealand</t>
  </si>
  <si>
    <t>Norway</t>
  </si>
  <si>
    <t>Slovak Republic</t>
  </si>
  <si>
    <t>Slovenia</t>
  </si>
  <si>
    <t>Sweden</t>
  </si>
  <si>
    <t>Switzerland</t>
  </si>
  <si>
    <t>Hungary</t>
  </si>
  <si>
    <t>Poland</t>
  </si>
  <si>
    <t>Mittelwerte</t>
  </si>
  <si>
    <t>Higher</t>
  </si>
  <si>
    <t>X</t>
  </si>
  <si>
    <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(release pressure/income support, supporting business).
• FY2021 budget includes additional revenue measures under the JobMaker program, comprising extension of immediate expensing, loss carry-backs, income tax cut for lower- and middle-income earners, and tax incentives for R&amp;D </t>
    </r>
    <r>
      <rPr>
        <b/>
        <sz val="11"/>
        <color theme="1"/>
        <rFont val="Calibri"/>
        <family val="2"/>
        <scheme val="minor"/>
      </rPr>
      <t>(keeping/increasing the workforce, support business)</t>
    </r>
    <r>
      <rPr>
        <sz val="11"/>
        <color theme="1"/>
        <rFont val="Calibri"/>
        <family val="2"/>
        <scheme val="minor"/>
      </rPr>
      <t xml:space="preserve"> .                                                                                                                                                            • The FY2022 budget extends temporary full expensing and loss carry-backs for businesses, and retains the low- and middle-income tax offset for FY2021-22 </t>
    </r>
    <r>
      <rPr>
        <b/>
        <sz val="11"/>
        <color theme="1"/>
        <rFont val="Calibri"/>
        <family val="2"/>
        <scheme val="minor"/>
      </rPr>
      <t>(supporting business)</t>
    </r>
    <r>
      <rPr>
        <sz val="11"/>
        <color theme="1"/>
        <rFont val="Calibri"/>
        <family val="2"/>
        <scheme val="minor"/>
      </rPr>
      <t>.
At state and local government levels
• Measures include payroll tax relief for businesses</t>
    </r>
    <r>
      <rPr>
        <b/>
        <sz val="11"/>
        <color theme="1"/>
        <rFont val="Calibri"/>
        <family val="2"/>
        <scheme val="minor"/>
      </rPr>
      <t xml:space="preserve"> (supporting business)</t>
    </r>
    <r>
      <rPr>
        <sz val="11"/>
        <color theme="1"/>
        <rFont val="Calibri"/>
        <family val="2"/>
        <scheme val="minor"/>
      </rPr>
      <t xml:space="preserve">. </t>
    </r>
  </si>
  <si>
    <r>
      <rPr>
        <b/>
        <sz val="11"/>
        <color theme="1"/>
        <rFont val="Calibri"/>
        <family val="2"/>
        <scheme val="minor"/>
      </rPr>
      <t xml:space="preserve">At the Commonwealth government level </t>
    </r>
    <r>
      <rPr>
        <sz val="11"/>
        <color theme="1"/>
        <rFont val="Calibri"/>
        <family val="2"/>
        <scheme val="minor"/>
      </rPr>
      <t xml:space="preserve">
• Measures include tax-free cash flow assistance, wage subsidies, payments to lower-income Australians (pensioners, other social security and veteran income support recipients, and eligible concession cardholders)</t>
    </r>
    <r>
      <rPr>
        <b/>
        <sz val="11"/>
        <color theme="1"/>
        <rFont val="Calibri"/>
        <family val="2"/>
        <scheme val="minor"/>
      </rPr>
      <t>(Confidence, Income support, keeping/increase the workforce)</t>
    </r>
    <r>
      <rPr>
        <sz val="11"/>
        <color theme="1"/>
        <rFont val="Calibri"/>
        <family val="2"/>
        <scheme val="minor"/>
      </rPr>
      <t xml:space="preserve">, and the Home Builder program </t>
    </r>
    <r>
      <rPr>
        <b/>
        <sz val="11"/>
        <color theme="1"/>
        <rFont val="Calibri"/>
        <family val="2"/>
        <scheme val="minor"/>
      </rPr>
      <t xml:space="preserve"> (support confidence in the residential construction sector and encourage consumers to proceed with purchases or renovations that may have been delayed due to uncertainty)</t>
    </r>
    <r>
      <rPr>
        <sz val="11"/>
        <color theme="1"/>
        <rFont val="Calibri"/>
        <family val="2"/>
        <scheme val="minor"/>
      </rPr>
      <t xml:space="preserve">. 
• FY2021 budget, released on October 6, includes additional spending measures under the JobMaker program, comprising job hiring credit, infrastructure projects, and others for job creation  </t>
    </r>
    <r>
      <rPr>
        <b/>
        <sz val="11"/>
        <color theme="1"/>
        <rFont val="Calibri"/>
        <family val="2"/>
        <scheme val="minor"/>
      </rPr>
      <t>(keeping/increase the workforce and income support)</t>
    </r>
    <r>
      <rPr>
        <sz val="11"/>
        <color theme="1"/>
        <rFont val="Calibri"/>
        <family val="2"/>
        <scheme val="minor"/>
      </rPr>
      <t xml:space="preserve">. 
• The 2020-21  MYEFO extends coronavirus supplement and other income support measures through end-March 2021.                                                                          • The FY2022 budget adds spending on infrastructure investment, extension of aviation and tourism support, women’s economic support package, and various programs for job creationAt state and local government levels </t>
    </r>
    <r>
      <rPr>
        <b/>
        <sz val="11"/>
        <color theme="1"/>
        <rFont val="Calibri"/>
        <family val="2"/>
        <scheme val="minor"/>
      </rPr>
      <t xml:space="preserve">(goverment consumption, support confidence and local economy/business (aviation and tourism), income support, keeping/increasing the workforce) </t>
    </r>
    <r>
      <rPr>
        <sz val="11"/>
        <color theme="1"/>
        <rFont val="Calibri"/>
        <family val="2"/>
        <scheme val="minor"/>
      </rPr>
      <t xml:space="preserve">
• Measures include discount utility bills, cash payments to vulnerable households, and construction and infrastructure projects </t>
    </r>
    <r>
      <rPr>
        <b/>
        <sz val="11"/>
        <color theme="1"/>
        <rFont val="Calibri"/>
        <family val="2"/>
        <scheme val="minor"/>
      </rPr>
      <t>(Income support, government consumption)</t>
    </r>
    <r>
      <rPr>
        <sz val="11"/>
        <color theme="1"/>
        <rFont val="Calibri"/>
        <family val="2"/>
        <scheme val="minor"/>
      </rPr>
      <t xml:space="preserve">.
• The Commonwealth government will help finance fast-track infrastructure projects across States and Territories and the arts industry for job creation, as well as the new home care package for the senior citizens </t>
    </r>
    <r>
      <rPr>
        <b/>
        <sz val="11"/>
        <color theme="1"/>
        <rFont val="Calibri"/>
        <family val="2"/>
        <scheme val="minor"/>
      </rPr>
      <t>(Government consumption into infrastructure, arts industry job creation, income support).</t>
    </r>
    <r>
      <rPr>
        <sz val="11"/>
        <color theme="1"/>
        <rFont val="Calibri"/>
        <family val="2"/>
        <scheme val="minor"/>
      </rPr>
      <t xml:space="preserve"> 
• Pandemic Leave Disaster Payment has been arranged with the State and Territory governments, which provides a lump sum payment to help workers during their 14-day self-isolation period </t>
    </r>
    <r>
      <rPr>
        <b/>
        <sz val="11"/>
        <color theme="1"/>
        <rFont val="Calibri"/>
        <family val="2"/>
        <scheme val="minor"/>
      </rPr>
      <t>(Income support)</t>
    </r>
    <r>
      <rPr>
        <sz val="11"/>
        <color theme="1"/>
        <rFont val="Calibri"/>
        <family val="2"/>
        <scheme val="minor"/>
      </rPr>
      <t>.</t>
    </r>
  </si>
  <si>
    <r>
      <t xml:space="preserve">Households (CAN 253.6 bn)
of which:	
• Emergency response benefit, Recovery benefits, and enhanced employment insurance </t>
    </r>
    <r>
      <rPr>
        <b/>
        <sz val="11"/>
        <color theme="1"/>
        <rFont val="Calibri"/>
        <family val="2"/>
        <scheme val="minor"/>
      </rPr>
      <t>(Income support)</t>
    </r>
    <r>
      <rPr>
        <sz val="11"/>
        <color theme="1"/>
        <rFont val="Calibri"/>
        <family val="2"/>
        <scheme val="minor"/>
      </rPr>
      <t xml:space="preserve"> (CAN 120.2 bn)
• Wage subsidies and protecting jobs </t>
    </r>
    <r>
      <rPr>
        <b/>
        <sz val="11"/>
        <color theme="1"/>
        <rFont val="Calibri"/>
        <family val="2"/>
        <scheme val="minor"/>
      </rPr>
      <t>(income support, confidence)</t>
    </r>
    <r>
      <rPr>
        <sz val="11"/>
        <color theme="1"/>
        <rFont val="Calibri"/>
        <family val="2"/>
        <scheme val="minor"/>
      </rPr>
      <t xml:space="preserve"> (CAN 110.5.2 bn)
• Others, including support to students, seniors, and vulnerable groups </t>
    </r>
    <r>
      <rPr>
        <b/>
        <sz val="11"/>
        <color theme="1"/>
        <rFont val="Calibri"/>
        <family val="2"/>
        <scheme val="minor"/>
      </rPr>
      <t xml:space="preserve">(income support) </t>
    </r>
    <r>
      <rPr>
        <sz val="11"/>
        <color theme="1"/>
        <rFont val="Calibri"/>
        <family val="2"/>
        <scheme val="minor"/>
      </rPr>
      <t>(CAN 22.9 bn)</t>
    </r>
  </si>
  <si>
    <r>
      <t xml:space="preserve">Deferred revenue (CAD 85.1 bn): Income Tax Payment Deferral until September 30, 2020 ($55 billion) </t>
    </r>
    <r>
      <rPr>
        <b/>
        <sz val="11"/>
        <color theme="1"/>
        <rFont val="Calibri"/>
        <family val="2"/>
        <scheme val="minor"/>
      </rPr>
      <t>(income support)</t>
    </r>
    <r>
      <rPr>
        <sz val="11"/>
        <color theme="1"/>
        <rFont val="Calibri"/>
        <family val="2"/>
        <scheme val="minor"/>
      </rPr>
      <t xml:space="preserve">; Sales Tax Remittance and Customs Duty Payments Deferral ($30 billion) </t>
    </r>
    <r>
      <rPr>
        <b/>
        <sz val="11"/>
        <color theme="1"/>
        <rFont val="Calibri"/>
        <family val="2"/>
        <scheme val="minor"/>
      </rPr>
      <t>(supporting business)</t>
    </r>
    <r>
      <rPr>
        <sz val="11"/>
        <color theme="1"/>
        <rFont val="Calibri"/>
        <family val="2"/>
        <scheme val="minor"/>
      </rPr>
      <t xml:space="preserve">; and Supporting Jobs and Safe Operations of Junior Mining Companies </t>
    </r>
    <r>
      <rPr>
        <b/>
        <sz val="11"/>
        <color theme="1"/>
        <rFont val="Calibri"/>
        <family val="2"/>
        <scheme val="minor"/>
      </rPr>
      <t>(supporting business/income of specific branche)</t>
    </r>
    <r>
      <rPr>
        <sz val="11"/>
        <color theme="1"/>
        <rFont val="Calibri"/>
        <family val="2"/>
        <scheme val="minor"/>
      </rPr>
      <t xml:space="preserve"> ($50 million)</t>
    </r>
  </si>
  <si>
    <r>
      <t xml:space="preserve">Forgone revenue: Tax deferrals (CIT,VAT) and suspension of stamp tax for six months </t>
    </r>
    <r>
      <rPr>
        <b/>
        <sz val="11"/>
        <color theme="1"/>
        <rFont val="Calibri"/>
        <family val="2"/>
        <scheme val="minor"/>
      </rPr>
      <t>(supporting business)</t>
    </r>
    <r>
      <rPr>
        <sz val="11"/>
        <color theme="1"/>
        <rFont val="Calibri"/>
        <family val="2"/>
        <scheme val="minor"/>
      </rPr>
      <t>.</t>
    </r>
  </si>
  <si>
    <r>
      <t xml:space="preserve">Additional spending: cash transfers for the most vulnerable </t>
    </r>
    <r>
      <rPr>
        <b/>
        <sz val="11"/>
        <color theme="1"/>
        <rFont val="Calibri"/>
        <family val="2"/>
        <scheme val="minor"/>
      </rPr>
      <t>(income support)</t>
    </r>
  </si>
  <si>
    <r>
      <t xml:space="preserve">Accelerated spending:
•Accelerated pay to government's suppliers </t>
    </r>
    <r>
      <rPr>
        <b/>
        <sz val="11"/>
        <color theme="1"/>
        <rFont val="Calibri"/>
        <family val="2"/>
        <scheme val="minor"/>
      </rPr>
      <t>(supporting business)</t>
    </r>
    <r>
      <rPr>
        <sz val="11"/>
        <color theme="1"/>
        <rFont val="Calibri"/>
        <family val="2"/>
        <scheme val="minor"/>
      </rPr>
      <t xml:space="preserve">.
Deferred revenue:
•Deferred CIT, VAT and property taxes </t>
    </r>
    <r>
      <rPr>
        <b/>
        <sz val="11"/>
        <color theme="1"/>
        <rFont val="Calibri"/>
        <family val="2"/>
        <scheme val="minor"/>
      </rPr>
      <t>(supporting business)</t>
    </r>
    <r>
      <rPr>
        <sz val="11"/>
        <color theme="1"/>
        <rFont val="Calibri"/>
        <family val="2"/>
        <scheme val="minor"/>
      </rPr>
      <t>.</t>
    </r>
  </si>
  <si>
    <r>
      <t xml:space="preserve">• Expanded transfers for vulnerable groups including expanded social programs and support to workers in the informal sector </t>
    </r>
    <r>
      <rPr>
        <b/>
        <sz val="11"/>
        <color theme="1"/>
        <rFont val="Calibri"/>
        <family val="2"/>
        <scheme val="minor"/>
      </rPr>
      <t>(income support)</t>
    </r>
    <r>
      <rPr>
        <sz val="11"/>
        <color theme="1"/>
        <rFont val="Calibri"/>
        <family val="2"/>
        <scheme val="minor"/>
      </rPr>
      <t xml:space="preserve">. 
• Support for recently unemployed workers </t>
    </r>
    <r>
      <rPr>
        <b/>
        <sz val="11"/>
        <color theme="1"/>
        <rFont val="Calibri"/>
        <family val="2"/>
        <scheme val="minor"/>
      </rPr>
      <t>(income support)</t>
    </r>
    <r>
      <rPr>
        <sz val="11"/>
        <color theme="1"/>
        <rFont val="Calibri"/>
        <family val="2"/>
        <scheme val="minor"/>
      </rPr>
      <t xml:space="preserve">.
• Payroll subsidy for three months equivalent to 40 percent of the minimum wage per worker for businesses with a revenue fall above 20 percent and a subsidy worth 50% of June's bonuses for employees earning minimum wage for businesses with a revenue fall above 20 percent </t>
    </r>
    <r>
      <rPr>
        <b/>
        <sz val="11"/>
        <color theme="1"/>
        <rFont val="Calibri"/>
        <family val="2"/>
        <scheme val="minor"/>
      </rPr>
      <t xml:space="preserve">(income support, business support) </t>
    </r>
    <r>
      <rPr>
        <sz val="11"/>
        <color theme="1"/>
        <rFont val="Calibri"/>
        <family val="2"/>
        <scheme val="minor"/>
      </rPr>
      <t xml:space="preserve"> 
• Increased infrastructure spending to support the recovery </t>
    </r>
    <r>
      <rPr>
        <b/>
        <sz val="11"/>
        <color theme="1"/>
        <rFont val="Calibri"/>
        <family val="2"/>
        <scheme val="minor"/>
      </rPr>
      <t>(gov cons, confidence)</t>
    </r>
    <r>
      <rPr>
        <sz val="11"/>
        <color theme="1"/>
        <rFont val="Calibri"/>
        <family val="2"/>
        <scheme val="minor"/>
      </rPr>
      <t>.</t>
    </r>
  </si>
  <si>
    <r>
      <t xml:space="preserve">• No road tolls during the quarantine period (income and business support).
• Elimination of withholding tax for companies in bankruptcy protection (business support).
• Tariff reduction for soy beans and corn, no VAT for internet connection and new trucks </t>
    </r>
    <r>
      <rPr>
        <b/>
        <sz val="11"/>
        <color theme="1"/>
        <rFont val="Calibri"/>
        <family val="2"/>
        <scheme val="minor"/>
      </rPr>
      <t>(business supporting).</t>
    </r>
    <r>
      <rPr>
        <sz val="11"/>
        <color theme="1"/>
        <rFont val="Calibri"/>
        <family val="2"/>
        <scheme val="minor"/>
      </rPr>
      <t xml:space="preserve">
• No interest costs on delayed payment of electricity and gas for most strata 1-4 households. Lowered interest rate on tax arrears </t>
    </r>
    <r>
      <rPr>
        <b/>
        <sz val="11"/>
        <color theme="1"/>
        <rFont val="Calibri"/>
        <family val="2"/>
        <scheme val="minor"/>
      </rPr>
      <t>(income support)</t>
    </r>
    <r>
      <rPr>
        <sz val="11"/>
        <color theme="1"/>
        <rFont val="Calibri"/>
        <family val="2"/>
        <scheme val="minor"/>
      </rPr>
      <t xml:space="preserve">.
• For a duration of six months, public sector workers earning between Col Pesos 10-15 mn will pay additional taxes worth 10% of their salaries, those earning above 15 mn will contribute 15% </t>
    </r>
    <r>
      <rPr>
        <b/>
        <sz val="11"/>
        <color theme="1"/>
        <rFont val="Calibri"/>
        <family val="2"/>
        <scheme val="minor"/>
      </rPr>
      <t>(government consumption)</t>
    </r>
    <r>
      <rPr>
        <sz val="11"/>
        <color theme="1"/>
        <rFont val="Calibri"/>
        <family val="2"/>
        <scheme val="minor"/>
      </rPr>
      <t>.</t>
    </r>
  </si>
  <si>
    <r>
      <t xml:space="preserve">Accelerated spending: Accelerated CIT and VAT refunds for corporates </t>
    </r>
    <r>
      <rPr>
        <b/>
        <sz val="11"/>
        <color theme="1"/>
        <rFont val="Calibri"/>
        <family val="2"/>
        <scheme val="minor"/>
      </rPr>
      <t>(business supporting)</t>
    </r>
    <r>
      <rPr>
        <sz val="11"/>
        <color theme="1"/>
        <rFont val="Calibri"/>
        <family val="2"/>
        <scheme val="minor"/>
      </rPr>
      <t xml:space="preserve">. 
Deferred revenue: Delayed VAT and CIT payments until December </t>
    </r>
    <r>
      <rPr>
        <b/>
        <sz val="11"/>
        <color theme="1"/>
        <rFont val="Calibri"/>
        <family val="2"/>
        <scheme val="minor"/>
      </rPr>
      <t>(business supporting)</t>
    </r>
    <r>
      <rPr>
        <sz val="11"/>
        <color theme="1"/>
        <rFont val="Calibri"/>
        <family val="2"/>
        <scheme val="minor"/>
      </rPr>
      <t>.</t>
    </r>
  </si>
  <si>
    <r>
      <t xml:space="preserve">protect workers and companies against the impact of COVID-19, including (i) an interest-free 3-month moratorium on the payment of value-added taxes, business income taxes, and customs duties </t>
    </r>
    <r>
      <rPr>
        <b/>
        <sz val="11"/>
        <color theme="1"/>
        <rFont val="Calibri"/>
        <family val="2"/>
        <scheme val="minor"/>
      </rPr>
      <t>(BS)</t>
    </r>
    <r>
      <rPr>
        <sz val="11"/>
        <color theme="1"/>
        <rFont val="Calibri"/>
        <family val="2"/>
        <scheme val="minor"/>
      </rPr>
      <t xml:space="preserve">; (ii) a temporary adjustment to social security contributions by making them proportional to the time worked for a period of 6 months (including a deferral of the payment until the end of 2020) in 2020, as well as for one month during the May-June travel restrictions in 2021 </t>
    </r>
    <r>
      <rPr>
        <b/>
        <sz val="11"/>
        <color theme="1"/>
        <rFont val="Calibri"/>
        <family val="2"/>
        <scheme val="minor"/>
      </rPr>
      <t>(BS)</t>
    </r>
    <r>
      <rPr>
        <sz val="11"/>
        <color theme="1"/>
        <rFont val="Calibri"/>
        <family val="2"/>
        <scheme val="minor"/>
      </rPr>
      <t xml:space="preserve">; (iii) a deferral of the roll-out of the VAT on construction and tourism services </t>
    </r>
    <r>
      <rPr>
        <b/>
        <sz val="11"/>
        <color theme="1"/>
        <rFont val="Calibri"/>
        <family val="2"/>
        <scheme val="minor"/>
      </rPr>
      <t>(BS, support of a sector)</t>
    </r>
    <r>
      <rPr>
        <sz val="11"/>
        <color theme="1"/>
        <rFont val="Calibri"/>
        <family val="2"/>
        <scheme val="minor"/>
      </rPr>
      <t xml:space="preserve">; (iv) a one-off tax relief on car registration tax in 2020 </t>
    </r>
    <r>
      <rPr>
        <b/>
        <sz val="11"/>
        <color theme="1"/>
        <rFont val="Calibri"/>
        <family val="2"/>
        <scheme val="minor"/>
      </rPr>
      <t>(IS,BS)</t>
    </r>
    <r>
      <rPr>
        <sz val="11"/>
        <color theme="1"/>
        <rFont val="Calibri"/>
        <family val="2"/>
        <scheme val="minor"/>
      </rPr>
      <t xml:space="preserve">; (v) a 4-month moratorium on taxes to be paid to the Costa Rican Tourism Institute for firms in the tourism sector facing liquidity constraints </t>
    </r>
    <r>
      <rPr>
        <b/>
        <sz val="11"/>
        <color theme="1"/>
        <rFont val="Calibri"/>
        <family val="2"/>
        <scheme val="minor"/>
      </rPr>
      <t>(BS, support of a sector);</t>
    </r>
    <r>
      <rPr>
        <sz val="11"/>
        <color theme="1"/>
        <rFont val="Calibri"/>
        <family val="2"/>
        <scheme val="minor"/>
      </rPr>
      <t xml:space="preserve"> (vi) a monthly subsidy of ¢125,000 (≈US$205) for three months to about 375 thousand households economically affected by the crisis with a monthly income of less than CRC 750,000 (≈US$1,230) prior to COVID-19 </t>
    </r>
    <r>
      <rPr>
        <b/>
        <sz val="11"/>
        <color theme="1"/>
        <rFont val="Calibri"/>
        <family val="2"/>
        <scheme val="minor"/>
      </rPr>
      <t>(IS, poorest)</t>
    </r>
  </si>
  <si>
    <t>an increase in public health spending, including construction of a specialized hospital for COVID-19 treatment and purchase of COVID-19 vaccines. In addition, wage for public employees (except for the police and healthcare workers) 4953 public vacancies were frozen in 2020 and 2194 positions were eliminated to direct more resources to the attention of COVID-19.</t>
  </si>
  <si>
    <t xml:space="preserve"> a temporary VAT reduction (the general VAT cut was expired at end-2020, but special VAT cuts for restaurants and food services remain in place) (BS, suporting a sector), corporate tax reliefs (BS), personal income tax reliefs (IS), and social security contribution reduction (IS,BS).</t>
  </si>
  <si>
    <t xml:space="preserve">Deferred revenue: mostly due to postponement of VAT, CIT (BS), and social security contributions as well as property taxes (BS,IS).  </t>
  </si>
  <si>
    <r>
      <t xml:space="preserve">including grants to hard hit small businesses and self-employed </t>
    </r>
    <r>
      <rPr>
        <b/>
        <sz val="11"/>
        <color theme="1"/>
        <rFont val="Calibri"/>
        <family val="2"/>
        <scheme val="minor"/>
      </rPr>
      <t>(BS)</t>
    </r>
    <r>
      <rPr>
        <sz val="11"/>
        <color theme="1"/>
        <rFont val="Calibri"/>
        <family val="2"/>
        <scheme val="minor"/>
      </rPr>
      <t xml:space="preserve">, increased access to childcare and basic social security benefits </t>
    </r>
    <r>
      <rPr>
        <b/>
        <sz val="11"/>
        <color theme="1"/>
        <rFont val="Calibri"/>
        <family val="2"/>
        <scheme val="minor"/>
      </rPr>
      <t>(IS, Confidence)</t>
    </r>
    <r>
      <rPr>
        <sz val="11"/>
        <color theme="1"/>
        <rFont val="Calibri"/>
        <family val="2"/>
        <scheme val="minor"/>
      </rPr>
      <t xml:space="preserve">, temporary relief to affected (Mieter) tenants </t>
    </r>
    <r>
      <rPr>
        <b/>
        <sz val="11"/>
        <color theme="1"/>
        <rFont val="Calibri"/>
        <family val="2"/>
        <scheme val="minor"/>
      </rPr>
      <t>(IS)</t>
    </r>
    <r>
      <rPr>
        <sz val="11"/>
        <color theme="1"/>
        <rFont val="Calibri"/>
        <family val="2"/>
        <scheme val="minor"/>
      </rPr>
      <t xml:space="preserve">, income support for families </t>
    </r>
    <r>
      <rPr>
        <b/>
        <sz val="11"/>
        <color theme="1"/>
        <rFont val="Calibri"/>
        <family val="2"/>
        <scheme val="minor"/>
      </rPr>
      <t>(IS),</t>
    </r>
    <r>
      <rPr>
        <sz val="11"/>
        <color theme="1"/>
        <rFont val="Calibri"/>
        <family val="2"/>
        <scheme val="minor"/>
      </rPr>
      <t xml:space="preserve"> and incentivizing green and digital investment </t>
    </r>
    <r>
      <rPr>
        <b/>
        <sz val="11"/>
        <color theme="1"/>
        <rFont val="Calibri"/>
        <family val="2"/>
        <scheme val="minor"/>
      </rPr>
      <t>(Confidence, Investment)</t>
    </r>
    <r>
      <rPr>
        <sz val="11"/>
        <color theme="1"/>
        <rFont val="Calibri"/>
        <family val="2"/>
        <scheme val="minor"/>
      </rPr>
      <t xml:space="preserve">. There is also support to firms and households provided through the “Kurzabeit” program, part of which is considered discretionary because the program parameters have been changed </t>
    </r>
    <r>
      <rPr>
        <b/>
        <sz val="11"/>
        <color theme="1"/>
        <rFont val="Calibri"/>
        <family val="2"/>
        <scheme val="minor"/>
      </rPr>
      <t>(IS and BS)</t>
    </r>
    <r>
      <rPr>
        <sz val="11"/>
        <color theme="1"/>
        <rFont val="Calibri"/>
        <family val="2"/>
        <scheme val="minor"/>
      </rPr>
      <t xml:space="preserve">. </t>
    </r>
  </si>
  <si>
    <r>
      <t xml:space="preserve">• Unemployment benefit for workers temporary laid off under the ERTE due to COVID-19, with no requirement for prior minimum contribution or reduction of accumulated entitlement (about €21.7 bn) </t>
    </r>
    <r>
      <rPr>
        <b/>
        <sz val="11"/>
        <color theme="1"/>
        <rFont val="Calibri"/>
        <family val="2"/>
        <scheme val="minor"/>
      </rPr>
      <t>(IS)</t>
    </r>
    <r>
      <rPr>
        <sz val="11"/>
        <color theme="1"/>
        <rFont val="Calibri"/>
        <family val="2"/>
        <scheme val="minor"/>
      </rPr>
      <t xml:space="preserve"> ; and exemptions of social contributions for companies that maintain employment under the ERTEs (about €7.7 bn) </t>
    </r>
    <r>
      <rPr>
        <b/>
        <sz val="11"/>
        <color theme="1"/>
        <rFont val="Calibri"/>
        <family val="2"/>
        <scheme val="minor"/>
      </rPr>
      <t>(BS)</t>
    </r>
    <r>
      <rPr>
        <sz val="11"/>
        <color theme="1"/>
        <rFont val="Calibri"/>
        <family val="2"/>
        <scheme val="minor"/>
      </rPr>
      <t xml:space="preserve">;
• An allowance for self-employed workers affected by economic activity suspension (about €6.5 bn), and exemption of social contributions for self-employed that receive this benefit (about €3.3 bn) </t>
    </r>
    <r>
      <rPr>
        <b/>
        <sz val="11"/>
        <color theme="1"/>
        <rFont val="Calibri"/>
        <family val="2"/>
        <scheme val="minor"/>
      </rPr>
      <t>(BS or IS for self employed))</t>
    </r>
    <r>
      <rPr>
        <sz val="11"/>
        <color theme="1"/>
        <rFont val="Calibri"/>
        <family val="2"/>
        <scheme val="minor"/>
      </rPr>
      <t xml:space="preserve">;
• Corporate solvency support (€10 bn) </t>
    </r>
    <r>
      <rPr>
        <b/>
        <sz val="11"/>
        <color theme="1"/>
        <rFont val="Calibri"/>
        <family val="2"/>
        <scheme val="minor"/>
      </rPr>
      <t>(BS, Confidence)</t>
    </r>
    <r>
      <rPr>
        <sz val="11"/>
        <color theme="1"/>
        <rFont val="Calibri"/>
        <family val="2"/>
        <scheme val="minor"/>
      </rPr>
      <t xml:space="preserve">;
• Measures taken by regional governments on social services, education and support to firms (about €5.5 bn) </t>
    </r>
    <r>
      <rPr>
        <b/>
        <sz val="11"/>
        <color theme="1"/>
        <rFont val="Calibri"/>
        <family val="2"/>
        <scheme val="minor"/>
      </rPr>
      <t>(Confidence, BS)</t>
    </r>
    <r>
      <rPr>
        <sz val="11"/>
        <color theme="1"/>
        <rFont val="Calibri"/>
        <family val="2"/>
        <scheme val="minor"/>
      </rPr>
      <t xml:space="preserve">; 
• Introduction of a new means-tested "minimum income scheme"(about €3 bn annually) </t>
    </r>
    <r>
      <rPr>
        <b/>
        <sz val="11"/>
        <color theme="1"/>
        <rFont val="Calibri"/>
        <family val="2"/>
        <scheme val="minor"/>
      </rPr>
      <t>(IS, Confidence)</t>
    </r>
    <r>
      <rPr>
        <sz val="11"/>
        <color theme="1"/>
        <rFont val="Calibri"/>
        <family val="2"/>
        <scheme val="minor"/>
      </rPr>
      <t xml:space="preserve">; and new rental assistance programs for certain vulnerable renters and additional state contribution to the State Housing Plan 2018-21 </t>
    </r>
    <r>
      <rPr>
        <b/>
        <sz val="11"/>
        <color theme="1"/>
        <rFont val="Calibri"/>
        <family val="2"/>
        <scheme val="minor"/>
      </rPr>
      <t>(IS, Confidence)</t>
    </r>
    <r>
      <rPr>
        <sz val="11"/>
        <color theme="1"/>
        <rFont val="Calibri"/>
        <family val="2"/>
        <scheme val="minor"/>
      </rPr>
      <t xml:space="preserve">;
• Various measures to expand existing benefits for workers and other support for households and firms </t>
    </r>
    <r>
      <rPr>
        <b/>
        <sz val="11"/>
        <color theme="1"/>
        <rFont val="Calibri"/>
        <family val="2"/>
        <scheme val="minor"/>
      </rPr>
      <t>(IS,BS)</t>
    </r>
    <r>
      <rPr>
        <sz val="11"/>
        <color theme="1"/>
        <rFont val="Calibri"/>
        <family val="2"/>
        <scheme val="minor"/>
      </rPr>
      <t>;</t>
    </r>
  </si>
  <si>
    <t>Deferred revenue: Deferral of social security contribution and debts for companies and the self-employed (BS); Deferral of tax debts and debts arising from customs declaration (BS); tax payment deferrals for small and medium enterprises and self-employed, with the first three/four months exempt from interest (BS).</t>
  </si>
  <si>
    <r>
      <t xml:space="preserve">• Flexibility in filing income tax and VAT installment payment for SMEs and self-employed </t>
    </r>
    <r>
      <rPr>
        <b/>
        <sz val="11"/>
        <color theme="1"/>
        <rFont val="Calibri"/>
        <family val="2"/>
        <scheme val="minor"/>
      </rPr>
      <t>(BS)</t>
    </r>
    <r>
      <rPr>
        <sz val="11"/>
        <color theme="1"/>
        <rFont val="Calibri"/>
        <family val="2"/>
        <scheme val="minor"/>
      </rPr>
      <t xml:space="preserve">;
• Tax incentives for landlords that reduce rents of properties used for activities related to the hotel, restaurant and tourism industries </t>
    </r>
    <r>
      <rPr>
        <b/>
        <sz val="11"/>
        <color theme="1"/>
        <rFont val="Calibri"/>
        <family val="2"/>
        <scheme val="minor"/>
      </rPr>
      <t>(IS,Confidence, Support)</t>
    </r>
    <r>
      <rPr>
        <sz val="11"/>
        <color theme="1"/>
        <rFont val="Calibri"/>
        <family val="2"/>
        <scheme val="minor"/>
      </rPr>
      <t xml:space="preserve">;
• Reduction in the contribution for Employed Agricultural Workers who have completed a maximum of 55 real days of contribution in 2019 </t>
    </r>
    <r>
      <rPr>
        <b/>
        <sz val="11"/>
        <color theme="1"/>
        <rFont val="Calibri"/>
        <family val="2"/>
        <scheme val="minor"/>
      </rPr>
      <t>(IS,BS)</t>
    </r>
    <r>
      <rPr>
        <sz val="11"/>
        <color theme="1"/>
        <rFont val="Calibri"/>
        <family val="2"/>
        <scheme val="minor"/>
      </rPr>
      <t xml:space="preserve">;
• Other revenue measures </t>
    </r>
    <r>
      <rPr>
        <b/>
        <sz val="11"/>
        <color theme="1"/>
        <rFont val="Calibri"/>
        <family val="2"/>
        <scheme val="minor"/>
      </rPr>
      <t>(BS)</t>
    </r>
    <r>
      <rPr>
        <sz val="11"/>
        <color theme="1"/>
        <rFont val="Calibri"/>
        <family val="2"/>
        <scheme val="minor"/>
      </rPr>
      <t>.</t>
    </r>
  </si>
  <si>
    <t>• Coronavirus Job Retention Scheme to subsidise furloughed employees' wages (initially for 3 months and extended several times until September 2021) (IS) and firms' social security contributions (until the 1st August 2020) (BS); 
• Income support for the self-employed (initially for 3 months, but extended too until September 2021) (BS,IS);                                                                                                               • Paid sick leave for self-isolating individuals and compensation for small firms needing to close for over 2 weeks, and support for low-income people in need to self-isolate (IS, Confidence, BS).  
• Grant support for sectors impacted by local and national restrictions (BS, Supporting);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(IS,Confidence); 
• Rent support by increasing the Local Housing Allowance (IS,Confidence); 
• Government support for charities (BS,Confidence/Security); 
• Cover the cost of 25 hours' work a week at the National Minimum Wage for six months for hired unemployed up to 24 years old (BS,IS, Keeping/increasing the workforce)).
• Boost of Active Labour Market Poilicies, including 250,000 subsidized jobs for young people (BS,IS,Keeping/increasing the workforce).
• Entitle every diner to a 50% discount of up to £10 in August (BS,Support of a Sector). 
• Public sector and social housing decarbonization and Green Homes Grant (Confidence, Investments).
• Support for low-income people in need to self-isolate (IS,Confidence) 
• Funding of 40,000 traineeships and doubling the number of work coaches to 27,000 (Confidence, Kepping/increasing).</t>
  </si>
  <si>
    <t>• Property tax (business rate) holiday for firms in affected sectors (BS).
• Temporary cut on stamp duty land tax until June 2021 (BS).
• VAT reduced at 5% for hospitality, accommodation, and attractions until the end of September 2021, at 12.5% until March 2022, aftern which it will return to normal (BS).</t>
  </si>
  <si>
    <t>Transfers an bedürftige Personen: Barzuschüsse und volle Deckung der Renten (IS)- und Gesundheitsleistungen für Arbeitnehmer in stark betroffenen Unternehmen (BS,IS), Arbeitslosenunterstützung (IS,Confidence), Unterstützung für kurzfristige Beschäftigung (IS), Zuschüsse zu Hypothekenzahlungen und Elternurlaub (IS).</t>
  </si>
  <si>
    <t>Umsatzsteuersenkungen für Produkte, die für den COVID-Schutz erforderlich sind.
Steuer- und Sozialversicherungsaufschub für betroffene Unternehmen (BS 2x).</t>
  </si>
  <si>
    <t xml:space="preserve"> €20.5 billion in direct support and €4 billion indirect support through (a) €2 billion credit guarantee scheme and (b) €2 billion Pandemic stabilisation and recovery Fund (ISIF). The direct supports include: (i) €2.9 billion taxation measures, i.e., warehousing and deferrals; (ii) €17.6 billion expenditure measures through (a) €11.4 billion labor market support, (b) €2 billion health sector capacity enhancement, (c) €1.5 billion business support, (d) €0.5 billion capital works. Draft Budget 2021 contains an additional stimulus of 1.7 percent of GDP and is focused on extending the income support measures, providing targeted support to the hospitality sector, and increasing health and housing spending, as well as strengthening the green agenda. In addition to that, the government has increased unemployment and wage subsidy supports to cushion the negative shock from the tightening of restrictions announced this week. Furthermore, the automatic stabilizers operate in full, i.e., tax revenues have automatically fallen in tandem with the decline in economic activity, while unemployment spending has risen. Key discretionary policy measures include:
I. Employment Wage Support Scheme. Employers, whose turnover has fallen 30%, will receive a flat-rate subsidy of up to €203 weekly per employee (BS).
II. The Pandemic Unemployment Payment—a payment available to those who have lost employment due pandemic at a flat rate of €350 per week (IS, Confidence).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(Cofnidence, Keeping/Increasing).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(BS).
VI. Measures to support hospitality and tourism sector include: (a) CRSS; (b) temporary VAT rate cut from 13.5 to 9 percent until end-2021; (c) Stay and Spend Incentive through a tax credit; (d) €10 million Restart Fund for the Tourism sector; (e) €10 million Performance Support Scheme for the culture sector to assist planning for events in the context of COVID-19 (BS,Confidence, Supporting a Sector).
VII.Tax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 (c) Interest rate reduction to 3%, applying to agreed repayments of all tax debt (where agreement has been reached prior to September 30 2020); (d) To provide immediate cash-flow support to previously profitable companies, the early carryback of trading losses will be allowed, leading to an immediate refund of some or all of corporation tax paid; (e) Income tax relief for self-employed individuals who were profitable in 2019, but as a result of the COVID-19 pandemic, incur losses in 2020; (f) RCT (Relevant Contract Tax) rate review scheduled to take place in March 2020 is suspended (BS)
On June 1 the Irish government extended most of its key business and household income supports to end-2021, expected to cost €3.5bn (1% of GDP), and set out how it will spend €1bn from the EU recovery fund. The Pandemic Unemployment Payment (PUP), providing a weekly payment of up to €350, will now be extended to February 2022 – albeit with a small €50 cut in payments from September. Similarly, the wage subsidy scheme will run to end-2021, with the government leaving open the option of changing the operation of the scheme in Q4. Additionally, both tax warehousing and the commercial rates waiver will be extended to end-2021. The VAT rate for tourism will remain at 9% until September 2022. The plans also include a maximum €30,000 grant for re-opening SMEs.</t>
  </si>
  <si>
    <t>including broadening the wage supplementation fund to provide income support to laid-off workers and the self-employed (IS,BS), vouchers for the payment of babysitters (€80 bn) (Confidence,IS), grants for SME  (€60 bn) (BS), education (€4 bn) (Confidence, Supporting), and other (€10 bn).</t>
  </si>
  <si>
    <t xml:space="preserve"> corporate income tax credits (€4 bn) and social security contribution reduction (€6 bn) (BS 2x).</t>
  </si>
  <si>
    <t xml:space="preserve">
I. Employment Wage Support Scheme. Employers, whose turnover has fallen 30%, will receive a flat-rate subsidy of up to €203 weekly per employee (BS).
II. The Pandemic Unemployment Payment—a payment available to those who have lost employment due pandemic at a flat rate of €350 per week (IS, Confidence).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(Cofnidence, Keeping/Increasing).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(BS).
VI. Measures to support hospitality and tourism sector include: (a) CRSS; (b) temporary VAT rate cut from 13.5 to 9 percent until end-2021; (c) Stay and Spend Incentive through a tax credit; (d) €10 million Restart Fund for the Tourism sector; (e) €10 million Performance Support Scheme for the culture sector to assist planning for events in the context of COVID-19 (BS,Confidence, Supporting a Sector).
</t>
  </si>
  <si>
    <t>VII.Tax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 (c) Interest rate reduction to 3%, applying to agreed repayments of all tax debt (where agreement has been reached prior to September 30 2020); (d) To provide immediate cash-flow support to previously profitable companies, the early carryback of trading losses will be allowed, leading to an immediate refund of some or all of corporation tax paid; (e) Income tax relief for self-employed individuals who were profitable in 2019, but as a result of the COVID-19 pandemic, incur losses in 2020; (f) RCT (Relevant Contract Tax) rate review scheduled to take place in March 2020 is suspended (BS)</t>
  </si>
  <si>
    <t>• Companies expecting a reduction in revenues over 20% can request a compensation for labor costs (max 90% of labor costs) to allow companies to continue paying wages; compensation for affected sectors (for example, hospitality  and travel) (BS,IS,Supporting). 
• Income support for entrepreneurs and self-employed (administered at municipal and regional level) for a period of three months through expedited procedures (IS,BS).
• Support for start-ups and small innovation companies through loans provided by government regional agencies (IS,BS). 
• Scaling up of the short-time working scheme (unemployment benefit compensation available to companies needing to reduce their staff by at least 20 percent) (IS,Confidence). 
• Allowances for SMEs affected by the outbreak to help them finance their fixed costs (BS). 
• 60.4 billion in 2020-2022.</t>
  </si>
  <si>
    <t xml:space="preserve">Forgone revenue (info not available for 2021-2022, 4.6 bn in 2020):
• Reduction of tourist taxes and taxes in the culture sector (BS).
• The interest rate on tax deferrals is reduced from 4% to just above 0% (BS,IS). </t>
  </si>
  <si>
    <t>• Support measures for employment (IS,Keeping/Increasing) and resumption of activity (BS) (€3.0 bn);
• Non-repayble subsidies to businesses affected by the pandemic, program Apoiar.pt (€1.1 bn) (BS);
• Social protection programs, such as extension of unemployment coverage and support to self-employed and informal workers (€0.6 bn) (IS,BS);
• Extraordinary financial incentive (subsidy) to businesses for normalization of economic activity (€0.3 bn) (BS);
• Family support programs (€0.2 bn) (IS, Confidence);
• Other support measures (€0.2 bn) (Confidence);
• Investment, incl. digital education, teleworking (€0.4 bn) (Investments, Confidence);
• Investment under the Recovery and Resilience Plan in 2021 (€0.5 bn) (Investments, Confidence, Supporting the Infrastructure);
• Support to national airlines (€1.3 bn in 2020 and €1.1 bn in 2021) (BS);</t>
  </si>
  <si>
    <t>• Exemption from payment of the Single Social Fee (€0.7 bn) (BS,IS);
• Lowering of reduced electricity VAT rate (€0.2 bn) (BS,IS);
• VAT refund program for catering, accommodation and culture (€0.2) (BS,Supporting);
• Other tax relief measures, such as road toll reductions (BS,IS), property rents (IS), SME taxes (BS) (€0.1).</t>
  </si>
  <si>
    <t>• Cash aid and raised minimum pension (TL 29.8 bn) (IS,Confidence);
• Unemployment benefits (TL 7.3 bn) (IS);
• Short-time work allowance (TL 36.7 bn) (IS,Confidence, Keeping the); 
• Cash aid to employees (TL 14 bn) (IS).
• Normalization support (TL 4.8 bn) (Investment, Confidence).
• Social Support Program (TL 9.9 bn) (IS, Confidence).</t>
  </si>
  <si>
    <t>• VAT rate on food and beverage, cinema, theatre, museum and accommodation services was reduced from 8% to 1% until 31 December (BS)
• VAT rate on workplace rental services, passenger transportation, maintenance and repair of small home appliances, wedding and marriage organizations, residential maintenance, repair, painting, and cleaning services was reduced from 18% to 8% (BS)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 Support to tradespeople (TL 9 bn), Supports for Artists (TL 0,2 bn) and Additional Payments for Treasury Interest Supported Loans Given to Agricultural Producers and Tradesmen (1,2 bn) (All BS)</t>
  </si>
  <si>
    <t xml:space="preserve">• Coronavirus Preparedness and Response Supplemental Appropriation (March 6, 2020) of $1.2 bn (Infrastructure, Confidence).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(IS,Confidence).
• Coronavirus Aid, Relief, and Economic Security Act (March 27, 2020) includes $437 bn unemployment insurance (IS,Confidence) and $350 bn  in emergency appropriations, and $349 bn forgivable small business loans and other items (BS).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(BS).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(IS). Of the $44 billion, it is estimated that $18 billion is pre-COVID-19 appropriated funds (and therefore represents additional COVID-19 expenditure)
• Consolidated Appropriation Act (Dec.21, 2020) includes $329bn support to households (IS), $347bn support for businesses (BS), $92bn for education and childcare (Confidence, IS), and support for other areas. The total estimated cost is $796.9bn.
• American Rescue Plan (Mar.12, 2021) includes $794.2bn support to households (IS), $86.4bn support for business (BS), $362.1bn support for state, local and triable governments (Gov Cons), $171bn support for education, (Infrastructure, Confidence) $38.9bn support for providing childcare (IS), and other spending in areas including transportation (BS), federal emergency management authority (Gov Cons), international response and others. The total estimated cost is $1646.4bn. </t>
  </si>
  <si>
    <t>• Coronavirus Aid, Relief, and Economic Security Act (March 27, 2020) includes tax rebates: phaseout rate of 5% for Adjusted Gross Income over $75,000 for single/$112,500 for head of household/$150,000 for married filing jointly (IS). The Act also includes higher limits on losses for corporations and individual taxpayers, employee retention credit for affected employers, and other revenue provisions (BS).  The total estimated revenue cost is $288 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t>
  </si>
  <si>
    <t>Accelerated spending (€17.5 bn): Accelerated refund of tax credits (e.g. CIT and VAT).
Deferred revenue (€52 bn): Postponement of social security contributions and tax payment for companies.</t>
  </si>
  <si>
    <t>Deferred revenue (JPY 3 tn): Deferral of payment of taxes and social security premiums by affected firms and households for one year.</t>
  </si>
  <si>
    <t>Accelerated spending:
• Frontloaded social pension payments for the elderly and people with special needs.
• Procurement processes and VAT refunds are to be accelerated.</t>
  </si>
  <si>
    <t>•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Additional measures have been taken to support hard-hit sectors and vulnerable groups as the pandemic evolved, while key temporary measures have been extended until end-December 2021.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2021 in the context of the re-imposition of restrictions and the second lockdown. These are expiring in 2021.</t>
  </si>
  <si>
    <t>Deferred revenue: 
• Postponement of advance payments on social security and health insurance contributions for self-employed by 6 months (CZK 14.3bn)</t>
  </si>
  <si>
    <t>Accelerated spending (1 bn):
• Advance payment of tax credits (DKK 1 bn)
Deferred revenue (317.8 bn):
Tax deferrals (2020 &amp; 2021) (announced 317.8; uptake 206.0)</t>
  </si>
  <si>
    <t>Deferred revenue: Easing of payment terms for taxes and lowering the interest on late payments from 7% to 2.5%.  Assessing the impacts of the delays of 2020 and 2021 tax revenue to 2022 and 2023 (€50</t>
  </si>
  <si>
    <t>•	Lowering of private sector pension contributions for the period May 1 - 31 December  2020 (1.1) (IS,BS)</t>
  </si>
  <si>
    <t xml:space="preserve"> Key measures to support households and firms include tax cuts (IS,BS), deferrals, and loss offsets; increased unemployment benefits (IS), child allowances (IS,Confidence), quarantine grants (IS,Confidence), hiring grants (workforce), subsidies (BS), state contributions to firms’ dismissal costs to prevent bankruptcies of viable firms and protect workers’ rights (BS,Confidence); incentives for employment of individuals with more than 12-months in the unemployment roster (workforce), early pension withdrawals (IS), and state-guaranteed loans to companies (BS). Key measures to restart the economy include public investment (Investment, Gov Cons), tax incentives for real estate improvement and innovation (Infrastructure, Investmenst), temporary tax relief for the tourism sector (BS, Sector), a domestic travel gift (IS,Confidence), and marketing efforts to encourage tourism in Iceland. Parliament also approved temporary rules for financial restructuring of companies (BS). A number of supporting fiscal measures were extended beyond their original sunset clauses. </t>
  </si>
  <si>
    <t xml:space="preserve">NIS 11 billion for health expenses. The package supports the social safety net (NIS 20bn) (IS,Confidence), funding a relaxation in the requirements for unemployment benefits and grants for self-employed workers (IS,Confidence). It also provides NIS 41bn in liquidity assistance through (i) direct and government-guaranteed loans for large companies, SMEs, and other organizations (BS),  The package also contains NIS 8 bn for infrastructure projects, including IT support for SMEs and government digitalization (Investments, Infrastructure). A one-time NIS 500 grant for families with children, the elderly and other vulnerable population groups was also approved by parliament (IS). On June 2, which includes employment incentives grants (Workforce), support for high-risk businesses (BS), and additional funds to support SMEs (BS).  Antoher 50 billion in budgetary measures . The package's key features include extending unemployment benefits for furlough workers (Workforce, IS), expanding grants to self-employed workers and small businesses (BS) In addition, parliament approved a one-off grant program amounting NIS 6.72bn for adults and families with children, excluding high earners (IS, Confidence). On September 29th , parliament approved additional NIS 10.5bn to support businesses (BS) and to increase eligibility for social benefits (Confidence). </t>
  </si>
  <si>
    <t>(ii) property tax relief for businesses, (iii) payment deferrals for VAT (BS), municipal taxes, utilities, and income taxes (IS), (iv) accelerated tax refunds, and (v) business grants (BS).</t>
  </si>
  <si>
    <t>iv) revenue measures amounting to about €344 million,</t>
  </si>
  <si>
    <t>Tthe largest package focuses on relief to businesses directly affected by the crisis in the form of loans and guarantees amounting to €1.1 billion (BS), ii) a sectoral support package of €1.2 billion covering, among others, the air and transport industry, health and education sectors as well as infrastructure projects (BS, Confidence, Supporting), iii)  and v) expenditure measures supporting idle workers and social benefits of more than €300 million (IS,Confidence).
The budget for 2021 envisages additional support measures to respond to the COVID-19 crisis.New temporary support measures of about 9 percent of GDP are planned, with spending priorities focusing on continuing support to the health sector, expanding work and unemployment benefits (IS) and providing business support (BS).</t>
  </si>
  <si>
    <t xml:space="preserve">
On June 10, an investment plan was approved, comprising 6.3 billion euros (13 percent of 2019 GDP), of which 2.2 billion euros (4.5 percent of 2019 GDP) is new investment and the remainder is already planned investment that will be accelerated (Investment, Infrastructur). </t>
  </si>
  <si>
    <t xml:space="preserve"> Within this amount, spending measures by the General Government amounts to 1.1 billion euros (2.3 percent of 2019 GDP) which includes  (ii) additional funds for caring for the sick and disabled, including for parents of school children who now need to stay home (IS), support for the self-employed (250 million euros) (BS), and wage subsidies for employees in affected firms (250 million euros) (IS, Confidence), and (iii) co-financing of climate change investment projects (about 20 percent of 250 million euros) (Investment, Gov Cons). 
On May 7, 2020, the government approved to support an economic recovery for businesses and households. The package includes extended wage subsidies for persons returning from downtime or unemployment (380 million euros) (IS,Confidence), job search allowances of 200 euros for those who have dropped out of the labor force (265 million euros) (Workforce), an increase in social benefits to pensioners and others (182 million euros) (IS, Confidence), additional funds for the self-employed and for vocational training (15.6 million euros) (BS) In addition, the universal child benefit of 60 euros has been increased to 100 euros for a period of six months after the end of the national quarantine for families who lost income during the quarantine (IS,Confidence)
</t>
  </si>
  <si>
    <t xml:space="preserve">Spending measures (€2.3bn or 3.6 percent of 2019 GDP) and liquidity support for eligible businesses and self-employed (€8.1bn, 12.8 percent of 2019 GDP) (BS). Key spending measures include: (ii) covering employees’ leave for family reasons (€226 million, 0.4 percent of 2019 GDP) and sick leave (€106 million, 0.2 percent of 2019 GDP) (IS,Confidence); (iii) paying partial-unemployment benefits (€1bn, 1.6 percent of GDP) (IS,BS,Confidence); (v) providing non-repayable financial aid to micro enterprises and eligible self-employed (€250 million, 0.4 percent of 2019 GDP) (BS).  
On May 20 Measures include: (i) providing structural partial unemployment benefits for affected businesses based on recovery/employment retention plans until the end of 2020 (IS,BS); (ii) providing non-repayable financial aid to businesses not yet allowed to reopen (including retail, hospitality, tourism and events sectors) (BS,Sector); (iii) flat-rate aid to support the non-food retail stores and personal care providers (less than 250 employees) (BS); (iv) financial incentives to support national tourism (BS,Sector,Confidence); (vi) fiscal incentives to support private investment and green recovery (including aid for development and energy efficiency projects) (Investment).
On July 9, the government announced a series of measures to fight unemployment by providing support for unemployed people of advanced age and incentives for businesses to further educate young workers, and making professional training programs more accessible to young workers (Workforce).
On November 20, the government announced new measures to support businesses, including: (i) lump sum grants for most affected sectors to partially compensate the increase in minimum wages scheduled for early 2021 (BS)
</t>
  </si>
  <si>
    <t>Liquidity support measures include postponing tax and social-security contribution payments for the first half of the year (€4.6bn, 7.2 percent of 2019 GDP) (BS,IS)</t>
  </si>
  <si>
    <t>Measures introduced by the coalition government include (i) wage compensation for affected businesses and self-employed (BS), and subsidies to individuals without income (subsequently extended to end-2021 and augmented in size) (IS,Confidence); (ii) enhanced unemployment benefits, and sickness and nursing benefits (IS,Confidence); (iii) deferral and waiver of employers' social security contributions for some months for affected companies and self-employed (deferral extended to September 2023) (BS);   (vii) rental subsidies (IS). 
The 2021 revised budget included in the Stability Program includes funds/reserve allocated to Covid response amounting to 4.2 percent of GDP (3.4 billion direct aid and 0.6 billion below-the-line measures) and envisages a fiscal deficit of 9.9 percent of GDP in 2021.</t>
  </si>
  <si>
    <t>(v) deferral of payroll and corporate tax payments for businesses whose revenues decline by more than 40 percent; (vi) allowing companies to include loss carryback since 2014 (BS 2x)</t>
  </si>
  <si>
    <t>Measures to alleviate the fiscal burden on businesses: (i) employers' social contributions will be lifted in the most affected sectors; (ii) the health care contributions will be lowered through June 30, 2020; (iii) around 80,000 SMEs (mainly in the services sector) will be exempt from the small business tax (the payment of the tax by other companies in affected sectors will be deferred until the end of the state of emergency); (iv) the tourism development contributions will be temporarily cancelled; (v) media service providers will be given a tax relief for incurred losses of advertising revenue; and, (vi) procedures for collecting tax arrears will be suspended during the state of emergency.  On the spending side. On September28, 2020, the government rolled out on a tax relief package for the benefit of families and businesses, including a tax relief on fringe benefits for tourism companies have been extended through end-June 2021.</t>
  </si>
  <si>
    <t>In 2020, the government announced one of the largest multi-year fiscal package in Europe, totaling 49.6 billion euros (12.6 percent of 2019 GDP) to support the economy. Short-term work arrangement (IS,Workforce), liquidity support for firms (fixed cost subsidy, and loss compensation) (BS). 
In 2021, several emergency support measures have been extended in light of renewed lockdowns. They include a new phase of short-term work arrangement (June 2021), fixed cost subsidy, hardship fund for small businesses, revenue replacement, and unemployment assistance(Workforce). At the same time, the budget envisages a significant amount of public investment as well as incentives for private investment to jump start the economy (Gov Cons, Investment). Measures to reallocate labor including upskilling and retraining are also included. The latest 2021 stability program envisages a deficit of over 8 percent of GDP.</t>
  </si>
  <si>
    <t xml:space="preserve">On the revenue side, the government announced deferral of personal and corporate income taxes, social security contributions (3 months), and VAT payments, as well as VAT reduction in some categories (IS,BS). In tandem with emergency support, the multi-year package also includes measures to jump start the economy, including investment in climate protection, affordable housing, health, and digitalization, innovation and research (Investment). </t>
  </si>
  <si>
    <t>Adopted tax and spending measures, including (i) (ii) wage subsidies for suspended employees due to pandemic-related closures and quarantined people (about €50 million) (IS,Confidecne). (iii) Other support to household income included providing a monthly basic income (IS,Confidence), support to self-employed (BS); one-off support to pensioners and students, and subsidies to kindergarten and large families (IS). (iv)  Measures include co-financing of social contributions (BS,IS), increased wage subsidies (IS,BS,Workforce), temporary income support for vulnerable groups (IS).  On May 29, Parliament adopted the third package of about € 1 billion to support economic recovery, including subsidies for shortened work time (IS,Workforce), vouchers for tourism(Sector). Accordingly, in early June, each adult in Slovenia received a € 200 voucher (€ 50 per child) to be spent in accommodation in Slovenia (IS,BS,Sector), as a measure to support tourism. T
The authorities rolled out a fifth COVID-19 stimulus package on September 30 to mitigate the effects of the crisis and extend certain existing measures until end-2020. These include measures  (ii) to support self-employed and micro-companies through monthly income compensation (BS,IS), (iii) support employees who have to be quarantined with full salary replacement (IS,Confidence), and (iv) further support families, with parents receiving 80 percent of their salaries in case of school quarantine (IS,Confidence).</t>
  </si>
  <si>
    <t>tax deferrals for up to 24 months or tax payments in installments in 24 months (BS); In addition, corporate income tax and social security contributions could be deferred (BS). Lastly, the administered price for electricity was cut by a third to ease the burden of the pandemic crisis (IS,BS). selective tax exemptions (BS,IS)</t>
  </si>
  <si>
    <t xml:space="preserve">temporary reduction in employers' social security contributions (BS). </t>
  </si>
  <si>
    <t xml:space="preserve">On December 8, state support (through wage subsidies (IS,Confidence), exemption from payroll taxes (IS), etc.) to the tourism (now including travel agencies), art, entertainment and leisure sectors (BS,Sector) was extended till end March 2021.
Economy Protection Fund. Their spending targets (i) job protection, notably by subsidizing wages to companies on workers who were put on shortened work hours (with rules that were made more flexible on April 23) (IS,BS,Workforce); (ii) job creation by supporting investments worth a total of HUF 450bn (Workforce, Investments); (iii) support for priority sectors, including tourism, health, food, agriculture, construction, logistics, transport, film and entertainment industries (BS,Sector);  (v) an extra week of pension will be paid out every February during 2021-24 (IS,Confidence).
On May 20, the government announced a new wage subsidy program for new hires, with the condition for a company of keeping a worker for at least nine months (Workforce,IS). 
</t>
  </si>
  <si>
    <t>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(All BS)</t>
  </si>
  <si>
    <t>Forgone revenue : Revenue measures included in the past economic packages include expansion of the loss carry-back and carry-forward schemes, tax incentives for firms’ decarbonization and digitalization, and reduction of property tax and the aviation fuel tax. (BS)</t>
  </si>
  <si>
    <t>• Temporary corporate/income tax cuts for landlords who reduce commercial rents (BS).
• Rental fees reduction for tenants of public properties  (BS)
• Rental fees reduction for tenants of commercial properties and reduction in airport facility fees, ports and terminal charges (BS). 
• VAT reduction for the self-employed (KRW 0.7 tn) (BS). 
• Corporation tax cut for SMEs located in disaster areas (KRW 0.3 tn) (BS).
• Consumption tax cut for auto purchases (KRW 0.8 tn) (IS,BS).
• Raising income tax deduction for credit/debit card and cash receipt expenditure (KRW 0.4 tn) (IS).
• Raising ceiling of deductible entertainment expenses when calculating corporation tax (KRW 0.2 tn) (BS).
• Social security (healthcare insurance) contribution cut for households (KRW 0.9 tn) (IS).</t>
  </si>
  <si>
    <t>Loss carry backward for CIT and PIT, tax exemption for regional support measures (for firms affected by closures and reduced turnover), social security contribution exemption for self-employed, temporary reduction in VAT in the hospitality sector (e.g., food and non-alcoholic beverages), and increase in the CIT allowance for restaurant and reception costs. Suspension of penalties for delays or non-performance of suppliers to the public sector (All BS).</t>
  </si>
  <si>
    <t xml:space="preserve">• The effective reduction in the personal income taxation and increase in the basic rebate for taxpayers (in total CZK 99.1bn) (IS).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(BS,IS (indirect)).
• Introduction of extraordinary allowance at CZK 370 per day for employees who have been ordered to quarantine (CZK 1.1bn) (IS).
• Reduced VAT rate to 10% for accommodation, sports and culture services (CZK 2.6bn) (BS,Sector).
• Reduced road tax rate for vehicles above 3.5t (CZK 2bn) and decrease in excise tax on diesel oil (CZK 5.6bn) (BS).
• Abolition of the real property acquisition tax (CZK 27.6bn) (IS,BS,Investment).
</t>
  </si>
  <si>
    <t>The government has also suspended payments to the Pillar II pension fund (BS,IS).</t>
  </si>
  <si>
    <t>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 (All BS).</t>
  </si>
  <si>
    <t xml:space="preserve">• Lowering of reduced VAT rate from 12 to 6 percent (BS); 
• Change in CIT regulations so that lossmaking companies can re-allocate their losses towards previous years’ taxed profits (BS)
• Temporary amendments to the petroleum tax system to improve liquidity in the sector (BS,Sector). 
• Suspension of aviation charges (BS,Sector). 
• Temporary lowering of the employers’ social insurance contributions (BS). </t>
  </si>
  <si>
    <t>For micro firms up to 9 employees social insurance contributions will be covered by the budget for 3 months (BS,IS). For companies employing from 10 to 49 employees 50% of social insurance contributions will be paid by the budget (BS). Extended to month of November for affected industries, and later for December and January. Also includes non-collection of tax revenue (CIT/PIT) in 2021 due to subsidies granted for liquidity loans (BS).</t>
  </si>
  <si>
    <t xml:space="preserve">Wage subsidies for employees of affected businesses up to 40 percent of average wages (IS,Workforce); care allowance for children owing to school closures (IS,Confidence,Workforce); monthly benefit for self-employed individuals (BS). Includes the nonreturnable portion of the Polish Development Fund's provision of liquidity loans that is treated as an above-the-line expenditure item. </t>
  </si>
  <si>
    <t>• Benefits COVID income replacement directly and indirectly affected (CHF 8.44 bn) (IS,Confidence)
• Financing for short term work program and the unemployment fund (CHF 26.2 bn) (IS,Workforce)
• COVID bridging loan losses (CHF 2.387 bn) (BS)
• Support to cantonal hardship programs (CHF 8.232 billion) (IS,BS,Confidence); and other measures</t>
  </si>
  <si>
    <t>additional expenditures on wage subsidies for short-term leave (IS), temporary payment of sick leave (IS), more funding to the media (BS,Sector), cultural and sports sectors and for education and training (Sector, Workforce), rent subsidies to certain sectors (BS,Sector), more generous unemployment benefits (Workforce,IS), expanded active labor market policies (Workforce), temporary grants to businesses based on their loss of turnover to cover their fixed costs (BS); supplementary housing allowances to families with children (IS,Confidence,Workforce), infrastructure investment (Infrastructur,Investment), extra support to public transport (BS,Sector)</t>
  </si>
  <si>
    <t xml:space="preserve">• Include household income protection scheme offering larger wage subsidies for temporary lay-offs (IS,Confidence), more generous unemployment benefits (IS), and expanded sickness and child care (IS,Workforce,Confidence); 
• Measures for business offering a scheme to compensate heavily affected but otherwise sustainable businesses for unavoidable fixed costs, grants for start-ups and subsidies of domestic air routes (BS); 
• Strengthening of critical sectors other than healthcare (public transport, municipalities) (BS,Sector); </t>
  </si>
  <si>
    <t>Including wage subsidies available for all employers that are significantly affected by the impact of COVID-19 (NZ$13.9 billion) (BS,Workforce); income relief payment to support people who have lost their job (NZ$570 million) (IS,Confidence); financial support for workers that are not paid normally during self-isolation (NZ$126 million) (IS,Confidence); temporary increase in winter energy payment (NZ$480 million) (IS); permanent increase in benefits (NZ$2.4 billion in next four years) (IS,Confidence); infrastructure investment (NZ$3.8 billion) (Investment); support package for the aviation sector (NZ$600 million) (BS,Sector); tourism recovery package (NZ$400 million) (BS,Sector); housing and urban development (NZ$ 4.7 billion) (Investment); education (NZ$3.4 billion) (Investment,Workforce); transport projects (NZ$600 million) (Investments); government R&amp;D (NZ$196 million) (Giv Cins, Investments); targeted training and apprenticeship fund (NZ$ 320million) (Workforce); and Flexi-wage subsidies (NZ$311 million) (BS,Workforce).</t>
  </si>
  <si>
    <t xml:space="preserve">•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(BS)
•	Extension of unemployment security: eliminating the waiting period, speeding up the layoff procedure, making entrepreneurs eligible for unemployment security, extending the payment period of startup grants, streamlining unemployment benefit payments etc. (€700 million) (IS)
•	Extension of social benefits: support for individuals arriving from other countries and parents of small children, temporary increase in social assistance (€200 million) (IS,Confidence)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 (Confidence)
•	Investment projects: basic transport infrastructure maintenance, developing the transport network, renovation construction, and public transport support. The sums for the years 2021 and 2022 are based on a technical assumption concerning the timing of the projects. (€400 million) (Investment)
•	R&amp;D&amp;I, competence and wellbeing: additional starting places for higher education and developing continuous learning, research appropriations for the Academy of Finland, public employment and business services and developing the service structure. (€400 million) (Investment, Workforce)
 </t>
  </si>
  <si>
    <t xml:space="preserve">The 2020 COVID-19 support package of about €2.3 billion (8.5 percent of GDP): support to the Unemployment Insurance (IS,Confidence) Fund to cover for wage reduction (€250 million) (IS, keeping the); health insurance fund (€213 million) (IS,Confidence); business loans to rural companies through the rural development fund (€200 million) (BS);  business loans earmarked for liquidity support to companies (€500 million) (BS); support to local authorities (€130 million) (Gov Cons); investment loans to companies (€50 million) (Investments, BS); and compensation for direct costs of cancelled cultural and sporting events (€3 million) (IS). 
A package of €5 million was approved on December 17 to support businesses in Ida-Viru county and more generally culture, sports, and education all over Estonia (IS,Supporting Sector). On December 30, the government approved a €30-million package to further support businesses in Harju and Ida-Viru counties, which were under the most stringent restrictions (BS).
A supplementary budget (2.2 percent of GDP), promptly enacted in April 2021, enhances the response to surging virus effects. The package mostly targets healthcare expenditure and support for employees and households (IS, Supporting Sector). In addition to the 2020 unused measures which were carried over, this new support package brings the total fiscal support for 2021 to 6½ percent of GDP.
</t>
  </si>
  <si>
    <t xml:space="preserve">
Grants to businesses (announced: DKK 35.8 bn; uptake: DKK 22.6 bn) (BS)
Employment support &amp; unemployment benefits  (announced DKK 30.8 bn; uptake DKK 20.9 bn) (IS)
Boosting business activity (announced: DKK 9.6 bn; uptake 6.5 bn) (Confidence,Investment)
Consumption support to Households (announced: DKK 2.2 bn; uptake 2.2 bn) (IS)
Upskilling &amp; Education (announced: DKK 1.1; uptake 1.1 bn) (Investment, Education)</t>
  </si>
  <si>
    <t>•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(IS,BS,Workforce).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(Worforce,BS). 
• Care Allowance to self-employed persons (CZK 434 per day in March 2020, CZK 500 per day since April), who cannot work because they need to care for children up to 13 years. During the other waves of COVID for parents with children up to 10 years, CZK 400 per day (CZK 3.1bn) (Workforce,BS)
• The state covers half of business property rents in Q2-Q4 2020 (CZK 9.9bn) (BS).
• Programs in support of the sports, culture, tourism, transport, restaurants, agriculture and other closed sectors (CZK 45.7bn) (BS,Sector).
• One-off cash benefit for pensioners in amount of CZK 5000 (CZK 15.0bn) (IS).
• Loss carryback measure: Taxpayers who report tax losses in 2020 due to the state of emergency, will be able to reduce their tax bases for the tax years 2019 and 2018 by this loss (maximum CZK 30 million) (CZK 4.3bn) (BS,Confidence).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(BS,Confidence)
• Other expenditure (CZK 9.6bn) (IS).</t>
  </si>
  <si>
    <t>• Loans with optional repayment to be granted by the Ministry of Economy to SMEs that maintain employees on payroll, self-employed, and domestic workers. Eligibility is assessed using IMSS database. (BS,Workforce)
• Loans with optional repayment to be granted by the Ministry of Economy to family businesses, previously registered in the Welfare Census. (BS)
• Unemployment subsidy for 3 months to workers that hold a mortgage with the Housing Institute. (IS,Confidence)
• Housing program (Confidence).</t>
  </si>
  <si>
    <t>• The government has announced consumption coupons for the poor, emergency family care support (IS,Confidence,Workforce), and support for business re-opening (KRW 5.6 tn) (BS).
• The 1st supplementary budget included support for SMEs, additional consumption coupons, and grants to local governments (KRW 8.8 tn) (BS).
• The 2nd supplementary budget included cash transfers to whole households (KRW 14.3 tn) (IS). 
• The 3rd supplementary budget includes support for companies, employment, and social safety nets (BS,Confidence); boost to consumption (IS), investment, and local economies; and Korean new deal for digital and green investment (KRW 23.7 tn) (Investement).
• The 4th supplementary budget: KRW 7.8 tn (KRW 3.9 tn for SME support, KRW 1.5 tn for employment relationship (BS), KRW 0.4 tn support for unemployed and low income household (IS), KRW 1.8 tn in daycare support and mobile bills (IS,Workforce)
• Customized Relief Package (December 2020; KRW 4.6 tn): Rent subsidy for small business owners and income support for freelancers, platform workers, and etc. (BS,IS)
• 2021 supplementary budget: KRW 10.7 tn (KRW 8.2 tn support for SME (BS) and vulnerable workers (IS), KRW 2.5 tn support for employment)                                                      • 2021 2nd supplementary budget (30 trillion won): pandemic relief package, employment support, and support for local governments (IS,Gov Cons).</t>
  </si>
  <si>
    <t>• Cash handout of JPY 100K per person (JPY 12.9 tn); (IS)
• Lump-sum transfer to affected firms (JPY 2 mn per SME, JPY 1 mn for the self-employed) (JPY 2.3 tn); (BS)
• Subsidies for financial institutions' lending (JPY 3.8 tn); (BS)
• Expansion of work subsidies (JPY 0.9 tn); (IS,Workforce)
• Incentives to accelerate recovery, including for consumption in service sectors and infrastructure investments (JPY 10.8 tn); (Investment, Infrastructure)
• Transfers to local governments for COVID-19 (JPY 1 tn). (Gv Cons)
Additional measures announced May 27, 2020 include: 
• Transfers to local governments (JPY 2 tn);  (Gov Cons)
• Expansion of work subsidies (JPY 1.3 tn); (IS,Workforce)
• Subsidies for public/private financial institutions' lending (JPY 9.3 tn); (BS)
• Replenishment of cash transfers for firms (JPY 1.9 tn); (BS)
• Subsidies to affected firms for rent payment (JPY 2 tn). (BS)
The government announced additional measures on December 8 2020, including: 
• Incentives for firms to invest in green technologies (JPY 2.0 tn) (Investment)
• Subsidies to accelerate business restructuring of SMEs (JPY 1.1 tn) (Investment)
• Extension of the Employment Adjustment Subsidy (JPY 1.5 tn) (Workforce)
• Transfers to the local governments (JPY1.5 tn) (Gov Cons)
•  Subsidies for financial institutions' lending (JPY 3.2 tn) (BS)
•  Measures to enhance national resilience (primarily public investments) (JPY 4.4 tn) (Investment)
In April 2020
•  Cash transfers to affected firms (JPY 1.2 tn) (BS)
•  Replenishment of the emergency loan program for affected households (JPY 1.0 tn) (IS)
•  Top up the Employment Adjustment Subsidy (JPY 0.5 tn) (Workforce)
•  Transfers to the local governments (JPY 3.9 tn) (Gov Cons)</t>
  </si>
  <si>
    <t>Support for wages of workers under the subsidized short-time work scheme (Workforce); direct financial support for affected small and very small enterprises (and regardless of size for heavily affected firms in December 2020), liberal professions, and independent workers (BS); direct transfers for low-income families (IS); extension of expiring unemployment and other benefits (IS,Confidence); additional transfers for self-employed (BS); additional spending in social programs (Confidence); incentives to purchase greener vehicles (Investment); subsidies for green investment for the auto and aerospace sectors (Investments).</t>
  </si>
  <si>
    <t>Workforce</t>
  </si>
  <si>
    <t>Investment</t>
  </si>
  <si>
    <t>Gov Cons</t>
  </si>
  <si>
    <t xml:space="preserve">Home Builder program  (support confidence in the residential construction sector) </t>
  </si>
  <si>
    <t>Wage subsidies and protecting jobs  (CAN 110.5.2 bn)</t>
  </si>
  <si>
    <t xml:space="preserve">Payroll subsidy for three months equivalent to 40 percent of the minimum wage per worker for businesses with a revenue fall above 20 percent and a subsidy worth 50% of June's bonuses for employees earning minimum wage for businesses with a revenue fall above 20 percent </t>
  </si>
  <si>
    <t xml:space="preserve">Increased infrastructure spending to support the recovery </t>
  </si>
  <si>
    <t xml:space="preserve">
</t>
  </si>
  <si>
    <t>Government support for charities</t>
  </si>
  <si>
    <t>Public sector and social housing decarbonization and Green Homes Grant</t>
  </si>
  <si>
    <t xml:space="preserve">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t>
  </si>
  <si>
    <t>and other (€10 bn)</t>
  </si>
  <si>
    <t xml:space="preserve">Support measures for employment </t>
  </si>
  <si>
    <t>Other support measures (€0.2 bn) (Confidence);</t>
  </si>
  <si>
    <t>Short-time work allowance (TL 36.7 bn)</t>
  </si>
  <si>
    <t xml:space="preserve">Normalization support (TL 4.8 bn) </t>
  </si>
  <si>
    <t>$171bn support for education</t>
  </si>
  <si>
    <t>$362.1bn support for state, local and triable governments, federal emergency management authority</t>
  </si>
  <si>
    <t xml:space="preserve">• Coronavirus Preparedness and Response Supplemental Appropriation (March 6, 2020) of $1.2 bn (Infrastructure, Confidence).
• Paycheck Protection Program and Health Care Enhancement Act (April 23, 2020)
• The federal government (through an Executive Order by President Trump on August 8, 2020) reallocated 
• Consolidated Appropriation Act (Dec.21, 2020)
• American Rescue Plan (Mar.12, 2021) includes  </t>
  </si>
  <si>
    <t>Support for wages of workers under the subsidized short-time work scheme</t>
  </si>
  <si>
    <t>Loans with optional repayment to be granted by the Ministry of Economy to SMEs that maintain employees on payroll, self-employed, and domestic workers. Eligibility is assessed using IMSS database.</t>
  </si>
  <si>
    <t>Unemployment subsidy for 3 months to workers that hold a mortgage with the Housing Institute.</t>
  </si>
  <si>
    <t>Housing program</t>
  </si>
  <si>
    <t>Measures to reallocate labor including upskilling and retraining are also included</t>
  </si>
  <si>
    <t xml:space="preserve">Other expenditure (CZK 9.6bn) </t>
  </si>
  <si>
    <t>Grants to businesses (announced: DKK 35.8 bn; uptake: DKK 22.6 bn) (BS)</t>
  </si>
  <si>
    <t xml:space="preserve">Employment support &amp; unemployment benefits  (announced DKK 30.8 bn; uptake DKK 20.9 bn) </t>
  </si>
  <si>
    <t xml:space="preserve">Consumption support to Households (announced: DKK 2.2 bn; uptake 2.2 bn) </t>
  </si>
  <si>
    <t>support to local authorities (€130 million)</t>
  </si>
  <si>
    <t>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t>
  </si>
  <si>
    <t>Investment projects: basic transport infrastructure maintenance, developing the transport network, renovation construction, and public transport support. The sums for the years 2021 and 2022 are based on a technical assumption concerning the timing of the projects. (€400 million)</t>
  </si>
  <si>
    <t xml:space="preserve">child allowances,  hiring grant, incentives for employment of individuals with more than 12-months in the unemployment roster </t>
  </si>
  <si>
    <t xml:space="preserve">Key measures to restart the economy include public investment, , tax incentives for real estate improvement and innovation </t>
  </si>
  <si>
    <t xml:space="preserve">The package also contains NIS 8 bn for infrastructure projects, including IT support for SMEs and government digitalization, mployment incentives grants </t>
  </si>
  <si>
    <t>vouchers for tourism, Accordingly, in early June, each adult in Slovenia received a € 200 voucher (€ 50 per child) to be spent in accommodation in Slovenia (IS,BS,Sector), as a measure to support tourism.</t>
  </si>
  <si>
    <t xml:space="preserve">Support to cantonal hardship programs (CHF 8.232 billion) </t>
  </si>
  <si>
    <t xml:space="preserve">Wage subsidies
JobMaker program, comprising job hiring credit
 Infrastructure projects, and others for job creation
Programs for job creation at state and local government levels
Arts industry for job creation </t>
  </si>
  <si>
    <t xml:space="preserve">Payments to lower-income Australians (pensioners, other social security and veteran income support recipients, and eligible concession cardholders
Women’s economic support package
Discount utility bills
Cash payments to vulnerable households, as well as the new home care package for the senior citizens
Pandemic Leave Disaster State and Territory governments, which provides a lump sum payment to help workers during their 14-day self-isolation period </t>
  </si>
  <si>
    <t xml:space="preserve">Spending on infrastructure
Investment in construction and infrastructure projects
The Commonwealth government will help finance fast-track infrastructure projects across States and Territories </t>
  </si>
  <si>
    <t>Recovery benefits, and enhanced employment insurance (CAN 120.2 bn) 
Others, including support to students, seniors, and vulnerable groups (CAN 22.9 bn)</t>
  </si>
  <si>
    <t>Emergency business account with 25% loan forgiveness (CAN 13.8 bn)
Emergency rent subsidy (CAN 8.4 bn)
Others, including sector-specific support and sub-nationals support (CAN 14 bn)</t>
  </si>
  <si>
    <t>Increased access to childcare and basic social security benefits
There is also support to firms and households provided through the “Kurzabeit” program, part of which is considered discretionary because the program parameters have been changed</t>
  </si>
  <si>
    <t>Incentivizing green and digital investment</t>
  </si>
  <si>
    <t>Measures taken by regional governments on social services and education</t>
  </si>
  <si>
    <t>Paid sick leave for self-isolating individuals and compensation for small firms needing to close for over 2 weeks, and support for low-income people in need to self-isolate
Coronavirus Job Retention Scheme to subsidise furloughed employees' wages (initially for 3 months and extended several times until September 2021) and firms' social security contributions (until the 1st August 2020)
Income support for the self-employed, Cover the cost of 25 hours' work a week at the National Minimum Wage for six months for hired unemployed up to 24 years old
Boost of Active Labour Market Poilicies, including 250,000 subsidized jobs for young people, Funding of 40,000 traineeships and doubling the number of work coaches to 27,000</t>
  </si>
  <si>
    <t xml:space="preserve">Barzuschüsse und volle Deckung der Renten
Gesundheitsleistungen für Arbeitnehmer in stark betroffenen Unternehmen
Arbeitslosenunterstützung
Zuschüsse zu Hypothekenzahlungen und Elternurlaub </t>
  </si>
  <si>
    <r>
      <t xml:space="preserve">Broadening the wage supplementation fund to provide income support to laid-off workers and the </t>
    </r>
    <r>
      <rPr>
        <sz val="11"/>
        <color rgb="FFFF0000"/>
        <rFont val="Calibri"/>
        <family val="2"/>
        <scheme val="minor"/>
      </rPr>
      <t>self-employed</t>
    </r>
  </si>
  <si>
    <t>Companies expecting a reduction in revenues over 20% can request a compensation for labor costs (max 90% of labor costs) to allow companies to continue paying wages; compensation for affected sectors (for example, hospitality  and travel) 
Scaling up of the short-time working scheme (unemployment benefit compensation available to companies needing to reduce their staff by at least 20 percent)</t>
  </si>
  <si>
    <t xml:space="preserve">Investment, incl. digital education, teleworking (€0.4 bn)
Investment under the Recovery and Resilience Plan in 2021 (€0.5 bn)  </t>
  </si>
  <si>
    <t xml:space="preserve">Cash aid and raised minimum pension (TL 29.8 bn)
Unemployment benefits (TL 7.3 bn)
Cash aid to employees (TL 14 bn)
Social Support Program (TL 9.9 bn)  </t>
  </si>
  <si>
    <t>$321 bn for the Paycheck Protection Program and small business assistance (of the $310 for the Paycheck Protection Program only $176bn was used)
$38.9bn support for providing childcare
$92bn for education and childcare</t>
  </si>
  <si>
    <t xml:space="preserve">Direct transfers for low-income families
Extension of expiring unemployment and other benefits
Additional spending in social programs </t>
  </si>
  <si>
    <t>Incentives to purchase greener vehicles 
Subsidies for green investment for the auto and aerospace sectors</t>
  </si>
  <si>
    <t>Cash handout of JPY 100K per person (JPY 12.9 tn)
Replenishment of the emergency loan program for affected households (JPY 1.0 tn)</t>
  </si>
  <si>
    <t>Expansion of work subsidies (JPY 0.9 tn)
Expansion of work subsidies (JPY 1.3 tn)
Extension of the Employment Adjustment Subsidy (JPY 1.5 tn) 
Top up the Employment Adjustment Subsidy (JPY 0.5 tn)</t>
  </si>
  <si>
    <t>Incentives to accelerate recovery, including for consumption in service sectors and infrastructure investments (JPY 10.8 tn)
Incentives for firms to invest in green technologies (JPY 2.0 tn)
Subsidies to accelerate business restructuring of SMEs (JPY 1.1 tn)
Measures to enhance national resilience (primarily public investments) (JPY 4.4 tn)</t>
  </si>
  <si>
    <t>Transfers to local governments for COVID-19 (JPY 1 tn)
Transfers to local governments (JPY 2 tn)
Transfers to the local governments (JPY1.5 tn)
Transfers to the local governments (JPY 3.9 tn)</t>
  </si>
  <si>
    <t>KRW 1.5 tn for employment relationship
KRW 1.8 tn in daycare support and mobile bills, and vulnerable workers
KRW 2.5 tn support for employment,  employment support</t>
  </si>
  <si>
    <t>Loans with optional repayment to be granted by the Ministry of Economy to family businesses, previously registered in the Welfare Census.</t>
  </si>
  <si>
    <t>Short-term work arrangement,  a new phase of short-term work arrangement (June 2021)</t>
  </si>
  <si>
    <r>
      <t xml:space="preserve">Federal government eased access to temporary unemployment for firms affected by Covid-19, raised the benefit replacement rate, and introduced a daily premium, as well as eased access to replacement income for the </t>
    </r>
    <r>
      <rPr>
        <sz val="11"/>
        <color rgb="FFFF0000"/>
        <rFont val="Calibri"/>
        <family val="2"/>
        <scheme val="minor"/>
      </rPr>
      <t xml:space="preserve">self-employed
</t>
    </r>
    <r>
      <rPr>
        <sz val="11"/>
        <rFont val="Calibri"/>
        <family val="2"/>
        <scheme val="minor"/>
      </rPr>
      <t xml:space="preserve">
</t>
    </r>
  </si>
  <si>
    <t xml:space="preserve">Boosting business activity (announced: DKK 9.6 bn; uptake 6.5 bn)
Upskilling &amp; Education (announced: DKK 1.1; uptake 1.1 bn) </t>
  </si>
  <si>
    <t>Support to the Unemployment Insurance
Health insurance fund (€213 million)
The package mostly targets healthcare expenditure and support for employees and households</t>
  </si>
  <si>
    <t xml:space="preserve">Business loans to rural companies through the rural development fund (€200 million)
Business loans earmarked for liquidity support to companies (€500 million)
Compensation for direct costs of cancelled cultural and sporting events (€3 million), to support businesses in Ida-Viru county and more generally culture, sports, and education all over Estonia, approved a €30-million package to further support businesses in Harju and Ida-Viru counties, which were under the most stringent restrictions </t>
  </si>
  <si>
    <t>Investment loans to companies (€50 million)</t>
  </si>
  <si>
    <t>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Extension of unemployment security: eliminating the waiting period, speeding up the layoff procedure, making entrepreneurs eligible for unemployment security, extending the payment period of startup grants, streamlining unemployment benefit payments etc.
Extension of social benefits: support for individuals arriving from other countries and parents of small children, temporary increase in social assistance (€200 million)</t>
  </si>
  <si>
    <t>Key measures to support households
Increased unemployment benefits
Quarantine grants
Early pension withdrawals
A domestic travel gift</t>
  </si>
  <si>
    <t>Expenditure measures supporting idle workers and social benefits of more than €300 million
Expanding work and unemployment benefits</t>
  </si>
  <si>
    <t>The largest package focuses on relief to businesses directly affected by the crisis in the form of loans and guarantees amounting to €1.1 billion, sectoral support package of €1.2 billion covering, among others, the air and transport industry, health and education sectors as well as infrastructure projects, and providing business support</t>
  </si>
  <si>
    <t>Package includes extended wage subsidies for persons returning from downtime or unemployment (380 million euros),  an increase in social benefits to pensioners and others (182 million euros)
In addition, the universal child benefit of 60 euros has been increased to 100 euros for a period of six months after the end of the national quarantine for families who lost income during the quarantine</t>
  </si>
  <si>
    <r>
      <t xml:space="preserve">Support for the </t>
    </r>
    <r>
      <rPr>
        <sz val="11"/>
        <color rgb="FFFF0000"/>
        <rFont val="Calibri"/>
        <family val="2"/>
        <scheme val="minor"/>
      </rPr>
      <t>self-employed</t>
    </r>
    <r>
      <rPr>
        <sz val="11"/>
        <color theme="1"/>
        <rFont val="Calibri"/>
        <family val="2"/>
        <scheme val="minor"/>
      </rPr>
      <t xml:space="preserve"> (250 million euros), additional funds for the </t>
    </r>
    <r>
      <rPr>
        <sz val="11"/>
        <color rgb="FFFF0000"/>
        <rFont val="Calibri"/>
        <family val="2"/>
        <scheme val="minor"/>
      </rPr>
      <t>self-employed</t>
    </r>
    <r>
      <rPr>
        <sz val="11"/>
        <color theme="1"/>
        <rFont val="Calibri"/>
        <family val="2"/>
        <scheme val="minor"/>
      </rPr>
      <t xml:space="preserve"> and for vocational training (15.6 million euros)</t>
    </r>
  </si>
  <si>
    <t>Additional funds for caring for the sick and disabled, including for parents of school children who now need to stay home, wage subsidies for employees in affected firms (250 million euros)
Job search allowances of 200 euros for those who have dropped out of the labor force (265 million euros)</t>
  </si>
  <si>
    <t>Paying partial-unemployment benefits (€1bn, 1.6 percent of GDP)</t>
  </si>
  <si>
    <r>
      <t xml:space="preserve">Spending measures (€2.3bn or 3.6 percent of 2019 GDP) and liquidity support for eligible businesses and </t>
    </r>
    <r>
      <rPr>
        <sz val="11"/>
        <color rgb="FFFF0000"/>
        <rFont val="Calibri"/>
        <family val="2"/>
        <scheme val="minor"/>
      </rPr>
      <t>self-employed</t>
    </r>
    <r>
      <rPr>
        <sz val="11"/>
        <color theme="1"/>
        <rFont val="Calibri"/>
        <family val="2"/>
        <scheme val="minor"/>
      </rPr>
      <t xml:space="preserve"> (€8.1bn, 12.8 percent of 2019 GDP)
Providing non-repayable financial aid to micro enterprises and eligible </t>
    </r>
    <r>
      <rPr>
        <sz val="11"/>
        <color rgb="FFFF0000"/>
        <rFont val="Calibri"/>
        <family val="2"/>
        <scheme val="minor"/>
      </rPr>
      <t>self-employed</t>
    </r>
    <r>
      <rPr>
        <sz val="11"/>
        <color theme="1"/>
        <rFont val="Calibri"/>
        <family val="2"/>
        <scheme val="minor"/>
      </rPr>
      <t xml:space="preserve"> (€250 million, 0.4 percent of 2019 GDP)
Providing non-repayable financial aid to businesses not yet allowed to reopen (including retail, hospitality, tourism and events sectors),  
Flat-rate aid to support the non-food retail stores and personal care providers (less than 250 employees)
Lump sum grants for most affected sectors to partially compensate the increase in minimum wages scheduled for early </t>
    </r>
  </si>
  <si>
    <t>Financial incentives to support national tourism
Fiscal incentives to support private investment and green recovery (including aid for development and energy efficiency projects)</t>
  </si>
  <si>
    <t>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t>
  </si>
  <si>
    <t>Including wage subsidies available for all employers that are significantly affected by the impact of COVID-19 (NZ$13.9 billion)
Targeted training and apprenticeship fund (NZ$ 320million) 
Flexi-wage subsidies (NZ$311 million)</t>
  </si>
  <si>
    <t>Infrastructure investment (NZ$3.8 billion)
Housing and urban development (NZ$ 4.7 billion)
Education (NZ$3.4 billion)
Transport projects (NZ$600 million)</t>
  </si>
  <si>
    <t>Government R&amp;D (NZ$196 million)</t>
  </si>
  <si>
    <t xml:space="preserve">Household income protection scheme offering larger wage subsidies for temporary lay-offs,  more generous unemployment benefits, expanded sickness and child care </t>
  </si>
  <si>
    <t xml:space="preserve">Subsidies to individuals without income (subsequently extended to end-2021 and augmented in size)
Enhanced unemployment benefits, and sickness and nursing benefits
Rental subsidies </t>
  </si>
  <si>
    <r>
      <t xml:space="preserve">Wage compensation for affected businesses and </t>
    </r>
    <r>
      <rPr>
        <sz val="11"/>
        <color rgb="FFFF0000"/>
        <rFont val="Calibri"/>
        <family val="2"/>
        <scheme val="minor"/>
      </rPr>
      <t>self-employed</t>
    </r>
  </si>
  <si>
    <r>
      <t xml:space="preserve">Wage subsidies for suspended employees due to pandemic-related closures and quarantined people (about €50 million), increased wage subsidies, including subsidies for shortened work time, to support </t>
    </r>
    <r>
      <rPr>
        <sz val="11"/>
        <color rgb="FFFF0000"/>
        <rFont val="Calibri"/>
        <family val="2"/>
        <scheme val="minor"/>
      </rPr>
      <t>self-employed</t>
    </r>
    <r>
      <rPr>
        <sz val="11"/>
        <color theme="1"/>
        <rFont val="Calibri"/>
        <family val="2"/>
        <scheme val="minor"/>
      </rPr>
      <t xml:space="preserve"> and micro-companies through monthly income compensation
Support employees who have to be quarantined with full salary replacement  </t>
    </r>
  </si>
  <si>
    <t>Temporary payment of sick leave
Supplementary housing allowances to families with children</t>
  </si>
  <si>
    <t>More funding to the media cultural and sports sectors and for education and training
Rent subsidies to certain sectors, emporary grants to businesses based on their loss of turnover to cover their fixed costs
Extra support to public transport</t>
  </si>
  <si>
    <t>Infrastructure investment</t>
  </si>
  <si>
    <t>Benefits COVID income replacement directly and indirectly affected (CHF 8.44 bn)
Financing for short term work program and the unemployment fund</t>
  </si>
  <si>
    <t>COVID bridging loan losses</t>
  </si>
  <si>
    <t>Exemption from payroll taxes
Extra week of pension will be paid out every February during 2021-24</t>
  </si>
  <si>
    <t>Wage subsidies
Job protection, notably by subsidizing wages to companies on workers who were put on shortened work hours (with rules that were made more flexible on April 23)
Job creation by supporting investments worth a total of HUF 450bn
On May 20, the government announced a new wage subsidy program for new hires, with the condition for a company of keeping a worker for at least nine months</t>
  </si>
  <si>
    <t>Non-Health Spending Description</t>
  </si>
  <si>
    <t>Forgone Revenues Description</t>
  </si>
  <si>
    <r>
      <t xml:space="preserve">Measures include tax-free cash flow assistance
Extension of aviation and tourism support
</t>
    </r>
    <r>
      <rPr>
        <sz val="11"/>
        <color theme="4" tint="-0.249977111117893"/>
        <rFont val="Calibri"/>
        <family val="2"/>
        <scheme val="minor"/>
      </rPr>
      <t>Measures include raising the asset write-off threshold, accelerated depreciation deductions, and COVID-19 Relief and Recovery Fund which provides waiver of fees and charges to affected industries (e.g., aviation industry), regions, and communities
FY2021 budget includes additional revenue measures under the JobMaker program, comprising extension of immediate expensing, loss carry-backs, income tax cut for lower- and middle-income earners, and tax incentives for R&amp;D
The FY2022 budget extends temporary full expensing and loss carry-backs for businesses, and retains the low- and middle-income tax offset for FY2021-22</t>
    </r>
  </si>
  <si>
    <r>
      <t xml:space="preserve">Cash transfers for the most vulnerable
</t>
    </r>
    <r>
      <rPr>
        <sz val="11"/>
        <color theme="4" tint="-0.249977111117893"/>
        <rFont val="Calibri"/>
        <family val="2"/>
        <scheme val="minor"/>
      </rPr>
      <t>Forgone revenue: Tax deferrals (CIT,VAT) and suspension of stamp tax for six months</t>
    </r>
  </si>
  <si>
    <t xml:space="preserve">Elimination of withholding tax for companies in bankruptcy protection </t>
  </si>
  <si>
    <r>
      <t xml:space="preserve">Expanded transfers for vulnerable groups including expanded social programs and support to workers in the informal sector
Support for recently unemployed workers
</t>
    </r>
    <r>
      <rPr>
        <sz val="11"/>
        <color theme="4" tint="-0.249977111117893"/>
        <rFont val="Calibri"/>
        <family val="2"/>
        <scheme val="minor"/>
      </rPr>
      <t xml:space="preserve">No road tolls during the quarantine period </t>
    </r>
    <r>
      <rPr>
        <sz val="11"/>
        <color theme="1"/>
        <rFont val="Calibri"/>
        <family val="2"/>
        <scheme val="minor"/>
      </rPr>
      <t xml:space="preserve">
</t>
    </r>
    <r>
      <rPr>
        <sz val="11"/>
        <color theme="4" tint="-0.249977111117893"/>
        <rFont val="Calibri"/>
        <family val="2"/>
        <scheme val="minor"/>
      </rPr>
      <t xml:space="preserve">
Tariff reduction for soy beans and corn, no VAT for internet connection and new trucks</t>
    </r>
    <r>
      <rPr>
        <sz val="11"/>
        <color theme="1"/>
        <rFont val="Calibri"/>
        <family val="2"/>
        <scheme val="minor"/>
      </rPr>
      <t xml:space="preserve">
</t>
    </r>
    <r>
      <rPr>
        <sz val="11"/>
        <color theme="4" tint="-0.249977111117893"/>
        <rFont val="Calibri"/>
        <family val="2"/>
        <scheme val="minor"/>
      </rPr>
      <t xml:space="preserve">No interest costs on delayed payment of electricity and gas for most strata 1-4 households. Lowered interest rate on tax arrears </t>
    </r>
  </si>
  <si>
    <t>or a duration of six months, public sector workers earning between Col Pesos 10-15 mn will pay additional taxes worth 10% of their salaries, those earning above 15 mn will contribute 15%</t>
  </si>
  <si>
    <t>An interest-free 3-month moratorium on the payment of value-added taxes, business income taxes, and customs duties 
Temporary adjustment to social security contributions by making them proportional to the time worked for a period of 6 months (including a deferral of the payment until the end of 2020) in 2020, as well as for one month during the May-June travel restrictions in 2021 (BS); (iii) a deferral of the roll-out of the VAT on construction and tourism services 
a 4-month moratorium on taxes to be paid to the Costa Rican Tourism Institute for firms in the tourism sector facing liquidity constraints</t>
  </si>
  <si>
    <r>
      <rPr>
        <sz val="11"/>
        <rFont val="Calibri"/>
        <family val="2"/>
        <scheme val="minor"/>
      </rPr>
      <t xml:space="preserve">a monthly subsidy of ¢125,000 (≈US$205) for three months to about 375 thousand households economically affected by the crisis with a monthly income of less than CRC 750,000 (≈US$1,230) prior to COVID-19
</t>
    </r>
    <r>
      <rPr>
        <sz val="11"/>
        <color theme="4" tint="-0.249977111117893"/>
        <rFont val="Calibri"/>
        <family val="2"/>
        <scheme val="minor"/>
      </rPr>
      <t xml:space="preserve"> A one-off tax relief on car registration tax in 2020 </t>
    </r>
  </si>
  <si>
    <r>
      <t xml:space="preserve">Grants to hard hit small businesses and </t>
    </r>
    <r>
      <rPr>
        <sz val="11"/>
        <color rgb="FFFF0000"/>
        <rFont val="Calibri"/>
        <family val="2"/>
        <scheme val="minor"/>
      </rPr>
      <t xml:space="preserve">self-employed
</t>
    </r>
    <r>
      <rPr>
        <sz val="11"/>
        <color theme="4" tint="-0.249977111117893"/>
        <rFont val="Calibri"/>
        <family val="2"/>
        <scheme val="minor"/>
      </rPr>
      <t xml:space="preserve">A temporary VAT reduction (the general VAT cut was expired at end-2020, but special VAT cuts for restaurants and food services remain in place) </t>
    </r>
    <r>
      <rPr>
        <sz val="11"/>
        <color theme="1"/>
        <rFont val="Calibri"/>
        <family val="2"/>
        <scheme val="minor"/>
      </rPr>
      <t xml:space="preserve">
</t>
    </r>
    <r>
      <rPr>
        <sz val="11"/>
        <color theme="4" tint="-0.249977111117893"/>
        <rFont val="Calibri"/>
        <family val="2"/>
        <scheme val="minor"/>
      </rPr>
      <t>corporate tax reliefs</t>
    </r>
  </si>
  <si>
    <r>
      <t xml:space="preserve">Temporary relief to affected (Mieter) tenants
Income support for families
</t>
    </r>
    <r>
      <rPr>
        <sz val="11"/>
        <color theme="4" tint="-0.249977111117893"/>
        <rFont val="Calibri"/>
        <family val="2"/>
        <scheme val="minor"/>
      </rPr>
      <t xml:space="preserve">
Personal income tax reliefs</t>
    </r>
    <r>
      <rPr>
        <sz val="11"/>
        <color theme="1"/>
        <rFont val="Calibri"/>
        <family val="2"/>
        <scheme val="minor"/>
      </rPr>
      <t xml:space="preserve">
S</t>
    </r>
    <r>
      <rPr>
        <sz val="11"/>
        <color theme="4" tint="-0.249977111117893"/>
        <rFont val="Calibri"/>
        <family val="2"/>
        <scheme val="minor"/>
      </rPr>
      <t xml:space="preserve">ocial security contribution reduction </t>
    </r>
  </si>
  <si>
    <r>
      <t xml:space="preserve">Exemptions of social contributions for companies that maintain employment under the ERTEs (about €7.7 bn)
An allowance for self-employed workers affected by economic activity suspension (about €6.5 bn), and exemption of social contributions for </t>
    </r>
    <r>
      <rPr>
        <sz val="11"/>
        <color rgb="FFFF0000"/>
        <rFont val="Calibri"/>
        <family val="2"/>
        <scheme val="minor"/>
      </rPr>
      <t>self-employed</t>
    </r>
    <r>
      <rPr>
        <sz val="11"/>
        <color theme="1"/>
        <rFont val="Calibri"/>
        <family val="2"/>
        <scheme val="minor"/>
      </rPr>
      <t xml:space="preserve"> that receive this benefit (about €3.3 bn, 
Corporate solvency support (€10 bn)
Measures taken by regional governments  support to firms (about €5.5 bn)
Various measures to expand existing benefits for workers and other support for households and firms.
</t>
    </r>
    <r>
      <rPr>
        <sz val="11"/>
        <color theme="4" tint="-0.249977111117893"/>
        <rFont val="Calibri"/>
        <family val="2"/>
        <scheme val="minor"/>
      </rPr>
      <t xml:space="preserve">
Flexibility in filing income tax and VAT installment payment for SMEs and self-employed</t>
    </r>
    <r>
      <rPr>
        <sz val="11"/>
        <color theme="1"/>
        <rFont val="Calibri"/>
        <family val="2"/>
        <scheme val="minor"/>
      </rPr>
      <t xml:space="preserve">
</t>
    </r>
    <r>
      <rPr>
        <sz val="11"/>
        <color theme="4" tint="-0.249977111117893"/>
        <rFont val="Calibri"/>
        <family val="2"/>
        <scheme val="minor"/>
      </rPr>
      <t>Tax incentives for landlords that reduce rents of properties used for activities related to the hotel, restaurant and tourism industries</t>
    </r>
  </si>
  <si>
    <t>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Rent support by increasing the Local Housing Allowance
Support for low-income people in need to self-isolate
Temporary cut on stamp duty land tax until June 2021</t>
  </si>
  <si>
    <r>
      <t xml:space="preserve">Unemployment benefit for workers temporary laid off under the ERTE due to COVID-19, with no requirement for prior minimum contribution or reduction of accumulated entitlement (about €21.7 bn)
Introduction of a new means-tested "minimum income scheme"(about €3 bn annually) and new rental assistance programs for certain vulnerable renters and additional state contribution to the State Housing Plan 2018-21, 
Various measures to expand existing benefits for workers and other support for households and firms.
</t>
    </r>
    <r>
      <rPr>
        <sz val="11"/>
        <color theme="4" tint="-0.249977111117893"/>
        <rFont val="Calibri"/>
        <family val="2"/>
        <scheme val="minor"/>
      </rPr>
      <t>Reduction in the contribution for Employed Agricultural Workers who have completed a maximum of 55 real days of contribution in 2019</t>
    </r>
  </si>
  <si>
    <r>
      <t xml:space="preserve">Grant support for sectors impacted by local and national restrictions
Entitle every diner to a 50% discount of up to £10 in August 
</t>
    </r>
    <r>
      <rPr>
        <sz val="11"/>
        <color theme="4" tint="-0.249977111117893"/>
        <rFont val="Calibri"/>
        <family val="2"/>
        <scheme val="minor"/>
      </rPr>
      <t>Property tax (business rate) holiday for firms in affected sectors.</t>
    </r>
    <r>
      <rPr>
        <sz val="11"/>
        <color theme="1"/>
        <rFont val="Calibri"/>
        <family val="2"/>
        <scheme val="minor"/>
      </rPr>
      <t xml:space="preserve">
</t>
    </r>
    <r>
      <rPr>
        <sz val="11"/>
        <color theme="4" tint="-0.249977111117893"/>
        <rFont val="Calibri"/>
        <family val="2"/>
        <scheme val="minor"/>
      </rPr>
      <t>VAT reduced at 5% for hospitality, accommodation, and attractions until the end of September 2021, at 12.5% until March 2022, aftern which it will return to normal.</t>
    </r>
  </si>
  <si>
    <t>Unterstützung für kurzfristige Beschäftigung
Umsatzsteuersenkungen für Produkte, die für den COVID-Schutz erforderlich sind.
Steuer- und Sozialversicherungsaufschub für betroffene Unternehmen.</t>
  </si>
  <si>
    <r>
      <t xml:space="preserve">I. Employment Wage Support Scheme. Employers, whose turnover has fallen 30%, will receive a flat-rate subsidy of up to €203 weekly per employee (BS).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VI. Measures to support hospitality and tourism sector include: (a) CRSS; (b) €10 million Restart Fund for the Tourism sector; (e) €10 million Performance Support Scheme for the culture sector to assist planning for events in the context of COVID-19
</t>
    </r>
    <r>
      <rPr>
        <sz val="11"/>
        <color theme="4" tint="-0.249977111117893"/>
        <rFont val="Calibri"/>
        <family val="2"/>
        <scheme val="minor"/>
      </rPr>
      <t>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t>
    </r>
  </si>
  <si>
    <r>
      <t xml:space="preserve">The Pandemic Unemployment Payment—a payment available to those who have lost employment due pandemic at a flat rate of €350 per week 
</t>
    </r>
    <r>
      <rPr>
        <sz val="11"/>
        <color theme="4" tint="-0.249977111117893"/>
        <rFont val="Calibri"/>
        <family val="2"/>
        <scheme val="minor"/>
      </rPr>
      <t>Income tax relief for self-employed individuals who were profitable in 2019, but as a result of the COVID-19 pandemic, incur losses in 2020.</t>
    </r>
  </si>
  <si>
    <r>
      <t xml:space="preserve">Grants for SME  (€60 bn)
</t>
    </r>
    <r>
      <rPr>
        <sz val="11"/>
        <color theme="4" tint="-0.249977111117893"/>
        <rFont val="Calibri"/>
        <family val="2"/>
        <scheme val="minor"/>
      </rPr>
      <t xml:space="preserve">
Corporate income tax credits. </t>
    </r>
  </si>
  <si>
    <r>
      <t xml:space="preserve">Vouchers for the payment of babysitters (€80 bn)
Spending on education (€4 bn) 
</t>
    </r>
    <r>
      <rPr>
        <sz val="11"/>
        <color theme="4" tint="-0.249977111117893"/>
        <rFont val="Calibri"/>
        <family val="2"/>
        <scheme val="minor"/>
      </rPr>
      <t xml:space="preserve">
Social security contribution reduction.</t>
    </r>
  </si>
  <si>
    <r>
      <t>Income support for entrepreneurs and</t>
    </r>
    <r>
      <rPr>
        <sz val="11"/>
        <color rgb="FFFF0000"/>
        <rFont val="Calibri"/>
        <family val="2"/>
        <scheme val="minor"/>
      </rPr>
      <t xml:space="preserve"> self-employed</t>
    </r>
    <r>
      <rPr>
        <sz val="11"/>
        <color theme="1"/>
        <rFont val="Calibri"/>
        <family val="2"/>
        <scheme val="minor"/>
      </rPr>
      <t xml:space="preserve"> (administered at municipal and regional level) for a period of three months through expedited procedures 
</t>
    </r>
    <r>
      <rPr>
        <sz val="11"/>
        <color theme="4" tint="-0.249977111117893"/>
        <rFont val="Calibri"/>
        <family val="2"/>
        <scheme val="minor"/>
      </rPr>
      <t>The interest rate on tax deferrals is reduced from 4% to just above 0%.</t>
    </r>
  </si>
  <si>
    <r>
      <t xml:space="preserve">Support for start-ups and small innovation companies through loans provided by government regional agencies
Allowances for SMEs affected by the outbreak to help them finance their fixed costs 
</t>
    </r>
    <r>
      <rPr>
        <sz val="11"/>
        <color theme="4" tint="-0.249977111117893"/>
        <rFont val="Calibri"/>
        <family val="2"/>
        <scheme val="minor"/>
      </rPr>
      <t>Reduction of tourist taxes and taxes in the culture sector
The interest rate on tax deferrals is reduced from 4% to just above 0%</t>
    </r>
    <r>
      <rPr>
        <sz val="11"/>
        <color theme="1"/>
        <rFont val="Calibri"/>
        <family val="2"/>
        <scheme val="minor"/>
      </rPr>
      <t>.</t>
    </r>
  </si>
  <si>
    <r>
      <t xml:space="preserve">Social protection programs, such as extension of unemployment coverage and support to </t>
    </r>
    <r>
      <rPr>
        <sz val="11"/>
        <color rgb="FFFF0000"/>
        <rFont val="Calibri"/>
        <family val="2"/>
        <scheme val="minor"/>
      </rPr>
      <t>self-employed</t>
    </r>
    <r>
      <rPr>
        <sz val="11"/>
        <color theme="1"/>
        <rFont val="Calibri"/>
        <family val="2"/>
        <scheme val="minor"/>
      </rPr>
      <t xml:space="preserve"> and informal workers (€0.6 bn)
Family support programs (€0.2 bn)
</t>
    </r>
    <r>
      <rPr>
        <sz val="11"/>
        <color theme="4" tint="-0.249977111117893"/>
        <rFont val="Calibri"/>
        <family val="2"/>
        <scheme val="minor"/>
      </rPr>
      <t>Exemption from payment of the Single Social Fee (€0.7 bn).
Lowering of reduced electricity VAT rate (€0.2 bn).</t>
    </r>
  </si>
  <si>
    <r>
      <t xml:space="preserve">Rresumption of activity
Non-repayble subsidies to businesses affected by the pandemic, program Apoiar.pt (€1.1 bn)
Extraordinary financial incentive (subsidy) to businesses for normalization of economic activity (€0.3 bn)
Support to national airlines (€1.3 bn in 2020 and €1.1 bn in 2021)
</t>
    </r>
    <r>
      <rPr>
        <sz val="11"/>
        <color theme="4" tint="-0.249977111117893"/>
        <rFont val="Calibri"/>
        <family val="2"/>
        <scheme val="minor"/>
      </rPr>
      <t xml:space="preserve">
Lowering of reduced electricity VAT rate (€0.2 bn).</t>
    </r>
    <r>
      <rPr>
        <sz val="11"/>
        <color theme="1"/>
        <rFont val="Calibri"/>
        <family val="2"/>
        <scheme val="minor"/>
      </rPr>
      <t xml:space="preserve">
</t>
    </r>
    <r>
      <rPr>
        <sz val="11"/>
        <color theme="4" tint="-0.249977111117893"/>
        <rFont val="Calibri"/>
        <family val="2"/>
        <scheme val="minor"/>
      </rPr>
      <t>VAT refund program for catering, accommodation and culture (€0.2).</t>
    </r>
    <r>
      <rPr>
        <sz val="11"/>
        <color theme="1"/>
        <rFont val="Calibri"/>
        <family val="2"/>
        <scheme val="minor"/>
      </rPr>
      <t xml:space="preserve">
</t>
    </r>
    <r>
      <rPr>
        <sz val="11"/>
        <color theme="4" tint="-0.249977111117893"/>
        <rFont val="Calibri"/>
        <family val="2"/>
        <scheme val="minor"/>
      </rPr>
      <t xml:space="preserve">
Other tax relief measures, such as road toll reductions (BS,IS), property rents (IS), SME taxes.</t>
    </r>
  </si>
  <si>
    <t>VAT rate on food and beverage, cinema, theatre, museum and accommodation services was reduced from 8% to 1% until 31 December.
VAT rate on workplace rental services, passenger transportation, maintenance and repair of small home appliances, wedding and marriage organizations, residential maintenance, repair, painting, and cleaning services was reduced from 18% to 8%.
Withholding tax on workplace rent was reduced from 20% to 10% until 31 December, 2020. It is prolonged for five months for 2021.It was again prolonged to end of September.
VAT rate on passenger transportation by air was reduced to 1% from 1 April, 2020 to 30 June, 2020. 
VAT rate on education and training services between 1 September, 2020 and 30 June, 2021 was reduced from 8% to 1% temporarily. It was again prolonged to end of September 2021.
 Support to tradespeople (TL 9 bn), Supports for Artists (TL 0,2 bn) and Additional Payments for Treasury Interest Supported Loans Given to Agricultural Producers and Tradesmen (1,2 bn)</t>
  </si>
  <si>
    <r>
      <t xml:space="preserve">$350 bn  in emergency appropriations, and $349 bn forgivable small business loans and other items
$62.1 bn for the Small Business Administration's loans programs and other expense
$347bn support for businesses
$86.4bn support for business and other spending in areas including transportation 
</t>
    </r>
    <r>
      <rPr>
        <sz val="11"/>
        <color theme="4" tint="-0.249977111117893"/>
        <rFont val="Calibri"/>
        <family val="2"/>
        <scheme val="minor"/>
      </rPr>
      <t>Coronavirus Aid, Relief, and Economic Security Act (March 27, 2020) includes tax rebates: The Act also includes higher limits on losses for corporations and individual taxpayers, employee retention credit for affected employers, and other revenue provisions (BS).  The total estimated revenue cost is $288 bn.</t>
    </r>
  </si>
  <si>
    <r>
      <t xml:space="preserve">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Coronavirus Aid, Relief, and Economic Security Act (March 27, 2020) includes $437 bn unemployment insurance
$44 billion from the Department of Homeland Security's Disaster Relief Fund to provide extra unemployment benefits of $300 dollar per week following the expiration of the enhanced unemployment benefits mad available by the CARES act
$329bn support to households
$794.2bn support to households 
</t>
    </r>
    <r>
      <rPr>
        <sz val="11"/>
        <color theme="4" tint="-0.249977111117893"/>
        <rFont val="Calibri"/>
        <family val="2"/>
        <scheme val="minor"/>
      </rPr>
      <t>Coronavirus Aid, Relief, and Economic Security Act (March 27, 2020) includes tax rebates: phaseout rate of 5% for Adjusted Gross Income over $75,000 for single/$112,500 for head of household/$150,000 for married filing jointly.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t>
    </r>
  </si>
  <si>
    <t xml:space="preserve">
•  Please note that the support of pension plans is estimated to introduce revenue gains, which outweighs revenue losses from other measures.</t>
  </si>
  <si>
    <r>
      <t xml:space="preserve">Direct financial support for affected small and very small enterprises (and regardless of size for heavily affected firms in December 2020), liberal professions, and independent workers
Additional transfers for </t>
    </r>
    <r>
      <rPr>
        <sz val="11"/>
        <color rgb="FFFF0000"/>
        <rFont val="Calibri"/>
        <family val="2"/>
        <scheme val="minor"/>
      </rPr>
      <t>self-employed</t>
    </r>
    <r>
      <rPr>
        <sz val="11"/>
        <color theme="1"/>
        <rFont val="Calibri"/>
        <family val="2"/>
        <scheme val="minor"/>
      </rPr>
      <t xml:space="preserve">
</t>
    </r>
    <r>
      <rPr>
        <sz val="11"/>
        <color theme="4" tint="-0.249977111117893"/>
        <rFont val="Calibri"/>
        <family val="2"/>
        <scheme val="minor"/>
      </rPr>
      <t>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t>
    </r>
    <r>
      <rPr>
        <sz val="11"/>
        <color theme="1"/>
        <rFont val="Calibri"/>
        <family val="2"/>
        <scheme val="minor"/>
      </rPr>
      <t xml:space="preserve"> </t>
    </r>
  </si>
  <si>
    <r>
      <t xml:space="preserve">Lump-sum transfer to affected firms (JPY 2 mn per SME
JPY 1 mn for the </t>
    </r>
    <r>
      <rPr>
        <sz val="11"/>
        <color rgb="FFFF0000"/>
        <rFont val="Calibri"/>
        <family val="2"/>
        <scheme val="minor"/>
      </rPr>
      <t>self-employed</t>
    </r>
    <r>
      <rPr>
        <sz val="11"/>
        <color theme="1"/>
        <rFont val="Calibri"/>
        <family val="2"/>
        <scheme val="minor"/>
      </rPr>
      <t xml:space="preserve">) (JPY 2.3 tn)
Subsidies for financial institutions' lending (JPY 3.8 tn)
Subsidies for public/private financial institutions' lending (JPY 9.3 tn)
Replenishment of cash transfers for firms (JPY 1.9 tn)
Subsidies to affected firms for rent payment (JPY 2 tn)
Subsidies for financial institutions' lending (JPY 3.2 tn)
Cash transfers to affected firms (JPY 1.2 tn) 
</t>
    </r>
    <r>
      <rPr>
        <sz val="11"/>
        <color theme="4" tint="-0.249977111117893"/>
        <rFont val="Calibri"/>
        <family val="2"/>
        <scheme val="minor"/>
      </rPr>
      <t>Expansion of the loss carry-back and carry-forward schemes, tax incentives for firms’ decarbonization and digitalization, and reduction of property tax and the aviation fuel tax.</t>
    </r>
  </si>
  <si>
    <r>
      <t xml:space="preserve">Support for business re-opening (KRW 5.6 tn)
The 1st supplementary budget included support for SMEs, additional consumption coupons, and grants to local governments, 
The 3rd supplementary budget includes support for companies, employment, and social safety nets
(KRW 12.1 tn for SME support
Rent subsidy for small business owners and income support for </t>
    </r>
    <r>
      <rPr>
        <sz val="11"/>
        <color rgb="FFFF0000"/>
        <rFont val="Calibri"/>
        <family val="2"/>
        <scheme val="minor"/>
      </rPr>
      <t>freelancers</t>
    </r>
    <r>
      <rPr>
        <sz val="11"/>
        <color theme="1"/>
        <rFont val="Calibri"/>
        <family val="2"/>
        <scheme val="minor"/>
      </rPr>
      <t xml:space="preserve">, platform workers, and etc., 
</t>
    </r>
    <r>
      <rPr>
        <sz val="11"/>
        <color theme="4" tint="-0.249977111117893"/>
        <rFont val="Calibri"/>
        <family val="2"/>
        <scheme val="minor"/>
      </rPr>
      <t>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(BS). 
• Corporation tax cut for SMEs located in disaster areas (KRW 0.3 tn).</t>
    </r>
    <r>
      <rPr>
        <sz val="11"/>
        <color theme="1"/>
        <rFont val="Calibri"/>
        <family val="2"/>
        <scheme val="minor"/>
      </rPr>
      <t xml:space="preserve">
</t>
    </r>
    <r>
      <rPr>
        <sz val="11"/>
        <color theme="4" tint="-0.249977111117893"/>
        <rFont val="Calibri"/>
        <family val="2"/>
        <scheme val="minor"/>
      </rPr>
      <t xml:space="preserve">Raising ceiling of deductible entertainment expenses when calculating corporation tax (KRW 0.2 tn). </t>
    </r>
  </si>
  <si>
    <r>
      <t xml:space="preserve">The government has announced consumption coupons for the poor
Emergency family care support
The 2nd supplementary budget included cash transfers to whole households (KRW 14.3 tn)
Boost to consumption with KRW 0.4 tn support for unemployed and low income household.
</t>
    </r>
    <r>
      <rPr>
        <sz val="11"/>
        <color theme="4" tint="-0.249977111117893"/>
        <rFont val="Calibri"/>
        <family val="2"/>
        <scheme val="minor"/>
      </rPr>
      <t>Consumption tax cut for auto purchases (KRW 0.8 tn).</t>
    </r>
    <r>
      <rPr>
        <sz val="11"/>
        <color theme="1"/>
        <rFont val="Calibri"/>
        <family val="2"/>
        <scheme val="minor"/>
      </rPr>
      <t xml:space="preserve"> 
</t>
    </r>
    <r>
      <rPr>
        <sz val="11"/>
        <color theme="4" tint="-0.249977111117893"/>
        <rFont val="Calibri"/>
        <family val="2"/>
        <scheme val="minor"/>
      </rPr>
      <t>Raising income tax deduction for credit/debit card and cash receipt expenditure (KRW 0.4 tn).</t>
    </r>
    <r>
      <rPr>
        <sz val="11"/>
        <color theme="1"/>
        <rFont val="Calibri"/>
        <family val="2"/>
        <scheme val="minor"/>
      </rPr>
      <t xml:space="preserve">
</t>
    </r>
    <r>
      <rPr>
        <sz val="11"/>
        <color theme="4" tint="-0.249977111117893"/>
        <rFont val="Calibri"/>
        <family val="2"/>
        <scheme val="minor"/>
      </rPr>
      <t>Social security (healthcare insurance) contribution cut for households (KRW 0.9 tn).</t>
    </r>
  </si>
  <si>
    <t>Deferral of personal income tax.</t>
  </si>
  <si>
    <r>
      <t xml:space="preserve">Liquidity support for firms,  fixed cost subsidy, and loss compensation
Hardship fund for small businesses, revenue replacement, and unemployment assistance
</t>
    </r>
    <r>
      <rPr>
        <sz val="11"/>
        <color theme="4" tint="-0.249977111117893"/>
        <rFont val="Calibri"/>
        <family val="2"/>
        <scheme val="minor"/>
      </rPr>
      <t xml:space="preserve">Corporate income taxes, social security contributions (3 months), and VAT payments, as well as VAT reduction in some categories. </t>
    </r>
  </si>
  <si>
    <t xml:space="preserve">Public investment as well as incentives for private investment to jump start the economy.
</t>
  </si>
  <si>
    <r>
      <t xml:space="preserve">It also introduced Covid-19 parental leave and increased unemployment benefits (extension of switching on allowance for the young, freezing of degressivity, etc.)
Social assistance benefits, and support to local social services, vulnerable groups as the pandemic evolved
Support for utility bills for affected households; and a host of smaller support measures
</t>
    </r>
    <r>
      <rPr>
        <sz val="11"/>
        <color theme="4" tint="-0.249977111117893"/>
        <rFont val="Calibri"/>
        <family val="2"/>
        <scheme val="minor"/>
      </rPr>
      <t>Loss carry backward for CIT.</t>
    </r>
  </si>
  <si>
    <r>
      <t xml:space="preserve">Regional governments provided transfers for companies and </t>
    </r>
    <r>
      <rPr>
        <sz val="11"/>
        <color rgb="FFFF0000"/>
        <rFont val="Calibri"/>
        <family val="2"/>
        <scheme val="minor"/>
      </rPr>
      <t>self-employed</t>
    </r>
    <r>
      <rPr>
        <sz val="11"/>
        <color theme="1"/>
        <rFont val="Calibri"/>
        <family val="2"/>
        <scheme val="minor"/>
      </rPr>
      <t xml:space="preserve"> affected by closures or significantly reduced turnover; further support to specific, affected sectors in addition to the health care sector
Additional measures have been taken to support hard-hit sectors.
</t>
    </r>
    <r>
      <rPr>
        <sz val="11"/>
        <color theme="4" tint="-0.249977111117893"/>
        <rFont val="Calibri"/>
        <family val="2"/>
        <scheme val="minor"/>
      </rPr>
      <t xml:space="preserve">Loss carry backward for PIT, tax exemption for regional support measures (for firms affected by closures and reduced turnover), social security contribution exemption for self-employed, temporary reduction in VAT in the hospitality sector (e.g., food and non-alcoholic beverages), and increase in the CIT allowance for restaurant and reception costs. Suspension of penalties for delays or non-performance of suppliers to the public sector.
</t>
    </r>
    <r>
      <rPr>
        <sz val="11"/>
        <color theme="1"/>
        <rFont val="Calibri"/>
        <family val="2"/>
        <scheme val="minor"/>
      </rPr>
      <t xml:space="preserve">
</t>
    </r>
  </si>
  <si>
    <r>
      <t xml:space="preserve">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Care Allowance to self-employed persons (CZK 434 per day in March 2020, CZK 500 per day since April), who cannot work because they need to care for children up to 13 years. During the other waves of COVID for parents with children up to 10 years, CZK 400 per day (CZK 3.1bn)
</t>
    </r>
    <r>
      <rPr>
        <sz val="11"/>
        <color theme="4" tint="-0.249977111117893"/>
        <rFont val="Calibri"/>
        <family val="2"/>
        <scheme val="minor"/>
      </rPr>
      <t>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t>
    </r>
  </si>
  <si>
    <r>
      <t xml:space="preserve">One-off cash benefit for pensioners in amount of CZK 5000 (CZK 15.0bn)
</t>
    </r>
    <r>
      <rPr>
        <sz val="11"/>
        <color theme="4" tint="-0.249977111117893"/>
        <rFont val="Calibri"/>
        <family val="2"/>
        <scheme val="minor"/>
      </rPr>
      <t>The effective reduction in the personal income taxation and increase in the basic rebate for taxpayers (in total CZK 99.1bn).</t>
    </r>
    <r>
      <rPr>
        <sz val="11"/>
        <color theme="1"/>
        <rFont val="Calibri"/>
        <family val="2"/>
        <scheme val="minor"/>
      </rPr>
      <t xml:space="preserve">
</t>
    </r>
    <r>
      <rPr>
        <sz val="11"/>
        <color theme="4" tint="-0.249977111117893"/>
        <rFont val="Calibri"/>
        <family val="2"/>
        <scheme val="minor"/>
      </rPr>
      <t>Introduction of extraordinary allowance at CZK 370 per day for employees who have been ordered to quarantine (CZK 1.1bn).</t>
    </r>
  </si>
  <si>
    <r>
      <t xml:space="preserve">The state covers half of business property rents in Q2-Q4 2020 (CZK 9.9bn)
Programs in support of the sports, culture, tourism, transport, restaurants, agriculture and other closed sectors (CZK 45.7bn)
Loss carryback measure: Taxpayers who report tax losses in 2020 due to the state of emergency, will be able to reduce their tax bases for the tax years 2019 and 2018 by this loss (maximum CZK 30 million) (CZK 4.3bn)
</t>
    </r>
    <r>
      <rPr>
        <sz val="11"/>
        <color rgb="FFFF0000"/>
        <rFont val="Calibri"/>
        <family val="2"/>
        <scheme val="minor"/>
      </rPr>
      <t>Self-employed</t>
    </r>
    <r>
      <rPr>
        <sz val="11"/>
        <color theme="1"/>
        <rFont val="Calibri"/>
        <family val="2"/>
        <scheme val="minor"/>
      </rPr>
      <t xml:space="preserve">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t>
    </r>
    <r>
      <rPr>
        <sz val="11"/>
        <color theme="4" tint="-0.249977111117893"/>
        <rFont val="Calibri"/>
        <family val="2"/>
        <scheme val="minor"/>
      </rPr>
      <t>Reduced VAT rate to 10% for accommodation, sports and culture services (CZK 2.6bn).</t>
    </r>
    <r>
      <rPr>
        <sz val="11"/>
        <color theme="1"/>
        <rFont val="Calibri"/>
        <family val="2"/>
        <scheme val="minor"/>
      </rPr>
      <t xml:space="preserve">
</t>
    </r>
    <r>
      <rPr>
        <sz val="11"/>
        <color theme="4" tint="-0.249977111117893"/>
        <rFont val="Calibri"/>
        <family val="2"/>
        <scheme val="minor"/>
      </rPr>
      <t xml:space="preserve">
Reduced road tax rate for vehicles above 3.5t (CZK 2bn) and decrease in excise tax on diesel oil (CZK 5.6bn).</t>
    </r>
  </si>
  <si>
    <t>Abolition of the real property acquisition tax (CZK 27.6bn).</t>
  </si>
  <si>
    <r>
      <t xml:space="preserve">Fund to cover for wage reduction (€250 million)
</t>
    </r>
    <r>
      <rPr>
        <sz val="11"/>
        <color theme="4" tint="-0.249977111117893"/>
        <rFont val="Calibri"/>
        <family val="2"/>
        <scheme val="minor"/>
      </rPr>
      <t>The government has also suspended payments to the Pillar II pension fund.</t>
    </r>
  </si>
  <si>
    <r>
      <t xml:space="preserve">R&amp;D&amp;I, competence and wellbeing: additional starting places for higher education and developing continuous learning, research appropriations for the Academy of Finland, public employment and business services and developing the service structure. (€400 million)
</t>
    </r>
    <r>
      <rPr>
        <sz val="11"/>
        <color theme="4" tint="-0.249977111117893"/>
        <rFont val="Calibri"/>
        <family val="2"/>
        <scheme val="minor"/>
      </rPr>
      <t>Lowering of private sector pension contributions for the period May 1 - 31 December  2020 (1.1).</t>
    </r>
  </si>
  <si>
    <r>
      <t xml:space="preserve">Key measures to support households and firms include tax cuts, and loss offsets, subsidies, state contributions to firms’ dismissal costs to prevent bankruptcies of viable firms and protect workers’ rights.
</t>
    </r>
    <r>
      <rPr>
        <sz val="11"/>
        <color theme="4" tint="-0.249977111117893"/>
        <rFont val="Calibri"/>
        <family val="2"/>
        <scheme val="minor"/>
      </rPr>
      <t>Temporary tax relief for the tourism sector, marketing efforts to encourage tourism in Iceland.</t>
    </r>
  </si>
  <si>
    <r>
      <t xml:space="preserve">The package supports the social safety net (NIS 20bn),  funding a relaxation in the requirements for unemployment benefits and grants for </t>
    </r>
    <r>
      <rPr>
        <sz val="11"/>
        <color rgb="FFFF0000"/>
        <rFont val="Calibri"/>
        <family val="2"/>
        <scheme val="minor"/>
      </rPr>
      <t>self-employed</t>
    </r>
    <r>
      <rPr>
        <sz val="11"/>
        <color theme="1"/>
        <rFont val="Calibri"/>
        <family val="2"/>
        <scheme val="minor"/>
      </rPr>
      <t xml:space="preserve"> workers
A one-time NIS 500 grant for families with children, the elderly and other vulnerable population groups was also approved by parliament
In addition, parliament approved a one-off grant program amounting NIS 6.72bn for adults and families with children, excluding high earners, and to increase eligibility for social benefits
</t>
    </r>
    <r>
      <rPr>
        <sz val="11"/>
        <color theme="4" tint="-0.249977111117893"/>
        <rFont val="Calibri"/>
        <family val="2"/>
        <scheme val="minor"/>
      </rPr>
      <t>Municipal taxes, utilities, and income taxes.</t>
    </r>
  </si>
  <si>
    <r>
      <t xml:space="preserve">Additional funds to support SMEs, expanding grants to self-employed workers and small businesses
On September 29th , parliament approved additional NIS 10.5bn to support businesses 
</t>
    </r>
    <r>
      <rPr>
        <sz val="11"/>
        <color theme="4" tint="-0.249977111117893"/>
        <rFont val="Calibri"/>
        <family val="2"/>
        <scheme val="minor"/>
      </rPr>
      <t xml:space="preserve">Property tax relief for businesses, (iii) payment deferrals for VAT. </t>
    </r>
    <r>
      <rPr>
        <sz val="11"/>
        <color theme="1"/>
        <rFont val="Calibri"/>
        <family val="2"/>
        <scheme val="minor"/>
      </rPr>
      <t xml:space="preserve">
</t>
    </r>
    <r>
      <rPr>
        <sz val="11"/>
        <color theme="4" tint="-0.249977111117893"/>
        <rFont val="Calibri"/>
        <family val="2"/>
        <scheme val="minor"/>
      </rPr>
      <t>Accelerated tax refunds, and (v) business grants.</t>
    </r>
  </si>
  <si>
    <r>
      <t xml:space="preserve">Co-financing of climate change investment projects (about 20 percent of 250 million euros)
</t>
    </r>
    <r>
      <rPr>
        <sz val="11"/>
        <color theme="4" tint="-0.249977111117893"/>
        <rFont val="Calibri"/>
        <family val="2"/>
        <scheme val="minor"/>
      </rPr>
      <t xml:space="preserve">
On June 10, an investment plan was approved, comprising 6.3 billion euros (13 percent of 2019 GDP), of which 2.2 billion euros (4.5 percent of 2019 GDP) is new investment and the remainder is already planned investment that will be accelerated.</t>
    </r>
  </si>
  <si>
    <r>
      <t xml:space="preserve">Key spending measures include: (ii) covering employees’ leave for family reasons (€226 million, 0.4 percent of 2019 GDP) and sick leave (€106 million, 0.2 percent of 2019 GDP), providing structural partial unemployment benefits for affected businesses based on recovery/employment retention plans until the end of 2020
On July 9, the government announced a series of measures to fight unemployment by providing support for unemployed people of advanced age and incentives for businesses to further educate young workers, and making professional training programs more accessible to young workers.
</t>
    </r>
    <r>
      <rPr>
        <sz val="11"/>
        <color theme="4" tint="-0.249977111117893"/>
        <rFont val="Calibri"/>
        <family val="2"/>
        <scheme val="minor"/>
      </rPr>
      <t>Liquidity support measures include postponing tax and social-security contribution payments for the first half of the year.</t>
    </r>
  </si>
  <si>
    <r>
      <t xml:space="preserve">Support package for the aviation sector (NZ$600 million) 
Tourism recovery package (NZ$400 million)
</t>
    </r>
    <r>
      <rPr>
        <sz val="11"/>
        <color theme="4" tint="-0.249977111117893"/>
        <rFont val="Calibri"/>
        <family val="2"/>
        <scheme val="minor"/>
      </rPr>
      <t>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</si>
  <si>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t xml:space="preserve">Measures for business offering a scheme to compensate heavily affected but otherwise sustainable businesses for unavoidable fixed costs,
Grants for start-ups and subsidies of domestic air routes
Strengthening of critical sectors other than healthcare (public transport, municipalities) 
</t>
    </r>
    <r>
      <rPr>
        <sz val="11"/>
        <color theme="4" tint="-0.249977111117893"/>
        <rFont val="Calibri"/>
        <family val="2"/>
        <scheme val="minor"/>
      </rPr>
      <t xml:space="preserve">Lowering of reduced VAT rate from 12 to 6 percent. </t>
    </r>
    <r>
      <rPr>
        <sz val="11"/>
        <color theme="1"/>
        <rFont val="Calibri"/>
        <family val="2"/>
        <scheme val="minor"/>
      </rPr>
      <t xml:space="preserve">
</t>
    </r>
    <r>
      <rPr>
        <sz val="11"/>
        <color theme="4" tint="-0.249977111117893"/>
        <rFont val="Calibri"/>
        <family val="2"/>
        <scheme val="minor"/>
      </rPr>
      <t>Change in CIT regulations so that lossmaking companies can re-allocate their losses towards previous years’ taxed profits.</t>
    </r>
    <r>
      <rPr>
        <sz val="11"/>
        <color theme="1"/>
        <rFont val="Calibri"/>
        <family val="2"/>
        <scheme val="minor"/>
      </rPr>
      <t xml:space="preserve">
</t>
    </r>
    <r>
      <rPr>
        <sz val="11"/>
        <color theme="4" tint="-0.249977111117893"/>
        <rFont val="Calibri"/>
        <family val="2"/>
        <scheme val="minor"/>
      </rPr>
      <t>Temporary amendments to the petroleum tax system to improve liquidity in the sector.
Suspension of aviation charges.</t>
    </r>
  </si>
  <si>
    <t xml:space="preserve">Temporary lowering of the employers’ social insurance contributions. </t>
  </si>
  <si>
    <r>
      <t xml:space="preserve">Deferral and waiver of employers' social security contributions for some months for affected companies and </t>
    </r>
    <r>
      <rPr>
        <sz val="11"/>
        <color rgb="FFFF0000"/>
        <rFont val="Calibri"/>
        <family val="2"/>
        <scheme val="minor"/>
      </rPr>
      <t>self-employed</t>
    </r>
    <r>
      <rPr>
        <sz val="11"/>
        <color theme="1"/>
        <rFont val="Calibri"/>
        <family val="2"/>
        <scheme val="minor"/>
      </rPr>
      <t xml:space="preserve"> (deferral extended to September 2023)
D</t>
    </r>
    <r>
      <rPr>
        <sz val="11"/>
        <color theme="4" tint="-0.249977111117893"/>
        <rFont val="Calibri"/>
        <family val="2"/>
        <scheme val="minor"/>
      </rPr>
      <t>eferral of payroll and corporate tax payments for businesses whose revenues decline by more than 40 percent; (vi) allowing companies to include loss carryback since 2014.</t>
    </r>
  </si>
  <si>
    <r>
      <t xml:space="preserve">Other support to household income included providing a monthly basic income
One-off support to pensioners and students, and subsidies to kindergarten and large families
Measures include co-financing of social contributions, temporary income support for vulnerable groups, further support families, with parents receiving 80 percent of their salaries in case of school quarantine
</t>
    </r>
    <r>
      <rPr>
        <sz val="11"/>
        <color theme="4" tint="-0.249977111117893"/>
        <rFont val="Calibri"/>
        <family val="2"/>
        <scheme val="minor"/>
      </rPr>
      <t xml:space="preserve"> Lastly, the administered price for electricity was cut by a third to ease the burden of the pandemic crisis.</t>
    </r>
  </si>
  <si>
    <r>
      <t xml:space="preserve">Support to </t>
    </r>
    <r>
      <rPr>
        <sz val="11"/>
        <color rgb="FFFF0000"/>
        <rFont val="Calibri"/>
        <family val="2"/>
        <scheme val="minor"/>
      </rPr>
      <t>self-employed</t>
    </r>
    <r>
      <rPr>
        <sz val="11"/>
        <color theme="1"/>
        <rFont val="Calibri"/>
        <family val="2"/>
        <scheme val="minor"/>
      </rPr>
      <t xml:space="preserve">.
</t>
    </r>
    <r>
      <rPr>
        <sz val="11"/>
        <color theme="4" tint="-0.249977111117893"/>
        <rFont val="Calibri"/>
        <family val="2"/>
        <scheme val="minor"/>
      </rPr>
      <t xml:space="preserve">Tax deferrals for up to 24 months or tax payments in installments in 24 months (BS); In addition, corporate income tax and social security contributions could be deferred. </t>
    </r>
    <r>
      <rPr>
        <sz val="11"/>
        <color theme="1"/>
        <rFont val="Calibri"/>
        <family val="2"/>
        <scheme val="minor"/>
      </rPr>
      <t xml:space="preserve">
</t>
    </r>
    <r>
      <rPr>
        <sz val="11"/>
        <color theme="4" tint="-0.249977111117893"/>
        <rFont val="Calibri"/>
        <family val="2"/>
        <scheme val="minor"/>
      </rPr>
      <t>Selective tax exemptions.</t>
    </r>
  </si>
  <si>
    <t xml:space="preserve">Additional expenditures on wage subsidies for short-term leave
More generous unemployment benefits
Expanded active labor market policies
Temporary reduction in employers' social security contributions. </t>
  </si>
  <si>
    <r>
      <t xml:space="preserve">To the tourism (now including travel agencies), art, entertainment and leisure sectors, support for priority sectors, including tourism, health, food, agriculture, construction, logistics, transport, film and entertainment industries 
</t>
    </r>
    <r>
      <rPr>
        <sz val="11"/>
        <color theme="4" tint="-0.249977111117893"/>
        <rFont val="Calibri"/>
        <family val="2"/>
        <scheme val="minor"/>
      </rPr>
      <t xml:space="preserve">Measures to alleviate the fiscal burden on businesses: (i) employers' social contributions will be lifted in the most affected sectors; (ii) the health care contributions will be lowered through June 30, 2020; (iii) around 80,000 SMEs (mainly in the services sector) will be exempt from the small business tax (the payment of the tax by other companies in affected sectors will be deferred until the end of the state of emergency); (iv) the tourism development contributions will be temporarily cancelled; (v) media service providers will be given a tax relief for incurred losses of advertising revenue; and, (vi) procedures for collecting tax arrears will be suspended during the state of emergency. </t>
    </r>
  </si>
  <si>
    <t xml:space="preserve"> </t>
  </si>
  <si>
    <r>
      <t xml:space="preserve">Wage subsidies for employees of affected businesses up to 40 percent of average wages
Care allowance for children owing to school closures
</t>
    </r>
    <r>
      <rPr>
        <sz val="11"/>
        <color theme="4" tint="-0.249977111117893"/>
        <rFont val="Calibri"/>
        <family val="2"/>
        <scheme val="minor"/>
      </rPr>
      <t xml:space="preserve">
For micro firms up to 9 employees social insurance contributions will be covered by the budget for 3 months.
For companies employing from 10 to 49 employees 50% of social insurance contributions will be paid by the budget. </t>
    </r>
  </si>
  <si>
    <r>
      <t xml:space="preserve">Monthly benefit for </t>
    </r>
    <r>
      <rPr>
        <sz val="11"/>
        <color rgb="FFFF0000"/>
        <rFont val="Calibri"/>
        <family val="2"/>
        <scheme val="minor"/>
      </rPr>
      <t>self-employed</t>
    </r>
    <r>
      <rPr>
        <sz val="11"/>
        <color theme="1"/>
        <rFont val="Calibri"/>
        <family val="2"/>
        <scheme val="minor"/>
      </rPr>
      <t xml:space="preserve"> individuals includes the nonreturnable portion of the Polish Development Fund's provision of liquidity loans that is treated as an above-the-line expenditure item.
</t>
    </r>
    <r>
      <rPr>
        <sz val="11"/>
        <color theme="4" tint="-0.249977111117893"/>
        <rFont val="Calibri"/>
        <family val="2"/>
        <scheme val="minor"/>
      </rPr>
      <t>Extended to month of November for affected industries, and later for December and January. Also includes non-collection of tax revenue (CIT/PIT) in 2021 due to subsidies granted for liquidity loans.</t>
    </r>
  </si>
  <si>
    <r>
      <rPr>
        <b/>
        <sz val="11"/>
        <color theme="1"/>
        <rFont val="Calibri"/>
        <family val="2"/>
        <scheme val="minor"/>
      </rPr>
      <t xml:space="preserve">Accelerated spending (£5 bn): </t>
    </r>
    <r>
      <rPr>
        <sz val="11"/>
        <color theme="1"/>
        <rFont val="Calibri"/>
        <family val="2"/>
        <scheme val="minor"/>
      </rPr>
      <t xml:space="preserve">
• Bring forward public infrastructure spending to FY2020/21.
</t>
    </r>
    <r>
      <rPr>
        <b/>
        <sz val="11"/>
        <color theme="1"/>
        <rFont val="Calibri"/>
        <family val="2"/>
        <scheme val="minor"/>
      </rPr>
      <t xml:space="preserve">Deferred revenue (£7.5 bn): </t>
    </r>
    <r>
      <rPr>
        <sz val="11"/>
        <color theme="1"/>
        <rFont val="Calibri"/>
        <family val="2"/>
        <scheme val="minor"/>
      </rPr>
      <t xml:space="preserve">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</si>
  <si>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r>
      <rPr>
        <b/>
        <sz val="11"/>
        <color theme="1"/>
        <rFont val="Calibri"/>
        <family val="2"/>
        <scheme val="minor"/>
      </rPr>
      <t xml:space="preserve">Deferred revenue: </t>
    </r>
    <r>
      <rPr>
        <sz val="11"/>
        <color theme="1"/>
        <rFont val="Calibri"/>
        <family val="2"/>
        <scheme val="minor"/>
      </rPr>
      <t xml:space="preserve">mostly due to postponement of VAT, CIT, and social security contributions as well as property taxes.  </t>
    </r>
  </si>
  <si>
    <r>
      <rPr>
        <b/>
        <sz val="11"/>
        <color theme="1"/>
        <rFont val="Calibri"/>
        <family val="2"/>
        <scheme val="minor"/>
      </rPr>
      <t>Deferred revenue:</t>
    </r>
    <r>
      <rPr>
        <sz val="11"/>
        <color theme="1"/>
        <rFont val="Calibri"/>
        <family val="2"/>
        <scheme val="minor"/>
      </rPr>
      <t xml:space="preserve">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</si>
  <si>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r>
      <rPr>
        <b/>
        <sz val="11"/>
        <color theme="1"/>
        <rFont val="Calibri"/>
        <family val="2"/>
        <scheme val="minor"/>
      </rPr>
      <t>Accelerated spending:</t>
    </r>
    <r>
      <rPr>
        <sz val="11"/>
        <color theme="1"/>
        <rFont val="Calibri"/>
        <family val="2"/>
        <scheme val="minor"/>
      </rPr>
      <t xml:space="preserve"> Early annual bonus payment to pensioners.
</t>
    </r>
    <r>
      <rPr>
        <b/>
        <sz val="11"/>
        <color theme="1"/>
        <rFont val="Calibri"/>
        <family val="2"/>
        <scheme val="minor"/>
      </rPr>
      <t xml:space="preserve">Deferred revenue: </t>
    </r>
    <r>
      <rPr>
        <sz val="11"/>
        <color theme="1"/>
        <rFont val="Calibri"/>
        <family val="2"/>
        <scheme val="minor"/>
      </rPr>
      <t xml:space="preserve">
•Tax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</si>
  <si>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r>
      <rPr>
        <b/>
        <sz val="11"/>
        <color theme="1"/>
        <rFont val="Calibri"/>
        <family val="2"/>
        <scheme val="minor"/>
      </rPr>
      <t xml:space="preserve">Deferred revenue: </t>
    </r>
    <r>
      <rPr>
        <sz val="11"/>
        <color theme="1"/>
        <rFont val="Calibri"/>
        <family val="2"/>
        <scheme val="minor"/>
      </rPr>
      <t xml:space="preserve">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</si>
  <si>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r>
      <rPr>
        <b/>
        <sz val="11"/>
        <color theme="1"/>
        <rFont val="Calibri"/>
        <family val="2"/>
        <scheme val="minor"/>
      </rPr>
      <t>Accelerated spending (€17.5 bn):</t>
    </r>
    <r>
      <rPr>
        <sz val="11"/>
        <color theme="1"/>
        <rFont val="Calibri"/>
        <family val="2"/>
        <scheme val="minor"/>
      </rPr>
      <t xml:space="preserve"> Accelerated refund of tax credits (e.g. CIT and VAT).
</t>
    </r>
    <r>
      <rPr>
        <b/>
        <sz val="11"/>
        <color theme="1"/>
        <rFont val="Calibri"/>
        <family val="2"/>
        <scheme val="minor"/>
      </rPr>
      <t>Deferred revenue (€52 bn):</t>
    </r>
    <r>
      <rPr>
        <sz val="11"/>
        <color theme="1"/>
        <rFont val="Calibri"/>
        <family val="2"/>
        <scheme val="minor"/>
      </rPr>
      <t xml:space="preserve"> Postponement of social security contributions and tax payment for companies.</t>
    </r>
  </si>
  <si>
    <r>
      <rPr>
        <b/>
        <sz val="11"/>
        <color theme="1"/>
        <rFont val="Calibri"/>
        <family val="2"/>
        <scheme val="minor"/>
      </rPr>
      <t>Deferred revenue (JPY 3 tn):</t>
    </r>
    <r>
      <rPr>
        <sz val="11"/>
        <color theme="1"/>
        <rFont val="Calibri"/>
        <family val="2"/>
        <scheme val="minor"/>
      </rPr>
      <t xml:space="preserve"> Deferral of payment of taxes and social security premiums by affected firms and households for one year.</t>
    </r>
  </si>
  <si>
    <r>
      <rPr>
        <b/>
        <sz val="11"/>
        <color theme="1"/>
        <rFont val="Calibri"/>
        <family val="2"/>
        <scheme val="minor"/>
      </rPr>
      <t>Accelerated spending:</t>
    </r>
    <r>
      <rPr>
        <sz val="11"/>
        <color theme="1"/>
        <rFont val="Calibri"/>
        <family val="2"/>
        <scheme val="minor"/>
      </rPr>
      <t xml:space="preserve">
• Frontloaded social pension payments for the elderly and people with special needs.
• Procurement processes and VAT refunds are to be accelerated.</t>
    </r>
  </si>
  <si>
    <r>
      <rPr>
        <b/>
        <sz val="11"/>
        <color theme="1"/>
        <rFont val="Calibri"/>
        <family val="2"/>
        <scheme val="minor"/>
      </rPr>
      <t xml:space="preserve">Deferred revenue: </t>
    </r>
    <r>
      <rPr>
        <sz val="11"/>
        <color theme="1"/>
        <rFont val="Calibri"/>
        <family val="2"/>
        <scheme val="minor"/>
      </rPr>
      <t xml:space="preserve">
• Postponement of advance payments on social security and health insurance contributions for self-employed by 6 months (CZK 14.3bn)</t>
    </r>
  </si>
  <si>
    <r>
      <rPr>
        <b/>
        <sz val="11"/>
        <color theme="1"/>
        <rFont val="Calibri"/>
        <family val="2"/>
        <scheme val="minor"/>
      </rPr>
      <t>Accelerated spending (1 bn):</t>
    </r>
    <r>
      <rPr>
        <sz val="11"/>
        <color theme="1"/>
        <rFont val="Calibri"/>
        <family val="2"/>
        <scheme val="minor"/>
      </rPr>
      <t xml:space="preserve">
• Advance payment of tax credits (DKK 1 bn)
</t>
    </r>
    <r>
      <rPr>
        <b/>
        <sz val="11"/>
        <color theme="1"/>
        <rFont val="Calibri"/>
        <family val="2"/>
        <scheme val="minor"/>
      </rPr>
      <t>Deferred revenue (317.8 bn):</t>
    </r>
    <r>
      <rPr>
        <sz val="11"/>
        <color theme="1"/>
        <rFont val="Calibri"/>
        <family val="2"/>
        <scheme val="minor"/>
      </rPr>
      <t xml:space="preserve">
Tax deferrals (2020 &amp; 2021) (announced 317.8; uptake 206.0)</t>
    </r>
  </si>
  <si>
    <r>
      <rPr>
        <b/>
        <sz val="11"/>
        <color theme="1"/>
        <rFont val="Calibri"/>
        <family val="2"/>
        <scheme val="minor"/>
      </rPr>
      <t>Deferred revenue:</t>
    </r>
    <r>
      <rPr>
        <sz val="11"/>
        <color theme="1"/>
        <rFont val="Calibri"/>
        <family val="2"/>
        <scheme val="minor"/>
      </rPr>
      <t xml:space="preserve"> Easing of payment terms for taxes and lowering the interest on late payments from 7% to 2.5%.  Assessing the impacts of the delays of 2020 and 2021 tax revenue to 2022 and 2023 (€50</t>
    </r>
  </si>
  <si>
    <r>
      <rPr>
        <b/>
        <sz val="11"/>
        <color theme="1"/>
        <rFont val="Calibri"/>
        <family val="2"/>
        <scheme val="minor"/>
      </rPr>
      <t xml:space="preserve">Deferred revenue: </t>
    </r>
    <r>
      <rPr>
        <sz val="11"/>
        <color theme="1"/>
        <rFont val="Calibri"/>
        <family val="2"/>
        <scheme val="minor"/>
      </rPr>
      <t>Deferral of social security contribution and debts for companies and the self-employed (BS); Deferral of tax debts and debts arising from customs declaration (BS); tax payment deferrals for small and medium enterprises and self-employed, with the first three/four months exempt from interest (BS).</t>
    </r>
  </si>
  <si>
    <r>
      <rPr>
        <b/>
        <sz val="11"/>
        <color theme="1"/>
        <rFont val="Calibri"/>
        <family val="2"/>
        <scheme val="minor"/>
      </rPr>
      <t>Deferred revenue:</t>
    </r>
    <r>
      <rPr>
        <sz val="11"/>
        <color theme="1"/>
        <rFont val="Calibri"/>
        <family val="2"/>
        <scheme val="minor"/>
      </rPr>
      <t xml:space="preserve"> mostly due to postponement of VAT, CIT (BS), and social security contributions as well as property taxes (BS,IS).  </t>
    </r>
  </si>
  <si>
    <r>
      <rPr>
        <b/>
        <sz val="11"/>
        <color theme="1"/>
        <rFont val="Calibri"/>
        <family val="2"/>
        <scheme val="minor"/>
      </rPr>
      <t xml:space="preserve">Accelerated spending: </t>
    </r>
    <r>
      <rPr>
        <sz val="11"/>
        <color theme="1"/>
        <rFont val="Calibri"/>
        <family val="2"/>
        <scheme val="minor"/>
      </rPr>
      <t xml:space="preserve">Accelerated CIT and VAT refunds for corporates </t>
    </r>
    <r>
      <rPr>
        <b/>
        <sz val="11"/>
        <color theme="1"/>
        <rFont val="Calibri"/>
        <family val="2"/>
        <scheme val="minor"/>
      </rPr>
      <t>(business supporting)</t>
    </r>
    <r>
      <rPr>
        <sz val="11"/>
        <color theme="1"/>
        <rFont val="Calibri"/>
        <family val="2"/>
        <scheme val="minor"/>
      </rPr>
      <t xml:space="preserve">. 
Deferred revenue: Delayed VAT and CIT payments until December </t>
    </r>
    <r>
      <rPr>
        <b/>
        <sz val="11"/>
        <color theme="1"/>
        <rFont val="Calibri"/>
        <family val="2"/>
        <scheme val="minor"/>
      </rPr>
      <t>(business supporting)</t>
    </r>
    <r>
      <rPr>
        <sz val="11"/>
        <color theme="1"/>
        <rFont val="Calibri"/>
        <family val="2"/>
        <scheme val="minor"/>
      </rPr>
      <t>.</t>
    </r>
  </si>
  <si>
    <r>
      <rPr>
        <b/>
        <sz val="11"/>
        <color theme="1"/>
        <rFont val="Calibri"/>
        <family val="2"/>
        <scheme val="minor"/>
      </rPr>
      <t>Accelerated spending:</t>
    </r>
    <r>
      <rPr>
        <sz val="11"/>
        <color theme="1"/>
        <rFont val="Calibri"/>
        <family val="2"/>
        <scheme val="minor"/>
      </rPr>
      <t xml:space="preserve">
•Accelerated pay to government's suppliers </t>
    </r>
    <r>
      <rPr>
        <b/>
        <sz val="11"/>
        <color theme="1"/>
        <rFont val="Calibri"/>
        <family val="2"/>
        <scheme val="minor"/>
      </rPr>
      <t>(supporting business)</t>
    </r>
    <r>
      <rPr>
        <sz val="11"/>
        <color theme="1"/>
        <rFont val="Calibri"/>
        <family val="2"/>
        <scheme val="minor"/>
      </rPr>
      <t xml:space="preserve">.
</t>
    </r>
    <r>
      <rPr>
        <b/>
        <sz val="11"/>
        <color theme="1"/>
        <rFont val="Calibri"/>
        <family val="2"/>
        <scheme val="minor"/>
      </rPr>
      <t>Deferred revenue:</t>
    </r>
    <r>
      <rPr>
        <sz val="11"/>
        <color theme="1"/>
        <rFont val="Calibri"/>
        <family val="2"/>
        <scheme val="minor"/>
      </rPr>
      <t xml:space="preserve">
•Deferred CIT, VAT and property taxes </t>
    </r>
    <r>
      <rPr>
        <b/>
        <sz val="11"/>
        <color theme="1"/>
        <rFont val="Calibri"/>
        <family val="2"/>
        <scheme val="minor"/>
      </rPr>
      <t>(supporting business)</t>
    </r>
    <r>
      <rPr>
        <sz val="11"/>
        <color theme="1"/>
        <rFont val="Calibri"/>
        <family val="2"/>
        <scheme val="minor"/>
      </rPr>
      <t>.</t>
    </r>
  </si>
  <si>
    <r>
      <rPr>
        <b/>
        <sz val="11"/>
        <color theme="1"/>
        <rFont val="Calibri"/>
        <family val="2"/>
        <scheme val="minor"/>
      </rPr>
      <t>Deferred revenue (CAD 85.1 bn):</t>
    </r>
    <r>
      <rPr>
        <sz val="11"/>
        <color theme="1"/>
        <rFont val="Calibri"/>
        <family val="2"/>
        <scheme val="minor"/>
      </rPr>
      <t xml:space="preserve"> Income Tax Payment Deferral until September 30, 2020 ($55 billion) </t>
    </r>
    <r>
      <rPr>
        <b/>
        <sz val="11"/>
        <color theme="1"/>
        <rFont val="Calibri"/>
        <family val="2"/>
        <scheme val="minor"/>
      </rPr>
      <t>(income support)</t>
    </r>
    <r>
      <rPr>
        <sz val="11"/>
        <color theme="1"/>
        <rFont val="Calibri"/>
        <family val="2"/>
        <scheme val="minor"/>
      </rPr>
      <t xml:space="preserve">; Sales Tax Remittance and Customs Duty Payments Deferral ($30 billion) </t>
    </r>
    <r>
      <rPr>
        <b/>
        <sz val="11"/>
        <color theme="1"/>
        <rFont val="Calibri"/>
        <family val="2"/>
        <scheme val="minor"/>
      </rPr>
      <t>(supporting business)</t>
    </r>
    <r>
      <rPr>
        <sz val="11"/>
        <color theme="1"/>
        <rFont val="Calibri"/>
        <family val="2"/>
        <scheme val="minor"/>
      </rPr>
      <t xml:space="preserve">; and Supporting Jobs and Safe Operations of Junior Mining Companies </t>
    </r>
    <r>
      <rPr>
        <b/>
        <sz val="11"/>
        <color theme="1"/>
        <rFont val="Calibri"/>
        <family val="2"/>
        <scheme val="minor"/>
      </rPr>
      <t>(supporting business/income of specific branche)</t>
    </r>
    <r>
      <rPr>
        <sz val="11"/>
        <color theme="1"/>
        <rFont val="Calibri"/>
        <family val="2"/>
        <scheme val="minor"/>
      </rPr>
      <t xml:space="preserve"> ($50 million)</t>
    </r>
  </si>
  <si>
    <t>Support Households</t>
  </si>
  <si>
    <t>Support Business</t>
  </si>
  <si>
    <t>Accelerated spending and forgone revenues</t>
  </si>
  <si>
    <t>Confidence</t>
  </si>
  <si>
    <t>Control Group</t>
  </si>
  <si>
    <t>Treatment Group</t>
  </si>
  <si>
    <t>Investment, and local economies; and Korean new deal for digital and green investment (KRW 23.7 tn),pandemic relief package</t>
  </si>
  <si>
    <t xml:space="preserve"> Support for local governments</t>
  </si>
  <si>
    <t>Government Consumption</t>
  </si>
  <si>
    <t>Support Workforce</t>
  </si>
  <si>
    <t>Support Confidence</t>
  </si>
  <si>
    <t>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</si>
</sst>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0"/>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9"/>
      <color theme="1"/>
      <name val="Arial"/>
      <family val="2"/>
    </font>
    <font>
      <sz val="8"/>
      <color rgb="FF2C2825"/>
      <name val="Arial"/>
      <family val="2"/>
    </font>
    <font>
      <i/>
      <sz val="11"/>
      <color theme="1"/>
      <name val="Calibri"/>
      <family val="2"/>
      <scheme val="minor"/>
    </font>
    <font>
      <sz val="11"/>
      <name val="Calibri"/>
      <family val="2"/>
      <scheme val="minor"/>
    </font>
    <font>
      <sz val="11"/>
      <color theme="3" tint="0.39997558519241921"/>
      <name val="Calibri"/>
      <family val="2"/>
      <scheme val="minor"/>
    </font>
    <font>
      <sz val="11"/>
      <color theme="4" tint="-0.249977111117893"/>
      <name val="Calibri"/>
      <family val="2"/>
      <scheme val="minor"/>
    </font>
    <font>
      <b/>
      <sz val="11"/>
      <color theme="4" tint="-0.249977111117893"/>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2" fillId="0" borderId="0" applyFont="0" applyFill="0" applyBorder="0" applyAlignment="0" applyProtection="0"/>
  </cellStyleXfs>
  <cellXfs count="42">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164" fontId="4" fillId="2" borderId="0" xfId="1" applyNumberFormat="1" applyFont="1" applyFill="1" applyAlignment="1"/>
    <xf numFmtId="0" fontId="0" fillId="2" borderId="0" xfId="0" applyFill="1" applyAlignment="1">
      <alignment wrapText="1"/>
    </xf>
    <xf numFmtId="0" fontId="0" fillId="2" borderId="0" xfId="0" applyFill="1" applyAlignment="1">
      <alignment vertical="center" wrapText="1"/>
    </xf>
    <xf numFmtId="0" fontId="5" fillId="0" borderId="0" xfId="0" applyFont="1" applyAlignment="1">
      <alignment horizontal="left" vertical="center" wrapText="1"/>
    </xf>
    <xf numFmtId="0" fontId="0" fillId="0" borderId="0" xfId="0" applyAlignment="1">
      <alignment vertical="center" wrapText="1"/>
    </xf>
    <xf numFmtId="0" fontId="0" fillId="5" borderId="0" xfId="0"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2" fillId="0" borderId="0" xfId="1" applyNumberFormat="1" applyFont="1" applyFill="1" applyAlignment="1"/>
    <xf numFmtId="0" fontId="0" fillId="6" borderId="1" xfId="0" applyFill="1" applyBorder="1"/>
    <xf numFmtId="0" fontId="0" fillId="0" borderId="1" xfId="0" applyBorder="1"/>
    <xf numFmtId="0" fontId="0" fillId="6" borderId="2" xfId="0" applyFill="1" applyBorder="1"/>
    <xf numFmtId="0" fontId="1" fillId="0" borderId="0" xfId="0" applyFont="1" applyAlignment="1">
      <alignment horizontal="center"/>
    </xf>
    <xf numFmtId="0" fontId="1" fillId="0" borderId="1" xfId="0" applyFont="1" applyBorder="1"/>
    <xf numFmtId="0" fontId="0" fillId="6" borderId="0" xfId="0" applyFill="1" applyAlignment="1">
      <alignment wrapText="1"/>
    </xf>
    <xf numFmtId="0" fontId="0" fillId="0" borderId="0" xfId="0" quotePrefix="1" applyAlignment="1">
      <alignment wrapTex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0" fontId="8" fillId="0" borderId="0" xfId="0" applyFont="1" applyAlignment="1">
      <alignment vertical="top" wrapText="1"/>
    </xf>
    <xf numFmtId="0" fontId="9" fillId="0" borderId="0" xfId="0" applyFont="1"/>
    <xf numFmtId="0" fontId="9" fillId="0" borderId="0" xfId="0" applyFont="1" applyAlignment="1">
      <alignment wrapText="1"/>
    </xf>
    <xf numFmtId="0" fontId="9" fillId="0" borderId="0" xfId="0" applyFont="1" applyAlignment="1">
      <alignment vertical="top" wrapText="1"/>
    </xf>
    <xf numFmtId="164" fontId="4" fillId="0" borderId="0" xfId="1" applyNumberFormat="1" applyFont="1" applyFill="1" applyAlignment="1"/>
    <xf numFmtId="0" fontId="9" fillId="0" borderId="0" xfId="0" applyFont="1" applyAlignment="1">
      <alignment vertical="center" wrapText="1"/>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0" borderId="0" xfId="0" applyFont="1"/>
    <xf numFmtId="0" fontId="1" fillId="0" borderId="0" xfId="0" applyFont="1" applyAlignment="1">
      <alignment vertical="top"/>
    </xf>
    <xf numFmtId="0" fontId="10" fillId="0" borderId="0" xfId="0" applyFont="1"/>
    <xf numFmtId="0" fontId="1" fillId="7" borderId="0" xfId="0" applyFont="1" applyFill="1"/>
    <xf numFmtId="0" fontId="1" fillId="7" borderId="0" xfId="0" applyFont="1" applyFill="1" applyAlignment="1">
      <alignment vertical="top"/>
    </xf>
    <xf numFmtId="0" fontId="10" fillId="7" borderId="0" xfId="0" applyFont="1" applyFill="1"/>
    <xf numFmtId="0" fontId="1" fillId="4" borderId="0" xfId="0" applyFont="1" applyFill="1"/>
    <xf numFmtId="0" fontId="1" fillId="4" borderId="0" xfId="0" applyFont="1" applyFill="1" applyAlignment="1">
      <alignment vertical="top"/>
    </xf>
    <xf numFmtId="0" fontId="10" fillId="4" borderId="0" xfId="0" applyFont="1" applyFill="1"/>
  </cellXfs>
  <cellStyles count="2">
    <cellStyle name="Komma" xfId="1" builtinId="3"/>
    <cellStyle name="Standard"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412B-D19B-44E0-8E7F-1767BDA3783F}">
  <dimension ref="A1:O43"/>
  <sheetViews>
    <sheetView tabSelected="1" zoomScale="103" zoomScaleNormal="120" workbookViewId="0">
      <pane ySplit="2" topLeftCell="A3" activePane="bottomLeft" state="frozen"/>
      <selection activeCell="D1" sqref="D1"/>
      <selection pane="bottomLeft" activeCell="N3" sqref="N3"/>
    </sheetView>
  </sheetViews>
  <sheetFormatPr baseColWidth="10" defaultRowHeight="14.5" x14ac:dyDescent="0.35"/>
  <cols>
    <col min="1" max="1" width="15.54296875" customWidth="1"/>
    <col min="2" max="3" width="19" hidden="1" customWidth="1"/>
    <col min="4" max="4" width="29.1796875" hidden="1" customWidth="1"/>
    <col min="5" max="5" width="59.453125" hidden="1" customWidth="1"/>
    <col min="6" max="6" width="37.7265625" style="22" customWidth="1"/>
    <col min="7" max="7" width="46.54296875" style="22" customWidth="1"/>
    <col min="8" max="8" width="46.26953125" style="22" customWidth="1"/>
    <col min="9" max="9" width="21.08984375" style="22" customWidth="1"/>
    <col min="10" max="10" width="19.453125" style="22" customWidth="1"/>
    <col min="11" max="11" width="24.1796875" style="22" customWidth="1"/>
    <col min="12" max="12" width="27.1796875" hidden="1" customWidth="1"/>
    <col min="13" max="13" width="41.36328125" style="25" hidden="1" customWidth="1"/>
    <col min="14" max="14" width="31" customWidth="1"/>
    <col min="15" max="15" width="200.26953125" customWidth="1"/>
  </cols>
  <sheetData>
    <row r="1" spans="1:15" s="36" customFormat="1" x14ac:dyDescent="0.35">
      <c r="A1" s="36" t="s">
        <v>337</v>
      </c>
      <c r="F1" s="37"/>
      <c r="G1" s="37"/>
      <c r="H1" s="37"/>
      <c r="I1" s="37"/>
      <c r="J1" s="37"/>
      <c r="K1" s="37"/>
      <c r="M1" s="38"/>
    </row>
    <row r="2" spans="1:15" x14ac:dyDescent="0.35">
      <c r="A2" s="33" t="s">
        <v>0</v>
      </c>
      <c r="B2" s="33" t="s">
        <v>26</v>
      </c>
      <c r="C2" s="33" t="s">
        <v>27</v>
      </c>
      <c r="D2" s="33" t="s">
        <v>28</v>
      </c>
      <c r="E2" s="33" t="s">
        <v>25</v>
      </c>
      <c r="F2" s="34" t="s">
        <v>332</v>
      </c>
      <c r="G2" s="34" t="s">
        <v>333</v>
      </c>
      <c r="H2" s="34" t="s">
        <v>341</v>
      </c>
      <c r="I2" s="34" t="s">
        <v>342</v>
      </c>
      <c r="J2" s="34" t="s">
        <v>343</v>
      </c>
      <c r="K2" s="34" t="s">
        <v>340</v>
      </c>
      <c r="L2" s="33" t="s">
        <v>29</v>
      </c>
      <c r="M2" s="35" t="s">
        <v>25</v>
      </c>
      <c r="N2" s="33" t="s">
        <v>334</v>
      </c>
    </row>
    <row r="3" spans="1:15" ht="284" customHeight="1" x14ac:dyDescent="0.35">
      <c r="A3" t="s">
        <v>2</v>
      </c>
      <c r="B3">
        <v>342</v>
      </c>
      <c r="C3">
        <v>236</v>
      </c>
      <c r="D3">
        <v>239.2</v>
      </c>
      <c r="E3" s="2"/>
      <c r="F3" s="21" t="s">
        <v>204</v>
      </c>
      <c r="G3" s="21" t="s">
        <v>259</v>
      </c>
      <c r="H3" s="21" t="s">
        <v>203</v>
      </c>
      <c r="I3" s="21" t="s">
        <v>170</v>
      </c>
      <c r="J3" s="21" t="s">
        <v>205</v>
      </c>
      <c r="K3" s="23"/>
      <c r="L3">
        <v>102.5</v>
      </c>
      <c r="M3" s="26"/>
    </row>
    <row r="4" spans="1:15" ht="178.5" customHeight="1" x14ac:dyDescent="0.35">
      <c r="A4" t="s">
        <v>3</v>
      </c>
      <c r="B4">
        <v>290</v>
      </c>
      <c r="C4">
        <v>216</v>
      </c>
      <c r="D4">
        <v>289.89999999999998</v>
      </c>
      <c r="E4" s="2"/>
      <c r="F4" s="21" t="s">
        <v>206</v>
      </c>
      <c r="G4" s="21" t="s">
        <v>207</v>
      </c>
      <c r="H4" s="21" t="s">
        <v>171</v>
      </c>
      <c r="I4" s="21"/>
      <c r="J4" s="21"/>
      <c r="K4" s="21"/>
      <c r="N4" s="2" t="s">
        <v>331</v>
      </c>
    </row>
    <row r="5" spans="1:15" ht="115.5" customHeight="1" x14ac:dyDescent="0.35">
      <c r="A5" t="s">
        <v>11</v>
      </c>
      <c r="B5">
        <v>25400</v>
      </c>
      <c r="C5">
        <v>32</v>
      </c>
      <c r="D5">
        <v>24199</v>
      </c>
      <c r="F5" s="21" t="s">
        <v>260</v>
      </c>
      <c r="M5" s="26"/>
      <c r="N5" s="2" t="s">
        <v>330</v>
      </c>
    </row>
    <row r="6" spans="1:15" ht="217.5" x14ac:dyDescent="0.35">
      <c r="A6" t="s">
        <v>12</v>
      </c>
      <c r="B6">
        <v>46304</v>
      </c>
      <c r="C6">
        <v>12.5</v>
      </c>
      <c r="D6">
        <v>30037</v>
      </c>
      <c r="E6" s="2"/>
      <c r="F6" s="21" t="s">
        <v>262</v>
      </c>
      <c r="G6" s="27" t="s">
        <v>261</v>
      </c>
      <c r="H6" s="21" t="s">
        <v>172</v>
      </c>
      <c r="I6" s="21"/>
      <c r="J6" s="21" t="s">
        <v>173</v>
      </c>
      <c r="K6" s="27" t="s">
        <v>263</v>
      </c>
      <c r="L6">
        <v>1995</v>
      </c>
      <c r="M6" s="26"/>
      <c r="N6" s="2" t="s">
        <v>329</v>
      </c>
    </row>
    <row r="7" spans="1:15" ht="217.5" x14ac:dyDescent="0.35">
      <c r="A7" t="s">
        <v>31</v>
      </c>
      <c r="D7" s="28">
        <v>0.8</v>
      </c>
      <c r="E7" s="2"/>
      <c r="F7" s="21" t="s">
        <v>265</v>
      </c>
      <c r="G7" s="27" t="s">
        <v>264</v>
      </c>
      <c r="H7" s="21"/>
      <c r="I7" s="21"/>
      <c r="J7" s="21"/>
      <c r="K7" s="21"/>
      <c r="M7" s="26"/>
      <c r="O7" s="7"/>
    </row>
    <row r="8" spans="1:15" ht="116" x14ac:dyDescent="0.35">
      <c r="A8" t="s">
        <v>4</v>
      </c>
      <c r="B8">
        <v>516</v>
      </c>
      <c r="C8">
        <v>589</v>
      </c>
      <c r="D8">
        <v>346</v>
      </c>
      <c r="E8" s="2"/>
      <c r="F8" s="21" t="s">
        <v>267</v>
      </c>
      <c r="G8" s="21" t="s">
        <v>266</v>
      </c>
      <c r="H8" s="21" t="s">
        <v>208</v>
      </c>
      <c r="I8" s="21"/>
      <c r="J8" s="21" t="s">
        <v>209</v>
      </c>
      <c r="K8" s="21"/>
      <c r="L8">
        <v>109</v>
      </c>
      <c r="M8" s="26"/>
      <c r="N8" s="2" t="s">
        <v>328</v>
      </c>
    </row>
    <row r="9" spans="1:15" ht="333.5" x14ac:dyDescent="0.35">
      <c r="A9" t="s">
        <v>6</v>
      </c>
      <c r="B9">
        <v>94.2</v>
      </c>
      <c r="C9">
        <v>107</v>
      </c>
      <c r="D9">
        <v>74.14</v>
      </c>
      <c r="E9" s="2" t="s">
        <v>174</v>
      </c>
      <c r="F9" s="21" t="s">
        <v>270</v>
      </c>
      <c r="G9" s="21" t="s">
        <v>268</v>
      </c>
      <c r="H9" s="21"/>
      <c r="I9" s="21" t="s">
        <v>210</v>
      </c>
      <c r="J9" s="21"/>
      <c r="K9" s="21"/>
      <c r="L9">
        <v>0.8</v>
      </c>
      <c r="M9" s="26"/>
      <c r="N9" s="2" t="s">
        <v>327</v>
      </c>
    </row>
    <row r="10" spans="1:15" ht="391.5" x14ac:dyDescent="0.35">
      <c r="A10" t="s">
        <v>7</v>
      </c>
      <c r="B10">
        <v>407</v>
      </c>
      <c r="C10">
        <v>522</v>
      </c>
      <c r="D10">
        <v>271</v>
      </c>
      <c r="E10" s="2"/>
      <c r="F10" s="21" t="s">
        <v>269</v>
      </c>
      <c r="G10" s="21" t="s">
        <v>271</v>
      </c>
      <c r="H10" s="21" t="s">
        <v>211</v>
      </c>
      <c r="I10" s="21" t="s">
        <v>175</v>
      </c>
      <c r="J10" s="21" t="s">
        <v>176</v>
      </c>
      <c r="K10" s="21"/>
      <c r="L10">
        <v>34</v>
      </c>
      <c r="M10" s="26"/>
      <c r="N10" s="2" t="s">
        <v>316</v>
      </c>
    </row>
    <row r="11" spans="1:15" ht="135" customHeight="1" x14ac:dyDescent="0.35">
      <c r="A11" t="s">
        <v>34</v>
      </c>
      <c r="D11">
        <v>31.547173921277999</v>
      </c>
      <c r="E11" s="8"/>
      <c r="F11" s="21" t="s">
        <v>212</v>
      </c>
      <c r="G11" s="21" t="s">
        <v>272</v>
      </c>
      <c r="H11" s="21"/>
      <c r="I11" s="21"/>
      <c r="J11" s="21"/>
      <c r="K11" s="21"/>
      <c r="M11" s="29"/>
      <c r="O11" s="2"/>
    </row>
    <row r="12" spans="1:15" ht="409.6" customHeight="1" x14ac:dyDescent="0.35">
      <c r="A12" t="s">
        <v>35</v>
      </c>
      <c r="D12">
        <v>44.007828496706203</v>
      </c>
      <c r="E12" s="2"/>
      <c r="F12" s="21" t="s">
        <v>274</v>
      </c>
      <c r="G12" s="21" t="s">
        <v>273</v>
      </c>
      <c r="H12" s="21" t="s">
        <v>177</v>
      </c>
      <c r="I12" s="21"/>
      <c r="J12" s="21"/>
      <c r="K12" s="21"/>
      <c r="M12" s="26"/>
      <c r="O12" s="2"/>
    </row>
    <row r="13" spans="1:15" ht="72.5" x14ac:dyDescent="0.35">
      <c r="A13" t="s">
        <v>5</v>
      </c>
      <c r="B13">
        <v>180</v>
      </c>
      <c r="C13">
        <v>205</v>
      </c>
      <c r="D13">
        <v>150</v>
      </c>
      <c r="E13" s="2"/>
      <c r="F13" s="21" t="s">
        <v>213</v>
      </c>
      <c r="G13" s="21" t="s">
        <v>275</v>
      </c>
      <c r="H13" s="21" t="s">
        <v>276</v>
      </c>
      <c r="I13" s="24" t="s">
        <v>178</v>
      </c>
      <c r="J13" s="21"/>
      <c r="K13" s="21"/>
      <c r="L13">
        <v>10</v>
      </c>
      <c r="M13" s="26"/>
      <c r="N13" s="2" t="s">
        <v>317</v>
      </c>
    </row>
    <row r="14" spans="1:15" ht="178.5" customHeight="1" x14ac:dyDescent="0.35">
      <c r="A14" t="s">
        <v>36</v>
      </c>
      <c r="B14">
        <v>16.600000000000001</v>
      </c>
      <c r="C14">
        <v>18.899999999999999</v>
      </c>
      <c r="D14">
        <v>61.1</v>
      </c>
      <c r="E14" s="2"/>
      <c r="F14" s="21" t="s">
        <v>277</v>
      </c>
      <c r="G14" s="21" t="s">
        <v>278</v>
      </c>
      <c r="H14" s="21" t="s">
        <v>214</v>
      </c>
      <c r="I14" s="21"/>
      <c r="J14" s="21"/>
      <c r="K14" s="21"/>
      <c r="L14">
        <v>4.5999999999999996</v>
      </c>
      <c r="M14" s="26"/>
      <c r="N14" s="2" t="s">
        <v>37</v>
      </c>
    </row>
    <row r="15" spans="1:15" ht="275.5" x14ac:dyDescent="0.35">
      <c r="A15" t="s">
        <v>10</v>
      </c>
      <c r="B15">
        <v>12.1</v>
      </c>
      <c r="C15">
        <v>13.8</v>
      </c>
      <c r="D15">
        <v>8.6999999999999993</v>
      </c>
      <c r="E15" s="2"/>
      <c r="F15" s="21" t="s">
        <v>279</v>
      </c>
      <c r="G15" s="21" t="s">
        <v>280</v>
      </c>
      <c r="H15" s="21" t="s">
        <v>179</v>
      </c>
      <c r="I15" s="24" t="s">
        <v>180</v>
      </c>
      <c r="J15" s="21" t="s">
        <v>215</v>
      </c>
      <c r="K15" s="21"/>
      <c r="L15">
        <v>1.2</v>
      </c>
      <c r="M15" s="26"/>
      <c r="N15" s="2" t="s">
        <v>318</v>
      </c>
    </row>
    <row r="16" spans="1:15" ht="409.5" customHeight="1" x14ac:dyDescent="0.35">
      <c r="A16" t="s">
        <v>9</v>
      </c>
      <c r="B16">
        <v>177</v>
      </c>
      <c r="C16">
        <v>25.2</v>
      </c>
      <c r="D16">
        <v>112.9</v>
      </c>
      <c r="E16" s="2"/>
      <c r="F16" s="21" t="s">
        <v>216</v>
      </c>
      <c r="G16" s="27" t="s">
        <v>281</v>
      </c>
      <c r="H16" s="21" t="s">
        <v>181</v>
      </c>
      <c r="I16" s="21"/>
      <c r="J16" s="21" t="s">
        <v>182</v>
      </c>
      <c r="K16" s="21"/>
      <c r="L16">
        <v>44.6</v>
      </c>
      <c r="M16" s="26"/>
      <c r="N16" s="2" t="s">
        <v>319</v>
      </c>
    </row>
    <row r="17" spans="1:14" ht="409.6" customHeight="1" x14ac:dyDescent="0.35">
      <c r="A17" t="s">
        <v>40</v>
      </c>
      <c r="B17">
        <v>5238</v>
      </c>
      <c r="C17">
        <v>5238</v>
      </c>
      <c r="D17">
        <v>4263</v>
      </c>
      <c r="E17" s="2" t="s">
        <v>185</v>
      </c>
      <c r="F17" s="21" t="s">
        <v>283</v>
      </c>
      <c r="G17" s="21" t="s">
        <v>282</v>
      </c>
      <c r="H17" s="21" t="s">
        <v>217</v>
      </c>
      <c r="I17" s="24"/>
      <c r="J17" s="21" t="s">
        <v>183</v>
      </c>
      <c r="K17" s="21" t="s">
        <v>184</v>
      </c>
      <c r="L17">
        <v>378</v>
      </c>
      <c r="M17" s="26" t="s">
        <v>284</v>
      </c>
      <c r="N17" s="2" t="s">
        <v>320</v>
      </c>
    </row>
    <row r="19" spans="1:14" s="39" customFormat="1" x14ac:dyDescent="0.35">
      <c r="A19" s="39" t="s">
        <v>336</v>
      </c>
      <c r="F19" s="40"/>
      <c r="G19" s="40"/>
      <c r="H19" s="40"/>
      <c r="I19" s="40"/>
      <c r="J19" s="40"/>
      <c r="K19" s="40"/>
      <c r="M19" s="41"/>
    </row>
    <row r="20" spans="1:14" x14ac:dyDescent="0.35">
      <c r="A20" s="33" t="s">
        <v>0</v>
      </c>
      <c r="B20" s="33" t="s">
        <v>26</v>
      </c>
      <c r="C20" s="33" t="s">
        <v>27</v>
      </c>
      <c r="D20" s="33" t="s">
        <v>28</v>
      </c>
      <c r="E20" s="33" t="s">
        <v>25</v>
      </c>
      <c r="F20" s="34" t="s">
        <v>332</v>
      </c>
      <c r="G20" s="34" t="s">
        <v>333</v>
      </c>
      <c r="H20" s="34" t="s">
        <v>167</v>
      </c>
      <c r="I20" s="34" t="s">
        <v>335</v>
      </c>
      <c r="J20" s="34" t="s">
        <v>168</v>
      </c>
      <c r="K20" s="34" t="s">
        <v>169</v>
      </c>
      <c r="L20" s="33" t="s">
        <v>29</v>
      </c>
      <c r="M20" s="35" t="s">
        <v>25</v>
      </c>
      <c r="N20" s="33" t="s">
        <v>334</v>
      </c>
    </row>
    <row r="21" spans="1:14" s="2" customFormat="1" ht="188.5" x14ac:dyDescent="0.35">
      <c r="A21" s="19" t="s">
        <v>58</v>
      </c>
      <c r="B21" s="2">
        <v>222</v>
      </c>
      <c r="C21" s="2">
        <v>253</v>
      </c>
      <c r="D21" s="2">
        <v>155.4</v>
      </c>
      <c r="F21" s="21" t="s">
        <v>218</v>
      </c>
      <c r="G21" s="21" t="s">
        <v>285</v>
      </c>
      <c r="H21" s="21" t="s">
        <v>186</v>
      </c>
      <c r="I21" s="21"/>
      <c r="J21" s="21" t="s">
        <v>219</v>
      </c>
      <c r="K21" s="21"/>
      <c r="L21" s="2">
        <v>32.6</v>
      </c>
      <c r="M21" s="26"/>
      <c r="N21" s="2" t="s">
        <v>321</v>
      </c>
    </row>
    <row r="22" spans="1:14" s="2" customFormat="1" ht="348" x14ac:dyDescent="0.35">
      <c r="A22" s="19" t="s">
        <v>59</v>
      </c>
      <c r="B22" s="2">
        <v>90100</v>
      </c>
      <c r="C22" s="2">
        <v>844</v>
      </c>
      <c r="D22" s="2">
        <v>78900</v>
      </c>
      <c r="F22" s="21" t="s">
        <v>220</v>
      </c>
      <c r="G22" s="21" t="s">
        <v>286</v>
      </c>
      <c r="H22" s="21" t="s">
        <v>221</v>
      </c>
      <c r="I22" s="21"/>
      <c r="J22" s="21" t="s">
        <v>222</v>
      </c>
      <c r="K22" s="21" t="s">
        <v>223</v>
      </c>
      <c r="M22" s="26"/>
      <c r="N22" s="2" t="s">
        <v>322</v>
      </c>
    </row>
    <row r="23" spans="1:14" s="2" customFormat="1" ht="406" x14ac:dyDescent="0.35">
      <c r="A23" s="19" t="s">
        <v>60</v>
      </c>
      <c r="B23" s="2">
        <v>123700</v>
      </c>
      <c r="C23" s="2">
        <v>105</v>
      </c>
      <c r="D23" s="2">
        <v>106200</v>
      </c>
      <c r="F23" s="21" t="s">
        <v>288</v>
      </c>
      <c r="G23" s="21" t="s">
        <v>287</v>
      </c>
      <c r="H23" s="21" t="s">
        <v>224</v>
      </c>
      <c r="I23" s="21"/>
      <c r="J23" s="21" t="s">
        <v>338</v>
      </c>
      <c r="K23" s="21" t="s">
        <v>339</v>
      </c>
      <c r="L23" s="2">
        <v>3400</v>
      </c>
      <c r="M23" s="26"/>
    </row>
    <row r="24" spans="1:14" s="2" customFormat="1" ht="87" x14ac:dyDescent="0.35">
      <c r="A24" s="19" t="s">
        <v>61</v>
      </c>
      <c r="B24" s="2">
        <v>151</v>
      </c>
      <c r="C24" s="2">
        <v>7</v>
      </c>
      <c r="D24" s="2">
        <v>48</v>
      </c>
      <c r="E24" s="20"/>
      <c r="F24" s="21" t="s">
        <v>188</v>
      </c>
      <c r="G24" s="21" t="s">
        <v>225</v>
      </c>
      <c r="H24" s="21" t="s">
        <v>187</v>
      </c>
      <c r="I24" s="21" t="s">
        <v>189</v>
      </c>
      <c r="J24" s="21"/>
      <c r="K24" s="21"/>
      <c r="M24" s="26"/>
      <c r="N24" s="2" t="s">
        <v>323</v>
      </c>
    </row>
    <row r="25" spans="1:14" s="2" customFormat="1" ht="130.5" x14ac:dyDescent="0.35">
      <c r="A25" s="2" t="s">
        <v>62</v>
      </c>
      <c r="F25" s="27" t="s">
        <v>289</v>
      </c>
      <c r="G25" s="21" t="s">
        <v>290</v>
      </c>
      <c r="H25" s="21" t="s">
        <v>226</v>
      </c>
      <c r="I25" s="21" t="s">
        <v>190</v>
      </c>
      <c r="J25" s="21" t="s">
        <v>291</v>
      </c>
      <c r="K25" s="21"/>
      <c r="M25" s="26"/>
    </row>
    <row r="26" spans="1:14" s="2" customFormat="1" ht="290" x14ac:dyDescent="0.35">
      <c r="A26" s="2" t="s">
        <v>63</v>
      </c>
      <c r="B26" s="2">
        <v>37</v>
      </c>
      <c r="C26" s="2">
        <v>42</v>
      </c>
      <c r="D26" s="2">
        <v>23.4</v>
      </c>
      <c r="F26" s="21" t="s">
        <v>292</v>
      </c>
      <c r="G26" s="21" t="s">
        <v>293</v>
      </c>
      <c r="H26" s="21" t="s">
        <v>227</v>
      </c>
      <c r="I26" s="21"/>
      <c r="J26" s="21"/>
      <c r="K26" s="21"/>
      <c r="L26" s="2">
        <v>4.2</v>
      </c>
      <c r="M26" s="26"/>
    </row>
    <row r="27" spans="1:14" s="2" customFormat="1" ht="409.5" x14ac:dyDescent="0.35">
      <c r="A27" s="19" t="s">
        <v>64</v>
      </c>
      <c r="B27" s="2">
        <v>523</v>
      </c>
      <c r="C27" s="2">
        <v>23</v>
      </c>
      <c r="D27" s="2">
        <v>375</v>
      </c>
      <c r="F27" s="21" t="s">
        <v>295</v>
      </c>
      <c r="G27" s="21" t="s">
        <v>296</v>
      </c>
      <c r="H27" s="21" t="s">
        <v>294</v>
      </c>
      <c r="I27" s="21" t="s">
        <v>191</v>
      </c>
      <c r="J27" s="27" t="s">
        <v>297</v>
      </c>
      <c r="K27" s="21"/>
      <c r="M27" s="26"/>
      <c r="N27" s="2" t="s">
        <v>324</v>
      </c>
    </row>
    <row r="28" spans="1:14" s="2" customFormat="1" ht="130.5" customHeight="1" x14ac:dyDescent="0.35">
      <c r="A28" s="19" t="s">
        <v>65</v>
      </c>
      <c r="B28" s="2">
        <v>79.5</v>
      </c>
      <c r="C28" s="2">
        <v>12</v>
      </c>
      <c r="D28" s="2">
        <v>80</v>
      </c>
      <c r="F28" s="21" t="s">
        <v>194</v>
      </c>
      <c r="G28" s="21" t="s">
        <v>192</v>
      </c>
      <c r="H28" s="21" t="s">
        <v>193</v>
      </c>
      <c r="I28" s="21"/>
      <c r="J28" s="21" t="s">
        <v>228</v>
      </c>
      <c r="K28" s="21"/>
      <c r="M28" s="26"/>
      <c r="N28" s="2" t="s">
        <v>325</v>
      </c>
    </row>
    <row r="29" spans="1:14" s="2" customFormat="1" ht="188.5" x14ac:dyDescent="0.35">
      <c r="A29" s="2" t="s">
        <v>66</v>
      </c>
      <c r="C29" s="2">
        <v>1.5871</v>
      </c>
      <c r="D29" s="2">
        <v>1.1520999999999999</v>
      </c>
      <c r="F29" s="21" t="s">
        <v>229</v>
      </c>
      <c r="G29" s="21" t="s">
        <v>230</v>
      </c>
      <c r="H29" s="21" t="s">
        <v>298</v>
      </c>
      <c r="I29" s="21"/>
      <c r="J29" s="21" t="s">
        <v>231</v>
      </c>
      <c r="K29" s="21" t="s">
        <v>195</v>
      </c>
      <c r="M29" s="26"/>
    </row>
    <row r="30" spans="1:14" s="2" customFormat="1" ht="358" customHeight="1" x14ac:dyDescent="0.35">
      <c r="A30" s="2" t="s">
        <v>67</v>
      </c>
      <c r="B30" s="2">
        <v>11.3</v>
      </c>
      <c r="C30" s="2">
        <v>12.9</v>
      </c>
      <c r="D30" s="2">
        <v>6.1</v>
      </c>
      <c r="F30" s="21" t="s">
        <v>232</v>
      </c>
      <c r="G30" s="21"/>
      <c r="H30" s="21" t="s">
        <v>299</v>
      </c>
      <c r="I30" s="21" t="s">
        <v>196</v>
      </c>
      <c r="J30" s="21" t="s">
        <v>197</v>
      </c>
      <c r="K30" s="21"/>
      <c r="L30" s="2">
        <v>1.1000000000000001</v>
      </c>
      <c r="M30" s="26"/>
      <c r="N30" s="2" t="s">
        <v>326</v>
      </c>
    </row>
    <row r="31" spans="1:14" s="2" customFormat="1" ht="157" customHeight="1" x14ac:dyDescent="0.35">
      <c r="A31" s="2" t="s">
        <v>68</v>
      </c>
      <c r="C31" s="2">
        <v>2.2042000000000002</v>
      </c>
      <c r="D31" s="2">
        <v>2.0792999999999999</v>
      </c>
      <c r="F31" s="21" t="s">
        <v>233</v>
      </c>
      <c r="G31" s="21" t="s">
        <v>300</v>
      </c>
      <c r="H31" s="21" t="s">
        <v>198</v>
      </c>
      <c r="I31" s="21"/>
      <c r="J31" s="21" t="s">
        <v>199</v>
      </c>
      <c r="K31" s="21"/>
      <c r="M31" s="26"/>
    </row>
    <row r="32" spans="1:14" s="2" customFormat="1" ht="252" customHeight="1" x14ac:dyDescent="0.35">
      <c r="A32" s="2" t="s">
        <v>69</v>
      </c>
      <c r="D32" s="2">
        <v>69</v>
      </c>
      <c r="F32" s="21" t="s">
        <v>301</v>
      </c>
      <c r="G32" s="21" t="s">
        <v>302</v>
      </c>
      <c r="H32" s="21"/>
      <c r="I32" s="21"/>
      <c r="J32" s="21" t="s">
        <v>200</v>
      </c>
      <c r="K32" s="21"/>
      <c r="M32" s="26"/>
    </row>
    <row r="33" spans="1:13" s="2" customFormat="1" ht="188.5" customHeight="1" x14ac:dyDescent="0.35">
      <c r="A33" s="2" t="s">
        <v>70</v>
      </c>
      <c r="F33" s="21" t="s">
        <v>234</v>
      </c>
      <c r="G33" s="21" t="s">
        <v>235</v>
      </c>
      <c r="H33" s="21"/>
      <c r="I33" s="21"/>
      <c r="J33" s="21"/>
      <c r="K33" s="21"/>
      <c r="M33" s="26"/>
    </row>
    <row r="34" spans="1:13" s="2" customFormat="1" ht="213" customHeight="1" x14ac:dyDescent="0.35">
      <c r="A34" s="2" t="s">
        <v>71</v>
      </c>
      <c r="F34" s="21" t="s">
        <v>236</v>
      </c>
      <c r="G34" s="21" t="s">
        <v>237</v>
      </c>
      <c r="H34" s="21" t="s">
        <v>238</v>
      </c>
      <c r="I34" s="21"/>
      <c r="J34" s="21" t="s">
        <v>303</v>
      </c>
      <c r="K34" s="21"/>
      <c r="M34" s="26"/>
    </row>
    <row r="35" spans="1:13" s="2" customFormat="1" ht="319.5" customHeight="1" x14ac:dyDescent="0.35">
      <c r="A35" s="2" t="s">
        <v>72</v>
      </c>
      <c r="F35" s="21" t="s">
        <v>239</v>
      </c>
      <c r="G35" s="21" t="s">
        <v>240</v>
      </c>
      <c r="H35" s="21" t="s">
        <v>304</v>
      </c>
      <c r="I35" s="21"/>
      <c r="J35" s="21" t="s">
        <v>241</v>
      </c>
      <c r="K35" s="21"/>
      <c r="M35" s="26"/>
    </row>
    <row r="36" spans="1:13" s="2" customFormat="1" ht="297" customHeight="1" x14ac:dyDescent="0.35">
      <c r="A36" s="2" t="s">
        <v>73</v>
      </c>
      <c r="B36" s="2">
        <v>62.1</v>
      </c>
      <c r="C36" s="2">
        <v>40</v>
      </c>
      <c r="D36" s="2">
        <v>48.4</v>
      </c>
      <c r="F36" s="21" t="s">
        <v>242</v>
      </c>
      <c r="G36" s="21" t="s">
        <v>305</v>
      </c>
      <c r="H36" s="21" t="s">
        <v>243</v>
      </c>
      <c r="I36" s="21"/>
      <c r="J36" s="21" t="s">
        <v>244</v>
      </c>
      <c r="K36" s="21" t="s">
        <v>245</v>
      </c>
      <c r="L36" s="2">
        <v>8.6</v>
      </c>
      <c r="M36" s="26"/>
    </row>
    <row r="37" spans="1:13" s="2" customFormat="1" ht="290" x14ac:dyDescent="0.35">
      <c r="A37" s="2" t="s">
        <v>74</v>
      </c>
      <c r="B37" s="2">
        <v>225</v>
      </c>
      <c r="C37" s="2">
        <v>24</v>
      </c>
      <c r="D37" s="2">
        <v>200.5</v>
      </c>
      <c r="F37" s="21" t="s">
        <v>246</v>
      </c>
      <c r="G37" s="21" t="s">
        <v>306</v>
      </c>
      <c r="H37" s="27" t="s">
        <v>307</v>
      </c>
      <c r="I37" s="21"/>
      <c r="J37" s="21"/>
      <c r="K37" s="21"/>
      <c r="M37" s="26"/>
    </row>
    <row r="38" spans="1:13" s="2" customFormat="1" ht="162.5" customHeight="1" x14ac:dyDescent="0.35">
      <c r="A38" s="2" t="s">
        <v>75</v>
      </c>
      <c r="D38" s="2">
        <v>3.4</v>
      </c>
      <c r="F38" s="21" t="s">
        <v>247</v>
      </c>
      <c r="G38" s="21" t="s">
        <v>308</v>
      </c>
      <c r="H38" s="21" t="s">
        <v>248</v>
      </c>
      <c r="I38" s="21"/>
      <c r="J38" s="21"/>
      <c r="K38" s="21"/>
      <c r="M38" s="26"/>
    </row>
    <row r="39" spans="1:13" s="2" customFormat="1" ht="246.5" x14ac:dyDescent="0.35">
      <c r="A39" s="2" t="s">
        <v>76</v>
      </c>
      <c r="F39" s="21" t="s">
        <v>309</v>
      </c>
      <c r="G39" s="21" t="s">
        <v>310</v>
      </c>
      <c r="H39" s="21" t="s">
        <v>249</v>
      </c>
      <c r="I39" s="21"/>
      <c r="J39" s="21" t="s">
        <v>201</v>
      </c>
      <c r="K39" s="21"/>
      <c r="M39" s="26"/>
    </row>
    <row r="40" spans="1:13" s="2" customFormat="1" ht="130.5" x14ac:dyDescent="0.35">
      <c r="A40" s="19" t="s">
        <v>77</v>
      </c>
      <c r="B40" s="2">
        <v>207</v>
      </c>
      <c r="C40" s="2">
        <v>22</v>
      </c>
      <c r="D40" s="2">
        <v>136</v>
      </c>
      <c r="F40" s="21" t="s">
        <v>250</v>
      </c>
      <c r="G40" s="21" t="s">
        <v>251</v>
      </c>
      <c r="H40" s="21" t="s">
        <v>311</v>
      </c>
      <c r="I40" s="21"/>
      <c r="J40" s="21" t="s">
        <v>252</v>
      </c>
      <c r="K40" s="21"/>
      <c r="L40" s="2">
        <v>33</v>
      </c>
      <c r="M40" s="26"/>
    </row>
    <row r="41" spans="1:13" s="2" customFormat="1" ht="103" customHeight="1" x14ac:dyDescent="0.35">
      <c r="A41" s="19" t="s">
        <v>78</v>
      </c>
      <c r="B41" s="2">
        <v>56</v>
      </c>
      <c r="C41" s="2">
        <v>59</v>
      </c>
      <c r="D41" s="2">
        <v>48.6</v>
      </c>
      <c r="F41" s="21" t="s">
        <v>202</v>
      </c>
      <c r="G41" s="21" t="s">
        <v>254</v>
      </c>
      <c r="H41" s="21" t="s">
        <v>253</v>
      </c>
      <c r="I41" s="21"/>
      <c r="J41" s="21"/>
      <c r="K41" s="21"/>
      <c r="M41" s="26"/>
    </row>
    <row r="42" spans="1:13" s="2" customFormat="1" ht="388.5" customHeight="1" x14ac:dyDescent="0.35">
      <c r="A42" s="2" t="s">
        <v>79</v>
      </c>
      <c r="F42" s="21" t="s">
        <v>255</v>
      </c>
      <c r="G42" s="21" t="s">
        <v>312</v>
      </c>
      <c r="H42" s="21" t="s">
        <v>256</v>
      </c>
      <c r="I42" s="21"/>
      <c r="J42" s="21"/>
      <c r="K42" s="21"/>
      <c r="M42" s="26" t="s">
        <v>313</v>
      </c>
    </row>
    <row r="43" spans="1:13" s="2" customFormat="1" ht="174" x14ac:dyDescent="0.35">
      <c r="A43" s="19" t="s">
        <v>80</v>
      </c>
      <c r="B43" s="2">
        <v>150</v>
      </c>
      <c r="C43" s="2">
        <v>39</v>
      </c>
      <c r="D43" s="2">
        <v>114.8</v>
      </c>
      <c r="F43" s="21"/>
      <c r="G43" s="21" t="s">
        <v>315</v>
      </c>
      <c r="H43" s="21" t="s">
        <v>314</v>
      </c>
      <c r="I43" s="21"/>
      <c r="J43" s="21"/>
      <c r="K43" s="21"/>
      <c r="L43" s="2">
        <v>20.7</v>
      </c>
      <c r="M43" s="26"/>
    </row>
  </sheetData>
  <pageMargins left="0.7" right="0.7" top="0.78740157499999996" bottom="0.78740157499999996"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zoomScale="168" workbookViewId="0">
      <selection activeCell="B2" sqref="B2"/>
    </sheetView>
  </sheetViews>
  <sheetFormatPr baseColWidth="10" defaultColWidth="8.7265625" defaultRowHeight="14.5" x14ac:dyDescent="0.35"/>
  <sheetData>
    <row r="1" spans="1:2" x14ac:dyDescent="0.35">
      <c r="A1" s="1" t="s">
        <v>0</v>
      </c>
      <c r="B1" s="1" t="s">
        <v>1</v>
      </c>
    </row>
    <row r="2" spans="1:2" x14ac:dyDescent="0.35">
      <c r="A2" t="s">
        <v>2</v>
      </c>
      <c r="B2" t="s">
        <v>13</v>
      </c>
    </row>
    <row r="3" spans="1:2" x14ac:dyDescent="0.35">
      <c r="A3" t="s">
        <v>3</v>
      </c>
      <c r="B3" t="s">
        <v>14</v>
      </c>
    </row>
    <row r="4" spans="1:2" x14ac:dyDescent="0.35">
      <c r="A4" t="s">
        <v>4</v>
      </c>
      <c r="B4" t="s">
        <v>15</v>
      </c>
    </row>
    <row r="5" spans="1:2" x14ac:dyDescent="0.35">
      <c r="A5" t="s">
        <v>5</v>
      </c>
      <c r="B5" t="s">
        <v>16</v>
      </c>
    </row>
    <row r="6" spans="1:2" x14ac:dyDescent="0.35">
      <c r="A6" t="s">
        <v>6</v>
      </c>
      <c r="B6" t="s">
        <v>17</v>
      </c>
    </row>
    <row r="7" spans="1:2" x14ac:dyDescent="0.35">
      <c r="A7" t="s">
        <v>7</v>
      </c>
      <c r="B7" t="s">
        <v>18</v>
      </c>
    </row>
    <row r="8" spans="1:2" x14ac:dyDescent="0.35">
      <c r="A8" t="s">
        <v>8</v>
      </c>
      <c r="B8" t="s">
        <v>19</v>
      </c>
    </row>
    <row r="9" spans="1:2" x14ac:dyDescent="0.35">
      <c r="A9" t="s">
        <v>9</v>
      </c>
      <c r="B9" t="s">
        <v>20</v>
      </c>
    </row>
    <row r="10" spans="1:2" x14ac:dyDescent="0.35">
      <c r="A10" t="s">
        <v>10</v>
      </c>
      <c r="B10" t="s">
        <v>21</v>
      </c>
    </row>
    <row r="11" spans="1:2" x14ac:dyDescent="0.35">
      <c r="A11" t="s">
        <v>11</v>
      </c>
      <c r="B11" t="s">
        <v>22</v>
      </c>
    </row>
    <row r="12" spans="1:2" x14ac:dyDescent="0.35">
      <c r="A12" t="s">
        <v>12</v>
      </c>
      <c r="B12" t="s">
        <v>23</v>
      </c>
    </row>
    <row r="14" spans="1:2" x14ac:dyDescent="0.35">
      <c r="A1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B782-009C-4547-9D76-E2CA476A3F60}">
  <dimension ref="A1:K44"/>
  <sheetViews>
    <sheetView topLeftCell="A40" zoomScale="77" zoomScaleNormal="120" workbookViewId="0">
      <selection activeCell="A21" sqref="A21:H44"/>
    </sheetView>
  </sheetViews>
  <sheetFormatPr baseColWidth="10" defaultRowHeight="14.5" x14ac:dyDescent="0.35"/>
  <cols>
    <col min="1" max="1" width="15.54296875" customWidth="1"/>
    <col min="2" max="3" width="19" customWidth="1"/>
    <col min="4" max="4" width="29.1796875" customWidth="1"/>
    <col min="5" max="5" width="89.90625" customWidth="1"/>
    <col min="6" max="6" width="11.453125" customWidth="1"/>
    <col min="7" max="7" width="25.453125" customWidth="1"/>
    <col min="8" max="8" width="41.36328125" customWidth="1"/>
    <col min="9" max="9" width="29" customWidth="1"/>
    <col min="10" max="10" width="31" customWidth="1"/>
    <col min="11" max="11" width="200.26953125" customWidth="1"/>
  </cols>
  <sheetData>
    <row r="1" spans="1:11" x14ac:dyDescent="0.35">
      <c r="A1" t="s">
        <v>0</v>
      </c>
      <c r="B1" t="s">
        <v>26</v>
      </c>
      <c r="C1" t="s">
        <v>27</v>
      </c>
      <c r="D1" t="s">
        <v>28</v>
      </c>
      <c r="E1" t="s">
        <v>257</v>
      </c>
      <c r="G1" t="s">
        <v>29</v>
      </c>
      <c r="H1" t="s">
        <v>258</v>
      </c>
      <c r="I1" t="s">
        <v>30</v>
      </c>
      <c r="J1" t="s">
        <v>25</v>
      </c>
    </row>
    <row r="3" spans="1:11" ht="409.5" customHeight="1" x14ac:dyDescent="0.35">
      <c r="A3" t="s">
        <v>2</v>
      </c>
      <c r="B3">
        <v>342</v>
      </c>
      <c r="C3">
        <v>236</v>
      </c>
      <c r="D3">
        <v>239.2</v>
      </c>
      <c r="E3" s="2" t="s">
        <v>85</v>
      </c>
      <c r="F3" s="2"/>
      <c r="G3">
        <v>102.5</v>
      </c>
      <c r="H3" s="2" t="s">
        <v>84</v>
      </c>
    </row>
    <row r="4" spans="1:11" ht="174" x14ac:dyDescent="0.35">
      <c r="A4" t="s">
        <v>3</v>
      </c>
      <c r="B4">
        <v>290</v>
      </c>
      <c r="C4">
        <v>216</v>
      </c>
      <c r="D4">
        <v>289.89999999999998</v>
      </c>
      <c r="E4" s="2" t="s">
        <v>86</v>
      </c>
      <c r="F4" s="2"/>
      <c r="I4">
        <v>85</v>
      </c>
      <c r="J4" s="2" t="s">
        <v>87</v>
      </c>
    </row>
    <row r="5" spans="1:11" ht="87" x14ac:dyDescent="0.35">
      <c r="A5" t="s">
        <v>11</v>
      </c>
      <c r="B5">
        <v>25400</v>
      </c>
      <c r="C5">
        <v>32</v>
      </c>
      <c r="D5">
        <v>24199</v>
      </c>
      <c r="E5" t="s">
        <v>89</v>
      </c>
      <c r="H5" s="2" t="s">
        <v>88</v>
      </c>
      <c r="I5">
        <v>3204</v>
      </c>
      <c r="J5" s="2" t="s">
        <v>90</v>
      </c>
    </row>
    <row r="6" spans="1:11" ht="232" x14ac:dyDescent="0.35">
      <c r="A6" t="s">
        <v>12</v>
      </c>
      <c r="B6">
        <v>46304</v>
      </c>
      <c r="C6">
        <v>12.5</v>
      </c>
      <c r="D6">
        <v>30037</v>
      </c>
      <c r="E6" s="2" t="s">
        <v>91</v>
      </c>
      <c r="F6" s="2"/>
      <c r="G6">
        <v>1995</v>
      </c>
      <c r="H6" s="2" t="s">
        <v>92</v>
      </c>
      <c r="I6">
        <v>1780</v>
      </c>
      <c r="J6" s="2" t="s">
        <v>93</v>
      </c>
    </row>
    <row r="7" spans="1:11" s="3" customFormat="1" ht="333.5" x14ac:dyDescent="0.35">
      <c r="A7" s="3" t="s">
        <v>31</v>
      </c>
      <c r="D7" s="4">
        <v>0.8</v>
      </c>
      <c r="E7" s="5" t="s">
        <v>94</v>
      </c>
      <c r="F7" s="5"/>
      <c r="H7" s="5" t="s">
        <v>94</v>
      </c>
      <c r="K7" s="7" t="s">
        <v>95</v>
      </c>
    </row>
    <row r="8" spans="1:11" ht="87" x14ac:dyDescent="0.35">
      <c r="A8" t="s">
        <v>4</v>
      </c>
      <c r="B8">
        <v>516</v>
      </c>
      <c r="C8">
        <v>589</v>
      </c>
      <c r="D8">
        <v>346</v>
      </c>
      <c r="E8" s="2" t="s">
        <v>98</v>
      </c>
      <c r="F8" s="2"/>
      <c r="G8">
        <v>109</v>
      </c>
      <c r="H8" s="2" t="s">
        <v>96</v>
      </c>
      <c r="I8">
        <v>7</v>
      </c>
      <c r="J8" s="2" t="s">
        <v>97</v>
      </c>
    </row>
    <row r="9" spans="1:11" ht="217.5" x14ac:dyDescent="0.35">
      <c r="A9" t="s">
        <v>6</v>
      </c>
      <c r="B9">
        <v>94.2</v>
      </c>
      <c r="C9">
        <v>107</v>
      </c>
      <c r="D9">
        <v>74.14</v>
      </c>
      <c r="E9" s="2" t="s">
        <v>99</v>
      </c>
      <c r="F9" s="2"/>
      <c r="G9">
        <v>0.8</v>
      </c>
      <c r="H9" s="2" t="s">
        <v>101</v>
      </c>
      <c r="I9">
        <v>0.1</v>
      </c>
      <c r="J9" s="2" t="s">
        <v>100</v>
      </c>
    </row>
    <row r="10" spans="1:11" ht="391.5" x14ac:dyDescent="0.35">
      <c r="A10" t="s">
        <v>7</v>
      </c>
      <c r="B10">
        <v>407</v>
      </c>
      <c r="C10">
        <v>522</v>
      </c>
      <c r="D10">
        <v>271</v>
      </c>
      <c r="E10" s="2" t="s">
        <v>102</v>
      </c>
      <c r="F10" s="2"/>
      <c r="G10">
        <v>34</v>
      </c>
      <c r="H10" s="2" t="s">
        <v>103</v>
      </c>
      <c r="I10">
        <v>12.5</v>
      </c>
      <c r="J10" s="2" t="s">
        <v>33</v>
      </c>
    </row>
    <row r="11" spans="1:11" s="3" customFormat="1" ht="137" customHeight="1" x14ac:dyDescent="0.35">
      <c r="A11" s="3" t="s">
        <v>34</v>
      </c>
      <c r="D11" s="3">
        <v>31.547173921277999</v>
      </c>
      <c r="E11" s="6" t="s">
        <v>104</v>
      </c>
      <c r="F11" s="6"/>
      <c r="H11" s="6" t="s">
        <v>105</v>
      </c>
      <c r="I11" s="3">
        <v>1.9401791609025001</v>
      </c>
      <c r="K11" s="5" t="s">
        <v>42</v>
      </c>
    </row>
    <row r="12" spans="1:11" s="3" customFormat="1" ht="409.6" customHeight="1" x14ac:dyDescent="0.35">
      <c r="A12" s="3" t="s">
        <v>35</v>
      </c>
      <c r="D12" s="3">
        <v>44.007828496706203</v>
      </c>
      <c r="E12" s="5" t="s">
        <v>109</v>
      </c>
      <c r="F12" s="5"/>
      <c r="H12" s="5" t="s">
        <v>110</v>
      </c>
      <c r="I12" s="3">
        <v>3.3097173921278</v>
      </c>
      <c r="K12" s="5" t="s">
        <v>106</v>
      </c>
    </row>
    <row r="13" spans="1:11" ht="58" x14ac:dyDescent="0.35">
      <c r="A13" t="s">
        <v>5</v>
      </c>
      <c r="B13">
        <v>180</v>
      </c>
      <c r="C13">
        <v>205</v>
      </c>
      <c r="D13">
        <v>150</v>
      </c>
      <c r="E13" s="2" t="s">
        <v>107</v>
      </c>
      <c r="F13" s="2"/>
      <c r="G13">
        <v>10</v>
      </c>
      <c r="H13" s="2" t="s">
        <v>108</v>
      </c>
      <c r="I13">
        <v>7</v>
      </c>
      <c r="J13" s="2" t="s">
        <v>32</v>
      </c>
    </row>
    <row r="14" spans="1:11" ht="159.5" x14ac:dyDescent="0.35">
      <c r="A14" t="s">
        <v>36</v>
      </c>
      <c r="B14">
        <v>16.600000000000001</v>
      </c>
      <c r="C14">
        <v>18.899999999999999</v>
      </c>
      <c r="D14">
        <v>61.1</v>
      </c>
      <c r="E14" s="2" t="s">
        <v>111</v>
      </c>
      <c r="F14" s="2"/>
      <c r="G14">
        <v>4.5999999999999996</v>
      </c>
      <c r="H14" s="2" t="s">
        <v>112</v>
      </c>
      <c r="I14">
        <v>12</v>
      </c>
      <c r="J14" s="2" t="s">
        <v>37</v>
      </c>
    </row>
    <row r="15" spans="1:11" ht="232" x14ac:dyDescent="0.35">
      <c r="A15" t="s">
        <v>10</v>
      </c>
      <c r="B15">
        <v>12.1</v>
      </c>
      <c r="C15">
        <v>13.8</v>
      </c>
      <c r="D15">
        <v>8.6999999999999993</v>
      </c>
      <c r="E15" s="2" t="s">
        <v>113</v>
      </c>
      <c r="F15" s="2"/>
      <c r="G15">
        <v>1.2</v>
      </c>
      <c r="H15" s="2" t="s">
        <v>114</v>
      </c>
      <c r="I15">
        <v>1.1000000000000001</v>
      </c>
      <c r="J15" s="2" t="s">
        <v>38</v>
      </c>
    </row>
    <row r="16" spans="1:11" ht="394.5" customHeight="1" x14ac:dyDescent="0.35">
      <c r="A16" t="s">
        <v>9</v>
      </c>
      <c r="B16">
        <v>177</v>
      </c>
      <c r="C16">
        <v>25.2</v>
      </c>
      <c r="D16">
        <v>112.9</v>
      </c>
      <c r="E16" s="2" t="s">
        <v>115</v>
      </c>
      <c r="F16" s="2"/>
      <c r="G16">
        <v>44.6</v>
      </c>
      <c r="H16" s="2" t="s">
        <v>116</v>
      </c>
      <c r="I16">
        <v>70.2</v>
      </c>
      <c r="J16" s="2" t="s">
        <v>39</v>
      </c>
    </row>
    <row r="17" spans="1:10" ht="391.5" x14ac:dyDescent="0.35">
      <c r="A17" t="s">
        <v>40</v>
      </c>
      <c r="B17">
        <v>5238</v>
      </c>
      <c r="C17">
        <v>5238</v>
      </c>
      <c r="D17">
        <v>4263</v>
      </c>
      <c r="E17" s="2" t="s">
        <v>117</v>
      </c>
      <c r="F17" s="2"/>
      <c r="G17">
        <v>378</v>
      </c>
      <c r="H17" s="2" t="s">
        <v>118</v>
      </c>
      <c r="I17">
        <v>18</v>
      </c>
      <c r="J17" s="2" t="s">
        <v>41</v>
      </c>
    </row>
    <row r="21" spans="1:10" x14ac:dyDescent="0.35">
      <c r="A21" t="s">
        <v>0</v>
      </c>
      <c r="B21" t="s">
        <v>26</v>
      </c>
      <c r="C21" t="s">
        <v>27</v>
      </c>
      <c r="D21" t="s">
        <v>28</v>
      </c>
      <c r="E21" t="s">
        <v>257</v>
      </c>
      <c r="G21" t="s">
        <v>29</v>
      </c>
      <c r="H21" t="s">
        <v>258</v>
      </c>
      <c r="I21" t="s">
        <v>30</v>
      </c>
      <c r="J21" t="s">
        <v>25</v>
      </c>
    </row>
    <row r="22" spans="1:10" s="2" customFormat="1" ht="116" x14ac:dyDescent="0.35">
      <c r="A22" s="19" t="s">
        <v>58</v>
      </c>
      <c r="B22" s="2">
        <v>222</v>
      </c>
      <c r="C22" s="2">
        <v>253</v>
      </c>
      <c r="D22" s="2">
        <v>155.4</v>
      </c>
      <c r="E22" s="2" t="s">
        <v>166</v>
      </c>
      <c r="G22" s="2">
        <v>32.6</v>
      </c>
      <c r="H22" s="2" t="s">
        <v>145</v>
      </c>
      <c r="I22" s="2">
        <v>70</v>
      </c>
      <c r="J22" s="2" t="s">
        <v>119</v>
      </c>
    </row>
    <row r="23" spans="1:10" s="2" customFormat="1" ht="409.5" x14ac:dyDescent="0.35">
      <c r="A23" s="19" t="s">
        <v>59</v>
      </c>
      <c r="B23" s="2">
        <v>90100</v>
      </c>
      <c r="C23" s="2">
        <v>844</v>
      </c>
      <c r="D23" s="2">
        <v>78900</v>
      </c>
      <c r="E23" s="2" t="s">
        <v>165</v>
      </c>
      <c r="H23" s="2" t="s">
        <v>146</v>
      </c>
      <c r="I23" s="2">
        <v>2900</v>
      </c>
      <c r="J23" s="2" t="s">
        <v>120</v>
      </c>
    </row>
    <row r="24" spans="1:10" s="2" customFormat="1" ht="319" x14ac:dyDescent="0.35">
      <c r="A24" s="19" t="s">
        <v>60</v>
      </c>
      <c r="B24" s="2">
        <v>123700</v>
      </c>
      <c r="C24" s="2">
        <v>105</v>
      </c>
      <c r="D24" s="2">
        <v>106200</v>
      </c>
      <c r="E24" s="2" t="s">
        <v>164</v>
      </c>
      <c r="G24" s="2">
        <v>3400</v>
      </c>
      <c r="H24" s="2" t="s">
        <v>147</v>
      </c>
    </row>
    <row r="25" spans="1:10" s="2" customFormat="1" ht="116" x14ac:dyDescent="0.35">
      <c r="A25" s="19" t="s">
        <v>61</v>
      </c>
      <c r="B25" s="2">
        <v>151</v>
      </c>
      <c r="C25" s="2">
        <v>7</v>
      </c>
      <c r="D25" s="2">
        <v>48</v>
      </c>
      <c r="E25" s="20" t="s">
        <v>163</v>
      </c>
      <c r="F25" s="20"/>
      <c r="I25" s="2">
        <v>92</v>
      </c>
      <c r="J25" s="2" t="s">
        <v>121</v>
      </c>
    </row>
    <row r="26" spans="1:10" s="9" customFormat="1" ht="159.5" x14ac:dyDescent="0.35">
      <c r="A26" s="9" t="s">
        <v>62</v>
      </c>
      <c r="E26" s="9" t="s">
        <v>139</v>
      </c>
      <c r="H26" s="9" t="s">
        <v>140</v>
      </c>
    </row>
    <row r="27" spans="1:10" s="2" customFormat="1" ht="174" x14ac:dyDescent="0.35">
      <c r="A27" s="2" t="s">
        <v>63</v>
      </c>
      <c r="B27" s="2">
        <v>37</v>
      </c>
      <c r="C27" s="2">
        <v>42</v>
      </c>
      <c r="D27" s="2">
        <v>23.4</v>
      </c>
      <c r="E27" s="2" t="s">
        <v>122</v>
      </c>
      <c r="G27" s="2">
        <v>4.2</v>
      </c>
      <c r="H27" s="2" t="s">
        <v>148</v>
      </c>
    </row>
    <row r="28" spans="1:10" s="2" customFormat="1" ht="377" x14ac:dyDescent="0.35">
      <c r="A28" s="19" t="s">
        <v>64</v>
      </c>
      <c r="B28" s="2">
        <v>523</v>
      </c>
      <c r="C28" s="2">
        <v>23</v>
      </c>
      <c r="D28" s="2">
        <v>375</v>
      </c>
      <c r="E28" s="2" t="s">
        <v>162</v>
      </c>
      <c r="H28" s="2" t="s">
        <v>149</v>
      </c>
      <c r="I28" s="2">
        <v>14</v>
      </c>
      <c r="J28" s="2" t="s">
        <v>123</v>
      </c>
    </row>
    <row r="29" spans="1:10" s="2" customFormat="1" ht="101.5" x14ac:dyDescent="0.35">
      <c r="A29" s="19" t="s">
        <v>65</v>
      </c>
      <c r="B29" s="2">
        <v>79.5</v>
      </c>
      <c r="C29" s="2">
        <v>12</v>
      </c>
      <c r="D29" s="2">
        <v>80</v>
      </c>
      <c r="E29" s="2" t="s">
        <v>161</v>
      </c>
      <c r="I29" s="2">
        <v>319</v>
      </c>
      <c r="J29" s="2" t="s">
        <v>124</v>
      </c>
    </row>
    <row r="30" spans="1:10" s="2" customFormat="1" ht="246.5" x14ac:dyDescent="0.35">
      <c r="A30" s="2" t="s">
        <v>66</v>
      </c>
      <c r="C30" s="2">
        <v>1.5871</v>
      </c>
      <c r="D30" s="2">
        <v>1.1520999999999999</v>
      </c>
      <c r="E30" s="2" t="s">
        <v>160</v>
      </c>
      <c r="H30" s="2" t="s">
        <v>150</v>
      </c>
    </row>
    <row r="31" spans="1:10" s="2" customFormat="1" ht="358" customHeight="1" x14ac:dyDescent="0.35">
      <c r="A31" s="2" t="s">
        <v>67</v>
      </c>
      <c r="B31" s="2">
        <v>11.3</v>
      </c>
      <c r="C31" s="2">
        <v>12.9</v>
      </c>
      <c r="D31" s="2">
        <v>6.1</v>
      </c>
      <c r="E31" s="2" t="s">
        <v>159</v>
      </c>
      <c r="G31" s="2">
        <v>1.1000000000000001</v>
      </c>
      <c r="H31" s="2" t="s">
        <v>126</v>
      </c>
      <c r="I31" s="2">
        <v>0.5</v>
      </c>
      <c r="J31" s="2" t="s">
        <v>125</v>
      </c>
    </row>
    <row r="32" spans="1:10" s="9" customFormat="1" ht="159.5" x14ac:dyDescent="0.35">
      <c r="A32" s="9" t="s">
        <v>68</v>
      </c>
      <c r="C32" s="9">
        <v>2.2042000000000002</v>
      </c>
      <c r="D32" s="9">
        <v>2.0792999999999999</v>
      </c>
      <c r="E32" s="9" t="s">
        <v>127</v>
      </c>
    </row>
    <row r="33" spans="1:8" s="9" customFormat="1" ht="203" x14ac:dyDescent="0.35">
      <c r="A33" s="9" t="s">
        <v>69</v>
      </c>
      <c r="D33" s="9">
        <v>69</v>
      </c>
      <c r="E33" s="9" t="s">
        <v>128</v>
      </c>
      <c r="H33" s="9" t="s">
        <v>129</v>
      </c>
    </row>
    <row r="34" spans="1:8" s="9" customFormat="1" ht="145" x14ac:dyDescent="0.35">
      <c r="A34" s="9" t="s">
        <v>70</v>
      </c>
      <c r="E34" s="9" t="s">
        <v>131</v>
      </c>
      <c r="H34" s="9" t="s">
        <v>130</v>
      </c>
    </row>
    <row r="35" spans="1:8" s="9" customFormat="1" ht="246.5" x14ac:dyDescent="0.35">
      <c r="A35" s="9" t="s">
        <v>71</v>
      </c>
      <c r="E35" s="9" t="s">
        <v>133</v>
      </c>
      <c r="H35" s="9" t="s">
        <v>132</v>
      </c>
    </row>
    <row r="36" spans="1:8" s="9" customFormat="1" ht="377" x14ac:dyDescent="0.35">
      <c r="A36" s="9" t="s">
        <v>72</v>
      </c>
      <c r="E36" s="9" t="s">
        <v>134</v>
      </c>
      <c r="H36" s="9" t="s">
        <v>135</v>
      </c>
    </row>
    <row r="37" spans="1:8" s="2" customFormat="1" ht="297" customHeight="1" x14ac:dyDescent="0.35">
      <c r="A37" s="2" t="s">
        <v>73</v>
      </c>
      <c r="B37" s="2">
        <v>62.1</v>
      </c>
      <c r="C37" s="2">
        <v>40</v>
      </c>
      <c r="D37" s="2">
        <v>48.4</v>
      </c>
      <c r="E37" s="2" t="s">
        <v>158</v>
      </c>
      <c r="G37" s="2">
        <v>8.6</v>
      </c>
      <c r="H37" s="2" t="s">
        <v>151</v>
      </c>
    </row>
    <row r="38" spans="1:8" s="2" customFormat="1" ht="159.5" x14ac:dyDescent="0.35">
      <c r="A38" s="2" t="s">
        <v>74</v>
      </c>
      <c r="B38" s="2">
        <v>225</v>
      </c>
      <c r="C38" s="2">
        <v>24</v>
      </c>
      <c r="D38" s="2">
        <v>200.5</v>
      </c>
      <c r="E38" s="2" t="s">
        <v>157</v>
      </c>
      <c r="H38" s="2" t="s">
        <v>152</v>
      </c>
    </row>
    <row r="39" spans="1:8" s="9" customFormat="1" ht="145" x14ac:dyDescent="0.35">
      <c r="A39" s="9" t="s">
        <v>75</v>
      </c>
      <c r="D39" s="9">
        <v>3.4</v>
      </c>
      <c r="E39" s="9" t="s">
        <v>136</v>
      </c>
      <c r="H39" s="9" t="s">
        <v>137</v>
      </c>
    </row>
    <row r="40" spans="1:8" s="9" customFormat="1" ht="232" x14ac:dyDescent="0.35">
      <c r="A40" s="9" t="s">
        <v>76</v>
      </c>
      <c r="E40" s="9" t="s">
        <v>141</v>
      </c>
      <c r="H40" s="9" t="s">
        <v>142</v>
      </c>
    </row>
    <row r="41" spans="1:8" s="2" customFormat="1" ht="101.5" x14ac:dyDescent="0.35">
      <c r="A41" s="19" t="s">
        <v>77</v>
      </c>
      <c r="B41" s="2">
        <v>207</v>
      </c>
      <c r="C41" s="2">
        <v>22</v>
      </c>
      <c r="D41" s="2">
        <v>136</v>
      </c>
      <c r="E41" s="2" t="s">
        <v>156</v>
      </c>
      <c r="G41" s="2">
        <v>33</v>
      </c>
      <c r="H41" s="2" t="s">
        <v>143</v>
      </c>
    </row>
    <row r="42" spans="1:8" s="2" customFormat="1" ht="103" customHeight="1" x14ac:dyDescent="0.35">
      <c r="A42" s="19" t="s">
        <v>78</v>
      </c>
      <c r="B42" s="2">
        <v>56</v>
      </c>
      <c r="C42" s="2">
        <v>59</v>
      </c>
      <c r="D42" s="2">
        <v>48.6</v>
      </c>
      <c r="E42" s="2" t="s">
        <v>155</v>
      </c>
    </row>
    <row r="43" spans="1:8" s="9" customFormat="1" ht="388.5" customHeight="1" x14ac:dyDescent="0.35">
      <c r="A43" s="9" t="s">
        <v>79</v>
      </c>
      <c r="E43" s="9" t="s">
        <v>144</v>
      </c>
      <c r="H43" s="9" t="s">
        <v>138</v>
      </c>
    </row>
    <row r="44" spans="1:8" s="2" customFormat="1" ht="145" x14ac:dyDescent="0.35">
      <c r="A44" s="19" t="s">
        <v>80</v>
      </c>
      <c r="B44" s="2">
        <v>150</v>
      </c>
      <c r="C44" s="2">
        <v>39</v>
      </c>
      <c r="D44" s="2">
        <v>114.8</v>
      </c>
      <c r="E44" s="2" t="s">
        <v>154</v>
      </c>
      <c r="G44" s="2">
        <v>20.7</v>
      </c>
      <c r="H44" s="2" t="s">
        <v>153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D1FC-CEF5-4812-BB50-F955C80B8D8A}">
  <dimension ref="A1:O44"/>
  <sheetViews>
    <sheetView zoomScale="87" workbookViewId="0">
      <selection activeCell="D44" sqref="D44"/>
    </sheetView>
  </sheetViews>
  <sheetFormatPr baseColWidth="10" defaultRowHeight="14.5" x14ac:dyDescent="0.35"/>
  <cols>
    <col min="1" max="1" width="25.81640625" customWidth="1"/>
    <col min="2" max="3" width="19" customWidth="1"/>
    <col min="4" max="4" width="29.1796875" customWidth="1"/>
    <col min="5" max="5" width="28.54296875" customWidth="1"/>
    <col min="6" max="6" width="19.453125" customWidth="1"/>
    <col min="7" max="7" width="11.453125" customWidth="1"/>
    <col min="8" max="8" width="12.36328125" customWidth="1"/>
    <col min="9" max="9" width="10.81640625" customWidth="1"/>
    <col min="12" max="12" width="13.36328125" customWidth="1"/>
    <col min="14" max="14" width="5" customWidth="1"/>
    <col min="15" max="15" width="10.90625" hidden="1" customWidth="1"/>
  </cols>
  <sheetData>
    <row r="1" spans="1:13" x14ac:dyDescent="0.35">
      <c r="A1" t="s">
        <v>0</v>
      </c>
      <c r="B1" s="30" t="s">
        <v>43</v>
      </c>
      <c r="C1" s="30"/>
      <c r="D1" s="30"/>
      <c r="E1" s="30"/>
      <c r="F1" s="31" t="s">
        <v>44</v>
      </c>
      <c r="G1" s="31"/>
      <c r="H1" s="31"/>
      <c r="I1" s="31"/>
      <c r="J1" s="32" t="s">
        <v>45</v>
      </c>
      <c r="K1" s="32"/>
      <c r="L1" s="32"/>
      <c r="M1" s="32"/>
    </row>
    <row r="2" spans="1:13" s="2" customFormat="1" ht="87" x14ac:dyDescent="0.35">
      <c r="B2" s="10" t="s">
        <v>46</v>
      </c>
      <c r="C2" s="10" t="s">
        <v>47</v>
      </c>
      <c r="D2" s="10" t="s">
        <v>48</v>
      </c>
      <c r="E2" s="10" t="s">
        <v>49</v>
      </c>
      <c r="F2" s="11" t="s">
        <v>50</v>
      </c>
      <c r="G2" s="11" t="s">
        <v>51</v>
      </c>
      <c r="H2" s="11" t="s">
        <v>52</v>
      </c>
      <c r="I2" s="11" t="s">
        <v>53</v>
      </c>
      <c r="J2" s="12" t="s">
        <v>54</v>
      </c>
      <c r="K2" s="12" t="s">
        <v>55</v>
      </c>
      <c r="L2" s="12" t="s">
        <v>56</v>
      </c>
      <c r="M2" s="12" t="s">
        <v>57</v>
      </c>
    </row>
    <row r="3" spans="1:13" ht="21.5" customHeight="1" x14ac:dyDescent="0.35">
      <c r="A3" s="15" t="s">
        <v>2</v>
      </c>
      <c r="B3">
        <v>1</v>
      </c>
      <c r="C3">
        <v>0</v>
      </c>
      <c r="D3">
        <v>0</v>
      </c>
      <c r="E3" s="2">
        <v>1</v>
      </c>
      <c r="F3">
        <v>1</v>
      </c>
      <c r="G3" s="2">
        <v>0</v>
      </c>
      <c r="H3">
        <v>0</v>
      </c>
      <c r="I3" s="2">
        <v>1</v>
      </c>
      <c r="J3">
        <v>1</v>
      </c>
      <c r="K3" s="2">
        <v>1</v>
      </c>
      <c r="L3">
        <v>1</v>
      </c>
      <c r="M3" s="2">
        <v>1</v>
      </c>
    </row>
    <row r="4" spans="1:13" x14ac:dyDescent="0.35">
      <c r="A4" s="15" t="s">
        <v>3</v>
      </c>
      <c r="B4">
        <v>1</v>
      </c>
      <c r="C4">
        <v>0</v>
      </c>
      <c r="D4">
        <v>1</v>
      </c>
      <c r="E4" s="2">
        <v>1</v>
      </c>
      <c r="F4">
        <v>1</v>
      </c>
      <c r="G4">
        <v>0</v>
      </c>
      <c r="H4">
        <v>1</v>
      </c>
      <c r="I4" s="2">
        <v>0</v>
      </c>
      <c r="J4">
        <v>1</v>
      </c>
      <c r="K4">
        <v>1</v>
      </c>
      <c r="L4">
        <v>1</v>
      </c>
      <c r="M4">
        <v>0</v>
      </c>
    </row>
    <row r="5" spans="1:13" x14ac:dyDescent="0.35">
      <c r="A5" s="15" t="s">
        <v>11</v>
      </c>
      <c r="B5">
        <v>1</v>
      </c>
      <c r="C5">
        <v>0</v>
      </c>
      <c r="D5">
        <v>1</v>
      </c>
      <c r="E5">
        <v>1</v>
      </c>
      <c r="F5">
        <v>1</v>
      </c>
      <c r="G5" s="2">
        <v>0</v>
      </c>
      <c r="H5">
        <v>1</v>
      </c>
      <c r="I5" s="2">
        <v>1</v>
      </c>
      <c r="J5">
        <v>1</v>
      </c>
      <c r="K5" s="2">
        <v>1</v>
      </c>
      <c r="L5">
        <v>1</v>
      </c>
      <c r="M5" s="2">
        <v>1</v>
      </c>
    </row>
    <row r="6" spans="1:13" x14ac:dyDescent="0.35">
      <c r="A6" s="15" t="s">
        <v>12</v>
      </c>
      <c r="B6">
        <v>1</v>
      </c>
      <c r="C6">
        <v>0</v>
      </c>
      <c r="D6">
        <v>1</v>
      </c>
      <c r="E6" s="2">
        <v>1</v>
      </c>
      <c r="F6">
        <v>1</v>
      </c>
      <c r="G6" s="2">
        <v>1</v>
      </c>
      <c r="H6">
        <v>1</v>
      </c>
      <c r="I6" s="2">
        <v>1</v>
      </c>
      <c r="J6">
        <v>1</v>
      </c>
      <c r="K6" s="2">
        <v>0</v>
      </c>
      <c r="L6">
        <v>1</v>
      </c>
      <c r="M6" s="2">
        <v>1</v>
      </c>
    </row>
    <row r="7" spans="1:13" x14ac:dyDescent="0.35">
      <c r="A7" s="15" t="s">
        <v>31</v>
      </c>
      <c r="B7">
        <v>1</v>
      </c>
      <c r="C7">
        <v>0</v>
      </c>
      <c r="D7" s="13">
        <v>1</v>
      </c>
      <c r="E7" s="2">
        <v>1</v>
      </c>
      <c r="F7">
        <v>0</v>
      </c>
      <c r="G7" s="2">
        <v>0</v>
      </c>
      <c r="H7">
        <v>1</v>
      </c>
      <c r="I7" s="2">
        <v>1</v>
      </c>
      <c r="J7">
        <v>0</v>
      </c>
      <c r="K7" s="2">
        <v>1</v>
      </c>
      <c r="L7">
        <v>1</v>
      </c>
      <c r="M7" s="2">
        <v>1</v>
      </c>
    </row>
    <row r="8" spans="1:13" x14ac:dyDescent="0.35">
      <c r="A8" s="15" t="s">
        <v>4</v>
      </c>
      <c r="B8">
        <v>1</v>
      </c>
      <c r="C8">
        <v>0</v>
      </c>
      <c r="D8">
        <v>1</v>
      </c>
      <c r="E8" s="2">
        <v>1</v>
      </c>
      <c r="F8">
        <v>1</v>
      </c>
      <c r="G8" s="2">
        <v>1</v>
      </c>
      <c r="H8">
        <v>1</v>
      </c>
      <c r="I8" s="2">
        <v>1</v>
      </c>
      <c r="J8">
        <v>1</v>
      </c>
      <c r="K8" s="2">
        <v>0</v>
      </c>
      <c r="L8">
        <v>1</v>
      </c>
      <c r="M8" s="2">
        <v>1</v>
      </c>
    </row>
    <row r="9" spans="1:13" x14ac:dyDescent="0.35">
      <c r="A9" s="15" t="s">
        <v>6</v>
      </c>
      <c r="B9">
        <v>1</v>
      </c>
      <c r="C9">
        <v>0</v>
      </c>
      <c r="D9">
        <v>1</v>
      </c>
      <c r="E9" s="2">
        <v>1</v>
      </c>
      <c r="F9">
        <v>1</v>
      </c>
      <c r="G9" s="2">
        <v>0</v>
      </c>
      <c r="H9">
        <v>1</v>
      </c>
      <c r="I9" s="2">
        <v>1</v>
      </c>
      <c r="J9">
        <v>0</v>
      </c>
      <c r="K9" s="2">
        <v>0</v>
      </c>
      <c r="L9">
        <v>1</v>
      </c>
      <c r="M9" s="2">
        <v>1</v>
      </c>
    </row>
    <row r="10" spans="1:13" x14ac:dyDescent="0.35">
      <c r="A10" s="15" t="s">
        <v>7</v>
      </c>
      <c r="B10">
        <v>1</v>
      </c>
      <c r="C10">
        <v>0</v>
      </c>
      <c r="D10">
        <v>1</v>
      </c>
      <c r="E10" s="2">
        <v>1</v>
      </c>
      <c r="F10">
        <v>1</v>
      </c>
      <c r="G10" s="2">
        <v>1</v>
      </c>
      <c r="H10">
        <v>0</v>
      </c>
      <c r="I10" s="2">
        <v>1</v>
      </c>
      <c r="J10">
        <v>1</v>
      </c>
      <c r="K10" s="2">
        <v>1</v>
      </c>
      <c r="L10">
        <v>1</v>
      </c>
      <c r="M10" s="2">
        <v>0</v>
      </c>
    </row>
    <row r="11" spans="1:13" ht="19" customHeight="1" x14ac:dyDescent="0.35">
      <c r="A11" s="15" t="s">
        <v>34</v>
      </c>
      <c r="B11">
        <v>1</v>
      </c>
      <c r="C11">
        <v>0</v>
      </c>
      <c r="D11">
        <v>0</v>
      </c>
      <c r="E11" s="8">
        <v>1</v>
      </c>
      <c r="F11">
        <v>1</v>
      </c>
      <c r="G11" s="8">
        <v>0</v>
      </c>
      <c r="H11">
        <v>0</v>
      </c>
      <c r="I11" s="2">
        <v>1</v>
      </c>
      <c r="J11">
        <v>1</v>
      </c>
      <c r="K11" s="2">
        <v>1</v>
      </c>
      <c r="L11">
        <v>1</v>
      </c>
      <c r="M11" s="2">
        <v>1</v>
      </c>
    </row>
    <row r="12" spans="1:13" ht="18.5" customHeight="1" x14ac:dyDescent="0.35">
      <c r="A12" s="15" t="s">
        <v>35</v>
      </c>
      <c r="B12">
        <v>1</v>
      </c>
      <c r="C12">
        <v>0</v>
      </c>
      <c r="D12">
        <v>1</v>
      </c>
      <c r="E12" s="2">
        <v>1</v>
      </c>
      <c r="F12">
        <v>1</v>
      </c>
      <c r="G12" s="2">
        <v>0</v>
      </c>
      <c r="H12">
        <v>0</v>
      </c>
      <c r="I12" s="2">
        <v>0</v>
      </c>
      <c r="J12">
        <v>1</v>
      </c>
      <c r="K12" s="2">
        <v>0</v>
      </c>
      <c r="L12">
        <v>1</v>
      </c>
      <c r="M12" s="2">
        <v>0</v>
      </c>
    </row>
    <row r="13" spans="1:13" x14ac:dyDescent="0.35">
      <c r="A13" s="15" t="s">
        <v>5</v>
      </c>
      <c r="B13">
        <v>1</v>
      </c>
      <c r="C13">
        <v>0</v>
      </c>
      <c r="D13">
        <v>1</v>
      </c>
      <c r="E13" s="2">
        <v>1</v>
      </c>
      <c r="F13">
        <v>1</v>
      </c>
      <c r="G13" s="2">
        <v>0</v>
      </c>
      <c r="H13">
        <v>0</v>
      </c>
      <c r="I13" s="2">
        <v>0</v>
      </c>
      <c r="J13">
        <v>0</v>
      </c>
      <c r="K13" s="2">
        <v>0</v>
      </c>
      <c r="L13">
        <v>0</v>
      </c>
      <c r="M13" s="2">
        <v>0</v>
      </c>
    </row>
    <row r="14" spans="1:13" x14ac:dyDescent="0.35">
      <c r="A14" s="15" t="s">
        <v>36</v>
      </c>
      <c r="B14">
        <v>1</v>
      </c>
      <c r="C14">
        <v>0</v>
      </c>
      <c r="D14">
        <v>0</v>
      </c>
      <c r="E14" s="2">
        <v>1</v>
      </c>
      <c r="F14">
        <v>1</v>
      </c>
      <c r="G14" s="2">
        <v>0</v>
      </c>
      <c r="H14">
        <v>0</v>
      </c>
      <c r="I14" s="2">
        <v>1</v>
      </c>
      <c r="J14">
        <v>1</v>
      </c>
      <c r="K14" s="2">
        <v>1</v>
      </c>
      <c r="L14">
        <v>1</v>
      </c>
      <c r="M14" s="2">
        <v>0</v>
      </c>
    </row>
    <row r="15" spans="1:13" x14ac:dyDescent="0.35">
      <c r="A15" s="15" t="s">
        <v>10</v>
      </c>
      <c r="B15">
        <v>1</v>
      </c>
      <c r="C15">
        <v>0</v>
      </c>
      <c r="D15">
        <v>0</v>
      </c>
      <c r="E15" s="2">
        <v>1</v>
      </c>
      <c r="F15">
        <v>1</v>
      </c>
      <c r="G15" s="2">
        <v>0</v>
      </c>
      <c r="H15">
        <v>0</v>
      </c>
      <c r="I15" s="2">
        <v>1</v>
      </c>
      <c r="J15">
        <v>0</v>
      </c>
      <c r="K15" s="2">
        <v>0</v>
      </c>
      <c r="L15">
        <v>1</v>
      </c>
      <c r="M15" s="2">
        <v>1</v>
      </c>
    </row>
    <row r="16" spans="1:13" ht="17" customHeight="1" x14ac:dyDescent="0.35">
      <c r="A16" s="15" t="s">
        <v>9</v>
      </c>
      <c r="B16">
        <v>1</v>
      </c>
      <c r="C16">
        <v>0</v>
      </c>
      <c r="D16">
        <v>1</v>
      </c>
      <c r="E16" s="2">
        <v>1</v>
      </c>
      <c r="F16">
        <v>0</v>
      </c>
      <c r="G16" s="2">
        <v>0</v>
      </c>
      <c r="H16">
        <v>1</v>
      </c>
      <c r="I16" s="2">
        <v>1</v>
      </c>
      <c r="J16">
        <v>1</v>
      </c>
      <c r="K16" s="2">
        <v>0</v>
      </c>
      <c r="L16">
        <v>1</v>
      </c>
      <c r="M16" s="2">
        <v>1</v>
      </c>
    </row>
    <row r="17" spans="1:13" x14ac:dyDescent="0.35">
      <c r="A17" s="15" t="s">
        <v>40</v>
      </c>
      <c r="B17">
        <v>1</v>
      </c>
      <c r="C17">
        <v>0</v>
      </c>
      <c r="D17">
        <v>1</v>
      </c>
      <c r="E17" s="2">
        <v>1</v>
      </c>
      <c r="F17">
        <v>1</v>
      </c>
      <c r="G17" s="2">
        <v>0</v>
      </c>
      <c r="H17">
        <v>0</v>
      </c>
      <c r="I17" s="2">
        <v>1</v>
      </c>
      <c r="J17">
        <v>0</v>
      </c>
      <c r="K17" s="2">
        <v>0</v>
      </c>
      <c r="L17">
        <v>1</v>
      </c>
      <c r="M17" s="2">
        <v>0</v>
      </c>
    </row>
    <row r="18" spans="1:13" x14ac:dyDescent="0.35">
      <c r="A18" s="15" t="s">
        <v>81</v>
      </c>
      <c r="B18">
        <f>AVERAGE(B3:B17)</f>
        <v>1</v>
      </c>
      <c r="C18">
        <f t="shared" ref="C18:M18" si="0">AVERAGE(C3:C17)</f>
        <v>0</v>
      </c>
      <c r="D18">
        <f t="shared" si="0"/>
        <v>0.73333333333333328</v>
      </c>
      <c r="E18">
        <f t="shared" si="0"/>
        <v>1</v>
      </c>
      <c r="F18">
        <f t="shared" si="0"/>
        <v>0.8666666666666667</v>
      </c>
      <c r="G18">
        <f t="shared" si="0"/>
        <v>0.2</v>
      </c>
      <c r="H18">
        <f t="shared" si="0"/>
        <v>0.46666666666666667</v>
      </c>
      <c r="I18">
        <f t="shared" si="0"/>
        <v>0.8</v>
      </c>
      <c r="J18">
        <f t="shared" si="0"/>
        <v>0.66666666666666663</v>
      </c>
      <c r="K18">
        <f t="shared" si="0"/>
        <v>0.46666666666666667</v>
      </c>
      <c r="L18">
        <f t="shared" si="0"/>
        <v>0.93333333333333335</v>
      </c>
      <c r="M18">
        <f t="shared" si="0"/>
        <v>0.6</v>
      </c>
    </row>
    <row r="19" spans="1:13" x14ac:dyDescent="0.35">
      <c r="A19" s="18" t="s">
        <v>82</v>
      </c>
      <c r="B19" s="17" t="s">
        <v>83</v>
      </c>
      <c r="C19" s="17"/>
      <c r="D19" s="17" t="s">
        <v>83</v>
      </c>
      <c r="E19" s="17" t="s">
        <v>83</v>
      </c>
      <c r="F19" s="17"/>
      <c r="G19" s="17" t="s">
        <v>83</v>
      </c>
      <c r="H19" s="17" t="s">
        <v>83</v>
      </c>
      <c r="I19" s="17"/>
      <c r="J19" s="17"/>
      <c r="K19" s="17"/>
      <c r="L19" s="17" t="s">
        <v>83</v>
      </c>
      <c r="M19" s="17" t="s">
        <v>83</v>
      </c>
    </row>
    <row r="20" spans="1:13" x14ac:dyDescent="0.35">
      <c r="A20" s="15"/>
      <c r="E20" s="2"/>
      <c r="G20" s="2"/>
      <c r="I20" s="2"/>
      <c r="K20" s="2"/>
      <c r="M20" s="2"/>
    </row>
    <row r="21" spans="1:13" x14ac:dyDescent="0.35">
      <c r="A21" s="14" t="s">
        <v>58</v>
      </c>
      <c r="B21">
        <v>1</v>
      </c>
      <c r="C21">
        <v>0</v>
      </c>
      <c r="D21">
        <v>1</v>
      </c>
      <c r="E21" s="2">
        <v>1</v>
      </c>
      <c r="F21">
        <v>1</v>
      </c>
      <c r="G21" s="2">
        <v>0</v>
      </c>
      <c r="H21">
        <v>0</v>
      </c>
      <c r="I21" s="2">
        <v>1</v>
      </c>
      <c r="J21">
        <v>1</v>
      </c>
      <c r="K21" s="2">
        <v>1</v>
      </c>
      <c r="L21">
        <v>1</v>
      </c>
      <c r="M21" s="2">
        <v>1</v>
      </c>
    </row>
    <row r="22" spans="1:13" x14ac:dyDescent="0.35">
      <c r="A22" s="14" t="s">
        <v>59</v>
      </c>
      <c r="B22">
        <v>1</v>
      </c>
      <c r="C22">
        <v>1</v>
      </c>
      <c r="D22">
        <v>1</v>
      </c>
      <c r="E22" s="2">
        <v>1</v>
      </c>
      <c r="F22">
        <v>1</v>
      </c>
      <c r="G22" s="2">
        <v>0</v>
      </c>
      <c r="H22">
        <v>0</v>
      </c>
      <c r="I22" s="2">
        <v>1</v>
      </c>
      <c r="J22">
        <v>1</v>
      </c>
      <c r="K22" s="2">
        <v>0</v>
      </c>
      <c r="L22">
        <v>0</v>
      </c>
      <c r="M22" s="2">
        <v>1</v>
      </c>
    </row>
    <row r="23" spans="1:13" x14ac:dyDescent="0.35">
      <c r="A23" s="14" t="s">
        <v>60</v>
      </c>
      <c r="B23">
        <v>1</v>
      </c>
      <c r="C23">
        <v>1</v>
      </c>
      <c r="D23">
        <v>1</v>
      </c>
      <c r="E23" s="2">
        <v>1</v>
      </c>
      <c r="F23">
        <v>1</v>
      </c>
      <c r="I23" s="2">
        <v>1</v>
      </c>
      <c r="J23">
        <v>1</v>
      </c>
      <c r="K23" s="2">
        <v>1</v>
      </c>
      <c r="L23">
        <v>1</v>
      </c>
      <c r="M23" s="2">
        <v>1</v>
      </c>
    </row>
    <row r="24" spans="1:13" x14ac:dyDescent="0.35">
      <c r="A24" s="14" t="s">
        <v>61</v>
      </c>
      <c r="B24">
        <v>1</v>
      </c>
      <c r="C24">
        <v>1</v>
      </c>
      <c r="D24">
        <v>0</v>
      </c>
      <c r="E24" s="2">
        <v>1</v>
      </c>
      <c r="F24">
        <v>0</v>
      </c>
      <c r="G24" s="2">
        <v>0</v>
      </c>
      <c r="H24">
        <v>1</v>
      </c>
      <c r="I24" s="2">
        <v>1</v>
      </c>
      <c r="J24">
        <v>0</v>
      </c>
      <c r="K24" s="2">
        <v>0</v>
      </c>
      <c r="L24">
        <v>0</v>
      </c>
      <c r="M24" s="2">
        <v>0</v>
      </c>
    </row>
    <row r="25" spans="1:13" x14ac:dyDescent="0.35">
      <c r="A25" s="15" t="s">
        <v>62</v>
      </c>
      <c r="B25">
        <v>1</v>
      </c>
      <c r="C25">
        <v>1</v>
      </c>
      <c r="D25">
        <v>0</v>
      </c>
      <c r="E25" s="2">
        <v>1</v>
      </c>
      <c r="F25">
        <v>1</v>
      </c>
      <c r="G25" s="2">
        <v>0</v>
      </c>
      <c r="H25">
        <v>0</v>
      </c>
      <c r="I25" s="2">
        <v>1</v>
      </c>
      <c r="J25">
        <v>1</v>
      </c>
      <c r="K25" s="2">
        <v>1</v>
      </c>
      <c r="L25">
        <v>1</v>
      </c>
      <c r="M25" s="2">
        <v>1</v>
      </c>
    </row>
    <row r="26" spans="1:13" x14ac:dyDescent="0.35">
      <c r="A26" s="15" t="s">
        <v>63</v>
      </c>
      <c r="B26">
        <v>1</v>
      </c>
      <c r="C26">
        <v>0</v>
      </c>
      <c r="D26">
        <v>0</v>
      </c>
      <c r="E26" s="2">
        <v>1</v>
      </c>
      <c r="F26">
        <v>1</v>
      </c>
      <c r="G26" s="2">
        <v>0</v>
      </c>
      <c r="H26">
        <v>1</v>
      </c>
      <c r="I26" s="2">
        <v>1</v>
      </c>
      <c r="J26">
        <v>1</v>
      </c>
      <c r="K26" s="2">
        <v>1</v>
      </c>
      <c r="L26">
        <v>1</v>
      </c>
      <c r="M26" s="2">
        <v>1</v>
      </c>
    </row>
    <row r="27" spans="1:13" x14ac:dyDescent="0.35">
      <c r="A27" s="14" t="s">
        <v>64</v>
      </c>
      <c r="B27">
        <v>1</v>
      </c>
      <c r="C27">
        <v>0</v>
      </c>
      <c r="D27">
        <v>0</v>
      </c>
      <c r="E27" s="2">
        <v>0</v>
      </c>
      <c r="F27">
        <v>1</v>
      </c>
      <c r="G27" s="2">
        <v>1</v>
      </c>
      <c r="H27">
        <v>1</v>
      </c>
      <c r="I27" s="2">
        <v>1</v>
      </c>
      <c r="J27">
        <v>1</v>
      </c>
      <c r="K27" s="2">
        <v>1</v>
      </c>
      <c r="L27">
        <v>0</v>
      </c>
      <c r="M27" s="2">
        <v>0</v>
      </c>
    </row>
    <row r="28" spans="1:13" x14ac:dyDescent="0.35">
      <c r="A28" s="14" t="s">
        <v>65</v>
      </c>
      <c r="B28">
        <v>0</v>
      </c>
      <c r="C28">
        <v>0</v>
      </c>
      <c r="D28">
        <v>0</v>
      </c>
      <c r="E28" s="2">
        <v>1</v>
      </c>
      <c r="F28">
        <v>1</v>
      </c>
      <c r="G28" s="2">
        <v>0</v>
      </c>
      <c r="H28">
        <v>0</v>
      </c>
      <c r="I28" s="2">
        <v>0</v>
      </c>
      <c r="J28">
        <v>1</v>
      </c>
      <c r="K28" s="2">
        <v>0</v>
      </c>
      <c r="L28">
        <v>1</v>
      </c>
      <c r="M28" s="2">
        <v>1</v>
      </c>
    </row>
    <row r="29" spans="1:13" x14ac:dyDescent="0.35">
      <c r="A29" s="15" t="s">
        <v>66</v>
      </c>
      <c r="B29">
        <v>1</v>
      </c>
      <c r="C29">
        <v>0</v>
      </c>
      <c r="D29">
        <v>1</v>
      </c>
      <c r="E29" s="2">
        <v>1</v>
      </c>
      <c r="F29">
        <v>1</v>
      </c>
      <c r="G29" s="2">
        <v>0</v>
      </c>
      <c r="H29">
        <v>0</v>
      </c>
      <c r="I29" s="2">
        <v>1</v>
      </c>
      <c r="J29">
        <v>1</v>
      </c>
      <c r="K29" s="2">
        <v>1</v>
      </c>
      <c r="L29">
        <v>0</v>
      </c>
      <c r="M29" s="2">
        <v>0</v>
      </c>
    </row>
    <row r="30" spans="1:13" x14ac:dyDescent="0.35">
      <c r="A30" s="15" t="s">
        <v>67</v>
      </c>
      <c r="B30">
        <v>1</v>
      </c>
      <c r="C30">
        <v>0</v>
      </c>
      <c r="D30">
        <v>1</v>
      </c>
      <c r="E30" s="2">
        <v>1</v>
      </c>
      <c r="F30">
        <v>1</v>
      </c>
      <c r="G30" s="2">
        <v>0</v>
      </c>
      <c r="H30">
        <v>1</v>
      </c>
      <c r="I30" s="2">
        <v>1</v>
      </c>
      <c r="J30">
        <v>0</v>
      </c>
      <c r="K30" s="2">
        <v>0</v>
      </c>
      <c r="L30">
        <v>0</v>
      </c>
      <c r="M30" s="2">
        <v>0</v>
      </c>
    </row>
    <row r="31" spans="1:13" x14ac:dyDescent="0.35">
      <c r="A31" s="15" t="s">
        <v>68</v>
      </c>
      <c r="B31">
        <v>1</v>
      </c>
      <c r="C31">
        <v>0</v>
      </c>
      <c r="D31">
        <v>0</v>
      </c>
      <c r="E31" s="2">
        <v>0</v>
      </c>
      <c r="F31">
        <v>1</v>
      </c>
      <c r="G31" s="2">
        <v>0</v>
      </c>
      <c r="H31">
        <v>1</v>
      </c>
      <c r="I31" s="2">
        <v>1</v>
      </c>
      <c r="J31">
        <v>1</v>
      </c>
      <c r="K31" s="2">
        <v>0</v>
      </c>
      <c r="L31">
        <v>1</v>
      </c>
      <c r="M31" s="2">
        <v>0</v>
      </c>
    </row>
    <row r="32" spans="1:13" x14ac:dyDescent="0.35">
      <c r="A32" s="14" t="s">
        <v>69</v>
      </c>
      <c r="B32">
        <v>1</v>
      </c>
      <c r="C32">
        <v>0</v>
      </c>
      <c r="D32">
        <v>1</v>
      </c>
      <c r="E32" s="2">
        <v>1</v>
      </c>
      <c r="F32">
        <v>1</v>
      </c>
      <c r="G32" s="2">
        <v>0</v>
      </c>
      <c r="H32">
        <v>1</v>
      </c>
      <c r="I32" s="2">
        <v>1</v>
      </c>
      <c r="J32">
        <v>1</v>
      </c>
      <c r="K32" s="2">
        <v>0</v>
      </c>
      <c r="L32">
        <v>0</v>
      </c>
      <c r="M32" s="2">
        <v>0</v>
      </c>
    </row>
    <row r="33" spans="1:13" x14ac:dyDescent="0.35">
      <c r="A33" s="15" t="s">
        <v>70</v>
      </c>
      <c r="B33">
        <v>1</v>
      </c>
      <c r="C33">
        <v>1</v>
      </c>
      <c r="D33">
        <v>0</v>
      </c>
      <c r="E33" s="2">
        <v>0</v>
      </c>
      <c r="F33">
        <v>1</v>
      </c>
      <c r="G33" s="2">
        <v>0</v>
      </c>
      <c r="H33">
        <v>0</v>
      </c>
      <c r="I33" s="2">
        <v>1</v>
      </c>
      <c r="J33">
        <v>0</v>
      </c>
      <c r="K33" s="2">
        <v>0</v>
      </c>
      <c r="L33">
        <v>0</v>
      </c>
      <c r="M33" s="2">
        <v>0</v>
      </c>
    </row>
    <row r="34" spans="1:13" x14ac:dyDescent="0.35">
      <c r="A34" s="14" t="s">
        <v>71</v>
      </c>
      <c r="B34">
        <v>1</v>
      </c>
      <c r="C34">
        <v>0</v>
      </c>
      <c r="D34">
        <v>0</v>
      </c>
      <c r="E34" s="2">
        <v>1</v>
      </c>
      <c r="F34">
        <v>1</v>
      </c>
      <c r="G34" s="2">
        <v>0</v>
      </c>
      <c r="H34">
        <v>0</v>
      </c>
      <c r="I34" s="2">
        <v>0</v>
      </c>
      <c r="J34">
        <v>1</v>
      </c>
      <c r="K34" s="2">
        <v>1</v>
      </c>
      <c r="L34">
        <v>0</v>
      </c>
      <c r="M34" s="2">
        <v>0</v>
      </c>
    </row>
    <row r="35" spans="1:13" x14ac:dyDescent="0.35">
      <c r="A35" s="15" t="s">
        <v>72</v>
      </c>
      <c r="B35">
        <v>1</v>
      </c>
      <c r="C35">
        <v>0</v>
      </c>
      <c r="D35">
        <v>1</v>
      </c>
      <c r="E35" s="2">
        <v>1</v>
      </c>
      <c r="F35">
        <v>1</v>
      </c>
      <c r="G35" s="2">
        <v>0</v>
      </c>
      <c r="H35">
        <v>0</v>
      </c>
      <c r="I35" s="2">
        <v>1</v>
      </c>
      <c r="J35">
        <v>1</v>
      </c>
      <c r="K35" s="2">
        <v>0</v>
      </c>
      <c r="L35">
        <v>1</v>
      </c>
      <c r="M35" s="2">
        <v>1</v>
      </c>
    </row>
    <row r="36" spans="1:13" x14ac:dyDescent="0.35">
      <c r="A36" s="15" t="s">
        <v>73</v>
      </c>
      <c r="B36">
        <v>1</v>
      </c>
      <c r="C36">
        <v>0</v>
      </c>
      <c r="D36">
        <v>1</v>
      </c>
      <c r="E36" s="2">
        <v>1</v>
      </c>
      <c r="F36">
        <v>1</v>
      </c>
      <c r="G36" s="2">
        <v>0</v>
      </c>
      <c r="H36">
        <v>0</v>
      </c>
      <c r="I36" s="2">
        <v>0</v>
      </c>
      <c r="J36">
        <v>1</v>
      </c>
      <c r="K36" s="2">
        <v>1</v>
      </c>
      <c r="L36">
        <v>0</v>
      </c>
      <c r="M36" s="2">
        <v>0</v>
      </c>
    </row>
    <row r="37" spans="1:13" x14ac:dyDescent="0.35">
      <c r="A37" s="15" t="s">
        <v>74</v>
      </c>
      <c r="B37">
        <v>1</v>
      </c>
      <c r="C37">
        <v>0</v>
      </c>
      <c r="D37">
        <v>0</v>
      </c>
      <c r="E37" s="2">
        <v>1</v>
      </c>
      <c r="F37">
        <v>1</v>
      </c>
      <c r="G37" s="2">
        <v>0</v>
      </c>
      <c r="H37">
        <v>0</v>
      </c>
      <c r="I37" s="2">
        <v>1</v>
      </c>
      <c r="J37">
        <v>1</v>
      </c>
      <c r="K37" s="2">
        <v>1</v>
      </c>
      <c r="L37">
        <v>1</v>
      </c>
      <c r="M37" s="2">
        <v>0</v>
      </c>
    </row>
    <row r="38" spans="1:13" x14ac:dyDescent="0.35">
      <c r="A38" s="14" t="s">
        <v>75</v>
      </c>
      <c r="B38">
        <v>1</v>
      </c>
      <c r="C38">
        <v>0</v>
      </c>
      <c r="D38">
        <v>1</v>
      </c>
      <c r="E38" s="2">
        <v>1</v>
      </c>
      <c r="F38">
        <v>1</v>
      </c>
      <c r="G38" s="2">
        <v>0</v>
      </c>
      <c r="H38">
        <v>1</v>
      </c>
      <c r="I38" s="2">
        <v>1</v>
      </c>
      <c r="J38">
        <v>1</v>
      </c>
      <c r="K38" s="2">
        <v>0</v>
      </c>
      <c r="L38">
        <v>1</v>
      </c>
      <c r="M38" s="2">
        <v>1</v>
      </c>
    </row>
    <row r="39" spans="1:13" x14ac:dyDescent="0.35">
      <c r="A39" s="14" t="s">
        <v>76</v>
      </c>
      <c r="B39">
        <v>1</v>
      </c>
      <c r="C39">
        <v>0</v>
      </c>
      <c r="D39">
        <v>0</v>
      </c>
      <c r="E39" s="2">
        <v>1</v>
      </c>
      <c r="F39">
        <v>1</v>
      </c>
      <c r="G39" s="2">
        <v>0</v>
      </c>
      <c r="H39">
        <v>1</v>
      </c>
      <c r="I39" s="2">
        <v>1</v>
      </c>
      <c r="J39">
        <v>1</v>
      </c>
      <c r="K39" s="2">
        <v>0</v>
      </c>
      <c r="L39">
        <v>1</v>
      </c>
      <c r="M39" s="2">
        <v>1</v>
      </c>
    </row>
    <row r="40" spans="1:13" x14ac:dyDescent="0.35">
      <c r="A40" s="14" t="s">
        <v>77</v>
      </c>
      <c r="B40">
        <v>1</v>
      </c>
      <c r="C40">
        <v>0</v>
      </c>
      <c r="D40">
        <v>0</v>
      </c>
      <c r="E40" s="2">
        <v>0</v>
      </c>
      <c r="F40">
        <v>1</v>
      </c>
      <c r="G40" s="2">
        <v>1</v>
      </c>
      <c r="H40">
        <v>0</v>
      </c>
      <c r="I40" s="2">
        <v>1</v>
      </c>
      <c r="J40">
        <v>1</v>
      </c>
      <c r="K40" s="2">
        <v>1</v>
      </c>
      <c r="L40">
        <v>0</v>
      </c>
      <c r="M40" s="2">
        <v>0</v>
      </c>
    </row>
    <row r="41" spans="1:13" x14ac:dyDescent="0.35">
      <c r="A41" s="14" t="s">
        <v>78</v>
      </c>
      <c r="B41">
        <v>1</v>
      </c>
      <c r="C41">
        <v>0</v>
      </c>
      <c r="D41">
        <v>0</v>
      </c>
      <c r="E41" s="2">
        <v>0</v>
      </c>
      <c r="F41">
        <v>0</v>
      </c>
      <c r="G41" s="2">
        <v>0</v>
      </c>
      <c r="H41">
        <v>0</v>
      </c>
      <c r="I41" s="2">
        <v>1</v>
      </c>
      <c r="J41">
        <v>1</v>
      </c>
      <c r="K41" s="2">
        <v>0</v>
      </c>
      <c r="L41">
        <v>0</v>
      </c>
      <c r="M41" s="2">
        <v>0</v>
      </c>
    </row>
    <row r="42" spans="1:13" x14ac:dyDescent="0.35">
      <c r="A42" s="14" t="s">
        <v>79</v>
      </c>
      <c r="B42">
        <v>0</v>
      </c>
      <c r="C42">
        <v>0</v>
      </c>
      <c r="D42">
        <v>0</v>
      </c>
      <c r="E42" s="2">
        <v>1</v>
      </c>
      <c r="F42">
        <v>1</v>
      </c>
      <c r="G42" s="2">
        <v>0</v>
      </c>
      <c r="H42">
        <v>1</v>
      </c>
      <c r="I42" s="2">
        <v>1</v>
      </c>
      <c r="J42">
        <v>1</v>
      </c>
      <c r="K42" s="2">
        <v>1</v>
      </c>
      <c r="L42">
        <v>0</v>
      </c>
      <c r="M42" s="2">
        <v>1</v>
      </c>
    </row>
    <row r="43" spans="1:13" x14ac:dyDescent="0.35">
      <c r="A43" s="14" t="s">
        <v>80</v>
      </c>
      <c r="B43">
        <v>1</v>
      </c>
      <c r="C43">
        <v>0</v>
      </c>
      <c r="D43">
        <v>1</v>
      </c>
      <c r="E43" s="2">
        <v>1</v>
      </c>
      <c r="F43">
        <v>1</v>
      </c>
      <c r="G43" s="2">
        <v>0</v>
      </c>
      <c r="H43">
        <v>0</v>
      </c>
      <c r="I43" s="2">
        <v>1</v>
      </c>
      <c r="J43">
        <v>1</v>
      </c>
      <c r="K43" s="2">
        <v>0</v>
      </c>
      <c r="L43">
        <v>1</v>
      </c>
      <c r="M43" s="2">
        <v>1</v>
      </c>
    </row>
    <row r="44" spans="1:13" x14ac:dyDescent="0.35">
      <c r="A44" s="16" t="s">
        <v>81</v>
      </c>
      <c r="B44">
        <f>AVERAGE(B21:B43)</f>
        <v>0.91304347826086951</v>
      </c>
      <c r="C44">
        <f t="shared" ref="C44:M44" si="1">AVERAGE(C21:C43)</f>
        <v>0.21739130434782608</v>
      </c>
      <c r="D44">
        <f t="shared" si="1"/>
        <v>0.43478260869565216</v>
      </c>
      <c r="E44">
        <f t="shared" si="1"/>
        <v>0.78260869565217395</v>
      </c>
      <c r="F44">
        <f t="shared" si="1"/>
        <v>0.91304347826086951</v>
      </c>
      <c r="G44">
        <f t="shared" si="1"/>
        <v>9.0909090909090912E-2</v>
      </c>
      <c r="H44">
        <f t="shared" si="1"/>
        <v>0.40909090909090912</v>
      </c>
      <c r="I44">
        <f t="shared" si="1"/>
        <v>0.86956521739130432</v>
      </c>
      <c r="J44">
        <f t="shared" si="1"/>
        <v>0.86956521739130432</v>
      </c>
      <c r="K44">
        <f t="shared" si="1"/>
        <v>0.47826086956521741</v>
      </c>
      <c r="L44">
        <f t="shared" si="1"/>
        <v>0.47826086956521741</v>
      </c>
      <c r="M44">
        <f t="shared" si="1"/>
        <v>0.47826086956521741</v>
      </c>
    </row>
  </sheetData>
  <mergeCells count="3">
    <mergeCell ref="B1:E1"/>
    <mergeCell ref="F1:I1"/>
    <mergeCell ref="J1:M1"/>
  </mergeCells>
  <conditionalFormatting sqref="B3:M17 B20:M22 I23:M23 B23:F43 G24:M43">
    <cfRule type="cellIs" dxfId="0" priority="1" operator="greaterThan">
      <formula>0</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classi</vt:lpstr>
      <vt:lpstr>Qualitative Measures</vt:lpstr>
      <vt:lpstr>imf</vt:lpstr>
      <vt:lpstr>paper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2024-05-05T09:16:44Z</dcterms:created>
  <dcterms:modified xsi:type="dcterms:W3CDTF">2024-05-26T09:13:56Z</dcterms:modified>
</cp:coreProperties>
</file>