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3" documentId="8_{9A6895BE-CEBB-4951-ADA5-D835314868EB}" xr6:coauthVersionLast="47" xr6:coauthVersionMax="47" xr10:uidLastSave="{CC0DAE3B-F665-4D72-91A4-3D0810692322}"/>
  <bookViews>
    <workbookView xWindow="-30480" yWindow="-21720" windowWidth="51840" windowHeight="21120" activeTab="2" xr2:uid="{5DEAAF2B-380D-4CA8-952E-F9231D85968A}"/>
  </bookViews>
  <sheets>
    <sheet name="2020" sheetId="11" r:id="rId1"/>
    <sheet name="2021" sheetId="12" r:id="rId2"/>
    <sheet name="data" sheetId="13" r:id="rId3"/>
    <sheet name="diff" sheetId="15" r:id="rId4"/>
    <sheet name="Security" sheetId="14" r:id="rId5"/>
    <sheet name="Database" sheetId="8" r:id="rId6"/>
    <sheet name="Figure" sheetId="1" r:id="rId7"/>
  </sheets>
  <definedNames>
    <definedName name="_xlnm._FilterDatabase" localSheetId="5" hidden="1">Database!$A$5:$F$197</definedName>
    <definedName name="_xlnm.Print_Area" localSheetId="0">'2020'!$B$1:$S$46</definedName>
    <definedName name="_xlnm.Print_Area" localSheetId="1">'2021'!$B$1:$R$46</definedName>
    <definedName name="_xlnm.Print_Area" localSheetId="5">Database!$C$2:$X$198</definedName>
    <definedName name="_xlnm.Print_Titles" localSheetId="0">'2020'!$1:$6</definedName>
    <definedName name="_xlnm.Print_Titles" localSheetId="1">'2021'!$1:$6</definedName>
    <definedName name="_xlnm.Print_Titles" localSheetId="5">Database!$4:$5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5" i="13" l="1"/>
  <c r="C261" i="15"/>
  <c r="I41" i="15" l="1"/>
  <c r="J41" i="15"/>
  <c r="I42" i="15"/>
  <c r="J42" i="15"/>
  <c r="I43" i="15"/>
  <c r="J43" i="15"/>
  <c r="I44" i="15"/>
  <c r="J44" i="15"/>
  <c r="Z44" i="15" s="1"/>
  <c r="I45" i="15"/>
  <c r="J45" i="15"/>
  <c r="I46" i="15"/>
  <c r="J46" i="15"/>
  <c r="I47" i="15"/>
  <c r="J47" i="15"/>
  <c r="I48" i="15"/>
  <c r="J48" i="15"/>
  <c r="Z48" i="15" s="1"/>
  <c r="I49" i="15"/>
  <c r="J49" i="15"/>
  <c r="I50" i="15"/>
  <c r="J50" i="15"/>
  <c r="I51" i="15"/>
  <c r="J51" i="15"/>
  <c r="I52" i="15"/>
  <c r="J52" i="15"/>
  <c r="Z52" i="15" s="1"/>
  <c r="I53" i="15"/>
  <c r="J53" i="15"/>
  <c r="I54" i="15"/>
  <c r="J54" i="15"/>
  <c r="I55" i="15"/>
  <c r="J55" i="15"/>
  <c r="I56" i="15"/>
  <c r="J56" i="15"/>
  <c r="Z56" i="15" s="1"/>
  <c r="I57" i="15"/>
  <c r="J57" i="15"/>
  <c r="I58" i="15"/>
  <c r="J58" i="15"/>
  <c r="I59" i="15"/>
  <c r="J59" i="15"/>
  <c r="I60" i="15"/>
  <c r="J60" i="15"/>
  <c r="Z60" i="15" s="1"/>
  <c r="I61" i="15"/>
  <c r="J61" i="15"/>
  <c r="I62" i="15"/>
  <c r="J62" i="15"/>
  <c r="I63" i="15"/>
  <c r="J63" i="15"/>
  <c r="I64" i="15"/>
  <c r="J64" i="15"/>
  <c r="Z64" i="15" s="1"/>
  <c r="I65" i="15"/>
  <c r="J65" i="15"/>
  <c r="I66" i="15"/>
  <c r="J66" i="15"/>
  <c r="I67" i="15"/>
  <c r="J67" i="15"/>
  <c r="I68" i="15"/>
  <c r="J68" i="15"/>
  <c r="Z68" i="15" s="1"/>
  <c r="I69" i="15"/>
  <c r="J69" i="15"/>
  <c r="I70" i="15"/>
  <c r="J70" i="15"/>
  <c r="I71" i="15"/>
  <c r="J71" i="15"/>
  <c r="I72" i="15"/>
  <c r="J72" i="15"/>
  <c r="Z72" i="15" s="1"/>
  <c r="I73" i="15"/>
  <c r="J73" i="15"/>
  <c r="I74" i="15"/>
  <c r="J74" i="15"/>
  <c r="I75" i="15"/>
  <c r="J75" i="15"/>
  <c r="I76" i="15"/>
  <c r="J76" i="15"/>
  <c r="Z76" i="15" s="1"/>
  <c r="I77" i="15"/>
  <c r="J77" i="15"/>
  <c r="H41" i="15"/>
  <c r="H42" i="15"/>
  <c r="H43" i="15"/>
  <c r="H44" i="15"/>
  <c r="H45" i="15"/>
  <c r="H46" i="15"/>
  <c r="V46" i="15" s="1"/>
  <c r="H47" i="15"/>
  <c r="H48" i="15"/>
  <c r="V48" i="15" s="1"/>
  <c r="H49" i="15"/>
  <c r="H50" i="15"/>
  <c r="H51" i="15"/>
  <c r="H52" i="15"/>
  <c r="H53" i="15"/>
  <c r="H54" i="15"/>
  <c r="G54" i="15" s="1"/>
  <c r="H55" i="15"/>
  <c r="H56" i="15"/>
  <c r="V56" i="15" s="1"/>
  <c r="H57" i="15"/>
  <c r="H58" i="15"/>
  <c r="H59" i="15"/>
  <c r="H60" i="15"/>
  <c r="H61" i="15"/>
  <c r="H62" i="15"/>
  <c r="G62" i="15" s="1"/>
  <c r="H63" i="15"/>
  <c r="H64" i="15"/>
  <c r="V64" i="15" s="1"/>
  <c r="H65" i="15"/>
  <c r="H66" i="15"/>
  <c r="H67" i="15"/>
  <c r="H68" i="15"/>
  <c r="H69" i="15"/>
  <c r="H70" i="15"/>
  <c r="U70" i="15" s="1"/>
  <c r="H71" i="15"/>
  <c r="H72" i="15"/>
  <c r="H73" i="15"/>
  <c r="H74" i="15"/>
  <c r="H75" i="15"/>
  <c r="H76" i="15"/>
  <c r="H77" i="15"/>
  <c r="F41" i="15"/>
  <c r="Q41" i="15" s="1"/>
  <c r="F42" i="15"/>
  <c r="F43" i="15"/>
  <c r="F44" i="15"/>
  <c r="F45" i="15"/>
  <c r="F46" i="15"/>
  <c r="F47" i="15"/>
  <c r="F48" i="15"/>
  <c r="R48" i="15" s="1"/>
  <c r="F49" i="15"/>
  <c r="R49" i="15" s="1"/>
  <c r="F50" i="15"/>
  <c r="F51" i="15"/>
  <c r="F52" i="15"/>
  <c r="F53" i="15"/>
  <c r="F54" i="15"/>
  <c r="F55" i="15"/>
  <c r="F56" i="15"/>
  <c r="R56" i="15" s="1"/>
  <c r="F57" i="15"/>
  <c r="R57" i="15" s="1"/>
  <c r="F58" i="15"/>
  <c r="F59" i="15"/>
  <c r="F60" i="15"/>
  <c r="F61" i="15"/>
  <c r="F62" i="15"/>
  <c r="F63" i="15"/>
  <c r="F64" i="15"/>
  <c r="R64" i="15" s="1"/>
  <c r="F65" i="15"/>
  <c r="R65" i="15" s="1"/>
  <c r="F66" i="15"/>
  <c r="F67" i="15"/>
  <c r="F68" i="15"/>
  <c r="F69" i="15"/>
  <c r="F70" i="15"/>
  <c r="F71" i="15"/>
  <c r="F72" i="15"/>
  <c r="R72" i="15" s="1"/>
  <c r="F73" i="15"/>
  <c r="R73" i="15" s="1"/>
  <c r="F74" i="15"/>
  <c r="F75" i="15"/>
  <c r="F76" i="15"/>
  <c r="F77" i="15"/>
  <c r="E41" i="15"/>
  <c r="E42" i="15"/>
  <c r="E43" i="15"/>
  <c r="E44" i="15"/>
  <c r="C44" i="15" s="1"/>
  <c r="E45" i="15"/>
  <c r="E46" i="15"/>
  <c r="P46" i="15" s="1"/>
  <c r="E47" i="15"/>
  <c r="O47" i="15" s="1"/>
  <c r="E48" i="15"/>
  <c r="P48" i="15" s="1"/>
  <c r="E49" i="15"/>
  <c r="E50" i="15"/>
  <c r="E51" i="15"/>
  <c r="E52" i="15"/>
  <c r="O52" i="15" s="1"/>
  <c r="E53" i="15"/>
  <c r="E54" i="15"/>
  <c r="O54" i="15" s="1"/>
  <c r="E55" i="15"/>
  <c r="P55" i="15" s="1"/>
  <c r="E56" i="15"/>
  <c r="P56" i="15" s="1"/>
  <c r="E57" i="15"/>
  <c r="E58" i="15"/>
  <c r="E59" i="15"/>
  <c r="E60" i="15"/>
  <c r="C60" i="15" s="1"/>
  <c r="E61" i="15"/>
  <c r="E62" i="15"/>
  <c r="P62" i="15" s="1"/>
  <c r="E63" i="15"/>
  <c r="O63" i="15" s="1"/>
  <c r="E64" i="15"/>
  <c r="P64" i="15" s="1"/>
  <c r="E65" i="15"/>
  <c r="E66" i="15"/>
  <c r="E67" i="15"/>
  <c r="E68" i="15"/>
  <c r="P68" i="15" s="1"/>
  <c r="E69" i="15"/>
  <c r="E70" i="15"/>
  <c r="P70" i="15" s="1"/>
  <c r="E71" i="15"/>
  <c r="P71" i="15" s="1"/>
  <c r="E72" i="15"/>
  <c r="P72" i="15" s="1"/>
  <c r="E73" i="15"/>
  <c r="E74" i="15"/>
  <c r="E75" i="15"/>
  <c r="E76" i="15"/>
  <c r="O76" i="15" s="1"/>
  <c r="K76" i="15" s="1"/>
  <c r="E77" i="15"/>
  <c r="D41" i="15"/>
  <c r="D42" i="15"/>
  <c r="D43" i="15"/>
  <c r="D44" i="15"/>
  <c r="D45" i="15"/>
  <c r="D46" i="15"/>
  <c r="N46" i="15" s="1"/>
  <c r="D47" i="15"/>
  <c r="D48" i="15"/>
  <c r="N48" i="15" s="1"/>
  <c r="D49" i="15"/>
  <c r="D50" i="15"/>
  <c r="D51" i="15"/>
  <c r="D52" i="15"/>
  <c r="D53" i="15"/>
  <c r="D54" i="15"/>
  <c r="N54" i="15" s="1"/>
  <c r="D55" i="15"/>
  <c r="D56" i="15"/>
  <c r="D57" i="15"/>
  <c r="D58" i="15"/>
  <c r="D59" i="15"/>
  <c r="D60" i="15"/>
  <c r="D61" i="15"/>
  <c r="D62" i="15"/>
  <c r="D63" i="15"/>
  <c r="N63" i="15" s="1"/>
  <c r="D64" i="15"/>
  <c r="N64" i="15" s="1"/>
  <c r="D65" i="15"/>
  <c r="D66" i="15"/>
  <c r="D67" i="15"/>
  <c r="D68" i="15"/>
  <c r="D69" i="15"/>
  <c r="D70" i="15"/>
  <c r="N70" i="15" s="1"/>
  <c r="D71" i="15"/>
  <c r="N71" i="15" s="1"/>
  <c r="D72" i="15"/>
  <c r="N72" i="15" s="1"/>
  <c r="D73" i="15"/>
  <c r="D74" i="15"/>
  <c r="D75" i="15"/>
  <c r="D76" i="15"/>
  <c r="D77" i="15"/>
  <c r="J40" i="15"/>
  <c r="I40" i="15"/>
  <c r="W40" i="15" s="1"/>
  <c r="H40" i="15"/>
  <c r="F40" i="15"/>
  <c r="E40" i="15"/>
  <c r="D40" i="15"/>
  <c r="Z272" i="15"/>
  <c r="Y272" i="15"/>
  <c r="X272" i="15"/>
  <c r="W272" i="15"/>
  <c r="V272" i="15"/>
  <c r="U272" i="15"/>
  <c r="S272" i="15"/>
  <c r="R272" i="15"/>
  <c r="Q272" i="15"/>
  <c r="P272" i="15"/>
  <c r="L272" i="15" s="1"/>
  <c r="O272" i="15"/>
  <c r="K272" i="15" s="1"/>
  <c r="N272" i="15"/>
  <c r="M272" i="15"/>
  <c r="G272" i="15"/>
  <c r="C272" i="15"/>
  <c r="Z271" i="15"/>
  <c r="Y271" i="15"/>
  <c r="X271" i="15"/>
  <c r="T271" i="15" s="1"/>
  <c r="W271" i="15"/>
  <c r="V271" i="15"/>
  <c r="U271" i="15"/>
  <c r="S271" i="15" s="1"/>
  <c r="R271" i="15"/>
  <c r="Q271" i="15"/>
  <c r="P271" i="15"/>
  <c r="L271" i="15" s="1"/>
  <c r="O271" i="15"/>
  <c r="N271" i="15"/>
  <c r="M271" i="15"/>
  <c r="G271" i="15"/>
  <c r="C271" i="15"/>
  <c r="Z270" i="15"/>
  <c r="Y270" i="15"/>
  <c r="X270" i="15"/>
  <c r="T270" i="15" s="1"/>
  <c r="W270" i="15"/>
  <c r="V270" i="15"/>
  <c r="U270" i="15"/>
  <c r="S270" i="15" s="1"/>
  <c r="R270" i="15"/>
  <c r="Q270" i="15"/>
  <c r="P270" i="15"/>
  <c r="L270" i="15" s="1"/>
  <c r="O270" i="15"/>
  <c r="N270" i="15"/>
  <c r="M270" i="15"/>
  <c r="G270" i="15"/>
  <c r="C270" i="15"/>
  <c r="Z269" i="15"/>
  <c r="Y269" i="15"/>
  <c r="X269" i="15"/>
  <c r="W269" i="15"/>
  <c r="V269" i="15"/>
  <c r="U269" i="15"/>
  <c r="R269" i="15"/>
  <c r="Q269" i="15"/>
  <c r="P269" i="15"/>
  <c r="O269" i="15"/>
  <c r="K269" i="15" s="1"/>
  <c r="N269" i="15"/>
  <c r="M269" i="15"/>
  <c r="G269" i="15"/>
  <c r="C269" i="15"/>
  <c r="Z268" i="15"/>
  <c r="Y268" i="15"/>
  <c r="X268" i="15"/>
  <c r="T268" i="15" s="1"/>
  <c r="W268" i="15"/>
  <c r="S268" i="15" s="1"/>
  <c r="V268" i="15"/>
  <c r="U268" i="15"/>
  <c r="R268" i="15"/>
  <c r="Q268" i="15"/>
  <c r="P268" i="15"/>
  <c r="O268" i="15"/>
  <c r="N268" i="15"/>
  <c r="M268" i="15"/>
  <c r="K268" i="15" s="1"/>
  <c r="G268" i="15"/>
  <c r="C268" i="15"/>
  <c r="Z267" i="15"/>
  <c r="Y267" i="15"/>
  <c r="X267" i="15"/>
  <c r="W267" i="15"/>
  <c r="V267" i="15"/>
  <c r="T267" i="15" s="1"/>
  <c r="U267" i="15"/>
  <c r="R267" i="15"/>
  <c r="Q267" i="15"/>
  <c r="P267" i="15"/>
  <c r="O267" i="15"/>
  <c r="N267" i="15"/>
  <c r="L267" i="15" s="1"/>
  <c r="M267" i="15"/>
  <c r="G267" i="15"/>
  <c r="C267" i="15"/>
  <c r="Z266" i="15"/>
  <c r="Y266" i="15"/>
  <c r="X266" i="15"/>
  <c r="W266" i="15"/>
  <c r="V266" i="15"/>
  <c r="T266" i="15" s="1"/>
  <c r="U266" i="15"/>
  <c r="R266" i="15"/>
  <c r="Q266" i="15"/>
  <c r="P266" i="15"/>
  <c r="O266" i="15"/>
  <c r="N266" i="15"/>
  <c r="L266" i="15" s="1"/>
  <c r="M266" i="15"/>
  <c r="K266" i="15" s="1"/>
  <c r="G266" i="15"/>
  <c r="C266" i="15"/>
  <c r="Z265" i="15"/>
  <c r="Y265" i="15"/>
  <c r="X265" i="15"/>
  <c r="W265" i="15"/>
  <c r="S265" i="15" s="1"/>
  <c r="V265" i="15"/>
  <c r="T265" i="15" s="1"/>
  <c r="U265" i="15"/>
  <c r="R265" i="15"/>
  <c r="Q265" i="15"/>
  <c r="P265" i="15"/>
  <c r="O265" i="15"/>
  <c r="N265" i="15"/>
  <c r="L265" i="15" s="1"/>
  <c r="M265" i="15"/>
  <c r="G265" i="15"/>
  <c r="C265" i="15"/>
  <c r="Z264" i="15"/>
  <c r="Y264" i="15"/>
  <c r="X264" i="15"/>
  <c r="W264" i="15"/>
  <c r="V264" i="15"/>
  <c r="U264" i="15"/>
  <c r="S264" i="15"/>
  <c r="R264" i="15"/>
  <c r="Q264" i="15"/>
  <c r="P264" i="15"/>
  <c r="O264" i="15"/>
  <c r="N264" i="15"/>
  <c r="M264" i="15"/>
  <c r="K264" i="15"/>
  <c r="G264" i="15"/>
  <c r="C264" i="15"/>
  <c r="Z263" i="15"/>
  <c r="Y263" i="15"/>
  <c r="X263" i="15"/>
  <c r="W263" i="15"/>
  <c r="V263" i="15"/>
  <c r="U263" i="15"/>
  <c r="S263" i="15" s="1"/>
  <c r="T263" i="15"/>
  <c r="R263" i="15"/>
  <c r="Q263" i="15"/>
  <c r="P263" i="15"/>
  <c r="O263" i="15"/>
  <c r="N263" i="15"/>
  <c r="M263" i="15"/>
  <c r="K263" i="15" s="1"/>
  <c r="L263" i="15"/>
  <c r="G263" i="15"/>
  <c r="C263" i="15"/>
  <c r="Z262" i="15"/>
  <c r="Y262" i="15"/>
  <c r="X262" i="15"/>
  <c r="W262" i="15"/>
  <c r="V262" i="15"/>
  <c r="U262" i="15"/>
  <c r="T262" i="15"/>
  <c r="R262" i="15"/>
  <c r="Q262" i="15"/>
  <c r="P262" i="15"/>
  <c r="O262" i="15"/>
  <c r="N262" i="15"/>
  <c r="M262" i="15"/>
  <c r="K262" i="15" s="1"/>
  <c r="L262" i="15"/>
  <c r="G262" i="15"/>
  <c r="C262" i="15"/>
  <c r="Z261" i="15"/>
  <c r="Y261" i="15"/>
  <c r="X261" i="15"/>
  <c r="W261" i="15"/>
  <c r="V261" i="15"/>
  <c r="T261" i="15" s="1"/>
  <c r="U261" i="15"/>
  <c r="R261" i="15"/>
  <c r="Q261" i="15"/>
  <c r="P261" i="15"/>
  <c r="O261" i="15"/>
  <c r="N261" i="15"/>
  <c r="L261" i="15" s="1"/>
  <c r="M261" i="15"/>
  <c r="G261" i="15"/>
  <c r="Z260" i="15"/>
  <c r="Y260" i="15"/>
  <c r="X260" i="15"/>
  <c r="W260" i="15"/>
  <c r="V260" i="15"/>
  <c r="U260" i="15"/>
  <c r="S260" i="15"/>
  <c r="R260" i="15"/>
  <c r="Q260" i="15"/>
  <c r="P260" i="15"/>
  <c r="O260" i="15"/>
  <c r="N260" i="15"/>
  <c r="M260" i="15"/>
  <c r="K260" i="15" s="1"/>
  <c r="G260" i="15"/>
  <c r="C260" i="15"/>
  <c r="Z259" i="15"/>
  <c r="Y259" i="15"/>
  <c r="X259" i="15"/>
  <c r="W259" i="15"/>
  <c r="V259" i="15"/>
  <c r="U259" i="15"/>
  <c r="S259" i="15" s="1"/>
  <c r="T259" i="15"/>
  <c r="R259" i="15"/>
  <c r="Q259" i="15"/>
  <c r="P259" i="15"/>
  <c r="O259" i="15"/>
  <c r="N259" i="15"/>
  <c r="M259" i="15"/>
  <c r="K259" i="15" s="1"/>
  <c r="L259" i="15"/>
  <c r="G259" i="15"/>
  <c r="C259" i="15"/>
  <c r="Z258" i="15"/>
  <c r="Y258" i="15"/>
  <c r="X258" i="15"/>
  <c r="W258" i="15"/>
  <c r="V258" i="15"/>
  <c r="U258" i="15"/>
  <c r="S258" i="15" s="1"/>
  <c r="T258" i="15"/>
  <c r="R258" i="15"/>
  <c r="Q258" i="15"/>
  <c r="P258" i="15"/>
  <c r="O258" i="15"/>
  <c r="N258" i="15"/>
  <c r="M258" i="15"/>
  <c r="K258" i="15" s="1"/>
  <c r="L258" i="15"/>
  <c r="G258" i="15"/>
  <c r="C258" i="15"/>
  <c r="Z257" i="15"/>
  <c r="Y257" i="15"/>
  <c r="X257" i="15"/>
  <c r="W257" i="15"/>
  <c r="V257" i="15"/>
  <c r="T257" i="15" s="1"/>
  <c r="U257" i="15"/>
  <c r="R257" i="15"/>
  <c r="Q257" i="15"/>
  <c r="P257" i="15"/>
  <c r="O257" i="15"/>
  <c r="N257" i="15"/>
  <c r="M257" i="15"/>
  <c r="G257" i="15"/>
  <c r="C257" i="15"/>
  <c r="Z256" i="15"/>
  <c r="Y256" i="15"/>
  <c r="X256" i="15"/>
  <c r="T256" i="15" s="1"/>
  <c r="W256" i="15"/>
  <c r="V256" i="15"/>
  <c r="U256" i="15"/>
  <c r="S256" i="15"/>
  <c r="R256" i="15"/>
  <c r="Q256" i="15"/>
  <c r="P256" i="15"/>
  <c r="L256" i="15" s="1"/>
  <c r="O256" i="15"/>
  <c r="N256" i="15"/>
  <c r="M256" i="15"/>
  <c r="K256" i="15" s="1"/>
  <c r="G256" i="15"/>
  <c r="C256" i="15"/>
  <c r="Z255" i="15"/>
  <c r="Y255" i="15"/>
  <c r="X255" i="15"/>
  <c r="T255" i="15" s="1"/>
  <c r="W255" i="15"/>
  <c r="V255" i="15"/>
  <c r="U255" i="15"/>
  <c r="S255" i="15" s="1"/>
  <c r="R255" i="15"/>
  <c r="Q255" i="15"/>
  <c r="P255" i="15"/>
  <c r="L255" i="15" s="1"/>
  <c r="O255" i="15"/>
  <c r="N255" i="15"/>
  <c r="M255" i="15"/>
  <c r="G255" i="15"/>
  <c r="C255" i="15"/>
  <c r="Z254" i="15"/>
  <c r="Y254" i="15"/>
  <c r="X254" i="15"/>
  <c r="T254" i="15" s="1"/>
  <c r="W254" i="15"/>
  <c r="V254" i="15"/>
  <c r="U254" i="15"/>
  <c r="S254" i="15" s="1"/>
  <c r="R254" i="15"/>
  <c r="Q254" i="15"/>
  <c r="P254" i="15"/>
  <c r="L254" i="15" s="1"/>
  <c r="O254" i="15"/>
  <c r="N254" i="15"/>
  <c r="M254" i="15"/>
  <c r="G254" i="15"/>
  <c r="C254" i="15"/>
  <c r="Z253" i="15"/>
  <c r="Y253" i="15"/>
  <c r="X253" i="15"/>
  <c r="W253" i="15"/>
  <c r="V253" i="15"/>
  <c r="U253" i="15"/>
  <c r="R253" i="15"/>
  <c r="Q253" i="15"/>
  <c r="P253" i="15"/>
  <c r="O253" i="15"/>
  <c r="K253" i="15" s="1"/>
  <c r="N253" i="15"/>
  <c r="L253" i="15" s="1"/>
  <c r="M253" i="15"/>
  <c r="G253" i="15"/>
  <c r="C253" i="15"/>
  <c r="Z252" i="15"/>
  <c r="Y252" i="15"/>
  <c r="X252" i="15"/>
  <c r="W252" i="15"/>
  <c r="S252" i="15" s="1"/>
  <c r="V252" i="15"/>
  <c r="U252" i="15"/>
  <c r="R252" i="15"/>
  <c r="Q252" i="15"/>
  <c r="P252" i="15"/>
  <c r="O252" i="15"/>
  <c r="N252" i="15"/>
  <c r="M252" i="15"/>
  <c r="K252" i="15" s="1"/>
  <c r="G252" i="15"/>
  <c r="C252" i="15"/>
  <c r="Z251" i="15"/>
  <c r="Y251" i="15"/>
  <c r="X251" i="15"/>
  <c r="W251" i="15"/>
  <c r="V251" i="15"/>
  <c r="T251" i="15" s="1"/>
  <c r="U251" i="15"/>
  <c r="R251" i="15"/>
  <c r="Q251" i="15"/>
  <c r="P251" i="15"/>
  <c r="O251" i="15"/>
  <c r="N251" i="15"/>
  <c r="L251" i="15" s="1"/>
  <c r="M251" i="15"/>
  <c r="G251" i="15"/>
  <c r="C251" i="15"/>
  <c r="Z250" i="15"/>
  <c r="Y250" i="15"/>
  <c r="X250" i="15"/>
  <c r="W250" i="15"/>
  <c r="V250" i="15"/>
  <c r="U250" i="15"/>
  <c r="R250" i="15"/>
  <c r="Q250" i="15"/>
  <c r="P250" i="15"/>
  <c r="O250" i="15"/>
  <c r="N250" i="15"/>
  <c r="L250" i="15" s="1"/>
  <c r="M250" i="15"/>
  <c r="K250" i="15" s="1"/>
  <c r="G250" i="15"/>
  <c r="C250" i="15"/>
  <c r="Z249" i="15"/>
  <c r="Y249" i="15"/>
  <c r="X249" i="15"/>
  <c r="W249" i="15"/>
  <c r="S249" i="15" s="1"/>
  <c r="V249" i="15"/>
  <c r="T249" i="15" s="1"/>
  <c r="U249" i="15"/>
  <c r="R249" i="15"/>
  <c r="Q249" i="15"/>
  <c r="P249" i="15"/>
  <c r="O249" i="15"/>
  <c r="N249" i="15"/>
  <c r="L249" i="15" s="1"/>
  <c r="M249" i="15"/>
  <c r="G249" i="15"/>
  <c r="C249" i="15"/>
  <c r="Z248" i="15"/>
  <c r="Y248" i="15"/>
  <c r="X248" i="15"/>
  <c r="W248" i="15"/>
  <c r="V248" i="15"/>
  <c r="U248" i="15"/>
  <c r="S248" i="15"/>
  <c r="R248" i="15"/>
  <c r="Q248" i="15"/>
  <c r="P248" i="15"/>
  <c r="O248" i="15"/>
  <c r="N248" i="15"/>
  <c r="M248" i="15"/>
  <c r="K248" i="15" s="1"/>
  <c r="G248" i="15"/>
  <c r="C248" i="15"/>
  <c r="Z247" i="15"/>
  <c r="Y247" i="15"/>
  <c r="X247" i="15"/>
  <c r="W247" i="15"/>
  <c r="V247" i="15"/>
  <c r="U247" i="15"/>
  <c r="S247" i="15" s="1"/>
  <c r="T247" i="15"/>
  <c r="R247" i="15"/>
  <c r="Q247" i="15"/>
  <c r="P247" i="15"/>
  <c r="O247" i="15"/>
  <c r="N247" i="15"/>
  <c r="M247" i="15"/>
  <c r="K247" i="15" s="1"/>
  <c r="L247" i="15"/>
  <c r="G247" i="15"/>
  <c r="C247" i="15"/>
  <c r="Z246" i="15"/>
  <c r="Y246" i="15"/>
  <c r="X246" i="15"/>
  <c r="W246" i="15"/>
  <c r="V246" i="15"/>
  <c r="U246" i="15"/>
  <c r="T246" i="15"/>
  <c r="R246" i="15"/>
  <c r="Q246" i="15"/>
  <c r="P246" i="15"/>
  <c r="O246" i="15"/>
  <c r="N246" i="15"/>
  <c r="M246" i="15"/>
  <c r="K246" i="15" s="1"/>
  <c r="L246" i="15"/>
  <c r="G246" i="15"/>
  <c r="C246" i="15"/>
  <c r="Z245" i="15"/>
  <c r="Y245" i="15"/>
  <c r="X245" i="15"/>
  <c r="W245" i="15"/>
  <c r="V245" i="15"/>
  <c r="T245" i="15" s="1"/>
  <c r="U245" i="15"/>
  <c r="R245" i="15"/>
  <c r="Q245" i="15"/>
  <c r="P245" i="15"/>
  <c r="O245" i="15"/>
  <c r="N245" i="15"/>
  <c r="L245" i="15" s="1"/>
  <c r="M245" i="15"/>
  <c r="G245" i="15"/>
  <c r="C245" i="15"/>
  <c r="Z244" i="15"/>
  <c r="Y244" i="15"/>
  <c r="X244" i="15"/>
  <c r="W244" i="15"/>
  <c r="V244" i="15"/>
  <c r="U244" i="15"/>
  <c r="S244" i="15"/>
  <c r="R244" i="15"/>
  <c r="Q244" i="15"/>
  <c r="P244" i="15"/>
  <c r="O244" i="15"/>
  <c r="N244" i="15"/>
  <c r="M244" i="15"/>
  <c r="K244" i="15" s="1"/>
  <c r="G244" i="15"/>
  <c r="C244" i="15"/>
  <c r="Z243" i="15"/>
  <c r="Y243" i="15"/>
  <c r="X243" i="15"/>
  <c r="W243" i="15"/>
  <c r="V243" i="15"/>
  <c r="U243" i="15"/>
  <c r="S243" i="15" s="1"/>
  <c r="T243" i="15"/>
  <c r="R243" i="15"/>
  <c r="Q243" i="15"/>
  <c r="P243" i="15"/>
  <c r="O243" i="15"/>
  <c r="N243" i="15"/>
  <c r="M243" i="15"/>
  <c r="K243" i="15" s="1"/>
  <c r="L243" i="15"/>
  <c r="G243" i="15"/>
  <c r="C243" i="15"/>
  <c r="Z242" i="15"/>
  <c r="Y242" i="15"/>
  <c r="X242" i="15"/>
  <c r="W242" i="15"/>
  <c r="V242" i="15"/>
  <c r="U242" i="15"/>
  <c r="S242" i="15" s="1"/>
  <c r="T242" i="15"/>
  <c r="R242" i="15"/>
  <c r="Q242" i="15"/>
  <c r="P242" i="15"/>
  <c r="O242" i="15"/>
  <c r="N242" i="15"/>
  <c r="M242" i="15"/>
  <c r="L242" i="15"/>
  <c r="G242" i="15"/>
  <c r="C242" i="15"/>
  <c r="Z241" i="15"/>
  <c r="Y241" i="15"/>
  <c r="X241" i="15"/>
  <c r="W241" i="15"/>
  <c r="V241" i="15"/>
  <c r="T241" i="15" s="1"/>
  <c r="U241" i="15"/>
  <c r="R241" i="15"/>
  <c r="Q241" i="15"/>
  <c r="P241" i="15"/>
  <c r="O241" i="15"/>
  <c r="N241" i="15"/>
  <c r="M241" i="15"/>
  <c r="G241" i="15"/>
  <c r="C241" i="15"/>
  <c r="Z240" i="15"/>
  <c r="Y240" i="15"/>
  <c r="X240" i="15"/>
  <c r="T240" i="15" s="1"/>
  <c r="W240" i="15"/>
  <c r="V240" i="15"/>
  <c r="U240" i="15"/>
  <c r="S240" i="15"/>
  <c r="R240" i="15"/>
  <c r="Q240" i="15"/>
  <c r="P240" i="15"/>
  <c r="L240" i="15" s="1"/>
  <c r="O240" i="15"/>
  <c r="K240" i="15" s="1"/>
  <c r="N240" i="15"/>
  <c r="M240" i="15"/>
  <c r="G240" i="15"/>
  <c r="C240" i="15"/>
  <c r="Z239" i="15"/>
  <c r="Y239" i="15"/>
  <c r="X239" i="15"/>
  <c r="T239" i="15" s="1"/>
  <c r="W239" i="15"/>
  <c r="V239" i="15"/>
  <c r="U239" i="15"/>
  <c r="S239" i="15" s="1"/>
  <c r="R239" i="15"/>
  <c r="Q239" i="15"/>
  <c r="P239" i="15"/>
  <c r="L239" i="15" s="1"/>
  <c r="O239" i="15"/>
  <c r="N239" i="15"/>
  <c r="M239" i="15"/>
  <c r="G239" i="15"/>
  <c r="C239" i="15"/>
  <c r="Z238" i="15"/>
  <c r="Y238" i="15"/>
  <c r="X238" i="15"/>
  <c r="T238" i="15" s="1"/>
  <c r="W238" i="15"/>
  <c r="V238" i="15"/>
  <c r="U238" i="15"/>
  <c r="S238" i="15" s="1"/>
  <c r="R238" i="15"/>
  <c r="Q238" i="15"/>
  <c r="P238" i="15"/>
  <c r="L238" i="15" s="1"/>
  <c r="O238" i="15"/>
  <c r="N238" i="15"/>
  <c r="M238" i="15"/>
  <c r="G238" i="15"/>
  <c r="C238" i="15"/>
  <c r="Z237" i="15"/>
  <c r="Y237" i="15"/>
  <c r="X237" i="15"/>
  <c r="W237" i="15"/>
  <c r="V237" i="15"/>
  <c r="U237" i="15"/>
  <c r="R237" i="15"/>
  <c r="Q237" i="15"/>
  <c r="P237" i="15"/>
  <c r="O237" i="15"/>
  <c r="K237" i="15" s="1"/>
  <c r="N237" i="15"/>
  <c r="M237" i="15"/>
  <c r="G237" i="15"/>
  <c r="C237" i="15"/>
  <c r="Z236" i="15"/>
  <c r="Y236" i="15"/>
  <c r="X236" i="15"/>
  <c r="T236" i="15" s="1"/>
  <c r="W236" i="15"/>
  <c r="S236" i="15" s="1"/>
  <c r="V236" i="15"/>
  <c r="U236" i="15"/>
  <c r="R236" i="15"/>
  <c r="Q236" i="15"/>
  <c r="P236" i="15"/>
  <c r="O236" i="15"/>
  <c r="N236" i="15"/>
  <c r="M236" i="15"/>
  <c r="K236" i="15" s="1"/>
  <c r="G236" i="15"/>
  <c r="C236" i="15"/>
  <c r="Z235" i="15"/>
  <c r="Y235" i="15"/>
  <c r="X235" i="15"/>
  <c r="W235" i="15"/>
  <c r="V235" i="15"/>
  <c r="T235" i="15" s="1"/>
  <c r="U235" i="15"/>
  <c r="R235" i="15"/>
  <c r="Q235" i="15"/>
  <c r="P235" i="15"/>
  <c r="O235" i="15"/>
  <c r="N235" i="15"/>
  <c r="L235" i="15" s="1"/>
  <c r="M235" i="15"/>
  <c r="G235" i="15"/>
  <c r="C235" i="15"/>
  <c r="Z233" i="15"/>
  <c r="Y233" i="15"/>
  <c r="X233" i="15"/>
  <c r="W233" i="15"/>
  <c r="V233" i="15"/>
  <c r="T233" i="15" s="1"/>
  <c r="U233" i="15"/>
  <c r="R233" i="15"/>
  <c r="Q233" i="15"/>
  <c r="P233" i="15"/>
  <c r="O233" i="15"/>
  <c r="N233" i="15"/>
  <c r="L233" i="15" s="1"/>
  <c r="M233" i="15"/>
  <c r="K233" i="15" s="1"/>
  <c r="G233" i="15"/>
  <c r="C233" i="15"/>
  <c r="Z232" i="15"/>
  <c r="Y232" i="15"/>
  <c r="X232" i="15"/>
  <c r="W232" i="15"/>
  <c r="S232" i="15" s="1"/>
  <c r="V232" i="15"/>
  <c r="T232" i="15" s="1"/>
  <c r="U232" i="15"/>
  <c r="R232" i="15"/>
  <c r="Q232" i="15"/>
  <c r="P232" i="15"/>
  <c r="O232" i="15"/>
  <c r="N232" i="15"/>
  <c r="L232" i="15" s="1"/>
  <c r="M232" i="15"/>
  <c r="G232" i="15"/>
  <c r="C232" i="15"/>
  <c r="Z231" i="15"/>
  <c r="Y231" i="15"/>
  <c r="X231" i="15"/>
  <c r="W231" i="15"/>
  <c r="V231" i="15"/>
  <c r="U231" i="15"/>
  <c r="S231" i="15"/>
  <c r="R231" i="15"/>
  <c r="Q231" i="15"/>
  <c r="P231" i="15"/>
  <c r="O231" i="15"/>
  <c r="N231" i="15"/>
  <c r="M231" i="15"/>
  <c r="K231" i="15" s="1"/>
  <c r="G231" i="15"/>
  <c r="C231" i="15"/>
  <c r="Z230" i="15"/>
  <c r="Y230" i="15"/>
  <c r="X230" i="15"/>
  <c r="W230" i="15"/>
  <c r="V230" i="15"/>
  <c r="U230" i="15"/>
  <c r="S230" i="15" s="1"/>
  <c r="T230" i="15"/>
  <c r="R230" i="15"/>
  <c r="Q230" i="15"/>
  <c r="P230" i="15"/>
  <c r="O230" i="15"/>
  <c r="N230" i="15"/>
  <c r="M230" i="15"/>
  <c r="K230" i="15" s="1"/>
  <c r="L230" i="15"/>
  <c r="G230" i="15"/>
  <c r="C230" i="15"/>
  <c r="Z229" i="15"/>
  <c r="Y229" i="15"/>
  <c r="X229" i="15"/>
  <c r="W229" i="15"/>
  <c r="V229" i="15"/>
  <c r="U229" i="15"/>
  <c r="T229" i="15"/>
  <c r="R229" i="15"/>
  <c r="Q229" i="15"/>
  <c r="P229" i="15"/>
  <c r="O229" i="15"/>
  <c r="N229" i="15"/>
  <c r="M229" i="15"/>
  <c r="K229" i="15" s="1"/>
  <c r="L229" i="15"/>
  <c r="G229" i="15"/>
  <c r="C229" i="15"/>
  <c r="Z228" i="15"/>
  <c r="Y228" i="15"/>
  <c r="X228" i="15"/>
  <c r="W228" i="15"/>
  <c r="V228" i="15"/>
  <c r="T228" i="15" s="1"/>
  <c r="U228" i="15"/>
  <c r="R228" i="15"/>
  <c r="Q228" i="15"/>
  <c r="P228" i="15"/>
  <c r="O228" i="15"/>
  <c r="N228" i="15"/>
  <c r="L228" i="15" s="1"/>
  <c r="M228" i="15"/>
  <c r="G228" i="15"/>
  <c r="C228" i="15"/>
  <c r="Z227" i="15"/>
  <c r="Y227" i="15"/>
  <c r="X227" i="15"/>
  <c r="W227" i="15"/>
  <c r="V227" i="15"/>
  <c r="U227" i="15"/>
  <c r="S227" i="15"/>
  <c r="R227" i="15"/>
  <c r="Q227" i="15"/>
  <c r="P227" i="15"/>
  <c r="O227" i="15"/>
  <c r="N227" i="15"/>
  <c r="M227" i="15"/>
  <c r="K227" i="15" s="1"/>
  <c r="G227" i="15"/>
  <c r="C227" i="15"/>
  <c r="Z226" i="15"/>
  <c r="Y226" i="15"/>
  <c r="X226" i="15"/>
  <c r="W226" i="15"/>
  <c r="V226" i="15"/>
  <c r="U226" i="15"/>
  <c r="S226" i="15" s="1"/>
  <c r="T226" i="15"/>
  <c r="R226" i="15"/>
  <c r="Q226" i="15"/>
  <c r="P226" i="15"/>
  <c r="O226" i="15"/>
  <c r="N226" i="15"/>
  <c r="M226" i="15"/>
  <c r="K226" i="15" s="1"/>
  <c r="L226" i="15"/>
  <c r="G226" i="15"/>
  <c r="C226" i="15"/>
  <c r="Z225" i="15"/>
  <c r="Y225" i="15"/>
  <c r="X225" i="15"/>
  <c r="W225" i="15"/>
  <c r="V225" i="15"/>
  <c r="U225" i="15"/>
  <c r="S225" i="15" s="1"/>
  <c r="T225" i="15"/>
  <c r="R225" i="15"/>
  <c r="Q225" i="15"/>
  <c r="P225" i="15"/>
  <c r="O225" i="15"/>
  <c r="N225" i="15"/>
  <c r="M225" i="15"/>
  <c r="L225" i="15"/>
  <c r="G225" i="15"/>
  <c r="C225" i="15"/>
  <c r="Z224" i="15"/>
  <c r="Y224" i="15"/>
  <c r="X224" i="15"/>
  <c r="W224" i="15"/>
  <c r="V224" i="15"/>
  <c r="T224" i="15" s="1"/>
  <c r="U224" i="15"/>
  <c r="R224" i="15"/>
  <c r="Q224" i="15"/>
  <c r="P224" i="15"/>
  <c r="O224" i="15"/>
  <c r="N224" i="15"/>
  <c r="M224" i="15"/>
  <c r="G224" i="15"/>
  <c r="C224" i="15"/>
  <c r="Z223" i="15"/>
  <c r="Y223" i="15"/>
  <c r="X223" i="15"/>
  <c r="T223" i="15" s="1"/>
  <c r="W223" i="15"/>
  <c r="V223" i="15"/>
  <c r="U223" i="15"/>
  <c r="S223" i="15"/>
  <c r="R223" i="15"/>
  <c r="Q223" i="15"/>
  <c r="P223" i="15"/>
  <c r="L223" i="15" s="1"/>
  <c r="O223" i="15"/>
  <c r="N223" i="15"/>
  <c r="M223" i="15"/>
  <c r="K223" i="15" s="1"/>
  <c r="G223" i="15"/>
  <c r="C223" i="15"/>
  <c r="Z222" i="15"/>
  <c r="Y222" i="15"/>
  <c r="X222" i="15"/>
  <c r="T222" i="15" s="1"/>
  <c r="W222" i="15"/>
  <c r="V222" i="15"/>
  <c r="U222" i="15"/>
  <c r="S222" i="15" s="1"/>
  <c r="R222" i="15"/>
  <c r="Q222" i="15"/>
  <c r="P222" i="15"/>
  <c r="L222" i="15" s="1"/>
  <c r="O222" i="15"/>
  <c r="N222" i="15"/>
  <c r="M222" i="15"/>
  <c r="G222" i="15"/>
  <c r="C222" i="15"/>
  <c r="Z221" i="15"/>
  <c r="Y221" i="15"/>
  <c r="X221" i="15"/>
  <c r="T221" i="15" s="1"/>
  <c r="W221" i="15"/>
  <c r="V221" i="15"/>
  <c r="U221" i="15"/>
  <c r="S221" i="15" s="1"/>
  <c r="R221" i="15"/>
  <c r="Q221" i="15"/>
  <c r="P221" i="15"/>
  <c r="O221" i="15"/>
  <c r="N221" i="15"/>
  <c r="M221" i="15"/>
  <c r="G221" i="15"/>
  <c r="C221" i="15"/>
  <c r="Z220" i="15"/>
  <c r="Y220" i="15"/>
  <c r="X220" i="15"/>
  <c r="W220" i="15"/>
  <c r="V220" i="15"/>
  <c r="U220" i="15"/>
  <c r="R220" i="15"/>
  <c r="Q220" i="15"/>
  <c r="P220" i="15"/>
  <c r="O220" i="15"/>
  <c r="K220" i="15" s="1"/>
  <c r="N220" i="15"/>
  <c r="L220" i="15" s="1"/>
  <c r="M220" i="15"/>
  <c r="G220" i="15"/>
  <c r="C220" i="15"/>
  <c r="Z219" i="15"/>
  <c r="Y219" i="15"/>
  <c r="X219" i="15"/>
  <c r="W219" i="15"/>
  <c r="S219" i="15" s="1"/>
  <c r="V219" i="15"/>
  <c r="U219" i="15"/>
  <c r="R219" i="15"/>
  <c r="Q219" i="15"/>
  <c r="P219" i="15"/>
  <c r="O219" i="15"/>
  <c r="N219" i="15"/>
  <c r="M219" i="15"/>
  <c r="K219" i="15" s="1"/>
  <c r="G219" i="15"/>
  <c r="C219" i="15"/>
  <c r="Z218" i="15"/>
  <c r="Y218" i="15"/>
  <c r="X218" i="15"/>
  <c r="W218" i="15"/>
  <c r="V218" i="15"/>
  <c r="T218" i="15" s="1"/>
  <c r="U218" i="15"/>
  <c r="R218" i="15"/>
  <c r="Q218" i="15"/>
  <c r="P218" i="15"/>
  <c r="O218" i="15"/>
  <c r="N218" i="15"/>
  <c r="L218" i="15" s="1"/>
  <c r="M218" i="15"/>
  <c r="G218" i="15"/>
  <c r="C218" i="15"/>
  <c r="Z217" i="15"/>
  <c r="Y217" i="15"/>
  <c r="X217" i="15"/>
  <c r="W217" i="15"/>
  <c r="V217" i="15"/>
  <c r="U217" i="15"/>
  <c r="R217" i="15"/>
  <c r="Q217" i="15"/>
  <c r="P217" i="15"/>
  <c r="O217" i="15"/>
  <c r="N217" i="15"/>
  <c r="L217" i="15" s="1"/>
  <c r="M217" i="15"/>
  <c r="K217" i="15" s="1"/>
  <c r="G217" i="15"/>
  <c r="C217" i="15"/>
  <c r="Z216" i="15"/>
  <c r="Y216" i="15"/>
  <c r="X216" i="15"/>
  <c r="W216" i="15"/>
  <c r="S216" i="15" s="1"/>
  <c r="V216" i="15"/>
  <c r="T216" i="15" s="1"/>
  <c r="U216" i="15"/>
  <c r="R216" i="15"/>
  <c r="Q216" i="15"/>
  <c r="P216" i="15"/>
  <c r="O216" i="15"/>
  <c r="N216" i="15"/>
  <c r="L216" i="15" s="1"/>
  <c r="M216" i="15"/>
  <c r="G216" i="15"/>
  <c r="C216" i="15"/>
  <c r="Z215" i="15"/>
  <c r="Y215" i="15"/>
  <c r="X215" i="15"/>
  <c r="W215" i="15"/>
  <c r="V215" i="15"/>
  <c r="T215" i="15" s="1"/>
  <c r="U215" i="15"/>
  <c r="S215" i="15"/>
  <c r="R215" i="15"/>
  <c r="Q215" i="15"/>
  <c r="P215" i="15"/>
  <c r="O215" i="15"/>
  <c r="N215" i="15"/>
  <c r="L215" i="15" s="1"/>
  <c r="M215" i="15"/>
  <c r="K215" i="15" s="1"/>
  <c r="G215" i="15"/>
  <c r="C215" i="15"/>
  <c r="Z214" i="15"/>
  <c r="Y214" i="15"/>
  <c r="X214" i="15"/>
  <c r="W214" i="15"/>
  <c r="V214" i="15"/>
  <c r="U214" i="15"/>
  <c r="S214" i="15" s="1"/>
  <c r="T214" i="15"/>
  <c r="R214" i="15"/>
  <c r="Q214" i="15"/>
  <c r="P214" i="15"/>
  <c r="O214" i="15"/>
  <c r="N214" i="15"/>
  <c r="M214" i="15"/>
  <c r="K214" i="15" s="1"/>
  <c r="L214" i="15"/>
  <c r="G214" i="15"/>
  <c r="C214" i="15"/>
  <c r="Z213" i="15"/>
  <c r="Y213" i="15"/>
  <c r="X213" i="15"/>
  <c r="W213" i="15"/>
  <c r="V213" i="15"/>
  <c r="U213" i="15"/>
  <c r="T213" i="15"/>
  <c r="R213" i="15"/>
  <c r="Q213" i="15"/>
  <c r="P213" i="15"/>
  <c r="O213" i="15"/>
  <c r="N213" i="15"/>
  <c r="M213" i="15"/>
  <c r="K213" i="15" s="1"/>
  <c r="L213" i="15"/>
  <c r="G213" i="15"/>
  <c r="C213" i="15"/>
  <c r="Z212" i="15"/>
  <c r="Y212" i="15"/>
  <c r="X212" i="15"/>
  <c r="W212" i="15"/>
  <c r="V212" i="15"/>
  <c r="T212" i="15" s="1"/>
  <c r="U212" i="15"/>
  <c r="R212" i="15"/>
  <c r="Q212" i="15"/>
  <c r="P212" i="15"/>
  <c r="O212" i="15"/>
  <c r="N212" i="15"/>
  <c r="L212" i="15" s="1"/>
  <c r="M212" i="15"/>
  <c r="G212" i="15"/>
  <c r="C212" i="15"/>
  <c r="Z211" i="15"/>
  <c r="Y211" i="15"/>
  <c r="X211" i="15"/>
  <c r="W211" i="15"/>
  <c r="V211" i="15"/>
  <c r="T211" i="15" s="1"/>
  <c r="U211" i="15"/>
  <c r="S211" i="15"/>
  <c r="R211" i="15"/>
  <c r="Q211" i="15"/>
  <c r="P211" i="15"/>
  <c r="O211" i="15"/>
  <c r="N211" i="15"/>
  <c r="M211" i="15"/>
  <c r="K211" i="15" s="1"/>
  <c r="G211" i="15"/>
  <c r="C211" i="15"/>
  <c r="Z210" i="15"/>
  <c r="Y210" i="15"/>
  <c r="X210" i="15"/>
  <c r="W210" i="15"/>
  <c r="V210" i="15"/>
  <c r="U210" i="15"/>
  <c r="S210" i="15" s="1"/>
  <c r="T210" i="15"/>
  <c r="R210" i="15"/>
  <c r="Q210" i="15"/>
  <c r="P210" i="15"/>
  <c r="O210" i="15"/>
  <c r="N210" i="15"/>
  <c r="M210" i="15"/>
  <c r="K210" i="15" s="1"/>
  <c r="L210" i="15"/>
  <c r="G210" i="15"/>
  <c r="C210" i="15"/>
  <c r="Z209" i="15"/>
  <c r="Y209" i="15"/>
  <c r="X209" i="15"/>
  <c r="W209" i="15"/>
  <c r="V209" i="15"/>
  <c r="U209" i="15"/>
  <c r="S209" i="15" s="1"/>
  <c r="T209" i="15"/>
  <c r="R209" i="15"/>
  <c r="Q209" i="15"/>
  <c r="P209" i="15"/>
  <c r="O209" i="15"/>
  <c r="N209" i="15"/>
  <c r="M209" i="15"/>
  <c r="L209" i="15"/>
  <c r="G209" i="15"/>
  <c r="C209" i="15"/>
  <c r="Z208" i="15"/>
  <c r="Y208" i="15"/>
  <c r="X208" i="15"/>
  <c r="W208" i="15"/>
  <c r="V208" i="15"/>
  <c r="T208" i="15" s="1"/>
  <c r="U208" i="15"/>
  <c r="R208" i="15"/>
  <c r="Q208" i="15"/>
  <c r="P208" i="15"/>
  <c r="O208" i="15"/>
  <c r="N208" i="15"/>
  <c r="M208" i="15"/>
  <c r="G208" i="15"/>
  <c r="C208" i="15"/>
  <c r="Z207" i="15"/>
  <c r="Y207" i="15"/>
  <c r="X207" i="15"/>
  <c r="W207" i="15"/>
  <c r="V207" i="15"/>
  <c r="U207" i="15"/>
  <c r="S207" i="15"/>
  <c r="R207" i="15"/>
  <c r="Q207" i="15"/>
  <c r="P207" i="15"/>
  <c r="O207" i="15"/>
  <c r="N207" i="15"/>
  <c r="M207" i="15"/>
  <c r="K207" i="15" s="1"/>
  <c r="G207" i="15"/>
  <c r="C207" i="15"/>
  <c r="Z206" i="15"/>
  <c r="Y206" i="15"/>
  <c r="X206" i="15"/>
  <c r="T206" i="15" s="1"/>
  <c r="W206" i="15"/>
  <c r="V206" i="15"/>
  <c r="U206" i="15"/>
  <c r="S206" i="15" s="1"/>
  <c r="R206" i="15"/>
  <c r="Q206" i="15"/>
  <c r="P206" i="15"/>
  <c r="L206" i="15" s="1"/>
  <c r="O206" i="15"/>
  <c r="N206" i="15"/>
  <c r="M206" i="15"/>
  <c r="G206" i="15"/>
  <c r="C206" i="15"/>
  <c r="Z205" i="15"/>
  <c r="Y205" i="15"/>
  <c r="X205" i="15"/>
  <c r="T205" i="15" s="1"/>
  <c r="W205" i="15"/>
  <c r="V205" i="15"/>
  <c r="U205" i="15"/>
  <c r="S205" i="15" s="1"/>
  <c r="R205" i="15"/>
  <c r="Q205" i="15"/>
  <c r="P205" i="15"/>
  <c r="L205" i="15" s="1"/>
  <c r="O205" i="15"/>
  <c r="N205" i="15"/>
  <c r="M205" i="15"/>
  <c r="G205" i="15"/>
  <c r="C205" i="15"/>
  <c r="Z204" i="15"/>
  <c r="Y204" i="15"/>
  <c r="X204" i="15"/>
  <c r="W204" i="15"/>
  <c r="V204" i="15"/>
  <c r="U204" i="15"/>
  <c r="R204" i="15"/>
  <c r="Q204" i="15"/>
  <c r="P204" i="15"/>
  <c r="O204" i="15"/>
  <c r="K204" i="15" s="1"/>
  <c r="N204" i="15"/>
  <c r="M204" i="15"/>
  <c r="G204" i="15"/>
  <c r="C204" i="15"/>
  <c r="Z203" i="15"/>
  <c r="Y203" i="15"/>
  <c r="X203" i="15"/>
  <c r="W203" i="15"/>
  <c r="S203" i="15" s="1"/>
  <c r="V203" i="15"/>
  <c r="U203" i="15"/>
  <c r="R203" i="15"/>
  <c r="Q203" i="15"/>
  <c r="P203" i="15"/>
  <c r="O203" i="15"/>
  <c r="N203" i="15"/>
  <c r="L203" i="15" s="1"/>
  <c r="M203" i="15"/>
  <c r="K203" i="15" s="1"/>
  <c r="G203" i="15"/>
  <c r="C203" i="15"/>
  <c r="Z202" i="15"/>
  <c r="Y202" i="15"/>
  <c r="X202" i="15"/>
  <c r="W202" i="15"/>
  <c r="V202" i="15"/>
  <c r="T202" i="15" s="1"/>
  <c r="U202" i="15"/>
  <c r="R202" i="15"/>
  <c r="Q202" i="15"/>
  <c r="P202" i="15"/>
  <c r="O202" i="15"/>
  <c r="N202" i="15"/>
  <c r="L202" i="15" s="1"/>
  <c r="M202" i="15"/>
  <c r="G202" i="15"/>
  <c r="C202" i="15"/>
  <c r="Z201" i="15"/>
  <c r="Y201" i="15"/>
  <c r="X201" i="15"/>
  <c r="W201" i="15"/>
  <c r="V201" i="15"/>
  <c r="T201" i="15" s="1"/>
  <c r="U201" i="15"/>
  <c r="R201" i="15"/>
  <c r="Q201" i="15"/>
  <c r="P201" i="15"/>
  <c r="O201" i="15"/>
  <c r="N201" i="15"/>
  <c r="L201" i="15" s="1"/>
  <c r="M201" i="15"/>
  <c r="K201" i="15" s="1"/>
  <c r="G201" i="15"/>
  <c r="C201" i="15"/>
  <c r="Z200" i="15"/>
  <c r="Y200" i="15"/>
  <c r="X200" i="15"/>
  <c r="W200" i="15"/>
  <c r="S200" i="15" s="1"/>
  <c r="V200" i="15"/>
  <c r="T200" i="15" s="1"/>
  <c r="U200" i="15"/>
  <c r="R200" i="15"/>
  <c r="Q200" i="15"/>
  <c r="P200" i="15"/>
  <c r="O200" i="15"/>
  <c r="N200" i="15"/>
  <c r="L200" i="15" s="1"/>
  <c r="M200" i="15"/>
  <c r="G200" i="15"/>
  <c r="C200" i="15"/>
  <c r="Z199" i="15"/>
  <c r="Y199" i="15"/>
  <c r="X199" i="15"/>
  <c r="W199" i="15"/>
  <c r="V199" i="15"/>
  <c r="T199" i="15" s="1"/>
  <c r="U199" i="15"/>
  <c r="S199" i="15"/>
  <c r="R199" i="15"/>
  <c r="Q199" i="15"/>
  <c r="P199" i="15"/>
  <c r="O199" i="15"/>
  <c r="N199" i="15"/>
  <c r="L199" i="15" s="1"/>
  <c r="M199" i="15"/>
  <c r="K199" i="15" s="1"/>
  <c r="G199" i="15"/>
  <c r="C199" i="15"/>
  <c r="Z198" i="15"/>
  <c r="Y198" i="15"/>
  <c r="X198" i="15"/>
  <c r="W198" i="15"/>
  <c r="V198" i="15"/>
  <c r="U198" i="15"/>
  <c r="S198" i="15" s="1"/>
  <c r="T198" i="15"/>
  <c r="R198" i="15"/>
  <c r="Q198" i="15"/>
  <c r="P198" i="15"/>
  <c r="O198" i="15"/>
  <c r="N198" i="15"/>
  <c r="M198" i="15"/>
  <c r="K198" i="15" s="1"/>
  <c r="L198" i="15"/>
  <c r="G198" i="15"/>
  <c r="C198" i="15"/>
  <c r="Z197" i="15"/>
  <c r="Y197" i="15"/>
  <c r="X197" i="15"/>
  <c r="W197" i="15"/>
  <c r="V197" i="15"/>
  <c r="U197" i="15"/>
  <c r="T197" i="15"/>
  <c r="R197" i="15"/>
  <c r="Q197" i="15"/>
  <c r="P197" i="15"/>
  <c r="O197" i="15"/>
  <c r="N197" i="15"/>
  <c r="M197" i="15"/>
  <c r="K197" i="15" s="1"/>
  <c r="L197" i="15"/>
  <c r="G197" i="15"/>
  <c r="C197" i="15"/>
  <c r="Z196" i="15"/>
  <c r="Y196" i="15"/>
  <c r="X196" i="15"/>
  <c r="W196" i="15"/>
  <c r="V196" i="15"/>
  <c r="T196" i="15" s="1"/>
  <c r="U196" i="15"/>
  <c r="R196" i="15"/>
  <c r="Q196" i="15"/>
  <c r="P196" i="15"/>
  <c r="O196" i="15"/>
  <c r="N196" i="15"/>
  <c r="L196" i="15" s="1"/>
  <c r="M196" i="15"/>
  <c r="G196" i="15"/>
  <c r="C196" i="15"/>
  <c r="Z194" i="15"/>
  <c r="Y194" i="15"/>
  <c r="X194" i="15"/>
  <c r="W194" i="15"/>
  <c r="V194" i="15"/>
  <c r="T194" i="15" s="1"/>
  <c r="U194" i="15"/>
  <c r="S194" i="15"/>
  <c r="R194" i="15"/>
  <c r="Q194" i="15"/>
  <c r="P194" i="15"/>
  <c r="O194" i="15"/>
  <c r="N194" i="15"/>
  <c r="L194" i="15" s="1"/>
  <c r="M194" i="15"/>
  <c r="K194" i="15" s="1"/>
  <c r="G194" i="15"/>
  <c r="C194" i="15"/>
  <c r="Z193" i="15"/>
  <c r="Y193" i="15"/>
  <c r="X193" i="15"/>
  <c r="W193" i="15"/>
  <c r="V193" i="15"/>
  <c r="U193" i="15"/>
  <c r="S193" i="15" s="1"/>
  <c r="T193" i="15"/>
  <c r="R193" i="15"/>
  <c r="Q193" i="15"/>
  <c r="P193" i="15"/>
  <c r="O193" i="15"/>
  <c r="N193" i="15"/>
  <c r="M193" i="15"/>
  <c r="K193" i="15" s="1"/>
  <c r="L193" i="15"/>
  <c r="G193" i="15"/>
  <c r="C193" i="15"/>
  <c r="Z192" i="15"/>
  <c r="Y192" i="15"/>
  <c r="X192" i="15"/>
  <c r="W192" i="15"/>
  <c r="V192" i="15"/>
  <c r="U192" i="15"/>
  <c r="S192" i="15" s="1"/>
  <c r="T192" i="15"/>
  <c r="R192" i="15"/>
  <c r="Q192" i="15"/>
  <c r="P192" i="15"/>
  <c r="O192" i="15"/>
  <c r="N192" i="15"/>
  <c r="M192" i="15"/>
  <c r="L192" i="15"/>
  <c r="G192" i="15"/>
  <c r="C192" i="15"/>
  <c r="Z191" i="15"/>
  <c r="Y191" i="15"/>
  <c r="X191" i="15"/>
  <c r="W191" i="15"/>
  <c r="V191" i="15"/>
  <c r="T191" i="15" s="1"/>
  <c r="U191" i="15"/>
  <c r="R191" i="15"/>
  <c r="Q191" i="15"/>
  <c r="P191" i="15"/>
  <c r="O191" i="15"/>
  <c r="N191" i="15"/>
  <c r="M191" i="15"/>
  <c r="G191" i="15"/>
  <c r="C191" i="15"/>
  <c r="Z190" i="15"/>
  <c r="Y190" i="15"/>
  <c r="X190" i="15"/>
  <c r="W190" i="15"/>
  <c r="V190" i="15"/>
  <c r="U190" i="15"/>
  <c r="S190" i="15"/>
  <c r="R190" i="15"/>
  <c r="Q190" i="15"/>
  <c r="P190" i="15"/>
  <c r="O190" i="15"/>
  <c r="K190" i="15" s="1"/>
  <c r="N190" i="15"/>
  <c r="M190" i="15"/>
  <c r="G190" i="15"/>
  <c r="C190" i="15"/>
  <c r="Z189" i="15"/>
  <c r="Y189" i="15"/>
  <c r="X189" i="15"/>
  <c r="T189" i="15" s="1"/>
  <c r="W189" i="15"/>
  <c r="V189" i="15"/>
  <c r="U189" i="15"/>
  <c r="S189" i="15" s="1"/>
  <c r="R189" i="15"/>
  <c r="Q189" i="15"/>
  <c r="P189" i="15"/>
  <c r="L189" i="15" s="1"/>
  <c r="O189" i="15"/>
  <c r="N189" i="15"/>
  <c r="M189" i="15"/>
  <c r="G189" i="15"/>
  <c r="C189" i="15"/>
  <c r="Z188" i="15"/>
  <c r="Y188" i="15"/>
  <c r="X188" i="15"/>
  <c r="T188" i="15" s="1"/>
  <c r="W188" i="15"/>
  <c r="V188" i="15"/>
  <c r="U188" i="15"/>
  <c r="S188" i="15" s="1"/>
  <c r="R188" i="15"/>
  <c r="Q188" i="15"/>
  <c r="P188" i="15"/>
  <c r="L188" i="15" s="1"/>
  <c r="O188" i="15"/>
  <c r="N188" i="15"/>
  <c r="M188" i="15"/>
  <c r="G188" i="15"/>
  <c r="C188" i="15"/>
  <c r="Z187" i="15"/>
  <c r="Y187" i="15"/>
  <c r="X187" i="15"/>
  <c r="W187" i="15"/>
  <c r="V187" i="15"/>
  <c r="U187" i="15"/>
  <c r="R187" i="15"/>
  <c r="Q187" i="15"/>
  <c r="P187" i="15"/>
  <c r="O187" i="15"/>
  <c r="K187" i="15" s="1"/>
  <c r="N187" i="15"/>
  <c r="L187" i="15" s="1"/>
  <c r="M187" i="15"/>
  <c r="G187" i="15"/>
  <c r="C187" i="15"/>
  <c r="Z186" i="15"/>
  <c r="Y186" i="15"/>
  <c r="X186" i="15"/>
  <c r="W186" i="15"/>
  <c r="S186" i="15" s="1"/>
  <c r="V186" i="15"/>
  <c r="T186" i="15" s="1"/>
  <c r="U186" i="15"/>
  <c r="R186" i="15"/>
  <c r="Q186" i="15"/>
  <c r="P186" i="15"/>
  <c r="O186" i="15"/>
  <c r="N186" i="15"/>
  <c r="L186" i="15" s="1"/>
  <c r="M186" i="15"/>
  <c r="K186" i="15" s="1"/>
  <c r="G186" i="15"/>
  <c r="C186" i="15"/>
  <c r="Z185" i="15"/>
  <c r="Y185" i="15"/>
  <c r="X185" i="15"/>
  <c r="W185" i="15"/>
  <c r="V185" i="15"/>
  <c r="T185" i="15" s="1"/>
  <c r="U185" i="15"/>
  <c r="R185" i="15"/>
  <c r="Q185" i="15"/>
  <c r="P185" i="15"/>
  <c r="O185" i="15"/>
  <c r="N185" i="15"/>
  <c r="L185" i="15" s="1"/>
  <c r="M185" i="15"/>
  <c r="G185" i="15"/>
  <c r="C185" i="15"/>
  <c r="Z184" i="15"/>
  <c r="Y184" i="15"/>
  <c r="X184" i="15"/>
  <c r="W184" i="15"/>
  <c r="V184" i="15"/>
  <c r="U184" i="15"/>
  <c r="R184" i="15"/>
  <c r="Q184" i="15"/>
  <c r="P184" i="15"/>
  <c r="O184" i="15"/>
  <c r="N184" i="15"/>
  <c r="L184" i="15" s="1"/>
  <c r="M184" i="15"/>
  <c r="K184" i="15" s="1"/>
  <c r="G184" i="15"/>
  <c r="C184" i="15"/>
  <c r="Z183" i="15"/>
  <c r="Y183" i="15"/>
  <c r="X183" i="15"/>
  <c r="W183" i="15"/>
  <c r="S183" i="15" s="1"/>
  <c r="V183" i="15"/>
  <c r="T183" i="15" s="1"/>
  <c r="U183" i="15"/>
  <c r="R183" i="15"/>
  <c r="Q183" i="15"/>
  <c r="P183" i="15"/>
  <c r="O183" i="15"/>
  <c r="N183" i="15"/>
  <c r="L183" i="15" s="1"/>
  <c r="M183" i="15"/>
  <c r="G183" i="15"/>
  <c r="C183" i="15"/>
  <c r="Z182" i="15"/>
  <c r="Y182" i="15"/>
  <c r="X182" i="15"/>
  <c r="W182" i="15"/>
  <c r="V182" i="15"/>
  <c r="T182" i="15" s="1"/>
  <c r="U182" i="15"/>
  <c r="S182" i="15"/>
  <c r="R182" i="15"/>
  <c r="Q182" i="15"/>
  <c r="P182" i="15"/>
  <c r="O182" i="15"/>
  <c r="N182" i="15"/>
  <c r="L182" i="15" s="1"/>
  <c r="M182" i="15"/>
  <c r="K182" i="15" s="1"/>
  <c r="G182" i="15"/>
  <c r="C182" i="15"/>
  <c r="Z181" i="15"/>
  <c r="Y181" i="15"/>
  <c r="X181" i="15"/>
  <c r="W181" i="15"/>
  <c r="V181" i="15"/>
  <c r="U181" i="15"/>
  <c r="S181" i="15" s="1"/>
  <c r="T181" i="15"/>
  <c r="R181" i="15"/>
  <c r="Q181" i="15"/>
  <c r="P181" i="15"/>
  <c r="O181" i="15"/>
  <c r="N181" i="15"/>
  <c r="M181" i="15"/>
  <c r="K181" i="15" s="1"/>
  <c r="L181" i="15"/>
  <c r="G181" i="15"/>
  <c r="C181" i="15"/>
  <c r="Z180" i="15"/>
  <c r="Y180" i="15"/>
  <c r="X180" i="15"/>
  <c r="W180" i="15"/>
  <c r="V180" i="15"/>
  <c r="U180" i="15"/>
  <c r="T180" i="15"/>
  <c r="R180" i="15"/>
  <c r="Q180" i="15"/>
  <c r="P180" i="15"/>
  <c r="O180" i="15"/>
  <c r="N180" i="15"/>
  <c r="M180" i="15"/>
  <c r="K180" i="15" s="1"/>
  <c r="L180" i="15"/>
  <c r="G180" i="15"/>
  <c r="C180" i="15"/>
  <c r="Z179" i="15"/>
  <c r="Y179" i="15"/>
  <c r="X179" i="15"/>
  <c r="W179" i="15"/>
  <c r="V179" i="15"/>
  <c r="T179" i="15" s="1"/>
  <c r="U179" i="15"/>
  <c r="R179" i="15"/>
  <c r="Q179" i="15"/>
  <c r="P179" i="15"/>
  <c r="O179" i="15"/>
  <c r="N179" i="15"/>
  <c r="L179" i="15" s="1"/>
  <c r="M179" i="15"/>
  <c r="G179" i="15"/>
  <c r="C179" i="15"/>
  <c r="Z178" i="15"/>
  <c r="Y178" i="15"/>
  <c r="X178" i="15"/>
  <c r="W178" i="15"/>
  <c r="V178" i="15"/>
  <c r="T178" i="15" s="1"/>
  <c r="U178" i="15"/>
  <c r="S178" i="15"/>
  <c r="R178" i="15"/>
  <c r="Q178" i="15"/>
  <c r="P178" i="15"/>
  <c r="O178" i="15"/>
  <c r="N178" i="15"/>
  <c r="L178" i="15" s="1"/>
  <c r="M178" i="15"/>
  <c r="K178" i="15" s="1"/>
  <c r="G178" i="15"/>
  <c r="C178" i="15"/>
  <c r="Z177" i="15"/>
  <c r="Y177" i="15"/>
  <c r="X177" i="15"/>
  <c r="W177" i="15"/>
  <c r="V177" i="15"/>
  <c r="U177" i="15"/>
  <c r="S177" i="15" s="1"/>
  <c r="T177" i="15"/>
  <c r="R177" i="15"/>
  <c r="Q177" i="15"/>
  <c r="P177" i="15"/>
  <c r="O177" i="15"/>
  <c r="N177" i="15"/>
  <c r="M177" i="15"/>
  <c r="K177" i="15" s="1"/>
  <c r="L177" i="15"/>
  <c r="G177" i="15"/>
  <c r="C177" i="15"/>
  <c r="Z176" i="15"/>
  <c r="Y176" i="15"/>
  <c r="X176" i="15"/>
  <c r="W176" i="15"/>
  <c r="V176" i="15"/>
  <c r="U176" i="15"/>
  <c r="S176" i="15" s="1"/>
  <c r="T176" i="15"/>
  <c r="R176" i="15"/>
  <c r="Q176" i="15"/>
  <c r="P176" i="15"/>
  <c r="O176" i="15"/>
  <c r="N176" i="15"/>
  <c r="M176" i="15"/>
  <c r="L176" i="15"/>
  <c r="G176" i="15"/>
  <c r="C176" i="15"/>
  <c r="Z175" i="15"/>
  <c r="Y175" i="15"/>
  <c r="X175" i="15"/>
  <c r="W175" i="15"/>
  <c r="V175" i="15"/>
  <c r="T175" i="15" s="1"/>
  <c r="U175" i="15"/>
  <c r="R175" i="15"/>
  <c r="Q175" i="15"/>
  <c r="P175" i="15"/>
  <c r="O175" i="15"/>
  <c r="N175" i="15"/>
  <c r="M175" i="15"/>
  <c r="G175" i="15"/>
  <c r="C175" i="15"/>
  <c r="Z174" i="15"/>
  <c r="Y174" i="15"/>
  <c r="X174" i="15"/>
  <c r="W174" i="15"/>
  <c r="V174" i="15"/>
  <c r="U174" i="15"/>
  <c r="S174" i="15"/>
  <c r="R174" i="15"/>
  <c r="Q174" i="15"/>
  <c r="P174" i="15"/>
  <c r="O174" i="15"/>
  <c r="K174" i="15" s="1"/>
  <c r="N174" i="15"/>
  <c r="M174" i="15"/>
  <c r="G174" i="15"/>
  <c r="C174" i="15"/>
  <c r="Z173" i="15"/>
  <c r="Y173" i="15"/>
  <c r="X173" i="15"/>
  <c r="T173" i="15" s="1"/>
  <c r="W173" i="15"/>
  <c r="V173" i="15"/>
  <c r="U173" i="15"/>
  <c r="S173" i="15" s="1"/>
  <c r="R173" i="15"/>
  <c r="Q173" i="15"/>
  <c r="P173" i="15"/>
  <c r="L173" i="15" s="1"/>
  <c r="O173" i="15"/>
  <c r="N173" i="15"/>
  <c r="M173" i="15"/>
  <c r="G173" i="15"/>
  <c r="C173" i="15"/>
  <c r="Z172" i="15"/>
  <c r="Y172" i="15"/>
  <c r="X172" i="15"/>
  <c r="T172" i="15" s="1"/>
  <c r="W172" i="15"/>
  <c r="V172" i="15"/>
  <c r="U172" i="15"/>
  <c r="S172" i="15" s="1"/>
  <c r="R172" i="15"/>
  <c r="Q172" i="15"/>
  <c r="P172" i="15"/>
  <c r="L172" i="15" s="1"/>
  <c r="O172" i="15"/>
  <c r="N172" i="15"/>
  <c r="M172" i="15"/>
  <c r="G172" i="15"/>
  <c r="C172" i="15"/>
  <c r="Z171" i="15"/>
  <c r="Y171" i="15"/>
  <c r="X171" i="15"/>
  <c r="W171" i="15"/>
  <c r="V171" i="15"/>
  <c r="U171" i="15"/>
  <c r="R171" i="15"/>
  <c r="Q171" i="15"/>
  <c r="P171" i="15"/>
  <c r="O171" i="15"/>
  <c r="K171" i="15" s="1"/>
  <c r="N171" i="15"/>
  <c r="M171" i="15"/>
  <c r="G171" i="15"/>
  <c r="C171" i="15"/>
  <c r="Z170" i="15"/>
  <c r="Y170" i="15"/>
  <c r="X170" i="15"/>
  <c r="W170" i="15"/>
  <c r="S170" i="15" s="1"/>
  <c r="V170" i="15"/>
  <c r="U170" i="15"/>
  <c r="R170" i="15"/>
  <c r="Q170" i="15"/>
  <c r="P170" i="15"/>
  <c r="O170" i="15"/>
  <c r="N170" i="15"/>
  <c r="L170" i="15" s="1"/>
  <c r="M170" i="15"/>
  <c r="K170" i="15" s="1"/>
  <c r="G170" i="15"/>
  <c r="C170" i="15"/>
  <c r="Z169" i="15"/>
  <c r="Y169" i="15"/>
  <c r="X169" i="15"/>
  <c r="W169" i="15"/>
  <c r="V169" i="15"/>
  <c r="T169" i="15" s="1"/>
  <c r="U169" i="15"/>
  <c r="R169" i="15"/>
  <c r="Q169" i="15"/>
  <c r="P169" i="15"/>
  <c r="O169" i="15"/>
  <c r="N169" i="15"/>
  <c r="L169" i="15" s="1"/>
  <c r="M169" i="15"/>
  <c r="G169" i="15"/>
  <c r="C169" i="15"/>
  <c r="Z168" i="15"/>
  <c r="Y168" i="15"/>
  <c r="X168" i="15"/>
  <c r="W168" i="15"/>
  <c r="V168" i="15"/>
  <c r="T168" i="15" s="1"/>
  <c r="U168" i="15"/>
  <c r="R168" i="15"/>
  <c r="Q168" i="15"/>
  <c r="P168" i="15"/>
  <c r="O168" i="15"/>
  <c r="N168" i="15"/>
  <c r="L168" i="15" s="1"/>
  <c r="M168" i="15"/>
  <c r="K168" i="15" s="1"/>
  <c r="G168" i="15"/>
  <c r="C168" i="15"/>
  <c r="Z167" i="15"/>
  <c r="Y167" i="15"/>
  <c r="X167" i="15"/>
  <c r="W167" i="15"/>
  <c r="S167" i="15" s="1"/>
  <c r="V167" i="15"/>
  <c r="T167" i="15" s="1"/>
  <c r="U167" i="15"/>
  <c r="R167" i="15"/>
  <c r="Q167" i="15"/>
  <c r="P167" i="15"/>
  <c r="O167" i="15"/>
  <c r="N167" i="15"/>
  <c r="L167" i="15" s="1"/>
  <c r="M167" i="15"/>
  <c r="G167" i="15"/>
  <c r="C167" i="15"/>
  <c r="Z166" i="15"/>
  <c r="Y166" i="15"/>
  <c r="X166" i="15"/>
  <c r="W166" i="15"/>
  <c r="V166" i="15"/>
  <c r="T166" i="15" s="1"/>
  <c r="U166" i="15"/>
  <c r="S166" i="15"/>
  <c r="R166" i="15"/>
  <c r="Q166" i="15"/>
  <c r="P166" i="15"/>
  <c r="O166" i="15"/>
  <c r="N166" i="15"/>
  <c r="L166" i="15" s="1"/>
  <c r="M166" i="15"/>
  <c r="K166" i="15" s="1"/>
  <c r="G166" i="15"/>
  <c r="C166" i="15"/>
  <c r="Z165" i="15"/>
  <c r="Y165" i="15"/>
  <c r="X165" i="15"/>
  <c r="W165" i="15"/>
  <c r="V165" i="15"/>
  <c r="U165" i="15"/>
  <c r="S165" i="15" s="1"/>
  <c r="T165" i="15"/>
  <c r="R165" i="15"/>
  <c r="Q165" i="15"/>
  <c r="P165" i="15"/>
  <c r="O165" i="15"/>
  <c r="N165" i="15"/>
  <c r="M165" i="15"/>
  <c r="K165" i="15" s="1"/>
  <c r="L165" i="15"/>
  <c r="G165" i="15"/>
  <c r="C165" i="15"/>
  <c r="Z164" i="15"/>
  <c r="Y164" i="15"/>
  <c r="X164" i="15"/>
  <c r="W164" i="15"/>
  <c r="V164" i="15"/>
  <c r="U164" i="15"/>
  <c r="T164" i="15"/>
  <c r="R164" i="15"/>
  <c r="Q164" i="15"/>
  <c r="P164" i="15"/>
  <c r="O164" i="15"/>
  <c r="N164" i="15"/>
  <c r="M164" i="15"/>
  <c r="K164" i="15" s="1"/>
  <c r="L164" i="15"/>
  <c r="G164" i="15"/>
  <c r="C164" i="15"/>
  <c r="Z163" i="15"/>
  <c r="Y163" i="15"/>
  <c r="X163" i="15"/>
  <c r="W163" i="15"/>
  <c r="V163" i="15"/>
  <c r="T163" i="15" s="1"/>
  <c r="U163" i="15"/>
  <c r="R163" i="15"/>
  <c r="Q163" i="15"/>
  <c r="P163" i="15"/>
  <c r="O163" i="15"/>
  <c r="N163" i="15"/>
  <c r="L163" i="15" s="1"/>
  <c r="M163" i="15"/>
  <c r="G163" i="15"/>
  <c r="C163" i="15"/>
  <c r="Z162" i="15"/>
  <c r="Y162" i="15"/>
  <c r="X162" i="15"/>
  <c r="W162" i="15"/>
  <c r="V162" i="15"/>
  <c r="T162" i="15" s="1"/>
  <c r="U162" i="15"/>
  <c r="S162" i="15"/>
  <c r="R162" i="15"/>
  <c r="Q162" i="15"/>
  <c r="P162" i="15"/>
  <c r="O162" i="15"/>
  <c r="N162" i="15"/>
  <c r="L162" i="15" s="1"/>
  <c r="M162" i="15"/>
  <c r="K162" i="15" s="1"/>
  <c r="G162" i="15"/>
  <c r="C162" i="15"/>
  <c r="Z161" i="15"/>
  <c r="Y161" i="15"/>
  <c r="X161" i="15"/>
  <c r="W161" i="15"/>
  <c r="V161" i="15"/>
  <c r="U161" i="15"/>
  <c r="S161" i="15" s="1"/>
  <c r="T161" i="15"/>
  <c r="R161" i="15"/>
  <c r="Q161" i="15"/>
  <c r="P161" i="15"/>
  <c r="O161" i="15"/>
  <c r="N161" i="15"/>
  <c r="M161" i="15"/>
  <c r="K161" i="15" s="1"/>
  <c r="L161" i="15"/>
  <c r="G161" i="15"/>
  <c r="C161" i="15"/>
  <c r="Z160" i="15"/>
  <c r="Y160" i="15"/>
  <c r="X160" i="15"/>
  <c r="W160" i="15"/>
  <c r="V160" i="15"/>
  <c r="U160" i="15"/>
  <c r="S160" i="15" s="1"/>
  <c r="T160" i="15"/>
  <c r="R160" i="15"/>
  <c r="Q160" i="15"/>
  <c r="P160" i="15"/>
  <c r="O160" i="15"/>
  <c r="N160" i="15"/>
  <c r="M160" i="15"/>
  <c r="L160" i="15"/>
  <c r="G160" i="15"/>
  <c r="C160" i="15"/>
  <c r="Z159" i="15"/>
  <c r="Y159" i="15"/>
  <c r="X159" i="15"/>
  <c r="W159" i="15"/>
  <c r="V159" i="15"/>
  <c r="T159" i="15" s="1"/>
  <c r="U159" i="15"/>
  <c r="R159" i="15"/>
  <c r="Q159" i="15"/>
  <c r="P159" i="15"/>
  <c r="O159" i="15"/>
  <c r="N159" i="15"/>
  <c r="M159" i="15"/>
  <c r="G159" i="15"/>
  <c r="C159" i="15"/>
  <c r="Z158" i="15"/>
  <c r="Y158" i="15"/>
  <c r="X158" i="15"/>
  <c r="W158" i="15"/>
  <c r="V158" i="15"/>
  <c r="U158" i="15"/>
  <c r="S158" i="15"/>
  <c r="R158" i="15"/>
  <c r="Q158" i="15"/>
  <c r="P158" i="15"/>
  <c r="O158" i="15"/>
  <c r="K158" i="15" s="1"/>
  <c r="N158" i="15"/>
  <c r="M158" i="15"/>
  <c r="G158" i="15"/>
  <c r="C158" i="15"/>
  <c r="Z157" i="15"/>
  <c r="Y157" i="15"/>
  <c r="X157" i="15"/>
  <c r="T157" i="15" s="1"/>
  <c r="W157" i="15"/>
  <c r="V157" i="15"/>
  <c r="U157" i="15"/>
  <c r="S157" i="15" s="1"/>
  <c r="R157" i="15"/>
  <c r="Q157" i="15"/>
  <c r="P157" i="15"/>
  <c r="L157" i="15" s="1"/>
  <c r="O157" i="15"/>
  <c r="N157" i="15"/>
  <c r="M157" i="15"/>
  <c r="G157" i="15"/>
  <c r="C157" i="15"/>
  <c r="Z155" i="15"/>
  <c r="Y155" i="15"/>
  <c r="X155" i="15"/>
  <c r="T155" i="15" s="1"/>
  <c r="W155" i="15"/>
  <c r="V155" i="15"/>
  <c r="U155" i="15"/>
  <c r="S155" i="15" s="1"/>
  <c r="R155" i="15"/>
  <c r="Q155" i="15"/>
  <c r="P155" i="15"/>
  <c r="L155" i="15" s="1"/>
  <c r="O155" i="15"/>
  <c r="N155" i="15"/>
  <c r="M155" i="15"/>
  <c r="G155" i="15"/>
  <c r="C155" i="15"/>
  <c r="Z154" i="15"/>
  <c r="Y154" i="15"/>
  <c r="X154" i="15"/>
  <c r="W154" i="15"/>
  <c r="V154" i="15"/>
  <c r="U154" i="15"/>
  <c r="R154" i="15"/>
  <c r="Q154" i="15"/>
  <c r="P154" i="15"/>
  <c r="O154" i="15"/>
  <c r="K154" i="15" s="1"/>
  <c r="N154" i="15"/>
  <c r="L154" i="15" s="1"/>
  <c r="M154" i="15"/>
  <c r="G154" i="15"/>
  <c r="C154" i="15"/>
  <c r="Z153" i="15"/>
  <c r="Y153" i="15"/>
  <c r="X153" i="15"/>
  <c r="W153" i="15"/>
  <c r="S153" i="15" s="1"/>
  <c r="V153" i="15"/>
  <c r="T153" i="15" s="1"/>
  <c r="U153" i="15"/>
  <c r="R153" i="15"/>
  <c r="Q153" i="15"/>
  <c r="P153" i="15"/>
  <c r="O153" i="15"/>
  <c r="N153" i="15"/>
  <c r="L153" i="15" s="1"/>
  <c r="M153" i="15"/>
  <c r="K153" i="15" s="1"/>
  <c r="G153" i="15"/>
  <c r="C153" i="15"/>
  <c r="Z152" i="15"/>
  <c r="Y152" i="15"/>
  <c r="X152" i="15"/>
  <c r="W152" i="15"/>
  <c r="V152" i="15"/>
  <c r="T152" i="15" s="1"/>
  <c r="U152" i="15"/>
  <c r="R152" i="15"/>
  <c r="Q152" i="15"/>
  <c r="P152" i="15"/>
  <c r="O152" i="15"/>
  <c r="N152" i="15"/>
  <c r="L152" i="15" s="1"/>
  <c r="M152" i="15"/>
  <c r="G152" i="15"/>
  <c r="C152" i="15"/>
  <c r="Z151" i="15"/>
  <c r="Y151" i="15"/>
  <c r="X151" i="15"/>
  <c r="W151" i="15"/>
  <c r="V151" i="15"/>
  <c r="U151" i="15"/>
  <c r="R151" i="15"/>
  <c r="Q151" i="15"/>
  <c r="P151" i="15"/>
  <c r="O151" i="15"/>
  <c r="N151" i="15"/>
  <c r="L151" i="15" s="1"/>
  <c r="M151" i="15"/>
  <c r="K151" i="15" s="1"/>
  <c r="G151" i="15"/>
  <c r="C151" i="15"/>
  <c r="Z150" i="15"/>
  <c r="Y150" i="15"/>
  <c r="X150" i="15"/>
  <c r="W150" i="15"/>
  <c r="S150" i="15" s="1"/>
  <c r="V150" i="15"/>
  <c r="T150" i="15" s="1"/>
  <c r="U150" i="15"/>
  <c r="R150" i="15"/>
  <c r="Q150" i="15"/>
  <c r="P150" i="15"/>
  <c r="O150" i="15"/>
  <c r="N150" i="15"/>
  <c r="L150" i="15" s="1"/>
  <c r="M150" i="15"/>
  <c r="G150" i="15"/>
  <c r="C150" i="15"/>
  <c r="Z149" i="15"/>
  <c r="Y149" i="15"/>
  <c r="X149" i="15"/>
  <c r="W149" i="15"/>
  <c r="V149" i="15"/>
  <c r="T149" i="15" s="1"/>
  <c r="U149" i="15"/>
  <c r="S149" i="15"/>
  <c r="R149" i="15"/>
  <c r="Q149" i="15"/>
  <c r="P149" i="15"/>
  <c r="O149" i="15"/>
  <c r="N149" i="15"/>
  <c r="M149" i="15"/>
  <c r="K149" i="15" s="1"/>
  <c r="G149" i="15"/>
  <c r="C149" i="15"/>
  <c r="Z148" i="15"/>
  <c r="Y148" i="15"/>
  <c r="X148" i="15"/>
  <c r="W148" i="15"/>
  <c r="V148" i="15"/>
  <c r="U148" i="15"/>
  <c r="S148" i="15" s="1"/>
  <c r="T148" i="15"/>
  <c r="R148" i="15"/>
  <c r="Q148" i="15"/>
  <c r="P148" i="15"/>
  <c r="O148" i="15"/>
  <c r="N148" i="15"/>
  <c r="M148" i="15"/>
  <c r="K148" i="15" s="1"/>
  <c r="L148" i="15"/>
  <c r="G148" i="15"/>
  <c r="C148" i="15"/>
  <c r="Z147" i="15"/>
  <c r="Y147" i="15"/>
  <c r="X147" i="15"/>
  <c r="W147" i="15"/>
  <c r="V147" i="15"/>
  <c r="U147" i="15"/>
  <c r="T147" i="15"/>
  <c r="R147" i="15"/>
  <c r="Q147" i="15"/>
  <c r="P147" i="15"/>
  <c r="O147" i="15"/>
  <c r="N147" i="15"/>
  <c r="M147" i="15"/>
  <c r="K147" i="15" s="1"/>
  <c r="L147" i="15"/>
  <c r="G147" i="15"/>
  <c r="C147" i="15"/>
  <c r="Z146" i="15"/>
  <c r="Y146" i="15"/>
  <c r="X146" i="15"/>
  <c r="W146" i="15"/>
  <c r="V146" i="15"/>
  <c r="T146" i="15" s="1"/>
  <c r="U146" i="15"/>
  <c r="R146" i="15"/>
  <c r="Q146" i="15"/>
  <c r="P146" i="15"/>
  <c r="O146" i="15"/>
  <c r="N146" i="15"/>
  <c r="L146" i="15" s="1"/>
  <c r="M146" i="15"/>
  <c r="G146" i="15"/>
  <c r="C146" i="15"/>
  <c r="Z145" i="15"/>
  <c r="Y145" i="15"/>
  <c r="X145" i="15"/>
  <c r="W145" i="15"/>
  <c r="V145" i="15"/>
  <c r="T145" i="15" s="1"/>
  <c r="U145" i="15"/>
  <c r="S145" i="15"/>
  <c r="R145" i="15"/>
  <c r="Q145" i="15"/>
  <c r="P145" i="15"/>
  <c r="O145" i="15"/>
  <c r="N145" i="15"/>
  <c r="L145" i="15" s="1"/>
  <c r="M145" i="15"/>
  <c r="K145" i="15" s="1"/>
  <c r="G145" i="15"/>
  <c r="C145" i="15"/>
  <c r="Z144" i="15"/>
  <c r="Y144" i="15"/>
  <c r="X144" i="15"/>
  <c r="W144" i="15"/>
  <c r="V144" i="15"/>
  <c r="U144" i="15"/>
  <c r="S144" i="15" s="1"/>
  <c r="T144" i="15"/>
  <c r="R144" i="15"/>
  <c r="Q144" i="15"/>
  <c r="P144" i="15"/>
  <c r="O144" i="15"/>
  <c r="N144" i="15"/>
  <c r="M144" i="15"/>
  <c r="K144" i="15" s="1"/>
  <c r="L144" i="15"/>
  <c r="G144" i="15"/>
  <c r="C144" i="15"/>
  <c r="Z143" i="15"/>
  <c r="Y143" i="15"/>
  <c r="X143" i="15"/>
  <c r="W143" i="15"/>
  <c r="V143" i="15"/>
  <c r="U143" i="15"/>
  <c r="S143" i="15" s="1"/>
  <c r="T143" i="15"/>
  <c r="R143" i="15"/>
  <c r="Q143" i="15"/>
  <c r="P143" i="15"/>
  <c r="O143" i="15"/>
  <c r="N143" i="15"/>
  <c r="M143" i="15"/>
  <c r="L143" i="15"/>
  <c r="G143" i="15"/>
  <c r="C143" i="15"/>
  <c r="Z142" i="15"/>
  <c r="Y142" i="15"/>
  <c r="X142" i="15"/>
  <c r="W142" i="15"/>
  <c r="V142" i="15"/>
  <c r="T142" i="15" s="1"/>
  <c r="U142" i="15"/>
  <c r="R142" i="15"/>
  <c r="Q142" i="15"/>
  <c r="P142" i="15"/>
  <c r="O142" i="15"/>
  <c r="N142" i="15"/>
  <c r="M142" i="15"/>
  <c r="G142" i="15"/>
  <c r="C142" i="15"/>
  <c r="Z141" i="15"/>
  <c r="Y141" i="15"/>
  <c r="X141" i="15"/>
  <c r="W141" i="15"/>
  <c r="V141" i="15"/>
  <c r="U141" i="15"/>
  <c r="S141" i="15"/>
  <c r="R141" i="15"/>
  <c r="Q141" i="15"/>
  <c r="P141" i="15"/>
  <c r="O141" i="15"/>
  <c r="K141" i="15" s="1"/>
  <c r="N141" i="15"/>
  <c r="M141" i="15"/>
  <c r="G141" i="15"/>
  <c r="C141" i="15"/>
  <c r="Z140" i="15"/>
  <c r="Y140" i="15"/>
  <c r="X140" i="15"/>
  <c r="T140" i="15" s="1"/>
  <c r="W140" i="15"/>
  <c r="V140" i="15"/>
  <c r="U140" i="15"/>
  <c r="S140" i="15" s="1"/>
  <c r="R140" i="15"/>
  <c r="Q140" i="15"/>
  <c r="P140" i="15"/>
  <c r="L140" i="15" s="1"/>
  <c r="O140" i="15"/>
  <c r="N140" i="15"/>
  <c r="M140" i="15"/>
  <c r="G140" i="15"/>
  <c r="C140" i="15"/>
  <c r="Z139" i="15"/>
  <c r="Y139" i="15"/>
  <c r="X139" i="15"/>
  <c r="T139" i="15" s="1"/>
  <c r="W139" i="15"/>
  <c r="V139" i="15"/>
  <c r="U139" i="15"/>
  <c r="S139" i="15" s="1"/>
  <c r="R139" i="15"/>
  <c r="Q139" i="15"/>
  <c r="P139" i="15"/>
  <c r="L139" i="15" s="1"/>
  <c r="O139" i="15"/>
  <c r="N139" i="15"/>
  <c r="M139" i="15"/>
  <c r="G139" i="15"/>
  <c r="C139" i="15"/>
  <c r="Z138" i="15"/>
  <c r="Y138" i="15"/>
  <c r="X138" i="15"/>
  <c r="W138" i="15"/>
  <c r="V138" i="15"/>
  <c r="U138" i="15"/>
  <c r="R138" i="15"/>
  <c r="Q138" i="15"/>
  <c r="P138" i="15"/>
  <c r="O138" i="15"/>
  <c r="K138" i="15" s="1"/>
  <c r="N138" i="15"/>
  <c r="M138" i="15"/>
  <c r="G138" i="15"/>
  <c r="C138" i="15"/>
  <c r="Z137" i="15"/>
  <c r="Y137" i="15"/>
  <c r="X137" i="15"/>
  <c r="W137" i="15"/>
  <c r="S137" i="15" s="1"/>
  <c r="V137" i="15"/>
  <c r="U137" i="15"/>
  <c r="R137" i="15"/>
  <c r="Q137" i="15"/>
  <c r="P137" i="15"/>
  <c r="O137" i="15"/>
  <c r="N137" i="15"/>
  <c r="L137" i="15" s="1"/>
  <c r="M137" i="15"/>
  <c r="G137" i="15"/>
  <c r="C137" i="15"/>
  <c r="Z136" i="15"/>
  <c r="Y136" i="15"/>
  <c r="X136" i="15"/>
  <c r="W136" i="15"/>
  <c r="V136" i="15"/>
  <c r="T136" i="15" s="1"/>
  <c r="U136" i="15"/>
  <c r="R136" i="15"/>
  <c r="Q136" i="15"/>
  <c r="P136" i="15"/>
  <c r="O136" i="15"/>
  <c r="N136" i="15"/>
  <c r="L136" i="15" s="1"/>
  <c r="M136" i="15"/>
  <c r="K136" i="15" s="1"/>
  <c r="G136" i="15"/>
  <c r="C136" i="15"/>
  <c r="Z135" i="15"/>
  <c r="Y135" i="15"/>
  <c r="X135" i="15"/>
  <c r="W135" i="15"/>
  <c r="V135" i="15"/>
  <c r="T135" i="15" s="1"/>
  <c r="U135" i="15"/>
  <c r="R135" i="15"/>
  <c r="Q135" i="15"/>
  <c r="P135" i="15"/>
  <c r="O135" i="15"/>
  <c r="N135" i="15"/>
  <c r="L135" i="15" s="1"/>
  <c r="M135" i="15"/>
  <c r="K135" i="15" s="1"/>
  <c r="G135" i="15"/>
  <c r="C135" i="15"/>
  <c r="Z134" i="15"/>
  <c r="Y134" i="15"/>
  <c r="X134" i="15"/>
  <c r="W134" i="15"/>
  <c r="S134" i="15" s="1"/>
  <c r="V134" i="15"/>
  <c r="T134" i="15" s="1"/>
  <c r="U134" i="15"/>
  <c r="R134" i="15"/>
  <c r="Q134" i="15"/>
  <c r="P134" i="15"/>
  <c r="O134" i="15"/>
  <c r="N134" i="15"/>
  <c r="L134" i="15" s="1"/>
  <c r="M134" i="15"/>
  <c r="G134" i="15"/>
  <c r="C134" i="15"/>
  <c r="Z133" i="15"/>
  <c r="Y133" i="15"/>
  <c r="X133" i="15"/>
  <c r="W133" i="15"/>
  <c r="V133" i="15"/>
  <c r="T133" i="15" s="1"/>
  <c r="U133" i="15"/>
  <c r="S133" i="15" s="1"/>
  <c r="R133" i="15"/>
  <c r="Q133" i="15"/>
  <c r="P133" i="15"/>
  <c r="O133" i="15"/>
  <c r="N133" i="15"/>
  <c r="L133" i="15" s="1"/>
  <c r="M133" i="15"/>
  <c r="K133" i="15"/>
  <c r="G133" i="15"/>
  <c r="C133" i="15"/>
  <c r="Z132" i="15"/>
  <c r="Y132" i="15"/>
  <c r="X132" i="15"/>
  <c r="W132" i="15"/>
  <c r="V132" i="15"/>
  <c r="U132" i="15"/>
  <c r="S132" i="15" s="1"/>
  <c r="T132" i="15"/>
  <c r="R132" i="15"/>
  <c r="Q132" i="15"/>
  <c r="P132" i="15"/>
  <c r="O132" i="15"/>
  <c r="N132" i="15"/>
  <c r="M132" i="15"/>
  <c r="K132" i="15" s="1"/>
  <c r="L132" i="15"/>
  <c r="G132" i="15"/>
  <c r="C132" i="15"/>
  <c r="Z131" i="15"/>
  <c r="Y131" i="15"/>
  <c r="X131" i="15"/>
  <c r="W131" i="15"/>
  <c r="V131" i="15"/>
  <c r="U131" i="15"/>
  <c r="T131" i="15"/>
  <c r="R131" i="15"/>
  <c r="Q131" i="15"/>
  <c r="P131" i="15"/>
  <c r="O131" i="15"/>
  <c r="N131" i="15"/>
  <c r="M131" i="15"/>
  <c r="K131" i="15" s="1"/>
  <c r="L131" i="15"/>
  <c r="G131" i="15"/>
  <c r="C131" i="15"/>
  <c r="Z130" i="15"/>
  <c r="Y130" i="15"/>
  <c r="X130" i="15"/>
  <c r="W130" i="15"/>
  <c r="V130" i="15"/>
  <c r="T130" i="15" s="1"/>
  <c r="U130" i="15"/>
  <c r="R130" i="15"/>
  <c r="Q130" i="15"/>
  <c r="P130" i="15"/>
  <c r="O130" i="15"/>
  <c r="N130" i="15"/>
  <c r="L130" i="15" s="1"/>
  <c r="M130" i="15"/>
  <c r="G130" i="15"/>
  <c r="C130" i="15"/>
  <c r="Z129" i="15"/>
  <c r="Y129" i="15"/>
  <c r="X129" i="15"/>
  <c r="W129" i="15"/>
  <c r="V129" i="15"/>
  <c r="T129" i="15" s="1"/>
  <c r="U129" i="15"/>
  <c r="S129" i="15"/>
  <c r="R129" i="15"/>
  <c r="Q129" i="15"/>
  <c r="P129" i="15"/>
  <c r="O129" i="15"/>
  <c r="N129" i="15"/>
  <c r="L129" i="15" s="1"/>
  <c r="M129" i="15"/>
  <c r="K129" i="15"/>
  <c r="G129" i="15"/>
  <c r="C129" i="15"/>
  <c r="Z128" i="15"/>
  <c r="Y128" i="15"/>
  <c r="X128" i="15"/>
  <c r="W128" i="15"/>
  <c r="V128" i="15"/>
  <c r="U128" i="15"/>
  <c r="S128" i="15" s="1"/>
  <c r="T128" i="15"/>
  <c r="R128" i="15"/>
  <c r="Q128" i="15"/>
  <c r="P128" i="15"/>
  <c r="O128" i="15"/>
  <c r="N128" i="15"/>
  <c r="M128" i="15"/>
  <c r="K128" i="15" s="1"/>
  <c r="L128" i="15"/>
  <c r="G128" i="15"/>
  <c r="C128" i="15"/>
  <c r="Z127" i="15"/>
  <c r="Y127" i="15"/>
  <c r="X127" i="15"/>
  <c r="W127" i="15"/>
  <c r="V127" i="15"/>
  <c r="U127" i="15"/>
  <c r="S127" i="15" s="1"/>
  <c r="T127" i="15"/>
  <c r="R127" i="15"/>
  <c r="Q127" i="15"/>
  <c r="P127" i="15"/>
  <c r="O127" i="15"/>
  <c r="N127" i="15"/>
  <c r="M127" i="15"/>
  <c r="L127" i="15"/>
  <c r="G127" i="15"/>
  <c r="C127" i="15"/>
  <c r="Z126" i="15"/>
  <c r="Y126" i="15"/>
  <c r="X126" i="15"/>
  <c r="W126" i="15"/>
  <c r="V126" i="15"/>
  <c r="T126" i="15" s="1"/>
  <c r="U126" i="15"/>
  <c r="R126" i="15"/>
  <c r="Q126" i="15"/>
  <c r="P126" i="15"/>
  <c r="O126" i="15"/>
  <c r="N126" i="15"/>
  <c r="M126" i="15"/>
  <c r="G126" i="15"/>
  <c r="C126" i="15"/>
  <c r="Z125" i="15"/>
  <c r="Y125" i="15"/>
  <c r="X125" i="15"/>
  <c r="W125" i="15"/>
  <c r="V125" i="15"/>
  <c r="U125" i="15"/>
  <c r="S125" i="15"/>
  <c r="R125" i="15"/>
  <c r="Q125" i="15"/>
  <c r="P125" i="15"/>
  <c r="O125" i="15"/>
  <c r="K125" i="15" s="1"/>
  <c r="N125" i="15"/>
  <c r="M125" i="15"/>
  <c r="G125" i="15"/>
  <c r="C125" i="15"/>
  <c r="Z124" i="15"/>
  <c r="Y124" i="15"/>
  <c r="X124" i="15"/>
  <c r="T124" i="15" s="1"/>
  <c r="W124" i="15"/>
  <c r="V124" i="15"/>
  <c r="U124" i="15"/>
  <c r="S124" i="15" s="1"/>
  <c r="R124" i="15"/>
  <c r="Q124" i="15"/>
  <c r="P124" i="15"/>
  <c r="L124" i="15" s="1"/>
  <c r="O124" i="15"/>
  <c r="N124" i="15"/>
  <c r="M124" i="15"/>
  <c r="G124" i="15"/>
  <c r="C124" i="15"/>
  <c r="Z123" i="15"/>
  <c r="Y123" i="15"/>
  <c r="X123" i="15"/>
  <c r="T123" i="15" s="1"/>
  <c r="W123" i="15"/>
  <c r="V123" i="15"/>
  <c r="U123" i="15"/>
  <c r="S123" i="15" s="1"/>
  <c r="R123" i="15"/>
  <c r="Q123" i="15"/>
  <c r="P123" i="15"/>
  <c r="L123" i="15" s="1"/>
  <c r="O123" i="15"/>
  <c r="N123" i="15"/>
  <c r="M123" i="15"/>
  <c r="G123" i="15"/>
  <c r="C123" i="15"/>
  <c r="Z122" i="15"/>
  <c r="Y122" i="15"/>
  <c r="X122" i="15"/>
  <c r="W122" i="15"/>
  <c r="V122" i="15"/>
  <c r="U122" i="15"/>
  <c r="R122" i="15"/>
  <c r="Q122" i="15"/>
  <c r="P122" i="15"/>
  <c r="O122" i="15"/>
  <c r="K122" i="15" s="1"/>
  <c r="N122" i="15"/>
  <c r="L122" i="15" s="1"/>
  <c r="M122" i="15"/>
  <c r="G122" i="15"/>
  <c r="C122" i="15"/>
  <c r="Z121" i="15"/>
  <c r="Y121" i="15"/>
  <c r="X121" i="15"/>
  <c r="W121" i="15"/>
  <c r="S121" i="15" s="1"/>
  <c r="V121" i="15"/>
  <c r="T121" i="15" s="1"/>
  <c r="U121" i="15"/>
  <c r="R121" i="15"/>
  <c r="Q121" i="15"/>
  <c r="P121" i="15"/>
  <c r="O121" i="15"/>
  <c r="N121" i="15"/>
  <c r="M121" i="15"/>
  <c r="K121" i="15" s="1"/>
  <c r="G121" i="15"/>
  <c r="C121" i="15"/>
  <c r="Z120" i="15"/>
  <c r="Y120" i="15"/>
  <c r="X120" i="15"/>
  <c r="W120" i="15"/>
  <c r="S120" i="15" s="1"/>
  <c r="V120" i="15"/>
  <c r="T120" i="15" s="1"/>
  <c r="U120" i="15"/>
  <c r="R120" i="15"/>
  <c r="Q120" i="15"/>
  <c r="P120" i="15"/>
  <c r="O120" i="15"/>
  <c r="K120" i="15" s="1"/>
  <c r="N120" i="15"/>
  <c r="M120" i="15"/>
  <c r="G120" i="15"/>
  <c r="C120" i="15"/>
  <c r="Z119" i="15"/>
  <c r="Y119" i="15"/>
  <c r="X119" i="15"/>
  <c r="W119" i="15"/>
  <c r="V119" i="15"/>
  <c r="U119" i="15"/>
  <c r="S119" i="15" s="1"/>
  <c r="R119" i="15"/>
  <c r="Q119" i="15"/>
  <c r="P119" i="15"/>
  <c r="L119" i="15" s="1"/>
  <c r="O119" i="15"/>
  <c r="N119" i="15"/>
  <c r="M119" i="15"/>
  <c r="G119" i="15"/>
  <c r="C119" i="15"/>
  <c r="Z118" i="15"/>
  <c r="Y118" i="15"/>
  <c r="X118" i="15"/>
  <c r="W118" i="15"/>
  <c r="V118" i="15"/>
  <c r="U118" i="15"/>
  <c r="R118" i="15"/>
  <c r="Q118" i="15"/>
  <c r="P118" i="15"/>
  <c r="O118" i="15"/>
  <c r="K118" i="15" s="1"/>
  <c r="N118" i="15"/>
  <c r="L118" i="15" s="1"/>
  <c r="M118" i="15"/>
  <c r="G118" i="15"/>
  <c r="C118" i="15"/>
  <c r="Z116" i="15"/>
  <c r="Y116" i="15"/>
  <c r="X116" i="15"/>
  <c r="W116" i="15"/>
  <c r="S116" i="15" s="1"/>
  <c r="V116" i="15"/>
  <c r="T116" i="15" s="1"/>
  <c r="U116" i="15"/>
  <c r="R116" i="15"/>
  <c r="Q116" i="15"/>
  <c r="P116" i="15"/>
  <c r="O116" i="15"/>
  <c r="N116" i="15"/>
  <c r="M116" i="15"/>
  <c r="K116" i="15" s="1"/>
  <c r="G116" i="15"/>
  <c r="C116" i="15"/>
  <c r="Z115" i="15"/>
  <c r="Y115" i="15"/>
  <c r="X115" i="15"/>
  <c r="W115" i="15"/>
  <c r="S115" i="15" s="1"/>
  <c r="V115" i="15"/>
  <c r="T115" i="15" s="1"/>
  <c r="U115" i="15"/>
  <c r="R115" i="15"/>
  <c r="Q115" i="15"/>
  <c r="P115" i="15"/>
  <c r="O115" i="15"/>
  <c r="K115" i="15" s="1"/>
  <c r="N115" i="15"/>
  <c r="M115" i="15"/>
  <c r="G115" i="15"/>
  <c r="C115" i="15"/>
  <c r="Z114" i="15"/>
  <c r="Y114" i="15"/>
  <c r="X114" i="15"/>
  <c r="W114" i="15"/>
  <c r="V114" i="15"/>
  <c r="U114" i="15"/>
  <c r="S114" i="15" s="1"/>
  <c r="R114" i="15"/>
  <c r="Q114" i="15"/>
  <c r="P114" i="15"/>
  <c r="L114" i="15" s="1"/>
  <c r="O114" i="15"/>
  <c r="N114" i="15"/>
  <c r="M114" i="15"/>
  <c r="G114" i="15"/>
  <c r="C114" i="15"/>
  <c r="Z113" i="15"/>
  <c r="Y113" i="15"/>
  <c r="X113" i="15"/>
  <c r="W113" i="15"/>
  <c r="V113" i="15"/>
  <c r="U113" i="15"/>
  <c r="R113" i="15"/>
  <c r="Q113" i="15"/>
  <c r="P113" i="15"/>
  <c r="O113" i="15"/>
  <c r="K113" i="15" s="1"/>
  <c r="N113" i="15"/>
  <c r="L113" i="15" s="1"/>
  <c r="M113" i="15"/>
  <c r="G113" i="15"/>
  <c r="C113" i="15"/>
  <c r="Z112" i="15"/>
  <c r="Y112" i="15"/>
  <c r="X112" i="15"/>
  <c r="W112" i="15"/>
  <c r="S112" i="15" s="1"/>
  <c r="V112" i="15"/>
  <c r="T112" i="15" s="1"/>
  <c r="U112" i="15"/>
  <c r="R112" i="15"/>
  <c r="Q112" i="15"/>
  <c r="P112" i="15"/>
  <c r="O112" i="15"/>
  <c r="N112" i="15"/>
  <c r="M112" i="15"/>
  <c r="K112" i="15" s="1"/>
  <c r="G112" i="15"/>
  <c r="C112" i="15"/>
  <c r="Z111" i="15"/>
  <c r="Y111" i="15"/>
  <c r="X111" i="15"/>
  <c r="W111" i="15"/>
  <c r="S111" i="15" s="1"/>
  <c r="V111" i="15"/>
  <c r="T111" i="15" s="1"/>
  <c r="U111" i="15"/>
  <c r="R111" i="15"/>
  <c r="Q111" i="15"/>
  <c r="P111" i="15"/>
  <c r="O111" i="15"/>
  <c r="K111" i="15" s="1"/>
  <c r="N111" i="15"/>
  <c r="M111" i="15"/>
  <c r="G111" i="15"/>
  <c r="C111" i="15"/>
  <c r="Z110" i="15"/>
  <c r="Y110" i="15"/>
  <c r="X110" i="15"/>
  <c r="W110" i="15"/>
  <c r="V110" i="15"/>
  <c r="U110" i="15"/>
  <c r="S110" i="15" s="1"/>
  <c r="R110" i="15"/>
  <c r="Q110" i="15"/>
  <c r="P110" i="15"/>
  <c r="L110" i="15" s="1"/>
  <c r="O110" i="15"/>
  <c r="N110" i="15"/>
  <c r="M110" i="15"/>
  <c r="G110" i="15"/>
  <c r="C110" i="15"/>
  <c r="Z109" i="15"/>
  <c r="Y109" i="15"/>
  <c r="X109" i="15"/>
  <c r="W109" i="15"/>
  <c r="V109" i="15"/>
  <c r="U109" i="15"/>
  <c r="R109" i="15"/>
  <c r="Q109" i="15"/>
  <c r="P109" i="15"/>
  <c r="O109" i="15"/>
  <c r="K109" i="15" s="1"/>
  <c r="N109" i="15"/>
  <c r="L109" i="15" s="1"/>
  <c r="M109" i="15"/>
  <c r="G109" i="15"/>
  <c r="C109" i="15"/>
  <c r="Z108" i="15"/>
  <c r="Y108" i="15"/>
  <c r="X108" i="15"/>
  <c r="W108" i="15"/>
  <c r="S108" i="15" s="1"/>
  <c r="V108" i="15"/>
  <c r="T108" i="15" s="1"/>
  <c r="U108" i="15"/>
  <c r="R108" i="15"/>
  <c r="Q108" i="15"/>
  <c r="P108" i="15"/>
  <c r="O108" i="15"/>
  <c r="N108" i="15"/>
  <c r="M108" i="15"/>
  <c r="K108" i="15" s="1"/>
  <c r="G108" i="15"/>
  <c r="C108" i="15"/>
  <c r="Z107" i="15"/>
  <c r="Y107" i="15"/>
  <c r="X107" i="15"/>
  <c r="W107" i="15"/>
  <c r="V107" i="15"/>
  <c r="T107" i="15" s="1"/>
  <c r="U107" i="15"/>
  <c r="S107" i="15" s="1"/>
  <c r="R107" i="15"/>
  <c r="Q107" i="15"/>
  <c r="P107" i="15"/>
  <c r="O107" i="15"/>
  <c r="N107" i="15"/>
  <c r="L107" i="15" s="1"/>
  <c r="M107" i="15"/>
  <c r="K107" i="15" s="1"/>
  <c r="G107" i="15"/>
  <c r="C107" i="15"/>
  <c r="Z106" i="15"/>
  <c r="Y106" i="15"/>
  <c r="X106" i="15"/>
  <c r="W106" i="15"/>
  <c r="V106" i="15"/>
  <c r="U106" i="15"/>
  <c r="R106" i="15"/>
  <c r="Q106" i="15"/>
  <c r="P106" i="15"/>
  <c r="O106" i="15"/>
  <c r="N106" i="15"/>
  <c r="L106" i="15" s="1"/>
  <c r="M106" i="15"/>
  <c r="G106" i="15"/>
  <c r="C106" i="15"/>
  <c r="Z105" i="15"/>
  <c r="Y105" i="15"/>
  <c r="X105" i="15"/>
  <c r="W105" i="15"/>
  <c r="V105" i="15"/>
  <c r="U105" i="15"/>
  <c r="R105" i="15"/>
  <c r="Q105" i="15"/>
  <c r="P105" i="15"/>
  <c r="O105" i="15"/>
  <c r="N105" i="15"/>
  <c r="L105" i="15" s="1"/>
  <c r="M105" i="15"/>
  <c r="G105" i="15"/>
  <c r="C105" i="15"/>
  <c r="Z104" i="15"/>
  <c r="Y104" i="15"/>
  <c r="X104" i="15"/>
  <c r="W104" i="15"/>
  <c r="V104" i="15"/>
  <c r="U104" i="15"/>
  <c r="S104" i="15" s="1"/>
  <c r="R104" i="15"/>
  <c r="Q104" i="15"/>
  <c r="P104" i="15"/>
  <c r="O104" i="15"/>
  <c r="N104" i="15"/>
  <c r="L104" i="15" s="1"/>
  <c r="M104" i="15"/>
  <c r="K104" i="15" s="1"/>
  <c r="G104" i="15"/>
  <c r="C104" i="15"/>
  <c r="Z103" i="15"/>
  <c r="Y103" i="15"/>
  <c r="X103" i="15"/>
  <c r="W103" i="15"/>
  <c r="V103" i="15"/>
  <c r="U103" i="15"/>
  <c r="T103" i="15"/>
  <c r="S103" i="15"/>
  <c r="R103" i="15"/>
  <c r="Q103" i="15"/>
  <c r="P103" i="15"/>
  <c r="O103" i="15"/>
  <c r="N103" i="15"/>
  <c r="M103" i="15"/>
  <c r="L103" i="15"/>
  <c r="K103" i="15"/>
  <c r="G103" i="15"/>
  <c r="C103" i="15"/>
  <c r="Z102" i="15"/>
  <c r="Y102" i="15"/>
  <c r="X102" i="15"/>
  <c r="W102" i="15"/>
  <c r="V102" i="15"/>
  <c r="T102" i="15" s="1"/>
  <c r="U102" i="15"/>
  <c r="S102" i="15" s="1"/>
  <c r="R102" i="15"/>
  <c r="Q102" i="15"/>
  <c r="P102" i="15"/>
  <c r="O102" i="15"/>
  <c r="N102" i="15"/>
  <c r="M102" i="15"/>
  <c r="L102" i="15"/>
  <c r="G102" i="15"/>
  <c r="C102" i="15"/>
  <c r="Z101" i="15"/>
  <c r="Y101" i="15"/>
  <c r="X101" i="15"/>
  <c r="W101" i="15"/>
  <c r="V101" i="15"/>
  <c r="U101" i="15"/>
  <c r="T101" i="15"/>
  <c r="R101" i="15"/>
  <c r="Q101" i="15"/>
  <c r="P101" i="15"/>
  <c r="O101" i="15"/>
  <c r="N101" i="15"/>
  <c r="M101" i="15"/>
  <c r="L101" i="15"/>
  <c r="G101" i="15"/>
  <c r="C101" i="15"/>
  <c r="Z100" i="15"/>
  <c r="Y100" i="15"/>
  <c r="X100" i="15"/>
  <c r="W100" i="15"/>
  <c r="V100" i="15"/>
  <c r="T100" i="15" s="1"/>
  <c r="U100" i="15"/>
  <c r="S100" i="15"/>
  <c r="R100" i="15"/>
  <c r="Q100" i="15"/>
  <c r="P100" i="15"/>
  <c r="O100" i="15"/>
  <c r="N100" i="15"/>
  <c r="L100" i="15" s="1"/>
  <c r="M100" i="15"/>
  <c r="K100" i="15" s="1"/>
  <c r="G100" i="15"/>
  <c r="C100" i="15"/>
  <c r="Z99" i="15"/>
  <c r="Y99" i="15"/>
  <c r="X99" i="15"/>
  <c r="W99" i="15"/>
  <c r="V99" i="15"/>
  <c r="U99" i="15"/>
  <c r="S99" i="15" s="1"/>
  <c r="R99" i="15"/>
  <c r="Q99" i="15"/>
  <c r="P99" i="15"/>
  <c r="O99" i="15"/>
  <c r="N99" i="15"/>
  <c r="M99" i="15"/>
  <c r="K99" i="15" s="1"/>
  <c r="G99" i="15"/>
  <c r="C99" i="15"/>
  <c r="Z98" i="15"/>
  <c r="Y98" i="15"/>
  <c r="X98" i="15"/>
  <c r="W98" i="15"/>
  <c r="V98" i="15"/>
  <c r="U98" i="15"/>
  <c r="S98" i="15" s="1"/>
  <c r="T98" i="15"/>
  <c r="R98" i="15"/>
  <c r="Q98" i="15"/>
  <c r="P98" i="15"/>
  <c r="O98" i="15"/>
  <c r="N98" i="15"/>
  <c r="M98" i="15"/>
  <c r="K98" i="15" s="1"/>
  <c r="L98" i="15"/>
  <c r="G98" i="15"/>
  <c r="C98" i="15"/>
  <c r="Z97" i="15"/>
  <c r="Y97" i="15"/>
  <c r="X97" i="15"/>
  <c r="W97" i="15"/>
  <c r="V97" i="15"/>
  <c r="U97" i="15"/>
  <c r="S97" i="15" s="1"/>
  <c r="T97" i="15"/>
  <c r="R97" i="15"/>
  <c r="Q97" i="15"/>
  <c r="P97" i="15"/>
  <c r="O97" i="15"/>
  <c r="N97" i="15"/>
  <c r="M97" i="15"/>
  <c r="K97" i="15" s="1"/>
  <c r="L97" i="15"/>
  <c r="G97" i="15"/>
  <c r="C97" i="15"/>
  <c r="Z96" i="15"/>
  <c r="Y96" i="15"/>
  <c r="X96" i="15"/>
  <c r="W96" i="15"/>
  <c r="V96" i="15"/>
  <c r="T96" i="15" s="1"/>
  <c r="U96" i="15"/>
  <c r="S96" i="15"/>
  <c r="R96" i="15"/>
  <c r="Q96" i="15"/>
  <c r="P96" i="15"/>
  <c r="O96" i="15"/>
  <c r="N96" i="15"/>
  <c r="L96" i="15" s="1"/>
  <c r="M96" i="15"/>
  <c r="K96" i="15" s="1"/>
  <c r="G96" i="15"/>
  <c r="C96" i="15"/>
  <c r="Z95" i="15"/>
  <c r="Y95" i="15"/>
  <c r="X95" i="15"/>
  <c r="W95" i="15"/>
  <c r="V95" i="15"/>
  <c r="U95" i="15"/>
  <c r="R95" i="15"/>
  <c r="Q95" i="15"/>
  <c r="P95" i="15"/>
  <c r="O95" i="15"/>
  <c r="N95" i="15"/>
  <c r="M95" i="15"/>
  <c r="K95" i="15" s="1"/>
  <c r="G95" i="15"/>
  <c r="C95" i="15"/>
  <c r="Z94" i="15"/>
  <c r="Y94" i="15"/>
  <c r="X94" i="15"/>
  <c r="W94" i="15"/>
  <c r="V94" i="15"/>
  <c r="U94" i="15"/>
  <c r="S94" i="15" s="1"/>
  <c r="T94" i="15"/>
  <c r="R94" i="15"/>
  <c r="Q94" i="15"/>
  <c r="P94" i="15"/>
  <c r="O94" i="15"/>
  <c r="N94" i="15"/>
  <c r="M94" i="15"/>
  <c r="K94" i="15" s="1"/>
  <c r="L94" i="15"/>
  <c r="G94" i="15"/>
  <c r="C94" i="15"/>
  <c r="Z93" i="15"/>
  <c r="Y93" i="15"/>
  <c r="X93" i="15"/>
  <c r="W93" i="15"/>
  <c r="V93" i="15"/>
  <c r="U93" i="15"/>
  <c r="S93" i="15" s="1"/>
  <c r="T93" i="15"/>
  <c r="R93" i="15"/>
  <c r="Q93" i="15"/>
  <c r="P93" i="15"/>
  <c r="O93" i="15"/>
  <c r="N93" i="15"/>
  <c r="M93" i="15"/>
  <c r="K93" i="15" s="1"/>
  <c r="L93" i="15"/>
  <c r="G93" i="15"/>
  <c r="C93" i="15"/>
  <c r="Z92" i="15"/>
  <c r="Y92" i="15"/>
  <c r="X92" i="15"/>
  <c r="W92" i="15"/>
  <c r="V92" i="15"/>
  <c r="T92" i="15" s="1"/>
  <c r="U92" i="15"/>
  <c r="S92" i="15"/>
  <c r="R92" i="15"/>
  <c r="Q92" i="15"/>
  <c r="P92" i="15"/>
  <c r="O92" i="15"/>
  <c r="N92" i="15"/>
  <c r="L92" i="15" s="1"/>
  <c r="M92" i="15"/>
  <c r="K92" i="15" s="1"/>
  <c r="G92" i="15"/>
  <c r="C92" i="15"/>
  <c r="Z91" i="15"/>
  <c r="Y91" i="15"/>
  <c r="X91" i="15"/>
  <c r="W91" i="15"/>
  <c r="V91" i="15"/>
  <c r="U91" i="15"/>
  <c r="R91" i="15"/>
  <c r="Q91" i="15"/>
  <c r="P91" i="15"/>
  <c r="O91" i="15"/>
  <c r="N91" i="15"/>
  <c r="M91" i="15"/>
  <c r="K91" i="15" s="1"/>
  <c r="G91" i="15"/>
  <c r="C91" i="15"/>
  <c r="Z90" i="15"/>
  <c r="Y90" i="15"/>
  <c r="X90" i="15"/>
  <c r="W90" i="15"/>
  <c r="V90" i="15"/>
  <c r="T90" i="15" s="1"/>
  <c r="U90" i="15"/>
  <c r="S90" i="15" s="1"/>
  <c r="R90" i="15"/>
  <c r="Q90" i="15"/>
  <c r="P90" i="15"/>
  <c r="O90" i="15"/>
  <c r="N90" i="15"/>
  <c r="M90" i="15"/>
  <c r="G90" i="15"/>
  <c r="C90" i="15"/>
  <c r="Z89" i="15"/>
  <c r="Y89" i="15"/>
  <c r="X89" i="15"/>
  <c r="T89" i="15" s="1"/>
  <c r="W89" i="15"/>
  <c r="V89" i="15"/>
  <c r="U89" i="15"/>
  <c r="S89" i="15"/>
  <c r="R89" i="15"/>
  <c r="Q89" i="15"/>
  <c r="P89" i="15"/>
  <c r="L89" i="15" s="1"/>
  <c r="O89" i="15"/>
  <c r="N89" i="15"/>
  <c r="M89" i="15"/>
  <c r="K89" i="15"/>
  <c r="G89" i="15"/>
  <c r="C89" i="15"/>
  <c r="Z88" i="15"/>
  <c r="Y88" i="15"/>
  <c r="X88" i="15"/>
  <c r="W88" i="15"/>
  <c r="V88" i="15"/>
  <c r="T88" i="15" s="1"/>
  <c r="U88" i="15"/>
  <c r="S88" i="15"/>
  <c r="R88" i="15"/>
  <c r="Q88" i="15"/>
  <c r="P88" i="15"/>
  <c r="O88" i="15"/>
  <c r="N88" i="15"/>
  <c r="M88" i="15"/>
  <c r="K88" i="15"/>
  <c r="G88" i="15"/>
  <c r="C88" i="15"/>
  <c r="Z87" i="15"/>
  <c r="Y87" i="15"/>
  <c r="X87" i="15"/>
  <c r="W87" i="15"/>
  <c r="V87" i="15"/>
  <c r="U87" i="15"/>
  <c r="S87" i="15" s="1"/>
  <c r="R87" i="15"/>
  <c r="Q87" i="15"/>
  <c r="P87" i="15"/>
  <c r="L87" i="15" s="1"/>
  <c r="O87" i="15"/>
  <c r="N87" i="15"/>
  <c r="M87" i="15"/>
  <c r="G87" i="15"/>
  <c r="C87" i="15"/>
  <c r="Z86" i="15"/>
  <c r="Y86" i="15"/>
  <c r="X86" i="15"/>
  <c r="W86" i="15"/>
  <c r="V86" i="15"/>
  <c r="U86" i="15"/>
  <c r="R86" i="15"/>
  <c r="Q86" i="15"/>
  <c r="P86" i="15"/>
  <c r="O86" i="15"/>
  <c r="N86" i="15"/>
  <c r="L86" i="15" s="1"/>
  <c r="M86" i="15"/>
  <c r="G86" i="15"/>
  <c r="C86" i="15"/>
  <c r="Z85" i="15"/>
  <c r="Y85" i="15"/>
  <c r="X85" i="15"/>
  <c r="W85" i="15"/>
  <c r="V85" i="15"/>
  <c r="T85" i="15" s="1"/>
  <c r="U85" i="15"/>
  <c r="S85" i="15" s="1"/>
  <c r="R85" i="15"/>
  <c r="Q85" i="15"/>
  <c r="P85" i="15"/>
  <c r="O85" i="15"/>
  <c r="N85" i="15"/>
  <c r="L85" i="15" s="1"/>
  <c r="M85" i="15"/>
  <c r="K85" i="15" s="1"/>
  <c r="G85" i="15"/>
  <c r="C85" i="15"/>
  <c r="Z84" i="15"/>
  <c r="Y84" i="15"/>
  <c r="X84" i="15"/>
  <c r="W84" i="15"/>
  <c r="V84" i="15"/>
  <c r="U84" i="15"/>
  <c r="S84" i="15" s="1"/>
  <c r="R84" i="15"/>
  <c r="Q84" i="15"/>
  <c r="P84" i="15"/>
  <c r="O84" i="15"/>
  <c r="K84" i="15" s="1"/>
  <c r="N84" i="15"/>
  <c r="M84" i="15"/>
  <c r="G84" i="15"/>
  <c r="C84" i="15"/>
  <c r="Z83" i="15"/>
  <c r="Y83" i="15"/>
  <c r="X83" i="15"/>
  <c r="T83" i="15" s="1"/>
  <c r="W83" i="15"/>
  <c r="V83" i="15"/>
  <c r="U83" i="15"/>
  <c r="R83" i="15"/>
  <c r="Q83" i="15"/>
  <c r="P83" i="15"/>
  <c r="O83" i="15"/>
  <c r="N83" i="15"/>
  <c r="M83" i="15"/>
  <c r="G83" i="15"/>
  <c r="C83" i="15"/>
  <c r="Z82" i="15"/>
  <c r="Y82" i="15"/>
  <c r="X82" i="15"/>
  <c r="W82" i="15"/>
  <c r="V82" i="15"/>
  <c r="T82" i="15" s="1"/>
  <c r="U82" i="15"/>
  <c r="R82" i="15"/>
  <c r="Q82" i="15"/>
  <c r="P82" i="15"/>
  <c r="O82" i="15"/>
  <c r="N82" i="15"/>
  <c r="L82" i="15" s="1"/>
  <c r="M82" i="15"/>
  <c r="G82" i="15"/>
  <c r="C82" i="15"/>
  <c r="Z81" i="15"/>
  <c r="Y81" i="15"/>
  <c r="X81" i="15"/>
  <c r="W81" i="15"/>
  <c r="V81" i="15"/>
  <c r="U81" i="15"/>
  <c r="S81" i="15" s="1"/>
  <c r="T81" i="15"/>
  <c r="R81" i="15"/>
  <c r="Q81" i="15"/>
  <c r="P81" i="15"/>
  <c r="O81" i="15"/>
  <c r="N81" i="15"/>
  <c r="M81" i="15"/>
  <c r="K81" i="15" s="1"/>
  <c r="L81" i="15"/>
  <c r="G81" i="15"/>
  <c r="C81" i="15"/>
  <c r="Z80" i="15"/>
  <c r="Y80" i="15"/>
  <c r="X80" i="15"/>
  <c r="W80" i="15"/>
  <c r="V80" i="15"/>
  <c r="T80" i="15" s="1"/>
  <c r="U80" i="15"/>
  <c r="S80" i="15" s="1"/>
  <c r="R80" i="15"/>
  <c r="Q80" i="15"/>
  <c r="P80" i="15"/>
  <c r="O80" i="15"/>
  <c r="N80" i="15"/>
  <c r="M80" i="15"/>
  <c r="K80" i="15" s="1"/>
  <c r="G80" i="15"/>
  <c r="C80" i="15"/>
  <c r="Z79" i="15"/>
  <c r="Y79" i="15"/>
  <c r="X79" i="15"/>
  <c r="W79" i="15"/>
  <c r="V79" i="15"/>
  <c r="U79" i="15"/>
  <c r="R79" i="15"/>
  <c r="Q79" i="15"/>
  <c r="P79" i="15"/>
  <c r="O79" i="15"/>
  <c r="N79" i="15"/>
  <c r="M79" i="15"/>
  <c r="G79" i="15"/>
  <c r="C79" i="15"/>
  <c r="Z77" i="15"/>
  <c r="Y77" i="15"/>
  <c r="X77" i="15"/>
  <c r="W77" i="15"/>
  <c r="V77" i="15"/>
  <c r="U77" i="15"/>
  <c r="R77" i="15"/>
  <c r="Q77" i="15"/>
  <c r="P77" i="15"/>
  <c r="O77" i="15"/>
  <c r="N77" i="15"/>
  <c r="M77" i="15"/>
  <c r="G77" i="15"/>
  <c r="C77" i="15"/>
  <c r="X76" i="15"/>
  <c r="T76" i="15" s="1"/>
  <c r="W76" i="15"/>
  <c r="V76" i="15"/>
  <c r="U76" i="15"/>
  <c r="S76" i="15"/>
  <c r="R76" i="15"/>
  <c r="Q76" i="15"/>
  <c r="P76" i="15"/>
  <c r="L76" i="15" s="1"/>
  <c r="N76" i="15"/>
  <c r="M76" i="15"/>
  <c r="G76" i="15"/>
  <c r="Z75" i="15"/>
  <c r="Y75" i="15"/>
  <c r="X75" i="15"/>
  <c r="W75" i="15"/>
  <c r="V75" i="15"/>
  <c r="U75" i="15"/>
  <c r="S75" i="15" s="1"/>
  <c r="R75" i="15"/>
  <c r="Q75" i="15"/>
  <c r="P75" i="15"/>
  <c r="O75" i="15"/>
  <c r="K75" i="15" s="1"/>
  <c r="N75" i="15"/>
  <c r="M75" i="15"/>
  <c r="G75" i="15"/>
  <c r="C75" i="15"/>
  <c r="Z74" i="15"/>
  <c r="Y74" i="15"/>
  <c r="X74" i="15"/>
  <c r="T74" i="15" s="1"/>
  <c r="W74" i="15"/>
  <c r="V74" i="15"/>
  <c r="U74" i="15"/>
  <c r="R74" i="15"/>
  <c r="Q74" i="15"/>
  <c r="P74" i="15"/>
  <c r="O74" i="15"/>
  <c r="N74" i="15"/>
  <c r="M74" i="15"/>
  <c r="G74" i="15"/>
  <c r="C74" i="15"/>
  <c r="Z73" i="15"/>
  <c r="Y73" i="15"/>
  <c r="X73" i="15"/>
  <c r="W73" i="15"/>
  <c r="V73" i="15"/>
  <c r="U73" i="15"/>
  <c r="P73" i="15"/>
  <c r="O73" i="15"/>
  <c r="N73" i="15"/>
  <c r="L73" i="15" s="1"/>
  <c r="M73" i="15"/>
  <c r="K73" i="15" s="1"/>
  <c r="G73" i="15"/>
  <c r="C73" i="15"/>
  <c r="X72" i="15"/>
  <c r="W72" i="15"/>
  <c r="Z71" i="15"/>
  <c r="Y71" i="15"/>
  <c r="X71" i="15"/>
  <c r="W71" i="15"/>
  <c r="V71" i="15"/>
  <c r="U71" i="15"/>
  <c r="S71" i="15" s="1"/>
  <c r="R71" i="15"/>
  <c r="Q71" i="15"/>
  <c r="G71" i="15"/>
  <c r="Z70" i="15"/>
  <c r="Y70" i="15"/>
  <c r="X70" i="15"/>
  <c r="W70" i="15"/>
  <c r="V70" i="15"/>
  <c r="R70" i="15"/>
  <c r="Q70" i="15"/>
  <c r="O70" i="15"/>
  <c r="Z69" i="15"/>
  <c r="Y69" i="15"/>
  <c r="X69" i="15"/>
  <c r="W69" i="15"/>
  <c r="V69" i="15"/>
  <c r="U69" i="15"/>
  <c r="R69" i="15"/>
  <c r="Q69" i="15"/>
  <c r="P69" i="15"/>
  <c r="O69" i="15"/>
  <c r="N69" i="15"/>
  <c r="M69" i="15"/>
  <c r="G69" i="15"/>
  <c r="C69" i="15"/>
  <c r="X68" i="15"/>
  <c r="W68" i="15"/>
  <c r="V68" i="15"/>
  <c r="T68" i="15" s="1"/>
  <c r="U68" i="15"/>
  <c r="R68" i="15"/>
  <c r="Q68" i="15"/>
  <c r="N68" i="15"/>
  <c r="M68" i="15"/>
  <c r="G68" i="15"/>
  <c r="Z67" i="15"/>
  <c r="Y67" i="15"/>
  <c r="X67" i="15"/>
  <c r="W67" i="15"/>
  <c r="V67" i="15"/>
  <c r="U67" i="15"/>
  <c r="S67" i="15"/>
  <c r="R67" i="15"/>
  <c r="Q67" i="15"/>
  <c r="P67" i="15"/>
  <c r="O67" i="15"/>
  <c r="N67" i="15"/>
  <c r="M67" i="15"/>
  <c r="G67" i="15"/>
  <c r="C67" i="15"/>
  <c r="Z66" i="15"/>
  <c r="Y66" i="15"/>
  <c r="X66" i="15"/>
  <c r="W66" i="15"/>
  <c r="V66" i="15"/>
  <c r="U66" i="15"/>
  <c r="R66" i="15"/>
  <c r="Q66" i="15"/>
  <c r="P66" i="15"/>
  <c r="O66" i="15"/>
  <c r="N66" i="15"/>
  <c r="M66" i="15"/>
  <c r="G66" i="15"/>
  <c r="C66" i="15"/>
  <c r="Z65" i="15"/>
  <c r="Y65" i="15"/>
  <c r="X65" i="15"/>
  <c r="W65" i="15"/>
  <c r="V65" i="15"/>
  <c r="U65" i="15"/>
  <c r="P65" i="15"/>
  <c r="O65" i="15"/>
  <c r="N65" i="15"/>
  <c r="M65" i="15"/>
  <c r="K65" i="15" s="1"/>
  <c r="G65" i="15"/>
  <c r="C65" i="15"/>
  <c r="X64" i="15"/>
  <c r="W64" i="15"/>
  <c r="G64" i="15"/>
  <c r="Z63" i="15"/>
  <c r="Y63" i="15"/>
  <c r="X63" i="15"/>
  <c r="W63" i="15"/>
  <c r="V63" i="15"/>
  <c r="U63" i="15"/>
  <c r="R63" i="15"/>
  <c r="Q63" i="15"/>
  <c r="P63" i="15"/>
  <c r="M63" i="15"/>
  <c r="G63" i="15"/>
  <c r="Z62" i="15"/>
  <c r="Y62" i="15"/>
  <c r="X62" i="15"/>
  <c r="W62" i="15"/>
  <c r="R62" i="15"/>
  <c r="Q62" i="15"/>
  <c r="O62" i="15"/>
  <c r="N62" i="15"/>
  <c r="M62" i="15"/>
  <c r="K62" i="15" s="1"/>
  <c r="Z61" i="15"/>
  <c r="Y61" i="15"/>
  <c r="X61" i="15"/>
  <c r="W61" i="15"/>
  <c r="V61" i="15"/>
  <c r="U61" i="15"/>
  <c r="R61" i="15"/>
  <c r="Q61" i="15"/>
  <c r="P61" i="15"/>
  <c r="O61" i="15"/>
  <c r="N61" i="15"/>
  <c r="M61" i="15"/>
  <c r="G61" i="15"/>
  <c r="C61" i="15"/>
  <c r="X60" i="15"/>
  <c r="W60" i="15"/>
  <c r="S60" i="15" s="1"/>
  <c r="V60" i="15"/>
  <c r="U60" i="15"/>
  <c r="T60" i="15"/>
  <c r="R60" i="15"/>
  <c r="Q60" i="15"/>
  <c r="N60" i="15"/>
  <c r="M60" i="15"/>
  <c r="G60" i="15"/>
  <c r="Z59" i="15"/>
  <c r="Y59" i="15"/>
  <c r="X59" i="15"/>
  <c r="W59" i="15"/>
  <c r="V59" i="15"/>
  <c r="U59" i="15"/>
  <c r="S59" i="15" s="1"/>
  <c r="R59" i="15"/>
  <c r="Q59" i="15"/>
  <c r="P59" i="15"/>
  <c r="O59" i="15"/>
  <c r="N59" i="15"/>
  <c r="M59" i="15"/>
  <c r="K59" i="15"/>
  <c r="G59" i="15"/>
  <c r="C59" i="15"/>
  <c r="Z58" i="15"/>
  <c r="Y58" i="15"/>
  <c r="X58" i="15"/>
  <c r="W58" i="15"/>
  <c r="V58" i="15"/>
  <c r="U58" i="15"/>
  <c r="R58" i="15"/>
  <c r="Q58" i="15"/>
  <c r="P58" i="15"/>
  <c r="O58" i="15"/>
  <c r="N58" i="15"/>
  <c r="M58" i="15"/>
  <c r="G58" i="15"/>
  <c r="C58" i="15"/>
  <c r="Z57" i="15"/>
  <c r="Y57" i="15"/>
  <c r="X57" i="15"/>
  <c r="W57" i="15"/>
  <c r="V57" i="15"/>
  <c r="U57" i="15"/>
  <c r="Q57" i="15"/>
  <c r="P57" i="15"/>
  <c r="O57" i="15"/>
  <c r="N57" i="15"/>
  <c r="M57" i="15"/>
  <c r="G57" i="15"/>
  <c r="C57" i="15"/>
  <c r="X56" i="15"/>
  <c r="W56" i="15"/>
  <c r="Z55" i="15"/>
  <c r="Y55" i="15"/>
  <c r="X55" i="15"/>
  <c r="W55" i="15"/>
  <c r="V55" i="15"/>
  <c r="U55" i="15"/>
  <c r="R55" i="15"/>
  <c r="Q55" i="15"/>
  <c r="G55" i="15"/>
  <c r="Z54" i="15"/>
  <c r="Y54" i="15"/>
  <c r="X54" i="15"/>
  <c r="W54" i="15"/>
  <c r="R54" i="15"/>
  <c r="Q54" i="15"/>
  <c r="P54" i="15"/>
  <c r="Z53" i="15"/>
  <c r="Y53" i="15"/>
  <c r="X53" i="15"/>
  <c r="W53" i="15"/>
  <c r="V53" i="15"/>
  <c r="U53" i="15"/>
  <c r="R53" i="15"/>
  <c r="Q53" i="15"/>
  <c r="P53" i="15"/>
  <c r="O53" i="15"/>
  <c r="K53" i="15" s="1"/>
  <c r="N53" i="15"/>
  <c r="L53" i="15" s="1"/>
  <c r="M53" i="15"/>
  <c r="G53" i="15"/>
  <c r="C53" i="15"/>
  <c r="X52" i="15"/>
  <c r="W52" i="15"/>
  <c r="V52" i="15"/>
  <c r="U52" i="15"/>
  <c r="R52" i="15"/>
  <c r="Q52" i="15"/>
  <c r="P52" i="15"/>
  <c r="L52" i="15" s="1"/>
  <c r="N52" i="15"/>
  <c r="M52" i="15"/>
  <c r="G52" i="15"/>
  <c r="Z51" i="15"/>
  <c r="Y51" i="15"/>
  <c r="X51" i="15"/>
  <c r="W51" i="15"/>
  <c r="V51" i="15"/>
  <c r="U51" i="15"/>
  <c r="R51" i="15"/>
  <c r="Q51" i="15"/>
  <c r="P51" i="15"/>
  <c r="O51" i="15"/>
  <c r="N51" i="15"/>
  <c r="M51" i="15"/>
  <c r="G51" i="15"/>
  <c r="C51" i="15"/>
  <c r="Z50" i="15"/>
  <c r="Y50" i="15"/>
  <c r="X50" i="15"/>
  <c r="W50" i="15"/>
  <c r="V50" i="15"/>
  <c r="U50" i="15"/>
  <c r="R50" i="15"/>
  <c r="Q50" i="15"/>
  <c r="P50" i="15"/>
  <c r="O50" i="15"/>
  <c r="N50" i="15"/>
  <c r="L50" i="15" s="1"/>
  <c r="M50" i="15"/>
  <c r="G50" i="15"/>
  <c r="C50" i="15"/>
  <c r="Z49" i="15"/>
  <c r="Y49" i="15"/>
  <c r="X49" i="15"/>
  <c r="W49" i="15"/>
  <c r="V49" i="15"/>
  <c r="T49" i="15" s="1"/>
  <c r="U49" i="15"/>
  <c r="S49" i="15"/>
  <c r="P49" i="15"/>
  <c r="O49" i="15"/>
  <c r="N49" i="15"/>
  <c r="M49" i="15"/>
  <c r="K49" i="15" s="1"/>
  <c r="G49" i="15"/>
  <c r="C49" i="15"/>
  <c r="X48" i="15"/>
  <c r="W48" i="15"/>
  <c r="Z47" i="15"/>
  <c r="Y47" i="15"/>
  <c r="X47" i="15"/>
  <c r="W47" i="15"/>
  <c r="V47" i="15"/>
  <c r="U47" i="15"/>
  <c r="R47" i="15"/>
  <c r="Q47" i="15"/>
  <c r="P47" i="15"/>
  <c r="G47" i="15"/>
  <c r="Z46" i="15"/>
  <c r="Y46" i="15"/>
  <c r="X46" i="15"/>
  <c r="W46" i="15"/>
  <c r="R46" i="15"/>
  <c r="Q46" i="15"/>
  <c r="C46" i="15"/>
  <c r="Z45" i="15"/>
  <c r="Y45" i="15"/>
  <c r="X45" i="15"/>
  <c r="W45" i="15"/>
  <c r="V45" i="15"/>
  <c r="U45" i="15"/>
  <c r="S45" i="15"/>
  <c r="R45" i="15"/>
  <c r="Q45" i="15"/>
  <c r="P45" i="15"/>
  <c r="L45" i="15" s="1"/>
  <c r="O45" i="15"/>
  <c r="N45" i="15"/>
  <c r="M45" i="15"/>
  <c r="G45" i="15"/>
  <c r="C45" i="15"/>
  <c r="X44" i="15"/>
  <c r="W44" i="15"/>
  <c r="V44" i="15"/>
  <c r="T44" i="15" s="1"/>
  <c r="U44" i="15"/>
  <c r="R44" i="15"/>
  <c r="Q44" i="15"/>
  <c r="N44" i="15"/>
  <c r="M44" i="15"/>
  <c r="G44" i="15"/>
  <c r="Z43" i="15"/>
  <c r="Y43" i="15"/>
  <c r="X43" i="15"/>
  <c r="W43" i="15"/>
  <c r="V43" i="15"/>
  <c r="U43" i="15"/>
  <c r="T43" i="15"/>
  <c r="R43" i="15"/>
  <c r="Q43" i="15"/>
  <c r="P43" i="15"/>
  <c r="O43" i="15"/>
  <c r="N43" i="15"/>
  <c r="M43" i="15"/>
  <c r="G43" i="15"/>
  <c r="C43" i="15"/>
  <c r="Z42" i="15"/>
  <c r="Y42" i="15"/>
  <c r="X42" i="15"/>
  <c r="W42" i="15"/>
  <c r="V42" i="15"/>
  <c r="U42" i="15"/>
  <c r="S42" i="15" s="1"/>
  <c r="R42" i="15"/>
  <c r="Q42" i="15"/>
  <c r="P42" i="15"/>
  <c r="O42" i="15"/>
  <c r="N42" i="15"/>
  <c r="M42" i="15"/>
  <c r="G42" i="15"/>
  <c r="C42" i="15"/>
  <c r="Z41" i="15"/>
  <c r="Y41" i="15"/>
  <c r="X41" i="15"/>
  <c r="W41" i="15"/>
  <c r="V41" i="15"/>
  <c r="U41" i="15"/>
  <c r="P41" i="15"/>
  <c r="L41" i="15" s="1"/>
  <c r="O41" i="15"/>
  <c r="N41" i="15"/>
  <c r="M41" i="15"/>
  <c r="G41" i="15"/>
  <c r="C41" i="15"/>
  <c r="Z40" i="15"/>
  <c r="Y40" i="15"/>
  <c r="V40" i="15"/>
  <c r="U40" i="15"/>
  <c r="R40" i="15"/>
  <c r="Q40" i="15"/>
  <c r="P40" i="15"/>
  <c r="O40" i="15"/>
  <c r="N40" i="15"/>
  <c r="M40" i="15"/>
  <c r="C40" i="15"/>
  <c r="Z39" i="15"/>
  <c r="Y39" i="15"/>
  <c r="X39" i="15"/>
  <c r="W39" i="15"/>
  <c r="V39" i="15"/>
  <c r="T39" i="15" s="1"/>
  <c r="U39" i="15"/>
  <c r="R39" i="15"/>
  <c r="Q39" i="15"/>
  <c r="P39" i="15"/>
  <c r="O39" i="15"/>
  <c r="N39" i="15"/>
  <c r="M39" i="15"/>
  <c r="G39" i="15"/>
  <c r="C39" i="15"/>
  <c r="Z38" i="15"/>
  <c r="Y38" i="15"/>
  <c r="X38" i="15"/>
  <c r="W38" i="15"/>
  <c r="V38" i="15"/>
  <c r="U38" i="15"/>
  <c r="S38" i="15"/>
  <c r="R38" i="15"/>
  <c r="Q38" i="15"/>
  <c r="P38" i="15"/>
  <c r="O38" i="15"/>
  <c r="N38" i="15"/>
  <c r="M38" i="15"/>
  <c r="K38" i="15" s="1"/>
  <c r="G38" i="15"/>
  <c r="C38" i="15"/>
  <c r="Z37" i="15"/>
  <c r="Y37" i="15"/>
  <c r="X37" i="15"/>
  <c r="T37" i="15" s="1"/>
  <c r="W37" i="15"/>
  <c r="V37" i="15"/>
  <c r="U37" i="15"/>
  <c r="S37" i="15"/>
  <c r="R37" i="15"/>
  <c r="Q37" i="15"/>
  <c r="P37" i="15"/>
  <c r="L37" i="15" s="1"/>
  <c r="O37" i="15"/>
  <c r="N37" i="15"/>
  <c r="M37" i="15"/>
  <c r="K37" i="15" s="1"/>
  <c r="G37" i="15"/>
  <c r="C37" i="15"/>
  <c r="Z36" i="15"/>
  <c r="Y36" i="15"/>
  <c r="X36" i="15"/>
  <c r="W36" i="15"/>
  <c r="V36" i="15"/>
  <c r="U36" i="15"/>
  <c r="T36" i="15"/>
  <c r="R36" i="15"/>
  <c r="Q36" i="15"/>
  <c r="P36" i="15"/>
  <c r="L36" i="15" s="1"/>
  <c r="O36" i="15"/>
  <c r="N36" i="15"/>
  <c r="M36" i="15"/>
  <c r="G36" i="15"/>
  <c r="C36" i="15"/>
  <c r="Z35" i="15"/>
  <c r="Y35" i="15"/>
  <c r="X35" i="15"/>
  <c r="W35" i="15"/>
  <c r="V35" i="15"/>
  <c r="U35" i="15"/>
  <c r="R35" i="15"/>
  <c r="Q35" i="15"/>
  <c r="P35" i="15"/>
  <c r="O35" i="15"/>
  <c r="K35" i="15" s="1"/>
  <c r="N35" i="15"/>
  <c r="M35" i="15"/>
  <c r="G35" i="15"/>
  <c r="C35" i="15"/>
  <c r="Z34" i="15"/>
  <c r="Y34" i="15"/>
  <c r="R34" i="15"/>
  <c r="Q34" i="15"/>
  <c r="P34" i="15"/>
  <c r="O34" i="15"/>
  <c r="N34" i="15"/>
  <c r="M34" i="15"/>
  <c r="K34" i="15"/>
  <c r="I34" i="15"/>
  <c r="W34" i="15" s="1"/>
  <c r="H34" i="15"/>
  <c r="G34" i="15" s="1"/>
  <c r="C34" i="15"/>
  <c r="Z33" i="15"/>
  <c r="Y33" i="15"/>
  <c r="X33" i="15"/>
  <c r="W33" i="15"/>
  <c r="V33" i="15"/>
  <c r="U33" i="15"/>
  <c r="T33" i="15"/>
  <c r="R33" i="15"/>
  <c r="Q33" i="15"/>
  <c r="P33" i="15"/>
  <c r="O33" i="15"/>
  <c r="N33" i="15"/>
  <c r="L33" i="15" s="1"/>
  <c r="M33" i="15"/>
  <c r="K33" i="15" s="1"/>
  <c r="G33" i="15"/>
  <c r="C33" i="15"/>
  <c r="Z32" i="15"/>
  <c r="Y32" i="15"/>
  <c r="X32" i="15"/>
  <c r="W32" i="15"/>
  <c r="V32" i="15"/>
  <c r="T32" i="15" s="1"/>
  <c r="U32" i="15"/>
  <c r="R32" i="15"/>
  <c r="Q32" i="15"/>
  <c r="P32" i="15"/>
  <c r="O32" i="15"/>
  <c r="N32" i="15"/>
  <c r="L32" i="15" s="1"/>
  <c r="M32" i="15"/>
  <c r="G32" i="15"/>
  <c r="C32" i="15"/>
  <c r="Z31" i="15"/>
  <c r="Y31" i="15"/>
  <c r="X31" i="15"/>
  <c r="W31" i="15"/>
  <c r="V31" i="15"/>
  <c r="T31" i="15" s="1"/>
  <c r="U31" i="15"/>
  <c r="S31" i="15"/>
  <c r="R31" i="15"/>
  <c r="Q31" i="15"/>
  <c r="P31" i="15"/>
  <c r="O31" i="15"/>
  <c r="N31" i="15"/>
  <c r="M31" i="15"/>
  <c r="K31" i="15"/>
  <c r="G31" i="15"/>
  <c r="C31" i="15"/>
  <c r="Z30" i="15"/>
  <c r="Y30" i="15"/>
  <c r="X30" i="15"/>
  <c r="W30" i="15"/>
  <c r="V30" i="15"/>
  <c r="U30" i="15"/>
  <c r="S30" i="15"/>
  <c r="R30" i="15"/>
  <c r="Q30" i="15"/>
  <c r="P30" i="15"/>
  <c r="L30" i="15" s="1"/>
  <c r="O30" i="15"/>
  <c r="N30" i="15"/>
  <c r="M30" i="15"/>
  <c r="K30" i="15"/>
  <c r="G30" i="15"/>
  <c r="C30" i="15"/>
  <c r="Z29" i="15"/>
  <c r="Y29" i="15"/>
  <c r="X29" i="15"/>
  <c r="W29" i="15"/>
  <c r="V29" i="15"/>
  <c r="U29" i="15"/>
  <c r="S29" i="15" s="1"/>
  <c r="T29" i="15"/>
  <c r="R29" i="15"/>
  <c r="Q29" i="15"/>
  <c r="P29" i="15"/>
  <c r="O29" i="15"/>
  <c r="N29" i="15"/>
  <c r="M29" i="15"/>
  <c r="K29" i="15" s="1"/>
  <c r="L29" i="15"/>
  <c r="G29" i="15"/>
  <c r="C29" i="15"/>
  <c r="Z28" i="15"/>
  <c r="Y28" i="15"/>
  <c r="X28" i="15"/>
  <c r="W28" i="15"/>
  <c r="V28" i="15"/>
  <c r="T28" i="15" s="1"/>
  <c r="U28" i="15"/>
  <c r="R28" i="15"/>
  <c r="Q28" i="15"/>
  <c r="P28" i="15"/>
  <c r="O28" i="15"/>
  <c r="K28" i="15" s="1"/>
  <c r="N28" i="15"/>
  <c r="M28" i="15"/>
  <c r="G28" i="15"/>
  <c r="C28" i="15"/>
  <c r="Z27" i="15"/>
  <c r="Y27" i="15"/>
  <c r="X27" i="15"/>
  <c r="W27" i="15"/>
  <c r="S27" i="15" s="1"/>
  <c r="V27" i="15"/>
  <c r="U27" i="15"/>
  <c r="R27" i="15"/>
  <c r="Q27" i="15"/>
  <c r="P27" i="15"/>
  <c r="O27" i="15"/>
  <c r="N27" i="15"/>
  <c r="M27" i="15"/>
  <c r="K27" i="15" s="1"/>
  <c r="G27" i="15"/>
  <c r="C27" i="15"/>
  <c r="Z26" i="15"/>
  <c r="Y26" i="15"/>
  <c r="X26" i="15"/>
  <c r="T26" i="15" s="1"/>
  <c r="W26" i="15"/>
  <c r="S26" i="15" s="1"/>
  <c r="V26" i="15"/>
  <c r="U26" i="15"/>
  <c r="R26" i="15"/>
  <c r="Q26" i="15"/>
  <c r="P26" i="15"/>
  <c r="L26" i="15" s="1"/>
  <c r="O26" i="15"/>
  <c r="N26" i="15"/>
  <c r="M26" i="15"/>
  <c r="K26" i="15" s="1"/>
  <c r="G26" i="15"/>
  <c r="C26" i="15"/>
  <c r="Z25" i="15"/>
  <c r="Y25" i="15"/>
  <c r="X25" i="15"/>
  <c r="T25" i="15" s="1"/>
  <c r="W25" i="15"/>
  <c r="V25" i="15"/>
  <c r="U25" i="15"/>
  <c r="R25" i="15"/>
  <c r="Q25" i="15"/>
  <c r="P25" i="15"/>
  <c r="O25" i="15"/>
  <c r="N25" i="15"/>
  <c r="L25" i="15" s="1"/>
  <c r="M25" i="15"/>
  <c r="G25" i="15"/>
  <c r="C25" i="15"/>
  <c r="Z24" i="15"/>
  <c r="Y24" i="15"/>
  <c r="X24" i="15"/>
  <c r="W24" i="15"/>
  <c r="S24" i="15" s="1"/>
  <c r="V24" i="15"/>
  <c r="U24" i="15"/>
  <c r="R24" i="15"/>
  <c r="Q24" i="15"/>
  <c r="P24" i="15"/>
  <c r="O24" i="15"/>
  <c r="K24" i="15" s="1"/>
  <c r="N24" i="15"/>
  <c r="L24" i="15" s="1"/>
  <c r="M24" i="15"/>
  <c r="G24" i="15"/>
  <c r="C24" i="15"/>
  <c r="Z23" i="15"/>
  <c r="Y23" i="15"/>
  <c r="X23" i="15"/>
  <c r="W23" i="15"/>
  <c r="V23" i="15"/>
  <c r="T23" i="15" s="1"/>
  <c r="U23" i="15"/>
  <c r="S23" i="15" s="1"/>
  <c r="R23" i="15"/>
  <c r="Q23" i="15"/>
  <c r="P23" i="15"/>
  <c r="O23" i="15"/>
  <c r="N23" i="15"/>
  <c r="L23" i="15" s="1"/>
  <c r="M23" i="15"/>
  <c r="K23" i="15" s="1"/>
  <c r="G23" i="15"/>
  <c r="C23" i="15"/>
  <c r="Z22" i="15"/>
  <c r="Y22" i="15"/>
  <c r="X22" i="15"/>
  <c r="W22" i="15"/>
  <c r="V22" i="15"/>
  <c r="U22" i="15"/>
  <c r="S22" i="15" s="1"/>
  <c r="R22" i="15"/>
  <c r="Q22" i="15"/>
  <c r="P22" i="15"/>
  <c r="O22" i="15"/>
  <c r="N22" i="15"/>
  <c r="M22" i="15"/>
  <c r="K22" i="15" s="1"/>
  <c r="G22" i="15"/>
  <c r="C22" i="15"/>
  <c r="Z21" i="15"/>
  <c r="Y21" i="15"/>
  <c r="X21" i="15"/>
  <c r="W21" i="15"/>
  <c r="V21" i="15"/>
  <c r="T21" i="15" s="1"/>
  <c r="U21" i="15"/>
  <c r="R21" i="15"/>
  <c r="Q21" i="15"/>
  <c r="P21" i="15"/>
  <c r="O21" i="15"/>
  <c r="N21" i="15"/>
  <c r="L21" i="15" s="1"/>
  <c r="M21" i="15"/>
  <c r="K21" i="15" s="1"/>
  <c r="G21" i="15"/>
  <c r="C21" i="15"/>
  <c r="Z20" i="15"/>
  <c r="Y20" i="15"/>
  <c r="X20" i="15"/>
  <c r="W20" i="15"/>
  <c r="S20" i="15" s="1"/>
  <c r="V20" i="15"/>
  <c r="T20" i="15" s="1"/>
  <c r="U20" i="15"/>
  <c r="R20" i="15"/>
  <c r="Q20" i="15"/>
  <c r="P20" i="15"/>
  <c r="O20" i="15"/>
  <c r="N20" i="15"/>
  <c r="L20" i="15" s="1"/>
  <c r="M20" i="15"/>
  <c r="G20" i="15"/>
  <c r="C20" i="15"/>
  <c r="Z19" i="15"/>
  <c r="Y19" i="15"/>
  <c r="X19" i="15"/>
  <c r="W19" i="15"/>
  <c r="V19" i="15"/>
  <c r="T19" i="15" s="1"/>
  <c r="U19" i="15"/>
  <c r="S19" i="15"/>
  <c r="R19" i="15"/>
  <c r="Q19" i="15"/>
  <c r="P19" i="15"/>
  <c r="O19" i="15"/>
  <c r="N19" i="15"/>
  <c r="L19" i="15" s="1"/>
  <c r="M19" i="15"/>
  <c r="K19" i="15" s="1"/>
  <c r="G19" i="15"/>
  <c r="C19" i="15"/>
  <c r="Z18" i="15"/>
  <c r="Y18" i="15"/>
  <c r="X18" i="15"/>
  <c r="W18" i="15"/>
  <c r="V18" i="15"/>
  <c r="U18" i="15"/>
  <c r="S18" i="15"/>
  <c r="R18" i="15"/>
  <c r="Q18" i="15"/>
  <c r="P18" i="15"/>
  <c r="O18" i="15"/>
  <c r="N18" i="15"/>
  <c r="M18" i="15"/>
  <c r="K18" i="15" s="1"/>
  <c r="G18" i="15"/>
  <c r="C18" i="15"/>
  <c r="Z17" i="15"/>
  <c r="Y17" i="15"/>
  <c r="X17" i="15"/>
  <c r="W17" i="15"/>
  <c r="V17" i="15"/>
  <c r="U17" i="15"/>
  <c r="S17" i="15" s="1"/>
  <c r="T17" i="15"/>
  <c r="R17" i="15"/>
  <c r="Q17" i="15"/>
  <c r="P17" i="15"/>
  <c r="O17" i="15"/>
  <c r="N17" i="15"/>
  <c r="M17" i="15"/>
  <c r="K17" i="15" s="1"/>
  <c r="L17" i="15"/>
  <c r="G17" i="15"/>
  <c r="C17" i="15"/>
  <c r="Z16" i="15"/>
  <c r="Y16" i="15"/>
  <c r="X16" i="15"/>
  <c r="W16" i="15"/>
  <c r="V16" i="15"/>
  <c r="T16" i="15" s="1"/>
  <c r="U16" i="15"/>
  <c r="R16" i="15"/>
  <c r="Q16" i="15"/>
  <c r="P16" i="15"/>
  <c r="O16" i="15"/>
  <c r="N16" i="15"/>
  <c r="L16" i="15" s="1"/>
  <c r="M16" i="15"/>
  <c r="G16" i="15"/>
  <c r="C16" i="15"/>
  <c r="Z15" i="15"/>
  <c r="Y15" i="15"/>
  <c r="X15" i="15"/>
  <c r="W15" i="15"/>
  <c r="V15" i="15"/>
  <c r="T15" i="15" s="1"/>
  <c r="U15" i="15"/>
  <c r="S15" i="15"/>
  <c r="R15" i="15"/>
  <c r="Q15" i="15"/>
  <c r="P15" i="15"/>
  <c r="O15" i="15"/>
  <c r="N15" i="15"/>
  <c r="M15" i="15"/>
  <c r="K15" i="15"/>
  <c r="G15" i="15"/>
  <c r="C15" i="15"/>
  <c r="Z14" i="15"/>
  <c r="Y14" i="15"/>
  <c r="X14" i="15"/>
  <c r="W14" i="15"/>
  <c r="V14" i="15"/>
  <c r="U14" i="15"/>
  <c r="S14" i="15"/>
  <c r="R14" i="15"/>
  <c r="Q14" i="15"/>
  <c r="P14" i="15"/>
  <c r="L14" i="15" s="1"/>
  <c r="O14" i="15"/>
  <c r="N14" i="15"/>
  <c r="M14" i="15"/>
  <c r="K14" i="15"/>
  <c r="G14" i="15"/>
  <c r="C14" i="15"/>
  <c r="Z13" i="15"/>
  <c r="Y13" i="15"/>
  <c r="X13" i="15"/>
  <c r="W13" i="15"/>
  <c r="V13" i="15"/>
  <c r="U13" i="15"/>
  <c r="S13" i="15" s="1"/>
  <c r="T13" i="15"/>
  <c r="R13" i="15"/>
  <c r="Q13" i="15"/>
  <c r="P13" i="15"/>
  <c r="O13" i="15"/>
  <c r="N13" i="15"/>
  <c r="M13" i="15"/>
  <c r="K13" i="15" s="1"/>
  <c r="L13" i="15"/>
  <c r="G13" i="15"/>
  <c r="C13" i="15"/>
  <c r="Z12" i="15"/>
  <c r="Y12" i="15"/>
  <c r="X12" i="15"/>
  <c r="W12" i="15"/>
  <c r="V12" i="15"/>
  <c r="T12" i="15" s="1"/>
  <c r="U12" i="15"/>
  <c r="R12" i="15"/>
  <c r="Q12" i="15"/>
  <c r="P12" i="15"/>
  <c r="O12" i="15"/>
  <c r="K12" i="15" s="1"/>
  <c r="N12" i="15"/>
  <c r="M12" i="15"/>
  <c r="G12" i="15"/>
  <c r="C12" i="15"/>
  <c r="Z11" i="15"/>
  <c r="Y11" i="15"/>
  <c r="X11" i="15"/>
  <c r="W11" i="15"/>
  <c r="V11" i="15"/>
  <c r="U11" i="15"/>
  <c r="S11" i="15" s="1"/>
  <c r="R11" i="15"/>
  <c r="Q11" i="15"/>
  <c r="P11" i="15"/>
  <c r="O11" i="15"/>
  <c r="N11" i="15"/>
  <c r="M11" i="15"/>
  <c r="K11" i="15" s="1"/>
  <c r="G11" i="15"/>
  <c r="C11" i="15"/>
  <c r="Z10" i="15"/>
  <c r="Y10" i="15"/>
  <c r="X10" i="15"/>
  <c r="T10" i="15" s="1"/>
  <c r="W10" i="15"/>
  <c r="V10" i="15"/>
  <c r="U10" i="15"/>
  <c r="S10" i="15" s="1"/>
  <c r="R10" i="15"/>
  <c r="Q10" i="15"/>
  <c r="P10" i="15"/>
  <c r="L10" i="15" s="1"/>
  <c r="O10" i="15"/>
  <c r="N10" i="15"/>
  <c r="M10" i="15"/>
  <c r="K10" i="15" s="1"/>
  <c r="G10" i="15"/>
  <c r="C10" i="15"/>
  <c r="Z9" i="15"/>
  <c r="Y9" i="15"/>
  <c r="X9" i="15"/>
  <c r="T9" i="15" s="1"/>
  <c r="W9" i="15"/>
  <c r="V9" i="15"/>
  <c r="U9" i="15"/>
  <c r="R9" i="15"/>
  <c r="Q9" i="15"/>
  <c r="P9" i="15"/>
  <c r="O9" i="15"/>
  <c r="N9" i="15"/>
  <c r="L9" i="15" s="1"/>
  <c r="M9" i="15"/>
  <c r="G9" i="15"/>
  <c r="C9" i="15"/>
  <c r="Z8" i="15"/>
  <c r="Y8" i="15"/>
  <c r="X8" i="15"/>
  <c r="W8" i="15"/>
  <c r="V8" i="15"/>
  <c r="U8" i="15"/>
  <c r="R8" i="15"/>
  <c r="Q8" i="15"/>
  <c r="P8" i="15"/>
  <c r="O8" i="15"/>
  <c r="N8" i="15"/>
  <c r="L8" i="15" s="1"/>
  <c r="M8" i="15"/>
  <c r="G8" i="15"/>
  <c r="C8" i="15"/>
  <c r="Z7" i="15"/>
  <c r="Y7" i="15"/>
  <c r="X7" i="15"/>
  <c r="W7" i="15"/>
  <c r="V7" i="15"/>
  <c r="T7" i="15" s="1"/>
  <c r="U7" i="15"/>
  <c r="S7" i="15" s="1"/>
  <c r="R7" i="15"/>
  <c r="Q7" i="15"/>
  <c r="P7" i="15"/>
  <c r="O7" i="15"/>
  <c r="N7" i="15"/>
  <c r="L7" i="15" s="1"/>
  <c r="M7" i="15"/>
  <c r="K7" i="15" s="1"/>
  <c r="G7" i="15"/>
  <c r="C7" i="15"/>
  <c r="Z6" i="15"/>
  <c r="Y6" i="15"/>
  <c r="X6" i="15"/>
  <c r="W6" i="15"/>
  <c r="V6" i="15"/>
  <c r="U6" i="15"/>
  <c r="S6" i="15" s="1"/>
  <c r="R6" i="15"/>
  <c r="Q6" i="15"/>
  <c r="P6" i="15"/>
  <c r="O6" i="15"/>
  <c r="N6" i="15"/>
  <c r="M6" i="15"/>
  <c r="K6" i="15" s="1"/>
  <c r="G6" i="15"/>
  <c r="C6" i="15"/>
  <c r="Z5" i="15"/>
  <c r="Y5" i="15"/>
  <c r="X5" i="15"/>
  <c r="W5" i="15"/>
  <c r="V5" i="15"/>
  <c r="U5" i="15"/>
  <c r="R5" i="15"/>
  <c r="Q5" i="15"/>
  <c r="P5" i="15"/>
  <c r="O5" i="15"/>
  <c r="N5" i="15"/>
  <c r="L5" i="15" s="1"/>
  <c r="M5" i="15"/>
  <c r="K5" i="15" s="1"/>
  <c r="G5" i="15"/>
  <c r="C5" i="15"/>
  <c r="Z4" i="15"/>
  <c r="Y4" i="15"/>
  <c r="X4" i="15"/>
  <c r="W4" i="15"/>
  <c r="V4" i="15"/>
  <c r="T4" i="15" s="1"/>
  <c r="U4" i="15"/>
  <c r="R4" i="15"/>
  <c r="Q4" i="15"/>
  <c r="P4" i="15"/>
  <c r="O4" i="15"/>
  <c r="N4" i="15"/>
  <c r="L4" i="15" s="1"/>
  <c r="M4" i="15"/>
  <c r="K4" i="15" s="1"/>
  <c r="G4" i="15"/>
  <c r="C4" i="15"/>
  <c r="Z3" i="15"/>
  <c r="Y3" i="15"/>
  <c r="X3" i="15"/>
  <c r="W3" i="15"/>
  <c r="V3" i="15"/>
  <c r="T3" i="15" s="1"/>
  <c r="U3" i="15"/>
  <c r="S3" i="15"/>
  <c r="R3" i="15"/>
  <c r="Q3" i="15"/>
  <c r="P3" i="15"/>
  <c r="O3" i="15"/>
  <c r="N3" i="15"/>
  <c r="L3" i="15" s="1"/>
  <c r="M3" i="15"/>
  <c r="K3" i="15" s="1"/>
  <c r="G3" i="15"/>
  <c r="C3" i="15"/>
  <c r="Z2" i="15"/>
  <c r="Y2" i="15"/>
  <c r="X2" i="15"/>
  <c r="W2" i="15"/>
  <c r="V2" i="15"/>
  <c r="U2" i="15"/>
  <c r="S2" i="15"/>
  <c r="R2" i="15"/>
  <c r="Q2" i="15"/>
  <c r="P2" i="15"/>
  <c r="O2" i="15"/>
  <c r="N2" i="15"/>
  <c r="M2" i="15"/>
  <c r="K2" i="15" s="1"/>
  <c r="G2" i="15"/>
  <c r="C2" i="15"/>
  <c r="I59" i="13"/>
  <c r="L221" i="15" l="1"/>
  <c r="K50" i="15"/>
  <c r="T5" i="15"/>
  <c r="S33" i="15"/>
  <c r="X34" i="15"/>
  <c r="X40" i="15"/>
  <c r="U54" i="15"/>
  <c r="T59" i="15"/>
  <c r="U62" i="15"/>
  <c r="S62" i="15" s="1"/>
  <c r="L65" i="15"/>
  <c r="C68" i="15"/>
  <c r="T71" i="15"/>
  <c r="S77" i="15"/>
  <c r="K79" i="15"/>
  <c r="L80" i="15"/>
  <c r="K82" i="15"/>
  <c r="S91" i="15"/>
  <c r="S95" i="15"/>
  <c r="K169" i="15"/>
  <c r="K202" i="15"/>
  <c r="K235" i="15"/>
  <c r="K267" i="15"/>
  <c r="V54" i="15"/>
  <c r="V62" i="15"/>
  <c r="T79" i="15"/>
  <c r="L83" i="15"/>
  <c r="K105" i="15"/>
  <c r="S16" i="15"/>
  <c r="K20" i="15"/>
  <c r="L22" i="15"/>
  <c r="S32" i="15"/>
  <c r="R41" i="15"/>
  <c r="O44" i="15"/>
  <c r="G46" i="15"/>
  <c r="C52" i="15"/>
  <c r="G70" i="15"/>
  <c r="C76" i="15"/>
  <c r="S101" i="15"/>
  <c r="T2" i="15"/>
  <c r="T18" i="15"/>
  <c r="L34" i="15"/>
  <c r="S36" i="15"/>
  <c r="S39" i="15"/>
  <c r="P44" i="15"/>
  <c r="S57" i="15"/>
  <c r="O60" i="15"/>
  <c r="K60" i="15" s="1"/>
  <c r="T62" i="15"/>
  <c r="Q65" i="15"/>
  <c r="L79" i="15"/>
  <c r="T91" i="15"/>
  <c r="T95" i="15"/>
  <c r="T99" i="15"/>
  <c r="T219" i="15"/>
  <c r="T252" i="15"/>
  <c r="L51" i="15"/>
  <c r="L2" i="15"/>
  <c r="S8" i="15"/>
  <c r="S9" i="15"/>
  <c r="S12" i="15"/>
  <c r="L15" i="15"/>
  <c r="K16" i="15"/>
  <c r="L18" i="15"/>
  <c r="S25" i="15"/>
  <c r="S28" i="15"/>
  <c r="L31" i="15"/>
  <c r="K32" i="15"/>
  <c r="T35" i="15"/>
  <c r="K36" i="15"/>
  <c r="T38" i="15"/>
  <c r="L39" i="15"/>
  <c r="L42" i="15"/>
  <c r="K45" i="15"/>
  <c r="L49" i="15"/>
  <c r="K52" i="15"/>
  <c r="L57" i="15"/>
  <c r="P60" i="15"/>
  <c r="L60" i="15" s="1"/>
  <c r="S61" i="15"/>
  <c r="O68" i="15"/>
  <c r="K68" i="15" s="1"/>
  <c r="S69" i="15"/>
  <c r="S83" i="15"/>
  <c r="S86" i="15"/>
  <c r="K87" i="15"/>
  <c r="L88" i="15"/>
  <c r="K90" i="15"/>
  <c r="T110" i="15"/>
  <c r="L111" i="15"/>
  <c r="T114" i="15"/>
  <c r="L115" i="15"/>
  <c r="T119" i="15"/>
  <c r="L120" i="15"/>
  <c r="K152" i="15"/>
  <c r="K185" i="15"/>
  <c r="K218" i="15"/>
  <c r="K251" i="15"/>
  <c r="T6" i="15"/>
  <c r="L6" i="15"/>
  <c r="T8" i="15"/>
  <c r="K9" i="15"/>
  <c r="T11" i="15"/>
  <c r="L12" i="15"/>
  <c r="T14" i="15"/>
  <c r="T24" i="15"/>
  <c r="K25" i="15"/>
  <c r="T27" i="15"/>
  <c r="L28" i="15"/>
  <c r="T30" i="15"/>
  <c r="S35" i="15"/>
  <c r="L38" i="15"/>
  <c r="K39" i="15"/>
  <c r="K41" i="15"/>
  <c r="U46" i="15"/>
  <c r="Q49" i="15"/>
  <c r="T51" i="15"/>
  <c r="T52" i="15"/>
  <c r="K57" i="15"/>
  <c r="T61" i="15"/>
  <c r="S65" i="15"/>
  <c r="Q73" i="15"/>
  <c r="S74" i="15"/>
  <c r="T84" i="15"/>
  <c r="T86" i="15"/>
  <c r="T87" i="15"/>
  <c r="L90" i="15"/>
  <c r="L91" i="15"/>
  <c r="L95" i="15"/>
  <c r="S105" i="15"/>
  <c r="T137" i="15"/>
  <c r="L138" i="15"/>
  <c r="T151" i="15"/>
  <c r="T170" i="15"/>
  <c r="L171" i="15"/>
  <c r="T184" i="15"/>
  <c r="T203" i="15"/>
  <c r="L204" i="15"/>
  <c r="T217" i="15"/>
  <c r="L237" i="15"/>
  <c r="T250" i="15"/>
  <c r="L269" i="15"/>
  <c r="T22" i="15"/>
  <c r="S4" i="15"/>
  <c r="S5" i="15"/>
  <c r="K8" i="15"/>
  <c r="L11" i="15"/>
  <c r="S21" i="15"/>
  <c r="L27" i="15"/>
  <c r="L35" i="15"/>
  <c r="S44" i="15"/>
  <c r="S53" i="15"/>
  <c r="K61" i="15"/>
  <c r="T65" i="15"/>
  <c r="S79" i="15"/>
  <c r="S82" i="15"/>
  <c r="K83" i="15"/>
  <c r="L84" i="15"/>
  <c r="K86" i="15"/>
  <c r="K137" i="15"/>
  <c r="K101" i="15"/>
  <c r="S130" i="15"/>
  <c r="K134" i="15"/>
  <c r="S146" i="15"/>
  <c r="L149" i="15"/>
  <c r="K150" i="15"/>
  <c r="S163" i="15"/>
  <c r="K167" i="15"/>
  <c r="S179" i="15"/>
  <c r="K183" i="15"/>
  <c r="S196" i="15"/>
  <c r="K200" i="15"/>
  <c r="S212" i="15"/>
  <c r="K216" i="15"/>
  <c r="L219" i="15"/>
  <c r="S228" i="15"/>
  <c r="K232" i="15"/>
  <c r="L236" i="15"/>
  <c r="S245" i="15"/>
  <c r="K249" i="15"/>
  <c r="L252" i="15"/>
  <c r="S261" i="15"/>
  <c r="K265" i="15"/>
  <c r="L268" i="15"/>
  <c r="T231" i="15"/>
  <c r="T248" i="15"/>
  <c r="T264" i="15"/>
  <c r="L99" i="15"/>
  <c r="S126" i="15"/>
  <c r="K130" i="15"/>
  <c r="S142" i="15"/>
  <c r="K146" i="15"/>
  <c r="S159" i="15"/>
  <c r="K163" i="15"/>
  <c r="S175" i="15"/>
  <c r="K179" i="15"/>
  <c r="S191" i="15"/>
  <c r="K196" i="15"/>
  <c r="S208" i="15"/>
  <c r="L211" i="15"/>
  <c r="K212" i="15"/>
  <c r="S224" i="15"/>
  <c r="K228" i="15"/>
  <c r="L231" i="15"/>
  <c r="S241" i="15"/>
  <c r="K245" i="15"/>
  <c r="L248" i="15"/>
  <c r="S257" i="15"/>
  <c r="K261" i="15"/>
  <c r="L264" i="15"/>
  <c r="S106" i="15"/>
  <c r="T109" i="15"/>
  <c r="T113" i="15"/>
  <c r="T118" i="15"/>
  <c r="T122" i="15"/>
  <c r="K124" i="15"/>
  <c r="T125" i="15"/>
  <c r="L126" i="15"/>
  <c r="T138" i="15"/>
  <c r="K140" i="15"/>
  <c r="T141" i="15"/>
  <c r="L142" i="15"/>
  <c r="T154" i="15"/>
  <c r="K157" i="15"/>
  <c r="T158" i="15"/>
  <c r="L159" i="15"/>
  <c r="T171" i="15"/>
  <c r="K173" i="15"/>
  <c r="T174" i="15"/>
  <c r="L175" i="15"/>
  <c r="T187" i="15"/>
  <c r="K189" i="15"/>
  <c r="T190" i="15"/>
  <c r="L191" i="15"/>
  <c r="T204" i="15"/>
  <c r="K206" i="15"/>
  <c r="T207" i="15"/>
  <c r="L208" i="15"/>
  <c r="T220" i="15"/>
  <c r="K222" i="15"/>
  <c r="L224" i="15"/>
  <c r="T227" i="15"/>
  <c r="T237" i="15"/>
  <c r="K239" i="15"/>
  <c r="L241" i="15"/>
  <c r="T244" i="15"/>
  <c r="T253" i="15"/>
  <c r="K255" i="15"/>
  <c r="L257" i="15"/>
  <c r="T260" i="15"/>
  <c r="T269" i="15"/>
  <c r="K271" i="15"/>
  <c r="T272" i="15"/>
  <c r="G72" i="15"/>
  <c r="T106" i="15"/>
  <c r="S109" i="15"/>
  <c r="S113" i="15"/>
  <c r="S118" i="15"/>
  <c r="S122" i="15"/>
  <c r="L125" i="15"/>
  <c r="K126" i="15"/>
  <c r="S135" i="15"/>
  <c r="S136" i="15"/>
  <c r="S138" i="15"/>
  <c r="L141" i="15"/>
  <c r="K142" i="15"/>
  <c r="S151" i="15"/>
  <c r="S152" i="15"/>
  <c r="S154" i="15"/>
  <c r="L158" i="15"/>
  <c r="K159" i="15"/>
  <c r="S168" i="15"/>
  <c r="S169" i="15"/>
  <c r="S171" i="15"/>
  <c r="L174" i="15"/>
  <c r="K175" i="15"/>
  <c r="S184" i="15"/>
  <c r="S185" i="15"/>
  <c r="S187" i="15"/>
  <c r="L190" i="15"/>
  <c r="K191" i="15"/>
  <c r="S201" i="15"/>
  <c r="S202" i="15"/>
  <c r="S204" i="15"/>
  <c r="L207" i="15"/>
  <c r="K208" i="15"/>
  <c r="S217" i="15"/>
  <c r="S218" i="15"/>
  <c r="S220" i="15"/>
  <c r="K224" i="15"/>
  <c r="L227" i="15"/>
  <c r="S233" i="15"/>
  <c r="S235" i="15"/>
  <c r="S237" i="15"/>
  <c r="K241" i="15"/>
  <c r="L244" i="15"/>
  <c r="S250" i="15"/>
  <c r="S251" i="15"/>
  <c r="S253" i="15"/>
  <c r="K257" i="15"/>
  <c r="L260" i="15"/>
  <c r="S266" i="15"/>
  <c r="S267" i="15"/>
  <c r="S269" i="15"/>
  <c r="T53" i="15"/>
  <c r="T69" i="15"/>
  <c r="T77" i="15"/>
  <c r="S46" i="15"/>
  <c r="S52" i="15"/>
  <c r="S54" i="15"/>
  <c r="Y60" i="15"/>
  <c r="S68" i="15"/>
  <c r="S70" i="15"/>
  <c r="T46" i="15"/>
  <c r="T54" i="15"/>
  <c r="Y56" i="15"/>
  <c r="Y72" i="15"/>
  <c r="T75" i="15"/>
  <c r="Y48" i="15"/>
  <c r="T55" i="15"/>
  <c r="S58" i="15"/>
  <c r="S63" i="15"/>
  <c r="T42" i="15"/>
  <c r="Y44" i="15"/>
  <c r="T47" i="15"/>
  <c r="S50" i="15"/>
  <c r="T63" i="15"/>
  <c r="Y64" i="15"/>
  <c r="S66" i="15"/>
  <c r="T67" i="15"/>
  <c r="S73" i="15"/>
  <c r="S41" i="15"/>
  <c r="T50" i="15"/>
  <c r="Y52" i="15"/>
  <c r="Y68" i="15"/>
  <c r="T73" i="15"/>
  <c r="Y76" i="15"/>
  <c r="T64" i="15"/>
  <c r="T56" i="15"/>
  <c r="T48" i="15"/>
  <c r="T57" i="15"/>
  <c r="T70" i="15"/>
  <c r="U72" i="15"/>
  <c r="S72" i="15" s="1"/>
  <c r="T45" i="15"/>
  <c r="G56" i="15"/>
  <c r="T66" i="15"/>
  <c r="V72" i="15"/>
  <c r="T72" i="15" s="1"/>
  <c r="S43" i="15"/>
  <c r="G48" i="15"/>
  <c r="U64" i="15"/>
  <c r="S64" i="15" s="1"/>
  <c r="S51" i="15"/>
  <c r="U56" i="15"/>
  <c r="S56" i="15" s="1"/>
  <c r="T58" i="15"/>
  <c r="U48" i="15"/>
  <c r="S48" i="15" s="1"/>
  <c r="T41" i="15"/>
  <c r="S55" i="15"/>
  <c r="S47" i="15"/>
  <c r="Q48" i="15"/>
  <c r="Q56" i="15"/>
  <c r="Q64" i="15"/>
  <c r="Q72" i="15"/>
  <c r="O72" i="15"/>
  <c r="O46" i="15"/>
  <c r="O48" i="15"/>
  <c r="O55" i="15"/>
  <c r="K58" i="15"/>
  <c r="L59" i="15"/>
  <c r="O64" i="15"/>
  <c r="L72" i="15"/>
  <c r="L64" i="15"/>
  <c r="C56" i="15"/>
  <c r="L48" i="15"/>
  <c r="L61" i="15"/>
  <c r="C71" i="15"/>
  <c r="L71" i="15"/>
  <c r="C63" i="15"/>
  <c r="C55" i="15"/>
  <c r="C47" i="15"/>
  <c r="K44" i="15"/>
  <c r="C54" i="15"/>
  <c r="K63" i="15"/>
  <c r="K67" i="15"/>
  <c r="K69" i="15"/>
  <c r="C62" i="15"/>
  <c r="L54" i="15"/>
  <c r="L46" i="15"/>
  <c r="L44" i="15"/>
  <c r="O56" i="15"/>
  <c r="L63" i="15"/>
  <c r="L67" i="15"/>
  <c r="L68" i="15"/>
  <c r="L69" i="15"/>
  <c r="O71" i="15"/>
  <c r="K74" i="15"/>
  <c r="L75" i="15"/>
  <c r="K77" i="15"/>
  <c r="K42" i="15"/>
  <c r="L43" i="15"/>
  <c r="K66" i="15"/>
  <c r="L77" i="15"/>
  <c r="L70" i="15"/>
  <c r="M64" i="15"/>
  <c r="C48" i="15"/>
  <c r="C70" i="15"/>
  <c r="C72" i="15"/>
  <c r="M56" i="15"/>
  <c r="K56" i="15" s="1"/>
  <c r="L62" i="15"/>
  <c r="M71" i="15"/>
  <c r="M46" i="15"/>
  <c r="M47" i="15"/>
  <c r="K47" i="15" s="1"/>
  <c r="M48" i="15"/>
  <c r="K48" i="15" s="1"/>
  <c r="M54" i="15"/>
  <c r="K54" i="15" s="1"/>
  <c r="M55" i="15"/>
  <c r="K55" i="15" s="1"/>
  <c r="N56" i="15"/>
  <c r="L56" i="15" s="1"/>
  <c r="C64" i="15"/>
  <c r="M70" i="15"/>
  <c r="K70" i="15" s="1"/>
  <c r="M72" i="15"/>
  <c r="N47" i="15"/>
  <c r="L47" i="15" s="1"/>
  <c r="N55" i="15"/>
  <c r="L55" i="15" s="1"/>
  <c r="L58" i="15"/>
  <c r="L74" i="15"/>
  <c r="L66" i="15"/>
  <c r="K43" i="15"/>
  <c r="K51" i="15"/>
  <c r="S40" i="15"/>
  <c r="G40" i="15"/>
  <c r="T40" i="15"/>
  <c r="L40" i="15"/>
  <c r="K40" i="15"/>
  <c r="K102" i="15"/>
  <c r="K127" i="15"/>
  <c r="K143" i="15"/>
  <c r="K160" i="15"/>
  <c r="K176" i="15"/>
  <c r="K192" i="15"/>
  <c r="K209" i="15"/>
  <c r="K225" i="15"/>
  <c r="K242" i="15"/>
  <c r="T104" i="15"/>
  <c r="T105" i="15"/>
  <c r="K106" i="15"/>
  <c r="K110" i="15"/>
  <c r="K114" i="15"/>
  <c r="K119" i="15"/>
  <c r="K123" i="15"/>
  <c r="K139" i="15"/>
  <c r="K155" i="15"/>
  <c r="K172" i="15"/>
  <c r="K188" i="15"/>
  <c r="K205" i="15"/>
  <c r="K221" i="15"/>
  <c r="K238" i="15"/>
  <c r="K254" i="15"/>
  <c r="K270" i="15"/>
  <c r="U34" i="15"/>
  <c r="S34" i="15" s="1"/>
  <c r="V34" i="15"/>
  <c r="T34" i="15" s="1"/>
  <c r="L108" i="15"/>
  <c r="L112" i="15"/>
  <c r="L116" i="15"/>
  <c r="L121" i="15"/>
  <c r="S131" i="15"/>
  <c r="S147" i="15"/>
  <c r="S164" i="15"/>
  <c r="S180" i="15"/>
  <c r="S197" i="15"/>
  <c r="S213" i="15"/>
  <c r="S229" i="15"/>
  <c r="S246" i="15"/>
  <c r="S262" i="15"/>
  <c r="I34" i="13"/>
  <c r="H34" i="13"/>
  <c r="M236" i="13"/>
  <c r="N236" i="13"/>
  <c r="O236" i="13"/>
  <c r="P236" i="13"/>
  <c r="Q236" i="13"/>
  <c r="R236" i="13"/>
  <c r="U236" i="13"/>
  <c r="V236" i="13"/>
  <c r="W236" i="13"/>
  <c r="X236" i="13"/>
  <c r="Y236" i="13"/>
  <c r="Z236" i="13"/>
  <c r="M237" i="13"/>
  <c r="N237" i="13"/>
  <c r="O237" i="13"/>
  <c r="P237" i="13"/>
  <c r="Q237" i="13"/>
  <c r="R237" i="13"/>
  <c r="U237" i="13"/>
  <c r="V237" i="13"/>
  <c r="W237" i="13"/>
  <c r="X237" i="13"/>
  <c r="Y237" i="13"/>
  <c r="Z237" i="13"/>
  <c r="M238" i="13"/>
  <c r="N238" i="13"/>
  <c r="O238" i="13"/>
  <c r="P238" i="13"/>
  <c r="Q238" i="13"/>
  <c r="R238" i="13"/>
  <c r="U238" i="13"/>
  <c r="S238" i="13" s="1"/>
  <c r="V238" i="13"/>
  <c r="T238" i="13" s="1"/>
  <c r="W238" i="13"/>
  <c r="X238" i="13"/>
  <c r="Y238" i="13"/>
  <c r="Z238" i="13"/>
  <c r="M239" i="13"/>
  <c r="N239" i="13"/>
  <c r="O239" i="13"/>
  <c r="P239" i="13"/>
  <c r="Q239" i="13"/>
  <c r="R239" i="13"/>
  <c r="U239" i="13"/>
  <c r="S239" i="13" s="1"/>
  <c r="V239" i="13"/>
  <c r="W239" i="13"/>
  <c r="X239" i="13"/>
  <c r="Y239" i="13"/>
  <c r="Z239" i="13"/>
  <c r="M240" i="13"/>
  <c r="N240" i="13"/>
  <c r="O240" i="13"/>
  <c r="P240" i="13"/>
  <c r="Q240" i="13"/>
  <c r="R240" i="13"/>
  <c r="U240" i="13"/>
  <c r="S240" i="13" s="1"/>
  <c r="V240" i="13"/>
  <c r="T240" i="13" s="1"/>
  <c r="W240" i="13"/>
  <c r="X240" i="13"/>
  <c r="Y240" i="13"/>
  <c r="Z240" i="13"/>
  <c r="M241" i="13"/>
  <c r="N241" i="13"/>
  <c r="O241" i="13"/>
  <c r="P241" i="13"/>
  <c r="Q241" i="13"/>
  <c r="R241" i="13"/>
  <c r="U241" i="13"/>
  <c r="V241" i="13"/>
  <c r="W241" i="13"/>
  <c r="X241" i="13"/>
  <c r="Y241" i="13"/>
  <c r="Z241" i="13"/>
  <c r="M242" i="13"/>
  <c r="N242" i="13"/>
  <c r="O242" i="13"/>
  <c r="P242" i="13"/>
  <c r="Q242" i="13"/>
  <c r="R242" i="13"/>
  <c r="U242" i="13"/>
  <c r="S242" i="13" s="1"/>
  <c r="V242" i="13"/>
  <c r="T242" i="13" s="1"/>
  <c r="W242" i="13"/>
  <c r="X242" i="13"/>
  <c r="Y242" i="13"/>
  <c r="Z242" i="13"/>
  <c r="M243" i="13"/>
  <c r="N243" i="13"/>
  <c r="O243" i="13"/>
  <c r="P243" i="13"/>
  <c r="Q243" i="13"/>
  <c r="R243" i="13"/>
  <c r="U243" i="13"/>
  <c r="S243" i="13" s="1"/>
  <c r="V243" i="13"/>
  <c r="W243" i="13"/>
  <c r="X243" i="13"/>
  <c r="Y243" i="13"/>
  <c r="Z243" i="13"/>
  <c r="M244" i="13"/>
  <c r="N244" i="13"/>
  <c r="O244" i="13"/>
  <c r="P244" i="13"/>
  <c r="Q244" i="13"/>
  <c r="R244" i="13"/>
  <c r="U244" i="13"/>
  <c r="S244" i="13" s="1"/>
  <c r="V244" i="13"/>
  <c r="T244" i="13" s="1"/>
  <c r="W244" i="13"/>
  <c r="X244" i="13"/>
  <c r="Y244" i="13"/>
  <c r="Z244" i="13"/>
  <c r="M245" i="13"/>
  <c r="N245" i="13"/>
  <c r="O245" i="13"/>
  <c r="P245" i="13"/>
  <c r="Q245" i="13"/>
  <c r="R245" i="13"/>
  <c r="U245" i="13"/>
  <c r="S245" i="13" s="1"/>
  <c r="V245" i="13"/>
  <c r="W245" i="13"/>
  <c r="X245" i="13"/>
  <c r="Y245" i="13"/>
  <c r="Z245" i="13"/>
  <c r="M246" i="13"/>
  <c r="N246" i="13"/>
  <c r="O246" i="13"/>
  <c r="P246" i="13"/>
  <c r="Q246" i="13"/>
  <c r="R246" i="13"/>
  <c r="U246" i="13"/>
  <c r="S246" i="13" s="1"/>
  <c r="V246" i="13"/>
  <c r="T246" i="13" s="1"/>
  <c r="W246" i="13"/>
  <c r="X246" i="13"/>
  <c r="Y246" i="13"/>
  <c r="Z246" i="13"/>
  <c r="M247" i="13"/>
  <c r="N247" i="13"/>
  <c r="O247" i="13"/>
  <c r="P247" i="13"/>
  <c r="Q247" i="13"/>
  <c r="R247" i="13"/>
  <c r="U247" i="13"/>
  <c r="S247" i="13" s="1"/>
  <c r="V247" i="13"/>
  <c r="W247" i="13"/>
  <c r="X247" i="13"/>
  <c r="Y247" i="13"/>
  <c r="Z247" i="13"/>
  <c r="M248" i="13"/>
  <c r="N248" i="13"/>
  <c r="O248" i="13"/>
  <c r="P248" i="13"/>
  <c r="Q248" i="13"/>
  <c r="R248" i="13"/>
  <c r="U248" i="13"/>
  <c r="S248" i="13" s="1"/>
  <c r="V248" i="13"/>
  <c r="T248" i="13" s="1"/>
  <c r="W248" i="13"/>
  <c r="X248" i="13"/>
  <c r="Y248" i="13"/>
  <c r="Z248" i="13"/>
  <c r="M249" i="13"/>
  <c r="N249" i="13"/>
  <c r="O249" i="13"/>
  <c r="P249" i="13"/>
  <c r="Q249" i="13"/>
  <c r="R249" i="13"/>
  <c r="U249" i="13"/>
  <c r="S249" i="13" s="1"/>
  <c r="V249" i="13"/>
  <c r="W249" i="13"/>
  <c r="X249" i="13"/>
  <c r="Y249" i="13"/>
  <c r="Z249" i="13"/>
  <c r="M250" i="13"/>
  <c r="N250" i="13"/>
  <c r="O250" i="13"/>
  <c r="P250" i="13"/>
  <c r="Q250" i="13"/>
  <c r="R250" i="13"/>
  <c r="U250" i="13"/>
  <c r="S250" i="13" s="1"/>
  <c r="V250" i="13"/>
  <c r="T250" i="13" s="1"/>
  <c r="W250" i="13"/>
  <c r="X250" i="13"/>
  <c r="Y250" i="13"/>
  <c r="Z250" i="13"/>
  <c r="M251" i="13"/>
  <c r="N251" i="13"/>
  <c r="O251" i="13"/>
  <c r="P251" i="13"/>
  <c r="Q251" i="13"/>
  <c r="R251" i="13"/>
  <c r="U251" i="13"/>
  <c r="S251" i="13" s="1"/>
  <c r="V251" i="13"/>
  <c r="W251" i="13"/>
  <c r="X251" i="13"/>
  <c r="Y251" i="13"/>
  <c r="Z251" i="13"/>
  <c r="M252" i="13"/>
  <c r="N252" i="13"/>
  <c r="O252" i="13"/>
  <c r="P252" i="13"/>
  <c r="Q252" i="13"/>
  <c r="R252" i="13"/>
  <c r="U252" i="13"/>
  <c r="S252" i="13" s="1"/>
  <c r="V252" i="13"/>
  <c r="T252" i="13" s="1"/>
  <c r="W252" i="13"/>
  <c r="X252" i="13"/>
  <c r="Y252" i="13"/>
  <c r="Z252" i="13"/>
  <c r="M253" i="13"/>
  <c r="N253" i="13"/>
  <c r="O253" i="13"/>
  <c r="P253" i="13"/>
  <c r="Q253" i="13"/>
  <c r="R253" i="13"/>
  <c r="U253" i="13"/>
  <c r="S253" i="13" s="1"/>
  <c r="V253" i="13"/>
  <c r="W253" i="13"/>
  <c r="X253" i="13"/>
  <c r="Y253" i="13"/>
  <c r="Z253" i="13"/>
  <c r="M254" i="13"/>
  <c r="N254" i="13"/>
  <c r="O254" i="13"/>
  <c r="P254" i="13"/>
  <c r="Q254" i="13"/>
  <c r="R254" i="13"/>
  <c r="U254" i="13"/>
  <c r="S254" i="13" s="1"/>
  <c r="V254" i="13"/>
  <c r="T254" i="13" s="1"/>
  <c r="W254" i="13"/>
  <c r="X254" i="13"/>
  <c r="Y254" i="13"/>
  <c r="Z254" i="13"/>
  <c r="M255" i="13"/>
  <c r="N255" i="13"/>
  <c r="O255" i="13"/>
  <c r="P255" i="13"/>
  <c r="Q255" i="13"/>
  <c r="R255" i="13"/>
  <c r="U255" i="13"/>
  <c r="S255" i="13" s="1"/>
  <c r="V255" i="13"/>
  <c r="W255" i="13"/>
  <c r="X255" i="13"/>
  <c r="Y255" i="13"/>
  <c r="Z255" i="13"/>
  <c r="M256" i="13"/>
  <c r="N256" i="13"/>
  <c r="O256" i="13"/>
  <c r="P256" i="13"/>
  <c r="Q256" i="13"/>
  <c r="R256" i="13"/>
  <c r="U256" i="13"/>
  <c r="S256" i="13" s="1"/>
  <c r="V256" i="13"/>
  <c r="T256" i="13" s="1"/>
  <c r="W256" i="13"/>
  <c r="X256" i="13"/>
  <c r="Y256" i="13"/>
  <c r="Z256" i="13"/>
  <c r="M257" i="13"/>
  <c r="N257" i="13"/>
  <c r="O257" i="13"/>
  <c r="P257" i="13"/>
  <c r="Q257" i="13"/>
  <c r="R257" i="13"/>
  <c r="U257" i="13"/>
  <c r="S257" i="13" s="1"/>
  <c r="V257" i="13"/>
  <c r="W257" i="13"/>
  <c r="X257" i="13"/>
  <c r="Y257" i="13"/>
  <c r="Z257" i="13"/>
  <c r="M258" i="13"/>
  <c r="N258" i="13"/>
  <c r="O258" i="13"/>
  <c r="P258" i="13"/>
  <c r="Q258" i="13"/>
  <c r="R258" i="13"/>
  <c r="U258" i="13"/>
  <c r="S258" i="13" s="1"/>
  <c r="V258" i="13"/>
  <c r="T258" i="13" s="1"/>
  <c r="W258" i="13"/>
  <c r="X258" i="13"/>
  <c r="Y258" i="13"/>
  <c r="Z258" i="13"/>
  <c r="M259" i="13"/>
  <c r="N259" i="13"/>
  <c r="O259" i="13"/>
  <c r="P259" i="13"/>
  <c r="Q259" i="13"/>
  <c r="R259" i="13"/>
  <c r="U259" i="13"/>
  <c r="S259" i="13" s="1"/>
  <c r="V259" i="13"/>
  <c r="W259" i="13"/>
  <c r="X259" i="13"/>
  <c r="Y259" i="13"/>
  <c r="Z259" i="13"/>
  <c r="M260" i="13"/>
  <c r="N260" i="13"/>
  <c r="O260" i="13"/>
  <c r="P260" i="13"/>
  <c r="Q260" i="13"/>
  <c r="R260" i="13"/>
  <c r="U260" i="13"/>
  <c r="S260" i="13" s="1"/>
  <c r="V260" i="13"/>
  <c r="T260" i="13" s="1"/>
  <c r="W260" i="13"/>
  <c r="X260" i="13"/>
  <c r="Y260" i="13"/>
  <c r="Z260" i="13"/>
  <c r="M261" i="13"/>
  <c r="N261" i="13"/>
  <c r="O261" i="13"/>
  <c r="P261" i="13"/>
  <c r="Q261" i="13"/>
  <c r="R261" i="13"/>
  <c r="U261" i="13"/>
  <c r="S261" i="13" s="1"/>
  <c r="V261" i="13"/>
  <c r="W261" i="13"/>
  <c r="X261" i="13"/>
  <c r="Y261" i="13"/>
  <c r="Z261" i="13"/>
  <c r="M262" i="13"/>
  <c r="N262" i="13"/>
  <c r="O262" i="13"/>
  <c r="P262" i="13"/>
  <c r="Q262" i="13"/>
  <c r="R262" i="13"/>
  <c r="U262" i="13"/>
  <c r="S262" i="13" s="1"/>
  <c r="V262" i="13"/>
  <c r="T262" i="13" s="1"/>
  <c r="W262" i="13"/>
  <c r="X262" i="13"/>
  <c r="Y262" i="13"/>
  <c r="Z262" i="13"/>
  <c r="M263" i="13"/>
  <c r="N263" i="13"/>
  <c r="O263" i="13"/>
  <c r="P263" i="13"/>
  <c r="Q263" i="13"/>
  <c r="R263" i="13"/>
  <c r="U263" i="13"/>
  <c r="V263" i="13"/>
  <c r="W263" i="13"/>
  <c r="X263" i="13"/>
  <c r="Y263" i="13"/>
  <c r="Z263" i="13"/>
  <c r="M264" i="13"/>
  <c r="N264" i="13"/>
  <c r="O264" i="13"/>
  <c r="P264" i="13"/>
  <c r="Q264" i="13"/>
  <c r="R264" i="13"/>
  <c r="U264" i="13"/>
  <c r="S264" i="13" s="1"/>
  <c r="V264" i="13"/>
  <c r="T264" i="13" s="1"/>
  <c r="W264" i="13"/>
  <c r="X264" i="13"/>
  <c r="Y264" i="13"/>
  <c r="Z264" i="13"/>
  <c r="M265" i="13"/>
  <c r="N265" i="13"/>
  <c r="O265" i="13"/>
  <c r="P265" i="13"/>
  <c r="Q265" i="13"/>
  <c r="R265" i="13"/>
  <c r="U265" i="13"/>
  <c r="S265" i="13" s="1"/>
  <c r="V265" i="13"/>
  <c r="W265" i="13"/>
  <c r="X265" i="13"/>
  <c r="Y265" i="13"/>
  <c r="Z265" i="13"/>
  <c r="M266" i="13"/>
  <c r="N266" i="13"/>
  <c r="O266" i="13"/>
  <c r="P266" i="13"/>
  <c r="Q266" i="13"/>
  <c r="R266" i="13"/>
  <c r="U266" i="13"/>
  <c r="S266" i="13" s="1"/>
  <c r="V266" i="13"/>
  <c r="T266" i="13" s="1"/>
  <c r="W266" i="13"/>
  <c r="X266" i="13"/>
  <c r="Y266" i="13"/>
  <c r="Z266" i="13"/>
  <c r="M267" i="13"/>
  <c r="N267" i="13"/>
  <c r="O267" i="13"/>
  <c r="P267" i="13"/>
  <c r="Q267" i="13"/>
  <c r="R267" i="13"/>
  <c r="U267" i="13"/>
  <c r="S267" i="13" s="1"/>
  <c r="V267" i="13"/>
  <c r="W267" i="13"/>
  <c r="X267" i="13"/>
  <c r="Y267" i="13"/>
  <c r="Z267" i="13"/>
  <c r="M268" i="13"/>
  <c r="N268" i="13"/>
  <c r="O268" i="13"/>
  <c r="P268" i="13"/>
  <c r="Q268" i="13"/>
  <c r="R268" i="13"/>
  <c r="U268" i="13"/>
  <c r="S268" i="13" s="1"/>
  <c r="V268" i="13"/>
  <c r="T268" i="13" s="1"/>
  <c r="W268" i="13"/>
  <c r="X268" i="13"/>
  <c r="Y268" i="13"/>
  <c r="Z268" i="13"/>
  <c r="M269" i="13"/>
  <c r="N269" i="13"/>
  <c r="O269" i="13"/>
  <c r="P269" i="13"/>
  <c r="Q269" i="13"/>
  <c r="R269" i="13"/>
  <c r="U269" i="13"/>
  <c r="S269" i="13" s="1"/>
  <c r="V269" i="13"/>
  <c r="W269" i="13"/>
  <c r="X269" i="13"/>
  <c r="Y269" i="13"/>
  <c r="Z269" i="13"/>
  <c r="M270" i="13"/>
  <c r="N270" i="13"/>
  <c r="O270" i="13"/>
  <c r="P270" i="13"/>
  <c r="Q270" i="13"/>
  <c r="R270" i="13"/>
  <c r="U270" i="13"/>
  <c r="S270" i="13" s="1"/>
  <c r="V270" i="13"/>
  <c r="T270" i="13" s="1"/>
  <c r="W270" i="13"/>
  <c r="X270" i="13"/>
  <c r="Y270" i="13"/>
  <c r="Z270" i="13"/>
  <c r="M271" i="13"/>
  <c r="N271" i="13"/>
  <c r="O271" i="13"/>
  <c r="P271" i="13"/>
  <c r="Q271" i="13"/>
  <c r="R271" i="13"/>
  <c r="U271" i="13"/>
  <c r="V271" i="13"/>
  <c r="W271" i="13"/>
  <c r="X271" i="13"/>
  <c r="Y271" i="13"/>
  <c r="Z271" i="13"/>
  <c r="M272" i="13"/>
  <c r="N272" i="13"/>
  <c r="O272" i="13"/>
  <c r="P272" i="13"/>
  <c r="Q272" i="13"/>
  <c r="R272" i="13"/>
  <c r="U272" i="13"/>
  <c r="S272" i="13" s="1"/>
  <c r="V272" i="13"/>
  <c r="T272" i="13" s="1"/>
  <c r="W272" i="13"/>
  <c r="X272" i="13"/>
  <c r="Y272" i="13"/>
  <c r="Z272" i="13"/>
  <c r="M273" i="13"/>
  <c r="N273" i="13"/>
  <c r="O273" i="13"/>
  <c r="P273" i="13"/>
  <c r="Q273" i="13"/>
  <c r="R273" i="13"/>
  <c r="U273" i="13"/>
  <c r="S273" i="13" s="1"/>
  <c r="V273" i="13"/>
  <c r="W273" i="13"/>
  <c r="X273" i="13"/>
  <c r="Y273" i="13"/>
  <c r="Z273"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M197" i="13"/>
  <c r="N197" i="13"/>
  <c r="O197" i="13"/>
  <c r="P197" i="13"/>
  <c r="Q197" i="13"/>
  <c r="R197" i="13"/>
  <c r="U197" i="13"/>
  <c r="V197" i="13"/>
  <c r="W197" i="13"/>
  <c r="X197" i="13"/>
  <c r="Y197" i="13"/>
  <c r="Z197" i="13"/>
  <c r="M198" i="13"/>
  <c r="N198" i="13"/>
  <c r="O198" i="13"/>
  <c r="P198" i="13"/>
  <c r="Q198" i="13"/>
  <c r="R198" i="13"/>
  <c r="U198" i="13"/>
  <c r="V198" i="13"/>
  <c r="W198" i="13"/>
  <c r="X198" i="13"/>
  <c r="Y198" i="13"/>
  <c r="Z198" i="13"/>
  <c r="M199" i="13"/>
  <c r="N199" i="13"/>
  <c r="O199" i="13"/>
  <c r="P199" i="13"/>
  <c r="Q199" i="13"/>
  <c r="R199" i="13"/>
  <c r="U199" i="13"/>
  <c r="V199" i="13"/>
  <c r="W199" i="13"/>
  <c r="X199" i="13"/>
  <c r="Y199" i="13"/>
  <c r="Z199" i="13"/>
  <c r="M200" i="13"/>
  <c r="N200" i="13"/>
  <c r="O200" i="13"/>
  <c r="P200" i="13"/>
  <c r="Q200" i="13"/>
  <c r="R200" i="13"/>
  <c r="U200" i="13"/>
  <c r="V200" i="13"/>
  <c r="W200" i="13"/>
  <c r="X200" i="13"/>
  <c r="Y200" i="13"/>
  <c r="Z200" i="13"/>
  <c r="M201" i="13"/>
  <c r="N201" i="13"/>
  <c r="O201" i="13"/>
  <c r="P201" i="13"/>
  <c r="Q201" i="13"/>
  <c r="R201" i="13"/>
  <c r="U201" i="13"/>
  <c r="V201" i="13"/>
  <c r="W201" i="13"/>
  <c r="X201" i="13"/>
  <c r="Y201" i="13"/>
  <c r="Z201" i="13"/>
  <c r="M202" i="13"/>
  <c r="N202" i="13"/>
  <c r="O202" i="13"/>
  <c r="P202" i="13"/>
  <c r="Q202" i="13"/>
  <c r="R202" i="13"/>
  <c r="U202" i="13"/>
  <c r="V202" i="13"/>
  <c r="W202" i="13"/>
  <c r="X202" i="13"/>
  <c r="Y202" i="13"/>
  <c r="Z202" i="13"/>
  <c r="M203" i="13"/>
  <c r="N203" i="13"/>
  <c r="O203" i="13"/>
  <c r="P203" i="13"/>
  <c r="Q203" i="13"/>
  <c r="R203" i="13"/>
  <c r="U203" i="13"/>
  <c r="V203" i="13"/>
  <c r="W203" i="13"/>
  <c r="X203" i="13"/>
  <c r="Y203" i="13"/>
  <c r="Z203" i="13"/>
  <c r="M204" i="13"/>
  <c r="N204" i="13"/>
  <c r="O204" i="13"/>
  <c r="P204" i="13"/>
  <c r="Q204" i="13"/>
  <c r="R204" i="13"/>
  <c r="U204" i="13"/>
  <c r="V204" i="13"/>
  <c r="W204" i="13"/>
  <c r="X204" i="13"/>
  <c r="Y204" i="13"/>
  <c r="Z204" i="13"/>
  <c r="M205" i="13"/>
  <c r="N205" i="13"/>
  <c r="O205" i="13"/>
  <c r="P205" i="13"/>
  <c r="Q205" i="13"/>
  <c r="R205" i="13"/>
  <c r="U205" i="13"/>
  <c r="V205" i="13"/>
  <c r="W205" i="13"/>
  <c r="X205" i="13"/>
  <c r="Y205" i="13"/>
  <c r="Z205" i="13"/>
  <c r="M206" i="13"/>
  <c r="N206" i="13"/>
  <c r="O206" i="13"/>
  <c r="P206" i="13"/>
  <c r="Q206" i="13"/>
  <c r="R206" i="13"/>
  <c r="U206" i="13"/>
  <c r="V206" i="13"/>
  <c r="W206" i="13"/>
  <c r="X206" i="13"/>
  <c r="Y206" i="13"/>
  <c r="Z206" i="13"/>
  <c r="M207" i="13"/>
  <c r="N207" i="13"/>
  <c r="O207" i="13"/>
  <c r="P207" i="13"/>
  <c r="Q207" i="13"/>
  <c r="R207" i="13"/>
  <c r="U207" i="13"/>
  <c r="V207" i="13"/>
  <c r="W207" i="13"/>
  <c r="X207" i="13"/>
  <c r="Y207" i="13"/>
  <c r="Z207" i="13"/>
  <c r="M208" i="13"/>
  <c r="N208" i="13"/>
  <c r="O208" i="13"/>
  <c r="P208" i="13"/>
  <c r="Q208" i="13"/>
  <c r="R208" i="13"/>
  <c r="U208" i="13"/>
  <c r="V208" i="13"/>
  <c r="W208" i="13"/>
  <c r="X208" i="13"/>
  <c r="Y208" i="13"/>
  <c r="Z208" i="13"/>
  <c r="M209" i="13"/>
  <c r="N209" i="13"/>
  <c r="O209" i="13"/>
  <c r="P209" i="13"/>
  <c r="Q209" i="13"/>
  <c r="R209" i="13"/>
  <c r="U209" i="13"/>
  <c r="V209" i="13"/>
  <c r="W209" i="13"/>
  <c r="X209" i="13"/>
  <c r="Y209" i="13"/>
  <c r="Z209" i="13"/>
  <c r="M210" i="13"/>
  <c r="N210" i="13"/>
  <c r="O210" i="13"/>
  <c r="P210" i="13"/>
  <c r="Q210" i="13"/>
  <c r="R210" i="13"/>
  <c r="U210" i="13"/>
  <c r="V210" i="13"/>
  <c r="W210" i="13"/>
  <c r="X210" i="13"/>
  <c r="Y210" i="13"/>
  <c r="Z210" i="13"/>
  <c r="M211" i="13"/>
  <c r="N211" i="13"/>
  <c r="O211" i="13"/>
  <c r="P211" i="13"/>
  <c r="Q211" i="13"/>
  <c r="R211" i="13"/>
  <c r="U211" i="13"/>
  <c r="V211" i="13"/>
  <c r="W211" i="13"/>
  <c r="X211" i="13"/>
  <c r="Y211" i="13"/>
  <c r="Z211" i="13"/>
  <c r="M212" i="13"/>
  <c r="N212" i="13"/>
  <c r="O212" i="13"/>
  <c r="P212" i="13"/>
  <c r="Q212" i="13"/>
  <c r="R212" i="13"/>
  <c r="U212" i="13"/>
  <c r="V212" i="13"/>
  <c r="W212" i="13"/>
  <c r="X212" i="13"/>
  <c r="Y212" i="13"/>
  <c r="Z212" i="13"/>
  <c r="M213" i="13"/>
  <c r="N213" i="13"/>
  <c r="O213" i="13"/>
  <c r="P213" i="13"/>
  <c r="Q213" i="13"/>
  <c r="R213" i="13"/>
  <c r="U213" i="13"/>
  <c r="V213" i="13"/>
  <c r="W213" i="13"/>
  <c r="X213" i="13"/>
  <c r="Y213" i="13"/>
  <c r="Z213" i="13"/>
  <c r="M214" i="13"/>
  <c r="N214" i="13"/>
  <c r="O214" i="13"/>
  <c r="P214" i="13"/>
  <c r="Q214" i="13"/>
  <c r="R214" i="13"/>
  <c r="U214" i="13"/>
  <c r="V214" i="13"/>
  <c r="W214" i="13"/>
  <c r="X214" i="13"/>
  <c r="Y214" i="13"/>
  <c r="Z214" i="13"/>
  <c r="M215" i="13"/>
  <c r="N215" i="13"/>
  <c r="O215" i="13"/>
  <c r="P215" i="13"/>
  <c r="Q215" i="13"/>
  <c r="R215" i="13"/>
  <c r="U215" i="13"/>
  <c r="V215" i="13"/>
  <c r="W215" i="13"/>
  <c r="X215" i="13"/>
  <c r="Y215" i="13"/>
  <c r="Z215" i="13"/>
  <c r="M216" i="13"/>
  <c r="N216" i="13"/>
  <c r="O216" i="13"/>
  <c r="P216" i="13"/>
  <c r="Q216" i="13"/>
  <c r="R216" i="13"/>
  <c r="U216" i="13"/>
  <c r="V216" i="13"/>
  <c r="W216" i="13"/>
  <c r="X216" i="13"/>
  <c r="Y216" i="13"/>
  <c r="Z216" i="13"/>
  <c r="M217" i="13"/>
  <c r="N217" i="13"/>
  <c r="O217" i="13"/>
  <c r="P217" i="13"/>
  <c r="Q217" i="13"/>
  <c r="R217" i="13"/>
  <c r="U217" i="13"/>
  <c r="V217" i="13"/>
  <c r="W217" i="13"/>
  <c r="X217" i="13"/>
  <c r="Y217" i="13"/>
  <c r="Z217" i="13"/>
  <c r="M218" i="13"/>
  <c r="N218" i="13"/>
  <c r="O218" i="13"/>
  <c r="P218" i="13"/>
  <c r="Q218" i="13"/>
  <c r="R218" i="13"/>
  <c r="U218" i="13"/>
  <c r="V218" i="13"/>
  <c r="W218" i="13"/>
  <c r="X218" i="13"/>
  <c r="Y218" i="13"/>
  <c r="Z218" i="13"/>
  <c r="M219" i="13"/>
  <c r="N219" i="13"/>
  <c r="O219" i="13"/>
  <c r="P219" i="13"/>
  <c r="Q219" i="13"/>
  <c r="R219" i="13"/>
  <c r="U219" i="13"/>
  <c r="V219" i="13"/>
  <c r="W219" i="13"/>
  <c r="X219" i="13"/>
  <c r="Y219" i="13"/>
  <c r="Z219" i="13"/>
  <c r="M220" i="13"/>
  <c r="N220" i="13"/>
  <c r="O220" i="13"/>
  <c r="P220" i="13"/>
  <c r="Q220" i="13"/>
  <c r="R220" i="13"/>
  <c r="U220" i="13"/>
  <c r="V220" i="13"/>
  <c r="W220" i="13"/>
  <c r="X220" i="13"/>
  <c r="Y220" i="13"/>
  <c r="Z220" i="13"/>
  <c r="M221" i="13"/>
  <c r="N221" i="13"/>
  <c r="O221" i="13"/>
  <c r="P221" i="13"/>
  <c r="Q221" i="13"/>
  <c r="R221" i="13"/>
  <c r="U221" i="13"/>
  <c r="V221" i="13"/>
  <c r="W221" i="13"/>
  <c r="X221" i="13"/>
  <c r="Y221" i="13"/>
  <c r="Z221" i="13"/>
  <c r="M222" i="13"/>
  <c r="N222" i="13"/>
  <c r="O222" i="13"/>
  <c r="P222" i="13"/>
  <c r="Q222" i="13"/>
  <c r="R222" i="13"/>
  <c r="U222" i="13"/>
  <c r="V222" i="13"/>
  <c r="W222" i="13"/>
  <c r="X222" i="13"/>
  <c r="Y222" i="13"/>
  <c r="Z222" i="13"/>
  <c r="M223" i="13"/>
  <c r="N223" i="13"/>
  <c r="O223" i="13"/>
  <c r="P223" i="13"/>
  <c r="Q223" i="13"/>
  <c r="R223" i="13"/>
  <c r="U223" i="13"/>
  <c r="V223" i="13"/>
  <c r="W223" i="13"/>
  <c r="X223" i="13"/>
  <c r="Y223" i="13"/>
  <c r="Z223" i="13"/>
  <c r="M224" i="13"/>
  <c r="N224" i="13"/>
  <c r="O224" i="13"/>
  <c r="P224" i="13"/>
  <c r="Q224" i="13"/>
  <c r="R224" i="13"/>
  <c r="U224" i="13"/>
  <c r="V224" i="13"/>
  <c r="W224" i="13"/>
  <c r="X224" i="13"/>
  <c r="Y224" i="13"/>
  <c r="Z224" i="13"/>
  <c r="M225" i="13"/>
  <c r="N225" i="13"/>
  <c r="O225" i="13"/>
  <c r="P225" i="13"/>
  <c r="Q225" i="13"/>
  <c r="R225" i="13"/>
  <c r="U225" i="13"/>
  <c r="V225" i="13"/>
  <c r="W225" i="13"/>
  <c r="X225" i="13"/>
  <c r="Y225" i="13"/>
  <c r="Z225" i="13"/>
  <c r="M226" i="13"/>
  <c r="N226" i="13"/>
  <c r="O226" i="13"/>
  <c r="P226" i="13"/>
  <c r="Q226" i="13"/>
  <c r="R226" i="13"/>
  <c r="U226" i="13"/>
  <c r="V226" i="13"/>
  <c r="W226" i="13"/>
  <c r="X226" i="13"/>
  <c r="Y226" i="13"/>
  <c r="Z226" i="13"/>
  <c r="M227" i="13"/>
  <c r="N227" i="13"/>
  <c r="O227" i="13"/>
  <c r="P227" i="13"/>
  <c r="Q227" i="13"/>
  <c r="R227" i="13"/>
  <c r="U227" i="13"/>
  <c r="V227" i="13"/>
  <c r="W227" i="13"/>
  <c r="X227" i="13"/>
  <c r="Y227" i="13"/>
  <c r="Z227" i="13"/>
  <c r="M228" i="13"/>
  <c r="N228" i="13"/>
  <c r="O228" i="13"/>
  <c r="P228" i="13"/>
  <c r="Q228" i="13"/>
  <c r="R228" i="13"/>
  <c r="U228" i="13"/>
  <c r="V228" i="13"/>
  <c r="W228" i="13"/>
  <c r="X228" i="13"/>
  <c r="Y228" i="13"/>
  <c r="Z228" i="13"/>
  <c r="M229" i="13"/>
  <c r="N229" i="13"/>
  <c r="O229" i="13"/>
  <c r="P229" i="13"/>
  <c r="Q229" i="13"/>
  <c r="R229" i="13"/>
  <c r="U229" i="13"/>
  <c r="V229" i="13"/>
  <c r="W229" i="13"/>
  <c r="X229" i="13"/>
  <c r="Y229" i="13"/>
  <c r="Z229" i="13"/>
  <c r="M230" i="13"/>
  <c r="N230" i="13"/>
  <c r="O230" i="13"/>
  <c r="P230" i="13"/>
  <c r="Q230" i="13"/>
  <c r="R230" i="13"/>
  <c r="U230" i="13"/>
  <c r="V230" i="13"/>
  <c r="W230" i="13"/>
  <c r="X230" i="13"/>
  <c r="Y230" i="13"/>
  <c r="Z230" i="13"/>
  <c r="M231" i="13"/>
  <c r="N231" i="13"/>
  <c r="O231" i="13"/>
  <c r="P231" i="13"/>
  <c r="Q231" i="13"/>
  <c r="R231" i="13"/>
  <c r="U231" i="13"/>
  <c r="V231" i="13"/>
  <c r="W231" i="13"/>
  <c r="X231" i="13"/>
  <c r="Y231" i="13"/>
  <c r="Z231" i="13"/>
  <c r="M232" i="13"/>
  <c r="N232" i="13"/>
  <c r="O232" i="13"/>
  <c r="P232" i="13"/>
  <c r="Q232" i="13"/>
  <c r="R232" i="13"/>
  <c r="U232" i="13"/>
  <c r="V232" i="13"/>
  <c r="W232" i="13"/>
  <c r="X232" i="13"/>
  <c r="Y232" i="13"/>
  <c r="Z232" i="13"/>
  <c r="M233" i="13"/>
  <c r="N233" i="13"/>
  <c r="O233" i="13"/>
  <c r="P233" i="13"/>
  <c r="Q233" i="13"/>
  <c r="R233" i="13"/>
  <c r="U233" i="13"/>
  <c r="V233" i="13"/>
  <c r="W233" i="13"/>
  <c r="X233" i="13"/>
  <c r="Y233" i="13"/>
  <c r="Z233" i="13"/>
  <c r="M234" i="13"/>
  <c r="N234" i="13"/>
  <c r="O234" i="13"/>
  <c r="P234" i="13"/>
  <c r="Q234" i="13"/>
  <c r="R234" i="13"/>
  <c r="U234" i="13"/>
  <c r="V234" i="13"/>
  <c r="W234" i="13"/>
  <c r="X234" i="13"/>
  <c r="Y234" i="13"/>
  <c r="Z234"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M158" i="13"/>
  <c r="N158" i="13"/>
  <c r="O158" i="13"/>
  <c r="P158" i="13"/>
  <c r="Q158" i="13"/>
  <c r="R158" i="13"/>
  <c r="U158" i="13"/>
  <c r="V158" i="13"/>
  <c r="W158" i="13"/>
  <c r="X158" i="13"/>
  <c r="Y158" i="13"/>
  <c r="Z158" i="13"/>
  <c r="M159" i="13"/>
  <c r="N159" i="13"/>
  <c r="O159" i="13"/>
  <c r="P159" i="13"/>
  <c r="Q159" i="13"/>
  <c r="R159" i="13"/>
  <c r="U159" i="13"/>
  <c r="V159" i="13"/>
  <c r="W159" i="13"/>
  <c r="X159" i="13"/>
  <c r="Y159" i="13"/>
  <c r="Z159" i="13"/>
  <c r="M160" i="13"/>
  <c r="N160" i="13"/>
  <c r="O160" i="13"/>
  <c r="P160" i="13"/>
  <c r="Q160" i="13"/>
  <c r="R160" i="13"/>
  <c r="U160" i="13"/>
  <c r="V160" i="13"/>
  <c r="W160" i="13"/>
  <c r="X160" i="13"/>
  <c r="Y160" i="13"/>
  <c r="Z160" i="13"/>
  <c r="M161" i="13"/>
  <c r="N161" i="13"/>
  <c r="O161" i="13"/>
  <c r="P161" i="13"/>
  <c r="Q161" i="13"/>
  <c r="R161" i="13"/>
  <c r="U161" i="13"/>
  <c r="V161" i="13"/>
  <c r="W161" i="13"/>
  <c r="X161" i="13"/>
  <c r="Y161" i="13"/>
  <c r="Z161" i="13"/>
  <c r="M162" i="13"/>
  <c r="N162" i="13"/>
  <c r="O162" i="13"/>
  <c r="P162" i="13"/>
  <c r="Q162" i="13"/>
  <c r="R162" i="13"/>
  <c r="U162" i="13"/>
  <c r="V162" i="13"/>
  <c r="W162" i="13"/>
  <c r="X162" i="13"/>
  <c r="Y162" i="13"/>
  <c r="Z162" i="13"/>
  <c r="M163" i="13"/>
  <c r="N163" i="13"/>
  <c r="O163" i="13"/>
  <c r="P163" i="13"/>
  <c r="Q163" i="13"/>
  <c r="R163" i="13"/>
  <c r="U163" i="13"/>
  <c r="V163" i="13"/>
  <c r="W163" i="13"/>
  <c r="X163" i="13"/>
  <c r="Y163" i="13"/>
  <c r="Z163" i="13"/>
  <c r="M164" i="13"/>
  <c r="N164" i="13"/>
  <c r="O164" i="13"/>
  <c r="P164" i="13"/>
  <c r="Q164" i="13"/>
  <c r="R164" i="13"/>
  <c r="U164" i="13"/>
  <c r="V164" i="13"/>
  <c r="W164" i="13"/>
  <c r="X164" i="13"/>
  <c r="Y164" i="13"/>
  <c r="Z164" i="13"/>
  <c r="M165" i="13"/>
  <c r="N165" i="13"/>
  <c r="O165" i="13"/>
  <c r="P165" i="13"/>
  <c r="Q165" i="13"/>
  <c r="R165" i="13"/>
  <c r="U165" i="13"/>
  <c r="V165" i="13"/>
  <c r="W165" i="13"/>
  <c r="X165" i="13"/>
  <c r="Y165" i="13"/>
  <c r="Z165" i="13"/>
  <c r="M166" i="13"/>
  <c r="N166" i="13"/>
  <c r="O166" i="13"/>
  <c r="P166" i="13"/>
  <c r="Q166" i="13"/>
  <c r="R166" i="13"/>
  <c r="U166" i="13"/>
  <c r="V166" i="13"/>
  <c r="W166" i="13"/>
  <c r="X166" i="13"/>
  <c r="Y166" i="13"/>
  <c r="Z166" i="13"/>
  <c r="M167" i="13"/>
  <c r="N167" i="13"/>
  <c r="O167" i="13"/>
  <c r="P167" i="13"/>
  <c r="Q167" i="13"/>
  <c r="R167" i="13"/>
  <c r="U167" i="13"/>
  <c r="V167" i="13"/>
  <c r="W167" i="13"/>
  <c r="X167" i="13"/>
  <c r="Y167" i="13"/>
  <c r="Z167" i="13"/>
  <c r="M168" i="13"/>
  <c r="N168" i="13"/>
  <c r="O168" i="13"/>
  <c r="P168" i="13"/>
  <c r="Q168" i="13"/>
  <c r="R168" i="13"/>
  <c r="U168" i="13"/>
  <c r="V168" i="13"/>
  <c r="W168" i="13"/>
  <c r="X168" i="13"/>
  <c r="Y168" i="13"/>
  <c r="Z168" i="13"/>
  <c r="M169" i="13"/>
  <c r="N169" i="13"/>
  <c r="O169" i="13"/>
  <c r="P169" i="13"/>
  <c r="Q169" i="13"/>
  <c r="R169" i="13"/>
  <c r="U169" i="13"/>
  <c r="V169" i="13"/>
  <c r="W169" i="13"/>
  <c r="X169" i="13"/>
  <c r="Y169" i="13"/>
  <c r="Z169" i="13"/>
  <c r="M170" i="13"/>
  <c r="N170" i="13"/>
  <c r="O170" i="13"/>
  <c r="P170" i="13"/>
  <c r="Q170" i="13"/>
  <c r="R170" i="13"/>
  <c r="U170" i="13"/>
  <c r="V170" i="13"/>
  <c r="W170" i="13"/>
  <c r="X170" i="13"/>
  <c r="Y170" i="13"/>
  <c r="Z170" i="13"/>
  <c r="M171" i="13"/>
  <c r="N171" i="13"/>
  <c r="O171" i="13"/>
  <c r="P171" i="13"/>
  <c r="Q171" i="13"/>
  <c r="R171" i="13"/>
  <c r="U171" i="13"/>
  <c r="V171" i="13"/>
  <c r="W171" i="13"/>
  <c r="X171" i="13"/>
  <c r="Y171" i="13"/>
  <c r="Z171" i="13"/>
  <c r="M172" i="13"/>
  <c r="N172" i="13"/>
  <c r="O172" i="13"/>
  <c r="P172" i="13"/>
  <c r="Q172" i="13"/>
  <c r="R172" i="13"/>
  <c r="U172" i="13"/>
  <c r="V172" i="13"/>
  <c r="W172" i="13"/>
  <c r="X172" i="13"/>
  <c r="Y172" i="13"/>
  <c r="Z172" i="13"/>
  <c r="M173" i="13"/>
  <c r="N173" i="13"/>
  <c r="O173" i="13"/>
  <c r="P173" i="13"/>
  <c r="Q173" i="13"/>
  <c r="R173" i="13"/>
  <c r="U173" i="13"/>
  <c r="V173" i="13"/>
  <c r="W173" i="13"/>
  <c r="X173" i="13"/>
  <c r="Y173" i="13"/>
  <c r="Z173" i="13"/>
  <c r="M174" i="13"/>
  <c r="N174" i="13"/>
  <c r="O174" i="13"/>
  <c r="P174" i="13"/>
  <c r="Q174" i="13"/>
  <c r="R174" i="13"/>
  <c r="U174" i="13"/>
  <c r="V174" i="13"/>
  <c r="W174" i="13"/>
  <c r="X174" i="13"/>
  <c r="Y174" i="13"/>
  <c r="Z174" i="13"/>
  <c r="M175" i="13"/>
  <c r="N175" i="13"/>
  <c r="O175" i="13"/>
  <c r="P175" i="13"/>
  <c r="Q175" i="13"/>
  <c r="R175" i="13"/>
  <c r="U175" i="13"/>
  <c r="V175" i="13"/>
  <c r="W175" i="13"/>
  <c r="X175" i="13"/>
  <c r="Y175" i="13"/>
  <c r="Z175" i="13"/>
  <c r="M176" i="13"/>
  <c r="N176" i="13"/>
  <c r="O176" i="13"/>
  <c r="P176" i="13"/>
  <c r="Q176" i="13"/>
  <c r="R176" i="13"/>
  <c r="U176" i="13"/>
  <c r="V176" i="13"/>
  <c r="W176" i="13"/>
  <c r="X176" i="13"/>
  <c r="Y176" i="13"/>
  <c r="Z176" i="13"/>
  <c r="M177" i="13"/>
  <c r="N177" i="13"/>
  <c r="O177" i="13"/>
  <c r="P177" i="13"/>
  <c r="Q177" i="13"/>
  <c r="R177" i="13"/>
  <c r="U177" i="13"/>
  <c r="V177" i="13"/>
  <c r="W177" i="13"/>
  <c r="X177" i="13"/>
  <c r="Y177" i="13"/>
  <c r="Z177" i="13"/>
  <c r="M178" i="13"/>
  <c r="N178" i="13"/>
  <c r="O178" i="13"/>
  <c r="P178" i="13"/>
  <c r="Q178" i="13"/>
  <c r="R178" i="13"/>
  <c r="U178" i="13"/>
  <c r="V178" i="13"/>
  <c r="W178" i="13"/>
  <c r="X178" i="13"/>
  <c r="Y178" i="13"/>
  <c r="Z178" i="13"/>
  <c r="M179" i="13"/>
  <c r="N179" i="13"/>
  <c r="O179" i="13"/>
  <c r="P179" i="13"/>
  <c r="Q179" i="13"/>
  <c r="R179" i="13"/>
  <c r="U179" i="13"/>
  <c r="V179" i="13"/>
  <c r="W179" i="13"/>
  <c r="X179" i="13"/>
  <c r="Y179" i="13"/>
  <c r="Z179" i="13"/>
  <c r="M180" i="13"/>
  <c r="N180" i="13"/>
  <c r="O180" i="13"/>
  <c r="P180" i="13"/>
  <c r="Q180" i="13"/>
  <c r="R180" i="13"/>
  <c r="U180" i="13"/>
  <c r="V180" i="13"/>
  <c r="W180" i="13"/>
  <c r="X180" i="13"/>
  <c r="Y180" i="13"/>
  <c r="Z180" i="13"/>
  <c r="M181" i="13"/>
  <c r="N181" i="13"/>
  <c r="O181" i="13"/>
  <c r="P181" i="13"/>
  <c r="Q181" i="13"/>
  <c r="R181" i="13"/>
  <c r="U181" i="13"/>
  <c r="V181" i="13"/>
  <c r="W181" i="13"/>
  <c r="X181" i="13"/>
  <c r="Y181" i="13"/>
  <c r="Z181" i="13"/>
  <c r="M182" i="13"/>
  <c r="N182" i="13"/>
  <c r="O182" i="13"/>
  <c r="P182" i="13"/>
  <c r="Q182" i="13"/>
  <c r="R182" i="13"/>
  <c r="U182" i="13"/>
  <c r="V182" i="13"/>
  <c r="W182" i="13"/>
  <c r="X182" i="13"/>
  <c r="Y182" i="13"/>
  <c r="Z182" i="13"/>
  <c r="M183" i="13"/>
  <c r="N183" i="13"/>
  <c r="O183" i="13"/>
  <c r="P183" i="13"/>
  <c r="Q183" i="13"/>
  <c r="R183" i="13"/>
  <c r="U183" i="13"/>
  <c r="V183" i="13"/>
  <c r="W183" i="13"/>
  <c r="X183" i="13"/>
  <c r="Y183" i="13"/>
  <c r="Z183" i="13"/>
  <c r="M184" i="13"/>
  <c r="N184" i="13"/>
  <c r="O184" i="13"/>
  <c r="P184" i="13"/>
  <c r="Q184" i="13"/>
  <c r="R184" i="13"/>
  <c r="U184" i="13"/>
  <c r="V184" i="13"/>
  <c r="W184" i="13"/>
  <c r="X184" i="13"/>
  <c r="Y184" i="13"/>
  <c r="Z184" i="13"/>
  <c r="M185" i="13"/>
  <c r="N185" i="13"/>
  <c r="O185" i="13"/>
  <c r="P185" i="13"/>
  <c r="Q185" i="13"/>
  <c r="R185" i="13"/>
  <c r="U185" i="13"/>
  <c r="V185" i="13"/>
  <c r="W185" i="13"/>
  <c r="X185" i="13"/>
  <c r="Y185" i="13"/>
  <c r="Z185" i="13"/>
  <c r="M186" i="13"/>
  <c r="N186" i="13"/>
  <c r="O186" i="13"/>
  <c r="P186" i="13"/>
  <c r="Q186" i="13"/>
  <c r="R186" i="13"/>
  <c r="U186" i="13"/>
  <c r="V186" i="13"/>
  <c r="W186" i="13"/>
  <c r="X186" i="13"/>
  <c r="Y186" i="13"/>
  <c r="Z186" i="13"/>
  <c r="M187" i="13"/>
  <c r="N187" i="13"/>
  <c r="O187" i="13"/>
  <c r="P187" i="13"/>
  <c r="Q187" i="13"/>
  <c r="R187" i="13"/>
  <c r="U187" i="13"/>
  <c r="V187" i="13"/>
  <c r="W187" i="13"/>
  <c r="X187" i="13"/>
  <c r="Y187" i="13"/>
  <c r="Z187" i="13"/>
  <c r="M188" i="13"/>
  <c r="N188" i="13"/>
  <c r="O188" i="13"/>
  <c r="P188" i="13"/>
  <c r="Q188" i="13"/>
  <c r="R188" i="13"/>
  <c r="U188" i="13"/>
  <c r="V188" i="13"/>
  <c r="W188" i="13"/>
  <c r="X188" i="13"/>
  <c r="Y188" i="13"/>
  <c r="Z188" i="13"/>
  <c r="M189" i="13"/>
  <c r="N189" i="13"/>
  <c r="O189" i="13"/>
  <c r="P189" i="13"/>
  <c r="Q189" i="13"/>
  <c r="R189" i="13"/>
  <c r="U189" i="13"/>
  <c r="V189" i="13"/>
  <c r="W189" i="13"/>
  <c r="X189" i="13"/>
  <c r="Y189" i="13"/>
  <c r="Z189" i="13"/>
  <c r="M190" i="13"/>
  <c r="N190" i="13"/>
  <c r="O190" i="13"/>
  <c r="P190" i="13"/>
  <c r="Q190" i="13"/>
  <c r="R190" i="13"/>
  <c r="U190" i="13"/>
  <c r="V190" i="13"/>
  <c r="W190" i="13"/>
  <c r="X190" i="13"/>
  <c r="Y190" i="13"/>
  <c r="Z190" i="13"/>
  <c r="M191" i="13"/>
  <c r="N191" i="13"/>
  <c r="O191" i="13"/>
  <c r="P191" i="13"/>
  <c r="Q191" i="13"/>
  <c r="R191" i="13"/>
  <c r="U191" i="13"/>
  <c r="V191" i="13"/>
  <c r="W191" i="13"/>
  <c r="X191" i="13"/>
  <c r="Y191" i="13"/>
  <c r="Z191" i="13"/>
  <c r="M192" i="13"/>
  <c r="N192" i="13"/>
  <c r="O192" i="13"/>
  <c r="P192" i="13"/>
  <c r="Q192" i="13"/>
  <c r="R192" i="13"/>
  <c r="U192" i="13"/>
  <c r="V192" i="13"/>
  <c r="W192" i="13"/>
  <c r="X192" i="13"/>
  <c r="Y192" i="13"/>
  <c r="Z192" i="13"/>
  <c r="M193" i="13"/>
  <c r="N193" i="13"/>
  <c r="O193" i="13"/>
  <c r="P193" i="13"/>
  <c r="Q193" i="13"/>
  <c r="R193" i="13"/>
  <c r="U193" i="13"/>
  <c r="V193" i="13"/>
  <c r="W193" i="13"/>
  <c r="X193" i="13"/>
  <c r="Y193" i="13"/>
  <c r="Z193" i="13"/>
  <c r="M194" i="13"/>
  <c r="N194" i="13"/>
  <c r="O194" i="13"/>
  <c r="P194" i="13"/>
  <c r="Q194" i="13"/>
  <c r="R194" i="13"/>
  <c r="U194" i="13"/>
  <c r="V194" i="13"/>
  <c r="W194" i="13"/>
  <c r="X194" i="13"/>
  <c r="Y194" i="13"/>
  <c r="Z194" i="13"/>
  <c r="M195" i="13"/>
  <c r="N195" i="13"/>
  <c r="O195" i="13"/>
  <c r="P195" i="13"/>
  <c r="Q195" i="13"/>
  <c r="R195" i="13"/>
  <c r="U195" i="13"/>
  <c r="V195" i="13"/>
  <c r="W195" i="13"/>
  <c r="X195" i="13"/>
  <c r="Y195" i="13"/>
  <c r="Z195"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M119" i="13"/>
  <c r="N119" i="13"/>
  <c r="O119" i="13"/>
  <c r="P119" i="13"/>
  <c r="Q119" i="13"/>
  <c r="R119" i="13"/>
  <c r="U119" i="13"/>
  <c r="V119" i="13"/>
  <c r="W119" i="13"/>
  <c r="X119" i="13"/>
  <c r="Y119" i="13"/>
  <c r="Z119" i="13"/>
  <c r="M120" i="13"/>
  <c r="N120" i="13"/>
  <c r="O120" i="13"/>
  <c r="K120" i="13" s="1"/>
  <c r="P120" i="13"/>
  <c r="Q120" i="13"/>
  <c r="R120" i="13"/>
  <c r="U120" i="13"/>
  <c r="V120" i="13"/>
  <c r="W120" i="13"/>
  <c r="X120" i="13"/>
  <c r="Y120" i="13"/>
  <c r="Z120" i="13"/>
  <c r="M121" i="13"/>
  <c r="N121" i="13"/>
  <c r="O121" i="13"/>
  <c r="P121" i="13"/>
  <c r="Q121" i="13"/>
  <c r="R121" i="13"/>
  <c r="U121" i="13"/>
  <c r="V121" i="13"/>
  <c r="W121" i="13"/>
  <c r="X121" i="13"/>
  <c r="Y121" i="13"/>
  <c r="Z121" i="13"/>
  <c r="M122" i="13"/>
  <c r="N122" i="13"/>
  <c r="O122" i="13"/>
  <c r="P122" i="13"/>
  <c r="Q122" i="13"/>
  <c r="R122" i="13"/>
  <c r="U122" i="13"/>
  <c r="V122" i="13"/>
  <c r="W122" i="13"/>
  <c r="X122" i="13"/>
  <c r="Y122" i="13"/>
  <c r="Z122" i="13"/>
  <c r="M123" i="13"/>
  <c r="N123" i="13"/>
  <c r="O123" i="13"/>
  <c r="P123" i="13"/>
  <c r="Q123" i="13"/>
  <c r="R123" i="13"/>
  <c r="U123" i="13"/>
  <c r="V123" i="13"/>
  <c r="W123" i="13"/>
  <c r="X123" i="13"/>
  <c r="Y123" i="13"/>
  <c r="Z123" i="13"/>
  <c r="M124" i="13"/>
  <c r="N124" i="13"/>
  <c r="O124" i="13"/>
  <c r="P124" i="13"/>
  <c r="Q124" i="13"/>
  <c r="R124" i="13"/>
  <c r="U124" i="13"/>
  <c r="V124" i="13"/>
  <c r="W124" i="13"/>
  <c r="X124" i="13"/>
  <c r="Y124" i="13"/>
  <c r="Z124" i="13"/>
  <c r="M125" i="13"/>
  <c r="N125" i="13"/>
  <c r="O125" i="13"/>
  <c r="P125" i="13"/>
  <c r="Q125" i="13"/>
  <c r="R125" i="13"/>
  <c r="U125" i="13"/>
  <c r="V125" i="13"/>
  <c r="W125" i="13"/>
  <c r="X125" i="13"/>
  <c r="Y125" i="13"/>
  <c r="Z125" i="13"/>
  <c r="M126" i="13"/>
  <c r="N126" i="13"/>
  <c r="O126" i="13"/>
  <c r="P126" i="13"/>
  <c r="Q126" i="13"/>
  <c r="R126" i="13"/>
  <c r="U126" i="13"/>
  <c r="V126" i="13"/>
  <c r="W126" i="13"/>
  <c r="X126" i="13"/>
  <c r="Y126" i="13"/>
  <c r="Z126" i="13"/>
  <c r="M127" i="13"/>
  <c r="N127" i="13"/>
  <c r="O127" i="13"/>
  <c r="P127" i="13"/>
  <c r="Q127" i="13"/>
  <c r="R127" i="13"/>
  <c r="U127" i="13"/>
  <c r="V127" i="13"/>
  <c r="W127" i="13"/>
  <c r="X127" i="13"/>
  <c r="Y127" i="13"/>
  <c r="Z127" i="13"/>
  <c r="M128" i="13"/>
  <c r="N128" i="13"/>
  <c r="O128" i="13"/>
  <c r="K128" i="13" s="1"/>
  <c r="P128" i="13"/>
  <c r="Q128" i="13"/>
  <c r="R128" i="13"/>
  <c r="U128" i="13"/>
  <c r="V128" i="13"/>
  <c r="W128" i="13"/>
  <c r="X128" i="13"/>
  <c r="Y128" i="13"/>
  <c r="Z128" i="13"/>
  <c r="M129" i="13"/>
  <c r="N129" i="13"/>
  <c r="O129" i="13"/>
  <c r="P129" i="13"/>
  <c r="Q129" i="13"/>
  <c r="R129" i="13"/>
  <c r="U129" i="13"/>
  <c r="V129" i="13"/>
  <c r="W129" i="13"/>
  <c r="X129" i="13"/>
  <c r="Y129" i="13"/>
  <c r="Z129" i="13"/>
  <c r="M130" i="13"/>
  <c r="N130" i="13"/>
  <c r="O130" i="13"/>
  <c r="P130" i="13"/>
  <c r="Q130" i="13"/>
  <c r="R130" i="13"/>
  <c r="U130" i="13"/>
  <c r="V130" i="13"/>
  <c r="W130" i="13"/>
  <c r="X130" i="13"/>
  <c r="Y130" i="13"/>
  <c r="Z130" i="13"/>
  <c r="M131" i="13"/>
  <c r="N131" i="13"/>
  <c r="O131" i="13"/>
  <c r="P131" i="13"/>
  <c r="Q131" i="13"/>
  <c r="R131" i="13"/>
  <c r="U131" i="13"/>
  <c r="V131" i="13"/>
  <c r="W131" i="13"/>
  <c r="X131" i="13"/>
  <c r="Y131" i="13"/>
  <c r="Z131" i="13"/>
  <c r="M132" i="13"/>
  <c r="N132" i="13"/>
  <c r="O132" i="13"/>
  <c r="P132" i="13"/>
  <c r="Q132" i="13"/>
  <c r="R132" i="13"/>
  <c r="U132" i="13"/>
  <c r="V132" i="13"/>
  <c r="W132" i="13"/>
  <c r="X132" i="13"/>
  <c r="Y132" i="13"/>
  <c r="Z132" i="13"/>
  <c r="M133" i="13"/>
  <c r="N133" i="13"/>
  <c r="O133" i="13"/>
  <c r="P133" i="13"/>
  <c r="Q133" i="13"/>
  <c r="R133" i="13"/>
  <c r="U133" i="13"/>
  <c r="V133" i="13"/>
  <c r="W133" i="13"/>
  <c r="X133" i="13"/>
  <c r="Y133" i="13"/>
  <c r="Z133" i="13"/>
  <c r="M134" i="13"/>
  <c r="N134" i="13"/>
  <c r="O134" i="13"/>
  <c r="P134" i="13"/>
  <c r="Q134" i="13"/>
  <c r="R134" i="13"/>
  <c r="U134" i="13"/>
  <c r="V134" i="13"/>
  <c r="W134" i="13"/>
  <c r="X134" i="13"/>
  <c r="Y134" i="13"/>
  <c r="Z134" i="13"/>
  <c r="M135" i="13"/>
  <c r="N135" i="13"/>
  <c r="O135" i="13"/>
  <c r="P135" i="13"/>
  <c r="Q135" i="13"/>
  <c r="R135" i="13"/>
  <c r="U135" i="13"/>
  <c r="V135" i="13"/>
  <c r="W135" i="13"/>
  <c r="X135" i="13"/>
  <c r="Y135" i="13"/>
  <c r="Z135" i="13"/>
  <c r="M136" i="13"/>
  <c r="N136" i="13"/>
  <c r="O136" i="13"/>
  <c r="K136" i="13" s="1"/>
  <c r="P136" i="13"/>
  <c r="Q136" i="13"/>
  <c r="R136" i="13"/>
  <c r="U136" i="13"/>
  <c r="V136" i="13"/>
  <c r="W136" i="13"/>
  <c r="X136" i="13"/>
  <c r="Y136" i="13"/>
  <c r="Z136" i="13"/>
  <c r="M137" i="13"/>
  <c r="N137" i="13"/>
  <c r="O137" i="13"/>
  <c r="P137" i="13"/>
  <c r="Q137" i="13"/>
  <c r="R137" i="13"/>
  <c r="U137" i="13"/>
  <c r="V137" i="13"/>
  <c r="W137" i="13"/>
  <c r="X137" i="13"/>
  <c r="Y137" i="13"/>
  <c r="Z137" i="13"/>
  <c r="M138" i="13"/>
  <c r="N138" i="13"/>
  <c r="O138" i="13"/>
  <c r="P138" i="13"/>
  <c r="Q138" i="13"/>
  <c r="R138" i="13"/>
  <c r="U138" i="13"/>
  <c r="V138" i="13"/>
  <c r="W138" i="13"/>
  <c r="X138" i="13"/>
  <c r="Y138" i="13"/>
  <c r="Z138" i="13"/>
  <c r="M139" i="13"/>
  <c r="N139" i="13"/>
  <c r="O139" i="13"/>
  <c r="P139" i="13"/>
  <c r="Q139" i="13"/>
  <c r="R139" i="13"/>
  <c r="U139" i="13"/>
  <c r="V139" i="13"/>
  <c r="W139" i="13"/>
  <c r="X139" i="13"/>
  <c r="Y139" i="13"/>
  <c r="Z139" i="13"/>
  <c r="M140" i="13"/>
  <c r="N140" i="13"/>
  <c r="O140" i="13"/>
  <c r="P140" i="13"/>
  <c r="Q140" i="13"/>
  <c r="R140" i="13"/>
  <c r="U140" i="13"/>
  <c r="V140" i="13"/>
  <c r="W140" i="13"/>
  <c r="X140" i="13"/>
  <c r="Y140" i="13"/>
  <c r="Z140" i="13"/>
  <c r="M141" i="13"/>
  <c r="N141" i="13"/>
  <c r="O141" i="13"/>
  <c r="P141" i="13"/>
  <c r="Q141" i="13"/>
  <c r="R141" i="13"/>
  <c r="U141" i="13"/>
  <c r="V141" i="13"/>
  <c r="W141" i="13"/>
  <c r="X141" i="13"/>
  <c r="Y141" i="13"/>
  <c r="Z141" i="13"/>
  <c r="M142" i="13"/>
  <c r="N142" i="13"/>
  <c r="O142" i="13"/>
  <c r="P142" i="13"/>
  <c r="Q142" i="13"/>
  <c r="R142" i="13"/>
  <c r="U142" i="13"/>
  <c r="V142" i="13"/>
  <c r="W142" i="13"/>
  <c r="X142" i="13"/>
  <c r="Y142" i="13"/>
  <c r="Z142" i="13"/>
  <c r="M143" i="13"/>
  <c r="N143" i="13"/>
  <c r="O143" i="13"/>
  <c r="P143" i="13"/>
  <c r="Q143" i="13"/>
  <c r="R143" i="13"/>
  <c r="U143" i="13"/>
  <c r="V143" i="13"/>
  <c r="W143" i="13"/>
  <c r="X143" i="13"/>
  <c r="Y143" i="13"/>
  <c r="Z143" i="13"/>
  <c r="M144" i="13"/>
  <c r="N144" i="13"/>
  <c r="O144" i="13"/>
  <c r="P144" i="13"/>
  <c r="Q144" i="13"/>
  <c r="R144" i="13"/>
  <c r="U144" i="13"/>
  <c r="V144" i="13"/>
  <c r="W144" i="13"/>
  <c r="X144" i="13"/>
  <c r="Y144" i="13"/>
  <c r="Z144" i="13"/>
  <c r="M145" i="13"/>
  <c r="N145" i="13"/>
  <c r="O145" i="13"/>
  <c r="P145" i="13"/>
  <c r="Q145" i="13"/>
  <c r="R145" i="13"/>
  <c r="U145" i="13"/>
  <c r="V145" i="13"/>
  <c r="W145" i="13"/>
  <c r="X145" i="13"/>
  <c r="Y145" i="13"/>
  <c r="Z145" i="13"/>
  <c r="M146" i="13"/>
  <c r="N146" i="13"/>
  <c r="O146" i="13"/>
  <c r="P146" i="13"/>
  <c r="Q146" i="13"/>
  <c r="R146" i="13"/>
  <c r="U146" i="13"/>
  <c r="V146" i="13"/>
  <c r="W146" i="13"/>
  <c r="X146" i="13"/>
  <c r="Y146" i="13"/>
  <c r="Z146" i="13"/>
  <c r="M147" i="13"/>
  <c r="N147" i="13"/>
  <c r="O147" i="13"/>
  <c r="P147" i="13"/>
  <c r="Q147" i="13"/>
  <c r="R147" i="13"/>
  <c r="U147" i="13"/>
  <c r="V147" i="13"/>
  <c r="W147" i="13"/>
  <c r="X147" i="13"/>
  <c r="Y147" i="13"/>
  <c r="Z147" i="13"/>
  <c r="M148" i="13"/>
  <c r="N148" i="13"/>
  <c r="O148" i="13"/>
  <c r="P148" i="13"/>
  <c r="Q148" i="13"/>
  <c r="R148" i="13"/>
  <c r="U148" i="13"/>
  <c r="V148" i="13"/>
  <c r="W148" i="13"/>
  <c r="X148" i="13"/>
  <c r="Y148" i="13"/>
  <c r="Z148" i="13"/>
  <c r="M149" i="13"/>
  <c r="N149" i="13"/>
  <c r="O149" i="13"/>
  <c r="P149" i="13"/>
  <c r="Q149" i="13"/>
  <c r="R149" i="13"/>
  <c r="U149" i="13"/>
  <c r="V149" i="13"/>
  <c r="W149" i="13"/>
  <c r="X149" i="13"/>
  <c r="Y149" i="13"/>
  <c r="Z149" i="13"/>
  <c r="M150" i="13"/>
  <c r="N150" i="13"/>
  <c r="O150" i="13"/>
  <c r="P150" i="13"/>
  <c r="Q150" i="13"/>
  <c r="R150" i="13"/>
  <c r="U150" i="13"/>
  <c r="V150" i="13"/>
  <c r="W150" i="13"/>
  <c r="X150" i="13"/>
  <c r="Y150" i="13"/>
  <c r="Z150" i="13"/>
  <c r="M151" i="13"/>
  <c r="N151" i="13"/>
  <c r="O151" i="13"/>
  <c r="P151" i="13"/>
  <c r="Q151" i="13"/>
  <c r="R151" i="13"/>
  <c r="U151" i="13"/>
  <c r="V151" i="13"/>
  <c r="W151" i="13"/>
  <c r="X151" i="13"/>
  <c r="Y151" i="13"/>
  <c r="Z151" i="13"/>
  <c r="M152" i="13"/>
  <c r="N152" i="13"/>
  <c r="O152" i="13"/>
  <c r="P152" i="13"/>
  <c r="Q152" i="13"/>
  <c r="R152" i="13"/>
  <c r="U152" i="13"/>
  <c r="V152" i="13"/>
  <c r="W152" i="13"/>
  <c r="X152" i="13"/>
  <c r="Y152" i="13"/>
  <c r="Z152" i="13"/>
  <c r="M153" i="13"/>
  <c r="N153" i="13"/>
  <c r="O153" i="13"/>
  <c r="P153" i="13"/>
  <c r="Q153" i="13"/>
  <c r="R153" i="13"/>
  <c r="U153" i="13"/>
  <c r="V153" i="13"/>
  <c r="W153" i="13"/>
  <c r="X153" i="13"/>
  <c r="Y153" i="13"/>
  <c r="Z153" i="13"/>
  <c r="M154" i="13"/>
  <c r="N154" i="13"/>
  <c r="O154" i="13"/>
  <c r="P154" i="13"/>
  <c r="Q154" i="13"/>
  <c r="R154" i="13"/>
  <c r="U154" i="13"/>
  <c r="V154" i="13"/>
  <c r="W154" i="13"/>
  <c r="X154" i="13"/>
  <c r="Y154" i="13"/>
  <c r="Z154" i="13"/>
  <c r="M155" i="13"/>
  <c r="N155" i="13"/>
  <c r="O155" i="13"/>
  <c r="P155" i="13"/>
  <c r="Q155" i="13"/>
  <c r="R155" i="13"/>
  <c r="U155" i="13"/>
  <c r="V155" i="13"/>
  <c r="W155" i="13"/>
  <c r="X155" i="13"/>
  <c r="Y155" i="13"/>
  <c r="Z155" i="13"/>
  <c r="M156" i="13"/>
  <c r="N156" i="13"/>
  <c r="O156" i="13"/>
  <c r="P156" i="13"/>
  <c r="Q156" i="13"/>
  <c r="R156" i="13"/>
  <c r="U156" i="13"/>
  <c r="V156" i="13"/>
  <c r="W156" i="13"/>
  <c r="X156" i="13"/>
  <c r="Y156" i="13"/>
  <c r="Z156" i="13"/>
  <c r="L136"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M117" i="13"/>
  <c r="N117" i="13"/>
  <c r="O117" i="13"/>
  <c r="P117" i="13"/>
  <c r="Q117" i="13"/>
  <c r="R117" i="13"/>
  <c r="U117" i="13"/>
  <c r="V117" i="13"/>
  <c r="W117" i="13"/>
  <c r="X117" i="13"/>
  <c r="Y117" i="13"/>
  <c r="Z117" i="13"/>
  <c r="M80" i="13"/>
  <c r="N80" i="13"/>
  <c r="O80" i="13"/>
  <c r="P80" i="13"/>
  <c r="Q80" i="13"/>
  <c r="R80" i="13"/>
  <c r="U80" i="13"/>
  <c r="V80" i="13"/>
  <c r="W80" i="13"/>
  <c r="X80" i="13"/>
  <c r="Y80" i="13"/>
  <c r="Z80" i="13"/>
  <c r="M81" i="13"/>
  <c r="N81" i="13"/>
  <c r="O81" i="13"/>
  <c r="P81" i="13"/>
  <c r="Q81" i="13"/>
  <c r="R81" i="13"/>
  <c r="U81" i="13"/>
  <c r="V81" i="13"/>
  <c r="W81" i="13"/>
  <c r="X81" i="13"/>
  <c r="Y81" i="13"/>
  <c r="Z81" i="13"/>
  <c r="M82" i="13"/>
  <c r="N82" i="13"/>
  <c r="O82" i="13"/>
  <c r="P82" i="13"/>
  <c r="Q82" i="13"/>
  <c r="R82" i="13"/>
  <c r="U82" i="13"/>
  <c r="V82" i="13"/>
  <c r="W82" i="13"/>
  <c r="X82" i="13"/>
  <c r="Y82" i="13"/>
  <c r="Z82" i="13"/>
  <c r="M83" i="13"/>
  <c r="N83" i="13"/>
  <c r="O83" i="13"/>
  <c r="P83" i="13"/>
  <c r="Q83" i="13"/>
  <c r="R83" i="13"/>
  <c r="U83" i="13"/>
  <c r="V83" i="13"/>
  <c r="W83" i="13"/>
  <c r="X83" i="13"/>
  <c r="Y83" i="13"/>
  <c r="Z83" i="13"/>
  <c r="M84" i="13"/>
  <c r="N84" i="13"/>
  <c r="O84" i="13"/>
  <c r="P84" i="13"/>
  <c r="Q84" i="13"/>
  <c r="R84" i="13"/>
  <c r="U84" i="13"/>
  <c r="V84" i="13"/>
  <c r="W84" i="13"/>
  <c r="X84" i="13"/>
  <c r="Y84" i="13"/>
  <c r="Z84" i="13"/>
  <c r="M85" i="13"/>
  <c r="N85" i="13"/>
  <c r="O85" i="13"/>
  <c r="P85" i="13"/>
  <c r="Q85" i="13"/>
  <c r="R85" i="13"/>
  <c r="U85" i="13"/>
  <c r="V85" i="13"/>
  <c r="W85" i="13"/>
  <c r="X85" i="13"/>
  <c r="Y85" i="13"/>
  <c r="Z85" i="13"/>
  <c r="M86" i="13"/>
  <c r="N86" i="13"/>
  <c r="O86" i="13"/>
  <c r="P86" i="13"/>
  <c r="Q86" i="13"/>
  <c r="R86" i="13"/>
  <c r="U86" i="13"/>
  <c r="V86" i="13"/>
  <c r="W86" i="13"/>
  <c r="X86" i="13"/>
  <c r="Y86" i="13"/>
  <c r="Z86" i="13"/>
  <c r="M87" i="13"/>
  <c r="N87" i="13"/>
  <c r="O87" i="13"/>
  <c r="P87" i="13"/>
  <c r="Q87" i="13"/>
  <c r="R87" i="13"/>
  <c r="U87" i="13"/>
  <c r="V87" i="13"/>
  <c r="W87" i="13"/>
  <c r="X87" i="13"/>
  <c r="Y87" i="13"/>
  <c r="Z87" i="13"/>
  <c r="M88" i="13"/>
  <c r="N88" i="13"/>
  <c r="O88" i="13"/>
  <c r="P88" i="13"/>
  <c r="Q88" i="13"/>
  <c r="R88" i="13"/>
  <c r="U88" i="13"/>
  <c r="V88" i="13"/>
  <c r="W88" i="13"/>
  <c r="X88" i="13"/>
  <c r="Y88" i="13"/>
  <c r="Z88" i="13"/>
  <c r="M89" i="13"/>
  <c r="N89" i="13"/>
  <c r="O89" i="13"/>
  <c r="P89" i="13"/>
  <c r="Q89" i="13"/>
  <c r="R89" i="13"/>
  <c r="U89" i="13"/>
  <c r="V89" i="13"/>
  <c r="W89" i="13"/>
  <c r="X89" i="13"/>
  <c r="Y89" i="13"/>
  <c r="Z89" i="13"/>
  <c r="M90" i="13"/>
  <c r="N90" i="13"/>
  <c r="O90" i="13"/>
  <c r="P90" i="13"/>
  <c r="Q90" i="13"/>
  <c r="R90" i="13"/>
  <c r="U90" i="13"/>
  <c r="V90" i="13"/>
  <c r="W90" i="13"/>
  <c r="X90" i="13"/>
  <c r="Y90" i="13"/>
  <c r="Z90" i="13"/>
  <c r="M91" i="13"/>
  <c r="N91" i="13"/>
  <c r="O91" i="13"/>
  <c r="P91" i="13"/>
  <c r="Q91" i="13"/>
  <c r="R91" i="13"/>
  <c r="U91" i="13"/>
  <c r="V91" i="13"/>
  <c r="W91" i="13"/>
  <c r="X91" i="13"/>
  <c r="Y91" i="13"/>
  <c r="Z91" i="13"/>
  <c r="M92" i="13"/>
  <c r="N92" i="13"/>
  <c r="O92" i="13"/>
  <c r="P92" i="13"/>
  <c r="Q92" i="13"/>
  <c r="R92" i="13"/>
  <c r="U92" i="13"/>
  <c r="V92" i="13"/>
  <c r="W92" i="13"/>
  <c r="X92" i="13"/>
  <c r="Y92" i="13"/>
  <c r="Z92" i="13"/>
  <c r="M93" i="13"/>
  <c r="N93" i="13"/>
  <c r="O93" i="13"/>
  <c r="P93" i="13"/>
  <c r="Q93" i="13"/>
  <c r="R93" i="13"/>
  <c r="U93" i="13"/>
  <c r="V93" i="13"/>
  <c r="W93" i="13"/>
  <c r="X93" i="13"/>
  <c r="Y93" i="13"/>
  <c r="Z93" i="13"/>
  <c r="M94" i="13"/>
  <c r="N94" i="13"/>
  <c r="O94" i="13"/>
  <c r="P94" i="13"/>
  <c r="Q94" i="13"/>
  <c r="R94" i="13"/>
  <c r="U94" i="13"/>
  <c r="V94" i="13"/>
  <c r="W94" i="13"/>
  <c r="X94" i="13"/>
  <c r="Y94" i="13"/>
  <c r="Z94" i="13"/>
  <c r="M95" i="13"/>
  <c r="N95" i="13"/>
  <c r="O95" i="13"/>
  <c r="P95" i="13"/>
  <c r="Q95" i="13"/>
  <c r="R95" i="13"/>
  <c r="U95" i="13"/>
  <c r="V95" i="13"/>
  <c r="W95" i="13"/>
  <c r="X95" i="13"/>
  <c r="Y95" i="13"/>
  <c r="Z95" i="13"/>
  <c r="M96" i="13"/>
  <c r="N96" i="13"/>
  <c r="O96" i="13"/>
  <c r="P96" i="13"/>
  <c r="Q96" i="13"/>
  <c r="R96" i="13"/>
  <c r="U96" i="13"/>
  <c r="V96" i="13"/>
  <c r="W96" i="13"/>
  <c r="X96" i="13"/>
  <c r="Y96" i="13"/>
  <c r="Z96" i="13"/>
  <c r="M97" i="13"/>
  <c r="N97" i="13"/>
  <c r="O97" i="13"/>
  <c r="P97" i="13"/>
  <c r="Q97" i="13"/>
  <c r="R97" i="13"/>
  <c r="U97" i="13"/>
  <c r="V97" i="13"/>
  <c r="W97" i="13"/>
  <c r="X97" i="13"/>
  <c r="Y97" i="13"/>
  <c r="Z97" i="13"/>
  <c r="M98" i="13"/>
  <c r="N98" i="13"/>
  <c r="O98" i="13"/>
  <c r="P98" i="13"/>
  <c r="Q98" i="13"/>
  <c r="R98" i="13"/>
  <c r="U98" i="13"/>
  <c r="V98" i="13"/>
  <c r="W98" i="13"/>
  <c r="X98" i="13"/>
  <c r="Y98" i="13"/>
  <c r="Z98" i="13"/>
  <c r="M99" i="13"/>
  <c r="N99" i="13"/>
  <c r="O99" i="13"/>
  <c r="P99" i="13"/>
  <c r="Q99" i="13"/>
  <c r="R99" i="13"/>
  <c r="U99" i="13"/>
  <c r="V99" i="13"/>
  <c r="W99" i="13"/>
  <c r="X99" i="13"/>
  <c r="Y99" i="13"/>
  <c r="Z99" i="13"/>
  <c r="M100" i="13"/>
  <c r="N100" i="13"/>
  <c r="O100" i="13"/>
  <c r="P100" i="13"/>
  <c r="Q100" i="13"/>
  <c r="R100" i="13"/>
  <c r="U100" i="13"/>
  <c r="V100" i="13"/>
  <c r="W100" i="13"/>
  <c r="X100" i="13"/>
  <c r="Y100" i="13"/>
  <c r="Z100" i="13"/>
  <c r="M101" i="13"/>
  <c r="N101" i="13"/>
  <c r="O101" i="13"/>
  <c r="P101" i="13"/>
  <c r="Q101" i="13"/>
  <c r="R101" i="13"/>
  <c r="U101" i="13"/>
  <c r="V101" i="13"/>
  <c r="W101" i="13"/>
  <c r="X101" i="13"/>
  <c r="Y101" i="13"/>
  <c r="Z101" i="13"/>
  <c r="M102" i="13"/>
  <c r="N102" i="13"/>
  <c r="O102" i="13"/>
  <c r="P102" i="13"/>
  <c r="Q102" i="13"/>
  <c r="R102" i="13"/>
  <c r="U102" i="13"/>
  <c r="V102" i="13"/>
  <c r="W102" i="13"/>
  <c r="X102" i="13"/>
  <c r="Y102" i="13"/>
  <c r="Z102" i="13"/>
  <c r="M103" i="13"/>
  <c r="N103" i="13"/>
  <c r="O103" i="13"/>
  <c r="P103" i="13"/>
  <c r="Q103" i="13"/>
  <c r="R103" i="13"/>
  <c r="U103" i="13"/>
  <c r="V103" i="13"/>
  <c r="W103" i="13"/>
  <c r="X103" i="13"/>
  <c r="Y103" i="13"/>
  <c r="Z103" i="13"/>
  <c r="M104" i="13"/>
  <c r="N104" i="13"/>
  <c r="O104" i="13"/>
  <c r="P104" i="13"/>
  <c r="Q104" i="13"/>
  <c r="R104" i="13"/>
  <c r="U104" i="13"/>
  <c r="V104" i="13"/>
  <c r="W104" i="13"/>
  <c r="X104" i="13"/>
  <c r="Y104" i="13"/>
  <c r="Z104" i="13"/>
  <c r="M105" i="13"/>
  <c r="N105" i="13"/>
  <c r="O105" i="13"/>
  <c r="P105" i="13"/>
  <c r="Q105" i="13"/>
  <c r="R105" i="13"/>
  <c r="U105" i="13"/>
  <c r="V105" i="13"/>
  <c r="W105" i="13"/>
  <c r="X105" i="13"/>
  <c r="Y105" i="13"/>
  <c r="Z105" i="13"/>
  <c r="M106" i="13"/>
  <c r="N106" i="13"/>
  <c r="O106" i="13"/>
  <c r="P106" i="13"/>
  <c r="Q106" i="13"/>
  <c r="R106" i="13"/>
  <c r="U106" i="13"/>
  <c r="V106" i="13"/>
  <c r="W106" i="13"/>
  <c r="X106" i="13"/>
  <c r="Y106" i="13"/>
  <c r="Z106" i="13"/>
  <c r="M107" i="13"/>
  <c r="N107" i="13"/>
  <c r="O107" i="13"/>
  <c r="P107" i="13"/>
  <c r="Q107" i="13"/>
  <c r="R107" i="13"/>
  <c r="U107" i="13"/>
  <c r="V107" i="13"/>
  <c r="W107" i="13"/>
  <c r="X107" i="13"/>
  <c r="Y107" i="13"/>
  <c r="Z107" i="13"/>
  <c r="M108" i="13"/>
  <c r="N108" i="13"/>
  <c r="O108" i="13"/>
  <c r="P108" i="13"/>
  <c r="Q108" i="13"/>
  <c r="R108" i="13"/>
  <c r="U108" i="13"/>
  <c r="V108" i="13"/>
  <c r="W108" i="13"/>
  <c r="X108" i="13"/>
  <c r="Y108" i="13"/>
  <c r="Z108" i="13"/>
  <c r="M109" i="13"/>
  <c r="N109" i="13"/>
  <c r="O109" i="13"/>
  <c r="P109" i="13"/>
  <c r="Q109" i="13"/>
  <c r="R109" i="13"/>
  <c r="U109" i="13"/>
  <c r="V109" i="13"/>
  <c r="W109" i="13"/>
  <c r="X109" i="13"/>
  <c r="Y109" i="13"/>
  <c r="Z109" i="13"/>
  <c r="M110" i="13"/>
  <c r="N110" i="13"/>
  <c r="O110" i="13"/>
  <c r="P110" i="13"/>
  <c r="Q110" i="13"/>
  <c r="R110" i="13"/>
  <c r="U110" i="13"/>
  <c r="V110" i="13"/>
  <c r="W110" i="13"/>
  <c r="X110" i="13"/>
  <c r="Y110" i="13"/>
  <c r="Z110" i="13"/>
  <c r="M111" i="13"/>
  <c r="N111" i="13"/>
  <c r="O111" i="13"/>
  <c r="P111" i="13"/>
  <c r="Q111" i="13"/>
  <c r="R111" i="13"/>
  <c r="U111" i="13"/>
  <c r="V111" i="13"/>
  <c r="W111" i="13"/>
  <c r="X111" i="13"/>
  <c r="Y111" i="13"/>
  <c r="Z111" i="13"/>
  <c r="M112" i="13"/>
  <c r="N112" i="13"/>
  <c r="O112" i="13"/>
  <c r="P112" i="13"/>
  <c r="Q112" i="13"/>
  <c r="R112" i="13"/>
  <c r="U112" i="13"/>
  <c r="V112" i="13"/>
  <c r="W112" i="13"/>
  <c r="X112" i="13"/>
  <c r="Y112" i="13"/>
  <c r="Z112" i="13"/>
  <c r="M113" i="13"/>
  <c r="N113" i="13"/>
  <c r="O113" i="13"/>
  <c r="P113" i="13"/>
  <c r="Q113" i="13"/>
  <c r="R113" i="13"/>
  <c r="U113" i="13"/>
  <c r="V113" i="13"/>
  <c r="W113" i="13"/>
  <c r="X113" i="13"/>
  <c r="Y113" i="13"/>
  <c r="Z113" i="13"/>
  <c r="M114" i="13"/>
  <c r="N114" i="13"/>
  <c r="O114" i="13"/>
  <c r="P114" i="13"/>
  <c r="Q114" i="13"/>
  <c r="R114" i="13"/>
  <c r="U114" i="13"/>
  <c r="V114" i="13"/>
  <c r="W114" i="13"/>
  <c r="X114" i="13"/>
  <c r="Y114" i="13"/>
  <c r="Z114" i="13"/>
  <c r="M115" i="13"/>
  <c r="N115" i="13"/>
  <c r="O115" i="13"/>
  <c r="P115" i="13"/>
  <c r="Q115" i="13"/>
  <c r="R115" i="13"/>
  <c r="U115" i="13"/>
  <c r="V115" i="13"/>
  <c r="W115" i="13"/>
  <c r="X115" i="13"/>
  <c r="Y115" i="13"/>
  <c r="Z115" i="13"/>
  <c r="M116" i="13"/>
  <c r="N116" i="13"/>
  <c r="O116" i="13"/>
  <c r="P116" i="13"/>
  <c r="Q116" i="13"/>
  <c r="R116" i="13"/>
  <c r="U116" i="13"/>
  <c r="V116" i="13"/>
  <c r="W116" i="13"/>
  <c r="X116" i="13"/>
  <c r="Y116" i="13"/>
  <c r="Z116"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Q67" i="13"/>
  <c r="G78" i="13"/>
  <c r="C78" i="13"/>
  <c r="U41" i="13"/>
  <c r="V41" i="13"/>
  <c r="W41" i="13"/>
  <c r="X41" i="13"/>
  <c r="Y41" i="13"/>
  <c r="Z41" i="13"/>
  <c r="U42" i="13"/>
  <c r="V42" i="13"/>
  <c r="W42" i="13"/>
  <c r="X42" i="13"/>
  <c r="Y42" i="13"/>
  <c r="Z42" i="13"/>
  <c r="U43" i="13"/>
  <c r="V43" i="13"/>
  <c r="W43" i="13"/>
  <c r="X43" i="13"/>
  <c r="Y43" i="13"/>
  <c r="Z43" i="13"/>
  <c r="U44" i="13"/>
  <c r="V44" i="13"/>
  <c r="W44" i="13"/>
  <c r="S44" i="13" s="1"/>
  <c r="X44" i="13"/>
  <c r="Y44" i="13"/>
  <c r="Z44" i="13"/>
  <c r="U45" i="13"/>
  <c r="V45" i="13"/>
  <c r="W45" i="13"/>
  <c r="X45" i="13"/>
  <c r="Y45" i="13"/>
  <c r="Z45" i="13"/>
  <c r="U46" i="13"/>
  <c r="V46" i="13"/>
  <c r="W46" i="13"/>
  <c r="X46" i="13"/>
  <c r="Y46" i="13"/>
  <c r="Z46" i="13"/>
  <c r="U47" i="13"/>
  <c r="V47" i="13"/>
  <c r="W47" i="13"/>
  <c r="X47" i="13"/>
  <c r="Y47" i="13"/>
  <c r="Z47" i="13"/>
  <c r="U48" i="13"/>
  <c r="V48" i="13"/>
  <c r="W48" i="13"/>
  <c r="S48" i="13" s="1"/>
  <c r="X48" i="13"/>
  <c r="Y48" i="13"/>
  <c r="Z48" i="13"/>
  <c r="U49" i="13"/>
  <c r="V49" i="13"/>
  <c r="W49" i="13"/>
  <c r="X49" i="13"/>
  <c r="Y49" i="13"/>
  <c r="Z49" i="13"/>
  <c r="U50" i="13"/>
  <c r="V50" i="13"/>
  <c r="W50" i="13"/>
  <c r="X50" i="13"/>
  <c r="Y50" i="13"/>
  <c r="Z50" i="13"/>
  <c r="U51" i="13"/>
  <c r="V51" i="13"/>
  <c r="W51" i="13"/>
  <c r="X51" i="13"/>
  <c r="Y51" i="13"/>
  <c r="Z51" i="13"/>
  <c r="U52" i="13"/>
  <c r="V52" i="13"/>
  <c r="W52" i="13"/>
  <c r="X52" i="13"/>
  <c r="Y52" i="13"/>
  <c r="Z52" i="13"/>
  <c r="U53" i="13"/>
  <c r="V53" i="13"/>
  <c r="W53" i="13"/>
  <c r="X53" i="13"/>
  <c r="Y53" i="13"/>
  <c r="Z53" i="13"/>
  <c r="U54" i="13"/>
  <c r="V54" i="13"/>
  <c r="W54" i="13"/>
  <c r="X54" i="13"/>
  <c r="Y54" i="13"/>
  <c r="Z54" i="13"/>
  <c r="U55" i="13"/>
  <c r="V55" i="13"/>
  <c r="W55" i="13"/>
  <c r="X55" i="13"/>
  <c r="Y55" i="13"/>
  <c r="Z55" i="13"/>
  <c r="U56" i="13"/>
  <c r="V56" i="13"/>
  <c r="W56" i="13"/>
  <c r="X56" i="13"/>
  <c r="Y56" i="13"/>
  <c r="Z56" i="13"/>
  <c r="U57" i="13"/>
  <c r="V57" i="13"/>
  <c r="W57" i="13"/>
  <c r="X57" i="13"/>
  <c r="Y57" i="13"/>
  <c r="Z57" i="13"/>
  <c r="U58" i="13"/>
  <c r="V58" i="13"/>
  <c r="W58" i="13"/>
  <c r="X58" i="13"/>
  <c r="Y58" i="13"/>
  <c r="Z58" i="13"/>
  <c r="U59" i="13"/>
  <c r="V59" i="13"/>
  <c r="W59" i="13"/>
  <c r="X59" i="13"/>
  <c r="Y59" i="13"/>
  <c r="Z59" i="13"/>
  <c r="U60" i="13"/>
  <c r="V60" i="13"/>
  <c r="W60" i="13"/>
  <c r="S60" i="13" s="1"/>
  <c r="X60" i="13"/>
  <c r="Y60" i="13"/>
  <c r="Z60" i="13"/>
  <c r="U61" i="13"/>
  <c r="V61" i="13"/>
  <c r="W61" i="13"/>
  <c r="X61" i="13"/>
  <c r="Y61" i="13"/>
  <c r="Z61" i="13"/>
  <c r="U62" i="13"/>
  <c r="V62" i="13"/>
  <c r="W62" i="13"/>
  <c r="X62" i="13"/>
  <c r="Y62" i="13"/>
  <c r="Z62" i="13"/>
  <c r="U63" i="13"/>
  <c r="V63" i="13"/>
  <c r="W63" i="13"/>
  <c r="X63" i="13"/>
  <c r="Y63" i="13"/>
  <c r="Z63" i="13"/>
  <c r="U64" i="13"/>
  <c r="V64" i="13"/>
  <c r="W64" i="13"/>
  <c r="X64" i="13"/>
  <c r="Y64" i="13"/>
  <c r="Z64" i="13"/>
  <c r="U65" i="13"/>
  <c r="V65" i="13"/>
  <c r="W65" i="13"/>
  <c r="X65" i="13"/>
  <c r="Y65" i="13"/>
  <c r="Z65" i="13"/>
  <c r="U66" i="13"/>
  <c r="V66" i="13"/>
  <c r="W66" i="13"/>
  <c r="X66" i="13"/>
  <c r="Y66" i="13"/>
  <c r="Z66" i="13"/>
  <c r="U67" i="13"/>
  <c r="V67" i="13"/>
  <c r="W67" i="13"/>
  <c r="X67" i="13"/>
  <c r="Y67" i="13"/>
  <c r="Z67" i="13"/>
  <c r="U68" i="13"/>
  <c r="V68" i="13"/>
  <c r="W68" i="13"/>
  <c r="X68" i="13"/>
  <c r="Y68" i="13"/>
  <c r="Z68" i="13"/>
  <c r="U69" i="13"/>
  <c r="V69" i="13"/>
  <c r="W69" i="13"/>
  <c r="X69" i="13"/>
  <c r="Y69" i="13"/>
  <c r="Z69" i="13"/>
  <c r="U70" i="13"/>
  <c r="V70" i="13"/>
  <c r="W70" i="13"/>
  <c r="X70" i="13"/>
  <c r="Y70" i="13"/>
  <c r="Z70" i="13"/>
  <c r="U71" i="13"/>
  <c r="V71" i="13"/>
  <c r="W71" i="13"/>
  <c r="X71" i="13"/>
  <c r="Y71" i="13"/>
  <c r="Z71" i="13"/>
  <c r="U72" i="13"/>
  <c r="V72" i="13"/>
  <c r="W72" i="13"/>
  <c r="X72" i="13"/>
  <c r="Y72" i="13"/>
  <c r="Z72" i="13"/>
  <c r="U73" i="13"/>
  <c r="V73" i="13"/>
  <c r="W73" i="13"/>
  <c r="X73" i="13"/>
  <c r="Y73" i="13"/>
  <c r="Z73" i="13"/>
  <c r="U74" i="13"/>
  <c r="V74" i="13"/>
  <c r="W74" i="13"/>
  <c r="S74" i="13" s="1"/>
  <c r="X74" i="13"/>
  <c r="Y74" i="13"/>
  <c r="Z74" i="13"/>
  <c r="U75" i="13"/>
  <c r="V75" i="13"/>
  <c r="W75" i="13"/>
  <c r="X75" i="13"/>
  <c r="Y75" i="13"/>
  <c r="Z75" i="13"/>
  <c r="U76" i="13"/>
  <c r="V76" i="13"/>
  <c r="W76" i="13"/>
  <c r="X76" i="13"/>
  <c r="Y76" i="13"/>
  <c r="Z76" i="13"/>
  <c r="U77" i="13"/>
  <c r="V77" i="13"/>
  <c r="W77" i="13"/>
  <c r="X77" i="13"/>
  <c r="Y77" i="13"/>
  <c r="Z77" i="13"/>
  <c r="U78" i="13"/>
  <c r="V78" i="13"/>
  <c r="W78" i="13"/>
  <c r="S78" i="13" s="1"/>
  <c r="X78" i="13"/>
  <c r="Y78" i="13"/>
  <c r="Z78" i="13"/>
  <c r="M41" i="13"/>
  <c r="K41" i="13" s="1"/>
  <c r="N41" i="13"/>
  <c r="O41" i="13"/>
  <c r="P41" i="13"/>
  <c r="Q41" i="13"/>
  <c r="R41" i="13"/>
  <c r="M42" i="13"/>
  <c r="N42" i="13"/>
  <c r="O42" i="13"/>
  <c r="P42" i="13"/>
  <c r="Q42" i="13"/>
  <c r="R42" i="13"/>
  <c r="M43" i="13"/>
  <c r="N43" i="13"/>
  <c r="O43" i="13"/>
  <c r="P43" i="13"/>
  <c r="Q43" i="13"/>
  <c r="R43" i="13"/>
  <c r="M44" i="13"/>
  <c r="N44" i="13"/>
  <c r="O44" i="13"/>
  <c r="K44" i="13" s="1"/>
  <c r="P44" i="13"/>
  <c r="Q44" i="13"/>
  <c r="R44" i="13"/>
  <c r="M45" i="13"/>
  <c r="N45" i="13"/>
  <c r="O45" i="13"/>
  <c r="P45" i="13"/>
  <c r="Q45" i="13"/>
  <c r="R45" i="13"/>
  <c r="M46" i="13"/>
  <c r="N46" i="13"/>
  <c r="O46" i="13"/>
  <c r="K46" i="13" s="1"/>
  <c r="P46" i="13"/>
  <c r="Q46" i="13"/>
  <c r="R46" i="13"/>
  <c r="M47" i="13"/>
  <c r="N47" i="13"/>
  <c r="O47" i="13"/>
  <c r="P47" i="13"/>
  <c r="Q47" i="13"/>
  <c r="R47" i="13"/>
  <c r="M48" i="13"/>
  <c r="N48" i="13"/>
  <c r="O48" i="13"/>
  <c r="K48" i="13" s="1"/>
  <c r="P48" i="13"/>
  <c r="Q48" i="13"/>
  <c r="R48" i="13"/>
  <c r="M49" i="13"/>
  <c r="N49" i="13"/>
  <c r="O49" i="13"/>
  <c r="P49" i="13"/>
  <c r="Q49" i="13"/>
  <c r="R49" i="13"/>
  <c r="M50" i="13"/>
  <c r="N50" i="13"/>
  <c r="O50" i="13"/>
  <c r="P50" i="13"/>
  <c r="Q50" i="13"/>
  <c r="R50" i="13"/>
  <c r="M51" i="13"/>
  <c r="N51" i="13"/>
  <c r="O51" i="13"/>
  <c r="P51" i="13"/>
  <c r="Q51" i="13"/>
  <c r="R51" i="13"/>
  <c r="M52" i="13"/>
  <c r="N52" i="13"/>
  <c r="O52" i="13"/>
  <c r="P52" i="13"/>
  <c r="Q52" i="13"/>
  <c r="R52" i="13"/>
  <c r="M53" i="13"/>
  <c r="N53" i="13"/>
  <c r="O53" i="13"/>
  <c r="P53" i="13"/>
  <c r="Q53" i="13"/>
  <c r="R53" i="13"/>
  <c r="M54" i="13"/>
  <c r="N54" i="13"/>
  <c r="O54" i="13"/>
  <c r="P54" i="13"/>
  <c r="Q54" i="13"/>
  <c r="R54" i="13"/>
  <c r="M55" i="13"/>
  <c r="N55" i="13"/>
  <c r="O55" i="13"/>
  <c r="P55" i="13"/>
  <c r="Q55" i="13"/>
  <c r="R55" i="13"/>
  <c r="M56" i="13"/>
  <c r="N56" i="13"/>
  <c r="O56" i="13"/>
  <c r="K56" i="13" s="1"/>
  <c r="P56" i="13"/>
  <c r="Q56" i="13"/>
  <c r="R56" i="13"/>
  <c r="M57" i="13"/>
  <c r="N57" i="13"/>
  <c r="O57" i="13"/>
  <c r="P57" i="13"/>
  <c r="Q57" i="13"/>
  <c r="R57" i="13"/>
  <c r="M58" i="13"/>
  <c r="N58" i="13"/>
  <c r="O58" i="13"/>
  <c r="P58" i="13"/>
  <c r="Q58" i="13"/>
  <c r="R58" i="13"/>
  <c r="M59" i="13"/>
  <c r="N59" i="13"/>
  <c r="O59" i="13"/>
  <c r="P59" i="13"/>
  <c r="Q59" i="13"/>
  <c r="R59" i="13"/>
  <c r="M60" i="13"/>
  <c r="N60" i="13"/>
  <c r="O60" i="13"/>
  <c r="P60" i="13"/>
  <c r="Q60" i="13"/>
  <c r="R60" i="13"/>
  <c r="M61" i="13"/>
  <c r="K61" i="13" s="1"/>
  <c r="N61" i="13"/>
  <c r="O61" i="13"/>
  <c r="P61" i="13"/>
  <c r="Q61" i="13"/>
  <c r="R61" i="13"/>
  <c r="M62" i="13"/>
  <c r="N62" i="13"/>
  <c r="O62" i="13"/>
  <c r="K62" i="13" s="1"/>
  <c r="P62" i="13"/>
  <c r="Q62" i="13"/>
  <c r="R62" i="13"/>
  <c r="M63" i="13"/>
  <c r="N63" i="13"/>
  <c r="O63" i="13"/>
  <c r="P63" i="13"/>
  <c r="Q63" i="13"/>
  <c r="R63" i="13"/>
  <c r="M64" i="13"/>
  <c r="N64" i="13"/>
  <c r="O64" i="13"/>
  <c r="K64" i="13" s="1"/>
  <c r="P64" i="13"/>
  <c r="Q64" i="13"/>
  <c r="R64" i="13"/>
  <c r="M65" i="13"/>
  <c r="K65" i="13" s="1"/>
  <c r="N65" i="13"/>
  <c r="O65" i="13"/>
  <c r="P65" i="13"/>
  <c r="Q65" i="13"/>
  <c r="R65" i="13"/>
  <c r="M66" i="13"/>
  <c r="N66" i="13"/>
  <c r="O66" i="13"/>
  <c r="P66" i="13"/>
  <c r="Q66" i="13"/>
  <c r="R66" i="13"/>
  <c r="M67" i="13"/>
  <c r="N67" i="13"/>
  <c r="O67" i="13"/>
  <c r="P67" i="13"/>
  <c r="R67" i="13"/>
  <c r="M68" i="13"/>
  <c r="N68" i="13"/>
  <c r="O68" i="13"/>
  <c r="P68" i="13"/>
  <c r="Q68" i="13"/>
  <c r="R68" i="13"/>
  <c r="M69" i="13"/>
  <c r="N69" i="13"/>
  <c r="O69" i="13"/>
  <c r="P69" i="13"/>
  <c r="Q69" i="13"/>
  <c r="R69" i="13"/>
  <c r="M70" i="13"/>
  <c r="N70" i="13"/>
  <c r="O70" i="13"/>
  <c r="P70" i="13"/>
  <c r="L70" i="13" s="1"/>
  <c r="Q70" i="13"/>
  <c r="R70" i="13"/>
  <c r="M71" i="13"/>
  <c r="N71" i="13"/>
  <c r="O71" i="13"/>
  <c r="P71" i="13"/>
  <c r="Q71" i="13"/>
  <c r="R71" i="13"/>
  <c r="M72" i="13"/>
  <c r="N72" i="13"/>
  <c r="O72" i="13"/>
  <c r="P72" i="13"/>
  <c r="Q72" i="13"/>
  <c r="R72" i="13"/>
  <c r="M73" i="13"/>
  <c r="N73" i="13"/>
  <c r="O73" i="13"/>
  <c r="P73" i="13"/>
  <c r="Q73" i="13"/>
  <c r="R73" i="13"/>
  <c r="M74" i="13"/>
  <c r="N74" i="13"/>
  <c r="O74" i="13"/>
  <c r="P74" i="13"/>
  <c r="Q74" i="13"/>
  <c r="R74" i="13"/>
  <c r="M75" i="13"/>
  <c r="N75" i="13"/>
  <c r="O75" i="13"/>
  <c r="P75" i="13"/>
  <c r="Q75" i="13"/>
  <c r="R75" i="13"/>
  <c r="M76" i="13"/>
  <c r="N76" i="13"/>
  <c r="O76" i="13"/>
  <c r="P76" i="13"/>
  <c r="Q76" i="13"/>
  <c r="R76" i="13"/>
  <c r="M77" i="13"/>
  <c r="N77" i="13"/>
  <c r="O77" i="13"/>
  <c r="P77" i="13"/>
  <c r="Q77" i="13"/>
  <c r="R77" i="13"/>
  <c r="M78" i="13"/>
  <c r="N78" i="13"/>
  <c r="O78" i="13"/>
  <c r="P78" i="13"/>
  <c r="Q78" i="13"/>
  <c r="R78"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V2" i="13"/>
  <c r="M3" i="13"/>
  <c r="N3" i="13"/>
  <c r="O3" i="13"/>
  <c r="P3" i="13"/>
  <c r="Q3" i="13"/>
  <c r="R3" i="13"/>
  <c r="U3" i="13"/>
  <c r="V3" i="13"/>
  <c r="W3" i="13"/>
  <c r="X3" i="13"/>
  <c r="Y3" i="13"/>
  <c r="Z3" i="13"/>
  <c r="M4" i="13"/>
  <c r="N4" i="13"/>
  <c r="O4" i="13"/>
  <c r="P4" i="13"/>
  <c r="Q4" i="13"/>
  <c r="R4" i="13"/>
  <c r="U4" i="13"/>
  <c r="V4" i="13"/>
  <c r="W4" i="13"/>
  <c r="X4" i="13"/>
  <c r="Y4" i="13"/>
  <c r="Z4" i="13"/>
  <c r="N5" i="13"/>
  <c r="O5" i="13"/>
  <c r="P5" i="13"/>
  <c r="Q5" i="13"/>
  <c r="R5" i="13"/>
  <c r="U5" i="13"/>
  <c r="V5" i="13"/>
  <c r="W5" i="13"/>
  <c r="X5" i="13"/>
  <c r="Y5" i="13"/>
  <c r="Z5" i="13"/>
  <c r="M6" i="13"/>
  <c r="N6" i="13"/>
  <c r="O6" i="13"/>
  <c r="P6" i="13"/>
  <c r="Q6" i="13"/>
  <c r="R6" i="13"/>
  <c r="U6" i="13"/>
  <c r="V6" i="13"/>
  <c r="W6" i="13"/>
  <c r="X6" i="13"/>
  <c r="Y6" i="13"/>
  <c r="Z6" i="13"/>
  <c r="M7" i="13"/>
  <c r="N7" i="13"/>
  <c r="O7" i="13"/>
  <c r="P7" i="13"/>
  <c r="Q7" i="13"/>
  <c r="R7" i="13"/>
  <c r="U7" i="13"/>
  <c r="V7" i="13"/>
  <c r="W7" i="13"/>
  <c r="X7" i="13"/>
  <c r="Y7" i="13"/>
  <c r="Z7" i="13"/>
  <c r="M8" i="13"/>
  <c r="N8" i="13"/>
  <c r="O8" i="13"/>
  <c r="P8" i="13"/>
  <c r="Q8" i="13"/>
  <c r="R8" i="13"/>
  <c r="U8" i="13"/>
  <c r="V8" i="13"/>
  <c r="W8" i="13"/>
  <c r="X8" i="13"/>
  <c r="Y8" i="13"/>
  <c r="Z8" i="13"/>
  <c r="M9" i="13"/>
  <c r="N9" i="13"/>
  <c r="O9" i="13"/>
  <c r="P9" i="13"/>
  <c r="Q9" i="13"/>
  <c r="R9" i="13"/>
  <c r="U9" i="13"/>
  <c r="V9" i="13"/>
  <c r="W9" i="13"/>
  <c r="X9" i="13"/>
  <c r="Y9" i="13"/>
  <c r="Z9" i="13"/>
  <c r="M10" i="13"/>
  <c r="N10" i="13"/>
  <c r="O10" i="13"/>
  <c r="P10" i="13"/>
  <c r="Q10" i="13"/>
  <c r="R10" i="13"/>
  <c r="U10" i="13"/>
  <c r="V10" i="13"/>
  <c r="W10" i="13"/>
  <c r="X10" i="13"/>
  <c r="Y10" i="13"/>
  <c r="Z10" i="13"/>
  <c r="M11" i="13"/>
  <c r="N11" i="13"/>
  <c r="O11" i="13"/>
  <c r="P11" i="13"/>
  <c r="Q11" i="13"/>
  <c r="R11" i="13"/>
  <c r="U11" i="13"/>
  <c r="V11" i="13"/>
  <c r="W11" i="13"/>
  <c r="X11" i="13"/>
  <c r="Y11" i="13"/>
  <c r="Z11" i="13"/>
  <c r="M12" i="13"/>
  <c r="N12" i="13"/>
  <c r="O12" i="13"/>
  <c r="P12" i="13"/>
  <c r="Q12" i="13"/>
  <c r="R12" i="13"/>
  <c r="U12" i="13"/>
  <c r="V12" i="13"/>
  <c r="W12" i="13"/>
  <c r="X12" i="13"/>
  <c r="Y12" i="13"/>
  <c r="Z12" i="13"/>
  <c r="M13" i="13"/>
  <c r="N13" i="13"/>
  <c r="O13" i="13"/>
  <c r="P13" i="13"/>
  <c r="Q13" i="13"/>
  <c r="R13" i="13"/>
  <c r="U13" i="13"/>
  <c r="V13" i="13"/>
  <c r="W13" i="13"/>
  <c r="X13" i="13"/>
  <c r="Y13" i="13"/>
  <c r="Z13" i="13"/>
  <c r="M14" i="13"/>
  <c r="N14" i="13"/>
  <c r="O14" i="13"/>
  <c r="P14" i="13"/>
  <c r="Q14" i="13"/>
  <c r="R14" i="13"/>
  <c r="U14" i="13"/>
  <c r="V14" i="13"/>
  <c r="W14" i="13"/>
  <c r="X14" i="13"/>
  <c r="Y14" i="13"/>
  <c r="Z14" i="13"/>
  <c r="M15" i="13"/>
  <c r="N15" i="13"/>
  <c r="O15" i="13"/>
  <c r="P15" i="13"/>
  <c r="Q15" i="13"/>
  <c r="R15" i="13"/>
  <c r="U15" i="13"/>
  <c r="V15" i="13"/>
  <c r="W15" i="13"/>
  <c r="X15" i="13"/>
  <c r="Y15" i="13"/>
  <c r="Z15" i="13"/>
  <c r="M16" i="13"/>
  <c r="N16" i="13"/>
  <c r="O16" i="13"/>
  <c r="P16" i="13"/>
  <c r="Q16" i="13"/>
  <c r="R16" i="13"/>
  <c r="U16" i="13"/>
  <c r="V16" i="13"/>
  <c r="W16" i="13"/>
  <c r="X16" i="13"/>
  <c r="Y16" i="13"/>
  <c r="Z16" i="13"/>
  <c r="M17" i="13"/>
  <c r="N17" i="13"/>
  <c r="O17" i="13"/>
  <c r="P17" i="13"/>
  <c r="Q17" i="13"/>
  <c r="R17" i="13"/>
  <c r="U17" i="13"/>
  <c r="V17" i="13"/>
  <c r="W17" i="13"/>
  <c r="X17" i="13"/>
  <c r="Y17" i="13"/>
  <c r="Z17" i="13"/>
  <c r="M18" i="13"/>
  <c r="N18" i="13"/>
  <c r="O18" i="13"/>
  <c r="P18" i="13"/>
  <c r="Q18" i="13"/>
  <c r="R18" i="13"/>
  <c r="U18" i="13"/>
  <c r="V18" i="13"/>
  <c r="W18" i="13"/>
  <c r="X18" i="13"/>
  <c r="Y18" i="13"/>
  <c r="Z18" i="13"/>
  <c r="M19" i="13"/>
  <c r="N19" i="13"/>
  <c r="O19" i="13"/>
  <c r="P19" i="13"/>
  <c r="Q19" i="13"/>
  <c r="R19" i="13"/>
  <c r="U19" i="13"/>
  <c r="V19" i="13"/>
  <c r="W19" i="13"/>
  <c r="X19" i="13"/>
  <c r="Y19" i="13"/>
  <c r="Z19" i="13"/>
  <c r="M20" i="13"/>
  <c r="N20" i="13"/>
  <c r="O20" i="13"/>
  <c r="P20" i="13"/>
  <c r="Q20" i="13"/>
  <c r="R20" i="13"/>
  <c r="U20" i="13"/>
  <c r="V20" i="13"/>
  <c r="W20" i="13"/>
  <c r="X20" i="13"/>
  <c r="Y20" i="13"/>
  <c r="Z20" i="13"/>
  <c r="M21" i="13"/>
  <c r="N21" i="13"/>
  <c r="O21" i="13"/>
  <c r="P21" i="13"/>
  <c r="Q21" i="13"/>
  <c r="R21" i="13"/>
  <c r="U21" i="13"/>
  <c r="V21" i="13"/>
  <c r="W21" i="13"/>
  <c r="X21" i="13"/>
  <c r="Y21" i="13"/>
  <c r="Z21" i="13"/>
  <c r="M22" i="13"/>
  <c r="N22" i="13"/>
  <c r="O22" i="13"/>
  <c r="P22" i="13"/>
  <c r="Q22" i="13"/>
  <c r="R22" i="13"/>
  <c r="U22" i="13"/>
  <c r="V22" i="13"/>
  <c r="W22" i="13"/>
  <c r="X22" i="13"/>
  <c r="Y22" i="13"/>
  <c r="Z22" i="13"/>
  <c r="M23" i="13"/>
  <c r="N23" i="13"/>
  <c r="O23" i="13"/>
  <c r="P23" i="13"/>
  <c r="Q23" i="13"/>
  <c r="R23" i="13"/>
  <c r="U23" i="13"/>
  <c r="V23" i="13"/>
  <c r="W23" i="13"/>
  <c r="X23" i="13"/>
  <c r="Y23" i="13"/>
  <c r="Z23" i="13"/>
  <c r="M24" i="13"/>
  <c r="N24" i="13"/>
  <c r="O24" i="13"/>
  <c r="P24" i="13"/>
  <c r="Q24" i="13"/>
  <c r="R24" i="13"/>
  <c r="U24" i="13"/>
  <c r="V24" i="13"/>
  <c r="W24" i="13"/>
  <c r="X24" i="13"/>
  <c r="Y24" i="13"/>
  <c r="Z24" i="13"/>
  <c r="M25" i="13"/>
  <c r="N25" i="13"/>
  <c r="O25" i="13"/>
  <c r="P25" i="13"/>
  <c r="Q25" i="13"/>
  <c r="R25" i="13"/>
  <c r="U25" i="13"/>
  <c r="V25" i="13"/>
  <c r="W25" i="13"/>
  <c r="X25" i="13"/>
  <c r="Y25" i="13"/>
  <c r="Z25" i="13"/>
  <c r="M26" i="13"/>
  <c r="N26" i="13"/>
  <c r="O26" i="13"/>
  <c r="P26" i="13"/>
  <c r="Q26" i="13"/>
  <c r="R26" i="13"/>
  <c r="U26" i="13"/>
  <c r="V26" i="13"/>
  <c r="W26" i="13"/>
  <c r="X26" i="13"/>
  <c r="Y26" i="13"/>
  <c r="Z26" i="13"/>
  <c r="M27" i="13"/>
  <c r="N27" i="13"/>
  <c r="O27" i="13"/>
  <c r="P27" i="13"/>
  <c r="Q27" i="13"/>
  <c r="R27" i="13"/>
  <c r="U27" i="13"/>
  <c r="V27" i="13"/>
  <c r="W27" i="13"/>
  <c r="X27" i="13"/>
  <c r="Y27" i="13"/>
  <c r="Z27" i="13"/>
  <c r="M28" i="13"/>
  <c r="N28" i="13"/>
  <c r="O28" i="13"/>
  <c r="P28" i="13"/>
  <c r="Q28" i="13"/>
  <c r="R28" i="13"/>
  <c r="U28" i="13"/>
  <c r="V28" i="13"/>
  <c r="W28" i="13"/>
  <c r="X28" i="13"/>
  <c r="Y28" i="13"/>
  <c r="Z28" i="13"/>
  <c r="M29" i="13"/>
  <c r="N29" i="13"/>
  <c r="O29" i="13"/>
  <c r="P29" i="13"/>
  <c r="Q29" i="13"/>
  <c r="R29" i="13"/>
  <c r="U29" i="13"/>
  <c r="V29" i="13"/>
  <c r="W29" i="13"/>
  <c r="X29" i="13"/>
  <c r="Y29" i="13"/>
  <c r="Z29" i="13"/>
  <c r="M30" i="13"/>
  <c r="N30" i="13"/>
  <c r="O30" i="13"/>
  <c r="P30" i="13"/>
  <c r="Q30" i="13"/>
  <c r="R30" i="13"/>
  <c r="U30" i="13"/>
  <c r="V30" i="13"/>
  <c r="W30" i="13"/>
  <c r="X30" i="13"/>
  <c r="Y30" i="13"/>
  <c r="Z30" i="13"/>
  <c r="M31" i="13"/>
  <c r="N31" i="13"/>
  <c r="O31" i="13"/>
  <c r="P31" i="13"/>
  <c r="Q31" i="13"/>
  <c r="R31" i="13"/>
  <c r="U31" i="13"/>
  <c r="V31" i="13"/>
  <c r="W31" i="13"/>
  <c r="X31" i="13"/>
  <c r="Y31" i="13"/>
  <c r="Z31" i="13"/>
  <c r="M32" i="13"/>
  <c r="N32" i="13"/>
  <c r="O32" i="13"/>
  <c r="P32" i="13"/>
  <c r="Q32" i="13"/>
  <c r="R32" i="13"/>
  <c r="U32" i="13"/>
  <c r="V32" i="13"/>
  <c r="W32" i="13"/>
  <c r="X32" i="13"/>
  <c r="Y32" i="13"/>
  <c r="Z32" i="13"/>
  <c r="M33" i="13"/>
  <c r="N33" i="13"/>
  <c r="O33" i="13"/>
  <c r="P33" i="13"/>
  <c r="Q33" i="13"/>
  <c r="R33" i="13"/>
  <c r="U33" i="13"/>
  <c r="V33" i="13"/>
  <c r="W33" i="13"/>
  <c r="X33" i="13"/>
  <c r="Y33" i="13"/>
  <c r="Z33" i="13"/>
  <c r="M34" i="13"/>
  <c r="N34" i="13"/>
  <c r="O34" i="13"/>
  <c r="P34" i="13"/>
  <c r="Q34" i="13"/>
  <c r="R34" i="13"/>
  <c r="U34" i="13"/>
  <c r="V34" i="13"/>
  <c r="W34" i="13"/>
  <c r="X34" i="13"/>
  <c r="Y34" i="13"/>
  <c r="Z34" i="13"/>
  <c r="M35" i="13"/>
  <c r="N35" i="13"/>
  <c r="O35" i="13"/>
  <c r="P35" i="13"/>
  <c r="Q35" i="13"/>
  <c r="R35" i="13"/>
  <c r="U35" i="13"/>
  <c r="V35" i="13"/>
  <c r="W35" i="13"/>
  <c r="X35" i="13"/>
  <c r="Y35" i="13"/>
  <c r="Z35" i="13"/>
  <c r="M36" i="13"/>
  <c r="N36" i="13"/>
  <c r="O36" i="13"/>
  <c r="P36" i="13"/>
  <c r="Q36" i="13"/>
  <c r="R36" i="13"/>
  <c r="U36" i="13"/>
  <c r="V36" i="13"/>
  <c r="W36" i="13"/>
  <c r="X36" i="13"/>
  <c r="Y36" i="13"/>
  <c r="Z36" i="13"/>
  <c r="M37" i="13"/>
  <c r="N37" i="13"/>
  <c r="O37" i="13"/>
  <c r="P37" i="13"/>
  <c r="Q37" i="13"/>
  <c r="R37" i="13"/>
  <c r="U37" i="13"/>
  <c r="V37" i="13"/>
  <c r="W37" i="13"/>
  <c r="X37" i="13"/>
  <c r="Y37" i="13"/>
  <c r="Z37" i="13"/>
  <c r="M38" i="13"/>
  <c r="N38" i="13"/>
  <c r="O38" i="13"/>
  <c r="P38" i="13"/>
  <c r="Q38" i="13"/>
  <c r="R38" i="13"/>
  <c r="U38" i="13"/>
  <c r="V38" i="13"/>
  <c r="W38" i="13"/>
  <c r="X38" i="13"/>
  <c r="Y38" i="13"/>
  <c r="Z38" i="13"/>
  <c r="M39" i="13"/>
  <c r="N39" i="13"/>
  <c r="O39" i="13"/>
  <c r="P39" i="13"/>
  <c r="Q39" i="13"/>
  <c r="R39" i="13"/>
  <c r="U39" i="13"/>
  <c r="V39" i="13"/>
  <c r="W39" i="13"/>
  <c r="X39" i="13"/>
  <c r="Y39" i="13"/>
  <c r="Z39" i="13"/>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M2" i="13"/>
  <c r="N2" i="13"/>
  <c r="O2" i="13"/>
  <c r="P2" i="13"/>
  <c r="Q2" i="13"/>
  <c r="R2" i="13"/>
  <c r="U2" i="13"/>
  <c r="W2" i="13"/>
  <c r="X2" i="13"/>
  <c r="Y2" i="13"/>
  <c r="Z2" i="13"/>
  <c r="G2" i="13"/>
  <c r="C2" i="13"/>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8"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I44" i="14"/>
  <c r="H44" i="14"/>
  <c r="G44" i="14"/>
  <c r="E44" i="14"/>
  <c r="D44" i="14"/>
  <c r="C44" i="14"/>
  <c r="I43" i="14"/>
  <c r="H43" i="14"/>
  <c r="G43" i="14"/>
  <c r="E43" i="14"/>
  <c r="D43" i="14"/>
  <c r="C43" i="14"/>
  <c r="I42" i="14"/>
  <c r="H42" i="14"/>
  <c r="G42" i="14"/>
  <c r="E42" i="14"/>
  <c r="D42" i="14"/>
  <c r="C42" i="14"/>
  <c r="I41" i="14"/>
  <c r="H41" i="14"/>
  <c r="G41" i="14"/>
  <c r="E41" i="14"/>
  <c r="D41" i="14"/>
  <c r="C41" i="14"/>
  <c r="I40" i="14"/>
  <c r="H40" i="14"/>
  <c r="G40" i="14"/>
  <c r="E40" i="14"/>
  <c r="D40" i="14"/>
  <c r="C40" i="14"/>
  <c r="I39" i="14"/>
  <c r="H39" i="14"/>
  <c r="G39" i="14"/>
  <c r="E39" i="14"/>
  <c r="D39" i="14"/>
  <c r="C39" i="14"/>
  <c r="I38" i="14"/>
  <c r="H38" i="14"/>
  <c r="G38" i="14"/>
  <c r="E38" i="14"/>
  <c r="D38" i="14"/>
  <c r="C38" i="14"/>
  <c r="B38" i="14" s="1"/>
  <c r="I37" i="14"/>
  <c r="H37" i="14"/>
  <c r="G37" i="14"/>
  <c r="E37" i="14"/>
  <c r="D37" i="14"/>
  <c r="C37" i="14"/>
  <c r="I36" i="14"/>
  <c r="H36" i="14"/>
  <c r="G36" i="14"/>
  <c r="E36" i="14"/>
  <c r="D36" i="14"/>
  <c r="C36" i="14"/>
  <c r="I35" i="14"/>
  <c r="H35" i="14"/>
  <c r="G35" i="14"/>
  <c r="E35" i="14"/>
  <c r="D35" i="14"/>
  <c r="C35" i="14"/>
  <c r="I34" i="14"/>
  <c r="H34" i="14"/>
  <c r="G34" i="14"/>
  <c r="E34" i="14"/>
  <c r="D34" i="14"/>
  <c r="C34" i="14"/>
  <c r="I33" i="14"/>
  <c r="H33" i="14"/>
  <c r="G33" i="14"/>
  <c r="F33" i="14" s="1"/>
  <c r="E33" i="14"/>
  <c r="D33" i="14"/>
  <c r="C33" i="14"/>
  <c r="I32" i="14"/>
  <c r="H32" i="14"/>
  <c r="G32" i="14"/>
  <c r="E32" i="14"/>
  <c r="D32" i="14"/>
  <c r="C32" i="14"/>
  <c r="I31" i="14"/>
  <c r="H31" i="14"/>
  <c r="G31" i="14"/>
  <c r="E31" i="14"/>
  <c r="D31" i="14"/>
  <c r="C31" i="14"/>
  <c r="I30" i="14"/>
  <c r="H30" i="14"/>
  <c r="G30" i="14"/>
  <c r="E30" i="14"/>
  <c r="D30" i="14"/>
  <c r="C30" i="14"/>
  <c r="I29" i="14"/>
  <c r="H29" i="14"/>
  <c r="G29" i="14"/>
  <c r="E29" i="14"/>
  <c r="D29" i="14"/>
  <c r="C29" i="14"/>
  <c r="I28" i="14"/>
  <c r="H28" i="14"/>
  <c r="G28" i="14"/>
  <c r="E28" i="14"/>
  <c r="D28" i="14"/>
  <c r="C28" i="14"/>
  <c r="I27" i="14"/>
  <c r="H27" i="14"/>
  <c r="G27" i="14"/>
  <c r="E27" i="14"/>
  <c r="D27" i="14"/>
  <c r="C27" i="14"/>
  <c r="I26" i="14"/>
  <c r="H26" i="14"/>
  <c r="G26" i="14"/>
  <c r="E26" i="14"/>
  <c r="D26" i="14"/>
  <c r="C26" i="14"/>
  <c r="I25" i="14"/>
  <c r="H25" i="14"/>
  <c r="G25" i="14"/>
  <c r="E25" i="14"/>
  <c r="D25" i="14"/>
  <c r="C25" i="14"/>
  <c r="I24" i="14"/>
  <c r="H24" i="14"/>
  <c r="G24" i="14"/>
  <c r="E24" i="14"/>
  <c r="D24" i="14"/>
  <c r="C24" i="14"/>
  <c r="I23" i="14"/>
  <c r="H23" i="14"/>
  <c r="G23" i="14"/>
  <c r="E23" i="14"/>
  <c r="D23" i="14"/>
  <c r="C23" i="14"/>
  <c r="I22" i="14"/>
  <c r="H22" i="14"/>
  <c r="G22" i="14"/>
  <c r="E22" i="14"/>
  <c r="D22" i="14"/>
  <c r="C22" i="14"/>
  <c r="I21" i="14"/>
  <c r="H21" i="14"/>
  <c r="G21" i="14"/>
  <c r="E21" i="14"/>
  <c r="D21" i="14"/>
  <c r="C21" i="14"/>
  <c r="I20" i="14"/>
  <c r="H20" i="14"/>
  <c r="G20" i="14"/>
  <c r="E20" i="14"/>
  <c r="D20" i="14"/>
  <c r="C20" i="14"/>
  <c r="I19" i="14"/>
  <c r="H19" i="14"/>
  <c r="G19" i="14"/>
  <c r="E19" i="14"/>
  <c r="D19" i="14"/>
  <c r="C19" i="14"/>
  <c r="I18" i="14"/>
  <c r="H18" i="14"/>
  <c r="G18" i="14"/>
  <c r="E18" i="14"/>
  <c r="D18" i="14"/>
  <c r="C18" i="14"/>
  <c r="I17" i="14"/>
  <c r="H17" i="14"/>
  <c r="G17" i="14"/>
  <c r="E17" i="14"/>
  <c r="D17" i="14"/>
  <c r="C17" i="14"/>
  <c r="I16" i="14"/>
  <c r="H16" i="14"/>
  <c r="G16" i="14"/>
  <c r="E16" i="14"/>
  <c r="D16" i="14"/>
  <c r="C16" i="14"/>
  <c r="I15" i="14"/>
  <c r="H15" i="14"/>
  <c r="G15" i="14"/>
  <c r="E15" i="14"/>
  <c r="D15" i="14"/>
  <c r="C15" i="14"/>
  <c r="I14" i="14"/>
  <c r="H14" i="14"/>
  <c r="G14" i="14"/>
  <c r="E14" i="14"/>
  <c r="D14" i="14"/>
  <c r="C14" i="14"/>
  <c r="B14" i="14" s="1"/>
  <c r="I13" i="14"/>
  <c r="H13" i="14"/>
  <c r="G13" i="14"/>
  <c r="E13" i="14"/>
  <c r="D13" i="14"/>
  <c r="C13" i="14"/>
  <c r="I12" i="14"/>
  <c r="H12" i="14"/>
  <c r="G12" i="14"/>
  <c r="E12" i="14"/>
  <c r="D12" i="14"/>
  <c r="C12" i="14"/>
  <c r="I11" i="14"/>
  <c r="H11" i="14"/>
  <c r="G11" i="14"/>
  <c r="E11" i="14"/>
  <c r="D11" i="14"/>
  <c r="C11" i="14"/>
  <c r="I10" i="14"/>
  <c r="H10" i="14"/>
  <c r="G10" i="14"/>
  <c r="E10" i="14"/>
  <c r="D10" i="14"/>
  <c r="C10" i="14"/>
  <c r="B10" i="14" s="1"/>
  <c r="I9" i="14"/>
  <c r="H9" i="14"/>
  <c r="G9" i="14"/>
  <c r="E9" i="14"/>
  <c r="D9" i="14"/>
  <c r="C9" i="14"/>
  <c r="I8" i="14"/>
  <c r="H8" i="14"/>
  <c r="G8" i="14"/>
  <c r="E8" i="14"/>
  <c r="D8" i="14"/>
  <c r="C8" i="14"/>
  <c r="I7" i="14"/>
  <c r="H7" i="14"/>
  <c r="G7" i="14"/>
  <c r="E7" i="14"/>
  <c r="D7" i="14"/>
  <c r="C7" i="14"/>
  <c r="K52" i="13" l="1"/>
  <c r="K72" i="15"/>
  <c r="K46" i="15"/>
  <c r="K71" i="15"/>
  <c r="K64" i="15"/>
  <c r="S64" i="13"/>
  <c r="K60" i="13"/>
  <c r="L2" i="13"/>
  <c r="L22" i="13"/>
  <c r="L18" i="13"/>
  <c r="K20" i="13"/>
  <c r="L132" i="13"/>
  <c r="L130" i="13"/>
  <c r="L126" i="13"/>
  <c r="L122" i="13"/>
  <c r="L120" i="13"/>
  <c r="K130" i="13"/>
  <c r="K126" i="13"/>
  <c r="K124" i="13"/>
  <c r="K122" i="13"/>
  <c r="K194" i="13"/>
  <c r="K160" i="13"/>
  <c r="K158" i="13"/>
  <c r="K234" i="13"/>
  <c r="K232" i="13"/>
  <c r="K230" i="13"/>
  <c r="K228" i="13"/>
  <c r="K226" i="13"/>
  <c r="K224" i="13"/>
  <c r="K222" i="13"/>
  <c r="K220" i="13"/>
  <c r="K218" i="13"/>
  <c r="K216" i="13"/>
  <c r="K214" i="13"/>
  <c r="K212" i="13"/>
  <c r="L14" i="13"/>
  <c r="S59" i="13"/>
  <c r="L69" i="13"/>
  <c r="S70" i="13"/>
  <c r="K57" i="13"/>
  <c r="S271" i="13"/>
  <c r="T236" i="13"/>
  <c r="K236" i="13"/>
  <c r="S236" i="13"/>
  <c r="S263" i="13"/>
  <c r="S241" i="13"/>
  <c r="L236" i="13"/>
  <c r="L233" i="13"/>
  <c r="L231" i="13"/>
  <c r="L229" i="13"/>
  <c r="L227" i="13"/>
  <c r="L225" i="13"/>
  <c r="L223" i="13"/>
  <c r="L221" i="13"/>
  <c r="L219" i="13"/>
  <c r="L217" i="13"/>
  <c r="L215" i="13"/>
  <c r="L213" i="13"/>
  <c r="L211" i="13"/>
  <c r="L209" i="13"/>
  <c r="L207" i="13"/>
  <c r="L205" i="13"/>
  <c r="L203" i="13"/>
  <c r="L201" i="13"/>
  <c r="L199" i="13"/>
  <c r="L197" i="13"/>
  <c r="L273" i="13"/>
  <c r="L271" i="13"/>
  <c r="L269" i="13"/>
  <c r="L267" i="13"/>
  <c r="L265" i="13"/>
  <c r="L263" i="13"/>
  <c r="L261" i="13"/>
  <c r="L259" i="13"/>
  <c r="L257" i="13"/>
  <c r="L255" i="13"/>
  <c r="L253" i="13"/>
  <c r="L251" i="13"/>
  <c r="L249" i="13"/>
  <c r="L247" i="13"/>
  <c r="L245" i="13"/>
  <c r="L243" i="13"/>
  <c r="L241" i="13"/>
  <c r="L239" i="13"/>
  <c r="L237" i="13"/>
  <c r="K129" i="13"/>
  <c r="K127" i="13"/>
  <c r="K125" i="13"/>
  <c r="K195" i="13"/>
  <c r="K193" i="13"/>
  <c r="K191" i="13"/>
  <c r="K189" i="13"/>
  <c r="K187" i="13"/>
  <c r="K185" i="13"/>
  <c r="K183" i="13"/>
  <c r="K181" i="13"/>
  <c r="K179" i="13"/>
  <c r="K177" i="13"/>
  <c r="K175" i="13"/>
  <c r="K173" i="13"/>
  <c r="K171" i="13"/>
  <c r="K169" i="13"/>
  <c r="K233" i="13"/>
  <c r="K231" i="13"/>
  <c r="K229" i="13"/>
  <c r="K227" i="13"/>
  <c r="K225" i="13"/>
  <c r="K223" i="13"/>
  <c r="K221" i="13"/>
  <c r="K219" i="13"/>
  <c r="K217" i="13"/>
  <c r="K215" i="13"/>
  <c r="K213" i="13"/>
  <c r="K273" i="13"/>
  <c r="K271" i="13"/>
  <c r="K269" i="13"/>
  <c r="K267" i="13"/>
  <c r="K265" i="13"/>
  <c r="K263" i="13"/>
  <c r="K261" i="13"/>
  <c r="K259" i="13"/>
  <c r="K257" i="13"/>
  <c r="K255" i="13"/>
  <c r="K253" i="13"/>
  <c r="K251" i="13"/>
  <c r="K249" i="13"/>
  <c r="K247" i="13"/>
  <c r="K245" i="13"/>
  <c r="K243" i="13"/>
  <c r="K241" i="13"/>
  <c r="K239" i="13"/>
  <c r="K237" i="13"/>
  <c r="T273" i="13"/>
  <c r="T271" i="13"/>
  <c r="T269" i="13"/>
  <c r="T267" i="13"/>
  <c r="T265" i="13"/>
  <c r="T263" i="13"/>
  <c r="T261" i="13"/>
  <c r="T259" i="13"/>
  <c r="T257" i="13"/>
  <c r="T255" i="13"/>
  <c r="T253" i="13"/>
  <c r="T251" i="13"/>
  <c r="T249" i="13"/>
  <c r="T247" i="13"/>
  <c r="T245" i="13"/>
  <c r="T243" i="13"/>
  <c r="T241" i="13"/>
  <c r="T239" i="13"/>
  <c r="T237" i="13"/>
  <c r="S237" i="13"/>
  <c r="L272" i="13"/>
  <c r="L270" i="13"/>
  <c r="L268" i="13"/>
  <c r="L266" i="13"/>
  <c r="L264" i="13"/>
  <c r="L262" i="13"/>
  <c r="L260" i="13"/>
  <c r="L258" i="13"/>
  <c r="L256" i="13"/>
  <c r="L254" i="13"/>
  <c r="L252" i="13"/>
  <c r="L250" i="13"/>
  <c r="L248" i="13"/>
  <c r="L246" i="13"/>
  <c r="L244" i="13"/>
  <c r="L242" i="13"/>
  <c r="L240" i="13"/>
  <c r="L238" i="13"/>
  <c r="K170" i="13"/>
  <c r="K168" i="13"/>
  <c r="K272" i="13"/>
  <c r="K270" i="13"/>
  <c r="K268" i="13"/>
  <c r="K266" i="13"/>
  <c r="K264" i="13"/>
  <c r="K262" i="13"/>
  <c r="K260" i="13"/>
  <c r="K258" i="13"/>
  <c r="K256" i="13"/>
  <c r="K254" i="13"/>
  <c r="K252" i="13"/>
  <c r="K250" i="13"/>
  <c r="K248" i="13"/>
  <c r="K246" i="13"/>
  <c r="K244" i="13"/>
  <c r="K242" i="13"/>
  <c r="K240" i="13"/>
  <c r="K238" i="13"/>
  <c r="S209" i="13"/>
  <c r="S207" i="13"/>
  <c r="S205" i="13"/>
  <c r="S203" i="13"/>
  <c r="S201" i="13"/>
  <c r="S199" i="13"/>
  <c r="S197" i="13"/>
  <c r="L234" i="13"/>
  <c r="L232" i="13"/>
  <c r="L230" i="13"/>
  <c r="L228" i="13"/>
  <c r="L226" i="13"/>
  <c r="L224" i="13"/>
  <c r="L222" i="13"/>
  <c r="L220" i="13"/>
  <c r="L218" i="13"/>
  <c r="L216" i="13"/>
  <c r="L214" i="13"/>
  <c r="L212" i="13"/>
  <c r="L210" i="13"/>
  <c r="L208" i="13"/>
  <c r="L206" i="13"/>
  <c r="L204" i="13"/>
  <c r="L202" i="13"/>
  <c r="L200" i="13"/>
  <c r="L198" i="13"/>
  <c r="S210" i="13"/>
  <c r="S208" i="13"/>
  <c r="S206" i="13"/>
  <c r="S204" i="13"/>
  <c r="S202" i="13"/>
  <c r="S200" i="13"/>
  <c r="S198" i="13"/>
  <c r="L152" i="13"/>
  <c r="L146" i="13"/>
  <c r="L144" i="13"/>
  <c r="T135" i="13"/>
  <c r="T131" i="13"/>
  <c r="T127" i="13"/>
  <c r="T233" i="13"/>
  <c r="T231" i="13"/>
  <c r="T229" i="13"/>
  <c r="T227" i="13"/>
  <c r="T225" i="13"/>
  <c r="T223" i="13"/>
  <c r="T221" i="13"/>
  <c r="T219" i="13"/>
  <c r="T217" i="13"/>
  <c r="T215" i="13"/>
  <c r="T213" i="13"/>
  <c r="T211" i="13"/>
  <c r="T209" i="13"/>
  <c r="T207" i="13"/>
  <c r="T205" i="13"/>
  <c r="T203" i="13"/>
  <c r="T201" i="13"/>
  <c r="T199" i="13"/>
  <c r="T197" i="13"/>
  <c r="T38" i="13"/>
  <c r="T36" i="13"/>
  <c r="T34" i="13"/>
  <c r="T32" i="13"/>
  <c r="T30" i="13"/>
  <c r="T28" i="13"/>
  <c r="T26" i="13"/>
  <c r="T24" i="13"/>
  <c r="T22" i="13"/>
  <c r="T20" i="13"/>
  <c r="T18" i="13"/>
  <c r="T16" i="13"/>
  <c r="T12" i="13"/>
  <c r="T10" i="13"/>
  <c r="L53" i="13"/>
  <c r="T76" i="13"/>
  <c r="T64" i="13"/>
  <c r="S153" i="13"/>
  <c r="S151" i="13"/>
  <c r="S149" i="13"/>
  <c r="S147" i="13"/>
  <c r="S141" i="13"/>
  <c r="S137" i="13"/>
  <c r="S135" i="13"/>
  <c r="S133" i="13"/>
  <c r="S233" i="13"/>
  <c r="S231" i="13"/>
  <c r="S229" i="13"/>
  <c r="S227" i="13"/>
  <c r="S225" i="13"/>
  <c r="S223" i="13"/>
  <c r="S221" i="13"/>
  <c r="S219" i="13"/>
  <c r="S217" i="13"/>
  <c r="S215" i="13"/>
  <c r="S213" i="13"/>
  <c r="S211" i="13"/>
  <c r="K210" i="13"/>
  <c r="K208" i="13"/>
  <c r="K206" i="13"/>
  <c r="K204" i="13"/>
  <c r="K202" i="13"/>
  <c r="K200" i="13"/>
  <c r="K198" i="13"/>
  <c r="S52" i="13"/>
  <c r="L151" i="13"/>
  <c r="L149" i="13"/>
  <c r="L145" i="13"/>
  <c r="T126" i="13"/>
  <c r="L119" i="13"/>
  <c r="T194" i="13"/>
  <c r="T192" i="13"/>
  <c r="T190" i="13"/>
  <c r="T188" i="13"/>
  <c r="T186" i="13"/>
  <c r="T184" i="13"/>
  <c r="T182" i="13"/>
  <c r="T180" i="13"/>
  <c r="T178" i="13"/>
  <c r="T176" i="13"/>
  <c r="T174" i="13"/>
  <c r="T172" i="13"/>
  <c r="T170" i="13"/>
  <c r="T168" i="13"/>
  <c r="T166" i="13"/>
  <c r="T164" i="13"/>
  <c r="T162" i="13"/>
  <c r="T160" i="13"/>
  <c r="T158" i="13"/>
  <c r="T234" i="13"/>
  <c r="T232" i="13"/>
  <c r="T230" i="13"/>
  <c r="T228" i="13"/>
  <c r="T226" i="13"/>
  <c r="T224" i="13"/>
  <c r="T222" i="13"/>
  <c r="T220" i="13"/>
  <c r="T218" i="13"/>
  <c r="T216" i="13"/>
  <c r="T214" i="13"/>
  <c r="T212" i="13"/>
  <c r="T210" i="13"/>
  <c r="T208" i="13"/>
  <c r="T206" i="13"/>
  <c r="T204" i="13"/>
  <c r="T202" i="13"/>
  <c r="T200" i="13"/>
  <c r="T198" i="13"/>
  <c r="K78" i="13"/>
  <c r="K70" i="13"/>
  <c r="T77" i="13"/>
  <c r="T69" i="13"/>
  <c r="T65" i="13"/>
  <c r="T61" i="13"/>
  <c r="T57" i="13"/>
  <c r="T53" i="13"/>
  <c r="T49" i="13"/>
  <c r="T45" i="13"/>
  <c r="T41" i="13"/>
  <c r="K115" i="13"/>
  <c r="K105" i="13"/>
  <c r="K103" i="13"/>
  <c r="S150" i="13"/>
  <c r="S146" i="13"/>
  <c r="S142" i="13"/>
  <c r="S138" i="13"/>
  <c r="S134" i="13"/>
  <c r="S130" i="13"/>
  <c r="S234" i="13"/>
  <c r="S232" i="13"/>
  <c r="S230" i="13"/>
  <c r="S228" i="13"/>
  <c r="S226" i="13"/>
  <c r="S224" i="13"/>
  <c r="S222" i="13"/>
  <c r="S220" i="13"/>
  <c r="S218" i="13"/>
  <c r="S216" i="13"/>
  <c r="S214" i="13"/>
  <c r="S212" i="13"/>
  <c r="K211" i="13"/>
  <c r="K209" i="13"/>
  <c r="K207" i="13"/>
  <c r="K205" i="13"/>
  <c r="K203" i="13"/>
  <c r="K201" i="13"/>
  <c r="K199" i="13"/>
  <c r="K197" i="13"/>
  <c r="T195" i="13"/>
  <c r="T193" i="13"/>
  <c r="T191" i="13"/>
  <c r="T189" i="13"/>
  <c r="T177" i="13"/>
  <c r="T175" i="13"/>
  <c r="S160" i="13"/>
  <c r="L176" i="13"/>
  <c r="L174" i="13"/>
  <c r="L170" i="13"/>
  <c r="L168" i="13"/>
  <c r="L166" i="13"/>
  <c r="L164" i="13"/>
  <c r="L162" i="13"/>
  <c r="L160" i="13"/>
  <c r="L158" i="13"/>
  <c r="S66" i="13"/>
  <c r="S62" i="13"/>
  <c r="S58" i="13"/>
  <c r="S122" i="13"/>
  <c r="S194" i="13"/>
  <c r="S192" i="13"/>
  <c r="S190" i="13"/>
  <c r="S188" i="13"/>
  <c r="S186" i="13"/>
  <c r="S184" i="13"/>
  <c r="S182" i="13"/>
  <c r="S180" i="13"/>
  <c r="S178" i="13"/>
  <c r="S176" i="13"/>
  <c r="S174" i="13"/>
  <c r="S172" i="13"/>
  <c r="S170" i="13"/>
  <c r="S168" i="13"/>
  <c r="S166" i="13"/>
  <c r="S164" i="13"/>
  <c r="S162" i="13"/>
  <c r="S158" i="13"/>
  <c r="K38" i="13"/>
  <c r="K34" i="13"/>
  <c r="K32" i="13"/>
  <c r="T153" i="13"/>
  <c r="L195" i="13"/>
  <c r="L193" i="13"/>
  <c r="L191" i="13"/>
  <c r="L189" i="13"/>
  <c r="L187" i="13"/>
  <c r="L185" i="13"/>
  <c r="L183" i="13"/>
  <c r="L181" i="13"/>
  <c r="L179" i="13"/>
  <c r="L177" i="13"/>
  <c r="L175" i="13"/>
  <c r="L173" i="13"/>
  <c r="L171" i="13"/>
  <c r="L169" i="13"/>
  <c r="L167" i="13"/>
  <c r="L165" i="13"/>
  <c r="L163" i="13"/>
  <c r="L161" i="13"/>
  <c r="L159" i="13"/>
  <c r="T8" i="13"/>
  <c r="K153" i="13"/>
  <c r="K147" i="13"/>
  <c r="K143" i="13"/>
  <c r="K141" i="13"/>
  <c r="K139" i="13"/>
  <c r="K123" i="13"/>
  <c r="K167" i="13"/>
  <c r="K165" i="13"/>
  <c r="K163" i="13"/>
  <c r="K161" i="13"/>
  <c r="K159" i="13"/>
  <c r="T187" i="13"/>
  <c r="T185" i="13"/>
  <c r="T183" i="13"/>
  <c r="T181" i="13"/>
  <c r="T179" i="13"/>
  <c r="T173" i="13"/>
  <c r="T171" i="13"/>
  <c r="T169" i="13"/>
  <c r="T167" i="13"/>
  <c r="T165" i="13"/>
  <c r="T163" i="13"/>
  <c r="T161" i="13"/>
  <c r="T159" i="13"/>
  <c r="K53" i="13"/>
  <c r="K49" i="13"/>
  <c r="K45" i="13"/>
  <c r="S71" i="13"/>
  <c r="S63" i="13"/>
  <c r="S131" i="13"/>
  <c r="S195" i="13"/>
  <c r="S193" i="13"/>
  <c r="S191" i="13"/>
  <c r="S189" i="13"/>
  <c r="S187" i="13"/>
  <c r="S185" i="13"/>
  <c r="S183" i="13"/>
  <c r="S181" i="13"/>
  <c r="S179" i="13"/>
  <c r="S177" i="13"/>
  <c r="S175" i="13"/>
  <c r="S173" i="13"/>
  <c r="S171" i="13"/>
  <c r="S169" i="13"/>
  <c r="S167" i="13"/>
  <c r="S165" i="13"/>
  <c r="S163" i="13"/>
  <c r="S161" i="13"/>
  <c r="S159" i="13"/>
  <c r="K13" i="13"/>
  <c r="K7" i="13"/>
  <c r="K5" i="13"/>
  <c r="L194" i="13"/>
  <c r="L192" i="13"/>
  <c r="L190" i="13"/>
  <c r="L188" i="13"/>
  <c r="L186" i="13"/>
  <c r="L184" i="13"/>
  <c r="L182" i="13"/>
  <c r="L180" i="13"/>
  <c r="L178" i="13"/>
  <c r="L172" i="13"/>
  <c r="S72" i="13"/>
  <c r="K156" i="13"/>
  <c r="K146" i="13"/>
  <c r="K144" i="13"/>
  <c r="K192" i="13"/>
  <c r="K190" i="13"/>
  <c r="K188" i="13"/>
  <c r="K186" i="13"/>
  <c r="K184" i="13"/>
  <c r="K182" i="13"/>
  <c r="K180" i="13"/>
  <c r="K178" i="13"/>
  <c r="K176" i="13"/>
  <c r="K174" i="13"/>
  <c r="K172" i="13"/>
  <c r="K166" i="13"/>
  <c r="K164" i="13"/>
  <c r="K162" i="13"/>
  <c r="S154" i="13"/>
  <c r="T148" i="13"/>
  <c r="T146" i="13"/>
  <c r="S126" i="13"/>
  <c r="T121" i="13"/>
  <c r="T143" i="13"/>
  <c r="K152" i="13"/>
  <c r="K150" i="13"/>
  <c r="K148" i="13"/>
  <c r="L138" i="13"/>
  <c r="L134" i="13"/>
  <c r="L128" i="13"/>
  <c r="L154" i="13"/>
  <c r="L150" i="13"/>
  <c r="L148" i="13"/>
  <c r="L142" i="13"/>
  <c r="K134" i="13"/>
  <c r="K132" i="13"/>
  <c r="K155" i="13"/>
  <c r="K151" i="13"/>
  <c r="L129" i="13"/>
  <c r="K137" i="13"/>
  <c r="K135" i="13"/>
  <c r="K131" i="13"/>
  <c r="K121" i="13"/>
  <c r="K119" i="13"/>
  <c r="K140" i="13"/>
  <c r="L156" i="13"/>
  <c r="T155" i="13"/>
  <c r="K149" i="13"/>
  <c r="L139" i="13"/>
  <c r="T138" i="13"/>
  <c r="K138" i="13"/>
  <c r="S136" i="13"/>
  <c r="L124" i="13"/>
  <c r="T123" i="13"/>
  <c r="T119" i="13"/>
  <c r="T142" i="13"/>
  <c r="T151" i="13"/>
  <c r="T147" i="13"/>
  <c r="K145" i="13"/>
  <c r="T136" i="13"/>
  <c r="L135" i="13"/>
  <c r="L133" i="13"/>
  <c r="T132" i="13"/>
  <c r="T130" i="13"/>
  <c r="S125" i="13"/>
  <c r="S123" i="13"/>
  <c r="S121" i="13"/>
  <c r="S119" i="13"/>
  <c r="T137" i="13"/>
  <c r="T133" i="13"/>
  <c r="S120" i="13"/>
  <c r="T156" i="13"/>
  <c r="L155" i="13"/>
  <c r="T154" i="13"/>
  <c r="K154" i="13"/>
  <c r="S152" i="13"/>
  <c r="L140" i="13"/>
  <c r="T139" i="13"/>
  <c r="K133" i="13"/>
  <c r="L123" i="13"/>
  <c r="T122" i="13"/>
  <c r="T120" i="13"/>
  <c r="K142" i="13"/>
  <c r="S156" i="13"/>
  <c r="L143" i="13"/>
  <c r="S140" i="13"/>
  <c r="L127" i="13"/>
  <c r="S124" i="13"/>
  <c r="L77" i="13"/>
  <c r="L73" i="13"/>
  <c r="S75" i="13"/>
  <c r="S51" i="13"/>
  <c r="S43" i="13"/>
  <c r="T145" i="13"/>
  <c r="L141" i="13"/>
  <c r="T140" i="13"/>
  <c r="T129" i="13"/>
  <c r="L125" i="13"/>
  <c r="T124" i="13"/>
  <c r="L153" i="13"/>
  <c r="T152" i="13"/>
  <c r="T141" i="13"/>
  <c r="L137" i="13"/>
  <c r="T125" i="13"/>
  <c r="L121" i="13"/>
  <c r="S36" i="13"/>
  <c r="S34" i="13"/>
  <c r="K77" i="13"/>
  <c r="K73" i="13"/>
  <c r="K69" i="13"/>
  <c r="L62" i="13"/>
  <c r="L58" i="13"/>
  <c r="L50" i="13"/>
  <c r="L46" i="13"/>
  <c r="L42" i="13"/>
  <c r="T72" i="13"/>
  <c r="T60" i="13"/>
  <c r="T56" i="13"/>
  <c r="S116" i="13"/>
  <c r="S112" i="13"/>
  <c r="S108" i="13"/>
  <c r="T150" i="13"/>
  <c r="S148" i="13"/>
  <c r="S145" i="13"/>
  <c r="S143" i="13"/>
  <c r="T134" i="13"/>
  <c r="S132" i="13"/>
  <c r="S129" i="13"/>
  <c r="S127" i="13"/>
  <c r="L31" i="13"/>
  <c r="L74" i="13"/>
  <c r="K66" i="13"/>
  <c r="K58" i="13"/>
  <c r="K54" i="13"/>
  <c r="K50" i="13"/>
  <c r="K42" i="13"/>
  <c r="S76" i="13"/>
  <c r="S56" i="13"/>
  <c r="L105" i="13"/>
  <c r="L103" i="13"/>
  <c r="S2" i="13"/>
  <c r="K71" i="13"/>
  <c r="S115" i="13"/>
  <c r="S111" i="13"/>
  <c r="S155" i="13"/>
  <c r="L147" i="13"/>
  <c r="S144" i="13"/>
  <c r="S139" i="13"/>
  <c r="L131" i="13"/>
  <c r="S128" i="13"/>
  <c r="K55" i="13"/>
  <c r="S77" i="13"/>
  <c r="S73" i="13"/>
  <c r="S69" i="13"/>
  <c r="S65" i="13"/>
  <c r="S61" i="13"/>
  <c r="S57" i="13"/>
  <c r="S53" i="13"/>
  <c r="S49" i="13"/>
  <c r="S45" i="13"/>
  <c r="S41" i="13"/>
  <c r="T105" i="13"/>
  <c r="T103" i="13"/>
  <c r="T101" i="13"/>
  <c r="T99" i="13"/>
  <c r="T97" i="13"/>
  <c r="T95" i="13"/>
  <c r="T93" i="13"/>
  <c r="T91" i="13"/>
  <c r="T89" i="13"/>
  <c r="T87" i="13"/>
  <c r="T85" i="13"/>
  <c r="T83" i="13"/>
  <c r="T81" i="13"/>
  <c r="T149" i="13"/>
  <c r="T144" i="13"/>
  <c r="T128" i="13"/>
  <c r="L113" i="13"/>
  <c r="T37" i="13"/>
  <c r="T35" i="13"/>
  <c r="T33" i="13"/>
  <c r="T31" i="13"/>
  <c r="T29" i="13"/>
  <c r="T27" i="13"/>
  <c r="T25" i="13"/>
  <c r="T23" i="13"/>
  <c r="T15" i="13"/>
  <c r="L65" i="13"/>
  <c r="L61" i="13"/>
  <c r="L57" i="13"/>
  <c r="L49" i="13"/>
  <c r="L45" i="13"/>
  <c r="L41" i="13"/>
  <c r="T71" i="13"/>
  <c r="T63" i="13"/>
  <c r="T59" i="13"/>
  <c r="T55" i="13"/>
  <c r="T51" i="13"/>
  <c r="T43" i="13"/>
  <c r="S39" i="13"/>
  <c r="K30" i="13"/>
  <c r="K26" i="13"/>
  <c r="K24" i="13"/>
  <c r="K18" i="13"/>
  <c r="K16" i="13"/>
  <c r="K12" i="13"/>
  <c r="L37" i="13"/>
  <c r="L23" i="13"/>
  <c r="L39" i="13"/>
  <c r="L35" i="13"/>
  <c r="L21" i="13"/>
  <c r="K76" i="13"/>
  <c r="L117" i="13"/>
  <c r="K113" i="13"/>
  <c r="K109" i="13"/>
  <c r="S109" i="13"/>
  <c r="S107" i="13"/>
  <c r="S105" i="13"/>
  <c r="S103" i="13"/>
  <c r="S101" i="13"/>
  <c r="S99" i="13"/>
  <c r="S97" i="13"/>
  <c r="S95" i="13"/>
  <c r="S93" i="13"/>
  <c r="S91" i="13"/>
  <c r="S89" i="13"/>
  <c r="S87" i="13"/>
  <c r="S85" i="13"/>
  <c r="S83" i="13"/>
  <c r="S81" i="13"/>
  <c r="L110" i="13"/>
  <c r="L106" i="13"/>
  <c r="K116" i="13"/>
  <c r="K112" i="13"/>
  <c r="K110" i="13"/>
  <c r="K106" i="13"/>
  <c r="T114" i="13"/>
  <c r="T110" i="13"/>
  <c r="K117" i="13"/>
  <c r="T39" i="13"/>
  <c r="K39" i="13"/>
  <c r="K33" i="13"/>
  <c r="K21" i="13"/>
  <c r="K17" i="13"/>
  <c r="K15" i="13"/>
  <c r="K9" i="13"/>
  <c r="S110" i="13"/>
  <c r="K108" i="13"/>
  <c r="T21" i="13"/>
  <c r="T19" i="13"/>
  <c r="T17" i="13"/>
  <c r="T13" i="13"/>
  <c r="T11" i="13"/>
  <c r="T7" i="13"/>
  <c r="T5" i="13"/>
  <c r="T3" i="13"/>
  <c r="T2" i="13"/>
  <c r="S37" i="13"/>
  <c r="S35" i="13"/>
  <c r="S33" i="13"/>
  <c r="S31" i="13"/>
  <c r="S29" i="13"/>
  <c r="S21" i="13"/>
  <c r="S15" i="13"/>
  <c r="S13" i="13"/>
  <c r="S5" i="13"/>
  <c r="T113" i="13"/>
  <c r="L109" i="13"/>
  <c r="T106" i="13"/>
  <c r="L38" i="13"/>
  <c r="L34" i="13"/>
  <c r="L26" i="13"/>
  <c r="L10" i="13"/>
  <c r="S113" i="13"/>
  <c r="K111" i="13"/>
  <c r="S106" i="13"/>
  <c r="S30" i="13"/>
  <c r="S14" i="13"/>
  <c r="K14" i="13"/>
  <c r="K10" i="13"/>
  <c r="T68" i="13"/>
  <c r="T52" i="13"/>
  <c r="T48" i="13"/>
  <c r="L114" i="13"/>
  <c r="T109" i="13"/>
  <c r="L101" i="13"/>
  <c r="L83" i="13"/>
  <c r="L15" i="13"/>
  <c r="L13" i="13"/>
  <c r="L11" i="13"/>
  <c r="L7" i="13"/>
  <c r="S68" i="13"/>
  <c r="S114" i="13"/>
  <c r="K114" i="13"/>
  <c r="K107" i="13"/>
  <c r="K99" i="13"/>
  <c r="K93" i="13"/>
  <c r="K91" i="13"/>
  <c r="K89" i="13"/>
  <c r="K87" i="13"/>
  <c r="S28" i="13"/>
  <c r="S26" i="13"/>
  <c r="S20" i="13"/>
  <c r="S18" i="13"/>
  <c r="S16" i="13"/>
  <c r="T74" i="13"/>
  <c r="T70" i="13"/>
  <c r="T62" i="13"/>
  <c r="T50" i="13"/>
  <c r="T46" i="13"/>
  <c r="T42" i="13"/>
  <c r="L115" i="13"/>
  <c r="L111" i="13"/>
  <c r="L107" i="13"/>
  <c r="L104" i="13"/>
  <c r="L102" i="13"/>
  <c r="L100" i="13"/>
  <c r="L98" i="13"/>
  <c r="L96" i="13"/>
  <c r="L94" i="13"/>
  <c r="L92" i="13"/>
  <c r="L90" i="13"/>
  <c r="L88" i="13"/>
  <c r="L86" i="13"/>
  <c r="L84" i="13"/>
  <c r="L82" i="13"/>
  <c r="L80" i="13"/>
  <c r="L27" i="13"/>
  <c r="L25" i="13"/>
  <c r="L19" i="13"/>
  <c r="L3" i="13"/>
  <c r="S54" i="13"/>
  <c r="S50" i="13"/>
  <c r="S46" i="13"/>
  <c r="S42" i="13"/>
  <c r="T115" i="13"/>
  <c r="T111" i="13"/>
  <c r="T107" i="13"/>
  <c r="K104" i="13"/>
  <c r="K102" i="13"/>
  <c r="K100" i="13"/>
  <c r="K98" i="13"/>
  <c r="K96" i="13"/>
  <c r="K94" i="13"/>
  <c r="K92" i="13"/>
  <c r="K90" i="13"/>
  <c r="K88" i="13"/>
  <c r="K86" i="13"/>
  <c r="K84" i="13"/>
  <c r="K82" i="13"/>
  <c r="K80" i="13"/>
  <c r="L36" i="13"/>
  <c r="K31" i="13"/>
  <c r="K29" i="13"/>
  <c r="K27" i="13"/>
  <c r="S23" i="13"/>
  <c r="K23" i="13"/>
  <c r="S7" i="13"/>
  <c r="K72" i="13"/>
  <c r="L54" i="13"/>
  <c r="T44" i="13"/>
  <c r="L116" i="13"/>
  <c r="L112" i="13"/>
  <c r="L108" i="13"/>
  <c r="T104" i="13"/>
  <c r="T102" i="13"/>
  <c r="T100" i="13"/>
  <c r="T98" i="13"/>
  <c r="T96" i="13"/>
  <c r="T94" i="13"/>
  <c r="T92" i="13"/>
  <c r="T90" i="13"/>
  <c r="T88" i="13"/>
  <c r="T86" i="13"/>
  <c r="T84" i="13"/>
  <c r="T82" i="13"/>
  <c r="T80" i="13"/>
  <c r="L30" i="13"/>
  <c r="L28" i="13"/>
  <c r="L20" i="13"/>
  <c r="S67" i="13"/>
  <c r="S55" i="13"/>
  <c r="S47" i="13"/>
  <c r="T116" i="13"/>
  <c r="T112" i="13"/>
  <c r="T108" i="13"/>
  <c r="S104" i="13"/>
  <c r="S102" i="13"/>
  <c r="S100" i="13"/>
  <c r="S98" i="13"/>
  <c r="S96" i="13"/>
  <c r="S94" i="13"/>
  <c r="S92" i="13"/>
  <c r="S90" i="13"/>
  <c r="S88" i="13"/>
  <c r="S86" i="13"/>
  <c r="S84" i="13"/>
  <c r="S82" i="13"/>
  <c r="S80" i="13"/>
  <c r="K22" i="13"/>
  <c r="L99" i="13"/>
  <c r="L97" i="13"/>
  <c r="L95" i="13"/>
  <c r="L93" i="13"/>
  <c r="L91" i="13"/>
  <c r="L89" i="13"/>
  <c r="L87" i="13"/>
  <c r="L85" i="13"/>
  <c r="L81" i="13"/>
  <c r="T117" i="13"/>
  <c r="S38" i="13"/>
  <c r="L8" i="13"/>
  <c r="T6" i="13"/>
  <c r="K63" i="13"/>
  <c r="K47" i="13"/>
  <c r="K101" i="13"/>
  <c r="K97" i="13"/>
  <c r="K95" i="13"/>
  <c r="K85" i="13"/>
  <c r="K83" i="13"/>
  <c r="K81" i="13"/>
  <c r="S117" i="13"/>
  <c r="T78" i="13"/>
  <c r="T75" i="13"/>
  <c r="T73" i="13"/>
  <c r="T67" i="13"/>
  <c r="T66" i="13"/>
  <c r="T58" i="13"/>
  <c r="T54" i="13"/>
  <c r="T47" i="13"/>
  <c r="L78" i="13"/>
  <c r="K74" i="13"/>
  <c r="K68" i="13"/>
  <c r="L66" i="13"/>
  <c r="L76" i="13"/>
  <c r="L75" i="13"/>
  <c r="L72" i="13"/>
  <c r="L71" i="13"/>
  <c r="L68" i="13"/>
  <c r="L67" i="13"/>
  <c r="L64" i="13"/>
  <c r="L63" i="13"/>
  <c r="L60" i="13"/>
  <c r="L59" i="13"/>
  <c r="L56" i="13"/>
  <c r="L55" i="13"/>
  <c r="L52" i="13"/>
  <c r="L51" i="13"/>
  <c r="L48" i="13"/>
  <c r="L47" i="13"/>
  <c r="L44" i="13"/>
  <c r="L43" i="13"/>
  <c r="K75" i="13"/>
  <c r="K67" i="13"/>
  <c r="K59" i="13"/>
  <c r="K51" i="13"/>
  <c r="K43" i="13"/>
  <c r="T14" i="13"/>
  <c r="T9" i="13"/>
  <c r="K8" i="13"/>
  <c r="S6" i="13"/>
  <c r="L6" i="13"/>
  <c r="K6" i="13"/>
  <c r="T4" i="13"/>
  <c r="L5" i="13"/>
  <c r="L4" i="13"/>
  <c r="S3" i="13"/>
  <c r="K3" i="13"/>
  <c r="L17" i="13"/>
  <c r="K36" i="13"/>
  <c r="S27" i="13"/>
  <c r="S25" i="13"/>
  <c r="K19" i="13"/>
  <c r="S12" i="13"/>
  <c r="S10" i="13"/>
  <c r="S8" i="13"/>
  <c r="K4" i="13"/>
  <c r="L24" i="13"/>
  <c r="L9" i="13"/>
  <c r="S32" i="13"/>
  <c r="K28" i="13"/>
  <c r="S19" i="13"/>
  <c r="S17" i="13"/>
  <c r="K11" i="13"/>
  <c r="S4" i="13"/>
  <c r="L32" i="13"/>
  <c r="L33" i="13"/>
  <c r="L29" i="13"/>
  <c r="S22" i="13"/>
  <c r="L16" i="13"/>
  <c r="L12" i="13"/>
  <c r="K37" i="13"/>
  <c r="K35" i="13"/>
  <c r="K25" i="13"/>
  <c r="S24" i="13"/>
  <c r="S11" i="13"/>
  <c r="S9" i="13"/>
  <c r="K2" i="13"/>
  <c r="F7" i="14"/>
  <c r="F17" i="14"/>
  <c r="B8" i="14"/>
  <c r="B40" i="14"/>
  <c r="F16" i="14"/>
  <c r="F24" i="14"/>
  <c r="K22" i="14"/>
  <c r="K37" i="14"/>
  <c r="K21" i="14"/>
  <c r="K13" i="14"/>
  <c r="K31" i="14"/>
  <c r="K15" i="14"/>
  <c r="B22" i="14"/>
  <c r="Q38" i="14"/>
  <c r="Q34" i="14"/>
  <c r="Q30" i="14"/>
  <c r="Q22" i="14"/>
  <c r="Q14" i="14"/>
  <c r="Q10" i="14"/>
  <c r="B11" i="14"/>
  <c r="B26" i="14"/>
  <c r="B37" i="14"/>
  <c r="P38" i="14"/>
  <c r="P30" i="14"/>
  <c r="P29" i="14"/>
  <c r="P27" i="14"/>
  <c r="F23" i="14"/>
  <c r="F29" i="14"/>
  <c r="F40" i="14"/>
  <c r="O44" i="14"/>
  <c r="O39" i="14"/>
  <c r="O38" i="14"/>
  <c r="O37" i="14"/>
  <c r="O28" i="14"/>
  <c r="O23" i="14"/>
  <c r="O22" i="14"/>
  <c r="O16" i="14"/>
  <c r="F12" i="14"/>
  <c r="F20" i="14"/>
  <c r="B25" i="14"/>
  <c r="M41" i="14"/>
  <c r="M34" i="14"/>
  <c r="M33" i="14"/>
  <c r="M26" i="14"/>
  <c r="M10" i="14"/>
  <c r="L30" i="14"/>
  <c r="B24" i="14"/>
  <c r="B9" i="14"/>
  <c r="B18" i="14"/>
  <c r="B34" i="14"/>
  <c r="F35" i="14"/>
  <c r="F41" i="14"/>
  <c r="B7" i="14"/>
  <c r="B36" i="14"/>
  <c r="B42" i="14"/>
  <c r="B21" i="14"/>
  <c r="F28" i="14"/>
  <c r="B39" i="14"/>
  <c r="B31" i="14"/>
  <c r="B12" i="14"/>
  <c r="B15" i="14"/>
  <c r="F32" i="14"/>
  <c r="B35" i="14"/>
  <c r="F36" i="14"/>
  <c r="F44" i="14"/>
  <c r="O32" i="14"/>
  <c r="K8" i="14"/>
  <c r="M20" i="14"/>
  <c r="P28" i="14"/>
  <c r="P12" i="14"/>
  <c r="O34" i="14"/>
  <c r="L14" i="14"/>
  <c r="O24" i="14"/>
  <c r="M35" i="14"/>
  <c r="O35" i="14"/>
  <c r="O19" i="14"/>
  <c r="O11" i="14"/>
  <c r="F11" i="14"/>
  <c r="P44" i="14"/>
  <c r="O41" i="14"/>
  <c r="P41" i="14"/>
  <c r="L41" i="14"/>
  <c r="O33" i="14"/>
  <c r="P33" i="14"/>
  <c r="O25" i="14"/>
  <c r="O17" i="14"/>
  <c r="P17" i="14"/>
  <c r="L17" i="14"/>
  <c r="M17" i="14"/>
  <c r="O31" i="14"/>
  <c r="O15" i="14"/>
  <c r="P37" i="14"/>
  <c r="K40" i="14"/>
  <c r="K23" i="14"/>
  <c r="L7" i="14"/>
  <c r="P13" i="14"/>
  <c r="B23" i="14"/>
  <c r="P7" i="14"/>
  <c r="P14" i="14"/>
  <c r="O8" i="14"/>
  <c r="M36" i="14"/>
  <c r="O40" i="14"/>
  <c r="M24" i="14"/>
  <c r="L8" i="14"/>
  <c r="M8" i="14"/>
  <c r="K30" i="14"/>
  <c r="J30" i="14" s="1"/>
  <c r="K14" i="14"/>
  <c r="P36" i="14"/>
  <c r="B17" i="14"/>
  <c r="M19" i="14"/>
  <c r="B30" i="14"/>
  <c r="K38" i="14"/>
  <c r="B41" i="14"/>
  <c r="M31" i="14"/>
  <c r="M42" i="14"/>
  <c r="B43" i="14"/>
  <c r="B13" i="14"/>
  <c r="O13" i="14"/>
  <c r="B19" i="14"/>
  <c r="B27" i="14"/>
  <c r="L42" i="14"/>
  <c r="L34" i="14"/>
  <c r="L26" i="14"/>
  <c r="P34" i="14"/>
  <c r="P26" i="14"/>
  <c r="P10" i="14"/>
  <c r="F8" i="14"/>
  <c r="F21" i="14"/>
  <c r="F25" i="14"/>
  <c r="K29" i="14"/>
  <c r="B32" i="14"/>
  <c r="B33" i="14"/>
  <c r="F37" i="14"/>
  <c r="F9" i="14"/>
  <c r="F19" i="14"/>
  <c r="F27" i="14"/>
  <c r="O29" i="14"/>
  <c r="B44" i="14"/>
  <c r="F13" i="14"/>
  <c r="F15" i="14"/>
  <c r="B16" i="14"/>
  <c r="B20" i="14"/>
  <c r="B28" i="14"/>
  <c r="B29" i="14"/>
  <c r="F31" i="14"/>
  <c r="P9" i="14"/>
  <c r="O21" i="14"/>
  <c r="M25" i="14"/>
  <c r="M18" i="14"/>
  <c r="M40" i="14"/>
  <c r="L33" i="14"/>
  <c r="L9" i="14"/>
  <c r="K18" i="14"/>
  <c r="K9" i="14"/>
  <c r="K24" i="14"/>
  <c r="K39" i="14"/>
  <c r="K41" i="14"/>
  <c r="K7" i="14"/>
  <c r="F39" i="14"/>
  <c r="F43" i="14"/>
  <c r="F10" i="14"/>
  <c r="F14" i="14"/>
  <c r="F18" i="14"/>
  <c r="F22" i="14"/>
  <c r="F26" i="14"/>
  <c r="F30" i="14"/>
  <c r="F34" i="14"/>
  <c r="F38" i="14"/>
  <c r="F42" i="14"/>
  <c r="J41" i="14" l="1"/>
  <c r="L13" i="14"/>
  <c r="J13" i="14" s="1"/>
  <c r="M12" i="14"/>
  <c r="M28" i="14"/>
  <c r="M44" i="14"/>
  <c r="O27" i="14"/>
  <c r="O43" i="14"/>
  <c r="L27" i="14"/>
  <c r="M13" i="14"/>
  <c r="P11" i="14"/>
  <c r="P19" i="14"/>
  <c r="P35" i="14"/>
  <c r="P43" i="14"/>
  <c r="Q26" i="14"/>
  <c r="Q42" i="14"/>
  <c r="L12" i="14"/>
  <c r="L20" i="14"/>
  <c r="L28" i="14"/>
  <c r="P20" i="14"/>
  <c r="Q11" i="14"/>
  <c r="Q19" i="14"/>
  <c r="Q27" i="14"/>
  <c r="Q35" i="14"/>
  <c r="N35" i="14" s="1"/>
  <c r="Q43" i="14"/>
  <c r="M37" i="14"/>
  <c r="L21" i="14"/>
  <c r="J21" i="14" s="1"/>
  <c r="L29" i="14"/>
  <c r="J29" i="14" s="1"/>
  <c r="L37" i="14"/>
  <c r="J37" i="14" s="1"/>
  <c r="M7" i="14"/>
  <c r="O30" i="14"/>
  <c r="N30" i="14" s="1"/>
  <c r="P21" i="14"/>
  <c r="Q12" i="14"/>
  <c r="Q20" i="14"/>
  <c r="Q28" i="14"/>
  <c r="N28" i="14" s="1"/>
  <c r="Q36" i="14"/>
  <c r="Q44" i="14"/>
  <c r="N44" i="14" s="1"/>
  <c r="L11" i="14"/>
  <c r="L19" i="14"/>
  <c r="M29" i="14"/>
  <c r="L44" i="14"/>
  <c r="O12" i="14"/>
  <c r="O14" i="14"/>
  <c r="N14" i="14" s="1"/>
  <c r="J8" i="14"/>
  <c r="L22" i="14"/>
  <c r="J22" i="14" s="1"/>
  <c r="L38" i="14"/>
  <c r="J38" i="14" s="1"/>
  <c r="O7" i="14"/>
  <c r="P22" i="14"/>
  <c r="N22" i="14" s="1"/>
  <c r="Q13" i="14"/>
  <c r="Q21" i="14"/>
  <c r="Q29" i="14"/>
  <c r="N29" i="14" s="1"/>
  <c r="Q37" i="14"/>
  <c r="N37" i="14" s="1"/>
  <c r="L43" i="14"/>
  <c r="O36" i="14"/>
  <c r="L36" i="14"/>
  <c r="O20" i="14"/>
  <c r="Q7" i="14"/>
  <c r="N7" i="14" s="1"/>
  <c r="M21" i="14"/>
  <c r="L35" i="14"/>
  <c r="Q18" i="14"/>
  <c r="M11" i="14"/>
  <c r="M27" i="14"/>
  <c r="M43" i="14"/>
  <c r="O10" i="14"/>
  <c r="N10" i="14" s="1"/>
  <c r="O18" i="14"/>
  <c r="O26" i="14"/>
  <c r="O42" i="14"/>
  <c r="J14" i="14"/>
  <c r="N38" i="14"/>
  <c r="N34" i="14"/>
  <c r="N13" i="14"/>
  <c r="M30" i="14"/>
  <c r="K11" i="14"/>
  <c r="K12" i="14"/>
  <c r="J12" i="14" s="1"/>
  <c r="Q25" i="14"/>
  <c r="K32" i="14"/>
  <c r="K20" i="14"/>
  <c r="L23" i="14"/>
  <c r="J23" i="14" s="1"/>
  <c r="L39" i="14"/>
  <c r="J39" i="14" s="1"/>
  <c r="Q16" i="14"/>
  <c r="K28" i="14"/>
  <c r="P23" i="14"/>
  <c r="L16" i="14"/>
  <c r="Q23" i="14"/>
  <c r="M32" i="14"/>
  <c r="O9" i="14"/>
  <c r="P39" i="14"/>
  <c r="K36" i="14"/>
  <c r="P32" i="14"/>
  <c r="Q9" i="14"/>
  <c r="K25" i="14"/>
  <c r="K44" i="14"/>
  <c r="Q15" i="14"/>
  <c r="M9" i="14"/>
  <c r="J7" i="14"/>
  <c r="K34" i="14"/>
  <c r="J34" i="14" s="1"/>
  <c r="L15" i="14"/>
  <c r="J15" i="14" s="1"/>
  <c r="L31" i="14"/>
  <c r="J31" i="14" s="1"/>
  <c r="Q8" i="14"/>
  <c r="Q40" i="14"/>
  <c r="K17" i="14"/>
  <c r="J17" i="14" s="1"/>
  <c r="K42" i="14"/>
  <c r="J42" i="14" s="1"/>
  <c r="P31" i="14"/>
  <c r="L24" i="14"/>
  <c r="J24" i="14" s="1"/>
  <c r="L40" i="14"/>
  <c r="J40" i="14" s="1"/>
  <c r="Q33" i="14"/>
  <c r="N33" i="14" s="1"/>
  <c r="Q39" i="14"/>
  <c r="M16" i="14"/>
  <c r="M38" i="14"/>
  <c r="K19" i="14"/>
  <c r="Q32" i="14"/>
  <c r="K10" i="14"/>
  <c r="K27" i="14"/>
  <c r="L32" i="14"/>
  <c r="Q17" i="14"/>
  <c r="N17" i="14" s="1"/>
  <c r="K35" i="14"/>
  <c r="L10" i="14"/>
  <c r="M15" i="14"/>
  <c r="P16" i="14"/>
  <c r="Q41" i="14"/>
  <c r="N41" i="14" s="1"/>
  <c r="K26" i="14"/>
  <c r="J26" i="14" s="1"/>
  <c r="K43" i="14"/>
  <c r="L18" i="14"/>
  <c r="J18" i="14" s="1"/>
  <c r="Q31" i="14"/>
  <c r="K33" i="14"/>
  <c r="J33" i="14" s="1"/>
  <c r="P42" i="14"/>
  <c r="Q24" i="14"/>
  <c r="J9" i="14"/>
  <c r="M14" i="14"/>
  <c r="P15" i="14"/>
  <c r="L25" i="14"/>
  <c r="P25" i="14"/>
  <c r="M22" i="14"/>
  <c r="P18" i="14"/>
  <c r="M23" i="14"/>
  <c r="M39" i="14"/>
  <c r="P8" i="14"/>
  <c r="N8" i="14" s="1"/>
  <c r="P24" i="14"/>
  <c r="P40" i="14"/>
  <c r="K16" i="14"/>
  <c r="N36" i="14" l="1"/>
  <c r="N19" i="14"/>
  <c r="J27" i="14"/>
  <c r="J20" i="14"/>
  <c r="N26" i="14"/>
  <c r="N42" i="14"/>
  <c r="N25" i="14"/>
  <c r="N11" i="14"/>
  <c r="J19" i="14"/>
  <c r="J11" i="14"/>
  <c r="N43" i="14"/>
  <c r="J28" i="14"/>
  <c r="N20" i="14"/>
  <c r="N21" i="14"/>
  <c r="N18" i="14"/>
  <c r="J44" i="14"/>
  <c r="N27" i="14"/>
  <c r="N24" i="14"/>
  <c r="J43" i="14"/>
  <c r="J35" i="14"/>
  <c r="J36" i="14"/>
  <c r="N12" i="14"/>
  <c r="J25" i="14"/>
  <c r="J10" i="14"/>
  <c r="N15" i="14"/>
  <c r="N23" i="14"/>
  <c r="J32" i="14"/>
  <c r="N32" i="14"/>
  <c r="N9" i="14"/>
  <c r="N39" i="14"/>
  <c r="N31" i="14"/>
  <c r="J16" i="14"/>
  <c r="N40" i="14"/>
  <c r="N1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tc={E6476814-DF47-4CB1-9A3D-358965AD66AF}</author>
  </authors>
  <commentList>
    <comment ref="G99" authorId="0" shapeId="0" xr:uid="{E6476814-DF47-4CB1-9A3D-358965AD66A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Also from the originally adopted 19bn, a 2bn lek was not used (for humanitarian relief) and an additional 1bn was kept as reserve fund (hence not appropriated). With those subtractions, the figures match. from Linda</t>
      </text>
    </comment>
  </commentList>
</comments>
</file>

<file path=xl/sharedStrings.xml><?xml version="1.0" encoding="utf-8"?>
<sst xmlns="http://schemas.openxmlformats.org/spreadsheetml/2006/main" count="2577" uniqueCount="562">
  <si>
    <t>Table 1. Summary of Country Fiscal Measures in Response to the COVID-19 Pandemic</t>
  </si>
  <si>
    <t>(USD billion and percent of GDP)</t>
  </si>
  <si>
    <t>USD Billion</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</si>
  <si>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</si>
  <si>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</si>
  <si>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</si>
  <si>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</si>
  <si>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</si>
  <si>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</si>
  <si>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</si>
  <si>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</si>
  <si>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</si>
  <si>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</si>
  <si>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</si>
  <si>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</si>
  <si>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Australia</t>
  </si>
  <si>
    <t>Canada</t>
  </si>
  <si>
    <t>European Union</t>
  </si>
  <si>
    <t>France</t>
  </si>
  <si>
    <t>Germany</t>
  </si>
  <si>
    <t>Italy</t>
  </si>
  <si>
    <t>Japan</t>
  </si>
  <si>
    <t>Korea</t>
  </si>
  <si>
    <t>Spain</t>
  </si>
  <si>
    <t>United Kingdom</t>
  </si>
  <si>
    <t>United States</t>
  </si>
  <si>
    <t>Argentina</t>
  </si>
  <si>
    <t>Brazil</t>
  </si>
  <si>
    <t>China</t>
  </si>
  <si>
    <t>India</t>
  </si>
  <si>
    <t>Indonesia</t>
  </si>
  <si>
    <t>Mexico</t>
  </si>
  <si>
    <t>Russia</t>
  </si>
  <si>
    <t>Saudi Arabia</t>
  </si>
  <si>
    <t>South Africa</t>
  </si>
  <si>
    <t>Turkey</t>
  </si>
  <si>
    <t>Austria</t>
  </si>
  <si>
    <t>Belgium</t>
  </si>
  <si>
    <t>Czech republic</t>
  </si>
  <si>
    <t>Denmark</t>
  </si>
  <si>
    <t>Estonia</t>
  </si>
  <si>
    <t>Finland</t>
  </si>
  <si>
    <t>Greece</t>
  </si>
  <si>
    <t>Iceland</t>
  </si>
  <si>
    <t>Ireland</t>
  </si>
  <si>
    <t>Israel</t>
  </si>
  <si>
    <t>Latvia</t>
  </si>
  <si>
    <t>Lithuania</t>
  </si>
  <si>
    <t>Luxembourg</t>
  </si>
  <si>
    <t>The Netherlands</t>
  </si>
  <si>
    <t>New Zealand</t>
  </si>
  <si>
    <t>Norway</t>
  </si>
  <si>
    <t>Portugal</t>
  </si>
  <si>
    <t>Singapore</t>
  </si>
  <si>
    <t>Slovak Republic</t>
  </si>
  <si>
    <t>Slovenia</t>
  </si>
  <si>
    <t>Sweden</t>
  </si>
  <si>
    <t>Switzerland</t>
  </si>
  <si>
    <t>Albania</t>
  </si>
  <si>
    <t>Bulgaria</t>
  </si>
  <si>
    <t>Chile</t>
  </si>
  <si>
    <t>Colombia</t>
  </si>
  <si>
    <t>Costa Rica</t>
  </si>
  <si>
    <t>Egypt</t>
  </si>
  <si>
    <t>Georgia</t>
  </si>
  <si>
    <t>Hungary</t>
  </si>
  <si>
    <t>Kazakhstan</t>
  </si>
  <si>
    <t>Mauritius</t>
  </si>
  <si>
    <t>North Macedonia</t>
  </si>
  <si>
    <t>Pakistan</t>
  </si>
  <si>
    <t>Peru</t>
  </si>
  <si>
    <t>Philippines</t>
  </si>
  <si>
    <t>Poland</t>
  </si>
  <si>
    <t>Romania</t>
  </si>
  <si>
    <t>Serbia</t>
  </si>
  <si>
    <t>Thailand</t>
  </si>
  <si>
    <t>Tunisia</t>
  </si>
  <si>
    <t>United Arab Emirates</t>
  </si>
  <si>
    <t>Bangladesh</t>
  </si>
  <si>
    <t>Ethiopia</t>
  </si>
  <si>
    <t>Ghana</t>
  </si>
  <si>
    <t>Guinea-Bissau</t>
  </si>
  <si>
    <t>Honduras</t>
  </si>
  <si>
    <t>Kenya</t>
  </si>
  <si>
    <t>Myanmar</t>
  </si>
  <si>
    <t>Nepal</t>
  </si>
  <si>
    <t>Niger</t>
  </si>
  <si>
    <t>Nigeria</t>
  </si>
  <si>
    <t>Senegal</t>
  </si>
  <si>
    <t>Uzbekistan</t>
  </si>
  <si>
    <t>Vietnam</t>
  </si>
  <si>
    <t>Zambia</t>
  </si>
  <si>
    <t>Sources: National authorities and IMF staff estimates.</t>
  </si>
  <si>
    <t/>
  </si>
  <si>
    <t>Fiscal Monitor: Database of Country Fiscal Measures in Response to the COVID-19 Pandemic</t>
  </si>
  <si>
    <t>This database summarizes key fiscal measures governments have announced or taken in selected economies in response to the COVID-19 pandemic as of December 31, 2020 for selected economies.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</si>
  <si>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</si>
  <si>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</si>
  <si>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</si>
  <si>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</si>
  <si>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</si>
  <si>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</si>
  <si>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</si>
  <si>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</si>
  <si>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</si>
  <si>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</si>
  <si>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</si>
  <si>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</si>
  <si>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</si>
  <si>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</si>
  <si>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</si>
  <si>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</si>
  <si>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</si>
  <si>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</si>
  <si>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</si>
  <si>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</si>
  <si>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</si>
  <si>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General Government</t>
  </si>
  <si>
    <t>LC bn</t>
  </si>
  <si>
    <r>
      <t xml:space="preserve">Additional spending (AUD 16.6 bn):
</t>
    </r>
    <r>
      <rPr>
        <sz val="10"/>
        <rFont val="Arial"/>
        <family val="2"/>
      </rPr>
      <t xml:space="preserve"> •Australia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</si>
  <si>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color theme="1"/>
        <rFont val="Arial"/>
        <family val="2"/>
      </rPr>
      <t>Additional spending (AUD 226 bn)</t>
    </r>
    <r>
      <rPr>
        <sz val="10"/>
        <color theme="1"/>
        <rFont val="Arial"/>
        <family val="2"/>
      </rPr>
      <t xml:space="preserve">: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t>
    </r>
    <r>
      <rPr>
        <b/>
        <sz val="10"/>
        <color theme="1"/>
        <rFont val="Arial"/>
        <family val="2"/>
      </rPr>
      <t>Forgone revenue (AUD 74 bn)</t>
    </r>
    <r>
      <rPr>
        <sz val="10"/>
        <color theme="1"/>
        <rFont val="Arial"/>
        <family val="2"/>
      </rPr>
      <t xml:space="preserve">: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</si>
  <si>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</si>
  <si>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t>
  </si>
  <si>
    <t>Parliament approved an advance authorization of A$40 billion for unforeseen events.</t>
  </si>
  <si>
    <t>USD bn</t>
  </si>
  <si>
    <t>% GDP</t>
  </si>
  <si>
    <t>Central Government</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</si>
  <si>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</si>
  <si>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</si>
  <si>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</si>
  <si>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</si>
  <si>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</si>
  <si>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t>n.a.</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</si>
  <si>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</si>
  <si>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</si>
  <si>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</si>
  <si>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</si>
  <si>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</si>
  <si>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r>
      <rPr>
        <b/>
        <sz val="10"/>
        <color theme="1"/>
        <rFont val="Arial"/>
        <family val="2"/>
      </rPr>
      <t xml:space="preserve">Additional spending (€17.8 bn): 
</t>
    </r>
    <r>
      <rPr>
        <sz val="10"/>
        <color theme="1"/>
        <rFont val="Arial"/>
        <family val="2"/>
      </rPr>
      <t>• Support for streamlining and boosting health insurance (paid sick leave) for the sick or their caregivers, higher spending on health supplies; bonuses for health workers.
• Additional investment and equipment in the health sector announced in the Plan de Relance for 2021 and beyond.</t>
    </r>
  </si>
  <si>
    <r>
      <rPr>
        <b/>
        <sz val="10"/>
        <rFont val="Arial"/>
        <family val="2"/>
      </rPr>
      <t>Additional spending (€126.5 bn):</t>
    </r>
    <r>
      <rPr>
        <sz val="10"/>
        <rFont val="Arial"/>
        <family val="2"/>
      </rPr>
      <t xml:space="preserve"> 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(expired); incentives to purchase greener vehicles; subsidies for green investment for the auto and aerospace sectors. The recovery plan includes spending mostly from 2021 onward. Key measures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 xml:space="preserve">Foregone revenue (€29.7 bn): </t>
    </r>
    <r>
      <rPr>
        <sz val="10"/>
        <rFont val="Arial"/>
        <family val="2"/>
      </rPr>
      <t xml:space="preserve">Exoneration of social security contributions for affected firms in selected sectors; carry back for corporate income taxes; permanent tax cuts (production taxes) announced in the Plan de Relance for 2021 onward. </t>
    </r>
  </si>
  <si>
    <r>
      <rPr>
        <b/>
        <sz val="10"/>
        <rFont val="Arial"/>
        <family val="2"/>
      </rPr>
      <t>Accelerated spending (€17 bn)</t>
    </r>
    <r>
      <rPr>
        <sz val="10"/>
        <rFont val="Arial"/>
        <family val="2"/>
      </rPr>
      <t xml:space="preserve">: Accelerated refund of tax credits (e.g. CIT and VAT).
</t>
    </r>
    <r>
      <rPr>
        <b/>
        <sz val="10"/>
        <rFont val="Arial"/>
        <family val="2"/>
      </rPr>
      <t xml:space="preserve">
Deferred revenue (€38 bn)</t>
    </r>
    <r>
      <rPr>
        <sz val="10"/>
        <rFont val="Arial"/>
        <family val="2"/>
      </rPr>
      <t>: Postponement of social security contributions and tax payment for companies.</t>
    </r>
  </si>
  <si>
    <t>• The authorities announced potential direct equity support to firms (€21 bn euros), mostly in strategic companies.</t>
  </si>
  <si>
    <t xml:space="preserve">• State guarantees for  bank loans to companies and credit reinsurance schemes (€315 bn); other guarantees (€12.5 bn).
• The Plan de Relance includes the creation of a up to €20 bn fund leveraged by public guarantees (€7 bn), to provide quasi-equity support or equity loans to firms. </t>
  </si>
  <si>
    <t>Liquidity support through postponement of social security contributions and tax payment for companies (€33.5 bn).</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</si>
  <si>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</si>
  <si>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</si>
  <si>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</si>
  <si>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</si>
  <si>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</si>
  <si>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t>The government provides options for deferring tax payments and reducing prepayments; while tax penalties will not be levied until the end of this year.</t>
  </si>
  <si>
    <r>
      <rPr>
        <b/>
        <sz val="10"/>
        <color theme="1"/>
        <rFont val="Arial"/>
        <family val="2"/>
      </rPr>
      <t xml:space="preserve">Additional spending (€9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</si>
  <si>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(€93.5 bn): </t>
    </r>
    <r>
      <rPr>
        <sz val="10"/>
        <rFont val="Arial"/>
        <family val="2"/>
      </rPr>
      <t xml:space="preserve">including broadening the wage supplementation fund to provide income support to laid-off workers and the self-employed, vouchers for the payment of babysitters (€56.5 bn), grants for SME to cover rents and utility bill (€29 bn), education (€4 bn), and other (€4 bn) .
</t>
    </r>
    <r>
      <rPr>
        <b/>
        <sz val="10"/>
        <rFont val="Arial"/>
        <family val="2"/>
      </rPr>
      <t>Forgone revenue (€9 bn)</t>
    </r>
    <r>
      <rPr>
        <sz val="10"/>
        <rFont val="Arial"/>
        <family val="2"/>
      </rPr>
      <t>: corporate income tax credits and social security contribution reduction.</t>
    </r>
  </si>
  <si>
    <r>
      <rPr>
        <b/>
        <sz val="10"/>
        <rFont val="Arial"/>
        <family val="2"/>
      </rPr>
      <t>Deferred revenue:</t>
    </r>
    <r>
      <rPr>
        <sz val="10"/>
        <rFont val="Arial"/>
        <family val="2"/>
      </rPr>
      <t xml:space="preserve"> mostly due to postponement of VAT, CIT, and social security contributions as well as property taxes.  </t>
    </r>
  </si>
  <si>
    <t>• Equity injection to Alitalia (€3.3 bn)</t>
  </si>
  <si>
    <t xml:space="preserve">The total guarantee is estimated at about 579 bn euros, aimed to unlock more than 750 billion euros of liquidity for businesses and households.
</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</si>
  <si>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</si>
  <si>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</si>
  <si>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</si>
  <si>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</si>
  <si>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</si>
  <si>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</si>
  <si>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</si>
  <si>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</si>
  <si>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Tax payment deferral covering a broad range of taxes for small businesses and the self-employed in medical, tourism, performance, hospitality, and other affected sectors. Social security contribution payment deferral for households</t>
  </si>
  <si>
    <r>
      <rPr>
        <b/>
        <sz val="10"/>
        <color theme="1"/>
        <rFont val="Arial"/>
        <family val="2"/>
      </rPr>
      <t>Additional spending (€4.4 bn):</t>
    </r>
    <r>
      <rPr>
        <sz val="10"/>
        <color theme="1"/>
        <rFont val="Arial"/>
        <family val="2"/>
      </rPr>
      <t xml:space="preserve">
• Budget support from the contingency fund to the Ministry of Health (€1.4 bn); advance transfer to the regions for health services (€2.9 bn); additional healthcare related spending including research related to COVID-19 (€160 mn).</t>
    </r>
  </si>
  <si>
    <r>
      <rPr>
        <b/>
        <sz val="10"/>
        <rFont val="Arial"/>
        <family val="2"/>
      </rPr>
      <t>Additional spending (€40.6 bn):</t>
    </r>
    <r>
      <rPr>
        <sz val="10"/>
        <rFont val="Arial"/>
        <family val="2"/>
      </rPr>
      <t xml:space="preserve">
• Unemployment benefit for workers temporary laid off under the ERTE due to COVID-19, with no requirement for prior minimum contribution or reduction of accumulated entitlement (about €19 bn depending on duration); and exemptions of social contributions for companies that maintain employment under the ERTEs (about €6.8 bn);
• An allowance for self-employed workers affected by economic activity suspension (about €5¾ bn depending on the duration), and exemption of social contributions for self-employed that receive this benefit (about €2.9 bn or more depending on the duration)
• Increased sick pay for infected or quarantined workers (€1.4 bn); 
• Introduction of a new means-tested "minimum income scheme"; and new rental assistance programs for certain vulnerable renters and additional state contribution to the State Housing Plan 2018-21;
• Benefits for workers under permanent discontinuous contracts with activities suspended due to COVID-19; temporary entitlement to unemployment benefits for workers unemployed in their probationary period; a temporary monthly allowance for temporary workers whose contracts expired during state of emergency and do not qualify for unemployment benefits; a temporary subsidy for household employees affected by COVID-19; and other support for households and firms.
</t>
    </r>
    <r>
      <rPr>
        <b/>
        <sz val="10"/>
        <rFont val="Arial"/>
        <family val="2"/>
      </rPr>
      <t xml:space="preserve">Forgone revenue (€1.1 bn): </t>
    </r>
    <r>
      <rPr>
        <sz val="10"/>
        <rFont val="Arial"/>
        <family val="2"/>
      </rPr>
      <t xml:space="preserve">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6-month moratorium on social security contributions  for the self-employed and companies in selected industries;
• Reduction in the contribution for Employed Agricultural Workers who have completed a maximum of 55 real days of contribution in 2019;
• Reduction in VAT on digital publications and other revenue measures.</t>
    </r>
  </si>
  <si>
    <r>
      <rPr>
        <b/>
        <sz val="10"/>
        <color theme="1"/>
        <rFont val="Arial"/>
        <family val="2"/>
      </rPr>
      <t>Deferred revenue</t>
    </r>
    <r>
      <rPr>
        <sz val="10"/>
        <color theme="1"/>
        <rFont val="Arial"/>
        <family val="2"/>
      </rPr>
      <t>: Deferral of social security debts for companies and the self-employed; Deferral of tax debts and debts arising from customs declaration; tax payment deferrals for small and medium enterprises and self-employed for six months, with the first 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</si>
  <si>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</si>
  <si>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</si>
  <si>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t>• Additional funding for the Instituto de Crédito Official (ICO) credit lines (€10 bn)</t>
  </si>
  <si>
    <r>
      <rPr>
        <b/>
        <sz val="10"/>
        <color theme="1"/>
        <rFont val="Arial"/>
        <family val="2"/>
      </rPr>
      <t>Additional spending (£110.8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</si>
  <si>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Additional spending (£211.3 bn)</t>
    </r>
    <r>
      <rPr>
        <sz val="10"/>
        <color theme="1"/>
        <rFont val="Arial"/>
        <family val="2"/>
      </rPr>
      <t xml:space="preserve">:
• Coronavirus Job Retention Scheme to subsidize furloughed employees' wages and firms' social security contributions (initially for 3 months and extended until March 2021); 
• Income support for the self-employed (initially for 3 months and extended for 6 months);
• Paid sick leave for self-isolating individuals and compensation for small firms for up to 2 weeks, and support for low-income people in need to self-isolate.  
• Direct grants for small firms in the most-affected (retail and hospitality) sectors; 
• Support for the vulnerable by expanding the Universal Credit and Working Tax Credit schemes until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and Green Homes Grant (£3bn).
• Support for low-income people in need to self-isolate 
• Help the job search of those claiming unemployment benefits for at least 13 weeks.
• Grant for businesses required to close (£5bn).
• Additional transfers to devolved administrations (£2bn).
</t>
    </r>
    <r>
      <rPr>
        <b/>
        <sz val="10"/>
        <color theme="1"/>
        <rFont val="Arial"/>
        <family val="2"/>
      </rPr>
      <t xml:space="preserve">Forgone revenue (£19.7 bn): </t>
    </r>
    <r>
      <rPr>
        <sz val="10"/>
        <color theme="1"/>
        <rFont val="Arial"/>
        <family val="2"/>
      </rPr>
      <t xml:space="preserve">
• Property tax (business rate) holiday for firms in affected sectors for 12 months.
• Temporary cut on stamp duty land tax for 10 months.
• VAT rate reduction for hospitality, accommodation, and attractions for 8 months.</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</si>
  <si>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(£3 bn):</t>
    </r>
    <r>
      <rPr>
        <sz val="10"/>
        <color theme="1"/>
        <rFont val="Arial"/>
        <family val="2"/>
      </rPr>
      <t xml:space="preserve"> 
• Deferral of VAT for the second quarter of 2020 until the end of the financial year; 
• Deferral of income tax (self-assessment) of the self-employed until the end of January 2021.</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</si>
  <si>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</si>
  <si>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</si>
  <si>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</si>
  <si>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r>
      <rPr>
        <b/>
        <sz val="10"/>
        <color theme="1"/>
        <rFont val="Arial"/>
        <family val="2"/>
      </rPr>
      <t>Additional spending ($475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cost of $178.9 bn. 
• Coronavirus Aid, Relief, and Economic Security Act (March 27, 2020) approved $128.8 bn for additional health spending, which includes funding for hospitals ($100 bn), the Center of Disease Control ($4.3 bn), and vaccine development and expanding Medicare payments and provision of tax advantages for certain medical expense.
• Paycheck Protection Program and Health Care Enhancement Act (April 23, 2020) includes $75 bn for hospitals and $25 bn for testing, with an estimated budget cost of $99.6 bn.
• Consolidated Appropriation Act (Dec.21, 2020) includes $20 bn for vaccine procurement, $9 bn for vaccine distribution, $22 bn for testing/tracing/covid mitigation programs , $9 bn for healthcare providers and other support, with a total estimated cost of $69.5 bn.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</si>
  <si>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r>
      <rPr>
        <b/>
        <sz val="10"/>
        <color theme="1"/>
        <rFont val="Arial"/>
        <family val="2"/>
      </rPr>
      <t xml:space="preserve">Additional spending ($2637.0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cost from this Act is $38.8 bn.
• Coronavirus Aid, Relief, and Economic Security Act (March 27, 2020) includes $437 bn unemployment insurance and $350 bn in emergency appropriations, and $349 bn forgivable small business loans and other items. Estimated increase in spending from this Act is $1512 bn.
• Paycheck Protection Program and Health Care Enhancement Act (April 23, 2020) includes $62.1 bn for the Small Business Administration's loan programs and other expense, and $321 bn for the Paycheck Protection Program and small business assistance (of the $310 bn for the Paycheck Protection Program only $176 bn was used).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 Consolidated Appropriation Act (Dec.21, 2020) includes $324 bn support to households, $395 bn support for businesses, $92 bn for education and childcare, and $7 bn other support.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</si>
  <si>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</si>
  <si>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</si>
  <si>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</si>
  <si>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</si>
  <si>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</si>
  <si>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r>
      <rPr>
        <b/>
        <sz val="10"/>
        <rFont val="Arial"/>
        <family val="2"/>
      </rPr>
      <t>Additional spending (AR $48.9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$29.1 bn):</t>
    </r>
    <r>
      <rPr>
        <sz val="10"/>
        <rFont val="Arial"/>
        <family val="2"/>
      </rPr>
      <t xml:space="preserve">
•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
•  Special tax compensation scheme for those who make sales of essential goods, including a VAT refund for milk sales.</t>
    </r>
  </si>
  <si>
    <t>Additional spending (AR $892.4 bn):
•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Forgone revenue (AR $67.1 bn):
• Most affected sectors granted 95% reduction in employers’ contributions to the pension system.
• Reduction in employers' contributions to Social Security. 
•  Special benefits (tax breaks) for police and security at the forefront of COVID response.</t>
  </si>
  <si>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</si>
  <si>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</si>
  <si>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</si>
  <si>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r>
      <t>Additional spending (BRL 79.3 bn):</t>
    </r>
    <r>
      <rPr>
        <sz val="10"/>
        <color theme="1"/>
        <rFont val="Arial"/>
        <family val="2"/>
      </rPr>
      <t xml:space="preserve"> Federal Government spending (BRL 69.3 bn) 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 IPI reduction expires in December 2020</t>
    </r>
  </si>
  <si>
    <r>
      <rPr>
        <b/>
        <sz val="10"/>
        <color theme="1"/>
        <rFont val="Arial"/>
        <family val="2"/>
      </rPr>
      <t xml:space="preserve">Additional spending (BRL 504.7 bn):
</t>
    </r>
    <r>
      <rPr>
        <sz val="10"/>
        <color theme="1"/>
        <rFont val="Arial"/>
        <family val="2"/>
      </rPr>
      <t xml:space="preserve">•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
</t>
    </r>
    <r>
      <rPr>
        <b/>
        <sz val="10"/>
        <color theme="1"/>
        <rFont val="Arial"/>
        <family val="2"/>
      </rPr>
      <t xml:space="preserve">
Forgone revenue (BRL 19.1 bn): 
</t>
    </r>
    <r>
      <rPr>
        <sz val="10"/>
        <color theme="1"/>
        <rFont val="Arial"/>
        <family val="2"/>
      </rPr>
      <t>• Elimination of the financial transactions tax (during 9 months)</t>
    </r>
  </si>
  <si>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</si>
  <si>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BRL 6.8 billion credit line to SMEs (to finance payroll costs during 7 months); BRL 48.1 billion support to funds which lend to microbusinesses; BRL 20 billion support to a investment guarantee fund (to finance SMEs), 5bn credit support to the tourism sector.</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</si>
  <si>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</si>
  <si>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</si>
  <si>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</si>
  <si>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</si>
  <si>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</si>
  <si>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</si>
  <si>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</si>
  <si>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</si>
  <si>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</si>
  <si>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</si>
  <si>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ventilators and medical screening.</t>
    </r>
  </si>
  <si>
    <r>
      <rPr>
        <b/>
        <sz val="10"/>
        <rFont val="Arial"/>
        <family val="2"/>
      </rPr>
      <t xml:space="preserve">Additional spending (Rs 5638.7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</si>
  <si>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</si>
  <si>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</si>
  <si>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</si>
  <si>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</si>
  <si>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</si>
  <si>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</si>
  <si>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</si>
  <si>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</si>
  <si>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</si>
  <si>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</si>
  <si>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Non-financial Public Sector</t>
  </si>
  <si>
    <r>
      <rPr>
        <b/>
        <sz val="10"/>
        <color theme="1"/>
        <rFont val="Arial"/>
        <family val="2"/>
      </rPr>
      <t>Additional spending:</t>
    </r>
    <r>
      <rPr>
        <sz val="10"/>
        <color theme="1"/>
        <rFont val="Arial"/>
        <family val="2"/>
      </rPr>
      <t xml:space="preserve">
The authorities have increased public health spending and are trying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</si>
  <si>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Expansion of Welfare Programs and improvement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</si>
  <si>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</si>
  <si>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(MXN 34.3 bn).
• Personal loans granted by the Institute of the National Fund for the Consumption of Workers (Fonacot) (MXN 3 bn).
• Special Program to Reactivate the Economy against COVID by Housing Fund of the Institute for Social Security and Services(Fovissste) (MXN 2 bn).</t>
  </si>
  <si>
    <t>• Development bank guarantees program</t>
  </si>
  <si>
    <t>• Development banks to provide loans, particularly to small- and medium-scale enterprises</t>
  </si>
  <si>
    <t>At the state-level, several state governments have announced support, including deferral of tax payments or tax holidays.</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</si>
  <si>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</si>
  <si>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460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</si>
  <si>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</si>
  <si>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</si>
  <si>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</si>
  <si>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</si>
  <si>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</si>
  <si>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</si>
  <si>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</si>
  <si>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</si>
  <si>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</si>
  <si>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</si>
  <si>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</si>
  <si>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(with a cap of R100 million per loan) pay operating expenses including salaries, suppliers etc.</t>
  </si>
  <si>
    <t>Programs from the industrial development corporation to support businesses.</t>
  </si>
  <si>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</si>
  <si>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</si>
  <si>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</si>
  <si>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</si>
  <si>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 guaranteed loans.
• Credit guarantee fund (set up in 2016)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</si>
  <si>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</si>
  <si>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r>
      <t>Additional spending (€8.1 bn):</t>
    </r>
    <r>
      <rPr>
        <sz val="10"/>
        <color theme="1"/>
        <rFont val="Arial"/>
        <family val="2"/>
      </rPr>
      <t xml:space="preserve"> on medical equipment, tests, administration etc. Measures include advance payments to hospitals as well as a structural increase in the budget for mental health care and the federal health sector. An additional one-off payment will also be allocated to federal health workers in 2020.</t>
    </r>
  </si>
  <si>
    <r>
      <rPr>
        <b/>
        <sz val="10"/>
        <rFont val="Arial"/>
        <family val="2"/>
      </rPr>
      <t xml:space="preserve">Additional spending (€19.6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etc.), social assistance benefits, and support to local social services. Key temporary measures have been extended until end-August, end-December 2020 (replacement income), or end-March 2021 (temporary unemployment), with eligibility widened and benefits increased for some of them to support firms and households through the second lockdown (Nov-Dec).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(€4.4 bn): </t>
    </r>
    <r>
      <rPr>
        <sz val="10"/>
        <rFont val="Arial"/>
        <family val="2"/>
      </rPr>
      <t xml:space="preserve">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</si>
  <si>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r>
      <rPr>
        <b/>
        <sz val="10"/>
        <color theme="1"/>
        <rFont val="Arial"/>
        <family val="2"/>
      </rPr>
      <t xml:space="preserve">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</si>
  <si>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</si>
  <si>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</si>
  <si>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t>Czech Republic</t>
  </si>
  <si>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</si>
  <si>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t>
    </r>
  </si>
  <si>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</si>
  <si>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</si>
  <si>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</si>
  <si>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r>
      <rPr>
        <b/>
        <sz val="10"/>
        <color theme="1"/>
        <rFont val="Arial"/>
        <family val="2"/>
      </rPr>
      <t>Additional spending:</t>
    </r>
    <r>
      <rPr>
        <sz val="10"/>
        <color theme="1"/>
        <rFont val="Arial"/>
        <family val="2"/>
      </rPr>
      <t xml:space="preserve"> Resources to hire social and health workers nationwide. </t>
    </r>
  </si>
  <si>
    <r>
      <rPr>
        <b/>
        <sz val="10"/>
        <rFont val="Arial"/>
        <family val="2"/>
      </rPr>
      <t xml:space="preserve">Additional spending:
• </t>
    </r>
    <r>
      <rPr>
        <sz val="10"/>
        <rFont val="Arial"/>
        <family val="2"/>
      </rPr>
      <t>Compensation scheme for the cancellation and postponement of major events following COVID-19 (Announced: DKK 2.4 billion)
• Temporary salary compensation between 75% and 90% of workers salary (Announced: DKK 6.2 billion, Uptake: DKK 12.7 billion) Temporary compensation scheme for self-employed and freelancers (Announced: DKK 14.1 billion Uptake: DKK 5.9 bn).
• Sickness benefit reimbursement (Announced: DKK 1.7 billion) and increased access to unemployment benefits and sickness benefits (Announced: DKK 0.3 billion). 
• Temporary compensation scheme for companies’ fixed costs (Announced: DKK 65.3 billion, Uptake: DKK 7.1 bn). 
• Boosting liquidity and facilitating the advancement and completion of various construction projects in the Danish municipalities and regions (Announced: DKK 2.5 billion).
• Other initiatives (about DKK 2 bn)
• UI benefits expanded eligibility (Announced: DKK 0.4 bn)
• Extension of cultural aid packages to 8/8 (Announced: DKK 0.1 bn)
• One-time grants to low-income families (Announced: DKK 1.8 bn).
• Increase in corporate deductions for R&amp;D (Announced DKK 1.3 bn).
• Support for tourism sector (Announced DKK 0.8 bn).
• Export package (Announced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</si>
  <si>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</si>
  <si>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t>• Increase the Danish Students’ Loan Scheme (DKK 1.5 billion). 
• Interest free loans based on VAT payments and payroll tax payments (DKK 35 billion). 
• Loans and equity to start-ups and high growth enterprises (Announced: less than DKK 3.4 billion, Uptake: DKK 1.6 bn) State capital injection into Recapitalization Fund (DKK 10 bn)
• State capital injection into Restart Fund (administered by the Growth Fund) (DKK 3 bn)
• Plan to recapitalize Scandinavian Airlines (up to DKK 6 bn)</t>
  </si>
  <si>
    <t xml:space="preserve">• The government will guarantee 70% of the value of new loans to 1) large companies that can demonstrate a fall in turnover over more than 30 percent and 2) SMEs that have seen operating profits fall by more than 30 percent (Announced: DKK 60.7 bn Uptake 7.4 bn). 
• Credit guarantee for Scandinavian Airlines (SAS). (Announced DKK 1 bn)
• Increased access to export credit for SMEs. (Announced DKK 1.3 bn Uptake: DKK 30 bn) 
• Strengthening the Travel Guarantee Fund. (Announced DKK 1.5 bn)
</t>
  </si>
  <si>
    <t>Another 2 percent of GDP in countercyclical support is expected to come through the stronger automatic stabilizers—including from weaker tax receipts and higher social benefits.</t>
  </si>
  <si>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</si>
  <si>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r>
      <rPr>
        <b/>
        <sz val="10"/>
        <color theme="1"/>
        <rFont val="Arial"/>
        <family val="2"/>
      </rPr>
      <t>Additional spending</t>
    </r>
    <r>
      <rPr>
        <sz val="10"/>
        <color theme="1"/>
        <rFont val="Arial"/>
        <family val="2"/>
      </rPr>
      <t xml:space="preserve">: (i) grants to SMEs through Business Finland and the Employment Centers (€450 million); increased parental allowance  (€94 million); additional social assistance and unemployment benefits (€1.547 billion); additional public safety and border controls, etc.  measures to support restaurant to employ workers EUR 40 million, measures to support businesses for imposed restrictions on activities, EUR 83 million, Share acquisitions in state ownership steering, EUR 700 mn. The fourth supplementary budget includes additional support for households and employment (€652 million); support for businesses (€520 million); and increased public investment (€963 million). The seventh supplementary budget included EUR 400 million in support to municipalities for basic public services.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</si>
  <si>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(1.6 percent of GDP) in relief. Adjusted VAT tax payments provide an additional €750 million in relief.</t>
    </r>
  </si>
  <si>
    <t>• SME capital injections of €150 million. Share acquisitions in state ownership steering €700 million.
• On April 29, the government announced a recapitalization of Finnair of €500 million. Finnair is 56% publicly owned.
• Increased capitalization of €300 million into national climate fund. 
•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</si>
  <si>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€ 880 million, for SURE, € 432 million, for the EIB, € 372 million.</t>
    </r>
  </si>
  <si>
    <t>The State Pension Fund will invest in commercial paper (€1 bn).</t>
  </si>
  <si>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</si>
  <si>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</si>
  <si>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</si>
  <si>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</si>
  <si>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</si>
  <si>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</si>
  <si>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</si>
  <si>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</si>
  <si>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and transport projects (NZ$ 600 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</si>
  <si>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NZ$100 thousand loan is granted to small businesses that employ 50 or fewer full time equivalent employees (NZ$ 1.6 bn).</t>
  </si>
  <si>
    <t>• A loan guarantee scheme for firms with a turnover of between NZ$ 250 thousand and NZ$ 200 mn per annum, with the Government carrying 80% of the credit risk. The loans will be limited to NZ$ 5 mn for a maximum of five years and expected to be provided by the banks at competitive, transparent rates.</t>
  </si>
  <si>
    <r>
      <rPr>
        <b/>
        <sz val="10"/>
        <color theme="1"/>
        <rFont val="Arial"/>
        <family val="2"/>
      </rPr>
      <t>Additional spending:</t>
    </r>
    <r>
      <rPr>
        <sz val="10"/>
        <color theme="1"/>
        <rFont val="Arial"/>
        <family val="2"/>
      </rPr>
      <t xml:space="preserve"> 
• Strengthening the financial situation in the hospital trust through increased appropriations.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</si>
  <si>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amendments to the petroleum tax system to improve liquidity in the sector;
• Temporary cut of employers’ social insurance contributions.</t>
    </r>
  </si>
  <si>
    <t>• Deferral of various tax payments.</t>
  </si>
  <si>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</si>
  <si>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</si>
  <si>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Automatic stabilizers, contingency lines, advance payments and tax deferrals, international aid; Deferral of various tax payments.</t>
  </si>
  <si>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</si>
  <si>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</si>
  <si>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S$22 bn in loan capital was set aside to help businesses facing cash flow challenges with loan obligations and insurance premium payments.</t>
  </si>
  <si>
    <r>
      <rPr>
        <b/>
        <sz val="10"/>
        <rFont val="Arial"/>
        <family val="2"/>
      </rPr>
      <t>Additional spending:</t>
    </r>
    <r>
      <rPr>
        <sz val="10"/>
        <rFont val="Arial"/>
        <family val="2"/>
      </rPr>
      <t xml:space="preserve"> 
Additional spending: 
• Increased testing and tracing for Covid-19 (SEK 7 bn); funding of extraordinary costs associated with Covid-19 for municipalities and regions (SEK 5 bn) and elderly care boost (SEK 2.2 bn).
• Extra funding to train up to 10,000 people in health and social care during 2020Q4.
• Increased funding to enable the National Board of Health and Welfare's credit framework to purchases personal protective equipment and intensive care equipment.
• Removing income ceiling for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</si>
  <si>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</si>
  <si>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</si>
  <si>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</si>
  <si>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</si>
  <si>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r>
      <rPr>
        <b/>
        <sz val="10"/>
        <rFont val="Arial"/>
        <family val="2"/>
      </rPr>
      <t xml:space="preserve">Additional spending: </t>
    </r>
    <r>
      <rPr>
        <sz val="10"/>
        <rFont val="Arial"/>
        <family val="2"/>
      </rPr>
      <t>Includes army pharmacy (CHF 2.264 bn), corona tests (CHF 578 mn), information campaign, mobilization, and contact tracing (CHF 51 mn),  medication (CHF 34 mn), vaccination (CHF 29 mn), health protection (CHF 13 mn).</t>
    </r>
  </si>
  <si>
    <r>
      <t xml:space="preserve">Additional spending: </t>
    </r>
    <r>
      <rPr>
        <sz val="10"/>
        <rFont val="Arial"/>
        <family val="2"/>
      </rPr>
      <t>Benefits COVID income replacement directly and indirectly affected (CHF 7.5 bn); financing for short term work program and the unemployment fund (CHF 20.2 bn), COVID bridging loan losses (CHF 2 bn); support for transport sector (CHF 1.335 bn); support for sports and cultural sectors (CHF 610 mn); international support and development aid incl. contribution to IMF (CHF 343 mn); support to cantonal hardship programs (CHF 1930 mn); and other measures.</t>
    </r>
  </si>
  <si>
    <t xml:space="preserve">• Loan support to sports clubs (CHF 400 mn)
• Financial support to air traffic control company Skyguide (CHF 400 mn)
</t>
  </si>
  <si>
    <t xml:space="preserve">• Guarantees for Covid-19 bridge loans for firms with annual turnover up to CHF 500 mn (CHF 40 bn)
• Guarantees for startups (CHF 0.1 bn)
• Guarantees for airlines (CHF 1.275 bn)
 </t>
  </si>
  <si>
    <r>
      <rPr>
        <b/>
        <sz val="10"/>
        <color theme="1"/>
        <rFont val="Arial"/>
        <family val="2"/>
      </rPr>
      <t xml:space="preserve">Additional spending:   </t>
    </r>
    <r>
      <rPr>
        <sz val="10"/>
        <color theme="1"/>
        <rFont val="Arial"/>
        <family val="2"/>
      </rPr>
      <t xml:space="preserve">        
· Additional health equipment (ventilators)
· Personal Protective Equipment
· Bonuses for front line health-workers dealing with Covid-19
· Setting up a new quarantine center</t>
    </r>
  </si>
  <si>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</si>
  <si>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</si>
  <si>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</si>
  <si>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t xml:space="preserve">Additional spending and foregone revenue (BGN 0.49 bn in 2020 and 1.07 bn in 2021):
</t>
    </r>
    <r>
      <rPr>
        <sz val="10"/>
        <color theme="1"/>
        <rFont val="Arial"/>
        <family val="2"/>
      </rPr>
      <t>• Purchase of protection equipment as well as for disinfectants, disinfection of work premises, thermometers for remote measurement, PCR tests etc. (86.6 mn in 2020 and 116.7 mn in 2021)
• Support for first-line staff directly involved in activities to prevent the spread of COVID-19 (34.2 mn in 2020 and 157.4 mn in 2021)
• Funding the providers of medical care, dental care and medical diagnostic activities for work in unfavorable conditions in connection with the declared epidemic situation and the treatment of COVID-19 (320.6 mn in 2020 and 427.5 mn in 2021)
• Subsidies, capital transfers and expenses to medical institutions (35.1 mn in 2020 and 35.3 mn in 2021)
• Supplement to the remuneration of hospital care providers (237 mn in 2021)
• Provision of medicinal products to individuals in the fight against the pandemic of COVID-19 / 2021 provision vaccine (BGN 12 mn in 2020 and 94.4 mn in 2021)</t>
    </r>
    <r>
      <rPr>
        <b/>
        <sz val="10"/>
        <color theme="1"/>
        <rFont val="Arial"/>
        <family val="2"/>
      </rPr>
      <t xml:space="preserve">
Foregone Revenue:
</t>
    </r>
    <r>
      <rPr>
        <sz val="10"/>
        <color theme="1"/>
        <rFont val="Arial"/>
        <family val="2"/>
      </rPr>
      <t>• Exemption from VAT and customs duties on imports of certain medical supplies needed to combat the effects of the COVID-19 pandemic (2.8 mn in 2021)</t>
    </r>
  </si>
  <si>
    <r>
      <t xml:space="preserve">Additional spending (BGN 1.43 bn in 2020 and 1.63 bn in 2021): 
</t>
    </r>
    <r>
      <rPr>
        <sz val="10"/>
        <rFont val="Arial"/>
        <family val="2"/>
      </rPr>
      <t xml:space="preserve">• Support to households: (i) Payment of additional amounts to the pensions in the amount of BGN 50 per month from August 2020 to March 2021 (530 mn in 2020 and 318 mn in 2021) and increase in minimum pension starting January 2021 (BGN 474 mn in 2021); (ii) Support for children and families (BGN 65 mn in 2020 and BGN 114.7 mn in 2021); (iii) increase in the cost of short-term benefits and allowances linked to the expected increase in unemployed (BGN 297.5 mn in 2021); (iv) One-time financial support for food products to pensioners receiving a low pension (BGN 47 mn in 2021); (v) Assistance for the use of tourist services for domestic tourism (BGN 10 mn in 2021)
• Support to firms: (i) Support to Bulgarian artists and artists directly affected by the cessation of mass events in the country (BGN 2.5 mn in both 2020 and 2021); (ii) Subsidy for tour operators who use air carriers with a valid operating license to operate charter flights to the Republic of Bulgaria for tourism in the amount of 35 euros for each seat of the maximum passenger capacity of the aircraft for each flight (BGN7.2 mn in 2020 and BGN 40 mn in 2021); (iii) Support to farmers affected by the pandemic (BGN 84.6 mn in 2020)
• Support to employment: (i) Job retention scheme ("60/40 scheme) under which the state covers 60 percent (80 percent in the tourism sector) of the wages and employer's insurance payments of employees of private companies affected by the pandemic (BGN 719 mn in 2020 and BGN 300 mn in 2021); (ii) Employment programs and training measures to support the unemployed and employers (BGN 0.004 mn in 2020 and 0.010 in 2021)
• Other spending: (i) Providing opportunities for distance learning in the education system (17 mn in 2020 and 11.9 mn in 2021); (ii) Support for remote form of work in case of declared emergency epidemic situation (0.2 mn in 2020 and 2021) 
</t>
    </r>
    <r>
      <rPr>
        <b/>
        <sz val="10"/>
        <rFont val="Arial"/>
        <family val="2"/>
      </rPr>
      <t xml:space="preserve">Forgone revenue (BGN 0.11 bn in 2020 and 0.38 bn in 2021):  
</t>
    </r>
    <r>
      <rPr>
        <sz val="10"/>
        <rFont val="Arial"/>
        <family val="2"/>
      </rPr>
      <t>• Reduction of the VAT rate to 9% for the period July 2020 - December 2021, for supplies of certain goods and services (BGN 108.3 mn in 2020 and BGN 234.4 in 2021)
• Tax relief for children and for children with disabilities starting in 2021 (BGN 143.4 mn in 2021)</t>
    </r>
  </si>
  <si>
    <r>
      <rPr>
        <b/>
        <sz val="10"/>
        <color theme="1"/>
        <rFont val="Arial"/>
        <family val="2"/>
      </rPr>
      <t>Deferred revenue</t>
    </r>
    <r>
      <rPr>
        <sz val="10"/>
        <color theme="1"/>
        <rFont val="Arial"/>
        <family val="2"/>
      </rPr>
      <t xml:space="preserve">: Deferral of corporate tax payments till June 30. </t>
    </r>
  </si>
  <si>
    <t xml:space="preserve">• Capital increase in the state-owned bank (BGN 700 Mn) for the provision of financial instruments to support individuals and companies affected by the pandemic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</si>
  <si>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</si>
  <si>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</si>
  <si>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</si>
  <si>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</si>
  <si>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</si>
  <si>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</si>
  <si>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</si>
  <si>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</si>
  <si>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</si>
  <si>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</si>
  <si>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</si>
  <si>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2.5 percent of GDP.</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</si>
  <si>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</si>
  <si>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</si>
  <si>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</si>
  <si>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</si>
  <si>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</si>
  <si>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</si>
  <si>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(1) salaries up to 750 GEL will be fully exempt from income tax; and (2) for salaries up to 1,500 GEL, 750 GEL will be exempt from income tax.
• Property and income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</si>
  <si>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</si>
  <si>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</si>
  <si>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t>Credit guarantee scheme to support SMEs and micro enterprises.</t>
  </si>
  <si>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</si>
  <si>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</si>
  <si>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</si>
  <si>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</si>
  <si>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</si>
  <si>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</si>
  <si>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</si>
  <si>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 Implementation of a Wage Support Scheme and Self-Employed Assistance Scheme, providing financial support to employees who become unemployed during the lockdown/curfew period, as well as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</si>
  <si>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</si>
  <si>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</si>
  <si>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r>
      <rPr>
        <b/>
        <sz val="10"/>
        <color theme="1"/>
        <rFont val="Arial"/>
        <family val="2"/>
      </rPr>
      <t>Non-Spending Measures:</t>
    </r>
    <r>
      <rPr>
        <sz val="10"/>
        <color theme="1"/>
        <rFont val="Arial"/>
        <family val="2"/>
      </rPr>
      <t xml:space="preserve">
Abolished the import duty on medical supplies</t>
    </r>
  </si>
  <si>
    <t>Several interest free or low interest rate loans to SMEs from the MKD development banks channeled through commercial banks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</si>
  <si>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</si>
  <si>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</si>
  <si>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</si>
  <si>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</si>
  <si>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</si>
  <si>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</si>
  <si>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</si>
  <si>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</si>
  <si>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</si>
  <si>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</si>
  <si>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</si>
  <si>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</si>
  <si>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</si>
  <si>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r>
      <rPr>
        <b/>
        <sz val="10"/>
        <color theme="1"/>
        <rFont val="Arial"/>
        <family val="2"/>
      </rPr>
      <t xml:space="preserve">Additional spending (PLN 151 bn): </t>
    </r>
    <r>
      <rPr>
        <sz val="10"/>
        <color theme="1"/>
        <rFont val="Arial"/>
        <family val="2"/>
      </rPr>
      <t>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t>
    </r>
    <r>
      <rPr>
        <b/>
        <sz val="10"/>
        <color theme="1"/>
        <rFont val="Arial"/>
        <family val="2"/>
      </rPr>
      <t xml:space="preserve">
Foregone revenue: (PLN 15.7 bn or 0.7 percent of GDP)</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t>
    </r>
  </si>
  <si>
    <r>
      <rPr>
        <b/>
        <sz val="10"/>
        <color theme="1"/>
        <rFont val="Arial"/>
        <family val="2"/>
      </rPr>
      <t>Deferred revenue</t>
    </r>
    <r>
      <rPr>
        <sz val="10"/>
        <color theme="1"/>
        <rFont val="Arial"/>
        <family val="2"/>
      </rPr>
      <t xml:space="preserve">: Postponement of social insurance contributions. Possible deferral, payment in installments of taxes. </t>
    </r>
  </si>
  <si>
    <t>The share of below-the-line activity in the PFR liquidity loans for firms.</t>
  </si>
  <si>
    <t xml:space="preserve">• Credit guarantees and micro-loans for entrepreneurs from the Polish Development Fund and BGK state-owned development bank estimated to be 74 bn (3.2 percent of GDP)
</t>
  </si>
  <si>
    <t>“Accelerated EU funds absorption; relaxed state aid rules (in line with EU approval)”</t>
  </si>
  <si>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</si>
  <si>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</si>
  <si>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</si>
  <si>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</si>
  <si>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</si>
  <si>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</si>
  <si>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</si>
  <si>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</si>
  <si>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 A state guarantee scheme for bank loans to SMEs has been approved (exposure of RSD 56.5bn)
</t>
  </si>
  <si>
    <t>EUR 200mn (0.4 percent of GDP) subsidized loans (1 percent interest rate) to SMEs from the Development Fund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</si>
  <si>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</si>
  <si>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</si>
  <si>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</si>
  <si>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</si>
  <si>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</si>
  <si>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</si>
  <si>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</si>
  <si>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</si>
  <si>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</si>
  <si>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</si>
  <si>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</si>
  <si>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</si>
  <si>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</si>
  <si>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</si>
  <si>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</si>
  <si>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</si>
  <si>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</si>
  <si>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</si>
  <si>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</si>
  <si>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</si>
  <si>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</si>
  <si>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</si>
  <si>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</si>
  <si>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</si>
  <si>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</si>
  <si>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</si>
  <si>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</si>
  <si>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</si>
  <si>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</si>
  <si>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t>Loans to banks for on-lending to the cashew sector.</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</si>
  <si>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</si>
  <si>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</si>
  <si>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</si>
  <si>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</si>
  <si>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</si>
  <si>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</si>
  <si>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</si>
  <si>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</si>
  <si>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</si>
  <si>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</si>
  <si>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t>Establish funds to on lend to support SME, MFI, small farmers, trade financing.
Additional 100 billion kyat from re-appropriation of ministries’ budget was allocated to COVID-19 Fund for providing soft loans to COVID-19 affected businesses.</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</si>
  <si>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</si>
  <si>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</si>
  <si>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t>Lending program to provide support for small and medium-sized enterprises and firms in tourism sector (1.4 percent of GDP)</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</si>
  <si>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</si>
  <si>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</si>
  <si>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</si>
  <si>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</si>
  <si>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</si>
  <si>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</si>
  <si>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</si>
  <si>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</si>
  <si>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</si>
  <si>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</si>
  <si>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</si>
  <si>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</si>
  <si>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</si>
  <si>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General government</t>
  </si>
  <si>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</si>
  <si>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</si>
  <si>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</si>
  <si>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</si>
  <si>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</si>
  <si>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</si>
  <si>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</si>
  <si>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</si>
  <si>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</si>
  <si>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 xml:space="preserve">1/ The country list includes European Union as well, but the total global fiscal support does not include measures announced by the European Union because those are financing the measures by member states, which are included individually. </t>
  </si>
  <si>
    <t>iso</t>
  </si>
  <si>
    <t>AEs</t>
  </si>
  <si>
    <t>country</t>
  </si>
  <si>
    <t>Additional spending and forgone revenue</t>
  </si>
  <si>
    <t>Equity, loans, and guarantees</t>
  </si>
  <si>
    <t>EMMIEs</t>
  </si>
  <si>
    <t>LIDCs</t>
  </si>
  <si>
    <t>Cote d'Ivoire</t>
  </si>
  <si>
    <t>NER</t>
  </si>
  <si>
    <t>NPL</t>
  </si>
  <si>
    <t>CIV</t>
  </si>
  <si>
    <t>ZMB</t>
  </si>
  <si>
    <t>UZB</t>
  </si>
  <si>
    <t>DNK</t>
  </si>
  <si>
    <t>FIN</t>
  </si>
  <si>
    <t>KOR</t>
  </si>
  <si>
    <t>ESP</t>
  </si>
  <si>
    <t>SWE</t>
  </si>
  <si>
    <t>NOR</t>
  </si>
  <si>
    <t>NLD</t>
  </si>
  <si>
    <t>CHE</t>
  </si>
  <si>
    <t>CZE</t>
  </si>
  <si>
    <t>ITA</t>
  </si>
  <si>
    <t>BEL</t>
  </si>
  <si>
    <t>FRA</t>
  </si>
  <si>
    <t>DEU</t>
  </si>
  <si>
    <t>CAN</t>
  </si>
  <si>
    <t>JPN</t>
  </si>
  <si>
    <t>AUS</t>
  </si>
  <si>
    <t>SGP</t>
  </si>
  <si>
    <t>GBR</t>
  </si>
  <si>
    <t>USA</t>
  </si>
  <si>
    <t>NZL</t>
  </si>
  <si>
    <t>MEX</t>
  </si>
  <si>
    <t>TUR</t>
  </si>
  <si>
    <t>ALB</t>
  </si>
  <si>
    <t>EGY</t>
  </si>
  <si>
    <t>PAK</t>
  </si>
  <si>
    <t>SAU</t>
  </si>
  <si>
    <t>ROU</t>
  </si>
  <si>
    <t>KAZ</t>
  </si>
  <si>
    <t>TUN</t>
  </si>
  <si>
    <t>ARE</t>
  </si>
  <si>
    <t>PHL</t>
  </si>
  <si>
    <t>IDN</t>
  </si>
  <si>
    <t>RUS</t>
  </si>
  <si>
    <t>IND</t>
  </si>
  <si>
    <t>ARG</t>
  </si>
  <si>
    <t>COL</t>
  </si>
  <si>
    <t>BGR</t>
  </si>
  <si>
    <t>CHN</t>
  </si>
  <si>
    <t>PER</t>
  </si>
  <si>
    <t>ZAF</t>
  </si>
  <si>
    <t>GEO</t>
  </si>
  <si>
    <t>POL</t>
  </si>
  <si>
    <t>BRA</t>
  </si>
  <si>
    <t>THA</t>
  </si>
  <si>
    <t>CHL</t>
  </si>
  <si>
    <t>VNM</t>
  </si>
  <si>
    <t>BGD</t>
  </si>
  <si>
    <t>NGA</t>
  </si>
  <si>
    <t>ETH</t>
  </si>
  <si>
    <t>HND</t>
  </si>
  <si>
    <t>KEN</t>
  </si>
  <si>
    <t>GHA</t>
  </si>
  <si>
    <t>SEN</t>
  </si>
  <si>
    <t>GNB</t>
  </si>
  <si>
    <t>Emerging Economies</t>
  </si>
  <si>
    <t>Advanced Economies</t>
  </si>
  <si>
    <t>Low-Income Developing Countries</t>
  </si>
  <si>
    <r>
      <rPr>
        <b/>
        <sz val="10"/>
        <color theme="1"/>
        <rFont val="Arial"/>
        <family val="2"/>
      </rPr>
      <t>Additional spending (JPY 9.6 tn):</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4.8 tn)</t>
    </r>
  </si>
  <si>
    <r>
      <t>Additional spending (JPY 74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(including below measures) totaling JPY 4.7 tn (excluding the spending approved on December 11, which is a part of the December 2020 package.
•  Replenishment of the cash transfer program for affected firms (JPY 0.9 tn)
•  Replenishment of the emergency loan program for affected households (JPY 0.5 tn)
•  Enhancement of healthcare capacity (JPY1.7 tn)
•  Procurement of vaccines (JPY 0.8 tn)
•  Top up the Employment Adjustment Subsidy (JPY 0.4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</si>
  <si>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</si>
  <si>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rPr>
        <b/>
        <sz val="10"/>
        <color theme="1"/>
        <rFont val="Arial"/>
        <family val="2"/>
      </rPr>
      <t>Spending Measures:</t>
    </r>
    <r>
      <rPr>
        <sz val="10"/>
        <color theme="1"/>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color theme="1"/>
        <rFont val="Arial"/>
        <family val="2"/>
      </rPr>
      <t>Non-Spending Measures:</t>
    </r>
    <r>
      <rPr>
        <sz val="10"/>
        <color theme="1"/>
        <rFont val="Arial"/>
        <family val="2"/>
      </rPr>
      <t xml:space="preserve">
Lowering the late interest rate for public taxes and duties from 0.03% to 0.015%.
Lowering the penalty rate, by 50% i.e. to 5% for corporates and to 4% for the households.</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</si>
  <si>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</si>
  <si>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December 31, 2020 but the implementation could span across 2020, 2021, or beyond. Measures are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January 2021 World Economic Outlook Update for 2020 estimates unless otherwise stated. For Argentina, U.S. dollar values use end-December 2020 exchange rate. G20 = Group of Twenty; AE = Advanced Economy; EM = Emerging Market; LIDC = Low Income Developing Country. </t>
  </si>
  <si>
    <t>MMR</t>
  </si>
  <si>
    <t>• Credit recovery program by KAMCO(KRW 2.0tn)
• Loan expansion to SMEs provided by state-backed financial institutions(KRW 21.2tn)
• Support package to stabilize corporate bond and short-term funding market (except P-CBO)(KRW 11.1tn)
• Low-rated corporate bond and CP purchase program(KRW 20.0tn)
• Key Industry Stabilization Fund(KRW 40.0tn)
• Stock Market Stabilization Fund(KRW 10.7tn)
• Bond Market Stabilization Fund(KRW 20.0tn)</t>
  </si>
  <si>
    <t>Table 1. Summary of Country Fiscal Measures in Response to the COVID-19 Pandemic since January 2020</t>
  </si>
  <si>
    <t>(USD billion and percent of 2020 GDP)</t>
  </si>
  <si>
    <t>GDP 2020 Usbn</t>
  </si>
  <si>
    <t>ab_us</t>
  </si>
  <si>
    <t>health_us</t>
  </si>
  <si>
    <t>nhealth_us</t>
  </si>
  <si>
    <t>acc_us</t>
  </si>
  <si>
    <t>of_us</t>
  </si>
  <si>
    <t>be_us</t>
  </si>
  <si>
    <t>gu_us</t>
  </si>
  <si>
    <t>qf_us</t>
  </si>
  <si>
    <t>ab_per</t>
  </si>
  <si>
    <t>health_per</t>
  </si>
  <si>
    <t>nhealth_per</t>
  </si>
  <si>
    <t>acc_per</t>
  </si>
  <si>
    <t>of_per</t>
  </si>
  <si>
    <t>be_per</t>
  </si>
  <si>
    <t>gu_per</t>
  </si>
  <si>
    <t>Country</t>
  </si>
  <si>
    <t>AUT</t>
  </si>
  <si>
    <t>EST</t>
  </si>
  <si>
    <t>GRC</t>
  </si>
  <si>
    <t>ISL</t>
  </si>
  <si>
    <t>IRL</t>
  </si>
  <si>
    <t>ISR</t>
  </si>
  <si>
    <t>LVA</t>
  </si>
  <si>
    <t>LTU</t>
  </si>
  <si>
    <t>LUX</t>
  </si>
  <si>
    <t>PRT</t>
  </si>
  <si>
    <t>SVK</t>
  </si>
  <si>
    <t>SVN</t>
  </si>
  <si>
    <t>CRI</t>
  </si>
  <si>
    <t>HUN</t>
  </si>
  <si>
    <t>Quarter</t>
  </si>
  <si>
    <t>Q1.2020</t>
  </si>
  <si>
    <t>GDP 2019 in US Dollar constant PPP 2019</t>
  </si>
  <si>
    <t>GDP 2019 in US Dollar constant Prices 2015</t>
  </si>
  <si>
    <t>in bn</t>
  </si>
  <si>
    <t>ab_ppp</t>
  </si>
  <si>
    <t>health_ppp</t>
  </si>
  <si>
    <t>nhealth_ppp</t>
  </si>
  <si>
    <t>acc_ppp</t>
  </si>
  <si>
    <t>be_ppp</t>
  </si>
  <si>
    <t>gu_ppp</t>
  </si>
  <si>
    <t>qf_ppp</t>
  </si>
  <si>
    <t>of_ppp</t>
  </si>
  <si>
    <t>Q2.2020</t>
  </si>
  <si>
    <t>Q2.2021</t>
  </si>
  <si>
    <t>Q3.2020</t>
  </si>
  <si>
    <t>Q4.2020</t>
  </si>
  <si>
    <t>Q1.2021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</si>
</sst>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
    <numFmt numFmtId="166" formatCode="_(* #,##0_);_(* \(#,##0\);_(* &quot;-&quot;??_);_(@_)"/>
    <numFmt numFmtId="167" formatCode="_(* #,##0.0_);_(* \(#,##0.0\);_(* &quot;-&quot;??_);_(@_)"/>
    <numFmt numFmtId="168" formatCode="0.0000"/>
    <numFmt numFmtId="169" formatCode="0.00000"/>
    <numFmt numFmtId="170" formatCode="0.000000"/>
    <numFmt numFmtId="171" formatCode="&quot;CHF&quot;\ #,##0.00"/>
    <numFmt numFmtId="172" formatCode="0.0000000"/>
    <numFmt numFmtId="173" formatCode="0.00000000000"/>
    <numFmt numFmtId="174" formatCode="_(* #,##0.000_);_(* \(#,##0.000\);_(* &quot;-&quot;??_);_(@_)"/>
  </numFmts>
  <fonts count="31">
    <font>
      <sz val="10"/>
      <color theme="1"/>
      <name val="Arial"/>
      <family val="2"/>
    </font>
    <font>
      <sz val="11"/>
      <color theme="1"/>
      <name val="Calibri"/>
      <family val="2"/>
      <scheme val="minor"/>
    </font>
    <font>
      <sz val="10"/>
      <color theme="1"/>
      <name val="Arial"/>
      <family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
      <sz val="10"/>
      <color rgb="FFFF0000"/>
      <name val="Arial"/>
      <family val="2"/>
    </font>
    <font>
      <b/>
      <sz val="10"/>
      <color theme="1"/>
      <name val="Arial"/>
      <family val="2"/>
    </font>
    <font>
      <b/>
      <sz val="16"/>
      <color rgb="FF7030A0"/>
      <name val="Arial"/>
      <family val="2"/>
    </font>
    <font>
      <b/>
      <sz val="10"/>
      <color rgb="FF7030A0"/>
      <name val="Arial"/>
      <family val="2"/>
    </font>
    <font>
      <sz val="15"/>
      <color theme="1"/>
      <name val="Arial"/>
      <family val="2"/>
    </font>
    <font>
      <b/>
      <sz val="10"/>
      <name val="Arial"/>
      <family val="2"/>
    </font>
    <font>
      <sz val="10"/>
      <name val="Arial"/>
      <family val="2"/>
    </font>
    <font>
      <sz val="11"/>
      <name val="Calibri"/>
      <family val="2"/>
      <charset val="238"/>
      <scheme val="minor"/>
    </font>
    <font>
      <sz val="10"/>
      <color theme="1"/>
      <name val="Arial"/>
      <family val="1"/>
      <charset val="2"/>
    </font>
    <font>
      <sz val="10"/>
      <color theme="1"/>
      <name val="Calibri"/>
      <family val="2"/>
    </font>
    <font>
      <sz val="10"/>
      <color theme="1"/>
      <name val="Symbol"/>
      <family val="1"/>
      <charset val="2"/>
    </font>
    <font>
      <sz val="7"/>
      <color theme="1"/>
      <name val="Arial"/>
      <family val="2"/>
    </font>
    <font>
      <sz val="10"/>
      <color theme="1"/>
      <name val="Arial"/>
      <family val="2"/>
      <charset val="2"/>
    </font>
    <font>
      <sz val="6.6"/>
      <color theme="1"/>
      <name val="Arial"/>
      <family val="2"/>
    </font>
    <font>
      <sz val="8"/>
      <color theme="1"/>
      <name val="Arial"/>
      <family val="2"/>
    </font>
    <font>
      <b/>
      <sz val="10"/>
      <color theme="1"/>
      <name val="Symbol"/>
      <family val="1"/>
      <charset val="2"/>
    </font>
    <font>
      <b/>
      <sz val="11"/>
      <color theme="1"/>
      <name val="Calibri"/>
      <family val="2"/>
      <scheme val="minor"/>
    </font>
    <font>
      <sz val="8"/>
      <name val="Arial"/>
      <family val="2"/>
    </font>
    <font>
      <sz val="8"/>
      <color rgb="FF666666"/>
      <name val="Arial"/>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FFFF"/>
        <bgColor indexed="64"/>
      </patternFill>
    </fill>
    <fill>
      <patternFill patternType="solid">
        <fgColor theme="7" tint="0.79998168889431442"/>
        <bgColor indexed="64"/>
      </patternFill>
    </fill>
    <fill>
      <patternFill patternType="solid">
        <fgColor theme="4" tint="0.79998168889431442"/>
        <bgColor indexed="64"/>
      </patternFill>
    </fill>
  </fills>
  <borders count="1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theme="0" tint="-0.499984740745262"/>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rgb="FFC0C0C0"/>
      </left>
      <right style="thin">
        <color rgb="FFC0C0C0"/>
      </right>
      <top style="thin">
        <color rgb="FFC0C0C0"/>
      </top>
      <bottom style="thin">
        <color rgb="FFC0C0C0"/>
      </bottom>
      <diagonal/>
    </border>
    <border>
      <left style="thin">
        <color indexed="64"/>
      </left>
      <right style="thin">
        <color indexed="64"/>
      </right>
      <top/>
      <bottom style="thin">
        <color indexed="64"/>
      </bottom>
      <diagonal/>
    </border>
  </borders>
  <cellStyleXfs count="5">
    <xf numFmtId="0" fontId="0" fillId="0" borderId="0"/>
    <xf numFmtId="164" fontId="2" fillId="0" borderId="0" applyFont="0" applyFill="0" applyBorder="0" applyAlignment="0" applyProtection="0"/>
    <xf numFmtId="0" fontId="3" fillId="0" borderId="0"/>
    <xf numFmtId="0" fontId="1" fillId="0" borderId="0"/>
    <xf numFmtId="43" fontId="1" fillId="0" borderId="0" applyFont="0" applyFill="0" applyBorder="0" applyAlignment="0" applyProtection="0"/>
  </cellStyleXfs>
  <cellXfs count="357">
    <xf numFmtId="0" fontId="0" fillId="0" borderId="0" xfId="0"/>
    <xf numFmtId="0" fontId="4" fillId="2" borderId="0" xfId="2" applyFont="1" applyFill="1"/>
    <xf numFmtId="0" fontId="0" fillId="2" borderId="0" xfId="0" applyFill="1"/>
    <xf numFmtId="0" fontId="5" fillId="2" borderId="0" xfId="2" applyFont="1" applyFill="1"/>
    <xf numFmtId="0" fontId="9" fillId="0" borderId="0" xfId="0" applyFont="1"/>
    <xf numFmtId="0" fontId="8" fillId="2" borderId="0" xfId="0" applyFont="1" applyFill="1" applyAlignment="1">
      <alignment horizontal="center"/>
    </xf>
    <xf numFmtId="0" fontId="10" fillId="2" borderId="0" xfId="0" applyFont="1" applyFill="1"/>
    <xf numFmtId="0" fontId="10" fillId="2" borderId="0" xfId="0" applyFont="1" applyFill="1" applyAlignment="1">
      <alignment wrapText="1"/>
    </xf>
    <xf numFmtId="0" fontId="8" fillId="2" borderId="3" xfId="0" applyFont="1" applyFill="1" applyBorder="1"/>
    <xf numFmtId="165" fontId="8" fillId="2" borderId="3" xfId="0" applyNumberFormat="1" applyFont="1" applyFill="1" applyBorder="1" applyAlignment="1">
      <alignment horizontal="center" vertical="center" wrapText="1"/>
    </xf>
    <xf numFmtId="0" fontId="8" fillId="2" borderId="3" xfId="0" applyFont="1" applyFill="1" applyBorder="1" applyAlignment="1">
      <alignment horizontal="left" vertical="center"/>
    </xf>
    <xf numFmtId="0" fontId="8" fillId="2" borderId="3" xfId="0" applyFont="1" applyFill="1" applyBorder="1" applyAlignment="1">
      <alignment vertical="center" wrapText="1"/>
    </xf>
    <xf numFmtId="0" fontId="8" fillId="2" borderId="3" xfId="0" applyFont="1" applyFill="1" applyBorder="1" applyAlignment="1">
      <alignment horizontal="left" vertical="center" wrapText="1"/>
    </xf>
    <xf numFmtId="0" fontId="11" fillId="2" borderId="0" xfId="0" applyFont="1" applyFill="1"/>
    <xf numFmtId="0" fontId="9" fillId="2" borderId="0" xfId="0" applyFont="1" applyFill="1"/>
    <xf numFmtId="0" fontId="9" fillId="2" borderId="0" xfId="0" applyFont="1" applyFill="1" applyAlignment="1">
      <alignment horizontal="left" indent="1"/>
    </xf>
    <xf numFmtId="0" fontId="0" fillId="2" borderId="0" xfId="0" applyFill="1" applyAlignment="1">
      <alignment horizontal="left" indent="1"/>
    </xf>
    <xf numFmtId="0" fontId="0" fillId="0" borderId="0" xfId="0" applyAlignment="1">
      <alignment horizontal="left" indent="1"/>
    </xf>
    <xf numFmtId="0" fontId="0" fillId="2" borderId="3" xfId="0" applyFill="1" applyBorder="1"/>
    <xf numFmtId="166" fontId="0" fillId="2" borderId="0" xfId="0" applyNumberFormat="1" applyFill="1"/>
    <xf numFmtId="0" fontId="0" fillId="2" borderId="0" xfId="0" applyFill="1" applyAlignment="1">
      <alignment wrapText="1"/>
    </xf>
    <xf numFmtId="0" fontId="14" fillId="2" borderId="3" xfId="0" applyFont="1" applyFill="1" applyBorder="1" applyAlignment="1">
      <alignment horizontal="left" vertical="center"/>
    </xf>
    <xf numFmtId="0" fontId="0" fillId="2" borderId="3" xfId="0" applyFill="1" applyBorder="1" applyAlignment="1">
      <alignment vertical="center"/>
    </xf>
    <xf numFmtId="0" fontId="15" fillId="2" borderId="3" xfId="0" applyFont="1" applyFill="1" applyBorder="1" applyAlignment="1">
      <alignment horizontal="left" vertical="center"/>
    </xf>
    <xf numFmtId="165" fontId="13" fillId="2" borderId="3" xfId="0" applyNumberFormat="1" applyFont="1" applyFill="1" applyBorder="1" applyAlignment="1">
      <alignment horizontal="center" vertical="center"/>
    </xf>
    <xf numFmtId="0" fontId="0" fillId="2" borderId="3" xfId="0" applyFill="1" applyBorder="1" applyAlignment="1">
      <alignment horizontal="left" vertical="center"/>
    </xf>
    <xf numFmtId="165" fontId="2" fillId="2" borderId="3" xfId="1" applyNumberFormat="1" applyFont="1" applyFill="1" applyBorder="1" applyAlignment="1">
      <alignment horizontal="center" vertical="center"/>
    </xf>
    <xf numFmtId="165" fontId="0" fillId="2" borderId="3"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13" fillId="2" borderId="2" xfId="0" applyNumberFormat="1" applyFont="1" applyFill="1" applyBorder="1" applyAlignment="1">
      <alignment vertical="center" wrapText="1"/>
    </xf>
    <xf numFmtId="165" fontId="13" fillId="2" borderId="2" xfId="1" applyNumberFormat="1" applyFont="1" applyFill="1" applyBorder="1" applyAlignment="1">
      <alignment vertical="center" wrapText="1"/>
    </xf>
    <xf numFmtId="0" fontId="0" fillId="4" borderId="0" xfId="0" applyFill="1" applyAlignment="1">
      <alignment horizontal="left" vertical="center"/>
    </xf>
    <xf numFmtId="0" fontId="0" fillId="2" borderId="3" xfId="0" applyFill="1" applyBorder="1" applyAlignment="1">
      <alignment horizontal="center" vertical="center" wrapText="1"/>
    </xf>
    <xf numFmtId="0" fontId="0" fillId="2" borderId="0" xfId="0" applyFill="1" applyAlignment="1">
      <alignment vertical="center" wrapText="1"/>
    </xf>
    <xf numFmtId="0" fontId="0" fillId="0" borderId="3" xfId="0" applyBorder="1" applyAlignment="1">
      <alignment horizontal="center" vertical="center" textRotation="90" wrapText="1"/>
    </xf>
    <xf numFmtId="0" fontId="0" fillId="2" borderId="3" xfId="0" applyFill="1" applyBorder="1" applyAlignment="1">
      <alignment vertical="center" textRotation="90" wrapText="1"/>
    </xf>
    <xf numFmtId="0" fontId="0" fillId="2" borderId="3" xfId="0" applyFill="1" applyBorder="1" applyAlignment="1">
      <alignment vertical="center" wrapText="1"/>
    </xf>
    <xf numFmtId="0" fontId="0" fillId="0" borderId="3" xfId="0" applyBorder="1" applyAlignment="1">
      <alignment vertical="center" textRotation="90" wrapText="1"/>
    </xf>
    <xf numFmtId="165" fontId="13" fillId="2" borderId="3" xfId="0" applyNumberFormat="1" applyFont="1" applyFill="1" applyBorder="1" applyAlignment="1">
      <alignment horizontal="center" vertical="center" wrapText="1"/>
    </xf>
    <xf numFmtId="165" fontId="0" fillId="2" borderId="3" xfId="0" applyNumberFormat="1" applyFill="1" applyBorder="1" applyAlignment="1">
      <alignment horizontal="center" vertical="center" wrapText="1"/>
    </xf>
    <xf numFmtId="165" fontId="13" fillId="2" borderId="3" xfId="1" applyNumberFormat="1" applyFont="1" applyFill="1" applyBorder="1" applyAlignment="1">
      <alignment horizontal="center" vertical="center" wrapText="1"/>
    </xf>
    <xf numFmtId="165" fontId="0" fillId="2" borderId="3" xfId="1" applyNumberFormat="1" applyFont="1" applyFill="1" applyBorder="1" applyAlignment="1">
      <alignment horizontal="center" vertical="center" wrapText="1"/>
    </xf>
    <xf numFmtId="0" fontId="0" fillId="2" borderId="3" xfId="0" applyFill="1" applyBorder="1" applyAlignment="1">
      <alignment horizontal="left" vertical="center" textRotation="90" wrapText="1"/>
    </xf>
    <xf numFmtId="0" fontId="0" fillId="2" borderId="3" xfId="0" applyFill="1" applyBorder="1" applyAlignment="1">
      <alignment wrapText="1"/>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165" fontId="18" fillId="5" borderId="0" xfId="0" applyNumberFormat="1" applyFont="1" applyFill="1" applyAlignment="1">
      <alignment horizontal="left" vertical="center" wrapText="1"/>
    </xf>
    <xf numFmtId="1" fontId="0" fillId="5" borderId="0" xfId="0" applyNumberFormat="1" applyFill="1" applyAlignment="1">
      <alignment horizontal="center" vertical="center"/>
    </xf>
    <xf numFmtId="1" fontId="2" fillId="5" borderId="0" xfId="1" applyNumberFormat="1" applyFont="1" applyFill="1" applyBorder="1" applyAlignment="1">
      <alignment horizontal="center" vertical="center" wrapText="1"/>
    </xf>
    <xf numFmtId="1" fontId="18" fillId="5" borderId="0" xfId="0" applyNumberFormat="1" applyFont="1" applyFill="1" applyAlignment="1">
      <alignment horizontal="center" vertical="center"/>
    </xf>
    <xf numFmtId="1" fontId="0" fillId="5" borderId="0" xfId="1" applyNumberFormat="1" applyFont="1" applyFill="1" applyBorder="1" applyAlignment="1">
      <alignment horizontal="center" vertical="center"/>
    </xf>
    <xf numFmtId="0" fontId="0" fillId="5" borderId="3" xfId="0" applyFill="1" applyBorder="1" applyAlignment="1">
      <alignment horizontal="left" vertical="center" textRotation="90"/>
    </xf>
    <xf numFmtId="165" fontId="0" fillId="5" borderId="3" xfId="0" applyNumberFormat="1" applyFill="1" applyBorder="1" applyAlignment="1">
      <alignment horizontal="center" vertical="center"/>
    </xf>
    <xf numFmtId="165" fontId="18" fillId="5" borderId="3" xfId="0" applyNumberFormat="1" applyFont="1" applyFill="1" applyBorder="1" applyAlignment="1">
      <alignment horizontal="center" vertical="center"/>
    </xf>
    <xf numFmtId="165" fontId="2" fillId="5" borderId="3"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1" fontId="0" fillId="5" borderId="2" xfId="0" applyNumberFormat="1" applyFill="1" applyBorder="1" applyAlignment="1">
      <alignment vertical="center" wrapText="1"/>
    </xf>
    <xf numFmtId="165" fontId="2" fillId="5" borderId="2" xfId="1" applyNumberFormat="1" applyFont="1" applyFill="1" applyBorder="1" applyAlignment="1">
      <alignment horizontal="center" vertical="center"/>
    </xf>
    <xf numFmtId="165" fontId="0" fillId="5" borderId="2" xfId="0" applyNumberFormat="1" applyFill="1" applyBorder="1" applyAlignment="1">
      <alignment horizontal="center" vertical="center"/>
    </xf>
    <xf numFmtId="0" fontId="0" fillId="2" borderId="2" xfId="0" applyFill="1" applyBorder="1" applyAlignment="1">
      <alignment vertical="center"/>
    </xf>
    <xf numFmtId="1" fontId="0" fillId="5" borderId="0" xfId="0" applyNumberFormat="1" applyFill="1" applyAlignment="1">
      <alignment vertical="center" wrapText="1"/>
    </xf>
    <xf numFmtId="165" fontId="2" fillId="5" borderId="0" xfId="1" applyNumberFormat="1" applyFont="1" applyFill="1" applyBorder="1" applyAlignment="1">
      <alignment horizontal="center" vertical="center"/>
    </xf>
    <xf numFmtId="165" fontId="0" fillId="5" borderId="3" xfId="0" applyNumberFormat="1" applyFill="1" applyBorder="1" applyAlignment="1">
      <alignment horizontal="right" vertical="center"/>
    </xf>
    <xf numFmtId="1" fontId="2" fillId="5" borderId="2" xfId="1" applyNumberFormat="1" applyFont="1" applyFill="1" applyBorder="1" applyAlignment="1">
      <alignment horizontal="center" vertical="center"/>
    </xf>
    <xf numFmtId="0" fontId="0" fillId="5" borderId="2" xfId="0" applyFill="1" applyBorder="1" applyAlignment="1">
      <alignment horizontal="left" vertical="center"/>
    </xf>
    <xf numFmtId="1" fontId="2" fillId="5" borderId="0" xfId="1" applyNumberFormat="1" applyFont="1" applyFill="1" applyBorder="1" applyAlignment="1">
      <alignment horizontal="center"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3" xfId="0" applyNumberFormat="1" applyFill="1" applyBorder="1" applyAlignment="1">
      <alignment horizontal="left" vertical="center" wrapText="1"/>
    </xf>
    <xf numFmtId="2" fontId="0" fillId="5" borderId="3" xfId="0" applyNumberFormat="1" applyFill="1" applyBorder="1" applyAlignment="1">
      <alignment horizontal="center" vertical="center"/>
    </xf>
    <xf numFmtId="166" fontId="18" fillId="5" borderId="2" xfId="0" applyNumberFormat="1" applyFont="1" applyFill="1" applyBorder="1" applyAlignment="1">
      <alignment horizontal="center" vertical="center"/>
    </xf>
    <xf numFmtId="166" fontId="2" fillId="5" borderId="2" xfId="1" applyNumberFormat="1" applyFill="1" applyBorder="1" applyAlignment="1">
      <alignment horizontal="center" vertical="center"/>
    </xf>
    <xf numFmtId="166" fontId="18" fillId="5" borderId="2" xfId="1" applyNumberFormat="1" applyFont="1" applyFill="1" applyBorder="1" applyAlignment="1">
      <alignment horizontal="center" vertical="center"/>
    </xf>
    <xf numFmtId="1" fontId="2" fillId="5" borderId="0" xfId="1" applyNumberFormat="1" applyFill="1" applyAlignment="1">
      <alignment horizontal="center" vertical="center"/>
    </xf>
    <xf numFmtId="166" fontId="0" fillId="5" borderId="0" xfId="0" applyNumberFormat="1" applyFill="1" applyAlignment="1">
      <alignment vertical="center"/>
    </xf>
    <xf numFmtId="165" fontId="2" fillId="5" borderId="3" xfId="1" applyNumberFormat="1" applyFill="1" applyBorder="1" applyAlignment="1">
      <alignment horizontal="center" vertical="center"/>
    </xf>
    <xf numFmtId="167" fontId="0" fillId="5" borderId="0" xfId="0" applyNumberFormat="1" applyFill="1" applyAlignment="1">
      <alignment vertical="center"/>
    </xf>
    <xf numFmtId="166" fontId="18" fillId="5" borderId="2" xfId="1" applyNumberFormat="1" applyFont="1" applyFill="1" applyBorder="1" applyAlignment="1">
      <alignment horizontal="left" vertical="center"/>
    </xf>
    <xf numFmtId="37" fontId="18" fillId="5" borderId="2" xfId="0" applyNumberFormat="1" applyFont="1" applyFill="1" applyBorder="1" applyAlignment="1">
      <alignment horizontal="center" vertical="center"/>
    </xf>
    <xf numFmtId="3" fontId="18" fillId="5" borderId="2" xfId="0" applyNumberFormat="1" applyFont="1" applyFill="1" applyBorder="1" applyAlignment="1">
      <alignment horizontal="center" vertical="center"/>
    </xf>
    <xf numFmtId="165" fontId="18" fillId="5" borderId="0" xfId="0" applyNumberFormat="1" applyFont="1" applyFill="1" applyAlignment="1">
      <alignment horizontal="center" vertical="center"/>
    </xf>
    <xf numFmtId="1" fontId="2" fillId="5" borderId="0" xfId="0" applyNumberFormat="1" applyFont="1" applyFill="1" applyAlignment="1">
      <alignment horizontal="center" vertical="center"/>
    </xf>
    <xf numFmtId="165" fontId="2" fillId="5" borderId="3" xfId="0" applyNumberFormat="1" applyFont="1" applyFill="1" applyBorder="1" applyAlignment="1">
      <alignment horizontal="center" vertical="center"/>
    </xf>
    <xf numFmtId="167" fontId="0" fillId="5" borderId="3" xfId="0" applyNumberFormat="1" applyFill="1" applyBorder="1" applyAlignment="1">
      <alignment vertical="center"/>
    </xf>
    <xf numFmtId="165" fontId="0" fillId="5" borderId="2" xfId="0" applyNumberFormat="1" applyFill="1" applyBorder="1" applyAlignment="1">
      <alignment horizontal="center" vertical="center" wrapText="1"/>
    </xf>
    <xf numFmtId="165" fontId="2"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65" fontId="2" fillId="5" borderId="0" xfId="0" applyNumberFormat="1" applyFont="1" applyFill="1" applyAlignment="1">
      <alignment horizontal="center" vertical="center"/>
    </xf>
    <xf numFmtId="165" fontId="0" fillId="5" borderId="3" xfId="0" applyNumberFormat="1" applyFill="1" applyBorder="1" applyAlignment="1">
      <alignment horizontal="center" vertical="center" wrapText="1"/>
    </xf>
    <xf numFmtId="1" fontId="18" fillId="5" borderId="2" xfId="1" applyNumberFormat="1" applyFont="1" applyFill="1" applyBorder="1" applyAlignment="1">
      <alignment horizontal="center" vertical="center"/>
    </xf>
    <xf numFmtId="0" fontId="0" fillId="5" borderId="0" xfId="0" applyFill="1" applyAlignment="1">
      <alignment horizontal="center" vertical="center" wrapText="1"/>
    </xf>
    <xf numFmtId="165" fontId="0" fillId="5" borderId="3" xfId="1" applyNumberFormat="1" applyFont="1" applyFill="1" applyBorder="1" applyAlignment="1">
      <alignment horizontal="center" vertical="center"/>
    </xf>
    <xf numFmtId="1" fontId="18" fillId="5" borderId="0" xfId="0" applyNumberFormat="1" applyFont="1" applyFill="1" applyAlignment="1">
      <alignment horizontal="center" vertical="center" wrapText="1"/>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2" fillId="5" borderId="2" xfId="1" applyNumberFormat="1" applyFont="1" applyFill="1" applyBorder="1" applyAlignment="1">
      <alignment horizontal="center" vertical="center" wrapText="1"/>
    </xf>
    <xf numFmtId="166" fontId="1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18" fillId="5" borderId="2" xfId="0" applyNumberFormat="1" applyFont="1" applyFill="1" applyBorder="1" applyAlignment="1">
      <alignment horizontal="center" vertical="center" wrapText="1"/>
    </xf>
    <xf numFmtId="166" fontId="2" fillId="5" borderId="2" xfId="1" applyNumberFormat="1" applyFont="1" applyFill="1" applyBorder="1" applyAlignment="1">
      <alignment horizontal="center" vertical="center" wrapText="1"/>
    </xf>
    <xf numFmtId="3" fontId="12" fillId="5" borderId="2" xfId="0" applyNumberFormat="1" applyFont="1" applyFill="1" applyBorder="1" applyAlignment="1">
      <alignment horizontal="left" vertical="center" wrapText="1"/>
    </xf>
    <xf numFmtId="165" fontId="12" fillId="5" borderId="0" xfId="0" applyNumberFormat="1" applyFont="1" applyFill="1" applyAlignment="1">
      <alignment horizontal="left" vertical="center" wrapText="1"/>
    </xf>
    <xf numFmtId="165" fontId="12" fillId="5" borderId="3" xfId="0" applyNumberFormat="1" applyFont="1" applyFill="1" applyBorder="1" applyAlignment="1">
      <alignment horizontal="left" vertical="center" wrapText="1"/>
    </xf>
    <xf numFmtId="0" fontId="0" fillId="0" borderId="0" xfId="0" applyAlignment="1">
      <alignment vertical="center" wrapText="1"/>
    </xf>
    <xf numFmtId="165" fontId="1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 fontId="18" fillId="5" borderId="2" xfId="0" applyNumberFormat="1" applyFont="1" applyFill="1" applyBorder="1" applyAlignment="1">
      <alignment horizontal="center" vertical="center" wrapText="1"/>
    </xf>
    <xf numFmtId="165" fontId="18" fillId="5" borderId="3" xfId="0" applyNumberFormat="1" applyFont="1" applyFill="1" applyBorder="1" applyAlignment="1">
      <alignment horizontal="center" vertical="center" wrapText="1"/>
    </xf>
    <xf numFmtId="1" fontId="19" fillId="5" borderId="2" xfId="0" applyNumberFormat="1" applyFont="1" applyFill="1" applyBorder="1" applyAlignment="1">
      <alignment horizontal="center" vertical="center" wrapText="1"/>
    </xf>
    <xf numFmtId="1" fontId="19" fillId="5" borderId="2" xfId="1" applyNumberFormat="1" applyFont="1" applyFill="1" applyBorder="1" applyAlignment="1">
      <alignment horizontal="center" vertical="center" wrapText="1"/>
    </xf>
    <xf numFmtId="165" fontId="2" fillId="5" borderId="0" xfId="1" applyNumberFormat="1" applyFont="1" applyFill="1" applyBorder="1" applyAlignment="1">
      <alignment horizontal="center" vertical="center" wrapText="1"/>
    </xf>
    <xf numFmtId="165" fontId="18" fillId="5" borderId="2" xfId="0" applyNumberFormat="1" applyFont="1" applyFill="1" applyBorder="1" applyAlignment="1">
      <alignment horizontal="center" vertical="center"/>
    </xf>
    <xf numFmtId="1" fontId="18" fillId="5" borderId="2" xfId="0" applyNumberFormat="1" applyFont="1" applyFill="1" applyBorder="1" applyAlignment="1">
      <alignment horizontal="center" vertical="center"/>
    </xf>
    <xf numFmtId="0" fontId="0" fillId="5" borderId="0" xfId="0" applyFill="1" applyAlignment="1">
      <alignment horizontal="left" wrapText="1"/>
    </xf>
    <xf numFmtId="165" fontId="18" fillId="5" borderId="0" xfId="1" applyNumberFormat="1" applyFont="1" applyFill="1" applyBorder="1" applyAlignment="1">
      <alignment horizontal="center" vertical="center"/>
    </xf>
    <xf numFmtId="1" fontId="0" fillId="5" borderId="3" xfId="0" applyNumberFormat="1" applyFill="1" applyBorder="1" applyAlignment="1">
      <alignment horizontal="center" vertical="center"/>
    </xf>
    <xf numFmtId="166" fontId="2" fillId="5" borderId="2" xfId="1" applyNumberFormat="1" applyFont="1" applyFill="1" applyBorder="1" applyAlignment="1">
      <alignment horizontal="left" vertical="center" wrapText="1"/>
    </xf>
    <xf numFmtId="165" fontId="12" fillId="5" borderId="0" xfId="0" applyNumberFormat="1" applyFont="1" applyFill="1" applyAlignment="1">
      <alignment horizontal="center" vertical="center"/>
    </xf>
    <xf numFmtId="0" fontId="0" fillId="5" borderId="3" xfId="0" applyFill="1" applyBorder="1" applyAlignment="1">
      <alignment horizontal="center" vertical="center" wrapText="1"/>
    </xf>
    <xf numFmtId="0" fontId="0" fillId="5" borderId="4"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2" fillId="0" borderId="0" xfId="0" applyFont="1" applyAlignment="1">
      <alignment vertical="center"/>
    </xf>
    <xf numFmtId="165" fontId="0" fillId="5" borderId="2" xfId="0" applyNumberFormat="1" applyFill="1" applyBorder="1" applyAlignment="1">
      <alignment vertical="center" wrapText="1"/>
    </xf>
    <xf numFmtId="165" fontId="0" fillId="5" borderId="2" xfId="1" applyNumberFormat="1" applyFont="1" applyFill="1" applyBorder="1" applyAlignment="1">
      <alignment horizontal="center" vertical="center" wrapText="1"/>
    </xf>
    <xf numFmtId="165" fontId="1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6" fontId="0" fillId="5" borderId="2" xfId="1" applyNumberFormat="1" applyFont="1" applyFill="1" applyBorder="1" applyAlignment="1">
      <alignment vertical="center" wrapText="1"/>
    </xf>
    <xf numFmtId="166" fontId="0" fillId="5" borderId="2" xfId="0" applyNumberFormat="1" applyFill="1" applyBorder="1" applyAlignment="1">
      <alignment horizontal="center" vertical="center" wrapText="1"/>
    </xf>
    <xf numFmtId="167" fontId="0" fillId="5" borderId="0" xfId="0" applyNumberFormat="1" applyFill="1" applyAlignment="1">
      <alignment horizontal="left" vertical="center"/>
    </xf>
    <xf numFmtId="167" fontId="0" fillId="5" borderId="3" xfId="0" applyNumberFormat="1" applyFill="1" applyBorder="1" applyAlignment="1">
      <alignment horizontal="left" vertical="center"/>
    </xf>
    <xf numFmtId="167" fontId="0" fillId="5" borderId="2" xfId="0" applyNumberFormat="1" applyFill="1" applyBorder="1" applyAlignment="1">
      <alignment horizontal="left" vertical="center"/>
    </xf>
    <xf numFmtId="165" fontId="0" fillId="2" borderId="0" xfId="0" applyNumberFormat="1" applyFill="1" applyAlignment="1">
      <alignment horizontal="center" vertical="center"/>
    </xf>
    <xf numFmtId="165" fontId="2" fillId="2" borderId="0" xfId="1" applyNumberFormat="1" applyFont="1" applyFill="1" applyBorder="1" applyAlignment="1">
      <alignment horizontal="center" vertical="center"/>
    </xf>
    <xf numFmtId="0" fontId="0" fillId="0" borderId="0" xfId="0" applyAlignment="1">
      <alignment horizontal="center" vertical="center"/>
    </xf>
    <xf numFmtId="0" fontId="18" fillId="0" borderId="0" xfId="0" applyFont="1"/>
    <xf numFmtId="0" fontId="18" fillId="0" borderId="6" xfId="0" applyFont="1" applyBorder="1"/>
    <xf numFmtId="0" fontId="18" fillId="0" borderId="2" xfId="0" applyFont="1" applyBorder="1"/>
    <xf numFmtId="0" fontId="3" fillId="0" borderId="2" xfId="2" applyBorder="1"/>
    <xf numFmtId="0" fontId="3" fillId="0" borderId="7" xfId="2" applyBorder="1"/>
    <xf numFmtId="0" fontId="18" fillId="0" borderId="5" xfId="0" applyFont="1" applyBorder="1"/>
    <xf numFmtId="165" fontId="18" fillId="0" borderId="0" xfId="0" applyNumberFormat="1" applyFont="1"/>
    <xf numFmtId="0" fontId="18" fillId="0" borderId="8" xfId="0" applyFont="1" applyBorder="1"/>
    <xf numFmtId="2" fontId="18" fillId="0" borderId="0" xfId="0" applyNumberFormat="1" applyFont="1"/>
    <xf numFmtId="0" fontId="18" fillId="0" borderId="0" xfId="0" quotePrefix="1" applyFont="1"/>
    <xf numFmtId="0" fontId="18" fillId="0" borderId="9" xfId="0" applyFont="1" applyBorder="1"/>
    <xf numFmtId="0" fontId="18" fillId="0" borderId="3" xfId="0" applyFont="1" applyBorder="1"/>
    <xf numFmtId="1" fontId="18" fillId="0" borderId="0" xfId="0" applyNumberFormat="1" applyFont="1"/>
    <xf numFmtId="1" fontId="18" fillId="0" borderId="8" xfId="0" applyNumberFormat="1" applyFont="1" applyBorder="1"/>
    <xf numFmtId="0" fontId="18" fillId="0" borderId="10" xfId="0" applyFont="1" applyBorder="1"/>
    <xf numFmtId="0" fontId="3" fillId="0" borderId="0" xfId="2"/>
    <xf numFmtId="0" fontId="3" fillId="0" borderId="8" xfId="2" applyBorder="1"/>
    <xf numFmtId="165" fontId="18" fillId="0" borderId="3" xfId="0" applyNumberFormat="1" applyFont="1" applyBorder="1"/>
    <xf numFmtId="0" fontId="13" fillId="2" borderId="0" xfId="0" applyFont="1" applyFill="1"/>
    <xf numFmtId="165" fontId="0" fillId="5" borderId="0" xfId="1" applyNumberFormat="1"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0" fillId="2" borderId="0" xfId="0" applyFill="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0" fillId="2" borderId="0" xfId="0" applyFill="1" applyAlignment="1">
      <alignment horizontal="center" vertical="center"/>
    </xf>
    <xf numFmtId="0" fontId="0" fillId="5" borderId="2" xfId="0" applyFill="1" applyBorder="1" applyAlignment="1">
      <alignment vertical="center" wrapText="1"/>
    </xf>
    <xf numFmtId="0" fontId="0" fillId="5" borderId="0" xfId="0" applyFill="1" applyAlignment="1">
      <alignment vertical="center" wrapText="1"/>
    </xf>
    <xf numFmtId="0" fontId="18"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2" xfId="0" applyNumberFormat="1" applyFill="1" applyBorder="1" applyAlignment="1">
      <alignment horizontal="left" vertical="center" wrapText="1"/>
    </xf>
    <xf numFmtId="0" fontId="12" fillId="5" borderId="2"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5" borderId="0" xfId="0" applyFill="1" applyAlignment="1">
      <alignment horizontal="left" vertical="center"/>
    </xf>
    <xf numFmtId="0" fontId="0" fillId="5" borderId="3" xfId="0" applyFill="1" applyBorder="1" applyAlignment="1">
      <alignment horizontal="left" vertical="center"/>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8" fillId="2" borderId="3" xfId="0" applyFont="1" applyFill="1" applyBorder="1" applyAlignment="1">
      <alignment horizontal="center" vertical="center" wrapText="1"/>
    </xf>
    <xf numFmtId="169" fontId="9" fillId="0" borderId="0" xfId="1" applyNumberFormat="1" applyFont="1" applyFill="1" applyAlignment="1"/>
    <xf numFmtId="169" fontId="11" fillId="0" borderId="0" xfId="1" applyNumberFormat="1" applyFont="1" applyFill="1" applyAlignment="1">
      <alignment horizontal="right"/>
    </xf>
    <xf numFmtId="169" fontId="11" fillId="0" borderId="0" xfId="1" applyNumberFormat="1" applyFont="1" applyFill="1" applyAlignment="1"/>
    <xf numFmtId="170" fontId="11" fillId="0" borderId="0" xfId="1" applyNumberFormat="1" applyFont="1" applyFill="1" applyAlignment="1">
      <alignment horizontal="right"/>
    </xf>
    <xf numFmtId="170" fontId="9" fillId="0" borderId="0" xfId="1" applyNumberFormat="1" applyFont="1" applyFill="1" applyAlignment="1"/>
    <xf numFmtId="170" fontId="11" fillId="0" borderId="0" xfId="1" applyNumberFormat="1" applyFont="1" applyFill="1" applyAlignment="1"/>
    <xf numFmtId="1" fontId="0" fillId="0" borderId="0" xfId="0" applyNumberFormat="1"/>
    <xf numFmtId="0" fontId="0" fillId="6" borderId="0" xfId="0" applyFill="1" applyAlignment="1">
      <alignment horizontal="left" indent="1"/>
    </xf>
    <xf numFmtId="0" fontId="0" fillId="6" borderId="0" xfId="0" applyFill="1"/>
    <xf numFmtId="0" fontId="1" fillId="0" borderId="0" xfId="3"/>
    <xf numFmtId="168" fontId="9" fillId="0" borderId="0" xfId="4" applyNumberFormat="1" applyFont="1" applyFill="1" applyAlignment="1"/>
    <xf numFmtId="168" fontId="11" fillId="0" borderId="0" xfId="4" applyNumberFormat="1" applyFont="1" applyFill="1" applyAlignment="1"/>
    <xf numFmtId="168" fontId="11" fillId="0" borderId="0" xfId="4" applyNumberFormat="1" applyFont="1" applyFill="1" applyAlignment="1">
      <alignment horizontal="right"/>
    </xf>
    <xf numFmtId="0" fontId="9" fillId="2" borderId="0" xfId="3" applyFont="1" applyFill="1" applyAlignment="1">
      <alignment horizontal="left" indent="1"/>
    </xf>
    <xf numFmtId="0" fontId="1" fillId="2" borderId="0" xfId="3" applyFill="1" applyAlignment="1">
      <alignment horizontal="left" indent="1"/>
    </xf>
    <xf numFmtId="0" fontId="1" fillId="0" borderId="0" xfId="3" applyAlignment="1">
      <alignment horizontal="left" indent="1"/>
    </xf>
    <xf numFmtId="0" fontId="8" fillId="2" borderId="3" xfId="3" applyFont="1" applyFill="1" applyBorder="1" applyAlignment="1">
      <alignment horizontal="center" vertical="center" wrapText="1"/>
    </xf>
    <xf numFmtId="0" fontId="8" fillId="2" borderId="3" xfId="3" applyFont="1" applyFill="1" applyBorder="1" applyAlignment="1">
      <alignment horizontal="left" vertical="center" wrapText="1"/>
    </xf>
    <xf numFmtId="0" fontId="8" fillId="2" borderId="3" xfId="3" applyFont="1" applyFill="1" applyBorder="1" applyAlignment="1">
      <alignment vertical="center" wrapText="1"/>
    </xf>
    <xf numFmtId="165" fontId="8" fillId="2" borderId="3" xfId="3" applyNumberFormat="1" applyFont="1" applyFill="1" applyBorder="1" applyAlignment="1">
      <alignment horizontal="center" vertical="center" wrapText="1"/>
    </xf>
    <xf numFmtId="0" fontId="8" fillId="2" borderId="3" xfId="3" applyFont="1" applyFill="1" applyBorder="1"/>
    <xf numFmtId="0" fontId="10" fillId="2" borderId="0" xfId="3" applyFont="1" applyFill="1" applyAlignment="1">
      <alignment wrapText="1"/>
    </xf>
    <xf numFmtId="0" fontId="8" fillId="2" borderId="0" xfId="3" applyFont="1" applyFill="1" applyAlignment="1">
      <alignment horizontal="center"/>
    </xf>
    <xf numFmtId="0" fontId="1" fillId="2" borderId="0" xfId="3" applyFill="1"/>
    <xf numFmtId="168" fontId="0" fillId="0" borderId="0" xfId="0" applyNumberFormat="1"/>
    <xf numFmtId="0" fontId="9" fillId="2" borderId="11" xfId="3" applyFont="1" applyFill="1" applyBorder="1" applyAlignment="1">
      <alignment horizontal="left" indent="1"/>
    </xf>
    <xf numFmtId="168" fontId="9" fillId="0" borderId="11" xfId="4" applyNumberFormat="1" applyFont="1" applyFill="1" applyBorder="1" applyAlignment="1"/>
    <xf numFmtId="0" fontId="9" fillId="2" borderId="11" xfId="0" applyFont="1" applyFill="1" applyBorder="1" applyAlignment="1">
      <alignment horizontal="left" indent="1"/>
    </xf>
    <xf numFmtId="169" fontId="11" fillId="0" borderId="11" xfId="1" applyNumberFormat="1" applyFont="1" applyFill="1" applyBorder="1" applyAlignment="1">
      <alignment horizontal="right"/>
    </xf>
    <xf numFmtId="169" fontId="9" fillId="0" borderId="11" xfId="1" applyNumberFormat="1" applyFont="1" applyFill="1" applyBorder="1" applyAlignment="1"/>
    <xf numFmtId="169" fontId="11" fillId="0" borderId="11" xfId="1" applyNumberFormat="1" applyFont="1" applyFill="1" applyBorder="1" applyAlignment="1"/>
    <xf numFmtId="0" fontId="0" fillId="2" borderId="11" xfId="0" applyFill="1" applyBorder="1" applyAlignment="1">
      <alignment horizontal="left" indent="1"/>
    </xf>
    <xf numFmtId="0" fontId="0" fillId="0" borderId="11" xfId="0" applyBorder="1" applyAlignment="1">
      <alignment horizontal="left" indent="1"/>
    </xf>
    <xf numFmtId="168" fontId="11" fillId="0" borderId="0" xfId="1" applyNumberFormat="1" applyFont="1" applyFill="1" applyAlignment="1">
      <alignment horizontal="right"/>
    </xf>
    <xf numFmtId="168" fontId="9" fillId="0" borderId="0" xfId="1" applyNumberFormat="1" applyFont="1" applyFill="1" applyAlignment="1"/>
    <xf numFmtId="168" fontId="11" fillId="0" borderId="0" xfId="1" applyNumberFormat="1" applyFont="1" applyFill="1" applyAlignment="1"/>
    <xf numFmtId="0" fontId="13" fillId="0" borderId="0" xfId="0" applyFont="1" applyAlignment="1">
      <alignment horizontal="center" vertical="center"/>
    </xf>
    <xf numFmtId="0" fontId="10" fillId="2" borderId="11" xfId="3" applyFont="1" applyFill="1" applyBorder="1" applyAlignment="1">
      <alignment horizontal="center" vertical="center"/>
    </xf>
    <xf numFmtId="165" fontId="10" fillId="2" borderId="11" xfId="3" applyNumberFormat="1" applyFont="1" applyFill="1" applyBorder="1" applyAlignment="1">
      <alignment horizontal="center" vertical="center" wrapText="1"/>
    </xf>
    <xf numFmtId="0" fontId="10" fillId="2" borderId="11" xfId="3" applyFont="1" applyFill="1" applyBorder="1" applyAlignment="1">
      <alignment horizontal="center" vertical="center" wrapText="1"/>
    </xf>
    <xf numFmtId="0" fontId="28" fillId="0" borderId="0" xfId="3" applyFont="1" applyAlignment="1">
      <alignment wrapText="1"/>
    </xf>
    <xf numFmtId="0" fontId="28" fillId="0" borderId="0" xfId="3" applyFont="1"/>
    <xf numFmtId="2" fontId="18" fillId="0" borderId="12" xfId="0" applyNumberFormat="1" applyFont="1" applyBorder="1" applyAlignment="1">
      <alignment horizontal="center" vertical="center"/>
    </xf>
    <xf numFmtId="0" fontId="30" fillId="7" borderId="0" xfId="0" applyFont="1" applyFill="1" applyAlignment="1">
      <alignment horizontal="right" vertical="top"/>
    </xf>
    <xf numFmtId="2" fontId="1" fillId="0" borderId="0" xfId="3" applyNumberFormat="1"/>
    <xf numFmtId="171" fontId="18" fillId="0" borderId="12" xfId="0" applyNumberFormat="1" applyFont="1" applyBorder="1" applyAlignment="1">
      <alignment horizontal="center" vertical="center"/>
    </xf>
    <xf numFmtId="171" fontId="0" fillId="0" borderId="0" xfId="0" applyNumberFormat="1" applyAlignment="1">
      <alignment horizontal="center"/>
    </xf>
    <xf numFmtId="2" fontId="0" fillId="0" borderId="0" xfId="0" applyNumberFormat="1"/>
    <xf numFmtId="2" fontId="18" fillId="0" borderId="0" xfId="0" applyNumberFormat="1" applyFont="1" applyAlignment="1">
      <alignment horizontal="center" vertical="center"/>
    </xf>
    <xf numFmtId="173" fontId="18" fillId="0" borderId="0" xfId="0" applyNumberFormat="1" applyFont="1" applyAlignment="1">
      <alignment horizontal="center" vertical="center"/>
    </xf>
    <xf numFmtId="173" fontId="0" fillId="0" borderId="0" xfId="0" applyNumberFormat="1" applyAlignment="1">
      <alignment horizontal="center"/>
    </xf>
    <xf numFmtId="0" fontId="10" fillId="2" borderId="0" xfId="3" applyFont="1" applyFill="1" applyAlignment="1">
      <alignment horizontal="center" vertical="center" wrapText="1"/>
    </xf>
    <xf numFmtId="0" fontId="10" fillId="8" borderId="11" xfId="3" applyFont="1" applyFill="1" applyBorder="1" applyAlignment="1">
      <alignment horizontal="center" vertical="center" wrapText="1"/>
    </xf>
    <xf numFmtId="169" fontId="9" fillId="8" borderId="11" xfId="1" applyNumberFormat="1" applyFont="1" applyFill="1" applyBorder="1" applyAlignment="1"/>
    <xf numFmtId="168" fontId="9" fillId="8" borderId="11" xfId="4" applyNumberFormat="1" applyFont="1" applyFill="1" applyBorder="1" applyAlignment="1"/>
    <xf numFmtId="0" fontId="1" fillId="8" borderId="0" xfId="3" applyFill="1"/>
    <xf numFmtId="174" fontId="9" fillId="0" borderId="0" xfId="1" applyNumberFormat="1" applyFont="1"/>
    <xf numFmtId="168" fontId="9" fillId="0" borderId="11" xfId="1" applyNumberFormat="1" applyFont="1" applyFill="1" applyBorder="1" applyAlignment="1"/>
    <xf numFmtId="165" fontId="9" fillId="0" borderId="0" xfId="1" applyNumberFormat="1" applyFont="1" applyFill="1" applyAlignment="1"/>
    <xf numFmtId="174" fontId="9" fillId="0" borderId="11" xfId="1" applyNumberFormat="1" applyFont="1" applyBorder="1"/>
    <xf numFmtId="170" fontId="11" fillId="0" borderId="11" xfId="1" applyNumberFormat="1" applyFont="1" applyFill="1" applyBorder="1" applyAlignment="1"/>
    <xf numFmtId="172" fontId="11" fillId="0" borderId="11" xfId="1" applyNumberFormat="1" applyFont="1" applyFill="1" applyBorder="1" applyAlignment="1">
      <alignment horizontal="right"/>
    </xf>
    <xf numFmtId="172" fontId="9" fillId="0" borderId="0" xfId="1" applyNumberFormat="1" applyFont="1" applyFill="1" applyAlignment="1"/>
    <xf numFmtId="172" fontId="11" fillId="0" borderId="11" xfId="1" applyNumberFormat="1" applyFont="1" applyFill="1" applyBorder="1" applyAlignment="1"/>
    <xf numFmtId="174" fontId="9" fillId="0" borderId="11" xfId="1" applyNumberFormat="1" applyFont="1" applyFill="1" applyBorder="1"/>
    <xf numFmtId="0" fontId="9" fillId="0" borderId="11" xfId="3" applyFont="1" applyBorder="1" applyAlignment="1">
      <alignment horizontal="left" indent="1"/>
    </xf>
    <xf numFmtId="0" fontId="0" fillId="9" borderId="11" xfId="0" applyFill="1" applyBorder="1" applyAlignment="1">
      <alignment horizontal="left" indent="1"/>
    </xf>
    <xf numFmtId="0" fontId="9" fillId="9" borderId="11" xfId="3" applyFont="1" applyFill="1" applyBorder="1" applyAlignment="1">
      <alignment horizontal="left" indent="1"/>
    </xf>
    <xf numFmtId="169" fontId="11" fillId="9" borderId="11" xfId="1" applyNumberFormat="1" applyFont="1" applyFill="1" applyBorder="1" applyAlignment="1">
      <alignment horizontal="right"/>
    </xf>
    <xf numFmtId="169" fontId="11" fillId="9" borderId="11" xfId="1" applyNumberFormat="1" applyFont="1" applyFill="1" applyBorder="1" applyAlignment="1"/>
    <xf numFmtId="169" fontId="9" fillId="9" borderId="11" xfId="1" applyNumberFormat="1" applyFont="1" applyFill="1" applyBorder="1" applyAlignment="1"/>
    <xf numFmtId="0" fontId="9" fillId="0" borderId="11" xfId="1" applyNumberFormat="1" applyFont="1" applyFill="1" applyBorder="1" applyAlignment="1"/>
    <xf numFmtId="0" fontId="9" fillId="0" borderId="11" xfId="0" applyFont="1" applyBorder="1" applyAlignment="1">
      <alignment horizontal="left" indent="1"/>
    </xf>
    <xf numFmtId="169" fontId="11" fillId="0" borderId="13" xfId="1" applyNumberFormat="1" applyFont="1" applyFill="1" applyBorder="1" applyAlignment="1"/>
    <xf numFmtId="170" fontId="9" fillId="0" borderId="11" xfId="1" applyNumberFormat="1" applyFont="1" applyFill="1" applyBorder="1" applyAlignment="1"/>
    <xf numFmtId="172" fontId="9" fillId="8" borderId="11" xfId="1" applyNumberFormat="1" applyFont="1" applyFill="1" applyBorder="1" applyAlignment="1"/>
    <xf numFmtId="170" fontId="9" fillId="8" borderId="0" xfId="1" applyNumberFormat="1" applyFont="1" applyFill="1" applyAlignment="1"/>
    <xf numFmtId="170" fontId="9" fillId="8" borderId="11" xfId="1" applyNumberFormat="1" applyFont="1" applyFill="1" applyBorder="1" applyAlignment="1"/>
    <xf numFmtId="174" fontId="9" fillId="8" borderId="11" xfId="1" applyNumberFormat="1" applyFont="1" applyFill="1" applyBorder="1"/>
    <xf numFmtId="0" fontId="9" fillId="8" borderId="0" xfId="0" applyFont="1" applyFill="1"/>
    <xf numFmtId="170" fontId="9" fillId="8" borderId="13" xfId="1" applyNumberFormat="1" applyFont="1" applyFill="1" applyBorder="1" applyAlignment="1"/>
    <xf numFmtId="0" fontId="9" fillId="9" borderId="11" xfId="0" applyFont="1" applyFill="1" applyBorder="1" applyAlignment="1">
      <alignment horizontal="left" indent="1"/>
    </xf>
    <xf numFmtId="174" fontId="9" fillId="9" borderId="11" xfId="1" applyNumberFormat="1" applyFont="1" applyFill="1" applyBorder="1"/>
    <xf numFmtId="2" fontId="9" fillId="9" borderId="11" xfId="1" applyNumberFormat="1" applyFont="1" applyFill="1" applyBorder="1"/>
    <xf numFmtId="0" fontId="9" fillId="9" borderId="11" xfId="1" applyNumberFormat="1" applyFont="1" applyFill="1" applyBorder="1" applyAlignment="1"/>
    <xf numFmtId="169" fontId="11" fillId="9" borderId="13" xfId="1" applyNumberFormat="1" applyFont="1" applyFill="1" applyBorder="1" applyAlignment="1"/>
    <xf numFmtId="0" fontId="9" fillId="8" borderId="11" xfId="0" applyFont="1" applyFill="1" applyBorder="1" applyAlignment="1">
      <alignment horizontal="left" indent="1"/>
    </xf>
    <xf numFmtId="169" fontId="11" fillId="8" borderId="11" xfId="1" applyNumberFormat="1" applyFont="1" applyFill="1" applyBorder="1" applyAlignment="1">
      <alignment horizontal="right"/>
    </xf>
    <xf numFmtId="169" fontId="11" fillId="8" borderId="11" xfId="1" applyNumberFormat="1" applyFont="1" applyFill="1" applyBorder="1" applyAlignment="1"/>
    <xf numFmtId="168" fontId="9" fillId="8" borderId="11" xfId="1" applyNumberFormat="1" applyFont="1" applyFill="1" applyBorder="1" applyAlignment="1"/>
    <xf numFmtId="0" fontId="0" fillId="8" borderId="11" xfId="0" applyFill="1" applyBorder="1" applyAlignment="1">
      <alignment horizontal="left" inden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0" xfId="0" applyFont="1" applyFill="1" applyAlignment="1">
      <alignment horizontal="center" wrapText="1"/>
    </xf>
    <xf numFmtId="0" fontId="8" fillId="2" borderId="3" xfId="0" applyFont="1" applyFill="1" applyBorder="1" applyAlignment="1">
      <alignment horizontal="center" wrapText="1"/>
    </xf>
    <xf numFmtId="0" fontId="10" fillId="2" borderId="3" xfId="0" applyFont="1" applyFill="1" applyBorder="1" applyAlignment="1">
      <alignment horizontal="center"/>
    </xf>
    <xf numFmtId="0" fontId="6" fillId="2" borderId="1" xfId="2" applyFont="1" applyFill="1" applyBorder="1" applyAlignment="1">
      <alignment horizontal="center"/>
    </xf>
    <xf numFmtId="0" fontId="7" fillId="2" borderId="1" xfId="2" applyFont="1" applyFill="1" applyBorder="1" applyAlignment="1">
      <alignment horizontal="center"/>
    </xf>
    <xf numFmtId="0" fontId="10" fillId="2" borderId="1" xfId="0" applyFont="1" applyFill="1" applyBorder="1" applyAlignment="1">
      <alignment horizontal="center" wrapText="1"/>
    </xf>
    <xf numFmtId="0" fontId="8" fillId="2" borderId="0" xfId="3" applyFont="1" applyFill="1" applyAlignment="1">
      <alignment horizontal="center" wrapText="1"/>
    </xf>
    <xf numFmtId="0" fontId="8" fillId="2" borderId="3" xfId="3" applyFont="1" applyFill="1" applyBorder="1" applyAlignment="1">
      <alignment horizontal="center" wrapText="1"/>
    </xf>
    <xf numFmtId="0" fontId="10" fillId="2" borderId="3" xfId="3" applyFont="1" applyFill="1" applyBorder="1" applyAlignment="1">
      <alignment horizontal="center"/>
    </xf>
    <xf numFmtId="0" fontId="10" fillId="2" borderId="1" xfId="3" applyFont="1" applyFill="1" applyBorder="1" applyAlignment="1">
      <alignment horizontal="center" wrapText="1"/>
    </xf>
    <xf numFmtId="0" fontId="8" fillId="2" borderId="2" xfId="3" applyFont="1" applyFill="1" applyBorder="1" applyAlignment="1">
      <alignment horizontal="center" vertical="center" wrapText="1"/>
    </xf>
    <xf numFmtId="0" fontId="8" fillId="2" borderId="3" xfId="3" applyFont="1" applyFill="1" applyBorder="1" applyAlignment="1">
      <alignment horizontal="center" vertical="center" wrapText="1"/>
    </xf>
    <xf numFmtId="0" fontId="16" fillId="2" borderId="0" xfId="0" applyFont="1" applyFill="1" applyAlignment="1">
      <alignment horizontal="left" vertical="center" wrapText="1"/>
    </xf>
    <xf numFmtId="0" fontId="13" fillId="3" borderId="2" xfId="0" applyFont="1" applyFill="1" applyBorder="1" applyAlignment="1">
      <alignment horizontal="center"/>
    </xf>
    <xf numFmtId="0" fontId="13" fillId="3" borderId="2" xfId="0" applyFont="1" applyFill="1" applyBorder="1" applyAlignment="1">
      <alignment horizontal="center" vertical="center"/>
    </xf>
    <xf numFmtId="0" fontId="0" fillId="2" borderId="2" xfId="0" applyFill="1" applyBorder="1" applyAlignment="1">
      <alignment horizontal="center" vertical="center"/>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3"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3" xfId="0" applyFill="1" applyBorder="1" applyAlignment="1">
      <alignment horizontal="center" vertical="center" textRotation="90"/>
    </xf>
    <xf numFmtId="0" fontId="17"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18" fillId="5" borderId="3" xfId="0" applyFont="1" applyFill="1" applyBorder="1" applyAlignment="1">
      <alignment horizontal="center"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3" xfId="0" applyFill="1" applyBorder="1" applyAlignment="1">
      <alignment vertical="center" wrapText="1"/>
    </xf>
    <xf numFmtId="0" fontId="18" fillId="5" borderId="2" xfId="0" applyFont="1" applyFill="1" applyBorder="1" applyAlignment="1">
      <alignment horizontal="left" vertical="center" wrapText="1"/>
    </xf>
    <xf numFmtId="0" fontId="18" fillId="3" borderId="0" xfId="0" applyFont="1" applyFill="1" applyAlignment="1">
      <alignment horizontal="center" vertical="center" textRotation="90"/>
    </xf>
    <xf numFmtId="0" fontId="18" fillId="3" borderId="3" xfId="0" applyFont="1" applyFill="1" applyBorder="1" applyAlignment="1">
      <alignment horizontal="center" vertical="center" textRotation="90"/>
    </xf>
    <xf numFmtId="0" fontId="0" fillId="5" borderId="0" xfId="0" applyFill="1" applyAlignment="1">
      <alignment horizontal="left" vertical="center"/>
    </xf>
    <xf numFmtId="0" fontId="0" fillId="5" borderId="3" xfId="0" applyFill="1" applyBorder="1" applyAlignment="1">
      <alignment horizontal="left" vertical="center"/>
    </xf>
    <xf numFmtId="0" fontId="13" fillId="5" borderId="2" xfId="0" applyFont="1" applyFill="1" applyBorder="1" applyAlignment="1">
      <alignment horizontal="left" vertical="center" wrapText="1"/>
    </xf>
    <xf numFmtId="0" fontId="18" fillId="5" borderId="0" xfId="0" applyFont="1" applyFill="1" applyAlignment="1">
      <alignment horizontal="center" vertical="center" textRotation="90"/>
    </xf>
    <xf numFmtId="0" fontId="18" fillId="5" borderId="3" xfId="0" applyFont="1" applyFill="1" applyBorder="1" applyAlignment="1">
      <alignment horizontal="center" vertical="center" textRotation="90"/>
    </xf>
    <xf numFmtId="0" fontId="0" fillId="5" borderId="2" xfId="0" quotePrefix="1" applyFill="1" applyBorder="1" applyAlignment="1">
      <alignment horizontal="left" vertical="center" wrapText="1"/>
    </xf>
    <xf numFmtId="0" fontId="18" fillId="5" borderId="2" xfId="0" quotePrefix="1" applyFont="1" applyFill="1" applyBorder="1" applyAlignment="1">
      <alignment horizontal="left" vertical="center" wrapText="1"/>
    </xf>
    <xf numFmtId="0" fontId="12" fillId="5" borderId="0" xfId="0" applyFont="1" applyFill="1" applyAlignment="1">
      <alignment horizontal="left" vertical="center"/>
    </xf>
    <xf numFmtId="0" fontId="12" fillId="5" borderId="3" xfId="0" applyFont="1" applyFill="1" applyBorder="1" applyAlignment="1">
      <alignment horizontal="left" vertical="center"/>
    </xf>
    <xf numFmtId="0" fontId="0" fillId="5" borderId="0" xfId="0" quotePrefix="1" applyFill="1" applyAlignment="1">
      <alignment horizontal="left" vertical="center" wrapText="1"/>
    </xf>
    <xf numFmtId="0" fontId="0" fillId="5" borderId="3" xfId="0" quotePrefix="1" applyFill="1" applyBorder="1" applyAlignment="1">
      <alignment horizontal="left" vertical="center" wrapText="1"/>
    </xf>
    <xf numFmtId="0" fontId="18" fillId="3" borderId="2" xfId="0" applyFont="1" applyFill="1" applyBorder="1" applyAlignment="1">
      <alignment horizontal="center" vertical="center" textRotation="90"/>
    </xf>
    <xf numFmtId="0" fontId="18" fillId="5" borderId="2" xfId="0" applyFont="1" applyFill="1" applyBorder="1" applyAlignment="1">
      <alignment vertical="center" wrapText="1"/>
    </xf>
    <xf numFmtId="0" fontId="18" fillId="5" borderId="0" xfId="0" applyFont="1" applyFill="1" applyAlignment="1">
      <alignment vertical="center" wrapText="1"/>
    </xf>
    <xf numFmtId="0" fontId="18" fillId="5" borderId="3" xfId="0" applyFont="1" applyFill="1" applyBorder="1" applyAlignment="1">
      <alignment vertical="center" wrapText="1"/>
    </xf>
    <xf numFmtId="0" fontId="0" fillId="2" borderId="2" xfId="0" applyFill="1" applyBorder="1" applyAlignment="1">
      <alignment horizontal="left" vertical="center" wrapText="1"/>
    </xf>
    <xf numFmtId="0" fontId="0" fillId="2" borderId="0" xfId="0" applyFill="1" applyAlignment="1">
      <alignment horizontal="left" vertical="center" wrapText="1"/>
    </xf>
    <xf numFmtId="0" fontId="0" fillId="2" borderId="3" xfId="0" applyFill="1" applyBorder="1" applyAlignment="1">
      <alignment horizontal="left" vertical="center" wrapText="1"/>
    </xf>
    <xf numFmtId="0" fontId="13" fillId="5" borderId="2" xfId="0" applyFont="1" applyFill="1" applyBorder="1" applyAlignment="1">
      <alignment vertical="center" wrapText="1"/>
    </xf>
    <xf numFmtId="0" fontId="2" fillId="5" borderId="0" xfId="0" applyFont="1" applyFill="1" applyAlignment="1">
      <alignment horizontal="left" vertical="center" wrapText="1"/>
    </xf>
    <xf numFmtId="0" fontId="2" fillId="5" borderId="3" xfId="0" applyFont="1" applyFill="1" applyBorder="1" applyAlignment="1">
      <alignment horizontal="left" vertical="center" wrapText="1"/>
    </xf>
    <xf numFmtId="0" fontId="0" fillId="5" borderId="2" xfId="0" quotePrefix="1" applyFill="1" applyBorder="1" applyAlignment="1">
      <alignment vertical="center" wrapText="1"/>
    </xf>
    <xf numFmtId="0" fontId="13" fillId="5" borderId="0" xfId="0" applyFont="1" applyFill="1" applyAlignment="1">
      <alignment horizontal="left" vertical="center" wrapText="1"/>
    </xf>
    <xf numFmtId="0" fontId="20" fillId="5" borderId="0" xfId="0" applyFont="1" applyFill="1" applyAlignment="1">
      <alignment horizontal="left" vertical="center" wrapText="1"/>
    </xf>
    <xf numFmtId="0" fontId="20" fillId="5" borderId="3"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21" fillId="5" borderId="2" xfId="0" applyFont="1" applyFill="1" applyBorder="1" applyAlignment="1">
      <alignment horizontal="left" vertical="center" wrapText="1"/>
    </xf>
    <xf numFmtId="0" fontId="20" fillId="5" borderId="2" xfId="0" applyFont="1" applyFill="1" applyBorder="1" applyAlignment="1">
      <alignment horizontal="left" vertical="center" wrapText="1"/>
    </xf>
    <xf numFmtId="0" fontId="24" fillId="5" borderId="2" xfId="0" applyFont="1" applyFill="1" applyBorder="1" applyAlignment="1">
      <alignment horizontal="left" vertical="center" wrapText="1"/>
    </xf>
    <xf numFmtId="0" fontId="13" fillId="5" borderId="3" xfId="0" applyFont="1" applyFill="1" applyBorder="1" applyAlignment="1">
      <alignment horizontal="left" vertical="center" wrapText="1"/>
    </xf>
    <xf numFmtId="1" fontId="0" fillId="5" borderId="2" xfId="0" applyNumberFormat="1" applyFill="1" applyBorder="1" applyAlignment="1">
      <alignment horizontal="left" vertical="center" wrapText="1"/>
    </xf>
    <xf numFmtId="1" fontId="0" fillId="5" borderId="0" xfId="0" applyNumberFormat="1" applyFill="1" applyAlignment="1">
      <alignment horizontal="left" vertical="center" wrapText="1"/>
    </xf>
    <xf numFmtId="1" fontId="0" fillId="5" borderId="3" xfId="0" applyNumberFormat="1" applyFill="1" applyBorder="1" applyAlignment="1">
      <alignment horizontal="left" vertical="center" wrapText="1"/>
    </xf>
    <xf numFmtId="1" fontId="20" fillId="5" borderId="2" xfId="0" applyNumberFormat="1" applyFont="1" applyFill="1" applyBorder="1" applyAlignment="1">
      <alignment horizontal="left" vertical="center" wrapText="1"/>
    </xf>
  </cellXfs>
  <cellStyles count="5">
    <cellStyle name="Komma" xfId="1" builtinId="3"/>
    <cellStyle name="Komma 2" xfId="4" xr:uid="{47A21BBE-0428-406B-AE25-9A5C00B8F435}"/>
    <cellStyle name="Normal 2" xfId="2" xr:uid="{3D55AB7E-3F67-403D-8CEF-621540E46167}"/>
    <cellStyle name="Standard" xfId="0" builtinId="0"/>
    <cellStyle name="Standard 2" xfId="3" xr:uid="{B9174BC0-4C7F-490B-92AE-9C8A44E163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2966894896863E-2"/>
          <c:y val="2.7064085739282588E-2"/>
          <c:w val="0.91984230096237973"/>
          <c:h val="0.85929899387576558"/>
        </c:manualLayout>
      </c:layout>
      <c:barChart>
        <c:barDir val="col"/>
        <c:grouping val="clustered"/>
        <c:varyColors val="0"/>
        <c:ser>
          <c:idx val="0"/>
          <c:order val="0"/>
          <c:tx>
            <c:strRef>
              <c:f>Figure!$D$4</c:f>
              <c:strCache>
                <c:ptCount val="1"/>
                <c:pt idx="0">
                  <c:v>Additional spending and forgone revenue</c:v>
                </c:pt>
              </c:strCache>
            </c:strRef>
          </c:tx>
          <c:spPr>
            <a:solidFill>
              <a:schemeClr val="accent1"/>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Figure!$D$5:$D$25</c:f>
              <c:numCache>
                <c:formatCode>0.0</c:formatCode>
                <c:ptCount val="21"/>
                <c:pt idx="0">
                  <c:v>1.7728572264249522</c:v>
                </c:pt>
                <c:pt idx="1">
                  <c:v>2.9740073275675076</c:v>
                </c:pt>
                <c:pt idx="2">
                  <c:v>3.4422076683139151</c:v>
                </c:pt>
                <c:pt idx="3">
                  <c:v>4.129848567413041</c:v>
                </c:pt>
                <c:pt idx="4">
                  <c:v>4.2006968782557186</c:v>
                </c:pt>
                <c:pt idx="5">
                  <c:v>4.2369754101110404</c:v>
                </c:pt>
                <c:pt idx="6">
                  <c:v>4.5192778176981978</c:v>
                </c:pt>
                <c:pt idx="7">
                  <c:v>5.2882597816353591</c:v>
                </c:pt>
                <c:pt idx="8">
                  <c:v>5.44423346092535</c:v>
                </c:pt>
                <c:pt idx="9">
                  <c:v>6.8248555163513647</c:v>
                </c:pt>
                <c:pt idx="10">
                  <c:v>7.2204845013748731</c:v>
                </c:pt>
                <c:pt idx="11">
                  <c:v>7.7103009294197555</c:v>
                </c:pt>
                <c:pt idx="12" formatCode="0.00">
                  <c:v>11.03370544006278</c:v>
                </c:pt>
                <c:pt idx="13" formatCode="0.00">
                  <c:v>12.683283892845772</c:v>
                </c:pt>
                <c:pt idx="14">
                  <c:v>14.646141686967878</c:v>
                </c:pt>
                <c:pt idx="15">
                  <c:v>15.580392937317248</c:v>
                </c:pt>
                <c:pt idx="16">
                  <c:v>16.177852301431432</c:v>
                </c:pt>
                <c:pt idx="17">
                  <c:v>16.25793005941393</c:v>
                </c:pt>
                <c:pt idx="18">
                  <c:v>16.258004012956349</c:v>
                </c:pt>
                <c:pt idx="19">
                  <c:v>16.719306053544834</c:v>
                </c:pt>
                <c:pt idx="20">
                  <c:v>19.063391654531198</c:v>
                </c:pt>
              </c:numCache>
            </c:numRef>
          </c:val>
          <c:extLst>
            <c:ext xmlns:c16="http://schemas.microsoft.com/office/drawing/2014/chart" uri="{C3380CC4-5D6E-409C-BE32-E72D297353CC}">
              <c16:uniqueId val="{00000000-E0D3-42ED-B6BF-355BC3FE3133}"/>
            </c:ext>
          </c:extLst>
        </c:ser>
        <c:ser>
          <c:idx val="1"/>
          <c:order val="1"/>
          <c:tx>
            <c:strRef>
              <c:f>Figure!$E$4</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Figure!$E$5:$E$25</c:f>
              <c:numCache>
                <c:formatCode>0.0</c:formatCode>
                <c:ptCount val="21"/>
                <c:pt idx="0">
                  <c:v>4.2669989958887014</c:v>
                </c:pt>
                <c:pt idx="1">
                  <c:v>6.9835682857412555</c:v>
                </c:pt>
                <c:pt idx="2">
                  <c:v>10.170867001850619</c:v>
                </c:pt>
                <c:pt idx="3">
                  <c:v>14.444526098939509</c:v>
                </c:pt>
                <c:pt idx="4">
                  <c:v>5.3297894552483349</c:v>
                </c:pt>
                <c:pt idx="5">
                  <c:v>4.3610989969472307</c:v>
                </c:pt>
                <c:pt idx="6">
                  <c:v>8.2514903974826659</c:v>
                </c:pt>
                <c:pt idx="7">
                  <c:v>6.0080918260018352</c:v>
                </c:pt>
                <c:pt idx="8">
                  <c:v>15.470637134364086</c:v>
                </c:pt>
                <c:pt idx="9">
                  <c:v>35.480108253531988</c:v>
                </c:pt>
                <c:pt idx="10">
                  <c:v>11.921672229684368</c:v>
                </c:pt>
                <c:pt idx="11">
                  <c:v>15.752942416142089</c:v>
                </c:pt>
                <c:pt idx="12">
                  <c:v>27.848832013978619</c:v>
                </c:pt>
                <c:pt idx="13">
                  <c:v>11.278336604300787</c:v>
                </c:pt>
                <c:pt idx="14">
                  <c:v>4.0212214238157857</c:v>
                </c:pt>
                <c:pt idx="15">
                  <c:v>28.439808160701094</c:v>
                </c:pt>
                <c:pt idx="16">
                  <c:v>1.7895854315742734</c:v>
                </c:pt>
                <c:pt idx="17">
                  <c:v>4.7499928460439111</c:v>
                </c:pt>
                <c:pt idx="18">
                  <c:v>16.116219094238705</c:v>
                </c:pt>
                <c:pt idx="19">
                  <c:v>2.4339468750343576</c:v>
                </c:pt>
                <c:pt idx="20">
                  <c:v>2.7078681327459089</c:v>
                </c:pt>
              </c:numCache>
            </c:numRef>
          </c:val>
          <c:extLst>
            <c:ext xmlns:c16="http://schemas.microsoft.com/office/drawing/2014/chart" uri="{C3380CC4-5D6E-409C-BE32-E72D297353CC}">
              <c16:uniqueId val="{00000001-E0D3-42ED-B6BF-355BC3FE3133}"/>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Figure!$D$28</c:f>
              <c:strCache>
                <c:ptCount val="1"/>
                <c:pt idx="0">
                  <c:v>Additional spending and forgone revenue</c:v>
                </c:pt>
              </c:strCache>
            </c:strRef>
          </c:tx>
          <c:spPr>
            <a:solidFill>
              <a:srgbClr val="C00000"/>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Figure!$D$29:$D$54</c15:sqref>
                  </c15:fullRef>
                </c:ext>
              </c:extLst>
              <c:f>(Figure!$D$29:$D$30,Figure!$D$32:$D$33,Figure!$D$35:$D$36,Figure!$D$39:$D$40,Figure!$D$42:$D$47,Figure!$D$49:$D$54)</c:f>
              <c:numCache>
                <c:formatCode>0.0</c:formatCode>
                <c:ptCount val="20"/>
                <c:pt idx="0">
                  <c:v>0.68126555483297013</c:v>
                </c:pt>
                <c:pt idx="1">
                  <c:v>1.0708244081170604</c:v>
                </c:pt>
                <c:pt idx="2">
                  <c:v>1.574089347079038</c:v>
                </c:pt>
                <c:pt idx="3">
                  <c:v>1.9843417699892416</c:v>
                </c:pt>
                <c:pt idx="4">
                  <c:v>2.2661937174174835</c:v>
                </c:pt>
                <c:pt idx="5">
                  <c:v>2.410373216215953</c:v>
                </c:pt>
                <c:pt idx="6">
                  <c:v>2.5426457949039269</c:v>
                </c:pt>
                <c:pt idx="7">
                  <c:v>2.6804100904569146</c:v>
                </c:pt>
                <c:pt idx="8">
                  <c:v>3.0568212569433708</c:v>
                </c:pt>
                <c:pt idx="9">
                  <c:v>3.6269039160512979</c:v>
                </c:pt>
                <c:pt idx="10">
                  <c:v>3.7991928411281406</c:v>
                </c:pt>
                <c:pt idx="11">
                  <c:v>4.1001315963942302</c:v>
                </c:pt>
                <c:pt idx="12">
                  <c:v>4.3861065138416224</c:v>
                </c:pt>
                <c:pt idx="13">
                  <c:v>4.7347943347338237</c:v>
                </c:pt>
                <c:pt idx="14">
                  <c:v>5.4774789744919543</c:v>
                </c:pt>
                <c:pt idx="15">
                  <c:v>6.4171911765327883</c:v>
                </c:pt>
                <c:pt idx="16">
                  <c:v>7.6769895099565364</c:v>
                </c:pt>
                <c:pt idx="17">
                  <c:v>8.2454087590096599</c:v>
                </c:pt>
                <c:pt idx="18">
                  <c:v>8.256941459558897</c:v>
                </c:pt>
                <c:pt idx="19">
                  <c:v>8.2790021605857174</c:v>
                </c:pt>
              </c:numCache>
            </c:numRef>
          </c:val>
          <c:extLst>
            <c:ext xmlns:c16="http://schemas.microsoft.com/office/drawing/2014/chart" uri="{C3380CC4-5D6E-409C-BE32-E72D297353CC}">
              <c16:uniqueId val="{00000000-8AF6-494E-B351-5F52EC8CC331}"/>
            </c:ext>
          </c:extLst>
        </c:ser>
        <c:ser>
          <c:idx val="1"/>
          <c:order val="1"/>
          <c:tx>
            <c:strRef>
              <c:f>Figure!$E$28</c:f>
              <c:strCache>
                <c:ptCount val="1"/>
                <c:pt idx="0">
                  <c:v>Equity, loans, and guarantees</c:v>
                </c:pt>
              </c:strCache>
            </c:strRef>
          </c:tx>
          <c:spPr>
            <a:solidFill>
              <a:srgbClr val="C00000">
                <a:alpha val="25000"/>
              </a:srgbClr>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Figure!$E$29:$E$54</c15:sqref>
                  </c15:fullRef>
                </c:ext>
              </c:extLst>
              <c:f>(Figure!$E$29:$E$30,Figure!$E$32:$E$33,Figure!$E$35:$E$36,Figure!$E$39:$E$40,Figure!$E$42:$E$47,Figure!$E$49:$E$54)</c:f>
              <c:numCache>
                <c:formatCode>0.0</c:formatCode>
                <c:ptCount val="20"/>
                <c:pt idx="0">
                  <c:v>1.280743852667551</c:v>
                </c:pt>
                <c:pt idx="1">
                  <c:v>9.0021171324169291</c:v>
                </c:pt>
                <c:pt idx="2">
                  <c:v>0.12783505154639177</c:v>
                </c:pt>
                <c:pt idx="3">
                  <c:v>0</c:v>
                </c:pt>
                <c:pt idx="4">
                  <c:v>3.2088541292844197</c:v>
                </c:pt>
                <c:pt idx="5">
                  <c:v>3.090222072071735</c:v>
                </c:pt>
                <c:pt idx="6">
                  <c:v>0.92126458215706097</c:v>
                </c:pt>
                <c:pt idx="7">
                  <c:v>0.85337437862250176</c:v>
                </c:pt>
                <c:pt idx="8">
                  <c:v>5.0912199606783508</c:v>
                </c:pt>
                <c:pt idx="9">
                  <c:v>2.5044941274599504</c:v>
                </c:pt>
                <c:pt idx="10">
                  <c:v>1.941158674777858</c:v>
                </c:pt>
                <c:pt idx="11">
                  <c:v>5.713254819525023</c:v>
                </c:pt>
                <c:pt idx="12">
                  <c:v>3.9260326327640933</c:v>
                </c:pt>
                <c:pt idx="13">
                  <c:v>1.284110209053015</c:v>
                </c:pt>
                <c:pt idx="14">
                  <c:v>4.180181322638596</c:v>
                </c:pt>
                <c:pt idx="15">
                  <c:v>1.8215652368232442E-4</c:v>
                </c:pt>
                <c:pt idx="16">
                  <c:v>5.4241977164365274</c:v>
                </c:pt>
                <c:pt idx="17">
                  <c:v>1.7895338016479629</c:v>
                </c:pt>
                <c:pt idx="18">
                  <c:v>6.1933826713210536</c:v>
                </c:pt>
                <c:pt idx="19">
                  <c:v>4.267857702937599</c:v>
                </c:pt>
              </c:numCache>
            </c:numRef>
          </c:val>
          <c:extLst>
            <c:ext xmlns:c16="http://schemas.microsoft.com/office/drawing/2014/chart" uri="{C3380CC4-5D6E-409C-BE32-E72D297353CC}">
              <c16:uniqueId val="{00000001-8AF6-494E-B351-5F52EC8CC331}"/>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498115728043059E-2"/>
          <c:y val="2.7100602709185986E-2"/>
          <c:w val="0.90764434737628596"/>
          <c:h val="0.84456282808398953"/>
        </c:manualLayout>
      </c:layout>
      <c:barChart>
        <c:barDir val="col"/>
        <c:grouping val="clustered"/>
        <c:varyColors val="0"/>
        <c:ser>
          <c:idx val="0"/>
          <c:order val="0"/>
          <c:tx>
            <c:strRef>
              <c:f>Figure!$D$58</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Figure!$D$59:$D$74</c:f>
              <c:numCache>
                <c:formatCode>0.0</c:formatCode>
                <c:ptCount val="16"/>
                <c:pt idx="0">
                  <c:v>0.53561329172394667</c:v>
                </c:pt>
                <c:pt idx="1">
                  <c:v>0.7303367342895809</c:v>
                </c:pt>
                <c:pt idx="2">
                  <c:v>0.75126848355144216</c:v>
                </c:pt>
                <c:pt idx="3">
                  <c:v>1.2725932342664057</c:v>
                </c:pt>
                <c:pt idx="4">
                  <c:v>1.4</c:v>
                </c:pt>
                <c:pt idx="5">
                  <c:v>1.4589170592426774</c:v>
                </c:pt>
                <c:pt idx="6">
                  <c:v>1.5410379122087119</c:v>
                </c:pt>
                <c:pt idx="7">
                  <c:v>1.5876485248498626</c:v>
                </c:pt>
                <c:pt idx="8">
                  <c:v>1.8311737233930707</c:v>
                </c:pt>
                <c:pt idx="9">
                  <c:v>2.0995999624452013</c:v>
                </c:pt>
                <c:pt idx="10">
                  <c:v>2.2719587745556735</c:v>
                </c:pt>
                <c:pt idx="11">
                  <c:v>2.3882593762032762</c:v>
                </c:pt>
                <c:pt idx="12">
                  <c:v>2.8833694498395888</c:v>
                </c:pt>
                <c:pt idx="13">
                  <c:v>3.1628411514016226</c:v>
                </c:pt>
                <c:pt idx="14">
                  <c:v>3.704564006123956</c:v>
                </c:pt>
                <c:pt idx="15">
                  <c:v>5.1553452632492336</c:v>
                </c:pt>
              </c:numCache>
            </c:numRef>
          </c:val>
          <c:extLst>
            <c:ext xmlns:c16="http://schemas.microsoft.com/office/drawing/2014/chart" uri="{C3380CC4-5D6E-409C-BE32-E72D297353CC}">
              <c16:uniqueId val="{00000000-2329-4A9A-904C-FD6220F6BA0D}"/>
            </c:ext>
          </c:extLst>
        </c:ser>
        <c:ser>
          <c:idx val="1"/>
          <c:order val="1"/>
          <c:tx>
            <c:strRef>
              <c:f>Figure!$E$58</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Figure!$E$59:$E$74</c:f>
              <c:numCache>
                <c:formatCode>0.0</c:formatCode>
                <c:ptCount val="16"/>
                <c:pt idx="0">
                  <c:v>0.47038638031962526</c:v>
                </c:pt>
                <c:pt idx="1">
                  <c:v>0.26334257246018544</c:v>
                </c:pt>
                <c:pt idx="2">
                  <c:v>1.284439192257552</c:v>
                </c:pt>
                <c:pt idx="3">
                  <c:v>0</c:v>
                </c:pt>
                <c:pt idx="4">
                  <c:v>0</c:v>
                </c:pt>
                <c:pt idx="5">
                  <c:v>0</c:v>
                </c:pt>
                <c:pt idx="6">
                  <c:v>0.62234223377659526</c:v>
                </c:pt>
                <c:pt idx="7">
                  <c:v>0.22001660716709234</c:v>
                </c:pt>
                <c:pt idx="8">
                  <c:v>1.369989230094075</c:v>
                </c:pt>
                <c:pt idx="9">
                  <c:v>0.26614647411277198</c:v>
                </c:pt>
                <c:pt idx="10">
                  <c:v>2.0840210082780901</c:v>
                </c:pt>
                <c:pt idx="11">
                  <c:v>0</c:v>
                </c:pt>
                <c:pt idx="12">
                  <c:v>0.30893244105424167</c:v>
                </c:pt>
                <c:pt idx="13">
                  <c:v>0.49977173949912773</c:v>
                </c:pt>
                <c:pt idx="14">
                  <c:v>2.4321630805971468</c:v>
                </c:pt>
                <c:pt idx="15">
                  <c:v>1.8420719139766197</c:v>
                </c:pt>
              </c:numCache>
            </c:numRef>
          </c:val>
          <c:extLst>
            <c:ext xmlns:c16="http://schemas.microsoft.com/office/drawing/2014/chart" uri="{C3380CC4-5D6E-409C-BE32-E72D297353CC}">
              <c16:uniqueId val="{00000001-2329-4A9A-904C-FD6220F6BA0D}"/>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481293</xdr:colOff>
      <xdr:row>6</xdr:row>
      <xdr:rowOff>100852</xdr:rowOff>
    </xdr:from>
    <xdr:to>
      <xdr:col>14</xdr:col>
      <xdr:colOff>554318</xdr:colOff>
      <xdr:row>26</xdr:row>
      <xdr:rowOff>129427</xdr:rowOff>
    </xdr:to>
    <xdr:graphicFrame macro="">
      <xdr:nvGraphicFramePr>
        <xdr:cNvPr id="2" name="Chart 1">
          <a:extLst>
            <a:ext uri="{FF2B5EF4-FFF2-40B4-BE49-F238E27FC236}">
              <a16:creationId xmlns:a16="http://schemas.microsoft.com/office/drawing/2014/main" id="{1F2ABD2C-9D62-4EE1-BBE3-1927C6EDE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166968</xdr:colOff>
      <xdr:row>7</xdr:row>
      <xdr:rowOff>29695</xdr:rowOff>
    </xdr:from>
    <xdr:to>
      <xdr:col>22</xdr:col>
      <xdr:colOff>271743</xdr:colOff>
      <xdr:row>27</xdr:row>
      <xdr:rowOff>58270</xdr:rowOff>
    </xdr:to>
    <xdr:graphicFrame macro="">
      <xdr:nvGraphicFramePr>
        <xdr:cNvPr id="3" name="Chart 2">
          <a:extLst>
            <a:ext uri="{FF2B5EF4-FFF2-40B4-BE49-F238E27FC236}">
              <a16:creationId xmlns:a16="http://schemas.microsoft.com/office/drawing/2014/main" id="{39E93B84-452A-455B-AAF2-997229251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414618</xdr:colOff>
      <xdr:row>7</xdr:row>
      <xdr:rowOff>48745</xdr:rowOff>
    </xdr:from>
    <xdr:to>
      <xdr:col>29</xdr:col>
      <xdr:colOff>487643</xdr:colOff>
      <xdr:row>27</xdr:row>
      <xdr:rowOff>77320</xdr:rowOff>
    </xdr:to>
    <xdr:graphicFrame macro="">
      <xdr:nvGraphicFramePr>
        <xdr:cNvPr id="4" name="Chart 3">
          <a:extLst>
            <a:ext uri="{FF2B5EF4-FFF2-40B4-BE49-F238E27FC236}">
              <a16:creationId xmlns:a16="http://schemas.microsoft.com/office/drawing/2014/main" id="{12E612B7-8205-4281-96EC-697FE2812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78441</xdr:colOff>
      <xdr:row>1</xdr:row>
      <xdr:rowOff>33617</xdr:rowOff>
    </xdr:from>
    <xdr:to>
      <xdr:col>16</xdr:col>
      <xdr:colOff>259556</xdr:colOff>
      <xdr:row>6</xdr:row>
      <xdr:rowOff>15687</xdr:rowOff>
    </xdr:to>
    <xdr:sp macro="" textlink="">
      <xdr:nvSpPr>
        <xdr:cNvPr id="5" name="TextBox 4">
          <a:extLst>
            <a:ext uri="{FF2B5EF4-FFF2-40B4-BE49-F238E27FC236}">
              <a16:creationId xmlns:a16="http://schemas.microsoft.com/office/drawing/2014/main" id="{8D175AED-684E-4A37-9CCB-C73B626C2D15}"/>
            </a:ext>
          </a:extLst>
        </xdr:cNvPr>
        <xdr:cNvSpPr txBox="1"/>
      </xdr:nvSpPr>
      <xdr:spPr>
        <a:xfrm>
          <a:off x="4919382" y="190499"/>
          <a:ext cx="5022056"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7030A0"/>
              </a:solidFill>
              <a:latin typeface="HelveticaNeueLT Std" panose="020B0604020202020204"/>
            </a:rPr>
            <a:t>Figure 1. Discretionary Fiscal Response to the COVID-19</a:t>
          </a:r>
          <a:r>
            <a:rPr lang="en-US" sz="1300" b="1" baseline="0">
              <a:solidFill>
                <a:srgbClr val="7030A0"/>
              </a:solidFill>
              <a:latin typeface="HelveticaNeueLT Std" panose="020B0604020202020204"/>
            </a:rPr>
            <a:t> Crisis in Selected Economies</a:t>
          </a:r>
          <a:endParaRPr lang="en-US" sz="1300" b="1">
            <a:solidFill>
              <a:srgbClr val="7030A0"/>
            </a:solidFill>
            <a:latin typeface="HelveticaNeueLT Std" panose="020B0604020202020204"/>
          </a:endParaRPr>
        </a:p>
        <a:p>
          <a:r>
            <a:rPr lang="en-US" sz="1300" b="0" i="1">
              <a:solidFill>
                <a:srgbClr val="7030A0"/>
              </a:solidFill>
              <a:latin typeface="HelveticaNeueLT Std" panose="020B0604020202020204"/>
            </a:rPr>
            <a:t>(Percent of GDP)</a:t>
          </a:r>
        </a:p>
      </xdr:txBody>
    </xdr:sp>
    <xdr:clientData/>
  </xdr:twoCellAnchor>
  <xdr:twoCellAnchor>
    <xdr:from>
      <xdr:col>8</xdr:col>
      <xdr:colOff>0</xdr:colOff>
      <xdr:row>29</xdr:row>
      <xdr:rowOff>0</xdr:rowOff>
    </xdr:from>
    <xdr:to>
      <xdr:col>19</xdr:col>
      <xdr:colOff>265660</xdr:colOff>
      <xdr:row>36</xdr:row>
      <xdr:rowOff>153681</xdr:rowOff>
    </xdr:to>
    <xdr:sp macro="" textlink="">
      <xdr:nvSpPr>
        <xdr:cNvPr id="6" name="TextBox 5">
          <a:extLst>
            <a:ext uri="{FF2B5EF4-FFF2-40B4-BE49-F238E27FC236}">
              <a16:creationId xmlns:a16="http://schemas.microsoft.com/office/drawing/2014/main" id="{E17F47EF-C4A2-419E-91B1-5B30292D0958}"/>
            </a:ext>
          </a:extLst>
        </xdr:cNvPr>
        <xdr:cNvSpPr txBox="1"/>
      </xdr:nvSpPr>
      <xdr:spPr>
        <a:xfrm>
          <a:off x="4840941" y="4616824"/>
          <a:ext cx="6921954" cy="125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mn-lt"/>
              <a:ea typeface="+mn-ea"/>
              <a:cs typeface="+mn-cs"/>
            </a:rPr>
            <a:t>Sources: Database of Country Fiscal Measures in Response to the COVID-19 Pandemic; and IMF staff estimates.</a:t>
          </a:r>
        </a:p>
        <a:p>
          <a:r>
            <a:rPr lang="en-US" sz="1000">
              <a:solidFill>
                <a:schemeClr val="dk1"/>
              </a:solidFill>
              <a:effectLst/>
              <a:latin typeface="+mn-lt"/>
              <a:ea typeface="+mn-ea"/>
              <a:cs typeface="+mn-cs"/>
            </a:rPr>
            <a:t>Note: Estimates as of end-December, 2020. Numbers in U.S. dollar and percent of GDP are based on January 2021 World Economic Outlook Update unless otherwise stated. For Argentina, U.S. dollar values use end-December 2020 exchange rate. </a:t>
          </a:r>
        </a:p>
        <a:p>
          <a:r>
            <a:rPr lang="en-US" sz="1000">
              <a:solidFill>
                <a:schemeClr val="dk1"/>
              </a:solidFill>
              <a:effectLst/>
              <a:latin typeface="+mn-lt"/>
              <a:ea typeface="+mn-ea"/>
              <a:cs typeface="+mn-cs"/>
            </a:rPr>
            <a:t>Country group averages are weighted by GDP in US dollars adjusted by purchasing power parity. Data labels use International Organization for Standardization country codes. AEs = advanced economies; EMMIEs = emerging market and middle-income economies; LIDCs = low-income developing countries.</a:t>
          </a:r>
          <a:endParaRPr lang="en-US" sz="1000" b="0" i="1">
            <a:solidFill>
              <a:srgbClr val="7030A0"/>
            </a:solidFill>
            <a:latin typeface="HelveticaNeueLT Std" panose="020B0604020202020204"/>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0.63829</cdr:x>
      <cdr:y>0.875</cdr:y>
    </cdr:from>
    <cdr:to>
      <cdr:x>0.67829</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750292" y="2770444"/>
          <a:ext cx="172354" cy="395778"/>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0.4708</cdr:x>
      <cdr:y>0.82857</cdr:y>
    </cdr:from>
    <cdr:to>
      <cdr:x>0.5108</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043539" y="2623437"/>
          <a:ext cx="173624" cy="542785"/>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0.48129</cdr:x>
      <cdr:y>0.875</cdr:y>
    </cdr:from>
    <cdr:to>
      <cdr:x>0.52129</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2088887" y="2858691"/>
          <a:ext cx="173609" cy="408384"/>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Xiang, Yuan" id="{BD8F11D6-3597-4B71-A977-E781051E2A85}" userId="S::YXiang@imf.org::e94fa55b-6db6-4762-b16b-673156678b54"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99" dT="2020-12-16T17:41:42.68" personId="{BD8F11D6-3597-4B71-A977-E781051E2A85}" id="{E6476814-DF47-4CB1-9A3D-358965AD66AF}">
    <text>Also from the originally adopted 19bn, a 2bn lek was not used (for humanitarian relief) and an additional 1bn was kept as reserve fund (hence not appropriated). With those subtractions, the figures match. from Linda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FCB24-8A78-4627-ADED-A52C44C84BDC}">
  <sheetPr>
    <tabColor rgb="FFFF0000"/>
    <pageSetUpPr fitToPage="1"/>
  </sheetPr>
  <dimension ref="A1:S48"/>
  <sheetViews>
    <sheetView showGridLines="0" view="pageBreakPreview" zoomScaleNormal="100" zoomScaleSheetLayoutView="100" workbookViewId="0">
      <pane xSplit="2" ySplit="7" topLeftCell="C8" activePane="bottomRight" state="frozen"/>
      <selection activeCell="I219" sqref="I219"/>
      <selection pane="topRight" activeCell="I219" sqref="I219"/>
      <selection pane="bottomLeft" activeCell="I219" sqref="I219"/>
      <selection pane="bottomRight" activeCell="C17" sqref="C17"/>
    </sheetView>
  </sheetViews>
  <sheetFormatPr baseColWidth="10" defaultColWidth="9.1796875" defaultRowHeight="12.5"/>
  <cols>
    <col min="1" max="1" width="10.26953125" customWidth="1"/>
    <col min="2" max="2" width="26.54296875" style="2" customWidth="1"/>
    <col min="3" max="3" width="10.453125" style="2" customWidth="1"/>
    <col min="4" max="4" width="11.08984375" style="2" customWidth="1"/>
    <col min="5" max="5" width="9.90625" style="2" bestFit="1" customWidth="1"/>
    <col min="6" max="6" width="9.7265625" style="2" customWidth="1"/>
    <col min="7" max="7" width="9.81640625" style="2" customWidth="1"/>
    <col min="8" max="8" width="18.81640625" style="2" customWidth="1"/>
    <col min="9" max="9" width="9.26953125" style="2" customWidth="1"/>
    <col min="10" max="10" width="9.90625" style="2" bestFit="1" customWidth="1"/>
    <col min="11" max="11" width="11.1796875" style="2" customWidth="1"/>
    <col min="12" max="12" width="11" style="2" customWidth="1"/>
    <col min="13" max="13" width="8" style="2" bestFit="1" customWidth="1"/>
    <col min="14" max="14" width="9.81640625" style="2" customWidth="1"/>
    <col min="15" max="15" width="1.81640625" style="2" customWidth="1"/>
    <col min="16" max="16" width="12.08984375" style="2" customWidth="1"/>
    <col min="17" max="17" width="18.81640625" style="2" customWidth="1"/>
    <col min="18" max="18" width="8.81640625" style="2" customWidth="1"/>
    <col min="19" max="19" width="18.26953125" style="2" customWidth="1"/>
    <col min="20" max="20" width="1.54296875" customWidth="1"/>
  </cols>
  <sheetData>
    <row r="1" spans="1:19" ht="15.75" customHeight="1">
      <c r="B1" s="1" t="s">
        <v>0</v>
      </c>
    </row>
    <row r="2" spans="1:19" ht="15.75" customHeight="1">
      <c r="B2" s="3" t="s">
        <v>1</v>
      </c>
    </row>
    <row r="3" spans="1:19" ht="15.75" customHeight="1">
      <c r="B3" s="286" t="s">
        <v>2</v>
      </c>
      <c r="C3" s="287"/>
      <c r="D3" s="287"/>
      <c r="E3" s="287"/>
      <c r="F3" s="287"/>
      <c r="G3" s="287"/>
      <c r="H3" s="287"/>
      <c r="I3" s="287"/>
      <c r="J3" s="287"/>
      <c r="K3" s="287"/>
      <c r="L3" s="287"/>
      <c r="M3" s="287"/>
      <c r="N3" s="287"/>
      <c r="O3" s="287"/>
      <c r="P3" s="287"/>
      <c r="Q3" s="287"/>
      <c r="R3" s="287"/>
      <c r="S3" s="287"/>
    </row>
    <row r="4" spans="1:19" ht="11.15" customHeight="1">
      <c r="A4" s="4"/>
      <c r="B4" s="5"/>
      <c r="C4" s="285" t="s">
        <v>3</v>
      </c>
      <c r="D4" s="285"/>
      <c r="E4" s="285"/>
      <c r="F4" s="285"/>
      <c r="G4" s="288" t="s">
        <v>4</v>
      </c>
      <c r="H4" s="288"/>
      <c r="I4" s="288"/>
      <c r="J4" s="288"/>
      <c r="K4" s="285" t="s">
        <v>3</v>
      </c>
      <c r="L4" s="285"/>
      <c r="M4" s="285"/>
      <c r="N4" s="285"/>
      <c r="O4" s="6"/>
      <c r="P4" s="288" t="s">
        <v>4</v>
      </c>
      <c r="Q4" s="288"/>
      <c r="R4" s="288"/>
      <c r="S4" s="288"/>
    </row>
    <row r="5" spans="1:19" ht="27" customHeight="1">
      <c r="A5" s="4"/>
      <c r="B5" s="5"/>
      <c r="C5" s="288" t="s">
        <v>5</v>
      </c>
      <c r="D5" s="288"/>
      <c r="E5" s="288"/>
      <c r="F5" s="281" t="s">
        <v>6</v>
      </c>
      <c r="G5" s="7"/>
      <c r="H5" s="283" t="s">
        <v>7</v>
      </c>
      <c r="I5" s="285" t="s">
        <v>8</v>
      </c>
      <c r="J5" s="285"/>
      <c r="K5" s="288" t="s">
        <v>5</v>
      </c>
      <c r="L5" s="288"/>
      <c r="M5" s="288"/>
      <c r="N5" s="281" t="s">
        <v>6</v>
      </c>
      <c r="O5" s="6"/>
      <c r="P5" s="7"/>
      <c r="Q5" s="283" t="s">
        <v>7</v>
      </c>
      <c r="R5" s="285" t="s">
        <v>8</v>
      </c>
      <c r="S5" s="285"/>
    </row>
    <row r="6" spans="1:19" ht="29.5" customHeight="1">
      <c r="A6" s="4"/>
      <c r="B6" s="8"/>
      <c r="C6" s="9" t="s">
        <v>9</v>
      </c>
      <c r="D6" s="189" t="s">
        <v>10</v>
      </c>
      <c r="E6" s="189" t="s">
        <v>11</v>
      </c>
      <c r="F6" s="282"/>
      <c r="G6" s="11" t="s">
        <v>9</v>
      </c>
      <c r="H6" s="284"/>
      <c r="I6" s="12" t="s">
        <v>12</v>
      </c>
      <c r="J6" s="12" t="s">
        <v>13</v>
      </c>
      <c r="K6" s="9" t="s">
        <v>9</v>
      </c>
      <c r="L6" s="189" t="s">
        <v>10</v>
      </c>
      <c r="M6" s="189" t="s">
        <v>11</v>
      </c>
      <c r="N6" s="282"/>
      <c r="O6" s="10"/>
      <c r="P6" s="11" t="s">
        <v>9</v>
      </c>
      <c r="Q6" s="284"/>
      <c r="R6" s="12" t="s">
        <v>12</v>
      </c>
      <c r="S6" s="189" t="s">
        <v>13</v>
      </c>
    </row>
    <row r="7" spans="1:19">
      <c r="A7" s="13"/>
      <c r="B7" s="13" t="s">
        <v>14</v>
      </c>
      <c r="C7" s="14"/>
      <c r="D7" s="14"/>
      <c r="E7" s="14"/>
      <c r="F7" s="14"/>
      <c r="G7" s="14"/>
      <c r="H7" s="14"/>
      <c r="I7" s="14"/>
      <c r="J7" s="14"/>
    </row>
    <row r="8" spans="1:19">
      <c r="A8" s="15"/>
      <c r="B8" s="15" t="s">
        <v>15</v>
      </c>
      <c r="C8" s="191">
        <v>218.44777903701456</v>
      </c>
      <c r="D8" s="190">
        <v>11.460913817997604</v>
      </c>
      <c r="E8" s="190">
        <v>206.98686521901695</v>
      </c>
      <c r="F8" s="190">
        <v>0</v>
      </c>
      <c r="G8" s="192">
        <v>24.16457732710338</v>
      </c>
      <c r="H8" s="190">
        <v>10.356247425901449</v>
      </c>
      <c r="I8" s="190">
        <v>13.808329901201899</v>
      </c>
      <c r="J8" s="190">
        <v>0</v>
      </c>
      <c r="K8" s="192">
        <v>16.177852301431432</v>
      </c>
      <c r="L8" s="190">
        <v>0.8487748046895125</v>
      </c>
      <c r="M8" s="190">
        <v>15.329077496741919</v>
      </c>
      <c r="N8" s="190">
        <v>0</v>
      </c>
      <c r="O8" s="190"/>
      <c r="P8" s="192">
        <v>1.7895854315742734</v>
      </c>
      <c r="Q8" s="190">
        <v>0.76696518496040278</v>
      </c>
      <c r="R8" s="190">
        <v>1.0226202466138705</v>
      </c>
      <c r="S8" s="190">
        <v>0</v>
      </c>
    </row>
    <row r="9" spans="1:19">
      <c r="A9" s="15"/>
      <c r="B9" s="15" t="s">
        <v>16</v>
      </c>
      <c r="C9" s="191">
        <v>240.10443817674746</v>
      </c>
      <c r="D9" s="190">
        <v>39.211353864005552</v>
      </c>
      <c r="E9" s="190">
        <v>200.89308431274193</v>
      </c>
      <c r="F9" s="190">
        <v>63.244119135492831</v>
      </c>
      <c r="G9" s="192">
        <v>65.922693592996055</v>
      </c>
      <c r="H9" s="190">
        <v>3.8690519941713259</v>
      </c>
      <c r="I9" s="190">
        <v>62.053641598824733</v>
      </c>
      <c r="J9" s="190">
        <v>0</v>
      </c>
      <c r="K9" s="192">
        <v>14.646141686967878</v>
      </c>
      <c r="L9" s="190">
        <v>2.3918551809829789</v>
      </c>
      <c r="M9" s="190">
        <v>12.254286505984901</v>
      </c>
      <c r="N9" s="190">
        <v>3.8578309370693202</v>
      </c>
      <c r="O9" s="190"/>
      <c r="P9" s="192">
        <v>4.0212214238157857</v>
      </c>
      <c r="Q9" s="190">
        <v>0.23600848085600551</v>
      </c>
      <c r="R9" s="190">
        <v>3.7852129429597805</v>
      </c>
      <c r="S9" s="190">
        <v>0</v>
      </c>
    </row>
    <row r="10" spans="1:19">
      <c r="A10" s="15"/>
      <c r="B10" s="15" t="s">
        <v>18</v>
      </c>
      <c r="C10" s="191">
        <v>198.05783396635229</v>
      </c>
      <c r="D10" s="190">
        <v>20.261088762075122</v>
      </c>
      <c r="E10" s="190">
        <v>177.79674520427716</v>
      </c>
      <c r="F10" s="190">
        <v>62.604487747984926</v>
      </c>
      <c r="G10" s="192">
        <v>404.65264353470258</v>
      </c>
      <c r="H10" s="190">
        <v>23.903531685594242</v>
      </c>
      <c r="I10" s="190">
        <v>380.74911184910832</v>
      </c>
      <c r="J10" s="190">
        <v>0</v>
      </c>
      <c r="K10" s="192">
        <v>7.7103009294197555</v>
      </c>
      <c r="L10" s="190">
        <v>0.78875492266477965</v>
      </c>
      <c r="M10" s="190">
        <v>6.9215460067549763</v>
      </c>
      <c r="N10" s="190">
        <v>2.4371640868855549</v>
      </c>
      <c r="O10" s="190"/>
      <c r="P10" s="192">
        <v>15.752942416142089</v>
      </c>
      <c r="Q10" s="190">
        <v>0.93055356044721205</v>
      </c>
      <c r="R10" s="190">
        <v>14.822388855694877</v>
      </c>
      <c r="S10" s="190">
        <v>0</v>
      </c>
    </row>
    <row r="11" spans="1:19">
      <c r="A11" s="15"/>
      <c r="B11" s="15" t="s">
        <v>19</v>
      </c>
      <c r="C11" s="191">
        <v>417.7426727911008</v>
      </c>
      <c r="D11" s="190">
        <v>45.530536543989193</v>
      </c>
      <c r="E11" s="190">
        <v>372.21213624711163</v>
      </c>
      <c r="F11" s="190">
        <v>0</v>
      </c>
      <c r="G11" s="192">
        <v>1054.3734000174297</v>
      </c>
      <c r="H11" s="190">
        <v>113.82634135997297</v>
      </c>
      <c r="I11" s="190">
        <v>940.54705865745666</v>
      </c>
      <c r="J11" s="190">
        <v>0</v>
      </c>
      <c r="K11" s="192">
        <v>11.03370544006278</v>
      </c>
      <c r="L11" s="190">
        <v>1.2025836991894037</v>
      </c>
      <c r="M11" s="190">
        <v>9.8311217408733764</v>
      </c>
      <c r="N11" s="190">
        <v>0</v>
      </c>
      <c r="O11" s="190"/>
      <c r="P11" s="192">
        <v>27.848832013978619</v>
      </c>
      <c r="Q11" s="190">
        <v>3.0064592479735093</v>
      </c>
      <c r="R11" s="190">
        <v>24.842372766005109</v>
      </c>
      <c r="S11" s="190">
        <v>0</v>
      </c>
    </row>
    <row r="12" spans="1:19">
      <c r="A12" s="15"/>
      <c r="B12" s="15" t="s">
        <v>20</v>
      </c>
      <c r="C12" s="191">
        <v>127.4855023231693</v>
      </c>
      <c r="D12" s="190">
        <v>10.813502429197396</v>
      </c>
      <c r="E12" s="190">
        <v>116.6719998939719</v>
      </c>
      <c r="F12" s="190">
        <v>7.9678438951980812</v>
      </c>
      <c r="G12" s="192">
        <v>662.75387256844044</v>
      </c>
      <c r="H12" s="190">
        <v>3.6993560941991093</v>
      </c>
      <c r="I12" s="190">
        <v>659.05451647424127</v>
      </c>
      <c r="J12" s="190">
        <v>0</v>
      </c>
      <c r="K12" s="192">
        <v>6.8248555163513647</v>
      </c>
      <c r="L12" s="190">
        <v>0.57889399469051761</v>
      </c>
      <c r="M12" s="190">
        <v>6.2459615216608473</v>
      </c>
      <c r="N12" s="190">
        <v>0.42655346977196029</v>
      </c>
      <c r="O12" s="190"/>
      <c r="P12" s="192">
        <v>35.480108253531988</v>
      </c>
      <c r="Q12" s="190">
        <v>0.19804268239412443</v>
      </c>
      <c r="R12" s="190">
        <v>35.282065571137863</v>
      </c>
      <c r="S12" s="190">
        <v>0</v>
      </c>
    </row>
    <row r="13" spans="1:19">
      <c r="A13" s="15"/>
      <c r="B13" s="15" t="s">
        <v>21</v>
      </c>
      <c r="C13" s="191">
        <v>782.33294838167308</v>
      </c>
      <c r="D13" s="190">
        <v>89.837276369187336</v>
      </c>
      <c r="E13" s="190">
        <v>692.49567201248567</v>
      </c>
      <c r="F13" s="190">
        <v>243.30929016654903</v>
      </c>
      <c r="G13" s="192">
        <v>1428.0383722852071</v>
      </c>
      <c r="H13" s="190">
        <v>0</v>
      </c>
      <c r="I13" s="190">
        <v>146.92137906210846</v>
      </c>
      <c r="J13" s="190">
        <v>1281.1169932230987</v>
      </c>
      <c r="K13" s="192">
        <v>15.580392937317248</v>
      </c>
      <c r="L13" s="190">
        <v>1.7891360310794924</v>
      </c>
      <c r="M13" s="190">
        <v>13.791256906237754</v>
      </c>
      <c r="N13" s="190">
        <v>4.8455767508402925</v>
      </c>
      <c r="O13" s="190"/>
      <c r="P13" s="192">
        <v>28.439808160701098</v>
      </c>
      <c r="Q13" s="190">
        <v>0</v>
      </c>
      <c r="R13" s="190">
        <v>2.925982884161253</v>
      </c>
      <c r="S13" s="190">
        <v>25.513825276539841</v>
      </c>
    </row>
    <row r="14" spans="1:19">
      <c r="A14" s="15"/>
      <c r="B14" s="15" t="s">
        <v>22</v>
      </c>
      <c r="C14" s="191">
        <v>56.080292033825813</v>
      </c>
      <c r="D14" s="190">
        <v>4.3138686179866008</v>
      </c>
      <c r="E14" s="190">
        <v>51.766423415839213</v>
      </c>
      <c r="F14" s="190">
        <v>27.913267528148594</v>
      </c>
      <c r="G14" s="192">
        <v>165.70330632619121</v>
      </c>
      <c r="H14" s="190">
        <v>0</v>
      </c>
      <c r="I14" s="190">
        <v>59.971232355931377</v>
      </c>
      <c r="J14" s="190">
        <v>105.73207397025983</v>
      </c>
      <c r="K14" s="192">
        <v>3.4422076683139151</v>
      </c>
      <c r="L14" s="190">
        <v>0.26478520525491656</v>
      </c>
      <c r="M14" s="190">
        <v>3.1774224630589987</v>
      </c>
      <c r="N14" s="190">
        <v>1.7133160340024014</v>
      </c>
      <c r="O14" s="190"/>
      <c r="P14" s="192">
        <v>10.170867001850619</v>
      </c>
      <c r="Q14" s="190">
        <v>0</v>
      </c>
      <c r="R14" s="190">
        <v>3.6810335397203104</v>
      </c>
      <c r="S14" s="190">
        <v>6.4898334621303082</v>
      </c>
    </row>
    <row r="15" spans="1:19">
      <c r="A15" s="15"/>
      <c r="B15" s="15" t="s">
        <v>23</v>
      </c>
      <c r="C15" s="191">
        <v>52.473943366947367</v>
      </c>
      <c r="D15" s="190">
        <v>5.0083590198387942</v>
      </c>
      <c r="E15" s="190">
        <v>47.465584347108575</v>
      </c>
      <c r="F15" s="190">
        <v>0.614662243343852</v>
      </c>
      <c r="G15" s="192">
        <v>183.53245454540618</v>
      </c>
      <c r="H15" s="190">
        <v>0.72735032129022481</v>
      </c>
      <c r="I15" s="190">
        <v>171.4224700881187</v>
      </c>
      <c r="J15" s="190">
        <v>11.382634135997259</v>
      </c>
      <c r="K15" s="192">
        <v>4.129848567413041</v>
      </c>
      <c r="L15" s="190">
        <v>0.39417209754050719</v>
      </c>
      <c r="M15" s="190">
        <v>3.7356764698725335</v>
      </c>
      <c r="N15" s="190">
        <v>4.8375666516334973E-2</v>
      </c>
      <c r="O15" s="190"/>
      <c r="P15" s="192">
        <v>14.444526098939509</v>
      </c>
      <c r="Q15" s="190">
        <v>5.7244538710996377E-2</v>
      </c>
      <c r="R15" s="190">
        <v>13.491435884000087</v>
      </c>
      <c r="S15" s="190">
        <v>0.89584567622842526</v>
      </c>
    </row>
    <row r="16" spans="1:19">
      <c r="A16" s="15"/>
      <c r="B16" s="15" t="s">
        <v>24</v>
      </c>
      <c r="C16" s="191">
        <v>440.54615742148212</v>
      </c>
      <c r="D16" s="190">
        <v>144.71429008321942</v>
      </c>
      <c r="E16" s="190">
        <v>295.83186733826267</v>
      </c>
      <c r="F16" s="190">
        <v>8.9646020405534159</v>
      </c>
      <c r="G16" s="192">
        <v>436.70418511838778</v>
      </c>
      <c r="H16" s="190">
        <v>1.2806574343647736</v>
      </c>
      <c r="I16" s="190">
        <v>435.42352768402304</v>
      </c>
      <c r="J16" s="190">
        <v>0</v>
      </c>
      <c r="K16" s="192">
        <v>16.258004012956349</v>
      </c>
      <c r="L16" s="190">
        <v>5.3405652716978693</v>
      </c>
      <c r="M16" s="190">
        <v>10.917438741258479</v>
      </c>
      <c r="N16" s="190">
        <v>0.33083147700783261</v>
      </c>
      <c r="O16" s="190"/>
      <c r="P16" s="192">
        <v>16.116219094238705</v>
      </c>
      <c r="Q16" s="190">
        <v>4.7261639572547517E-2</v>
      </c>
      <c r="R16" s="190">
        <v>16.068957454666158</v>
      </c>
      <c r="S16" s="190">
        <v>0</v>
      </c>
    </row>
    <row r="17" spans="1:19">
      <c r="A17" s="15"/>
      <c r="B17" s="15" t="s">
        <v>25</v>
      </c>
      <c r="C17" s="191">
        <v>3503.3</v>
      </c>
      <c r="D17" s="190">
        <v>483.8</v>
      </c>
      <c r="E17" s="190">
        <v>3019.5</v>
      </c>
      <c r="F17" s="190">
        <v>18</v>
      </c>
      <c r="G17" s="192">
        <v>510</v>
      </c>
      <c r="H17" s="190">
        <v>56</v>
      </c>
      <c r="I17" s="190">
        <v>454</v>
      </c>
      <c r="J17" s="190">
        <v>0</v>
      </c>
      <c r="K17" s="192">
        <v>16.719306053544834</v>
      </c>
      <c r="L17" s="190">
        <v>2.3089088198855334</v>
      </c>
      <c r="M17" s="190">
        <v>14.4103972336593</v>
      </c>
      <c r="N17" s="190">
        <v>8.5904007354153794E-2</v>
      </c>
      <c r="O17" s="190"/>
      <c r="P17" s="192">
        <v>2.4339468750343576</v>
      </c>
      <c r="Q17" s="190">
        <v>0.26725691176847849</v>
      </c>
      <c r="R17" s="190">
        <v>2.1666899632658789</v>
      </c>
      <c r="S17" s="190">
        <v>0</v>
      </c>
    </row>
    <row r="18" spans="1:19">
      <c r="A18" s="15"/>
      <c r="B18" s="15" t="s">
        <v>31</v>
      </c>
      <c r="C18" s="191">
        <v>7.2279883115998169</v>
      </c>
      <c r="D18" s="190">
        <v>2.3467494518181224</v>
      </c>
      <c r="E18" s="190">
        <v>4.8812388597816945</v>
      </c>
      <c r="F18" s="190">
        <v>4.3180189913453448</v>
      </c>
      <c r="G18" s="192">
        <v>13.588242545895366</v>
      </c>
      <c r="H18" s="190">
        <v>1.8445450691290441</v>
      </c>
      <c r="I18" s="190">
        <v>1.1504704512593162</v>
      </c>
      <c r="J18" s="190">
        <v>10.593227025507003</v>
      </c>
      <c r="K18" s="192">
        <v>0.68126555483297013</v>
      </c>
      <c r="L18" s="190">
        <v>0.22119011520550977</v>
      </c>
      <c r="M18" s="190">
        <v>0.46007543962746028</v>
      </c>
      <c r="N18" s="190">
        <v>0.40698981197813799</v>
      </c>
      <c r="O18" s="190"/>
      <c r="P18" s="192">
        <v>1.2807438526675508</v>
      </c>
      <c r="Q18" s="190">
        <v>0.17385543055153066</v>
      </c>
      <c r="R18" s="190">
        <v>0.10843624207834911</v>
      </c>
      <c r="S18" s="190">
        <v>0.99845218003767111</v>
      </c>
    </row>
    <row r="19" spans="1:19">
      <c r="A19" s="15"/>
      <c r="B19" s="15" t="s">
        <v>35</v>
      </c>
      <c r="C19" s="191">
        <v>7.6102084556631384</v>
      </c>
      <c r="D19" s="190">
        <v>2.0161373147465773</v>
      </c>
      <c r="E19" s="190">
        <v>5.5940711409165607</v>
      </c>
      <c r="F19" s="190">
        <v>9.86771432217515</v>
      </c>
      <c r="G19" s="192">
        <v>63.976864367944216</v>
      </c>
      <c r="H19" s="190">
        <v>2.9816115218083188</v>
      </c>
      <c r="I19" s="190">
        <v>43.44633931777836</v>
      </c>
      <c r="J19" s="190">
        <v>17.548913528357534</v>
      </c>
      <c r="K19" s="192">
        <v>1.0708244081170604</v>
      </c>
      <c r="L19" s="190">
        <v>0.28368855588175851</v>
      </c>
      <c r="M19" s="190">
        <v>0.78713585223530191</v>
      </c>
      <c r="N19" s="190">
        <v>1.3884756784353673</v>
      </c>
      <c r="O19" s="190"/>
      <c r="P19" s="192">
        <v>9.0021171324169291</v>
      </c>
      <c r="Q19" s="190">
        <v>0.41953941362795277</v>
      </c>
      <c r="R19" s="190">
        <v>6.1132885985787402</v>
      </c>
      <c r="S19" s="190">
        <v>2.4692891202102363</v>
      </c>
    </row>
    <row r="20" spans="1:19">
      <c r="A20" s="16"/>
      <c r="B20" s="16" t="s">
        <v>36</v>
      </c>
      <c r="C20" s="191">
        <v>36.424429235191226</v>
      </c>
      <c r="D20" s="190">
        <v>2.0488741444795067</v>
      </c>
      <c r="E20" s="190">
        <v>34.375555090711721</v>
      </c>
      <c r="F20" s="190">
        <v>0</v>
      </c>
      <c r="G20" s="192">
        <v>10.244370722397534</v>
      </c>
      <c r="H20" s="190">
        <v>0</v>
      </c>
      <c r="I20" s="190">
        <v>10.244370722397534</v>
      </c>
      <c r="J20" s="190">
        <v>0</v>
      </c>
      <c r="K20" s="192">
        <v>8.5545887757554304</v>
      </c>
      <c r="L20" s="190">
        <v>0.48119561863624288</v>
      </c>
      <c r="M20" s="190">
        <v>8.0733931571191864</v>
      </c>
      <c r="N20" s="190">
        <v>0</v>
      </c>
      <c r="O20" s="190"/>
      <c r="P20" s="192">
        <v>2.4059780931812145</v>
      </c>
      <c r="Q20" s="190">
        <v>0</v>
      </c>
      <c r="R20" s="190">
        <v>2.4059780931812145</v>
      </c>
      <c r="S20" s="190">
        <v>0</v>
      </c>
    </row>
    <row r="21" spans="1:19">
      <c r="A21" s="15"/>
      <c r="B21" s="15" t="s">
        <v>37</v>
      </c>
      <c r="C21" s="191">
        <v>36.538255576551201</v>
      </c>
      <c r="D21" s="190">
        <v>9.2199336501577793</v>
      </c>
      <c r="E21" s="190">
        <v>27.31832192639342</v>
      </c>
      <c r="F21" s="190">
        <v>15.708035107676219</v>
      </c>
      <c r="G21" s="192">
        <v>60.327960920785472</v>
      </c>
      <c r="H21" s="190">
        <v>1.1382634135997258</v>
      </c>
      <c r="I21" s="190">
        <v>59.189697507185748</v>
      </c>
      <c r="J21" s="190">
        <v>0</v>
      </c>
      <c r="K21" s="192">
        <v>7.2204845013748731</v>
      </c>
      <c r="L21" s="190">
        <v>1.8219914162347806</v>
      </c>
      <c r="M21" s="190">
        <v>5.3984930851400916</v>
      </c>
      <c r="N21" s="190">
        <v>3.1041335239555523</v>
      </c>
      <c r="O21" s="190"/>
      <c r="P21" s="192">
        <v>11.921672229684368</v>
      </c>
      <c r="Q21" s="190">
        <v>0.22493721188083715</v>
      </c>
      <c r="R21" s="190">
        <v>11.696735017803531</v>
      </c>
      <c r="S21" s="190">
        <v>0</v>
      </c>
    </row>
    <row r="22" spans="1:19">
      <c r="A22" s="16"/>
      <c r="B22" s="16" t="s">
        <v>38</v>
      </c>
      <c r="C22" s="191">
        <v>13.066403598920733</v>
      </c>
      <c r="D22" s="190">
        <v>2.8588123511436292</v>
      </c>
      <c r="E22" s="190">
        <v>10.207591247777104</v>
      </c>
      <c r="F22" s="190">
        <v>1.5581815067044105</v>
      </c>
      <c r="G22" s="192">
        <v>37.130220476565157</v>
      </c>
      <c r="H22" s="190">
        <v>4.2925110377531973E-2</v>
      </c>
      <c r="I22" s="190">
        <v>37.087295366187625</v>
      </c>
      <c r="J22" s="190">
        <v>0</v>
      </c>
      <c r="K22" s="192">
        <v>5.44423346092535</v>
      </c>
      <c r="L22" s="190">
        <v>1.1911496336978591</v>
      </c>
      <c r="M22" s="190">
        <v>4.2530838272274911</v>
      </c>
      <c r="N22" s="190">
        <v>0.64923020575423851</v>
      </c>
      <c r="O22" s="190"/>
      <c r="P22" s="192">
        <v>15.470637134364086</v>
      </c>
      <c r="Q22" s="190">
        <v>1.7885129635102991E-2</v>
      </c>
      <c r="R22" s="190">
        <v>15.452752004728984</v>
      </c>
      <c r="S22" s="190">
        <v>0</v>
      </c>
    </row>
    <row r="23" spans="1:19">
      <c r="A23" s="16"/>
      <c r="B23" s="16" t="s">
        <v>39</v>
      </c>
      <c r="C23" s="191">
        <v>6.1428697867727307</v>
      </c>
      <c r="D23" s="190">
        <v>0.12194282455131972</v>
      </c>
      <c r="E23" s="190">
        <v>6.0209269622214112</v>
      </c>
      <c r="F23" s="190">
        <v>26.73596428287685</v>
      </c>
      <c r="G23" s="192">
        <v>14.784957762724758</v>
      </c>
      <c r="H23" s="190">
        <v>8.7010778173287289</v>
      </c>
      <c r="I23" s="190">
        <v>6.0838799453960295</v>
      </c>
      <c r="J23" s="190">
        <v>0</v>
      </c>
      <c r="K23" s="192">
        <v>1.7728572264249522</v>
      </c>
      <c r="L23" s="190">
        <v>3.5193195561785656E-2</v>
      </c>
      <c r="M23" s="190">
        <v>1.7376640308631668</v>
      </c>
      <c r="N23" s="190">
        <v>7.7161081269215046</v>
      </c>
      <c r="O23" s="190"/>
      <c r="P23" s="192">
        <v>4.2669989958887014</v>
      </c>
      <c r="Q23" s="190">
        <v>2.5111664778167628</v>
      </c>
      <c r="R23" s="190">
        <v>1.7558325180719383</v>
      </c>
      <c r="S23" s="190">
        <v>0</v>
      </c>
    </row>
    <row r="24" spans="1:19">
      <c r="A24" s="16"/>
      <c r="B24" s="16" t="s">
        <v>40</v>
      </c>
      <c r="C24" s="191">
        <v>1.0676910819565428</v>
      </c>
      <c r="D24" s="190">
        <v>0.26180058512793697</v>
      </c>
      <c r="E24" s="190">
        <v>0.80589049682860592</v>
      </c>
      <c r="F24" s="190">
        <v>0</v>
      </c>
      <c r="G24" s="192">
        <v>1.3203855597756819</v>
      </c>
      <c r="H24" s="190">
        <v>0.97890653569576425</v>
      </c>
      <c r="I24" s="190">
        <v>0.34147902407991776</v>
      </c>
      <c r="J24" s="190">
        <v>0</v>
      </c>
      <c r="K24" s="192">
        <v>3.4900150960272138</v>
      </c>
      <c r="L24" s="190">
        <v>0.85576063122202473</v>
      </c>
      <c r="M24" s="190">
        <v>2.6342544648051889</v>
      </c>
      <c r="N24" s="190">
        <v>0</v>
      </c>
      <c r="O24" s="190"/>
      <c r="P24" s="192">
        <v>4.3160101400762976</v>
      </c>
      <c r="Q24" s="190">
        <v>3.1998006210910486</v>
      </c>
      <c r="R24" s="190">
        <v>1.1162095189852494</v>
      </c>
      <c r="S24" s="190">
        <v>0</v>
      </c>
    </row>
    <row r="25" spans="1:19">
      <c r="A25" s="16"/>
      <c r="B25" s="16" t="s">
        <v>41</v>
      </c>
      <c r="C25" s="191">
        <v>7.910930724518094</v>
      </c>
      <c r="D25" s="190">
        <v>2.105787315159493</v>
      </c>
      <c r="E25" s="190">
        <v>5.8051434093586014</v>
      </c>
      <c r="F25" s="190">
        <v>4.8376195077988351</v>
      </c>
      <c r="G25" s="192">
        <v>18.576458909947529</v>
      </c>
      <c r="H25" s="190">
        <v>2.7545974609113366</v>
      </c>
      <c r="I25" s="190">
        <v>14.683598035436464</v>
      </c>
      <c r="J25" s="190">
        <v>1.1382634135997258</v>
      </c>
      <c r="K25" s="192">
        <v>2.9740073275675076</v>
      </c>
      <c r="L25" s="190">
        <v>0.79164223827336544</v>
      </c>
      <c r="M25" s="190">
        <v>2.1823650892941422</v>
      </c>
      <c r="N25" s="190">
        <v>1.8186375744117851</v>
      </c>
      <c r="O25" s="190"/>
      <c r="P25" s="192">
        <v>6.9835682857412555</v>
      </c>
      <c r="Q25" s="190">
        <v>1.0355536306062401</v>
      </c>
      <c r="R25" s="190">
        <v>5.5200999317440074</v>
      </c>
      <c r="S25" s="190">
        <v>0.42791472339100828</v>
      </c>
    </row>
    <row r="26" spans="1:19">
      <c r="A26" s="16"/>
      <c r="B26" s="16" t="s">
        <v>42</v>
      </c>
      <c r="C26" s="191">
        <v>21.213646056970173</v>
      </c>
      <c r="D26" s="190">
        <v>0.70761690517133902</v>
      </c>
      <c r="E26" s="190">
        <v>20.506029151798835</v>
      </c>
      <c r="F26" s="190">
        <v>1.7913339101833412</v>
      </c>
      <c r="G26" s="192">
        <v>9.3327696507573688</v>
      </c>
      <c r="H26" s="190">
        <v>6.41999440943819</v>
      </c>
      <c r="I26" s="190">
        <v>2.9127752413191792</v>
      </c>
      <c r="J26" s="190">
        <v>0</v>
      </c>
      <c r="K26" s="192">
        <v>11.028872427123924</v>
      </c>
      <c r="L26" s="190">
        <v>0.36788662134987926</v>
      </c>
      <c r="M26" s="190">
        <v>10.660985805774043</v>
      </c>
      <c r="N26" s="190">
        <v>0.93130587343337767</v>
      </c>
      <c r="O26" s="190"/>
      <c r="P26" s="192">
        <v>4.8520619979005071</v>
      </c>
      <c r="Q26" s="190">
        <v>3.3377241768997119</v>
      </c>
      <c r="R26" s="190">
        <v>1.5143378210007954</v>
      </c>
      <c r="S26" s="190">
        <v>0</v>
      </c>
    </row>
    <row r="27" spans="1:19">
      <c r="A27" s="16"/>
      <c r="B27" s="16" t="s">
        <v>43</v>
      </c>
      <c r="C27" s="191">
        <v>0.90912242644701236</v>
      </c>
      <c r="D27" s="190">
        <v>5.0270792906436608E-2</v>
      </c>
      <c r="E27" s="190">
        <v>0.85853416239471891</v>
      </c>
      <c r="F27" s="190">
        <v>0</v>
      </c>
      <c r="G27" s="192">
        <v>0.91645405891835929</v>
      </c>
      <c r="H27" s="190">
        <v>0</v>
      </c>
      <c r="I27" s="190">
        <v>0.91645405891835929</v>
      </c>
      <c r="J27" s="190">
        <v>0</v>
      </c>
      <c r="K27" s="192">
        <v>4.3402812991904538</v>
      </c>
      <c r="L27" s="190">
        <v>0.24</v>
      </c>
      <c r="M27" s="190">
        <v>4.0987656462516302</v>
      </c>
      <c r="N27" s="190">
        <v>0</v>
      </c>
      <c r="O27" s="190"/>
      <c r="P27" s="192">
        <v>4.3752835677323123</v>
      </c>
      <c r="Q27" s="190">
        <v>0</v>
      </c>
      <c r="R27" s="190">
        <v>4.3752835677323123</v>
      </c>
      <c r="S27" s="190">
        <v>0</v>
      </c>
    </row>
    <row r="28" spans="1:19">
      <c r="A28" s="16"/>
      <c r="B28" s="16" t="s">
        <v>44</v>
      </c>
      <c r="C28" s="191">
        <v>22.385999999999999</v>
      </c>
      <c r="D28" s="190">
        <v>3.0750000000000006</v>
      </c>
      <c r="E28" s="190">
        <v>19.310999999999996</v>
      </c>
      <c r="F28" s="190">
        <v>2.46</v>
      </c>
      <c r="G28" s="192">
        <v>6.15</v>
      </c>
      <c r="H28" s="190">
        <v>3.69</v>
      </c>
      <c r="I28" s="190">
        <v>2.46</v>
      </c>
      <c r="J28" s="190">
        <v>0</v>
      </c>
      <c r="K28" s="192">
        <v>5.3874865154583516</v>
      </c>
      <c r="L28" s="190">
        <v>0.74003935651900443</v>
      </c>
      <c r="M28" s="190">
        <v>4.6474471589393467</v>
      </c>
      <c r="N28" s="190">
        <v>0.59203148521520355</v>
      </c>
      <c r="O28" s="190"/>
      <c r="P28" s="192">
        <v>1.4800787130380089</v>
      </c>
      <c r="Q28" s="190">
        <v>0.88804722782280521</v>
      </c>
      <c r="R28" s="190">
        <v>0.59203148521520355</v>
      </c>
      <c r="S28" s="190">
        <v>0</v>
      </c>
    </row>
    <row r="29" spans="1:19">
      <c r="A29" s="16"/>
      <c r="B29" s="16" t="s">
        <v>45</v>
      </c>
      <c r="C29" s="191">
        <v>26.891847077879898</v>
      </c>
      <c r="D29" s="190">
        <v>4.4578519375602843</v>
      </c>
      <c r="E29" s="190">
        <v>22.433995140319613</v>
      </c>
      <c r="F29" s="190">
        <v>2.0841905162619514</v>
      </c>
      <c r="G29" s="192">
        <v>11.144629843900709</v>
      </c>
      <c r="H29" s="190">
        <v>0.92630689611642281</v>
      </c>
      <c r="I29" s="190">
        <v>10.218322947784287</v>
      </c>
      <c r="J29" s="190">
        <v>0</v>
      </c>
      <c r="K29" s="192">
        <v>6.9370172460253965</v>
      </c>
      <c r="L29" s="190">
        <v>1.149946884701734</v>
      </c>
      <c r="M29" s="190">
        <v>5.7870703613236625</v>
      </c>
      <c r="N29" s="190">
        <v>0.53763750453587567</v>
      </c>
      <c r="O29" s="190"/>
      <c r="P29" s="192">
        <v>2.874867211754335</v>
      </c>
      <c r="Q29" s="190">
        <v>0.23895000201594477</v>
      </c>
      <c r="R29" s="190">
        <v>2.6359172097383903</v>
      </c>
      <c r="S29" s="190">
        <v>0</v>
      </c>
    </row>
    <row r="30" spans="1:19">
      <c r="A30" s="17"/>
      <c r="B30" s="17" t="s">
        <v>46</v>
      </c>
      <c r="C30" s="191">
        <v>2.6180058512793694</v>
      </c>
      <c r="D30" s="190">
        <v>0.23903531685594243</v>
      </c>
      <c r="E30" s="190">
        <v>2.3789705344234271</v>
      </c>
      <c r="F30" s="190">
        <v>0</v>
      </c>
      <c r="G30" s="192">
        <v>0.97890653569576436</v>
      </c>
      <c r="H30" s="190">
        <v>0.22765268271994518</v>
      </c>
      <c r="I30" s="190">
        <v>0.75125385297581915</v>
      </c>
      <c r="J30" s="190">
        <v>0</v>
      </c>
      <c r="K30" s="192">
        <v>7.9280656230670878</v>
      </c>
      <c r="L30" s="190">
        <v>0.7238668612365603</v>
      </c>
      <c r="M30" s="190">
        <v>7.2041987618305274</v>
      </c>
      <c r="N30" s="190">
        <v>0</v>
      </c>
      <c r="O30" s="190"/>
      <c r="P30" s="192">
        <v>2.9750101353149043</v>
      </c>
      <c r="Q30" s="190">
        <v>0.7</v>
      </c>
      <c r="R30" s="190">
        <v>2.2750101353149041</v>
      </c>
      <c r="S30" s="190">
        <v>0</v>
      </c>
    </row>
    <row r="31" spans="1:19">
      <c r="A31" s="16"/>
      <c r="B31" s="16" t="s">
        <v>47</v>
      </c>
      <c r="C31" s="191">
        <v>2.5872727391121773</v>
      </c>
      <c r="D31" s="190">
        <v>0.56913170679986291</v>
      </c>
      <c r="E31" s="190">
        <v>2.0181410323123141</v>
      </c>
      <c r="F31" s="190">
        <v>2.4927968757833998</v>
      </c>
      <c r="G31" s="192">
        <v>1.9578130713915285</v>
      </c>
      <c r="H31" s="190">
        <v>0.3642442923519123</v>
      </c>
      <c r="I31" s="190">
        <v>1.5935687790396162</v>
      </c>
      <c r="J31" s="190">
        <v>0</v>
      </c>
      <c r="K31" s="192">
        <v>4.6807143933504589</v>
      </c>
      <c r="L31" s="190">
        <v>1.0296336105038404</v>
      </c>
      <c r="M31" s="190">
        <v>3.6510807828466185</v>
      </c>
      <c r="N31" s="190">
        <v>4.5097952140068207</v>
      </c>
      <c r="O31" s="190"/>
      <c r="P31" s="192">
        <v>3.5419396201332107</v>
      </c>
      <c r="Q31" s="190">
        <v>0.6589655107224579</v>
      </c>
      <c r="R31" s="190">
        <v>2.8829741094107528</v>
      </c>
      <c r="S31" s="190">
        <v>0</v>
      </c>
    </row>
    <row r="32" spans="1:19">
      <c r="A32" s="16"/>
      <c r="B32" s="16" t="s">
        <v>48</v>
      </c>
      <c r="C32" s="191">
        <v>2.9594848753592875</v>
      </c>
      <c r="D32" s="190">
        <v>0.22765268271994518</v>
      </c>
      <c r="E32" s="190">
        <v>2.7318321926393425</v>
      </c>
      <c r="F32" s="190">
        <v>5.2360117025587387</v>
      </c>
      <c r="G32" s="192">
        <v>4.3254009716789588</v>
      </c>
      <c r="H32" s="190">
        <v>0.45530536543989036</v>
      </c>
      <c r="I32" s="190">
        <v>2.8456585339993148</v>
      </c>
      <c r="J32" s="190">
        <v>1.0244370722397533</v>
      </c>
      <c r="K32" s="192">
        <v>4.1587270560864775</v>
      </c>
      <c r="L32" s="190">
        <v>0.31990208123742137</v>
      </c>
      <c r="M32" s="190">
        <v>3.8388249748490564</v>
      </c>
      <c r="N32" s="190">
        <v>7.3577478684606898</v>
      </c>
      <c r="O32" s="190"/>
      <c r="P32" s="192">
        <v>6.0781395435110053</v>
      </c>
      <c r="Q32" s="190">
        <v>0.63980416247484273</v>
      </c>
      <c r="R32" s="190">
        <v>3.998776015467767</v>
      </c>
      <c r="S32" s="190">
        <v>1.4395593655683963</v>
      </c>
    </row>
    <row r="33" spans="1:19">
      <c r="A33" s="16"/>
      <c r="B33" s="16" t="s">
        <v>49</v>
      </c>
      <c r="C33" s="191">
        <v>40.522177524150244</v>
      </c>
      <c r="D33" s="190">
        <v>6.7157541402383831</v>
      </c>
      <c r="E33" s="190">
        <v>33.806423383911863</v>
      </c>
      <c r="F33" s="190">
        <v>14.342119011356546</v>
      </c>
      <c r="G33" s="192">
        <v>73.987121883982184</v>
      </c>
      <c r="H33" s="190">
        <v>0</v>
      </c>
      <c r="I33" s="190">
        <v>73.987121883982184</v>
      </c>
      <c r="J33" s="190">
        <v>0</v>
      </c>
      <c r="K33" s="192">
        <v>4.5192778176981978</v>
      </c>
      <c r="L33" s="190">
        <v>0.74898143607919576</v>
      </c>
      <c r="M33" s="190">
        <v>3.7702963816190023</v>
      </c>
      <c r="N33" s="190">
        <v>1.5995196770504858</v>
      </c>
      <c r="O33" s="190"/>
      <c r="P33" s="192">
        <v>8.2514903974826659</v>
      </c>
      <c r="Q33" s="190">
        <v>0</v>
      </c>
      <c r="R33" s="190">
        <v>8.2514903974826659</v>
      </c>
      <c r="S33" s="190">
        <v>0</v>
      </c>
    </row>
    <row r="34" spans="1:19">
      <c r="A34" s="16"/>
      <c r="B34" s="16" t="s">
        <v>50</v>
      </c>
      <c r="C34" s="191">
        <v>39.908289467911899</v>
      </c>
      <c r="D34" s="190">
        <v>2.5266611838450714</v>
      </c>
      <c r="E34" s="190">
        <v>37.381628284066828</v>
      </c>
      <c r="F34" s="190">
        <v>0</v>
      </c>
      <c r="G34" s="192">
        <v>5.6687911176011223</v>
      </c>
      <c r="H34" s="190">
        <v>1.619654605028892</v>
      </c>
      <c r="I34" s="190">
        <v>4.0491365125722298</v>
      </c>
      <c r="J34" s="190">
        <v>0</v>
      </c>
      <c r="K34" s="192">
        <v>19.063391654531198</v>
      </c>
      <c r="L34" s="190">
        <v>1.2069355105953192</v>
      </c>
      <c r="M34" s="190">
        <v>17.85645614393588</v>
      </c>
      <c r="N34" s="190">
        <v>0</v>
      </c>
      <c r="O34" s="190"/>
      <c r="P34" s="192">
        <v>2.7078681327459089</v>
      </c>
      <c r="Q34" s="190">
        <v>0.77367660935597393</v>
      </c>
      <c r="R34" s="190">
        <v>1.9341915233899349</v>
      </c>
      <c r="S34" s="190">
        <v>0</v>
      </c>
    </row>
    <row r="35" spans="1:19">
      <c r="A35" s="16"/>
      <c r="B35" s="16" t="s">
        <v>51</v>
      </c>
      <c r="C35" s="191">
        <v>13.348965621899445</v>
      </c>
      <c r="D35" s="190">
        <v>1.1414792455781</v>
      </c>
      <c r="E35" s="190">
        <v>12.207486376321347</v>
      </c>
      <c r="F35" s="190">
        <v>0</v>
      </c>
      <c r="G35" s="192">
        <v>13.740027956032684</v>
      </c>
      <c r="H35" s="190">
        <v>5.4960111824130733</v>
      </c>
      <c r="I35" s="190">
        <v>8.2440167736196095</v>
      </c>
      <c r="J35" s="190">
        <v>0</v>
      </c>
      <c r="K35" s="192">
        <v>4.2369754101110404</v>
      </c>
      <c r="L35" s="190">
        <v>0.31784240720826956</v>
      </c>
      <c r="M35" s="190">
        <v>3.3991479659773267</v>
      </c>
      <c r="N35" s="190">
        <v>0</v>
      </c>
      <c r="O35" s="190"/>
      <c r="P35" s="192">
        <v>4.3610989969472307</v>
      </c>
      <c r="Q35" s="190">
        <v>1.7444395987788921</v>
      </c>
      <c r="R35" s="190">
        <v>2.6166593981683381</v>
      </c>
      <c r="S35" s="190">
        <v>0</v>
      </c>
    </row>
    <row r="36" spans="1:19">
      <c r="A36" s="16"/>
      <c r="B36" s="16" t="s">
        <v>52</v>
      </c>
      <c r="C36" s="191">
        <v>10.813502429197396</v>
      </c>
      <c r="D36" s="190">
        <v>2.5041795099193971</v>
      </c>
      <c r="E36" s="190">
        <v>8.3093229192779994</v>
      </c>
      <c r="F36" s="190">
        <v>8.9922809674378357</v>
      </c>
      <c r="G36" s="192">
        <v>14.797424376796437</v>
      </c>
      <c r="H36" s="190">
        <v>0</v>
      </c>
      <c r="I36" s="190">
        <v>14.797424376796437</v>
      </c>
      <c r="J36" s="190">
        <v>0</v>
      </c>
      <c r="K36" s="192">
        <v>4.7257657605524459</v>
      </c>
      <c r="L36" s="190">
        <v>1.0943878603384611</v>
      </c>
      <c r="M36" s="190">
        <v>3.6313779002139848</v>
      </c>
      <c r="N36" s="190">
        <v>3.9298473166699286</v>
      </c>
      <c r="O36" s="190"/>
      <c r="P36" s="192">
        <v>6.4668373565454518</v>
      </c>
      <c r="Q36" s="190">
        <v>0</v>
      </c>
      <c r="R36" s="190">
        <v>6.4668373565454518</v>
      </c>
      <c r="S36" s="190">
        <v>0</v>
      </c>
    </row>
    <row r="37" spans="1:19">
      <c r="A37" s="16"/>
      <c r="B37" s="16" t="s">
        <v>54</v>
      </c>
      <c r="C37" s="191">
        <v>3.9671784617144987</v>
      </c>
      <c r="D37" s="190">
        <v>0.153665560835963</v>
      </c>
      <c r="E37" s="190">
        <v>3.8135129008785356</v>
      </c>
      <c r="F37" s="190">
        <v>0.54465904340746885</v>
      </c>
      <c r="G37" s="192">
        <v>4.5644362885349006</v>
      </c>
      <c r="H37" s="190">
        <v>0</v>
      </c>
      <c r="I37" s="190">
        <v>4.5644362885349006</v>
      </c>
      <c r="J37" s="190">
        <v>0</v>
      </c>
      <c r="K37" s="192">
        <v>3.795231345008085</v>
      </c>
      <c r="L37" s="190">
        <v>0.14938370504871756</v>
      </c>
      <c r="M37" s="190">
        <v>3.6458476399593676</v>
      </c>
      <c r="N37" s="190">
        <v>0.52948224345045447</v>
      </c>
      <c r="O37" s="190"/>
      <c r="P37" s="192">
        <v>4.4372493129285733</v>
      </c>
      <c r="Q37" s="190">
        <v>0</v>
      </c>
      <c r="R37" s="190">
        <v>4.4372493129285733</v>
      </c>
      <c r="S37" s="190">
        <v>0</v>
      </c>
    </row>
    <row r="38" spans="1:19">
      <c r="A38" s="16"/>
      <c r="B38" s="16" t="s">
        <v>55</v>
      </c>
      <c r="C38" s="191">
        <v>2.7659800950473437</v>
      </c>
      <c r="D38" s="190">
        <v>0.45530536543989192</v>
      </c>
      <c r="E38" s="190">
        <v>2.3106747296074519</v>
      </c>
      <c r="F38" s="190">
        <v>0.1</v>
      </c>
      <c r="G38" s="192">
        <v>3.5</v>
      </c>
      <c r="H38" s="190">
        <v>1</v>
      </c>
      <c r="I38" s="190">
        <v>2.5</v>
      </c>
      <c r="J38" s="190">
        <v>0</v>
      </c>
      <c r="K38" s="192">
        <v>5.3460563319061984</v>
      </c>
      <c r="L38" s="190">
        <v>0.88000927274176111</v>
      </c>
      <c r="M38" s="190">
        <v>4.4660470591644374</v>
      </c>
      <c r="N38" s="190">
        <v>0.3</v>
      </c>
      <c r="O38" s="190"/>
      <c r="P38" s="192">
        <v>6.6</v>
      </c>
      <c r="Q38" s="190">
        <v>1.9</v>
      </c>
      <c r="R38" s="190">
        <v>4.7</v>
      </c>
      <c r="S38" s="190">
        <v>0</v>
      </c>
    </row>
    <row r="39" spans="1:19">
      <c r="A39" s="16"/>
      <c r="B39" s="16" t="s">
        <v>56</v>
      </c>
      <c r="C39" s="191">
        <v>22.325028541088958</v>
      </c>
      <c r="D39" s="190">
        <v>4.0762172736226612</v>
      </c>
      <c r="E39" s="190">
        <v>18.248811267466294</v>
      </c>
      <c r="F39" s="190">
        <v>36.259500442474554</v>
      </c>
      <c r="G39" s="192">
        <v>28.325705271031612</v>
      </c>
      <c r="H39" s="190">
        <v>1.2663765826177678</v>
      </c>
      <c r="I39" s="190">
        <v>27.059328688413846</v>
      </c>
      <c r="J39" s="190">
        <v>0</v>
      </c>
      <c r="K39" s="192">
        <v>4.2006968782557186</v>
      </c>
      <c r="L39" s="190">
        <v>0.76698460406821656</v>
      </c>
      <c r="M39" s="190">
        <v>3.4337122741875019</v>
      </c>
      <c r="N39" s="190">
        <v>6.8226192873832332</v>
      </c>
      <c r="O39" s="190"/>
      <c r="P39" s="192">
        <v>5.3297894552483349</v>
      </c>
      <c r="Q39" s="190">
        <v>0.23828252436532485</v>
      </c>
      <c r="R39" s="190">
        <v>5.0915069308830097</v>
      </c>
      <c r="S39" s="190">
        <v>0</v>
      </c>
    </row>
    <row r="40" spans="1:19">
      <c r="A40" s="16"/>
      <c r="B40" s="16" t="s">
        <v>57</v>
      </c>
      <c r="C40" s="191">
        <v>39.489616738061301</v>
      </c>
      <c r="D40" s="190">
        <v>3.1894478304486302</v>
      </c>
      <c r="E40" s="190">
        <v>36.300168907612672</v>
      </c>
      <c r="F40" s="190">
        <v>0</v>
      </c>
      <c r="G40" s="192">
        <v>44.864899481644059</v>
      </c>
      <c r="H40" s="190">
        <v>0.85051942145296811</v>
      </c>
      <c r="I40" s="190">
        <v>44.014380060191094</v>
      </c>
      <c r="J40" s="190">
        <v>0</v>
      </c>
      <c r="K40" s="192">
        <v>5.2882597816353591</v>
      </c>
      <c r="L40" s="190">
        <v>0.42711553265415886</v>
      </c>
      <c r="M40" s="190">
        <v>4.8611442489812005</v>
      </c>
      <c r="N40" s="190">
        <v>0</v>
      </c>
      <c r="O40" s="190"/>
      <c r="P40" s="192">
        <v>6.0080918260018352</v>
      </c>
      <c r="Q40" s="190">
        <v>0.11389747537444236</v>
      </c>
      <c r="R40" s="190">
        <v>5.8941943506273926</v>
      </c>
      <c r="S40" s="190">
        <v>0</v>
      </c>
    </row>
    <row r="41" spans="1:19">
      <c r="A41" s="15"/>
      <c r="B41" s="15" t="s">
        <v>60</v>
      </c>
      <c r="C41" s="191">
        <v>20.735557264419626</v>
      </c>
      <c r="D41" s="190">
        <v>2.21544520875785</v>
      </c>
      <c r="E41" s="190">
        <v>18.520112055661777</v>
      </c>
      <c r="F41" s="190">
        <v>3.04</v>
      </c>
      <c r="G41" s="192">
        <v>4.5003203243428693</v>
      </c>
      <c r="H41" s="190">
        <v>0</v>
      </c>
      <c r="I41" s="190">
        <v>0</v>
      </c>
      <c r="J41" s="190">
        <v>4.5003203243428693</v>
      </c>
      <c r="K41" s="192">
        <v>8.2454087590096599</v>
      </c>
      <c r="L41" s="190">
        <v>0.88096264288700565</v>
      </c>
      <c r="M41" s="190">
        <v>7.3644461161226555</v>
      </c>
      <c r="N41" s="190">
        <v>1.2088434522278535</v>
      </c>
      <c r="O41" s="190"/>
      <c r="P41" s="192">
        <v>1.7895338016479629</v>
      </c>
      <c r="Q41" s="190">
        <v>0</v>
      </c>
      <c r="R41" s="190">
        <v>0</v>
      </c>
      <c r="S41" s="190">
        <v>1.7895338016479629</v>
      </c>
    </row>
    <row r="42" spans="1:19">
      <c r="A42" s="15"/>
      <c r="B42" s="15" t="s">
        <v>61</v>
      </c>
      <c r="C42" s="191">
        <v>11.060053989571156</v>
      </c>
      <c r="D42" s="190">
        <v>2.9135225289071882</v>
      </c>
      <c r="E42" s="190">
        <v>8.1465314606639669</v>
      </c>
      <c r="F42" s="190">
        <v>0.10756165425876577</v>
      </c>
      <c r="G42" s="192">
        <v>15.41143382219596</v>
      </c>
      <c r="H42" s="190">
        <v>8.5363617861112981</v>
      </c>
      <c r="I42" s="190">
        <v>6.8750720360846609</v>
      </c>
      <c r="J42" s="190">
        <v>0</v>
      </c>
      <c r="K42" s="192">
        <v>4.1001315963942302</v>
      </c>
      <c r="L42" s="190">
        <v>1.0800874741518307</v>
      </c>
      <c r="M42" s="190">
        <v>3.0200441222424002</v>
      </c>
      <c r="N42" s="190">
        <v>3.9874754463463308E-2</v>
      </c>
      <c r="O42" s="190"/>
      <c r="P42" s="192">
        <v>5.713254819525023</v>
      </c>
      <c r="Q42" s="190">
        <v>3.1645602011066072</v>
      </c>
      <c r="R42" s="190">
        <v>2.5486946184184163</v>
      </c>
      <c r="S42" s="190">
        <v>0</v>
      </c>
    </row>
    <row r="43" spans="1:19">
      <c r="A43" s="15"/>
      <c r="B43" s="15" t="s">
        <v>62</v>
      </c>
      <c r="C43" s="191">
        <v>0.84666152667042227</v>
      </c>
      <c r="D43" s="190">
        <v>0.1953834292316359</v>
      </c>
      <c r="E43" s="190">
        <v>0.6512780974387864</v>
      </c>
      <c r="F43" s="190">
        <v>0.40447797630408838</v>
      </c>
      <c r="G43" s="192" t="s">
        <v>93</v>
      </c>
      <c r="H43" s="190">
        <v>0</v>
      </c>
      <c r="I43" s="190">
        <v>0</v>
      </c>
      <c r="J43" s="190">
        <v>0</v>
      </c>
      <c r="K43" s="192">
        <v>1.4290119139938693</v>
      </c>
      <c r="L43" s="190">
        <v>0.32977198015243137</v>
      </c>
      <c r="M43" s="190">
        <v>1.0992399338414378</v>
      </c>
      <c r="N43" s="190">
        <v>0.682685853648893</v>
      </c>
      <c r="O43" s="190"/>
      <c r="P43" s="192">
        <v>0</v>
      </c>
      <c r="Q43" s="190">
        <v>0</v>
      </c>
      <c r="R43" s="190">
        <v>0</v>
      </c>
      <c r="S43" s="190">
        <v>0</v>
      </c>
    </row>
    <row r="44" spans="1:19">
      <c r="A44" s="15"/>
      <c r="B44" s="15" t="s">
        <v>65</v>
      </c>
      <c r="C44" s="191">
        <v>5.9975490460949956</v>
      </c>
      <c r="D44" s="190">
        <v>1.7694150329493317</v>
      </c>
      <c r="E44" s="190">
        <v>4.2281340131456639</v>
      </c>
      <c r="F44" s="190">
        <v>0</v>
      </c>
      <c r="G44" s="192">
        <v>6.6270225953158493</v>
      </c>
      <c r="H44" s="190">
        <v>0</v>
      </c>
      <c r="I44" s="190">
        <v>6.6270225953158493</v>
      </c>
      <c r="J44" s="190">
        <v>0</v>
      </c>
      <c r="K44" s="192">
        <v>4</v>
      </c>
      <c r="L44" s="190">
        <v>1.180092080515055</v>
      </c>
      <c r="M44" s="190">
        <v>2.8199079194849448</v>
      </c>
      <c r="N44" s="190">
        <v>0</v>
      </c>
      <c r="O44" s="190"/>
      <c r="P44" s="192">
        <v>4.4198205262736145</v>
      </c>
      <c r="Q44" s="190">
        <v>0</v>
      </c>
      <c r="R44" s="190">
        <v>4.4198205262736145</v>
      </c>
      <c r="S44" s="190">
        <v>0</v>
      </c>
    </row>
    <row r="45" spans="1:19">
      <c r="A45" s="15"/>
      <c r="B45" s="15" t="s">
        <v>72</v>
      </c>
      <c r="C45" s="191">
        <v>44.709731424704025</v>
      </c>
      <c r="D45" s="190">
        <v>2.1654285875212778</v>
      </c>
      <c r="E45" s="190">
        <v>42.544302837182748</v>
      </c>
      <c r="F45" s="190">
        <v>0</v>
      </c>
      <c r="G45" s="192">
        <v>31.58978174736923</v>
      </c>
      <c r="H45" s="190">
        <v>12.737815220713399</v>
      </c>
      <c r="I45" s="190">
        <v>18.851966526655829</v>
      </c>
      <c r="J45" s="190">
        <v>0</v>
      </c>
      <c r="K45" s="192">
        <v>7.6769895099565364</v>
      </c>
      <c r="L45" s="190">
        <v>0.37182000475572968</v>
      </c>
      <c r="M45" s="190">
        <v>7.3051695052008068</v>
      </c>
      <c r="N45" s="190">
        <v>0</v>
      </c>
      <c r="O45" s="190"/>
      <c r="P45" s="192">
        <v>5.4241977164365274</v>
      </c>
      <c r="Q45" s="190">
        <v>2.1871764985631157</v>
      </c>
      <c r="R45" s="190">
        <v>3.2370212178734112</v>
      </c>
      <c r="S45" s="190">
        <v>0</v>
      </c>
    </row>
    <row r="46" spans="1:19">
      <c r="A46" s="15"/>
      <c r="B46" s="15"/>
      <c r="C46" s="191"/>
      <c r="D46" s="190"/>
      <c r="E46" s="190"/>
      <c r="F46" s="190"/>
      <c r="G46" s="192"/>
      <c r="H46" s="190"/>
      <c r="I46" s="190"/>
      <c r="J46" s="190"/>
      <c r="K46" s="192"/>
      <c r="L46" s="190"/>
      <c r="M46" s="190"/>
      <c r="N46" s="190"/>
      <c r="O46" s="190"/>
      <c r="P46" s="192"/>
      <c r="Q46" s="190"/>
      <c r="R46" s="190"/>
      <c r="S46" s="190"/>
    </row>
    <row r="48" spans="1:19">
      <c r="C48" s="19"/>
      <c r="D48" s="19"/>
      <c r="E48" s="19"/>
      <c r="F48" s="19"/>
      <c r="G48" s="19"/>
      <c r="H48" s="19"/>
      <c r="I48" s="19"/>
      <c r="J48" s="19"/>
    </row>
  </sheetData>
  <mergeCells count="14">
    <mergeCell ref="N5:N6"/>
    <mergeCell ref="Q5:Q6"/>
    <mergeCell ref="R5:S5"/>
    <mergeCell ref="B3:J3"/>
    <mergeCell ref="K3:S3"/>
    <mergeCell ref="C4:F4"/>
    <mergeCell ref="G4:J4"/>
    <mergeCell ref="K4:N4"/>
    <mergeCell ref="P4:S4"/>
    <mergeCell ref="C5:E5"/>
    <mergeCell ref="F5:F6"/>
    <mergeCell ref="H5:H6"/>
    <mergeCell ref="I5:J5"/>
    <mergeCell ref="K5:M5"/>
  </mergeCells>
  <pageMargins left="0.7" right="0.7" top="0.75" bottom="0.75" header="0.3" footer="0.3"/>
  <pageSetup scale="5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8AAE-546C-4C1A-8659-F90A5D99166D}">
  <sheetPr>
    <tabColor rgb="FFFF0000"/>
    <pageSetUpPr fitToPage="1"/>
  </sheetPr>
  <dimension ref="A1:U47"/>
  <sheetViews>
    <sheetView showGridLines="0" zoomScale="130" zoomScaleNormal="100" zoomScaleSheetLayoutView="100" workbookViewId="0">
      <pane xSplit="2" ySplit="7" topLeftCell="C8" activePane="bottomRight" state="frozen"/>
      <selection activeCell="I90" sqref="I90:I92"/>
      <selection pane="topRight" activeCell="I90" sqref="I90:I92"/>
      <selection pane="bottomLeft" activeCell="I90" sqref="I90:I92"/>
      <selection pane="bottomRight" activeCell="H5" sqref="H5:H6"/>
    </sheetView>
  </sheetViews>
  <sheetFormatPr baseColWidth="10" defaultColWidth="9.1796875" defaultRowHeight="12.5"/>
  <cols>
    <col min="1" max="1" width="10.26953125" customWidth="1"/>
    <col min="2" max="2" width="26.54296875" style="2" customWidth="1"/>
    <col min="3" max="3" width="11.26953125" style="2" customWidth="1"/>
    <col min="4" max="4" width="13.7265625" style="2" customWidth="1"/>
    <col min="5" max="5" width="10.90625" style="2" bestFit="1" customWidth="1"/>
    <col min="6" max="6" width="9.7265625" style="2" customWidth="1"/>
    <col min="7" max="7" width="12.81640625" style="2" customWidth="1"/>
    <col min="8" max="8" width="18.81640625" style="2" customWidth="1"/>
    <col min="9" max="9" width="14.36328125" style="2" customWidth="1"/>
    <col min="10" max="10" width="10.90625" style="2" bestFit="1" customWidth="1"/>
    <col min="11" max="11" width="10.6328125" style="2" customWidth="1"/>
    <col min="12" max="12" width="10.08984375" style="2" customWidth="1"/>
    <col min="13" max="13" width="9" style="2" bestFit="1" customWidth="1"/>
    <col min="14" max="14" width="14.6328125" style="2" customWidth="1"/>
    <col min="15" max="15" width="14.36328125" style="2" customWidth="1"/>
    <col min="16" max="16" width="18.81640625" style="2" customWidth="1"/>
    <col min="17" max="17" width="8.81640625" style="2" customWidth="1"/>
    <col min="18" max="18" width="18.7265625" style="2" customWidth="1"/>
    <col min="19" max="19" width="20.1796875" customWidth="1"/>
  </cols>
  <sheetData>
    <row r="1" spans="1:21" ht="15.75" customHeight="1">
      <c r="B1" s="1" t="s">
        <v>511</v>
      </c>
    </row>
    <row r="2" spans="1:21" ht="15.75" customHeight="1">
      <c r="B2" s="3" t="s">
        <v>512</v>
      </c>
    </row>
    <row r="3" spans="1:21" ht="15.75" customHeight="1">
      <c r="B3" s="286" t="s">
        <v>2</v>
      </c>
      <c r="C3" s="287"/>
      <c r="D3" s="287"/>
      <c r="E3" s="287"/>
      <c r="F3" s="287"/>
      <c r="G3" s="287"/>
      <c r="H3" s="287"/>
      <c r="I3" s="287"/>
      <c r="J3" s="287"/>
      <c r="K3" s="287"/>
      <c r="L3" s="287"/>
      <c r="M3" s="287"/>
      <c r="N3" s="287"/>
      <c r="O3" s="287"/>
      <c r="P3" s="287"/>
      <c r="Q3" s="287"/>
      <c r="R3" s="287"/>
    </row>
    <row r="4" spans="1:21" ht="11.15" customHeight="1">
      <c r="A4" s="4"/>
      <c r="B4" s="5"/>
      <c r="C4" s="285" t="s">
        <v>3</v>
      </c>
      <c r="D4" s="285"/>
      <c r="E4" s="285"/>
      <c r="F4" s="285"/>
      <c r="G4" s="288" t="s">
        <v>4</v>
      </c>
      <c r="H4" s="288"/>
      <c r="I4" s="288"/>
      <c r="J4" s="288"/>
      <c r="K4" s="285" t="s">
        <v>3</v>
      </c>
      <c r="L4" s="285"/>
      <c r="M4" s="285"/>
      <c r="N4" s="285"/>
      <c r="O4" s="288" t="s">
        <v>4</v>
      </c>
      <c r="P4" s="288"/>
      <c r="Q4" s="288"/>
      <c r="R4" s="288"/>
    </row>
    <row r="5" spans="1:21" ht="27" customHeight="1">
      <c r="A5" s="4"/>
      <c r="B5" s="5"/>
      <c r="C5" s="288" t="s">
        <v>5</v>
      </c>
      <c r="D5" s="288"/>
      <c r="E5" s="288"/>
      <c r="F5" s="281" t="s">
        <v>6</v>
      </c>
      <c r="G5" s="7"/>
      <c r="H5" s="283" t="s">
        <v>7</v>
      </c>
      <c r="I5" s="285" t="s">
        <v>8</v>
      </c>
      <c r="J5" s="285"/>
      <c r="K5" s="288" t="s">
        <v>5</v>
      </c>
      <c r="L5" s="288"/>
      <c r="M5" s="288"/>
      <c r="N5" s="281" t="s">
        <v>6</v>
      </c>
      <c r="O5" s="7"/>
      <c r="P5" s="283" t="s">
        <v>7</v>
      </c>
      <c r="Q5" s="285" t="s">
        <v>8</v>
      </c>
      <c r="R5" s="285"/>
    </row>
    <row r="6" spans="1:21" ht="29.5" customHeight="1">
      <c r="A6" s="4"/>
      <c r="B6" s="8"/>
      <c r="C6" s="9" t="s">
        <v>9</v>
      </c>
      <c r="D6" s="189" t="s">
        <v>10</v>
      </c>
      <c r="E6" s="189" t="s">
        <v>11</v>
      </c>
      <c r="F6" s="282"/>
      <c r="G6" s="11" t="s">
        <v>9</v>
      </c>
      <c r="H6" s="284"/>
      <c r="I6" s="12" t="s">
        <v>12</v>
      </c>
      <c r="J6" s="12" t="s">
        <v>13</v>
      </c>
      <c r="K6" s="9" t="s">
        <v>9</v>
      </c>
      <c r="L6" s="189" t="s">
        <v>10</v>
      </c>
      <c r="M6" s="189" t="s">
        <v>11</v>
      </c>
      <c r="N6" s="282"/>
      <c r="O6" s="11" t="s">
        <v>9</v>
      </c>
      <c r="P6" s="284"/>
      <c r="Q6" s="12" t="s">
        <v>12</v>
      </c>
      <c r="R6" s="189" t="s">
        <v>13</v>
      </c>
    </row>
    <row r="7" spans="1:21" ht="13">
      <c r="A7" s="13"/>
      <c r="B7" s="13" t="s">
        <v>14</v>
      </c>
      <c r="C7" s="14"/>
      <c r="D7" s="14"/>
      <c r="E7" s="14"/>
      <c r="F7" s="14"/>
      <c r="G7" s="14"/>
      <c r="H7" s="14"/>
      <c r="I7" s="14"/>
      <c r="J7" s="14"/>
      <c r="S7" s="226" t="s">
        <v>513</v>
      </c>
    </row>
    <row r="8" spans="1:21">
      <c r="A8" s="15"/>
      <c r="B8" s="15" t="s">
        <v>15</v>
      </c>
      <c r="C8" s="223">
        <v>249.72579708899613</v>
      </c>
      <c r="D8" s="224">
        <v>13.808448829914081</v>
      </c>
      <c r="E8" s="224">
        <v>235.91734825908199</v>
      </c>
      <c r="F8" s="224">
        <v>0</v>
      </c>
      <c r="G8" s="225">
        <v>24.164785452349602</v>
      </c>
      <c r="H8" s="224">
        <v>10.356336622435562</v>
      </c>
      <c r="I8" s="224">
        <v>13.808448829914079</v>
      </c>
      <c r="J8" s="224">
        <v>0</v>
      </c>
      <c r="K8" s="225">
        <v>18.370673152863606</v>
      </c>
      <c r="L8" s="224">
        <v>1.0157961378415044</v>
      </c>
      <c r="M8" s="224">
        <v>17.354877015022101</v>
      </c>
      <c r="N8" s="224">
        <v>0</v>
      </c>
      <c r="O8" s="225">
        <f>P8+Q8</f>
        <v>1.7776432412226326</v>
      </c>
      <c r="P8" s="224">
        <v>0.76184710338112827</v>
      </c>
      <c r="Q8" s="224">
        <v>1.0157961378415044</v>
      </c>
      <c r="R8" s="224">
        <v>0</v>
      </c>
      <c r="S8" s="214">
        <f>('2020'!C8/'2020'!K8)*100</f>
        <v>1350.2891172871325</v>
      </c>
      <c r="T8" s="196"/>
      <c r="U8" s="196"/>
    </row>
    <row r="9" spans="1:21">
      <c r="A9" s="15"/>
      <c r="B9" s="15" t="s">
        <v>16</v>
      </c>
      <c r="C9" s="223">
        <v>261.78973301959445</v>
      </c>
      <c r="D9" s="224">
        <v>45.632388666474455</v>
      </c>
      <c r="E9" s="224">
        <v>216.15734435311998</v>
      </c>
      <c r="F9" s="224">
        <v>68.027303732528338</v>
      </c>
      <c r="G9" s="225">
        <v>64.944134850488979</v>
      </c>
      <c r="H9" s="224">
        <v>3.8772617821187447</v>
      </c>
      <c r="I9" s="224">
        <v>61.066873068370228</v>
      </c>
      <c r="J9" s="224">
        <v>0</v>
      </c>
      <c r="K9" s="225">
        <v>15.923588544631171</v>
      </c>
      <c r="L9" s="224">
        <v>2.77562978903853</v>
      </c>
      <c r="M9" s="224">
        <v>13.147958755592642</v>
      </c>
      <c r="N9" s="224">
        <v>3.8595767164571715</v>
      </c>
      <c r="O9" s="225">
        <f t="shared" ref="O9:O45" si="0">P9+Q9</f>
        <v>3.9502835723081042</v>
      </c>
      <c r="P9" s="224">
        <v>0.23583782521242411</v>
      </c>
      <c r="Q9" s="224">
        <v>3.71444574709568</v>
      </c>
      <c r="R9" s="224">
        <v>0</v>
      </c>
      <c r="S9" s="214">
        <f>('2020'!C9/'2020'!K9)*100</f>
        <v>1639.3698989706768</v>
      </c>
      <c r="T9" s="196"/>
      <c r="U9" s="196"/>
    </row>
    <row r="10" spans="1:21">
      <c r="A10" s="15"/>
      <c r="B10" s="15" t="s">
        <v>18</v>
      </c>
      <c r="C10" s="223">
        <v>252.88463784604201</v>
      </c>
      <c r="D10" s="224">
        <v>38.633570180174964</v>
      </c>
      <c r="E10" s="224">
        <v>214.25106766586705</v>
      </c>
      <c r="F10" s="224">
        <v>79.204517036051911</v>
      </c>
      <c r="G10" s="225">
        <v>399.21355852847461</v>
      </c>
      <c r="H10" s="224">
        <v>18.006206750642018</v>
      </c>
      <c r="I10" s="224">
        <v>381.20735177783257</v>
      </c>
      <c r="J10" s="224">
        <v>0</v>
      </c>
      <c r="K10" s="225">
        <v>9.6358441242628725</v>
      </c>
      <c r="L10" s="224">
        <v>1.4720825408405198</v>
      </c>
      <c r="M10" s="224">
        <v>8.1637615834223514</v>
      </c>
      <c r="N10" s="224">
        <v>3.017986330041774</v>
      </c>
      <c r="O10" s="225">
        <f t="shared" si="0"/>
        <v>15.211519588685375</v>
      </c>
      <c r="P10" s="224">
        <v>0.68610336711741049</v>
      </c>
      <c r="Q10" s="224">
        <v>14.525416221567964</v>
      </c>
      <c r="R10" s="224">
        <v>0</v>
      </c>
      <c r="S10" s="214">
        <f>('2020'!C10/'2020'!K10)*100</f>
        <v>2568.7432407551605</v>
      </c>
      <c r="T10" s="196"/>
      <c r="U10" s="196"/>
    </row>
    <row r="11" spans="1:21">
      <c r="A11" s="15"/>
      <c r="B11" s="15" t="s">
        <v>19</v>
      </c>
      <c r="C11" s="223">
        <v>588.90143942687689</v>
      </c>
      <c r="D11" s="224">
        <v>69.618193420619164</v>
      </c>
      <c r="E11" s="224">
        <v>519.28324600625774</v>
      </c>
      <c r="F11" s="224">
        <v>0</v>
      </c>
      <c r="G11" s="225">
        <v>1057.9682836215404</v>
      </c>
      <c r="H11" s="224">
        <v>114.12818593544125</v>
      </c>
      <c r="I11" s="224">
        <v>943.84009768609917</v>
      </c>
      <c r="J11" s="224">
        <v>0</v>
      </c>
      <c r="K11" s="225">
        <v>15.322666856715248</v>
      </c>
      <c r="L11" s="224">
        <v>1.8114005392628492</v>
      </c>
      <c r="M11" s="224">
        <v>13.638352846668944</v>
      </c>
      <c r="N11" s="224">
        <v>0</v>
      </c>
      <c r="O11" s="225">
        <f t="shared" si="0"/>
        <v>27.786270524971673</v>
      </c>
      <c r="P11" s="224">
        <v>2.9974401860810866</v>
      </c>
      <c r="Q11" s="224">
        <v>24.788830338890588</v>
      </c>
      <c r="R11" s="224">
        <v>0</v>
      </c>
      <c r="S11" s="214">
        <f>('2020'!C11/'2020'!K11)*100</f>
        <v>3786.0596792288839</v>
      </c>
      <c r="T11" s="196"/>
      <c r="U11" s="196"/>
    </row>
    <row r="12" spans="1:21">
      <c r="A12" s="15"/>
      <c r="B12" s="15" t="s">
        <v>20</v>
      </c>
      <c r="C12" s="223">
        <v>205.43073468379424</v>
      </c>
      <c r="D12" s="224">
        <v>22.825637187088251</v>
      </c>
      <c r="E12" s="224">
        <v>182.60509749670601</v>
      </c>
      <c r="F12" s="224">
        <v>7.9889730154808873</v>
      </c>
      <c r="G12" s="225">
        <v>664.51136260910664</v>
      </c>
      <c r="H12" s="224">
        <v>3.7091660429018405</v>
      </c>
      <c r="I12" s="224">
        <v>660.80219656620488</v>
      </c>
      <c r="J12" s="224">
        <v>0</v>
      </c>
      <c r="K12" s="225">
        <v>10.898555638640223</v>
      </c>
      <c r="L12" s="224">
        <v>1.2109506265155805</v>
      </c>
      <c r="M12" s="224">
        <v>9.687605012124644</v>
      </c>
      <c r="N12" s="224">
        <v>0.42383271928045313</v>
      </c>
      <c r="O12" s="225">
        <f t="shared" si="0"/>
        <v>35.253800114434831</v>
      </c>
      <c r="P12" s="224">
        <v>0.19677947680878183</v>
      </c>
      <c r="Q12" s="224">
        <v>35.057020637626053</v>
      </c>
      <c r="R12" s="224">
        <v>0</v>
      </c>
      <c r="S12" s="214">
        <f>('2020'!C12/'2020'!K12)*100</f>
        <v>1867.9589922121063</v>
      </c>
      <c r="T12" s="196"/>
      <c r="U12" s="196"/>
    </row>
    <row r="13" spans="1:21">
      <c r="A13" s="15"/>
      <c r="B13" s="15" t="s">
        <v>21</v>
      </c>
      <c r="C13" s="223">
        <v>843.8337860086101</v>
      </c>
      <c r="D13" s="224">
        <v>104.89387795001592</v>
      </c>
      <c r="E13" s="224">
        <v>738.93990805859426</v>
      </c>
      <c r="F13" s="224">
        <v>27.16002196920055</v>
      </c>
      <c r="G13" s="225">
        <v>1429.1790870689699</v>
      </c>
      <c r="H13" s="224">
        <v>0</v>
      </c>
      <c r="I13" s="224">
        <v>147.0387396263616</v>
      </c>
      <c r="J13" s="224">
        <v>1282.1403474426052</v>
      </c>
      <c r="K13" s="225">
        <v>16.725807215115971</v>
      </c>
      <c r="L13" s="224">
        <v>2.0791236493817857</v>
      </c>
      <c r="M13" s="224">
        <v>14.646683565734186</v>
      </c>
      <c r="N13" s="224">
        <v>0.5383445163577838</v>
      </c>
      <c r="O13" s="225">
        <f t="shared" si="0"/>
        <v>2.9144858299369676</v>
      </c>
      <c r="P13" s="224">
        <v>0</v>
      </c>
      <c r="Q13" s="224">
        <v>2.9144858299369676</v>
      </c>
      <c r="R13" s="224">
        <v>25.413573892889861</v>
      </c>
      <c r="S13" s="214">
        <f>('2020'!C13/'2020'!K13)*100</f>
        <v>5021.2658405288021</v>
      </c>
      <c r="T13" s="196"/>
      <c r="U13" s="196"/>
    </row>
    <row r="14" spans="1:21">
      <c r="A14" s="15"/>
      <c r="B14" s="15" t="s">
        <v>22</v>
      </c>
      <c r="C14" s="223">
        <v>104.83004568682564</v>
      </c>
      <c r="D14" s="224">
        <v>11.949099791303487</v>
      </c>
      <c r="E14" s="224">
        <v>92.880945895522146</v>
      </c>
      <c r="F14" s="224">
        <v>27.965978234965611</v>
      </c>
      <c r="G14" s="225">
        <v>166.01621624938676</v>
      </c>
      <c r="H14" s="224">
        <v>0</v>
      </c>
      <c r="I14" s="224">
        <v>60.08448051088066</v>
      </c>
      <c r="J14" s="224">
        <v>105.93173573850609</v>
      </c>
      <c r="K14" s="225">
        <v>6.3988747084813387</v>
      </c>
      <c r="L14" s="224">
        <v>0.7293786046045827</v>
      </c>
      <c r="M14" s="224">
        <v>5.6694961038767557</v>
      </c>
      <c r="N14" s="224">
        <v>1.7070563086490231</v>
      </c>
      <c r="O14" s="225">
        <f t="shared" si="0"/>
        <v>3.6675846146429012</v>
      </c>
      <c r="P14" s="224">
        <v>0</v>
      </c>
      <c r="Q14" s="224">
        <v>3.6675846146429012</v>
      </c>
      <c r="R14" s="224">
        <v>6.4661223812463007</v>
      </c>
      <c r="S14" s="214">
        <f>('2020'!C14/'2020'!K14)*100</f>
        <v>1629.1954884086188</v>
      </c>
      <c r="T14" s="196"/>
      <c r="U14" s="196"/>
    </row>
    <row r="15" spans="1:21">
      <c r="A15" s="15"/>
      <c r="B15" s="15" t="s">
        <v>23</v>
      </c>
      <c r="C15" s="223">
        <v>107.45168705821794</v>
      </c>
      <c r="D15" s="224">
        <v>21.924024518198266</v>
      </c>
      <c r="E15" s="224">
        <v>85.527662540019676</v>
      </c>
      <c r="F15" s="224">
        <v>5.1357683670948562E-2</v>
      </c>
      <c r="G15" s="225">
        <v>184.01914572044612</v>
      </c>
      <c r="H15" s="224">
        <v>0.72927910812746966</v>
      </c>
      <c r="I15" s="224">
        <v>171.87704801877453</v>
      </c>
      <c r="J15" s="224">
        <v>11.412818593544126</v>
      </c>
      <c r="K15" s="225">
        <v>8.3916545151825215</v>
      </c>
      <c r="L15" s="224">
        <v>1.7122005654451007</v>
      </c>
      <c r="M15" s="224">
        <v>6.6794539497374199</v>
      </c>
      <c r="N15" s="224">
        <v>4.010881074702214E-3</v>
      </c>
      <c r="O15" s="225">
        <f t="shared" si="0"/>
        <v>13.480036507930846</v>
      </c>
      <c r="P15" s="224">
        <v>5.6954511260771438E-2</v>
      </c>
      <c r="Q15" s="224">
        <v>13.423081996670074</v>
      </c>
      <c r="R15" s="224">
        <v>0.89130690548938096</v>
      </c>
      <c r="S15" s="214">
        <f>('2020'!C15/'2020'!K15)*100</f>
        <v>1270.6021179807403</v>
      </c>
      <c r="T15" s="196"/>
      <c r="U15" s="196"/>
    </row>
    <row r="16" spans="1:21">
      <c r="A16" s="15"/>
      <c r="B16" s="15" t="s">
        <v>24</v>
      </c>
      <c r="C16" s="223">
        <v>522.16796884260248</v>
      </c>
      <c r="D16" s="224">
        <v>130.8627342062542</v>
      </c>
      <c r="E16" s="224">
        <v>391.30523463634825</v>
      </c>
      <c r="F16" s="224">
        <v>16.03709978017821</v>
      </c>
      <c r="G16" s="225">
        <v>452.92618683170508</v>
      </c>
      <c r="H16" s="224">
        <v>1.3214570218866846</v>
      </c>
      <c r="I16" s="224">
        <v>451.60472980981842</v>
      </c>
      <c r="J16" s="224">
        <v>0</v>
      </c>
      <c r="K16" s="225">
        <v>19.27047748644793</v>
      </c>
      <c r="L16" s="224">
        <v>4.8294562742449347</v>
      </c>
      <c r="M16" s="224">
        <v>14.441021212202996</v>
      </c>
      <c r="N16" s="224">
        <v>0.59184513164766361</v>
      </c>
      <c r="O16" s="225">
        <f t="shared" si="0"/>
        <v>16.715126946045977</v>
      </c>
      <c r="P16" s="224">
        <v>4.8768038847767488E-2</v>
      </c>
      <c r="Q16" s="224">
        <v>16.666358907198209</v>
      </c>
      <c r="R16" s="224">
        <v>0</v>
      </c>
      <c r="S16" s="214">
        <f>('2020'!C16/'2020'!K16)*100</f>
        <v>2709.7185919649269</v>
      </c>
      <c r="T16" s="196"/>
      <c r="U16" s="196"/>
    </row>
    <row r="17" spans="1:21">
      <c r="A17" s="15"/>
      <c r="B17" s="15" t="s">
        <v>25</v>
      </c>
      <c r="C17" s="223">
        <v>5328.3</v>
      </c>
      <c r="D17" s="224">
        <v>687.3</v>
      </c>
      <c r="E17" s="224">
        <v>4641</v>
      </c>
      <c r="F17" s="224">
        <v>17.98</v>
      </c>
      <c r="G17" s="225">
        <v>510</v>
      </c>
      <c r="H17" s="224">
        <v>56</v>
      </c>
      <c r="I17" s="224">
        <v>454</v>
      </c>
      <c r="J17" s="224">
        <v>0</v>
      </c>
      <c r="K17" s="225">
        <v>25.501884534848941</v>
      </c>
      <c r="L17" s="224">
        <v>3.2895004486987736</v>
      </c>
      <c r="M17" s="224">
        <v>22.212384086150163</v>
      </c>
      <c r="N17" s="224">
        <v>8.6054442117858218E-2</v>
      </c>
      <c r="O17" s="225">
        <f t="shared" si="0"/>
        <v>2.4409213281483697</v>
      </c>
      <c r="P17" s="224">
        <v>0.26802273407119354</v>
      </c>
      <c r="Q17" s="224">
        <v>2.1728985940771763</v>
      </c>
      <c r="R17" s="224">
        <v>0</v>
      </c>
      <c r="S17" s="214">
        <f>('2020'!C17/'2020'!K17)*100</f>
        <v>20953.6208547198</v>
      </c>
      <c r="T17" s="196"/>
      <c r="U17" s="196"/>
    </row>
    <row r="18" spans="1:21">
      <c r="A18" s="15"/>
      <c r="B18" s="15" t="s">
        <v>31</v>
      </c>
      <c r="C18" s="223">
        <v>7.0279601888550927</v>
      </c>
      <c r="D18" s="224">
        <v>4.8032151754294405</v>
      </c>
      <c r="E18" s="224">
        <v>2.2247450134256517</v>
      </c>
      <c r="F18" s="224">
        <v>4.2819360091037648</v>
      </c>
      <c r="G18" s="225">
        <v>13.41362997634462</v>
      </c>
      <c r="H18" s="224">
        <v>0.89362142798687272</v>
      </c>
      <c r="I18" s="224">
        <v>0.27925669624589772</v>
      </c>
      <c r="J18" s="224">
        <v>12.240751852111851</v>
      </c>
      <c r="K18" s="225">
        <v>0.65442396745349374</v>
      </c>
      <c r="L18" s="224">
        <v>0.44726194331920904</v>
      </c>
      <c r="M18" s="224">
        <v>0.20716202413428478</v>
      </c>
      <c r="N18" s="224">
        <v>0.39872188745510878</v>
      </c>
      <c r="O18" s="225">
        <f t="shared" si="0"/>
        <v>0.10921512569422545</v>
      </c>
      <c r="P18" s="224">
        <v>8.3211524338457493E-2</v>
      </c>
      <c r="Q18" s="224">
        <v>2.6003601355767965E-2</v>
      </c>
      <c r="R18" s="224">
        <v>1.1398245260944957</v>
      </c>
      <c r="S18" s="214">
        <f>('2020'!C18/'2020'!K18)*100</f>
        <v>1060.9648851793108</v>
      </c>
      <c r="T18" s="196"/>
      <c r="U18" s="196"/>
    </row>
    <row r="19" spans="1:21">
      <c r="A19" s="15"/>
      <c r="B19" s="15" t="s">
        <v>35</v>
      </c>
      <c r="C19" s="223">
        <v>25.234121210982789</v>
      </c>
      <c r="D19" s="224">
        <v>2.7673372045961901</v>
      </c>
      <c r="E19" s="224">
        <v>22.466784006386597</v>
      </c>
      <c r="F19" s="224">
        <v>10.01376658570374</v>
      </c>
      <c r="G19" s="225">
        <v>69.354605612096279</v>
      </c>
      <c r="H19" s="224">
        <v>2.995571200851546</v>
      </c>
      <c r="I19" s="224">
        <v>45.932091746390377</v>
      </c>
      <c r="J19" s="224">
        <v>20.426942664854352</v>
      </c>
      <c r="K19" s="225">
        <v>3.5051335544057456</v>
      </c>
      <c r="L19" s="224">
        <v>0.3843956526595334</v>
      </c>
      <c r="M19" s="224">
        <v>3.120737901746212</v>
      </c>
      <c r="N19" s="224">
        <v>1.3909574647783118</v>
      </c>
      <c r="O19" s="225">
        <f t="shared" si="0"/>
        <v>6.7962736526917507</v>
      </c>
      <c r="P19" s="224">
        <v>0.41609838689949497</v>
      </c>
      <c r="Q19" s="224">
        <v>6.3801752657922552</v>
      </c>
      <c r="R19" s="224">
        <v>2.8373947144765559</v>
      </c>
      <c r="S19" s="214">
        <f>('2020'!C19/'2020'!K19)*100</f>
        <v>710.68686873181605</v>
      </c>
      <c r="T19" s="196"/>
      <c r="U19" s="196"/>
    </row>
    <row r="20" spans="1:21">
      <c r="A20" s="17"/>
      <c r="B20" s="17" t="s">
        <v>36</v>
      </c>
      <c r="C20" s="223">
        <v>65.737835098814159</v>
      </c>
      <c r="D20" s="224">
        <v>7.6465884576745644</v>
      </c>
      <c r="E20" s="224">
        <v>58.091246641139598</v>
      </c>
      <c r="F20" s="224">
        <v>0</v>
      </c>
      <c r="G20" s="225">
        <v>12.211715895092214</v>
      </c>
      <c r="H20" s="224">
        <v>0</v>
      </c>
      <c r="I20" s="224">
        <v>12.211715895092214</v>
      </c>
      <c r="J20" s="224">
        <v>0</v>
      </c>
      <c r="K20" s="225">
        <v>15.198667161326993</v>
      </c>
      <c r="L20" s="224">
        <v>1.7679005205015772</v>
      </c>
      <c r="M20" s="224">
        <v>13.430766640825414</v>
      </c>
      <c r="N20" s="224">
        <v>0</v>
      </c>
      <c r="O20" s="225">
        <f t="shared" si="0"/>
        <v>2.8233635178159515</v>
      </c>
      <c r="P20" s="224">
        <v>0</v>
      </c>
      <c r="Q20" s="224">
        <v>2.8233635178159515</v>
      </c>
      <c r="R20" s="224">
        <v>0</v>
      </c>
      <c r="S20" s="214">
        <f>('2020'!C20/'2020'!K20)*100</f>
        <v>425.78819613657811</v>
      </c>
      <c r="T20" s="196"/>
      <c r="U20" s="196"/>
    </row>
    <row r="21" spans="1:21">
      <c r="A21" s="15"/>
      <c r="B21" s="15" t="s">
        <v>37</v>
      </c>
      <c r="C21" s="223">
        <v>42.113300610177824</v>
      </c>
      <c r="D21" s="224">
        <v>10.95630584980236</v>
      </c>
      <c r="E21" s="224">
        <v>31.156994760375461</v>
      </c>
      <c r="F21" s="224">
        <v>14.722535985671922</v>
      </c>
      <c r="G21" s="225">
        <v>61.172707661396508</v>
      </c>
      <c r="H21" s="224">
        <v>1.8260509749670601</v>
      </c>
      <c r="I21" s="224">
        <v>59.346656686429448</v>
      </c>
      <c r="J21" s="224">
        <v>0</v>
      </c>
      <c r="K21" s="225">
        <v>8.1786083953747628</v>
      </c>
      <c r="L21" s="224">
        <v>2.127768037821077</v>
      </c>
      <c r="M21" s="224">
        <v>6.0508403575536853</v>
      </c>
      <c r="N21" s="224">
        <v>2.8591883008220722</v>
      </c>
      <c r="O21" s="225">
        <f t="shared" si="0"/>
        <v>11.880038211167678</v>
      </c>
      <c r="P21" s="224">
        <v>0.35462800630351282</v>
      </c>
      <c r="Q21" s="224">
        <v>11.525410204864166</v>
      </c>
      <c r="R21" s="224">
        <v>0</v>
      </c>
      <c r="S21" s="214">
        <f>('2020'!C21/'2020'!K21)*100</f>
        <v>506.03606405628108</v>
      </c>
      <c r="T21" s="196"/>
      <c r="U21" s="196"/>
    </row>
    <row r="22" spans="1:21">
      <c r="A22" s="16"/>
      <c r="B22" s="16" t="s">
        <v>38</v>
      </c>
      <c r="C22" s="223">
        <v>22.550381835611422</v>
      </c>
      <c r="D22" s="224">
        <v>6.3937269094473352</v>
      </c>
      <c r="E22" s="224">
        <v>16.156654926164087</v>
      </c>
      <c r="F22" s="224">
        <v>0.61610710785105727</v>
      </c>
      <c r="G22" s="225">
        <v>37.970293297142426</v>
      </c>
      <c r="H22" s="224">
        <v>3.8775971822793812E-2</v>
      </c>
      <c r="I22" s="224">
        <v>37.931517325319632</v>
      </c>
      <c r="J22" s="224">
        <v>0</v>
      </c>
      <c r="K22" s="225">
        <v>9.1911264362891103</v>
      </c>
      <c r="L22" s="224">
        <v>2.6059670675301949</v>
      </c>
      <c r="M22" s="224">
        <v>6.5851593687589149</v>
      </c>
      <c r="N22" s="224">
        <v>0.25111407726200669</v>
      </c>
      <c r="O22" s="225">
        <f t="shared" si="0"/>
        <v>15.476002537832619</v>
      </c>
      <c r="P22" s="224">
        <v>1.5804382485021397E-2</v>
      </c>
      <c r="Q22" s="224">
        <v>15.460198155347598</v>
      </c>
      <c r="R22" s="224">
        <v>0</v>
      </c>
      <c r="S22" s="214">
        <f>('2020'!C22/'2020'!K22)*100</f>
        <v>240.00446881460243</v>
      </c>
      <c r="T22" s="196"/>
      <c r="U22" s="196"/>
    </row>
    <row r="23" spans="1:21">
      <c r="A23" s="16"/>
      <c r="B23" s="16" t="s">
        <v>39</v>
      </c>
      <c r="C23" s="223">
        <v>12.151964295383831</v>
      </c>
      <c r="D23" s="224">
        <v>0</v>
      </c>
      <c r="E23" s="224">
        <v>12.151964295383831</v>
      </c>
      <c r="F23" s="224">
        <v>48.730141098973149</v>
      </c>
      <c r="G23" s="225">
        <v>55.669753413569694</v>
      </c>
      <c r="H23" s="224">
        <v>43.105080896833208</v>
      </c>
      <c r="I23" s="224">
        <v>12.56467251673649</v>
      </c>
      <c r="J23" s="224">
        <v>0</v>
      </c>
      <c r="K23" s="225">
        <v>3.412660153565414</v>
      </c>
      <c r="L23" s="224">
        <v>0</v>
      </c>
      <c r="M23" s="224">
        <v>3.412660153565414</v>
      </c>
      <c r="N23" s="224">
        <v>13.684981848511372</v>
      </c>
      <c r="O23" s="225">
        <f t="shared" si="0"/>
        <v>15.633846892182691</v>
      </c>
      <c r="P23" s="224">
        <v>12.105285073024488</v>
      </c>
      <c r="Q23" s="224">
        <v>3.528561819158202</v>
      </c>
      <c r="R23" s="224">
        <v>0</v>
      </c>
      <c r="S23" s="214">
        <f>('2020'!C23/'2020'!K23)*100</f>
        <v>346.49545914986675</v>
      </c>
      <c r="T23" s="196"/>
      <c r="U23" s="196"/>
    </row>
    <row r="24" spans="1:21">
      <c r="A24" s="16"/>
      <c r="B24" s="17" t="s">
        <v>40</v>
      </c>
      <c r="C24" s="223">
        <v>1.5871</v>
      </c>
      <c r="D24" s="224">
        <v>0.435</v>
      </c>
      <c r="E24" s="224">
        <v>1.1520999999999999</v>
      </c>
      <c r="F24" s="224">
        <v>0</v>
      </c>
      <c r="G24" s="225">
        <v>1.3769999999999998</v>
      </c>
      <c r="H24" s="224">
        <v>1.0269999999999999</v>
      </c>
      <c r="I24" s="224">
        <v>0.35</v>
      </c>
      <c r="J24" s="224">
        <v>0</v>
      </c>
      <c r="K24" s="225">
        <v>5.8</v>
      </c>
      <c r="L24" s="224">
        <v>1.6</v>
      </c>
      <c r="M24" s="224">
        <v>4.1999999999999993</v>
      </c>
      <c r="N24" s="224">
        <v>0</v>
      </c>
      <c r="O24" s="225">
        <f t="shared" si="0"/>
        <v>5.0883310701650863</v>
      </c>
      <c r="P24" s="224">
        <v>3.8</v>
      </c>
      <c r="Q24" s="224">
        <v>1.2883310701650865</v>
      </c>
      <c r="R24" s="224">
        <v>0</v>
      </c>
      <c r="S24" s="214">
        <f>('2020'!C24/'2020'!K24)*100</f>
        <v>30.592735348678772</v>
      </c>
      <c r="T24" s="196"/>
      <c r="U24" s="196"/>
    </row>
    <row r="25" spans="1:21">
      <c r="A25" s="16"/>
      <c r="B25" s="17" t="s">
        <v>41</v>
      </c>
      <c r="C25" s="223">
        <v>12.896485010704863</v>
      </c>
      <c r="D25" s="224">
        <v>4.6792556233530913</v>
      </c>
      <c r="E25" s="224">
        <v>8.2172293873517699</v>
      </c>
      <c r="F25" s="224">
        <v>0.57064092967720625</v>
      </c>
      <c r="G25" s="225">
        <v>19.858304352766776</v>
      </c>
      <c r="H25" s="224">
        <v>1.3695382312252951</v>
      </c>
      <c r="I25" s="224">
        <v>13.923638684123832</v>
      </c>
      <c r="J25" s="224">
        <v>4.56512743741765</v>
      </c>
      <c r="K25" s="225">
        <v>4.7843243517875598</v>
      </c>
      <c r="L25" s="224">
        <v>1.7359052957813266</v>
      </c>
      <c r="M25" s="224">
        <v>3.0484190560062325</v>
      </c>
      <c r="N25" s="224">
        <v>0.21169576777821061</v>
      </c>
      <c r="O25" s="225">
        <f t="shared" si="0"/>
        <v>5.6734465764560431</v>
      </c>
      <c r="P25" s="224">
        <v>0.50806984266770538</v>
      </c>
      <c r="Q25" s="224">
        <v>5.1653767337883378</v>
      </c>
      <c r="R25" s="224">
        <v>1.6935661422256849</v>
      </c>
      <c r="S25" s="214">
        <f>('2020'!C25/'2020'!K25)*100</f>
        <v>266.00239519209867</v>
      </c>
      <c r="T25" s="196"/>
      <c r="U25" s="196"/>
    </row>
    <row r="26" spans="1:21">
      <c r="A26" s="16"/>
      <c r="B26" s="17" t="s">
        <v>42</v>
      </c>
      <c r="C26" s="223">
        <v>33.097173921277964</v>
      </c>
      <c r="D26" s="224">
        <v>1.55</v>
      </c>
      <c r="E26" s="224">
        <v>31.547173921277963</v>
      </c>
      <c r="F26" s="224">
        <v>1.9401791609025012</v>
      </c>
      <c r="G26" s="225">
        <v>6.9618193420619159</v>
      </c>
      <c r="H26" s="224">
        <v>3.7662301358695611</v>
      </c>
      <c r="I26" s="224">
        <v>3.1955892061923548</v>
      </c>
      <c r="J26" s="224">
        <v>0</v>
      </c>
      <c r="K26" s="225">
        <v>17.5</v>
      </c>
      <c r="L26" s="224">
        <v>0.8</v>
      </c>
      <c r="M26" s="224">
        <v>16.7</v>
      </c>
      <c r="N26" s="224">
        <v>1.0251462340951576</v>
      </c>
      <c r="O26" s="225">
        <f t="shared" si="0"/>
        <v>3.6884761502743775</v>
      </c>
      <c r="P26" s="224">
        <v>2</v>
      </c>
      <c r="Q26" s="224">
        <v>1.6884761502743773</v>
      </c>
      <c r="R26" s="224">
        <v>0</v>
      </c>
      <c r="S26" s="214">
        <f>('2020'!C26/'2020'!K26)*100</f>
        <v>192.34646331385849</v>
      </c>
      <c r="T26" s="196"/>
      <c r="U26" s="196"/>
    </row>
    <row r="27" spans="1:21" s="198" customFormat="1">
      <c r="A27" s="197"/>
      <c r="B27" s="17" t="s">
        <v>43</v>
      </c>
      <c r="C27" s="223">
        <v>2.2042255736459442</v>
      </c>
      <c r="D27" s="224">
        <v>0.12491350018021706</v>
      </c>
      <c r="E27" s="224">
        <v>2.0793120734657271</v>
      </c>
      <c r="F27" s="224">
        <v>7.5320270858253366E-2</v>
      </c>
      <c r="G27" s="225">
        <v>0.23482202091102522</v>
      </c>
      <c r="H27" s="224">
        <v>0</v>
      </c>
      <c r="I27" s="224">
        <v>0.23482202091102522</v>
      </c>
      <c r="J27" s="224">
        <v>0</v>
      </c>
      <c r="K27" s="225">
        <v>10.149267331701516</v>
      </c>
      <c r="L27" s="224">
        <v>0.57515914969200288</v>
      </c>
      <c r="M27" s="224">
        <v>9.574108182009514</v>
      </c>
      <c r="N27" s="224">
        <v>0.34680913495261462</v>
      </c>
      <c r="O27" s="225">
        <f t="shared" si="0"/>
        <v>1.0812284795581515</v>
      </c>
      <c r="P27" s="224">
        <v>0</v>
      </c>
      <c r="Q27" s="224">
        <v>1.0812284795581515</v>
      </c>
      <c r="R27" s="224">
        <v>0</v>
      </c>
      <c r="S27" s="214">
        <f>('2020'!C27/'2020'!K27)*100</f>
        <v>20.946163711015256</v>
      </c>
      <c r="T27" s="196"/>
      <c r="U27" s="196"/>
    </row>
    <row r="28" spans="1:21">
      <c r="A28" s="16"/>
      <c r="B28" s="17" t="s">
        <v>44</v>
      </c>
      <c r="C28" s="223">
        <v>49.143596863801008</v>
      </c>
      <c r="D28" s="224">
        <v>5.1357683670948564</v>
      </c>
      <c r="E28" s="224">
        <v>44.007828496706153</v>
      </c>
      <c r="F28" s="224">
        <v>3.309717392127796</v>
      </c>
      <c r="G28" s="225">
        <v>11.412818593544126</v>
      </c>
      <c r="H28" s="224">
        <v>5.7064092967720628</v>
      </c>
      <c r="I28" s="224">
        <v>5.7064092967720628</v>
      </c>
      <c r="J28" s="224">
        <v>0</v>
      </c>
      <c r="K28" s="225">
        <v>11.548291759304206</v>
      </c>
      <c r="L28" s="224">
        <v>1.2068581727094501</v>
      </c>
      <c r="M28" s="224">
        <v>10.341433586594755</v>
      </c>
      <c r="N28" s="224">
        <v>0.77775304463497896</v>
      </c>
      <c r="O28" s="225">
        <f t="shared" si="0"/>
        <v>2.6819070504654445</v>
      </c>
      <c r="P28" s="224">
        <v>1.3409535252327223</v>
      </c>
      <c r="Q28" s="224">
        <v>1.3409535252327223</v>
      </c>
      <c r="R28" s="224">
        <v>0</v>
      </c>
      <c r="S28" s="214">
        <f>('2020'!C28/'2020'!K28)*100</f>
        <v>415.51844140616777</v>
      </c>
      <c r="T28" s="196"/>
      <c r="U28" s="196"/>
    </row>
    <row r="29" spans="1:21">
      <c r="A29" s="16"/>
      <c r="B29" s="16" t="s">
        <v>45</v>
      </c>
      <c r="C29" s="223">
        <v>42.9</v>
      </c>
      <c r="D29" s="224">
        <v>9.4</v>
      </c>
      <c r="E29" s="224">
        <v>33.5</v>
      </c>
      <c r="F29" s="224">
        <v>2.1</v>
      </c>
      <c r="G29" s="225">
        <v>15.3</v>
      </c>
      <c r="H29" s="224">
        <v>2</v>
      </c>
      <c r="I29" s="224">
        <v>13.3</v>
      </c>
      <c r="J29" s="224">
        <v>0</v>
      </c>
      <c r="K29" s="225">
        <v>10.3</v>
      </c>
      <c r="L29" s="224">
        <v>2.2000000000000002</v>
      </c>
      <c r="M29" s="224">
        <v>8.1000000000000014</v>
      </c>
      <c r="N29" s="224">
        <v>0.5</v>
      </c>
      <c r="O29" s="225">
        <f t="shared" si="0"/>
        <v>3.7</v>
      </c>
      <c r="P29" s="224">
        <v>0.5</v>
      </c>
      <c r="Q29" s="224">
        <v>3.2</v>
      </c>
      <c r="R29" s="224">
        <v>0</v>
      </c>
      <c r="S29" s="214">
        <f>('2020'!C29/'2020'!K29)*100</f>
        <v>387.65720372524277</v>
      </c>
      <c r="T29" s="196"/>
      <c r="U29" s="196"/>
    </row>
    <row r="30" spans="1:21">
      <c r="A30" s="17"/>
      <c r="B30" s="17" t="s">
        <v>46</v>
      </c>
      <c r="C30" s="223">
        <v>3.5487068625075562</v>
      </c>
      <c r="D30" s="224">
        <v>0.67911263411214207</v>
      </c>
      <c r="E30" s="224">
        <v>2.8695942283954139</v>
      </c>
      <c r="F30" s="224">
        <v>0</v>
      </c>
      <c r="G30" s="225">
        <v>0.66956733254859557</v>
      </c>
      <c r="H30" s="224">
        <v>0.26782693301943822</v>
      </c>
      <c r="I30" s="224">
        <v>0.4017403995291573</v>
      </c>
      <c r="J30" s="224">
        <v>0</v>
      </c>
      <c r="K30" s="225">
        <v>10.6</v>
      </c>
      <c r="L30" s="224">
        <v>2.028511849666303</v>
      </c>
      <c r="M30" s="224">
        <v>8.6</v>
      </c>
      <c r="N30" s="224">
        <v>0</v>
      </c>
      <c r="O30" s="225">
        <f t="shared" si="0"/>
        <v>2</v>
      </c>
      <c r="P30" s="224">
        <v>0.8</v>
      </c>
      <c r="Q30" s="224">
        <v>1.2</v>
      </c>
      <c r="R30" s="224">
        <v>0</v>
      </c>
      <c r="S30" s="214">
        <f>('2020'!C30/'2020'!K30)*100</f>
        <v>33.022000267784811</v>
      </c>
      <c r="T30" s="196"/>
      <c r="U30" s="196"/>
    </row>
    <row r="31" spans="1:21">
      <c r="A31" s="16"/>
      <c r="B31" s="16" t="s">
        <v>47</v>
      </c>
      <c r="C31" s="223">
        <v>4.4000000000000004</v>
      </c>
      <c r="D31" s="224">
        <v>1.1000000000000001</v>
      </c>
      <c r="E31" s="224">
        <v>3.3000000000000003</v>
      </c>
      <c r="F31" s="224">
        <v>1.6</v>
      </c>
      <c r="G31" s="225">
        <v>1.5749689659090893</v>
      </c>
      <c r="H31" s="224">
        <v>0.43368710655467674</v>
      </c>
      <c r="I31" s="224">
        <v>1.1412818593544125</v>
      </c>
      <c r="J31" s="224">
        <v>0</v>
      </c>
      <c r="K31" s="225">
        <v>7.9</v>
      </c>
      <c r="L31" s="224">
        <v>1.9572000000000001</v>
      </c>
      <c r="M31" s="224">
        <v>5.9428000000000001</v>
      </c>
      <c r="N31" s="224">
        <v>2.8794</v>
      </c>
      <c r="O31" s="225">
        <f t="shared" si="0"/>
        <v>2.8203729023476543</v>
      </c>
      <c r="P31" s="224">
        <v>0.77662442238558593</v>
      </c>
      <c r="Q31" s="224">
        <v>2.0437484799620682</v>
      </c>
      <c r="R31" s="224">
        <v>0</v>
      </c>
      <c r="S31" s="214">
        <f>('2020'!C31/'2020'!K31)*100</f>
        <v>55.275167884366596</v>
      </c>
      <c r="T31" s="196"/>
      <c r="U31" s="196"/>
    </row>
    <row r="32" spans="1:21">
      <c r="A32" s="16"/>
      <c r="B32" s="17" t="s">
        <v>48</v>
      </c>
      <c r="C32" s="223">
        <v>3.0814610202569139</v>
      </c>
      <c r="D32" s="224">
        <v>0.34238455780632376</v>
      </c>
      <c r="E32" s="224">
        <v>2.7390764624505901</v>
      </c>
      <c r="F32" s="224">
        <v>5.2384837344367536</v>
      </c>
      <c r="G32" s="225">
        <v>4.3254582469532235</v>
      </c>
      <c r="H32" s="224">
        <v>0.45651274374176504</v>
      </c>
      <c r="I32" s="224">
        <v>2.8532046483860314</v>
      </c>
      <c r="J32" s="224">
        <v>1.0157408548254272</v>
      </c>
      <c r="K32" s="225">
        <v>4.2093447453346426</v>
      </c>
      <c r="L32" s="224">
        <v>0.46770497170384917</v>
      </c>
      <c r="M32" s="224">
        <v>3.7416397736307934</v>
      </c>
      <c r="N32" s="224">
        <v>7.1558860670688924</v>
      </c>
      <c r="O32" s="225">
        <f t="shared" si="0"/>
        <v>4.5211480598038758</v>
      </c>
      <c r="P32" s="224">
        <v>0.62360662893846563</v>
      </c>
      <c r="Q32" s="224">
        <v>3.8975414308654104</v>
      </c>
      <c r="R32" s="224">
        <v>1.387524749388086</v>
      </c>
      <c r="S32" s="214">
        <f>('2020'!C32/'2020'!K32)*100</f>
        <v>71.163239025940712</v>
      </c>
      <c r="T32" s="196"/>
      <c r="U32" s="196"/>
    </row>
    <row r="33" spans="1:21">
      <c r="A33" s="16"/>
      <c r="B33" s="17" t="s">
        <v>49</v>
      </c>
      <c r="C33" s="223">
        <v>93.92749702486816</v>
      </c>
      <c r="D33" s="224">
        <v>18.94527886528325</v>
      </c>
      <c r="E33" s="224">
        <v>74.982218159584903</v>
      </c>
      <c r="F33" s="224">
        <v>13.124741382575744</v>
      </c>
      <c r="G33" s="225">
        <v>39.716608705533552</v>
      </c>
      <c r="H33" s="224">
        <v>0</v>
      </c>
      <c r="I33" s="224">
        <v>39.716608705533552</v>
      </c>
      <c r="J33" s="224">
        <v>0</v>
      </c>
      <c r="K33" s="225">
        <v>10.2862785044276</v>
      </c>
      <c r="L33" s="224">
        <v>2.0747536230072678</v>
      </c>
      <c r="M33" s="224">
        <v>8.2115248814203312</v>
      </c>
      <c r="N33" s="224">
        <v>1.4373293171435892</v>
      </c>
      <c r="O33" s="225">
        <f t="shared" si="0"/>
        <v>4.3494834988345135</v>
      </c>
      <c r="P33" s="224">
        <v>0</v>
      </c>
      <c r="Q33" s="224">
        <v>4.3494834988345135</v>
      </c>
      <c r="R33" s="224">
        <v>0</v>
      </c>
      <c r="S33" s="214">
        <f>('2020'!C33/'2020'!K33)*100</f>
        <v>896.65161467743951</v>
      </c>
      <c r="T33" s="196"/>
      <c r="U33" s="196"/>
    </row>
    <row r="34" spans="1:21">
      <c r="A34" s="16"/>
      <c r="B34" s="17" t="s">
        <v>50</v>
      </c>
      <c r="C34" s="223">
        <v>40.366333649903929</v>
      </c>
      <c r="D34" s="224">
        <v>3.3151095268037039</v>
      </c>
      <c r="E34" s="224">
        <v>37.051224123100226</v>
      </c>
      <c r="F34" s="224">
        <v>0</v>
      </c>
      <c r="G34" s="225">
        <v>4.0951352978163404</v>
      </c>
      <c r="H34" s="224">
        <v>2.2100730178691359</v>
      </c>
      <c r="I34" s="224">
        <v>1.8850622799472043</v>
      </c>
      <c r="J34" s="224">
        <v>0</v>
      </c>
      <c r="K34" s="225">
        <v>19.27864943902545</v>
      </c>
      <c r="L34" s="224">
        <v>1.5832707268764863</v>
      </c>
      <c r="M34" s="224">
        <v>17.695378712148965</v>
      </c>
      <c r="N34" s="224">
        <v>0</v>
      </c>
      <c r="O34" s="225">
        <f t="shared" si="0"/>
        <v>1.9558050155533067</v>
      </c>
      <c r="P34" s="224">
        <v>1.0555138179176575</v>
      </c>
      <c r="Q34" s="224">
        <v>0.90029119763564913</v>
      </c>
      <c r="R34" s="224">
        <v>0</v>
      </c>
      <c r="S34" s="214">
        <f>('2020'!C34/'2020'!K34)*100</f>
        <v>209.34516895594521</v>
      </c>
      <c r="T34" s="196"/>
      <c r="U34" s="196"/>
    </row>
    <row r="35" spans="1:21">
      <c r="A35" s="16"/>
      <c r="B35" s="17" t="s">
        <v>51</v>
      </c>
      <c r="C35" s="223">
        <v>23.917160810691193</v>
      </c>
      <c r="D35" s="224">
        <v>2.6232409947782966</v>
      </c>
      <c r="E35" s="224">
        <v>21.293919815912897</v>
      </c>
      <c r="F35" s="224">
        <v>0</v>
      </c>
      <c r="G35" s="225">
        <v>14.603062217895378</v>
      </c>
      <c r="H35" s="224">
        <v>6.3191432870165452</v>
      </c>
      <c r="I35" s="224">
        <v>8.2839189308788317</v>
      </c>
      <c r="J35" s="224">
        <v>0</v>
      </c>
      <c r="K35" s="225">
        <v>7.4022943167997886</v>
      </c>
      <c r="L35" s="224">
        <v>0.81188574433816507</v>
      </c>
      <c r="M35" s="224">
        <v>6.5904085724616239</v>
      </c>
      <c r="N35" s="224">
        <v>0</v>
      </c>
      <c r="O35" s="225">
        <f t="shared" si="0"/>
        <v>4.5196068763764252</v>
      </c>
      <c r="P35" s="224">
        <v>1.9557571574137986</v>
      </c>
      <c r="Q35" s="224">
        <v>2.563849718962627</v>
      </c>
      <c r="R35" s="224">
        <v>0</v>
      </c>
      <c r="S35" s="214">
        <f>('2020'!C35/'2020'!K35)*100</f>
        <v>315.05884103182945</v>
      </c>
      <c r="T35" s="196"/>
      <c r="U35" s="196"/>
    </row>
    <row r="36" spans="1:21">
      <c r="A36" s="16"/>
      <c r="B36" s="17" t="s">
        <v>52</v>
      </c>
      <c r="C36" s="223">
        <v>13.809510498188393</v>
      </c>
      <c r="D36" s="224">
        <v>2.5108200905797076</v>
      </c>
      <c r="E36" s="224">
        <v>11.298690407608685</v>
      </c>
      <c r="F36" s="224">
        <v>1.2554100452898538</v>
      </c>
      <c r="G36" s="225">
        <v>13.124741382575744</v>
      </c>
      <c r="H36" s="224">
        <v>0</v>
      </c>
      <c r="I36" s="224">
        <v>13.124741382575744</v>
      </c>
      <c r="J36" s="224">
        <v>0</v>
      </c>
      <c r="K36" s="225">
        <v>6.047351260148055</v>
      </c>
      <c r="L36" s="224">
        <v>1.0995184109360101</v>
      </c>
      <c r="M36" s="224">
        <v>4.9478328492120447</v>
      </c>
      <c r="N36" s="224">
        <v>0.54975920546800505</v>
      </c>
      <c r="O36" s="225">
        <f t="shared" si="0"/>
        <v>5.7474826026200523</v>
      </c>
      <c r="P36" s="224">
        <v>0</v>
      </c>
      <c r="Q36" s="224">
        <v>5.7474826026200523</v>
      </c>
      <c r="R36" s="224">
        <v>0</v>
      </c>
      <c r="S36" s="214">
        <f>('2020'!C36/'2020'!K36)*100</f>
        <v>228.82011037155783</v>
      </c>
      <c r="T36" s="196"/>
      <c r="U36" s="196"/>
    </row>
    <row r="37" spans="1:21">
      <c r="A37" s="16"/>
      <c r="B37" s="16" t="s">
        <v>54</v>
      </c>
      <c r="C37" s="223">
        <v>6.3</v>
      </c>
      <c r="D37" s="224">
        <v>1.3</v>
      </c>
      <c r="E37" s="224">
        <v>5</v>
      </c>
      <c r="F37" s="224">
        <v>0.6006120601465349</v>
      </c>
      <c r="G37" s="225">
        <v>1.8</v>
      </c>
      <c r="H37" s="224">
        <v>0</v>
      </c>
      <c r="I37" s="224">
        <v>1.8</v>
      </c>
      <c r="J37" s="224">
        <v>0</v>
      </c>
      <c r="K37" s="225">
        <v>5.9</v>
      </c>
      <c r="L37" s="224">
        <v>1.2</v>
      </c>
      <c r="M37" s="224">
        <v>4.7</v>
      </c>
      <c r="N37" s="224">
        <v>0.57700693861006003</v>
      </c>
      <c r="O37" s="225">
        <f t="shared" si="0"/>
        <v>1.7</v>
      </c>
      <c r="P37" s="224">
        <v>0</v>
      </c>
      <c r="Q37" s="224">
        <v>1.7</v>
      </c>
      <c r="R37" s="224">
        <v>0</v>
      </c>
      <c r="S37" s="214">
        <f>('2020'!C37/'2020'!K37)*100</f>
        <v>104.53060962759433</v>
      </c>
      <c r="T37" s="196"/>
      <c r="U37" s="196"/>
    </row>
    <row r="38" spans="1:21">
      <c r="A38" s="16"/>
      <c r="B38" s="16" t="s">
        <v>55</v>
      </c>
      <c r="C38" s="223">
        <v>5.2</v>
      </c>
      <c r="D38" s="224">
        <v>0.4</v>
      </c>
      <c r="E38" s="224">
        <v>4.8</v>
      </c>
      <c r="F38" s="224">
        <v>0.47399999999999998</v>
      </c>
      <c r="G38" s="225">
        <v>3.5</v>
      </c>
      <c r="H38" s="224">
        <v>1</v>
      </c>
      <c r="I38" s="224">
        <v>2.5</v>
      </c>
      <c r="J38" s="224">
        <v>0</v>
      </c>
      <c r="K38" s="225">
        <v>9.4</v>
      </c>
      <c r="L38" s="224">
        <v>0.8</v>
      </c>
      <c r="M38" s="224">
        <v>8.6</v>
      </c>
      <c r="N38" s="224">
        <v>0.9</v>
      </c>
      <c r="O38" s="225">
        <f t="shared" si="0"/>
        <v>6.6</v>
      </c>
      <c r="P38" s="224">
        <v>1.9</v>
      </c>
      <c r="Q38" s="224">
        <v>4.7</v>
      </c>
      <c r="R38" s="224">
        <v>0</v>
      </c>
      <c r="S38" s="214">
        <f>('2020'!C38/'2020'!K38)*100</f>
        <v>51.738700891337253</v>
      </c>
      <c r="T38" s="196"/>
      <c r="U38" s="196"/>
    </row>
    <row r="39" spans="1:21">
      <c r="A39" s="16"/>
      <c r="B39" s="16" t="s">
        <v>56</v>
      </c>
      <c r="C39" s="223">
        <v>22.474815922163589</v>
      </c>
      <c r="D39" s="224">
        <v>4.125811618561432</v>
      </c>
      <c r="E39" s="224">
        <v>18.349004303602158</v>
      </c>
      <c r="F39" s="224">
        <v>36.372286637317892</v>
      </c>
      <c r="G39" s="225">
        <v>28.413813173092809</v>
      </c>
      <c r="H39" s="224">
        <v>1.2703156825570725</v>
      </c>
      <c r="I39" s="224">
        <v>27.143497490535736</v>
      </c>
      <c r="J39" s="224">
        <v>0</v>
      </c>
      <c r="K39" s="225">
        <v>4.1538214254109116</v>
      </c>
      <c r="L39" s="224">
        <v>0.76253726650055398</v>
      </c>
      <c r="M39" s="224">
        <v>3.3912841589103584</v>
      </c>
      <c r="N39" s="224">
        <v>6.7223680073075149</v>
      </c>
      <c r="O39" s="225">
        <f t="shared" si="0"/>
        <v>5.2514737537682885</v>
      </c>
      <c r="P39" s="224">
        <v>0.2347812110014863</v>
      </c>
      <c r="Q39" s="224">
        <v>5.0166925427668021</v>
      </c>
      <c r="R39" s="224">
        <v>0</v>
      </c>
      <c r="S39" s="214">
        <f>('2020'!C39/'2020'!K39)*100</f>
        <v>531.46011693086302</v>
      </c>
      <c r="T39" s="196"/>
      <c r="U39" s="196"/>
    </row>
    <row r="40" spans="1:21">
      <c r="A40" s="16"/>
      <c r="B40" s="16" t="s">
        <v>57</v>
      </c>
      <c r="C40" s="223">
        <v>59.481808256628398</v>
      </c>
      <c r="D40" s="224">
        <v>7.6892624776985965</v>
      </c>
      <c r="E40" s="224">
        <v>51.792545778929799</v>
      </c>
      <c r="F40" s="224">
        <v>0</v>
      </c>
      <c r="G40" s="225">
        <v>46.733119713121745</v>
      </c>
      <c r="H40" s="224">
        <v>1.1716565626081807</v>
      </c>
      <c r="I40" s="224">
        <v>45.561463150513568</v>
      </c>
      <c r="J40" s="224">
        <v>0</v>
      </c>
      <c r="K40" s="225">
        <v>7.9111095244692748</v>
      </c>
      <c r="L40" s="224">
        <v>1.0226756617925596</v>
      </c>
      <c r="M40" s="224">
        <v>6.8884338626767159</v>
      </c>
      <c r="N40" s="224">
        <v>0</v>
      </c>
      <c r="O40" s="225">
        <f t="shared" si="0"/>
        <v>6.2155277269910725</v>
      </c>
      <c r="P40" s="224">
        <v>0.15583089457983315</v>
      </c>
      <c r="Q40" s="224">
        <v>6.0596968324112392</v>
      </c>
      <c r="R40" s="224">
        <v>0</v>
      </c>
      <c r="S40" s="214">
        <f>('2020'!C40/'2020'!K40)*100</f>
        <v>746.74124132853012</v>
      </c>
      <c r="T40" s="196"/>
      <c r="U40" s="196"/>
    </row>
    <row r="41" spans="1:21">
      <c r="A41" s="15"/>
      <c r="B41" s="15" t="s">
        <v>60</v>
      </c>
      <c r="C41" s="223">
        <v>32.063993334728984</v>
      </c>
      <c r="D41" s="224">
        <v>1.5165334699489497</v>
      </c>
      <c r="E41" s="224">
        <v>30.547459864780031</v>
      </c>
      <c r="F41" s="224">
        <v>4.0446076631681755</v>
      </c>
      <c r="G41" s="225">
        <v>6.3189963380984064</v>
      </c>
      <c r="H41" s="224">
        <v>3.2859281358385646</v>
      </c>
      <c r="I41" s="224">
        <v>0</v>
      </c>
      <c r="J41" s="224">
        <v>3.0330682022598419</v>
      </c>
      <c r="K41" s="225">
        <v>12.682470249573225</v>
      </c>
      <c r="L41" s="224">
        <v>0.59984389387573989</v>
      </c>
      <c r="M41" s="224">
        <v>12.082626355697483</v>
      </c>
      <c r="N41" s="224">
        <v>1.5997887669146695</v>
      </c>
      <c r="O41" s="225">
        <f t="shared" si="0"/>
        <v>1.2997035456550827</v>
      </c>
      <c r="P41" s="224">
        <v>1.2997035456550827</v>
      </c>
      <c r="Q41" s="224">
        <v>0</v>
      </c>
      <c r="R41" s="224">
        <v>1.1996882870613323</v>
      </c>
      <c r="S41" s="214">
        <f>('2020'!C41/'2020'!K41)*100</f>
        <v>251.48004023162741</v>
      </c>
      <c r="T41" s="196"/>
      <c r="U41" s="196"/>
    </row>
    <row r="42" spans="1:21">
      <c r="A42" s="15"/>
      <c r="B42" s="15" t="s">
        <v>61</v>
      </c>
      <c r="C42" s="223">
        <v>12.537379304867349</v>
      </c>
      <c r="D42" s="224">
        <v>3.8751505833461795</v>
      </c>
      <c r="E42" s="224">
        <v>8.6622287215211689</v>
      </c>
      <c r="F42" s="224">
        <v>0.4819569618750838</v>
      </c>
      <c r="G42" s="225">
        <v>14.618458635750434</v>
      </c>
      <c r="H42" s="224">
        <v>7.6937118380227556</v>
      </c>
      <c r="I42" s="224">
        <v>6.9247467977276784</v>
      </c>
      <c r="J42" s="224">
        <v>0</v>
      </c>
      <c r="K42" s="225">
        <v>4.6169047873067024</v>
      </c>
      <c r="L42" s="224">
        <v>1.4270287948327041</v>
      </c>
      <c r="M42" s="224">
        <v>3.1898759924739983</v>
      </c>
      <c r="N42" s="224">
        <v>0.17748122238696293</v>
      </c>
      <c r="O42" s="225">
        <f t="shared" si="0"/>
        <v>5.3832647172315324</v>
      </c>
      <c r="P42" s="224">
        <v>2.8332185023177257</v>
      </c>
      <c r="Q42" s="224">
        <v>2.5500462149138068</v>
      </c>
      <c r="R42" s="224">
        <v>0</v>
      </c>
      <c r="S42" s="214">
        <f>('2020'!C42/'2020'!K42)*100</f>
        <v>269.74875633986176</v>
      </c>
      <c r="T42" s="196"/>
      <c r="U42" s="196"/>
    </row>
    <row r="43" spans="1:21">
      <c r="A43" s="15"/>
      <c r="B43" s="15" t="s">
        <v>62</v>
      </c>
      <c r="C43" s="223">
        <v>1</v>
      </c>
      <c r="D43" s="224">
        <v>0.2</v>
      </c>
      <c r="E43" s="224">
        <v>0.8</v>
      </c>
      <c r="F43" s="224">
        <v>0</v>
      </c>
      <c r="G43" s="225">
        <v>0</v>
      </c>
      <c r="H43" s="224">
        <v>0</v>
      </c>
      <c r="I43" s="224">
        <v>0</v>
      </c>
      <c r="J43" s="224">
        <v>0</v>
      </c>
      <c r="K43" s="225">
        <v>1.6</v>
      </c>
      <c r="L43" s="224">
        <v>0.3</v>
      </c>
      <c r="M43" s="224">
        <v>1.3</v>
      </c>
      <c r="N43" s="224">
        <v>0</v>
      </c>
      <c r="O43" s="225">
        <f t="shared" si="0"/>
        <v>0</v>
      </c>
      <c r="P43" s="224">
        <v>0</v>
      </c>
      <c r="Q43" s="224">
        <v>0</v>
      </c>
      <c r="R43" s="224">
        <v>0</v>
      </c>
      <c r="S43" s="214">
        <f>('2020'!C43/'2020'!K43)*100</f>
        <v>59.248038338892016</v>
      </c>
      <c r="T43" s="196"/>
      <c r="U43" s="196"/>
    </row>
    <row r="44" spans="1:21">
      <c r="A44" s="15"/>
      <c r="B44" s="15" t="s">
        <v>65</v>
      </c>
      <c r="C44" s="223">
        <v>17.8</v>
      </c>
      <c r="D44" s="224">
        <v>7.7</v>
      </c>
      <c r="E44" s="224">
        <v>10.100000000000001</v>
      </c>
      <c r="F44" s="224">
        <v>0</v>
      </c>
      <c r="G44" s="225">
        <v>6.5</v>
      </c>
      <c r="H44" s="224">
        <v>0</v>
      </c>
      <c r="I44" s="224">
        <v>6.5</v>
      </c>
      <c r="J44" s="224">
        <v>0</v>
      </c>
      <c r="K44" s="225">
        <v>11.5</v>
      </c>
      <c r="L44" s="224">
        <v>4.9000000000000004</v>
      </c>
      <c r="M44" s="224">
        <v>6.6</v>
      </c>
      <c r="N44" s="224">
        <v>0</v>
      </c>
      <c r="O44" s="225">
        <f t="shared" si="0"/>
        <v>4.2</v>
      </c>
      <c r="P44" s="224">
        <v>0</v>
      </c>
      <c r="Q44" s="224">
        <v>4.2</v>
      </c>
      <c r="R44" s="224">
        <v>0</v>
      </c>
      <c r="S44" s="214">
        <f>('2020'!C44/'2020'!K44)*100</f>
        <v>149.9387261523749</v>
      </c>
      <c r="T44" s="196"/>
      <c r="U44" s="196"/>
    </row>
    <row r="45" spans="1:21">
      <c r="A45" s="15"/>
      <c r="B45" s="15" t="s">
        <v>72</v>
      </c>
      <c r="C45" s="223">
        <v>38.516359409090974</v>
      </c>
      <c r="D45" s="224">
        <v>3.7695771192652283</v>
      </c>
      <c r="E45" s="224">
        <v>34.746782289825745</v>
      </c>
      <c r="F45" s="224">
        <v>0</v>
      </c>
      <c r="G45" s="225">
        <v>28.720587575354124</v>
      </c>
      <c r="H45" s="224">
        <v>9.7444850702094339</v>
      </c>
      <c r="I45" s="224">
        <v>18.976102505144688</v>
      </c>
      <c r="J45" s="224">
        <v>0</v>
      </c>
      <c r="K45" s="225">
        <v>6.463386978297736</v>
      </c>
      <c r="L45" s="224">
        <v>0.63256849920756808</v>
      </c>
      <c r="M45" s="224">
        <v>5.8308184790901691</v>
      </c>
      <c r="N45" s="224">
        <v>0</v>
      </c>
      <c r="O45" s="225">
        <f t="shared" si="0"/>
        <v>4.8195695177719475</v>
      </c>
      <c r="P45" s="224">
        <v>1.6352110863869107</v>
      </c>
      <c r="Q45" s="224">
        <v>3.184358431385037</v>
      </c>
      <c r="R45" s="224">
        <v>0</v>
      </c>
      <c r="S45" s="214">
        <f>('2020'!C45/'2020'!K45)*100</f>
        <v>582.38625136478981</v>
      </c>
      <c r="T45" s="196"/>
      <c r="U45" s="196"/>
    </row>
    <row r="46" spans="1:21">
      <c r="A46" s="15"/>
      <c r="B46" s="15"/>
      <c r="C46" s="193"/>
      <c r="D46" s="194"/>
      <c r="E46" s="194"/>
      <c r="F46" s="194"/>
      <c r="G46" s="195"/>
      <c r="H46" s="194"/>
      <c r="I46" s="194"/>
      <c r="J46" s="194"/>
      <c r="K46" s="195"/>
      <c r="L46" s="194"/>
      <c r="M46" s="194"/>
      <c r="N46" s="194"/>
      <c r="O46" s="195"/>
      <c r="P46" s="194"/>
      <c r="Q46" s="194"/>
      <c r="R46" s="194"/>
      <c r="S46" s="214"/>
      <c r="T46" s="196"/>
      <c r="U46" s="196"/>
    </row>
    <row r="47" spans="1:21">
      <c r="C47" s="19"/>
      <c r="D47" s="19"/>
      <c r="E47" s="19"/>
      <c r="F47" s="19"/>
      <c r="G47" s="19"/>
      <c r="H47" s="19"/>
      <c r="I47" s="19"/>
      <c r="J47" s="19"/>
    </row>
  </sheetData>
  <mergeCells count="14">
    <mergeCell ref="B3:J3"/>
    <mergeCell ref="K3:R3"/>
    <mergeCell ref="C4:F4"/>
    <mergeCell ref="G4:J4"/>
    <mergeCell ref="K4:N4"/>
    <mergeCell ref="O4:R4"/>
    <mergeCell ref="P5:P6"/>
    <mergeCell ref="Q5:R5"/>
    <mergeCell ref="C5:E5"/>
    <mergeCell ref="F5:F6"/>
    <mergeCell ref="H5:H6"/>
    <mergeCell ref="I5:J5"/>
    <mergeCell ref="K5:M5"/>
    <mergeCell ref="N5:N6"/>
  </mergeCells>
  <pageMargins left="0.7" right="0.7" top="0.75" bottom="0.75" header="0.3" footer="0.3"/>
  <pageSetup scale="5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7B1F-D1A9-4EFC-8D15-A6F9213B789D}">
  <dimension ref="A1:AE273"/>
  <sheetViews>
    <sheetView tabSelected="1" topLeftCell="C1" zoomScale="106" zoomScaleNormal="100" workbookViewId="0">
      <pane ySplit="1" topLeftCell="A2" activePane="bottomLeft" state="frozen"/>
      <selection pane="bottomLeft" activeCell="AB2" sqref="AB2"/>
    </sheetView>
  </sheetViews>
  <sheetFormatPr baseColWidth="10" defaultRowHeight="14.5"/>
  <cols>
    <col min="1" max="1" width="15.26953125" style="199" customWidth="1"/>
    <col min="2" max="2" width="10.90625" style="199"/>
    <col min="3" max="3" width="16" style="199" customWidth="1"/>
    <col min="4" max="4" width="14.6328125" style="245" customWidth="1"/>
    <col min="5" max="5" width="12" style="245" customWidth="1"/>
    <col min="6" max="6" width="11.6328125" style="245" customWidth="1"/>
    <col min="7" max="7" width="13.6328125" style="199" bestFit="1" customWidth="1"/>
    <col min="8" max="9" width="11" style="245" bestFit="1" customWidth="1"/>
    <col min="10" max="10" width="11.26953125" style="245" bestFit="1" customWidth="1"/>
    <col min="11" max="14" width="10.90625" style="199"/>
    <col min="15" max="15" width="11.6328125" style="199" customWidth="1"/>
    <col min="16" max="18" width="14.1796875" style="199" customWidth="1"/>
    <col min="19" max="26" width="10.90625" style="199"/>
    <col min="27" max="28" width="39.6328125" style="199" customWidth="1"/>
    <col min="29" max="29" width="36.54296875" style="199" customWidth="1"/>
    <col min="30" max="30" width="30.1796875" style="199" customWidth="1"/>
    <col min="31" max="31" width="32.6328125" style="199" customWidth="1"/>
    <col min="32" max="16384" width="10.90625" style="199"/>
  </cols>
  <sheetData>
    <row r="1" spans="1:30" s="231" customFormat="1" ht="61.5" customHeight="1">
      <c r="A1" s="227" t="s">
        <v>529</v>
      </c>
      <c r="B1" s="227" t="s">
        <v>544</v>
      </c>
      <c r="C1" s="228" t="s">
        <v>514</v>
      </c>
      <c r="D1" s="242" t="s">
        <v>515</v>
      </c>
      <c r="E1" s="242" t="s">
        <v>516</v>
      </c>
      <c r="F1" s="242" t="s">
        <v>517</v>
      </c>
      <c r="G1" s="229" t="s">
        <v>518</v>
      </c>
      <c r="H1" s="242" t="s">
        <v>519</v>
      </c>
      <c r="I1" s="242" t="s">
        <v>520</v>
      </c>
      <c r="J1" s="242" t="s">
        <v>521</v>
      </c>
      <c r="K1" s="228" t="s">
        <v>522</v>
      </c>
      <c r="L1" s="228" t="s">
        <v>549</v>
      </c>
      <c r="M1" s="229" t="s">
        <v>523</v>
      </c>
      <c r="N1" s="229" t="s">
        <v>550</v>
      </c>
      <c r="O1" s="229" t="s">
        <v>524</v>
      </c>
      <c r="P1" s="229" t="s">
        <v>551</v>
      </c>
      <c r="Q1" s="229" t="s">
        <v>525</v>
      </c>
      <c r="R1" s="229" t="s">
        <v>552</v>
      </c>
      <c r="S1" s="229" t="s">
        <v>526</v>
      </c>
      <c r="T1" s="229" t="s">
        <v>556</v>
      </c>
      <c r="U1" s="229" t="s">
        <v>527</v>
      </c>
      <c r="V1" s="229" t="s">
        <v>553</v>
      </c>
      <c r="W1" s="229" t="s">
        <v>528</v>
      </c>
      <c r="X1" s="229" t="s">
        <v>554</v>
      </c>
      <c r="Y1" s="229" t="s">
        <v>521</v>
      </c>
      <c r="Z1" s="241" t="s">
        <v>555</v>
      </c>
      <c r="AA1" s="230" t="s">
        <v>546</v>
      </c>
      <c r="AB1" s="230" t="s">
        <v>548</v>
      </c>
      <c r="AC1" s="231" t="s">
        <v>547</v>
      </c>
      <c r="AD1" s="231" t="s">
        <v>548</v>
      </c>
    </row>
    <row r="2" spans="1:30">
      <c r="A2" s="217" t="s">
        <v>461</v>
      </c>
      <c r="B2" s="217" t="s">
        <v>545</v>
      </c>
      <c r="C2" s="218">
        <f>D2+E2</f>
        <v>110.0051</v>
      </c>
      <c r="D2" s="219">
        <v>2.1168</v>
      </c>
      <c r="E2" s="219">
        <v>107.8883</v>
      </c>
      <c r="F2" s="219">
        <v>0</v>
      </c>
      <c r="G2" s="220">
        <f>H2+I2</f>
        <v>24.0029</v>
      </c>
      <c r="H2" s="219">
        <v>10.3255</v>
      </c>
      <c r="I2" s="219">
        <v>13.6774</v>
      </c>
      <c r="J2" s="219">
        <v>0</v>
      </c>
      <c r="K2" s="220">
        <f>M2+O2</f>
        <v>7.3593163001337505</v>
      </c>
      <c r="L2" s="220">
        <f>N2+P2</f>
        <v>8.9689107490462359</v>
      </c>
      <c r="M2" s="219">
        <f>($D2/$AD2)*100</f>
        <v>0.14161344105067059</v>
      </c>
      <c r="N2" s="219">
        <f>($D2/$AB2)*100</f>
        <v>0.1725864552969005</v>
      </c>
      <c r="O2" s="219">
        <f>($E2/$AD2)*100</f>
        <v>7.2177028590830803</v>
      </c>
      <c r="P2" s="219">
        <f>($E2/$AB2)*100</f>
        <v>8.7963242937493362</v>
      </c>
      <c r="Q2" s="219">
        <f>($F2/$AD2)*100</f>
        <v>0</v>
      </c>
      <c r="R2" s="219">
        <f>($F2/$AB2)*100</f>
        <v>0</v>
      </c>
      <c r="S2" s="220">
        <f>U2+W2</f>
        <v>1.6057885790793376</v>
      </c>
      <c r="T2" s="220">
        <f>V2+X2</f>
        <v>1.9569989738501388</v>
      </c>
      <c r="U2" s="219">
        <f>($H2/$AD2)*100</f>
        <v>0.690773613741827</v>
      </c>
      <c r="V2" s="219">
        <f>($H2/AB2)*100</f>
        <v>0.84185631338253319</v>
      </c>
      <c r="W2" s="219">
        <f>($I2/$AD2)*100</f>
        <v>0.91501496533751059</v>
      </c>
      <c r="X2" s="219">
        <f>($I2/$AB2)*100</f>
        <v>1.1151426604676056</v>
      </c>
      <c r="Y2" s="219">
        <f>($J2/$AD2)*100</f>
        <v>0</v>
      </c>
      <c r="Z2" s="219">
        <f>($J2/$AB2)*100</f>
        <v>0</v>
      </c>
      <c r="AA2" s="232">
        <v>1226515717214.5801</v>
      </c>
      <c r="AB2" s="239">
        <v>1226.51571721458</v>
      </c>
      <c r="AC2" s="237">
        <v>1494773366351.988</v>
      </c>
      <c r="AD2" s="199">
        <v>1494.77336635199</v>
      </c>
    </row>
    <row r="3" spans="1:30">
      <c r="A3" s="217" t="s">
        <v>459</v>
      </c>
      <c r="B3" s="217" t="s">
        <v>545</v>
      </c>
      <c r="C3" s="218">
        <f t="shared" ref="C3:C67" si="0">D3+E3</f>
        <v>81</v>
      </c>
      <c r="D3" s="219">
        <v>2.4</v>
      </c>
      <c r="E3" s="219">
        <v>78.599999999999994</v>
      </c>
      <c r="F3" s="219">
        <v>63.75</v>
      </c>
      <c r="G3" s="220">
        <f t="shared" ref="G3:G67" si="1">H3+I3</f>
        <v>51.7</v>
      </c>
      <c r="H3" s="219">
        <v>3.7</v>
      </c>
      <c r="I3" s="219">
        <v>48</v>
      </c>
      <c r="J3" s="219">
        <v>0</v>
      </c>
      <c r="K3" s="220">
        <f t="shared" ref="K3:K67" si="2">M3+O3</f>
        <v>4.7742400680565593</v>
      </c>
      <c r="L3" s="220">
        <f t="shared" ref="L3:L67" si="3">N3+P3</f>
        <v>4.6997712099071647</v>
      </c>
      <c r="M3" s="219">
        <f t="shared" ref="M3:M67" si="4">($D3/$AD3)*100</f>
        <v>0.14145896497945359</v>
      </c>
      <c r="N3" s="219">
        <f t="shared" ref="N3:N67" si="5">($D3/$AB3)*100</f>
        <v>0.13925248029354564</v>
      </c>
      <c r="O3" s="219">
        <f t="shared" ref="O3:O67" si="6">($E3/$AD3)*100</f>
        <v>4.6327811030771056</v>
      </c>
      <c r="P3" s="219">
        <f t="shared" ref="P3:P67" si="7">($E3/$AB3)*100</f>
        <v>4.5605187296136194</v>
      </c>
      <c r="Q3" s="219">
        <f t="shared" ref="Q3:Q66" si="8">($F3/$AD3)*100</f>
        <v>3.7575037572667362</v>
      </c>
      <c r="R3" s="219">
        <f t="shared" ref="R3:R67" si="9">($F3/$AB3)*100</f>
        <v>3.6988940077973065</v>
      </c>
      <c r="S3" s="220">
        <f t="shared" ref="S3:S67" si="10">U3+W3</f>
        <v>3.0472618705990637</v>
      </c>
      <c r="T3" s="220">
        <f t="shared" ref="T3:T67" si="11">V3+X3</f>
        <v>2.999730512990129</v>
      </c>
      <c r="U3" s="219">
        <f t="shared" ref="U3:U67" si="12">($H3/$AD3)*100</f>
        <v>0.21808257100999098</v>
      </c>
      <c r="V3" s="219">
        <f t="shared" ref="V3:V39" si="13">($H3/AB3)*100</f>
        <v>0.21468090711921622</v>
      </c>
      <c r="W3" s="219">
        <f t="shared" ref="W3:W67" si="14">($I3/$AD3)*100</f>
        <v>2.8291792995890725</v>
      </c>
      <c r="X3" s="219">
        <f t="shared" ref="X3:X67" si="15">($I3/$AB3)*100</f>
        <v>2.7850496058709129</v>
      </c>
      <c r="Y3" s="219">
        <f t="shared" ref="Y3:Y67" si="16">($J3/$AD3)*100</f>
        <v>0</v>
      </c>
      <c r="Z3" s="219">
        <f t="shared" ref="Z3:Z67" si="17">($J3/$AB3)*100</f>
        <v>0</v>
      </c>
      <c r="AA3" s="232">
        <v>1723488152556.26</v>
      </c>
      <c r="AB3" s="239">
        <v>1723.48815255626</v>
      </c>
      <c r="AC3" s="237">
        <v>1696605089927.3779</v>
      </c>
      <c r="AD3" s="199">
        <v>1696.60508992738</v>
      </c>
    </row>
    <row r="4" spans="1:30">
      <c r="A4" s="217" t="s">
        <v>457</v>
      </c>
      <c r="B4" s="217" t="s">
        <v>545</v>
      </c>
      <c r="C4" s="218">
        <f t="shared" si="0"/>
        <v>16.5</v>
      </c>
      <c r="D4" s="247">
        <v>5.5</v>
      </c>
      <c r="E4" s="247">
        <v>11</v>
      </c>
      <c r="F4" s="247">
        <v>48.5</v>
      </c>
      <c r="G4" s="220">
        <f t="shared" si="1"/>
        <v>348</v>
      </c>
      <c r="H4" s="247">
        <v>0</v>
      </c>
      <c r="I4" s="247">
        <v>348</v>
      </c>
      <c r="J4" s="219">
        <v>0</v>
      </c>
      <c r="K4" s="220">
        <f t="shared" si="2"/>
        <v>0.630538110393977</v>
      </c>
      <c r="L4" s="220">
        <f t="shared" si="3"/>
        <v>0.56757783839276432</v>
      </c>
      <c r="M4" s="219">
        <f t="shared" si="4"/>
        <v>0.21017937013132568</v>
      </c>
      <c r="N4" s="219">
        <f t="shared" si="5"/>
        <v>0.18919261279758812</v>
      </c>
      <c r="O4" s="219">
        <f t="shared" si="6"/>
        <v>0.42035874026265135</v>
      </c>
      <c r="P4" s="219">
        <f t="shared" si="7"/>
        <v>0.37838522559517623</v>
      </c>
      <c r="Q4" s="219">
        <f t="shared" si="8"/>
        <v>1.8533999002489625</v>
      </c>
      <c r="R4" s="219">
        <f t="shared" si="9"/>
        <v>1.6683348583060043</v>
      </c>
      <c r="S4" s="220">
        <f t="shared" si="10"/>
        <v>13.298621964672968</v>
      </c>
      <c r="T4" s="220">
        <f t="shared" si="11"/>
        <v>11.970732591556484</v>
      </c>
      <c r="U4" s="219">
        <f t="shared" si="12"/>
        <v>0</v>
      </c>
      <c r="V4" s="219">
        <f t="shared" si="13"/>
        <v>0</v>
      </c>
      <c r="W4" s="219">
        <f t="shared" si="14"/>
        <v>13.298621964672968</v>
      </c>
      <c r="X4" s="219">
        <f t="shared" si="15"/>
        <v>11.970732591556484</v>
      </c>
      <c r="Y4" s="219">
        <f t="shared" si="16"/>
        <v>0</v>
      </c>
      <c r="Z4" s="219">
        <f t="shared" si="17"/>
        <v>0</v>
      </c>
      <c r="AA4" s="232">
        <v>2907090249810.2798</v>
      </c>
      <c r="AB4" s="239">
        <v>2907.0902498102801</v>
      </c>
      <c r="AC4" s="237">
        <v>2616812485718.0068</v>
      </c>
      <c r="AD4" s="199">
        <v>2616.8124857180101</v>
      </c>
    </row>
    <row r="5" spans="1:30">
      <c r="A5" s="217" t="s">
        <v>458</v>
      </c>
      <c r="B5" s="217" t="s">
        <v>545</v>
      </c>
      <c r="C5" s="218">
        <f t="shared" si="0"/>
        <v>143</v>
      </c>
      <c r="D5" s="219">
        <v>11.2</v>
      </c>
      <c r="E5" s="219">
        <v>131.80000000000001</v>
      </c>
      <c r="F5" s="219">
        <v>0</v>
      </c>
      <c r="G5" s="220">
        <f t="shared" si="1"/>
        <v>1072</v>
      </c>
      <c r="H5" s="219">
        <v>223</v>
      </c>
      <c r="I5" s="219">
        <v>849</v>
      </c>
      <c r="J5" s="219">
        <v>0</v>
      </c>
      <c r="K5" s="220">
        <f t="shared" si="2"/>
        <v>3.9751844662002656</v>
      </c>
      <c r="L5" s="220">
        <f t="shared" si="3"/>
        <v>3.4360258824878329</v>
      </c>
      <c r="M5" s="219">
        <f>($D5/$AD5)*100</f>
        <v>0.3113431190310697</v>
      </c>
      <c r="N5" s="219">
        <f t="shared" si="5"/>
        <v>0.26911531387317289</v>
      </c>
      <c r="O5" s="219">
        <f t="shared" si="6"/>
        <v>3.6638413471691957</v>
      </c>
      <c r="P5" s="219">
        <f t="shared" si="7"/>
        <v>3.1669105686146599</v>
      </c>
      <c r="Q5" s="219">
        <f t="shared" si="8"/>
        <v>0</v>
      </c>
      <c r="R5" s="219">
        <f t="shared" si="9"/>
        <v>0</v>
      </c>
      <c r="S5" s="220">
        <f t="shared" si="10"/>
        <v>29.799984250116676</v>
      </c>
      <c r="T5" s="220">
        <f t="shared" si="11"/>
        <v>25.758180042146549</v>
      </c>
      <c r="U5" s="219">
        <f t="shared" si="12"/>
        <v>6.1990638878507633</v>
      </c>
      <c r="V5" s="219">
        <f t="shared" si="13"/>
        <v>5.3582781244390683</v>
      </c>
      <c r="W5" s="219">
        <f t="shared" si="14"/>
        <v>23.600920362265914</v>
      </c>
      <c r="X5" s="219">
        <f t="shared" si="15"/>
        <v>20.399901917707481</v>
      </c>
      <c r="Y5" s="219">
        <f t="shared" si="16"/>
        <v>0</v>
      </c>
      <c r="Z5" s="219">
        <f t="shared" si="17"/>
        <v>0</v>
      </c>
      <c r="AA5" s="232">
        <v>4161784715558.1299</v>
      </c>
      <c r="AB5" s="239">
        <v>4161.7847155581303</v>
      </c>
      <c r="AC5" s="237">
        <v>3597317337494.2358</v>
      </c>
      <c r="AD5" s="199">
        <v>3597.3173374942398</v>
      </c>
    </row>
    <row r="6" spans="1:30">
      <c r="A6" s="217" t="s">
        <v>455</v>
      </c>
      <c r="B6" s="217" t="s">
        <v>545</v>
      </c>
      <c r="C6" s="218">
        <f t="shared" si="0"/>
        <v>22</v>
      </c>
      <c r="D6" s="219">
        <v>3.63</v>
      </c>
      <c r="E6" s="219">
        <v>18.37</v>
      </c>
      <c r="F6" s="219">
        <v>0</v>
      </c>
      <c r="G6" s="220">
        <f t="shared" si="1"/>
        <v>591</v>
      </c>
      <c r="H6" s="219">
        <v>0</v>
      </c>
      <c r="I6" s="219">
        <v>591</v>
      </c>
      <c r="J6" s="219">
        <v>0</v>
      </c>
      <c r="K6" s="220">
        <f t="shared" si="2"/>
        <v>1.1469339016069102</v>
      </c>
      <c r="L6" s="220">
        <f t="shared" si="3"/>
        <v>0.94111212635674024</v>
      </c>
      <c r="M6" s="219">
        <f t="shared" si="4"/>
        <v>0.18924409376514018</v>
      </c>
      <c r="N6" s="219">
        <f t="shared" si="5"/>
        <v>0.15528350084886214</v>
      </c>
      <c r="O6" s="219">
        <f t="shared" si="6"/>
        <v>0.95768980784176994</v>
      </c>
      <c r="P6" s="219">
        <f t="shared" si="7"/>
        <v>0.78582862550787813</v>
      </c>
      <c r="Q6" s="219">
        <f t="shared" si="8"/>
        <v>0</v>
      </c>
      <c r="R6" s="219">
        <f t="shared" si="9"/>
        <v>0</v>
      </c>
      <c r="S6" s="220">
        <f t="shared" si="10"/>
        <v>30.810815265894721</v>
      </c>
      <c r="T6" s="220">
        <f t="shared" si="11"/>
        <v>25.281693939856066</v>
      </c>
      <c r="U6" s="219">
        <f t="shared" si="12"/>
        <v>0</v>
      </c>
      <c r="V6" s="219">
        <f t="shared" si="13"/>
        <v>0</v>
      </c>
      <c r="W6" s="219">
        <f t="shared" si="14"/>
        <v>30.810815265894721</v>
      </c>
      <c r="X6" s="219">
        <f t="shared" si="15"/>
        <v>25.281693939856066</v>
      </c>
      <c r="Y6" s="219">
        <f t="shared" si="16"/>
        <v>0</v>
      </c>
      <c r="Z6" s="219">
        <f t="shared" si="17"/>
        <v>0</v>
      </c>
      <c r="AA6" s="232">
        <v>2337659815857.1201</v>
      </c>
      <c r="AB6" s="239">
        <v>2337.6598158571201</v>
      </c>
      <c r="AC6" s="237">
        <v>1918157617381.1699</v>
      </c>
      <c r="AD6" s="199">
        <v>1918.15761738117</v>
      </c>
    </row>
    <row r="7" spans="1:30">
      <c r="A7" s="217" t="s">
        <v>460</v>
      </c>
      <c r="B7" s="217" t="s">
        <v>545</v>
      </c>
      <c r="C7" s="218">
        <f t="shared" si="0"/>
        <v>497</v>
      </c>
      <c r="D7" s="219">
        <v>12.1906</v>
      </c>
      <c r="E7" s="219">
        <v>484.80939999999998</v>
      </c>
      <c r="F7" s="219">
        <v>0</v>
      </c>
      <c r="G7" s="220">
        <f t="shared" si="1"/>
        <v>19</v>
      </c>
      <c r="H7" s="219">
        <v>0</v>
      </c>
      <c r="I7" s="219">
        <v>19</v>
      </c>
      <c r="J7" s="219">
        <v>0</v>
      </c>
      <c r="K7" s="220">
        <f t="shared" si="2"/>
        <v>10.88877715515526</v>
      </c>
      <c r="L7" s="220">
        <f t="shared" si="3"/>
        <v>9.3335923458114554</v>
      </c>
      <c r="M7" s="219">
        <f t="shared" si="4"/>
        <v>0.26708395731918655</v>
      </c>
      <c r="N7" s="219">
        <f t="shared" si="5"/>
        <v>0.22893780855301635</v>
      </c>
      <c r="O7" s="219">
        <f t="shared" si="6"/>
        <v>10.621693197836073</v>
      </c>
      <c r="P7" s="219">
        <f t="shared" si="7"/>
        <v>9.1046545372584387</v>
      </c>
      <c r="Q7" s="219">
        <f t="shared" si="8"/>
        <v>0</v>
      </c>
      <c r="R7" s="219">
        <f t="shared" si="9"/>
        <v>0</v>
      </c>
      <c r="S7" s="220">
        <f t="shared" si="10"/>
        <v>0.41627115884899385</v>
      </c>
      <c r="T7" s="220">
        <f t="shared" si="11"/>
        <v>0.35681741362257074</v>
      </c>
      <c r="U7" s="219">
        <f t="shared" si="12"/>
        <v>0</v>
      </c>
      <c r="V7" s="219">
        <f t="shared" si="13"/>
        <v>0</v>
      </c>
      <c r="W7" s="219">
        <f t="shared" si="14"/>
        <v>0.41627115884899385</v>
      </c>
      <c r="X7" s="219">
        <f t="shared" si="15"/>
        <v>0.35681741362257074</v>
      </c>
      <c r="Y7" s="219">
        <f t="shared" si="16"/>
        <v>0</v>
      </c>
      <c r="Z7" s="219">
        <f t="shared" si="17"/>
        <v>0</v>
      </c>
      <c r="AA7" s="232">
        <v>5324852228231.6504</v>
      </c>
      <c r="AB7" s="239">
        <v>5324.8522282316499</v>
      </c>
      <c r="AC7" s="237">
        <v>4564332550094.4502</v>
      </c>
      <c r="AD7" s="199">
        <v>4564.3325500944502</v>
      </c>
    </row>
    <row r="8" spans="1:30">
      <c r="A8" s="217" t="s">
        <v>448</v>
      </c>
      <c r="B8" s="217" t="s">
        <v>545</v>
      </c>
      <c r="C8" s="218">
        <f t="shared" si="0"/>
        <v>24</v>
      </c>
      <c r="D8" s="219">
        <v>2.5</v>
      </c>
      <c r="E8" s="219">
        <v>21.5</v>
      </c>
      <c r="F8" s="219">
        <v>14</v>
      </c>
      <c r="G8" s="220">
        <f t="shared" si="1"/>
        <v>215</v>
      </c>
      <c r="H8" s="219">
        <v>101</v>
      </c>
      <c r="I8" s="219">
        <v>114</v>
      </c>
      <c r="J8" s="219">
        <v>0</v>
      </c>
      <c r="K8" s="220">
        <f t="shared" si="2"/>
        <v>1.465070020161209</v>
      </c>
      <c r="L8" s="220">
        <f t="shared" si="3"/>
        <v>1.1128940232744176</v>
      </c>
      <c r="M8" s="219">
        <f t="shared" si="4"/>
        <v>0.15261146043345927</v>
      </c>
      <c r="N8" s="219">
        <f t="shared" si="5"/>
        <v>0.11592646075775184</v>
      </c>
      <c r="O8" s="219">
        <f t="shared" si="6"/>
        <v>1.3124585597277498</v>
      </c>
      <c r="P8" s="219">
        <f t="shared" si="7"/>
        <v>0.99696756251666574</v>
      </c>
      <c r="Q8" s="219">
        <f t="shared" si="8"/>
        <v>0.85462417842737204</v>
      </c>
      <c r="R8" s="219">
        <f t="shared" si="9"/>
        <v>0.64918818024341018</v>
      </c>
      <c r="S8" s="220">
        <f t="shared" si="10"/>
        <v>13.124585597277498</v>
      </c>
      <c r="T8" s="220">
        <f t="shared" si="11"/>
        <v>9.9696756251666585</v>
      </c>
      <c r="U8" s="219">
        <f t="shared" si="12"/>
        <v>6.1655030015117545</v>
      </c>
      <c r="V8" s="219">
        <f t="shared" si="13"/>
        <v>4.6834290146131741</v>
      </c>
      <c r="W8" s="219">
        <f t="shared" si="14"/>
        <v>6.9590825957657438</v>
      </c>
      <c r="X8" s="219">
        <f t="shared" si="15"/>
        <v>5.2862466105534835</v>
      </c>
      <c r="Y8" s="219">
        <f t="shared" si="16"/>
        <v>0</v>
      </c>
      <c r="Z8" s="219">
        <f t="shared" si="17"/>
        <v>0</v>
      </c>
      <c r="AA8" s="232">
        <v>2156539571430.7</v>
      </c>
      <c r="AB8" s="239">
        <v>2156.5395714307001</v>
      </c>
      <c r="AC8" s="237">
        <v>1638146960195.0569</v>
      </c>
      <c r="AD8" s="199">
        <v>1638.14696019506</v>
      </c>
    </row>
    <row r="9" spans="1:30">
      <c r="A9" s="217" t="s">
        <v>449</v>
      </c>
      <c r="B9" s="217" t="s">
        <v>545</v>
      </c>
      <c r="C9" s="218">
        <f t="shared" si="0"/>
        <v>14.892900000000001</v>
      </c>
      <c r="D9" s="219">
        <v>4.1786000000000003</v>
      </c>
      <c r="E9" s="219">
        <v>10.7143</v>
      </c>
      <c r="F9" s="219">
        <v>0</v>
      </c>
      <c r="G9" s="220">
        <f t="shared" si="1"/>
        <v>175.61519999999999</v>
      </c>
      <c r="H9" s="219">
        <v>11</v>
      </c>
      <c r="I9" s="219">
        <v>164.61519999999999</v>
      </c>
      <c r="J9" s="219">
        <v>11.4316</v>
      </c>
      <c r="K9" s="220">
        <f t="shared" si="2"/>
        <v>1.1249106429758049</v>
      </c>
      <c r="L9" s="220">
        <f t="shared" si="3"/>
        <v>0.82898248866192525</v>
      </c>
      <c r="M9" s="219">
        <f t="shared" si="4"/>
        <v>0.31562366045153722</v>
      </c>
      <c r="N9" s="219">
        <f t="shared" si="5"/>
        <v>0.23259313009035992</v>
      </c>
      <c r="O9" s="219">
        <f t="shared" si="6"/>
        <v>0.80928698252426767</v>
      </c>
      <c r="P9" s="219">
        <f t="shared" si="7"/>
        <v>0.59638935857156539</v>
      </c>
      <c r="Q9" s="219">
        <f t="shared" si="8"/>
        <v>0</v>
      </c>
      <c r="R9" s="219">
        <f t="shared" si="9"/>
        <v>0</v>
      </c>
      <c r="S9" s="220">
        <f t="shared" si="10"/>
        <v>13.264804540977552</v>
      </c>
      <c r="T9" s="220">
        <f t="shared" si="11"/>
        <v>9.7752570381095509</v>
      </c>
      <c r="U9" s="219">
        <f t="shared" si="12"/>
        <v>0.83086686090243378</v>
      </c>
      <c r="V9" s="219">
        <f t="shared" si="13"/>
        <v>0.61229225841046264</v>
      </c>
      <c r="W9" s="219">
        <f t="shared" si="14"/>
        <v>12.433937680075118</v>
      </c>
      <c r="X9" s="219">
        <f t="shared" si="15"/>
        <v>9.1629647796990881</v>
      </c>
      <c r="Y9" s="219">
        <f t="shared" si="16"/>
        <v>0.86346705519020561</v>
      </c>
      <c r="Z9" s="219">
        <f t="shared" si="17"/>
        <v>0.63631638011318581</v>
      </c>
      <c r="AA9" s="232">
        <v>1796527695541.4199</v>
      </c>
      <c r="AB9" s="239">
        <v>1796.5276955414199</v>
      </c>
      <c r="AC9" s="237">
        <v>1323918490148.05</v>
      </c>
      <c r="AD9" s="199">
        <v>1323.9184901480501</v>
      </c>
    </row>
    <row r="10" spans="1:30">
      <c r="A10" s="217" t="s">
        <v>463</v>
      </c>
      <c r="B10" s="217" t="s">
        <v>545</v>
      </c>
      <c r="C10" s="218">
        <f t="shared" si="0"/>
        <v>83.000000005000004</v>
      </c>
      <c r="D10" s="219">
        <v>6.384615385</v>
      </c>
      <c r="E10" s="219">
        <v>76.61538462</v>
      </c>
      <c r="F10" s="219">
        <v>0</v>
      </c>
      <c r="G10" s="220">
        <f t="shared" si="1"/>
        <v>423</v>
      </c>
      <c r="H10" s="219">
        <v>423</v>
      </c>
      <c r="I10" s="219">
        <v>0</v>
      </c>
      <c r="J10" s="219">
        <v>0</v>
      </c>
      <c r="K10" s="220">
        <f t="shared" si="2"/>
        <v>2.628755024499684</v>
      </c>
      <c r="L10" s="220">
        <f t="shared" si="3"/>
        <v>2.8212212457603547</v>
      </c>
      <c r="M10" s="219">
        <f t="shared" si="4"/>
        <v>0.20221192496151416</v>
      </c>
      <c r="N10" s="219">
        <f t="shared" si="5"/>
        <v>0.2170170189046427</v>
      </c>
      <c r="O10" s="219">
        <f t="shared" si="6"/>
        <v>2.4265430995381698</v>
      </c>
      <c r="P10" s="219">
        <f t="shared" si="7"/>
        <v>2.6042042268557122</v>
      </c>
      <c r="Q10" s="219">
        <f t="shared" si="8"/>
        <v>0</v>
      </c>
      <c r="R10" s="219">
        <f t="shared" si="9"/>
        <v>0</v>
      </c>
      <c r="S10" s="220">
        <f t="shared" si="10"/>
        <v>13.397149099956392</v>
      </c>
      <c r="T10" s="220">
        <f t="shared" si="11"/>
        <v>14.378031167286023</v>
      </c>
      <c r="U10" s="219">
        <f t="shared" si="12"/>
        <v>13.397149099956392</v>
      </c>
      <c r="V10" s="219">
        <f t="shared" si="13"/>
        <v>14.378031167286023</v>
      </c>
      <c r="W10" s="219">
        <f t="shared" si="14"/>
        <v>0</v>
      </c>
      <c r="X10" s="219">
        <f t="shared" si="15"/>
        <v>0</v>
      </c>
      <c r="Y10" s="219">
        <f t="shared" si="16"/>
        <v>0</v>
      </c>
      <c r="Z10" s="219">
        <f t="shared" si="17"/>
        <v>0</v>
      </c>
      <c r="AA10" s="232">
        <v>2941988336778.9702</v>
      </c>
      <c r="AB10" s="239">
        <v>2941.9883367789698</v>
      </c>
      <c r="AC10" s="237">
        <v>3157388164033.9238</v>
      </c>
      <c r="AD10" s="199">
        <v>3157.38816403392</v>
      </c>
    </row>
    <row r="11" spans="1:30">
      <c r="A11" s="217" t="s">
        <v>464</v>
      </c>
      <c r="B11" s="217" t="s">
        <v>545</v>
      </c>
      <c r="C11" s="218">
        <f t="shared" si="0"/>
        <v>1395</v>
      </c>
      <c r="D11" s="219">
        <v>9.4499999999999993</v>
      </c>
      <c r="E11" s="219">
        <v>1385.55</v>
      </c>
      <c r="F11" s="219">
        <v>0</v>
      </c>
      <c r="G11" s="220">
        <f t="shared" si="1"/>
        <v>510</v>
      </c>
      <c r="H11" s="219">
        <v>56</v>
      </c>
      <c r="I11" s="219">
        <v>454</v>
      </c>
      <c r="J11" s="219">
        <v>0</v>
      </c>
      <c r="K11" s="220">
        <f t="shared" si="2"/>
        <v>6.9998581774039028</v>
      </c>
      <c r="L11" s="220">
        <f t="shared" si="3"/>
        <v>6.9840045164241253</v>
      </c>
      <c r="M11" s="219">
        <f t="shared" si="4"/>
        <v>4.7418394104994176E-2</v>
      </c>
      <c r="N11" s="219">
        <f t="shared" si="5"/>
        <v>4.7310998337066652E-2</v>
      </c>
      <c r="O11" s="219">
        <f t="shared" si="6"/>
        <v>6.9524397832989084</v>
      </c>
      <c r="P11" s="219">
        <f t="shared" si="7"/>
        <v>6.9366935180870586</v>
      </c>
      <c r="Q11" s="219">
        <f t="shared" si="8"/>
        <v>0</v>
      </c>
      <c r="R11" s="219">
        <f t="shared" si="9"/>
        <v>0</v>
      </c>
      <c r="S11" s="220">
        <f t="shared" si="10"/>
        <v>2.5590879358250826</v>
      </c>
      <c r="T11" s="220">
        <f t="shared" si="11"/>
        <v>2.5532919737464543</v>
      </c>
      <c r="U11" s="219">
        <f t="shared" si="12"/>
        <v>0.28099789099255812</v>
      </c>
      <c r="V11" s="219">
        <f t="shared" si="13"/>
        <v>0.28036147162706165</v>
      </c>
      <c r="W11" s="219">
        <f t="shared" si="14"/>
        <v>2.2780900448325245</v>
      </c>
      <c r="X11" s="219">
        <f t="shared" si="15"/>
        <v>2.2729305021193928</v>
      </c>
      <c r="Y11" s="219">
        <f t="shared" si="16"/>
        <v>0</v>
      </c>
      <c r="Z11" s="219">
        <f t="shared" si="17"/>
        <v>0</v>
      </c>
      <c r="AA11" s="232">
        <v>19974213887167.602</v>
      </c>
      <c r="AB11" s="239">
        <v>19974.2138871676</v>
      </c>
      <c r="AC11" s="237">
        <v>19928975197000</v>
      </c>
      <c r="AD11" s="199">
        <v>19928.975197</v>
      </c>
    </row>
    <row r="12" spans="1:30">
      <c r="A12" s="217" t="s">
        <v>466</v>
      </c>
      <c r="B12" s="217" t="s">
        <v>545</v>
      </c>
      <c r="C12" s="218">
        <f t="shared" si="0"/>
        <v>1.8620000000000001</v>
      </c>
      <c r="D12" s="219">
        <v>1.8620000000000001</v>
      </c>
      <c r="E12" s="219">
        <v>0</v>
      </c>
      <c r="F12" s="219">
        <v>0</v>
      </c>
      <c r="G12" s="220">
        <f t="shared" si="1"/>
        <v>3.3</v>
      </c>
      <c r="H12" s="219">
        <v>3.3</v>
      </c>
      <c r="I12" s="219">
        <v>0</v>
      </c>
      <c r="J12" s="219">
        <v>0</v>
      </c>
      <c r="K12" s="220">
        <f t="shared" si="2"/>
        <v>0.14556526356530802</v>
      </c>
      <c r="L12" s="220">
        <f t="shared" si="3"/>
        <v>7.8180516539544914E-2</v>
      </c>
      <c r="M12" s="219">
        <f t="shared" si="4"/>
        <v>0.14556526356530802</v>
      </c>
      <c r="N12" s="219">
        <f t="shared" si="5"/>
        <v>7.8180516539544914E-2</v>
      </c>
      <c r="O12" s="219">
        <f t="shared" si="6"/>
        <v>0</v>
      </c>
      <c r="P12" s="219">
        <f t="shared" si="7"/>
        <v>0</v>
      </c>
      <c r="Q12" s="219">
        <f t="shared" si="8"/>
        <v>0</v>
      </c>
      <c r="R12" s="219">
        <f t="shared" si="9"/>
        <v>0</v>
      </c>
      <c r="S12" s="220">
        <f t="shared" si="10"/>
        <v>0.25798354982036326</v>
      </c>
      <c r="T12" s="220">
        <f t="shared" si="11"/>
        <v>0.1385583805480656</v>
      </c>
      <c r="U12" s="219">
        <f t="shared" si="12"/>
        <v>0.25798354982036326</v>
      </c>
      <c r="V12" s="219">
        <f t="shared" si="13"/>
        <v>0.1385583805480656</v>
      </c>
      <c r="W12" s="219">
        <f t="shared" si="14"/>
        <v>0</v>
      </c>
      <c r="X12" s="219">
        <f t="shared" si="15"/>
        <v>0</v>
      </c>
      <c r="Y12" s="219">
        <f t="shared" si="16"/>
        <v>0</v>
      </c>
      <c r="Z12" s="219">
        <f t="shared" si="17"/>
        <v>0</v>
      </c>
      <c r="AA12" s="232">
        <v>2381667559152.25</v>
      </c>
      <c r="AB12" s="239">
        <v>2381.6675591522499</v>
      </c>
      <c r="AC12" s="237">
        <v>1279151326624.439</v>
      </c>
      <c r="AD12" s="199">
        <v>1279.1513266244399</v>
      </c>
    </row>
    <row r="13" spans="1:30">
      <c r="A13" s="217" t="s">
        <v>467</v>
      </c>
      <c r="B13" s="217" t="s">
        <v>545</v>
      </c>
      <c r="C13" s="218">
        <f t="shared" si="0"/>
        <v>0</v>
      </c>
      <c r="D13" s="219">
        <v>0</v>
      </c>
      <c r="E13" s="219">
        <v>0</v>
      </c>
      <c r="F13" s="219">
        <v>0</v>
      </c>
      <c r="G13" s="220">
        <f t="shared" si="1"/>
        <v>3.8</v>
      </c>
      <c r="H13" s="219">
        <v>0</v>
      </c>
      <c r="I13" s="219">
        <v>3.8</v>
      </c>
      <c r="J13" s="219">
        <v>0</v>
      </c>
      <c r="K13" s="220">
        <f t="shared" si="2"/>
        <v>0</v>
      </c>
      <c r="L13" s="220">
        <f t="shared" si="3"/>
        <v>0</v>
      </c>
      <c r="M13" s="219">
        <f t="shared" si="4"/>
        <v>0</v>
      </c>
      <c r="N13" s="219">
        <f t="shared" si="5"/>
        <v>0</v>
      </c>
      <c r="O13" s="219">
        <f t="shared" si="6"/>
        <v>0</v>
      </c>
      <c r="P13" s="219">
        <f t="shared" si="7"/>
        <v>0</v>
      </c>
      <c r="Q13" s="219">
        <f t="shared" si="8"/>
        <v>0</v>
      </c>
      <c r="R13" s="219">
        <f t="shared" si="9"/>
        <v>0</v>
      </c>
      <c r="S13" s="220">
        <f t="shared" si="10"/>
        <v>0.38112295919650652</v>
      </c>
      <c r="T13" s="220">
        <f t="shared" si="11"/>
        <v>0.16282573564584751</v>
      </c>
      <c r="U13" s="219">
        <f t="shared" si="12"/>
        <v>0</v>
      </c>
      <c r="V13" s="219">
        <f t="shared" si="13"/>
        <v>0</v>
      </c>
      <c r="W13" s="219">
        <f t="shared" si="14"/>
        <v>0.38112295919650652</v>
      </c>
      <c r="X13" s="219">
        <f t="shared" si="15"/>
        <v>0.16282573564584751</v>
      </c>
      <c r="Y13" s="219">
        <f t="shared" si="16"/>
        <v>0</v>
      </c>
      <c r="Z13" s="219">
        <f t="shared" si="17"/>
        <v>0</v>
      </c>
      <c r="AA13" s="232">
        <v>2333783406491.1899</v>
      </c>
      <c r="AB13" s="239">
        <v>2333.7834064911899</v>
      </c>
      <c r="AC13" s="237">
        <v>997053551434.22559</v>
      </c>
      <c r="AD13" s="199">
        <v>997.05355143423003</v>
      </c>
    </row>
    <row r="14" spans="1:30">
      <c r="A14" s="221" t="s">
        <v>530</v>
      </c>
      <c r="B14" s="217" t="s">
        <v>545</v>
      </c>
      <c r="C14" s="218">
        <f t="shared" si="0"/>
        <v>31.764700000000001</v>
      </c>
      <c r="D14" s="219">
        <v>0</v>
      </c>
      <c r="E14" s="219">
        <v>31.764700000000001</v>
      </c>
      <c r="F14" s="219">
        <v>0</v>
      </c>
      <c r="G14" s="220">
        <f t="shared" si="1"/>
        <v>0</v>
      </c>
      <c r="H14" s="219">
        <v>0</v>
      </c>
      <c r="I14" s="219">
        <v>0</v>
      </c>
      <c r="J14" s="219">
        <v>0</v>
      </c>
      <c r="K14" s="220">
        <f t="shared" si="2"/>
        <v>7.6735681329126031</v>
      </c>
      <c r="L14" s="220">
        <f t="shared" si="3"/>
        <v>6.7786506242927107</v>
      </c>
      <c r="M14" s="219">
        <f t="shared" si="4"/>
        <v>0</v>
      </c>
      <c r="N14" s="219">
        <f t="shared" si="5"/>
        <v>0</v>
      </c>
      <c r="O14" s="219">
        <f t="shared" si="6"/>
        <v>7.6735681329126031</v>
      </c>
      <c r="P14" s="219">
        <f t="shared" si="7"/>
        <v>6.7786506242927107</v>
      </c>
      <c r="Q14" s="219">
        <f t="shared" si="8"/>
        <v>0</v>
      </c>
      <c r="R14" s="219">
        <f t="shared" si="9"/>
        <v>0</v>
      </c>
      <c r="S14" s="220">
        <f t="shared" si="10"/>
        <v>0</v>
      </c>
      <c r="T14" s="220">
        <f t="shared" si="11"/>
        <v>0</v>
      </c>
      <c r="U14" s="219">
        <f t="shared" si="12"/>
        <v>0</v>
      </c>
      <c r="V14" s="219">
        <f t="shared" si="13"/>
        <v>0</v>
      </c>
      <c r="W14" s="219">
        <f t="shared" si="14"/>
        <v>0</v>
      </c>
      <c r="X14" s="219">
        <f t="shared" si="15"/>
        <v>0</v>
      </c>
      <c r="Y14" s="219">
        <f t="shared" si="16"/>
        <v>0</v>
      </c>
      <c r="Z14" s="219">
        <f t="shared" si="17"/>
        <v>0</v>
      </c>
      <c r="AA14" s="232">
        <v>468599161699.88599</v>
      </c>
      <c r="AB14" s="239">
        <v>468.59916169988998</v>
      </c>
      <c r="AC14" s="237">
        <v>413949540159.26532</v>
      </c>
      <c r="AD14" s="199">
        <v>413.94954015926999</v>
      </c>
    </row>
    <row r="15" spans="1:30">
      <c r="A15" s="217" t="s">
        <v>456</v>
      </c>
      <c r="B15" s="217" t="s">
        <v>545</v>
      </c>
      <c r="C15" s="218">
        <f t="shared" si="0"/>
        <v>0</v>
      </c>
      <c r="D15" s="219">
        <v>0</v>
      </c>
      <c r="E15" s="219">
        <v>0</v>
      </c>
      <c r="F15" s="219">
        <v>0</v>
      </c>
      <c r="G15" s="220">
        <f t="shared" si="1"/>
        <v>54</v>
      </c>
      <c r="H15" s="219">
        <v>0</v>
      </c>
      <c r="I15" s="219">
        <v>54</v>
      </c>
      <c r="J15" s="219">
        <v>0</v>
      </c>
      <c r="K15" s="220">
        <f t="shared" si="2"/>
        <v>0</v>
      </c>
      <c r="L15" s="220">
        <f t="shared" si="3"/>
        <v>0</v>
      </c>
      <c r="M15" s="219">
        <f t="shared" si="4"/>
        <v>0</v>
      </c>
      <c r="N15" s="219">
        <f t="shared" si="5"/>
        <v>0</v>
      </c>
      <c r="O15" s="219">
        <f t="shared" si="6"/>
        <v>0</v>
      </c>
      <c r="P15" s="219">
        <f t="shared" si="7"/>
        <v>0</v>
      </c>
      <c r="Q15" s="219">
        <f t="shared" si="8"/>
        <v>0</v>
      </c>
      <c r="R15" s="219">
        <f t="shared" si="9"/>
        <v>0</v>
      </c>
      <c r="S15" s="220">
        <f t="shared" si="10"/>
        <v>10.90562054178165</v>
      </c>
      <c r="T15" s="220">
        <f t="shared" si="11"/>
        <v>9.7240885633744618</v>
      </c>
      <c r="U15" s="219">
        <f t="shared" si="12"/>
        <v>0</v>
      </c>
      <c r="V15" s="219">
        <f t="shared" si="13"/>
        <v>0</v>
      </c>
      <c r="W15" s="219">
        <f t="shared" si="14"/>
        <v>10.90562054178165</v>
      </c>
      <c r="X15" s="219">
        <f t="shared" si="15"/>
        <v>9.7240885633744618</v>
      </c>
      <c r="Y15" s="219">
        <f t="shared" si="16"/>
        <v>0</v>
      </c>
      <c r="Z15" s="219">
        <f t="shared" si="17"/>
        <v>0</v>
      </c>
      <c r="AA15" s="232">
        <v>555321968203.677</v>
      </c>
      <c r="AB15" s="239">
        <v>555.32196820367994</v>
      </c>
      <c r="AC15" s="237">
        <v>495157518025.82001</v>
      </c>
      <c r="AD15" s="199">
        <v>495.15751802582002</v>
      </c>
    </row>
    <row r="16" spans="1:30">
      <c r="A16" s="221" t="s">
        <v>454</v>
      </c>
      <c r="B16" s="217" t="s">
        <v>545</v>
      </c>
      <c r="C16" s="218">
        <f t="shared" si="0"/>
        <v>9.0751215444483115</v>
      </c>
      <c r="D16" s="219">
        <v>2.2540984E-2</v>
      </c>
      <c r="E16" s="254">
        <v>9.0525805604483107</v>
      </c>
      <c r="F16" s="219">
        <v>0</v>
      </c>
      <c r="G16" s="220">
        <f t="shared" si="1"/>
        <v>21.104230256601589</v>
      </c>
      <c r="H16" s="219">
        <v>0.80696442599999996</v>
      </c>
      <c r="I16" s="254">
        <v>20.297265830601589</v>
      </c>
      <c r="J16" s="219">
        <v>0</v>
      </c>
      <c r="K16" s="220">
        <f t="shared" si="2"/>
        <v>4.2084524748499499</v>
      </c>
      <c r="L16" s="220">
        <f t="shared" si="3"/>
        <v>2.2275928706634165</v>
      </c>
      <c r="M16" s="219">
        <f t="shared" si="4"/>
        <v>1.0453045662885387E-2</v>
      </c>
      <c r="N16" s="219">
        <f t="shared" si="5"/>
        <v>5.5329435545527564E-3</v>
      </c>
      <c r="O16" s="219">
        <f t="shared" si="6"/>
        <v>4.1979994291870648</v>
      </c>
      <c r="P16" s="219">
        <f t="shared" si="7"/>
        <v>2.2220599271088637</v>
      </c>
      <c r="Q16" s="219">
        <f t="shared" si="8"/>
        <v>0</v>
      </c>
      <c r="R16" s="219">
        <f t="shared" si="9"/>
        <v>0</v>
      </c>
      <c r="S16" s="220">
        <f t="shared" si="10"/>
        <v>9.7867725096785385</v>
      </c>
      <c r="T16" s="220">
        <f t="shared" si="11"/>
        <v>5.1802758376502558</v>
      </c>
      <c r="U16" s="219">
        <f t="shared" si="12"/>
        <v>0.37421773571651062</v>
      </c>
      <c r="V16" s="219">
        <f t="shared" si="13"/>
        <v>0.19807869166625844</v>
      </c>
      <c r="W16" s="219">
        <f t="shared" si="14"/>
        <v>9.4125547739620288</v>
      </c>
      <c r="X16" s="219">
        <f t="shared" si="15"/>
        <v>4.9821971459839975</v>
      </c>
      <c r="Y16" s="219">
        <f t="shared" si="16"/>
        <v>0</v>
      </c>
      <c r="Z16" s="219">
        <f t="shared" si="17"/>
        <v>0</v>
      </c>
      <c r="AA16" s="232">
        <v>407395878482.30298</v>
      </c>
      <c r="AB16" s="239">
        <v>407.39587848230002</v>
      </c>
      <c r="AC16" s="237">
        <v>215640347578.63721</v>
      </c>
      <c r="AD16" s="199">
        <v>215.64034757863999</v>
      </c>
    </row>
    <row r="17" spans="1:31">
      <c r="A17" s="221" t="s">
        <v>446</v>
      </c>
      <c r="B17" s="217" t="s">
        <v>545</v>
      </c>
      <c r="C17" s="218">
        <f t="shared" si="0"/>
        <v>9</v>
      </c>
      <c r="D17" s="219">
        <v>0</v>
      </c>
      <c r="E17" s="219">
        <v>9</v>
      </c>
      <c r="F17" s="219">
        <v>0</v>
      </c>
      <c r="G17" s="220">
        <f t="shared" si="1"/>
        <v>9.6999999999999993</v>
      </c>
      <c r="H17" s="219">
        <v>0</v>
      </c>
      <c r="I17" s="219">
        <v>9.6999999999999993</v>
      </c>
      <c r="J17" s="219">
        <v>0</v>
      </c>
      <c r="K17" s="220">
        <f t="shared" si="2"/>
        <v>2.7059324055091158</v>
      </c>
      <c r="L17" s="220">
        <f t="shared" si="3"/>
        <v>2.8932995220407594</v>
      </c>
      <c r="M17" s="219">
        <f t="shared" si="4"/>
        <v>0</v>
      </c>
      <c r="N17" s="219">
        <f t="shared" si="5"/>
        <v>0</v>
      </c>
      <c r="O17" s="219">
        <f t="shared" si="6"/>
        <v>2.7059324055091158</v>
      </c>
      <c r="P17" s="219">
        <f t="shared" si="7"/>
        <v>2.8932995220407594</v>
      </c>
      <c r="Q17" s="219">
        <f t="shared" si="8"/>
        <v>0</v>
      </c>
      <c r="R17" s="219">
        <f t="shared" si="9"/>
        <v>0</v>
      </c>
      <c r="S17" s="220">
        <f t="shared" si="10"/>
        <v>2.9163938148264918</v>
      </c>
      <c r="T17" s="220">
        <f t="shared" si="11"/>
        <v>3.1183339293105963</v>
      </c>
      <c r="U17" s="219">
        <f t="shared" si="12"/>
        <v>0</v>
      </c>
      <c r="V17" s="219">
        <f t="shared" si="13"/>
        <v>0</v>
      </c>
      <c r="W17" s="219">
        <f t="shared" si="14"/>
        <v>2.9163938148264918</v>
      </c>
      <c r="X17" s="219">
        <f t="shared" si="15"/>
        <v>3.1183339293105963</v>
      </c>
      <c r="Y17" s="219">
        <f t="shared" si="16"/>
        <v>0</v>
      </c>
      <c r="Z17" s="219">
        <f t="shared" si="17"/>
        <v>0</v>
      </c>
      <c r="AA17" s="232">
        <v>311063542901.078</v>
      </c>
      <c r="AB17" s="239">
        <v>311.06354290107998</v>
      </c>
      <c r="AC17" s="237">
        <v>332602543274.04938</v>
      </c>
      <c r="AD17" s="199">
        <v>332.60254327404999</v>
      </c>
    </row>
    <row r="18" spans="1:31">
      <c r="A18" s="221" t="s">
        <v>531</v>
      </c>
      <c r="B18" s="217" t="s">
        <v>545</v>
      </c>
      <c r="C18" s="218">
        <f t="shared" si="0"/>
        <v>0</v>
      </c>
      <c r="D18" s="219">
        <v>0</v>
      </c>
      <c r="E18" s="219">
        <v>0</v>
      </c>
      <c r="F18" s="219">
        <v>0</v>
      </c>
      <c r="G18" s="220">
        <f t="shared" si="1"/>
        <v>0.34351350790000001</v>
      </c>
      <c r="H18" s="219">
        <v>0.166216216</v>
      </c>
      <c r="I18" s="219">
        <v>0.17729729189999999</v>
      </c>
      <c r="J18" s="219">
        <v>0</v>
      </c>
      <c r="K18" s="220">
        <f t="shared" si="2"/>
        <v>0</v>
      </c>
      <c r="L18" s="220">
        <f t="shared" si="3"/>
        <v>0</v>
      </c>
      <c r="M18" s="219">
        <f t="shared" si="4"/>
        <v>0</v>
      </c>
      <c r="N18" s="219">
        <f t="shared" si="5"/>
        <v>0</v>
      </c>
      <c r="O18" s="219">
        <f t="shared" si="6"/>
        <v>0</v>
      </c>
      <c r="P18" s="219">
        <f t="shared" si="7"/>
        <v>0</v>
      </c>
      <c r="Q18" s="219">
        <f t="shared" si="8"/>
        <v>0</v>
      </c>
      <c r="R18" s="219">
        <f t="shared" si="9"/>
        <v>0</v>
      </c>
      <c r="S18" s="220">
        <f t="shared" si="10"/>
        <v>1.2772080118792744</v>
      </c>
      <c r="T18" s="220">
        <f t="shared" si="11"/>
        <v>0.74820679582493232</v>
      </c>
      <c r="U18" s="219">
        <f t="shared" si="12"/>
        <v>0.61800388601095835</v>
      </c>
      <c r="V18" s="219">
        <f t="shared" si="13"/>
        <v>0.36203555181215297</v>
      </c>
      <c r="W18" s="219">
        <f t="shared" si="14"/>
        <v>0.659204125868316</v>
      </c>
      <c r="X18" s="219">
        <f t="shared" si="15"/>
        <v>0.38617124401277941</v>
      </c>
      <c r="Y18" s="219">
        <f t="shared" si="16"/>
        <v>0</v>
      </c>
      <c r="Z18" s="219">
        <f t="shared" si="17"/>
        <v>0</v>
      </c>
      <c r="AA18" s="232">
        <v>45911572818.753304</v>
      </c>
      <c r="AB18" s="239">
        <v>45.911572818750003</v>
      </c>
      <c r="AC18" s="237">
        <v>26895658710.637878</v>
      </c>
      <c r="AD18" s="199">
        <v>26.895658710639999</v>
      </c>
    </row>
    <row r="19" spans="1:31">
      <c r="A19" s="221" t="s">
        <v>447</v>
      </c>
      <c r="B19" s="217" t="s">
        <v>545</v>
      </c>
      <c r="C19" s="218">
        <f t="shared" si="0"/>
        <v>4.352352529</v>
      </c>
      <c r="D19" s="219">
        <v>2.8823529000000001E-2</v>
      </c>
      <c r="E19" s="219">
        <v>4.3235289999999997</v>
      </c>
      <c r="F19" s="219">
        <v>4.5</v>
      </c>
      <c r="G19" s="220">
        <f t="shared" si="1"/>
        <v>13.1</v>
      </c>
      <c r="H19" s="219">
        <v>1.1000000000000001</v>
      </c>
      <c r="I19" s="219">
        <v>12</v>
      </c>
      <c r="J19" s="219">
        <v>0</v>
      </c>
      <c r="K19" s="220">
        <f t="shared" si="2"/>
        <v>1.7085190625524533</v>
      </c>
      <c r="L19" s="220">
        <f t="shared" si="3"/>
        <v>1.7140488294221521</v>
      </c>
      <c r="M19" s="219">
        <f t="shared" si="4"/>
        <v>1.1314696688378813E-2</v>
      </c>
      <c r="N19" s="219">
        <f t="shared" si="5"/>
        <v>1.1351317663970748E-2</v>
      </c>
      <c r="O19" s="219">
        <f t="shared" si="6"/>
        <v>1.6972043658640745</v>
      </c>
      <c r="P19" s="219">
        <f t="shared" si="7"/>
        <v>1.7026975117581813</v>
      </c>
      <c r="Q19" s="219">
        <f t="shared" si="8"/>
        <v>1.7664781816863806</v>
      </c>
      <c r="R19" s="219">
        <f t="shared" si="9"/>
        <v>1.7721955381614918</v>
      </c>
      <c r="S19" s="220">
        <f t="shared" si="10"/>
        <v>5.1424142622425748</v>
      </c>
      <c r="T19" s="220">
        <f t="shared" si="11"/>
        <v>5.1590581222034544</v>
      </c>
      <c r="U19" s="219">
        <f t="shared" si="12"/>
        <v>0.43180577774555973</v>
      </c>
      <c r="V19" s="219">
        <f t="shared" si="13"/>
        <v>0.43320335377280911</v>
      </c>
      <c r="W19" s="219">
        <f t="shared" si="14"/>
        <v>4.7106084844970146</v>
      </c>
      <c r="X19" s="219">
        <f t="shared" si="15"/>
        <v>4.7258547684306453</v>
      </c>
      <c r="Y19" s="219">
        <f t="shared" si="16"/>
        <v>0</v>
      </c>
      <c r="Z19" s="219">
        <f t="shared" si="17"/>
        <v>0</v>
      </c>
      <c r="AA19" s="232">
        <v>253922318564.70901</v>
      </c>
      <c r="AB19" s="239">
        <v>253.92231856471</v>
      </c>
      <c r="AC19" s="237">
        <v>254744159687.49991</v>
      </c>
      <c r="AD19" s="199">
        <v>254.7441596875</v>
      </c>
    </row>
    <row r="20" spans="1:31">
      <c r="A20" s="221" t="s">
        <v>532</v>
      </c>
      <c r="B20" s="217" t="s">
        <v>545</v>
      </c>
      <c r="C20" s="218">
        <f>D20+E20</f>
        <v>6.3664610000000001</v>
      </c>
      <c r="D20" s="243">
        <v>5.4100000000000003E-4</v>
      </c>
      <c r="E20" s="243">
        <v>6.36592</v>
      </c>
      <c r="F20" s="243">
        <v>0</v>
      </c>
      <c r="G20" s="220">
        <f>H20+I20</f>
        <v>2.2164000000000001</v>
      </c>
      <c r="H20" s="243">
        <v>1.1082000000000001</v>
      </c>
      <c r="I20" s="243">
        <v>1.1082000000000001</v>
      </c>
      <c r="J20" s="243">
        <v>0</v>
      </c>
      <c r="K20" s="220">
        <f t="shared" si="2"/>
        <v>3.1222987126848292</v>
      </c>
      <c r="L20" s="220">
        <f t="shared" si="3"/>
        <v>2.1112823412204826</v>
      </c>
      <c r="M20" s="219">
        <f t="shared" si="4"/>
        <v>2.6532222589009696E-4</v>
      </c>
      <c r="N20" s="219">
        <f t="shared" si="5"/>
        <v>1.7940952541769769E-4</v>
      </c>
      <c r="O20" s="219">
        <f>($E20/$AD20)*100</f>
        <v>3.122033390458939</v>
      </c>
      <c r="P20" s="219">
        <f>($E20/$AB20)*100</f>
        <v>2.1111029316950649</v>
      </c>
      <c r="Q20" s="219">
        <f t="shared" si="8"/>
        <v>0</v>
      </c>
      <c r="R20" s="219">
        <f t="shared" si="9"/>
        <v>0</v>
      </c>
      <c r="S20" s="220">
        <f t="shared" si="10"/>
        <v>1.0869873964192438</v>
      </c>
      <c r="T20" s="220">
        <f t="shared" si="11"/>
        <v>0.73501529045431646</v>
      </c>
      <c r="U20" s="219">
        <f t="shared" si="12"/>
        <v>0.5434936982096219</v>
      </c>
      <c r="V20" s="219">
        <f t="shared" si="13"/>
        <v>0.36750764522715823</v>
      </c>
      <c r="W20" s="219">
        <f>($I20/$AD20)*100</f>
        <v>0.5434936982096219</v>
      </c>
      <c r="X20" s="219">
        <f>($I20/$AB20)*100</f>
        <v>0.36750764522715823</v>
      </c>
      <c r="Y20" s="219">
        <f t="shared" si="16"/>
        <v>0</v>
      </c>
      <c r="Z20" s="219">
        <f t="shared" si="17"/>
        <v>0</v>
      </c>
      <c r="AA20" s="232">
        <v>301544747270.495</v>
      </c>
      <c r="AB20" s="239">
        <v>301.54474727050001</v>
      </c>
      <c r="AC20" s="237">
        <v>203903008195.06079</v>
      </c>
      <c r="AD20" s="199">
        <v>203.90300819506001</v>
      </c>
    </row>
    <row r="21" spans="1:31">
      <c r="A21" s="221" t="s">
        <v>533</v>
      </c>
      <c r="B21" s="217" t="s">
        <v>545</v>
      </c>
      <c r="C21" s="218">
        <f t="shared" si="0"/>
        <v>0.88253820443329634</v>
      </c>
      <c r="D21" s="267">
        <v>2.1328006607137996E-2</v>
      </c>
      <c r="E21" s="267">
        <v>0.86121019782615837</v>
      </c>
      <c r="F21" s="243">
        <v>0</v>
      </c>
      <c r="G21" s="220">
        <f t="shared" si="1"/>
        <v>0.91931062961801713</v>
      </c>
      <c r="H21" s="243">
        <v>0</v>
      </c>
      <c r="I21" s="266">
        <v>0.91931062961801713</v>
      </c>
      <c r="J21" s="243">
        <v>0</v>
      </c>
      <c r="K21" s="220">
        <f t="shared" si="2"/>
        <v>4.2572996227017779</v>
      </c>
      <c r="L21" s="220">
        <f t="shared" si="3"/>
        <v>4.6280958337256317</v>
      </c>
      <c r="M21" s="219">
        <f t="shared" si="4"/>
        <v>0.10288474088195963</v>
      </c>
      <c r="N21" s="219">
        <f t="shared" si="5"/>
        <v>0.11184564931503611</v>
      </c>
      <c r="O21" s="219">
        <f t="shared" si="6"/>
        <v>4.1544148818198181</v>
      </c>
      <c r="P21" s="219">
        <f t="shared" si="7"/>
        <v>4.5162501844105956</v>
      </c>
      <c r="Q21" s="219">
        <f t="shared" si="8"/>
        <v>0</v>
      </c>
      <c r="R21" s="219">
        <f t="shared" si="9"/>
        <v>0</v>
      </c>
      <c r="S21" s="220">
        <f t="shared" si="10"/>
        <v>4.434687106981019</v>
      </c>
      <c r="T21" s="220">
        <f t="shared" si="11"/>
        <v>4.8209331601308669</v>
      </c>
      <c r="U21" s="219">
        <f t="shared" si="12"/>
        <v>0</v>
      </c>
      <c r="V21" s="219">
        <f t="shared" si="13"/>
        <v>0</v>
      </c>
      <c r="W21" s="219">
        <f t="shared" si="14"/>
        <v>4.434687106981019</v>
      </c>
      <c r="X21" s="219">
        <f t="shared" si="15"/>
        <v>4.8209331601308669</v>
      </c>
      <c r="Y21" s="219">
        <f t="shared" si="16"/>
        <v>0</v>
      </c>
      <c r="Z21" s="219">
        <f t="shared" si="17"/>
        <v>0</v>
      </c>
      <c r="AA21" s="235">
        <v>19069142821.155399</v>
      </c>
      <c r="AB21" s="239">
        <v>19.06914282116</v>
      </c>
      <c r="AC21" s="237">
        <v>20729999827.29071</v>
      </c>
      <c r="AD21" s="199">
        <v>20.729999827290001</v>
      </c>
    </row>
    <row r="22" spans="1:31">
      <c r="A22" s="221" t="s">
        <v>534</v>
      </c>
      <c r="B22" s="217" t="s">
        <v>545</v>
      </c>
      <c r="C22" s="218">
        <f t="shared" si="0"/>
        <v>23.434808652685703</v>
      </c>
      <c r="D22" s="267">
        <v>2.2863227953839709</v>
      </c>
      <c r="E22" s="267">
        <v>21.148485857301733</v>
      </c>
      <c r="F22" s="267">
        <v>2.8579034942299635</v>
      </c>
      <c r="G22" s="220">
        <f t="shared" si="1"/>
        <v>6.8589683861519131</v>
      </c>
      <c r="H22" s="266">
        <v>4.5726455907679417</v>
      </c>
      <c r="I22" s="266">
        <v>2.2863227953839709</v>
      </c>
      <c r="J22" s="243">
        <v>0</v>
      </c>
      <c r="K22" s="220">
        <f t="shared" si="2"/>
        <v>6.308725700048833</v>
      </c>
      <c r="L22" s="220">
        <f t="shared" si="3"/>
        <v>5.6078791341391749</v>
      </c>
      <c r="M22" s="219">
        <f t="shared" si="4"/>
        <v>0.61548543415110557</v>
      </c>
      <c r="N22" s="219">
        <f t="shared" si="5"/>
        <v>0.54711015942821217</v>
      </c>
      <c r="O22" s="219">
        <f t="shared" si="6"/>
        <v>5.6932402658977272</v>
      </c>
      <c r="P22" s="219">
        <f t="shared" si="7"/>
        <v>5.060768974710963</v>
      </c>
      <c r="Q22" s="219">
        <f t="shared" si="8"/>
        <v>0.76935679268888202</v>
      </c>
      <c r="R22" s="219">
        <f t="shared" si="9"/>
        <v>0.68388769928526516</v>
      </c>
      <c r="S22" s="220">
        <f t="shared" si="10"/>
        <v>1.8464563024533167</v>
      </c>
      <c r="T22" s="220">
        <f t="shared" si="11"/>
        <v>1.6413304782846365</v>
      </c>
      <c r="U22" s="219">
        <f t="shared" si="12"/>
        <v>1.2309708683022111</v>
      </c>
      <c r="V22" s="219">
        <f t="shared" si="13"/>
        <v>1.0942203188564243</v>
      </c>
      <c r="W22" s="219">
        <f t="shared" si="14"/>
        <v>0.61548543415110557</v>
      </c>
      <c r="X22" s="219">
        <f t="shared" si="15"/>
        <v>0.54711015942821217</v>
      </c>
      <c r="Y22" s="219">
        <f t="shared" si="16"/>
        <v>0</v>
      </c>
      <c r="Z22" s="219">
        <f t="shared" si="17"/>
        <v>0</v>
      </c>
      <c r="AA22" s="235">
        <v>417890758558.284</v>
      </c>
      <c r="AB22" s="239">
        <v>417.89075855828003</v>
      </c>
      <c r="AC22" s="237">
        <v>371466596693.27911</v>
      </c>
      <c r="AD22" s="199">
        <v>371.46659669328</v>
      </c>
    </row>
    <row r="23" spans="1:31">
      <c r="A23" s="221" t="s">
        <v>535</v>
      </c>
      <c r="B23" s="217" t="s">
        <v>545</v>
      </c>
      <c r="C23" s="218">
        <f t="shared" si="0"/>
        <v>25.918306382883841</v>
      </c>
      <c r="D23" s="267">
        <v>4.0163261841927023</v>
      </c>
      <c r="E23" s="267">
        <v>21.901980198691138</v>
      </c>
      <c r="F23" s="267">
        <v>2.0803991745458603</v>
      </c>
      <c r="G23" s="220">
        <f t="shared" si="1"/>
        <v>11.153251130204193</v>
      </c>
      <c r="H23" s="266">
        <v>0.9535162883335192</v>
      </c>
      <c r="I23" s="266">
        <v>10.199734841870674</v>
      </c>
      <c r="J23" s="243">
        <v>0</v>
      </c>
      <c r="K23" s="220">
        <f t="shared" si="2"/>
        <v>7.2304547534162724</v>
      </c>
      <c r="L23" s="220">
        <f t="shared" si="3"/>
        <v>7.5696715765084619</v>
      </c>
      <c r="M23" s="219">
        <f t="shared" si="4"/>
        <v>1.1204383620121092</v>
      </c>
      <c r="N23" s="219">
        <f t="shared" si="5"/>
        <v>1.1730037337064394</v>
      </c>
      <c r="O23" s="219">
        <f t="shared" si="6"/>
        <v>6.1100163914041632</v>
      </c>
      <c r="P23" s="219">
        <f t="shared" si="7"/>
        <v>6.3966678428020227</v>
      </c>
      <c r="Q23" s="219">
        <f t="shared" si="8"/>
        <v>0.5803709501069918</v>
      </c>
      <c r="R23" s="219">
        <f t="shared" si="9"/>
        <v>0.60759905630837163</v>
      </c>
      <c r="S23" s="220">
        <f t="shared" si="10"/>
        <v>3.1114331491847054</v>
      </c>
      <c r="T23" s="220">
        <f t="shared" si="11"/>
        <v>3.257406051875436</v>
      </c>
      <c r="U23" s="219">
        <f t="shared" si="12"/>
        <v>0.2660033521323712</v>
      </c>
      <c r="V23" s="219">
        <f t="shared" si="13"/>
        <v>0.27848290080800364</v>
      </c>
      <c r="W23" s="219">
        <f t="shared" si="14"/>
        <v>2.8454297970523341</v>
      </c>
      <c r="X23" s="219">
        <f t="shared" si="15"/>
        <v>2.9789231510674323</v>
      </c>
      <c r="Y23" s="219">
        <f t="shared" si="16"/>
        <v>0</v>
      </c>
      <c r="Z23" s="219">
        <f t="shared" si="17"/>
        <v>0</v>
      </c>
      <c r="AA23" s="235">
        <v>342396709301.34399</v>
      </c>
      <c r="AB23" s="239">
        <v>342.39670930134002</v>
      </c>
      <c r="AC23" s="237">
        <v>358460252733.58807</v>
      </c>
      <c r="AD23" s="199">
        <v>358.46025273358998</v>
      </c>
    </row>
    <row r="24" spans="1:31">
      <c r="A24" s="222" t="s">
        <v>536</v>
      </c>
      <c r="B24" s="217" t="s">
        <v>545</v>
      </c>
      <c r="C24" s="218">
        <f t="shared" si="0"/>
        <v>2.6412118346100706</v>
      </c>
      <c r="D24" s="267">
        <v>0.2311060355223796</v>
      </c>
      <c r="E24" s="267">
        <v>2.4101057990876908</v>
      </c>
      <c r="F24" s="243">
        <v>0</v>
      </c>
      <c r="G24" s="220">
        <f t="shared" si="1"/>
        <v>1.0485610983298868</v>
      </c>
      <c r="H24" s="266">
        <v>0.2311060355223796</v>
      </c>
      <c r="I24" s="266">
        <v>0.81745506280750724</v>
      </c>
      <c r="J24" s="243">
        <v>0</v>
      </c>
      <c r="K24" s="220">
        <f t="shared" si="2"/>
        <v>8.7573111594010662</v>
      </c>
      <c r="L24" s="220">
        <f t="shared" si="3"/>
        <v>4.7655871856594887</v>
      </c>
      <c r="M24" s="219">
        <f t="shared" si="4"/>
        <v>0.76626472642769428</v>
      </c>
      <c r="N24" s="219">
        <f t="shared" si="5"/>
        <v>0.41698887873437651</v>
      </c>
      <c r="O24" s="219">
        <f t="shared" si="6"/>
        <v>7.9910464329733726</v>
      </c>
      <c r="P24" s="219">
        <f t="shared" si="7"/>
        <v>4.348598306925112</v>
      </c>
      <c r="Q24" s="219">
        <f t="shared" si="8"/>
        <v>0</v>
      </c>
      <c r="R24" s="219">
        <f t="shared" si="9"/>
        <v>0</v>
      </c>
      <c r="S24" s="220">
        <f t="shared" si="10"/>
        <v>3.4766525302480353</v>
      </c>
      <c r="T24" s="220">
        <f t="shared" si="11"/>
        <v>1.8919381126882124</v>
      </c>
      <c r="U24" s="219">
        <f t="shared" si="12"/>
        <v>0.76626472642769428</v>
      </c>
      <c r="V24" s="219">
        <f t="shared" si="13"/>
        <v>0.41698887873437651</v>
      </c>
      <c r="W24" s="219">
        <f t="shared" si="14"/>
        <v>2.7103878038203408</v>
      </c>
      <c r="X24" s="219">
        <f t="shared" si="15"/>
        <v>1.4749492339538359</v>
      </c>
      <c r="Y24" s="219">
        <f t="shared" si="16"/>
        <v>0</v>
      </c>
      <c r="Z24" s="219">
        <f t="shared" si="17"/>
        <v>0</v>
      </c>
      <c r="AA24" s="236">
        <v>55422589740</v>
      </c>
      <c r="AB24" s="240">
        <v>55.422589739999999</v>
      </c>
      <c r="AC24" s="237">
        <v>30160077523.05077</v>
      </c>
      <c r="AD24" s="199">
        <v>30.160077523049999</v>
      </c>
      <c r="AE24" s="233"/>
    </row>
    <row r="25" spans="1:31">
      <c r="A25" s="221" t="s">
        <v>537</v>
      </c>
      <c r="B25" s="217" t="s">
        <v>545</v>
      </c>
      <c r="C25" s="218">
        <f t="shared" si="0"/>
        <v>2.5949763727608071</v>
      </c>
      <c r="D25" s="267">
        <v>0.57158069884599272</v>
      </c>
      <c r="E25" s="267">
        <v>2.0233956739148145</v>
      </c>
      <c r="F25" s="267">
        <v>2.503523460945448</v>
      </c>
      <c r="G25" s="220">
        <f t="shared" si="1"/>
        <v>1.9662376040302147</v>
      </c>
      <c r="H25" s="266">
        <v>0.36581164726143534</v>
      </c>
      <c r="I25" s="266">
        <v>1.6004259567687795</v>
      </c>
      <c r="J25" s="243">
        <v>0</v>
      </c>
      <c r="K25" s="220">
        <f t="shared" si="2"/>
        <v>5.3818960772623692</v>
      </c>
      <c r="L25" s="220">
        <f t="shared" si="3"/>
        <v>2.6714857655953939</v>
      </c>
      <c r="M25" s="219">
        <f t="shared" si="4"/>
        <v>1.1854396645952354</v>
      </c>
      <c r="N25" s="219">
        <f t="shared" si="5"/>
        <v>0.5884329880166066</v>
      </c>
      <c r="O25" s="219">
        <f t="shared" si="6"/>
        <v>4.1964564126671338</v>
      </c>
      <c r="P25" s="219">
        <f t="shared" si="7"/>
        <v>2.0830527775787875</v>
      </c>
      <c r="Q25" s="219">
        <f t="shared" si="8"/>
        <v>5.19222573092713</v>
      </c>
      <c r="R25" s="219">
        <f t="shared" si="9"/>
        <v>2.5773364875127363</v>
      </c>
      <c r="S25" s="220">
        <f t="shared" si="10"/>
        <v>4.0779124462076091</v>
      </c>
      <c r="T25" s="220">
        <f t="shared" si="11"/>
        <v>2.0242094787771263</v>
      </c>
      <c r="U25" s="219">
        <f t="shared" si="12"/>
        <v>0.75868138534095053</v>
      </c>
      <c r="V25" s="219">
        <f t="shared" si="13"/>
        <v>0.3765971123306282</v>
      </c>
      <c r="W25" s="219">
        <f t="shared" si="14"/>
        <v>3.3192310608666586</v>
      </c>
      <c r="X25" s="219">
        <f t="shared" si="15"/>
        <v>1.6476123664464981</v>
      </c>
      <c r="Y25" s="219">
        <f t="shared" si="16"/>
        <v>0</v>
      </c>
      <c r="Z25" s="219">
        <f t="shared" si="17"/>
        <v>0</v>
      </c>
      <c r="AA25" s="235">
        <v>97136073348.399506</v>
      </c>
      <c r="AB25" s="239">
        <v>97.136073348400004</v>
      </c>
      <c r="AC25" s="237">
        <v>48216768505.137871</v>
      </c>
      <c r="AD25" s="199">
        <v>48.216768505140003</v>
      </c>
    </row>
    <row r="26" spans="1:31">
      <c r="A26" s="221" t="s">
        <v>538</v>
      </c>
      <c r="B26" s="217" t="s">
        <v>545</v>
      </c>
      <c r="C26" s="218">
        <f t="shared" si="0"/>
        <v>3.5438003328451551</v>
      </c>
      <c r="D26" s="267">
        <v>0.2286322795383971</v>
      </c>
      <c r="E26" s="267">
        <v>3.315168053306758</v>
      </c>
      <c r="F26" s="267">
        <v>5.2145883075488326</v>
      </c>
      <c r="G26" s="220">
        <f t="shared" si="1"/>
        <v>2.8579034942299635</v>
      </c>
      <c r="H26" s="266">
        <v>0</v>
      </c>
      <c r="I26" s="266">
        <v>2.8579034942299635</v>
      </c>
      <c r="J26" s="266">
        <v>1.2574775374611842</v>
      </c>
      <c r="K26" s="220">
        <f t="shared" si="2"/>
        <v>5.3244195640159759</v>
      </c>
      <c r="L26" s="220">
        <f t="shared" si="3"/>
        <v>5.3415951260588308</v>
      </c>
      <c r="M26" s="219">
        <f t="shared" si="4"/>
        <v>0.34351093961393397</v>
      </c>
      <c r="N26" s="219">
        <f t="shared" si="5"/>
        <v>0.34461904039089231</v>
      </c>
      <c r="O26" s="219">
        <f t="shared" si="6"/>
        <v>4.9809086244020424</v>
      </c>
      <c r="P26" s="219">
        <f t="shared" si="7"/>
        <v>4.9969760856679386</v>
      </c>
      <c r="Q26" s="219">
        <f t="shared" si="8"/>
        <v>7.8347122849077095</v>
      </c>
      <c r="R26" s="219">
        <f t="shared" si="9"/>
        <v>7.8599855725063756</v>
      </c>
      <c r="S26" s="220">
        <f t="shared" si="10"/>
        <v>4.2938867451741736</v>
      </c>
      <c r="T26" s="220">
        <f t="shared" si="11"/>
        <v>4.3077380048861542</v>
      </c>
      <c r="U26" s="219">
        <f t="shared" si="12"/>
        <v>0</v>
      </c>
      <c r="V26" s="219">
        <f t="shared" si="13"/>
        <v>0</v>
      </c>
      <c r="W26" s="219">
        <f t="shared" si="14"/>
        <v>4.2938867451741736</v>
      </c>
      <c r="X26" s="219">
        <f t="shared" si="15"/>
        <v>4.3077380048861542</v>
      </c>
      <c r="Y26" s="219">
        <f t="shared" si="16"/>
        <v>1.8893101678766371</v>
      </c>
      <c r="Z26" s="219">
        <f t="shared" si="17"/>
        <v>1.8954047221499077</v>
      </c>
      <c r="AA26" s="232">
        <v>66343484468.839996</v>
      </c>
      <c r="AB26" s="239">
        <v>66.343484468840003</v>
      </c>
      <c r="AC26" s="237">
        <v>66557495896.737839</v>
      </c>
      <c r="AD26" s="199">
        <v>66.557495896739994</v>
      </c>
    </row>
    <row r="27" spans="1:31">
      <c r="A27" s="221" t="s">
        <v>452</v>
      </c>
      <c r="B27" s="217" t="s">
        <v>545</v>
      </c>
      <c r="C27" s="218">
        <f t="shared" si="0"/>
        <v>22</v>
      </c>
      <c r="D27" s="219">
        <v>0</v>
      </c>
      <c r="E27" s="219">
        <v>22</v>
      </c>
      <c r="F27" s="219">
        <v>45</v>
      </c>
      <c r="G27" s="220">
        <f t="shared" si="1"/>
        <v>0</v>
      </c>
      <c r="H27" s="219">
        <v>0</v>
      </c>
      <c r="I27" s="219">
        <v>0</v>
      </c>
      <c r="J27" s="219">
        <v>0</v>
      </c>
      <c r="K27" s="220">
        <f t="shared" si="2"/>
        <v>2.6182670370692831</v>
      </c>
      <c r="L27" s="220">
        <f t="shared" si="3"/>
        <v>2.3594000418604768</v>
      </c>
      <c r="M27" s="219">
        <f t="shared" si="4"/>
        <v>0</v>
      </c>
      <c r="N27" s="219">
        <f t="shared" si="5"/>
        <v>0</v>
      </c>
      <c r="O27" s="219">
        <f t="shared" si="6"/>
        <v>2.6182670370692831</v>
      </c>
      <c r="P27" s="219">
        <f t="shared" si="7"/>
        <v>2.3594000418604768</v>
      </c>
      <c r="Q27" s="219">
        <f t="shared" si="8"/>
        <v>5.3555462121871695</v>
      </c>
      <c r="R27" s="219">
        <f t="shared" si="9"/>
        <v>4.826045540169158</v>
      </c>
      <c r="S27" s="220">
        <f t="shared" si="10"/>
        <v>0</v>
      </c>
      <c r="T27" s="220">
        <f t="shared" si="11"/>
        <v>0</v>
      </c>
      <c r="U27" s="219">
        <f t="shared" si="12"/>
        <v>0</v>
      </c>
      <c r="V27" s="219">
        <f t="shared" si="13"/>
        <v>0</v>
      </c>
      <c r="W27" s="219">
        <f t="shared" si="14"/>
        <v>0</v>
      </c>
      <c r="X27" s="219">
        <f t="shared" si="15"/>
        <v>0</v>
      </c>
      <c r="Y27" s="219">
        <f t="shared" si="16"/>
        <v>0</v>
      </c>
      <c r="Z27" s="219">
        <f t="shared" si="17"/>
        <v>0</v>
      </c>
      <c r="AA27" s="232">
        <v>932440434418.74902</v>
      </c>
      <c r="AB27" s="239">
        <v>932.44043441874999</v>
      </c>
      <c r="AC27" s="237">
        <v>840250428566.88171</v>
      </c>
      <c r="AD27" s="199">
        <v>840.25042856688003</v>
      </c>
    </row>
    <row r="28" spans="1:31">
      <c r="A28" s="221" t="s">
        <v>465</v>
      </c>
      <c r="B28" s="217" t="s">
        <v>545</v>
      </c>
      <c r="C28" s="218">
        <f t="shared" si="0"/>
        <v>11.088515533797038</v>
      </c>
      <c r="D28" s="254">
        <v>0.31570903379703813</v>
      </c>
      <c r="E28" s="219">
        <v>10.7728065</v>
      </c>
      <c r="F28" s="219">
        <v>0</v>
      </c>
      <c r="G28" s="220">
        <f t="shared" si="1"/>
        <v>6.6522016324629796</v>
      </c>
      <c r="H28" s="4">
        <v>2.7058387100000001</v>
      </c>
      <c r="I28" s="219">
        <v>3.9463629224629799</v>
      </c>
      <c r="J28" s="219"/>
      <c r="K28" s="220">
        <f t="shared" si="2"/>
        <v>5.4639624481968951</v>
      </c>
      <c r="L28" s="220">
        <f t="shared" si="3"/>
        <v>5.7165015304406683</v>
      </c>
      <c r="M28" s="219">
        <f t="shared" si="4"/>
        <v>0.15556837161527984</v>
      </c>
      <c r="N28" s="219">
        <f t="shared" si="5"/>
        <v>0.16275859192999773</v>
      </c>
      <c r="O28" s="219">
        <f t="shared" si="6"/>
        <v>5.3083940765816156</v>
      </c>
      <c r="P28" s="219">
        <f t="shared" si="7"/>
        <v>5.5537429385106707</v>
      </c>
      <c r="Q28" s="219">
        <f t="shared" si="8"/>
        <v>0</v>
      </c>
      <c r="R28" s="219">
        <f t="shared" si="9"/>
        <v>0</v>
      </c>
      <c r="S28" s="220">
        <f t="shared" si="10"/>
        <v>3.2779301978544808</v>
      </c>
      <c r="T28" s="220">
        <f t="shared" si="11"/>
        <v>3.4294329747629302</v>
      </c>
      <c r="U28" s="219">
        <f t="shared" si="12"/>
        <v>1.3333255526634809</v>
      </c>
      <c r="V28" s="219">
        <f t="shared" si="13"/>
        <v>1.3949505756379568</v>
      </c>
      <c r="W28" s="219">
        <f t="shared" si="14"/>
        <v>1.9446046451909997</v>
      </c>
      <c r="X28" s="219">
        <f t="shared" si="15"/>
        <v>2.0344823991249732</v>
      </c>
      <c r="Y28" s="219">
        <f t="shared" si="16"/>
        <v>0</v>
      </c>
      <c r="Z28" s="219">
        <f t="shared" si="17"/>
        <v>0</v>
      </c>
      <c r="AA28" s="232">
        <v>193973805040.548</v>
      </c>
      <c r="AB28" s="239">
        <v>193.97380504054999</v>
      </c>
      <c r="AC28" s="237">
        <v>202939087501.52551</v>
      </c>
      <c r="AD28" s="199">
        <v>202.93908750153</v>
      </c>
    </row>
    <row r="29" spans="1:31">
      <c r="A29" s="221" t="s">
        <v>451</v>
      </c>
      <c r="B29" s="217" t="s">
        <v>545</v>
      </c>
      <c r="C29" s="218">
        <f t="shared" si="0"/>
        <v>8.1</v>
      </c>
      <c r="D29" s="219">
        <v>0</v>
      </c>
      <c r="E29" s="219">
        <v>8.1</v>
      </c>
      <c r="F29" s="219">
        <v>0</v>
      </c>
      <c r="G29" s="220">
        <f t="shared" si="1"/>
        <v>10.6</v>
      </c>
      <c r="H29" s="219">
        <v>5.3</v>
      </c>
      <c r="I29" s="219">
        <v>5.3</v>
      </c>
      <c r="J29" s="219">
        <v>0</v>
      </c>
      <c r="K29" s="220">
        <f t="shared" si="2"/>
        <v>1.9744090578931335</v>
      </c>
      <c r="L29" s="220">
        <f t="shared" si="3"/>
        <v>2.4511712488266704</v>
      </c>
      <c r="M29" s="219">
        <f t="shared" si="4"/>
        <v>0</v>
      </c>
      <c r="N29" s="219">
        <f t="shared" si="5"/>
        <v>0</v>
      </c>
      <c r="O29" s="219">
        <f t="shared" si="6"/>
        <v>1.9744090578931335</v>
      </c>
      <c r="P29" s="219">
        <f t="shared" si="7"/>
        <v>2.4511712488266704</v>
      </c>
      <c r="Q29" s="219">
        <f t="shared" si="8"/>
        <v>0</v>
      </c>
      <c r="R29" s="219">
        <f t="shared" si="9"/>
        <v>0</v>
      </c>
      <c r="S29" s="220">
        <f t="shared" si="10"/>
        <v>2.5837945695885449</v>
      </c>
      <c r="T29" s="220">
        <f t="shared" si="11"/>
        <v>3.2077055848842844</v>
      </c>
      <c r="U29" s="219">
        <f t="shared" si="12"/>
        <v>1.2918972847942725</v>
      </c>
      <c r="V29" s="219">
        <f t="shared" si="13"/>
        <v>1.6038527924421422</v>
      </c>
      <c r="W29" s="219">
        <f t="shared" si="14"/>
        <v>1.2918972847942725</v>
      </c>
      <c r="X29" s="219">
        <f t="shared" si="15"/>
        <v>1.6038527924421422</v>
      </c>
      <c r="Y29" s="219">
        <f t="shared" si="16"/>
        <v>0</v>
      </c>
      <c r="Z29" s="219">
        <f t="shared" si="17"/>
        <v>0</v>
      </c>
      <c r="AA29" s="232">
        <v>330454267684.37299</v>
      </c>
      <c r="AB29" s="239">
        <v>330.45426768437</v>
      </c>
      <c r="AC29" s="237">
        <v>410249333471.11688</v>
      </c>
      <c r="AD29" s="199">
        <v>410.24933347112</v>
      </c>
      <c r="AE29" s="234"/>
    </row>
    <row r="30" spans="1:31">
      <c r="A30" s="221" t="s">
        <v>539</v>
      </c>
      <c r="B30" s="217" t="s">
        <v>545</v>
      </c>
      <c r="C30" s="218">
        <f t="shared" si="0"/>
        <v>7.2019168054595077</v>
      </c>
      <c r="D30" s="267">
        <v>1.8290582363071768</v>
      </c>
      <c r="E30" s="267">
        <v>5.3728585691523305</v>
      </c>
      <c r="F30" s="267">
        <v>9.0309750417666859</v>
      </c>
      <c r="G30" s="220">
        <f t="shared" si="1"/>
        <v>14.861098169995811</v>
      </c>
      <c r="H30" s="267">
        <v>0</v>
      </c>
      <c r="I30" s="267">
        <v>14.861098169995811</v>
      </c>
      <c r="J30" s="267">
        <v>0</v>
      </c>
      <c r="K30" s="220">
        <f t="shared" si="2"/>
        <v>3.2388197867879107</v>
      </c>
      <c r="L30" s="220">
        <f t="shared" si="3"/>
        <v>2.1106625637775824</v>
      </c>
      <c r="M30" s="219">
        <f t="shared" si="4"/>
        <v>0.82255740616835848</v>
      </c>
      <c r="N30" s="219">
        <f t="shared" si="5"/>
        <v>0.53604128603875123</v>
      </c>
      <c r="O30" s="219">
        <f t="shared" si="6"/>
        <v>2.4162623806195525</v>
      </c>
      <c r="P30" s="219">
        <f t="shared" si="7"/>
        <v>1.5746212777388313</v>
      </c>
      <c r="Q30" s="219">
        <f t="shared" si="8"/>
        <v>4.0613771929562708</v>
      </c>
      <c r="R30" s="219">
        <f t="shared" si="9"/>
        <v>2.6467038498163342</v>
      </c>
      <c r="S30" s="220">
        <f t="shared" si="10"/>
        <v>6.6832789251179126</v>
      </c>
      <c r="T30" s="220">
        <f t="shared" si="11"/>
        <v>4.3553354490648539</v>
      </c>
      <c r="U30" s="219">
        <f t="shared" si="12"/>
        <v>0</v>
      </c>
      <c r="V30" s="219">
        <f t="shared" si="13"/>
        <v>0</v>
      </c>
      <c r="W30" s="219">
        <f t="shared" si="14"/>
        <v>6.6832789251179126</v>
      </c>
      <c r="X30" s="219">
        <f t="shared" si="15"/>
        <v>4.3553354490648539</v>
      </c>
      <c r="Y30" s="219">
        <f t="shared" si="16"/>
        <v>0</v>
      </c>
      <c r="Z30" s="219">
        <f t="shared" si="17"/>
        <v>0</v>
      </c>
      <c r="AA30" s="232">
        <v>341215925702.96198</v>
      </c>
      <c r="AB30" s="239">
        <v>341.21592570296002</v>
      </c>
      <c r="AC30" s="237">
        <v>222362381347.61981</v>
      </c>
      <c r="AD30" s="199">
        <v>222.36238134761999</v>
      </c>
    </row>
    <row r="31" spans="1:31">
      <c r="A31" s="221" t="s">
        <v>540</v>
      </c>
      <c r="B31" s="217" t="s">
        <v>545</v>
      </c>
      <c r="C31" s="218">
        <f t="shared" si="0"/>
        <v>2.5149550749223684</v>
      </c>
      <c r="D31" s="267">
        <v>0.18290582363071767</v>
      </c>
      <c r="E31" s="267">
        <v>2.3320492512916506</v>
      </c>
      <c r="F31" s="267">
        <v>1.4060885191611421</v>
      </c>
      <c r="G31" s="220">
        <f t="shared" si="1"/>
        <v>4.5840772047448617</v>
      </c>
      <c r="H31" s="267">
        <v>0</v>
      </c>
      <c r="I31" s="267">
        <v>4.5840772047448617</v>
      </c>
      <c r="J31" s="267">
        <v>0</v>
      </c>
      <c r="K31" s="220">
        <f t="shared" si="2"/>
        <v>2.52787094908023</v>
      </c>
      <c r="L31" s="220">
        <f t="shared" si="3"/>
        <v>1.3840355185893003</v>
      </c>
      <c r="M31" s="219">
        <f t="shared" si="4"/>
        <v>0.18384515993310763</v>
      </c>
      <c r="N31" s="219">
        <f t="shared" si="5"/>
        <v>0.10065712862467636</v>
      </c>
      <c r="O31" s="219">
        <f t="shared" si="6"/>
        <v>2.3440257891471226</v>
      </c>
      <c r="P31" s="219">
        <f t="shared" si="7"/>
        <v>1.2833783899646238</v>
      </c>
      <c r="Q31" s="219">
        <f t="shared" si="8"/>
        <v>1.4133096669857648</v>
      </c>
      <c r="R31" s="219">
        <f t="shared" si="9"/>
        <v>0.77380167630219954</v>
      </c>
      <c r="S31" s="220">
        <f t="shared" si="10"/>
        <v>4.6076193208235097</v>
      </c>
      <c r="T31" s="220">
        <f t="shared" si="11"/>
        <v>2.5227192861559513</v>
      </c>
      <c r="U31" s="219">
        <f t="shared" si="12"/>
        <v>0</v>
      </c>
      <c r="V31" s="219">
        <f t="shared" si="13"/>
        <v>0</v>
      </c>
      <c r="W31" s="219">
        <f t="shared" si="14"/>
        <v>4.6076193208235097</v>
      </c>
      <c r="X31" s="219">
        <f t="shared" si="15"/>
        <v>2.5227192861559513</v>
      </c>
      <c r="Y31" s="219">
        <f t="shared" si="16"/>
        <v>0</v>
      </c>
      <c r="Z31" s="219">
        <f t="shared" si="17"/>
        <v>0</v>
      </c>
      <c r="AA31" s="232">
        <v>181711743748.14999</v>
      </c>
      <c r="AB31" s="239">
        <v>181.71174374815001</v>
      </c>
      <c r="AC31" s="237">
        <v>99489061173.693314</v>
      </c>
      <c r="AD31" s="199">
        <v>99.489061173690004</v>
      </c>
    </row>
    <row r="32" spans="1:31">
      <c r="A32" s="221" t="s">
        <v>541</v>
      </c>
      <c r="B32" s="217" t="s">
        <v>545</v>
      </c>
      <c r="C32" s="218">
        <f t="shared" si="0"/>
        <v>4.1153810316911672</v>
      </c>
      <c r="D32" s="267">
        <v>0.11431613976919908</v>
      </c>
      <c r="E32" s="267">
        <v>4.0010648919219678</v>
      </c>
      <c r="F32" s="267">
        <v>0</v>
      </c>
      <c r="G32" s="220">
        <f t="shared" si="1"/>
        <v>3.3151680533067727</v>
      </c>
      <c r="H32" s="267">
        <v>0.68589683861519435</v>
      </c>
      <c r="I32" s="267">
        <v>2.6292712146915784</v>
      </c>
      <c r="J32" s="267">
        <v>0.11431613976919908</v>
      </c>
      <c r="K32" s="220">
        <f t="shared" si="2"/>
        <v>8.1625269737342627</v>
      </c>
      <c r="L32" s="220">
        <f t="shared" si="3"/>
        <v>5.4123140293972885</v>
      </c>
      <c r="M32" s="219">
        <f t="shared" si="4"/>
        <v>0.22673686038150731</v>
      </c>
      <c r="N32" s="219">
        <f t="shared" si="5"/>
        <v>0.1503420563721469</v>
      </c>
      <c r="O32" s="219">
        <f t="shared" si="6"/>
        <v>7.9357901133527555</v>
      </c>
      <c r="P32" s="219">
        <f t="shared" si="7"/>
        <v>5.2619719730251413</v>
      </c>
      <c r="Q32" s="219">
        <f t="shared" si="8"/>
        <v>0</v>
      </c>
      <c r="R32" s="219">
        <f t="shared" si="9"/>
        <v>0</v>
      </c>
      <c r="S32" s="220">
        <f t="shared" si="10"/>
        <v>6.5753689510637106</v>
      </c>
      <c r="T32" s="220">
        <f t="shared" si="11"/>
        <v>4.3599196347922593</v>
      </c>
      <c r="U32" s="219">
        <f t="shared" si="12"/>
        <v>1.3604211622890434</v>
      </c>
      <c r="V32" s="219">
        <f t="shared" si="13"/>
        <v>0.90205233823288122</v>
      </c>
      <c r="W32" s="219">
        <f t="shared" si="14"/>
        <v>5.2149477887746674</v>
      </c>
      <c r="X32" s="219">
        <f t="shared" si="15"/>
        <v>3.4578672965593782</v>
      </c>
      <c r="Y32" s="219">
        <f t="shared" si="16"/>
        <v>0.22673686038150731</v>
      </c>
      <c r="Z32" s="219">
        <f t="shared" si="17"/>
        <v>0.1503420563721469</v>
      </c>
      <c r="AA32" s="232">
        <v>76037366075.546799</v>
      </c>
      <c r="AB32" s="239">
        <v>76.037366075549997</v>
      </c>
      <c r="AC32" s="237">
        <v>50417977728.390221</v>
      </c>
      <c r="AD32" s="199">
        <v>50.417977728389999</v>
      </c>
      <c r="AE32"/>
    </row>
    <row r="33" spans="1:31">
      <c r="A33" s="221" t="s">
        <v>450</v>
      </c>
      <c r="B33" s="217" t="s">
        <v>545</v>
      </c>
      <c r="C33" s="218">
        <f t="shared" si="0"/>
        <v>11</v>
      </c>
      <c r="D33" s="219">
        <v>0</v>
      </c>
      <c r="E33" s="219">
        <v>11</v>
      </c>
      <c r="F33" s="219">
        <v>0</v>
      </c>
      <c r="G33" s="220">
        <f t="shared" si="1"/>
        <v>25</v>
      </c>
      <c r="H33" s="219">
        <v>0</v>
      </c>
      <c r="I33" s="219">
        <v>25</v>
      </c>
      <c r="J33" s="219">
        <v>0</v>
      </c>
      <c r="K33" s="220">
        <f t="shared" si="2"/>
        <v>2.0006500950731745</v>
      </c>
      <c r="L33" s="220">
        <f t="shared" si="3"/>
        <v>2.111306177863205</v>
      </c>
      <c r="M33" s="219">
        <f t="shared" si="4"/>
        <v>0</v>
      </c>
      <c r="N33" s="219">
        <f t="shared" si="5"/>
        <v>0</v>
      </c>
      <c r="O33" s="219">
        <f t="shared" si="6"/>
        <v>2.0006500950731745</v>
      </c>
      <c r="P33" s="219">
        <f t="shared" si="7"/>
        <v>2.111306177863205</v>
      </c>
      <c r="Q33" s="219">
        <f t="shared" si="8"/>
        <v>0</v>
      </c>
      <c r="R33" s="219">
        <f t="shared" si="9"/>
        <v>0</v>
      </c>
      <c r="S33" s="220">
        <f t="shared" si="10"/>
        <v>4.5469320342572148</v>
      </c>
      <c r="T33" s="220">
        <f t="shared" si="11"/>
        <v>4.7984231315072847</v>
      </c>
      <c r="U33" s="219">
        <f t="shared" si="12"/>
        <v>0</v>
      </c>
      <c r="V33" s="219">
        <f t="shared" si="13"/>
        <v>0</v>
      </c>
      <c r="W33" s="219">
        <f t="shared" si="14"/>
        <v>4.5469320342572148</v>
      </c>
      <c r="X33" s="219">
        <f t="shared" si="15"/>
        <v>4.7984231315072847</v>
      </c>
      <c r="Y33" s="219">
        <f t="shared" si="16"/>
        <v>0</v>
      </c>
      <c r="Z33" s="219">
        <f t="shared" si="17"/>
        <v>0</v>
      </c>
      <c r="AA33" s="232">
        <v>521004490742.91901</v>
      </c>
      <c r="AB33" s="239">
        <v>521.00449074291998</v>
      </c>
      <c r="AC33" s="237">
        <v>549821281946.73523</v>
      </c>
      <c r="AD33" s="199">
        <v>549.82128194673999</v>
      </c>
    </row>
    <row r="34" spans="1:31">
      <c r="A34" s="221" t="s">
        <v>453</v>
      </c>
      <c r="B34" s="217" t="s">
        <v>545</v>
      </c>
      <c r="C34" s="218">
        <f t="shared" si="0"/>
        <v>1.6825977000000001</v>
      </c>
      <c r="D34" s="219">
        <v>0</v>
      </c>
      <c r="E34" s="219">
        <v>1.6825977000000001</v>
      </c>
      <c r="F34" s="219">
        <v>0</v>
      </c>
      <c r="G34" s="220">
        <f t="shared" si="1"/>
        <v>0.21161296000000002</v>
      </c>
      <c r="H34" s="4">
        <f>0.0516129+0.05677419</f>
        <v>0.10838709000000001</v>
      </c>
      <c r="I34" s="4">
        <f>0.10322587</f>
        <v>0.10322587</v>
      </c>
      <c r="J34" s="219">
        <v>0</v>
      </c>
      <c r="K34" s="220">
        <f t="shared" si="2"/>
        <v>0.22521425078179022</v>
      </c>
      <c r="L34" s="220">
        <f t="shared" si="3"/>
        <v>0.28479302795803385</v>
      </c>
      <c r="M34" s="219">
        <f t="shared" si="4"/>
        <v>0</v>
      </c>
      <c r="N34" s="219">
        <f t="shared" si="5"/>
        <v>0</v>
      </c>
      <c r="O34" s="219">
        <f t="shared" si="6"/>
        <v>0.22521425078179022</v>
      </c>
      <c r="P34" s="219">
        <f t="shared" si="7"/>
        <v>0.28479302795803385</v>
      </c>
      <c r="Q34" s="219">
        <f t="shared" si="8"/>
        <v>0</v>
      </c>
      <c r="R34" s="219">
        <f t="shared" si="9"/>
        <v>0</v>
      </c>
      <c r="S34" s="220">
        <f t="shared" si="10"/>
        <v>2.8324212164391373E-2</v>
      </c>
      <c r="T34" s="220">
        <f t="shared" si="11"/>
        <v>3.5817174618485631E-2</v>
      </c>
      <c r="U34" s="219">
        <f t="shared" si="12"/>
        <v>1.4507518504731386E-2</v>
      </c>
      <c r="V34" s="219">
        <f t="shared" si="13"/>
        <v>1.8345376053146827E-2</v>
      </c>
      <c r="W34" s="219">
        <f t="shared" si="14"/>
        <v>1.3816693659659988E-2</v>
      </c>
      <c r="X34" s="219">
        <f t="shared" si="15"/>
        <v>1.74717985653388E-2</v>
      </c>
      <c r="Y34" s="219">
        <f t="shared" si="16"/>
        <v>0</v>
      </c>
      <c r="Z34" s="219">
        <f t="shared" si="17"/>
        <v>0</v>
      </c>
      <c r="AA34" s="232">
        <v>590814217631.73499</v>
      </c>
      <c r="AB34" s="239">
        <v>590.81421763174001</v>
      </c>
      <c r="AC34" s="237">
        <v>747109782866.38879</v>
      </c>
      <c r="AD34" s="199">
        <v>747.10978286638999</v>
      </c>
      <c r="AE34" s="234"/>
    </row>
    <row r="35" spans="1:31">
      <c r="A35" s="217" t="s">
        <v>490</v>
      </c>
      <c r="B35" s="217" t="s">
        <v>545</v>
      </c>
      <c r="C35" s="218">
        <f t="shared" si="0"/>
        <v>4.5999999999999996</v>
      </c>
      <c r="D35" s="219">
        <v>1</v>
      </c>
      <c r="E35" s="219">
        <v>3.6</v>
      </c>
      <c r="F35" s="219">
        <v>4.7152702260000003</v>
      </c>
      <c r="G35" s="220">
        <f t="shared" si="1"/>
        <v>2.4</v>
      </c>
      <c r="H35" s="219">
        <v>2.4</v>
      </c>
      <c r="I35" s="219">
        <v>0</v>
      </c>
      <c r="J35" s="219">
        <v>0</v>
      </c>
      <c r="K35" s="220">
        <f t="shared" si="2"/>
        <v>1.7559969186421984</v>
      </c>
      <c r="L35" s="220">
        <f t="shared" si="3"/>
        <v>1.0424015476762831</v>
      </c>
      <c r="M35" s="219">
        <f t="shared" si="4"/>
        <v>0.38173846057439093</v>
      </c>
      <c r="N35" s="219">
        <f t="shared" si="5"/>
        <v>0.2266090321035398</v>
      </c>
      <c r="O35" s="219">
        <f t="shared" si="6"/>
        <v>1.3742584580678074</v>
      </c>
      <c r="P35" s="219">
        <f t="shared" si="7"/>
        <v>0.81579251557274324</v>
      </c>
      <c r="Q35" s="219">
        <f t="shared" si="8"/>
        <v>1.7999999972655005</v>
      </c>
      <c r="R35" s="219">
        <f t="shared" si="9"/>
        <v>1.0685228220204994</v>
      </c>
      <c r="S35" s="220">
        <f t="shared" si="10"/>
        <v>0.91617230537853822</v>
      </c>
      <c r="T35" s="220">
        <f t="shared" si="11"/>
        <v>0.54386167704849553</v>
      </c>
      <c r="U35" s="219">
        <f t="shared" si="12"/>
        <v>0.91617230537853822</v>
      </c>
      <c r="V35" s="219">
        <f t="shared" si="13"/>
        <v>0.54386167704849553</v>
      </c>
      <c r="W35" s="219">
        <f t="shared" si="14"/>
        <v>0</v>
      </c>
      <c r="X35" s="219">
        <f t="shared" si="15"/>
        <v>0</v>
      </c>
      <c r="Y35" s="219">
        <f t="shared" si="16"/>
        <v>0</v>
      </c>
      <c r="Z35" s="219">
        <f t="shared" si="17"/>
        <v>0</v>
      </c>
      <c r="AA35" s="232">
        <v>441288677118.17102</v>
      </c>
      <c r="AB35" s="239">
        <v>441.28867711817003</v>
      </c>
      <c r="AC35" s="237">
        <v>261959457397.9639</v>
      </c>
      <c r="AD35" s="199">
        <v>261.95945739796002</v>
      </c>
    </row>
    <row r="36" spans="1:31">
      <c r="A36" s="217" t="s">
        <v>481</v>
      </c>
      <c r="B36" s="217" t="s">
        <v>545</v>
      </c>
      <c r="C36" s="218">
        <f t="shared" si="0"/>
        <v>0</v>
      </c>
      <c r="D36" s="219">
        <v>0</v>
      </c>
      <c r="E36" s="219">
        <v>0</v>
      </c>
      <c r="F36" s="219">
        <v>0</v>
      </c>
      <c r="G36" s="220">
        <f t="shared" si="1"/>
        <v>0.1</v>
      </c>
      <c r="H36" s="219">
        <v>0.1</v>
      </c>
      <c r="I36" s="219">
        <v>0</v>
      </c>
      <c r="J36" s="219">
        <v>0</v>
      </c>
      <c r="K36" s="220">
        <f t="shared" si="2"/>
        <v>0</v>
      </c>
      <c r="L36" s="220">
        <f t="shared" si="3"/>
        <v>0</v>
      </c>
      <c r="M36" s="219">
        <f t="shared" si="4"/>
        <v>0</v>
      </c>
      <c r="N36" s="219">
        <f t="shared" si="5"/>
        <v>0</v>
      </c>
      <c r="O36" s="219">
        <f t="shared" si="6"/>
        <v>0</v>
      </c>
      <c r="P36" s="219">
        <f t="shared" si="7"/>
        <v>0</v>
      </c>
      <c r="Q36" s="219">
        <f t="shared" si="8"/>
        <v>0</v>
      </c>
      <c r="R36" s="219">
        <f t="shared" si="9"/>
        <v>0</v>
      </c>
      <c r="S36" s="220">
        <f t="shared" si="10"/>
        <v>3.111333402933561E-2</v>
      </c>
      <c r="T36" s="220">
        <f t="shared" si="11"/>
        <v>1.4482906740415585E-2</v>
      </c>
      <c r="U36" s="219">
        <f t="shared" si="12"/>
        <v>3.111333402933561E-2</v>
      </c>
      <c r="V36" s="219">
        <f t="shared" si="13"/>
        <v>1.4482906740415585E-2</v>
      </c>
      <c r="W36" s="219">
        <f t="shared" si="14"/>
        <v>0</v>
      </c>
      <c r="X36" s="219">
        <f t="shared" si="15"/>
        <v>0</v>
      </c>
      <c r="Y36" s="219">
        <f t="shared" si="16"/>
        <v>0</v>
      </c>
      <c r="Z36" s="219">
        <f t="shared" si="17"/>
        <v>0</v>
      </c>
      <c r="AA36" s="232">
        <v>690469128831.32397</v>
      </c>
      <c r="AB36" s="239">
        <v>690.46912883131995</v>
      </c>
      <c r="AC36" s="237">
        <v>321405606694.9129</v>
      </c>
      <c r="AD36" s="199">
        <v>321.40560669490998</v>
      </c>
    </row>
    <row r="37" spans="1:31">
      <c r="A37" s="217" t="s">
        <v>542</v>
      </c>
      <c r="B37" s="217" t="s">
        <v>545</v>
      </c>
      <c r="C37" s="218">
        <f t="shared" si="0"/>
        <v>0.71743400000000002</v>
      </c>
      <c r="D37" s="219">
        <v>0.17</v>
      </c>
      <c r="E37" s="219">
        <v>0.54743399999999998</v>
      </c>
      <c r="F37" s="219">
        <v>0</v>
      </c>
      <c r="G37" s="220">
        <f t="shared" si="1"/>
        <v>0</v>
      </c>
      <c r="H37" s="219">
        <v>0</v>
      </c>
      <c r="I37" s="219">
        <v>0</v>
      </c>
      <c r="J37" s="219">
        <v>0</v>
      </c>
      <c r="K37" s="220">
        <f t="shared" si="2"/>
        <v>1.1143308580281421</v>
      </c>
      <c r="L37" s="220">
        <f t="shared" si="3"/>
        <v>0.7863713384702169</v>
      </c>
      <c r="M37" s="219">
        <f t="shared" si="4"/>
        <v>0.26404693095780818</v>
      </c>
      <c r="N37" s="219">
        <f t="shared" si="5"/>
        <v>0.18633508802194609</v>
      </c>
      <c r="O37" s="219">
        <f t="shared" si="6"/>
        <v>0.85028392707033384</v>
      </c>
      <c r="P37" s="219">
        <f t="shared" si="7"/>
        <v>0.6000362504482708</v>
      </c>
      <c r="Q37" s="219">
        <f t="shared" si="8"/>
        <v>0</v>
      </c>
      <c r="R37" s="219">
        <f t="shared" si="9"/>
        <v>0</v>
      </c>
      <c r="S37" s="220">
        <f t="shared" si="10"/>
        <v>0</v>
      </c>
      <c r="T37" s="220">
        <f t="shared" si="11"/>
        <v>0</v>
      </c>
      <c r="U37" s="219">
        <f t="shared" si="12"/>
        <v>0</v>
      </c>
      <c r="V37" s="219">
        <f t="shared" si="13"/>
        <v>0</v>
      </c>
      <c r="W37" s="219">
        <f t="shared" si="14"/>
        <v>0</v>
      </c>
      <c r="X37" s="219">
        <f t="shared" si="15"/>
        <v>0</v>
      </c>
      <c r="Y37" s="219">
        <f t="shared" si="16"/>
        <v>0</v>
      </c>
      <c r="Z37" s="219">
        <f t="shared" si="17"/>
        <v>0</v>
      </c>
      <c r="AA37" s="232">
        <v>91233487908.610901</v>
      </c>
      <c r="AB37" s="239">
        <v>91.233487908610002</v>
      </c>
      <c r="AC37" s="237">
        <v>64382494196.515457</v>
      </c>
      <c r="AD37" s="199">
        <v>64.38249419652</v>
      </c>
    </row>
    <row r="38" spans="1:31">
      <c r="A38" s="217" t="s">
        <v>543</v>
      </c>
      <c r="B38" s="217" t="s">
        <v>545</v>
      </c>
      <c r="C38" s="218">
        <f t="shared" si="0"/>
        <v>4.4197489986439065</v>
      </c>
      <c r="D38" s="219">
        <v>0</v>
      </c>
      <c r="E38" s="194">
        <v>4.4197489986439065</v>
      </c>
      <c r="F38" s="219">
        <v>0</v>
      </c>
      <c r="G38" s="220">
        <f t="shared" si="1"/>
        <v>0</v>
      </c>
      <c r="H38" s="219">
        <v>0</v>
      </c>
      <c r="I38" s="219">
        <v>0</v>
      </c>
      <c r="J38" s="219">
        <v>0</v>
      </c>
      <c r="K38" s="220">
        <f t="shared" si="2"/>
        <v>2.998798899106466</v>
      </c>
      <c r="L38" s="220">
        <f t="shared" si="3"/>
        <v>1.4262400226188992</v>
      </c>
      <c r="M38" s="219">
        <f t="shared" si="4"/>
        <v>0</v>
      </c>
      <c r="N38" s="219">
        <f t="shared" si="5"/>
        <v>0</v>
      </c>
      <c r="O38" s="219">
        <f t="shared" si="6"/>
        <v>2.998798899106466</v>
      </c>
      <c r="P38" s="219">
        <f t="shared" si="7"/>
        <v>1.4262400226188992</v>
      </c>
      <c r="Q38" s="219">
        <f t="shared" si="8"/>
        <v>0</v>
      </c>
      <c r="R38" s="219">
        <f t="shared" si="9"/>
        <v>0</v>
      </c>
      <c r="S38" s="220">
        <f t="shared" si="10"/>
        <v>0</v>
      </c>
      <c r="T38" s="220">
        <f t="shared" si="11"/>
        <v>0</v>
      </c>
      <c r="U38" s="219">
        <f t="shared" si="12"/>
        <v>0</v>
      </c>
      <c r="V38" s="219">
        <f t="shared" si="13"/>
        <v>0</v>
      </c>
      <c r="W38" s="219">
        <f t="shared" si="14"/>
        <v>0</v>
      </c>
      <c r="X38" s="219">
        <f t="shared" si="15"/>
        <v>0</v>
      </c>
      <c r="Y38" s="219">
        <f t="shared" si="16"/>
        <v>0</v>
      </c>
      <c r="Z38" s="219">
        <f t="shared" si="17"/>
        <v>0</v>
      </c>
      <c r="AA38" s="232">
        <v>309888162479.70697</v>
      </c>
      <c r="AB38" s="239">
        <v>309.88816247970999</v>
      </c>
      <c r="AC38" s="237">
        <v>147383974295.86609</v>
      </c>
      <c r="AD38" s="199">
        <v>147.38397429586999</v>
      </c>
    </row>
    <row r="39" spans="1:31">
      <c r="A39" s="217" t="s">
        <v>487</v>
      </c>
      <c r="B39" s="217" t="s">
        <v>545</v>
      </c>
      <c r="C39" s="218">
        <f t="shared" si="0"/>
        <v>17</v>
      </c>
      <c r="D39" s="219">
        <v>8</v>
      </c>
      <c r="E39" s="219">
        <v>9</v>
      </c>
      <c r="F39" s="219">
        <v>0</v>
      </c>
      <c r="G39" s="220">
        <f t="shared" si="1"/>
        <v>17</v>
      </c>
      <c r="H39" s="219">
        <v>0</v>
      </c>
      <c r="I39" s="219">
        <v>17</v>
      </c>
      <c r="J39" s="219">
        <v>0</v>
      </c>
      <c r="K39" s="220">
        <f t="shared" si="2"/>
        <v>2.9746119470950942</v>
      </c>
      <c r="L39" s="220">
        <f t="shared" si="3"/>
        <v>1.3986901541599801</v>
      </c>
      <c r="M39" s="219">
        <f t="shared" si="4"/>
        <v>1.3998173868682795</v>
      </c>
      <c r="N39" s="219">
        <f t="shared" si="5"/>
        <v>0.65820713136940245</v>
      </c>
      <c r="O39" s="219">
        <f t="shared" si="6"/>
        <v>1.5747945602268145</v>
      </c>
      <c r="P39" s="219">
        <f t="shared" si="7"/>
        <v>0.74048302279057776</v>
      </c>
      <c r="Q39" s="219">
        <f t="shared" si="8"/>
        <v>0</v>
      </c>
      <c r="R39" s="219">
        <f t="shared" si="9"/>
        <v>0</v>
      </c>
      <c r="S39" s="220">
        <f t="shared" si="10"/>
        <v>2.9746119470950938</v>
      </c>
      <c r="T39" s="220">
        <f t="shared" si="11"/>
        <v>1.3986901541599803</v>
      </c>
      <c r="U39" s="219">
        <f t="shared" si="12"/>
        <v>0</v>
      </c>
      <c r="V39" s="219">
        <f t="shared" si="13"/>
        <v>0</v>
      </c>
      <c r="W39" s="219">
        <f t="shared" si="14"/>
        <v>2.9746119470950938</v>
      </c>
      <c r="X39" s="219">
        <f t="shared" si="15"/>
        <v>1.3986901541599803</v>
      </c>
      <c r="Y39" s="219">
        <f t="shared" si="16"/>
        <v>0</v>
      </c>
      <c r="Z39" s="219">
        <f t="shared" si="17"/>
        <v>0</v>
      </c>
      <c r="AA39" s="232">
        <v>1215422868992.01</v>
      </c>
      <c r="AB39" s="239">
        <v>1215.4228689920101</v>
      </c>
      <c r="AC39" s="237">
        <v>571503117124.28699</v>
      </c>
      <c r="AD39" s="199">
        <v>571.50311712429004</v>
      </c>
    </row>
    <row r="40" spans="1:31">
      <c r="A40" s="217"/>
      <c r="B40" s="217"/>
      <c r="C40" s="218"/>
      <c r="D40" s="219"/>
      <c r="E40" s="219"/>
      <c r="F40" s="219"/>
      <c r="G40" s="220"/>
      <c r="H40" s="219"/>
      <c r="I40" s="219"/>
      <c r="J40" s="219"/>
      <c r="K40" s="220"/>
      <c r="L40" s="220"/>
      <c r="M40" s="219"/>
      <c r="N40" s="219"/>
      <c r="O40" s="219"/>
      <c r="P40" s="219"/>
      <c r="Q40" s="219"/>
      <c r="R40" s="219"/>
      <c r="S40" s="220"/>
      <c r="T40" s="220"/>
      <c r="U40" s="219"/>
      <c r="V40" s="219"/>
      <c r="W40" s="219"/>
      <c r="X40" s="219"/>
      <c r="Y40" s="219"/>
      <c r="Z40" s="219"/>
      <c r="AA40" s="232"/>
      <c r="AB40" s="239"/>
      <c r="AC40" s="237"/>
    </row>
    <row r="41" spans="1:31">
      <c r="A41" s="217" t="s">
        <v>461</v>
      </c>
      <c r="B41" s="215" t="s">
        <v>557</v>
      </c>
      <c r="C41" s="218">
        <f t="shared" si="0"/>
        <v>110.3718152195127</v>
      </c>
      <c r="D41" s="249">
        <v>3.2712452643601866</v>
      </c>
      <c r="E41" s="249">
        <v>107.10056995515251</v>
      </c>
      <c r="F41" s="249">
        <v>0</v>
      </c>
      <c r="G41" s="220">
        <f t="shared" si="1"/>
        <v>22.898716850521307</v>
      </c>
      <c r="H41" s="249">
        <v>9.8137357930805607</v>
      </c>
      <c r="I41" s="249">
        <v>13.084981057440746</v>
      </c>
      <c r="J41" s="249">
        <v>0</v>
      </c>
      <c r="K41" s="220">
        <f t="shared" si="2"/>
        <v>7.3838494653457909</v>
      </c>
      <c r="L41" s="220">
        <f t="shared" si="3"/>
        <v>8.9988096907691766</v>
      </c>
      <c r="M41" s="219">
        <f t="shared" si="4"/>
        <v>0.21884556803040281</v>
      </c>
      <c r="N41" s="219">
        <f t="shared" si="5"/>
        <v>0.2667104235556958</v>
      </c>
      <c r="O41" s="219">
        <f t="shared" si="6"/>
        <v>7.1650038973153878</v>
      </c>
      <c r="P41" s="219">
        <f t="shared" si="7"/>
        <v>8.7320992672134814</v>
      </c>
      <c r="Q41" s="219">
        <f t="shared" si="8"/>
        <v>0</v>
      </c>
      <c r="R41" s="219">
        <f t="shared" si="9"/>
        <v>0</v>
      </c>
      <c r="S41" s="220">
        <f t="shared" si="10"/>
        <v>1.5319189762128198</v>
      </c>
      <c r="T41" s="220">
        <f t="shared" si="11"/>
        <v>1.8669729648898707</v>
      </c>
      <c r="U41" s="219">
        <f t="shared" si="12"/>
        <v>0.65653670409120857</v>
      </c>
      <c r="V41" s="219">
        <f t="shared" ref="V41:V78" si="18">($H41/AB41)*100</f>
        <v>0.80013127066708745</v>
      </c>
      <c r="W41" s="219">
        <f t="shared" si="14"/>
        <v>0.87538227212161124</v>
      </c>
      <c r="X41" s="219">
        <f t="shared" si="15"/>
        <v>1.0668416942227832</v>
      </c>
      <c r="Y41" s="219">
        <f t="shared" si="16"/>
        <v>0</v>
      </c>
      <c r="Z41" s="219">
        <f t="shared" si="17"/>
        <v>0</v>
      </c>
      <c r="AA41" s="232">
        <v>1226515717214.5801</v>
      </c>
      <c r="AB41" s="239">
        <v>1226.51571721458</v>
      </c>
      <c r="AC41" s="237">
        <v>1494773366351.988</v>
      </c>
      <c r="AD41" s="199">
        <v>1494.77336635199</v>
      </c>
    </row>
    <row r="42" spans="1:31">
      <c r="A42" s="217" t="s">
        <v>459</v>
      </c>
      <c r="B42" s="215" t="s">
        <v>557</v>
      </c>
      <c r="C42" s="218">
        <f t="shared" si="0"/>
        <v>86.382126693131028</v>
      </c>
      <c r="D42" s="249">
        <v>2.8794042231043675</v>
      </c>
      <c r="E42" s="249">
        <v>83.502722470026654</v>
      </c>
      <c r="F42" s="249">
        <v>61.187339740967808</v>
      </c>
      <c r="G42" s="220">
        <f t="shared" si="1"/>
        <v>50.389573904326426</v>
      </c>
      <c r="H42" s="249">
        <v>3.599255278880459</v>
      </c>
      <c r="I42" s="249">
        <v>46.79031862544597</v>
      </c>
      <c r="J42" s="249">
        <v>0</v>
      </c>
      <c r="K42" s="220">
        <f t="shared" si="2"/>
        <v>5.0914692644726438</v>
      </c>
      <c r="L42" s="220">
        <f t="shared" si="3"/>
        <v>5.0120522479374134</v>
      </c>
      <c r="M42" s="219">
        <f t="shared" si="4"/>
        <v>0.16971564214908816</v>
      </c>
      <c r="N42" s="219">
        <f t="shared" si="5"/>
        <v>0.16706840826458044</v>
      </c>
      <c r="O42" s="219">
        <f t="shared" si="6"/>
        <v>4.9217536223235561</v>
      </c>
      <c r="P42" s="219">
        <f t="shared" si="7"/>
        <v>4.8449838396728326</v>
      </c>
      <c r="Q42" s="219">
        <f t="shared" si="8"/>
        <v>3.606457395668123</v>
      </c>
      <c r="R42" s="219">
        <f t="shared" si="9"/>
        <v>3.5502036756223343</v>
      </c>
      <c r="S42" s="220">
        <f t="shared" si="10"/>
        <v>2.9700237376090426</v>
      </c>
      <c r="T42" s="220">
        <f t="shared" si="11"/>
        <v>2.9236971446301574</v>
      </c>
      <c r="U42" s="219">
        <f t="shared" si="12"/>
        <v>0.21214455268636018</v>
      </c>
      <c r="V42" s="219">
        <f t="shared" si="18"/>
        <v>0.2088355103307255</v>
      </c>
      <c r="W42" s="219">
        <f t="shared" si="14"/>
        <v>2.7578791849226825</v>
      </c>
      <c r="X42" s="219">
        <f t="shared" si="15"/>
        <v>2.7148616342994321</v>
      </c>
      <c r="Y42" s="219">
        <f t="shared" si="16"/>
        <v>0</v>
      </c>
      <c r="Z42" s="219">
        <f t="shared" si="17"/>
        <v>0</v>
      </c>
      <c r="AA42" s="232">
        <v>1723488152556.26</v>
      </c>
      <c r="AB42" s="239">
        <v>1723.48815255626</v>
      </c>
      <c r="AC42" s="237">
        <v>1696605089927.3779</v>
      </c>
      <c r="AD42" s="199">
        <v>1696.60508992738</v>
      </c>
    </row>
    <row r="43" spans="1:31">
      <c r="A43" s="217" t="s">
        <v>457</v>
      </c>
      <c r="B43" s="215" t="s">
        <v>557</v>
      </c>
      <c r="C43" s="218">
        <f t="shared" si="0"/>
        <v>62.619277635451212</v>
      </c>
      <c r="D43" s="249">
        <v>8.7426565634137816</v>
      </c>
      <c r="E43" s="249">
        <v>53.87662107203743</v>
      </c>
      <c r="F43" s="249">
        <v>60.652179908683117</v>
      </c>
      <c r="G43" s="220">
        <f t="shared" si="1"/>
        <v>380.30556050849952</v>
      </c>
      <c r="H43" s="249">
        <v>22.949473478961178</v>
      </c>
      <c r="I43" s="249">
        <v>357.35608702953834</v>
      </c>
      <c r="J43" s="249">
        <v>0</v>
      </c>
      <c r="K43" s="220">
        <f t="shared" si="2"/>
        <v>2.3929600602723173</v>
      </c>
      <c r="L43" s="220">
        <f t="shared" si="3"/>
        <v>2.154019044972471</v>
      </c>
      <c r="M43" s="219">
        <f t="shared" si="4"/>
        <v>0.33409564541323794</v>
      </c>
      <c r="N43" s="219">
        <f t="shared" si="5"/>
        <v>0.30073564327713381</v>
      </c>
      <c r="O43" s="219">
        <f t="shared" si="6"/>
        <v>2.0588644148590793</v>
      </c>
      <c r="P43" s="219">
        <f t="shared" si="7"/>
        <v>1.853283401695337</v>
      </c>
      <c r="Q43" s="219">
        <f t="shared" si="8"/>
        <v>2.3177885400543388</v>
      </c>
      <c r="R43" s="219">
        <f t="shared" si="9"/>
        <v>2.0863535252351162</v>
      </c>
      <c r="S43" s="220">
        <f t="shared" si="10"/>
        <v>14.533160575475851</v>
      </c>
      <c r="T43" s="220">
        <f t="shared" si="11"/>
        <v>13.082000482555321</v>
      </c>
      <c r="U43" s="219">
        <f t="shared" si="12"/>
        <v>0.87700106920974974</v>
      </c>
      <c r="V43" s="219">
        <f t="shared" si="18"/>
        <v>0.78943106360247617</v>
      </c>
      <c r="W43" s="219">
        <f t="shared" si="14"/>
        <v>13.656159506266102</v>
      </c>
      <c r="X43" s="219">
        <f t="shared" si="15"/>
        <v>12.292569418952844</v>
      </c>
      <c r="Y43" s="219">
        <f t="shared" si="16"/>
        <v>0</v>
      </c>
      <c r="Z43" s="219">
        <f t="shared" si="17"/>
        <v>0</v>
      </c>
      <c r="AA43" s="232">
        <v>2907090249810.2798</v>
      </c>
      <c r="AB43" s="239">
        <v>2907.0902498102801</v>
      </c>
      <c r="AC43" s="237">
        <v>2616812485718.0068</v>
      </c>
      <c r="AD43" s="199">
        <v>2616.8124857180101</v>
      </c>
    </row>
    <row r="44" spans="1:31">
      <c r="A44" s="217" t="s">
        <v>458</v>
      </c>
      <c r="B44" s="215" t="s">
        <v>557</v>
      </c>
      <c r="C44" s="218">
        <f t="shared" si="0"/>
        <v>332.22094940972295</v>
      </c>
      <c r="D44" s="249">
        <v>25.135137619814568</v>
      </c>
      <c r="E44" s="249">
        <v>307.0858117899084</v>
      </c>
      <c r="F44" s="249">
        <v>0</v>
      </c>
      <c r="G44" s="220">
        <f t="shared" si="1"/>
        <v>1114.6887118352547</v>
      </c>
      <c r="H44" s="249">
        <v>218.56641408534406</v>
      </c>
      <c r="I44" s="249">
        <v>896.12229774991067</v>
      </c>
      <c r="J44" s="249">
        <v>0</v>
      </c>
      <c r="K44" s="220">
        <f t="shared" si="2"/>
        <v>9.2352416604184278</v>
      </c>
      <c r="L44" s="220">
        <f t="shared" si="3"/>
        <v>7.9826558103250989</v>
      </c>
      <c r="M44" s="219">
        <f t="shared" si="4"/>
        <v>0.69871894141323621</v>
      </c>
      <c r="N44" s="219">
        <f t="shared" si="5"/>
        <v>0.60395093301801728</v>
      </c>
      <c r="O44" s="219">
        <f t="shared" si="6"/>
        <v>8.5365227190051911</v>
      </c>
      <c r="P44" s="219">
        <f t="shared" si="7"/>
        <v>7.3787048773070811</v>
      </c>
      <c r="Q44" s="219">
        <f t="shared" si="8"/>
        <v>0</v>
      </c>
      <c r="R44" s="219">
        <f t="shared" si="9"/>
        <v>0</v>
      </c>
      <c r="S44" s="220">
        <f t="shared" si="10"/>
        <v>30.986666097456563</v>
      </c>
      <c r="T44" s="220">
        <f t="shared" si="11"/>
        <v>26.783910942538164</v>
      </c>
      <c r="U44" s="219">
        <f t="shared" si="12"/>
        <v>6.0758168818542284</v>
      </c>
      <c r="V44" s="219">
        <f t="shared" si="18"/>
        <v>5.2517472436349335</v>
      </c>
      <c r="W44" s="219">
        <f t="shared" si="14"/>
        <v>24.910849215602333</v>
      </c>
      <c r="X44" s="219">
        <f t="shared" si="15"/>
        <v>21.532163698903229</v>
      </c>
      <c r="Y44" s="219">
        <f t="shared" si="16"/>
        <v>0</v>
      </c>
      <c r="Z44" s="219">
        <f t="shared" si="17"/>
        <v>0</v>
      </c>
      <c r="AA44" s="232">
        <v>4161784715558.1299</v>
      </c>
      <c r="AB44" s="239">
        <v>4161.7847155581303</v>
      </c>
      <c r="AC44" s="237">
        <v>3597317337494.2358</v>
      </c>
      <c r="AD44" s="199">
        <v>3597.3173374942398</v>
      </c>
    </row>
    <row r="45" spans="1:31">
      <c r="A45" s="217" t="s">
        <v>455</v>
      </c>
      <c r="B45" s="215" t="s">
        <v>557</v>
      </c>
      <c r="C45" s="218">
        <f t="shared" si="0"/>
        <v>60.105763873469748</v>
      </c>
      <c r="D45" s="249">
        <v>7.103408457773698</v>
      </c>
      <c r="E45" s="249">
        <v>53.002355415696051</v>
      </c>
      <c r="F45" s="249">
        <v>7.6498244929870598</v>
      </c>
      <c r="G45" s="220">
        <f t="shared" si="1"/>
        <v>582.80734315857126</v>
      </c>
      <c r="H45" s="249">
        <v>3.6063458324081847</v>
      </c>
      <c r="I45" s="249">
        <v>579.20099732616302</v>
      </c>
      <c r="J45" s="249">
        <v>0</v>
      </c>
      <c r="K45" s="220">
        <f t="shared" si="2"/>
        <v>3.1335153758391967</v>
      </c>
      <c r="L45" s="220">
        <f t="shared" si="3"/>
        <v>2.5711937838753296</v>
      </c>
      <c r="M45" s="219">
        <f t="shared" si="4"/>
        <v>0.37032454441735962</v>
      </c>
      <c r="N45" s="219">
        <f t="shared" si="5"/>
        <v>0.30386835627617531</v>
      </c>
      <c r="O45" s="219">
        <f t="shared" si="6"/>
        <v>2.763190831421837</v>
      </c>
      <c r="P45" s="219">
        <f t="shared" si="7"/>
        <v>2.2673254275991543</v>
      </c>
      <c r="Q45" s="219">
        <f t="shared" si="8"/>
        <v>0.39881104783407961</v>
      </c>
      <c r="R45" s="219">
        <f t="shared" si="9"/>
        <v>0.32724284522049651</v>
      </c>
      <c r="S45" s="220">
        <f t="shared" si="10"/>
        <v>30.38370454427352</v>
      </c>
      <c r="T45" s="220">
        <f t="shared" si="11"/>
        <v>24.93122990801297</v>
      </c>
      <c r="U45" s="219">
        <f t="shared" si="12"/>
        <v>0.18801092255035179</v>
      </c>
      <c r="V45" s="219">
        <f t="shared" si="18"/>
        <v>0.15427162703251979</v>
      </c>
      <c r="W45" s="219">
        <f t="shared" si="14"/>
        <v>30.195693621723169</v>
      </c>
      <c r="X45" s="219">
        <f t="shared" si="15"/>
        <v>24.776958280980448</v>
      </c>
      <c r="Y45" s="219">
        <f t="shared" si="16"/>
        <v>0</v>
      </c>
      <c r="Z45" s="219">
        <f t="shared" si="17"/>
        <v>0</v>
      </c>
      <c r="AA45" s="232">
        <v>2337659815857.1201</v>
      </c>
      <c r="AB45" s="239">
        <v>2337.6598158571201</v>
      </c>
      <c r="AC45" s="237">
        <v>1918157617381.1699</v>
      </c>
      <c r="AD45" s="199">
        <v>1918.15761738117</v>
      </c>
    </row>
    <row r="46" spans="1:31">
      <c r="A46" s="217" t="s">
        <v>460</v>
      </c>
      <c r="B46" s="215" t="s">
        <v>557</v>
      </c>
      <c r="C46" s="218">
        <f t="shared" si="0"/>
        <v>551.10682418759711</v>
      </c>
      <c r="D46" s="249">
        <v>38.427516652536532</v>
      </c>
      <c r="E46" s="249">
        <v>512.67930753506062</v>
      </c>
      <c r="F46" s="249">
        <v>243.68669096730486</v>
      </c>
      <c r="G46" s="220">
        <f t="shared" si="1"/>
        <v>147.1492710841033</v>
      </c>
      <c r="H46" s="249">
        <v>0</v>
      </c>
      <c r="I46" s="249">
        <v>147.1492710841033</v>
      </c>
      <c r="J46" s="249">
        <v>1021.6095890552396</v>
      </c>
      <c r="K46" s="220">
        <f t="shared" si="2"/>
        <v>12.074204018639987</v>
      </c>
      <c r="L46" s="220">
        <f t="shared" si="3"/>
        <v>10.34971113875617</v>
      </c>
      <c r="M46" s="219">
        <f t="shared" si="4"/>
        <v>0.84190878361265209</v>
      </c>
      <c r="N46" s="219">
        <f t="shared" si="5"/>
        <v>0.72166353178401854</v>
      </c>
      <c r="O46" s="219">
        <f t="shared" si="6"/>
        <v>11.232295235027335</v>
      </c>
      <c r="P46" s="219">
        <f t="shared" si="7"/>
        <v>9.6280476069721512</v>
      </c>
      <c r="Q46" s="219">
        <f t="shared" si="8"/>
        <v>5.3389337497387706</v>
      </c>
      <c r="R46" s="219">
        <f t="shared" si="9"/>
        <v>4.5764028844840201</v>
      </c>
      <c r="S46" s="220">
        <f t="shared" si="10"/>
        <v>3.2238946104191797</v>
      </c>
      <c r="T46" s="220">
        <f t="shared" si="11"/>
        <v>2.7634432802461197</v>
      </c>
      <c r="U46" s="219">
        <f t="shared" si="12"/>
        <v>0</v>
      </c>
      <c r="V46" s="219">
        <f t="shared" si="18"/>
        <v>0</v>
      </c>
      <c r="W46" s="219">
        <f t="shared" si="14"/>
        <v>3.2238946104191797</v>
      </c>
      <c r="X46" s="219">
        <f t="shared" si="15"/>
        <v>2.7634432802461197</v>
      </c>
      <c r="Y46" s="219">
        <f t="shared" si="16"/>
        <v>22.382453027750998</v>
      </c>
      <c r="Z46" s="219">
        <f t="shared" si="17"/>
        <v>19.185689015721469</v>
      </c>
      <c r="AA46" s="232">
        <v>5324852228231.6504</v>
      </c>
      <c r="AB46" s="239">
        <v>5324.8522282316499</v>
      </c>
      <c r="AC46" s="237">
        <v>4564332550094.4502</v>
      </c>
      <c r="AD46" s="199">
        <v>4564.3325500944502</v>
      </c>
    </row>
    <row r="47" spans="1:31">
      <c r="A47" s="217" t="s">
        <v>448</v>
      </c>
      <c r="B47" s="215" t="s">
        <v>557</v>
      </c>
      <c r="C47" s="218">
        <f t="shared" si="0"/>
        <v>47.759348551253893</v>
      </c>
      <c r="D47" s="249">
        <v>3.7812909352111514</v>
      </c>
      <c r="E47" s="249">
        <v>43.97805761604274</v>
      </c>
      <c r="F47" s="249">
        <v>27.126652361297392</v>
      </c>
      <c r="G47" s="220">
        <f t="shared" si="1"/>
        <v>28.03087410667397</v>
      </c>
      <c r="H47" s="249">
        <v>0</v>
      </c>
      <c r="I47" s="249">
        <v>28.03087410667397</v>
      </c>
      <c r="J47" s="249">
        <v>120.83690597305201</v>
      </c>
      <c r="K47" s="220">
        <f t="shared" si="2"/>
        <v>2.9154495727029901</v>
      </c>
      <c r="L47" s="220">
        <f t="shared" si="3"/>
        <v>2.2146288982570903</v>
      </c>
      <c r="M47" s="219">
        <f t="shared" si="4"/>
        <v>0.23082733277854997</v>
      </c>
      <c r="N47" s="219">
        <f t="shared" si="5"/>
        <v>0.17534067008575929</v>
      </c>
      <c r="O47" s="219">
        <f t="shared" si="6"/>
        <v>2.6846222399244399</v>
      </c>
      <c r="P47" s="219">
        <f t="shared" si="7"/>
        <v>2.0392882281713312</v>
      </c>
      <c r="Q47" s="219">
        <f t="shared" si="8"/>
        <v>1.6559352134113365</v>
      </c>
      <c r="R47" s="219">
        <f t="shared" si="9"/>
        <v>1.2578787201804471</v>
      </c>
      <c r="S47" s="220">
        <f t="shared" si="10"/>
        <v>1.7111330538583811</v>
      </c>
      <c r="T47" s="220">
        <f t="shared" si="11"/>
        <v>1.2998080108531287</v>
      </c>
      <c r="U47" s="219">
        <f t="shared" si="12"/>
        <v>0</v>
      </c>
      <c r="V47" s="219">
        <f t="shared" si="18"/>
        <v>0</v>
      </c>
      <c r="W47" s="219">
        <f t="shared" si="14"/>
        <v>1.7111330538583811</v>
      </c>
      <c r="X47" s="219">
        <f t="shared" si="15"/>
        <v>1.2998080108531287</v>
      </c>
      <c r="Y47" s="219">
        <f t="shared" si="16"/>
        <v>7.3764386779232263</v>
      </c>
      <c r="Z47" s="219">
        <f t="shared" si="17"/>
        <v>5.6032779353492641</v>
      </c>
      <c r="AA47" s="232">
        <v>2156539571430.7</v>
      </c>
      <c r="AB47" s="239">
        <v>2156.5395714307001</v>
      </c>
      <c r="AC47" s="237">
        <v>1638146960195.0569</v>
      </c>
      <c r="AD47" s="199">
        <v>1638.14696019506</v>
      </c>
    </row>
    <row r="48" spans="1:31">
      <c r="A48" s="217" t="s">
        <v>449</v>
      </c>
      <c r="B48" s="215" t="s">
        <v>557</v>
      </c>
      <c r="C48" s="218">
        <f t="shared" si="0"/>
        <v>39.77908736353271</v>
      </c>
      <c r="D48" s="249">
        <v>4.6991779028349079</v>
      </c>
      <c r="E48" s="249">
        <v>35.079909460697799</v>
      </c>
      <c r="F48" s="249">
        <v>0</v>
      </c>
      <c r="G48" s="220">
        <f t="shared" si="1"/>
        <v>114.77359536449615</v>
      </c>
      <c r="H48" s="249">
        <v>0.13551117673291363</v>
      </c>
      <c r="I48" s="249">
        <v>114.63808418776323</v>
      </c>
      <c r="J48" s="249">
        <v>10.928320704267227</v>
      </c>
      <c r="K48" s="220">
        <f t="shared" si="2"/>
        <v>3.0046477679365537</v>
      </c>
      <c r="L48" s="220">
        <f t="shared" si="3"/>
        <v>2.2142206581204125</v>
      </c>
      <c r="M48" s="219">
        <f t="shared" si="4"/>
        <v>0.3549446539045929</v>
      </c>
      <c r="N48" s="219">
        <f t="shared" si="5"/>
        <v>0.26157002279993885</v>
      </c>
      <c r="O48" s="219">
        <f t="shared" si="6"/>
        <v>2.6497031140319609</v>
      </c>
      <c r="P48" s="219">
        <f t="shared" si="7"/>
        <v>1.9526506353204736</v>
      </c>
      <c r="Q48" s="219">
        <f t="shared" si="8"/>
        <v>0</v>
      </c>
      <c r="R48" s="219">
        <f t="shared" si="9"/>
        <v>0</v>
      </c>
      <c r="S48" s="220">
        <f t="shared" si="10"/>
        <v>8.6692342631804564</v>
      </c>
      <c r="T48" s="220">
        <f t="shared" si="11"/>
        <v>6.3886349010559949</v>
      </c>
      <c r="U48" s="219">
        <f t="shared" si="12"/>
        <v>1.023561327538826E-2</v>
      </c>
      <c r="V48" s="219">
        <f t="shared" si="18"/>
        <v>7.5429494946959112E-3</v>
      </c>
      <c r="W48" s="219">
        <f t="shared" si="14"/>
        <v>8.6589986499050688</v>
      </c>
      <c r="X48" s="219">
        <f t="shared" si="15"/>
        <v>6.3810919515612987</v>
      </c>
      <c r="Y48" s="219">
        <f t="shared" si="16"/>
        <v>0.8254526834990531</v>
      </c>
      <c r="Z48" s="219">
        <f t="shared" si="17"/>
        <v>0.60830237860450886</v>
      </c>
      <c r="AA48" s="232">
        <v>1796527695541.4199</v>
      </c>
      <c r="AB48" s="239">
        <v>1796.5276955414199</v>
      </c>
      <c r="AC48" s="237">
        <v>1323918490148.05</v>
      </c>
      <c r="AD48" s="199">
        <v>1323.9184901480501</v>
      </c>
    </row>
    <row r="49" spans="1:30">
      <c r="A49" s="217" t="s">
        <v>463</v>
      </c>
      <c r="B49" s="215" t="s">
        <v>557</v>
      </c>
      <c r="C49" s="218">
        <f t="shared" si="0"/>
        <v>154.61878438359881</v>
      </c>
      <c r="D49" s="249">
        <v>8.1966584492510197</v>
      </c>
      <c r="E49" s="249">
        <v>146.42212593434778</v>
      </c>
      <c r="F49" s="249">
        <v>0</v>
      </c>
      <c r="G49" s="220">
        <f t="shared" si="1"/>
        <v>423.49401987796944</v>
      </c>
      <c r="H49" s="249">
        <v>1.2419179468562151</v>
      </c>
      <c r="I49" s="249">
        <v>422.2521019311132</v>
      </c>
      <c r="J49" s="249">
        <v>0</v>
      </c>
      <c r="K49" s="220">
        <f t="shared" si="2"/>
        <v>4.8970470639269088</v>
      </c>
      <c r="L49" s="220">
        <f t="shared" si="3"/>
        <v>5.2555879454261492</v>
      </c>
      <c r="M49" s="219">
        <f t="shared" si="4"/>
        <v>0.25960249495516136</v>
      </c>
      <c r="N49" s="219">
        <f t="shared" si="5"/>
        <v>0.27860948144427772</v>
      </c>
      <c r="O49" s="219">
        <f t="shared" si="6"/>
        <v>4.6374445689717474</v>
      </c>
      <c r="P49" s="219">
        <f t="shared" si="7"/>
        <v>4.9769784639818715</v>
      </c>
      <c r="Q49" s="219">
        <f t="shared" si="8"/>
        <v>0</v>
      </c>
      <c r="R49" s="219">
        <f t="shared" si="9"/>
        <v>0</v>
      </c>
      <c r="S49" s="220">
        <f t="shared" si="10"/>
        <v>13.41279557268334</v>
      </c>
      <c r="T49" s="220">
        <f t="shared" si="11"/>
        <v>14.394823207954351</v>
      </c>
      <c r="U49" s="219">
        <f t="shared" si="12"/>
        <v>3.9333711356842639E-2</v>
      </c>
      <c r="V49" s="219">
        <f t="shared" si="18"/>
        <v>4.221355779458754E-2</v>
      </c>
      <c r="W49" s="219">
        <f t="shared" si="14"/>
        <v>13.373461861326497</v>
      </c>
      <c r="X49" s="219">
        <f t="shared" si="15"/>
        <v>14.352609650159764</v>
      </c>
      <c r="Y49" s="219">
        <f t="shared" si="16"/>
        <v>0</v>
      </c>
      <c r="Z49" s="219">
        <f t="shared" si="17"/>
        <v>0</v>
      </c>
      <c r="AA49" s="232">
        <v>2941988336778.9702</v>
      </c>
      <c r="AB49" s="239">
        <v>2941.9883367789698</v>
      </c>
      <c r="AC49" s="237">
        <v>3157388164033.9238</v>
      </c>
      <c r="AD49" s="199">
        <v>3157.38816403392</v>
      </c>
    </row>
    <row r="50" spans="1:30">
      <c r="A50" s="217" t="s">
        <v>464</v>
      </c>
      <c r="B50" s="215" t="s">
        <v>557</v>
      </c>
      <c r="C50" s="218">
        <f t="shared" si="0"/>
        <v>2443</v>
      </c>
      <c r="D50" s="249">
        <v>304</v>
      </c>
      <c r="E50" s="249">
        <v>2139</v>
      </c>
      <c r="F50" s="249">
        <v>0</v>
      </c>
      <c r="G50" s="220">
        <f t="shared" si="1"/>
        <v>510</v>
      </c>
      <c r="H50" s="249">
        <v>56</v>
      </c>
      <c r="I50" s="249">
        <v>454</v>
      </c>
      <c r="J50" s="249">
        <v>0</v>
      </c>
      <c r="K50" s="220">
        <f t="shared" si="2"/>
        <v>12.258532994550349</v>
      </c>
      <c r="L50" s="220">
        <f t="shared" si="3"/>
        <v>12.230769199730565</v>
      </c>
      <c r="M50" s="219">
        <f t="shared" si="4"/>
        <v>1.5254171225310298</v>
      </c>
      <c r="N50" s="219">
        <f t="shared" si="5"/>
        <v>1.5219622745469061</v>
      </c>
      <c r="O50" s="219">
        <f t="shared" si="6"/>
        <v>10.733115872019319</v>
      </c>
      <c r="P50" s="219">
        <f t="shared" si="7"/>
        <v>10.708806925183659</v>
      </c>
      <c r="Q50" s="219">
        <f t="shared" si="8"/>
        <v>0</v>
      </c>
      <c r="R50" s="219">
        <f t="shared" si="9"/>
        <v>0</v>
      </c>
      <c r="S50" s="220">
        <f t="shared" si="10"/>
        <v>2.5590879358250826</v>
      </c>
      <c r="T50" s="220">
        <f t="shared" si="11"/>
        <v>2.5532919737464543</v>
      </c>
      <c r="U50" s="219">
        <f t="shared" si="12"/>
        <v>0.28099789099255812</v>
      </c>
      <c r="V50" s="219">
        <f t="shared" si="18"/>
        <v>0.28036147162706165</v>
      </c>
      <c r="W50" s="219">
        <f t="shared" si="14"/>
        <v>2.2780900448325245</v>
      </c>
      <c r="X50" s="219">
        <f t="shared" si="15"/>
        <v>2.2729305021193928</v>
      </c>
      <c r="Y50" s="219">
        <f t="shared" si="16"/>
        <v>0</v>
      </c>
      <c r="Z50" s="219">
        <f t="shared" si="17"/>
        <v>0</v>
      </c>
      <c r="AA50" s="232">
        <v>19974213887167.602</v>
      </c>
      <c r="AB50" s="239">
        <v>19974.2138871676</v>
      </c>
      <c r="AC50" s="237">
        <v>19928975197000</v>
      </c>
      <c r="AD50" s="199">
        <v>19928.975197</v>
      </c>
    </row>
    <row r="51" spans="1:30">
      <c r="A51" s="217" t="s">
        <v>466</v>
      </c>
      <c r="B51" s="215" t="s">
        <v>557</v>
      </c>
      <c r="C51" s="218">
        <f t="shared" si="0"/>
        <v>6.8583816139161318</v>
      </c>
      <c r="D51" s="249">
        <v>1.8624254212942652</v>
      </c>
      <c r="E51" s="249">
        <v>4.9959561926218665</v>
      </c>
      <c r="F51" s="249">
        <v>2.1604134887013475</v>
      </c>
      <c r="G51" s="220">
        <f t="shared" si="1"/>
        <v>1.7693041502295519</v>
      </c>
      <c r="H51" s="249">
        <v>1.7693041502295519</v>
      </c>
      <c r="I51" s="249">
        <v>0</v>
      </c>
      <c r="J51" s="249">
        <v>3.026441309603181</v>
      </c>
      <c r="K51" s="220">
        <f t="shared" si="2"/>
        <v>0.53616655599418062</v>
      </c>
      <c r="L51" s="220">
        <f t="shared" si="3"/>
        <v>0.28796553018328719</v>
      </c>
      <c r="M51" s="219">
        <f t="shared" si="4"/>
        <v>0.14559852165490308</v>
      </c>
      <c r="N51" s="219">
        <f t="shared" si="5"/>
        <v>7.8198378868509763E-2</v>
      </c>
      <c r="O51" s="219">
        <f t="shared" si="6"/>
        <v>0.39056803433927756</v>
      </c>
      <c r="P51" s="219">
        <f t="shared" si="7"/>
        <v>0.20976715131477744</v>
      </c>
      <c r="Q51" s="219">
        <f t="shared" si="8"/>
        <v>0.16889428511968757</v>
      </c>
      <c r="R51" s="219">
        <f t="shared" si="9"/>
        <v>9.0710119487471319E-2</v>
      </c>
      <c r="S51" s="220">
        <f t="shared" si="10"/>
        <v>0.13831859557215792</v>
      </c>
      <c r="T51" s="220">
        <f t="shared" si="11"/>
        <v>7.4288459925084274E-2</v>
      </c>
      <c r="U51" s="219">
        <f t="shared" si="12"/>
        <v>0.13831859557215792</v>
      </c>
      <c r="V51" s="219">
        <f t="shared" si="18"/>
        <v>7.4288459925084274E-2</v>
      </c>
      <c r="W51" s="219">
        <f t="shared" si="14"/>
        <v>0</v>
      </c>
      <c r="X51" s="219">
        <f t="shared" si="15"/>
        <v>0</v>
      </c>
      <c r="Y51" s="219">
        <f t="shared" si="16"/>
        <v>0.23659759768921751</v>
      </c>
      <c r="Z51" s="219">
        <f t="shared" si="17"/>
        <v>0.12707236566132835</v>
      </c>
      <c r="AA51" s="232">
        <v>2381667559152.25</v>
      </c>
      <c r="AB51" s="239">
        <v>2381.6675591522499</v>
      </c>
      <c r="AC51" s="237">
        <v>1279151326624.439</v>
      </c>
      <c r="AD51" s="199">
        <v>1279.1513266244399</v>
      </c>
    </row>
    <row r="52" spans="1:30">
      <c r="A52" s="217" t="s">
        <v>467</v>
      </c>
      <c r="B52" s="215" t="s">
        <v>557</v>
      </c>
      <c r="C52" s="218">
        <f t="shared" si="0"/>
        <v>1.6541353383458646</v>
      </c>
      <c r="D52" s="249">
        <v>0</v>
      </c>
      <c r="E52" s="249">
        <v>1.6541353383458646</v>
      </c>
      <c r="F52" s="249">
        <v>9.9097744360902258</v>
      </c>
      <c r="G52" s="220">
        <f t="shared" si="1"/>
        <v>47.819548872180448</v>
      </c>
      <c r="H52" s="249">
        <v>3.007518796992481</v>
      </c>
      <c r="I52" s="249">
        <v>44.81203007518797</v>
      </c>
      <c r="J52" s="249">
        <v>15.473684210526315</v>
      </c>
      <c r="K52" s="220">
        <f t="shared" si="2"/>
        <v>0.16590235659523436</v>
      </c>
      <c r="L52" s="220">
        <f t="shared" si="3"/>
        <v>7.0877842979989017E-2</v>
      </c>
      <c r="M52" s="219">
        <f t="shared" si="4"/>
        <v>0</v>
      </c>
      <c r="N52" s="219">
        <f t="shared" si="5"/>
        <v>0</v>
      </c>
      <c r="O52" s="219">
        <f t="shared" si="6"/>
        <v>0.16590235659523436</v>
      </c>
      <c r="P52" s="219">
        <f t="shared" si="7"/>
        <v>7.0877842979989017E-2</v>
      </c>
      <c r="Q52" s="219">
        <f t="shared" si="8"/>
        <v>0.99390593632963131</v>
      </c>
      <c r="R52" s="219">
        <f t="shared" si="9"/>
        <v>0.42462271385284334</v>
      </c>
      <c r="S52" s="220">
        <f t="shared" si="10"/>
        <v>4.796086308844048</v>
      </c>
      <c r="T52" s="220">
        <f t="shared" si="11"/>
        <v>2.0490140061487736</v>
      </c>
      <c r="U52" s="219">
        <f t="shared" si="12"/>
        <v>0.30164064835497151</v>
      </c>
      <c r="V52" s="219">
        <f t="shared" si="18"/>
        <v>0.12886880541816187</v>
      </c>
      <c r="W52" s="219">
        <f t="shared" si="14"/>
        <v>4.4944456604890766</v>
      </c>
      <c r="X52" s="219">
        <f t="shared" si="15"/>
        <v>1.9201452007306119</v>
      </c>
      <c r="Y52" s="219">
        <f t="shared" si="16"/>
        <v>1.5519411357863286</v>
      </c>
      <c r="Z52" s="219">
        <f t="shared" si="17"/>
        <v>0.66303000387644273</v>
      </c>
      <c r="AA52" s="232">
        <v>2333783406491.1899</v>
      </c>
      <c r="AB52" s="239">
        <v>2333.7834064911899</v>
      </c>
      <c r="AC52" s="237">
        <v>997053551434.22559</v>
      </c>
      <c r="AD52" s="199">
        <v>997.05355143423003</v>
      </c>
    </row>
    <row r="53" spans="1:30">
      <c r="A53" s="221" t="s">
        <v>530</v>
      </c>
      <c r="B53" s="215" t="s">
        <v>557</v>
      </c>
      <c r="C53" s="218">
        <f t="shared" si="0"/>
        <v>40.235288230000002</v>
      </c>
      <c r="D53" s="216">
        <v>0</v>
      </c>
      <c r="E53" s="216">
        <v>40.235288230000002</v>
      </c>
      <c r="F53" s="216">
        <v>0</v>
      </c>
      <c r="G53" s="220">
        <f t="shared" si="1"/>
        <v>8.4705999999999992</v>
      </c>
      <c r="H53" s="216">
        <v>0</v>
      </c>
      <c r="I53" s="216">
        <v>8.4705999999999992</v>
      </c>
      <c r="J53" s="216">
        <v>0</v>
      </c>
      <c r="K53" s="220">
        <f t="shared" si="2"/>
        <v>9.7198533460187413</v>
      </c>
      <c r="L53" s="220">
        <f t="shared" si="3"/>
        <v>8.5862911243892324</v>
      </c>
      <c r="M53" s="219">
        <f t="shared" si="4"/>
        <v>0</v>
      </c>
      <c r="N53" s="219">
        <f t="shared" si="5"/>
        <v>0</v>
      </c>
      <c r="O53" s="219">
        <f t="shared" si="6"/>
        <v>9.7198533460187413</v>
      </c>
      <c r="P53" s="219">
        <f t="shared" si="7"/>
        <v>8.5862911243892324</v>
      </c>
      <c r="Q53" s="219">
        <f t="shared" si="8"/>
        <v>0</v>
      </c>
      <c r="R53" s="219">
        <f t="shared" si="9"/>
        <v>0</v>
      </c>
      <c r="S53" s="220">
        <f t="shared" si="10"/>
        <v>2.0462880564478647</v>
      </c>
      <c r="T53" s="220">
        <f t="shared" si="11"/>
        <v>1.8076430118381042</v>
      </c>
      <c r="U53" s="219">
        <f t="shared" si="12"/>
        <v>0</v>
      </c>
      <c r="V53" s="219">
        <f t="shared" si="18"/>
        <v>0</v>
      </c>
      <c r="W53" s="219">
        <f t="shared" si="14"/>
        <v>2.0462880564478647</v>
      </c>
      <c r="X53" s="219">
        <f t="shared" si="15"/>
        <v>1.8076430118381042</v>
      </c>
      <c r="Y53" s="219">
        <f t="shared" si="16"/>
        <v>0</v>
      </c>
      <c r="Z53" s="219">
        <f t="shared" si="17"/>
        <v>0</v>
      </c>
      <c r="AA53" s="232">
        <v>468599161699.88599</v>
      </c>
      <c r="AB53" s="239">
        <v>468.59916169988998</v>
      </c>
      <c r="AC53" s="237">
        <v>413949540159.26532</v>
      </c>
      <c r="AD53" s="199">
        <v>413.94954015926999</v>
      </c>
    </row>
    <row r="54" spans="1:30">
      <c r="A54" s="217" t="s">
        <v>456</v>
      </c>
      <c r="B54" s="215" t="s">
        <v>557</v>
      </c>
      <c r="C54" s="218">
        <f t="shared" si="0"/>
        <v>15.736781814144809</v>
      </c>
      <c r="D54" s="249">
        <v>2.2949473478961178</v>
      </c>
      <c r="E54" s="249">
        <v>13.441834466248691</v>
      </c>
      <c r="F54" s="249">
        <v>12.021152774693951</v>
      </c>
      <c r="G54" s="220">
        <f t="shared" si="1"/>
        <v>56.827267662189584</v>
      </c>
      <c r="H54" s="249">
        <v>0</v>
      </c>
      <c r="I54" s="249">
        <v>56.827267662189584</v>
      </c>
      <c r="J54" s="249">
        <v>0</v>
      </c>
      <c r="K54" s="220">
        <f t="shared" si="2"/>
        <v>3.1781365002569171</v>
      </c>
      <c r="L54" s="220">
        <f t="shared" si="3"/>
        <v>2.8338122233934211</v>
      </c>
      <c r="M54" s="219">
        <f t="shared" si="4"/>
        <v>0.46347823962080037</v>
      </c>
      <c r="N54" s="219">
        <f t="shared" si="5"/>
        <v>0.41326428257820719</v>
      </c>
      <c r="O54" s="219">
        <f t="shared" si="6"/>
        <v>2.7146582606361167</v>
      </c>
      <c r="P54" s="219">
        <f t="shared" si="7"/>
        <v>2.4205479408152137</v>
      </c>
      <c r="Q54" s="219">
        <f t="shared" si="8"/>
        <v>2.427743159918478</v>
      </c>
      <c r="R54" s="219">
        <f t="shared" si="9"/>
        <v>2.164717670647752</v>
      </c>
      <c r="S54" s="220">
        <f t="shared" si="10"/>
        <v>11.476604028705532</v>
      </c>
      <c r="T54" s="220">
        <f t="shared" si="11"/>
        <v>10.233210806698464</v>
      </c>
      <c r="U54" s="219">
        <f t="shared" si="12"/>
        <v>0</v>
      </c>
      <c r="V54" s="219">
        <f t="shared" si="18"/>
        <v>0</v>
      </c>
      <c r="W54" s="219">
        <f t="shared" si="14"/>
        <v>11.476604028705532</v>
      </c>
      <c r="X54" s="219">
        <f t="shared" si="15"/>
        <v>10.233210806698464</v>
      </c>
      <c r="Y54" s="219">
        <f t="shared" si="16"/>
        <v>0</v>
      </c>
      <c r="Z54" s="219">
        <f t="shared" si="17"/>
        <v>0</v>
      </c>
      <c r="AA54" s="232">
        <v>555321968203.677</v>
      </c>
      <c r="AB54" s="239">
        <v>555.32196820367994</v>
      </c>
      <c r="AC54" s="237">
        <v>495157518025.82001</v>
      </c>
      <c r="AD54" s="199">
        <v>495.15751802582002</v>
      </c>
    </row>
    <row r="55" spans="1:30">
      <c r="A55" s="222" t="s">
        <v>454</v>
      </c>
      <c r="B55" s="255" t="s">
        <v>557</v>
      </c>
      <c r="C55" s="218">
        <f t="shared" si="0"/>
        <v>10.96052354852486</v>
      </c>
      <c r="D55" s="254">
        <v>1.9079429880765493</v>
      </c>
      <c r="E55" s="254">
        <v>9.0525805604483107</v>
      </c>
      <c r="F55" s="254">
        <v>0</v>
      </c>
      <c r="G55" s="220">
        <f t="shared" si="1"/>
        <v>20.329741455930552</v>
      </c>
      <c r="H55" s="254">
        <v>3.2475625328962539E-2</v>
      </c>
      <c r="I55" s="254">
        <v>20.297265830601589</v>
      </c>
      <c r="J55" s="254">
        <v>0</v>
      </c>
      <c r="K55" s="220">
        <f t="shared" si="2"/>
        <v>5.0827795779394958</v>
      </c>
      <c r="L55" s="220">
        <f t="shared" si="3"/>
        <v>2.6903864588313593</v>
      </c>
      <c r="M55" s="219">
        <f t="shared" si="4"/>
        <v>0.88478014875243061</v>
      </c>
      <c r="N55" s="219">
        <f t="shared" si="5"/>
        <v>0.46832653172249578</v>
      </c>
      <c r="O55" s="219">
        <f t="shared" si="6"/>
        <v>4.1979994291870648</v>
      </c>
      <c r="P55" s="219">
        <f t="shared" si="7"/>
        <v>2.2220599271088637</v>
      </c>
      <c r="Q55" s="219">
        <f t="shared" si="8"/>
        <v>0</v>
      </c>
      <c r="R55" s="219">
        <f t="shared" si="9"/>
        <v>0</v>
      </c>
      <c r="S55" s="220">
        <f t="shared" si="10"/>
        <v>9.4276148616003681</v>
      </c>
      <c r="T55" s="220">
        <f t="shared" si="11"/>
        <v>4.990168661417572</v>
      </c>
      <c r="U55" s="219">
        <f t="shared" si="12"/>
        <v>1.5060087638339242E-2</v>
      </c>
      <c r="V55" s="219">
        <f t="shared" si="18"/>
        <v>7.9715154335743971E-3</v>
      </c>
      <c r="W55" s="219">
        <f t="shared" si="14"/>
        <v>9.4125547739620288</v>
      </c>
      <c r="X55" s="219">
        <f t="shared" si="15"/>
        <v>4.9821971459839975</v>
      </c>
      <c r="Y55" s="219">
        <f t="shared" si="16"/>
        <v>0</v>
      </c>
      <c r="Z55" s="219">
        <f t="shared" si="17"/>
        <v>0</v>
      </c>
      <c r="AA55" s="232">
        <v>407395878482.30298</v>
      </c>
      <c r="AB55" s="239">
        <v>407.39587848230002</v>
      </c>
      <c r="AC55" s="237">
        <v>215640347578.63721</v>
      </c>
      <c r="AD55" s="199">
        <v>215.64034757863999</v>
      </c>
    </row>
    <row r="56" spans="1:30">
      <c r="A56" s="221" t="s">
        <v>446</v>
      </c>
      <c r="B56" s="215" t="s">
        <v>557</v>
      </c>
      <c r="C56" s="218">
        <f t="shared" si="0"/>
        <v>18.388350848575694</v>
      </c>
      <c r="D56" s="249">
        <v>0.11675143395921074</v>
      </c>
      <c r="E56" s="249">
        <v>18.271599414616482</v>
      </c>
      <c r="F56" s="249">
        <v>24.284298263515833</v>
      </c>
      <c r="G56" s="220">
        <f t="shared" si="1"/>
        <v>30.866160352966336</v>
      </c>
      <c r="H56" s="249">
        <v>5.822977768715635</v>
      </c>
      <c r="I56" s="249">
        <v>25.043182584250701</v>
      </c>
      <c r="J56" s="249">
        <v>0</v>
      </c>
      <c r="K56" s="220">
        <f t="shared" si="2"/>
        <v>5.5286260494480013</v>
      </c>
      <c r="L56" s="220">
        <f t="shared" si="3"/>
        <v>5.9114451912557602</v>
      </c>
      <c r="M56" s="219">
        <f t="shared" si="4"/>
        <v>3.5102387615542872E-2</v>
      </c>
      <c r="N56" s="219">
        <f t="shared" si="5"/>
        <v>3.7532985341306419E-2</v>
      </c>
      <c r="O56" s="219">
        <f t="shared" si="6"/>
        <v>5.4935236618324588</v>
      </c>
      <c r="P56" s="219">
        <f t="shared" si="7"/>
        <v>5.8739122059144542</v>
      </c>
      <c r="Q56" s="219">
        <f t="shared" si="8"/>
        <v>7.3012966240329176</v>
      </c>
      <c r="R56" s="219">
        <f t="shared" si="9"/>
        <v>7.8068609509917337</v>
      </c>
      <c r="S56" s="220">
        <f t="shared" si="10"/>
        <v>9.2801937258591458</v>
      </c>
      <c r="T56" s="220">
        <f t="shared" si="11"/>
        <v>9.9227829996078825</v>
      </c>
      <c r="U56" s="219">
        <f t="shared" si="12"/>
        <v>1.7507315823252003</v>
      </c>
      <c r="V56" s="219">
        <f t="shared" si="18"/>
        <v>1.8719576438976573</v>
      </c>
      <c r="W56" s="219">
        <f t="shared" si="14"/>
        <v>7.5294621435339453</v>
      </c>
      <c r="X56" s="219">
        <f t="shared" si="15"/>
        <v>8.0508253557102254</v>
      </c>
      <c r="Y56" s="219">
        <f t="shared" si="16"/>
        <v>0</v>
      </c>
      <c r="Z56" s="219">
        <f t="shared" si="17"/>
        <v>0</v>
      </c>
      <c r="AA56" s="232">
        <v>311063542901.078</v>
      </c>
      <c r="AB56" s="239">
        <v>311.06354290107998</v>
      </c>
      <c r="AC56" s="237">
        <v>332602543274.04938</v>
      </c>
      <c r="AD56" s="199">
        <v>332.60254327404999</v>
      </c>
    </row>
    <row r="57" spans="1:30">
      <c r="A57" s="221" t="s">
        <v>531</v>
      </c>
      <c r="B57" s="215" t="s">
        <v>557</v>
      </c>
      <c r="C57" s="218">
        <f t="shared" si="0"/>
        <v>1.2481951410000001</v>
      </c>
      <c r="D57" s="216">
        <v>0.33243433</v>
      </c>
      <c r="E57" s="216">
        <v>0.91576081099999995</v>
      </c>
      <c r="F57" s="216">
        <v>0</v>
      </c>
      <c r="G57" s="220">
        <f t="shared" si="1"/>
        <v>1.0191756699000001</v>
      </c>
      <c r="H57" s="219">
        <v>0.78287837800000004</v>
      </c>
      <c r="I57" s="219">
        <v>0.23629729190000001</v>
      </c>
      <c r="J57" s="216">
        <v>0</v>
      </c>
      <c r="K57" s="220">
        <f t="shared" si="2"/>
        <v>4.6408796097126643</v>
      </c>
      <c r="L57" s="220">
        <f t="shared" si="3"/>
        <v>2.7186939247924107</v>
      </c>
      <c r="M57" s="219">
        <f t="shared" si="4"/>
        <v>1.2360148289228849</v>
      </c>
      <c r="N57" s="219">
        <f t="shared" si="5"/>
        <v>0.72407523765824</v>
      </c>
      <c r="O57" s="219">
        <f t="shared" si="6"/>
        <v>3.4048647807897798</v>
      </c>
      <c r="P57" s="219">
        <f t="shared" si="7"/>
        <v>1.9946186871341705</v>
      </c>
      <c r="Q57" s="219">
        <f t="shared" si="8"/>
        <v>0</v>
      </c>
      <c r="R57" s="219">
        <f t="shared" si="9"/>
        <v>0</v>
      </c>
      <c r="S57" s="220">
        <f t="shared" si="10"/>
        <v>3.7893686890695535</v>
      </c>
      <c r="T57" s="220">
        <f t="shared" si="11"/>
        <v>2.2198665986101331</v>
      </c>
      <c r="U57" s="219">
        <f t="shared" si="12"/>
        <v>2.9107983054911801</v>
      </c>
      <c r="V57" s="219">
        <f t="shared" si="18"/>
        <v>1.7051874504292246</v>
      </c>
      <c r="W57" s="219">
        <f t="shared" si="14"/>
        <v>0.87857038357837325</v>
      </c>
      <c r="X57" s="219">
        <f t="shared" si="15"/>
        <v>0.51467914818090843</v>
      </c>
      <c r="Y57" s="219">
        <f t="shared" si="16"/>
        <v>0</v>
      </c>
      <c r="Z57" s="219">
        <f t="shared" si="17"/>
        <v>0</v>
      </c>
      <c r="AA57" s="232">
        <v>45911572818.753304</v>
      </c>
      <c r="AB57" s="239">
        <v>45.911572818750003</v>
      </c>
      <c r="AC57" s="237">
        <v>26895658710.637878</v>
      </c>
      <c r="AD57" s="199">
        <v>26.895658710639999</v>
      </c>
    </row>
    <row r="58" spans="1:30">
      <c r="A58" s="221" t="s">
        <v>447</v>
      </c>
      <c r="B58" s="215" t="s">
        <v>557</v>
      </c>
      <c r="C58" s="218">
        <f t="shared" si="0"/>
        <v>7.6050183780995635</v>
      </c>
      <c r="D58" s="249">
        <v>1.5966276548934419</v>
      </c>
      <c r="E58" s="246">
        <v>6.008390723206122</v>
      </c>
      <c r="F58" s="246">
        <v>5.7373683697402944</v>
      </c>
      <c r="G58" s="220">
        <f t="shared" si="1"/>
        <v>16.851470525980066</v>
      </c>
      <c r="H58" s="249">
        <v>2.6446536104326701</v>
      </c>
      <c r="I58" s="249">
        <v>14.206816915547396</v>
      </c>
      <c r="J58" s="249">
        <v>1.0928320704267227</v>
      </c>
      <c r="K58" s="220">
        <f t="shared" si="2"/>
        <v>2.9853553413859615</v>
      </c>
      <c r="L58" s="220">
        <f t="shared" si="3"/>
        <v>2.9950176971787097</v>
      </c>
      <c r="M58" s="219">
        <f t="shared" si="4"/>
        <v>0.62675731481030161</v>
      </c>
      <c r="N58" s="219">
        <f t="shared" si="5"/>
        <v>0.6287858680238676</v>
      </c>
      <c r="O58" s="219">
        <f t="shared" si="6"/>
        <v>2.3585980265756596</v>
      </c>
      <c r="P58" s="219">
        <f t="shared" si="7"/>
        <v>2.3662318291548421</v>
      </c>
      <c r="Q58" s="219">
        <f t="shared" si="8"/>
        <v>2.2522080100986197</v>
      </c>
      <c r="R58" s="219">
        <f t="shared" si="9"/>
        <v>2.2594974723650272</v>
      </c>
      <c r="S58" s="220">
        <f t="shared" si="10"/>
        <v>6.6150566696610902</v>
      </c>
      <c r="T58" s="220">
        <f t="shared" si="11"/>
        <v>6.6364668616892803</v>
      </c>
      <c r="U58" s="219">
        <f t="shared" si="12"/>
        <v>1.0381606446549834</v>
      </c>
      <c r="V58" s="219">
        <f t="shared" si="18"/>
        <v>1.0415207396425463</v>
      </c>
      <c r="W58" s="219">
        <f t="shared" si="14"/>
        <v>5.576896025006107</v>
      </c>
      <c r="X58" s="219">
        <f t="shared" si="15"/>
        <v>5.5949461220467338</v>
      </c>
      <c r="Y58" s="219">
        <f t="shared" si="16"/>
        <v>0.42899200192354664</v>
      </c>
      <c r="Z58" s="219">
        <f t="shared" si="17"/>
        <v>0.43038047092667181</v>
      </c>
      <c r="AA58" s="232">
        <v>253922318564.70901</v>
      </c>
      <c r="AB58" s="239">
        <v>253.92231856471</v>
      </c>
      <c r="AC58" s="237">
        <v>254744159687.49991</v>
      </c>
      <c r="AD58" s="199">
        <v>254.7441596875</v>
      </c>
    </row>
    <row r="59" spans="1:30">
      <c r="A59" s="221" t="s">
        <v>532</v>
      </c>
      <c r="B59" s="215" t="s">
        <v>557</v>
      </c>
      <c r="C59" s="218">
        <f t="shared" si="0"/>
        <v>10.391906905171339</v>
      </c>
      <c r="D59" s="265">
        <v>0.70761690517133902</v>
      </c>
      <c r="E59" s="243">
        <v>9.6842900000000007</v>
      </c>
      <c r="F59" s="244">
        <v>0</v>
      </c>
      <c r="G59" s="220">
        <f t="shared" si="1"/>
        <v>8.9610143999999998</v>
      </c>
      <c r="H59" s="243">
        <v>6.4199944000000002</v>
      </c>
      <c r="I59" s="243">
        <f>1.1082+1.43282</f>
        <v>2.5410200000000001</v>
      </c>
      <c r="J59" s="244">
        <v>0</v>
      </c>
      <c r="K59" s="220">
        <f t="shared" si="2"/>
        <v>5.0964951410771313</v>
      </c>
      <c r="L59" s="220">
        <f t="shared" si="3"/>
        <v>3.4462238189310277</v>
      </c>
      <c r="M59" s="219">
        <f t="shared" si="4"/>
        <v>0.34703603023571405</v>
      </c>
      <c r="N59" s="219">
        <f t="shared" si="5"/>
        <v>0.2346639799155821</v>
      </c>
      <c r="O59" s="219">
        <f t="shared" si="6"/>
        <v>4.7494591108414177</v>
      </c>
      <c r="P59" s="219">
        <f t="shared" si="7"/>
        <v>3.2115598390154454</v>
      </c>
      <c r="Q59" s="219">
        <f t="shared" si="8"/>
        <v>0</v>
      </c>
      <c r="R59" s="219">
        <f t="shared" si="9"/>
        <v>0</v>
      </c>
      <c r="S59" s="220">
        <f t="shared" si="10"/>
        <v>4.394743598597433</v>
      </c>
      <c r="T59" s="220">
        <f t="shared" si="11"/>
        <v>2.9717030328376248</v>
      </c>
      <c r="U59" s="219">
        <f t="shared" si="12"/>
        <v>3.148553058059071</v>
      </c>
      <c r="V59" s="219">
        <f t="shared" si="18"/>
        <v>2.1290353946178868</v>
      </c>
      <c r="W59" s="219">
        <f t="shared" si="14"/>
        <v>1.2461905405383624</v>
      </c>
      <c r="X59" s="219">
        <f t="shared" si="15"/>
        <v>0.84266763821973789</v>
      </c>
      <c r="Y59" s="219">
        <f t="shared" si="16"/>
        <v>0</v>
      </c>
      <c r="Z59" s="219">
        <f t="shared" si="17"/>
        <v>0</v>
      </c>
      <c r="AA59" s="232">
        <v>301544747270.495</v>
      </c>
      <c r="AB59" s="239">
        <v>301.54474727050001</v>
      </c>
      <c r="AC59" s="237">
        <v>203903008195.06079</v>
      </c>
      <c r="AD59" s="199">
        <v>203.90300819506001</v>
      </c>
    </row>
    <row r="60" spans="1:30">
      <c r="A60" s="221" t="s">
        <v>533</v>
      </c>
      <c r="B60" s="215" t="s">
        <v>557</v>
      </c>
      <c r="C60" s="218">
        <f t="shared" si="0"/>
        <v>0.88253820443329634</v>
      </c>
      <c r="D60" s="267">
        <v>2.1328006607137996E-2</v>
      </c>
      <c r="E60" s="267">
        <v>0.86121019782615837</v>
      </c>
      <c r="F60" s="244">
        <v>0</v>
      </c>
      <c r="G60" s="220">
        <f t="shared" si="1"/>
        <v>0.91931062961801713</v>
      </c>
      <c r="H60" s="244">
        <v>0</v>
      </c>
      <c r="I60" s="267">
        <v>0.91931062961801713</v>
      </c>
      <c r="J60" s="244">
        <v>0</v>
      </c>
      <c r="K60" s="220">
        <f t="shared" si="2"/>
        <v>4.2572996227017779</v>
      </c>
      <c r="L60" s="220">
        <f t="shared" si="3"/>
        <v>4.6280958337256317</v>
      </c>
      <c r="M60" s="219">
        <f t="shared" si="4"/>
        <v>0.10288474088195963</v>
      </c>
      <c r="N60" s="219">
        <f t="shared" si="5"/>
        <v>0.11184564931503611</v>
      </c>
      <c r="O60" s="219">
        <f t="shared" si="6"/>
        <v>4.1544148818198181</v>
      </c>
      <c r="P60" s="219">
        <f t="shared" si="7"/>
        <v>4.5162501844105956</v>
      </c>
      <c r="Q60" s="219">
        <f t="shared" si="8"/>
        <v>0</v>
      </c>
      <c r="R60" s="219">
        <f t="shared" si="9"/>
        <v>0</v>
      </c>
      <c r="S60" s="220">
        <f t="shared" si="10"/>
        <v>4.434687106981019</v>
      </c>
      <c r="T60" s="220">
        <f t="shared" si="11"/>
        <v>4.8209331601308669</v>
      </c>
      <c r="U60" s="219">
        <f t="shared" si="12"/>
        <v>0</v>
      </c>
      <c r="V60" s="219">
        <f t="shared" si="18"/>
        <v>0</v>
      </c>
      <c r="W60" s="219">
        <f t="shared" si="14"/>
        <v>4.434687106981019</v>
      </c>
      <c r="X60" s="219">
        <f t="shared" si="15"/>
        <v>4.8209331601308669</v>
      </c>
      <c r="Y60" s="219">
        <f t="shared" si="16"/>
        <v>0</v>
      </c>
      <c r="Z60" s="219">
        <f t="shared" si="17"/>
        <v>0</v>
      </c>
      <c r="AA60" s="235">
        <v>19069142821.155399</v>
      </c>
      <c r="AB60" s="239">
        <v>19.06914282116</v>
      </c>
      <c r="AC60" s="237">
        <v>20729999827.29071</v>
      </c>
      <c r="AD60" s="199">
        <v>20.729999827290001</v>
      </c>
    </row>
    <row r="61" spans="1:30">
      <c r="A61" s="221" t="s">
        <v>534</v>
      </c>
      <c r="B61" s="215" t="s">
        <v>557</v>
      </c>
      <c r="C61" s="218">
        <f t="shared" si="0"/>
        <v>23.434808652685703</v>
      </c>
      <c r="D61" s="267">
        <v>2.2863227953839709</v>
      </c>
      <c r="E61" s="267">
        <v>21.148485857301733</v>
      </c>
      <c r="F61" s="267">
        <v>2.8579034942299635</v>
      </c>
      <c r="G61" s="220">
        <f t="shared" si="1"/>
        <v>6.8589683861519131</v>
      </c>
      <c r="H61" s="267">
        <v>4.5726455907679417</v>
      </c>
      <c r="I61" s="267">
        <v>2.2863227953839709</v>
      </c>
      <c r="J61" s="244">
        <v>0</v>
      </c>
      <c r="K61" s="220">
        <f t="shared" si="2"/>
        <v>6.308725700048833</v>
      </c>
      <c r="L61" s="220">
        <f t="shared" si="3"/>
        <v>5.6078791341391749</v>
      </c>
      <c r="M61" s="219">
        <f t="shared" si="4"/>
        <v>0.61548543415110557</v>
      </c>
      <c r="N61" s="219">
        <f t="shared" si="5"/>
        <v>0.54711015942821217</v>
      </c>
      <c r="O61" s="219">
        <f t="shared" si="6"/>
        <v>5.6932402658977272</v>
      </c>
      <c r="P61" s="219">
        <f t="shared" si="7"/>
        <v>5.060768974710963</v>
      </c>
      <c r="Q61" s="219">
        <f t="shared" si="8"/>
        <v>0.76935679268888202</v>
      </c>
      <c r="R61" s="219">
        <f t="shared" si="9"/>
        <v>0.68388769928526516</v>
      </c>
      <c r="S61" s="220">
        <f t="shared" si="10"/>
        <v>1.8464563024533167</v>
      </c>
      <c r="T61" s="220">
        <f t="shared" si="11"/>
        <v>1.6413304782846365</v>
      </c>
      <c r="U61" s="219">
        <f t="shared" si="12"/>
        <v>1.2309708683022111</v>
      </c>
      <c r="V61" s="219">
        <f t="shared" si="18"/>
        <v>1.0942203188564243</v>
      </c>
      <c r="W61" s="219">
        <f t="shared" si="14"/>
        <v>0.61548543415110557</v>
      </c>
      <c r="X61" s="219">
        <f t="shared" si="15"/>
        <v>0.54711015942821217</v>
      </c>
      <c r="Y61" s="219">
        <f t="shared" si="16"/>
        <v>0</v>
      </c>
      <c r="Z61" s="219">
        <f t="shared" si="17"/>
        <v>0</v>
      </c>
      <c r="AA61" s="235">
        <v>417890758558.284</v>
      </c>
      <c r="AB61" s="239">
        <v>417.89075855828003</v>
      </c>
      <c r="AC61" s="237">
        <v>371466596693.27911</v>
      </c>
      <c r="AD61" s="199">
        <v>371.46659669328</v>
      </c>
    </row>
    <row r="62" spans="1:30">
      <c r="A62" s="221" t="s">
        <v>535</v>
      </c>
      <c r="B62" s="215" t="s">
        <v>557</v>
      </c>
      <c r="C62" s="218">
        <f t="shared" si="0"/>
        <v>25.918306382883841</v>
      </c>
      <c r="D62" s="267">
        <v>4.0163261841927023</v>
      </c>
      <c r="E62" s="267">
        <v>21.901980198691138</v>
      </c>
      <c r="F62" s="267">
        <v>2.0803991745458603</v>
      </c>
      <c r="G62" s="220">
        <f t="shared" si="1"/>
        <v>11.153251130204193</v>
      </c>
      <c r="H62" s="267">
        <v>0.9535162883335192</v>
      </c>
      <c r="I62" s="267">
        <v>10.199734841870674</v>
      </c>
      <c r="J62" s="244">
        <v>0</v>
      </c>
      <c r="K62" s="220">
        <f t="shared" si="2"/>
        <v>7.2304547534162724</v>
      </c>
      <c r="L62" s="220">
        <f t="shared" si="3"/>
        <v>7.5696715765084619</v>
      </c>
      <c r="M62" s="219">
        <f t="shared" si="4"/>
        <v>1.1204383620121092</v>
      </c>
      <c r="N62" s="219">
        <f t="shared" si="5"/>
        <v>1.1730037337064394</v>
      </c>
      <c r="O62" s="219">
        <f t="shared" si="6"/>
        <v>6.1100163914041632</v>
      </c>
      <c r="P62" s="219">
        <f t="shared" si="7"/>
        <v>6.3966678428020227</v>
      </c>
      <c r="Q62" s="219">
        <f t="shared" si="8"/>
        <v>0.5803709501069918</v>
      </c>
      <c r="R62" s="219">
        <f t="shared" si="9"/>
        <v>0.60759905630837163</v>
      </c>
      <c r="S62" s="220">
        <f t="shared" si="10"/>
        <v>3.1114331491847054</v>
      </c>
      <c r="T62" s="220">
        <f t="shared" si="11"/>
        <v>3.257406051875436</v>
      </c>
      <c r="U62" s="219">
        <f t="shared" si="12"/>
        <v>0.2660033521323712</v>
      </c>
      <c r="V62" s="219">
        <f t="shared" si="18"/>
        <v>0.27848290080800364</v>
      </c>
      <c r="W62" s="219">
        <f t="shared" si="14"/>
        <v>2.8454297970523341</v>
      </c>
      <c r="X62" s="219">
        <f t="shared" si="15"/>
        <v>2.9789231510674323</v>
      </c>
      <c r="Y62" s="219">
        <f t="shared" si="16"/>
        <v>0</v>
      </c>
      <c r="Z62" s="219">
        <f t="shared" si="17"/>
        <v>0</v>
      </c>
      <c r="AA62" s="235">
        <v>342396709301.34399</v>
      </c>
      <c r="AB62" s="239">
        <v>342.39670930134002</v>
      </c>
      <c r="AC62" s="237">
        <v>358460252733.58807</v>
      </c>
      <c r="AD62" s="199">
        <v>358.46025273358998</v>
      </c>
    </row>
    <row r="63" spans="1:30">
      <c r="A63" s="222" t="s">
        <v>536</v>
      </c>
      <c r="B63" s="215" t="s">
        <v>557</v>
      </c>
      <c r="C63" s="218">
        <f t="shared" si="0"/>
        <v>2.6412118346100706</v>
      </c>
      <c r="D63" s="267">
        <v>0.2311060355223796</v>
      </c>
      <c r="E63" s="267">
        <v>2.4101057990876908</v>
      </c>
      <c r="F63" s="244">
        <v>0</v>
      </c>
      <c r="G63" s="220">
        <f t="shared" si="1"/>
        <v>1.0485610983298868</v>
      </c>
      <c r="H63" s="267">
        <v>0.2311060355223796</v>
      </c>
      <c r="I63" s="267">
        <v>0.81745506280750724</v>
      </c>
      <c r="J63" s="244">
        <v>0</v>
      </c>
      <c r="K63" s="220">
        <f t="shared" si="2"/>
        <v>8.7573111594010662</v>
      </c>
      <c r="L63" s="220">
        <f t="shared" si="3"/>
        <v>4.7655871856594887</v>
      </c>
      <c r="M63" s="219">
        <f t="shared" si="4"/>
        <v>0.76626472642769428</v>
      </c>
      <c r="N63" s="219">
        <f t="shared" si="5"/>
        <v>0.41698887873437651</v>
      </c>
      <c r="O63" s="219">
        <f t="shared" si="6"/>
        <v>7.9910464329733726</v>
      </c>
      <c r="P63" s="219">
        <f t="shared" si="7"/>
        <v>4.348598306925112</v>
      </c>
      <c r="Q63" s="219">
        <f t="shared" si="8"/>
        <v>0</v>
      </c>
      <c r="R63" s="219">
        <f t="shared" si="9"/>
        <v>0</v>
      </c>
      <c r="S63" s="220">
        <f t="shared" si="10"/>
        <v>3.4766525302480353</v>
      </c>
      <c r="T63" s="220">
        <f t="shared" si="11"/>
        <v>1.8919381126882124</v>
      </c>
      <c r="U63" s="219">
        <f t="shared" si="12"/>
        <v>0.76626472642769428</v>
      </c>
      <c r="V63" s="219">
        <f t="shared" si="18"/>
        <v>0.41698887873437651</v>
      </c>
      <c r="W63" s="219">
        <f t="shared" si="14"/>
        <v>2.7103878038203408</v>
      </c>
      <c r="X63" s="219">
        <f t="shared" si="15"/>
        <v>1.4749492339538359</v>
      </c>
      <c r="Y63" s="219">
        <f t="shared" si="16"/>
        <v>0</v>
      </c>
      <c r="Z63" s="219">
        <f t="shared" si="17"/>
        <v>0</v>
      </c>
      <c r="AA63" s="236">
        <v>55422589740</v>
      </c>
      <c r="AB63" s="240">
        <v>55.422589739999999</v>
      </c>
      <c r="AC63" s="237">
        <v>30160077523.05077</v>
      </c>
      <c r="AD63" s="199">
        <v>30.160077523049999</v>
      </c>
    </row>
    <row r="64" spans="1:30">
      <c r="A64" s="221" t="s">
        <v>537</v>
      </c>
      <c r="B64" s="215" t="s">
        <v>557</v>
      </c>
      <c r="C64" s="218">
        <f t="shared" si="0"/>
        <v>2.5949763727608071</v>
      </c>
      <c r="D64" s="267">
        <v>0.57158069884599272</v>
      </c>
      <c r="E64" s="267">
        <v>2.0233956739148145</v>
      </c>
      <c r="F64" s="267">
        <v>2.503523460945448</v>
      </c>
      <c r="G64" s="220">
        <f t="shared" si="1"/>
        <v>1.9662376040302147</v>
      </c>
      <c r="H64" s="267">
        <v>0.36581164726143534</v>
      </c>
      <c r="I64" s="267">
        <v>1.6004259567687795</v>
      </c>
      <c r="J64" s="244">
        <v>0</v>
      </c>
      <c r="K64" s="220">
        <f t="shared" si="2"/>
        <v>5.3818960772623692</v>
      </c>
      <c r="L64" s="220">
        <f t="shared" si="3"/>
        <v>2.6714857655953939</v>
      </c>
      <c r="M64" s="219">
        <f t="shared" si="4"/>
        <v>1.1854396645952354</v>
      </c>
      <c r="N64" s="219">
        <f t="shared" si="5"/>
        <v>0.5884329880166066</v>
      </c>
      <c r="O64" s="219">
        <f t="shared" si="6"/>
        <v>4.1964564126671338</v>
      </c>
      <c r="P64" s="219">
        <f t="shared" si="7"/>
        <v>2.0830527775787875</v>
      </c>
      <c r="Q64" s="219">
        <f t="shared" si="8"/>
        <v>5.19222573092713</v>
      </c>
      <c r="R64" s="219">
        <f t="shared" si="9"/>
        <v>2.5773364875127363</v>
      </c>
      <c r="S64" s="220">
        <f t="shared" si="10"/>
        <v>4.0779124462076091</v>
      </c>
      <c r="T64" s="220">
        <f t="shared" si="11"/>
        <v>2.0242094787771263</v>
      </c>
      <c r="U64" s="219">
        <f t="shared" si="12"/>
        <v>0.75868138534095053</v>
      </c>
      <c r="V64" s="219">
        <f t="shared" si="18"/>
        <v>0.3765971123306282</v>
      </c>
      <c r="W64" s="219">
        <f t="shared" si="14"/>
        <v>3.3192310608666586</v>
      </c>
      <c r="X64" s="219">
        <f t="shared" si="15"/>
        <v>1.6476123664464981</v>
      </c>
      <c r="Y64" s="219">
        <f t="shared" si="16"/>
        <v>0</v>
      </c>
      <c r="Z64" s="219">
        <f t="shared" si="17"/>
        <v>0</v>
      </c>
      <c r="AA64" s="235">
        <v>97136073348.399506</v>
      </c>
      <c r="AB64" s="239">
        <v>97.136073348400004</v>
      </c>
      <c r="AC64" s="237">
        <v>48216768505.137871</v>
      </c>
      <c r="AD64" s="199">
        <v>48.216768505140003</v>
      </c>
    </row>
    <row r="65" spans="1:30">
      <c r="A65" s="221" t="s">
        <v>538</v>
      </c>
      <c r="B65" s="215" t="s">
        <v>557</v>
      </c>
      <c r="C65" s="218">
        <f t="shared" si="0"/>
        <v>3.5438003328451551</v>
      </c>
      <c r="D65" s="267">
        <v>0.2286322795383971</v>
      </c>
      <c r="E65" s="267">
        <v>3.315168053306758</v>
      </c>
      <c r="F65" s="267">
        <v>5.2145883075488326</v>
      </c>
      <c r="G65" s="220">
        <f t="shared" si="1"/>
        <v>2.8579034942299635</v>
      </c>
      <c r="H65" s="267">
        <v>0</v>
      </c>
      <c r="I65" s="267">
        <v>2.8579034942299635</v>
      </c>
      <c r="J65" s="267">
        <v>1.2574775374611842</v>
      </c>
      <c r="K65" s="220">
        <f t="shared" si="2"/>
        <v>5.3244195640159759</v>
      </c>
      <c r="L65" s="220">
        <f t="shared" si="3"/>
        <v>5.3415951260588308</v>
      </c>
      <c r="M65" s="219">
        <f t="shared" si="4"/>
        <v>0.34351093961393397</v>
      </c>
      <c r="N65" s="219">
        <f t="shared" si="5"/>
        <v>0.34461904039089231</v>
      </c>
      <c r="O65" s="219">
        <f t="shared" si="6"/>
        <v>4.9809086244020424</v>
      </c>
      <c r="P65" s="219">
        <f t="shared" si="7"/>
        <v>4.9969760856679386</v>
      </c>
      <c r="Q65" s="219">
        <f t="shared" si="8"/>
        <v>7.8347122849077095</v>
      </c>
      <c r="R65" s="219">
        <f t="shared" si="9"/>
        <v>7.8599855725063756</v>
      </c>
      <c r="S65" s="220">
        <f t="shared" si="10"/>
        <v>4.2938867451741736</v>
      </c>
      <c r="T65" s="220">
        <f t="shared" si="11"/>
        <v>4.3077380048861542</v>
      </c>
      <c r="U65" s="219">
        <f t="shared" si="12"/>
        <v>0</v>
      </c>
      <c r="V65" s="219">
        <f t="shared" si="18"/>
        <v>0</v>
      </c>
      <c r="W65" s="219">
        <f t="shared" si="14"/>
        <v>4.2938867451741736</v>
      </c>
      <c r="X65" s="219">
        <f t="shared" si="15"/>
        <v>4.3077380048861542</v>
      </c>
      <c r="Y65" s="219">
        <f t="shared" si="16"/>
        <v>1.8893101678766371</v>
      </c>
      <c r="Z65" s="219">
        <f t="shared" si="17"/>
        <v>1.8954047221499077</v>
      </c>
      <c r="AA65" s="232">
        <v>66343484468.839996</v>
      </c>
      <c r="AB65" s="239">
        <v>66.343484468840003</v>
      </c>
      <c r="AC65" s="237">
        <v>66557495896.737839</v>
      </c>
      <c r="AD65" s="199">
        <v>66.557495896739994</v>
      </c>
    </row>
    <row r="66" spans="1:30">
      <c r="A66" s="221" t="s">
        <v>452</v>
      </c>
      <c r="B66" s="215" t="s">
        <v>557</v>
      </c>
      <c r="C66" s="218">
        <f t="shared" si="0"/>
        <v>33.987077390271075</v>
      </c>
      <c r="D66" s="249">
        <v>0.76498244929870585</v>
      </c>
      <c r="E66" s="249">
        <v>33.222094940972369</v>
      </c>
      <c r="F66" s="249">
        <v>34.970626253655126</v>
      </c>
      <c r="G66" s="220">
        <f t="shared" si="1"/>
        <v>33.440661355057721</v>
      </c>
      <c r="H66" s="249">
        <v>0</v>
      </c>
      <c r="I66" s="249">
        <v>33.440661355057721</v>
      </c>
      <c r="J66" s="249">
        <v>0</v>
      </c>
      <c r="K66" s="220">
        <f t="shared" si="2"/>
        <v>4.0448747462395209</v>
      </c>
      <c r="L66" s="220">
        <f t="shared" si="3"/>
        <v>3.6449596280600378</v>
      </c>
      <c r="M66" s="219">
        <f t="shared" si="4"/>
        <v>9.1042196860696603E-2</v>
      </c>
      <c r="N66" s="219">
        <f t="shared" si="5"/>
        <v>8.2040891949904396E-2</v>
      </c>
      <c r="O66" s="219">
        <f t="shared" si="6"/>
        <v>3.953832549378824</v>
      </c>
      <c r="P66" s="219">
        <f t="shared" si="7"/>
        <v>3.5629187361101335</v>
      </c>
      <c r="Q66" s="219">
        <f t="shared" si="8"/>
        <v>4.1619289993461308</v>
      </c>
      <c r="R66" s="219">
        <f t="shared" si="9"/>
        <v>3.7504407748527728</v>
      </c>
      <c r="S66" s="220">
        <f t="shared" si="10"/>
        <v>3.9798446056247383</v>
      </c>
      <c r="T66" s="220">
        <f t="shared" si="11"/>
        <v>3.5863589909529647</v>
      </c>
      <c r="U66" s="219">
        <f t="shared" si="12"/>
        <v>0</v>
      </c>
      <c r="V66" s="219">
        <f t="shared" si="18"/>
        <v>0</v>
      </c>
      <c r="W66" s="219">
        <f t="shared" si="14"/>
        <v>3.9798446056247383</v>
      </c>
      <c r="X66" s="219">
        <f t="shared" si="15"/>
        <v>3.5863589909529647</v>
      </c>
      <c r="Y66" s="219">
        <f t="shared" si="16"/>
        <v>0</v>
      </c>
      <c r="Z66" s="219">
        <f t="shared" si="17"/>
        <v>0</v>
      </c>
      <c r="AA66" s="232">
        <v>932440434418.74902</v>
      </c>
      <c r="AB66" s="239">
        <v>932.44043441874999</v>
      </c>
      <c r="AC66" s="237">
        <v>840250428566.88171</v>
      </c>
      <c r="AD66" s="199">
        <v>840.25042856688003</v>
      </c>
    </row>
    <row r="67" spans="1:30">
      <c r="A67" s="222" t="s">
        <v>465</v>
      </c>
      <c r="B67" s="255" t="s">
        <v>557</v>
      </c>
      <c r="C67" s="218">
        <f t="shared" si="0"/>
        <v>39.21106199759214</v>
      </c>
      <c r="D67" s="254">
        <v>0.31570903379703813</v>
      </c>
      <c r="E67" s="254">
        <v>38.895352963795098</v>
      </c>
      <c r="F67" s="254">
        <v>0</v>
      </c>
      <c r="G67" s="220">
        <f t="shared" si="1"/>
        <v>7.7980131347868449</v>
      </c>
      <c r="H67" s="254">
        <v>3.851650212323865</v>
      </c>
      <c r="I67" s="254">
        <v>3.9463629224629799</v>
      </c>
      <c r="J67" s="254">
        <v>0</v>
      </c>
      <c r="K67" s="220">
        <f t="shared" si="2"/>
        <v>19.32159175461776</v>
      </c>
      <c r="L67" s="220">
        <f t="shared" si="3"/>
        <v>20.214617117705718</v>
      </c>
      <c r="M67" s="219">
        <f t="shared" si="4"/>
        <v>0.15556837161527984</v>
      </c>
      <c r="N67" s="219">
        <f t="shared" si="5"/>
        <v>0.16275859192999773</v>
      </c>
      <c r="O67" s="219">
        <f t="shared" si="6"/>
        <v>19.166023383002479</v>
      </c>
      <c r="P67" s="219">
        <f t="shared" si="7"/>
        <v>20.051858525775721</v>
      </c>
      <c r="Q67" s="261">
        <f>($F67/$AD67)*100</f>
        <v>0</v>
      </c>
      <c r="R67" s="219">
        <f t="shared" si="9"/>
        <v>0</v>
      </c>
      <c r="S67" s="220">
        <f t="shared" si="10"/>
        <v>3.8425387788974139</v>
      </c>
      <c r="T67" s="220">
        <f t="shared" si="11"/>
        <v>4.0201372206709456</v>
      </c>
      <c r="U67" s="219">
        <f t="shared" si="12"/>
        <v>1.8979341337064142</v>
      </c>
      <c r="V67" s="219">
        <f t="shared" si="18"/>
        <v>1.9856548215459722</v>
      </c>
      <c r="W67" s="219">
        <f t="shared" si="14"/>
        <v>1.9446046451909997</v>
      </c>
      <c r="X67" s="219">
        <f t="shared" si="15"/>
        <v>2.0344823991249732</v>
      </c>
      <c r="Y67" s="219">
        <f t="shared" si="16"/>
        <v>0</v>
      </c>
      <c r="Z67" s="219">
        <f t="shared" si="17"/>
        <v>0</v>
      </c>
      <c r="AA67" s="232">
        <v>193973805040.548</v>
      </c>
      <c r="AB67" s="239">
        <v>193.97380504054999</v>
      </c>
      <c r="AC67" s="237">
        <v>202939087501.52551</v>
      </c>
      <c r="AD67" s="199">
        <v>202.93908750153</v>
      </c>
    </row>
    <row r="68" spans="1:30">
      <c r="A68" s="221" t="s">
        <v>451</v>
      </c>
      <c r="B68" s="215" t="s">
        <v>557</v>
      </c>
      <c r="C68" s="218">
        <f t="shared" ref="C68:C132" si="19">D68+E68</f>
        <v>0</v>
      </c>
      <c r="D68" s="216">
        <v>0</v>
      </c>
      <c r="E68" s="216">
        <v>0</v>
      </c>
      <c r="F68" s="216">
        <v>0</v>
      </c>
      <c r="G68" s="220">
        <f t="shared" ref="G68:G132" si="20">H68+I68</f>
        <v>17.74925151495945</v>
      </c>
      <c r="H68" s="249">
        <v>4.9413283727615402</v>
      </c>
      <c r="I68" s="249">
        <v>12.807923142197911</v>
      </c>
      <c r="J68" s="249">
        <v>0</v>
      </c>
      <c r="K68" s="220">
        <f t="shared" ref="K68:L78" si="21">M68+O68</f>
        <v>0</v>
      </c>
      <c r="L68" s="220">
        <f t="shared" si="21"/>
        <v>0</v>
      </c>
      <c r="M68" s="219">
        <f t="shared" ref="M68:M132" si="22">($D68/$AD68)*100</f>
        <v>0</v>
      </c>
      <c r="N68" s="219">
        <f t="shared" ref="N68:N132" si="23">($D68/$AB68)*100</f>
        <v>0</v>
      </c>
      <c r="O68" s="219">
        <f t="shared" ref="O68:O132" si="24">($E68/$AD68)*100</f>
        <v>0</v>
      </c>
      <c r="P68" s="219">
        <f t="shared" ref="P68:P132" si="25">($E68/$AB68)*100</f>
        <v>0</v>
      </c>
      <c r="Q68" s="219">
        <f t="shared" ref="Q68:Q132" si="26">($F68/$AD68)*100</f>
        <v>0</v>
      </c>
      <c r="R68" s="219">
        <f t="shared" ref="R68:R132" si="27">($F68/$AB68)*100</f>
        <v>0</v>
      </c>
      <c r="S68" s="220">
        <f t="shared" ref="S68:T78" si="28">U68+W68</f>
        <v>4.3264546866616493</v>
      </c>
      <c r="T68" s="220">
        <f t="shared" si="28"/>
        <v>5.3711672841557805</v>
      </c>
      <c r="U68" s="219">
        <f t="shared" ref="U68:U132" si="29">($H68/$AD68)*100</f>
        <v>1.2044695675561388</v>
      </c>
      <c r="V68" s="219">
        <f t="shared" si="18"/>
        <v>1.4953138318919212</v>
      </c>
      <c r="W68" s="219">
        <f t="shared" ref="W68:W132" si="30">($I68/$AD68)*100</f>
        <v>3.1219851191055108</v>
      </c>
      <c r="X68" s="219">
        <f t="shared" ref="X68:X132" si="31">($I68/$AB68)*100</f>
        <v>3.8758534522638595</v>
      </c>
      <c r="Y68" s="219">
        <f t="shared" ref="Y68:Y132" si="32">($J68/$AD68)*100</f>
        <v>0</v>
      </c>
      <c r="Z68" s="219">
        <f t="shared" ref="Z68:Z132" si="33">($J68/$AB68)*100</f>
        <v>0</v>
      </c>
      <c r="AA68" s="232">
        <v>330454267684.37299</v>
      </c>
      <c r="AB68" s="239">
        <v>330.45426768437</v>
      </c>
      <c r="AC68" s="237">
        <v>410249333471.11688</v>
      </c>
      <c r="AD68" s="199">
        <v>410.24933347112</v>
      </c>
    </row>
    <row r="69" spans="1:30">
      <c r="A69" s="221" t="s">
        <v>539</v>
      </c>
      <c r="B69" s="215" t="s">
        <v>557</v>
      </c>
      <c r="C69" s="218">
        <f t="shared" si="19"/>
        <v>7.2019168054595077</v>
      </c>
      <c r="D69" s="267">
        <v>1.8290582363071768</v>
      </c>
      <c r="E69" s="267">
        <v>5.3728585691523305</v>
      </c>
      <c r="F69" s="267">
        <v>9.0309750417666859</v>
      </c>
      <c r="G69" s="220">
        <f t="shared" si="20"/>
        <v>14.861098169995811</v>
      </c>
      <c r="H69" s="267">
        <v>0</v>
      </c>
      <c r="I69" s="267">
        <v>14.861098169995811</v>
      </c>
      <c r="J69" s="267">
        <v>0</v>
      </c>
      <c r="K69" s="220">
        <f t="shared" si="21"/>
        <v>3.2388197867879107</v>
      </c>
      <c r="L69" s="220">
        <f t="shared" si="21"/>
        <v>2.1106625637775824</v>
      </c>
      <c r="M69" s="219">
        <f t="shared" si="22"/>
        <v>0.82255740616835848</v>
      </c>
      <c r="N69" s="219">
        <f t="shared" si="23"/>
        <v>0.53604128603875123</v>
      </c>
      <c r="O69" s="219">
        <f t="shared" si="24"/>
        <v>2.4162623806195525</v>
      </c>
      <c r="P69" s="219">
        <f t="shared" si="25"/>
        <v>1.5746212777388313</v>
      </c>
      <c r="Q69" s="219">
        <f t="shared" si="26"/>
        <v>4.0613771929562708</v>
      </c>
      <c r="R69" s="219">
        <f t="shared" si="27"/>
        <v>2.6467038498163342</v>
      </c>
      <c r="S69" s="220">
        <f t="shared" si="28"/>
        <v>6.6832789251179126</v>
      </c>
      <c r="T69" s="220">
        <f t="shared" si="28"/>
        <v>4.3553354490648539</v>
      </c>
      <c r="U69" s="219">
        <f t="shared" si="29"/>
        <v>0</v>
      </c>
      <c r="V69" s="219">
        <f t="shared" si="18"/>
        <v>0</v>
      </c>
      <c r="W69" s="219">
        <f t="shared" si="30"/>
        <v>6.6832789251179126</v>
      </c>
      <c r="X69" s="219">
        <f t="shared" si="31"/>
        <v>4.3553354490648539</v>
      </c>
      <c r="Y69" s="219">
        <f t="shared" si="32"/>
        <v>0</v>
      </c>
      <c r="Z69" s="219">
        <f t="shared" si="33"/>
        <v>0</v>
      </c>
      <c r="AA69" s="232">
        <v>341215925702.96198</v>
      </c>
      <c r="AB69" s="239">
        <v>341.21592570296002</v>
      </c>
      <c r="AC69" s="237">
        <v>222362381347.61981</v>
      </c>
      <c r="AD69" s="199">
        <v>222.36238134761999</v>
      </c>
    </row>
    <row r="70" spans="1:30">
      <c r="A70" s="221" t="s">
        <v>540</v>
      </c>
      <c r="B70" s="215" t="s">
        <v>557</v>
      </c>
      <c r="C70" s="218">
        <f t="shared" si="19"/>
        <v>2.5149550749223684</v>
      </c>
      <c r="D70" s="267">
        <v>0.18290582363071767</v>
      </c>
      <c r="E70" s="267">
        <v>2.3320492512916506</v>
      </c>
      <c r="F70" s="267">
        <v>1.4060885191611421</v>
      </c>
      <c r="G70" s="220">
        <f t="shared" si="20"/>
        <v>4.5840772047448617</v>
      </c>
      <c r="H70" s="267">
        <v>0</v>
      </c>
      <c r="I70" s="267">
        <v>4.5840772047448617</v>
      </c>
      <c r="J70" s="267">
        <v>0</v>
      </c>
      <c r="K70" s="220">
        <f t="shared" si="21"/>
        <v>2.52787094908023</v>
      </c>
      <c r="L70" s="220">
        <f t="shared" si="21"/>
        <v>1.3840355185893003</v>
      </c>
      <c r="M70" s="219">
        <f t="shared" si="22"/>
        <v>0.18384515993310763</v>
      </c>
      <c r="N70" s="219">
        <f t="shared" si="23"/>
        <v>0.10065712862467636</v>
      </c>
      <c r="O70" s="219">
        <f t="shared" si="24"/>
        <v>2.3440257891471226</v>
      </c>
      <c r="P70" s="219">
        <f t="shared" si="25"/>
        <v>1.2833783899646238</v>
      </c>
      <c r="Q70" s="219">
        <f t="shared" si="26"/>
        <v>1.4133096669857648</v>
      </c>
      <c r="R70" s="219">
        <f t="shared" si="27"/>
        <v>0.77380167630219954</v>
      </c>
      <c r="S70" s="220">
        <f t="shared" si="28"/>
        <v>4.6076193208235097</v>
      </c>
      <c r="T70" s="220">
        <f t="shared" si="28"/>
        <v>2.5227192861559513</v>
      </c>
      <c r="U70" s="219">
        <f t="shared" si="29"/>
        <v>0</v>
      </c>
      <c r="V70" s="219">
        <f t="shared" si="18"/>
        <v>0</v>
      </c>
      <c r="W70" s="219">
        <f t="shared" si="30"/>
        <v>4.6076193208235097</v>
      </c>
      <c r="X70" s="219">
        <f t="shared" si="31"/>
        <v>2.5227192861559513</v>
      </c>
      <c r="Y70" s="219">
        <f t="shared" si="32"/>
        <v>0</v>
      </c>
      <c r="Z70" s="219">
        <f t="shared" si="33"/>
        <v>0</v>
      </c>
      <c r="AA70" s="232">
        <v>181711743748.14999</v>
      </c>
      <c r="AB70" s="239">
        <v>181.71174374815001</v>
      </c>
      <c r="AC70" s="237">
        <v>99489061173.693314</v>
      </c>
      <c r="AD70" s="199">
        <v>99.489061173690004</v>
      </c>
    </row>
    <row r="71" spans="1:30">
      <c r="A71" s="221" t="s">
        <v>541</v>
      </c>
      <c r="B71" s="215" t="s">
        <v>557</v>
      </c>
      <c r="C71" s="218">
        <f t="shared" si="19"/>
        <v>4.1153810316911672</v>
      </c>
      <c r="D71" s="270">
        <v>0.11431613976919908</v>
      </c>
      <c r="E71" s="270">
        <v>4.0010648919219678</v>
      </c>
      <c r="F71" s="270">
        <v>0</v>
      </c>
      <c r="G71" s="263">
        <f t="shared" si="20"/>
        <v>3.3151680533067727</v>
      </c>
      <c r="H71" s="266">
        <v>0.68589683861519435</v>
      </c>
      <c r="I71" s="266">
        <v>2.6292712146915784</v>
      </c>
      <c r="J71" s="266">
        <v>0.11431613976919908</v>
      </c>
      <c r="K71" s="220">
        <f t="shared" si="21"/>
        <v>8.1625269737342627</v>
      </c>
      <c r="L71" s="220">
        <f t="shared" si="21"/>
        <v>5.4123140293972885</v>
      </c>
      <c r="M71" s="219">
        <f t="shared" si="22"/>
        <v>0.22673686038150731</v>
      </c>
      <c r="N71" s="219">
        <f t="shared" si="23"/>
        <v>0.1503420563721469</v>
      </c>
      <c r="O71" s="219">
        <f t="shared" si="24"/>
        <v>7.9357901133527555</v>
      </c>
      <c r="P71" s="219">
        <f t="shared" si="25"/>
        <v>5.2619719730251413</v>
      </c>
      <c r="Q71" s="219">
        <f t="shared" si="26"/>
        <v>0</v>
      </c>
      <c r="R71" s="219">
        <f t="shared" si="27"/>
        <v>0</v>
      </c>
      <c r="S71" s="220">
        <f t="shared" si="28"/>
        <v>6.5753689510637106</v>
      </c>
      <c r="T71" s="220">
        <f t="shared" si="28"/>
        <v>4.3599196347922593</v>
      </c>
      <c r="U71" s="219">
        <f t="shared" si="29"/>
        <v>1.3604211622890434</v>
      </c>
      <c r="V71" s="219">
        <f t="shared" si="18"/>
        <v>0.90205233823288122</v>
      </c>
      <c r="W71" s="219">
        <f t="shared" si="30"/>
        <v>5.2149477887746674</v>
      </c>
      <c r="X71" s="219">
        <f t="shared" si="31"/>
        <v>3.4578672965593782</v>
      </c>
      <c r="Y71" s="219">
        <f t="shared" si="32"/>
        <v>0.22673686038150731</v>
      </c>
      <c r="Z71" s="219">
        <f t="shared" si="33"/>
        <v>0.1503420563721469</v>
      </c>
      <c r="AA71" s="232">
        <v>76037366075.546799</v>
      </c>
      <c r="AB71" s="239">
        <v>76.037366075549997</v>
      </c>
      <c r="AC71" s="237">
        <v>50417977728.390221</v>
      </c>
      <c r="AD71" s="199">
        <v>50.417977728389999</v>
      </c>
    </row>
    <row r="72" spans="1:30">
      <c r="A72" s="221" t="s">
        <v>450</v>
      </c>
      <c r="B72" s="215" t="s">
        <v>557</v>
      </c>
      <c r="C72" s="218">
        <f t="shared" si="19"/>
        <v>25.100437358322282</v>
      </c>
      <c r="D72" s="249">
        <v>0.8349841230760352</v>
      </c>
      <c r="E72" s="249">
        <v>24.265453235246245</v>
      </c>
      <c r="F72" s="249">
        <v>34.112156247618515</v>
      </c>
      <c r="G72" s="220">
        <f t="shared" si="20"/>
        <v>23.420286378961965</v>
      </c>
      <c r="H72" s="249">
        <v>0</v>
      </c>
      <c r="I72" s="249">
        <v>23.420286378961965</v>
      </c>
      <c r="J72" s="249">
        <v>0</v>
      </c>
      <c r="K72" s="220">
        <f t="shared" si="21"/>
        <v>4.5651993079368838</v>
      </c>
      <c r="L72" s="220">
        <f t="shared" si="21"/>
        <v>4.8177007692449285</v>
      </c>
      <c r="M72" s="219">
        <f t="shared" si="22"/>
        <v>0.15186464229242372</v>
      </c>
      <c r="N72" s="219">
        <f t="shared" si="23"/>
        <v>0.16026428522437489</v>
      </c>
      <c r="O72" s="219">
        <f t="shared" si="24"/>
        <v>4.4133346656444603</v>
      </c>
      <c r="P72" s="219">
        <f t="shared" si="25"/>
        <v>4.657436484020554</v>
      </c>
      <c r="Q72" s="219">
        <f t="shared" si="26"/>
        <v>6.2042262399953607</v>
      </c>
      <c r="R72" s="219">
        <f t="shared" si="27"/>
        <v>6.5473823841665366</v>
      </c>
      <c r="S72" s="220">
        <f t="shared" si="28"/>
        <v>4.2596180155192025</v>
      </c>
      <c r="T72" s="220">
        <f t="shared" si="28"/>
        <v>4.4952177562934423</v>
      </c>
      <c r="U72" s="219">
        <f t="shared" si="29"/>
        <v>0</v>
      </c>
      <c r="V72" s="219">
        <f t="shared" si="18"/>
        <v>0</v>
      </c>
      <c r="W72" s="219">
        <f t="shared" si="30"/>
        <v>4.2596180155192025</v>
      </c>
      <c r="X72" s="219">
        <f t="shared" si="31"/>
        <v>4.4952177562934423</v>
      </c>
      <c r="Y72" s="219">
        <f t="shared" si="32"/>
        <v>0</v>
      </c>
      <c r="Z72" s="219">
        <f t="shared" si="33"/>
        <v>0</v>
      </c>
      <c r="AA72" s="232">
        <v>521004490742.91901</v>
      </c>
      <c r="AB72" s="239">
        <v>521.00449074291998</v>
      </c>
      <c r="AC72" s="237">
        <v>549821281946.73523</v>
      </c>
      <c r="AD72" s="199">
        <v>549.82128194673999</v>
      </c>
    </row>
    <row r="73" spans="1:30">
      <c r="A73" s="222" t="s">
        <v>453</v>
      </c>
      <c r="B73" s="255" t="s">
        <v>557</v>
      </c>
      <c r="C73" s="218">
        <f t="shared" si="19"/>
        <v>31.955418247635048</v>
      </c>
      <c r="D73" s="254">
        <v>2.6975353066185432</v>
      </c>
      <c r="E73" s="254">
        <v>29.257882941016504</v>
      </c>
      <c r="F73" s="254">
        <v>0</v>
      </c>
      <c r="G73" s="220">
        <f t="shared" si="20"/>
        <v>42.953062190002953</v>
      </c>
      <c r="H73" s="254">
        <v>0</v>
      </c>
      <c r="I73" s="254">
        <v>42.953062190002953</v>
      </c>
      <c r="J73" s="254">
        <v>0</v>
      </c>
      <c r="K73" s="220">
        <f t="shared" si="21"/>
        <v>4.2772051685675523</v>
      </c>
      <c r="L73" s="220">
        <f t="shared" si="21"/>
        <v>5.4087084051103789</v>
      </c>
      <c r="M73" s="219">
        <f t="shared" si="22"/>
        <v>0.3610627739699882</v>
      </c>
      <c r="N73" s="219">
        <f t="shared" si="23"/>
        <v>0.45657928095087619</v>
      </c>
      <c r="O73" s="219">
        <f t="shared" si="24"/>
        <v>3.9161423945975637</v>
      </c>
      <c r="P73" s="219">
        <f t="shared" si="25"/>
        <v>4.9521291241595025</v>
      </c>
      <c r="Q73" s="219">
        <f t="shared" si="26"/>
        <v>0</v>
      </c>
      <c r="R73" s="219">
        <f t="shared" si="27"/>
        <v>0</v>
      </c>
      <c r="S73" s="220">
        <f t="shared" si="28"/>
        <v>5.7492303239836575</v>
      </c>
      <c r="T73" s="220">
        <f t="shared" si="28"/>
        <v>7.2701470120639504</v>
      </c>
      <c r="U73" s="219">
        <f t="shared" si="29"/>
        <v>0</v>
      </c>
      <c r="V73" s="219">
        <f t="shared" si="18"/>
        <v>0</v>
      </c>
      <c r="W73" s="219">
        <f t="shared" si="30"/>
        <v>5.7492303239836575</v>
      </c>
      <c r="X73" s="219">
        <f t="shared" si="31"/>
        <v>7.2701470120639504</v>
      </c>
      <c r="Y73" s="219">
        <f t="shared" si="32"/>
        <v>0</v>
      </c>
      <c r="Z73" s="219">
        <f t="shared" si="33"/>
        <v>0</v>
      </c>
      <c r="AA73" s="232">
        <v>590814217631.73499</v>
      </c>
      <c r="AB73" s="239">
        <v>590.81421763174001</v>
      </c>
      <c r="AC73" s="237">
        <v>747109782866.38879</v>
      </c>
      <c r="AD73" s="199">
        <v>747.10978286638999</v>
      </c>
    </row>
    <row r="74" spans="1:30">
      <c r="A74" s="217" t="s">
        <v>490</v>
      </c>
      <c r="B74" s="215" t="s">
        <v>557</v>
      </c>
      <c r="C74" s="218">
        <f t="shared" si="19"/>
        <v>18.197478788559124</v>
      </c>
      <c r="D74" s="249">
        <v>1.7213831286474848</v>
      </c>
      <c r="E74" s="249">
        <v>16.476095659911639</v>
      </c>
      <c r="F74" s="249">
        <v>3.8116340705765732</v>
      </c>
      <c r="G74" s="220">
        <f t="shared" si="20"/>
        <v>5.5944951681043253</v>
      </c>
      <c r="H74" s="249">
        <v>2.582074692971227</v>
      </c>
      <c r="I74" s="249">
        <v>3.0124204751330983</v>
      </c>
      <c r="J74" s="249">
        <v>0</v>
      </c>
      <c r="K74" s="220">
        <f t="shared" si="21"/>
        <v>6.9466775390796931</v>
      </c>
      <c r="L74" s="220">
        <f t="shared" si="21"/>
        <v>4.1237130550000787</v>
      </c>
      <c r="M74" s="219">
        <f t="shared" si="22"/>
        <v>0.65711814558861958</v>
      </c>
      <c r="N74" s="219">
        <f t="shared" si="23"/>
        <v>0.39008096466216968</v>
      </c>
      <c r="O74" s="219">
        <f t="shared" si="24"/>
        <v>6.2895593934910732</v>
      </c>
      <c r="P74" s="219">
        <f t="shared" si="25"/>
        <v>3.7336320903379092</v>
      </c>
      <c r="Q74" s="219">
        <f t="shared" si="26"/>
        <v>1.4550473223748004</v>
      </c>
      <c r="R74" s="219">
        <f t="shared" si="27"/>
        <v>0.86375070746623273</v>
      </c>
      <c r="S74" s="220">
        <f t="shared" si="28"/>
        <v>2.1356339731630136</v>
      </c>
      <c r="T74" s="220">
        <f t="shared" si="28"/>
        <v>1.2677631351520513</v>
      </c>
      <c r="U74" s="219">
        <f t="shared" si="29"/>
        <v>0.98567721838292932</v>
      </c>
      <c r="V74" s="219">
        <f t="shared" si="18"/>
        <v>0.58512144699325441</v>
      </c>
      <c r="W74" s="219">
        <f t="shared" si="30"/>
        <v>1.1499567547800842</v>
      </c>
      <c r="X74" s="219">
        <f t="shared" si="31"/>
        <v>0.68264168815879689</v>
      </c>
      <c r="Y74" s="219">
        <f t="shared" si="32"/>
        <v>0</v>
      </c>
      <c r="Z74" s="219">
        <f t="shared" si="33"/>
        <v>0</v>
      </c>
      <c r="AA74" s="232">
        <v>441288677118.17102</v>
      </c>
      <c r="AB74" s="239">
        <v>441.28867711817003</v>
      </c>
      <c r="AC74" s="237">
        <v>261959457397.9639</v>
      </c>
      <c r="AD74" s="199">
        <v>261.95945739796002</v>
      </c>
    </row>
    <row r="75" spans="1:30">
      <c r="A75" s="217" t="s">
        <v>481</v>
      </c>
      <c r="B75" s="215" t="s">
        <v>557</v>
      </c>
      <c r="C75" s="218">
        <f t="shared" si="19"/>
        <v>3.824337949750285</v>
      </c>
      <c r="D75" s="249">
        <v>1.9136139057485111</v>
      </c>
      <c r="E75" s="249">
        <v>1.9107240440017739</v>
      </c>
      <c r="F75" s="249">
        <v>0.10508588169953384</v>
      </c>
      <c r="G75" s="220">
        <f t="shared" si="20"/>
        <v>0.98649371445437384</v>
      </c>
      <c r="H75" s="249">
        <v>0.98649371445437384</v>
      </c>
      <c r="I75" s="249">
        <v>0</v>
      </c>
      <c r="J75" s="249">
        <v>0</v>
      </c>
      <c r="K75" s="220">
        <f t="shared" si="21"/>
        <v>1.1898790407164512</v>
      </c>
      <c r="L75" s="220">
        <f t="shared" si="21"/>
        <v>0.55387529870065522</v>
      </c>
      <c r="M75" s="219">
        <f t="shared" si="22"/>
        <v>0.59538908652734979</v>
      </c>
      <c r="N75" s="219">
        <f t="shared" si="23"/>
        <v>0.27714691734118102</v>
      </c>
      <c r="O75" s="219">
        <f t="shared" si="24"/>
        <v>0.59448995418910144</v>
      </c>
      <c r="P75" s="219">
        <f t="shared" si="25"/>
        <v>0.27672838135947414</v>
      </c>
      <c r="Q75" s="219">
        <f t="shared" si="26"/>
        <v>3.2695721390848427E-2</v>
      </c>
      <c r="R75" s="219">
        <f t="shared" si="27"/>
        <v>1.5219490243886932E-2</v>
      </c>
      <c r="S75" s="220">
        <f t="shared" si="28"/>
        <v>0.30693108455658957</v>
      </c>
      <c r="T75" s="220">
        <f t="shared" si="28"/>
        <v>0.14287296466448857</v>
      </c>
      <c r="U75" s="219">
        <f t="shared" si="29"/>
        <v>0.30693108455658957</v>
      </c>
      <c r="V75" s="219">
        <f t="shared" si="18"/>
        <v>0.14287296466448857</v>
      </c>
      <c r="W75" s="219">
        <f t="shared" si="30"/>
        <v>0</v>
      </c>
      <c r="X75" s="219">
        <f t="shared" si="31"/>
        <v>0</v>
      </c>
      <c r="Y75" s="219">
        <f t="shared" si="32"/>
        <v>0</v>
      </c>
      <c r="Z75" s="219">
        <f t="shared" si="33"/>
        <v>0</v>
      </c>
      <c r="AA75" s="232">
        <v>690469128831.32397</v>
      </c>
      <c r="AB75" s="239">
        <v>690.46912883131995</v>
      </c>
      <c r="AC75" s="237">
        <v>321405606694.9129</v>
      </c>
      <c r="AD75" s="199">
        <v>321.40560669490998</v>
      </c>
    </row>
    <row r="76" spans="1:30">
      <c r="A76" s="217" t="s">
        <v>542</v>
      </c>
      <c r="B76" s="215" t="s">
        <v>557</v>
      </c>
      <c r="C76" s="218">
        <f t="shared" si="19"/>
        <v>0.78793400000000002</v>
      </c>
      <c r="D76" s="216">
        <v>0.17</v>
      </c>
      <c r="E76" s="216">
        <v>0.61793399999999998</v>
      </c>
      <c r="F76" s="264">
        <v>0.40684985167435311</v>
      </c>
      <c r="G76" s="220">
        <f t="shared" si="20"/>
        <v>0</v>
      </c>
      <c r="H76" s="216">
        <v>0</v>
      </c>
      <c r="I76" s="216">
        <v>0</v>
      </c>
      <c r="J76" s="216">
        <v>0</v>
      </c>
      <c r="K76" s="220">
        <f t="shared" si="21"/>
        <v>1.223832673513586</v>
      </c>
      <c r="L76" s="220">
        <f t="shared" si="21"/>
        <v>0.86364559556167098</v>
      </c>
      <c r="M76" s="219">
        <f t="shared" si="22"/>
        <v>0.26404693095780818</v>
      </c>
      <c r="N76" s="219">
        <f t="shared" si="23"/>
        <v>0.18633508802194609</v>
      </c>
      <c r="O76" s="219">
        <f t="shared" si="24"/>
        <v>0.95978574255577775</v>
      </c>
      <c r="P76" s="219">
        <f t="shared" si="25"/>
        <v>0.67731050753972488</v>
      </c>
      <c r="Q76" s="219">
        <f t="shared" si="26"/>
        <v>0.63192620408972</v>
      </c>
      <c r="R76" s="219">
        <f t="shared" si="27"/>
        <v>0.4459435466085665</v>
      </c>
      <c r="S76" s="220">
        <f t="shared" si="28"/>
        <v>0</v>
      </c>
      <c r="T76" s="220">
        <f t="shared" si="28"/>
        <v>0</v>
      </c>
      <c r="U76" s="219">
        <f t="shared" si="29"/>
        <v>0</v>
      </c>
      <c r="V76" s="219">
        <f t="shared" si="18"/>
        <v>0</v>
      </c>
      <c r="W76" s="219">
        <f t="shared" si="30"/>
        <v>0</v>
      </c>
      <c r="X76" s="219">
        <f t="shared" si="31"/>
        <v>0</v>
      </c>
      <c r="Y76" s="219">
        <f t="shared" si="32"/>
        <v>0</v>
      </c>
      <c r="Z76" s="219">
        <f t="shared" si="33"/>
        <v>0</v>
      </c>
      <c r="AA76" s="232">
        <v>91233487908.610901</v>
      </c>
      <c r="AB76" s="239">
        <v>91.233487908610002</v>
      </c>
      <c r="AC76" s="237">
        <v>64382494196.515457</v>
      </c>
      <c r="AD76" s="199">
        <v>64.38249419652</v>
      </c>
    </row>
    <row r="77" spans="1:30">
      <c r="A77" s="217" t="s">
        <v>543</v>
      </c>
      <c r="B77" s="215" t="s">
        <v>557</v>
      </c>
      <c r="C77" s="218">
        <f t="shared" si="19"/>
        <v>6.1891640315932381</v>
      </c>
      <c r="D77" s="194">
        <v>1.7694150329493317</v>
      </c>
      <c r="E77" s="194">
        <v>4.4197489986439065</v>
      </c>
      <c r="F77" s="216">
        <v>0</v>
      </c>
      <c r="G77" s="220">
        <f t="shared" si="20"/>
        <v>6.6270225953158493</v>
      </c>
      <c r="H77" s="216">
        <v>0</v>
      </c>
      <c r="I77" s="194">
        <v>6.6270225953158493</v>
      </c>
      <c r="J77" s="216">
        <v>0</v>
      </c>
      <c r="K77" s="220">
        <f t="shared" si="21"/>
        <v>4.1993466801001249</v>
      </c>
      <c r="L77" s="220">
        <f t="shared" si="21"/>
        <v>1.9972250576039592</v>
      </c>
      <c r="M77" s="219">
        <f t="shared" si="22"/>
        <v>1.2005477809936589</v>
      </c>
      <c r="N77" s="219">
        <f t="shared" si="23"/>
        <v>0.57098503498505992</v>
      </c>
      <c r="O77" s="219">
        <f t="shared" si="24"/>
        <v>2.998798899106466</v>
      </c>
      <c r="P77" s="219">
        <f t="shared" si="25"/>
        <v>1.4262400226188992</v>
      </c>
      <c r="Q77" s="219">
        <f t="shared" si="26"/>
        <v>0</v>
      </c>
      <c r="R77" s="219">
        <f t="shared" si="27"/>
        <v>0</v>
      </c>
      <c r="S77" s="220">
        <f t="shared" si="28"/>
        <v>4.4964336366803703</v>
      </c>
      <c r="T77" s="220">
        <f t="shared" si="28"/>
        <v>2.1385207302811238</v>
      </c>
      <c r="U77" s="219">
        <f t="shared" si="29"/>
        <v>0</v>
      </c>
      <c r="V77" s="219">
        <f t="shared" si="18"/>
        <v>0</v>
      </c>
      <c r="W77" s="219">
        <f t="shared" si="30"/>
        <v>4.4964336366803703</v>
      </c>
      <c r="X77" s="219">
        <f t="shared" si="31"/>
        <v>2.1385207302811238</v>
      </c>
      <c r="Y77" s="219">
        <f t="shared" si="32"/>
        <v>0</v>
      </c>
      <c r="Z77" s="219">
        <f t="shared" si="33"/>
        <v>0</v>
      </c>
      <c r="AA77" s="232">
        <v>309888162479.70697</v>
      </c>
      <c r="AB77" s="239">
        <v>309.88816247970999</v>
      </c>
      <c r="AC77" s="237">
        <v>147383974295.86609</v>
      </c>
      <c r="AD77" s="199">
        <v>147.38397429586999</v>
      </c>
    </row>
    <row r="78" spans="1:30">
      <c r="A78" s="217" t="s">
        <v>487</v>
      </c>
      <c r="B78" s="215" t="s">
        <v>557</v>
      </c>
      <c r="C78" s="218">
        <f t="shared" si="19"/>
        <v>43.050977899376022</v>
      </c>
      <c r="D78" s="249">
        <v>2.2057463058752034</v>
      </c>
      <c r="E78" s="249">
        <v>40.84523159350082</v>
      </c>
      <c r="F78" s="249">
        <v>0</v>
      </c>
      <c r="G78" s="220">
        <f t="shared" si="20"/>
        <v>19.202967839384122</v>
      </c>
      <c r="H78" s="249">
        <v>0</v>
      </c>
      <c r="I78" s="249">
        <v>19.202967839384122</v>
      </c>
      <c r="J78" s="249">
        <v>9.8869334416288517</v>
      </c>
      <c r="K78" s="220">
        <f t="shared" si="21"/>
        <v>7.532938423153575</v>
      </c>
      <c r="L78" s="220">
        <f t="shared" si="21"/>
        <v>3.5420575832244796</v>
      </c>
      <c r="M78" s="219">
        <f t="shared" si="22"/>
        <v>0.38595525374807349</v>
      </c>
      <c r="N78" s="219">
        <f t="shared" si="23"/>
        <v>0.18147974356484678</v>
      </c>
      <c r="O78" s="219">
        <f t="shared" si="24"/>
        <v>7.1469831694055017</v>
      </c>
      <c r="P78" s="219">
        <f t="shared" si="25"/>
        <v>3.3605778396596326</v>
      </c>
      <c r="Q78" s="219">
        <f t="shared" si="26"/>
        <v>0</v>
      </c>
      <c r="R78" s="219">
        <f t="shared" si="27"/>
        <v>0</v>
      </c>
      <c r="S78" s="220">
        <f t="shared" si="28"/>
        <v>3.360081032630287</v>
      </c>
      <c r="T78" s="220">
        <f t="shared" si="28"/>
        <v>1.5799412969174895</v>
      </c>
      <c r="U78" s="219">
        <f t="shared" si="29"/>
        <v>0</v>
      </c>
      <c r="V78" s="219">
        <f t="shared" si="18"/>
        <v>0</v>
      </c>
      <c r="W78" s="219">
        <f t="shared" si="30"/>
        <v>3.360081032630287</v>
      </c>
      <c r="X78" s="219">
        <f t="shared" si="31"/>
        <v>1.5799412969174895</v>
      </c>
      <c r="Y78" s="219">
        <f t="shared" si="32"/>
        <v>1.7299876668001881</v>
      </c>
      <c r="Z78" s="219">
        <f t="shared" si="33"/>
        <v>0.81345626233184243</v>
      </c>
      <c r="AA78" s="232">
        <v>1215422868992.01</v>
      </c>
      <c r="AB78" s="239">
        <v>1215.4228689920101</v>
      </c>
      <c r="AC78" s="237">
        <v>571503117124.28699</v>
      </c>
      <c r="AD78" s="199">
        <v>571.50311712429004</v>
      </c>
    </row>
    <row r="79" spans="1:30">
      <c r="A79" s="217"/>
      <c r="B79" s="215"/>
      <c r="C79" s="218"/>
      <c r="D79" s="246"/>
      <c r="E79" s="246"/>
      <c r="F79" s="246"/>
      <c r="G79" s="263"/>
      <c r="H79" s="246"/>
      <c r="I79" s="246"/>
      <c r="J79" s="246"/>
      <c r="K79" s="220"/>
      <c r="L79" s="220"/>
      <c r="M79" s="219"/>
      <c r="N79" s="219"/>
      <c r="O79" s="219"/>
      <c r="P79" s="219"/>
      <c r="Q79" s="219"/>
      <c r="R79" s="219"/>
      <c r="S79" s="220"/>
      <c r="T79" s="220"/>
      <c r="U79" s="219"/>
      <c r="V79" s="219"/>
      <c r="W79" s="219"/>
      <c r="X79" s="219"/>
      <c r="Y79" s="219"/>
      <c r="Z79" s="219"/>
      <c r="AA79" s="238"/>
      <c r="AB79" s="239"/>
      <c r="AC79" s="237"/>
    </row>
    <row r="80" spans="1:30">
      <c r="A80" s="217" t="s">
        <v>461</v>
      </c>
      <c r="B80" s="215" t="s">
        <v>559</v>
      </c>
      <c r="C80" s="218">
        <f t="shared" si="19"/>
        <v>156.53523326296911</v>
      </c>
      <c r="D80" s="194">
        <v>6.6083475783839196</v>
      </c>
      <c r="E80" s="194">
        <v>149.92688568458519</v>
      </c>
      <c r="F80" s="194">
        <v>0</v>
      </c>
      <c r="G80" s="250">
        <f t="shared" si="20"/>
        <v>24.092933879524708</v>
      </c>
      <c r="H80" s="194">
        <v>10.325543091224874</v>
      </c>
      <c r="I80" s="194">
        <v>13.767390788299833</v>
      </c>
      <c r="J80" s="194">
        <v>0</v>
      </c>
      <c r="K80" s="220">
        <f t="shared" ref="K80:K116" si="34">M80+O80</f>
        <v>10.472171687470921</v>
      </c>
      <c r="L80" s="220">
        <f t="shared" ref="L80:L116" si="35">N80+P80</f>
        <v>12.762594972566758</v>
      </c>
      <c r="M80" s="219">
        <f t="shared" si="22"/>
        <v>0.44209695778241359</v>
      </c>
      <c r="N80" s="219">
        <f t="shared" si="23"/>
        <v>0.53879028907933535</v>
      </c>
      <c r="O80" s="219">
        <f t="shared" si="24"/>
        <v>10.030074729688508</v>
      </c>
      <c r="P80" s="219">
        <f t="shared" si="25"/>
        <v>12.223804683487423</v>
      </c>
      <c r="Q80" s="219">
        <f t="shared" si="26"/>
        <v>0</v>
      </c>
      <c r="R80" s="219">
        <f t="shared" si="27"/>
        <v>0</v>
      </c>
      <c r="S80" s="220">
        <f t="shared" ref="S80:S116" si="36">U80+W80</f>
        <v>1.6118118252483828</v>
      </c>
      <c r="T80" s="220">
        <f t="shared" ref="T80:T116" si="37">V80+X80</f>
        <v>1.9643395956017438</v>
      </c>
      <c r="U80" s="219">
        <f t="shared" si="29"/>
        <v>0.69077649653502127</v>
      </c>
      <c r="V80" s="219">
        <f t="shared" ref="V80:V116" si="38">($H80/AB80)*100</f>
        <v>0.84185982668646153</v>
      </c>
      <c r="W80" s="219">
        <f t="shared" si="30"/>
        <v>0.92103532871336169</v>
      </c>
      <c r="X80" s="219">
        <f t="shared" si="31"/>
        <v>1.1224797689152821</v>
      </c>
      <c r="Y80" s="219">
        <f t="shared" si="32"/>
        <v>0</v>
      </c>
      <c r="Z80" s="219">
        <f t="shared" si="33"/>
        <v>0</v>
      </c>
      <c r="AA80" s="232">
        <v>1226515717214.5801</v>
      </c>
      <c r="AB80" s="239">
        <v>1226.51571721458</v>
      </c>
      <c r="AC80" s="237">
        <v>1494773366351.988</v>
      </c>
      <c r="AD80" s="199">
        <v>1494.77336635199</v>
      </c>
    </row>
    <row r="81" spans="1:30">
      <c r="A81" s="217" t="s">
        <v>459</v>
      </c>
      <c r="B81" s="215" t="s">
        <v>559</v>
      </c>
      <c r="C81" s="218">
        <f t="shared" si="19"/>
        <v>199.62492503836216</v>
      </c>
      <c r="D81" s="194">
        <v>14.693581842972383</v>
      </c>
      <c r="E81" s="194">
        <v>184.93134319538979</v>
      </c>
      <c r="F81" s="194">
        <v>63.07850791175013</v>
      </c>
      <c r="G81" s="250">
        <f t="shared" si="20"/>
        <v>68.050578535382201</v>
      </c>
      <c r="H81" s="194">
        <v>3.8589204840129492</v>
      </c>
      <c r="I81" s="194">
        <v>64.191658051369245</v>
      </c>
      <c r="J81" s="194">
        <v>0</v>
      </c>
      <c r="K81" s="220">
        <f t="shared" si="34"/>
        <v>11.766139700011552</v>
      </c>
      <c r="L81" s="220">
        <f t="shared" si="35"/>
        <v>11.582610808335438</v>
      </c>
      <c r="M81" s="219">
        <f t="shared" si="22"/>
        <v>0.86605786639490245</v>
      </c>
      <c r="N81" s="219">
        <f t="shared" si="23"/>
        <v>0.85254904834587997</v>
      </c>
      <c r="O81" s="219">
        <f t="shared" si="24"/>
        <v>10.90008183361665</v>
      </c>
      <c r="P81" s="219">
        <f t="shared" si="25"/>
        <v>10.730061759989558</v>
      </c>
      <c r="Q81" s="219">
        <f t="shared" si="26"/>
        <v>3.7179251840185201</v>
      </c>
      <c r="R81" s="219">
        <f t="shared" si="27"/>
        <v>3.6599327833030202</v>
      </c>
      <c r="S81" s="220">
        <f t="shared" si="36"/>
        <v>4.0109851691117449</v>
      </c>
      <c r="T81" s="220">
        <f t="shared" si="37"/>
        <v>3.948421602692787</v>
      </c>
      <c r="U81" s="219">
        <f t="shared" si="29"/>
        <v>0.22744954066936832</v>
      </c>
      <c r="V81" s="219">
        <f t="shared" si="38"/>
        <v>0.22390177027265534</v>
      </c>
      <c r="W81" s="219">
        <f t="shared" si="30"/>
        <v>3.7835356284423765</v>
      </c>
      <c r="X81" s="219">
        <f t="shared" si="31"/>
        <v>3.7245198324201318</v>
      </c>
      <c r="Y81" s="219">
        <f t="shared" si="32"/>
        <v>0</v>
      </c>
      <c r="Z81" s="219">
        <f t="shared" si="33"/>
        <v>0</v>
      </c>
      <c r="AA81" s="232">
        <v>1723488152556.26</v>
      </c>
      <c r="AB81" s="239">
        <v>1723.48815255626</v>
      </c>
      <c r="AC81" s="237">
        <v>1696605089927.3779</v>
      </c>
      <c r="AD81" s="199">
        <v>1696.60508992738</v>
      </c>
    </row>
    <row r="82" spans="1:30">
      <c r="A82" s="217" t="s">
        <v>457</v>
      </c>
      <c r="B82" s="215" t="s">
        <v>559</v>
      </c>
      <c r="C82" s="218">
        <f t="shared" si="19"/>
        <v>133.52125125042392</v>
      </c>
      <c r="D82" s="194">
        <v>16.004259567687797</v>
      </c>
      <c r="E82" s="194">
        <v>117.51699168273612</v>
      </c>
      <c r="F82" s="194">
        <v>64.588618969597178</v>
      </c>
      <c r="G82" s="250">
        <f t="shared" si="20"/>
        <v>401.82123128873292</v>
      </c>
      <c r="H82" s="194">
        <v>24.006389351531695</v>
      </c>
      <c r="I82" s="194">
        <v>377.81484193720121</v>
      </c>
      <c r="J82" s="194">
        <v>0</v>
      </c>
      <c r="K82" s="220">
        <f t="shared" si="34"/>
        <v>5.1024386339928318</v>
      </c>
      <c r="L82" s="220">
        <f t="shared" si="35"/>
        <v>4.5929517069219878</v>
      </c>
      <c r="M82" s="219">
        <f t="shared" si="22"/>
        <v>0.61159367188270242</v>
      </c>
      <c r="N82" s="219">
        <f t="shared" si="23"/>
        <v>0.55052503336393677</v>
      </c>
      <c r="O82" s="219">
        <f t="shared" si="24"/>
        <v>4.4908449621101294</v>
      </c>
      <c r="P82" s="219">
        <f t="shared" si="25"/>
        <v>4.042426673558051</v>
      </c>
      <c r="Q82" s="219">
        <f t="shared" si="26"/>
        <v>2.4682173186694776</v>
      </c>
      <c r="R82" s="219">
        <f t="shared" si="27"/>
        <v>2.2217617417901732</v>
      </c>
      <c r="S82" s="220">
        <f t="shared" si="36"/>
        <v>15.355369690483567</v>
      </c>
      <c r="T82" s="220">
        <f t="shared" si="37"/>
        <v>13.8221106591017</v>
      </c>
      <c r="U82" s="219">
        <f t="shared" si="29"/>
        <v>0.91739050782405374</v>
      </c>
      <c r="V82" s="219">
        <f t="shared" si="38"/>
        <v>0.82578755004590509</v>
      </c>
      <c r="W82" s="219">
        <f t="shared" si="30"/>
        <v>14.437979182659513</v>
      </c>
      <c r="X82" s="219">
        <f t="shared" si="31"/>
        <v>12.996323109055794</v>
      </c>
      <c r="Y82" s="219">
        <f t="shared" si="32"/>
        <v>0</v>
      </c>
      <c r="Z82" s="219">
        <f t="shared" si="33"/>
        <v>0</v>
      </c>
      <c r="AA82" s="232">
        <v>2907090249810.2798</v>
      </c>
      <c r="AB82" s="239">
        <v>2907.0902498102801</v>
      </c>
      <c r="AC82" s="237">
        <v>2616812485718.0068</v>
      </c>
      <c r="AD82" s="199">
        <v>2616.8124857180101</v>
      </c>
    </row>
    <row r="83" spans="1:30">
      <c r="A83" s="217" t="s">
        <v>458</v>
      </c>
      <c r="B83" s="215" t="s">
        <v>559</v>
      </c>
      <c r="C83" s="218">
        <f t="shared" si="19"/>
        <v>315.51254576298942</v>
      </c>
      <c r="D83" s="194">
        <v>26.292712146915786</v>
      </c>
      <c r="E83" s="194">
        <v>289.21983361607363</v>
      </c>
      <c r="F83" s="194">
        <v>0</v>
      </c>
      <c r="G83" s="250">
        <f t="shared" si="20"/>
        <v>1166.0246256458304</v>
      </c>
      <c r="H83" s="194">
        <v>228.63227953839814</v>
      </c>
      <c r="I83" s="194">
        <v>937.39234610743233</v>
      </c>
      <c r="J83" s="194">
        <v>0</v>
      </c>
      <c r="K83" s="220">
        <f t="shared" si="34"/>
        <v>8.7707732224359152</v>
      </c>
      <c r="L83" s="220">
        <f t="shared" si="35"/>
        <v>7.5811837307081023</v>
      </c>
      <c r="M83" s="219">
        <f t="shared" si="22"/>
        <v>0.73089776853632626</v>
      </c>
      <c r="N83" s="219">
        <f t="shared" si="23"/>
        <v>0.63176531089234178</v>
      </c>
      <c r="O83" s="219">
        <f t="shared" si="24"/>
        <v>8.0398754538995885</v>
      </c>
      <c r="P83" s="219">
        <f t="shared" si="25"/>
        <v>6.9494184198157605</v>
      </c>
      <c r="Q83" s="219">
        <f t="shared" si="26"/>
        <v>0</v>
      </c>
      <c r="R83" s="219">
        <f t="shared" si="27"/>
        <v>0</v>
      </c>
      <c r="S83" s="220">
        <f t="shared" si="36"/>
        <v>32.413727126393603</v>
      </c>
      <c r="T83" s="220">
        <f t="shared" si="37"/>
        <v>28.01741813522559</v>
      </c>
      <c r="U83" s="219">
        <f t="shared" si="29"/>
        <v>6.3556327698810993</v>
      </c>
      <c r="V83" s="219">
        <f t="shared" si="38"/>
        <v>5.493611399063842</v>
      </c>
      <c r="W83" s="219">
        <f t="shared" si="30"/>
        <v>26.058094356512502</v>
      </c>
      <c r="X83" s="219">
        <f t="shared" si="31"/>
        <v>22.523806736161749</v>
      </c>
      <c r="Y83" s="219">
        <f t="shared" si="32"/>
        <v>0</v>
      </c>
      <c r="Z83" s="219">
        <f t="shared" si="33"/>
        <v>0</v>
      </c>
      <c r="AA83" s="232">
        <v>4161784715558.1299</v>
      </c>
      <c r="AB83" s="239">
        <v>4161.7847155581303</v>
      </c>
      <c r="AC83" s="237">
        <v>3597317337494.2358</v>
      </c>
      <c r="AD83" s="199">
        <v>3597.3173374942398</v>
      </c>
    </row>
    <row r="84" spans="1:30">
      <c r="A84" s="217" t="s">
        <v>455</v>
      </c>
      <c r="B84" s="215" t="s">
        <v>559</v>
      </c>
      <c r="C84" s="218">
        <f t="shared" si="19"/>
        <v>91.452911815358846</v>
      </c>
      <c r="D84" s="194">
        <v>7.4305490849979057</v>
      </c>
      <c r="E84" s="194">
        <v>84.022362730360939</v>
      </c>
      <c r="F84" s="194">
        <v>8.0021297838438983</v>
      </c>
      <c r="G84" s="250">
        <f t="shared" si="20"/>
        <v>609.59081531925131</v>
      </c>
      <c r="H84" s="194">
        <v>3.7152745424989528</v>
      </c>
      <c r="I84" s="194">
        <v>605.87554077675236</v>
      </c>
      <c r="J84" s="194">
        <v>0</v>
      </c>
      <c r="K84" s="220">
        <f t="shared" si="34"/>
        <v>4.7677474982591912</v>
      </c>
      <c r="L84" s="220">
        <f t="shared" si="35"/>
        <v>3.9121565590939915</v>
      </c>
      <c r="M84" s="219">
        <f t="shared" si="22"/>
        <v>0.38737948423355928</v>
      </c>
      <c r="N84" s="219">
        <f t="shared" si="23"/>
        <v>0.3178627204263868</v>
      </c>
      <c r="O84" s="219">
        <f t="shared" si="24"/>
        <v>4.380368014025632</v>
      </c>
      <c r="P84" s="219">
        <f t="shared" si="25"/>
        <v>3.5942938386676047</v>
      </c>
      <c r="Q84" s="219">
        <f t="shared" si="26"/>
        <v>0.41717790609767919</v>
      </c>
      <c r="R84" s="219">
        <f t="shared" si="27"/>
        <v>0.34231369892072422</v>
      </c>
      <c r="S84" s="220">
        <f t="shared" si="36"/>
        <v>31.780016918083923</v>
      </c>
      <c r="T84" s="220">
        <f t="shared" si="37"/>
        <v>26.076968564210887</v>
      </c>
      <c r="U84" s="219">
        <f t="shared" si="29"/>
        <v>0.19368974211677964</v>
      </c>
      <c r="V84" s="219">
        <f t="shared" si="38"/>
        <v>0.1589313602131934</v>
      </c>
      <c r="W84" s="219">
        <f t="shared" si="30"/>
        <v>31.586327175967142</v>
      </c>
      <c r="X84" s="219">
        <f t="shared" si="31"/>
        <v>25.918037203997695</v>
      </c>
      <c r="Y84" s="219">
        <f t="shared" si="32"/>
        <v>0</v>
      </c>
      <c r="Z84" s="219">
        <f t="shared" si="33"/>
        <v>0</v>
      </c>
      <c r="AA84" s="232">
        <v>2337659815857.1201</v>
      </c>
      <c r="AB84" s="239">
        <v>2337.6598158571201</v>
      </c>
      <c r="AC84" s="237">
        <v>1918157617381.1699</v>
      </c>
      <c r="AD84" s="199">
        <v>1918.15761738117</v>
      </c>
    </row>
    <row r="85" spans="1:30">
      <c r="A85" s="217" t="s">
        <v>460</v>
      </c>
      <c r="B85" s="215" t="s">
        <v>559</v>
      </c>
      <c r="C85" s="218">
        <f t="shared" si="19"/>
        <v>555.08784138136377</v>
      </c>
      <c r="D85" s="194">
        <v>47.578957832688324</v>
      </c>
      <c r="E85" s="194">
        <v>507.50888354867544</v>
      </c>
      <c r="F85" s="194">
        <v>242.55939287252869</v>
      </c>
      <c r="G85" s="250">
        <f t="shared" si="20"/>
        <v>146.46855646533464</v>
      </c>
      <c r="H85" s="194">
        <v>0</v>
      </c>
      <c r="I85" s="194">
        <v>146.46855646533464</v>
      </c>
      <c r="J85" s="194">
        <v>1016.8836085809857</v>
      </c>
      <c r="K85" s="220">
        <f t="shared" si="34"/>
        <v>12.161424157621409</v>
      </c>
      <c r="L85" s="220">
        <f t="shared" si="35"/>
        <v>10.424474099738632</v>
      </c>
      <c r="M85" s="219">
        <f t="shared" si="22"/>
        <v>1.0424077849389779</v>
      </c>
      <c r="N85" s="219">
        <f t="shared" si="23"/>
        <v>0.89352635140616843</v>
      </c>
      <c r="O85" s="219">
        <f t="shared" si="24"/>
        <v>11.119016372682431</v>
      </c>
      <c r="P85" s="219">
        <f t="shared" si="25"/>
        <v>9.5309477483324638</v>
      </c>
      <c r="Q85" s="219">
        <f t="shared" si="26"/>
        <v>5.3142357663555728</v>
      </c>
      <c r="R85" s="219">
        <f t="shared" si="27"/>
        <v>4.5552323797177214</v>
      </c>
      <c r="S85" s="220">
        <f t="shared" si="36"/>
        <v>3.208980828145481</v>
      </c>
      <c r="T85" s="220">
        <f t="shared" si="37"/>
        <v>2.7506595523680089</v>
      </c>
      <c r="U85" s="219">
        <f t="shared" si="29"/>
        <v>0</v>
      </c>
      <c r="V85" s="219">
        <f t="shared" si="38"/>
        <v>0</v>
      </c>
      <c r="W85" s="219">
        <f t="shared" si="30"/>
        <v>3.208980828145481</v>
      </c>
      <c r="X85" s="219">
        <f t="shared" si="31"/>
        <v>2.7506595523680089</v>
      </c>
      <c r="Y85" s="219">
        <f t="shared" si="32"/>
        <v>22.278911482029134</v>
      </c>
      <c r="Z85" s="219">
        <f t="shared" si="33"/>
        <v>19.096935745739678</v>
      </c>
      <c r="AA85" s="232">
        <v>5324852228231.6504</v>
      </c>
      <c r="AB85" s="239">
        <v>5324.8522282316499</v>
      </c>
      <c r="AC85" s="237">
        <v>4564332550094.4502</v>
      </c>
      <c r="AD85" s="199">
        <v>4564.3325500944502</v>
      </c>
    </row>
    <row r="86" spans="1:30">
      <c r="A86" s="217" t="s">
        <v>448</v>
      </c>
      <c r="B86" s="215" t="s">
        <v>559</v>
      </c>
      <c r="C86" s="218">
        <f t="shared" si="19"/>
        <v>55.370457900727885</v>
      </c>
      <c r="D86" s="194">
        <v>4.2592659923636838</v>
      </c>
      <c r="E86" s="194">
        <v>51.111191908364205</v>
      </c>
      <c r="F86" s="194">
        <v>27.559956421176778</v>
      </c>
      <c r="G86" s="250">
        <f t="shared" si="20"/>
        <v>59.212148795801021</v>
      </c>
      <c r="H86" s="194">
        <v>0</v>
      </c>
      <c r="I86" s="194">
        <v>59.212148795801021</v>
      </c>
      <c r="J86" s="194">
        <v>104.39377432263932</v>
      </c>
      <c r="K86" s="220">
        <f t="shared" si="34"/>
        <v>3.3800665780397825</v>
      </c>
      <c r="L86" s="220">
        <f t="shared" si="35"/>
        <v>2.5675604859869927</v>
      </c>
      <c r="M86" s="219">
        <f t="shared" si="22"/>
        <v>0.26000512138767562</v>
      </c>
      <c r="N86" s="219">
        <f t="shared" si="23"/>
        <v>0.19750465276823018</v>
      </c>
      <c r="O86" s="219">
        <f t="shared" si="24"/>
        <v>3.120061456652107</v>
      </c>
      <c r="P86" s="219">
        <f t="shared" si="25"/>
        <v>2.3700558332187627</v>
      </c>
      <c r="Q86" s="219">
        <f t="shared" si="26"/>
        <v>1.6823860795673127</v>
      </c>
      <c r="R86" s="219">
        <f t="shared" si="27"/>
        <v>1.2779712826179601</v>
      </c>
      <c r="S86" s="220">
        <f t="shared" si="36"/>
        <v>3.6145810012521964</v>
      </c>
      <c r="T86" s="220">
        <f t="shared" si="37"/>
        <v>2.7457019375034357</v>
      </c>
      <c r="U86" s="219">
        <f t="shared" si="29"/>
        <v>0</v>
      </c>
      <c r="V86" s="219">
        <f t="shared" si="38"/>
        <v>0</v>
      </c>
      <c r="W86" s="219">
        <f t="shared" si="30"/>
        <v>3.6145810012521964</v>
      </c>
      <c r="X86" s="219">
        <f t="shared" si="31"/>
        <v>2.7457019375034357</v>
      </c>
      <c r="Y86" s="219">
        <f t="shared" si="32"/>
        <v>6.3726745438155792</v>
      </c>
      <c r="Z86" s="219">
        <f t="shared" si="33"/>
        <v>4.8408003129468193</v>
      </c>
      <c r="AA86" s="232">
        <v>2156539571430.7</v>
      </c>
      <c r="AB86" s="239">
        <v>2156.5395714307001</v>
      </c>
      <c r="AC86" s="237">
        <v>1638146960195.0569</v>
      </c>
      <c r="AD86" s="199">
        <v>1638.14696019506</v>
      </c>
    </row>
    <row r="87" spans="1:30">
      <c r="A87" s="217" t="s">
        <v>449</v>
      </c>
      <c r="B87" s="215" t="s">
        <v>559</v>
      </c>
      <c r="C87" s="218">
        <f t="shared" si="19"/>
        <v>43.554449252064643</v>
      </c>
      <c r="D87" s="194">
        <v>6.0587554077675225</v>
      </c>
      <c r="E87" s="194">
        <v>37.495693844297122</v>
      </c>
      <c r="F87" s="194">
        <v>0</v>
      </c>
      <c r="G87" s="250">
        <f t="shared" si="20"/>
        <v>165.30113810626108</v>
      </c>
      <c r="H87" s="194">
        <v>0.68589683861519124</v>
      </c>
      <c r="I87" s="194">
        <v>164.6152412676459</v>
      </c>
      <c r="J87" s="194">
        <v>11.431613976919854</v>
      </c>
      <c r="K87" s="220">
        <f t="shared" si="34"/>
        <v>3.2898135025815733</v>
      </c>
      <c r="L87" s="220">
        <f t="shared" si="35"/>
        <v>2.4243683723973222</v>
      </c>
      <c r="M87" s="219">
        <f t="shared" si="22"/>
        <v>0.45763809878431333</v>
      </c>
      <c r="N87" s="219">
        <f t="shared" si="23"/>
        <v>0.33724809379805271</v>
      </c>
      <c r="O87" s="219">
        <f t="shared" si="24"/>
        <v>2.83217540379726</v>
      </c>
      <c r="P87" s="219">
        <f t="shared" si="25"/>
        <v>2.0871202785992695</v>
      </c>
      <c r="Q87" s="219">
        <f t="shared" si="26"/>
        <v>0</v>
      </c>
      <c r="R87" s="219">
        <f t="shared" si="27"/>
        <v>0</v>
      </c>
      <c r="S87" s="220">
        <f t="shared" si="36"/>
        <v>12.48574888381353</v>
      </c>
      <c r="T87" s="220">
        <f t="shared" si="37"/>
        <v>9.2011461062638542</v>
      </c>
      <c r="U87" s="219">
        <f t="shared" si="29"/>
        <v>5.1808086654827917E-2</v>
      </c>
      <c r="V87" s="219">
        <f t="shared" si="38"/>
        <v>3.8179029486572008E-2</v>
      </c>
      <c r="W87" s="219">
        <f t="shared" si="30"/>
        <v>12.433940797158701</v>
      </c>
      <c r="X87" s="219">
        <f t="shared" si="31"/>
        <v>9.1629670767772815</v>
      </c>
      <c r="Y87" s="219">
        <f t="shared" si="32"/>
        <v>0.86346811091379871</v>
      </c>
      <c r="Z87" s="219">
        <f t="shared" si="33"/>
        <v>0.63631715810953338</v>
      </c>
      <c r="AA87" s="232">
        <v>1796527695541.4199</v>
      </c>
      <c r="AB87" s="239">
        <v>1796.5276955414199</v>
      </c>
      <c r="AC87" s="237">
        <v>1323918490148.05</v>
      </c>
      <c r="AD87" s="199">
        <v>1323.9184901480501</v>
      </c>
    </row>
    <row r="88" spans="1:30">
      <c r="A88" s="217" t="s">
        <v>463</v>
      </c>
      <c r="B88" s="215" t="s">
        <v>559</v>
      </c>
      <c r="C88" s="218">
        <f t="shared" si="19"/>
        <v>241.4414266835733</v>
      </c>
      <c r="D88" s="194">
        <v>40.752852274615869</v>
      </c>
      <c r="E88" s="194">
        <v>200.68857440895744</v>
      </c>
      <c r="F88" s="194">
        <v>5.126144940203254</v>
      </c>
      <c r="G88" s="250">
        <f t="shared" si="20"/>
        <v>437.00385615232733</v>
      </c>
      <c r="H88" s="194">
        <v>1.2815362350508135</v>
      </c>
      <c r="I88" s="194">
        <v>435.72231991727654</v>
      </c>
      <c r="J88" s="194">
        <v>0</v>
      </c>
      <c r="K88" s="220">
        <f t="shared" si="34"/>
        <v>7.6468718491395311</v>
      </c>
      <c r="L88" s="220">
        <f t="shared" si="35"/>
        <v>8.2067431629560765</v>
      </c>
      <c r="M88" s="219">
        <f t="shared" si="22"/>
        <v>1.2907140382305575</v>
      </c>
      <c r="N88" s="219">
        <f t="shared" si="23"/>
        <v>1.3852146103078726</v>
      </c>
      <c r="O88" s="219">
        <f t="shared" si="24"/>
        <v>6.3561578109089734</v>
      </c>
      <c r="P88" s="219">
        <f t="shared" si="25"/>
        <v>6.8215285526482035</v>
      </c>
      <c r="Q88" s="219">
        <f t="shared" si="26"/>
        <v>0.1623539670730261</v>
      </c>
      <c r="R88" s="219">
        <f t="shared" si="27"/>
        <v>0.17424083148526701</v>
      </c>
      <c r="S88" s="220">
        <f t="shared" si="36"/>
        <v>13.840675692975474</v>
      </c>
      <c r="T88" s="220">
        <f t="shared" si="37"/>
        <v>14.854030884119007</v>
      </c>
      <c r="U88" s="219">
        <f t="shared" si="29"/>
        <v>4.0588491768256525E-2</v>
      </c>
      <c r="V88" s="219">
        <f t="shared" si="38"/>
        <v>4.3560207871316751E-2</v>
      </c>
      <c r="W88" s="219">
        <f t="shared" si="30"/>
        <v>13.800087201207218</v>
      </c>
      <c r="X88" s="219">
        <f t="shared" si="31"/>
        <v>14.810470676247691</v>
      </c>
      <c r="Y88" s="219">
        <f t="shared" si="32"/>
        <v>0</v>
      </c>
      <c r="Z88" s="219">
        <f t="shared" si="33"/>
        <v>0</v>
      </c>
      <c r="AA88" s="232">
        <v>2941988336778.9702</v>
      </c>
      <c r="AB88" s="239">
        <v>2941.9883367789698</v>
      </c>
      <c r="AC88" s="237">
        <v>3157388164033.9238</v>
      </c>
      <c r="AD88" s="199">
        <v>3157.38816403392</v>
      </c>
    </row>
    <row r="89" spans="1:30">
      <c r="A89" s="217" t="s">
        <v>464</v>
      </c>
      <c r="B89" s="215" t="s">
        <v>559</v>
      </c>
      <c r="C89" s="218">
        <f t="shared" si="19"/>
        <v>2449</v>
      </c>
      <c r="D89" s="194">
        <v>304</v>
      </c>
      <c r="E89" s="194">
        <v>2145</v>
      </c>
      <c r="F89" s="194">
        <v>18</v>
      </c>
      <c r="G89" s="250">
        <f t="shared" si="20"/>
        <v>510</v>
      </c>
      <c r="H89" s="194">
        <v>56</v>
      </c>
      <c r="I89" s="194">
        <v>454</v>
      </c>
      <c r="J89" s="194">
        <v>0</v>
      </c>
      <c r="K89" s="220">
        <f t="shared" si="34"/>
        <v>12.288639911442406</v>
      </c>
      <c r="L89" s="220">
        <f t="shared" si="35"/>
        <v>12.260807928833465</v>
      </c>
      <c r="M89" s="219">
        <f t="shared" si="22"/>
        <v>1.5254171225310298</v>
      </c>
      <c r="N89" s="219">
        <f t="shared" si="23"/>
        <v>1.5219622745469061</v>
      </c>
      <c r="O89" s="219">
        <f t="shared" si="24"/>
        <v>10.763222788911376</v>
      </c>
      <c r="P89" s="219">
        <f t="shared" si="25"/>
        <v>10.738845654286559</v>
      </c>
      <c r="Q89" s="219">
        <f t="shared" si="26"/>
        <v>9.0320750676179395E-2</v>
      </c>
      <c r="R89" s="219">
        <f t="shared" si="27"/>
        <v>9.0116187308698387E-2</v>
      </c>
      <c r="S89" s="220">
        <f t="shared" si="36"/>
        <v>2.5590879358250826</v>
      </c>
      <c r="T89" s="220">
        <f t="shared" si="37"/>
        <v>2.5532919737464543</v>
      </c>
      <c r="U89" s="219">
        <f t="shared" si="29"/>
        <v>0.28099789099255812</v>
      </c>
      <c r="V89" s="219">
        <f t="shared" si="38"/>
        <v>0.28036147162706165</v>
      </c>
      <c r="W89" s="219">
        <f t="shared" si="30"/>
        <v>2.2780900448325245</v>
      </c>
      <c r="X89" s="219">
        <f t="shared" si="31"/>
        <v>2.2729305021193928</v>
      </c>
      <c r="Y89" s="219">
        <f t="shared" si="32"/>
        <v>0</v>
      </c>
      <c r="Z89" s="219">
        <f t="shared" si="33"/>
        <v>0</v>
      </c>
      <c r="AA89" s="232">
        <v>19974213887167.602</v>
      </c>
      <c r="AB89" s="239">
        <v>19974.2138871676</v>
      </c>
      <c r="AC89" s="237">
        <v>19928975197000</v>
      </c>
      <c r="AD89" s="199">
        <v>19928.975197</v>
      </c>
    </row>
    <row r="90" spans="1:30">
      <c r="A90" s="217" t="s">
        <v>466</v>
      </c>
      <c r="B90" s="215" t="s">
        <v>559</v>
      </c>
      <c r="C90" s="218">
        <f t="shared" si="19"/>
        <v>6.7455001538198225</v>
      </c>
      <c r="D90" s="194">
        <v>1.8317719358641744</v>
      </c>
      <c r="E90" s="194">
        <v>4.9137282179556481</v>
      </c>
      <c r="F90" s="194">
        <v>2.1248554456024422</v>
      </c>
      <c r="G90" s="250">
        <f t="shared" si="20"/>
        <v>1.7401833390709658</v>
      </c>
      <c r="H90" s="194">
        <v>1.7401833390709658</v>
      </c>
      <c r="I90" s="194">
        <v>0</v>
      </c>
      <c r="J90" s="194">
        <v>2.9766293957792835</v>
      </c>
      <c r="K90" s="220">
        <f t="shared" si="34"/>
        <v>0.52734184090795289</v>
      </c>
      <c r="L90" s="220">
        <f t="shared" si="35"/>
        <v>0.28322593251515216</v>
      </c>
      <c r="M90" s="219">
        <f t="shared" si="22"/>
        <v>0.14320212923501774</v>
      </c>
      <c r="N90" s="219">
        <f t="shared" si="23"/>
        <v>7.6911319080828822E-2</v>
      </c>
      <c r="O90" s="219">
        <f t="shared" si="24"/>
        <v>0.38413971167293515</v>
      </c>
      <c r="P90" s="219">
        <f t="shared" si="25"/>
        <v>0.20631461343432334</v>
      </c>
      <c r="Q90" s="219">
        <f t="shared" si="26"/>
        <v>0.16611446991262058</v>
      </c>
      <c r="R90" s="219">
        <f t="shared" si="27"/>
        <v>8.9217130133761438E-2</v>
      </c>
      <c r="S90" s="220">
        <f t="shared" si="36"/>
        <v>0.13604202277326685</v>
      </c>
      <c r="T90" s="220">
        <f t="shared" si="37"/>
        <v>7.3065753126787383E-2</v>
      </c>
      <c r="U90" s="219">
        <f t="shared" si="29"/>
        <v>0.13604202277326685</v>
      </c>
      <c r="V90" s="219">
        <f t="shared" si="38"/>
        <v>7.3065753126787383E-2</v>
      </c>
      <c r="W90" s="219">
        <f t="shared" si="30"/>
        <v>0</v>
      </c>
      <c r="X90" s="219">
        <f t="shared" si="31"/>
        <v>0</v>
      </c>
      <c r="Y90" s="219">
        <f t="shared" si="32"/>
        <v>0.23270346000690387</v>
      </c>
      <c r="Z90" s="219">
        <f t="shared" si="33"/>
        <v>0.12498089350634684</v>
      </c>
      <c r="AA90" s="232">
        <v>2381667559152.25</v>
      </c>
      <c r="AB90" s="239">
        <v>2381.6675591522499</v>
      </c>
      <c r="AC90" s="237">
        <v>1279151326624.439</v>
      </c>
      <c r="AD90" s="199">
        <v>1279.1513266244399</v>
      </c>
    </row>
    <row r="91" spans="1:30">
      <c r="A91" s="217" t="s">
        <v>467</v>
      </c>
      <c r="B91" s="215" t="s">
        <v>559</v>
      </c>
      <c r="C91" s="218">
        <f t="shared" si="19"/>
        <v>4.9034694285941081</v>
      </c>
      <c r="D91" s="194">
        <v>1.9527090644843794</v>
      </c>
      <c r="E91" s="194">
        <v>2.9507603641097289</v>
      </c>
      <c r="F91" s="194">
        <v>9.6189002065341658</v>
      </c>
      <c r="G91" s="250">
        <f t="shared" si="20"/>
        <v>69.096971859569479</v>
      </c>
      <c r="H91" s="194">
        <v>2.8929023177546362</v>
      </c>
      <c r="I91" s="194">
        <v>66.204069541814846</v>
      </c>
      <c r="J91" s="194">
        <v>15.3179177725108</v>
      </c>
      <c r="K91" s="220">
        <f t="shared" si="34"/>
        <v>0.49179599446194466</v>
      </c>
      <c r="L91" s="220">
        <f t="shared" si="35"/>
        <v>0.21010816234941035</v>
      </c>
      <c r="M91" s="219">
        <f t="shared" si="22"/>
        <v>0.19584796239634963</v>
      </c>
      <c r="N91" s="219">
        <f t="shared" si="23"/>
        <v>8.3671392086048374E-2</v>
      </c>
      <c r="O91" s="219">
        <f t="shared" si="24"/>
        <v>0.295948032065595</v>
      </c>
      <c r="P91" s="219">
        <f t="shared" si="25"/>
        <v>0.12643677026336197</v>
      </c>
      <c r="Q91" s="219">
        <f t="shared" si="26"/>
        <v>0.96473255550794457</v>
      </c>
      <c r="R91" s="219">
        <f t="shared" si="27"/>
        <v>0.41215907953497899</v>
      </c>
      <c r="S91" s="220">
        <f t="shared" si="36"/>
        <v>6.9301164175360164</v>
      </c>
      <c r="T91" s="220">
        <f t="shared" si="37"/>
        <v>2.9607277036670592</v>
      </c>
      <c r="U91" s="219">
        <f t="shared" si="29"/>
        <v>0.29014512947607357</v>
      </c>
      <c r="V91" s="219">
        <f t="shared" si="38"/>
        <v>0.12395761790525683</v>
      </c>
      <c r="W91" s="219">
        <f t="shared" si="30"/>
        <v>6.6399712880599431</v>
      </c>
      <c r="X91" s="219">
        <f t="shared" si="31"/>
        <v>2.8367700857618026</v>
      </c>
      <c r="Y91" s="219">
        <f t="shared" si="32"/>
        <v>1.5363184605758096</v>
      </c>
      <c r="Z91" s="219">
        <f t="shared" si="33"/>
        <v>0.65635558680833506</v>
      </c>
      <c r="AA91" s="232">
        <v>2333783406491.1899</v>
      </c>
      <c r="AB91" s="239">
        <v>2333.7834064911899</v>
      </c>
      <c r="AC91" s="237">
        <v>997053551434.22559</v>
      </c>
      <c r="AD91" s="199">
        <v>997.05355143423003</v>
      </c>
    </row>
    <row r="92" spans="1:30">
      <c r="A92" s="221" t="s">
        <v>530</v>
      </c>
      <c r="B92" s="215" t="s">
        <v>559</v>
      </c>
      <c r="C92" s="218">
        <f t="shared" si="19"/>
        <v>36.581164726143534</v>
      </c>
      <c r="D92" s="194">
        <v>2.0576905158455738</v>
      </c>
      <c r="E92" s="194">
        <v>34.523474210297962</v>
      </c>
      <c r="F92" s="194">
        <v>0</v>
      </c>
      <c r="G92" s="250">
        <f t="shared" si="20"/>
        <v>10.288452579227869</v>
      </c>
      <c r="H92" s="194">
        <v>0</v>
      </c>
      <c r="I92" s="194">
        <v>10.288452579227869</v>
      </c>
      <c r="J92" s="194">
        <v>0</v>
      </c>
      <c r="K92" s="220">
        <f t="shared" si="34"/>
        <v>8.8371072261775385</v>
      </c>
      <c r="L92" s="220">
        <f t="shared" si="35"/>
        <v>7.8064938472023151</v>
      </c>
      <c r="M92" s="219">
        <f t="shared" si="22"/>
        <v>0.49708728147248649</v>
      </c>
      <c r="N92" s="219">
        <f t="shared" si="23"/>
        <v>0.43911527890513014</v>
      </c>
      <c r="O92" s="219">
        <f t="shared" si="24"/>
        <v>8.3400199447050518</v>
      </c>
      <c r="P92" s="219">
        <f t="shared" si="25"/>
        <v>7.3673785682971848</v>
      </c>
      <c r="Q92" s="219">
        <f t="shared" si="26"/>
        <v>0</v>
      </c>
      <c r="R92" s="219">
        <f t="shared" si="27"/>
        <v>0</v>
      </c>
      <c r="S92" s="220">
        <f t="shared" si="36"/>
        <v>2.4854364073624322</v>
      </c>
      <c r="T92" s="220">
        <f t="shared" si="37"/>
        <v>2.1955763945256508</v>
      </c>
      <c r="U92" s="219">
        <f t="shared" si="29"/>
        <v>0</v>
      </c>
      <c r="V92" s="219">
        <f t="shared" si="38"/>
        <v>0</v>
      </c>
      <c r="W92" s="219">
        <f t="shared" si="30"/>
        <v>2.4854364073624322</v>
      </c>
      <c r="X92" s="219">
        <f t="shared" si="31"/>
        <v>2.1955763945256508</v>
      </c>
      <c r="Y92" s="219">
        <f t="shared" si="32"/>
        <v>0</v>
      </c>
      <c r="Z92" s="219">
        <f t="shared" si="33"/>
        <v>0</v>
      </c>
      <c r="AA92" s="232">
        <v>468599161699.88599</v>
      </c>
      <c r="AB92" s="239">
        <v>468.59916169988998</v>
      </c>
      <c r="AC92" s="237">
        <v>413949540159.26532</v>
      </c>
      <c r="AD92" s="199">
        <v>413.94954015926999</v>
      </c>
    </row>
    <row r="93" spans="1:30">
      <c r="A93" s="217" t="s">
        <v>456</v>
      </c>
      <c r="B93" s="215" t="s">
        <v>559</v>
      </c>
      <c r="C93" s="218">
        <f t="shared" si="19"/>
        <v>19.891008319840545</v>
      </c>
      <c r="D93" s="194">
        <v>3.7724326123835521</v>
      </c>
      <c r="E93" s="194">
        <v>16.118575707456994</v>
      </c>
      <c r="F93" s="194">
        <v>18.404898502840968</v>
      </c>
      <c r="G93" s="250">
        <f t="shared" si="20"/>
        <v>60.70187021744443</v>
      </c>
      <c r="H93" s="194">
        <v>1.2574775374611842</v>
      </c>
      <c r="I93" s="194">
        <v>59.444392679983245</v>
      </c>
      <c r="J93" s="194">
        <v>0</v>
      </c>
      <c r="K93" s="220">
        <f t="shared" si="34"/>
        <v>4.0171072024000507</v>
      </c>
      <c r="L93" s="220">
        <f t="shared" si="35"/>
        <v>3.5818875280916243</v>
      </c>
      <c r="M93" s="219">
        <f t="shared" si="22"/>
        <v>0.76186515907587182</v>
      </c>
      <c r="N93" s="219">
        <f t="shared" si="23"/>
        <v>0.67932349670703218</v>
      </c>
      <c r="O93" s="219">
        <f t="shared" si="24"/>
        <v>3.2552420433241789</v>
      </c>
      <c r="P93" s="219">
        <f t="shared" si="25"/>
        <v>2.9025640313845922</v>
      </c>
      <c r="Q93" s="219">
        <f t="shared" si="26"/>
        <v>3.716978503370163</v>
      </c>
      <c r="R93" s="219">
        <f t="shared" si="27"/>
        <v>3.3142752415100665</v>
      </c>
      <c r="S93" s="220">
        <f t="shared" si="36"/>
        <v>12.259103014220845</v>
      </c>
      <c r="T93" s="220">
        <f t="shared" si="37"/>
        <v>10.930932628831336</v>
      </c>
      <c r="U93" s="219">
        <f t="shared" si="29"/>
        <v>0.25395505302529059</v>
      </c>
      <c r="V93" s="219">
        <f t="shared" si="38"/>
        <v>0.22644116556901078</v>
      </c>
      <c r="W93" s="219">
        <f t="shared" si="30"/>
        <v>12.005147961195554</v>
      </c>
      <c r="X93" s="219">
        <f t="shared" si="31"/>
        <v>10.704491463262325</v>
      </c>
      <c r="Y93" s="219">
        <f t="shared" si="32"/>
        <v>0</v>
      </c>
      <c r="Z93" s="219">
        <f t="shared" si="33"/>
        <v>0</v>
      </c>
      <c r="AA93" s="232">
        <v>555321968203.677</v>
      </c>
      <c r="AB93" s="239">
        <v>555.32196820367994</v>
      </c>
      <c r="AC93" s="237">
        <v>495157518025.82001</v>
      </c>
      <c r="AD93" s="199">
        <v>495.15751802582002</v>
      </c>
    </row>
    <row r="94" spans="1:30">
      <c r="A94" s="221" t="s">
        <v>454</v>
      </c>
      <c r="B94" s="215" t="s">
        <v>559</v>
      </c>
      <c r="C94" s="218">
        <f t="shared" si="19"/>
        <v>10.573339000389979</v>
      </c>
      <c r="D94" s="194">
        <v>2.5315222329475802</v>
      </c>
      <c r="E94" s="194">
        <v>8.0418167674423984</v>
      </c>
      <c r="F94" s="194">
        <v>1.5892575253152907</v>
      </c>
      <c r="G94" s="250">
        <f t="shared" si="20"/>
        <v>37.38663194799085</v>
      </c>
      <c r="H94" s="194">
        <v>4.3422336757248381E-2</v>
      </c>
      <c r="I94" s="194">
        <v>37.343209611233604</v>
      </c>
      <c r="J94" s="194">
        <v>0</v>
      </c>
      <c r="K94" s="220">
        <f t="shared" si="34"/>
        <v>4.9032285094671719</v>
      </c>
      <c r="L94" s="220">
        <f t="shared" si="35"/>
        <v>2.5953475621254607</v>
      </c>
      <c r="M94" s="219">
        <f t="shared" si="22"/>
        <v>1.1739557375849534</v>
      </c>
      <c r="N94" s="219">
        <f t="shared" si="23"/>
        <v>0.62139122329328289</v>
      </c>
      <c r="O94" s="219">
        <f t="shared" si="24"/>
        <v>3.7292727718822185</v>
      </c>
      <c r="P94" s="219">
        <f t="shared" si="25"/>
        <v>1.9739563388321779</v>
      </c>
      <c r="Q94" s="219">
        <f t="shared" si="26"/>
        <v>0.73699451107391589</v>
      </c>
      <c r="R94" s="219">
        <f t="shared" si="27"/>
        <v>0.39010152268497694</v>
      </c>
      <c r="S94" s="220">
        <f t="shared" si="36"/>
        <v>17.337493826083104</v>
      </c>
      <c r="T94" s="220">
        <f t="shared" si="37"/>
        <v>9.1769784434908512</v>
      </c>
      <c r="U94" s="219">
        <f t="shared" si="29"/>
        <v>2.0136462051199889E-2</v>
      </c>
      <c r="V94" s="219">
        <f t="shared" si="38"/>
        <v>1.0658511548769862E-2</v>
      </c>
      <c r="W94" s="219">
        <f t="shared" si="30"/>
        <v>17.317357364031906</v>
      </c>
      <c r="X94" s="219">
        <f t="shared" si="31"/>
        <v>9.1663199319420805</v>
      </c>
      <c r="Y94" s="219">
        <f t="shared" si="32"/>
        <v>0</v>
      </c>
      <c r="Z94" s="219">
        <f t="shared" si="33"/>
        <v>0</v>
      </c>
      <c r="AA94" s="232">
        <v>407395878482.30298</v>
      </c>
      <c r="AB94" s="239">
        <v>407.39587848230002</v>
      </c>
      <c r="AC94" s="237">
        <v>215640347578.63721</v>
      </c>
      <c r="AD94" s="199">
        <v>215.64034757863999</v>
      </c>
    </row>
    <row r="95" spans="1:30">
      <c r="A95" s="221" t="s">
        <v>446</v>
      </c>
      <c r="B95" s="215" t="s">
        <v>559</v>
      </c>
      <c r="C95" s="218">
        <f t="shared" si="19"/>
        <v>20.044411427789434</v>
      </c>
      <c r="D95" s="194">
        <v>0.12203599042794176</v>
      </c>
      <c r="E95" s="194">
        <v>19.922375437361492</v>
      </c>
      <c r="F95" s="194">
        <v>26.756390901326231</v>
      </c>
      <c r="G95" s="250">
        <f t="shared" si="20"/>
        <v>30.692051592627351</v>
      </c>
      <c r="H95" s="194">
        <v>8.9848997952572116</v>
      </c>
      <c r="I95" s="194">
        <v>21.707151797370141</v>
      </c>
      <c r="J95" s="194">
        <v>0</v>
      </c>
      <c r="K95" s="220">
        <f t="shared" si="34"/>
        <v>6.0265358257569641</v>
      </c>
      <c r="L95" s="220">
        <f t="shared" si="35"/>
        <v>6.4438317781790557</v>
      </c>
      <c r="M95" s="219">
        <f t="shared" si="22"/>
        <v>3.6691237904151991E-2</v>
      </c>
      <c r="N95" s="219">
        <f t="shared" si="23"/>
        <v>3.9231852530770508E-2</v>
      </c>
      <c r="O95" s="219">
        <f t="shared" si="24"/>
        <v>5.9898445878528124</v>
      </c>
      <c r="P95" s="219">
        <f t="shared" si="25"/>
        <v>6.4045999256482853</v>
      </c>
      <c r="Q95" s="219">
        <f t="shared" si="26"/>
        <v>8.044553910485325</v>
      </c>
      <c r="R95" s="219">
        <f t="shared" si="27"/>
        <v>8.6015836673714343</v>
      </c>
      <c r="S95" s="220">
        <f t="shared" si="36"/>
        <v>9.2278463328942255</v>
      </c>
      <c r="T95" s="220">
        <f t="shared" si="37"/>
        <v>9.8668109114887841</v>
      </c>
      <c r="U95" s="219">
        <f t="shared" si="29"/>
        <v>2.7013923906931905</v>
      </c>
      <c r="V95" s="219">
        <f t="shared" si="38"/>
        <v>2.8884451425779787</v>
      </c>
      <c r="W95" s="219">
        <f t="shared" si="30"/>
        <v>6.5264539422010355</v>
      </c>
      <c r="X95" s="219">
        <f t="shared" si="31"/>
        <v>6.9783657689108045</v>
      </c>
      <c r="Y95" s="219">
        <f t="shared" si="32"/>
        <v>0</v>
      </c>
      <c r="Z95" s="219">
        <f t="shared" si="33"/>
        <v>0</v>
      </c>
      <c r="AA95" s="232">
        <v>311063542901.078</v>
      </c>
      <c r="AB95" s="239">
        <v>311.06354290107998</v>
      </c>
      <c r="AC95" s="237">
        <v>332602543274.04938</v>
      </c>
      <c r="AD95" s="199">
        <v>332.60254327404999</v>
      </c>
    </row>
    <row r="96" spans="1:30">
      <c r="A96" s="222" t="s">
        <v>531</v>
      </c>
      <c r="B96" s="255" t="s">
        <v>559</v>
      </c>
      <c r="C96" s="218">
        <f t="shared" si="19"/>
        <v>1.0745717138304665</v>
      </c>
      <c r="D96" s="194">
        <v>0.2629271214691567</v>
      </c>
      <c r="E96" s="194">
        <v>0.8116445923613097</v>
      </c>
      <c r="F96" s="194">
        <v>0</v>
      </c>
      <c r="G96" s="250">
        <f t="shared" si="20"/>
        <v>1.3260672213227032</v>
      </c>
      <c r="H96" s="194">
        <v>0.98311880201510748</v>
      </c>
      <c r="I96" s="194">
        <v>0.34294841930759562</v>
      </c>
      <c r="J96" s="194">
        <v>0</v>
      </c>
      <c r="K96" s="220">
        <f t="shared" si="34"/>
        <v>3.9953351780351181</v>
      </c>
      <c r="L96" s="220">
        <f t="shared" si="35"/>
        <v>2.3405247258086046</v>
      </c>
      <c r="M96" s="219">
        <f t="shared" si="22"/>
        <v>0.97758201164689063</v>
      </c>
      <c r="N96" s="219">
        <f t="shared" si="23"/>
        <v>0.5726815818467863</v>
      </c>
      <c r="O96" s="219">
        <f t="shared" si="24"/>
        <v>3.0177531663882275</v>
      </c>
      <c r="P96" s="219">
        <f t="shared" si="25"/>
        <v>1.7678431439618183</v>
      </c>
      <c r="Q96" s="219">
        <f t="shared" si="26"/>
        <v>0</v>
      </c>
      <c r="R96" s="219">
        <f t="shared" si="27"/>
        <v>0</v>
      </c>
      <c r="S96" s="220">
        <f t="shared" si="36"/>
        <v>4.9304136239582306</v>
      </c>
      <c r="T96" s="220">
        <f t="shared" si="37"/>
        <v>2.8883071084446614</v>
      </c>
      <c r="U96" s="219">
        <f t="shared" si="29"/>
        <v>3.6553066522448954</v>
      </c>
      <c r="V96" s="219">
        <f t="shared" si="38"/>
        <v>2.1413311321227662</v>
      </c>
      <c r="W96" s="219">
        <f t="shared" si="30"/>
        <v>1.2751069717133354</v>
      </c>
      <c r="X96" s="219">
        <f t="shared" si="31"/>
        <v>0.74697597632189505</v>
      </c>
      <c r="Y96" s="219">
        <f t="shared" si="32"/>
        <v>0</v>
      </c>
      <c r="Z96" s="219">
        <f t="shared" si="33"/>
        <v>0</v>
      </c>
      <c r="AA96" s="232">
        <v>45911572818.753304</v>
      </c>
      <c r="AB96" s="239">
        <v>45.911572818750003</v>
      </c>
      <c r="AC96" s="237">
        <v>26895658710.637878</v>
      </c>
      <c r="AD96" s="199">
        <v>26.895658710639999</v>
      </c>
    </row>
    <row r="97" spans="1:30">
      <c r="A97" s="221" t="s">
        <v>447</v>
      </c>
      <c r="B97" s="215" t="s">
        <v>559</v>
      </c>
      <c r="C97" s="218">
        <f t="shared" si="19"/>
        <v>6.8589683861519131</v>
      </c>
      <c r="D97" s="194">
        <v>1.4861098169995812</v>
      </c>
      <c r="E97" s="194">
        <v>5.3728585691523323</v>
      </c>
      <c r="F97" s="194">
        <v>4.9155940100755373</v>
      </c>
      <c r="G97" s="250">
        <f t="shared" si="20"/>
        <v>17.513232612641218</v>
      </c>
      <c r="H97" s="194">
        <v>2.7664505824146048</v>
      </c>
      <c r="I97" s="194">
        <v>14.746782030226614</v>
      </c>
      <c r="J97" s="194">
        <v>1.1431613976919854</v>
      </c>
      <c r="K97" s="220">
        <f t="shared" si="34"/>
        <v>2.6924928895586673</v>
      </c>
      <c r="L97" s="220">
        <f t="shared" si="35"/>
        <v>2.7012073711842555</v>
      </c>
      <c r="M97" s="219">
        <f t="shared" si="22"/>
        <v>0.58337345940437779</v>
      </c>
      <c r="N97" s="219">
        <f t="shared" si="23"/>
        <v>0.58526159708992198</v>
      </c>
      <c r="O97" s="219">
        <f t="shared" si="24"/>
        <v>2.1091194301542893</v>
      </c>
      <c r="P97" s="219">
        <f t="shared" si="25"/>
        <v>2.1159457740943335</v>
      </c>
      <c r="Q97" s="219">
        <f t="shared" si="26"/>
        <v>1.929619904183711</v>
      </c>
      <c r="R97" s="219">
        <f t="shared" si="27"/>
        <v>1.9358652826820495</v>
      </c>
      <c r="S97" s="220">
        <f t="shared" si="36"/>
        <v>6.87483184467313</v>
      </c>
      <c r="T97" s="220">
        <f t="shared" si="37"/>
        <v>6.897082821090466</v>
      </c>
      <c r="U97" s="219">
        <f t="shared" si="29"/>
        <v>1.0859721321219955</v>
      </c>
      <c r="V97" s="219">
        <f t="shared" si="38"/>
        <v>1.0894869730443162</v>
      </c>
      <c r="W97" s="219">
        <f t="shared" si="30"/>
        <v>5.7888597125511341</v>
      </c>
      <c r="X97" s="219">
        <f t="shared" si="31"/>
        <v>5.8075958480461498</v>
      </c>
      <c r="Y97" s="219">
        <f t="shared" si="32"/>
        <v>0.44874881492644442</v>
      </c>
      <c r="Z97" s="219">
        <f t="shared" si="33"/>
        <v>0.45020122853070921</v>
      </c>
      <c r="AA97" s="232">
        <v>253922318564.70901</v>
      </c>
      <c r="AB97" s="239">
        <v>253.92231856471</v>
      </c>
      <c r="AC97" s="237">
        <v>254744159687.49991</v>
      </c>
      <c r="AD97" s="199">
        <v>254.7441596875</v>
      </c>
    </row>
    <row r="98" spans="1:30">
      <c r="A98" s="222" t="s">
        <v>532</v>
      </c>
      <c r="B98" s="255" t="s">
        <v>559</v>
      </c>
      <c r="C98" s="218">
        <f t="shared" si="19"/>
        <v>13.260672213227091</v>
      </c>
      <c r="D98" s="194">
        <v>0.34294841930759717</v>
      </c>
      <c r="E98" s="194">
        <v>12.917723793919494</v>
      </c>
      <c r="F98" s="194">
        <v>1.3717936772303887</v>
      </c>
      <c r="G98" s="250">
        <f t="shared" si="20"/>
        <v>2.9722196339991758</v>
      </c>
      <c r="H98" s="194">
        <v>0</v>
      </c>
      <c r="I98" s="194">
        <v>2.9722196339991758</v>
      </c>
      <c r="J98" s="194">
        <v>0</v>
      </c>
      <c r="K98" s="220">
        <f t="shared" si="34"/>
        <v>6.5034215682298893</v>
      </c>
      <c r="L98" s="220">
        <f t="shared" si="35"/>
        <v>4.3975802375133517</v>
      </c>
      <c r="M98" s="219">
        <f t="shared" si="22"/>
        <v>0.16819193710939367</v>
      </c>
      <c r="N98" s="219">
        <f t="shared" si="23"/>
        <v>0.113730523383966</v>
      </c>
      <c r="O98" s="219">
        <f t="shared" si="24"/>
        <v>6.3352296311204954</v>
      </c>
      <c r="P98" s="219">
        <f t="shared" si="25"/>
        <v>4.2838497141293859</v>
      </c>
      <c r="Q98" s="219">
        <f t="shared" si="26"/>
        <v>0.6727677484375747</v>
      </c>
      <c r="R98" s="219">
        <f t="shared" si="27"/>
        <v>0.45492209353586399</v>
      </c>
      <c r="S98" s="220">
        <f t="shared" si="36"/>
        <v>1.4576634549480787</v>
      </c>
      <c r="T98" s="220">
        <f t="shared" si="37"/>
        <v>0.98566453599437198</v>
      </c>
      <c r="U98" s="219">
        <f t="shared" si="29"/>
        <v>0</v>
      </c>
      <c r="V98" s="219">
        <f t="shared" si="38"/>
        <v>0</v>
      </c>
      <c r="W98" s="219">
        <f t="shared" si="30"/>
        <v>1.4576634549480787</v>
      </c>
      <c r="X98" s="219">
        <f t="shared" si="31"/>
        <v>0.98566453599437198</v>
      </c>
      <c r="Y98" s="219">
        <f t="shared" si="32"/>
        <v>0</v>
      </c>
      <c r="Z98" s="219">
        <f t="shared" si="33"/>
        <v>0</v>
      </c>
      <c r="AA98" s="232">
        <v>301544747270.495</v>
      </c>
      <c r="AB98" s="239">
        <v>301.54474727050001</v>
      </c>
      <c r="AC98" s="237">
        <v>203903008195.06079</v>
      </c>
      <c r="AD98" s="199">
        <v>203.90300819506001</v>
      </c>
    </row>
    <row r="99" spans="1:30">
      <c r="A99" s="222" t="s">
        <v>533</v>
      </c>
      <c r="B99" s="255" t="s">
        <v>559</v>
      </c>
      <c r="C99" s="218">
        <f t="shared" si="19"/>
        <v>0.88253820443329634</v>
      </c>
      <c r="D99" s="194">
        <v>2.1328006607137996E-2</v>
      </c>
      <c r="E99" s="194">
        <v>0.86121019782615837</v>
      </c>
      <c r="F99" s="194">
        <v>0</v>
      </c>
      <c r="G99" s="250">
        <f t="shared" si="20"/>
        <v>0.91931062961801713</v>
      </c>
      <c r="H99" s="194">
        <v>0</v>
      </c>
      <c r="I99" s="194">
        <v>0.91931062961801713</v>
      </c>
      <c r="J99" s="194">
        <v>0</v>
      </c>
      <c r="K99" s="220">
        <f t="shared" si="34"/>
        <v>4.2572996227017779</v>
      </c>
      <c r="L99" s="220">
        <f t="shared" si="35"/>
        <v>4.6280958337256317</v>
      </c>
      <c r="M99" s="219">
        <f t="shared" si="22"/>
        <v>0.10288474088195963</v>
      </c>
      <c r="N99" s="219">
        <f t="shared" si="23"/>
        <v>0.11184564931503611</v>
      </c>
      <c r="O99" s="219">
        <f t="shared" si="24"/>
        <v>4.1544148818198181</v>
      </c>
      <c r="P99" s="219">
        <f t="shared" si="25"/>
        <v>4.5162501844105956</v>
      </c>
      <c r="Q99" s="219">
        <f t="shared" si="26"/>
        <v>0</v>
      </c>
      <c r="R99" s="219">
        <f t="shared" si="27"/>
        <v>0</v>
      </c>
      <c r="S99" s="220">
        <f t="shared" si="36"/>
        <v>4.434687106981019</v>
      </c>
      <c r="T99" s="220">
        <f t="shared" si="37"/>
        <v>4.8209331601308669</v>
      </c>
      <c r="U99" s="219">
        <f t="shared" si="29"/>
        <v>0</v>
      </c>
      <c r="V99" s="219">
        <f t="shared" si="38"/>
        <v>0</v>
      </c>
      <c r="W99" s="219">
        <f t="shared" si="30"/>
        <v>4.434687106981019</v>
      </c>
      <c r="X99" s="219">
        <f t="shared" si="31"/>
        <v>4.8209331601308669</v>
      </c>
      <c r="Y99" s="219">
        <f t="shared" si="32"/>
        <v>0</v>
      </c>
      <c r="Z99" s="219">
        <f t="shared" si="33"/>
        <v>0</v>
      </c>
      <c r="AA99" s="235">
        <v>19069142821.155399</v>
      </c>
      <c r="AB99" s="239">
        <v>19.06914282116</v>
      </c>
      <c r="AC99" s="237">
        <v>20729999827.29071</v>
      </c>
      <c r="AD99" s="199">
        <v>20.729999827290001</v>
      </c>
    </row>
    <row r="100" spans="1:30">
      <c r="A100" s="222" t="s">
        <v>534</v>
      </c>
      <c r="B100" s="255" t="s">
        <v>559</v>
      </c>
      <c r="C100" s="218">
        <f t="shared" si="19"/>
        <v>23.434808652685703</v>
      </c>
      <c r="D100" s="194">
        <v>2.2863227953839709</v>
      </c>
      <c r="E100" s="194">
        <v>21.148485857301733</v>
      </c>
      <c r="F100" s="194">
        <v>2.8579034942299635</v>
      </c>
      <c r="G100" s="250">
        <f t="shared" si="20"/>
        <v>6.8589683861519131</v>
      </c>
      <c r="H100" s="194">
        <v>4.5726455907679417</v>
      </c>
      <c r="I100" s="194">
        <v>2.2863227953839709</v>
      </c>
      <c r="J100" s="194">
        <v>0</v>
      </c>
      <c r="K100" s="220">
        <f t="shared" si="34"/>
        <v>6.308725700048833</v>
      </c>
      <c r="L100" s="220">
        <f t="shared" si="35"/>
        <v>5.6078791341391749</v>
      </c>
      <c r="M100" s="219">
        <f t="shared" si="22"/>
        <v>0.61548543415110557</v>
      </c>
      <c r="N100" s="219">
        <f t="shared" si="23"/>
        <v>0.54711015942821217</v>
      </c>
      <c r="O100" s="219">
        <f t="shared" si="24"/>
        <v>5.6932402658977272</v>
      </c>
      <c r="P100" s="219">
        <f t="shared" si="25"/>
        <v>5.060768974710963</v>
      </c>
      <c r="Q100" s="219">
        <f t="shared" si="26"/>
        <v>0.76935679268888202</v>
      </c>
      <c r="R100" s="219">
        <f t="shared" si="27"/>
        <v>0.68388769928526516</v>
      </c>
      <c r="S100" s="220">
        <f t="shared" si="36"/>
        <v>1.8464563024533167</v>
      </c>
      <c r="T100" s="220">
        <f t="shared" si="37"/>
        <v>1.6413304782846365</v>
      </c>
      <c r="U100" s="219">
        <f t="shared" si="29"/>
        <v>1.2309708683022111</v>
      </c>
      <c r="V100" s="219">
        <f t="shared" si="38"/>
        <v>1.0942203188564243</v>
      </c>
      <c r="W100" s="219">
        <f t="shared" si="30"/>
        <v>0.61548543415110557</v>
      </c>
      <c r="X100" s="219">
        <f t="shared" si="31"/>
        <v>0.54711015942821217</v>
      </c>
      <c r="Y100" s="219">
        <f t="shared" si="32"/>
        <v>0</v>
      </c>
      <c r="Z100" s="219">
        <f t="shared" si="33"/>
        <v>0</v>
      </c>
      <c r="AA100" s="235">
        <v>417890758558.284</v>
      </c>
      <c r="AB100" s="239">
        <v>417.89075855828003</v>
      </c>
      <c r="AC100" s="237">
        <v>371466596693.27911</v>
      </c>
      <c r="AD100" s="199">
        <v>371.46659669328</v>
      </c>
    </row>
    <row r="101" spans="1:30">
      <c r="A101" s="222" t="s">
        <v>535</v>
      </c>
      <c r="B101" s="255" t="s">
        <v>559</v>
      </c>
      <c r="C101" s="218">
        <f t="shared" si="19"/>
        <v>25.918306382883841</v>
      </c>
      <c r="D101" s="194">
        <v>4.0163261841927023</v>
      </c>
      <c r="E101" s="194">
        <v>21.901980198691138</v>
      </c>
      <c r="F101" s="194">
        <v>2.0803991745458603</v>
      </c>
      <c r="G101" s="250">
        <f t="shared" si="20"/>
        <v>11.153251130204193</v>
      </c>
      <c r="H101" s="194">
        <v>0.9535162883335192</v>
      </c>
      <c r="I101" s="194">
        <v>10.199734841870674</v>
      </c>
      <c r="J101" s="194">
        <v>0</v>
      </c>
      <c r="K101" s="220">
        <f t="shared" si="34"/>
        <v>7.2304547534162724</v>
      </c>
      <c r="L101" s="220">
        <f t="shared" si="35"/>
        <v>7.5696715765084619</v>
      </c>
      <c r="M101" s="219">
        <f t="shared" si="22"/>
        <v>1.1204383620121092</v>
      </c>
      <c r="N101" s="219">
        <f t="shared" si="23"/>
        <v>1.1730037337064394</v>
      </c>
      <c r="O101" s="219">
        <f t="shared" si="24"/>
        <v>6.1100163914041632</v>
      </c>
      <c r="P101" s="219">
        <f t="shared" si="25"/>
        <v>6.3966678428020227</v>
      </c>
      <c r="Q101" s="219">
        <f t="shared" si="26"/>
        <v>0.5803709501069918</v>
      </c>
      <c r="R101" s="219">
        <f t="shared" si="27"/>
        <v>0.60759905630837163</v>
      </c>
      <c r="S101" s="220">
        <f t="shared" si="36"/>
        <v>3.1114331491847054</v>
      </c>
      <c r="T101" s="220">
        <f t="shared" si="37"/>
        <v>3.257406051875436</v>
      </c>
      <c r="U101" s="219">
        <f t="shared" si="29"/>
        <v>0.2660033521323712</v>
      </c>
      <c r="V101" s="219">
        <f t="shared" si="38"/>
        <v>0.27848290080800364</v>
      </c>
      <c r="W101" s="219">
        <f t="shared" si="30"/>
        <v>2.8454297970523341</v>
      </c>
      <c r="X101" s="219">
        <f t="shared" si="31"/>
        <v>2.9789231510674323</v>
      </c>
      <c r="Y101" s="219">
        <f t="shared" si="32"/>
        <v>0</v>
      </c>
      <c r="Z101" s="219">
        <f t="shared" si="33"/>
        <v>0</v>
      </c>
      <c r="AA101" s="235">
        <v>342396709301.34399</v>
      </c>
      <c r="AB101" s="239">
        <v>342.39670930134002</v>
      </c>
      <c r="AC101" s="237">
        <v>358460252733.58807</v>
      </c>
      <c r="AD101" s="199">
        <v>358.46025273358998</v>
      </c>
    </row>
    <row r="102" spans="1:30">
      <c r="A102" s="222" t="s">
        <v>536</v>
      </c>
      <c r="B102" s="255" t="s">
        <v>559</v>
      </c>
      <c r="C102" s="218">
        <f t="shared" si="19"/>
        <v>2.6412118346100706</v>
      </c>
      <c r="D102" s="194">
        <v>0.2311060355223796</v>
      </c>
      <c r="E102" s="194">
        <v>2.4101057990876908</v>
      </c>
      <c r="F102" s="194">
        <v>0</v>
      </c>
      <c r="G102" s="250">
        <f t="shared" si="20"/>
        <v>1.0485610983298868</v>
      </c>
      <c r="H102" s="194">
        <v>0.2311060355223796</v>
      </c>
      <c r="I102" s="194">
        <v>0.81745506280750724</v>
      </c>
      <c r="J102" s="194">
        <v>0</v>
      </c>
      <c r="K102" s="220">
        <f t="shared" si="34"/>
        <v>8.7573111594010662</v>
      </c>
      <c r="L102" s="220">
        <f t="shared" si="35"/>
        <v>4.7655871856594887</v>
      </c>
      <c r="M102" s="219">
        <f t="shared" si="22"/>
        <v>0.76626472642769428</v>
      </c>
      <c r="N102" s="219">
        <f t="shared" si="23"/>
        <v>0.41698887873437651</v>
      </c>
      <c r="O102" s="219">
        <f t="shared" si="24"/>
        <v>7.9910464329733726</v>
      </c>
      <c r="P102" s="219">
        <f t="shared" si="25"/>
        <v>4.348598306925112</v>
      </c>
      <c r="Q102" s="219">
        <f t="shared" si="26"/>
        <v>0</v>
      </c>
      <c r="R102" s="219">
        <f t="shared" si="27"/>
        <v>0</v>
      </c>
      <c r="S102" s="220">
        <f t="shared" si="36"/>
        <v>3.4766525302480353</v>
      </c>
      <c r="T102" s="220">
        <f t="shared" si="37"/>
        <v>1.8919381126882124</v>
      </c>
      <c r="U102" s="219">
        <f t="shared" si="29"/>
        <v>0.76626472642769428</v>
      </c>
      <c r="V102" s="219">
        <f t="shared" si="38"/>
        <v>0.41698887873437651</v>
      </c>
      <c r="W102" s="219">
        <f t="shared" si="30"/>
        <v>2.7103878038203408</v>
      </c>
      <c r="X102" s="219">
        <f t="shared" si="31"/>
        <v>1.4749492339538359</v>
      </c>
      <c r="Y102" s="219">
        <f t="shared" si="32"/>
        <v>0</v>
      </c>
      <c r="Z102" s="219">
        <f t="shared" si="33"/>
        <v>0</v>
      </c>
      <c r="AA102" s="236">
        <v>55422589740</v>
      </c>
      <c r="AB102" s="240">
        <v>55.422589739999999</v>
      </c>
      <c r="AC102" s="237">
        <v>30160077523.05077</v>
      </c>
      <c r="AD102" s="199">
        <v>30.160077523049999</v>
      </c>
    </row>
    <row r="103" spans="1:30">
      <c r="A103" s="222" t="s">
        <v>537</v>
      </c>
      <c r="B103" s="255" t="s">
        <v>559</v>
      </c>
      <c r="C103" s="218">
        <f t="shared" si="19"/>
        <v>2.5949763727608071</v>
      </c>
      <c r="D103" s="194">
        <v>0.57158069884599272</v>
      </c>
      <c r="E103" s="194">
        <v>2.0233956739148145</v>
      </c>
      <c r="F103" s="194">
        <v>2.503523460945448</v>
      </c>
      <c r="G103" s="250">
        <f t="shared" si="20"/>
        <v>1.9662376040302147</v>
      </c>
      <c r="H103" s="194">
        <v>0.36581164726143534</v>
      </c>
      <c r="I103" s="194">
        <v>1.6004259567687795</v>
      </c>
      <c r="J103" s="194">
        <v>0</v>
      </c>
      <c r="K103" s="220">
        <f t="shared" si="34"/>
        <v>5.3818960772623692</v>
      </c>
      <c r="L103" s="220">
        <f t="shared" si="35"/>
        <v>2.6714857655953939</v>
      </c>
      <c r="M103" s="219">
        <f t="shared" si="22"/>
        <v>1.1854396645952354</v>
      </c>
      <c r="N103" s="219">
        <f t="shared" si="23"/>
        <v>0.5884329880166066</v>
      </c>
      <c r="O103" s="219">
        <f t="shared" si="24"/>
        <v>4.1964564126671338</v>
      </c>
      <c r="P103" s="219">
        <f t="shared" si="25"/>
        <v>2.0830527775787875</v>
      </c>
      <c r="Q103" s="219">
        <f t="shared" si="26"/>
        <v>5.19222573092713</v>
      </c>
      <c r="R103" s="219">
        <f t="shared" si="27"/>
        <v>2.5773364875127363</v>
      </c>
      <c r="S103" s="220">
        <f t="shared" si="36"/>
        <v>4.0779124462076091</v>
      </c>
      <c r="T103" s="220">
        <f t="shared" si="37"/>
        <v>2.0242094787771263</v>
      </c>
      <c r="U103" s="219">
        <f t="shared" si="29"/>
        <v>0.75868138534095053</v>
      </c>
      <c r="V103" s="219">
        <f t="shared" si="38"/>
        <v>0.3765971123306282</v>
      </c>
      <c r="W103" s="219">
        <f t="shared" si="30"/>
        <v>3.3192310608666586</v>
      </c>
      <c r="X103" s="219">
        <f t="shared" si="31"/>
        <v>1.6476123664464981</v>
      </c>
      <c r="Y103" s="219">
        <f t="shared" si="32"/>
        <v>0</v>
      </c>
      <c r="Z103" s="219">
        <f t="shared" si="33"/>
        <v>0</v>
      </c>
      <c r="AA103" s="235">
        <v>97136073348.399506</v>
      </c>
      <c r="AB103" s="239">
        <v>97.136073348400004</v>
      </c>
      <c r="AC103" s="237">
        <v>48216768505.137871</v>
      </c>
      <c r="AD103" s="199">
        <v>48.216768505140003</v>
      </c>
    </row>
    <row r="104" spans="1:30">
      <c r="A104" s="222" t="s">
        <v>538</v>
      </c>
      <c r="B104" s="255" t="s">
        <v>559</v>
      </c>
      <c r="C104" s="218">
        <f t="shared" si="19"/>
        <v>3.5438003328451551</v>
      </c>
      <c r="D104" s="194">
        <v>0.2286322795383971</v>
      </c>
      <c r="E104" s="194">
        <v>3.315168053306758</v>
      </c>
      <c r="F104" s="194">
        <v>5.2145883075488326</v>
      </c>
      <c r="G104" s="250">
        <f t="shared" si="20"/>
        <v>2.8579034942299635</v>
      </c>
      <c r="H104" s="194">
        <v>0</v>
      </c>
      <c r="I104" s="194">
        <v>2.8579034942299635</v>
      </c>
      <c r="J104" s="194">
        <v>1.2574775374611842</v>
      </c>
      <c r="K104" s="220">
        <f t="shared" si="34"/>
        <v>5.3244195640159759</v>
      </c>
      <c r="L104" s="220">
        <f t="shared" si="35"/>
        <v>5.3415951260588308</v>
      </c>
      <c r="M104" s="219">
        <f t="shared" si="22"/>
        <v>0.34351093961393397</v>
      </c>
      <c r="N104" s="219">
        <f t="shared" si="23"/>
        <v>0.34461904039089231</v>
      </c>
      <c r="O104" s="219">
        <f t="shared" si="24"/>
        <v>4.9809086244020424</v>
      </c>
      <c r="P104" s="219">
        <f t="shared" si="25"/>
        <v>4.9969760856679386</v>
      </c>
      <c r="Q104" s="219">
        <f t="shared" si="26"/>
        <v>7.8347122849077095</v>
      </c>
      <c r="R104" s="219">
        <f t="shared" si="27"/>
        <v>7.8599855725063756</v>
      </c>
      <c r="S104" s="220">
        <f t="shared" si="36"/>
        <v>4.2938867451741736</v>
      </c>
      <c r="T104" s="220">
        <f t="shared" si="37"/>
        <v>4.3077380048861542</v>
      </c>
      <c r="U104" s="219">
        <f t="shared" si="29"/>
        <v>0</v>
      </c>
      <c r="V104" s="219">
        <f t="shared" si="38"/>
        <v>0</v>
      </c>
      <c r="W104" s="219">
        <f t="shared" si="30"/>
        <v>4.2938867451741736</v>
      </c>
      <c r="X104" s="219">
        <f t="shared" si="31"/>
        <v>4.3077380048861542</v>
      </c>
      <c r="Y104" s="219">
        <f t="shared" si="32"/>
        <v>1.8893101678766371</v>
      </c>
      <c r="Z104" s="219">
        <f t="shared" si="33"/>
        <v>1.8954047221499077</v>
      </c>
      <c r="AA104" s="232">
        <v>66343484468.839996</v>
      </c>
      <c r="AB104" s="239">
        <v>66.343484468840003</v>
      </c>
      <c r="AC104" s="237">
        <v>66557495896.737839</v>
      </c>
      <c r="AD104" s="199">
        <v>66.557495896739994</v>
      </c>
    </row>
    <row r="105" spans="1:30">
      <c r="A105" s="222" t="s">
        <v>452</v>
      </c>
      <c r="B105" s="255" t="s">
        <v>559</v>
      </c>
      <c r="C105" s="218">
        <f t="shared" si="19"/>
        <v>40.696545757834684</v>
      </c>
      <c r="D105" s="194">
        <v>4.2296971714603462</v>
      </c>
      <c r="E105" s="194">
        <v>36.46684858637434</v>
      </c>
      <c r="F105" s="194">
        <v>30.86535773768361</v>
      </c>
      <c r="G105" s="250">
        <f t="shared" si="20"/>
        <v>37.724326123835517</v>
      </c>
      <c r="H105" s="194">
        <v>0</v>
      </c>
      <c r="I105" s="194">
        <v>37.724326123835517</v>
      </c>
      <c r="J105" s="194">
        <v>0</v>
      </c>
      <c r="K105" s="220">
        <f t="shared" si="34"/>
        <v>4.8433829218327409</v>
      </c>
      <c r="L105" s="220">
        <f t="shared" si="35"/>
        <v>4.3645196256641805</v>
      </c>
      <c r="M105" s="219">
        <f t="shared" si="22"/>
        <v>0.50338530367362755</v>
      </c>
      <c r="N105" s="219">
        <f t="shared" si="23"/>
        <v>0.45361580379094008</v>
      </c>
      <c r="O105" s="219">
        <f t="shared" si="24"/>
        <v>4.3399976181591136</v>
      </c>
      <c r="P105" s="219">
        <f t="shared" si="25"/>
        <v>3.9109038218732408</v>
      </c>
      <c r="Q105" s="219">
        <f t="shared" si="26"/>
        <v>3.6733522159967418</v>
      </c>
      <c r="R105" s="219">
        <f t="shared" si="27"/>
        <v>3.3101693790149684</v>
      </c>
      <c r="S105" s="220">
        <f t="shared" si="36"/>
        <v>4.4896527084404623</v>
      </c>
      <c r="T105" s="220">
        <f t="shared" si="37"/>
        <v>4.0457625743516274</v>
      </c>
      <c r="U105" s="219">
        <f t="shared" si="29"/>
        <v>0</v>
      </c>
      <c r="V105" s="219">
        <f t="shared" si="38"/>
        <v>0</v>
      </c>
      <c r="W105" s="219">
        <f t="shared" si="30"/>
        <v>4.4896527084404623</v>
      </c>
      <c r="X105" s="219">
        <f t="shared" si="31"/>
        <v>4.0457625743516274</v>
      </c>
      <c r="Y105" s="219">
        <f t="shared" si="32"/>
        <v>0</v>
      </c>
      <c r="Z105" s="219">
        <f t="shared" si="33"/>
        <v>0</v>
      </c>
      <c r="AA105" s="232">
        <v>932440434418.74902</v>
      </c>
      <c r="AB105" s="239">
        <v>932.44043441874999</v>
      </c>
      <c r="AC105" s="237">
        <v>840250428566.88171</v>
      </c>
      <c r="AD105" s="199">
        <v>840.25042856688003</v>
      </c>
    </row>
    <row r="106" spans="1:30">
      <c r="A106" s="222" t="s">
        <v>465</v>
      </c>
      <c r="B106" s="255" t="s">
        <v>559</v>
      </c>
      <c r="C106" s="218">
        <f t="shared" si="19"/>
        <v>37.647910645019209</v>
      </c>
      <c r="D106" s="194">
        <v>0.51484322249598913</v>
      </c>
      <c r="E106" s="194">
        <v>37.133067422523219</v>
      </c>
      <c r="F106" s="194">
        <v>0</v>
      </c>
      <c r="G106" s="250">
        <f t="shared" si="20"/>
        <v>7.9478922472818319</v>
      </c>
      <c r="H106" s="194">
        <v>3.9256795715319166</v>
      </c>
      <c r="I106" s="194">
        <v>4.0222126757499153</v>
      </c>
      <c r="J106" s="194">
        <v>0</v>
      </c>
      <c r="K106" s="220">
        <f t="shared" si="34"/>
        <v>18.55133533343367</v>
      </c>
      <c r="L106" s="220">
        <f t="shared" si="35"/>
        <v>19.408760186535989</v>
      </c>
      <c r="M106" s="219">
        <f t="shared" si="22"/>
        <v>0.25369347464524672</v>
      </c>
      <c r="N106" s="219">
        <f t="shared" si="23"/>
        <v>0.26541894272185967</v>
      </c>
      <c r="O106" s="219">
        <f t="shared" si="24"/>
        <v>18.297641858788424</v>
      </c>
      <c r="P106" s="219">
        <f t="shared" si="25"/>
        <v>19.143341243814131</v>
      </c>
      <c r="Q106" s="219">
        <f t="shared" si="26"/>
        <v>0</v>
      </c>
      <c r="R106" s="219">
        <f t="shared" si="27"/>
        <v>0</v>
      </c>
      <c r="S106" s="220">
        <f t="shared" si="36"/>
        <v>3.9163930148359967</v>
      </c>
      <c r="T106" s="220">
        <f t="shared" si="37"/>
        <v>4.0974049282687082</v>
      </c>
      <c r="U106" s="219">
        <f t="shared" si="29"/>
        <v>1.9344127441700061</v>
      </c>
      <c r="V106" s="219">
        <f t="shared" si="38"/>
        <v>2.0238194382541796</v>
      </c>
      <c r="W106" s="219">
        <f t="shared" si="30"/>
        <v>1.9819802706659906</v>
      </c>
      <c r="X106" s="219">
        <f t="shared" si="31"/>
        <v>2.0735854900145285</v>
      </c>
      <c r="Y106" s="219">
        <f t="shared" si="32"/>
        <v>0</v>
      </c>
      <c r="Z106" s="219">
        <f t="shared" si="33"/>
        <v>0</v>
      </c>
      <c r="AA106" s="232">
        <v>193973805040.548</v>
      </c>
      <c r="AB106" s="239">
        <v>193.97380504054999</v>
      </c>
      <c r="AC106" s="237">
        <v>202939087501.52551</v>
      </c>
      <c r="AD106" s="199">
        <v>202.93908750153</v>
      </c>
    </row>
    <row r="107" spans="1:30">
      <c r="A107" s="222" t="s">
        <v>451</v>
      </c>
      <c r="B107" s="255" t="s">
        <v>559</v>
      </c>
      <c r="C107" s="218">
        <f t="shared" si="19"/>
        <v>0</v>
      </c>
      <c r="D107" s="194">
        <v>0</v>
      </c>
      <c r="E107" s="194">
        <v>0</v>
      </c>
      <c r="F107" s="194">
        <v>0</v>
      </c>
      <c r="G107" s="250">
        <f t="shared" si="20"/>
        <v>19.124674418686535</v>
      </c>
      <c r="H107" s="194">
        <v>5.3242412078748709</v>
      </c>
      <c r="I107" s="194">
        <v>13.800433210811665</v>
      </c>
      <c r="J107" s="194">
        <v>0</v>
      </c>
      <c r="K107" s="220">
        <f t="shared" si="34"/>
        <v>0</v>
      </c>
      <c r="L107" s="220">
        <f t="shared" si="35"/>
        <v>0</v>
      </c>
      <c r="M107" s="219">
        <f t="shared" si="22"/>
        <v>0</v>
      </c>
      <c r="N107" s="219">
        <f t="shared" si="23"/>
        <v>0</v>
      </c>
      <c r="O107" s="219">
        <f t="shared" si="24"/>
        <v>0</v>
      </c>
      <c r="P107" s="219">
        <f t="shared" si="25"/>
        <v>0</v>
      </c>
      <c r="Q107" s="219">
        <f t="shared" si="26"/>
        <v>0</v>
      </c>
      <c r="R107" s="219">
        <f t="shared" si="27"/>
        <v>0</v>
      </c>
      <c r="S107" s="220">
        <f t="shared" si="36"/>
        <v>4.6617198026557771</v>
      </c>
      <c r="T107" s="220">
        <f t="shared" si="37"/>
        <v>5.7873891454636235</v>
      </c>
      <c r="U107" s="219">
        <f t="shared" si="29"/>
        <v>1.2978061811402497</v>
      </c>
      <c r="V107" s="219">
        <f t="shared" si="38"/>
        <v>1.6111885148840825</v>
      </c>
      <c r="W107" s="219">
        <f t="shared" si="30"/>
        <v>3.3639136215155276</v>
      </c>
      <c r="X107" s="219">
        <f t="shared" si="31"/>
        <v>4.1762006305795412</v>
      </c>
      <c r="Y107" s="219">
        <f t="shared" si="32"/>
        <v>0</v>
      </c>
      <c r="Z107" s="219">
        <f t="shared" si="33"/>
        <v>0</v>
      </c>
      <c r="AA107" s="232">
        <v>330454267684.37299</v>
      </c>
      <c r="AB107" s="239">
        <v>330.45426768437</v>
      </c>
      <c r="AC107" s="237">
        <v>410249333471.11688</v>
      </c>
      <c r="AD107" s="199">
        <v>410.24933347112</v>
      </c>
    </row>
    <row r="108" spans="1:30">
      <c r="A108" s="222" t="s">
        <v>539</v>
      </c>
      <c r="B108" s="255" t="s">
        <v>559</v>
      </c>
      <c r="C108" s="218">
        <f t="shared" si="19"/>
        <v>7.2019168054595077</v>
      </c>
      <c r="D108" s="194">
        <v>1.8290582363071768</v>
      </c>
      <c r="E108" s="194">
        <v>5.3728585691523305</v>
      </c>
      <c r="F108" s="194">
        <v>9.0309750417666859</v>
      </c>
      <c r="G108" s="250">
        <f t="shared" si="20"/>
        <v>14.861098169995811</v>
      </c>
      <c r="H108" s="194">
        <v>0</v>
      </c>
      <c r="I108" s="194">
        <v>14.861098169995811</v>
      </c>
      <c r="J108" s="194">
        <v>0</v>
      </c>
      <c r="K108" s="220">
        <f t="shared" si="34"/>
        <v>3.2388197867879107</v>
      </c>
      <c r="L108" s="220">
        <f t="shared" si="35"/>
        <v>2.1106625637775824</v>
      </c>
      <c r="M108" s="219">
        <f t="shared" si="22"/>
        <v>0.82255740616835848</v>
      </c>
      <c r="N108" s="219">
        <f t="shared" si="23"/>
        <v>0.53604128603875123</v>
      </c>
      <c r="O108" s="219">
        <f t="shared" si="24"/>
        <v>2.4162623806195525</v>
      </c>
      <c r="P108" s="219">
        <f t="shared" si="25"/>
        <v>1.5746212777388313</v>
      </c>
      <c r="Q108" s="219">
        <f t="shared" si="26"/>
        <v>4.0613771929562708</v>
      </c>
      <c r="R108" s="219">
        <f t="shared" si="27"/>
        <v>2.6467038498163342</v>
      </c>
      <c r="S108" s="220">
        <f t="shared" si="36"/>
        <v>6.6832789251179126</v>
      </c>
      <c r="T108" s="220">
        <f t="shared" si="37"/>
        <v>4.3553354490648539</v>
      </c>
      <c r="U108" s="219">
        <f t="shared" si="29"/>
        <v>0</v>
      </c>
      <c r="V108" s="219">
        <f t="shared" si="38"/>
        <v>0</v>
      </c>
      <c r="W108" s="219">
        <f t="shared" si="30"/>
        <v>6.6832789251179126</v>
      </c>
      <c r="X108" s="219">
        <f t="shared" si="31"/>
        <v>4.3553354490648539</v>
      </c>
      <c r="Y108" s="219">
        <f t="shared" si="32"/>
        <v>0</v>
      </c>
      <c r="Z108" s="219">
        <f t="shared" si="33"/>
        <v>0</v>
      </c>
      <c r="AA108" s="232">
        <v>341215925702.96198</v>
      </c>
      <c r="AB108" s="239">
        <v>341.21592570296002</v>
      </c>
      <c r="AC108" s="237">
        <v>222362381347.61981</v>
      </c>
      <c r="AD108" s="199">
        <v>222.36238134761999</v>
      </c>
    </row>
    <row r="109" spans="1:30">
      <c r="A109" s="222" t="s">
        <v>540</v>
      </c>
      <c r="B109" s="255" t="s">
        <v>559</v>
      </c>
      <c r="C109" s="218">
        <f>D109+E109</f>
        <v>2.5149550749223684</v>
      </c>
      <c r="D109" s="194">
        <v>0.18290582363071767</v>
      </c>
      <c r="E109" s="194">
        <v>2.3320492512916506</v>
      </c>
      <c r="F109" s="194">
        <v>1.4060885191611421</v>
      </c>
      <c r="G109" s="250">
        <f t="shared" si="20"/>
        <v>4.5840772047448617</v>
      </c>
      <c r="H109" s="194">
        <v>0</v>
      </c>
      <c r="I109" s="194">
        <v>4.5840772047448617</v>
      </c>
      <c r="J109" s="194">
        <v>0</v>
      </c>
      <c r="K109" s="220">
        <f t="shared" si="34"/>
        <v>2.52787094908023</v>
      </c>
      <c r="L109" s="220">
        <f t="shared" si="35"/>
        <v>1.3840355185893003</v>
      </c>
      <c r="M109" s="219">
        <f>($D109/$AD109)*100</f>
        <v>0.18384515993310763</v>
      </c>
      <c r="N109" s="219">
        <f>($D109/$AB109)*100</f>
        <v>0.10065712862467636</v>
      </c>
      <c r="O109" s="219">
        <f>($E109/$AD109)*100</f>
        <v>2.3440257891471226</v>
      </c>
      <c r="P109" s="219">
        <f>($E109/$AB109)*100</f>
        <v>1.2833783899646238</v>
      </c>
      <c r="Q109" s="219">
        <f>($F109/$AD109)*100</f>
        <v>1.4133096669857648</v>
      </c>
      <c r="R109" s="219">
        <f>($F109/$AB109)*100</f>
        <v>0.77380167630219954</v>
      </c>
      <c r="S109" s="220">
        <f t="shared" si="36"/>
        <v>4.6076193208235097</v>
      </c>
      <c r="T109" s="220">
        <f t="shared" si="37"/>
        <v>2.5227192861559513</v>
      </c>
      <c r="U109" s="219">
        <f t="shared" si="29"/>
        <v>0</v>
      </c>
      <c r="V109" s="219">
        <f t="shared" si="38"/>
        <v>0</v>
      </c>
      <c r="W109" s="219">
        <f t="shared" si="30"/>
        <v>4.6076193208235097</v>
      </c>
      <c r="X109" s="219">
        <f t="shared" si="31"/>
        <v>2.5227192861559513</v>
      </c>
      <c r="Y109" s="219">
        <f t="shared" si="32"/>
        <v>0</v>
      </c>
      <c r="Z109" s="219">
        <f t="shared" si="33"/>
        <v>0</v>
      </c>
      <c r="AA109" s="232">
        <v>181711743748.14999</v>
      </c>
      <c r="AB109" s="239">
        <v>181.71174374815001</v>
      </c>
      <c r="AC109" s="237">
        <v>99489061173.693314</v>
      </c>
      <c r="AD109" s="199">
        <v>99.489061173690004</v>
      </c>
    </row>
    <row r="110" spans="1:30">
      <c r="A110" s="222" t="s">
        <v>541</v>
      </c>
      <c r="B110" s="255" t="s">
        <v>559</v>
      </c>
      <c r="C110" s="218">
        <f>D110+E110</f>
        <v>4.1153810316911672</v>
      </c>
      <c r="D110" s="194">
        <v>0.11431613976919908</v>
      </c>
      <c r="E110" s="194">
        <v>4.0010648919219678</v>
      </c>
      <c r="F110" s="194">
        <v>0</v>
      </c>
      <c r="G110" s="250">
        <f t="shared" si="20"/>
        <v>3.3151680533067727</v>
      </c>
      <c r="H110" s="194">
        <v>0.68589683861519435</v>
      </c>
      <c r="I110" s="194">
        <v>2.6292712146915784</v>
      </c>
      <c r="J110" s="194">
        <v>0.11431613976919908</v>
      </c>
      <c r="K110" s="220">
        <f t="shared" si="34"/>
        <v>8.1625269737342627</v>
      </c>
      <c r="L110" s="220">
        <f t="shared" si="35"/>
        <v>5.4123140293972885</v>
      </c>
      <c r="M110" s="219">
        <f>($D110/$AD110)*100</f>
        <v>0.22673686038150731</v>
      </c>
      <c r="N110" s="219">
        <f>($D110/$AB110)*100</f>
        <v>0.1503420563721469</v>
      </c>
      <c r="O110" s="219">
        <f>($E110/$AD110)*100</f>
        <v>7.9357901133527555</v>
      </c>
      <c r="P110" s="219">
        <f>($E110/$AB110)*100</f>
        <v>5.2619719730251413</v>
      </c>
      <c r="Q110" s="219">
        <f>($F110/$AD110)*100</f>
        <v>0</v>
      </c>
      <c r="R110" s="219">
        <f>($F110/$AB110)*100</f>
        <v>0</v>
      </c>
      <c r="S110" s="220">
        <f t="shared" si="36"/>
        <v>6.5753689510637106</v>
      </c>
      <c r="T110" s="220">
        <f t="shared" si="37"/>
        <v>4.3599196347922593</v>
      </c>
      <c r="U110" s="219">
        <f t="shared" si="29"/>
        <v>1.3604211622890434</v>
      </c>
      <c r="V110" s="219">
        <f t="shared" si="38"/>
        <v>0.90205233823288122</v>
      </c>
      <c r="W110" s="219">
        <f t="shared" si="30"/>
        <v>5.2149477887746674</v>
      </c>
      <c r="X110" s="219">
        <f t="shared" si="31"/>
        <v>3.4578672965593782</v>
      </c>
      <c r="Y110" s="219">
        <f t="shared" si="32"/>
        <v>0.22673686038150731</v>
      </c>
      <c r="Z110" s="219">
        <f t="shared" si="33"/>
        <v>0.1503420563721469</v>
      </c>
      <c r="AA110" s="232">
        <v>76037366075.546799</v>
      </c>
      <c r="AB110" s="239">
        <v>76.037366075549997</v>
      </c>
      <c r="AC110" s="237">
        <v>50417977728.390221</v>
      </c>
      <c r="AD110" s="199">
        <v>50.417977728389999</v>
      </c>
    </row>
    <row r="111" spans="1:30">
      <c r="A111" s="221" t="s">
        <v>450</v>
      </c>
      <c r="B111" s="215" t="s">
        <v>559</v>
      </c>
      <c r="C111" s="218">
        <f>D111+E111</f>
        <v>27.74467105165445</v>
      </c>
      <c r="D111" s="194">
        <v>1.5449973683666396</v>
      </c>
      <c r="E111" s="194">
        <v>26.199673683287809</v>
      </c>
      <c r="F111" s="194">
        <v>34.272828946161376</v>
      </c>
      <c r="G111" s="250">
        <f t="shared" si="20"/>
        <v>28.473648683207717</v>
      </c>
      <c r="H111" s="194">
        <v>1.272990789428851</v>
      </c>
      <c r="I111" s="194">
        <v>27.200657893778867</v>
      </c>
      <c r="J111" s="194">
        <v>0</v>
      </c>
      <c r="K111" s="220">
        <f t="shared" si="34"/>
        <v>5.0461253433878568</v>
      </c>
      <c r="L111" s="220">
        <f t="shared" si="35"/>
        <v>5.3252268540127687</v>
      </c>
      <c r="M111" s="219">
        <f>($D111/$AD111)*100</f>
        <v>0.28099992108277472</v>
      </c>
      <c r="N111" s="219">
        <f>($D111/$AB111)*100</f>
        <v>0.29654204441953458</v>
      </c>
      <c r="O111" s="219">
        <f>($E111/$AD111)*100</f>
        <v>4.7651254223050818</v>
      </c>
      <c r="P111" s="219">
        <f>($E111/$AB111)*100</f>
        <v>5.0286848095932344</v>
      </c>
      <c r="Q111" s="219">
        <f>($F111/$AD111)*100</f>
        <v>6.2334489535967634</v>
      </c>
      <c r="R111" s="219">
        <f>($F111/$AB111)*100</f>
        <v>6.5782214078981269</v>
      </c>
      <c r="S111" s="220">
        <f t="shared" si="36"/>
        <v>5.1787098131945175</v>
      </c>
      <c r="T111" s="220">
        <f t="shared" si="37"/>
        <v>5.4651445791966333</v>
      </c>
      <c r="U111" s="219">
        <f t="shared" si="29"/>
        <v>0.23152810399073692</v>
      </c>
      <c r="V111" s="219">
        <f t="shared" si="38"/>
        <v>0.24433393800764469</v>
      </c>
      <c r="W111" s="219">
        <f t="shared" si="30"/>
        <v>4.9471817092037806</v>
      </c>
      <c r="X111" s="219">
        <f t="shared" si="31"/>
        <v>5.2208106411889883</v>
      </c>
      <c r="Y111" s="219">
        <f t="shared" si="32"/>
        <v>0</v>
      </c>
      <c r="Z111" s="219">
        <f t="shared" si="33"/>
        <v>0</v>
      </c>
      <c r="AA111" s="232">
        <v>521004490742.91901</v>
      </c>
      <c r="AB111" s="239">
        <v>521.00449074291998</v>
      </c>
      <c r="AC111" s="237">
        <v>549821281946.73523</v>
      </c>
      <c r="AD111" s="199">
        <v>549.82128194673999</v>
      </c>
    </row>
    <row r="112" spans="1:30">
      <c r="A112" s="221" t="s">
        <v>453</v>
      </c>
      <c r="B112" s="215" t="s">
        <v>559</v>
      </c>
      <c r="C112" s="218">
        <f>D112+E112</f>
        <v>33.755844605203976</v>
      </c>
      <c r="D112" s="194">
        <v>2.7773796194155169</v>
      </c>
      <c r="E112" s="194">
        <v>30.978464985788456</v>
      </c>
      <c r="F112" s="194">
        <v>0</v>
      </c>
      <c r="G112" s="250">
        <f t="shared" si="20"/>
        <v>45.212535535292979</v>
      </c>
      <c r="H112" s="194">
        <v>1.014811784017208</v>
      </c>
      <c r="I112" s="194">
        <v>44.197723751275774</v>
      </c>
      <c r="J112" s="194">
        <v>0</v>
      </c>
      <c r="K112" s="220">
        <f t="shared" si="34"/>
        <v>4.5181906835291334</v>
      </c>
      <c r="L112" s="220">
        <f t="shared" si="35"/>
        <v>5.7134448694402113</v>
      </c>
      <c r="M112" s="219">
        <f>($D112/$AD112)*100</f>
        <v>0.37174986636632118</v>
      </c>
      <c r="N112" s="219">
        <f>($D112/$AB112)*100</f>
        <v>0.47009356520710599</v>
      </c>
      <c r="O112" s="219">
        <f>($E112/$AD112)*100</f>
        <v>4.1464408171628122</v>
      </c>
      <c r="P112" s="219">
        <f>($E112/$AB112)*100</f>
        <v>5.243351304233105</v>
      </c>
      <c r="Q112" s="219">
        <f>($F112/$AD112)*100</f>
        <v>0</v>
      </c>
      <c r="R112" s="219">
        <f>($F112/$AB112)*100</f>
        <v>0</v>
      </c>
      <c r="S112" s="220">
        <f t="shared" si="36"/>
        <v>6.0516588822902087</v>
      </c>
      <c r="T112" s="220">
        <f t="shared" si="37"/>
        <v>7.6525808259195234</v>
      </c>
      <c r="U112" s="219">
        <f t="shared" si="29"/>
        <v>0.13583168194154041</v>
      </c>
      <c r="V112" s="219">
        <f t="shared" si="38"/>
        <v>0.17176495651798102</v>
      </c>
      <c r="W112" s="219">
        <f t="shared" si="30"/>
        <v>5.9158272003486685</v>
      </c>
      <c r="X112" s="219">
        <f t="shared" si="31"/>
        <v>7.4808158694015425</v>
      </c>
      <c r="Y112" s="219">
        <f t="shared" si="32"/>
        <v>0</v>
      </c>
      <c r="Z112" s="219">
        <f t="shared" si="33"/>
        <v>0</v>
      </c>
      <c r="AA112" s="232">
        <v>590814217631.73499</v>
      </c>
      <c r="AB112" s="239">
        <v>590.81421763174001</v>
      </c>
      <c r="AC112" s="237">
        <v>747109782866.38879</v>
      </c>
      <c r="AD112" s="199">
        <v>747.10978286638999</v>
      </c>
    </row>
    <row r="113" spans="1:30">
      <c r="A113" s="217" t="s">
        <v>490</v>
      </c>
      <c r="B113" s="215" t="s">
        <v>559</v>
      </c>
      <c r="C113" s="218">
        <f>D113+E113</f>
        <v>20.586692247925818</v>
      </c>
      <c r="D113" s="194">
        <v>1.746749645278554</v>
      </c>
      <c r="E113" s="194">
        <v>18.839942602647263</v>
      </c>
      <c r="F113" s="194">
        <v>5.6145524312524948</v>
      </c>
      <c r="G113" s="250">
        <f t="shared" si="20"/>
        <v>0</v>
      </c>
      <c r="H113" s="194">
        <v>0</v>
      </c>
      <c r="I113" s="194">
        <v>0</v>
      </c>
      <c r="J113" s="194">
        <v>5.6145524312524948</v>
      </c>
      <c r="K113" s="220">
        <f t="shared" si="34"/>
        <v>7.8587322070419496</v>
      </c>
      <c r="L113" s="220">
        <f t="shared" si="35"/>
        <v>4.6651304045159154</v>
      </c>
      <c r="M113" s="219">
        <f>($D113/$AD113)*100</f>
        <v>0.66680152059749864</v>
      </c>
      <c r="N113" s="219">
        <f>($D113/$AB113)*100</f>
        <v>0.39582924644377454</v>
      </c>
      <c r="O113" s="219">
        <f>($E113/$AD113)*100</f>
        <v>7.1919306864444508</v>
      </c>
      <c r="P113" s="219">
        <f>($E113/$AB113)*100</f>
        <v>4.2693011580721407</v>
      </c>
      <c r="Q113" s="219">
        <f>($F113/$AD113)*100</f>
        <v>2.1432906019205311</v>
      </c>
      <c r="R113" s="219">
        <f>($F113/$AB113)*100</f>
        <v>1.2723082921407038</v>
      </c>
      <c r="S113" s="220">
        <f t="shared" si="36"/>
        <v>0</v>
      </c>
      <c r="T113" s="220">
        <f t="shared" si="37"/>
        <v>0</v>
      </c>
      <c r="U113" s="219">
        <f t="shared" si="29"/>
        <v>0</v>
      </c>
      <c r="V113" s="219">
        <f t="shared" si="38"/>
        <v>0</v>
      </c>
      <c r="W113" s="219">
        <f t="shared" si="30"/>
        <v>0</v>
      </c>
      <c r="X113" s="219">
        <f t="shared" si="31"/>
        <v>0</v>
      </c>
      <c r="Y113" s="219">
        <f t="shared" si="32"/>
        <v>2.1432906019205311</v>
      </c>
      <c r="Z113" s="219">
        <f t="shared" si="33"/>
        <v>1.2723082921407038</v>
      </c>
      <c r="AA113" s="232">
        <v>441288677118.17102</v>
      </c>
      <c r="AB113" s="239">
        <v>441.28867711817003</v>
      </c>
      <c r="AC113" s="237">
        <v>261959457397.9639</v>
      </c>
      <c r="AD113" s="199">
        <v>261.95945739796002</v>
      </c>
    </row>
    <row r="114" spans="1:30">
      <c r="A114" s="217" t="s">
        <v>481</v>
      </c>
      <c r="B114" s="215" t="s">
        <v>559</v>
      </c>
      <c r="C114" s="218">
        <f t="shared" si="19"/>
        <v>7.0502118032217247</v>
      </c>
      <c r="D114" s="194">
        <v>2.366534055873502</v>
      </c>
      <c r="E114" s="194">
        <v>4.6836777473482227</v>
      </c>
      <c r="F114" s="194">
        <v>0.10508588169953384</v>
      </c>
      <c r="G114" s="250">
        <f t="shared" si="20"/>
        <v>6.9141255864208286</v>
      </c>
      <c r="H114" s="194">
        <v>0.92028960898366752</v>
      </c>
      <c r="I114" s="194">
        <v>5.9938359774371612</v>
      </c>
      <c r="J114" s="194">
        <v>0</v>
      </c>
      <c r="K114" s="220">
        <f t="shared" si="34"/>
        <v>2.1935559481120208</v>
      </c>
      <c r="L114" s="220">
        <f t="shared" si="35"/>
        <v>1.0210756004623742</v>
      </c>
      <c r="M114" s="219">
        <f t="shared" si="22"/>
        <v>0.73630764572190655</v>
      </c>
      <c r="N114" s="219">
        <f t="shared" si="23"/>
        <v>0.34274292029233372</v>
      </c>
      <c r="O114" s="219">
        <f t="shared" si="24"/>
        <v>1.4572483023901142</v>
      </c>
      <c r="P114" s="219">
        <f t="shared" si="25"/>
        <v>0.67833268017004056</v>
      </c>
      <c r="Q114" s="219">
        <f t="shared" si="26"/>
        <v>3.2695721390848427E-2</v>
      </c>
      <c r="R114" s="219">
        <f t="shared" si="27"/>
        <v>1.5219490243886932E-2</v>
      </c>
      <c r="S114" s="220">
        <f t="shared" si="36"/>
        <v>2.1512149889108723</v>
      </c>
      <c r="T114" s="220">
        <f t="shared" si="37"/>
        <v>1.0013663605965408</v>
      </c>
      <c r="U114" s="219">
        <f t="shared" si="29"/>
        <v>0.28633278008035506</v>
      </c>
      <c r="V114" s="219">
        <f t="shared" si="38"/>
        <v>0.1332846858108398</v>
      </c>
      <c r="W114" s="219">
        <f t="shared" si="30"/>
        <v>1.864882208830517</v>
      </c>
      <c r="X114" s="219">
        <f t="shared" si="31"/>
        <v>0.86808167478570097</v>
      </c>
      <c r="Y114" s="219">
        <f t="shared" si="32"/>
        <v>0</v>
      </c>
      <c r="Z114" s="219">
        <f t="shared" si="33"/>
        <v>0</v>
      </c>
      <c r="AA114" s="232">
        <v>690469128831.32397</v>
      </c>
      <c r="AB114" s="239">
        <v>690.46912883131995</v>
      </c>
      <c r="AC114" s="237">
        <v>321405606694.9129</v>
      </c>
      <c r="AD114" s="199">
        <v>321.40560669490998</v>
      </c>
    </row>
    <row r="115" spans="1:30">
      <c r="A115" s="262" t="s">
        <v>542</v>
      </c>
      <c r="B115" s="255" t="s">
        <v>559</v>
      </c>
      <c r="C115" s="218">
        <f t="shared" si="19"/>
        <v>0.85162638443699334</v>
      </c>
      <c r="D115" s="194">
        <v>0.19652916563930617</v>
      </c>
      <c r="E115" s="194">
        <v>0.65509721879768712</v>
      </c>
      <c r="F115" s="194">
        <v>0.40684985167435311</v>
      </c>
      <c r="G115" s="250">
        <f t="shared" si="20"/>
        <v>0</v>
      </c>
      <c r="H115" s="194">
        <v>0</v>
      </c>
      <c r="I115" s="194">
        <v>0</v>
      </c>
      <c r="J115" s="194">
        <v>0</v>
      </c>
      <c r="K115" s="220">
        <f t="shared" si="34"/>
        <v>1.3227607831369561</v>
      </c>
      <c r="L115" s="220">
        <f t="shared" si="35"/>
        <v>0.93345810179928734</v>
      </c>
      <c r="M115" s="219">
        <f t="shared" si="22"/>
        <v>0.30525248841622071</v>
      </c>
      <c r="N115" s="219">
        <f t="shared" si="23"/>
        <v>0.21541340810752788</v>
      </c>
      <c r="O115" s="219">
        <f t="shared" si="24"/>
        <v>1.0175082947207355</v>
      </c>
      <c r="P115" s="219">
        <f t="shared" si="25"/>
        <v>0.71804469369175949</v>
      </c>
      <c r="Q115" s="219">
        <f t="shared" si="26"/>
        <v>0.63192620408972</v>
      </c>
      <c r="R115" s="219">
        <f t="shared" si="27"/>
        <v>0.4459435466085665</v>
      </c>
      <c r="S115" s="220">
        <f t="shared" si="36"/>
        <v>0</v>
      </c>
      <c r="T115" s="220">
        <f t="shared" si="37"/>
        <v>0</v>
      </c>
      <c r="U115" s="219">
        <f t="shared" si="29"/>
        <v>0</v>
      </c>
      <c r="V115" s="219">
        <f t="shared" si="38"/>
        <v>0</v>
      </c>
      <c r="W115" s="219">
        <f t="shared" si="30"/>
        <v>0</v>
      </c>
      <c r="X115" s="219">
        <f t="shared" si="31"/>
        <v>0</v>
      </c>
      <c r="Y115" s="219">
        <f t="shared" si="32"/>
        <v>0</v>
      </c>
      <c r="Z115" s="219">
        <f t="shared" si="33"/>
        <v>0</v>
      </c>
      <c r="AA115" s="232">
        <v>91233487908.610901</v>
      </c>
      <c r="AB115" s="239">
        <v>91.233487908610002</v>
      </c>
      <c r="AC115" s="237">
        <v>64382494196.515457</v>
      </c>
      <c r="AD115" s="199">
        <v>64.38249419652</v>
      </c>
    </row>
    <row r="116" spans="1:30">
      <c r="A116" s="262" t="s">
        <v>543</v>
      </c>
      <c r="B116" s="255" t="s">
        <v>559</v>
      </c>
      <c r="C116" s="218">
        <f t="shared" si="19"/>
        <v>6.1891640315932381</v>
      </c>
      <c r="D116" s="194">
        <v>1.7694150329493317</v>
      </c>
      <c r="E116" s="194">
        <v>4.4197489986439065</v>
      </c>
      <c r="F116" s="194">
        <v>0</v>
      </c>
      <c r="G116" s="250">
        <f t="shared" si="20"/>
        <v>6.6270225953158493</v>
      </c>
      <c r="H116" s="194">
        <v>0</v>
      </c>
      <c r="I116" s="194">
        <v>6.6270225953158493</v>
      </c>
      <c r="J116" s="194">
        <v>0</v>
      </c>
      <c r="K116" s="220">
        <f t="shared" si="34"/>
        <v>4.1993466801001249</v>
      </c>
      <c r="L116" s="220">
        <f t="shared" si="35"/>
        <v>1.9972250576039592</v>
      </c>
      <c r="M116" s="219">
        <f t="shared" si="22"/>
        <v>1.2005477809936589</v>
      </c>
      <c r="N116" s="219">
        <f t="shared" si="23"/>
        <v>0.57098503498505992</v>
      </c>
      <c r="O116" s="219">
        <f t="shared" si="24"/>
        <v>2.998798899106466</v>
      </c>
      <c r="P116" s="219">
        <f t="shared" si="25"/>
        <v>1.4262400226188992</v>
      </c>
      <c r="Q116" s="219">
        <f t="shared" si="26"/>
        <v>0</v>
      </c>
      <c r="R116" s="219">
        <f t="shared" si="27"/>
        <v>0</v>
      </c>
      <c r="S116" s="220">
        <f t="shared" si="36"/>
        <v>4.4964336366803703</v>
      </c>
      <c r="T116" s="220">
        <f t="shared" si="37"/>
        <v>2.1385207302811238</v>
      </c>
      <c r="U116" s="219">
        <f t="shared" si="29"/>
        <v>0</v>
      </c>
      <c r="V116" s="219">
        <f t="shared" si="38"/>
        <v>0</v>
      </c>
      <c r="W116" s="219">
        <f t="shared" si="30"/>
        <v>4.4964336366803703</v>
      </c>
      <c r="X116" s="219">
        <f t="shared" si="31"/>
        <v>2.1385207302811238</v>
      </c>
      <c r="Y116" s="219">
        <f t="shared" si="32"/>
        <v>0</v>
      </c>
      <c r="Z116" s="219">
        <f t="shared" si="33"/>
        <v>0</v>
      </c>
      <c r="AA116" s="232">
        <v>309888162479.70697</v>
      </c>
      <c r="AB116" s="239">
        <v>309.88816247970999</v>
      </c>
      <c r="AC116" s="237">
        <v>147383974295.86609</v>
      </c>
      <c r="AD116" s="199">
        <v>147.38397429586999</v>
      </c>
    </row>
    <row r="117" spans="1:30">
      <c r="A117" s="217" t="s">
        <v>487</v>
      </c>
      <c r="B117" s="215" t="s">
        <v>559</v>
      </c>
      <c r="C117" s="218">
        <f t="shared" si="19"/>
        <v>38.720578300885037</v>
      </c>
      <c r="D117" s="194">
        <v>2.169577558058819</v>
      </c>
      <c r="E117" s="194">
        <v>36.551000742826218</v>
      </c>
      <c r="F117" s="194">
        <v>0</v>
      </c>
      <c r="G117" s="250">
        <f t="shared" si="20"/>
        <v>29.097863719847695</v>
      </c>
      <c r="H117" s="194">
        <v>10.209776743806207</v>
      </c>
      <c r="I117" s="194">
        <v>18.888086976041485</v>
      </c>
      <c r="J117" s="194">
        <v>0</v>
      </c>
      <c r="K117" s="220">
        <f t="shared" ref="K117" si="39">M117+O117</f>
        <v>6.7752173418966866</v>
      </c>
      <c r="L117" s="220">
        <f t="shared" ref="L117" si="40">N117+P117</f>
        <v>3.1857700960487341</v>
      </c>
      <c r="M117" s="219">
        <f t="shared" si="22"/>
        <v>0.37962654849124489</v>
      </c>
      <c r="N117" s="219">
        <f t="shared" si="23"/>
        <v>0.17850392759666606</v>
      </c>
      <c r="O117" s="219">
        <f t="shared" si="24"/>
        <v>6.3955907934054421</v>
      </c>
      <c r="P117" s="219">
        <f t="shared" si="25"/>
        <v>3.0072661684520678</v>
      </c>
      <c r="Q117" s="219">
        <f t="shared" si="26"/>
        <v>0</v>
      </c>
      <c r="R117" s="219">
        <f t="shared" si="27"/>
        <v>0</v>
      </c>
      <c r="S117" s="220">
        <f t="shared" ref="S117" si="41">U117+W117</f>
        <v>5.0914619444708142</v>
      </c>
      <c r="T117" s="220">
        <f t="shared" ref="T117" si="42">V117+X117</f>
        <v>2.3940526760023451</v>
      </c>
      <c r="U117" s="219">
        <f t="shared" si="29"/>
        <v>1.7864778752529171</v>
      </c>
      <c r="V117" s="219">
        <f t="shared" ref="V117" si="43">($H117/AB117)*100</f>
        <v>0.84001848280784031</v>
      </c>
      <c r="W117" s="219">
        <f t="shared" si="30"/>
        <v>3.3049840692178969</v>
      </c>
      <c r="X117" s="219">
        <f t="shared" si="31"/>
        <v>1.5540341931945045</v>
      </c>
      <c r="Y117" s="219">
        <f t="shared" si="32"/>
        <v>0</v>
      </c>
      <c r="Z117" s="219">
        <f t="shared" si="33"/>
        <v>0</v>
      </c>
      <c r="AA117" s="232">
        <v>1215422868992.01</v>
      </c>
      <c r="AB117" s="239">
        <v>1215.4228689920101</v>
      </c>
      <c r="AC117" s="237">
        <v>571503117124.28699</v>
      </c>
      <c r="AD117" s="199">
        <v>571.50311712429004</v>
      </c>
    </row>
    <row r="118" spans="1:30">
      <c r="A118" s="217"/>
      <c r="B118" s="215"/>
      <c r="C118" s="218"/>
      <c r="D118" s="248"/>
      <c r="E118" s="248"/>
      <c r="F118" s="248"/>
      <c r="G118" s="220"/>
      <c r="H118" s="248"/>
      <c r="I118" s="248"/>
      <c r="J118" s="248"/>
      <c r="K118" s="220"/>
      <c r="L118" s="220"/>
      <c r="M118" s="219"/>
      <c r="N118" s="219"/>
      <c r="O118" s="219"/>
      <c r="P118" s="219"/>
      <c r="Q118" s="219"/>
      <c r="R118" s="219"/>
      <c r="S118" s="220"/>
      <c r="T118" s="220"/>
      <c r="U118" s="219"/>
      <c r="V118" s="219"/>
      <c r="W118" s="219"/>
      <c r="X118" s="219"/>
      <c r="Y118" s="219"/>
      <c r="Z118" s="219"/>
      <c r="AA118" s="238"/>
      <c r="AB118" s="239"/>
      <c r="AC118" s="237"/>
    </row>
    <row r="119" spans="1:30">
      <c r="A119" s="217" t="s">
        <v>461</v>
      </c>
      <c r="B119" s="215" t="s">
        <v>560</v>
      </c>
      <c r="C119" s="251">
        <f t="shared" si="19"/>
        <v>218.44777903701456</v>
      </c>
      <c r="D119" s="252">
        <v>11.460913817997604</v>
      </c>
      <c r="E119" s="252">
        <v>206.98686521901695</v>
      </c>
      <c r="F119" s="252">
        <v>0</v>
      </c>
      <c r="G119" s="253">
        <f t="shared" si="20"/>
        <v>24.16457732710338</v>
      </c>
      <c r="H119" s="252">
        <v>10.356247425901449</v>
      </c>
      <c r="I119" s="252">
        <v>13.808329901201931</v>
      </c>
      <c r="J119" s="252">
        <v>0</v>
      </c>
      <c r="K119" s="220">
        <f t="shared" ref="K119:K156" si="44">M119+O119</f>
        <v>14.614106991358739</v>
      </c>
      <c r="L119" s="220">
        <f t="shared" ref="L119:L156" si="45">N119+P119</f>
        <v>17.810434548128736</v>
      </c>
      <c r="M119" s="219">
        <f t="shared" si="22"/>
        <v>0.76673254126597679</v>
      </c>
      <c r="N119" s="219">
        <f t="shared" si="23"/>
        <v>0.93442861409272149</v>
      </c>
      <c r="O119" s="219">
        <f t="shared" si="24"/>
        <v>13.847374450092762</v>
      </c>
      <c r="P119" s="219">
        <f t="shared" si="25"/>
        <v>16.876005934036016</v>
      </c>
      <c r="Q119" s="219">
        <f t="shared" si="26"/>
        <v>0</v>
      </c>
      <c r="R119" s="219">
        <f t="shared" si="27"/>
        <v>0</v>
      </c>
      <c r="S119" s="220">
        <f t="shared" ref="S119:S156" si="46">U119+W119</f>
        <v>1.6166047556812764</v>
      </c>
      <c r="T119" s="220">
        <f t="shared" ref="T119:T156" si="47">V119+X119</f>
        <v>1.9701808128460994</v>
      </c>
      <c r="U119" s="219">
        <f t="shared" si="29"/>
        <v>0.69283060957768994</v>
      </c>
      <c r="V119" s="219">
        <f t="shared" ref="V119:V156" si="48">($H119/AB119)*100</f>
        <v>0.84436320550547117</v>
      </c>
      <c r="W119" s="219">
        <f t="shared" si="30"/>
        <v>0.92377414610358644</v>
      </c>
      <c r="X119" s="219">
        <f t="shared" si="31"/>
        <v>1.1258176073406283</v>
      </c>
      <c r="Y119" s="219">
        <f t="shared" si="32"/>
        <v>0</v>
      </c>
      <c r="Z119" s="219">
        <f t="shared" si="33"/>
        <v>0</v>
      </c>
      <c r="AA119" s="232">
        <v>1226515717214.5801</v>
      </c>
      <c r="AB119" s="239">
        <v>1226.51571721458</v>
      </c>
      <c r="AC119" s="237">
        <v>1494773366351.988</v>
      </c>
      <c r="AD119" s="199">
        <v>1494.77336635199</v>
      </c>
    </row>
    <row r="120" spans="1:30">
      <c r="A120" s="217" t="s">
        <v>459</v>
      </c>
      <c r="B120" s="215" t="s">
        <v>560</v>
      </c>
      <c r="C120" s="251">
        <f t="shared" si="19"/>
        <v>240.10443817674749</v>
      </c>
      <c r="D120" s="252">
        <v>39.211353864005552</v>
      </c>
      <c r="E120" s="252">
        <v>200.89308431274193</v>
      </c>
      <c r="F120" s="252">
        <v>63.244119135492831</v>
      </c>
      <c r="G120" s="253">
        <f t="shared" si="20"/>
        <v>65.922693592996055</v>
      </c>
      <c r="H120" s="252">
        <v>3.8690519941713259</v>
      </c>
      <c r="I120" s="252">
        <v>62.053641598824733</v>
      </c>
      <c r="J120" s="252">
        <v>0</v>
      </c>
      <c r="K120" s="220">
        <f t="shared" si="44"/>
        <v>14.152052213106629</v>
      </c>
      <c r="L120" s="220">
        <f t="shared" si="45"/>
        <v>13.931307727333492</v>
      </c>
      <c r="M120" s="219">
        <f t="shared" si="22"/>
        <v>2.3111656387688853</v>
      </c>
      <c r="N120" s="219">
        <f t="shared" si="23"/>
        <v>2.2751159505127827</v>
      </c>
      <c r="O120" s="219">
        <f t="shared" si="24"/>
        <v>11.840886574337743</v>
      </c>
      <c r="P120" s="219">
        <f t="shared" si="25"/>
        <v>11.656191776820709</v>
      </c>
      <c r="Q120" s="219">
        <f t="shared" si="26"/>
        <v>3.7276865141433637</v>
      </c>
      <c r="R120" s="219">
        <f t="shared" si="27"/>
        <v>3.6695418556657788</v>
      </c>
      <c r="S120" s="220">
        <f t="shared" si="46"/>
        <v>3.8855650018011998</v>
      </c>
      <c r="T120" s="220">
        <f t="shared" si="47"/>
        <v>3.8249577460233888</v>
      </c>
      <c r="U120" s="219">
        <f t="shared" si="29"/>
        <v>0.22804670439465283</v>
      </c>
      <c r="V120" s="219">
        <f t="shared" si="48"/>
        <v>0.22448961940543585</v>
      </c>
      <c r="W120" s="219">
        <f t="shared" si="30"/>
        <v>3.657518297406547</v>
      </c>
      <c r="X120" s="219">
        <f t="shared" si="31"/>
        <v>3.6004681266179528</v>
      </c>
      <c r="Y120" s="219">
        <f t="shared" si="32"/>
        <v>0</v>
      </c>
      <c r="Z120" s="219">
        <f t="shared" si="33"/>
        <v>0</v>
      </c>
      <c r="AA120" s="232">
        <v>1723488152556.26</v>
      </c>
      <c r="AB120" s="239">
        <v>1723.48815255626</v>
      </c>
      <c r="AC120" s="237">
        <v>1696605089927.3779</v>
      </c>
      <c r="AD120" s="199">
        <v>1696.60508992738</v>
      </c>
    </row>
    <row r="121" spans="1:30">
      <c r="A121" s="217" t="s">
        <v>457</v>
      </c>
      <c r="B121" s="215" t="s">
        <v>560</v>
      </c>
      <c r="C121" s="251">
        <f t="shared" si="19"/>
        <v>198.05783396635229</v>
      </c>
      <c r="D121" s="252">
        <v>20.261088762075122</v>
      </c>
      <c r="E121" s="252">
        <v>177.79674520427716</v>
      </c>
      <c r="F121" s="252">
        <v>62.604487747984926</v>
      </c>
      <c r="G121" s="253">
        <f t="shared" si="20"/>
        <v>404.65264353470258</v>
      </c>
      <c r="H121" s="252">
        <v>23.903531685594242</v>
      </c>
      <c r="I121" s="252">
        <v>380.74911184910832</v>
      </c>
      <c r="J121" s="252">
        <v>0</v>
      </c>
      <c r="K121" s="220">
        <f t="shared" si="44"/>
        <v>7.568667416840472</v>
      </c>
      <c r="L121" s="220">
        <f t="shared" si="45"/>
        <v>6.8129234714772871</v>
      </c>
      <c r="M121" s="219">
        <f t="shared" si="22"/>
        <v>0.77426597712506007</v>
      </c>
      <c r="N121" s="219">
        <f t="shared" si="23"/>
        <v>0.6969542401856077</v>
      </c>
      <c r="O121" s="219">
        <f t="shared" si="24"/>
        <v>6.7944014397154122</v>
      </c>
      <c r="P121" s="219">
        <f t="shared" si="25"/>
        <v>6.1159692312916798</v>
      </c>
      <c r="Q121" s="219">
        <f t="shared" si="26"/>
        <v>2.3923948731392306</v>
      </c>
      <c r="R121" s="219">
        <f t="shared" si="27"/>
        <v>2.1535102927083383</v>
      </c>
      <c r="S121" s="220">
        <f t="shared" si="46"/>
        <v>15.463570498199934</v>
      </c>
      <c r="T121" s="220">
        <f t="shared" si="47"/>
        <v>13.919507437414804</v>
      </c>
      <c r="U121" s="219">
        <f t="shared" si="29"/>
        <v>0.91345986065316054</v>
      </c>
      <c r="V121" s="219">
        <f t="shared" si="48"/>
        <v>0.82224938448863827</v>
      </c>
      <c r="W121" s="219">
        <f t="shared" si="30"/>
        <v>14.550110637546773</v>
      </c>
      <c r="X121" s="219">
        <f t="shared" si="31"/>
        <v>13.097258052926167</v>
      </c>
      <c r="Y121" s="219">
        <f t="shared" si="32"/>
        <v>0</v>
      </c>
      <c r="Z121" s="219">
        <f t="shared" si="33"/>
        <v>0</v>
      </c>
      <c r="AA121" s="232">
        <v>2907090249810.2798</v>
      </c>
      <c r="AB121" s="239">
        <v>2907.0902498102801</v>
      </c>
      <c r="AC121" s="237">
        <v>2616812485718.0068</v>
      </c>
      <c r="AD121" s="199">
        <v>2616.8124857180101</v>
      </c>
    </row>
    <row r="122" spans="1:30">
      <c r="A122" s="217" t="s">
        <v>458</v>
      </c>
      <c r="B122" s="215" t="s">
        <v>560</v>
      </c>
      <c r="C122" s="251">
        <f t="shared" si="19"/>
        <v>417.7426727911008</v>
      </c>
      <c r="D122" s="252">
        <v>45.530536543989193</v>
      </c>
      <c r="E122" s="252">
        <v>372.21213624711163</v>
      </c>
      <c r="F122" s="252">
        <v>0</v>
      </c>
      <c r="G122" s="253">
        <f t="shared" si="20"/>
        <v>1054.3734000174297</v>
      </c>
      <c r="H122" s="252">
        <v>113.82634135997297</v>
      </c>
      <c r="I122" s="252">
        <v>940.54705865745666</v>
      </c>
      <c r="J122" s="252">
        <v>0</v>
      </c>
      <c r="K122" s="220">
        <f t="shared" si="44"/>
        <v>11.612616669567583</v>
      </c>
      <c r="L122" s="220">
        <f t="shared" si="45"/>
        <v>10.037584866642435</v>
      </c>
      <c r="M122" s="219">
        <f t="shared" si="22"/>
        <v>1.2656802909610445</v>
      </c>
      <c r="N122" s="219">
        <f t="shared" si="23"/>
        <v>1.0940146993615734</v>
      </c>
      <c r="O122" s="219">
        <f t="shared" si="24"/>
        <v>10.346936378606538</v>
      </c>
      <c r="P122" s="219">
        <f t="shared" si="25"/>
        <v>8.9435701672808623</v>
      </c>
      <c r="Q122" s="219">
        <f t="shared" si="26"/>
        <v>0</v>
      </c>
      <c r="R122" s="219">
        <f t="shared" si="27"/>
        <v>0</v>
      </c>
      <c r="S122" s="220">
        <f t="shared" si="46"/>
        <v>29.309991337930388</v>
      </c>
      <c r="T122" s="220">
        <f t="shared" si="47"/>
        <v>25.334645400465632</v>
      </c>
      <c r="U122" s="219">
        <f t="shared" si="29"/>
        <v>3.1642007274026107</v>
      </c>
      <c r="V122" s="219">
        <f t="shared" si="48"/>
        <v>2.7350367484039335</v>
      </c>
      <c r="W122" s="219">
        <f t="shared" si="30"/>
        <v>26.145790610527776</v>
      </c>
      <c r="X122" s="219">
        <f t="shared" si="31"/>
        <v>22.599608652061701</v>
      </c>
      <c r="Y122" s="219">
        <f t="shared" si="32"/>
        <v>0</v>
      </c>
      <c r="Z122" s="219">
        <f t="shared" si="33"/>
        <v>0</v>
      </c>
      <c r="AA122" s="232">
        <v>4161784715558.1299</v>
      </c>
      <c r="AB122" s="239">
        <v>4161.7847155581303</v>
      </c>
      <c r="AC122" s="237">
        <v>3597317337494.2358</v>
      </c>
      <c r="AD122" s="199">
        <v>3597.3173374942398</v>
      </c>
    </row>
    <row r="123" spans="1:30">
      <c r="A123" s="217" t="s">
        <v>455</v>
      </c>
      <c r="B123" s="215" t="s">
        <v>560</v>
      </c>
      <c r="C123" s="251">
        <f t="shared" si="19"/>
        <v>127.4855023231693</v>
      </c>
      <c r="D123" s="252">
        <v>10.813502429197396</v>
      </c>
      <c r="E123" s="252">
        <v>116.6719998939719</v>
      </c>
      <c r="F123" s="252">
        <v>7.9678438951980812</v>
      </c>
      <c r="G123" s="253">
        <f t="shared" si="20"/>
        <v>662.75387256844033</v>
      </c>
      <c r="H123" s="252">
        <v>3.6993560941991093</v>
      </c>
      <c r="I123" s="252">
        <v>659.05451647424127</v>
      </c>
      <c r="J123" s="252">
        <v>0</v>
      </c>
      <c r="K123" s="220">
        <f t="shared" si="44"/>
        <v>6.6462474808104259</v>
      </c>
      <c r="L123" s="220">
        <f t="shared" si="45"/>
        <v>5.4535523714097724</v>
      </c>
      <c r="M123" s="219">
        <f t="shared" si="22"/>
        <v>0.56374420596159858</v>
      </c>
      <c r="N123" s="219">
        <f t="shared" si="23"/>
        <v>0.46257810293207896</v>
      </c>
      <c r="O123" s="219">
        <f t="shared" si="24"/>
        <v>6.0825032748488272</v>
      </c>
      <c r="P123" s="219">
        <f t="shared" si="25"/>
        <v>4.9909742684776939</v>
      </c>
      <c r="Q123" s="219">
        <f t="shared" si="26"/>
        <v>0.41539046755065162</v>
      </c>
      <c r="R123" s="219">
        <f t="shared" si="27"/>
        <v>0.34084702321311078</v>
      </c>
      <c r="S123" s="220">
        <f t="shared" si="46"/>
        <v>34.551585675909557</v>
      </c>
      <c r="T123" s="220">
        <f t="shared" si="47"/>
        <v>28.351168466547676</v>
      </c>
      <c r="U123" s="219">
        <f t="shared" si="29"/>
        <v>0.1928598599342311</v>
      </c>
      <c r="V123" s="219">
        <f t="shared" si="48"/>
        <v>0.15825040363465859</v>
      </c>
      <c r="W123" s="219">
        <f t="shared" si="30"/>
        <v>34.358725815975326</v>
      </c>
      <c r="X123" s="219">
        <f t="shared" si="31"/>
        <v>28.192918062913019</v>
      </c>
      <c r="Y123" s="219">
        <f t="shared" si="32"/>
        <v>0</v>
      </c>
      <c r="Z123" s="219">
        <f t="shared" si="33"/>
        <v>0</v>
      </c>
      <c r="AA123" s="232">
        <v>2337659815857.1201</v>
      </c>
      <c r="AB123" s="239">
        <v>2337.6598158571201</v>
      </c>
      <c r="AC123" s="237">
        <v>1918157617381.1699</v>
      </c>
      <c r="AD123" s="199">
        <v>1918.15761738117</v>
      </c>
    </row>
    <row r="124" spans="1:30">
      <c r="A124" s="217" t="s">
        <v>460</v>
      </c>
      <c r="B124" s="215" t="s">
        <v>560</v>
      </c>
      <c r="C124" s="251">
        <f t="shared" si="19"/>
        <v>782.33294838167296</v>
      </c>
      <c r="D124" s="252">
        <v>89.837276369187336</v>
      </c>
      <c r="E124" s="252">
        <v>692.49567201248567</v>
      </c>
      <c r="F124" s="252">
        <v>243.30929016654903</v>
      </c>
      <c r="G124" s="253">
        <f t="shared" si="20"/>
        <v>146.92137906210846</v>
      </c>
      <c r="H124" s="252">
        <v>0</v>
      </c>
      <c r="I124" s="252">
        <v>146.92137906210846</v>
      </c>
      <c r="J124" s="252">
        <v>1281.1169932230987</v>
      </c>
      <c r="K124" s="220">
        <f t="shared" si="44"/>
        <v>17.140139106767847</v>
      </c>
      <c r="L124" s="220">
        <f t="shared" si="45"/>
        <v>14.692106275435194</v>
      </c>
      <c r="M124" s="219">
        <f t="shared" si="22"/>
        <v>1.9682456390546812</v>
      </c>
      <c r="N124" s="219">
        <f t="shared" si="23"/>
        <v>1.6871318211026061</v>
      </c>
      <c r="O124" s="219">
        <f t="shared" si="24"/>
        <v>15.171893467713165</v>
      </c>
      <c r="P124" s="219">
        <f t="shared" si="25"/>
        <v>13.004974454332588</v>
      </c>
      <c r="Q124" s="219">
        <f t="shared" si="26"/>
        <v>5.3306652724397612</v>
      </c>
      <c r="R124" s="219">
        <f t="shared" si="27"/>
        <v>4.5693153488195577</v>
      </c>
      <c r="S124" s="220">
        <f t="shared" si="46"/>
        <v>3.2189017222040093</v>
      </c>
      <c r="T124" s="220">
        <f t="shared" si="47"/>
        <v>2.7591634990948872</v>
      </c>
      <c r="U124" s="219">
        <f t="shared" si="29"/>
        <v>0</v>
      </c>
      <c r="V124" s="219">
        <f t="shared" si="48"/>
        <v>0</v>
      </c>
      <c r="W124" s="219">
        <f t="shared" si="30"/>
        <v>3.2189017222040093</v>
      </c>
      <c r="X124" s="219">
        <f t="shared" si="31"/>
        <v>2.7591634990948872</v>
      </c>
      <c r="Y124" s="219">
        <f t="shared" si="32"/>
        <v>28.068002915269364</v>
      </c>
      <c r="Z124" s="219">
        <f t="shared" si="33"/>
        <v>24.059202740515293</v>
      </c>
      <c r="AA124" s="232">
        <v>5324852228231.6504</v>
      </c>
      <c r="AB124" s="239">
        <v>5324.8522282316499</v>
      </c>
      <c r="AC124" s="237">
        <v>4564332550094.4502</v>
      </c>
      <c r="AD124" s="199">
        <v>4564.3325500944502</v>
      </c>
    </row>
    <row r="125" spans="1:30">
      <c r="A125" s="217" t="s">
        <v>448</v>
      </c>
      <c r="B125" s="215" t="s">
        <v>560</v>
      </c>
      <c r="C125" s="251">
        <f t="shared" si="19"/>
        <v>56.080292033825813</v>
      </c>
      <c r="D125" s="252">
        <v>4.3138686179866008</v>
      </c>
      <c r="E125" s="252">
        <v>51.766423415839213</v>
      </c>
      <c r="F125" s="252">
        <v>27.913267528148594</v>
      </c>
      <c r="G125" s="253">
        <f t="shared" si="20"/>
        <v>59.971232355931377</v>
      </c>
      <c r="H125" s="252">
        <v>0</v>
      </c>
      <c r="I125" s="252">
        <v>59.971232355931377</v>
      </c>
      <c r="J125" s="252">
        <v>105.73207397025983</v>
      </c>
      <c r="K125" s="220">
        <f t="shared" si="44"/>
        <v>3.4233981075268196</v>
      </c>
      <c r="L125" s="220">
        <f t="shared" si="45"/>
        <v>2.6004759094970282</v>
      </c>
      <c r="M125" s="219">
        <f t="shared" si="22"/>
        <v>0.26333831596360152</v>
      </c>
      <c r="N125" s="219">
        <f t="shared" si="23"/>
        <v>0.20003660842284832</v>
      </c>
      <c r="O125" s="219">
        <f t="shared" si="24"/>
        <v>3.160059791563218</v>
      </c>
      <c r="P125" s="219">
        <f t="shared" si="25"/>
        <v>2.4004393010741798</v>
      </c>
      <c r="Q125" s="219">
        <f t="shared" si="26"/>
        <v>1.7039538091762452</v>
      </c>
      <c r="R125" s="219">
        <f t="shared" si="27"/>
        <v>1.2943545250890187</v>
      </c>
      <c r="S125" s="220">
        <f t="shared" si="46"/>
        <v>3.6609189415332062</v>
      </c>
      <c r="T125" s="220">
        <f t="shared" si="47"/>
        <v>2.7809010857215584</v>
      </c>
      <c r="U125" s="219">
        <f t="shared" si="29"/>
        <v>0</v>
      </c>
      <c r="V125" s="219">
        <f t="shared" si="48"/>
        <v>0</v>
      </c>
      <c r="W125" s="219">
        <f t="shared" si="30"/>
        <v>3.6609189415332062</v>
      </c>
      <c r="X125" s="219">
        <f t="shared" si="31"/>
        <v>2.7809010857215584</v>
      </c>
      <c r="Y125" s="219">
        <f t="shared" si="32"/>
        <v>6.4543704893039591</v>
      </c>
      <c r="Z125" s="219">
        <f t="shared" si="33"/>
        <v>4.9028580495796161</v>
      </c>
      <c r="AA125" s="232">
        <v>2156539571430.7</v>
      </c>
      <c r="AB125" s="239">
        <v>2156.5395714307001</v>
      </c>
      <c r="AC125" s="237">
        <v>1638146960195.0569</v>
      </c>
      <c r="AD125" s="199">
        <v>1638.14696019506</v>
      </c>
    </row>
    <row r="126" spans="1:30">
      <c r="A126" s="217" t="s">
        <v>449</v>
      </c>
      <c r="B126" s="215" t="s">
        <v>560</v>
      </c>
      <c r="C126" s="251">
        <f t="shared" si="19"/>
        <v>52.473943366947367</v>
      </c>
      <c r="D126" s="252">
        <v>5.0083590198387942</v>
      </c>
      <c r="E126" s="252">
        <v>47.465584347108575</v>
      </c>
      <c r="F126" s="252">
        <v>0.614662243343852</v>
      </c>
      <c r="G126" s="253">
        <f t="shared" si="20"/>
        <v>172.14982040940893</v>
      </c>
      <c r="H126" s="252">
        <v>0.72735032129022481</v>
      </c>
      <c r="I126" s="252">
        <v>171.4224700881187</v>
      </c>
      <c r="J126" s="252">
        <v>11.382634135997259</v>
      </c>
      <c r="K126" s="220">
        <f t="shared" si="44"/>
        <v>3.9635327822243318</v>
      </c>
      <c r="L126" s="220">
        <f t="shared" si="45"/>
        <v>2.9208535719864472</v>
      </c>
      <c r="M126" s="219">
        <f t="shared" si="22"/>
        <v>0.37829813973507714</v>
      </c>
      <c r="N126" s="219">
        <f t="shared" si="23"/>
        <v>0.27877995047159143</v>
      </c>
      <c r="O126" s="219">
        <f t="shared" si="24"/>
        <v>3.5852346424892545</v>
      </c>
      <c r="P126" s="219">
        <f t="shared" si="25"/>
        <v>2.6420736215148559</v>
      </c>
      <c r="Q126" s="219">
        <f t="shared" si="26"/>
        <v>4.6427498967486741E-2</v>
      </c>
      <c r="R126" s="219">
        <f t="shared" si="27"/>
        <v>3.4213903012422588E-2</v>
      </c>
      <c r="S126" s="220">
        <f t="shared" si="46"/>
        <v>13.003052808043938</v>
      </c>
      <c r="T126" s="220">
        <f t="shared" si="47"/>
        <v>9.5823638475847766</v>
      </c>
      <c r="U126" s="219">
        <f t="shared" si="29"/>
        <v>5.4939207111525973E-2</v>
      </c>
      <c r="V126" s="219">
        <f t="shared" si="48"/>
        <v>4.0486451898033397E-2</v>
      </c>
      <c r="W126" s="219">
        <f t="shared" si="30"/>
        <v>12.948113600932412</v>
      </c>
      <c r="X126" s="219">
        <f t="shared" si="31"/>
        <v>9.5418773956867433</v>
      </c>
      <c r="Y126" s="219">
        <f t="shared" si="32"/>
        <v>0.85976849939790256</v>
      </c>
      <c r="Z126" s="219">
        <f t="shared" si="33"/>
        <v>0.6335907965263442</v>
      </c>
      <c r="AA126" s="232">
        <v>1796527695541.4199</v>
      </c>
      <c r="AB126" s="239">
        <v>1796.5276955414199</v>
      </c>
      <c r="AC126" s="237">
        <v>1323918490148.05</v>
      </c>
      <c r="AD126" s="199">
        <v>1323.9184901480501</v>
      </c>
    </row>
    <row r="127" spans="1:30">
      <c r="A127" s="217" t="s">
        <v>463</v>
      </c>
      <c r="B127" s="215" t="s">
        <v>560</v>
      </c>
      <c r="C127" s="251">
        <f t="shared" si="19"/>
        <v>440.54615742148212</v>
      </c>
      <c r="D127" s="252">
        <v>144.71429008321942</v>
      </c>
      <c r="E127" s="252">
        <v>295.83186733826267</v>
      </c>
      <c r="F127" s="252">
        <v>8.9646020405534159</v>
      </c>
      <c r="G127" s="253">
        <f t="shared" si="20"/>
        <v>436.70418511838784</v>
      </c>
      <c r="H127" s="252">
        <v>1.2806574343647736</v>
      </c>
      <c r="I127" s="252">
        <v>435.42352768402304</v>
      </c>
      <c r="J127" s="252">
        <v>0</v>
      </c>
      <c r="K127" s="220">
        <f t="shared" si="44"/>
        <v>13.95286656356609</v>
      </c>
      <c r="L127" s="220">
        <f t="shared" si="45"/>
        <v>14.974435891333723</v>
      </c>
      <c r="M127" s="219">
        <f t="shared" si="22"/>
        <v>4.583354423497001</v>
      </c>
      <c r="N127" s="219">
        <f t="shared" si="23"/>
        <v>4.9189280689555543</v>
      </c>
      <c r="O127" s="219">
        <f t="shared" si="24"/>
        <v>9.3695121400690891</v>
      </c>
      <c r="P127" s="219">
        <f t="shared" si="25"/>
        <v>10.055507822378168</v>
      </c>
      <c r="Q127" s="219">
        <f t="shared" si="26"/>
        <v>0.28392461030512395</v>
      </c>
      <c r="R127" s="219">
        <f t="shared" si="27"/>
        <v>0.30471235825388393</v>
      </c>
      <c r="S127" s="220">
        <f t="shared" si="46"/>
        <v>13.83118458772104</v>
      </c>
      <c r="T127" s="220">
        <f t="shared" si="47"/>
        <v>14.843844880653489</v>
      </c>
      <c r="U127" s="219">
        <f t="shared" si="29"/>
        <v>4.056065861501771E-2</v>
      </c>
      <c r="V127" s="219">
        <f t="shared" si="48"/>
        <v>4.3530336893411993E-2</v>
      </c>
      <c r="W127" s="219">
        <f t="shared" si="30"/>
        <v>13.790623929106022</v>
      </c>
      <c r="X127" s="219">
        <f t="shared" si="31"/>
        <v>14.800314543760077</v>
      </c>
      <c r="Y127" s="219">
        <f t="shared" si="32"/>
        <v>0</v>
      </c>
      <c r="Z127" s="219">
        <f t="shared" si="33"/>
        <v>0</v>
      </c>
      <c r="AA127" s="232">
        <v>2941988336778.9702</v>
      </c>
      <c r="AB127" s="239">
        <v>2941.9883367789698</v>
      </c>
      <c r="AC127" s="237">
        <v>3157388164033.9238</v>
      </c>
      <c r="AD127" s="199">
        <v>3157.38816403392</v>
      </c>
    </row>
    <row r="128" spans="1:30">
      <c r="A128" s="217" t="s">
        <v>464</v>
      </c>
      <c r="B128" s="215" t="s">
        <v>560</v>
      </c>
      <c r="C128" s="251">
        <f t="shared" si="19"/>
        <v>3503.3</v>
      </c>
      <c r="D128" s="252">
        <v>483.8</v>
      </c>
      <c r="E128" s="252">
        <v>3019.5</v>
      </c>
      <c r="F128" s="252">
        <v>18</v>
      </c>
      <c r="G128" s="253">
        <f t="shared" si="20"/>
        <v>510</v>
      </c>
      <c r="H128" s="252">
        <v>56</v>
      </c>
      <c r="I128" s="252">
        <v>454</v>
      </c>
      <c r="J128" s="252">
        <v>0</v>
      </c>
      <c r="K128" s="220">
        <f t="shared" si="44"/>
        <v>17.578926991325513</v>
      </c>
      <c r="L128" s="220">
        <f t="shared" si="45"/>
        <v>17.539113277697947</v>
      </c>
      <c r="M128" s="219">
        <f t="shared" si="22"/>
        <v>2.4276210653964214</v>
      </c>
      <c r="N128" s="219">
        <f t="shared" si="23"/>
        <v>2.4221228566637936</v>
      </c>
      <c r="O128" s="219">
        <f t="shared" si="24"/>
        <v>15.151305925929092</v>
      </c>
      <c r="P128" s="219">
        <f t="shared" si="25"/>
        <v>15.116990421034155</v>
      </c>
      <c r="Q128" s="219">
        <f t="shared" si="26"/>
        <v>9.0320750676179395E-2</v>
      </c>
      <c r="R128" s="219">
        <f t="shared" si="27"/>
        <v>9.0116187308698387E-2</v>
      </c>
      <c r="S128" s="220">
        <f t="shared" si="46"/>
        <v>2.5590879358250826</v>
      </c>
      <c r="T128" s="220">
        <f t="shared" si="47"/>
        <v>2.5532919737464543</v>
      </c>
      <c r="U128" s="219">
        <f t="shared" si="29"/>
        <v>0.28099789099255812</v>
      </c>
      <c r="V128" s="219">
        <f t="shared" si="48"/>
        <v>0.28036147162706165</v>
      </c>
      <c r="W128" s="219">
        <f t="shared" si="30"/>
        <v>2.2780900448325245</v>
      </c>
      <c r="X128" s="219">
        <f t="shared" si="31"/>
        <v>2.2729305021193928</v>
      </c>
      <c r="Y128" s="219">
        <f t="shared" si="32"/>
        <v>0</v>
      </c>
      <c r="Z128" s="219">
        <f t="shared" si="33"/>
        <v>0</v>
      </c>
      <c r="AA128" s="232">
        <v>19974213887167.602</v>
      </c>
      <c r="AB128" s="239">
        <v>19974.2138871676</v>
      </c>
      <c r="AC128" s="237">
        <v>19928975197000</v>
      </c>
      <c r="AD128" s="199">
        <v>19928.975197</v>
      </c>
    </row>
    <row r="129" spans="1:30">
      <c r="A129" s="217" t="s">
        <v>466</v>
      </c>
      <c r="B129" s="215" t="s">
        <v>560</v>
      </c>
      <c r="C129" s="251">
        <f t="shared" si="19"/>
        <v>7.2279883115998169</v>
      </c>
      <c r="D129" s="252">
        <v>2.3467494518181224</v>
      </c>
      <c r="E129" s="252">
        <v>4.8812388597816945</v>
      </c>
      <c r="F129" s="252">
        <v>4.3180189913453448</v>
      </c>
      <c r="G129" s="253">
        <f t="shared" si="20"/>
        <v>2.9950155203883604</v>
      </c>
      <c r="H129" s="252">
        <v>1.8445450691290441</v>
      </c>
      <c r="I129" s="252">
        <v>1.1504704512593162</v>
      </c>
      <c r="J129" s="252">
        <v>10.593227025507003</v>
      </c>
      <c r="K129" s="220">
        <f t="shared" si="44"/>
        <v>0.56506123717776213</v>
      </c>
      <c r="L129" s="220">
        <f t="shared" si="45"/>
        <v>0.30348435002291441</v>
      </c>
      <c r="M129" s="219">
        <f t="shared" si="22"/>
        <v>0.18346144064213057</v>
      </c>
      <c r="N129" s="219">
        <f t="shared" si="23"/>
        <v>9.8533879877569633E-2</v>
      </c>
      <c r="O129" s="219">
        <f t="shared" si="24"/>
        <v>0.38159979653563153</v>
      </c>
      <c r="P129" s="219">
        <f t="shared" si="25"/>
        <v>0.20495047014534479</v>
      </c>
      <c r="Q129" s="219">
        <f t="shared" si="26"/>
        <v>0.33756905078152022</v>
      </c>
      <c r="R129" s="219">
        <f t="shared" si="27"/>
        <v>0.18130233897472808</v>
      </c>
      <c r="S129" s="220">
        <f t="shared" si="46"/>
        <v>0.23414082900511271</v>
      </c>
      <c r="T129" s="220">
        <f t="shared" si="47"/>
        <v>0.12575287885494946</v>
      </c>
      <c r="U129" s="219">
        <f t="shared" si="29"/>
        <v>0.14420069234471464</v>
      </c>
      <c r="V129" s="219">
        <f t="shared" si="48"/>
        <v>7.7447629583769731E-2</v>
      </c>
      <c r="W129" s="219">
        <f t="shared" si="30"/>
        <v>8.9940136660398073E-2</v>
      </c>
      <c r="X129" s="219">
        <f t="shared" si="31"/>
        <v>4.8305249271179726E-2</v>
      </c>
      <c r="Y129" s="219">
        <f t="shared" si="32"/>
        <v>0.82814494305857733</v>
      </c>
      <c r="Z129" s="219">
        <f t="shared" si="33"/>
        <v>0.4447819337673492</v>
      </c>
      <c r="AA129" s="232">
        <v>2381667559152.25</v>
      </c>
      <c r="AB129" s="239">
        <v>2381.6675591522499</v>
      </c>
      <c r="AC129" s="237">
        <v>1279151326624.439</v>
      </c>
      <c r="AD129" s="199">
        <v>1279.1513266244399</v>
      </c>
    </row>
    <row r="130" spans="1:30">
      <c r="A130" s="217" t="s">
        <v>467</v>
      </c>
      <c r="B130" s="215" t="s">
        <v>560</v>
      </c>
      <c r="C130" s="251">
        <f t="shared" si="19"/>
        <v>7.6102084556631375</v>
      </c>
      <c r="D130" s="252">
        <v>2.0161373147465773</v>
      </c>
      <c r="E130" s="252">
        <v>5.5940711409165607</v>
      </c>
      <c r="F130" s="252">
        <v>9.86771432217515</v>
      </c>
      <c r="G130" s="253">
        <f t="shared" si="20"/>
        <v>46.427950839586678</v>
      </c>
      <c r="H130" s="252">
        <v>2.9816115218083188</v>
      </c>
      <c r="I130" s="252">
        <v>43.44633931777836</v>
      </c>
      <c r="J130" s="252">
        <v>17.548913528357534</v>
      </c>
      <c r="K130" s="220">
        <f t="shared" si="44"/>
        <v>0.76326978071700302</v>
      </c>
      <c r="L130" s="220">
        <f t="shared" si="45"/>
        <v>0.32608889216094727</v>
      </c>
      <c r="M130" s="219">
        <f t="shared" si="22"/>
        <v>0.20220953145860895</v>
      </c>
      <c r="N130" s="219">
        <f t="shared" si="23"/>
        <v>8.6389221430698715E-2</v>
      </c>
      <c r="O130" s="219">
        <f t="shared" si="24"/>
        <v>0.56106024925839404</v>
      </c>
      <c r="P130" s="219">
        <f t="shared" si="25"/>
        <v>0.23969967073024859</v>
      </c>
      <c r="Q130" s="219">
        <f t="shared" si="26"/>
        <v>0.98968749551924828</v>
      </c>
      <c r="R130" s="219">
        <f t="shared" si="27"/>
        <v>0.42282048517137749</v>
      </c>
      <c r="S130" s="220">
        <f t="shared" si="46"/>
        <v>4.6565152666876859</v>
      </c>
      <c r="T130" s="220">
        <f t="shared" si="47"/>
        <v>1.9893855921013015</v>
      </c>
      <c r="U130" s="219">
        <f t="shared" si="29"/>
        <v>0.2990422648331541</v>
      </c>
      <c r="V130" s="219">
        <f t="shared" si="48"/>
        <v>0.12775870774962486</v>
      </c>
      <c r="W130" s="219">
        <f t="shared" si="30"/>
        <v>4.3574730018545313</v>
      </c>
      <c r="X130" s="219">
        <f t="shared" si="31"/>
        <v>1.8616268843516766</v>
      </c>
      <c r="Y130" s="219">
        <f t="shared" si="32"/>
        <v>1.7600773301608501</v>
      </c>
      <c r="Z130" s="219">
        <f t="shared" si="33"/>
        <v>0.75195125132636342</v>
      </c>
      <c r="AA130" s="232">
        <v>2333783406491.1899</v>
      </c>
      <c r="AB130" s="239">
        <v>2333.7834064911899</v>
      </c>
      <c r="AC130" s="237">
        <v>997053551434.22559</v>
      </c>
      <c r="AD130" s="199">
        <v>997.05355143423003</v>
      </c>
    </row>
    <row r="131" spans="1:30">
      <c r="A131" s="221" t="s">
        <v>530</v>
      </c>
      <c r="B131" s="215" t="s">
        <v>560</v>
      </c>
      <c r="C131" s="251">
        <f t="shared" si="19"/>
        <v>36.424429235191226</v>
      </c>
      <c r="D131" s="252">
        <v>2.0488741444795067</v>
      </c>
      <c r="E131" s="252">
        <v>34.375555090711721</v>
      </c>
      <c r="F131" s="252">
        <v>0</v>
      </c>
      <c r="G131" s="253">
        <f t="shared" si="20"/>
        <v>10.244370722397534</v>
      </c>
      <c r="H131" s="252">
        <v>0</v>
      </c>
      <c r="I131" s="252">
        <v>10.244370722397534</v>
      </c>
      <c r="J131" s="252">
        <v>0</v>
      </c>
      <c r="K131" s="220">
        <f t="shared" si="44"/>
        <v>8.7992437970040207</v>
      </c>
      <c r="L131" s="220">
        <f t="shared" si="45"/>
        <v>7.7730461793951982</v>
      </c>
      <c r="M131" s="219">
        <f t="shared" si="22"/>
        <v>0.49495746358147613</v>
      </c>
      <c r="N131" s="219">
        <f t="shared" si="23"/>
        <v>0.43723384759097994</v>
      </c>
      <c r="O131" s="219">
        <f t="shared" si="24"/>
        <v>8.3042863334225441</v>
      </c>
      <c r="P131" s="219">
        <f t="shared" si="25"/>
        <v>7.3358123318042185</v>
      </c>
      <c r="Q131" s="219">
        <f t="shared" si="26"/>
        <v>0</v>
      </c>
      <c r="R131" s="219">
        <f t="shared" si="27"/>
        <v>0</v>
      </c>
      <c r="S131" s="220">
        <f t="shared" si="46"/>
        <v>2.4747873179073809</v>
      </c>
      <c r="T131" s="220">
        <f t="shared" si="47"/>
        <v>2.1861692379548998</v>
      </c>
      <c r="U131" s="219">
        <f t="shared" si="29"/>
        <v>0</v>
      </c>
      <c r="V131" s="219">
        <f t="shared" si="48"/>
        <v>0</v>
      </c>
      <c r="W131" s="219">
        <f t="shared" si="30"/>
        <v>2.4747873179073809</v>
      </c>
      <c r="X131" s="219">
        <f t="shared" si="31"/>
        <v>2.1861692379548998</v>
      </c>
      <c r="Y131" s="219">
        <f t="shared" si="32"/>
        <v>0</v>
      </c>
      <c r="Z131" s="219">
        <f t="shared" si="33"/>
        <v>0</v>
      </c>
      <c r="AA131" s="232">
        <v>468599161699.88599</v>
      </c>
      <c r="AB131" s="239">
        <v>468.59916169988998</v>
      </c>
      <c r="AC131" s="237">
        <v>413949540159.26532</v>
      </c>
      <c r="AD131" s="199">
        <v>413.94954015926999</v>
      </c>
    </row>
    <row r="132" spans="1:30">
      <c r="A132" s="217" t="s">
        <v>456</v>
      </c>
      <c r="B132" s="215" t="s">
        <v>560</v>
      </c>
      <c r="C132" s="251">
        <f t="shared" si="19"/>
        <v>36.538255576551201</v>
      </c>
      <c r="D132" s="252">
        <v>9.2199336501577793</v>
      </c>
      <c r="E132" s="252">
        <v>27.31832192639342</v>
      </c>
      <c r="F132" s="252">
        <v>15.708035107676219</v>
      </c>
      <c r="G132" s="253">
        <f t="shared" si="20"/>
        <v>60.327960920785472</v>
      </c>
      <c r="H132" s="252">
        <v>1.1382634135997258</v>
      </c>
      <c r="I132" s="252">
        <v>59.189697507185748</v>
      </c>
      <c r="J132" s="252">
        <v>0</v>
      </c>
      <c r="K132" s="220">
        <f t="shared" si="44"/>
        <v>7.3791176032686039</v>
      </c>
      <c r="L132" s="220">
        <f t="shared" si="45"/>
        <v>6.5796524662517522</v>
      </c>
      <c r="M132" s="219">
        <f t="shared" si="22"/>
        <v>1.8620203297967506</v>
      </c>
      <c r="N132" s="219">
        <f t="shared" si="23"/>
        <v>1.6602861363439001</v>
      </c>
      <c r="O132" s="219">
        <f t="shared" si="24"/>
        <v>5.5170972734718537</v>
      </c>
      <c r="P132" s="219">
        <f t="shared" si="25"/>
        <v>4.9193663299078523</v>
      </c>
      <c r="Q132" s="219">
        <f t="shared" si="26"/>
        <v>3.1723309322463167</v>
      </c>
      <c r="R132" s="219">
        <f t="shared" si="27"/>
        <v>2.8286356396970151</v>
      </c>
      <c r="S132" s="220">
        <f t="shared" si="46"/>
        <v>12.183589812250345</v>
      </c>
      <c r="T132" s="220">
        <f t="shared" si="47"/>
        <v>10.863600645213173</v>
      </c>
      <c r="U132" s="219">
        <f t="shared" si="29"/>
        <v>0.22987905306132722</v>
      </c>
      <c r="V132" s="219">
        <f t="shared" si="48"/>
        <v>0.20497359707949384</v>
      </c>
      <c r="W132" s="219">
        <f t="shared" si="30"/>
        <v>11.953710759189018</v>
      </c>
      <c r="X132" s="219">
        <f t="shared" si="31"/>
        <v>10.658627048133679</v>
      </c>
      <c r="Y132" s="219">
        <f t="shared" si="32"/>
        <v>0</v>
      </c>
      <c r="Z132" s="219">
        <f t="shared" si="33"/>
        <v>0</v>
      </c>
      <c r="AA132" s="232">
        <v>555321968203.677</v>
      </c>
      <c r="AB132" s="239">
        <v>555.32196820367994</v>
      </c>
      <c r="AC132" s="237">
        <v>495157518025.82001</v>
      </c>
      <c r="AD132" s="199">
        <v>495.15751802582002</v>
      </c>
    </row>
    <row r="133" spans="1:30">
      <c r="A133" s="221" t="s">
        <v>454</v>
      </c>
      <c r="B133" s="215" t="s">
        <v>560</v>
      </c>
      <c r="C133" s="251">
        <f t="shared" ref="C133:C197" si="49">D133+E133</f>
        <v>13.066403598920733</v>
      </c>
      <c r="D133" s="252">
        <v>2.8588123511436292</v>
      </c>
      <c r="E133" s="252">
        <v>10.207591247777104</v>
      </c>
      <c r="F133" s="252">
        <v>1.5581815067044105</v>
      </c>
      <c r="G133" s="253">
        <f t="shared" ref="G133:G197" si="50">H133+I133</f>
        <v>37.130220476565157</v>
      </c>
      <c r="H133" s="252">
        <v>4.2925110377531973E-2</v>
      </c>
      <c r="I133" s="252">
        <v>37.087295366187625</v>
      </c>
      <c r="J133" s="252">
        <v>0</v>
      </c>
      <c r="K133" s="220">
        <f t="shared" si="44"/>
        <v>6.0593500917798613</v>
      </c>
      <c r="L133" s="220">
        <f t="shared" si="45"/>
        <v>3.2072989171117561</v>
      </c>
      <c r="M133" s="219">
        <f t="shared" ref="M133:M197" si="51">($D133/$AD133)*100</f>
        <v>1.3257316560858696</v>
      </c>
      <c r="N133" s="219">
        <f t="shared" ref="N133:N197" si="52">($D133/$AB133)*100</f>
        <v>0.70172834388844585</v>
      </c>
      <c r="O133" s="219">
        <f t="shared" ref="O133:O197" si="53">($E133/$AD133)*100</f>
        <v>4.7336184356939919</v>
      </c>
      <c r="P133" s="219">
        <f t="shared" ref="P133:P197" si="54">($E133/$AB133)*100</f>
        <v>2.5055705732233102</v>
      </c>
      <c r="Q133" s="219">
        <f t="shared" ref="Q133:Q197" si="55">($F133/$AD133)*100</f>
        <v>0.72258347020896485</v>
      </c>
      <c r="R133" s="219">
        <f t="shared" ref="R133:R197" si="56">($F133/$AB133)*100</f>
        <v>0.38247355680406281</v>
      </c>
      <c r="S133" s="220">
        <f t="shared" si="46"/>
        <v>17.218586824538697</v>
      </c>
      <c r="T133" s="220">
        <f t="shared" si="47"/>
        <v>9.1140393012538379</v>
      </c>
      <c r="U133" s="219">
        <f t="shared" ref="U133:U197" si="57">($H133/$AD133)*100</f>
        <v>1.9905880722010057E-2</v>
      </c>
      <c r="V133" s="219">
        <f t="shared" si="48"/>
        <v>1.0536461619946634E-2</v>
      </c>
      <c r="W133" s="219">
        <f t="shared" ref="W133:W197" si="58">($I133/$AD133)*100</f>
        <v>17.198680943816687</v>
      </c>
      <c r="X133" s="219">
        <f t="shared" ref="X133:X197" si="59">($I133/$AB133)*100</f>
        <v>9.103502839633892</v>
      </c>
      <c r="Y133" s="219">
        <f t="shared" ref="Y133:Y197" si="60">($J133/$AD133)*100</f>
        <v>0</v>
      </c>
      <c r="Z133" s="219">
        <f t="shared" ref="Z133:Z197" si="61">($J133/$AB133)*100</f>
        <v>0</v>
      </c>
      <c r="AA133" s="232">
        <v>407395878482.30298</v>
      </c>
      <c r="AB133" s="239">
        <v>407.39587848230002</v>
      </c>
      <c r="AC133" s="237">
        <v>215640347578.63721</v>
      </c>
      <c r="AD133" s="199">
        <v>215.64034757863999</v>
      </c>
    </row>
    <row r="134" spans="1:30">
      <c r="A134" s="221" t="s">
        <v>446</v>
      </c>
      <c r="B134" s="215" t="s">
        <v>560</v>
      </c>
      <c r="C134" s="251">
        <f t="shared" si="49"/>
        <v>6.1428697867727307</v>
      </c>
      <c r="D134" s="252">
        <v>0.12194282455131972</v>
      </c>
      <c r="E134" s="252">
        <v>6.0209269622214112</v>
      </c>
      <c r="F134" s="252">
        <v>26.73596428287685</v>
      </c>
      <c r="G134" s="253">
        <f t="shared" si="50"/>
        <v>14.784957762724758</v>
      </c>
      <c r="H134" s="252">
        <v>8.7010778173287289</v>
      </c>
      <c r="I134" s="252">
        <v>6.0838799453960295</v>
      </c>
      <c r="J134" s="252">
        <v>0</v>
      </c>
      <c r="K134" s="220">
        <f t="shared" si="44"/>
        <v>1.8469100465390231</v>
      </c>
      <c r="L134" s="220">
        <f t="shared" si="45"/>
        <v>1.9747958020031295</v>
      </c>
      <c r="M134" s="219">
        <f t="shared" si="51"/>
        <v>3.6663226730303186E-2</v>
      </c>
      <c r="N134" s="219">
        <f t="shared" si="52"/>
        <v>3.9201901776737061E-2</v>
      </c>
      <c r="O134" s="219">
        <f t="shared" si="53"/>
        <v>1.81024681980872</v>
      </c>
      <c r="P134" s="219">
        <f t="shared" si="54"/>
        <v>1.9355939002263924</v>
      </c>
      <c r="Q134" s="219">
        <f t="shared" si="55"/>
        <v>8.0384124606189733</v>
      </c>
      <c r="R134" s="219">
        <f t="shared" si="56"/>
        <v>8.5950169645496004</v>
      </c>
      <c r="S134" s="220">
        <f t="shared" si="46"/>
        <v>4.4452329249156097</v>
      </c>
      <c r="T134" s="220">
        <f t="shared" si="47"/>
        <v>4.7530345809204846</v>
      </c>
      <c r="U134" s="219">
        <f t="shared" si="57"/>
        <v>2.6160587143073708</v>
      </c>
      <c r="V134" s="219">
        <f t="shared" si="48"/>
        <v>2.7972026989018515</v>
      </c>
      <c r="W134" s="219">
        <f t="shared" si="58"/>
        <v>1.8291742106082385</v>
      </c>
      <c r="X134" s="219">
        <f t="shared" si="59"/>
        <v>1.9558318820186327</v>
      </c>
      <c r="Y134" s="219">
        <f t="shared" si="60"/>
        <v>0</v>
      </c>
      <c r="Z134" s="219">
        <f t="shared" si="61"/>
        <v>0</v>
      </c>
      <c r="AA134" s="232">
        <v>311063542901.078</v>
      </c>
      <c r="AB134" s="239">
        <v>311.06354290107998</v>
      </c>
      <c r="AC134" s="237">
        <v>332602543274.04938</v>
      </c>
      <c r="AD134" s="199">
        <v>332.60254327404999</v>
      </c>
    </row>
    <row r="135" spans="1:30">
      <c r="A135" s="221" t="s">
        <v>531</v>
      </c>
      <c r="B135" s="215" t="s">
        <v>560</v>
      </c>
      <c r="C135" s="251">
        <f t="shared" si="49"/>
        <v>1.0676910819565428</v>
      </c>
      <c r="D135" s="252">
        <v>0.26180058512793697</v>
      </c>
      <c r="E135" s="252">
        <v>0.80589049682860592</v>
      </c>
      <c r="F135" s="252">
        <v>0</v>
      </c>
      <c r="G135" s="253">
        <f t="shared" si="50"/>
        <v>1.3203855597756819</v>
      </c>
      <c r="H135" s="252">
        <v>0.97890653569576425</v>
      </c>
      <c r="I135" s="252">
        <v>0.34147902407991776</v>
      </c>
      <c r="J135" s="252">
        <v>0</v>
      </c>
      <c r="K135" s="220">
        <f t="shared" si="44"/>
        <v>3.9697524921899801</v>
      </c>
      <c r="L135" s="220">
        <f t="shared" si="45"/>
        <v>2.3255380210379206</v>
      </c>
      <c r="M135" s="219">
        <f t="shared" si="51"/>
        <v>0.97339346823421702</v>
      </c>
      <c r="N135" s="219">
        <f t="shared" si="52"/>
        <v>0.57022787296238997</v>
      </c>
      <c r="O135" s="219">
        <f t="shared" si="53"/>
        <v>2.9963590239557631</v>
      </c>
      <c r="P135" s="219">
        <f t="shared" si="54"/>
        <v>1.7553101480755309</v>
      </c>
      <c r="Q135" s="219">
        <f t="shared" si="55"/>
        <v>0</v>
      </c>
      <c r="R135" s="219">
        <f t="shared" si="56"/>
        <v>0</v>
      </c>
      <c r="S135" s="220">
        <f t="shared" si="46"/>
        <v>4.909288796311702</v>
      </c>
      <c r="T135" s="220">
        <f t="shared" si="47"/>
        <v>2.8759318810277064</v>
      </c>
      <c r="U135" s="219">
        <f t="shared" si="57"/>
        <v>3.6396451420931584</v>
      </c>
      <c r="V135" s="219">
        <f t="shared" si="48"/>
        <v>2.1321563945550235</v>
      </c>
      <c r="W135" s="219">
        <f t="shared" si="58"/>
        <v>1.2696436542185436</v>
      </c>
      <c r="X135" s="219">
        <f t="shared" si="59"/>
        <v>0.74377548647268266</v>
      </c>
      <c r="Y135" s="219">
        <f t="shared" si="60"/>
        <v>0</v>
      </c>
      <c r="Z135" s="219">
        <f t="shared" si="61"/>
        <v>0</v>
      </c>
      <c r="AA135" s="232">
        <v>45911572818.753304</v>
      </c>
      <c r="AB135" s="239">
        <v>45.911572818750003</v>
      </c>
      <c r="AC135" s="237">
        <v>26895658710.637878</v>
      </c>
      <c r="AD135" s="199">
        <v>26.895658710639999</v>
      </c>
    </row>
    <row r="136" spans="1:30">
      <c r="A136" s="221" t="s">
        <v>447</v>
      </c>
      <c r="B136" s="215" t="s">
        <v>560</v>
      </c>
      <c r="C136" s="251">
        <f t="shared" si="49"/>
        <v>7.910930724518094</v>
      </c>
      <c r="D136" s="252">
        <v>2.105787315159493</v>
      </c>
      <c r="E136" s="252">
        <v>5.8051434093586014</v>
      </c>
      <c r="F136" s="252">
        <v>4.8376195077988351</v>
      </c>
      <c r="G136" s="253">
        <f t="shared" si="50"/>
        <v>17.438195496347802</v>
      </c>
      <c r="H136" s="252">
        <v>2.7545974609113366</v>
      </c>
      <c r="I136" s="252">
        <v>14.683598035436464</v>
      </c>
      <c r="J136" s="252">
        <v>1.1382634135997258</v>
      </c>
      <c r="K136" s="220">
        <f t="shared" si="44"/>
        <v>3.1054414492652542</v>
      </c>
      <c r="L136" s="220">
        <f t="shared" si="45"/>
        <v>3.1154924739323606</v>
      </c>
      <c r="M136" s="219">
        <f t="shared" si="51"/>
        <v>0.82662829944470817</v>
      </c>
      <c r="N136" s="219">
        <f t="shared" si="52"/>
        <v>0.82930375205393791</v>
      </c>
      <c r="O136" s="219">
        <f t="shared" si="53"/>
        <v>2.2788131498205462</v>
      </c>
      <c r="P136" s="219">
        <f t="shared" si="54"/>
        <v>2.2861887218784229</v>
      </c>
      <c r="Q136" s="219">
        <f t="shared" si="55"/>
        <v>1.8990109581837888</v>
      </c>
      <c r="R136" s="219">
        <f t="shared" si="56"/>
        <v>1.9051572682320197</v>
      </c>
      <c r="S136" s="220">
        <f t="shared" si="46"/>
        <v>6.8453759716177993</v>
      </c>
      <c r="T136" s="220">
        <f t="shared" si="47"/>
        <v>6.8675316116034208</v>
      </c>
      <c r="U136" s="219">
        <f t="shared" si="57"/>
        <v>1.0813191808952398</v>
      </c>
      <c r="V136" s="219">
        <f t="shared" si="48"/>
        <v>1.0848189621462323</v>
      </c>
      <c r="W136" s="219">
        <f t="shared" si="58"/>
        <v>5.7640567907225595</v>
      </c>
      <c r="X136" s="219">
        <f t="shared" si="59"/>
        <v>5.7827126494571885</v>
      </c>
      <c r="Y136" s="219">
        <f t="shared" si="60"/>
        <v>0.44682610780795035</v>
      </c>
      <c r="Z136" s="219">
        <f t="shared" si="61"/>
        <v>0.44827229840753402</v>
      </c>
      <c r="AA136" s="232">
        <v>253922318564.70901</v>
      </c>
      <c r="AB136" s="239">
        <v>253.92231856471</v>
      </c>
      <c r="AC136" s="237">
        <v>254744159687.49991</v>
      </c>
      <c r="AD136" s="199">
        <v>254.7441596875</v>
      </c>
    </row>
    <row r="137" spans="1:30">
      <c r="A137" s="222" t="s">
        <v>532</v>
      </c>
      <c r="B137" s="255" t="s">
        <v>560</v>
      </c>
      <c r="C137" s="251">
        <f t="shared" si="49"/>
        <v>21.213646056970173</v>
      </c>
      <c r="D137" s="252">
        <v>0.70761690517133902</v>
      </c>
      <c r="E137" s="252">
        <v>20.506029151798835</v>
      </c>
      <c r="F137" s="252">
        <v>1.7913339101833412</v>
      </c>
      <c r="G137" s="253">
        <f t="shared" si="50"/>
        <v>9.3327696507573688</v>
      </c>
      <c r="H137" s="252">
        <v>6.41999440943819</v>
      </c>
      <c r="I137" s="252">
        <v>2.9127752413191792</v>
      </c>
      <c r="J137" s="252">
        <v>0</v>
      </c>
      <c r="K137" s="220">
        <f t="shared" si="44"/>
        <v>10.40379258979668</v>
      </c>
      <c r="L137" s="220">
        <f t="shared" si="45"/>
        <v>7.0349910747874915</v>
      </c>
      <c r="M137" s="219">
        <f t="shared" si="51"/>
        <v>0.34703603023571405</v>
      </c>
      <c r="N137" s="219">
        <f t="shared" si="52"/>
        <v>0.2346639799155821</v>
      </c>
      <c r="O137" s="219">
        <f t="shared" si="53"/>
        <v>10.056756559560966</v>
      </c>
      <c r="P137" s="219">
        <f t="shared" si="54"/>
        <v>6.8003270948719097</v>
      </c>
      <c r="Q137" s="219">
        <f t="shared" si="55"/>
        <v>0.8785225515013958</v>
      </c>
      <c r="R137" s="219">
        <f t="shared" si="56"/>
        <v>0.59405243380891304</v>
      </c>
      <c r="S137" s="220">
        <f t="shared" si="46"/>
        <v>4.5770632485369456</v>
      </c>
      <c r="T137" s="220">
        <f t="shared" si="47"/>
        <v>3.0949866430223141</v>
      </c>
      <c r="U137" s="219">
        <f t="shared" si="57"/>
        <v>3.1485530626878351</v>
      </c>
      <c r="V137" s="219">
        <f t="shared" si="48"/>
        <v>2.1290353977478338</v>
      </c>
      <c r="W137" s="219">
        <f t="shared" si="58"/>
        <v>1.4285101858491107</v>
      </c>
      <c r="X137" s="219">
        <f t="shared" si="59"/>
        <v>0.96595124527448017</v>
      </c>
      <c r="Y137" s="219">
        <f t="shared" si="60"/>
        <v>0</v>
      </c>
      <c r="Z137" s="219">
        <f t="shared" si="61"/>
        <v>0</v>
      </c>
      <c r="AA137" s="232">
        <v>301544747270.495</v>
      </c>
      <c r="AB137" s="239">
        <v>301.54474727050001</v>
      </c>
      <c r="AC137" s="237">
        <v>203903008195.06079</v>
      </c>
      <c r="AD137" s="199">
        <v>203.90300819506001</v>
      </c>
    </row>
    <row r="138" spans="1:30">
      <c r="A138" s="221" t="s">
        <v>533</v>
      </c>
      <c r="B138" s="215" t="s">
        <v>560</v>
      </c>
      <c r="C138" s="251">
        <f t="shared" si="49"/>
        <v>0.90880495530115557</v>
      </c>
      <c r="D138" s="252">
        <v>5.0270792906436608E-2</v>
      </c>
      <c r="E138" s="252">
        <v>0.85853416239471891</v>
      </c>
      <c r="F138" s="252">
        <v>0</v>
      </c>
      <c r="G138" s="253">
        <f t="shared" si="50"/>
        <v>0.91645405891835929</v>
      </c>
      <c r="H138" s="252">
        <v>0</v>
      </c>
      <c r="I138" s="252">
        <v>0.91645405891835929</v>
      </c>
      <c r="J138" s="252">
        <v>0</v>
      </c>
      <c r="K138" s="220">
        <f t="shared" si="44"/>
        <v>4.3840085039690138</v>
      </c>
      <c r="L138" s="220">
        <f t="shared" si="45"/>
        <v>4.7658406244286118</v>
      </c>
      <c r="M138" s="219">
        <f t="shared" si="51"/>
        <v>0.24250262096122951</v>
      </c>
      <c r="N138" s="219">
        <f t="shared" si="52"/>
        <v>0.26362376839851354</v>
      </c>
      <c r="O138" s="219">
        <f t="shared" si="53"/>
        <v>4.1415058830077847</v>
      </c>
      <c r="P138" s="219">
        <f t="shared" si="54"/>
        <v>4.5022168560300981</v>
      </c>
      <c r="Q138" s="219">
        <f t="shared" si="55"/>
        <v>0</v>
      </c>
      <c r="R138" s="219">
        <f t="shared" si="56"/>
        <v>0</v>
      </c>
      <c r="S138" s="220">
        <f t="shared" si="46"/>
        <v>4.4209072192653549</v>
      </c>
      <c r="T138" s="220">
        <f t="shared" si="47"/>
        <v>4.805953091407023</v>
      </c>
      <c r="U138" s="219">
        <f t="shared" si="57"/>
        <v>0</v>
      </c>
      <c r="V138" s="219">
        <f t="shared" si="48"/>
        <v>0</v>
      </c>
      <c r="W138" s="219">
        <f t="shared" si="58"/>
        <v>4.4209072192653549</v>
      </c>
      <c r="X138" s="219">
        <f t="shared" si="59"/>
        <v>4.805953091407023</v>
      </c>
      <c r="Y138" s="219">
        <f t="shared" si="60"/>
        <v>0</v>
      </c>
      <c r="Z138" s="219">
        <f t="shared" si="61"/>
        <v>0</v>
      </c>
      <c r="AA138" s="235">
        <v>19069142821.155399</v>
      </c>
      <c r="AB138" s="239">
        <v>19.06914282116</v>
      </c>
      <c r="AC138" s="237">
        <v>20729999827.29071</v>
      </c>
      <c r="AD138" s="199">
        <v>20.729999827290001</v>
      </c>
    </row>
    <row r="139" spans="1:30">
      <c r="A139" s="221" t="s">
        <v>534</v>
      </c>
      <c r="B139" s="215" t="s">
        <v>560</v>
      </c>
      <c r="C139" s="251">
        <f t="shared" si="49"/>
        <v>22.385999999999996</v>
      </c>
      <c r="D139" s="252">
        <v>3.0750000000000006</v>
      </c>
      <c r="E139" s="252">
        <v>19.310999999999996</v>
      </c>
      <c r="F139" s="252">
        <v>2.46</v>
      </c>
      <c r="G139" s="253">
        <f t="shared" si="50"/>
        <v>6.15</v>
      </c>
      <c r="H139" s="252">
        <v>3.69</v>
      </c>
      <c r="I139" s="252">
        <v>2.46</v>
      </c>
      <c r="J139" s="252">
        <v>0</v>
      </c>
      <c r="K139" s="220">
        <f t="shared" si="44"/>
        <v>6.0263830447409301</v>
      </c>
      <c r="L139" s="220">
        <f t="shared" si="45"/>
        <v>5.3569023821516248</v>
      </c>
      <c r="M139" s="219">
        <f t="shared" si="51"/>
        <v>0.82779986878309497</v>
      </c>
      <c r="N139" s="219">
        <f t="shared" si="52"/>
        <v>0.73583823930654202</v>
      </c>
      <c r="O139" s="219">
        <f t="shared" si="53"/>
        <v>5.1985831759578351</v>
      </c>
      <c r="P139" s="219">
        <f t="shared" si="54"/>
        <v>4.6210641428450829</v>
      </c>
      <c r="Q139" s="219">
        <f t="shared" si="55"/>
        <v>0.66223989502647596</v>
      </c>
      <c r="R139" s="219">
        <f t="shared" si="56"/>
        <v>0.58867059144523359</v>
      </c>
      <c r="S139" s="220">
        <f t="shared" si="46"/>
        <v>1.6555997375661897</v>
      </c>
      <c r="T139" s="220">
        <f t="shared" si="47"/>
        <v>1.4716764786130838</v>
      </c>
      <c r="U139" s="219">
        <f t="shared" si="57"/>
        <v>0.99335984253971377</v>
      </c>
      <c r="V139" s="219">
        <f t="shared" si="48"/>
        <v>0.88300588716785033</v>
      </c>
      <c r="W139" s="219">
        <f t="shared" si="58"/>
        <v>0.66223989502647596</v>
      </c>
      <c r="X139" s="219">
        <f t="shared" si="59"/>
        <v>0.58867059144523359</v>
      </c>
      <c r="Y139" s="219">
        <f t="shared" si="60"/>
        <v>0</v>
      </c>
      <c r="Z139" s="219">
        <f t="shared" si="61"/>
        <v>0</v>
      </c>
      <c r="AA139" s="235">
        <v>417890758558.284</v>
      </c>
      <c r="AB139" s="239">
        <v>417.89075855828003</v>
      </c>
      <c r="AC139" s="237">
        <v>371466596693.27911</v>
      </c>
      <c r="AD139" s="199">
        <v>371.46659669328</v>
      </c>
    </row>
    <row r="140" spans="1:30">
      <c r="A140" s="221" t="s">
        <v>535</v>
      </c>
      <c r="B140" s="215" t="s">
        <v>560</v>
      </c>
      <c r="C140" s="251">
        <f t="shared" si="49"/>
        <v>26.891847077879898</v>
      </c>
      <c r="D140" s="252">
        <v>4.4578519375602843</v>
      </c>
      <c r="E140" s="252">
        <v>22.433995140319613</v>
      </c>
      <c r="F140" s="252">
        <v>2.0841905162619514</v>
      </c>
      <c r="G140" s="253">
        <f t="shared" si="50"/>
        <v>11.144629843900709</v>
      </c>
      <c r="H140" s="252">
        <v>0.92630689611642281</v>
      </c>
      <c r="I140" s="252">
        <v>10.218322947784287</v>
      </c>
      <c r="J140" s="252">
        <v>0</v>
      </c>
      <c r="K140" s="220">
        <f t="shared" si="44"/>
        <v>7.5020443334525275</v>
      </c>
      <c r="L140" s="220">
        <f t="shared" si="45"/>
        <v>7.8540027831320796</v>
      </c>
      <c r="M140" s="219">
        <f t="shared" si="51"/>
        <v>1.2436112242752306</v>
      </c>
      <c r="N140" s="219">
        <f t="shared" si="52"/>
        <v>1.3019552514556945</v>
      </c>
      <c r="O140" s="219">
        <f t="shared" si="53"/>
        <v>6.2584331091772967</v>
      </c>
      <c r="P140" s="219">
        <f t="shared" si="54"/>
        <v>6.5520475316763847</v>
      </c>
      <c r="Q140" s="219">
        <f t="shared" si="55"/>
        <v>0.58142862433647158</v>
      </c>
      <c r="R140" s="219">
        <f t="shared" si="56"/>
        <v>0.60870635132993511</v>
      </c>
      <c r="S140" s="220">
        <f t="shared" si="46"/>
        <v>3.1090280606880762</v>
      </c>
      <c r="T140" s="220">
        <f t="shared" si="47"/>
        <v>3.2548881286392355</v>
      </c>
      <c r="U140" s="219">
        <f t="shared" si="57"/>
        <v>0.25841272192732068</v>
      </c>
      <c r="V140" s="219">
        <f t="shared" si="48"/>
        <v>0.27053615614663779</v>
      </c>
      <c r="W140" s="219">
        <f t="shared" si="58"/>
        <v>2.8506153387607558</v>
      </c>
      <c r="X140" s="219">
        <f t="shared" si="59"/>
        <v>2.9843519724925978</v>
      </c>
      <c r="Y140" s="219">
        <f t="shared" si="60"/>
        <v>0</v>
      </c>
      <c r="Z140" s="219">
        <f t="shared" si="61"/>
        <v>0</v>
      </c>
      <c r="AA140" s="235">
        <v>342396709301.34399</v>
      </c>
      <c r="AB140" s="239">
        <v>342.39670930134002</v>
      </c>
      <c r="AC140" s="237">
        <v>358460252733.58807</v>
      </c>
      <c r="AD140" s="199">
        <v>358.46025273358998</v>
      </c>
    </row>
    <row r="141" spans="1:30">
      <c r="A141" s="222" t="s">
        <v>536</v>
      </c>
      <c r="B141" s="215" t="s">
        <v>560</v>
      </c>
      <c r="C141" s="251">
        <f t="shared" si="49"/>
        <v>2.6180058512793694</v>
      </c>
      <c r="D141" s="252">
        <v>0.23903531685594243</v>
      </c>
      <c r="E141" s="252">
        <v>2.3789705344234271</v>
      </c>
      <c r="F141" s="252">
        <v>0</v>
      </c>
      <c r="G141" s="253">
        <f t="shared" si="50"/>
        <v>0.97890653569576436</v>
      </c>
      <c r="H141" s="252">
        <v>0.22765268271994518</v>
      </c>
      <c r="I141" s="252">
        <v>0.75125385297581915</v>
      </c>
      <c r="J141" s="252">
        <v>0</v>
      </c>
      <c r="K141" s="220">
        <f t="shared" si="44"/>
        <v>8.6803684416213613</v>
      </c>
      <c r="L141" s="220">
        <f t="shared" si="45"/>
        <v>4.7237162022941037</v>
      </c>
      <c r="M141" s="219">
        <f t="shared" si="51"/>
        <v>0.79255537945238519</v>
      </c>
      <c r="N141" s="219">
        <f t="shared" si="52"/>
        <v>0.43129582716598341</v>
      </c>
      <c r="O141" s="219">
        <f t="shared" si="53"/>
        <v>7.8878130621689762</v>
      </c>
      <c r="P141" s="219">
        <f t="shared" si="54"/>
        <v>4.2924203751281205</v>
      </c>
      <c r="Q141" s="219">
        <f t="shared" si="55"/>
        <v>0</v>
      </c>
      <c r="R141" s="219">
        <f t="shared" si="56"/>
        <v>0</v>
      </c>
      <c r="S141" s="220">
        <f t="shared" si="46"/>
        <v>3.2457029825192922</v>
      </c>
      <c r="T141" s="220">
        <f t="shared" si="47"/>
        <v>1.7662591017273606</v>
      </c>
      <c r="U141" s="219">
        <f t="shared" si="57"/>
        <v>0.75481464709750967</v>
      </c>
      <c r="V141" s="219">
        <f t="shared" si="48"/>
        <v>0.41075793063426985</v>
      </c>
      <c r="W141" s="219">
        <f t="shared" si="58"/>
        <v>2.4908883354217823</v>
      </c>
      <c r="X141" s="219">
        <f t="shared" si="59"/>
        <v>1.3555011710930907</v>
      </c>
      <c r="Y141" s="219">
        <f t="shared" si="60"/>
        <v>0</v>
      </c>
      <c r="Z141" s="219">
        <f t="shared" si="61"/>
        <v>0</v>
      </c>
      <c r="AA141" s="236">
        <v>55422589740</v>
      </c>
      <c r="AB141" s="240">
        <v>55.422589739999999</v>
      </c>
      <c r="AC141" s="237">
        <v>30160077523.05077</v>
      </c>
      <c r="AD141" s="199">
        <v>30.160077523049999</v>
      </c>
    </row>
    <row r="142" spans="1:30">
      <c r="A142" s="221" t="s">
        <v>537</v>
      </c>
      <c r="B142" s="215" t="s">
        <v>560</v>
      </c>
      <c r="C142" s="251">
        <f t="shared" si="49"/>
        <v>2.5872727391121773</v>
      </c>
      <c r="D142" s="252">
        <v>0.56913170679986291</v>
      </c>
      <c r="E142" s="252">
        <v>2.0181410323123141</v>
      </c>
      <c r="F142" s="252">
        <v>2.4927968757833998</v>
      </c>
      <c r="G142" s="253">
        <f t="shared" si="50"/>
        <v>1.9578130713915285</v>
      </c>
      <c r="H142" s="252">
        <v>0.3642442923519123</v>
      </c>
      <c r="I142" s="252">
        <v>1.5935687790396162</v>
      </c>
      <c r="J142" s="252">
        <v>0</v>
      </c>
      <c r="K142" s="220">
        <f t="shared" si="44"/>
        <v>5.3659189931742706</v>
      </c>
      <c r="L142" s="220">
        <f t="shared" si="45"/>
        <v>2.6635550006559883</v>
      </c>
      <c r="M142" s="219">
        <f t="shared" si="51"/>
        <v>1.1803605352341113</v>
      </c>
      <c r="N142" s="219">
        <f t="shared" si="52"/>
        <v>0.58591179072942978</v>
      </c>
      <c r="O142" s="219">
        <f t="shared" si="53"/>
        <v>4.185558457940159</v>
      </c>
      <c r="P142" s="219">
        <f t="shared" si="54"/>
        <v>2.0776432099265585</v>
      </c>
      <c r="Q142" s="219">
        <f t="shared" si="55"/>
        <v>5.1699791443254073</v>
      </c>
      <c r="R142" s="219">
        <f t="shared" si="56"/>
        <v>2.5662936433949031</v>
      </c>
      <c r="S142" s="220">
        <f t="shared" si="46"/>
        <v>4.0604402412053426</v>
      </c>
      <c r="T142" s="220">
        <f t="shared" si="47"/>
        <v>2.015536560109239</v>
      </c>
      <c r="U142" s="219">
        <f t="shared" si="57"/>
        <v>0.75543074254983122</v>
      </c>
      <c r="V142" s="219">
        <f t="shared" si="48"/>
        <v>0.37498354606683515</v>
      </c>
      <c r="W142" s="219">
        <f t="shared" si="58"/>
        <v>3.3050094986555116</v>
      </c>
      <c r="X142" s="219">
        <f t="shared" si="59"/>
        <v>1.6405530140424038</v>
      </c>
      <c r="Y142" s="219">
        <f t="shared" si="60"/>
        <v>0</v>
      </c>
      <c r="Z142" s="219">
        <f t="shared" si="61"/>
        <v>0</v>
      </c>
      <c r="AA142" s="235">
        <v>97136073348.399506</v>
      </c>
      <c r="AB142" s="239">
        <v>97.136073348400004</v>
      </c>
      <c r="AC142" s="237">
        <v>48216768505.137871</v>
      </c>
      <c r="AD142" s="199">
        <v>48.216768505140003</v>
      </c>
    </row>
    <row r="143" spans="1:30">
      <c r="A143" s="221" t="s">
        <v>538</v>
      </c>
      <c r="B143" s="215" t="s">
        <v>560</v>
      </c>
      <c r="C143" s="251">
        <f t="shared" si="49"/>
        <v>2.9594848753592875</v>
      </c>
      <c r="D143" s="252">
        <v>0.22765268271994518</v>
      </c>
      <c r="E143" s="252">
        <v>2.7318321926393425</v>
      </c>
      <c r="F143" s="252">
        <v>5.2360117025587387</v>
      </c>
      <c r="G143" s="253">
        <f t="shared" si="50"/>
        <v>3.3009638994392052</v>
      </c>
      <c r="H143" s="252">
        <v>0.45530536543989036</v>
      </c>
      <c r="I143" s="252">
        <v>2.8456585339993148</v>
      </c>
      <c r="J143" s="252">
        <v>1.0244370722397533</v>
      </c>
      <c r="K143" s="220">
        <f t="shared" si="44"/>
        <v>4.4465087447862421</v>
      </c>
      <c r="L143" s="220">
        <f t="shared" si="45"/>
        <v>4.460852333960978</v>
      </c>
      <c r="M143" s="219">
        <f t="shared" si="51"/>
        <v>0.34203913421432619</v>
      </c>
      <c r="N143" s="219">
        <f t="shared" si="52"/>
        <v>0.34314248722776741</v>
      </c>
      <c r="O143" s="219">
        <f t="shared" si="53"/>
        <v>4.1044696105719156</v>
      </c>
      <c r="P143" s="219">
        <f t="shared" si="54"/>
        <v>4.1177098467332103</v>
      </c>
      <c r="Q143" s="219">
        <f t="shared" si="55"/>
        <v>7.8669000869295029</v>
      </c>
      <c r="R143" s="219">
        <f t="shared" si="56"/>
        <v>7.8922772062386501</v>
      </c>
      <c r="S143" s="220">
        <f t="shared" si="46"/>
        <v>4.9595674461077301</v>
      </c>
      <c r="T143" s="220">
        <f t="shared" si="47"/>
        <v>4.975566064802627</v>
      </c>
      <c r="U143" s="219">
        <f t="shared" si="57"/>
        <v>0.68407826842865238</v>
      </c>
      <c r="V143" s="219">
        <f t="shared" si="48"/>
        <v>0.68628497445553482</v>
      </c>
      <c r="W143" s="219">
        <f t="shared" si="58"/>
        <v>4.275489177679078</v>
      </c>
      <c r="X143" s="219">
        <f t="shared" si="59"/>
        <v>4.2892810903470924</v>
      </c>
      <c r="Y143" s="219">
        <f t="shared" si="60"/>
        <v>1.539176103964468</v>
      </c>
      <c r="Z143" s="219">
        <f t="shared" si="61"/>
        <v>1.5441411925249535</v>
      </c>
      <c r="AA143" s="232">
        <v>66343484468.839996</v>
      </c>
      <c r="AB143" s="239">
        <v>66.343484468840003</v>
      </c>
      <c r="AC143" s="237">
        <v>66557495896.737839</v>
      </c>
      <c r="AD143" s="199">
        <v>66.557495896739994</v>
      </c>
    </row>
    <row r="144" spans="1:30">
      <c r="A144" s="221" t="s">
        <v>452</v>
      </c>
      <c r="B144" s="215" t="s">
        <v>560</v>
      </c>
      <c r="C144" s="251">
        <f t="shared" si="49"/>
        <v>40.522177524150244</v>
      </c>
      <c r="D144" s="252">
        <v>6.7157541402383831</v>
      </c>
      <c r="E144" s="252">
        <v>33.806423383911863</v>
      </c>
      <c r="F144" s="252">
        <v>14.342119011356546</v>
      </c>
      <c r="G144" s="253">
        <f t="shared" si="50"/>
        <v>73.987121883982184</v>
      </c>
      <c r="H144" s="252">
        <v>0</v>
      </c>
      <c r="I144" s="252">
        <v>73.987121883982184</v>
      </c>
      <c r="J144" s="252">
        <v>0</v>
      </c>
      <c r="K144" s="220">
        <f t="shared" si="44"/>
        <v>4.8226309855341976</v>
      </c>
      <c r="L144" s="220">
        <f t="shared" si="45"/>
        <v>4.3458194248526256</v>
      </c>
      <c r="M144" s="219">
        <f t="shared" si="51"/>
        <v>0.79925625883853268</v>
      </c>
      <c r="N144" s="219">
        <f t="shared" si="52"/>
        <v>0.72023411816377791</v>
      </c>
      <c r="O144" s="219">
        <f t="shared" si="53"/>
        <v>4.023374726695665</v>
      </c>
      <c r="P144" s="219">
        <f t="shared" si="54"/>
        <v>3.6255853066888477</v>
      </c>
      <c r="Q144" s="219">
        <f t="shared" si="55"/>
        <v>1.7068862476890698</v>
      </c>
      <c r="R144" s="219">
        <f t="shared" si="56"/>
        <v>1.5381270998073899</v>
      </c>
      <c r="S144" s="220">
        <f t="shared" si="46"/>
        <v>8.8053655634753607</v>
      </c>
      <c r="T144" s="220">
        <f t="shared" si="47"/>
        <v>7.9347826577365348</v>
      </c>
      <c r="U144" s="219">
        <f t="shared" si="57"/>
        <v>0</v>
      </c>
      <c r="V144" s="219">
        <f t="shared" si="48"/>
        <v>0</v>
      </c>
      <c r="W144" s="219">
        <f t="shared" si="58"/>
        <v>8.8053655634753607</v>
      </c>
      <c r="X144" s="219">
        <f t="shared" si="59"/>
        <v>7.9347826577365348</v>
      </c>
      <c r="Y144" s="219">
        <f t="shared" si="60"/>
        <v>0</v>
      </c>
      <c r="Z144" s="219">
        <f t="shared" si="61"/>
        <v>0</v>
      </c>
      <c r="AA144" s="232">
        <v>932440434418.74902</v>
      </c>
      <c r="AB144" s="239">
        <v>932.44043441874999</v>
      </c>
      <c r="AC144" s="237">
        <v>840250428566.88171</v>
      </c>
      <c r="AD144" s="199">
        <v>840.25042856688003</v>
      </c>
    </row>
    <row r="145" spans="1:30">
      <c r="A145" s="221" t="s">
        <v>465</v>
      </c>
      <c r="B145" s="215" t="s">
        <v>560</v>
      </c>
      <c r="C145" s="251">
        <f t="shared" si="49"/>
        <v>39.908289467911899</v>
      </c>
      <c r="D145" s="252">
        <v>2.5266611838450714</v>
      </c>
      <c r="E145" s="252">
        <v>37.381628284066828</v>
      </c>
      <c r="F145" s="252">
        <v>0</v>
      </c>
      <c r="G145" s="253">
        <f t="shared" si="50"/>
        <v>5.6687911176011223</v>
      </c>
      <c r="H145" s="252">
        <v>1.619654605028892</v>
      </c>
      <c r="I145" s="252">
        <v>4.0491365125722298</v>
      </c>
      <c r="J145" s="252">
        <v>0</v>
      </c>
      <c r="K145" s="220">
        <f t="shared" si="44"/>
        <v>19.665156653279531</v>
      </c>
      <c r="L145" s="220">
        <f t="shared" si="45"/>
        <v>20.57406125511077</v>
      </c>
      <c r="M145" s="219">
        <f t="shared" si="51"/>
        <v>1.2450342686329574</v>
      </c>
      <c r="N145" s="219">
        <f t="shared" si="52"/>
        <v>1.3025785534891559</v>
      </c>
      <c r="O145" s="219">
        <f t="shared" si="53"/>
        <v>18.420122384646575</v>
      </c>
      <c r="P145" s="219">
        <f t="shared" si="54"/>
        <v>19.271482701621615</v>
      </c>
      <c r="Q145" s="219">
        <f t="shared" si="55"/>
        <v>0</v>
      </c>
      <c r="R145" s="219">
        <f t="shared" si="56"/>
        <v>0</v>
      </c>
      <c r="S145" s="220">
        <f t="shared" si="46"/>
        <v>2.7933461155226609</v>
      </c>
      <c r="T145" s="220">
        <f t="shared" si="47"/>
        <v>2.9224518828282346</v>
      </c>
      <c r="U145" s="219">
        <f t="shared" si="57"/>
        <v>0.79809889014933166</v>
      </c>
      <c r="V145" s="219">
        <f t="shared" si="48"/>
        <v>0.83498625223663836</v>
      </c>
      <c r="W145" s="219">
        <f t="shared" si="58"/>
        <v>1.9952472253733291</v>
      </c>
      <c r="X145" s="219">
        <f t="shared" si="59"/>
        <v>2.0874656305915962</v>
      </c>
      <c r="Y145" s="219">
        <f t="shared" si="60"/>
        <v>0</v>
      </c>
      <c r="Z145" s="219">
        <f t="shared" si="61"/>
        <v>0</v>
      </c>
      <c r="AA145" s="232">
        <v>193973805040.548</v>
      </c>
      <c r="AB145" s="239">
        <v>193.97380504054999</v>
      </c>
      <c r="AC145" s="237">
        <v>202939087501.52551</v>
      </c>
      <c r="AD145" s="199">
        <v>202.93908750153</v>
      </c>
    </row>
    <row r="146" spans="1:30">
      <c r="A146" s="221" t="s">
        <v>451</v>
      </c>
      <c r="B146" s="215" t="s">
        <v>560</v>
      </c>
      <c r="C146" s="251">
        <f t="shared" si="49"/>
        <v>13.348965621899447</v>
      </c>
      <c r="D146" s="252">
        <v>1.1414792455781</v>
      </c>
      <c r="E146" s="252">
        <v>12.207486376321347</v>
      </c>
      <c r="F146" s="252">
        <v>0</v>
      </c>
      <c r="G146" s="253">
        <f t="shared" si="50"/>
        <v>13.740027956032684</v>
      </c>
      <c r="H146" s="252">
        <v>5.4960111824130733</v>
      </c>
      <c r="I146" s="252">
        <v>8.2440167736196095</v>
      </c>
      <c r="J146" s="252">
        <v>0</v>
      </c>
      <c r="K146" s="220">
        <f t="shared" si="44"/>
        <v>3.2538664984422607</v>
      </c>
      <c r="L146" s="220">
        <f t="shared" si="45"/>
        <v>4.0395803375278465</v>
      </c>
      <c r="M146" s="219">
        <f t="shared" si="51"/>
        <v>0.27824036566252114</v>
      </c>
      <c r="N146" s="219">
        <f t="shared" si="52"/>
        <v>0.34542729727078975</v>
      </c>
      <c r="O146" s="219">
        <f t="shared" si="53"/>
        <v>2.9756261327797398</v>
      </c>
      <c r="P146" s="219">
        <f t="shared" si="54"/>
        <v>3.6941530402570568</v>
      </c>
      <c r="Q146" s="219">
        <f t="shared" si="55"/>
        <v>0</v>
      </c>
      <c r="R146" s="219">
        <f t="shared" si="56"/>
        <v>0</v>
      </c>
      <c r="S146" s="220">
        <f t="shared" si="46"/>
        <v>3.3491895866784946</v>
      </c>
      <c r="T146" s="220">
        <f t="shared" si="47"/>
        <v>4.1579211708520978</v>
      </c>
      <c r="U146" s="219">
        <f t="shared" si="57"/>
        <v>1.3396758346713979</v>
      </c>
      <c r="V146" s="219">
        <f t="shared" si="48"/>
        <v>1.6631684683408392</v>
      </c>
      <c r="W146" s="219">
        <f t="shared" si="58"/>
        <v>2.0095137520070967</v>
      </c>
      <c r="X146" s="219">
        <f t="shared" si="59"/>
        <v>2.4947527025112586</v>
      </c>
      <c r="Y146" s="219">
        <f t="shared" si="60"/>
        <v>0</v>
      </c>
      <c r="Z146" s="219">
        <f t="shared" si="61"/>
        <v>0</v>
      </c>
      <c r="AA146" s="232">
        <v>330454267684.37299</v>
      </c>
      <c r="AB146" s="239">
        <v>330.45426768437</v>
      </c>
      <c r="AC146" s="237">
        <v>410249333471.11688</v>
      </c>
      <c r="AD146" s="199">
        <v>410.24933347112</v>
      </c>
    </row>
    <row r="147" spans="1:30">
      <c r="A147" s="221" t="s">
        <v>539</v>
      </c>
      <c r="B147" s="215" t="s">
        <v>560</v>
      </c>
      <c r="C147" s="251">
        <f t="shared" si="49"/>
        <v>10.813502429197396</v>
      </c>
      <c r="D147" s="252">
        <v>2.5041795099193971</v>
      </c>
      <c r="E147" s="252">
        <v>8.3093229192779994</v>
      </c>
      <c r="F147" s="252">
        <v>8.9922809674378357</v>
      </c>
      <c r="G147" s="253">
        <f t="shared" si="50"/>
        <v>14.797424376796437</v>
      </c>
      <c r="H147" s="252">
        <v>0</v>
      </c>
      <c r="I147" s="252">
        <v>14.797424376796437</v>
      </c>
      <c r="J147" s="252">
        <v>0</v>
      </c>
      <c r="K147" s="220">
        <f t="shared" si="44"/>
        <v>4.8630089152951665</v>
      </c>
      <c r="L147" s="220">
        <f t="shared" si="45"/>
        <v>3.1691083606135417</v>
      </c>
      <c r="M147" s="219">
        <f t="shared" si="51"/>
        <v>1.1261704856473016</v>
      </c>
      <c r="N147" s="219">
        <f t="shared" si="52"/>
        <v>0.73389877824734639</v>
      </c>
      <c r="O147" s="219">
        <f t="shared" si="53"/>
        <v>3.7368384296478645</v>
      </c>
      <c r="P147" s="219">
        <f t="shared" si="54"/>
        <v>2.4352095823661952</v>
      </c>
      <c r="Q147" s="219">
        <f t="shared" si="55"/>
        <v>4.0439758348244021</v>
      </c>
      <c r="R147" s="219">
        <f t="shared" si="56"/>
        <v>2.6353637946154715</v>
      </c>
      <c r="S147" s="220">
        <f t="shared" si="46"/>
        <v>6.6546437788249646</v>
      </c>
      <c r="T147" s="220">
        <f t="shared" si="47"/>
        <v>4.3366745987343203</v>
      </c>
      <c r="U147" s="219">
        <f t="shared" si="57"/>
        <v>0</v>
      </c>
      <c r="V147" s="219">
        <f t="shared" si="48"/>
        <v>0</v>
      </c>
      <c r="W147" s="219">
        <f t="shared" si="58"/>
        <v>6.6546437788249646</v>
      </c>
      <c r="X147" s="219">
        <f t="shared" si="59"/>
        <v>4.3366745987343203</v>
      </c>
      <c r="Y147" s="219">
        <f t="shared" si="60"/>
        <v>0</v>
      </c>
      <c r="Z147" s="219">
        <f t="shared" si="61"/>
        <v>0</v>
      </c>
      <c r="AA147" s="232">
        <v>341215925702.96198</v>
      </c>
      <c r="AB147" s="239">
        <v>341.21592570296002</v>
      </c>
      <c r="AC147" s="237">
        <v>222362381347.61981</v>
      </c>
      <c r="AD147" s="199">
        <v>222.36238134761999</v>
      </c>
    </row>
    <row r="148" spans="1:30">
      <c r="A148" s="221" t="s">
        <v>540</v>
      </c>
      <c r="B148" s="215" t="s">
        <v>560</v>
      </c>
      <c r="C148" s="251">
        <f t="shared" si="49"/>
        <v>3.9671784617144987</v>
      </c>
      <c r="D148" s="252">
        <v>0.153665560835963</v>
      </c>
      <c r="E148" s="252">
        <v>3.8135129008785356</v>
      </c>
      <c r="F148" s="252">
        <v>0.54465904340746885</v>
      </c>
      <c r="G148" s="253">
        <f t="shared" si="50"/>
        <v>4.5644362885349006</v>
      </c>
      <c r="H148" s="252">
        <v>0</v>
      </c>
      <c r="I148" s="252">
        <v>4.5644362885349006</v>
      </c>
      <c r="J148" s="252">
        <v>0</v>
      </c>
      <c r="K148" s="220">
        <f t="shared" si="44"/>
        <v>3.9875524152233366</v>
      </c>
      <c r="L148" s="220">
        <f t="shared" si="45"/>
        <v>2.1832262350709453</v>
      </c>
      <c r="M148" s="219">
        <f t="shared" si="51"/>
        <v>0.15445473002071108</v>
      </c>
      <c r="N148" s="219">
        <f t="shared" si="52"/>
        <v>8.4565563934569557E-2</v>
      </c>
      <c r="O148" s="219">
        <f t="shared" si="53"/>
        <v>3.8330976852026257</v>
      </c>
      <c r="P148" s="219">
        <f t="shared" si="54"/>
        <v>2.0986606711363756</v>
      </c>
      <c r="Q148" s="219">
        <f t="shared" si="55"/>
        <v>0.54745620974007603</v>
      </c>
      <c r="R148" s="219">
        <f t="shared" si="56"/>
        <v>0.29973794327919656</v>
      </c>
      <c r="S148" s="220">
        <f t="shared" si="46"/>
        <v>4.5878775361707511</v>
      </c>
      <c r="T148" s="220">
        <f t="shared" si="47"/>
        <v>2.5119104546490658</v>
      </c>
      <c r="U148" s="219">
        <f t="shared" si="57"/>
        <v>0</v>
      </c>
      <c r="V148" s="219">
        <f t="shared" si="48"/>
        <v>0</v>
      </c>
      <c r="W148" s="219">
        <f t="shared" si="58"/>
        <v>4.5878775361707511</v>
      </c>
      <c r="X148" s="219">
        <f t="shared" si="59"/>
        <v>2.5119104546490658</v>
      </c>
      <c r="Y148" s="219">
        <f t="shared" si="60"/>
        <v>0</v>
      </c>
      <c r="Z148" s="219">
        <f t="shared" si="61"/>
        <v>0</v>
      </c>
      <c r="AA148" s="232">
        <v>181711743748.14999</v>
      </c>
      <c r="AB148" s="239">
        <v>181.71174374815001</v>
      </c>
      <c r="AC148" s="237">
        <v>99489061173.693314</v>
      </c>
      <c r="AD148" s="199">
        <v>99.489061173690004</v>
      </c>
    </row>
    <row r="149" spans="1:30">
      <c r="A149" s="222" t="s">
        <v>541</v>
      </c>
      <c r="B149" s="255" t="s">
        <v>560</v>
      </c>
      <c r="C149" s="251">
        <f t="shared" si="49"/>
        <v>2.7659800950473437</v>
      </c>
      <c r="D149" s="252">
        <v>0.45530536543989192</v>
      </c>
      <c r="E149" s="252">
        <v>2.3106747296074519</v>
      </c>
      <c r="F149" s="252">
        <v>0.1</v>
      </c>
      <c r="G149" s="253">
        <f t="shared" si="50"/>
        <v>3.5</v>
      </c>
      <c r="H149" s="252">
        <v>1</v>
      </c>
      <c r="I149" s="252">
        <v>2.5</v>
      </c>
      <c r="J149" s="252">
        <v>0</v>
      </c>
      <c r="K149" s="220">
        <f t="shared" si="44"/>
        <v>5.4860988474153745</v>
      </c>
      <c r="L149" s="220">
        <f t="shared" si="45"/>
        <v>3.6376590060985183</v>
      </c>
      <c r="M149" s="219">
        <f t="shared" si="51"/>
        <v>0.90306153866919725</v>
      </c>
      <c r="N149" s="219">
        <f t="shared" si="52"/>
        <v>0.59879160594214276</v>
      </c>
      <c r="O149" s="219">
        <f t="shared" si="53"/>
        <v>4.5830373087461771</v>
      </c>
      <c r="P149" s="219">
        <f t="shared" si="54"/>
        <v>3.0388674001563754</v>
      </c>
      <c r="Q149" s="219">
        <f t="shared" si="55"/>
        <v>0.19834194964882682</v>
      </c>
      <c r="R149" s="219">
        <f t="shared" si="56"/>
        <v>0.13151428720011285</v>
      </c>
      <c r="S149" s="220">
        <f t="shared" si="46"/>
        <v>6.9419682377089371</v>
      </c>
      <c r="T149" s="220">
        <f t="shared" si="47"/>
        <v>4.6030000520039493</v>
      </c>
      <c r="U149" s="219">
        <f t="shared" si="57"/>
        <v>1.9834194964882681</v>
      </c>
      <c r="V149" s="219">
        <f t="shared" si="48"/>
        <v>1.3151428720011284</v>
      </c>
      <c r="W149" s="219">
        <f t="shared" si="58"/>
        <v>4.9585487412206692</v>
      </c>
      <c r="X149" s="219">
        <f t="shared" si="59"/>
        <v>3.2878571800028213</v>
      </c>
      <c r="Y149" s="219">
        <f t="shared" si="60"/>
        <v>0</v>
      </c>
      <c r="Z149" s="219">
        <f t="shared" si="61"/>
        <v>0</v>
      </c>
      <c r="AA149" s="232">
        <v>76037366075.546799</v>
      </c>
      <c r="AB149" s="239">
        <v>76.037366075549997</v>
      </c>
      <c r="AC149" s="237">
        <v>50417977728.390221</v>
      </c>
      <c r="AD149" s="199">
        <v>50.417977728389999</v>
      </c>
    </row>
    <row r="150" spans="1:30">
      <c r="A150" s="221" t="s">
        <v>450</v>
      </c>
      <c r="B150" s="215" t="s">
        <v>560</v>
      </c>
      <c r="C150" s="251">
        <f t="shared" si="49"/>
        <v>22.325028541088955</v>
      </c>
      <c r="D150" s="252">
        <v>4.0762172736226612</v>
      </c>
      <c r="E150" s="252">
        <v>18.248811267466294</v>
      </c>
      <c r="F150" s="252">
        <v>36.259500442474554</v>
      </c>
      <c r="G150" s="253">
        <f t="shared" si="50"/>
        <v>28.325705271031612</v>
      </c>
      <c r="H150" s="252">
        <v>1.2663765826177678</v>
      </c>
      <c r="I150" s="252">
        <v>27.059328688413846</v>
      </c>
      <c r="J150" s="252">
        <v>0</v>
      </c>
      <c r="K150" s="220">
        <f t="shared" si="44"/>
        <v>4.0604154975673596</v>
      </c>
      <c r="L150" s="220">
        <f t="shared" si="45"/>
        <v>4.2849973345248626</v>
      </c>
      <c r="M150" s="219">
        <f t="shared" si="51"/>
        <v>0.7413713160010994</v>
      </c>
      <c r="N150" s="219">
        <f t="shared" si="52"/>
        <v>0.78237661019202132</v>
      </c>
      <c r="O150" s="219">
        <f t="shared" si="53"/>
        <v>3.3190441815662601</v>
      </c>
      <c r="P150" s="219">
        <f t="shared" si="54"/>
        <v>3.5026207243328411</v>
      </c>
      <c r="Q150" s="219">
        <f t="shared" si="55"/>
        <v>6.594779364322048</v>
      </c>
      <c r="R150" s="219">
        <f t="shared" si="56"/>
        <v>6.9595370264027405</v>
      </c>
      <c r="S150" s="220">
        <f t="shared" si="46"/>
        <v>5.1518022675912833</v>
      </c>
      <c r="T150" s="220">
        <f t="shared" si="47"/>
        <v>5.4367487755510364</v>
      </c>
      <c r="U150" s="219">
        <f t="shared" si="57"/>
        <v>0.23032513003751623</v>
      </c>
      <c r="V150" s="219">
        <f t="shared" si="48"/>
        <v>0.24306442748928966</v>
      </c>
      <c r="W150" s="219">
        <f t="shared" si="58"/>
        <v>4.9214771375537669</v>
      </c>
      <c r="X150" s="219">
        <f t="shared" si="59"/>
        <v>5.1936843480617467</v>
      </c>
      <c r="Y150" s="219">
        <f t="shared" si="60"/>
        <v>0</v>
      </c>
      <c r="Z150" s="219">
        <f t="shared" si="61"/>
        <v>0</v>
      </c>
      <c r="AA150" s="232">
        <v>521004490742.91901</v>
      </c>
      <c r="AB150" s="239">
        <v>521.00449074291998</v>
      </c>
      <c r="AC150" s="237">
        <v>549821281946.73523</v>
      </c>
      <c r="AD150" s="199">
        <v>549.82128194673999</v>
      </c>
    </row>
    <row r="151" spans="1:30">
      <c r="A151" s="221" t="s">
        <v>453</v>
      </c>
      <c r="B151" s="215" t="s">
        <v>560</v>
      </c>
      <c r="C151" s="251">
        <f t="shared" si="49"/>
        <v>39.489616738061301</v>
      </c>
      <c r="D151" s="252">
        <v>3.1894478304486302</v>
      </c>
      <c r="E151" s="252">
        <v>36.300168907612672</v>
      </c>
      <c r="F151" s="252">
        <v>0</v>
      </c>
      <c r="G151" s="253">
        <f t="shared" si="50"/>
        <v>44.864899481644059</v>
      </c>
      <c r="H151" s="252">
        <v>0.85051942145296811</v>
      </c>
      <c r="I151" s="252">
        <v>44.014380060191094</v>
      </c>
      <c r="J151" s="252">
        <v>0</v>
      </c>
      <c r="K151" s="220">
        <f t="shared" si="44"/>
        <v>5.2856511377155213</v>
      </c>
      <c r="L151" s="220">
        <f t="shared" si="45"/>
        <v>6.6839313543188199</v>
      </c>
      <c r="M151" s="219">
        <f t="shared" si="51"/>
        <v>0.42690484097422365</v>
      </c>
      <c r="N151" s="219">
        <f t="shared" si="52"/>
        <v>0.53983938356010286</v>
      </c>
      <c r="O151" s="219">
        <f t="shared" si="53"/>
        <v>4.8587462967412973</v>
      </c>
      <c r="P151" s="219">
        <f t="shared" si="54"/>
        <v>6.1440919707587174</v>
      </c>
      <c r="Q151" s="219">
        <f t="shared" si="55"/>
        <v>0</v>
      </c>
      <c r="R151" s="219">
        <f t="shared" si="56"/>
        <v>0</v>
      </c>
      <c r="S151" s="220">
        <f t="shared" si="46"/>
        <v>6.0051280963707461</v>
      </c>
      <c r="T151" s="220">
        <f t="shared" si="47"/>
        <v>7.5937406620787797</v>
      </c>
      <c r="U151" s="219">
        <f t="shared" si="57"/>
        <v>0.11384129092645967</v>
      </c>
      <c r="V151" s="219">
        <f t="shared" si="48"/>
        <v>0.14395716894936081</v>
      </c>
      <c r="W151" s="219">
        <f t="shared" si="58"/>
        <v>5.8912868054442864</v>
      </c>
      <c r="X151" s="219">
        <f t="shared" si="59"/>
        <v>7.4497834931294191</v>
      </c>
      <c r="Y151" s="219">
        <f t="shared" si="60"/>
        <v>0</v>
      </c>
      <c r="Z151" s="219">
        <f t="shared" si="61"/>
        <v>0</v>
      </c>
      <c r="AA151" s="232">
        <v>590814217631.73499</v>
      </c>
      <c r="AB151" s="239">
        <v>590.81421763174001</v>
      </c>
      <c r="AC151" s="237">
        <v>747109782866.38879</v>
      </c>
      <c r="AD151" s="199">
        <v>747.10978286638999</v>
      </c>
    </row>
    <row r="152" spans="1:30">
      <c r="A152" s="217" t="s">
        <v>490</v>
      </c>
      <c r="B152" s="215" t="s">
        <v>560</v>
      </c>
      <c r="C152" s="251">
        <f t="shared" si="49"/>
        <v>20.735557264419626</v>
      </c>
      <c r="D152" s="252">
        <v>2.21544520875785</v>
      </c>
      <c r="E152" s="252">
        <v>18.520112055661777</v>
      </c>
      <c r="F152" s="252">
        <v>3.04</v>
      </c>
      <c r="G152" s="253">
        <f t="shared" si="50"/>
        <v>0</v>
      </c>
      <c r="H152" s="252">
        <v>0</v>
      </c>
      <c r="I152" s="252">
        <v>0</v>
      </c>
      <c r="J152" s="252">
        <v>4.5003203243428693</v>
      </c>
      <c r="K152" s="220">
        <f t="shared" si="44"/>
        <v>7.9155597092716778</v>
      </c>
      <c r="L152" s="220">
        <f t="shared" si="45"/>
        <v>4.6988645618176559</v>
      </c>
      <c r="M152" s="219">
        <f t="shared" si="51"/>
        <v>0.84572064347813192</v>
      </c>
      <c r="N152" s="219">
        <f t="shared" si="52"/>
        <v>0.50203989443504105</v>
      </c>
      <c r="O152" s="219">
        <f t="shared" si="53"/>
        <v>7.0698390657935457</v>
      </c>
      <c r="P152" s="219">
        <f t="shared" si="54"/>
        <v>4.1968246673826144</v>
      </c>
      <c r="Q152" s="219">
        <f t="shared" si="55"/>
        <v>1.1604849201461482</v>
      </c>
      <c r="R152" s="219">
        <f t="shared" si="56"/>
        <v>0.688891457594761</v>
      </c>
      <c r="S152" s="220">
        <f t="shared" si="46"/>
        <v>0</v>
      </c>
      <c r="T152" s="220">
        <f t="shared" si="47"/>
        <v>0</v>
      </c>
      <c r="U152" s="219">
        <f t="shared" si="57"/>
        <v>0</v>
      </c>
      <c r="V152" s="219">
        <f t="shared" si="48"/>
        <v>0</v>
      </c>
      <c r="W152" s="219">
        <f t="shared" si="58"/>
        <v>0</v>
      </c>
      <c r="X152" s="219">
        <f t="shared" si="59"/>
        <v>0</v>
      </c>
      <c r="Y152" s="219">
        <f t="shared" si="60"/>
        <v>1.7179453527062905</v>
      </c>
      <c r="Z152" s="219">
        <f t="shared" si="61"/>
        <v>1.0198132328552258</v>
      </c>
      <c r="AA152" s="232">
        <v>441288677118.17102</v>
      </c>
      <c r="AB152" s="239">
        <v>441.28867711817003</v>
      </c>
      <c r="AC152" s="237">
        <v>261959457397.9639</v>
      </c>
      <c r="AD152" s="199">
        <v>261.95945739796002</v>
      </c>
    </row>
    <row r="153" spans="1:30">
      <c r="A153" s="217" t="s">
        <v>481</v>
      </c>
      <c r="B153" s="215" t="s">
        <v>560</v>
      </c>
      <c r="C153" s="251">
        <f t="shared" si="49"/>
        <v>11.060053989571156</v>
      </c>
      <c r="D153" s="252">
        <v>2.9135225289071882</v>
      </c>
      <c r="E153" s="252">
        <v>8.1465314606639669</v>
      </c>
      <c r="F153" s="252">
        <v>0.10756165425876577</v>
      </c>
      <c r="G153" s="253">
        <f t="shared" si="50"/>
        <v>15.41143382219596</v>
      </c>
      <c r="H153" s="252">
        <v>8.5363617861112981</v>
      </c>
      <c r="I153" s="252">
        <v>6.8750720360846609</v>
      </c>
      <c r="J153" s="252">
        <v>0</v>
      </c>
      <c r="K153" s="220">
        <f t="shared" si="44"/>
        <v>3.4411515416001333</v>
      </c>
      <c r="L153" s="220">
        <f t="shared" si="45"/>
        <v>1.6018173047492037</v>
      </c>
      <c r="M153" s="219">
        <f t="shared" si="51"/>
        <v>0.90649399643883966</v>
      </c>
      <c r="N153" s="219">
        <f t="shared" si="52"/>
        <v>0.42196275072262579</v>
      </c>
      <c r="O153" s="219">
        <f t="shared" si="53"/>
        <v>2.5346575451612936</v>
      </c>
      <c r="P153" s="219">
        <f t="shared" si="54"/>
        <v>1.1798545540265779</v>
      </c>
      <c r="Q153" s="219">
        <f t="shared" si="55"/>
        <v>3.3466016777008889E-2</v>
      </c>
      <c r="R153" s="219">
        <f t="shared" si="56"/>
        <v>1.5578054074745292E-2</v>
      </c>
      <c r="S153" s="220">
        <f t="shared" si="46"/>
        <v>4.7950108838098338</v>
      </c>
      <c r="T153" s="220">
        <f t="shared" si="47"/>
        <v>2.2320235878295058</v>
      </c>
      <c r="U153" s="219">
        <f t="shared" si="57"/>
        <v>2.6559467564653678</v>
      </c>
      <c r="V153" s="219">
        <f t="shared" si="48"/>
        <v>1.2363133165069735</v>
      </c>
      <c r="W153" s="219">
        <f t="shared" si="58"/>
        <v>2.1390641273444655</v>
      </c>
      <c r="X153" s="219">
        <f t="shared" si="59"/>
        <v>0.99571027132253231</v>
      </c>
      <c r="Y153" s="219">
        <f t="shared" si="60"/>
        <v>0</v>
      </c>
      <c r="Z153" s="219">
        <f t="shared" si="61"/>
        <v>0</v>
      </c>
      <c r="AA153" s="232">
        <v>690469128831.32397</v>
      </c>
      <c r="AB153" s="239">
        <v>690.46912883131995</v>
      </c>
      <c r="AC153" s="237">
        <v>321405606694.9129</v>
      </c>
      <c r="AD153" s="199">
        <v>321.40560669490998</v>
      </c>
    </row>
    <row r="154" spans="1:30">
      <c r="A154" s="217" t="s">
        <v>542</v>
      </c>
      <c r="B154" s="215" t="s">
        <v>560</v>
      </c>
      <c r="C154" s="251">
        <f t="shared" si="49"/>
        <v>0.84666152667042227</v>
      </c>
      <c r="D154" s="252">
        <v>0.1953834292316359</v>
      </c>
      <c r="E154" s="252">
        <v>0.6512780974387864</v>
      </c>
      <c r="F154" s="252">
        <v>0.40447797630408838</v>
      </c>
      <c r="G154" s="253">
        <f t="shared" si="50"/>
        <v>0</v>
      </c>
      <c r="H154" s="252">
        <v>0</v>
      </c>
      <c r="I154" s="252">
        <v>0</v>
      </c>
      <c r="J154" s="252">
        <v>0</v>
      </c>
      <c r="K154" s="220">
        <f t="shared" si="44"/>
        <v>1.3150492804551615</v>
      </c>
      <c r="L154" s="220">
        <f t="shared" si="45"/>
        <v>0.92801617704075523</v>
      </c>
      <c r="M154" s="219">
        <f t="shared" si="51"/>
        <v>0.30347291087426803</v>
      </c>
      <c r="N154" s="219">
        <f t="shared" si="52"/>
        <v>0.21415757931709736</v>
      </c>
      <c r="O154" s="219">
        <f t="shared" si="53"/>
        <v>1.0115763695808935</v>
      </c>
      <c r="P154" s="219">
        <f t="shared" si="54"/>
        <v>0.71385859772365789</v>
      </c>
      <c r="Q154" s="219">
        <f t="shared" si="55"/>
        <v>0.62824216637129171</v>
      </c>
      <c r="R154" s="219">
        <f t="shared" si="56"/>
        <v>0.44334376069153497</v>
      </c>
      <c r="S154" s="220">
        <f t="shared" si="46"/>
        <v>0</v>
      </c>
      <c r="T154" s="220">
        <f t="shared" si="47"/>
        <v>0</v>
      </c>
      <c r="U154" s="219">
        <f t="shared" si="57"/>
        <v>0</v>
      </c>
      <c r="V154" s="219">
        <f t="shared" si="48"/>
        <v>0</v>
      </c>
      <c r="W154" s="219">
        <f t="shared" si="58"/>
        <v>0</v>
      </c>
      <c r="X154" s="219">
        <f t="shared" si="59"/>
        <v>0</v>
      </c>
      <c r="Y154" s="219">
        <f t="shared" si="60"/>
        <v>0</v>
      </c>
      <c r="Z154" s="219">
        <f t="shared" si="61"/>
        <v>0</v>
      </c>
      <c r="AA154" s="232">
        <v>91233487908.610901</v>
      </c>
      <c r="AB154" s="239">
        <v>91.233487908610002</v>
      </c>
      <c r="AC154" s="237">
        <v>64382494196.515457</v>
      </c>
      <c r="AD154" s="199">
        <v>64.38249419652</v>
      </c>
    </row>
    <row r="155" spans="1:30">
      <c r="A155" s="217" t="s">
        <v>543</v>
      </c>
      <c r="B155" s="215" t="s">
        <v>560</v>
      </c>
      <c r="C155" s="251">
        <f t="shared" si="49"/>
        <v>5.9975490460949956</v>
      </c>
      <c r="D155" s="252">
        <v>1.7694150329493317</v>
      </c>
      <c r="E155" s="252">
        <v>4.2281340131456639</v>
      </c>
      <c r="F155" s="252">
        <v>0</v>
      </c>
      <c r="G155" s="253">
        <f t="shared" si="50"/>
        <v>6.6270225953158493</v>
      </c>
      <c r="H155" s="252">
        <v>0</v>
      </c>
      <c r="I155" s="252">
        <v>6.6270225953158493</v>
      </c>
      <c r="J155" s="252">
        <v>0</v>
      </c>
      <c r="K155" s="220">
        <f t="shared" si="44"/>
        <v>4.0693359469700905</v>
      </c>
      <c r="L155" s="220">
        <f t="shared" si="45"/>
        <v>1.9353914644892853</v>
      </c>
      <c r="M155" s="219">
        <f t="shared" si="51"/>
        <v>1.2005477809936589</v>
      </c>
      <c r="N155" s="219">
        <f t="shared" si="52"/>
        <v>0.57098503498505992</v>
      </c>
      <c r="O155" s="219">
        <f t="shared" si="53"/>
        <v>2.8687881659764316</v>
      </c>
      <c r="P155" s="219">
        <f t="shared" si="54"/>
        <v>1.3644064295042255</v>
      </c>
      <c r="Q155" s="219">
        <f t="shared" si="55"/>
        <v>0</v>
      </c>
      <c r="R155" s="219">
        <f t="shared" si="56"/>
        <v>0</v>
      </c>
      <c r="S155" s="220">
        <f t="shared" si="46"/>
        <v>4.4964336366803703</v>
      </c>
      <c r="T155" s="220">
        <f t="shared" si="47"/>
        <v>2.1385207302811238</v>
      </c>
      <c r="U155" s="219">
        <f t="shared" si="57"/>
        <v>0</v>
      </c>
      <c r="V155" s="219">
        <f t="shared" si="48"/>
        <v>0</v>
      </c>
      <c r="W155" s="219">
        <f t="shared" si="58"/>
        <v>4.4964336366803703</v>
      </c>
      <c r="X155" s="219">
        <f t="shared" si="59"/>
        <v>2.1385207302811238</v>
      </c>
      <c r="Y155" s="219">
        <f t="shared" si="60"/>
        <v>0</v>
      </c>
      <c r="Z155" s="219">
        <f t="shared" si="61"/>
        <v>0</v>
      </c>
      <c r="AA155" s="232">
        <v>309888162479.70697</v>
      </c>
      <c r="AB155" s="239">
        <v>309.88816247970999</v>
      </c>
      <c r="AC155" s="237">
        <v>147383974295.86609</v>
      </c>
      <c r="AD155" s="199">
        <v>147.38397429586999</v>
      </c>
    </row>
    <row r="156" spans="1:30">
      <c r="A156" s="217" t="s">
        <v>487</v>
      </c>
      <c r="B156" s="215" t="s">
        <v>560</v>
      </c>
      <c r="C156" s="251">
        <f t="shared" si="49"/>
        <v>44.709731424704025</v>
      </c>
      <c r="D156" s="252">
        <v>2.1654285875212778</v>
      </c>
      <c r="E156" s="252">
        <v>42.544302837182748</v>
      </c>
      <c r="F156" s="252">
        <v>0</v>
      </c>
      <c r="G156" s="253">
        <f t="shared" si="50"/>
        <v>31.58978174736923</v>
      </c>
      <c r="H156" s="252">
        <v>12.737815220713399</v>
      </c>
      <c r="I156" s="252">
        <v>18.851966526655829</v>
      </c>
      <c r="J156" s="252">
        <v>0</v>
      </c>
      <c r="K156" s="220">
        <f t="shared" si="44"/>
        <v>7.8231824263139735</v>
      </c>
      <c r="L156" s="220">
        <f t="shared" si="45"/>
        <v>3.6785330081688583</v>
      </c>
      <c r="M156" s="219">
        <f t="shared" si="51"/>
        <v>0.37890057335423805</v>
      </c>
      <c r="N156" s="219">
        <f t="shared" si="52"/>
        <v>0.17816256734720967</v>
      </c>
      <c r="O156" s="219">
        <f t="shared" si="53"/>
        <v>7.4442818529597359</v>
      </c>
      <c r="P156" s="219">
        <f t="shared" si="54"/>
        <v>3.5003704408216487</v>
      </c>
      <c r="Q156" s="219">
        <f t="shared" si="55"/>
        <v>0</v>
      </c>
      <c r="R156" s="219">
        <f t="shared" si="56"/>
        <v>0</v>
      </c>
      <c r="S156" s="220">
        <f t="shared" si="46"/>
        <v>5.5274907171677086</v>
      </c>
      <c r="T156" s="220">
        <f t="shared" si="47"/>
        <v>2.5990774530651759</v>
      </c>
      <c r="U156" s="219">
        <f t="shared" si="57"/>
        <v>2.2288269020837537</v>
      </c>
      <c r="V156" s="219">
        <f t="shared" si="48"/>
        <v>1.0480151020424098</v>
      </c>
      <c r="W156" s="219">
        <f t="shared" si="58"/>
        <v>3.2986638150839549</v>
      </c>
      <c r="X156" s="219">
        <f t="shared" si="59"/>
        <v>1.5510623510227664</v>
      </c>
      <c r="Y156" s="219">
        <f t="shared" si="60"/>
        <v>0</v>
      </c>
      <c r="Z156" s="219">
        <f t="shared" si="61"/>
        <v>0</v>
      </c>
      <c r="AA156" s="232">
        <v>1215422868992.01</v>
      </c>
      <c r="AB156" s="239">
        <v>1215.4228689920101</v>
      </c>
      <c r="AC156" s="237">
        <v>571503117124.28699</v>
      </c>
      <c r="AD156" s="199">
        <v>571.50311712429004</v>
      </c>
    </row>
    <row r="157" spans="1:30">
      <c r="A157" s="217"/>
      <c r="B157" s="215"/>
      <c r="C157" s="251"/>
      <c r="D157" s="252"/>
      <c r="E157" s="252"/>
      <c r="F157" s="252"/>
      <c r="G157" s="253"/>
      <c r="H157" s="252"/>
      <c r="I157" s="252"/>
      <c r="J157" s="252"/>
      <c r="K157" s="220"/>
      <c r="L157" s="220"/>
      <c r="M157" s="219"/>
      <c r="N157" s="219"/>
      <c r="O157" s="219"/>
      <c r="P157" s="219"/>
      <c r="Q157" s="219"/>
      <c r="R157" s="219"/>
      <c r="S157" s="220"/>
      <c r="T157" s="220"/>
      <c r="U157" s="219"/>
      <c r="V157" s="219"/>
      <c r="W157" s="219"/>
      <c r="X157" s="219"/>
      <c r="Y157" s="219"/>
      <c r="Z157" s="219"/>
      <c r="AA157" s="238"/>
      <c r="AB157" s="239"/>
      <c r="AC157" s="237"/>
    </row>
    <row r="158" spans="1:30">
      <c r="A158" s="217" t="s">
        <v>461</v>
      </c>
      <c r="B158" s="215" t="s">
        <v>561</v>
      </c>
      <c r="C158" s="251">
        <f t="shared" si="49"/>
        <v>219.27816741903561</v>
      </c>
      <c r="D158" s="252">
        <v>11.461012528828688</v>
      </c>
      <c r="E158" s="252">
        <v>207.81715489020692</v>
      </c>
      <c r="F158" s="252">
        <v>0</v>
      </c>
      <c r="G158" s="253">
        <f t="shared" si="50"/>
        <v>24.164785452349641</v>
      </c>
      <c r="H158" s="252">
        <v>10.356336622435562</v>
      </c>
      <c r="I158" s="252">
        <v>13.808448829914079</v>
      </c>
      <c r="J158" s="252">
        <v>0</v>
      </c>
      <c r="K158" s="220">
        <f t="shared" ref="K158:K195" si="62">M158+O158</f>
        <v>14.669659786231424</v>
      </c>
      <c r="L158" s="220">
        <f t="shared" ref="L158:L195" si="63">N158+P158</f>
        <v>17.878137584491526</v>
      </c>
      <c r="M158" s="219">
        <f t="shared" si="51"/>
        <v>0.76673914499824203</v>
      </c>
      <c r="N158" s="219">
        <f t="shared" si="52"/>
        <v>0.93443666216171062</v>
      </c>
      <c r="O158" s="219">
        <f t="shared" si="53"/>
        <v>13.902920641233182</v>
      </c>
      <c r="P158" s="219">
        <f t="shared" si="54"/>
        <v>16.943700922329814</v>
      </c>
      <c r="Q158" s="219">
        <f t="shared" si="55"/>
        <v>0</v>
      </c>
      <c r="R158" s="219">
        <f t="shared" si="56"/>
        <v>0</v>
      </c>
      <c r="S158" s="220">
        <f t="shared" ref="S158:S195" si="64">U158+W158</f>
        <v>1.6166186792131607</v>
      </c>
      <c r="T158" s="220">
        <f t="shared" ref="T158:T195" si="65">V158+X158</f>
        <v>1.9701977816662573</v>
      </c>
      <c r="U158" s="219">
        <f t="shared" si="57"/>
        <v>0.69283657680564037</v>
      </c>
      <c r="V158" s="219">
        <f t="shared" ref="V158:V195" si="66">($H158/AB158)*100</f>
        <v>0.84437047785696751</v>
      </c>
      <c r="W158" s="219">
        <f t="shared" si="58"/>
        <v>0.92378210240752023</v>
      </c>
      <c r="X158" s="219">
        <f t="shared" si="59"/>
        <v>1.1258273038092899</v>
      </c>
      <c r="Y158" s="219">
        <f t="shared" si="60"/>
        <v>0</v>
      </c>
      <c r="Z158" s="219">
        <f t="shared" si="61"/>
        <v>0</v>
      </c>
      <c r="AA158" s="232">
        <v>1226515717214.5801</v>
      </c>
      <c r="AB158" s="239">
        <v>1226.51571721458</v>
      </c>
      <c r="AC158" s="237">
        <v>1494773366351.988</v>
      </c>
      <c r="AD158" s="199">
        <v>1494.77336635199</v>
      </c>
    </row>
    <row r="159" spans="1:30">
      <c r="A159" s="217" t="s">
        <v>459</v>
      </c>
      <c r="B159" s="215" t="s">
        <v>561</v>
      </c>
      <c r="C159" s="251">
        <f t="shared" si="49"/>
        <v>240.61391867109978</v>
      </c>
      <c r="D159" s="252">
        <v>39.294556907241891</v>
      </c>
      <c r="E159" s="252">
        <v>201.3193617638579</v>
      </c>
      <c r="F159" s="252">
        <v>63.378317592325629</v>
      </c>
      <c r="G159" s="253">
        <f t="shared" si="50"/>
        <v>66.062575749177071</v>
      </c>
      <c r="H159" s="252">
        <v>3.8772617821187447</v>
      </c>
      <c r="I159" s="252">
        <v>62.185313967058327</v>
      </c>
      <c r="J159" s="252">
        <v>0</v>
      </c>
      <c r="K159" s="220">
        <f t="shared" si="62"/>
        <v>14.182081622860085</v>
      </c>
      <c r="L159" s="220">
        <f t="shared" si="63"/>
        <v>13.960868736708385</v>
      </c>
      <c r="M159" s="219">
        <f t="shared" si="51"/>
        <v>2.3160697289269492</v>
      </c>
      <c r="N159" s="219">
        <f t="shared" si="52"/>
        <v>2.2799435464038789</v>
      </c>
      <c r="O159" s="219">
        <f t="shared" si="53"/>
        <v>11.866011893933136</v>
      </c>
      <c r="P159" s="219">
        <f t="shared" si="54"/>
        <v>11.680925190304505</v>
      </c>
      <c r="Q159" s="219">
        <f t="shared" si="55"/>
        <v>3.7355963369789498</v>
      </c>
      <c r="R159" s="219">
        <f t="shared" si="56"/>
        <v>3.6773283006514177</v>
      </c>
      <c r="S159" s="220">
        <f t="shared" si="64"/>
        <v>3.8938098288980587</v>
      </c>
      <c r="T159" s="220">
        <f t="shared" si="65"/>
        <v>3.8330739698554779</v>
      </c>
      <c r="U159" s="219">
        <f t="shared" si="57"/>
        <v>0.22853059943871226</v>
      </c>
      <c r="V159" s="219">
        <f t="shared" si="66"/>
        <v>0.22496596662808674</v>
      </c>
      <c r="W159" s="219">
        <f t="shared" si="58"/>
        <v>3.6652792294593466</v>
      </c>
      <c r="X159" s="219">
        <f t="shared" si="59"/>
        <v>3.6081080032273913</v>
      </c>
      <c r="Y159" s="219">
        <f t="shared" si="60"/>
        <v>0</v>
      </c>
      <c r="Z159" s="219">
        <f t="shared" si="61"/>
        <v>0</v>
      </c>
      <c r="AA159" s="232">
        <v>1723488152556.26</v>
      </c>
      <c r="AB159" s="239">
        <v>1723.48815255626</v>
      </c>
      <c r="AC159" s="237">
        <v>1696605089927.3779</v>
      </c>
      <c r="AD159" s="199">
        <v>1696.60508992738</v>
      </c>
    </row>
    <row r="160" spans="1:30">
      <c r="A160" s="217" t="s">
        <v>457</v>
      </c>
      <c r="B160" s="215" t="s">
        <v>561</v>
      </c>
      <c r="C160" s="251">
        <f t="shared" si="49"/>
        <v>198.58304352766777</v>
      </c>
      <c r="D160" s="252">
        <v>21.456098955862956</v>
      </c>
      <c r="E160" s="252">
        <v>177.12694457180481</v>
      </c>
      <c r="F160" s="252">
        <v>79.319089225131677</v>
      </c>
      <c r="G160" s="253">
        <f t="shared" si="50"/>
        <v>405.7257010004937</v>
      </c>
      <c r="H160" s="252">
        <v>23.966919046442662</v>
      </c>
      <c r="I160" s="252">
        <v>381.75878195405102</v>
      </c>
      <c r="J160" s="252">
        <v>0</v>
      </c>
      <c r="K160" s="220">
        <f t="shared" si="62"/>
        <v>7.5887380013466981</v>
      </c>
      <c r="L160" s="220">
        <f t="shared" si="63"/>
        <v>6.8309899749630247</v>
      </c>
      <c r="M160" s="219">
        <f t="shared" si="51"/>
        <v>0.81993261163975828</v>
      </c>
      <c r="N160" s="219">
        <f t="shared" si="52"/>
        <v>0.73806098580060275</v>
      </c>
      <c r="O160" s="219">
        <f t="shared" si="53"/>
        <v>6.76880538970694</v>
      </c>
      <c r="P160" s="219">
        <f t="shared" si="54"/>
        <v>6.0929289891624219</v>
      </c>
      <c r="Q160" s="219">
        <f t="shared" si="55"/>
        <v>3.0311338568597446</v>
      </c>
      <c r="R160" s="219">
        <f t="shared" si="56"/>
        <v>2.7284701336777601</v>
      </c>
      <c r="S160" s="220">
        <f t="shared" si="64"/>
        <v>15.504576778613515</v>
      </c>
      <c r="T160" s="220">
        <f t="shared" si="65"/>
        <v>13.9564191729848</v>
      </c>
      <c r="U160" s="219">
        <f t="shared" si="57"/>
        <v>0.91588217257632565</v>
      </c>
      <c r="V160" s="219">
        <f t="shared" si="66"/>
        <v>0.82442982456450298</v>
      </c>
      <c r="W160" s="219">
        <f t="shared" si="58"/>
        <v>14.588694606037189</v>
      </c>
      <c r="X160" s="219">
        <f t="shared" si="59"/>
        <v>13.131989348420298</v>
      </c>
      <c r="Y160" s="219">
        <f t="shared" si="60"/>
        <v>0</v>
      </c>
      <c r="Z160" s="219">
        <f t="shared" si="61"/>
        <v>0</v>
      </c>
      <c r="AA160" s="232">
        <v>2907090249810.2798</v>
      </c>
      <c r="AB160" s="239">
        <v>2907.0902498102801</v>
      </c>
      <c r="AC160" s="237">
        <v>2616812485718.0068</v>
      </c>
      <c r="AD160" s="199">
        <v>2616.8124857180101</v>
      </c>
    </row>
    <row r="161" spans="1:30">
      <c r="A161" s="217" t="s">
        <v>458</v>
      </c>
      <c r="B161" s="215" t="s">
        <v>561</v>
      </c>
      <c r="C161" s="251">
        <f t="shared" si="49"/>
        <v>418.85044238306943</v>
      </c>
      <c r="D161" s="252">
        <v>45.651274374176502</v>
      </c>
      <c r="E161" s="252">
        <v>373.19916800889291</v>
      </c>
      <c r="F161" s="252">
        <v>0</v>
      </c>
      <c r="G161" s="253">
        <f t="shared" si="50"/>
        <v>1057.1693863199921</v>
      </c>
      <c r="H161" s="252">
        <v>114.12818593544125</v>
      </c>
      <c r="I161" s="252">
        <v>943.04120038455096</v>
      </c>
      <c r="J161" s="252">
        <v>0</v>
      </c>
      <c r="K161" s="220">
        <f t="shared" si="62"/>
        <v>11.643410994561446</v>
      </c>
      <c r="L161" s="220">
        <f t="shared" si="63"/>
        <v>10.064202523914023</v>
      </c>
      <c r="M161" s="219">
        <f t="shared" si="51"/>
        <v>1.2690366206606483</v>
      </c>
      <c r="N161" s="219">
        <f t="shared" si="52"/>
        <v>1.0969158064211468</v>
      </c>
      <c r="O161" s="219">
        <f t="shared" si="53"/>
        <v>10.374374373900798</v>
      </c>
      <c r="P161" s="219">
        <f t="shared" si="54"/>
        <v>8.9672867174928772</v>
      </c>
      <c r="Q161" s="219">
        <f t="shared" si="55"/>
        <v>0</v>
      </c>
      <c r="R161" s="219">
        <f t="shared" si="56"/>
        <v>0</v>
      </c>
      <c r="S161" s="220">
        <f t="shared" si="64"/>
        <v>29.387715542948957</v>
      </c>
      <c r="T161" s="220">
        <f t="shared" si="65"/>
        <v>25.401827787197707</v>
      </c>
      <c r="U161" s="219">
        <f t="shared" si="57"/>
        <v>3.1725915516516197</v>
      </c>
      <c r="V161" s="219">
        <f t="shared" si="66"/>
        <v>2.7422895160528671</v>
      </c>
      <c r="W161" s="219">
        <f t="shared" si="58"/>
        <v>26.215123991297336</v>
      </c>
      <c r="X161" s="219">
        <f t="shared" si="59"/>
        <v>22.659538271144839</v>
      </c>
      <c r="Y161" s="219">
        <f t="shared" si="60"/>
        <v>0</v>
      </c>
      <c r="Z161" s="219">
        <f t="shared" si="61"/>
        <v>0</v>
      </c>
      <c r="AA161" s="232">
        <v>4161784715558.1299</v>
      </c>
      <c r="AB161" s="239">
        <v>4161.7847155581303</v>
      </c>
      <c r="AC161" s="237">
        <v>3597317337494.2358</v>
      </c>
      <c r="AD161" s="199">
        <v>3597.3173374942398</v>
      </c>
    </row>
    <row r="162" spans="1:30">
      <c r="A162" s="217" t="s">
        <v>455</v>
      </c>
      <c r="B162" s="215" t="s">
        <v>561</v>
      </c>
      <c r="C162" s="251">
        <f t="shared" si="49"/>
        <v>159.77946030961775</v>
      </c>
      <c r="D162" s="252">
        <v>11.412818593544126</v>
      </c>
      <c r="E162" s="252">
        <v>148.36664171607362</v>
      </c>
      <c r="F162" s="252">
        <v>7.9889730154808873</v>
      </c>
      <c r="G162" s="253">
        <f t="shared" si="50"/>
        <v>664.51136260910675</v>
      </c>
      <c r="H162" s="252">
        <v>3.7091660429018405</v>
      </c>
      <c r="I162" s="252">
        <v>660.80219656620488</v>
      </c>
      <c r="J162" s="252">
        <v>0</v>
      </c>
      <c r="K162" s="220">
        <f t="shared" si="62"/>
        <v>8.3298399913434693</v>
      </c>
      <c r="L162" s="220">
        <f t="shared" si="63"/>
        <v>6.8350176200053054</v>
      </c>
      <c r="M162" s="219">
        <f t="shared" si="51"/>
        <v>0.59498857081024792</v>
      </c>
      <c r="N162" s="219">
        <f t="shared" si="52"/>
        <v>0.48821554428609326</v>
      </c>
      <c r="O162" s="219">
        <f t="shared" si="53"/>
        <v>7.7348514205332215</v>
      </c>
      <c r="P162" s="219">
        <f t="shared" si="54"/>
        <v>6.3468020757192125</v>
      </c>
      <c r="Q162" s="219">
        <f t="shared" si="55"/>
        <v>0.41649199956717348</v>
      </c>
      <c r="R162" s="219">
        <f t="shared" si="56"/>
        <v>0.34175088100026529</v>
      </c>
      <c r="S162" s="220">
        <f t="shared" si="64"/>
        <v>34.643209535426678</v>
      </c>
      <c r="T162" s="220">
        <f t="shared" si="65"/>
        <v>28.426350066057783</v>
      </c>
      <c r="U162" s="219">
        <f t="shared" si="57"/>
        <v>0.19337128551333052</v>
      </c>
      <c r="V162" s="219">
        <f t="shared" si="66"/>
        <v>0.15867005189298031</v>
      </c>
      <c r="W162" s="219">
        <f t="shared" si="58"/>
        <v>34.449838249913348</v>
      </c>
      <c r="X162" s="219">
        <f t="shared" si="59"/>
        <v>28.267680014164803</v>
      </c>
      <c r="Y162" s="219">
        <f t="shared" si="60"/>
        <v>0</v>
      </c>
      <c r="Z162" s="219">
        <f t="shared" si="61"/>
        <v>0</v>
      </c>
      <c r="AA162" s="232">
        <v>2337659815857.1201</v>
      </c>
      <c r="AB162" s="239">
        <v>2337.6598158571201</v>
      </c>
      <c r="AC162" s="237">
        <v>1918157617381.1699</v>
      </c>
      <c r="AD162" s="199">
        <v>1918.15761738117</v>
      </c>
    </row>
    <row r="163" spans="1:30">
      <c r="A163" s="217" t="s">
        <v>460</v>
      </c>
      <c r="B163" s="215" t="s">
        <v>561</v>
      </c>
      <c r="C163" s="251">
        <f t="shared" si="49"/>
        <v>800.7523718505679</v>
      </c>
      <c r="D163" s="252">
        <v>89.909038242870778</v>
      </c>
      <c r="E163" s="252">
        <v>710.8433336076971</v>
      </c>
      <c r="F163" s="252">
        <v>243.50364524110836</v>
      </c>
      <c r="G163" s="253">
        <f t="shared" si="50"/>
        <v>147.0387396263616</v>
      </c>
      <c r="H163" s="252">
        <v>0</v>
      </c>
      <c r="I163" s="252">
        <v>147.0387396263616</v>
      </c>
      <c r="J163" s="252">
        <v>1282.1403474426052</v>
      </c>
      <c r="K163" s="220">
        <f t="shared" si="62"/>
        <v>17.543690409542965</v>
      </c>
      <c r="L163" s="220">
        <f t="shared" si="63"/>
        <v>15.038020540834664</v>
      </c>
      <c r="M163" s="219">
        <f t="shared" si="51"/>
        <v>1.969817870545175</v>
      </c>
      <c r="N163" s="219">
        <f t="shared" si="52"/>
        <v>1.6884794993217871</v>
      </c>
      <c r="O163" s="219">
        <f t="shared" si="53"/>
        <v>15.57387253899779</v>
      </c>
      <c r="P163" s="219">
        <f t="shared" si="54"/>
        <v>13.349541041512877</v>
      </c>
      <c r="Q163" s="219">
        <f t="shared" si="55"/>
        <v>5.3349233993931824</v>
      </c>
      <c r="R163" s="219">
        <f t="shared" si="56"/>
        <v>4.5729653106631734</v>
      </c>
      <c r="S163" s="220">
        <f t="shared" si="64"/>
        <v>3.2214729757874219</v>
      </c>
      <c r="T163" s="220">
        <f t="shared" si="65"/>
        <v>2.7613675145158392</v>
      </c>
      <c r="U163" s="219">
        <f t="shared" si="57"/>
        <v>0</v>
      </c>
      <c r="V163" s="219">
        <f t="shared" si="66"/>
        <v>0</v>
      </c>
      <c r="W163" s="219">
        <f t="shared" si="58"/>
        <v>3.2214729757874219</v>
      </c>
      <c r="X163" s="219">
        <f t="shared" si="59"/>
        <v>2.7613675145158392</v>
      </c>
      <c r="Y163" s="219">
        <f t="shared" si="60"/>
        <v>28.090423591420254</v>
      </c>
      <c r="Z163" s="219">
        <f t="shared" si="61"/>
        <v>24.078421193453401</v>
      </c>
      <c r="AA163" s="232">
        <v>5324852228231.6504</v>
      </c>
      <c r="AB163" s="239">
        <v>5324.8522282316499</v>
      </c>
      <c r="AC163" s="237">
        <v>4564332550094.4502</v>
      </c>
      <c r="AD163" s="199">
        <v>4564.3325500944502</v>
      </c>
    </row>
    <row r="164" spans="1:30">
      <c r="A164" s="217" t="s">
        <v>448</v>
      </c>
      <c r="B164" s="215" t="s">
        <v>561</v>
      </c>
      <c r="C164" s="251">
        <f t="shared" si="49"/>
        <v>73.473615277217803</v>
      </c>
      <c r="D164" s="252">
        <v>8.4744654298982489</v>
      </c>
      <c r="E164" s="252">
        <v>64.999149847319558</v>
      </c>
      <c r="F164" s="252">
        <v>39.575753557624822</v>
      </c>
      <c r="G164" s="253">
        <f t="shared" si="50"/>
        <v>60.08395989797858</v>
      </c>
      <c r="H164" s="252">
        <v>0</v>
      </c>
      <c r="I164" s="252">
        <v>60.08395989797858</v>
      </c>
      <c r="J164" s="252">
        <v>105.9308178737281</v>
      </c>
      <c r="K164" s="220">
        <f t="shared" si="62"/>
        <v>4.4851662923129334</v>
      </c>
      <c r="L164" s="220">
        <f t="shared" si="63"/>
        <v>3.4070144712658177</v>
      </c>
      <c r="M164" s="219">
        <f t="shared" si="51"/>
        <v>0.51732021825985408</v>
      </c>
      <c r="N164" s="219">
        <f t="shared" si="52"/>
        <v>0.39296591364080952</v>
      </c>
      <c r="O164" s="219">
        <f t="shared" si="53"/>
        <v>3.9678460740530794</v>
      </c>
      <c r="P164" s="219">
        <f t="shared" si="54"/>
        <v>3.0140485576250082</v>
      </c>
      <c r="Q164" s="219">
        <f t="shared" si="55"/>
        <v>2.4158854192735184</v>
      </c>
      <c r="R164" s="219">
        <f t="shared" si="56"/>
        <v>1.8351508167025805</v>
      </c>
      <c r="S164" s="220">
        <f t="shared" si="64"/>
        <v>3.6678003474623648</v>
      </c>
      <c r="T164" s="220">
        <f t="shared" si="65"/>
        <v>2.7861283277133393</v>
      </c>
      <c r="U164" s="219">
        <f t="shared" si="57"/>
        <v>0</v>
      </c>
      <c r="V164" s="219">
        <f t="shared" si="66"/>
        <v>0</v>
      </c>
      <c r="W164" s="219">
        <f t="shared" si="58"/>
        <v>3.6678003474623648</v>
      </c>
      <c r="X164" s="219">
        <f t="shared" si="59"/>
        <v>2.7861283277133393</v>
      </c>
      <c r="Y164" s="219">
        <f t="shared" si="60"/>
        <v>6.4665027282481748</v>
      </c>
      <c r="Z164" s="219">
        <f t="shared" si="61"/>
        <v>4.9120739205101192</v>
      </c>
      <c r="AA164" s="232">
        <v>2156539571430.7</v>
      </c>
      <c r="AB164" s="239">
        <v>2156.5395714307001</v>
      </c>
      <c r="AC164" s="237">
        <v>1638146960195.0569</v>
      </c>
      <c r="AD164" s="199">
        <v>1638.14696019506</v>
      </c>
    </row>
    <row r="165" spans="1:30">
      <c r="A165" s="217" t="s">
        <v>449</v>
      </c>
      <c r="B165" s="215" t="s">
        <v>561</v>
      </c>
      <c r="C165" s="251">
        <f t="shared" si="49"/>
        <v>97.00895804512507</v>
      </c>
      <c r="D165" s="252">
        <v>16.092074216897217</v>
      </c>
      <c r="E165" s="252">
        <v>80.916883828227853</v>
      </c>
      <c r="F165" s="252">
        <v>5.1357683670948562E-2</v>
      </c>
      <c r="G165" s="253">
        <f t="shared" si="50"/>
        <v>172.60632712690199</v>
      </c>
      <c r="H165" s="252">
        <v>0.72927910812746966</v>
      </c>
      <c r="I165" s="252">
        <v>171.87704801877453</v>
      </c>
      <c r="J165" s="252">
        <v>11.412818593544126</v>
      </c>
      <c r="K165" s="220">
        <f t="shared" si="62"/>
        <v>7.3274116773062694</v>
      </c>
      <c r="L165" s="220">
        <f t="shared" si="63"/>
        <v>5.3998030915904947</v>
      </c>
      <c r="M165" s="219">
        <f t="shared" si="51"/>
        <v>1.2154882900002164</v>
      </c>
      <c r="N165" s="219">
        <f t="shared" si="52"/>
        <v>0.89573204225207037</v>
      </c>
      <c r="O165" s="219">
        <f t="shared" si="53"/>
        <v>6.111923387306053</v>
      </c>
      <c r="P165" s="219">
        <f t="shared" si="54"/>
        <v>4.5040710493384246</v>
      </c>
      <c r="Q165" s="219">
        <f t="shared" si="55"/>
        <v>3.8792179468092008E-3</v>
      </c>
      <c r="R165" s="219">
        <f t="shared" si="56"/>
        <v>2.8587192837832031E-3</v>
      </c>
      <c r="S165" s="220">
        <f t="shared" si="64"/>
        <v>13.03753429016615</v>
      </c>
      <c r="T165" s="220">
        <f t="shared" si="65"/>
        <v>9.6077743502241759</v>
      </c>
      <c r="U165" s="219">
        <f t="shared" si="57"/>
        <v>5.508489484469066E-2</v>
      </c>
      <c r="V165" s="219">
        <f t="shared" si="66"/>
        <v>4.0593813829721485E-2</v>
      </c>
      <c r="W165" s="219">
        <f t="shared" si="58"/>
        <v>12.98244939532146</v>
      </c>
      <c r="X165" s="219">
        <f t="shared" si="59"/>
        <v>9.5671805363944546</v>
      </c>
      <c r="Y165" s="219">
        <f t="shared" si="60"/>
        <v>0.862048432624267</v>
      </c>
      <c r="Z165" s="219">
        <f t="shared" si="61"/>
        <v>0.63527095195182293</v>
      </c>
      <c r="AA165" s="232">
        <v>1796527695541.4199</v>
      </c>
      <c r="AB165" s="239">
        <v>1796.5276955414199</v>
      </c>
      <c r="AC165" s="237">
        <v>1323918490148.05</v>
      </c>
      <c r="AD165" s="199">
        <v>1323.9184901480501</v>
      </c>
    </row>
    <row r="166" spans="1:30">
      <c r="A166" s="217" t="s">
        <v>463</v>
      </c>
      <c r="B166" s="215" t="s">
        <v>561</v>
      </c>
      <c r="C166" s="251">
        <f t="shared" si="49"/>
        <v>440.0580179680901</v>
      </c>
      <c r="D166" s="252">
        <v>203.99190920386684</v>
      </c>
      <c r="E166" s="252">
        <v>236.06610876422326</v>
      </c>
      <c r="F166" s="252">
        <v>14.112647806556826</v>
      </c>
      <c r="G166" s="253">
        <f t="shared" si="50"/>
        <v>437.4920820032616</v>
      </c>
      <c r="H166" s="252">
        <v>1.2829679824142568</v>
      </c>
      <c r="I166" s="252">
        <v>436.20911402084732</v>
      </c>
      <c r="J166" s="252">
        <v>0</v>
      </c>
      <c r="K166" s="220">
        <f t="shared" si="62"/>
        <v>13.937406334160265</v>
      </c>
      <c r="L166" s="220">
        <f t="shared" si="63"/>
        <v>14.957843729927454</v>
      </c>
      <c r="M166" s="219">
        <f t="shared" si="51"/>
        <v>6.4607801957186073</v>
      </c>
      <c r="N166" s="219">
        <f t="shared" si="52"/>
        <v>6.933810941861414</v>
      </c>
      <c r="O166" s="219">
        <f t="shared" si="53"/>
        <v>7.4766261384416586</v>
      </c>
      <c r="P166" s="219">
        <f t="shared" si="54"/>
        <v>8.0240327880660391</v>
      </c>
      <c r="Q166" s="219">
        <f t="shared" si="55"/>
        <v>0.44697221479814264</v>
      </c>
      <c r="R166" s="219">
        <f t="shared" si="56"/>
        <v>0.47969761233003494</v>
      </c>
      <c r="S166" s="220">
        <f t="shared" si="64"/>
        <v>13.856138658742422</v>
      </c>
      <c r="T166" s="220">
        <f t="shared" si="65"/>
        <v>14.870625982231083</v>
      </c>
      <c r="U166" s="219">
        <f t="shared" si="57"/>
        <v>4.0633837708922059E-2</v>
      </c>
      <c r="V166" s="219">
        <f t="shared" si="66"/>
        <v>4.3608873848184994E-2</v>
      </c>
      <c r="W166" s="219">
        <f t="shared" si="58"/>
        <v>13.8155048210335</v>
      </c>
      <c r="X166" s="219">
        <f t="shared" si="59"/>
        <v>14.827017108382897</v>
      </c>
      <c r="Y166" s="219">
        <f t="shared" si="60"/>
        <v>0</v>
      </c>
      <c r="Z166" s="219">
        <f t="shared" si="61"/>
        <v>0</v>
      </c>
      <c r="AA166" s="232">
        <v>2941988336778.9702</v>
      </c>
      <c r="AB166" s="239">
        <v>2941.9883367789698</v>
      </c>
      <c r="AC166" s="237">
        <v>3157388164033.9238</v>
      </c>
      <c r="AD166" s="199">
        <v>3157.38816403392</v>
      </c>
    </row>
    <row r="167" spans="1:30">
      <c r="A167" s="217" t="s">
        <v>464</v>
      </c>
      <c r="B167" s="215" t="s">
        <v>561</v>
      </c>
      <c r="C167" s="251">
        <f t="shared" si="49"/>
        <v>5328.0279999999993</v>
      </c>
      <c r="D167" s="252">
        <v>690.4</v>
      </c>
      <c r="E167" s="252">
        <v>4637.6279999999997</v>
      </c>
      <c r="F167" s="252">
        <v>17.98</v>
      </c>
      <c r="G167" s="253">
        <f t="shared" si="50"/>
        <v>510</v>
      </c>
      <c r="H167" s="252">
        <v>56</v>
      </c>
      <c r="I167" s="252">
        <v>454</v>
      </c>
      <c r="J167" s="252">
        <v>0</v>
      </c>
      <c r="K167" s="220">
        <f t="shared" si="62"/>
        <v>26.735082699094594</v>
      </c>
      <c r="L167" s="220">
        <f t="shared" si="63"/>
        <v>26.674531624110536</v>
      </c>
      <c r="M167" s="219">
        <f t="shared" si="51"/>
        <v>3.4643025703796808</v>
      </c>
      <c r="N167" s="219">
        <f t="shared" si="52"/>
        <v>3.4564564287736315</v>
      </c>
      <c r="O167" s="219">
        <f t="shared" si="53"/>
        <v>23.270780128714915</v>
      </c>
      <c r="P167" s="219">
        <f t="shared" si="54"/>
        <v>23.218075195336905</v>
      </c>
      <c r="Q167" s="219">
        <f t="shared" si="55"/>
        <v>9.0220394286539191E-2</v>
      </c>
      <c r="R167" s="219">
        <f t="shared" si="56"/>
        <v>9.0016058211688718E-2</v>
      </c>
      <c r="S167" s="220">
        <f t="shared" si="64"/>
        <v>2.5590879358250826</v>
      </c>
      <c r="T167" s="220">
        <f t="shared" si="65"/>
        <v>2.5532919737464543</v>
      </c>
      <c r="U167" s="219">
        <f t="shared" si="57"/>
        <v>0.28099789099255812</v>
      </c>
      <c r="V167" s="219">
        <f t="shared" si="66"/>
        <v>0.28036147162706165</v>
      </c>
      <c r="W167" s="219">
        <f t="shared" si="58"/>
        <v>2.2780900448325245</v>
      </c>
      <c r="X167" s="219">
        <f t="shared" si="59"/>
        <v>2.2729305021193928</v>
      </c>
      <c r="Y167" s="219">
        <f t="shared" si="60"/>
        <v>0</v>
      </c>
      <c r="Z167" s="219">
        <f t="shared" si="61"/>
        <v>0</v>
      </c>
      <c r="AA167" s="232">
        <v>19974213887167.602</v>
      </c>
      <c r="AB167" s="239">
        <v>19974.2138871676</v>
      </c>
      <c r="AC167" s="237">
        <v>19928975197000</v>
      </c>
      <c r="AD167" s="199">
        <v>19928.975197</v>
      </c>
    </row>
    <row r="168" spans="1:30">
      <c r="A168" s="217" t="s">
        <v>466</v>
      </c>
      <c r="B168" s="215" t="s">
        <v>561</v>
      </c>
      <c r="C168" s="251">
        <f t="shared" si="49"/>
        <v>7.0279601888551095</v>
      </c>
      <c r="D168" s="252">
        <v>4.8032151754294521</v>
      </c>
      <c r="E168" s="252">
        <v>2.224745013425657</v>
      </c>
      <c r="F168" s="252">
        <v>4.2819360091037746</v>
      </c>
      <c r="G168" s="253">
        <f t="shared" si="50"/>
        <v>1.0704840022759436</v>
      </c>
      <c r="H168" s="252">
        <v>0.89362142798687472</v>
      </c>
      <c r="I168" s="252">
        <v>0.17686257428906896</v>
      </c>
      <c r="J168" s="252">
        <v>11.789286859847676</v>
      </c>
      <c r="K168" s="220">
        <f t="shared" si="62"/>
        <v>0.5494236719748582</v>
      </c>
      <c r="L168" s="220">
        <f t="shared" si="63"/>
        <v>0.2950856916133458</v>
      </c>
      <c r="M168" s="219">
        <f t="shared" si="51"/>
        <v>0.37550015197222092</v>
      </c>
      <c r="N168" s="219">
        <f t="shared" si="52"/>
        <v>0.20167445943375686</v>
      </c>
      <c r="O168" s="219">
        <f t="shared" si="53"/>
        <v>0.17392352000263722</v>
      </c>
      <c r="P168" s="219">
        <f t="shared" si="54"/>
        <v>9.3411232179588952E-2</v>
      </c>
      <c r="Q168" s="219">
        <f t="shared" si="55"/>
        <v>0.33474819749461554</v>
      </c>
      <c r="R168" s="219">
        <f t="shared" si="56"/>
        <v>0.17978730879753521</v>
      </c>
      <c r="S168" s="220">
        <f t="shared" si="64"/>
        <v>8.3687049373653885E-2</v>
      </c>
      <c r="T168" s="220">
        <f t="shared" si="65"/>
        <v>4.4946827199383796E-2</v>
      </c>
      <c r="U168" s="219">
        <f t="shared" si="57"/>
        <v>6.9860493390180634E-2</v>
      </c>
      <c r="V168" s="219">
        <f t="shared" si="66"/>
        <v>3.7520829662094302E-2</v>
      </c>
      <c r="W168" s="219">
        <f t="shared" si="58"/>
        <v>1.3826555983473252E-2</v>
      </c>
      <c r="X168" s="219">
        <f t="shared" si="59"/>
        <v>7.4259975372894969E-3</v>
      </c>
      <c r="Y168" s="219">
        <f t="shared" si="60"/>
        <v>0.92164911331941435</v>
      </c>
      <c r="Z168" s="219">
        <f t="shared" si="61"/>
        <v>0.4950013621566921</v>
      </c>
      <c r="AA168" s="232">
        <v>2381667559152.25</v>
      </c>
      <c r="AB168" s="239">
        <v>2381.6675591522499</v>
      </c>
      <c r="AC168" s="237">
        <v>1279151326624.439</v>
      </c>
      <c r="AD168" s="199">
        <v>1279.1513266244399</v>
      </c>
    </row>
    <row r="169" spans="1:30">
      <c r="A169" s="217" t="s">
        <v>467</v>
      </c>
      <c r="B169" s="215" t="s">
        <v>561</v>
      </c>
      <c r="C169" s="251">
        <f t="shared" si="49"/>
        <v>13.522864278129838</v>
      </c>
      <c r="D169" s="252">
        <v>2.3964569606812369</v>
      </c>
      <c r="E169" s="252">
        <v>11.126407317448601</v>
      </c>
      <c r="F169" s="252">
        <v>10.042295835235661</v>
      </c>
      <c r="G169" s="253">
        <f t="shared" si="50"/>
        <v>48.92766294724192</v>
      </c>
      <c r="H169" s="252">
        <v>2.995571200851546</v>
      </c>
      <c r="I169" s="252">
        <v>45.932091746390377</v>
      </c>
      <c r="J169" s="252">
        <v>18.47268907191787</v>
      </c>
      <c r="K169" s="220">
        <f t="shared" si="62"/>
        <v>1.35628264486673</v>
      </c>
      <c r="L169" s="220">
        <f t="shared" si="63"/>
        <v>0.57943955898037991</v>
      </c>
      <c r="M169" s="219">
        <f t="shared" si="51"/>
        <v>0.24035388643207875</v>
      </c>
      <c r="N169" s="219">
        <f t="shared" si="52"/>
        <v>0.10268549146487745</v>
      </c>
      <c r="O169" s="219">
        <f t="shared" si="53"/>
        <v>1.1159287584346513</v>
      </c>
      <c r="P169" s="219">
        <f t="shared" si="54"/>
        <v>0.47675406751550248</v>
      </c>
      <c r="Q169" s="219">
        <f t="shared" si="55"/>
        <v>1.0071972383820444</v>
      </c>
      <c r="R169" s="219">
        <f t="shared" si="56"/>
        <v>0.43030110709091507</v>
      </c>
      <c r="S169" s="220">
        <f t="shared" si="64"/>
        <v>4.9072251813216079</v>
      </c>
      <c r="T169" s="220">
        <f t="shared" si="65"/>
        <v>2.0964954507412479</v>
      </c>
      <c r="U169" s="219">
        <f t="shared" si="57"/>
        <v>0.30044235804009845</v>
      </c>
      <c r="V169" s="219">
        <f t="shared" si="66"/>
        <v>0.1283568643310968</v>
      </c>
      <c r="W169" s="219">
        <f t="shared" si="58"/>
        <v>4.6067828232815096</v>
      </c>
      <c r="X169" s="219">
        <f t="shared" si="59"/>
        <v>1.9681385864101513</v>
      </c>
      <c r="Y169" s="219">
        <f t="shared" si="60"/>
        <v>1.8527278745806071</v>
      </c>
      <c r="Z169" s="219">
        <f t="shared" si="61"/>
        <v>0.79153399670843039</v>
      </c>
      <c r="AA169" s="232">
        <v>2333783406491.1899</v>
      </c>
      <c r="AB169" s="239">
        <v>2333.7834064911899</v>
      </c>
      <c r="AC169" s="237">
        <v>997053551434.22559</v>
      </c>
      <c r="AD169" s="199">
        <v>997.05355143423003</v>
      </c>
    </row>
    <row r="170" spans="1:30">
      <c r="A170" s="221" t="s">
        <v>530</v>
      </c>
      <c r="B170" s="215" t="s">
        <v>561</v>
      </c>
      <c r="C170" s="251">
        <f t="shared" si="49"/>
        <v>50.216401811594153</v>
      </c>
      <c r="D170" s="252">
        <v>2.8532046483860314</v>
      </c>
      <c r="E170" s="252">
        <v>47.36319716320812</v>
      </c>
      <c r="F170" s="252">
        <v>0</v>
      </c>
      <c r="G170" s="253">
        <f t="shared" si="50"/>
        <v>10.271536734189713</v>
      </c>
      <c r="H170" s="252">
        <v>0</v>
      </c>
      <c r="I170" s="252">
        <v>10.271536734189713</v>
      </c>
      <c r="J170" s="252">
        <v>0</v>
      </c>
      <c r="K170" s="220">
        <f t="shared" si="62"/>
        <v>12.131044231205824</v>
      </c>
      <c r="L170" s="220">
        <f t="shared" si="63"/>
        <v>10.716280761030211</v>
      </c>
      <c r="M170" s="219">
        <f t="shared" si="51"/>
        <v>0.68926387677305812</v>
      </c>
      <c r="N170" s="219">
        <f t="shared" si="52"/>
        <v>0.60887958869489833</v>
      </c>
      <c r="O170" s="219">
        <f t="shared" si="53"/>
        <v>11.441780354432765</v>
      </c>
      <c r="P170" s="219">
        <f t="shared" si="54"/>
        <v>10.107401172335312</v>
      </c>
      <c r="Q170" s="219">
        <f t="shared" si="55"/>
        <v>0</v>
      </c>
      <c r="R170" s="219">
        <f t="shared" si="56"/>
        <v>0</v>
      </c>
      <c r="S170" s="220">
        <f t="shared" si="64"/>
        <v>2.4813499563830095</v>
      </c>
      <c r="T170" s="220">
        <f t="shared" si="65"/>
        <v>2.1919665193016336</v>
      </c>
      <c r="U170" s="219">
        <f t="shared" si="57"/>
        <v>0</v>
      </c>
      <c r="V170" s="219">
        <f t="shared" si="66"/>
        <v>0</v>
      </c>
      <c r="W170" s="219">
        <f t="shared" si="58"/>
        <v>2.4813499563830095</v>
      </c>
      <c r="X170" s="219">
        <f t="shared" si="59"/>
        <v>2.1919665193016336</v>
      </c>
      <c r="Y170" s="219">
        <f t="shared" si="60"/>
        <v>0</v>
      </c>
      <c r="Z170" s="219">
        <f t="shared" si="61"/>
        <v>0</v>
      </c>
      <c r="AA170" s="232">
        <v>468599161699.88599</v>
      </c>
      <c r="AB170" s="239">
        <v>468.59916169988998</v>
      </c>
      <c r="AC170" s="237">
        <v>413949540159.26532</v>
      </c>
      <c r="AD170" s="199">
        <v>413.94954015926999</v>
      </c>
    </row>
    <row r="171" spans="1:30">
      <c r="A171" s="217" t="s">
        <v>456</v>
      </c>
      <c r="B171" s="215" t="s">
        <v>561</v>
      </c>
      <c r="C171" s="251">
        <f t="shared" si="49"/>
        <v>41.200275122694293</v>
      </c>
      <c r="D171" s="252">
        <v>9.5867676185770652</v>
      </c>
      <c r="E171" s="252">
        <v>31.613507504117226</v>
      </c>
      <c r="F171" s="252">
        <v>15.52143328722001</v>
      </c>
      <c r="G171" s="253">
        <f t="shared" si="50"/>
        <v>60.602066731719304</v>
      </c>
      <c r="H171" s="252">
        <v>1.2554100452898538</v>
      </c>
      <c r="I171" s="252">
        <v>59.346656686429448</v>
      </c>
      <c r="J171" s="252">
        <v>0</v>
      </c>
      <c r="K171" s="220">
        <f t="shared" si="62"/>
        <v>8.32064012416871</v>
      </c>
      <c r="L171" s="220">
        <f t="shared" si="63"/>
        <v>7.4191689653420898</v>
      </c>
      <c r="M171" s="219">
        <f t="shared" si="51"/>
        <v>1.9361046272303923</v>
      </c>
      <c r="N171" s="219">
        <f t="shared" si="52"/>
        <v>1.7263440251765527</v>
      </c>
      <c r="O171" s="219">
        <f t="shared" si="53"/>
        <v>6.3845354969383177</v>
      </c>
      <c r="P171" s="219">
        <f t="shared" si="54"/>
        <v>5.6928249401655373</v>
      </c>
      <c r="Q171" s="219">
        <f t="shared" si="55"/>
        <v>3.1346455869444441</v>
      </c>
      <c r="R171" s="219">
        <f t="shared" si="56"/>
        <v>2.7950331836191804</v>
      </c>
      <c r="S171" s="220">
        <f t="shared" si="64"/>
        <v>12.238947107849265</v>
      </c>
      <c r="T171" s="220">
        <f t="shared" si="65"/>
        <v>10.912960444866066</v>
      </c>
      <c r="U171" s="219">
        <f t="shared" si="57"/>
        <v>0.25353751070874186</v>
      </c>
      <c r="V171" s="219">
        <f t="shared" si="66"/>
        <v>0.22606886043978666</v>
      </c>
      <c r="W171" s="219">
        <f t="shared" si="58"/>
        <v>11.985409597140523</v>
      </c>
      <c r="X171" s="219">
        <f t="shared" si="59"/>
        <v>10.686891584426279</v>
      </c>
      <c r="Y171" s="219">
        <f t="shared" si="60"/>
        <v>0</v>
      </c>
      <c r="Z171" s="219">
        <f t="shared" si="61"/>
        <v>0</v>
      </c>
      <c r="AA171" s="232">
        <v>555321968203.677</v>
      </c>
      <c r="AB171" s="239">
        <v>555.32196820367994</v>
      </c>
      <c r="AC171" s="237">
        <v>495157518025.82001</v>
      </c>
      <c r="AD171" s="199">
        <v>495.15751802582002</v>
      </c>
    </row>
    <row r="172" spans="1:30">
      <c r="A172" s="221" t="s">
        <v>454</v>
      </c>
      <c r="B172" s="215" t="s">
        <v>561</v>
      </c>
      <c r="C172" s="251">
        <f t="shared" si="49"/>
        <v>13.114895358731596</v>
      </c>
      <c r="D172" s="252">
        <v>2.8694219148867419</v>
      </c>
      <c r="E172" s="252">
        <v>10.245473443844855</v>
      </c>
      <c r="F172" s="252">
        <v>1.5639641968526836</v>
      </c>
      <c r="G172" s="253">
        <f t="shared" si="50"/>
        <v>37.268017363018501</v>
      </c>
      <c r="H172" s="252">
        <v>4.3084413136437572E-2</v>
      </c>
      <c r="I172" s="252">
        <v>37.22493294988206</v>
      </c>
      <c r="J172" s="252">
        <v>0</v>
      </c>
      <c r="K172" s="220">
        <f t="shared" si="62"/>
        <v>6.0818374232812999</v>
      </c>
      <c r="L172" s="220">
        <f t="shared" si="63"/>
        <v>3.219201776804768</v>
      </c>
      <c r="M172" s="219">
        <f t="shared" si="51"/>
        <v>1.3306516832803368</v>
      </c>
      <c r="N172" s="219">
        <f t="shared" si="52"/>
        <v>0.70433258322995251</v>
      </c>
      <c r="O172" s="219">
        <f t="shared" si="53"/>
        <v>4.7511857400009632</v>
      </c>
      <c r="P172" s="219">
        <f t="shared" si="54"/>
        <v>2.5148691935748158</v>
      </c>
      <c r="Q172" s="219">
        <f t="shared" si="55"/>
        <v>0.7252651066527962</v>
      </c>
      <c r="R172" s="219">
        <f t="shared" si="56"/>
        <v>0.38389298455326237</v>
      </c>
      <c r="S172" s="220">
        <f t="shared" si="64"/>
        <v>17.282488078641009</v>
      </c>
      <c r="T172" s="220">
        <f t="shared" si="65"/>
        <v>9.1478631305391716</v>
      </c>
      <c r="U172" s="219">
        <f t="shared" si="57"/>
        <v>1.9979755004209263E-2</v>
      </c>
      <c r="V172" s="219">
        <f t="shared" si="66"/>
        <v>1.057556431276205E-2</v>
      </c>
      <c r="W172" s="219">
        <f t="shared" si="58"/>
        <v>17.262508323636801</v>
      </c>
      <c r="X172" s="219">
        <f t="shared" si="59"/>
        <v>9.1372875662264104</v>
      </c>
      <c r="Y172" s="219">
        <f t="shared" si="60"/>
        <v>0</v>
      </c>
      <c r="Z172" s="219">
        <f t="shared" si="61"/>
        <v>0</v>
      </c>
      <c r="AA172" s="232">
        <v>407395878482.30298</v>
      </c>
      <c r="AB172" s="239">
        <v>407.39587848230002</v>
      </c>
      <c r="AC172" s="237">
        <v>215640347578.63721</v>
      </c>
      <c r="AD172" s="199">
        <v>215.64034757863999</v>
      </c>
    </row>
    <row r="173" spans="1:30">
      <c r="A173" s="221" t="s">
        <v>446</v>
      </c>
      <c r="B173" s="215" t="s">
        <v>561</v>
      </c>
      <c r="C173" s="251">
        <f t="shared" si="49"/>
        <v>17.975735863360232</v>
      </c>
      <c r="D173" s="252">
        <v>0.12228391743782471</v>
      </c>
      <c r="E173" s="252">
        <v>17.853451945922409</v>
      </c>
      <c r="F173" s="252">
        <v>48.730141098973149</v>
      </c>
      <c r="G173" s="253">
        <f t="shared" si="50"/>
        <v>47.847404069968846</v>
      </c>
      <c r="H173" s="252">
        <v>33.826788661238261</v>
      </c>
      <c r="I173" s="252">
        <v>14.020615408730588</v>
      </c>
      <c r="J173" s="252">
        <v>0</v>
      </c>
      <c r="K173" s="220">
        <f t="shared" si="62"/>
        <v>5.4045695761709833</v>
      </c>
      <c r="L173" s="220">
        <f t="shared" si="63"/>
        <v>5.7787986646434559</v>
      </c>
      <c r="M173" s="219">
        <f t="shared" si="51"/>
        <v>3.6765779429734573E-2</v>
      </c>
      <c r="N173" s="219">
        <f t="shared" si="52"/>
        <v>3.9311555541792213E-2</v>
      </c>
      <c r="O173" s="219">
        <f t="shared" si="53"/>
        <v>5.3678037967412484</v>
      </c>
      <c r="P173" s="219">
        <f t="shared" si="54"/>
        <v>5.7394871091016642</v>
      </c>
      <c r="Q173" s="219">
        <f t="shared" si="55"/>
        <v>14.651163102749228</v>
      </c>
      <c r="R173" s="219">
        <f t="shared" si="56"/>
        <v>15.665654883404198</v>
      </c>
      <c r="S173" s="220">
        <f t="shared" si="64"/>
        <v>14.385760132490832</v>
      </c>
      <c r="T173" s="220">
        <f t="shared" si="65"/>
        <v>15.381874591836883</v>
      </c>
      <c r="U173" s="219">
        <f t="shared" si="57"/>
        <v>10.170333734750328</v>
      </c>
      <c r="V173" s="219">
        <f t="shared" si="66"/>
        <v>10.874559051748271</v>
      </c>
      <c r="W173" s="219">
        <f t="shared" si="58"/>
        <v>4.2154263977405044</v>
      </c>
      <c r="X173" s="219">
        <f t="shared" si="59"/>
        <v>4.5073155400886131</v>
      </c>
      <c r="Y173" s="219">
        <f t="shared" si="60"/>
        <v>0</v>
      </c>
      <c r="Z173" s="219">
        <f t="shared" si="61"/>
        <v>0</v>
      </c>
      <c r="AA173" s="232">
        <v>311063542901.078</v>
      </c>
      <c r="AB173" s="239">
        <v>311.06354290107998</v>
      </c>
      <c r="AC173" s="237">
        <v>332602543274.04938</v>
      </c>
      <c r="AD173" s="199">
        <v>332.60254327404999</v>
      </c>
    </row>
    <row r="174" spans="1:30">
      <c r="A174" s="221" t="s">
        <v>531</v>
      </c>
      <c r="B174" s="215" t="s">
        <v>561</v>
      </c>
      <c r="C174" s="251">
        <f t="shared" si="49"/>
        <v>0.97330000000000005</v>
      </c>
      <c r="D174" s="252">
        <v>0.22389999999999999</v>
      </c>
      <c r="E174" s="252">
        <v>0.74940000000000007</v>
      </c>
      <c r="F174" s="252">
        <v>0</v>
      </c>
      <c r="G174" s="253">
        <f t="shared" si="50"/>
        <v>1.5502562191675586</v>
      </c>
      <c r="H174" s="252">
        <v>1.1471896021839934</v>
      </c>
      <c r="I174" s="252">
        <v>0.40306661698356522</v>
      </c>
      <c r="J174" s="252">
        <v>0</v>
      </c>
      <c r="K174" s="220">
        <f t="shared" si="62"/>
        <v>3.6187996377830292</v>
      </c>
      <c r="L174" s="220">
        <f t="shared" si="63"/>
        <v>2.1199447987599989</v>
      </c>
      <c r="M174" s="219">
        <f t="shared" si="51"/>
        <v>0.83247635764884431</v>
      </c>
      <c r="N174" s="219">
        <f t="shared" si="52"/>
        <v>0.48767660581769617</v>
      </c>
      <c r="O174" s="219">
        <f t="shared" si="53"/>
        <v>2.7863232801341851</v>
      </c>
      <c r="P174" s="219">
        <f t="shared" si="54"/>
        <v>1.6322681929423026</v>
      </c>
      <c r="Q174" s="219">
        <f t="shared" si="55"/>
        <v>0</v>
      </c>
      <c r="R174" s="219">
        <f t="shared" si="56"/>
        <v>0</v>
      </c>
      <c r="S174" s="220">
        <f t="shared" si="64"/>
        <v>5.7639644964496544</v>
      </c>
      <c r="T174" s="220">
        <f t="shared" si="65"/>
        <v>3.3766131804886532</v>
      </c>
      <c r="U174" s="219">
        <f t="shared" si="57"/>
        <v>4.2653337273727443</v>
      </c>
      <c r="V174" s="219">
        <f t="shared" si="66"/>
        <v>2.4986937535616036</v>
      </c>
      <c r="W174" s="219">
        <f t="shared" si="58"/>
        <v>1.4986307690769103</v>
      </c>
      <c r="X174" s="219">
        <f t="shared" si="59"/>
        <v>0.87791942692704983</v>
      </c>
      <c r="Y174" s="219">
        <f t="shared" si="60"/>
        <v>0</v>
      </c>
      <c r="Z174" s="219">
        <f t="shared" si="61"/>
        <v>0</v>
      </c>
      <c r="AA174" s="232">
        <v>45911572818.753304</v>
      </c>
      <c r="AB174" s="239">
        <v>45.911572818750003</v>
      </c>
      <c r="AC174" s="237">
        <v>26895658710.637878</v>
      </c>
      <c r="AD174" s="199">
        <v>26.895658710639999</v>
      </c>
    </row>
    <row r="175" spans="1:30">
      <c r="A175" s="221" t="s">
        <v>447</v>
      </c>
      <c r="B175" s="215" t="s">
        <v>561</v>
      </c>
      <c r="C175" s="251">
        <f t="shared" si="49"/>
        <v>6.8362783375329315</v>
      </c>
      <c r="D175" s="252">
        <v>2.1113714398056631</v>
      </c>
      <c r="E175" s="252">
        <v>4.7249068977272684</v>
      </c>
      <c r="F175" s="252">
        <v>2.3966919046442663</v>
      </c>
      <c r="G175" s="253">
        <f t="shared" si="50"/>
        <v>15.749689659090892</v>
      </c>
      <c r="H175" s="252">
        <v>1.8260509749670601</v>
      </c>
      <c r="I175" s="252">
        <v>13.923638684123832</v>
      </c>
      <c r="J175" s="252">
        <v>4.56512743741765</v>
      </c>
      <c r="K175" s="220">
        <f t="shared" si="62"/>
        <v>2.6835858949304816</v>
      </c>
      <c r="L175" s="220">
        <f t="shared" si="63"/>
        <v>2.6922715483124273</v>
      </c>
      <c r="M175" s="219">
        <f t="shared" si="51"/>
        <v>0.82882035152276967</v>
      </c>
      <c r="N175" s="219">
        <f t="shared" si="52"/>
        <v>0.83150289889448914</v>
      </c>
      <c r="O175" s="219">
        <f t="shared" si="53"/>
        <v>1.8547655434077117</v>
      </c>
      <c r="P175" s="219">
        <f t="shared" si="54"/>
        <v>1.8607686494179381</v>
      </c>
      <c r="Q175" s="219">
        <f t="shared" si="55"/>
        <v>0.94082310172854933</v>
      </c>
      <c r="R175" s="219">
        <f t="shared" si="56"/>
        <v>0.94386815550185255</v>
      </c>
      <c r="S175" s="220">
        <f t="shared" si="64"/>
        <v>6.1825518113590379</v>
      </c>
      <c r="T175" s="220">
        <f t="shared" si="65"/>
        <v>6.2025621647264586</v>
      </c>
      <c r="U175" s="219">
        <f t="shared" si="57"/>
        <v>0.71681760131699002</v>
      </c>
      <c r="V175" s="219">
        <f t="shared" si="66"/>
        <v>0.71913764228712584</v>
      </c>
      <c r="W175" s="219">
        <f t="shared" si="58"/>
        <v>5.4657342100420481</v>
      </c>
      <c r="X175" s="219">
        <f t="shared" si="59"/>
        <v>5.483424522439333</v>
      </c>
      <c r="Y175" s="219">
        <f t="shared" si="60"/>
        <v>1.7920440032924749</v>
      </c>
      <c r="Z175" s="219">
        <f t="shared" si="61"/>
        <v>1.7978441057178143</v>
      </c>
      <c r="AA175" s="232">
        <v>253922318564.70901</v>
      </c>
      <c r="AB175" s="239">
        <v>253.92231856471</v>
      </c>
      <c r="AC175" s="237">
        <v>254744159687.49991</v>
      </c>
      <c r="AD175" s="199">
        <v>254.7441596875</v>
      </c>
    </row>
    <row r="176" spans="1:30">
      <c r="A176" s="221" t="s">
        <v>532</v>
      </c>
      <c r="B176" s="215" t="s">
        <v>561</v>
      </c>
      <c r="C176" s="251">
        <f t="shared" si="49"/>
        <v>25.336457277667957</v>
      </c>
      <c r="D176" s="252">
        <v>1.0613921291996038</v>
      </c>
      <c r="E176" s="252">
        <v>24.275065148468354</v>
      </c>
      <c r="F176" s="252">
        <v>0.84454857592226529</v>
      </c>
      <c r="G176" s="253">
        <f t="shared" si="50"/>
        <v>7.2471398069005195</v>
      </c>
      <c r="H176" s="252">
        <v>3.8803583218050024</v>
      </c>
      <c r="I176" s="252">
        <v>3.3667814850955171</v>
      </c>
      <c r="J176" s="252">
        <v>0</v>
      </c>
      <c r="K176" s="220">
        <f t="shared" si="62"/>
        <v>12.425739817153806</v>
      </c>
      <c r="L176" s="220">
        <f t="shared" si="63"/>
        <v>8.4022213973238085</v>
      </c>
      <c r="M176" s="219">
        <f t="shared" si="51"/>
        <v>0.5205377490969838</v>
      </c>
      <c r="N176" s="219">
        <f t="shared" si="52"/>
        <v>0.35198495042842992</v>
      </c>
      <c r="O176" s="219">
        <f t="shared" si="53"/>
        <v>11.905202068056822</v>
      </c>
      <c r="P176" s="219">
        <f t="shared" si="54"/>
        <v>8.0502364468953793</v>
      </c>
      <c r="Q176" s="219">
        <f t="shared" si="55"/>
        <v>0.41419132723846014</v>
      </c>
      <c r="R176" s="219">
        <f t="shared" si="56"/>
        <v>0.28007404657746032</v>
      </c>
      <c r="S176" s="220">
        <f t="shared" si="64"/>
        <v>3.5542093621138138</v>
      </c>
      <c r="T176" s="220">
        <f t="shared" si="65"/>
        <v>2.4033381023876661</v>
      </c>
      <c r="U176" s="219">
        <f t="shared" si="57"/>
        <v>1.90304123325779</v>
      </c>
      <c r="V176" s="219">
        <f t="shared" si="66"/>
        <v>1.2868267004910339</v>
      </c>
      <c r="W176" s="219">
        <f t="shared" si="58"/>
        <v>1.6511681288560238</v>
      </c>
      <c r="X176" s="219">
        <f t="shared" si="59"/>
        <v>1.1165114018966324</v>
      </c>
      <c r="Y176" s="219">
        <f t="shared" si="60"/>
        <v>0</v>
      </c>
      <c r="Z176" s="219">
        <f t="shared" si="61"/>
        <v>0</v>
      </c>
      <c r="AA176" s="232">
        <v>301544747270.495</v>
      </c>
      <c r="AB176" s="239">
        <v>301.54474727050001</v>
      </c>
      <c r="AC176" s="237">
        <v>203903008195.06079</v>
      </c>
      <c r="AD176" s="199">
        <v>203.90300819506001</v>
      </c>
    </row>
    <row r="177" spans="1:30">
      <c r="A177" s="221" t="s">
        <v>533</v>
      </c>
      <c r="B177" s="215" t="s">
        <v>561</v>
      </c>
      <c r="C177" s="251">
        <f t="shared" si="49"/>
        <v>2.0091211225997045</v>
      </c>
      <c r="D177" s="252">
        <v>0.10494830132939439</v>
      </c>
      <c r="E177" s="252">
        <v>1.90417282127031</v>
      </c>
      <c r="F177" s="252">
        <v>0</v>
      </c>
      <c r="G177" s="253">
        <f t="shared" si="50"/>
        <v>0.33264401772525848</v>
      </c>
      <c r="H177" s="252">
        <v>0.1</v>
      </c>
      <c r="I177" s="252">
        <v>0.23264401772525847</v>
      </c>
      <c r="J177" s="252">
        <v>0</v>
      </c>
      <c r="K177" s="220">
        <f t="shared" si="62"/>
        <v>9.6918530600024297</v>
      </c>
      <c r="L177" s="220">
        <f t="shared" si="63"/>
        <v>10.535980255862844</v>
      </c>
      <c r="M177" s="219">
        <f t="shared" si="51"/>
        <v>0.50626291463464101</v>
      </c>
      <c r="N177" s="219">
        <f t="shared" si="52"/>
        <v>0.55035667997063265</v>
      </c>
      <c r="O177" s="219">
        <f t="shared" si="53"/>
        <v>9.1855901453677884</v>
      </c>
      <c r="P177" s="219">
        <f t="shared" si="54"/>
        <v>9.9856235758922107</v>
      </c>
      <c r="Q177" s="219">
        <f t="shared" si="55"/>
        <v>0</v>
      </c>
      <c r="R177" s="219">
        <f t="shared" si="56"/>
        <v>0</v>
      </c>
      <c r="S177" s="220">
        <f t="shared" si="64"/>
        <v>1.6046503641903045</v>
      </c>
      <c r="T177" s="220">
        <f t="shared" si="65"/>
        <v>1.7444099131511113</v>
      </c>
      <c r="U177" s="219">
        <f t="shared" si="57"/>
        <v>0.48239267165046013</v>
      </c>
      <c r="V177" s="219">
        <f t="shared" si="66"/>
        <v>0.52440742060537404</v>
      </c>
      <c r="W177" s="219">
        <f t="shared" si="58"/>
        <v>1.1222576925398444</v>
      </c>
      <c r="X177" s="219">
        <f t="shared" si="59"/>
        <v>1.2200024925457371</v>
      </c>
      <c r="Y177" s="219">
        <f t="shared" si="60"/>
        <v>0</v>
      </c>
      <c r="Z177" s="219">
        <f t="shared" si="61"/>
        <v>0</v>
      </c>
      <c r="AA177" s="235">
        <v>19069142821.155399</v>
      </c>
      <c r="AB177" s="239">
        <v>19.06914282116</v>
      </c>
      <c r="AC177" s="237">
        <v>20729999827.29071</v>
      </c>
      <c r="AD177" s="199">
        <v>20.729999827290001</v>
      </c>
    </row>
    <row r="178" spans="1:30">
      <c r="A178" s="221" t="s">
        <v>534</v>
      </c>
      <c r="B178" s="215" t="s">
        <v>561</v>
      </c>
      <c r="C178" s="251">
        <f t="shared" si="49"/>
        <v>36.545111825001776</v>
      </c>
      <c r="D178" s="252">
        <v>5.9326480235392491</v>
      </c>
      <c r="E178" s="252">
        <v>30.612463801462525</v>
      </c>
      <c r="F178" s="252">
        <v>2.3730592094156995</v>
      </c>
      <c r="G178" s="253">
        <f t="shared" si="50"/>
        <v>7.8310953910718082</v>
      </c>
      <c r="H178" s="252">
        <v>5.4580361816561087</v>
      </c>
      <c r="I178" s="252">
        <v>2.3730592094156995</v>
      </c>
      <c r="J178" s="252">
        <v>0</v>
      </c>
      <c r="K178" s="220">
        <f t="shared" si="62"/>
        <v>9.8380613897235776</v>
      </c>
      <c r="L178" s="220">
        <f t="shared" si="63"/>
        <v>8.7451352001853628</v>
      </c>
      <c r="M178" s="219">
        <f t="shared" si="51"/>
        <v>1.5970878879421391</v>
      </c>
      <c r="N178" s="219">
        <f t="shared" si="52"/>
        <v>1.4196648052248966</v>
      </c>
      <c r="O178" s="219">
        <f t="shared" si="53"/>
        <v>8.2409735017814381</v>
      </c>
      <c r="P178" s="219">
        <f t="shared" si="54"/>
        <v>7.3254703949604663</v>
      </c>
      <c r="Q178" s="219">
        <f t="shared" si="55"/>
        <v>0.63883515517685563</v>
      </c>
      <c r="R178" s="219">
        <f t="shared" si="56"/>
        <v>0.56786592208995856</v>
      </c>
      <c r="S178" s="220">
        <f t="shared" si="64"/>
        <v>2.1081560120836231</v>
      </c>
      <c r="T178" s="220">
        <f t="shared" si="65"/>
        <v>1.8739575428968633</v>
      </c>
      <c r="U178" s="219">
        <f t="shared" si="57"/>
        <v>1.4693208569067677</v>
      </c>
      <c r="V178" s="219">
        <f t="shared" si="66"/>
        <v>1.3060916208069047</v>
      </c>
      <c r="W178" s="219">
        <f t="shared" si="58"/>
        <v>0.63883515517685563</v>
      </c>
      <c r="X178" s="219">
        <f t="shared" si="59"/>
        <v>0.56786592208995856</v>
      </c>
      <c r="Y178" s="219">
        <f t="shared" si="60"/>
        <v>0</v>
      </c>
      <c r="Z178" s="219">
        <f t="shared" si="61"/>
        <v>0</v>
      </c>
      <c r="AA178" s="235">
        <v>417890758558.284</v>
      </c>
      <c r="AB178" s="239">
        <v>417.89075855828003</v>
      </c>
      <c r="AC178" s="237">
        <v>371466596693.27911</v>
      </c>
      <c r="AD178" s="199">
        <v>371.46659669328</v>
      </c>
    </row>
    <row r="179" spans="1:30">
      <c r="A179" s="221" t="s">
        <v>535</v>
      </c>
      <c r="B179" s="215" t="s">
        <v>561</v>
      </c>
      <c r="C179" s="251">
        <f t="shared" si="49"/>
        <v>40.23348958694659</v>
      </c>
      <c r="D179" s="252">
        <v>5.0110302915150085</v>
      </c>
      <c r="E179" s="252">
        <v>35.222459295431584</v>
      </c>
      <c r="F179" s="252">
        <v>2.1002753047915084</v>
      </c>
      <c r="G179" s="253">
        <f t="shared" si="50"/>
        <v>18.184956304280554</v>
      </c>
      <c r="H179" s="252">
        <v>3.5440330177671364</v>
      </c>
      <c r="I179" s="252">
        <v>14.640923286513416</v>
      </c>
      <c r="J179" s="252">
        <v>0</v>
      </c>
      <c r="K179" s="220">
        <f t="shared" si="62"/>
        <v>11.223975121405827</v>
      </c>
      <c r="L179" s="220">
        <f t="shared" si="63"/>
        <v>11.750547973735779</v>
      </c>
      <c r="M179" s="219">
        <f t="shared" si="51"/>
        <v>1.3979319194530724</v>
      </c>
      <c r="N179" s="219">
        <f t="shared" si="52"/>
        <v>1.4635159028660083</v>
      </c>
      <c r="O179" s="219">
        <f t="shared" si="53"/>
        <v>9.8260432019527553</v>
      </c>
      <c r="P179" s="219">
        <f t="shared" si="54"/>
        <v>10.28703207086977</v>
      </c>
      <c r="Q179" s="219">
        <f t="shared" si="55"/>
        <v>0.58591581319685304</v>
      </c>
      <c r="R179" s="219">
        <f t="shared" si="56"/>
        <v>0.61340405667949227</v>
      </c>
      <c r="S179" s="220">
        <f t="shared" si="64"/>
        <v>5.0730746758123093</v>
      </c>
      <c r="T179" s="220">
        <f t="shared" si="65"/>
        <v>5.31107800112534</v>
      </c>
      <c r="U179" s="219">
        <f t="shared" si="57"/>
        <v>0.98868228506246281</v>
      </c>
      <c r="V179" s="219">
        <f t="shared" si="66"/>
        <v>1.0350663197081336</v>
      </c>
      <c r="W179" s="219">
        <f t="shared" si="58"/>
        <v>4.0843923907498461</v>
      </c>
      <c r="X179" s="219">
        <f t="shared" si="59"/>
        <v>4.2760116814172067</v>
      </c>
      <c r="Y179" s="219">
        <f t="shared" si="60"/>
        <v>0</v>
      </c>
      <c r="Z179" s="219">
        <f t="shared" si="61"/>
        <v>0</v>
      </c>
      <c r="AA179" s="235">
        <v>342396709301.34399</v>
      </c>
      <c r="AB179" s="239">
        <v>342.39670930134002</v>
      </c>
      <c r="AC179" s="237">
        <v>358460252733.58807</v>
      </c>
      <c r="AD179" s="199">
        <v>358.46025273358998</v>
      </c>
    </row>
    <row r="180" spans="1:30">
      <c r="A180" s="222" t="s">
        <v>536</v>
      </c>
      <c r="B180" s="215" t="s">
        <v>561</v>
      </c>
      <c r="C180" s="251">
        <f t="shared" si="49"/>
        <v>2.9126178965863909</v>
      </c>
      <c r="D180" s="252">
        <v>0.67911263411214207</v>
      </c>
      <c r="E180" s="252">
        <v>2.2335052624742486</v>
      </c>
      <c r="F180" s="252">
        <v>0</v>
      </c>
      <c r="G180" s="253">
        <f t="shared" si="50"/>
        <v>1.0455461485605735</v>
      </c>
      <c r="H180" s="252">
        <v>0.2896249719004359</v>
      </c>
      <c r="I180" s="252">
        <v>0.75592117666013769</v>
      </c>
      <c r="J180" s="252">
        <v>0</v>
      </c>
      <c r="K180" s="220">
        <f t="shared" si="62"/>
        <v>9.6571963197389223</v>
      </c>
      <c r="L180" s="220">
        <f t="shared" si="63"/>
        <v>5.2552901447769678</v>
      </c>
      <c r="M180" s="219">
        <f t="shared" si="51"/>
        <v>2.2516939274878407</v>
      </c>
      <c r="N180" s="219">
        <f t="shared" si="52"/>
        <v>1.2253354404729446</v>
      </c>
      <c r="O180" s="219">
        <f t="shared" si="53"/>
        <v>7.4055023922510825</v>
      </c>
      <c r="P180" s="219">
        <f t="shared" si="54"/>
        <v>4.0299547043040231</v>
      </c>
      <c r="Q180" s="219">
        <f t="shared" si="55"/>
        <v>0</v>
      </c>
      <c r="R180" s="219">
        <f t="shared" si="56"/>
        <v>0</v>
      </c>
      <c r="S180" s="220">
        <f t="shared" si="64"/>
        <v>3.4666560381401847</v>
      </c>
      <c r="T180" s="220">
        <f t="shared" si="65"/>
        <v>1.8864981832596941</v>
      </c>
      <c r="U180" s="219">
        <f t="shared" si="57"/>
        <v>0.96029253134077153</v>
      </c>
      <c r="V180" s="219">
        <f t="shared" si="66"/>
        <v>0.52257567403315619</v>
      </c>
      <c r="W180" s="219">
        <f t="shared" si="58"/>
        <v>2.5063635067994134</v>
      </c>
      <c r="X180" s="219">
        <f t="shared" si="59"/>
        <v>1.3639225092265379</v>
      </c>
      <c r="Y180" s="219">
        <f t="shared" si="60"/>
        <v>0</v>
      </c>
      <c r="Z180" s="219">
        <f t="shared" si="61"/>
        <v>0</v>
      </c>
      <c r="AA180" s="236">
        <v>55422589740</v>
      </c>
      <c r="AB180" s="240">
        <v>55.422589739999999</v>
      </c>
      <c r="AC180" s="237">
        <v>30160077523.05077</v>
      </c>
      <c r="AD180" s="199">
        <v>30.160077523049999</v>
      </c>
    </row>
    <row r="181" spans="1:30">
      <c r="A181" s="221" t="s">
        <v>537</v>
      </c>
      <c r="B181" s="215" t="s">
        <v>561</v>
      </c>
      <c r="C181" s="251">
        <f t="shared" si="49"/>
        <v>3.6064506755599437</v>
      </c>
      <c r="D181" s="252">
        <v>0.73042038998682401</v>
      </c>
      <c r="E181" s="252">
        <v>2.8760302855731195</v>
      </c>
      <c r="F181" s="252">
        <v>1.4950792357542804</v>
      </c>
      <c r="G181" s="253">
        <f t="shared" si="50"/>
        <v>1.5635561473155453</v>
      </c>
      <c r="H181" s="252">
        <v>0.42227428796113264</v>
      </c>
      <c r="I181" s="252">
        <v>1.1412818593544125</v>
      </c>
      <c r="J181" s="252">
        <v>0</v>
      </c>
      <c r="K181" s="220">
        <f t="shared" si="62"/>
        <v>7.479660681066771</v>
      </c>
      <c r="L181" s="220">
        <f t="shared" si="63"/>
        <v>3.7127820296221064</v>
      </c>
      <c r="M181" s="219">
        <f t="shared" si="51"/>
        <v>1.5148679860388399</v>
      </c>
      <c r="N181" s="219">
        <f t="shared" si="52"/>
        <v>0.75195585410067978</v>
      </c>
      <c r="O181" s="219">
        <f t="shared" si="53"/>
        <v>5.9647926950279313</v>
      </c>
      <c r="P181" s="219">
        <f t="shared" si="54"/>
        <v>2.9608261755214267</v>
      </c>
      <c r="Q181" s="219">
        <f t="shared" si="55"/>
        <v>3.1007454089232502</v>
      </c>
      <c r="R181" s="219">
        <f t="shared" si="56"/>
        <v>1.5391596388623288</v>
      </c>
      <c r="S181" s="220">
        <f t="shared" si="64"/>
        <v>3.2427642826143916</v>
      </c>
      <c r="T181" s="220">
        <f t="shared" si="65"/>
        <v>1.6096555001842676</v>
      </c>
      <c r="U181" s="219">
        <f t="shared" si="57"/>
        <v>0.87578305442870441</v>
      </c>
      <c r="V181" s="219">
        <f t="shared" si="66"/>
        <v>0.43472447815195547</v>
      </c>
      <c r="W181" s="219">
        <f t="shared" si="58"/>
        <v>2.3669812281856872</v>
      </c>
      <c r="X181" s="219">
        <f t="shared" si="59"/>
        <v>1.1749310220323121</v>
      </c>
      <c r="Y181" s="219">
        <f t="shared" si="60"/>
        <v>0</v>
      </c>
      <c r="Z181" s="219">
        <f t="shared" si="61"/>
        <v>0</v>
      </c>
      <c r="AA181" s="235">
        <v>97136073348.399506</v>
      </c>
      <c r="AB181" s="239">
        <v>97.136073348400004</v>
      </c>
      <c r="AC181" s="237">
        <v>48216768505.137871</v>
      </c>
      <c r="AD181" s="199">
        <v>48.216768505140003</v>
      </c>
    </row>
    <row r="182" spans="1:30">
      <c r="A182" s="221" t="s">
        <v>538</v>
      </c>
      <c r="B182" s="215" t="s">
        <v>561</v>
      </c>
      <c r="C182" s="251">
        <f t="shared" si="49"/>
        <v>3.0814610202569139</v>
      </c>
      <c r="D182" s="252">
        <v>0.34238455780632376</v>
      </c>
      <c r="E182" s="252">
        <v>2.7390764624505901</v>
      </c>
      <c r="F182" s="252">
        <v>5.2384837344367536</v>
      </c>
      <c r="G182" s="253">
        <f t="shared" si="50"/>
        <v>3.3097173921277965</v>
      </c>
      <c r="H182" s="252">
        <v>0.45651274374176504</v>
      </c>
      <c r="I182" s="252">
        <v>2.8532046483860314</v>
      </c>
      <c r="J182" s="252">
        <v>1.0157408548254272</v>
      </c>
      <c r="K182" s="220">
        <f t="shared" si="62"/>
        <v>4.6297730687428773</v>
      </c>
      <c r="L182" s="220">
        <f t="shared" si="63"/>
        <v>4.6447078336746168</v>
      </c>
      <c r="M182" s="219">
        <f t="shared" si="51"/>
        <v>0.51441922986031974</v>
      </c>
      <c r="N182" s="219">
        <f t="shared" si="52"/>
        <v>0.51607864818606852</v>
      </c>
      <c r="O182" s="219">
        <f t="shared" si="53"/>
        <v>4.1153538388825579</v>
      </c>
      <c r="P182" s="219">
        <f t="shared" si="54"/>
        <v>4.1286291854885482</v>
      </c>
      <c r="Q182" s="219">
        <f t="shared" si="55"/>
        <v>7.870614216862891</v>
      </c>
      <c r="R182" s="219">
        <f t="shared" si="56"/>
        <v>7.8960033172468469</v>
      </c>
      <c r="S182" s="220">
        <f t="shared" si="64"/>
        <v>4.9727192219830911</v>
      </c>
      <c r="T182" s="220">
        <f t="shared" si="65"/>
        <v>4.9887602657986614</v>
      </c>
      <c r="U182" s="219">
        <f t="shared" si="57"/>
        <v>0.68589230648042632</v>
      </c>
      <c r="V182" s="219">
        <f t="shared" si="66"/>
        <v>0.68810486424809125</v>
      </c>
      <c r="W182" s="219">
        <f t="shared" si="58"/>
        <v>4.2868269155026644</v>
      </c>
      <c r="X182" s="219">
        <f t="shared" si="59"/>
        <v>4.3006554015505705</v>
      </c>
      <c r="Y182" s="219">
        <f t="shared" si="60"/>
        <v>1.5261103819189485</v>
      </c>
      <c r="Z182" s="219">
        <f t="shared" si="61"/>
        <v>1.531033322952003</v>
      </c>
      <c r="AA182" s="232">
        <v>66343484468.839996</v>
      </c>
      <c r="AB182" s="239">
        <v>66.343484468840003</v>
      </c>
      <c r="AC182" s="237">
        <v>66557495896.737839</v>
      </c>
      <c r="AD182" s="199">
        <v>66.557495896739994</v>
      </c>
    </row>
    <row r="183" spans="1:30">
      <c r="A183" s="221" t="s">
        <v>452</v>
      </c>
      <c r="B183" s="215" t="s">
        <v>561</v>
      </c>
      <c r="C183" s="251">
        <f t="shared" si="49"/>
        <v>41.200275122694293</v>
      </c>
      <c r="D183" s="252">
        <v>6.8020398817522985</v>
      </c>
      <c r="E183" s="252">
        <v>34.398235240941993</v>
      </c>
      <c r="F183" s="252">
        <v>14.380151427865597</v>
      </c>
      <c r="G183" s="253">
        <f t="shared" si="50"/>
        <v>74.183320858036808</v>
      </c>
      <c r="H183" s="252">
        <v>0</v>
      </c>
      <c r="I183" s="252">
        <v>74.183320858036808</v>
      </c>
      <c r="J183" s="252">
        <v>0</v>
      </c>
      <c r="K183" s="220">
        <f t="shared" si="62"/>
        <v>4.9033328305425483</v>
      </c>
      <c r="L183" s="220">
        <f t="shared" si="63"/>
        <v>4.4185423113249129</v>
      </c>
      <c r="M183" s="219">
        <f t="shared" si="51"/>
        <v>0.80952530941921297</v>
      </c>
      <c r="N183" s="219">
        <f t="shared" si="52"/>
        <v>0.72948787189740938</v>
      </c>
      <c r="O183" s="219">
        <f t="shared" si="53"/>
        <v>4.0938075211233356</v>
      </c>
      <c r="P183" s="219">
        <f t="shared" si="54"/>
        <v>3.6890544394275033</v>
      </c>
      <c r="Q183" s="219">
        <f t="shared" si="55"/>
        <v>1.7114125668929669</v>
      </c>
      <c r="R183" s="219">
        <f t="shared" si="56"/>
        <v>1.5422059036757312</v>
      </c>
      <c r="S183" s="220">
        <f t="shared" si="64"/>
        <v>8.8287156228605426</v>
      </c>
      <c r="T183" s="220">
        <f t="shared" si="65"/>
        <v>7.9558241062636927</v>
      </c>
      <c r="U183" s="219">
        <f t="shared" si="57"/>
        <v>0</v>
      </c>
      <c r="V183" s="219">
        <f t="shared" si="66"/>
        <v>0</v>
      </c>
      <c r="W183" s="219">
        <f t="shared" si="58"/>
        <v>8.8287156228605426</v>
      </c>
      <c r="X183" s="219">
        <f t="shared" si="59"/>
        <v>7.9558241062636927</v>
      </c>
      <c r="Y183" s="219">
        <f t="shared" si="60"/>
        <v>0</v>
      </c>
      <c r="Z183" s="219">
        <f t="shared" si="61"/>
        <v>0</v>
      </c>
      <c r="AA183" s="232">
        <v>932440434418.74902</v>
      </c>
      <c r="AB183" s="239">
        <v>932.44043441874999</v>
      </c>
      <c r="AC183" s="237">
        <v>840250428566.88171</v>
      </c>
      <c r="AD183" s="199">
        <v>840.25042856688003</v>
      </c>
    </row>
    <row r="184" spans="1:30">
      <c r="A184" s="221" t="s">
        <v>465</v>
      </c>
      <c r="B184" s="215" t="s">
        <v>561</v>
      </c>
      <c r="C184" s="251">
        <f t="shared" si="49"/>
        <v>40.366333649903929</v>
      </c>
      <c r="D184" s="252">
        <v>2.5350837557910677</v>
      </c>
      <c r="E184" s="252">
        <v>37.831249894112858</v>
      </c>
      <c r="F184" s="252">
        <v>0</v>
      </c>
      <c r="G184" s="253">
        <f t="shared" si="50"/>
        <v>5.8176922088025798</v>
      </c>
      <c r="H184" s="252">
        <v>1.7550579847784318</v>
      </c>
      <c r="I184" s="252">
        <v>4.0626342240241478</v>
      </c>
      <c r="J184" s="252">
        <v>0</v>
      </c>
      <c r="K184" s="220">
        <f t="shared" si="62"/>
        <v>19.890861906826892</v>
      </c>
      <c r="L184" s="220">
        <f t="shared" si="63"/>
        <v>20.810198388109875</v>
      </c>
      <c r="M184" s="219">
        <f t="shared" si="51"/>
        <v>1.249184564196858</v>
      </c>
      <c r="N184" s="219">
        <f t="shared" si="52"/>
        <v>1.3069206717170454</v>
      </c>
      <c r="O184" s="219">
        <f t="shared" si="53"/>
        <v>18.641677342630032</v>
      </c>
      <c r="P184" s="219">
        <f t="shared" si="54"/>
        <v>19.50327771639283</v>
      </c>
      <c r="Q184" s="219">
        <f t="shared" si="55"/>
        <v>0</v>
      </c>
      <c r="R184" s="219">
        <f t="shared" si="56"/>
        <v>0</v>
      </c>
      <c r="S184" s="220">
        <f t="shared" si="64"/>
        <v>2.8667184229645848</v>
      </c>
      <c r="T184" s="220">
        <f t="shared" si="65"/>
        <v>2.9992153876583481</v>
      </c>
      <c r="U184" s="219">
        <f t="shared" si="57"/>
        <v>0.86482008290551715</v>
      </c>
      <c r="V184" s="219">
        <f t="shared" si="66"/>
        <v>0.90479123426564689</v>
      </c>
      <c r="W184" s="219">
        <f t="shared" si="58"/>
        <v>2.0018983400590677</v>
      </c>
      <c r="X184" s="219">
        <f t="shared" si="59"/>
        <v>2.0944241533927013</v>
      </c>
      <c r="Y184" s="219">
        <f t="shared" si="60"/>
        <v>0</v>
      </c>
      <c r="Z184" s="219">
        <f t="shared" si="61"/>
        <v>0</v>
      </c>
      <c r="AA184" s="232">
        <v>193973805040.548</v>
      </c>
      <c r="AB184" s="239">
        <v>193.97380504054999</v>
      </c>
      <c r="AC184" s="237">
        <v>202939087501.52551</v>
      </c>
      <c r="AD184" s="199">
        <v>202.93908750153</v>
      </c>
    </row>
    <row r="185" spans="1:30">
      <c r="A185" s="221" t="s">
        <v>451</v>
      </c>
      <c r="B185" s="215" t="s">
        <v>561</v>
      </c>
      <c r="C185" s="251">
        <f t="shared" si="49"/>
        <v>13.413576422692262</v>
      </c>
      <c r="D185" s="252">
        <v>1.1470041596601461</v>
      </c>
      <c r="E185" s="252">
        <v>12.266572263032117</v>
      </c>
      <c r="F185" s="252">
        <v>0</v>
      </c>
      <c r="G185" s="253">
        <f t="shared" si="50"/>
        <v>13.764049915921753</v>
      </c>
      <c r="H185" s="252">
        <v>5.4801309850429201</v>
      </c>
      <c r="I185" s="252">
        <v>8.2839189308788317</v>
      </c>
      <c r="J185" s="252">
        <v>0</v>
      </c>
      <c r="K185" s="220">
        <f t="shared" si="62"/>
        <v>3.2696156528031333</v>
      </c>
      <c r="L185" s="220">
        <f t="shared" si="63"/>
        <v>4.0591324532398243</v>
      </c>
      <c r="M185" s="219">
        <f t="shared" si="51"/>
        <v>0.27958708670050547</v>
      </c>
      <c r="N185" s="219">
        <f t="shared" si="52"/>
        <v>0.34709921215352418</v>
      </c>
      <c r="O185" s="219">
        <f t="shared" si="53"/>
        <v>2.9900285661026276</v>
      </c>
      <c r="P185" s="219">
        <f t="shared" si="54"/>
        <v>3.7120332410863002</v>
      </c>
      <c r="Q185" s="219">
        <f t="shared" si="55"/>
        <v>0</v>
      </c>
      <c r="R185" s="219">
        <f t="shared" si="56"/>
        <v>0</v>
      </c>
      <c r="S185" s="220">
        <f t="shared" si="64"/>
        <v>3.3550450404060657</v>
      </c>
      <c r="T185" s="220">
        <f t="shared" si="65"/>
        <v>4.1651905458422895</v>
      </c>
      <c r="U185" s="219">
        <f t="shared" si="57"/>
        <v>1.3358049697913039</v>
      </c>
      <c r="V185" s="219">
        <f t="shared" si="66"/>
        <v>1.658362902511282</v>
      </c>
      <c r="W185" s="219">
        <f t="shared" si="58"/>
        <v>2.0192400706147615</v>
      </c>
      <c r="X185" s="219">
        <f t="shared" si="59"/>
        <v>2.5068276433310075</v>
      </c>
      <c r="Y185" s="219">
        <f t="shared" si="60"/>
        <v>0</v>
      </c>
      <c r="Z185" s="219">
        <f t="shared" si="61"/>
        <v>0</v>
      </c>
      <c r="AA185" s="232">
        <v>330454267684.37299</v>
      </c>
      <c r="AB185" s="239">
        <v>330.45426768437</v>
      </c>
      <c r="AC185" s="237">
        <v>410249333471.11688</v>
      </c>
      <c r="AD185" s="199">
        <v>410.24933347112</v>
      </c>
    </row>
    <row r="186" spans="1:30">
      <c r="A186" s="221" t="s">
        <v>539</v>
      </c>
      <c r="B186" s="215" t="s">
        <v>561</v>
      </c>
      <c r="C186" s="251">
        <f t="shared" si="49"/>
        <v>12.554100452898536</v>
      </c>
      <c r="D186" s="252">
        <v>2.1684355327733837</v>
      </c>
      <c r="E186" s="252">
        <v>10.385664920125153</v>
      </c>
      <c r="F186" s="252">
        <v>1.2554100452898538</v>
      </c>
      <c r="G186" s="253">
        <f t="shared" si="50"/>
        <v>13.124741382575744</v>
      </c>
      <c r="H186" s="252">
        <v>0</v>
      </c>
      <c r="I186" s="252">
        <v>13.124741382575744</v>
      </c>
      <c r="J186" s="252">
        <v>0</v>
      </c>
      <c r="K186" s="220">
        <f t="shared" si="62"/>
        <v>5.6457843169401318</v>
      </c>
      <c r="L186" s="220">
        <f t="shared" si="63"/>
        <v>3.6792246513802249</v>
      </c>
      <c r="M186" s="219">
        <f t="shared" si="51"/>
        <v>0.97518092747147722</v>
      </c>
      <c r="N186" s="219">
        <f t="shared" si="52"/>
        <v>0.63550243978385701</v>
      </c>
      <c r="O186" s="219">
        <f t="shared" si="53"/>
        <v>4.6706033894686545</v>
      </c>
      <c r="P186" s="219">
        <f t="shared" si="54"/>
        <v>3.0437222115963678</v>
      </c>
      <c r="Q186" s="219">
        <f t="shared" si="55"/>
        <v>0.56457843169401312</v>
      </c>
      <c r="R186" s="219">
        <f t="shared" si="56"/>
        <v>0.36792246513802251</v>
      </c>
      <c r="S186" s="220">
        <f t="shared" si="64"/>
        <v>5.9024108768010466</v>
      </c>
      <c r="T186" s="220">
        <f t="shared" si="65"/>
        <v>3.8464621355338715</v>
      </c>
      <c r="U186" s="219">
        <f t="shared" si="57"/>
        <v>0</v>
      </c>
      <c r="V186" s="219">
        <f t="shared" si="66"/>
        <v>0</v>
      </c>
      <c r="W186" s="219">
        <f t="shared" si="58"/>
        <v>5.9024108768010466</v>
      </c>
      <c r="X186" s="219">
        <f t="shared" si="59"/>
        <v>3.8464621355338715</v>
      </c>
      <c r="Y186" s="219">
        <f t="shared" si="60"/>
        <v>0</v>
      </c>
      <c r="Z186" s="219">
        <f t="shared" si="61"/>
        <v>0</v>
      </c>
      <c r="AA186" s="232">
        <v>341215925702.96198</v>
      </c>
      <c r="AB186" s="239">
        <v>341.21592570296002</v>
      </c>
      <c r="AC186" s="237">
        <v>222362381347.61981</v>
      </c>
      <c r="AD186" s="199">
        <v>222.36238134761999</v>
      </c>
    </row>
    <row r="187" spans="1:30">
      <c r="A187" s="221" t="s">
        <v>540</v>
      </c>
      <c r="B187" s="215" t="s">
        <v>561</v>
      </c>
      <c r="C187" s="251">
        <f t="shared" si="49"/>
        <v>4.6197248733241425</v>
      </c>
      <c r="D187" s="252">
        <v>0.28079327190109787</v>
      </c>
      <c r="E187" s="252">
        <v>4.3389316014230443</v>
      </c>
      <c r="F187" s="252">
        <v>0.6006120601465349</v>
      </c>
      <c r="G187" s="253">
        <f t="shared" si="50"/>
        <v>4.5823680163275764</v>
      </c>
      <c r="H187" s="252">
        <v>0</v>
      </c>
      <c r="I187" s="252">
        <v>4.5823680163275764</v>
      </c>
      <c r="J187" s="252">
        <v>0</v>
      </c>
      <c r="K187" s="220">
        <f t="shared" si="62"/>
        <v>4.6434500625741491</v>
      </c>
      <c r="L187" s="220">
        <f t="shared" si="63"/>
        <v>2.5423369882614839</v>
      </c>
      <c r="M187" s="219">
        <f t="shared" si="51"/>
        <v>0.28223532174143579</v>
      </c>
      <c r="N187" s="219">
        <f t="shared" si="52"/>
        <v>0.15452676096173151</v>
      </c>
      <c r="O187" s="219">
        <f t="shared" si="53"/>
        <v>4.3612147408327129</v>
      </c>
      <c r="P187" s="219">
        <f t="shared" si="54"/>
        <v>2.3878102272997523</v>
      </c>
      <c r="Q187" s="219">
        <f t="shared" si="55"/>
        <v>0.60369658036874452</v>
      </c>
      <c r="R187" s="219">
        <f t="shared" si="56"/>
        <v>0.33053012851991281</v>
      </c>
      <c r="S187" s="220">
        <f t="shared" si="64"/>
        <v>4.6059013546500216</v>
      </c>
      <c r="T187" s="220">
        <f t="shared" si="65"/>
        <v>2.5217786818878785</v>
      </c>
      <c r="U187" s="219">
        <f t="shared" si="57"/>
        <v>0</v>
      </c>
      <c r="V187" s="219">
        <f t="shared" si="66"/>
        <v>0</v>
      </c>
      <c r="W187" s="219">
        <f t="shared" si="58"/>
        <v>4.6059013546500216</v>
      </c>
      <c r="X187" s="219">
        <f t="shared" si="59"/>
        <v>2.5217786818878785</v>
      </c>
      <c r="Y187" s="219">
        <f t="shared" si="60"/>
        <v>0</v>
      </c>
      <c r="Z187" s="219">
        <f t="shared" si="61"/>
        <v>0</v>
      </c>
      <c r="AA187" s="232">
        <v>181711743748.14999</v>
      </c>
      <c r="AB187" s="239">
        <v>181.71174374815001</v>
      </c>
      <c r="AC187" s="237">
        <v>99489061173.693314</v>
      </c>
      <c r="AD187" s="199">
        <v>99.489061173690004</v>
      </c>
    </row>
    <row r="188" spans="1:30">
      <c r="A188" s="221" t="s">
        <v>541</v>
      </c>
      <c r="B188" s="215" t="s">
        <v>561</v>
      </c>
      <c r="C188" s="251">
        <f t="shared" si="49"/>
        <v>3.8232942288372822</v>
      </c>
      <c r="D188" s="252">
        <v>0.45651274374176504</v>
      </c>
      <c r="E188" s="252">
        <v>3.3667814850955171</v>
      </c>
      <c r="F188" s="252">
        <v>0.1</v>
      </c>
      <c r="G188" s="253">
        <f t="shared" si="50"/>
        <v>3.5</v>
      </c>
      <c r="H188" s="252">
        <v>1</v>
      </c>
      <c r="I188" s="252">
        <v>2.5</v>
      </c>
      <c r="J188" s="252">
        <v>0</v>
      </c>
      <c r="K188" s="220">
        <f t="shared" si="62"/>
        <v>7.5831963142869423</v>
      </c>
      <c r="L188" s="220">
        <f t="shared" si="63"/>
        <v>5.0281781526184028</v>
      </c>
      <c r="M188" s="219">
        <f t="shared" si="51"/>
        <v>0.90545627633276926</v>
      </c>
      <c r="N188" s="219">
        <f t="shared" si="52"/>
        <v>0.60037948090965998</v>
      </c>
      <c r="O188" s="219">
        <f t="shared" si="53"/>
        <v>6.6777400379541731</v>
      </c>
      <c r="P188" s="219">
        <f t="shared" si="54"/>
        <v>4.427798671708743</v>
      </c>
      <c r="Q188" s="219">
        <f t="shared" si="55"/>
        <v>0.19834194964882682</v>
      </c>
      <c r="R188" s="219">
        <f t="shared" si="56"/>
        <v>0.13151428720011285</v>
      </c>
      <c r="S188" s="220">
        <f t="shared" si="64"/>
        <v>6.9419682377089371</v>
      </c>
      <c r="T188" s="220">
        <f t="shared" si="65"/>
        <v>4.6030000520039493</v>
      </c>
      <c r="U188" s="219">
        <f t="shared" si="57"/>
        <v>1.9834194964882681</v>
      </c>
      <c r="V188" s="219">
        <f t="shared" si="66"/>
        <v>1.3151428720011284</v>
      </c>
      <c r="W188" s="219">
        <f t="shared" si="58"/>
        <v>4.9585487412206692</v>
      </c>
      <c r="X188" s="219">
        <f t="shared" si="59"/>
        <v>3.2878571800028213</v>
      </c>
      <c r="Y188" s="219">
        <f t="shared" si="60"/>
        <v>0</v>
      </c>
      <c r="Z188" s="219">
        <f t="shared" si="61"/>
        <v>0</v>
      </c>
      <c r="AA188" s="232">
        <v>76037366075.546799</v>
      </c>
      <c r="AB188" s="239">
        <v>76.037366075549997</v>
      </c>
      <c r="AC188" s="237">
        <v>50417977728.390221</v>
      </c>
      <c r="AD188" s="199">
        <v>50.417977728389999</v>
      </c>
    </row>
    <row r="189" spans="1:30">
      <c r="A189" s="221" t="s">
        <v>450</v>
      </c>
      <c r="B189" s="215" t="s">
        <v>561</v>
      </c>
      <c r="C189" s="251">
        <f t="shared" si="49"/>
        <v>22.474815922163589</v>
      </c>
      <c r="D189" s="252">
        <v>4.125811618561432</v>
      </c>
      <c r="E189" s="252">
        <v>18.349004303602158</v>
      </c>
      <c r="F189" s="252">
        <v>36.372286637317892</v>
      </c>
      <c r="G189" s="253">
        <f t="shared" si="50"/>
        <v>28.413813173092809</v>
      </c>
      <c r="H189" s="252">
        <v>1.2703156825570725</v>
      </c>
      <c r="I189" s="252">
        <v>27.143497490535736</v>
      </c>
      <c r="J189" s="252">
        <v>0</v>
      </c>
      <c r="K189" s="220">
        <f t="shared" si="62"/>
        <v>4.087658419220789</v>
      </c>
      <c r="L189" s="220">
        <f t="shared" si="63"/>
        <v>4.3137470638911193</v>
      </c>
      <c r="M189" s="219">
        <f t="shared" si="51"/>
        <v>0.75039140062990328</v>
      </c>
      <c r="N189" s="219">
        <f t="shared" si="52"/>
        <v>0.79189559626986727</v>
      </c>
      <c r="O189" s="219">
        <f t="shared" si="53"/>
        <v>3.3372670185908859</v>
      </c>
      <c r="P189" s="219">
        <f t="shared" si="54"/>
        <v>3.5218514676212522</v>
      </c>
      <c r="Q189" s="219">
        <f t="shared" si="55"/>
        <v>6.6152926108162537</v>
      </c>
      <c r="R189" s="219">
        <f t="shared" si="56"/>
        <v>6.9811848618527783</v>
      </c>
      <c r="S189" s="220">
        <f t="shared" si="64"/>
        <v>5.1678270932854131</v>
      </c>
      <c r="T189" s="220">
        <f t="shared" si="65"/>
        <v>5.4536599353637971</v>
      </c>
      <c r="U189" s="219">
        <f t="shared" si="57"/>
        <v>0.23104156282552288</v>
      </c>
      <c r="V189" s="219">
        <f t="shared" si="66"/>
        <v>0.24382048621993282</v>
      </c>
      <c r="W189" s="219">
        <f t="shared" si="58"/>
        <v>4.9367855304598907</v>
      </c>
      <c r="X189" s="219">
        <f t="shared" si="59"/>
        <v>5.209839449143864</v>
      </c>
      <c r="Y189" s="219">
        <f t="shared" si="60"/>
        <v>0</v>
      </c>
      <c r="Z189" s="219">
        <f t="shared" si="61"/>
        <v>0</v>
      </c>
      <c r="AA189" s="232">
        <v>521004490742.91901</v>
      </c>
      <c r="AB189" s="239">
        <v>521.00449074291998</v>
      </c>
      <c r="AC189" s="237">
        <v>549821281946.73523</v>
      </c>
      <c r="AD189" s="199">
        <v>549.82128194673999</v>
      </c>
    </row>
    <row r="190" spans="1:30">
      <c r="A190" s="221" t="s">
        <v>453</v>
      </c>
      <c r="B190" s="215" t="s">
        <v>561</v>
      </c>
      <c r="C190" s="251">
        <f t="shared" si="49"/>
        <v>54.35111984988594</v>
      </c>
      <c r="D190" s="252">
        <v>4.7396136259453741</v>
      </c>
      <c r="E190" s="252">
        <v>49.611506223940566</v>
      </c>
      <c r="F190" s="252">
        <v>0</v>
      </c>
      <c r="G190" s="253">
        <f t="shared" si="50"/>
        <v>46.623952017024436</v>
      </c>
      <c r="H190" s="252">
        <v>1.0650817136955897</v>
      </c>
      <c r="I190" s="252">
        <v>45.558870303328845</v>
      </c>
      <c r="J190" s="252">
        <v>0</v>
      </c>
      <c r="K190" s="220">
        <f t="shared" si="62"/>
        <v>7.2748505101031276</v>
      </c>
      <c r="L190" s="220">
        <f t="shared" si="63"/>
        <v>9.1993588217546076</v>
      </c>
      <c r="M190" s="219">
        <f t="shared" si="51"/>
        <v>0.63439319557042761</v>
      </c>
      <c r="N190" s="219">
        <f t="shared" si="52"/>
        <v>0.80221725958863432</v>
      </c>
      <c r="O190" s="219">
        <f t="shared" si="53"/>
        <v>6.6404573145326999</v>
      </c>
      <c r="P190" s="219">
        <f t="shared" si="54"/>
        <v>8.3971415621659737</v>
      </c>
      <c r="Q190" s="219">
        <f t="shared" si="55"/>
        <v>0</v>
      </c>
      <c r="R190" s="219">
        <f t="shared" si="56"/>
        <v>0</v>
      </c>
      <c r="S190" s="220">
        <f t="shared" si="64"/>
        <v>6.2405757609203292</v>
      </c>
      <c r="T190" s="220">
        <f t="shared" si="65"/>
        <v>7.8914742783129119</v>
      </c>
      <c r="U190" s="219">
        <f t="shared" si="57"/>
        <v>0.14256026866751181</v>
      </c>
      <c r="V190" s="219">
        <f t="shared" si="66"/>
        <v>0.18027354148059196</v>
      </c>
      <c r="W190" s="219">
        <f t="shared" si="58"/>
        <v>6.0980154922528174</v>
      </c>
      <c r="X190" s="219">
        <f t="shared" si="59"/>
        <v>7.7112007368323203</v>
      </c>
      <c r="Y190" s="219">
        <f t="shared" si="60"/>
        <v>0</v>
      </c>
      <c r="Z190" s="219">
        <f t="shared" si="61"/>
        <v>0</v>
      </c>
      <c r="AA190" s="232">
        <v>590814217631.73499</v>
      </c>
      <c r="AB190" s="239">
        <v>590.81421763174001</v>
      </c>
      <c r="AC190" s="237">
        <v>747109782866.38879</v>
      </c>
      <c r="AD190" s="199">
        <v>747.10978286638999</v>
      </c>
    </row>
    <row r="191" spans="1:30">
      <c r="A191" s="217" t="s">
        <v>490</v>
      </c>
      <c r="B191" s="215" t="s">
        <v>561</v>
      </c>
      <c r="C191" s="251">
        <f t="shared" si="49"/>
        <v>20.735557264419626</v>
      </c>
      <c r="D191" s="252">
        <v>2.21544520875785</v>
      </c>
      <c r="E191" s="252">
        <v>18.520112055661777</v>
      </c>
      <c r="F191" s="252">
        <v>3.0397675570876941</v>
      </c>
      <c r="G191" s="253">
        <f t="shared" si="50"/>
        <v>0</v>
      </c>
      <c r="H191" s="252">
        <v>0</v>
      </c>
      <c r="I191" s="252">
        <v>0</v>
      </c>
      <c r="J191" s="252">
        <v>4.5003203243428693</v>
      </c>
      <c r="K191" s="220">
        <f t="shared" si="62"/>
        <v>7.9155597092716778</v>
      </c>
      <c r="L191" s="220">
        <f t="shared" si="63"/>
        <v>4.6988645618176559</v>
      </c>
      <c r="M191" s="219">
        <f t="shared" si="51"/>
        <v>0.84572064347813192</v>
      </c>
      <c r="N191" s="219">
        <f t="shared" si="52"/>
        <v>0.50203989443504105</v>
      </c>
      <c r="O191" s="219">
        <f t="shared" si="53"/>
        <v>7.0698390657935457</v>
      </c>
      <c r="P191" s="219">
        <f t="shared" si="54"/>
        <v>4.1968246673826144</v>
      </c>
      <c r="Q191" s="219">
        <f t="shared" si="55"/>
        <v>1.1603961877466333</v>
      </c>
      <c r="R191" s="219">
        <f t="shared" si="56"/>
        <v>0.68883878393138398</v>
      </c>
      <c r="S191" s="220">
        <f t="shared" si="64"/>
        <v>0</v>
      </c>
      <c r="T191" s="220">
        <f t="shared" si="65"/>
        <v>0</v>
      </c>
      <c r="U191" s="219">
        <f t="shared" si="57"/>
        <v>0</v>
      </c>
      <c r="V191" s="219">
        <f t="shared" si="66"/>
        <v>0</v>
      </c>
      <c r="W191" s="219">
        <f t="shared" si="58"/>
        <v>0</v>
      </c>
      <c r="X191" s="219">
        <f t="shared" si="59"/>
        <v>0</v>
      </c>
      <c r="Y191" s="219">
        <f t="shared" si="60"/>
        <v>1.7179453527062905</v>
      </c>
      <c r="Z191" s="219">
        <f t="shared" si="61"/>
        <v>1.0198132328552258</v>
      </c>
      <c r="AA191" s="232">
        <v>441288677118.17102</v>
      </c>
      <c r="AB191" s="239">
        <v>441.28867711817003</v>
      </c>
      <c r="AC191" s="237">
        <v>261959457397.9639</v>
      </c>
      <c r="AD191" s="199">
        <v>261.95945739796002</v>
      </c>
    </row>
    <row r="192" spans="1:30">
      <c r="A192" s="217" t="s">
        <v>481</v>
      </c>
      <c r="B192" s="215" t="s">
        <v>561</v>
      </c>
      <c r="C192" s="251">
        <f t="shared" si="49"/>
        <v>11.136482043605833</v>
      </c>
      <c r="D192" s="252">
        <v>2.9336557811933468</v>
      </c>
      <c r="E192" s="252">
        <v>8.2028262624124864</v>
      </c>
      <c r="F192" s="252">
        <v>0.10830493525282782</v>
      </c>
      <c r="G192" s="253">
        <f t="shared" si="50"/>
        <v>15.517931123025171</v>
      </c>
      <c r="H192" s="252">
        <v>8.5953504240025485</v>
      </c>
      <c r="I192" s="252">
        <v>6.922580699022622</v>
      </c>
      <c r="J192" s="252">
        <v>0</v>
      </c>
      <c r="K192" s="220">
        <f t="shared" si="62"/>
        <v>3.4649308573440631</v>
      </c>
      <c r="L192" s="220">
        <f t="shared" si="63"/>
        <v>1.6128863085385605</v>
      </c>
      <c r="M192" s="219">
        <f t="shared" si="51"/>
        <v>0.912758122473601</v>
      </c>
      <c r="N192" s="219">
        <f t="shared" si="52"/>
        <v>0.42487863087504274</v>
      </c>
      <c r="O192" s="219">
        <f t="shared" si="53"/>
        <v>2.5521727348704624</v>
      </c>
      <c r="P192" s="219">
        <f t="shared" si="54"/>
        <v>1.1880076776635178</v>
      </c>
      <c r="Q192" s="219">
        <f t="shared" si="55"/>
        <v>3.369727627546798E-2</v>
      </c>
      <c r="R192" s="219">
        <f t="shared" si="56"/>
        <v>1.5685702767934535E-2</v>
      </c>
      <c r="S192" s="220">
        <f t="shared" si="64"/>
        <v>4.8281457447490519</v>
      </c>
      <c r="T192" s="220">
        <f t="shared" si="65"/>
        <v>2.2474474925896599</v>
      </c>
      <c r="U192" s="219">
        <f t="shared" si="57"/>
        <v>2.6743000884118273</v>
      </c>
      <c r="V192" s="219">
        <f t="shared" si="66"/>
        <v>1.2448565859202045</v>
      </c>
      <c r="W192" s="219">
        <f t="shared" si="58"/>
        <v>2.1538456563372246</v>
      </c>
      <c r="X192" s="219">
        <f t="shared" si="59"/>
        <v>1.0025909066694556</v>
      </c>
      <c r="Y192" s="219">
        <f t="shared" si="60"/>
        <v>0</v>
      </c>
      <c r="Z192" s="219">
        <f t="shared" si="61"/>
        <v>0</v>
      </c>
      <c r="AA192" s="232">
        <v>690469128831.32397</v>
      </c>
      <c r="AB192" s="239">
        <v>690.46912883131995</v>
      </c>
      <c r="AC192" s="237">
        <v>321405606694.9129</v>
      </c>
      <c r="AD192" s="199">
        <v>321.40560669490998</v>
      </c>
    </row>
    <row r="193" spans="1:30">
      <c r="A193" s="217" t="s">
        <v>542</v>
      </c>
      <c r="B193" s="215" t="s">
        <v>561</v>
      </c>
      <c r="C193" s="251">
        <f t="shared" si="49"/>
        <v>0.85479368304217118</v>
      </c>
      <c r="D193" s="252">
        <v>0.2</v>
      </c>
      <c r="E193" s="252">
        <v>0.65479368304217123</v>
      </c>
      <c r="F193" s="252">
        <v>0</v>
      </c>
      <c r="G193" s="253">
        <f t="shared" si="50"/>
        <v>0</v>
      </c>
      <c r="H193" s="252">
        <v>0</v>
      </c>
      <c r="I193" s="252">
        <v>0</v>
      </c>
      <c r="J193" s="252">
        <v>0</v>
      </c>
      <c r="K193" s="220">
        <f t="shared" si="62"/>
        <v>1.3276802859376868</v>
      </c>
      <c r="L193" s="220">
        <f t="shared" si="63"/>
        <v>0.93692974217803804</v>
      </c>
      <c r="M193" s="219">
        <f t="shared" si="51"/>
        <v>0.3106434481856567</v>
      </c>
      <c r="N193" s="219">
        <f t="shared" si="52"/>
        <v>0.21921775061405427</v>
      </c>
      <c r="O193" s="219">
        <f t="shared" si="53"/>
        <v>1.01703683775203</v>
      </c>
      <c r="P193" s="219">
        <f t="shared" si="54"/>
        <v>0.7177119915639838</v>
      </c>
      <c r="Q193" s="219">
        <f t="shared" si="55"/>
        <v>0</v>
      </c>
      <c r="R193" s="219">
        <f t="shared" si="56"/>
        <v>0</v>
      </c>
      <c r="S193" s="220">
        <f t="shared" si="64"/>
        <v>0</v>
      </c>
      <c r="T193" s="220">
        <f t="shared" si="65"/>
        <v>0</v>
      </c>
      <c r="U193" s="219">
        <f t="shared" si="57"/>
        <v>0</v>
      </c>
      <c r="V193" s="219">
        <f t="shared" si="66"/>
        <v>0</v>
      </c>
      <c r="W193" s="219">
        <f t="shared" si="58"/>
        <v>0</v>
      </c>
      <c r="X193" s="219">
        <f t="shared" si="59"/>
        <v>0</v>
      </c>
      <c r="Y193" s="219">
        <f t="shared" si="60"/>
        <v>0</v>
      </c>
      <c r="Z193" s="219">
        <f t="shared" si="61"/>
        <v>0</v>
      </c>
      <c r="AA193" s="232">
        <v>91233487908.610901</v>
      </c>
      <c r="AB193" s="239">
        <v>91.233487908610002</v>
      </c>
      <c r="AC193" s="237">
        <v>64382494196.515457</v>
      </c>
      <c r="AD193" s="199">
        <v>64.38249419652</v>
      </c>
    </row>
    <row r="194" spans="1:30">
      <c r="A194" s="217" t="s">
        <v>543</v>
      </c>
      <c r="B194" s="215" t="s">
        <v>561</v>
      </c>
      <c r="C194" s="251">
        <f t="shared" si="49"/>
        <v>13.7</v>
      </c>
      <c r="D194" s="252">
        <v>4.2</v>
      </c>
      <c r="E194" s="252">
        <v>9.5</v>
      </c>
      <c r="F194" s="252">
        <v>2.9</v>
      </c>
      <c r="G194" s="253">
        <f t="shared" si="50"/>
        <v>6.5</v>
      </c>
      <c r="H194" s="252">
        <v>0</v>
      </c>
      <c r="I194" s="252">
        <v>6.5</v>
      </c>
      <c r="J194" s="252">
        <v>0</v>
      </c>
      <c r="K194" s="220">
        <f t="shared" si="62"/>
        <v>9.2954475311525808</v>
      </c>
      <c r="L194" s="220">
        <f t="shared" si="63"/>
        <v>4.4209497679334593</v>
      </c>
      <c r="M194" s="219">
        <f t="shared" si="51"/>
        <v>2.8496992431270685</v>
      </c>
      <c r="N194" s="219">
        <f t="shared" si="52"/>
        <v>1.3553276660817906</v>
      </c>
      <c r="O194" s="219">
        <f t="shared" si="53"/>
        <v>6.4457482880255119</v>
      </c>
      <c r="P194" s="219">
        <f t="shared" si="54"/>
        <v>3.0656221018516687</v>
      </c>
      <c r="Q194" s="219">
        <f t="shared" si="55"/>
        <v>1.9676494773972615</v>
      </c>
      <c r="R194" s="219">
        <f t="shared" si="56"/>
        <v>0.93582148372314089</v>
      </c>
      <c r="S194" s="220">
        <f t="shared" si="64"/>
        <v>4.410248828649034</v>
      </c>
      <c r="T194" s="220">
        <f t="shared" si="65"/>
        <v>2.097530911793247</v>
      </c>
      <c r="U194" s="219">
        <f t="shared" si="57"/>
        <v>0</v>
      </c>
      <c r="V194" s="219">
        <f t="shared" si="66"/>
        <v>0</v>
      </c>
      <c r="W194" s="219">
        <f t="shared" si="58"/>
        <v>4.410248828649034</v>
      </c>
      <c r="X194" s="219">
        <f t="shared" si="59"/>
        <v>2.097530911793247</v>
      </c>
      <c r="Y194" s="219">
        <f t="shared" si="60"/>
        <v>0</v>
      </c>
      <c r="Z194" s="219">
        <f t="shared" si="61"/>
        <v>0</v>
      </c>
      <c r="AA194" s="232">
        <v>309888162479.70697</v>
      </c>
      <c r="AB194" s="239">
        <v>309.88816247970999</v>
      </c>
      <c r="AC194" s="237">
        <v>147383974295.86609</v>
      </c>
      <c r="AD194" s="199">
        <v>147.38397429586999</v>
      </c>
    </row>
    <row r="195" spans="1:30">
      <c r="A195" s="217" t="s">
        <v>487</v>
      </c>
      <c r="B195" s="215" t="s">
        <v>561</v>
      </c>
      <c r="C195" s="251">
        <f t="shared" si="49"/>
        <v>46.286304083494819</v>
      </c>
      <c r="D195" s="252">
        <v>2.1796874499152681</v>
      </c>
      <c r="E195" s="252">
        <v>44.106616633579549</v>
      </c>
      <c r="F195" s="252">
        <v>0</v>
      </c>
      <c r="G195" s="253">
        <f t="shared" si="50"/>
        <v>31.797793386999206</v>
      </c>
      <c r="H195" s="252">
        <v>12.821690881854519</v>
      </c>
      <c r="I195" s="252">
        <v>18.976102505144688</v>
      </c>
      <c r="J195" s="252">
        <v>0</v>
      </c>
      <c r="K195" s="220">
        <f t="shared" si="62"/>
        <v>8.099046653743537</v>
      </c>
      <c r="L195" s="220">
        <f t="shared" si="63"/>
        <v>3.8082469290611232</v>
      </c>
      <c r="M195" s="219">
        <f t="shared" si="51"/>
        <v>0.38139554879124682</v>
      </c>
      <c r="N195" s="219">
        <f t="shared" si="52"/>
        <v>0.1793357279613271</v>
      </c>
      <c r="O195" s="219">
        <f t="shared" si="53"/>
        <v>7.7176511049522905</v>
      </c>
      <c r="P195" s="219">
        <f t="shared" si="54"/>
        <v>3.6289112010997959</v>
      </c>
      <c r="Q195" s="219">
        <f t="shared" si="55"/>
        <v>0</v>
      </c>
      <c r="R195" s="219">
        <f t="shared" si="56"/>
        <v>0</v>
      </c>
      <c r="S195" s="220">
        <f t="shared" si="64"/>
        <v>5.5638880058958371</v>
      </c>
      <c r="T195" s="220">
        <f t="shared" si="65"/>
        <v>2.6161917961417132</v>
      </c>
      <c r="U195" s="219">
        <f t="shared" si="57"/>
        <v>2.2435032281838052</v>
      </c>
      <c r="V195" s="219">
        <f t="shared" si="66"/>
        <v>1.0549160468313359</v>
      </c>
      <c r="W195" s="219">
        <f t="shared" si="58"/>
        <v>3.3203847777120314</v>
      </c>
      <c r="X195" s="219">
        <f t="shared" si="59"/>
        <v>1.561275749310377</v>
      </c>
      <c r="Y195" s="219">
        <f t="shared" si="60"/>
        <v>0</v>
      </c>
      <c r="Z195" s="219">
        <f t="shared" si="61"/>
        <v>0</v>
      </c>
      <c r="AA195" s="232">
        <v>1215422868992.01</v>
      </c>
      <c r="AB195" s="239">
        <v>1215.4228689920101</v>
      </c>
      <c r="AC195" s="237">
        <v>571503117124.28699</v>
      </c>
      <c r="AD195" s="199">
        <v>571.50311712429004</v>
      </c>
    </row>
    <row r="196" spans="1:30">
      <c r="A196" s="217"/>
      <c r="B196" s="215"/>
      <c r="C196" s="251"/>
      <c r="D196" s="252"/>
      <c r="E196" s="252"/>
      <c r="F196" s="252"/>
      <c r="G196" s="253"/>
      <c r="H196" s="252"/>
      <c r="I196" s="252"/>
      <c r="J196" s="252"/>
      <c r="K196" s="220"/>
      <c r="L196" s="220"/>
      <c r="M196" s="219"/>
      <c r="N196" s="219"/>
      <c r="O196" s="219"/>
      <c r="P196" s="219"/>
      <c r="Q196" s="219"/>
      <c r="R196" s="219"/>
      <c r="S196" s="220"/>
      <c r="T196" s="220"/>
      <c r="U196" s="219"/>
      <c r="V196" s="219"/>
      <c r="W196" s="219"/>
      <c r="X196" s="219"/>
      <c r="Y196" s="219"/>
      <c r="Z196" s="219"/>
      <c r="AA196" s="238"/>
      <c r="AB196" s="239"/>
      <c r="AC196" s="237"/>
    </row>
    <row r="197" spans="1:30">
      <c r="A197" s="217" t="s">
        <v>461</v>
      </c>
      <c r="B197" s="215" t="s">
        <v>558</v>
      </c>
      <c r="C197" s="251">
        <f t="shared" si="49"/>
        <v>249.72579708899616</v>
      </c>
      <c r="D197" s="252">
        <v>13.808448829914081</v>
      </c>
      <c r="E197" s="252">
        <v>235.91734825908208</v>
      </c>
      <c r="F197" s="252">
        <v>0</v>
      </c>
      <c r="G197" s="253">
        <f t="shared" si="50"/>
        <v>24.164785452349641</v>
      </c>
      <c r="H197" s="252">
        <v>10.356336622435562</v>
      </c>
      <c r="I197" s="252">
        <v>13.808448829914079</v>
      </c>
      <c r="J197" s="252">
        <v>0</v>
      </c>
      <c r="K197" s="220">
        <f t="shared" ref="K197:K234" si="67">M197+O197</f>
        <v>16.706599322040006</v>
      </c>
      <c r="L197" s="220">
        <f t="shared" ref="L197:L234" si="68">N197+P197</f>
        <v>20.360586789391007</v>
      </c>
      <c r="M197" s="219">
        <f t="shared" si="51"/>
        <v>0.92378210240752034</v>
      </c>
      <c r="N197" s="219">
        <f t="shared" si="52"/>
        <v>1.1258273038092899</v>
      </c>
      <c r="O197" s="219">
        <f t="shared" si="53"/>
        <v>15.782817219632486</v>
      </c>
      <c r="P197" s="219">
        <f t="shared" si="54"/>
        <v>19.234759485581719</v>
      </c>
      <c r="Q197" s="219">
        <f t="shared" si="55"/>
        <v>0</v>
      </c>
      <c r="R197" s="219">
        <f t="shared" si="56"/>
        <v>0</v>
      </c>
      <c r="S197" s="220">
        <f t="shared" ref="S197:S234" si="69">U197+W197</f>
        <v>1.6166186792131607</v>
      </c>
      <c r="T197" s="220">
        <f t="shared" ref="T197:T234" si="70">V197+X197</f>
        <v>1.9701977816662573</v>
      </c>
      <c r="U197" s="219">
        <f t="shared" si="57"/>
        <v>0.69283657680564037</v>
      </c>
      <c r="V197" s="219">
        <f t="shared" ref="V197:V234" si="71">($H197/AB197)*100</f>
        <v>0.84437047785696751</v>
      </c>
      <c r="W197" s="219">
        <f t="shared" si="58"/>
        <v>0.92378210240752023</v>
      </c>
      <c r="X197" s="219">
        <f t="shared" si="59"/>
        <v>1.1258273038092899</v>
      </c>
      <c r="Y197" s="219">
        <f t="shared" si="60"/>
        <v>0</v>
      </c>
      <c r="Z197" s="219">
        <f t="shared" si="61"/>
        <v>0</v>
      </c>
      <c r="AA197" s="232">
        <v>1226515717214.5801</v>
      </c>
      <c r="AB197" s="239">
        <v>1226.51571721458</v>
      </c>
      <c r="AC197" s="237">
        <v>1494773366351.988</v>
      </c>
      <c r="AD197" s="199">
        <v>1494.77336635199</v>
      </c>
    </row>
    <row r="198" spans="1:30">
      <c r="A198" s="217" t="s">
        <v>459</v>
      </c>
      <c r="B198" s="215" t="s">
        <v>558</v>
      </c>
      <c r="C198" s="251">
        <f t="shared" ref="C198:C262" si="72">D198+E198</f>
        <v>261.11866848038159</v>
      </c>
      <c r="D198" s="252">
        <v>44.961324127261591</v>
      </c>
      <c r="E198" s="252">
        <v>216.15734435311998</v>
      </c>
      <c r="F198" s="252">
        <v>63.452880318904832</v>
      </c>
      <c r="G198" s="253">
        <f t="shared" ref="G198:G262" si="73">H198+I198</f>
        <v>64.944134850488979</v>
      </c>
      <c r="H198" s="252">
        <v>3.8772617821187447</v>
      </c>
      <c r="I198" s="252">
        <v>61.066873068370228</v>
      </c>
      <c r="J198" s="252">
        <v>0</v>
      </c>
      <c r="K198" s="220">
        <f t="shared" si="67"/>
        <v>15.390656908353272</v>
      </c>
      <c r="L198" s="220">
        <f t="shared" si="68"/>
        <v>15.150592598683838</v>
      </c>
      <c r="M198" s="219">
        <f t="shared" ref="M198:M262" si="74">($D198/$AD198)*100</f>
        <v>2.6500759896450665</v>
      </c>
      <c r="N198" s="219">
        <f t="shared" ref="N198:N262" si="75">($D198/$AB198)*100</f>
        <v>2.6087399591680058</v>
      </c>
      <c r="O198" s="219">
        <f t="shared" ref="O198:O262" si="76">($E198/$AD198)*100</f>
        <v>12.740580918708206</v>
      </c>
      <c r="P198" s="219">
        <f t="shared" ref="P198:P262" si="77">($E198/$AB198)*100</f>
        <v>12.541852639515833</v>
      </c>
      <c r="Q198" s="219">
        <f t="shared" ref="Q198:Q262" si="78">($F198/$AD198)*100</f>
        <v>3.7399911561989247</v>
      </c>
      <c r="R198" s="219">
        <f t="shared" ref="R198:R262" si="79">($F198/$AB198)*100</f>
        <v>3.6816545692404188</v>
      </c>
      <c r="S198" s="220">
        <f t="shared" si="69"/>
        <v>3.8278875405984296</v>
      </c>
      <c r="T198" s="220">
        <f t="shared" si="70"/>
        <v>3.7681799410204526</v>
      </c>
      <c r="U198" s="219">
        <f t="shared" ref="U198:U262" si="80">($H198/$AD198)*100</f>
        <v>0.22853059943871226</v>
      </c>
      <c r="V198" s="219">
        <f t="shared" si="71"/>
        <v>0.22496596662808674</v>
      </c>
      <c r="W198" s="219">
        <f t="shared" ref="W198:W262" si="81">($I198/$AD198)*100</f>
        <v>3.5993569411597175</v>
      </c>
      <c r="X198" s="219">
        <f t="shared" ref="X198:X262" si="82">($I198/$AB198)*100</f>
        <v>3.5432139743923661</v>
      </c>
      <c r="Y198" s="219">
        <f t="shared" ref="Y198:Y262" si="83">($J198/$AD198)*100</f>
        <v>0</v>
      </c>
      <c r="Z198" s="219">
        <f t="shared" ref="Z198:Z262" si="84">($J198/$AB198)*100</f>
        <v>0</v>
      </c>
      <c r="AA198" s="232">
        <v>1723488152556.26</v>
      </c>
      <c r="AB198" s="239">
        <v>1723.48815255626</v>
      </c>
      <c r="AC198" s="237">
        <v>1696605089927.3779</v>
      </c>
      <c r="AD198" s="199">
        <v>1696.60508992738</v>
      </c>
    </row>
    <row r="199" spans="1:30">
      <c r="A199" s="217" t="s">
        <v>457</v>
      </c>
      <c r="B199" s="215" t="s">
        <v>558</v>
      </c>
      <c r="C199" s="251">
        <f t="shared" si="72"/>
        <v>251.88090635951886</v>
      </c>
      <c r="D199" s="252">
        <v>35.722122197793112</v>
      </c>
      <c r="E199" s="252">
        <v>216.15878416172575</v>
      </c>
      <c r="F199" s="252">
        <v>79.319089225131677</v>
      </c>
      <c r="G199" s="253">
        <f t="shared" si="73"/>
        <v>399.79103533185071</v>
      </c>
      <c r="H199" s="252">
        <v>18.032253377799719</v>
      </c>
      <c r="I199" s="252">
        <v>381.75878195405102</v>
      </c>
      <c r="J199" s="252">
        <v>0</v>
      </c>
      <c r="K199" s="220">
        <f t="shared" si="67"/>
        <v>9.6254854994092884</v>
      </c>
      <c r="L199" s="220">
        <f t="shared" si="68"/>
        <v>8.6643648705421832</v>
      </c>
      <c r="M199" s="219">
        <f t="shared" si="74"/>
        <v>1.3651005715066187</v>
      </c>
      <c r="N199" s="219">
        <f t="shared" si="75"/>
        <v>1.2287930242318545</v>
      </c>
      <c r="O199" s="219">
        <f t="shared" si="76"/>
        <v>8.2603849279026704</v>
      </c>
      <c r="P199" s="219">
        <f t="shared" si="77"/>
        <v>7.435571846310328</v>
      </c>
      <c r="Q199" s="219">
        <f t="shared" si="78"/>
        <v>3.0311338568597446</v>
      </c>
      <c r="R199" s="219">
        <f t="shared" si="79"/>
        <v>2.7284701336777601</v>
      </c>
      <c r="S199" s="220">
        <f t="shared" si="69"/>
        <v>15.277786907308901</v>
      </c>
      <c r="T199" s="220">
        <f t="shared" si="70"/>
        <v>13.752274644997399</v>
      </c>
      <c r="U199" s="219">
        <f t="shared" si="80"/>
        <v>0.68909230127171173</v>
      </c>
      <c r="V199" s="219">
        <f t="shared" si="71"/>
        <v>0.6202852965771023</v>
      </c>
      <c r="W199" s="219">
        <f t="shared" si="81"/>
        <v>14.588694606037189</v>
      </c>
      <c r="X199" s="219">
        <f t="shared" si="82"/>
        <v>13.131989348420298</v>
      </c>
      <c r="Y199" s="219">
        <f t="shared" si="83"/>
        <v>0</v>
      </c>
      <c r="Z199" s="219">
        <f t="shared" si="84"/>
        <v>0</v>
      </c>
      <c r="AA199" s="232">
        <v>2907090249810.2798</v>
      </c>
      <c r="AB199" s="239">
        <v>2907.0902498102801</v>
      </c>
      <c r="AC199" s="237">
        <v>2616812485718.0068</v>
      </c>
      <c r="AD199" s="199">
        <v>2616.8124857180101</v>
      </c>
    </row>
    <row r="200" spans="1:30">
      <c r="A200" s="217" t="s">
        <v>458</v>
      </c>
      <c r="B200" s="215" t="s">
        <v>558</v>
      </c>
      <c r="C200" s="251">
        <f t="shared" si="72"/>
        <v>519.28324600625774</v>
      </c>
      <c r="D200" s="252">
        <v>69.618193420619164</v>
      </c>
      <c r="E200" s="252">
        <v>449.66505258563853</v>
      </c>
      <c r="F200" s="252">
        <v>0</v>
      </c>
      <c r="G200" s="253">
        <f t="shared" si="73"/>
        <v>1057.9682836215404</v>
      </c>
      <c r="H200" s="252">
        <v>114.12818593544125</v>
      </c>
      <c r="I200" s="252">
        <v>943.84009768609917</v>
      </c>
      <c r="J200" s="252">
        <v>0</v>
      </c>
      <c r="K200" s="220">
        <f t="shared" si="67"/>
        <v>14.435291560014873</v>
      </c>
      <c r="L200" s="220">
        <f t="shared" si="68"/>
        <v>12.477417298040546</v>
      </c>
      <c r="M200" s="219">
        <f t="shared" si="74"/>
        <v>1.9352808465074884</v>
      </c>
      <c r="N200" s="219">
        <f t="shared" si="75"/>
        <v>1.6727966047922489</v>
      </c>
      <c r="O200" s="219">
        <f t="shared" si="76"/>
        <v>12.500010713507384</v>
      </c>
      <c r="P200" s="219">
        <f t="shared" si="77"/>
        <v>10.804620693248298</v>
      </c>
      <c r="Q200" s="219">
        <f t="shared" si="78"/>
        <v>0</v>
      </c>
      <c r="R200" s="219">
        <f t="shared" si="79"/>
        <v>0</v>
      </c>
      <c r="S200" s="220">
        <f t="shared" si="69"/>
        <v>29.409923683810518</v>
      </c>
      <c r="T200" s="220">
        <f t="shared" si="70"/>
        <v>25.421023813810081</v>
      </c>
      <c r="U200" s="219">
        <f t="shared" si="80"/>
        <v>3.1725915516516197</v>
      </c>
      <c r="V200" s="219">
        <f t="shared" si="71"/>
        <v>2.7422895160528671</v>
      </c>
      <c r="W200" s="219">
        <f t="shared" si="81"/>
        <v>26.237332132158897</v>
      </c>
      <c r="X200" s="219">
        <f t="shared" si="82"/>
        <v>22.678734297757213</v>
      </c>
      <c r="Y200" s="219">
        <f t="shared" si="83"/>
        <v>0</v>
      </c>
      <c r="Z200" s="219">
        <f t="shared" si="84"/>
        <v>0</v>
      </c>
      <c r="AA200" s="232">
        <v>4161784715558.1299</v>
      </c>
      <c r="AB200" s="239">
        <v>4161.7847155581303</v>
      </c>
      <c r="AC200" s="237">
        <v>3597317337494.2358</v>
      </c>
      <c r="AD200" s="199">
        <v>3597.3173374942398</v>
      </c>
    </row>
    <row r="201" spans="1:30">
      <c r="A201" s="217" t="s">
        <v>455</v>
      </c>
      <c r="B201" s="215" t="s">
        <v>558</v>
      </c>
      <c r="C201" s="251">
        <f t="shared" si="72"/>
        <v>205.43073468379427</v>
      </c>
      <c r="D201" s="252">
        <v>22.825637187088251</v>
      </c>
      <c r="E201" s="252">
        <v>182.60509749670601</v>
      </c>
      <c r="F201" s="252">
        <v>7.9889730154808873</v>
      </c>
      <c r="G201" s="253">
        <f t="shared" si="73"/>
        <v>664.51136260910675</v>
      </c>
      <c r="H201" s="252">
        <v>3.7091660429018405</v>
      </c>
      <c r="I201" s="252">
        <v>660.80219656620488</v>
      </c>
      <c r="J201" s="252">
        <v>0</v>
      </c>
      <c r="K201" s="220">
        <f t="shared" si="67"/>
        <v>10.709794274584462</v>
      </c>
      <c r="L201" s="220">
        <f t="shared" si="68"/>
        <v>8.787879797149678</v>
      </c>
      <c r="M201" s="219">
        <f t="shared" si="74"/>
        <v>1.1899771416204958</v>
      </c>
      <c r="N201" s="219">
        <f t="shared" si="75"/>
        <v>0.97643108857218652</v>
      </c>
      <c r="O201" s="219">
        <f t="shared" si="76"/>
        <v>9.5198171329639667</v>
      </c>
      <c r="P201" s="219">
        <f t="shared" si="77"/>
        <v>7.8114487085774922</v>
      </c>
      <c r="Q201" s="219">
        <f t="shared" si="78"/>
        <v>0.41649199956717348</v>
      </c>
      <c r="R201" s="219">
        <f t="shared" si="79"/>
        <v>0.34175088100026529</v>
      </c>
      <c r="S201" s="220">
        <f t="shared" si="69"/>
        <v>34.643209535426678</v>
      </c>
      <c r="T201" s="220">
        <f t="shared" si="70"/>
        <v>28.426350066057783</v>
      </c>
      <c r="U201" s="219">
        <f t="shared" si="80"/>
        <v>0.19337128551333052</v>
      </c>
      <c r="V201" s="219">
        <f t="shared" si="71"/>
        <v>0.15867005189298031</v>
      </c>
      <c r="W201" s="219">
        <f t="shared" si="81"/>
        <v>34.449838249913348</v>
      </c>
      <c r="X201" s="219">
        <f t="shared" si="82"/>
        <v>28.267680014164803</v>
      </c>
      <c r="Y201" s="219">
        <f t="shared" si="83"/>
        <v>0</v>
      </c>
      <c r="Z201" s="219">
        <f t="shared" si="84"/>
        <v>0</v>
      </c>
      <c r="AA201" s="232">
        <v>2337659815857.1201</v>
      </c>
      <c r="AB201" s="239">
        <v>2337.6598158571201</v>
      </c>
      <c r="AC201" s="237">
        <v>1918157617381.1699</v>
      </c>
      <c r="AD201" s="199">
        <v>1918.15761738117</v>
      </c>
    </row>
    <row r="202" spans="1:30">
      <c r="A202" s="217" t="s">
        <v>460</v>
      </c>
      <c r="B202" s="215" t="s">
        <v>558</v>
      </c>
      <c r="C202" s="251">
        <f t="shared" si="72"/>
        <v>830.72205126485824</v>
      </c>
      <c r="D202" s="252">
        <v>94.591800651353637</v>
      </c>
      <c r="E202" s="252">
        <v>736.13025061350459</v>
      </c>
      <c r="F202" s="252">
        <v>27.16002196920055</v>
      </c>
      <c r="G202" s="253">
        <f t="shared" si="73"/>
        <v>147.0387396263616</v>
      </c>
      <c r="H202" s="252">
        <v>0</v>
      </c>
      <c r="I202" s="252">
        <v>147.0387396263616</v>
      </c>
      <c r="J202" s="252">
        <v>1282.1403474426052</v>
      </c>
      <c r="K202" s="220">
        <f t="shared" si="67"/>
        <v>18.20029636639136</v>
      </c>
      <c r="L202" s="220">
        <f t="shared" si="68"/>
        <v>15.600847040608596</v>
      </c>
      <c r="M202" s="219">
        <f t="shared" si="74"/>
        <v>2.0724125513027363</v>
      </c>
      <c r="N202" s="219">
        <f t="shared" si="75"/>
        <v>1.7764211399114636</v>
      </c>
      <c r="O202" s="219">
        <f t="shared" si="76"/>
        <v>16.127883815088623</v>
      </c>
      <c r="P202" s="219">
        <f t="shared" si="77"/>
        <v>13.824425900697133</v>
      </c>
      <c r="Q202" s="219">
        <f t="shared" si="78"/>
        <v>0.59504914839385492</v>
      </c>
      <c r="R202" s="219">
        <f t="shared" si="79"/>
        <v>0.51006151542012323</v>
      </c>
      <c r="S202" s="220">
        <f t="shared" si="69"/>
        <v>3.2214729757874219</v>
      </c>
      <c r="T202" s="220">
        <f t="shared" si="70"/>
        <v>2.7613675145158392</v>
      </c>
      <c r="U202" s="219">
        <f t="shared" si="80"/>
        <v>0</v>
      </c>
      <c r="V202" s="219">
        <f t="shared" si="71"/>
        <v>0</v>
      </c>
      <c r="W202" s="219">
        <f t="shared" si="81"/>
        <v>3.2214729757874219</v>
      </c>
      <c r="X202" s="219">
        <f t="shared" si="82"/>
        <v>2.7613675145158392</v>
      </c>
      <c r="Y202" s="219">
        <f t="shared" si="83"/>
        <v>28.090423591420254</v>
      </c>
      <c r="Z202" s="219">
        <f t="shared" si="84"/>
        <v>24.078421193453401</v>
      </c>
      <c r="AA202" s="232">
        <v>5324852228231.6504</v>
      </c>
      <c r="AB202" s="239">
        <v>5324.8522282316499</v>
      </c>
      <c r="AC202" s="237">
        <v>4564332550094.4502</v>
      </c>
      <c r="AD202" s="199">
        <v>4564.3325500944502</v>
      </c>
    </row>
    <row r="203" spans="1:30">
      <c r="A203" s="217" t="s">
        <v>448</v>
      </c>
      <c r="B203" s="215" t="s">
        <v>558</v>
      </c>
      <c r="C203" s="251">
        <f t="shared" si="72"/>
        <v>73.474251908227828</v>
      </c>
      <c r="D203" s="252">
        <v>8.4745388590804875</v>
      </c>
      <c r="E203" s="252">
        <v>64.999713049147346</v>
      </c>
      <c r="F203" s="252">
        <v>39.576096471905878</v>
      </c>
      <c r="G203" s="253">
        <f t="shared" si="73"/>
        <v>60.08448051088066</v>
      </c>
      <c r="H203" s="252">
        <v>0</v>
      </c>
      <c r="I203" s="252">
        <v>60.08448051088066</v>
      </c>
      <c r="J203" s="252">
        <v>105.93173573850609</v>
      </c>
      <c r="K203" s="220">
        <f t="shared" si="67"/>
        <v>4.4852051551882131</v>
      </c>
      <c r="L203" s="220">
        <f t="shared" si="68"/>
        <v>3.4070439922177385</v>
      </c>
      <c r="M203" s="219">
        <f t="shared" si="74"/>
        <v>0.51732470071374992</v>
      </c>
      <c r="N203" s="219">
        <f t="shared" si="75"/>
        <v>0.39296931859489487</v>
      </c>
      <c r="O203" s="219">
        <f t="shared" si="76"/>
        <v>3.967880454474463</v>
      </c>
      <c r="P203" s="219">
        <f t="shared" si="77"/>
        <v>3.0140746736228436</v>
      </c>
      <c r="Q203" s="219">
        <f t="shared" si="78"/>
        <v>2.4159063523332125</v>
      </c>
      <c r="R203" s="219">
        <f t="shared" si="79"/>
        <v>1.835166717838159</v>
      </c>
      <c r="S203" s="220">
        <f t="shared" si="69"/>
        <v>3.6678321280604878</v>
      </c>
      <c r="T203" s="220">
        <f t="shared" si="70"/>
        <v>2.7861524688378045</v>
      </c>
      <c r="U203" s="219">
        <f t="shared" si="80"/>
        <v>0</v>
      </c>
      <c r="V203" s="219">
        <f t="shared" si="71"/>
        <v>0</v>
      </c>
      <c r="W203" s="219">
        <f t="shared" si="81"/>
        <v>3.6678321280604878</v>
      </c>
      <c r="X203" s="219">
        <f t="shared" si="82"/>
        <v>2.7861524688378045</v>
      </c>
      <c r="Y203" s="219">
        <f t="shared" si="83"/>
        <v>6.4665587589218756</v>
      </c>
      <c r="Z203" s="219">
        <f t="shared" si="84"/>
        <v>4.9121164824361854</v>
      </c>
      <c r="AA203" s="232">
        <v>2156539571430.7</v>
      </c>
      <c r="AB203" s="239">
        <v>2156.5395714307001</v>
      </c>
      <c r="AC203" s="237">
        <v>1638146960195.0569</v>
      </c>
      <c r="AD203" s="199">
        <v>1638.14696019506</v>
      </c>
    </row>
    <row r="204" spans="1:30">
      <c r="A204" s="217" t="s">
        <v>449</v>
      </c>
      <c r="B204" s="215" t="s">
        <v>558</v>
      </c>
      <c r="C204" s="251">
        <f t="shared" si="72"/>
        <v>97.020370863718611</v>
      </c>
      <c r="D204" s="252">
        <v>16.092074216897217</v>
      </c>
      <c r="E204" s="252">
        <v>80.928296646821394</v>
      </c>
      <c r="F204" s="252">
        <v>5.1357683670948562E-2</v>
      </c>
      <c r="G204" s="253">
        <f t="shared" si="73"/>
        <v>172.60632712690199</v>
      </c>
      <c r="H204" s="252">
        <v>0.72927910812746966</v>
      </c>
      <c r="I204" s="252">
        <v>171.87704801877453</v>
      </c>
      <c r="J204" s="252">
        <v>11.412818593544126</v>
      </c>
      <c r="K204" s="220">
        <f t="shared" si="67"/>
        <v>7.3282737257388932</v>
      </c>
      <c r="L204" s="220">
        <f t="shared" si="68"/>
        <v>5.4004383625424461</v>
      </c>
      <c r="M204" s="219">
        <f t="shared" si="74"/>
        <v>1.2154882900002164</v>
      </c>
      <c r="N204" s="219">
        <f t="shared" si="75"/>
        <v>0.89573204225207037</v>
      </c>
      <c r="O204" s="219">
        <f t="shared" si="76"/>
        <v>6.1127854357386768</v>
      </c>
      <c r="P204" s="219">
        <f t="shared" si="77"/>
        <v>4.5047063202903761</v>
      </c>
      <c r="Q204" s="219">
        <f t="shared" si="78"/>
        <v>3.8792179468092008E-3</v>
      </c>
      <c r="R204" s="219">
        <f t="shared" si="79"/>
        <v>2.8587192837832031E-3</v>
      </c>
      <c r="S204" s="220">
        <f t="shared" si="69"/>
        <v>13.03753429016615</v>
      </c>
      <c r="T204" s="220">
        <f t="shared" si="70"/>
        <v>9.6077743502241759</v>
      </c>
      <c r="U204" s="219">
        <f t="shared" si="80"/>
        <v>5.508489484469066E-2</v>
      </c>
      <c r="V204" s="219">
        <f t="shared" si="71"/>
        <v>4.0593813829721485E-2</v>
      </c>
      <c r="W204" s="219">
        <f t="shared" si="81"/>
        <v>12.98244939532146</v>
      </c>
      <c r="X204" s="219">
        <f t="shared" si="82"/>
        <v>9.5671805363944546</v>
      </c>
      <c r="Y204" s="219">
        <f t="shared" si="83"/>
        <v>0.862048432624267</v>
      </c>
      <c r="Z204" s="219">
        <f t="shared" si="84"/>
        <v>0.63527095195182293</v>
      </c>
      <c r="AA204" s="232">
        <v>1796527695541.4199</v>
      </c>
      <c r="AB204" s="239">
        <v>1796.5276955414199</v>
      </c>
      <c r="AC204" s="237">
        <v>1323918490148.05</v>
      </c>
      <c r="AD204" s="199">
        <v>1323.9184901480501</v>
      </c>
    </row>
    <row r="205" spans="1:30">
      <c r="A205" s="217" t="s">
        <v>463</v>
      </c>
      <c r="B205" s="215" t="s">
        <v>558</v>
      </c>
      <c r="C205" s="251">
        <f t="shared" si="72"/>
        <v>440.0580179680901</v>
      </c>
      <c r="D205" s="252">
        <v>203.99190920386684</v>
      </c>
      <c r="E205" s="252">
        <v>236.06610876422326</v>
      </c>
      <c r="F205" s="252">
        <v>14.112647806556826</v>
      </c>
      <c r="G205" s="253">
        <f t="shared" si="73"/>
        <v>452.8876977922327</v>
      </c>
      <c r="H205" s="252">
        <v>1.2829679824142568</v>
      </c>
      <c r="I205" s="252">
        <v>451.60472980981842</v>
      </c>
      <c r="J205" s="252">
        <v>0</v>
      </c>
      <c r="K205" s="220">
        <f t="shared" si="67"/>
        <v>13.937406334160265</v>
      </c>
      <c r="L205" s="220">
        <f t="shared" si="68"/>
        <v>14.957843729927454</v>
      </c>
      <c r="M205" s="219">
        <f t="shared" si="74"/>
        <v>6.4607801957186073</v>
      </c>
      <c r="N205" s="219">
        <f t="shared" si="75"/>
        <v>6.933810941861414</v>
      </c>
      <c r="O205" s="219">
        <f t="shared" si="76"/>
        <v>7.4766261384416586</v>
      </c>
      <c r="P205" s="219">
        <f t="shared" si="77"/>
        <v>8.0240327880660391</v>
      </c>
      <c r="Q205" s="219">
        <f t="shared" si="78"/>
        <v>0.44697221479814264</v>
      </c>
      <c r="R205" s="219">
        <f t="shared" si="79"/>
        <v>0.47969761233003494</v>
      </c>
      <c r="S205" s="220">
        <f t="shared" si="69"/>
        <v>14.343744711249487</v>
      </c>
      <c r="T205" s="220">
        <f t="shared" si="70"/>
        <v>15.393932468409304</v>
      </c>
      <c r="U205" s="219">
        <f t="shared" si="80"/>
        <v>4.0633837708922059E-2</v>
      </c>
      <c r="V205" s="219">
        <f t="shared" si="71"/>
        <v>4.3608873848184994E-2</v>
      </c>
      <c r="W205" s="219">
        <f t="shared" si="81"/>
        <v>14.303110873540565</v>
      </c>
      <c r="X205" s="219">
        <f t="shared" si="82"/>
        <v>15.350323594561118</v>
      </c>
      <c r="Y205" s="219">
        <f t="shared" si="83"/>
        <v>0</v>
      </c>
      <c r="Z205" s="219">
        <f t="shared" si="84"/>
        <v>0</v>
      </c>
      <c r="AA205" s="232">
        <v>2941988336778.9702</v>
      </c>
      <c r="AB205" s="239">
        <v>2941.9883367789698</v>
      </c>
      <c r="AC205" s="237">
        <v>3157388164033.9238</v>
      </c>
      <c r="AD205" s="199">
        <v>3157.38816403392</v>
      </c>
    </row>
    <row r="206" spans="1:30">
      <c r="A206" s="217" t="s">
        <v>464</v>
      </c>
      <c r="B206" s="215" t="s">
        <v>558</v>
      </c>
      <c r="C206" s="251">
        <f t="shared" si="72"/>
        <v>5328.3</v>
      </c>
      <c r="D206" s="252">
        <v>687.3</v>
      </c>
      <c r="E206" s="252">
        <v>4641</v>
      </c>
      <c r="F206" s="252">
        <v>17.98</v>
      </c>
      <c r="G206" s="253">
        <f t="shared" si="73"/>
        <v>510</v>
      </c>
      <c r="H206" s="252">
        <v>56</v>
      </c>
      <c r="I206" s="252">
        <v>454</v>
      </c>
      <c r="J206" s="252">
        <v>0</v>
      </c>
      <c r="K206" s="220">
        <f t="shared" si="67"/>
        <v>26.736447545993702</v>
      </c>
      <c r="L206" s="220">
        <f t="shared" si="68"/>
        <v>26.675893379829869</v>
      </c>
      <c r="M206" s="219">
        <f t="shared" si="74"/>
        <v>3.4487473299854492</v>
      </c>
      <c r="N206" s="219">
        <f t="shared" si="75"/>
        <v>3.4409364187371332</v>
      </c>
      <c r="O206" s="219">
        <f t="shared" si="76"/>
        <v>23.287700216008254</v>
      </c>
      <c r="P206" s="219">
        <f t="shared" si="77"/>
        <v>23.234956961092735</v>
      </c>
      <c r="Q206" s="219">
        <f t="shared" si="78"/>
        <v>9.0220394286539191E-2</v>
      </c>
      <c r="R206" s="219">
        <f t="shared" si="79"/>
        <v>9.0016058211688718E-2</v>
      </c>
      <c r="S206" s="220">
        <f t="shared" si="69"/>
        <v>2.5590879358250826</v>
      </c>
      <c r="T206" s="220">
        <f t="shared" si="70"/>
        <v>2.5532919737464543</v>
      </c>
      <c r="U206" s="219">
        <f t="shared" si="80"/>
        <v>0.28099789099255812</v>
      </c>
      <c r="V206" s="219">
        <f t="shared" si="71"/>
        <v>0.28036147162706165</v>
      </c>
      <c r="W206" s="219">
        <f t="shared" si="81"/>
        <v>2.2780900448325245</v>
      </c>
      <c r="X206" s="219">
        <f t="shared" si="82"/>
        <v>2.2729305021193928</v>
      </c>
      <c r="Y206" s="219">
        <f t="shared" si="83"/>
        <v>0</v>
      </c>
      <c r="Z206" s="219">
        <f t="shared" si="84"/>
        <v>0</v>
      </c>
      <c r="AA206" s="232">
        <v>19974213887167.602</v>
      </c>
      <c r="AB206" s="239">
        <v>19974.2138871676</v>
      </c>
      <c r="AC206" s="237">
        <v>19928975197000</v>
      </c>
      <c r="AD206" s="199">
        <v>19928.975197</v>
      </c>
    </row>
    <row r="207" spans="1:30">
      <c r="A207" s="217" t="s">
        <v>466</v>
      </c>
      <c r="B207" s="215" t="s">
        <v>558</v>
      </c>
      <c r="C207" s="251">
        <f t="shared" si="72"/>
        <v>7.0279601888550918</v>
      </c>
      <c r="D207" s="252">
        <v>4.8032151754294405</v>
      </c>
      <c r="E207" s="252">
        <v>2.2247450134256517</v>
      </c>
      <c r="F207" s="252">
        <v>4.2819360091037648</v>
      </c>
      <c r="G207" s="253">
        <f t="shared" si="73"/>
        <v>1.0704840022759412</v>
      </c>
      <c r="H207" s="252">
        <v>0.89362142798687272</v>
      </c>
      <c r="I207" s="252">
        <v>0.17686257428906854</v>
      </c>
      <c r="J207" s="252">
        <v>11.78928685984765</v>
      </c>
      <c r="K207" s="220">
        <f t="shared" si="67"/>
        <v>0.54942367197485686</v>
      </c>
      <c r="L207" s="220">
        <f t="shared" si="68"/>
        <v>0.29508569161334508</v>
      </c>
      <c r="M207" s="219">
        <f t="shared" si="74"/>
        <v>0.37550015197222009</v>
      </c>
      <c r="N207" s="219">
        <f t="shared" si="75"/>
        <v>0.20167445943375639</v>
      </c>
      <c r="O207" s="219">
        <f t="shared" si="76"/>
        <v>0.17392352000263681</v>
      </c>
      <c r="P207" s="219">
        <f t="shared" si="77"/>
        <v>9.3411232179588716E-2</v>
      </c>
      <c r="Q207" s="219">
        <f t="shared" si="78"/>
        <v>0.33474819749461476</v>
      </c>
      <c r="R207" s="219">
        <f t="shared" si="79"/>
        <v>0.17978730879753479</v>
      </c>
      <c r="S207" s="220">
        <f t="shared" si="69"/>
        <v>8.3687049373653705E-2</v>
      </c>
      <c r="T207" s="220">
        <f t="shared" si="70"/>
        <v>4.4946827199383699E-2</v>
      </c>
      <c r="U207" s="219">
        <f t="shared" si="80"/>
        <v>6.9860493390180481E-2</v>
      </c>
      <c r="V207" s="219">
        <f t="shared" si="71"/>
        <v>3.7520829662094218E-2</v>
      </c>
      <c r="W207" s="219">
        <f t="shared" si="81"/>
        <v>1.3826555983473219E-2</v>
      </c>
      <c r="X207" s="219">
        <f t="shared" si="82"/>
        <v>7.4259975372894804E-3</v>
      </c>
      <c r="Y207" s="219">
        <f t="shared" si="83"/>
        <v>0.92164911331941224</v>
      </c>
      <c r="Z207" s="219">
        <f t="shared" si="84"/>
        <v>0.49500136215669094</v>
      </c>
      <c r="AA207" s="232">
        <v>2381667559152.25</v>
      </c>
      <c r="AB207" s="239">
        <v>2381.6675591522499</v>
      </c>
      <c r="AC207" s="237">
        <v>1279151326624.439</v>
      </c>
      <c r="AD207" s="199">
        <v>1279.1513266244399</v>
      </c>
    </row>
    <row r="208" spans="1:30">
      <c r="A208" s="217" t="s">
        <v>467</v>
      </c>
      <c r="B208" s="215" t="s">
        <v>558</v>
      </c>
      <c r="C208" s="251">
        <f t="shared" si="72"/>
        <v>20</v>
      </c>
      <c r="D208" s="252">
        <v>3</v>
      </c>
      <c r="E208" s="252">
        <v>17</v>
      </c>
      <c r="F208" s="252">
        <v>10</v>
      </c>
      <c r="G208" s="253">
        <f t="shared" si="73"/>
        <v>49</v>
      </c>
      <c r="H208" s="252">
        <v>3</v>
      </c>
      <c r="I208" s="252">
        <v>46</v>
      </c>
      <c r="J208" s="252">
        <v>19</v>
      </c>
      <c r="K208" s="220">
        <f t="shared" si="67"/>
        <v>2.005910311560561</v>
      </c>
      <c r="L208" s="220">
        <f t="shared" si="68"/>
        <v>0.85697755603077641</v>
      </c>
      <c r="M208" s="219">
        <f t="shared" si="74"/>
        <v>0.3008865467340841</v>
      </c>
      <c r="N208" s="219">
        <f t="shared" si="75"/>
        <v>0.12854663340461647</v>
      </c>
      <c r="O208" s="219">
        <f t="shared" si="76"/>
        <v>1.7050237648264768</v>
      </c>
      <c r="P208" s="219">
        <f t="shared" si="77"/>
        <v>0.72843092262615994</v>
      </c>
      <c r="Q208" s="219">
        <f t="shared" si="78"/>
        <v>1.0029551557802803</v>
      </c>
      <c r="R208" s="219">
        <f t="shared" si="79"/>
        <v>0.42848877801538821</v>
      </c>
      <c r="S208" s="220">
        <f t="shared" si="69"/>
        <v>4.914480263323374</v>
      </c>
      <c r="T208" s="220">
        <f t="shared" si="70"/>
        <v>2.0995950122754024</v>
      </c>
      <c r="U208" s="219">
        <f t="shared" si="80"/>
        <v>0.3008865467340841</v>
      </c>
      <c r="V208" s="219">
        <f t="shared" si="71"/>
        <v>0.12854663340461647</v>
      </c>
      <c r="W208" s="219">
        <f t="shared" si="81"/>
        <v>4.61359371658929</v>
      </c>
      <c r="X208" s="219">
        <f t="shared" si="82"/>
        <v>1.9710483788707858</v>
      </c>
      <c r="Y208" s="219">
        <f t="shared" si="83"/>
        <v>1.9056147959825329</v>
      </c>
      <c r="Z208" s="219">
        <f t="shared" si="84"/>
        <v>0.81412867822923762</v>
      </c>
      <c r="AA208" s="232">
        <v>2333783406491.1899</v>
      </c>
      <c r="AB208" s="239">
        <v>2333.7834064911899</v>
      </c>
      <c r="AC208" s="237">
        <v>997053551434.22559</v>
      </c>
      <c r="AD208" s="199">
        <v>997.05355143423003</v>
      </c>
    </row>
    <row r="209" spans="1:30">
      <c r="A209" s="221" t="s">
        <v>530</v>
      </c>
      <c r="B209" s="215" t="s">
        <v>558</v>
      </c>
      <c r="C209" s="251">
        <f t="shared" si="72"/>
        <v>50.216401811594153</v>
      </c>
      <c r="D209" s="252">
        <v>2.8532046483860314</v>
      </c>
      <c r="E209" s="252">
        <v>47.36319716320812</v>
      </c>
      <c r="F209" s="252">
        <v>0</v>
      </c>
      <c r="G209" s="253">
        <f t="shared" si="73"/>
        <v>10.271536734189713</v>
      </c>
      <c r="H209" s="252">
        <v>0</v>
      </c>
      <c r="I209" s="252">
        <v>10.271536734189713</v>
      </c>
      <c r="J209" s="252">
        <v>0</v>
      </c>
      <c r="K209" s="220">
        <f t="shared" si="67"/>
        <v>12.131044231205824</v>
      </c>
      <c r="L209" s="220">
        <f t="shared" si="68"/>
        <v>10.716280761030211</v>
      </c>
      <c r="M209" s="219">
        <f t="shared" si="74"/>
        <v>0.68926387677305812</v>
      </c>
      <c r="N209" s="219">
        <f t="shared" si="75"/>
        <v>0.60887958869489833</v>
      </c>
      <c r="O209" s="219">
        <f t="shared" si="76"/>
        <v>11.441780354432765</v>
      </c>
      <c r="P209" s="219">
        <f t="shared" si="77"/>
        <v>10.107401172335312</v>
      </c>
      <c r="Q209" s="219">
        <f t="shared" si="78"/>
        <v>0</v>
      </c>
      <c r="R209" s="219">
        <f t="shared" si="79"/>
        <v>0</v>
      </c>
      <c r="S209" s="220">
        <f t="shared" si="69"/>
        <v>2.4813499563830095</v>
      </c>
      <c r="T209" s="220">
        <f t="shared" si="70"/>
        <v>2.1919665193016336</v>
      </c>
      <c r="U209" s="219">
        <f t="shared" si="80"/>
        <v>0</v>
      </c>
      <c r="V209" s="219">
        <f t="shared" si="71"/>
        <v>0</v>
      </c>
      <c r="W209" s="219">
        <f t="shared" si="81"/>
        <v>2.4813499563830095</v>
      </c>
      <c r="X209" s="219">
        <f t="shared" si="82"/>
        <v>2.1919665193016336</v>
      </c>
      <c r="Y209" s="219">
        <f t="shared" si="83"/>
        <v>0</v>
      </c>
      <c r="Z209" s="219">
        <f t="shared" si="84"/>
        <v>0</v>
      </c>
      <c r="AA209" s="232">
        <v>468599161699.88599</v>
      </c>
      <c r="AB209" s="239">
        <v>468.59916169988998</v>
      </c>
      <c r="AC209" s="237">
        <v>413949540159.26532</v>
      </c>
      <c r="AD209" s="199">
        <v>413.94954015926999</v>
      </c>
    </row>
    <row r="210" spans="1:30">
      <c r="A210" s="217" t="s">
        <v>456</v>
      </c>
      <c r="B210" s="215" t="s">
        <v>558</v>
      </c>
      <c r="C210" s="251">
        <f t="shared" si="72"/>
        <v>42.341556982048701</v>
      </c>
      <c r="D210" s="252">
        <v>10.499793106060594</v>
      </c>
      <c r="E210" s="252">
        <v>31.841763875988111</v>
      </c>
      <c r="F210" s="252">
        <v>15.064920543478244</v>
      </c>
      <c r="G210" s="253">
        <f t="shared" si="73"/>
        <v>61.172707661396508</v>
      </c>
      <c r="H210" s="252">
        <v>1.8260509749670601</v>
      </c>
      <c r="I210" s="252">
        <v>59.346656686429448</v>
      </c>
      <c r="J210" s="252">
        <v>0</v>
      </c>
      <c r="K210" s="220">
        <f t="shared" si="67"/>
        <v>8.5511287702675656</v>
      </c>
      <c r="L210" s="220">
        <f t="shared" si="68"/>
        <v>7.6246861111964419</v>
      </c>
      <c r="M210" s="219">
        <f t="shared" si="74"/>
        <v>2.120495544109477</v>
      </c>
      <c r="N210" s="219">
        <f t="shared" si="75"/>
        <v>1.8907577418600336</v>
      </c>
      <c r="O210" s="219">
        <f t="shared" si="76"/>
        <v>6.430633226158089</v>
      </c>
      <c r="P210" s="219">
        <f t="shared" si="77"/>
        <v>5.7339283693364083</v>
      </c>
      <c r="Q210" s="219">
        <f t="shared" si="78"/>
        <v>3.0424501285049019</v>
      </c>
      <c r="R210" s="219">
        <f t="shared" si="79"/>
        <v>2.7128263252774403</v>
      </c>
      <c r="S210" s="220">
        <f t="shared" si="69"/>
        <v>12.354191430898693</v>
      </c>
      <c r="T210" s="220">
        <f t="shared" si="70"/>
        <v>11.015719017793241</v>
      </c>
      <c r="U210" s="219">
        <f t="shared" si="80"/>
        <v>0.36878183375816997</v>
      </c>
      <c r="V210" s="219">
        <f t="shared" si="71"/>
        <v>0.32882743336696246</v>
      </c>
      <c r="W210" s="219">
        <f t="shared" si="81"/>
        <v>11.985409597140523</v>
      </c>
      <c r="X210" s="219">
        <f t="shared" si="82"/>
        <v>10.686891584426279</v>
      </c>
      <c r="Y210" s="219">
        <f t="shared" si="83"/>
        <v>0</v>
      </c>
      <c r="Z210" s="219">
        <f t="shared" si="84"/>
        <v>0</v>
      </c>
      <c r="AA210" s="232">
        <v>555321968203.677</v>
      </c>
      <c r="AB210" s="239">
        <v>555.32196820367994</v>
      </c>
      <c r="AC210" s="237">
        <v>495157518025.82001</v>
      </c>
      <c r="AD210" s="199">
        <v>495.15751802582002</v>
      </c>
    </row>
    <row r="211" spans="1:30">
      <c r="A211" s="221" t="s">
        <v>454</v>
      </c>
      <c r="B211" s="215" t="s">
        <v>558</v>
      </c>
      <c r="C211" s="251">
        <f t="shared" si="72"/>
        <v>23.390527891771956</v>
      </c>
      <c r="D211" s="252">
        <v>6.505746383602073</v>
      </c>
      <c r="E211" s="252">
        <v>16.884781508169883</v>
      </c>
      <c r="F211" s="252">
        <v>1.5639641968526836</v>
      </c>
      <c r="G211" s="253">
        <f t="shared" si="73"/>
        <v>37.767796555401176</v>
      </c>
      <c r="H211" s="252">
        <v>4.3084413136437572E-2</v>
      </c>
      <c r="I211" s="252">
        <v>37.724712142264735</v>
      </c>
      <c r="J211" s="252">
        <v>0</v>
      </c>
      <c r="K211" s="220">
        <f t="shared" si="67"/>
        <v>10.847008991785207</v>
      </c>
      <c r="L211" s="220">
        <f t="shared" si="68"/>
        <v>5.7414738653985165</v>
      </c>
      <c r="M211" s="219">
        <f t="shared" si="74"/>
        <v>3.0169430056355986</v>
      </c>
      <c r="N211" s="219">
        <f t="shared" si="75"/>
        <v>1.5969102112270694</v>
      </c>
      <c r="O211" s="219">
        <f t="shared" si="76"/>
        <v>7.8300659861496094</v>
      </c>
      <c r="P211" s="219">
        <f t="shared" si="77"/>
        <v>4.1445636541714475</v>
      </c>
      <c r="Q211" s="219">
        <f t="shared" si="78"/>
        <v>0.7252651066527962</v>
      </c>
      <c r="R211" s="219">
        <f t="shared" si="79"/>
        <v>0.38389298455326237</v>
      </c>
      <c r="S211" s="220">
        <f t="shared" si="69"/>
        <v>17.514253236689836</v>
      </c>
      <c r="T211" s="220">
        <f t="shared" si="70"/>
        <v>9.2705396765672123</v>
      </c>
      <c r="U211" s="219">
        <f t="shared" si="80"/>
        <v>1.9979755004209263E-2</v>
      </c>
      <c r="V211" s="219">
        <f t="shared" si="71"/>
        <v>1.057556431276205E-2</v>
      </c>
      <c r="W211" s="219">
        <f t="shared" si="81"/>
        <v>17.494273481685628</v>
      </c>
      <c r="X211" s="219">
        <f t="shared" si="82"/>
        <v>9.2599641122544512</v>
      </c>
      <c r="Y211" s="219">
        <f t="shared" si="83"/>
        <v>0</v>
      </c>
      <c r="Z211" s="219">
        <f t="shared" si="84"/>
        <v>0</v>
      </c>
      <c r="AA211" s="232">
        <v>407395878482.30298</v>
      </c>
      <c r="AB211" s="239">
        <v>407.39587848230002</v>
      </c>
      <c r="AC211" s="237">
        <v>215640347578.63721</v>
      </c>
      <c r="AD211" s="199">
        <v>215.64034757863999</v>
      </c>
    </row>
    <row r="212" spans="1:30">
      <c r="A212" s="221" t="s">
        <v>446</v>
      </c>
      <c r="B212" s="215" t="s">
        <v>558</v>
      </c>
      <c r="C212" s="251">
        <f t="shared" si="72"/>
        <v>12.274248212821655</v>
      </c>
      <c r="D212" s="252">
        <v>0.12228391743782471</v>
      </c>
      <c r="E212" s="252">
        <v>12.151964295383831</v>
      </c>
      <c r="F212" s="252">
        <v>48.730141098973149</v>
      </c>
      <c r="G212" s="253">
        <f t="shared" si="73"/>
        <v>55.669753413569694</v>
      </c>
      <c r="H212" s="252">
        <v>43.105080896833208</v>
      </c>
      <c r="I212" s="252">
        <v>12.56467251673649</v>
      </c>
      <c r="J212" s="252">
        <v>0</v>
      </c>
      <c r="K212" s="220">
        <f t="shared" si="67"/>
        <v>3.690365110259608</v>
      </c>
      <c r="L212" s="220">
        <f t="shared" si="68"/>
        <v>3.9458973875073933</v>
      </c>
      <c r="M212" s="219">
        <f t="shared" si="74"/>
        <v>3.6765779429734573E-2</v>
      </c>
      <c r="N212" s="219">
        <f t="shared" si="75"/>
        <v>3.9311555541792213E-2</v>
      </c>
      <c r="O212" s="219">
        <f t="shared" si="76"/>
        <v>3.6535993308298735</v>
      </c>
      <c r="P212" s="219">
        <f t="shared" si="77"/>
        <v>3.9065858319656011</v>
      </c>
      <c r="Q212" s="219">
        <f t="shared" si="78"/>
        <v>14.651163102749228</v>
      </c>
      <c r="R212" s="219">
        <f t="shared" si="79"/>
        <v>15.665654883404198</v>
      </c>
      <c r="S212" s="220">
        <f t="shared" si="69"/>
        <v>16.737621085386667</v>
      </c>
      <c r="T212" s="220">
        <f t="shared" si="70"/>
        <v>17.896585660400905</v>
      </c>
      <c r="U212" s="219">
        <f t="shared" si="80"/>
        <v>12.959937248981438</v>
      </c>
      <c r="V212" s="219">
        <f t="shared" si="71"/>
        <v>13.857323328481755</v>
      </c>
      <c r="W212" s="219">
        <f t="shared" si="81"/>
        <v>3.7776838364052283</v>
      </c>
      <c r="X212" s="219">
        <f t="shared" si="82"/>
        <v>4.0392623319191499</v>
      </c>
      <c r="Y212" s="219">
        <f t="shared" si="83"/>
        <v>0</v>
      </c>
      <c r="Z212" s="219">
        <f t="shared" si="84"/>
        <v>0</v>
      </c>
      <c r="AA212" s="232">
        <v>311063542901.078</v>
      </c>
      <c r="AB212" s="239">
        <v>311.06354290107998</v>
      </c>
      <c r="AC212" s="237">
        <v>332602543274.04938</v>
      </c>
      <c r="AD212" s="199">
        <v>332.60254327404999</v>
      </c>
    </row>
    <row r="213" spans="1:30">
      <c r="A213" s="221" t="s">
        <v>531</v>
      </c>
      <c r="B213" s="215" t="s">
        <v>558</v>
      </c>
      <c r="C213" s="251">
        <f t="shared" si="72"/>
        <v>1.5871</v>
      </c>
      <c r="D213" s="252">
        <v>0.435</v>
      </c>
      <c r="E213" s="252">
        <v>1.1520999999999999</v>
      </c>
      <c r="F213" s="252">
        <v>0</v>
      </c>
      <c r="G213" s="253">
        <f t="shared" si="73"/>
        <v>1.3769999999999998</v>
      </c>
      <c r="H213" s="252">
        <v>1.0269999999999999</v>
      </c>
      <c r="I213" s="252">
        <v>0.35</v>
      </c>
      <c r="J213" s="252">
        <v>0</v>
      </c>
      <c r="K213" s="220">
        <f t="shared" si="67"/>
        <v>5.9009523324005393</v>
      </c>
      <c r="L213" s="220">
        <f t="shared" si="68"/>
        <v>3.456862622122669</v>
      </c>
      <c r="M213" s="219">
        <f t="shared" si="74"/>
        <v>1.6173613915911</v>
      </c>
      <c r="N213" s="219">
        <f t="shared" si="75"/>
        <v>0.94747353073112039</v>
      </c>
      <c r="O213" s="219">
        <f t="shared" si="76"/>
        <v>4.2835909408094395</v>
      </c>
      <c r="P213" s="219">
        <f t="shared" si="77"/>
        <v>2.5093890913915486</v>
      </c>
      <c r="Q213" s="219">
        <f t="shared" si="78"/>
        <v>0</v>
      </c>
      <c r="R213" s="219">
        <f t="shared" si="79"/>
        <v>0</v>
      </c>
      <c r="S213" s="220">
        <f t="shared" si="69"/>
        <v>5.1197853706228607</v>
      </c>
      <c r="T213" s="220">
        <f t="shared" si="70"/>
        <v>2.9992437972798909</v>
      </c>
      <c r="U213" s="219">
        <f t="shared" si="80"/>
        <v>3.8184601130208264</v>
      </c>
      <c r="V213" s="219">
        <f t="shared" si="71"/>
        <v>2.236908772553702</v>
      </c>
      <c r="W213" s="219">
        <f t="shared" si="81"/>
        <v>1.3013252576020344</v>
      </c>
      <c r="X213" s="219">
        <f t="shared" si="82"/>
        <v>0.76233502472618875</v>
      </c>
      <c r="Y213" s="219">
        <f t="shared" si="83"/>
        <v>0</v>
      </c>
      <c r="Z213" s="219">
        <f t="shared" si="84"/>
        <v>0</v>
      </c>
      <c r="AA213" s="232">
        <v>45911572818.753304</v>
      </c>
      <c r="AB213" s="239">
        <v>45.911572818750003</v>
      </c>
      <c r="AC213" s="237">
        <v>26895658710.637878</v>
      </c>
      <c r="AD213" s="199">
        <v>26.895658710639999</v>
      </c>
    </row>
    <row r="214" spans="1:30">
      <c r="A214" s="221" t="s">
        <v>447</v>
      </c>
      <c r="B214" s="215" t="s">
        <v>558</v>
      </c>
      <c r="C214" s="251">
        <f t="shared" si="72"/>
        <v>11.584010872447287</v>
      </c>
      <c r="D214" s="252">
        <v>4.1086146936758849</v>
      </c>
      <c r="E214" s="252">
        <v>7.4753961787714021</v>
      </c>
      <c r="F214" s="252">
        <v>2.3966919046442663</v>
      </c>
      <c r="G214" s="253">
        <f t="shared" si="73"/>
        <v>15.749689659090892</v>
      </c>
      <c r="H214" s="252">
        <v>1.8260509749670601</v>
      </c>
      <c r="I214" s="252">
        <v>13.923638684123832</v>
      </c>
      <c r="J214" s="252">
        <v>4.56512743741765</v>
      </c>
      <c r="K214" s="220">
        <f t="shared" si="67"/>
        <v>4.5473116583546549</v>
      </c>
      <c r="L214" s="220">
        <f t="shared" si="68"/>
        <v>4.5620294182589536</v>
      </c>
      <c r="M214" s="219">
        <f t="shared" si="74"/>
        <v>1.6128396029632273</v>
      </c>
      <c r="N214" s="219">
        <f t="shared" si="75"/>
        <v>1.6180596951460329</v>
      </c>
      <c r="O214" s="219">
        <f t="shared" si="76"/>
        <v>2.9344720553914279</v>
      </c>
      <c r="P214" s="219">
        <f t="shared" si="77"/>
        <v>2.9439697231129212</v>
      </c>
      <c r="Q214" s="219">
        <f t="shared" si="78"/>
        <v>0.94082310172854933</v>
      </c>
      <c r="R214" s="219">
        <f t="shared" si="79"/>
        <v>0.94386815550185255</v>
      </c>
      <c r="S214" s="220">
        <f t="shared" si="69"/>
        <v>6.1825518113590379</v>
      </c>
      <c r="T214" s="220">
        <f t="shared" si="70"/>
        <v>6.2025621647264586</v>
      </c>
      <c r="U214" s="219">
        <f t="shared" si="80"/>
        <v>0.71681760131699002</v>
      </c>
      <c r="V214" s="219">
        <f t="shared" si="71"/>
        <v>0.71913764228712584</v>
      </c>
      <c r="W214" s="219">
        <f t="shared" si="81"/>
        <v>5.4657342100420481</v>
      </c>
      <c r="X214" s="219">
        <f t="shared" si="82"/>
        <v>5.483424522439333</v>
      </c>
      <c r="Y214" s="219">
        <f t="shared" si="83"/>
        <v>1.7920440032924749</v>
      </c>
      <c r="Z214" s="219">
        <f t="shared" si="84"/>
        <v>1.7978441057178143</v>
      </c>
      <c r="AA214" s="232">
        <v>253922318564.70901</v>
      </c>
      <c r="AB214" s="239">
        <v>253.92231856471</v>
      </c>
      <c r="AC214" s="237">
        <v>254744159687.49991</v>
      </c>
      <c r="AD214" s="199">
        <v>254.7441596875</v>
      </c>
    </row>
    <row r="215" spans="1:30">
      <c r="A215" s="221" t="s">
        <v>532</v>
      </c>
      <c r="B215" s="215" t="s">
        <v>558</v>
      </c>
      <c r="C215" s="251">
        <f t="shared" si="72"/>
        <v>38.894885766798382</v>
      </c>
      <c r="D215" s="252">
        <v>1.1070434035737802</v>
      </c>
      <c r="E215" s="252">
        <v>37.787842363224598</v>
      </c>
      <c r="F215" s="252">
        <v>1.7918125191864278</v>
      </c>
      <c r="G215" s="253">
        <f t="shared" si="73"/>
        <v>12.942136285079037</v>
      </c>
      <c r="H215" s="252">
        <v>6.4710681425395187</v>
      </c>
      <c r="I215" s="252">
        <v>6.4710681425395187</v>
      </c>
      <c r="J215" s="252">
        <v>0</v>
      </c>
      <c r="K215" s="220">
        <f t="shared" si="67"/>
        <v>19.075189773360435</v>
      </c>
      <c r="L215" s="220">
        <f t="shared" si="68"/>
        <v>12.898545280216011</v>
      </c>
      <c r="M215" s="219">
        <f t="shared" si="74"/>
        <v>0.54292646948825185</v>
      </c>
      <c r="N215" s="219">
        <f t="shared" si="75"/>
        <v>0.36712408808126562</v>
      </c>
      <c r="O215" s="219">
        <f t="shared" si="76"/>
        <v>18.532263303872185</v>
      </c>
      <c r="P215" s="219">
        <f t="shared" si="77"/>
        <v>12.531421192134745</v>
      </c>
      <c r="Q215" s="219">
        <f t="shared" si="78"/>
        <v>0.87875727535727377</v>
      </c>
      <c r="R215" s="219">
        <f t="shared" si="79"/>
        <v>0.59421115287380111</v>
      </c>
      <c r="S215" s="220">
        <f t="shared" si="69"/>
        <v>6.3472022309245109</v>
      </c>
      <c r="T215" s="220">
        <f t="shared" si="70"/>
        <v>4.2919455245789191</v>
      </c>
      <c r="U215" s="219">
        <f t="shared" si="80"/>
        <v>3.1736011154622554</v>
      </c>
      <c r="V215" s="219">
        <f t="shared" si="71"/>
        <v>2.1459727622894595</v>
      </c>
      <c r="W215" s="219">
        <f t="shared" si="81"/>
        <v>3.1736011154622554</v>
      </c>
      <c r="X215" s="219">
        <f t="shared" si="82"/>
        <v>2.1459727622894595</v>
      </c>
      <c r="Y215" s="219">
        <f t="shared" si="83"/>
        <v>0</v>
      </c>
      <c r="Z215" s="219">
        <f t="shared" si="84"/>
        <v>0</v>
      </c>
      <c r="AA215" s="232">
        <v>301544747270.495</v>
      </c>
      <c r="AB215" s="239">
        <v>301.54474727050001</v>
      </c>
      <c r="AC215" s="237">
        <v>203903008195.06079</v>
      </c>
      <c r="AD215" s="199">
        <v>203.90300819506001</v>
      </c>
    </row>
    <row r="216" spans="1:30">
      <c r="A216" s="221" t="s">
        <v>533</v>
      </c>
      <c r="B216" s="215" t="s">
        <v>558</v>
      </c>
      <c r="C216" s="251">
        <f t="shared" si="72"/>
        <v>2.0091211225997041</v>
      </c>
      <c r="D216" s="252">
        <v>0.10494830132939439</v>
      </c>
      <c r="E216" s="252">
        <v>1.9041728212703097</v>
      </c>
      <c r="F216" s="252">
        <v>0</v>
      </c>
      <c r="G216" s="253">
        <f t="shared" si="73"/>
        <v>0.32127031019202362</v>
      </c>
      <c r="H216" s="252">
        <v>8.862629246676515E-2</v>
      </c>
      <c r="I216" s="252">
        <v>0.23264401772525847</v>
      </c>
      <c r="J216" s="252">
        <v>0</v>
      </c>
      <c r="K216" s="220">
        <f t="shared" si="67"/>
        <v>9.6918530600024297</v>
      </c>
      <c r="L216" s="220">
        <f t="shared" si="68"/>
        <v>10.535980255862842</v>
      </c>
      <c r="M216" s="219">
        <f t="shared" si="74"/>
        <v>0.50626291463464101</v>
      </c>
      <c r="N216" s="219">
        <f t="shared" si="75"/>
        <v>0.55035667997063265</v>
      </c>
      <c r="O216" s="219">
        <f t="shared" si="76"/>
        <v>9.1855901453677884</v>
      </c>
      <c r="P216" s="219">
        <f t="shared" si="77"/>
        <v>9.9856235758922089</v>
      </c>
      <c r="Q216" s="219">
        <f t="shared" si="78"/>
        <v>0</v>
      </c>
      <c r="R216" s="219">
        <f t="shared" si="79"/>
        <v>0</v>
      </c>
      <c r="S216" s="220">
        <f t="shared" si="69"/>
        <v>1.5497844325550232</v>
      </c>
      <c r="T216" s="220">
        <f t="shared" si="70"/>
        <v>1.684765346848875</v>
      </c>
      <c r="U216" s="219">
        <f t="shared" si="80"/>
        <v>0.42752674001517887</v>
      </c>
      <c r="V216" s="219">
        <f t="shared" si="71"/>
        <v>0.46476285430313802</v>
      </c>
      <c r="W216" s="219">
        <f t="shared" si="81"/>
        <v>1.1222576925398444</v>
      </c>
      <c r="X216" s="219">
        <f t="shared" si="82"/>
        <v>1.2200024925457371</v>
      </c>
      <c r="Y216" s="219">
        <f t="shared" si="83"/>
        <v>0</v>
      </c>
      <c r="Z216" s="219">
        <f t="shared" si="84"/>
        <v>0</v>
      </c>
      <c r="AA216" s="235">
        <v>19069142821.155399</v>
      </c>
      <c r="AB216" s="239">
        <v>19.06914282116</v>
      </c>
      <c r="AC216" s="237">
        <v>20729999827.29071</v>
      </c>
      <c r="AD216" s="199">
        <v>20.729999827290001</v>
      </c>
    </row>
    <row r="217" spans="1:30">
      <c r="A217" s="221" t="s">
        <v>534</v>
      </c>
      <c r="B217" s="215" t="s">
        <v>558</v>
      </c>
      <c r="C217" s="251">
        <f t="shared" si="72"/>
        <v>43.140454283596789</v>
      </c>
      <c r="D217" s="252">
        <v>5.0216401811594151</v>
      </c>
      <c r="E217" s="252">
        <v>38.118814102437376</v>
      </c>
      <c r="F217" s="252">
        <v>2.8532046483860314</v>
      </c>
      <c r="G217" s="253">
        <f t="shared" si="73"/>
        <v>13.695382312252949</v>
      </c>
      <c r="H217" s="252">
        <v>7.9889730154808873</v>
      </c>
      <c r="I217" s="252">
        <v>5.7064092967720628</v>
      </c>
      <c r="J217" s="252">
        <v>0</v>
      </c>
      <c r="K217" s="220">
        <f t="shared" si="67"/>
        <v>11.613548746407977</v>
      </c>
      <c r="L217" s="220">
        <f t="shared" si="68"/>
        <v>10.32338078794349</v>
      </c>
      <c r="M217" s="219">
        <f t="shared" si="74"/>
        <v>1.3518416530210342</v>
      </c>
      <c r="N217" s="219">
        <f t="shared" si="75"/>
        <v>1.2016633721415702</v>
      </c>
      <c r="O217" s="219">
        <f t="shared" si="76"/>
        <v>10.261707093386942</v>
      </c>
      <c r="P217" s="219">
        <f t="shared" si="77"/>
        <v>9.1217174158019194</v>
      </c>
      <c r="Q217" s="219">
        <f t="shared" si="78"/>
        <v>0.76809184830740596</v>
      </c>
      <c r="R217" s="219">
        <f t="shared" si="79"/>
        <v>0.68276327962589223</v>
      </c>
      <c r="S217" s="220">
        <f t="shared" si="69"/>
        <v>3.6868408718755483</v>
      </c>
      <c r="T217" s="220">
        <f t="shared" si="70"/>
        <v>3.2772637422042825</v>
      </c>
      <c r="U217" s="219">
        <f t="shared" si="80"/>
        <v>2.1506571752607364</v>
      </c>
      <c r="V217" s="219">
        <f t="shared" si="71"/>
        <v>1.9117371829524981</v>
      </c>
      <c r="W217" s="219">
        <f t="shared" si="81"/>
        <v>1.5361836966148119</v>
      </c>
      <c r="X217" s="219">
        <f t="shared" si="82"/>
        <v>1.3655265592517845</v>
      </c>
      <c r="Y217" s="219">
        <f t="shared" si="83"/>
        <v>0</v>
      </c>
      <c r="Z217" s="219">
        <f t="shared" si="84"/>
        <v>0</v>
      </c>
      <c r="AA217" s="235">
        <v>417890758558.284</v>
      </c>
      <c r="AB217" s="239">
        <v>417.89075855828003</v>
      </c>
      <c r="AC217" s="237">
        <v>371466596693.27911</v>
      </c>
      <c r="AD217" s="199">
        <v>371.46659669328</v>
      </c>
    </row>
    <row r="218" spans="1:30">
      <c r="A218" s="221" t="s">
        <v>535</v>
      </c>
      <c r="B218" s="215" t="s">
        <v>558</v>
      </c>
      <c r="C218" s="251">
        <f t="shared" si="72"/>
        <v>41.4</v>
      </c>
      <c r="D218" s="252">
        <v>6.5</v>
      </c>
      <c r="E218" s="252">
        <v>34.9</v>
      </c>
      <c r="F218" s="252">
        <v>2.1</v>
      </c>
      <c r="G218" s="253">
        <f t="shared" si="73"/>
        <v>17</v>
      </c>
      <c r="H218" s="252">
        <v>3.7</v>
      </c>
      <c r="I218" s="252">
        <v>13.3</v>
      </c>
      <c r="J218" s="252">
        <v>0</v>
      </c>
      <c r="K218" s="220">
        <f t="shared" si="67"/>
        <v>11.54939764849431</v>
      </c>
      <c r="L218" s="220">
        <f t="shared" si="68"/>
        <v>12.091237700407998</v>
      </c>
      <c r="M218" s="219">
        <f t="shared" si="74"/>
        <v>1.8133112250051451</v>
      </c>
      <c r="N218" s="219">
        <f t="shared" si="75"/>
        <v>1.8983827307403862</v>
      </c>
      <c r="O218" s="219">
        <f t="shared" si="76"/>
        <v>9.736086423489164</v>
      </c>
      <c r="P218" s="219">
        <f t="shared" si="77"/>
        <v>10.192854969667611</v>
      </c>
      <c r="Q218" s="219">
        <f t="shared" si="78"/>
        <v>0.5858390111555084</v>
      </c>
      <c r="R218" s="219">
        <f t="shared" si="79"/>
        <v>0.61332365146997092</v>
      </c>
      <c r="S218" s="220">
        <f t="shared" si="69"/>
        <v>4.7425062807826874</v>
      </c>
      <c r="T218" s="220">
        <f t="shared" si="70"/>
        <v>4.9650009880902406</v>
      </c>
      <c r="U218" s="219">
        <f t="shared" si="80"/>
        <v>1.0321925434644674</v>
      </c>
      <c r="V218" s="219">
        <f t="shared" si="71"/>
        <v>1.0806178621137581</v>
      </c>
      <c r="W218" s="219">
        <f t="shared" si="81"/>
        <v>3.71031373731822</v>
      </c>
      <c r="X218" s="219">
        <f t="shared" si="82"/>
        <v>3.8843831259764823</v>
      </c>
      <c r="Y218" s="219">
        <f t="shared" si="83"/>
        <v>0</v>
      </c>
      <c r="Z218" s="219">
        <f t="shared" si="84"/>
        <v>0</v>
      </c>
      <c r="AA218" s="235">
        <v>342396709301.34399</v>
      </c>
      <c r="AB218" s="239">
        <v>342.39670930134002</v>
      </c>
      <c r="AC218" s="237">
        <v>358460252733.58807</v>
      </c>
      <c r="AD218" s="199">
        <v>358.46025273358998</v>
      </c>
    </row>
    <row r="219" spans="1:30">
      <c r="A219" s="222" t="s">
        <v>536</v>
      </c>
      <c r="B219" s="215" t="s">
        <v>558</v>
      </c>
      <c r="C219" s="251">
        <f t="shared" si="72"/>
        <v>2.9126178965863909</v>
      </c>
      <c r="D219" s="252">
        <v>0.67911263411214207</v>
      </c>
      <c r="E219" s="252">
        <v>2.2335052624742486</v>
      </c>
      <c r="F219" s="252">
        <v>0</v>
      </c>
      <c r="G219" s="253">
        <f t="shared" si="73"/>
        <v>1.0455461485605735</v>
      </c>
      <c r="H219" s="252">
        <v>0.2896249719004359</v>
      </c>
      <c r="I219" s="252">
        <v>0.75592117666013769</v>
      </c>
      <c r="J219" s="252">
        <v>0</v>
      </c>
      <c r="K219" s="220">
        <f t="shared" si="67"/>
        <v>9.6571963197389223</v>
      </c>
      <c r="L219" s="220">
        <f t="shared" si="68"/>
        <v>5.2552901447769678</v>
      </c>
      <c r="M219" s="219">
        <f t="shared" si="74"/>
        <v>2.2516939274878407</v>
      </c>
      <c r="N219" s="219">
        <f t="shared" si="75"/>
        <v>1.2253354404729446</v>
      </c>
      <c r="O219" s="219">
        <f t="shared" si="76"/>
        <v>7.4055023922510825</v>
      </c>
      <c r="P219" s="219">
        <f t="shared" si="77"/>
        <v>4.0299547043040231</v>
      </c>
      <c r="Q219" s="219">
        <f t="shared" si="78"/>
        <v>0</v>
      </c>
      <c r="R219" s="219">
        <f t="shared" si="79"/>
        <v>0</v>
      </c>
      <c r="S219" s="220">
        <f t="shared" si="69"/>
        <v>3.4666560381401847</v>
      </c>
      <c r="T219" s="220">
        <f t="shared" si="70"/>
        <v>1.8864981832596941</v>
      </c>
      <c r="U219" s="219">
        <f t="shared" si="80"/>
        <v>0.96029253134077153</v>
      </c>
      <c r="V219" s="219">
        <f t="shared" si="71"/>
        <v>0.52257567403315619</v>
      </c>
      <c r="W219" s="219">
        <f t="shared" si="81"/>
        <v>2.5063635067994134</v>
      </c>
      <c r="X219" s="219">
        <f t="shared" si="82"/>
        <v>1.3639225092265379</v>
      </c>
      <c r="Y219" s="219">
        <f t="shared" si="83"/>
        <v>0</v>
      </c>
      <c r="Z219" s="219">
        <f t="shared" si="84"/>
        <v>0</v>
      </c>
      <c r="AA219" s="236">
        <v>55422589740</v>
      </c>
      <c r="AB219" s="240">
        <v>55.422589739999999</v>
      </c>
      <c r="AC219" s="237">
        <v>30160077523.05077</v>
      </c>
      <c r="AD219" s="199">
        <v>30.160077523049999</v>
      </c>
    </row>
    <row r="220" spans="1:30">
      <c r="A220" s="221" t="s">
        <v>537</v>
      </c>
      <c r="B220" s="215" t="s">
        <v>558</v>
      </c>
      <c r="C220" s="251">
        <f t="shared" si="72"/>
        <v>4.1622029999999999</v>
      </c>
      <c r="D220" s="252">
        <v>1.086606</v>
      </c>
      <c r="E220" s="252">
        <v>3.0755970000000001</v>
      </c>
      <c r="F220" s="252">
        <v>1.5986199999999999</v>
      </c>
      <c r="G220" s="253">
        <f t="shared" si="73"/>
        <v>1.5635561473155453</v>
      </c>
      <c r="H220" s="252">
        <v>0.42227428796113264</v>
      </c>
      <c r="I220" s="252">
        <v>1.1412818593544125</v>
      </c>
      <c r="J220" s="252">
        <v>0</v>
      </c>
      <c r="K220" s="220">
        <f t="shared" si="67"/>
        <v>8.6322728151230237</v>
      </c>
      <c r="L220" s="220">
        <f t="shared" si="68"/>
        <v>4.2849199648737493</v>
      </c>
      <c r="M220" s="219">
        <f t="shared" si="74"/>
        <v>2.2535852851361566</v>
      </c>
      <c r="N220" s="219">
        <f t="shared" si="75"/>
        <v>1.1186431184042691</v>
      </c>
      <c r="O220" s="219">
        <f t="shared" si="76"/>
        <v>6.3786875299868662</v>
      </c>
      <c r="P220" s="219">
        <f t="shared" si="77"/>
        <v>3.1662768464694797</v>
      </c>
      <c r="Q220" s="219">
        <f t="shared" si="78"/>
        <v>3.3154855656276174</v>
      </c>
      <c r="R220" s="219">
        <f t="shared" si="79"/>
        <v>1.6457531634681131</v>
      </c>
      <c r="S220" s="220">
        <f t="shared" si="69"/>
        <v>3.2427642826143916</v>
      </c>
      <c r="T220" s="220">
        <f t="shared" si="70"/>
        <v>1.6096555001842676</v>
      </c>
      <c r="U220" s="219">
        <f t="shared" si="80"/>
        <v>0.87578305442870441</v>
      </c>
      <c r="V220" s="219">
        <f t="shared" si="71"/>
        <v>0.43472447815195547</v>
      </c>
      <c r="W220" s="219">
        <f t="shared" si="81"/>
        <v>2.3669812281856872</v>
      </c>
      <c r="X220" s="219">
        <f t="shared" si="82"/>
        <v>1.1749310220323121</v>
      </c>
      <c r="Y220" s="219">
        <f t="shared" si="83"/>
        <v>0</v>
      </c>
      <c r="Z220" s="219">
        <f t="shared" si="84"/>
        <v>0</v>
      </c>
      <c r="AA220" s="235">
        <v>97136073348.399506</v>
      </c>
      <c r="AB220" s="239">
        <v>97.136073348400004</v>
      </c>
      <c r="AC220" s="237">
        <v>48216768505.137871</v>
      </c>
      <c r="AD220" s="199">
        <v>48.216768505140003</v>
      </c>
    </row>
    <row r="221" spans="1:30">
      <c r="A221" s="221" t="s">
        <v>538</v>
      </c>
      <c r="B221" s="215" t="s">
        <v>558</v>
      </c>
      <c r="C221" s="251">
        <f t="shared" si="72"/>
        <v>3.0814610202569139</v>
      </c>
      <c r="D221" s="252">
        <v>0.34238455780632376</v>
      </c>
      <c r="E221" s="252">
        <v>2.7390764624505901</v>
      </c>
      <c r="F221" s="252">
        <v>5.2384837344367536</v>
      </c>
      <c r="G221" s="253">
        <f t="shared" si="73"/>
        <v>3.3097173921277965</v>
      </c>
      <c r="H221" s="252">
        <v>0.45651274374176504</v>
      </c>
      <c r="I221" s="252">
        <v>2.8532046483860314</v>
      </c>
      <c r="J221" s="252">
        <v>1.0157408548254272</v>
      </c>
      <c r="K221" s="220">
        <f t="shared" si="67"/>
        <v>4.6297730687428773</v>
      </c>
      <c r="L221" s="220">
        <f t="shared" si="68"/>
        <v>4.6447078336746168</v>
      </c>
      <c r="M221" s="219">
        <f t="shared" si="74"/>
        <v>0.51441922986031974</v>
      </c>
      <c r="N221" s="219">
        <f t="shared" si="75"/>
        <v>0.51607864818606852</v>
      </c>
      <c r="O221" s="219">
        <f t="shared" si="76"/>
        <v>4.1153538388825579</v>
      </c>
      <c r="P221" s="219">
        <f t="shared" si="77"/>
        <v>4.1286291854885482</v>
      </c>
      <c r="Q221" s="219">
        <f t="shared" si="78"/>
        <v>7.870614216862891</v>
      </c>
      <c r="R221" s="219">
        <f t="shared" si="79"/>
        <v>7.8960033172468469</v>
      </c>
      <c r="S221" s="220">
        <f t="shared" si="69"/>
        <v>4.9727192219830911</v>
      </c>
      <c r="T221" s="220">
        <f t="shared" si="70"/>
        <v>4.9887602657986614</v>
      </c>
      <c r="U221" s="219">
        <f t="shared" si="80"/>
        <v>0.68589230648042632</v>
      </c>
      <c r="V221" s="219">
        <f t="shared" si="71"/>
        <v>0.68810486424809125</v>
      </c>
      <c r="W221" s="219">
        <f t="shared" si="81"/>
        <v>4.2868269155026644</v>
      </c>
      <c r="X221" s="219">
        <f t="shared" si="82"/>
        <v>4.3006554015505705</v>
      </c>
      <c r="Y221" s="219">
        <f t="shared" si="83"/>
        <v>1.5261103819189485</v>
      </c>
      <c r="Z221" s="219">
        <f t="shared" si="84"/>
        <v>1.531033322952003</v>
      </c>
      <c r="AA221" s="232">
        <v>66343484468.839996</v>
      </c>
      <c r="AB221" s="239">
        <v>66.343484468840003</v>
      </c>
      <c r="AC221" s="237">
        <v>66557495896.737839</v>
      </c>
      <c r="AD221" s="199">
        <v>66.557495896739994</v>
      </c>
    </row>
    <row r="222" spans="1:30">
      <c r="A222" s="221" t="s">
        <v>452</v>
      </c>
      <c r="B222" s="215" t="s">
        <v>558</v>
      </c>
      <c r="C222" s="251">
        <f t="shared" si="72"/>
        <v>93.92749702486816</v>
      </c>
      <c r="D222" s="252">
        <v>18.94527886528325</v>
      </c>
      <c r="E222" s="252">
        <v>74.982218159584903</v>
      </c>
      <c r="F222" s="252">
        <v>14.380151427865597</v>
      </c>
      <c r="G222" s="253">
        <f t="shared" si="73"/>
        <v>74.183320858036808</v>
      </c>
      <c r="H222" s="252">
        <v>0</v>
      </c>
      <c r="I222" s="252">
        <v>74.183320858036808</v>
      </c>
      <c r="J222" s="252">
        <v>0</v>
      </c>
      <c r="K222" s="220">
        <f t="shared" si="67"/>
        <v>11.178512242483428</v>
      </c>
      <c r="L222" s="220">
        <f t="shared" si="68"/>
        <v>10.073297291469261</v>
      </c>
      <c r="M222" s="219">
        <f t="shared" si="74"/>
        <v>2.2547181436843853</v>
      </c>
      <c r="N222" s="219">
        <f t="shared" si="75"/>
        <v>2.0317950794458048</v>
      </c>
      <c r="O222" s="219">
        <f t="shared" si="76"/>
        <v>8.9237940987990427</v>
      </c>
      <c r="P222" s="219">
        <f t="shared" si="77"/>
        <v>8.0415022120234561</v>
      </c>
      <c r="Q222" s="219">
        <f t="shared" si="78"/>
        <v>1.7114125668929669</v>
      </c>
      <c r="R222" s="219">
        <f t="shared" si="79"/>
        <v>1.5422059036757312</v>
      </c>
      <c r="S222" s="220">
        <f t="shared" si="69"/>
        <v>8.8287156228605426</v>
      </c>
      <c r="T222" s="220">
        <f t="shared" si="70"/>
        <v>7.9558241062636927</v>
      </c>
      <c r="U222" s="219">
        <f t="shared" si="80"/>
        <v>0</v>
      </c>
      <c r="V222" s="219">
        <f t="shared" si="71"/>
        <v>0</v>
      </c>
      <c r="W222" s="219">
        <f t="shared" si="81"/>
        <v>8.8287156228605426</v>
      </c>
      <c r="X222" s="219">
        <f t="shared" si="82"/>
        <v>7.9558241062636927</v>
      </c>
      <c r="Y222" s="219">
        <f t="shared" si="83"/>
        <v>0</v>
      </c>
      <c r="Z222" s="219">
        <f t="shared" si="84"/>
        <v>0</v>
      </c>
      <c r="AA222" s="232">
        <v>932440434418.74902</v>
      </c>
      <c r="AB222" s="239">
        <v>932.44043441874999</v>
      </c>
      <c r="AC222" s="237">
        <v>840250428566.88171</v>
      </c>
      <c r="AD222" s="199">
        <v>840.25042856688003</v>
      </c>
    </row>
    <row r="223" spans="1:30">
      <c r="A223" s="221" t="s">
        <v>465</v>
      </c>
      <c r="B223" s="215" t="s">
        <v>558</v>
      </c>
      <c r="C223" s="251">
        <f t="shared" si="72"/>
        <v>40.366333649903929</v>
      </c>
      <c r="D223" s="252">
        <v>3.3151095268037039</v>
      </c>
      <c r="E223" s="252">
        <v>37.051224123100226</v>
      </c>
      <c r="F223" s="252">
        <v>0</v>
      </c>
      <c r="G223" s="253">
        <f t="shared" si="73"/>
        <v>3.4451138219724768</v>
      </c>
      <c r="H223" s="252">
        <v>1.8200601323628178</v>
      </c>
      <c r="I223" s="252">
        <v>1.625053689609659</v>
      </c>
      <c r="J223" s="252">
        <v>0</v>
      </c>
      <c r="K223" s="220">
        <f t="shared" si="67"/>
        <v>19.890861906826895</v>
      </c>
      <c r="L223" s="220">
        <f t="shared" si="68"/>
        <v>20.810198388109878</v>
      </c>
      <c r="M223" s="219">
        <f t="shared" si="74"/>
        <v>1.6335490454881987</v>
      </c>
      <c r="N223" s="219">
        <f t="shared" si="75"/>
        <v>1.7090501091684438</v>
      </c>
      <c r="O223" s="219">
        <f t="shared" si="76"/>
        <v>18.257312861338697</v>
      </c>
      <c r="P223" s="219">
        <f t="shared" si="77"/>
        <v>19.101148278941434</v>
      </c>
      <c r="Q223" s="219">
        <f t="shared" si="78"/>
        <v>0</v>
      </c>
      <c r="R223" s="219">
        <f t="shared" si="79"/>
        <v>0</v>
      </c>
      <c r="S223" s="220">
        <f t="shared" si="69"/>
        <v>1.697609792370089</v>
      </c>
      <c r="T223" s="220">
        <f t="shared" si="70"/>
        <v>1.7760716820770104</v>
      </c>
      <c r="U223" s="219">
        <f t="shared" si="80"/>
        <v>0.8968504563464621</v>
      </c>
      <c r="V223" s="219">
        <f t="shared" si="71"/>
        <v>0.93830202071992996</v>
      </c>
      <c r="W223" s="219">
        <f t="shared" si="81"/>
        <v>0.80075933602362703</v>
      </c>
      <c r="X223" s="219">
        <f t="shared" si="82"/>
        <v>0.83776966135708042</v>
      </c>
      <c r="Y223" s="219">
        <f t="shared" si="83"/>
        <v>0</v>
      </c>
      <c r="Z223" s="219">
        <f t="shared" si="84"/>
        <v>0</v>
      </c>
      <c r="AA223" s="232">
        <v>193973805040.548</v>
      </c>
      <c r="AB223" s="239">
        <v>193.97380504054999</v>
      </c>
      <c r="AC223" s="237">
        <v>202939087501.52551</v>
      </c>
      <c r="AD223" s="199">
        <v>202.93908750153</v>
      </c>
    </row>
    <row r="224" spans="1:30">
      <c r="A224" s="221" t="s">
        <v>451</v>
      </c>
      <c r="B224" s="215" t="s">
        <v>558</v>
      </c>
      <c r="C224" s="251">
        <f t="shared" si="72"/>
        <v>23.917160810691193</v>
      </c>
      <c r="D224" s="252">
        <v>2.6232409947782966</v>
      </c>
      <c r="E224" s="252">
        <v>21.293919815912897</v>
      </c>
      <c r="F224" s="252">
        <v>0</v>
      </c>
      <c r="G224" s="253">
        <f t="shared" si="73"/>
        <v>14.603062217895378</v>
      </c>
      <c r="H224" s="252">
        <v>6.3191432870165452</v>
      </c>
      <c r="I224" s="252">
        <v>8.2839189308788317</v>
      </c>
      <c r="J224" s="252">
        <v>0</v>
      </c>
      <c r="K224" s="220">
        <f t="shared" si="67"/>
        <v>5.8299085115697995</v>
      </c>
      <c r="L224" s="220">
        <f t="shared" si="68"/>
        <v>7.2376613497197813</v>
      </c>
      <c r="M224" s="219">
        <f t="shared" si="74"/>
        <v>0.63942602236134116</v>
      </c>
      <c r="N224" s="219">
        <f t="shared" si="75"/>
        <v>0.79382875372148565</v>
      </c>
      <c r="O224" s="219">
        <f t="shared" si="76"/>
        <v>5.190482489208458</v>
      </c>
      <c r="P224" s="219">
        <f t="shared" si="77"/>
        <v>6.4438325959982956</v>
      </c>
      <c r="Q224" s="219">
        <f t="shared" si="78"/>
        <v>0</v>
      </c>
      <c r="R224" s="219">
        <f t="shared" si="79"/>
        <v>0</v>
      </c>
      <c r="S224" s="220">
        <f t="shared" si="69"/>
        <v>3.5595578167888426</v>
      </c>
      <c r="T224" s="220">
        <f t="shared" si="70"/>
        <v>4.419087191769405</v>
      </c>
      <c r="U224" s="219">
        <f t="shared" si="80"/>
        <v>1.5403177461740809</v>
      </c>
      <c r="V224" s="219">
        <f t="shared" si="71"/>
        <v>1.9122595484383971</v>
      </c>
      <c r="W224" s="219">
        <f t="shared" si="81"/>
        <v>2.0192400706147615</v>
      </c>
      <c r="X224" s="219">
        <f t="shared" si="82"/>
        <v>2.5068276433310075</v>
      </c>
      <c r="Y224" s="219">
        <f t="shared" si="83"/>
        <v>0</v>
      </c>
      <c r="Z224" s="219">
        <f t="shared" si="84"/>
        <v>0</v>
      </c>
      <c r="AA224" s="232">
        <v>330454267684.37299</v>
      </c>
      <c r="AB224" s="239">
        <v>330.45426768437</v>
      </c>
      <c r="AC224" s="237">
        <v>410249333471.11688</v>
      </c>
      <c r="AD224" s="199">
        <v>410.24933347112</v>
      </c>
    </row>
    <row r="225" spans="1:30">
      <c r="A225" s="221" t="s">
        <v>539</v>
      </c>
      <c r="B225" s="215" t="s">
        <v>558</v>
      </c>
      <c r="C225" s="251">
        <f t="shared" si="72"/>
        <v>13.010613196640302</v>
      </c>
      <c r="D225" s="252">
        <v>2.1684355327733837</v>
      </c>
      <c r="E225" s="252">
        <v>10.842177663866918</v>
      </c>
      <c r="F225" s="252">
        <v>1.2554100452898538</v>
      </c>
      <c r="G225" s="253">
        <f t="shared" si="73"/>
        <v>13.124741382575744</v>
      </c>
      <c r="H225" s="252">
        <v>0</v>
      </c>
      <c r="I225" s="252">
        <v>13.124741382575744</v>
      </c>
      <c r="J225" s="252">
        <v>0</v>
      </c>
      <c r="K225" s="220">
        <f t="shared" si="67"/>
        <v>5.8510855648288631</v>
      </c>
      <c r="L225" s="220">
        <f t="shared" si="68"/>
        <v>3.8130146387031418</v>
      </c>
      <c r="M225" s="219">
        <f t="shared" si="74"/>
        <v>0.97518092747147722</v>
      </c>
      <c r="N225" s="219">
        <f t="shared" si="75"/>
        <v>0.63550243978385701</v>
      </c>
      <c r="O225" s="219">
        <f t="shared" si="76"/>
        <v>4.8759046373573858</v>
      </c>
      <c r="P225" s="219">
        <f t="shared" si="77"/>
        <v>3.1775121989192847</v>
      </c>
      <c r="Q225" s="219">
        <f t="shared" si="78"/>
        <v>0.56457843169401312</v>
      </c>
      <c r="R225" s="219">
        <f t="shared" si="79"/>
        <v>0.36792246513802251</v>
      </c>
      <c r="S225" s="220">
        <f t="shared" si="69"/>
        <v>5.9024108768010466</v>
      </c>
      <c r="T225" s="220">
        <f t="shared" si="70"/>
        <v>3.8464621355338715</v>
      </c>
      <c r="U225" s="219">
        <f t="shared" si="80"/>
        <v>0</v>
      </c>
      <c r="V225" s="219">
        <f t="shared" si="71"/>
        <v>0</v>
      </c>
      <c r="W225" s="219">
        <f t="shared" si="81"/>
        <v>5.9024108768010466</v>
      </c>
      <c r="X225" s="219">
        <f t="shared" si="82"/>
        <v>3.8464621355338715</v>
      </c>
      <c r="Y225" s="219">
        <f t="shared" si="83"/>
        <v>0</v>
      </c>
      <c r="Z225" s="219">
        <f t="shared" si="84"/>
        <v>0</v>
      </c>
      <c r="AA225" s="232">
        <v>341215925702.96198</v>
      </c>
      <c r="AB225" s="239">
        <v>341.21592570296002</v>
      </c>
      <c r="AC225" s="237">
        <v>222362381347.61981</v>
      </c>
      <c r="AD225" s="199">
        <v>222.36238134761999</v>
      </c>
    </row>
    <row r="226" spans="1:30">
      <c r="A226" s="221" t="s">
        <v>540</v>
      </c>
      <c r="B226" s="215" t="s">
        <v>558</v>
      </c>
      <c r="C226" s="251">
        <f t="shared" si="72"/>
        <v>4.6197248733241425</v>
      </c>
      <c r="D226" s="252">
        <v>0.28079327190109787</v>
      </c>
      <c r="E226" s="252">
        <v>4.3389316014230443</v>
      </c>
      <c r="F226" s="252">
        <v>0.6006120601465349</v>
      </c>
      <c r="G226" s="253">
        <f t="shared" si="73"/>
        <v>4.5823680163275764</v>
      </c>
      <c r="H226" s="252">
        <v>0</v>
      </c>
      <c r="I226" s="252">
        <v>4.5823680163275764</v>
      </c>
      <c r="J226" s="252">
        <v>0</v>
      </c>
      <c r="K226" s="220">
        <f t="shared" si="67"/>
        <v>4.6434500625741491</v>
      </c>
      <c r="L226" s="220">
        <f t="shared" si="68"/>
        <v>2.5423369882614839</v>
      </c>
      <c r="M226" s="219">
        <f t="shared" si="74"/>
        <v>0.28223532174143579</v>
      </c>
      <c r="N226" s="219">
        <f t="shared" si="75"/>
        <v>0.15452676096173151</v>
      </c>
      <c r="O226" s="219">
        <f t="shared" si="76"/>
        <v>4.3612147408327129</v>
      </c>
      <c r="P226" s="219">
        <f t="shared" si="77"/>
        <v>2.3878102272997523</v>
      </c>
      <c r="Q226" s="219">
        <f t="shared" si="78"/>
        <v>0.60369658036874452</v>
      </c>
      <c r="R226" s="219">
        <f t="shared" si="79"/>
        <v>0.33053012851991281</v>
      </c>
      <c r="S226" s="220">
        <f t="shared" si="69"/>
        <v>4.6059013546500216</v>
      </c>
      <c r="T226" s="220">
        <f t="shared" si="70"/>
        <v>2.5217786818878785</v>
      </c>
      <c r="U226" s="219">
        <f t="shared" si="80"/>
        <v>0</v>
      </c>
      <c r="V226" s="219">
        <f t="shared" si="71"/>
        <v>0</v>
      </c>
      <c r="W226" s="219">
        <f t="shared" si="81"/>
        <v>4.6059013546500216</v>
      </c>
      <c r="X226" s="219">
        <f t="shared" si="82"/>
        <v>2.5217786818878785</v>
      </c>
      <c r="Y226" s="219">
        <f t="shared" si="83"/>
        <v>0</v>
      </c>
      <c r="Z226" s="219">
        <f t="shared" si="84"/>
        <v>0</v>
      </c>
      <c r="AA226" s="232">
        <v>181711743748.14999</v>
      </c>
      <c r="AB226" s="239">
        <v>181.71174374815001</v>
      </c>
      <c r="AC226" s="237">
        <v>99489061173.693314</v>
      </c>
      <c r="AD226" s="199">
        <v>99.489061173690004</v>
      </c>
    </row>
    <row r="227" spans="1:30">
      <c r="A227" s="221" t="s">
        <v>541</v>
      </c>
      <c r="B227" s="215" t="s">
        <v>558</v>
      </c>
      <c r="C227" s="251">
        <f t="shared" si="72"/>
        <v>4.1790000000000003</v>
      </c>
      <c r="D227" s="252">
        <v>0.41199999999999998</v>
      </c>
      <c r="E227" s="252">
        <v>3.7670000000000003</v>
      </c>
      <c r="F227" s="252">
        <v>0.47399999999999998</v>
      </c>
      <c r="G227" s="253">
        <f t="shared" si="73"/>
        <v>3.5</v>
      </c>
      <c r="H227" s="252">
        <v>1</v>
      </c>
      <c r="I227" s="252">
        <v>2.5</v>
      </c>
      <c r="J227" s="252">
        <v>0</v>
      </c>
      <c r="K227" s="220">
        <f t="shared" si="67"/>
        <v>8.2887100758244721</v>
      </c>
      <c r="L227" s="220">
        <f t="shared" si="68"/>
        <v>5.4959820620927164</v>
      </c>
      <c r="M227" s="219">
        <f t="shared" si="74"/>
        <v>0.81716883255316641</v>
      </c>
      <c r="N227" s="219">
        <f t="shared" si="75"/>
        <v>0.54183886326446495</v>
      </c>
      <c r="O227" s="219">
        <f t="shared" si="76"/>
        <v>7.4715412432713055</v>
      </c>
      <c r="P227" s="219">
        <f t="shared" si="77"/>
        <v>4.9541431988282518</v>
      </c>
      <c r="Q227" s="219">
        <f t="shared" si="78"/>
        <v>0.94014084133543885</v>
      </c>
      <c r="R227" s="219">
        <f t="shared" si="79"/>
        <v>0.62337772132853486</v>
      </c>
      <c r="S227" s="220">
        <f t="shared" si="69"/>
        <v>6.9419682377089371</v>
      </c>
      <c r="T227" s="220">
        <f t="shared" si="70"/>
        <v>4.6030000520039493</v>
      </c>
      <c r="U227" s="219">
        <f t="shared" si="80"/>
        <v>1.9834194964882681</v>
      </c>
      <c r="V227" s="219">
        <f t="shared" si="71"/>
        <v>1.3151428720011284</v>
      </c>
      <c r="W227" s="219">
        <f t="shared" si="81"/>
        <v>4.9585487412206692</v>
      </c>
      <c r="X227" s="219">
        <f t="shared" si="82"/>
        <v>3.2878571800028213</v>
      </c>
      <c r="Y227" s="219">
        <f t="shared" si="83"/>
        <v>0</v>
      </c>
      <c r="Z227" s="219">
        <f t="shared" si="84"/>
        <v>0</v>
      </c>
      <c r="AA227" s="232">
        <v>76037366075.546799</v>
      </c>
      <c r="AB227" s="239">
        <v>76.037366075549997</v>
      </c>
      <c r="AC227" s="237">
        <v>50417977728.390221</v>
      </c>
      <c r="AD227" s="199">
        <v>50.417977728389999</v>
      </c>
    </row>
    <row r="228" spans="1:30">
      <c r="A228" s="221" t="s">
        <v>450</v>
      </c>
      <c r="B228" s="215" t="s">
        <v>558</v>
      </c>
      <c r="C228" s="251">
        <f t="shared" si="72"/>
        <v>22.474815922163589</v>
      </c>
      <c r="D228" s="252">
        <v>4.125811618561432</v>
      </c>
      <c r="E228" s="252">
        <v>18.349004303602158</v>
      </c>
      <c r="F228" s="252">
        <v>36.372286637317892</v>
      </c>
      <c r="G228" s="253">
        <f t="shared" si="73"/>
        <v>28.413813173092809</v>
      </c>
      <c r="H228" s="252">
        <v>1.2703156825570725</v>
      </c>
      <c r="I228" s="252">
        <v>27.143497490535736</v>
      </c>
      <c r="J228" s="252">
        <v>0</v>
      </c>
      <c r="K228" s="220">
        <f t="shared" si="67"/>
        <v>4.087658419220789</v>
      </c>
      <c r="L228" s="220">
        <f t="shared" si="68"/>
        <v>4.3137470638911193</v>
      </c>
      <c r="M228" s="219">
        <f t="shared" si="74"/>
        <v>0.75039140062990328</v>
      </c>
      <c r="N228" s="219">
        <f t="shared" si="75"/>
        <v>0.79189559626986727</v>
      </c>
      <c r="O228" s="219">
        <f t="shared" si="76"/>
        <v>3.3372670185908859</v>
      </c>
      <c r="P228" s="219">
        <f t="shared" si="77"/>
        <v>3.5218514676212522</v>
      </c>
      <c r="Q228" s="219">
        <f t="shared" si="78"/>
        <v>6.6152926108162537</v>
      </c>
      <c r="R228" s="219">
        <f t="shared" si="79"/>
        <v>6.9811848618527783</v>
      </c>
      <c r="S228" s="220">
        <f t="shared" si="69"/>
        <v>5.1678270932854131</v>
      </c>
      <c r="T228" s="220">
        <f t="shared" si="70"/>
        <v>5.4536599353637971</v>
      </c>
      <c r="U228" s="219">
        <f t="shared" si="80"/>
        <v>0.23104156282552288</v>
      </c>
      <c r="V228" s="219">
        <f t="shared" si="71"/>
        <v>0.24382048621993282</v>
      </c>
      <c r="W228" s="219">
        <f t="shared" si="81"/>
        <v>4.9367855304598907</v>
      </c>
      <c r="X228" s="219">
        <f t="shared" si="82"/>
        <v>5.209839449143864</v>
      </c>
      <c r="Y228" s="219">
        <f t="shared" si="83"/>
        <v>0</v>
      </c>
      <c r="Z228" s="219">
        <f t="shared" si="84"/>
        <v>0</v>
      </c>
      <c r="AA228" s="232">
        <v>521004490742.91901</v>
      </c>
      <c r="AB228" s="239">
        <v>521.00449074291998</v>
      </c>
      <c r="AC228" s="237">
        <v>549821281946.73523</v>
      </c>
      <c r="AD228" s="199">
        <v>549.82128194673999</v>
      </c>
    </row>
    <row r="229" spans="1:30">
      <c r="A229" s="221" t="s">
        <v>453</v>
      </c>
      <c r="B229" s="215" t="s">
        <v>558</v>
      </c>
      <c r="C229" s="251">
        <f t="shared" si="72"/>
        <v>58.18339975679261</v>
      </c>
      <c r="D229" s="252">
        <v>7.0384605142862338</v>
      </c>
      <c r="E229" s="252">
        <v>51.144939242506375</v>
      </c>
      <c r="F229" s="252">
        <v>0</v>
      </c>
      <c r="G229" s="253">
        <f t="shared" si="73"/>
        <v>46.626605480157366</v>
      </c>
      <c r="H229" s="252">
        <v>1.0651423296438005</v>
      </c>
      <c r="I229" s="252">
        <v>45.561463150513568</v>
      </c>
      <c r="J229" s="252">
        <v>0</v>
      </c>
      <c r="K229" s="220">
        <f t="shared" si="67"/>
        <v>7.787797870021719</v>
      </c>
      <c r="L229" s="220">
        <f t="shared" si="68"/>
        <v>9.8480026411718598</v>
      </c>
      <c r="M229" s="219">
        <f t="shared" si="74"/>
        <v>0.94209186865178052</v>
      </c>
      <c r="N229" s="219">
        <f t="shared" si="75"/>
        <v>1.1913153584048262</v>
      </c>
      <c r="O229" s="219">
        <f t="shared" si="76"/>
        <v>6.8457060013699387</v>
      </c>
      <c r="P229" s="219">
        <f t="shared" si="77"/>
        <v>8.6566872827670327</v>
      </c>
      <c r="Q229" s="219">
        <f t="shared" si="78"/>
        <v>0</v>
      </c>
      <c r="R229" s="219">
        <f t="shared" si="79"/>
        <v>0</v>
      </c>
      <c r="S229" s="220">
        <f t="shared" si="69"/>
        <v>6.2409309246718658</v>
      </c>
      <c r="T229" s="220">
        <f t="shared" si="70"/>
        <v>7.8919233980283412</v>
      </c>
      <c r="U229" s="219">
        <f t="shared" si="80"/>
        <v>0.14256838205989414</v>
      </c>
      <c r="V229" s="219">
        <f t="shared" si="71"/>
        <v>0.18028380121138413</v>
      </c>
      <c r="W229" s="219">
        <f t="shared" si="81"/>
        <v>6.0983625426119721</v>
      </c>
      <c r="X229" s="219">
        <f t="shared" si="82"/>
        <v>7.7116395968169567</v>
      </c>
      <c r="Y229" s="219">
        <f t="shared" si="83"/>
        <v>0</v>
      </c>
      <c r="Z229" s="219">
        <f t="shared" si="84"/>
        <v>0</v>
      </c>
      <c r="AA229" s="232">
        <v>590814217631.73499</v>
      </c>
      <c r="AB229" s="239">
        <v>590.81421763174001</v>
      </c>
      <c r="AC229" s="237">
        <v>747109782866.38879</v>
      </c>
      <c r="AD229" s="199">
        <v>747.10978286638999</v>
      </c>
    </row>
    <row r="230" spans="1:30">
      <c r="A230" s="217" t="s">
        <v>490</v>
      </c>
      <c r="B230" s="215" t="s">
        <v>558</v>
      </c>
      <c r="C230" s="251">
        <f t="shared" si="72"/>
        <v>35.638542855610027</v>
      </c>
      <c r="D230" s="252">
        <v>1.5165334699489497</v>
      </c>
      <c r="E230" s="252">
        <v>34.12200938566108</v>
      </c>
      <c r="F230" s="252">
        <v>3.2859281358385646</v>
      </c>
      <c r="G230" s="253">
        <f t="shared" si="73"/>
        <v>3.2859281358385646</v>
      </c>
      <c r="H230" s="252">
        <v>3.2859281358385646</v>
      </c>
      <c r="I230" s="252">
        <v>0</v>
      </c>
      <c r="J230" s="252">
        <v>3.0330682022598419</v>
      </c>
      <c r="K230" s="220">
        <f t="shared" si="67"/>
        <v>13.604602486815029</v>
      </c>
      <c r="L230" s="220">
        <f t="shared" si="68"/>
        <v>8.0760157020903112</v>
      </c>
      <c r="M230" s="219">
        <f t="shared" si="74"/>
        <v>0.5789191522278514</v>
      </c>
      <c r="N230" s="219">
        <f t="shared" si="75"/>
        <v>0.34366018177775415</v>
      </c>
      <c r="O230" s="219">
        <f t="shared" si="76"/>
        <v>13.025683334587178</v>
      </c>
      <c r="P230" s="219">
        <f t="shared" si="77"/>
        <v>7.7323555203125576</v>
      </c>
      <c r="Q230" s="219">
        <f t="shared" si="78"/>
        <v>1.2543651481330917</v>
      </c>
      <c r="R230" s="219">
        <f t="shared" si="79"/>
        <v>0.74462099442416596</v>
      </c>
      <c r="S230" s="220">
        <f t="shared" si="69"/>
        <v>1.2543651481330917</v>
      </c>
      <c r="T230" s="220">
        <f t="shared" si="70"/>
        <v>0.74462099442416596</v>
      </c>
      <c r="U230" s="219">
        <f t="shared" si="80"/>
        <v>1.2543651481330917</v>
      </c>
      <c r="V230" s="219">
        <f t="shared" si="71"/>
        <v>0.74462099442416596</v>
      </c>
      <c r="W230" s="219">
        <f t="shared" si="81"/>
        <v>0</v>
      </c>
      <c r="X230" s="219">
        <f t="shared" si="82"/>
        <v>0</v>
      </c>
      <c r="Y230" s="219">
        <f t="shared" si="83"/>
        <v>1.1578387863478075</v>
      </c>
      <c r="Z230" s="219">
        <f t="shared" si="84"/>
        <v>0.68732064961812622</v>
      </c>
      <c r="AA230" s="232">
        <v>441288677118.17102</v>
      </c>
      <c r="AB230" s="239">
        <v>441.28867711817003</v>
      </c>
      <c r="AC230" s="237">
        <v>261959457397.9639</v>
      </c>
      <c r="AD230" s="199">
        <v>261.95945739796002</v>
      </c>
    </row>
    <row r="231" spans="1:30">
      <c r="A231" s="217" t="s">
        <v>481</v>
      </c>
      <c r="B231" s="215" t="s">
        <v>558</v>
      </c>
      <c r="C231" s="251">
        <f t="shared" si="72"/>
        <v>12.777545498790493</v>
      </c>
      <c r="D231" s="252">
        <v>3.8881471755765187</v>
      </c>
      <c r="E231" s="252">
        <v>8.8893983232139746</v>
      </c>
      <c r="F231" s="252">
        <v>0.4819569618750838</v>
      </c>
      <c r="G231" s="253">
        <f t="shared" si="73"/>
        <v>15.583184846514998</v>
      </c>
      <c r="H231" s="252">
        <v>8.6584380487873194</v>
      </c>
      <c r="I231" s="252">
        <v>6.9247467977276784</v>
      </c>
      <c r="J231" s="252">
        <v>0</v>
      </c>
      <c r="K231" s="220">
        <f t="shared" si="67"/>
        <v>3.9755204117890228</v>
      </c>
      <c r="L231" s="220">
        <f t="shared" si="68"/>
        <v>1.8505599983039964</v>
      </c>
      <c r="M231" s="219">
        <f t="shared" si="74"/>
        <v>1.2097322182893004</v>
      </c>
      <c r="N231" s="219">
        <f t="shared" si="75"/>
        <v>0.56311672936884971</v>
      </c>
      <c r="O231" s="219">
        <f t="shared" si="76"/>
        <v>2.7657881934997226</v>
      </c>
      <c r="P231" s="219">
        <f t="shared" si="77"/>
        <v>1.2874432689351467</v>
      </c>
      <c r="Q231" s="219">
        <f t="shared" si="78"/>
        <v>0.14995287942583252</v>
      </c>
      <c r="R231" s="219">
        <f t="shared" si="79"/>
        <v>6.9801377317308677E-2</v>
      </c>
      <c r="S231" s="220">
        <f t="shared" si="69"/>
        <v>4.8484483537050211</v>
      </c>
      <c r="T231" s="220">
        <f t="shared" si="70"/>
        <v>2.2568981285073404</v>
      </c>
      <c r="U231" s="219">
        <f t="shared" si="80"/>
        <v>2.6939287518422872</v>
      </c>
      <c r="V231" s="219">
        <f t="shared" si="71"/>
        <v>1.2539935077825262</v>
      </c>
      <c r="W231" s="219">
        <f t="shared" si="81"/>
        <v>2.1545196018627339</v>
      </c>
      <c r="X231" s="219">
        <f t="shared" si="82"/>
        <v>1.0029046207248142</v>
      </c>
      <c r="Y231" s="219">
        <f t="shared" si="83"/>
        <v>0</v>
      </c>
      <c r="Z231" s="219">
        <f t="shared" si="84"/>
        <v>0</v>
      </c>
      <c r="AA231" s="232">
        <v>690469128831.32397</v>
      </c>
      <c r="AB231" s="239">
        <v>690.46912883131995</v>
      </c>
      <c r="AC231" s="237">
        <v>321405606694.9129</v>
      </c>
      <c r="AD231" s="199">
        <v>321.40560669490998</v>
      </c>
    </row>
    <row r="232" spans="1:30">
      <c r="A232" s="217" t="s">
        <v>542</v>
      </c>
      <c r="B232" s="215" t="s">
        <v>558</v>
      </c>
      <c r="C232" s="251">
        <f t="shared" si="72"/>
        <v>0.85465337395785701</v>
      </c>
      <c r="D232" s="252">
        <v>0.2</v>
      </c>
      <c r="E232" s="252">
        <v>0.65465337395785705</v>
      </c>
      <c r="F232" s="252">
        <v>0</v>
      </c>
      <c r="G232" s="253">
        <f t="shared" si="73"/>
        <v>0</v>
      </c>
      <c r="H232" s="252">
        <v>0</v>
      </c>
      <c r="I232" s="252">
        <v>0</v>
      </c>
      <c r="J232" s="252">
        <v>0</v>
      </c>
      <c r="K232" s="220">
        <f t="shared" si="67"/>
        <v>1.3274623554488709</v>
      </c>
      <c r="L232" s="220">
        <f t="shared" si="68"/>
        <v>0.93677595096876765</v>
      </c>
      <c r="M232" s="219">
        <f t="shared" si="74"/>
        <v>0.3106434481856567</v>
      </c>
      <c r="N232" s="219">
        <f t="shared" si="75"/>
        <v>0.21921775061405427</v>
      </c>
      <c r="O232" s="219">
        <f t="shared" si="76"/>
        <v>1.0168189072632143</v>
      </c>
      <c r="P232" s="219">
        <f t="shared" si="77"/>
        <v>0.7175582003547134</v>
      </c>
      <c r="Q232" s="219">
        <f t="shared" si="78"/>
        <v>0</v>
      </c>
      <c r="R232" s="219">
        <f t="shared" si="79"/>
        <v>0</v>
      </c>
      <c r="S232" s="220">
        <f t="shared" si="69"/>
        <v>0</v>
      </c>
      <c r="T232" s="220">
        <f t="shared" si="70"/>
        <v>0</v>
      </c>
      <c r="U232" s="219">
        <f t="shared" si="80"/>
        <v>0</v>
      </c>
      <c r="V232" s="219">
        <f t="shared" si="71"/>
        <v>0</v>
      </c>
      <c r="W232" s="219">
        <f t="shared" si="81"/>
        <v>0</v>
      </c>
      <c r="X232" s="219">
        <f t="shared" si="82"/>
        <v>0</v>
      </c>
      <c r="Y232" s="219">
        <f t="shared" si="83"/>
        <v>0</v>
      </c>
      <c r="Z232" s="219">
        <f t="shared" si="84"/>
        <v>0</v>
      </c>
      <c r="AA232" s="232">
        <v>91233487908.610901</v>
      </c>
      <c r="AB232" s="239">
        <v>91.233487908610002</v>
      </c>
      <c r="AC232" s="237">
        <v>64382494196.515457</v>
      </c>
      <c r="AD232" s="199">
        <v>64.38249419652</v>
      </c>
    </row>
    <row r="233" spans="1:30">
      <c r="A233" s="217" t="s">
        <v>543</v>
      </c>
      <c r="B233" s="215" t="s">
        <v>558</v>
      </c>
      <c r="C233" s="251">
        <f t="shared" si="72"/>
        <v>16.289137328326046</v>
      </c>
      <c r="D233" s="252">
        <v>7.0357904306323586</v>
      </c>
      <c r="E233" s="252">
        <v>9.253346897693687</v>
      </c>
      <c r="F233" s="252">
        <v>0</v>
      </c>
      <c r="G233" s="253">
        <f t="shared" si="73"/>
        <v>6.4935767703113596</v>
      </c>
      <c r="H233" s="252">
        <v>0</v>
      </c>
      <c r="I233" s="252">
        <v>6.4935767703113596</v>
      </c>
      <c r="J233" s="252">
        <v>0</v>
      </c>
      <c r="K233" s="220">
        <f t="shared" si="67"/>
        <v>11.052176741838952</v>
      </c>
      <c r="L233" s="220">
        <f t="shared" si="68"/>
        <v>5.2564567804014075</v>
      </c>
      <c r="M233" s="219">
        <f t="shared" si="74"/>
        <v>4.7737825392794528</v>
      </c>
      <c r="N233" s="219">
        <f t="shared" si="75"/>
        <v>2.2704289103308453</v>
      </c>
      <c r="O233" s="219">
        <f t="shared" si="76"/>
        <v>6.2783942025595003</v>
      </c>
      <c r="P233" s="219">
        <f t="shared" si="77"/>
        <v>2.9860278700705623</v>
      </c>
      <c r="Q233" s="219">
        <f t="shared" si="78"/>
        <v>0</v>
      </c>
      <c r="R233" s="219">
        <f t="shared" si="79"/>
        <v>0</v>
      </c>
      <c r="S233" s="220">
        <f t="shared" si="69"/>
        <v>4.4058906684628081</v>
      </c>
      <c r="T233" s="220">
        <f t="shared" si="70"/>
        <v>2.095458154435482</v>
      </c>
      <c r="U233" s="219">
        <f t="shared" si="80"/>
        <v>0</v>
      </c>
      <c r="V233" s="219">
        <f t="shared" si="71"/>
        <v>0</v>
      </c>
      <c r="W233" s="219">
        <f t="shared" si="81"/>
        <v>4.4058906684628081</v>
      </c>
      <c r="X233" s="219">
        <f t="shared" si="82"/>
        <v>2.095458154435482</v>
      </c>
      <c r="Y233" s="219">
        <f t="shared" si="83"/>
        <v>0</v>
      </c>
      <c r="Z233" s="219">
        <f t="shared" si="84"/>
        <v>0</v>
      </c>
      <c r="AA233" s="232">
        <v>309888162479.70697</v>
      </c>
      <c r="AB233" s="239">
        <v>309.88816247970999</v>
      </c>
      <c r="AC233" s="237">
        <v>147383974295.86609</v>
      </c>
      <c r="AD233" s="199">
        <v>147.38397429586999</v>
      </c>
    </row>
    <row r="234" spans="1:30">
      <c r="A234" s="217" t="s">
        <v>487</v>
      </c>
      <c r="B234" s="215" t="s">
        <v>558</v>
      </c>
      <c r="C234" s="251">
        <f t="shared" si="72"/>
        <v>38.516359409090974</v>
      </c>
      <c r="D234" s="252">
        <v>3.7695771192652283</v>
      </c>
      <c r="E234" s="252">
        <v>34.746782289825745</v>
      </c>
      <c r="F234" s="252">
        <v>0</v>
      </c>
      <c r="G234" s="253">
        <f t="shared" si="73"/>
        <v>28.720587575354124</v>
      </c>
      <c r="H234" s="252">
        <v>9.7444850702094339</v>
      </c>
      <c r="I234" s="252">
        <v>18.976102505144688</v>
      </c>
      <c r="J234" s="252">
        <v>0</v>
      </c>
      <c r="K234" s="220">
        <f t="shared" si="67"/>
        <v>6.7394836974641494</v>
      </c>
      <c r="L234" s="220">
        <f t="shared" si="68"/>
        <v>3.168967804681333</v>
      </c>
      <c r="M234" s="219">
        <f t="shared" si="74"/>
        <v>0.65958994908603863</v>
      </c>
      <c r="N234" s="219">
        <f t="shared" si="75"/>
        <v>0.3101453177684127</v>
      </c>
      <c r="O234" s="219">
        <f t="shared" si="76"/>
        <v>6.0798937483781108</v>
      </c>
      <c r="P234" s="219">
        <f t="shared" si="77"/>
        <v>2.8588224869129202</v>
      </c>
      <c r="Q234" s="219">
        <f t="shared" si="78"/>
        <v>0</v>
      </c>
      <c r="R234" s="219">
        <f t="shared" si="79"/>
        <v>0</v>
      </c>
      <c r="S234" s="220">
        <f t="shared" si="69"/>
        <v>5.0254472311317233</v>
      </c>
      <c r="T234" s="220">
        <f t="shared" si="70"/>
        <v>2.3630119449021922</v>
      </c>
      <c r="U234" s="219">
        <f t="shared" si="80"/>
        <v>1.7050624534196916</v>
      </c>
      <c r="V234" s="219">
        <f t="shared" si="71"/>
        <v>0.8017361955918153</v>
      </c>
      <c r="W234" s="219">
        <f t="shared" si="81"/>
        <v>3.3203847777120314</v>
      </c>
      <c r="X234" s="219">
        <f t="shared" si="82"/>
        <v>1.561275749310377</v>
      </c>
      <c r="Y234" s="219">
        <f t="shared" si="83"/>
        <v>0</v>
      </c>
      <c r="Z234" s="219">
        <f t="shared" si="84"/>
        <v>0</v>
      </c>
      <c r="AA234" s="232">
        <v>1215422868992.01</v>
      </c>
      <c r="AB234" s="239">
        <v>1215.4228689920101</v>
      </c>
      <c r="AC234" s="237">
        <v>571503117124.28699</v>
      </c>
      <c r="AD234" s="199">
        <v>571.50311712429004</v>
      </c>
    </row>
    <row r="235" spans="1:30">
      <c r="A235" s="217"/>
      <c r="B235" s="215"/>
      <c r="C235" s="218"/>
      <c r="D235" s="248"/>
      <c r="E235" s="248"/>
      <c r="F235" s="248"/>
      <c r="G235" s="220"/>
      <c r="H235" s="248"/>
      <c r="I235" s="248"/>
      <c r="J235" s="248"/>
      <c r="K235" s="220"/>
      <c r="L235" s="220"/>
      <c r="M235" s="219"/>
      <c r="N235" s="219"/>
      <c r="O235" s="219"/>
      <c r="P235" s="219"/>
      <c r="Q235" s="219"/>
      <c r="R235" s="219"/>
      <c r="S235" s="220"/>
      <c r="T235" s="220"/>
      <c r="U235" s="219"/>
      <c r="V235" s="219"/>
      <c r="W235" s="219"/>
      <c r="X235" s="219"/>
      <c r="Y235" s="219"/>
      <c r="Z235" s="219"/>
      <c r="AA235" s="238"/>
      <c r="AB235" s="239"/>
      <c r="AC235" s="237"/>
    </row>
    <row r="236" spans="1:30">
      <c r="A236" s="217" t="s">
        <v>461</v>
      </c>
      <c r="B236" s="215" t="s">
        <v>558</v>
      </c>
      <c r="C236" s="218">
        <f t="shared" si="72"/>
        <v>249.72579708899616</v>
      </c>
      <c r="D236" s="224">
        <v>13.808448829914081</v>
      </c>
      <c r="E236" s="224">
        <v>235.91734825908208</v>
      </c>
      <c r="F236" s="224">
        <v>0</v>
      </c>
      <c r="G236" s="220">
        <f t="shared" si="73"/>
        <v>24.164785452349641</v>
      </c>
      <c r="H236" s="224">
        <v>10.356336622435562</v>
      </c>
      <c r="I236" s="224">
        <v>13.808448829914079</v>
      </c>
      <c r="J236" s="224">
        <v>0</v>
      </c>
      <c r="K236" s="220">
        <f t="shared" ref="K236:K273" si="85">M236+O236</f>
        <v>16.706599322040006</v>
      </c>
      <c r="L236" s="220">
        <f t="shared" ref="L236:L273" si="86">N236+P236</f>
        <v>20.360586789391007</v>
      </c>
      <c r="M236" s="219">
        <f t="shared" si="74"/>
        <v>0.92378210240752034</v>
      </c>
      <c r="N236" s="219">
        <f t="shared" si="75"/>
        <v>1.1258273038092899</v>
      </c>
      <c r="O236" s="219">
        <f t="shared" si="76"/>
        <v>15.782817219632486</v>
      </c>
      <c r="P236" s="219">
        <f t="shared" si="77"/>
        <v>19.234759485581719</v>
      </c>
      <c r="Q236" s="219">
        <f t="shared" si="78"/>
        <v>0</v>
      </c>
      <c r="R236" s="219">
        <f t="shared" si="79"/>
        <v>0</v>
      </c>
      <c r="S236" s="220">
        <f t="shared" ref="S236:S273" si="87">U236+W236</f>
        <v>1.6166186792131607</v>
      </c>
      <c r="T236" s="220">
        <f t="shared" ref="T236:T273" si="88">V236+X236</f>
        <v>1.9701977816662573</v>
      </c>
      <c r="U236" s="219">
        <f t="shared" si="80"/>
        <v>0.69283657680564037</v>
      </c>
      <c r="V236" s="219">
        <f t="shared" ref="V236:V273" si="89">($H236/AB236)*100</f>
        <v>0.84437047785696751</v>
      </c>
      <c r="W236" s="219">
        <f t="shared" si="81"/>
        <v>0.92378210240752023</v>
      </c>
      <c r="X236" s="219">
        <f t="shared" si="82"/>
        <v>1.1258273038092899</v>
      </c>
      <c r="Y236" s="219">
        <f t="shared" si="83"/>
        <v>0</v>
      </c>
      <c r="Z236" s="219">
        <f t="shared" si="84"/>
        <v>0</v>
      </c>
      <c r="AA236" s="232">
        <v>1226515717214.5801</v>
      </c>
      <c r="AB236" s="239">
        <v>1226.51571721458</v>
      </c>
      <c r="AC236" s="237">
        <v>1494773366351.988</v>
      </c>
      <c r="AD236" s="199">
        <v>1494.77336635199</v>
      </c>
    </row>
    <row r="237" spans="1:30">
      <c r="A237" s="217" t="s">
        <v>459</v>
      </c>
      <c r="B237" s="215" t="s">
        <v>558</v>
      </c>
      <c r="C237" s="218">
        <f t="shared" si="72"/>
        <v>261.78973301959445</v>
      </c>
      <c r="D237" s="224">
        <v>45.632388666474455</v>
      </c>
      <c r="E237" s="224">
        <v>216.15734435311998</v>
      </c>
      <c r="F237" s="224">
        <v>68.027303732528338</v>
      </c>
      <c r="G237" s="220">
        <f t="shared" si="73"/>
        <v>64.944134850488979</v>
      </c>
      <c r="H237" s="224">
        <v>3.8772617821187447</v>
      </c>
      <c r="I237" s="224">
        <v>61.066873068370228</v>
      </c>
      <c r="J237" s="224">
        <v>0</v>
      </c>
      <c r="K237" s="220">
        <f t="shared" si="85"/>
        <v>15.43021028133305</v>
      </c>
      <c r="L237" s="220">
        <f t="shared" si="86"/>
        <v>15.189529015984853</v>
      </c>
      <c r="M237" s="219">
        <f t="shared" si="74"/>
        <v>2.689629362624844</v>
      </c>
      <c r="N237" s="219">
        <f t="shared" si="75"/>
        <v>2.6476763764690205</v>
      </c>
      <c r="O237" s="219">
        <f t="shared" si="76"/>
        <v>12.740580918708206</v>
      </c>
      <c r="P237" s="219">
        <f t="shared" si="77"/>
        <v>12.541852639515833</v>
      </c>
      <c r="Q237" s="219">
        <f t="shared" si="78"/>
        <v>4.0096133234776588</v>
      </c>
      <c r="R237" s="219">
        <f t="shared" si="79"/>
        <v>3.9470711551820608</v>
      </c>
      <c r="S237" s="220">
        <f t="shared" si="87"/>
        <v>3.8278875405984296</v>
      </c>
      <c r="T237" s="220">
        <f t="shared" si="88"/>
        <v>3.7681799410204526</v>
      </c>
      <c r="U237" s="219">
        <f t="shared" si="80"/>
        <v>0.22853059943871226</v>
      </c>
      <c r="V237" s="219">
        <f t="shared" si="89"/>
        <v>0.22496596662808674</v>
      </c>
      <c r="W237" s="219">
        <f t="shared" si="81"/>
        <v>3.5993569411597175</v>
      </c>
      <c r="X237" s="219">
        <f t="shared" si="82"/>
        <v>3.5432139743923661</v>
      </c>
      <c r="Y237" s="219">
        <f t="shared" si="83"/>
        <v>0</v>
      </c>
      <c r="Z237" s="219">
        <f t="shared" si="84"/>
        <v>0</v>
      </c>
      <c r="AA237" s="232">
        <v>1723488152556.26</v>
      </c>
      <c r="AB237" s="239">
        <v>1723.48815255626</v>
      </c>
      <c r="AC237" s="237">
        <v>1696605089927.3779</v>
      </c>
      <c r="AD237" s="199">
        <v>1696.60508992738</v>
      </c>
    </row>
    <row r="238" spans="1:30">
      <c r="A238" s="217" t="s">
        <v>457</v>
      </c>
      <c r="B238" s="215" t="s">
        <v>558</v>
      </c>
      <c r="C238" s="218">
        <f t="shared" si="72"/>
        <v>252.88463784604201</v>
      </c>
      <c r="D238" s="224">
        <v>38.633570180174964</v>
      </c>
      <c r="E238" s="224">
        <v>214.25106766586705</v>
      </c>
      <c r="F238" s="224">
        <v>79.204517036051911</v>
      </c>
      <c r="G238" s="220">
        <f t="shared" si="73"/>
        <v>399.21355852847461</v>
      </c>
      <c r="H238" s="224">
        <v>18.006206750642018</v>
      </c>
      <c r="I238" s="224">
        <v>381.20735177783257</v>
      </c>
      <c r="J238" s="224">
        <v>0</v>
      </c>
      <c r="K238" s="220">
        <f t="shared" si="85"/>
        <v>9.6638425269762749</v>
      </c>
      <c r="L238" s="220">
        <f t="shared" si="86"/>
        <v>8.6988918855390054</v>
      </c>
      <c r="M238" s="219">
        <f t="shared" si="74"/>
        <v>1.4763598993442799</v>
      </c>
      <c r="N238" s="219">
        <f t="shared" si="75"/>
        <v>1.3289429243793252</v>
      </c>
      <c r="O238" s="219">
        <f t="shared" si="76"/>
        <v>8.1874826276319954</v>
      </c>
      <c r="P238" s="219">
        <f t="shared" si="77"/>
        <v>7.3699489611596798</v>
      </c>
      <c r="Q238" s="219">
        <f t="shared" si="78"/>
        <v>3.0267555458533173</v>
      </c>
      <c r="R238" s="219">
        <f t="shared" si="79"/>
        <v>2.7245290042584984</v>
      </c>
      <c r="S238" s="220">
        <f t="shared" si="87"/>
        <v>15.25571895989089</v>
      </c>
      <c r="T238" s="220">
        <f t="shared" si="88"/>
        <v>13.732410218586359</v>
      </c>
      <c r="U238" s="219">
        <f t="shared" si="80"/>
        <v>0.68809694423715706</v>
      </c>
      <c r="V238" s="219">
        <f t="shared" si="89"/>
        <v>0.61938932758682408</v>
      </c>
      <c r="W238" s="219">
        <f t="shared" si="81"/>
        <v>14.567622015653733</v>
      </c>
      <c r="X238" s="219">
        <f t="shared" si="82"/>
        <v>13.113020890999536</v>
      </c>
      <c r="Y238" s="219">
        <f t="shared" si="83"/>
        <v>0</v>
      </c>
      <c r="Z238" s="219">
        <f t="shared" si="84"/>
        <v>0</v>
      </c>
      <c r="AA238" s="232">
        <v>2907090249810.2798</v>
      </c>
      <c r="AB238" s="239">
        <v>2907.0902498102801</v>
      </c>
      <c r="AC238" s="237">
        <v>2616812485718.0068</v>
      </c>
      <c r="AD238" s="199">
        <v>2616.8124857180101</v>
      </c>
    </row>
    <row r="239" spans="1:30">
      <c r="A239" s="217" t="s">
        <v>458</v>
      </c>
      <c r="B239" s="215" t="s">
        <v>558</v>
      </c>
      <c r="C239" s="218">
        <f t="shared" si="72"/>
        <v>588.90143942687689</v>
      </c>
      <c r="D239" s="224">
        <v>69.618193420619164</v>
      </c>
      <c r="E239" s="224">
        <v>519.28324600625774</v>
      </c>
      <c r="F239" s="224">
        <v>0</v>
      </c>
      <c r="G239" s="220">
        <f t="shared" si="73"/>
        <v>1057.9682836215404</v>
      </c>
      <c r="H239" s="224">
        <v>114.12818593544125</v>
      </c>
      <c r="I239" s="224">
        <v>943.84009768609917</v>
      </c>
      <c r="J239" s="224">
        <v>0</v>
      </c>
      <c r="K239" s="220">
        <f t="shared" si="85"/>
        <v>16.37057240652236</v>
      </c>
      <c r="L239" s="220">
        <f t="shared" si="86"/>
        <v>14.150213902832794</v>
      </c>
      <c r="M239" s="219">
        <f t="shared" si="74"/>
        <v>1.9352808465074884</v>
      </c>
      <c r="N239" s="219">
        <f t="shared" si="75"/>
        <v>1.6727966047922489</v>
      </c>
      <c r="O239" s="219">
        <f t="shared" si="76"/>
        <v>14.435291560014873</v>
      </c>
      <c r="P239" s="219">
        <f t="shared" si="77"/>
        <v>12.477417298040546</v>
      </c>
      <c r="Q239" s="219">
        <f t="shared" si="78"/>
        <v>0</v>
      </c>
      <c r="R239" s="219">
        <f t="shared" si="79"/>
        <v>0</v>
      </c>
      <c r="S239" s="220">
        <f t="shared" si="87"/>
        <v>29.409923683810518</v>
      </c>
      <c r="T239" s="220">
        <f t="shared" si="88"/>
        <v>25.421023813810081</v>
      </c>
      <c r="U239" s="219">
        <f t="shared" si="80"/>
        <v>3.1725915516516197</v>
      </c>
      <c r="V239" s="219">
        <f t="shared" si="89"/>
        <v>2.7422895160528671</v>
      </c>
      <c r="W239" s="219">
        <f t="shared" si="81"/>
        <v>26.237332132158897</v>
      </c>
      <c r="X239" s="219">
        <f t="shared" si="82"/>
        <v>22.678734297757213</v>
      </c>
      <c r="Y239" s="219">
        <f t="shared" si="83"/>
        <v>0</v>
      </c>
      <c r="Z239" s="219">
        <f t="shared" si="84"/>
        <v>0</v>
      </c>
      <c r="AA239" s="232">
        <v>4161784715558.1299</v>
      </c>
      <c r="AB239" s="239">
        <v>4161.7847155581303</v>
      </c>
      <c r="AC239" s="237">
        <v>3597317337494.2358</v>
      </c>
      <c r="AD239" s="199">
        <v>3597.3173374942398</v>
      </c>
    </row>
    <row r="240" spans="1:30">
      <c r="A240" s="217" t="s">
        <v>455</v>
      </c>
      <c r="B240" s="215" t="s">
        <v>558</v>
      </c>
      <c r="C240" s="218">
        <f t="shared" si="72"/>
        <v>205.43073468379427</v>
      </c>
      <c r="D240" s="224">
        <v>22.825637187088251</v>
      </c>
      <c r="E240" s="224">
        <v>182.60509749670601</v>
      </c>
      <c r="F240" s="224">
        <v>7.9889730154808873</v>
      </c>
      <c r="G240" s="220">
        <f t="shared" si="73"/>
        <v>664.51136260910675</v>
      </c>
      <c r="H240" s="224">
        <v>3.7091660429018405</v>
      </c>
      <c r="I240" s="224">
        <v>660.80219656620488</v>
      </c>
      <c r="J240" s="224">
        <v>0</v>
      </c>
      <c r="K240" s="220">
        <f t="shared" si="85"/>
        <v>10.709794274584462</v>
      </c>
      <c r="L240" s="220">
        <f t="shared" si="86"/>
        <v>8.787879797149678</v>
      </c>
      <c r="M240" s="219">
        <f t="shared" si="74"/>
        <v>1.1899771416204958</v>
      </c>
      <c r="N240" s="219">
        <f t="shared" si="75"/>
        <v>0.97643108857218652</v>
      </c>
      <c r="O240" s="219">
        <f t="shared" si="76"/>
        <v>9.5198171329639667</v>
      </c>
      <c r="P240" s="219">
        <f t="shared" si="77"/>
        <v>7.8114487085774922</v>
      </c>
      <c r="Q240" s="219">
        <f t="shared" si="78"/>
        <v>0.41649199956717348</v>
      </c>
      <c r="R240" s="219">
        <f t="shared" si="79"/>
        <v>0.34175088100026529</v>
      </c>
      <c r="S240" s="220">
        <f t="shared" si="87"/>
        <v>34.643209535426678</v>
      </c>
      <c r="T240" s="220">
        <f t="shared" si="88"/>
        <v>28.426350066057783</v>
      </c>
      <c r="U240" s="219">
        <f t="shared" si="80"/>
        <v>0.19337128551333052</v>
      </c>
      <c r="V240" s="219">
        <f t="shared" si="89"/>
        <v>0.15867005189298031</v>
      </c>
      <c r="W240" s="219">
        <f t="shared" si="81"/>
        <v>34.449838249913348</v>
      </c>
      <c r="X240" s="219">
        <f t="shared" si="82"/>
        <v>28.267680014164803</v>
      </c>
      <c r="Y240" s="219">
        <f t="shared" si="83"/>
        <v>0</v>
      </c>
      <c r="Z240" s="219">
        <f t="shared" si="84"/>
        <v>0</v>
      </c>
      <c r="AA240" s="232">
        <v>2337659815857.1201</v>
      </c>
      <c r="AB240" s="239">
        <v>2337.6598158571201</v>
      </c>
      <c r="AC240" s="237">
        <v>1918157617381.1699</v>
      </c>
      <c r="AD240" s="199">
        <v>1918.15761738117</v>
      </c>
    </row>
    <row r="241" spans="1:30">
      <c r="A241" s="217" t="s">
        <v>460</v>
      </c>
      <c r="B241" s="215" t="s">
        <v>558</v>
      </c>
      <c r="C241" s="218">
        <f t="shared" si="72"/>
        <v>843.83378600861022</v>
      </c>
      <c r="D241" s="224">
        <v>104.89387795001592</v>
      </c>
      <c r="E241" s="224">
        <v>738.93990805859426</v>
      </c>
      <c r="F241" s="224">
        <v>27.16002196920055</v>
      </c>
      <c r="G241" s="220">
        <f t="shared" si="73"/>
        <v>147.0387396263616</v>
      </c>
      <c r="H241" s="224">
        <v>0</v>
      </c>
      <c r="I241" s="224">
        <v>147.0387396263616</v>
      </c>
      <c r="J241" s="224">
        <v>1282.1403474426052</v>
      </c>
      <c r="K241" s="220">
        <f t="shared" si="85"/>
        <v>18.487561472512532</v>
      </c>
      <c r="L241" s="220">
        <f t="shared" si="86"/>
        <v>15.84708363425969</v>
      </c>
      <c r="M241" s="219">
        <f t="shared" si="74"/>
        <v>2.2981208489693707</v>
      </c>
      <c r="N241" s="219">
        <f t="shared" si="75"/>
        <v>1.9698927492087519</v>
      </c>
      <c r="O241" s="219">
        <f t="shared" si="76"/>
        <v>16.18944062354316</v>
      </c>
      <c r="P241" s="219">
        <f t="shared" si="77"/>
        <v>13.877190885050938</v>
      </c>
      <c r="Q241" s="219">
        <f t="shared" si="78"/>
        <v>0.59504914839385492</v>
      </c>
      <c r="R241" s="219">
        <f t="shared" si="79"/>
        <v>0.51006151542012323</v>
      </c>
      <c r="S241" s="220">
        <f t="shared" si="87"/>
        <v>3.2214729757874219</v>
      </c>
      <c r="T241" s="220">
        <f t="shared" si="88"/>
        <v>2.7613675145158392</v>
      </c>
      <c r="U241" s="219">
        <f t="shared" si="80"/>
        <v>0</v>
      </c>
      <c r="V241" s="219">
        <f t="shared" si="89"/>
        <v>0</v>
      </c>
      <c r="W241" s="219">
        <f t="shared" si="81"/>
        <v>3.2214729757874219</v>
      </c>
      <c r="X241" s="219">
        <f t="shared" si="82"/>
        <v>2.7613675145158392</v>
      </c>
      <c r="Y241" s="219">
        <f t="shared" si="83"/>
        <v>28.090423591420254</v>
      </c>
      <c r="Z241" s="219">
        <f t="shared" si="84"/>
        <v>24.078421193453401</v>
      </c>
      <c r="AA241" s="232">
        <v>5324852228231.6504</v>
      </c>
      <c r="AB241" s="239">
        <v>5324.8522282316499</v>
      </c>
      <c r="AC241" s="237">
        <v>4564332550094.4502</v>
      </c>
      <c r="AD241" s="199">
        <v>4564.3325500944502</v>
      </c>
    </row>
    <row r="242" spans="1:30">
      <c r="A242" s="217" t="s">
        <v>448</v>
      </c>
      <c r="B242" s="215" t="s">
        <v>558</v>
      </c>
      <c r="C242" s="218">
        <f t="shared" si="72"/>
        <v>104.83004568682563</v>
      </c>
      <c r="D242" s="224">
        <v>11.949099791303487</v>
      </c>
      <c r="E242" s="224">
        <v>92.880945895522146</v>
      </c>
      <c r="F242" s="224">
        <v>27.965978234965611</v>
      </c>
      <c r="G242" s="220">
        <f t="shared" si="73"/>
        <v>60.08448051088066</v>
      </c>
      <c r="H242" s="224">
        <v>0</v>
      </c>
      <c r="I242" s="224">
        <v>60.08448051088066</v>
      </c>
      <c r="J242" s="224">
        <v>105.93173573850609</v>
      </c>
      <c r="K242" s="220">
        <f t="shared" si="85"/>
        <v>6.3993065478290871</v>
      </c>
      <c r="L242" s="220">
        <f t="shared" si="86"/>
        <v>4.8610304710188492</v>
      </c>
      <c r="M242" s="219">
        <f t="shared" si="74"/>
        <v>0.72942782800638739</v>
      </c>
      <c r="N242" s="219">
        <f t="shared" si="75"/>
        <v>0.55408673921880169</v>
      </c>
      <c r="O242" s="219">
        <f t="shared" si="76"/>
        <v>5.6698787198226999</v>
      </c>
      <c r="P242" s="219">
        <f t="shared" si="77"/>
        <v>4.3069437318000476</v>
      </c>
      <c r="Q242" s="219">
        <f t="shared" si="78"/>
        <v>1.7071715123553752</v>
      </c>
      <c r="R242" s="219">
        <f t="shared" si="79"/>
        <v>1.2967987513631529</v>
      </c>
      <c r="S242" s="220">
        <f t="shared" si="87"/>
        <v>3.6678321280604878</v>
      </c>
      <c r="T242" s="220">
        <f t="shared" si="88"/>
        <v>2.7861524688378045</v>
      </c>
      <c r="U242" s="219">
        <f t="shared" si="80"/>
        <v>0</v>
      </c>
      <c r="V242" s="219">
        <f t="shared" si="89"/>
        <v>0</v>
      </c>
      <c r="W242" s="219">
        <f t="shared" si="81"/>
        <v>3.6678321280604878</v>
      </c>
      <c r="X242" s="219">
        <f t="shared" si="82"/>
        <v>2.7861524688378045</v>
      </c>
      <c r="Y242" s="219">
        <f t="shared" si="83"/>
        <v>6.4665587589218756</v>
      </c>
      <c r="Z242" s="219">
        <f t="shared" si="84"/>
        <v>4.9121164824361854</v>
      </c>
      <c r="AA242" s="232">
        <v>2156539571430.7</v>
      </c>
      <c r="AB242" s="239">
        <v>2156.5395714307001</v>
      </c>
      <c r="AC242" s="237">
        <v>1638146960195.0569</v>
      </c>
      <c r="AD242" s="199">
        <v>1638.14696019506</v>
      </c>
    </row>
    <row r="243" spans="1:30">
      <c r="A243" s="217" t="s">
        <v>449</v>
      </c>
      <c r="B243" s="215" t="s">
        <v>558</v>
      </c>
      <c r="C243" s="218">
        <f t="shared" si="72"/>
        <v>107.45168705821794</v>
      </c>
      <c r="D243" s="224">
        <v>21.924024518198266</v>
      </c>
      <c r="E243" s="224">
        <v>85.527662540019676</v>
      </c>
      <c r="F243" s="224">
        <v>5.1357683670948562E-2</v>
      </c>
      <c r="G243" s="220">
        <f t="shared" si="73"/>
        <v>172.60632712690199</v>
      </c>
      <c r="H243" s="224">
        <v>0.72927910812746966</v>
      </c>
      <c r="I243" s="224">
        <v>171.87704801877453</v>
      </c>
      <c r="J243" s="224">
        <v>11.412818593544126</v>
      </c>
      <c r="K243" s="220">
        <f t="shared" si="85"/>
        <v>8.1161859931574725</v>
      </c>
      <c r="L243" s="220">
        <f t="shared" si="86"/>
        <v>5.9810760126264126</v>
      </c>
      <c r="M243" s="219">
        <f t="shared" si="74"/>
        <v>1.6559950390712168</v>
      </c>
      <c r="N243" s="219">
        <f t="shared" si="75"/>
        <v>1.220355498699452</v>
      </c>
      <c r="O243" s="219">
        <f t="shared" si="76"/>
        <v>6.4601909540862561</v>
      </c>
      <c r="P243" s="219">
        <f t="shared" si="77"/>
        <v>4.7607205139269606</v>
      </c>
      <c r="Q243" s="219">
        <f t="shared" si="78"/>
        <v>3.8792179468092008E-3</v>
      </c>
      <c r="R243" s="219">
        <f t="shared" si="79"/>
        <v>2.8587192837832031E-3</v>
      </c>
      <c r="S243" s="220">
        <f t="shared" si="87"/>
        <v>13.03753429016615</v>
      </c>
      <c r="T243" s="220">
        <f t="shared" si="88"/>
        <v>9.6077743502241759</v>
      </c>
      <c r="U243" s="219">
        <f t="shared" si="80"/>
        <v>5.508489484469066E-2</v>
      </c>
      <c r="V243" s="219">
        <f t="shared" si="89"/>
        <v>4.0593813829721485E-2</v>
      </c>
      <c r="W243" s="219">
        <f t="shared" si="81"/>
        <v>12.98244939532146</v>
      </c>
      <c r="X243" s="219">
        <f t="shared" si="82"/>
        <v>9.5671805363944546</v>
      </c>
      <c r="Y243" s="219">
        <f t="shared" si="83"/>
        <v>0.862048432624267</v>
      </c>
      <c r="Z243" s="219">
        <f t="shared" si="84"/>
        <v>0.63527095195182293</v>
      </c>
      <c r="AA243" s="232">
        <v>1796527695541.4199</v>
      </c>
      <c r="AB243" s="239">
        <v>1796.5276955414199</v>
      </c>
      <c r="AC243" s="237">
        <v>1323918490148.05</v>
      </c>
      <c r="AD243" s="199">
        <v>1323.9184901480501</v>
      </c>
    </row>
    <row r="244" spans="1:30">
      <c r="A244" s="217" t="s">
        <v>463</v>
      </c>
      <c r="B244" s="215" t="s">
        <v>558</v>
      </c>
      <c r="C244" s="218">
        <f t="shared" si="72"/>
        <v>522.16796884260248</v>
      </c>
      <c r="D244" s="224">
        <v>130.8627342062542</v>
      </c>
      <c r="E244" s="224">
        <v>391.30523463634825</v>
      </c>
      <c r="F244" s="224">
        <v>16.03709978017821</v>
      </c>
      <c r="G244" s="220">
        <f t="shared" si="73"/>
        <v>452.92618683170508</v>
      </c>
      <c r="H244" s="224">
        <v>1.3214570218866846</v>
      </c>
      <c r="I244" s="224">
        <v>451.60472980981842</v>
      </c>
      <c r="J244" s="224">
        <v>0</v>
      </c>
      <c r="K244" s="220">
        <f t="shared" si="85"/>
        <v>16.537971947531275</v>
      </c>
      <c r="L244" s="220">
        <f t="shared" si="86"/>
        <v>17.748811656211291</v>
      </c>
      <c r="M244" s="219">
        <f t="shared" si="74"/>
        <v>4.1446514463100499</v>
      </c>
      <c r="N244" s="219">
        <f t="shared" si="75"/>
        <v>4.4481051325148693</v>
      </c>
      <c r="O244" s="219">
        <f t="shared" si="76"/>
        <v>12.393320501221226</v>
      </c>
      <c r="P244" s="219">
        <f t="shared" si="77"/>
        <v>13.300706523696421</v>
      </c>
      <c r="Q244" s="219">
        <f t="shared" si="78"/>
        <v>0.50792297136152575</v>
      </c>
      <c r="R244" s="219">
        <f t="shared" si="79"/>
        <v>0.54511092310231246</v>
      </c>
      <c r="S244" s="220">
        <f t="shared" si="87"/>
        <v>14.344963726380755</v>
      </c>
      <c r="T244" s="220">
        <f t="shared" si="88"/>
        <v>15.395240734624748</v>
      </c>
      <c r="U244" s="219">
        <f t="shared" si="80"/>
        <v>4.1852852840189719E-2</v>
      </c>
      <c r="V244" s="219">
        <f t="shared" si="89"/>
        <v>4.4917140063630547E-2</v>
      </c>
      <c r="W244" s="219">
        <f t="shared" si="81"/>
        <v>14.303110873540565</v>
      </c>
      <c r="X244" s="219">
        <f t="shared" si="82"/>
        <v>15.350323594561118</v>
      </c>
      <c r="Y244" s="219">
        <f t="shared" si="83"/>
        <v>0</v>
      </c>
      <c r="Z244" s="219">
        <f t="shared" si="84"/>
        <v>0</v>
      </c>
      <c r="AA244" s="232">
        <v>2941988336778.9702</v>
      </c>
      <c r="AB244" s="239">
        <v>2941.9883367789698</v>
      </c>
      <c r="AC244" s="237">
        <v>3157388164033.9238</v>
      </c>
      <c r="AD244" s="199">
        <v>3157.38816403392</v>
      </c>
    </row>
    <row r="245" spans="1:30">
      <c r="A245" s="217" t="s">
        <v>464</v>
      </c>
      <c r="B245" s="215" t="s">
        <v>558</v>
      </c>
      <c r="C245" s="218">
        <f t="shared" si="72"/>
        <v>5328.3</v>
      </c>
      <c r="D245" s="224">
        <v>687.3</v>
      </c>
      <c r="E245" s="224">
        <v>4641</v>
      </c>
      <c r="F245" s="224">
        <v>17.98</v>
      </c>
      <c r="G245" s="220">
        <f t="shared" si="73"/>
        <v>510</v>
      </c>
      <c r="H245" s="224">
        <v>56</v>
      </c>
      <c r="I245" s="224">
        <v>454</v>
      </c>
      <c r="J245" s="224">
        <v>0</v>
      </c>
      <c r="K245" s="220">
        <f t="shared" si="85"/>
        <v>26.736447545993702</v>
      </c>
      <c r="L245" s="220">
        <f t="shared" si="86"/>
        <v>26.675893379829869</v>
      </c>
      <c r="M245" s="219">
        <f t="shared" si="74"/>
        <v>3.4487473299854492</v>
      </c>
      <c r="N245" s="219">
        <f t="shared" si="75"/>
        <v>3.4409364187371332</v>
      </c>
      <c r="O245" s="219">
        <f t="shared" si="76"/>
        <v>23.287700216008254</v>
      </c>
      <c r="P245" s="219">
        <f t="shared" si="77"/>
        <v>23.234956961092735</v>
      </c>
      <c r="Q245" s="219">
        <f t="shared" si="78"/>
        <v>9.0220394286539191E-2</v>
      </c>
      <c r="R245" s="219">
        <f t="shared" si="79"/>
        <v>9.0016058211688718E-2</v>
      </c>
      <c r="S245" s="220">
        <f t="shared" si="87"/>
        <v>2.5590879358250826</v>
      </c>
      <c r="T245" s="220">
        <f t="shared" si="88"/>
        <v>2.5532919737464543</v>
      </c>
      <c r="U245" s="219">
        <f t="shared" si="80"/>
        <v>0.28099789099255812</v>
      </c>
      <c r="V245" s="219">
        <f t="shared" si="89"/>
        <v>0.28036147162706165</v>
      </c>
      <c r="W245" s="219">
        <f t="shared" si="81"/>
        <v>2.2780900448325245</v>
      </c>
      <c r="X245" s="219">
        <f t="shared" si="82"/>
        <v>2.2729305021193928</v>
      </c>
      <c r="Y245" s="219">
        <f t="shared" si="83"/>
        <v>0</v>
      </c>
      <c r="Z245" s="219">
        <f t="shared" si="84"/>
        <v>0</v>
      </c>
      <c r="AA245" s="232">
        <v>19974213887167.602</v>
      </c>
      <c r="AB245" s="239">
        <v>19974.2138871676</v>
      </c>
      <c r="AC245" s="237">
        <v>19928975197000</v>
      </c>
      <c r="AD245" s="199">
        <v>19928.975197</v>
      </c>
    </row>
    <row r="246" spans="1:30">
      <c r="A246" s="217" t="s">
        <v>466</v>
      </c>
      <c r="B246" s="215" t="s">
        <v>558</v>
      </c>
      <c r="C246" s="218">
        <f t="shared" si="72"/>
        <v>7.0279601888550918</v>
      </c>
      <c r="D246" s="224">
        <v>4.8032151754294405</v>
      </c>
      <c r="E246" s="224">
        <v>2.2247450134256517</v>
      </c>
      <c r="F246" s="224">
        <v>4.2819360091037648</v>
      </c>
      <c r="G246" s="220">
        <f t="shared" si="73"/>
        <v>1.1728781242327704</v>
      </c>
      <c r="H246" s="224">
        <v>0.89362142798687272</v>
      </c>
      <c r="I246" s="224">
        <v>0.27925669624589772</v>
      </c>
      <c r="J246" s="224">
        <v>12.240751852111851</v>
      </c>
      <c r="K246" s="220">
        <f t="shared" si="85"/>
        <v>0.54942367197485686</v>
      </c>
      <c r="L246" s="220">
        <f t="shared" si="86"/>
        <v>0.29508569161334508</v>
      </c>
      <c r="M246" s="219">
        <f t="shared" si="74"/>
        <v>0.37550015197222009</v>
      </c>
      <c r="N246" s="219">
        <f t="shared" si="75"/>
        <v>0.20167445943375639</v>
      </c>
      <c r="O246" s="219">
        <f t="shared" si="76"/>
        <v>0.17392352000263681</v>
      </c>
      <c r="P246" s="219">
        <f t="shared" si="77"/>
        <v>9.3411232179588716E-2</v>
      </c>
      <c r="Q246" s="219">
        <f t="shared" si="78"/>
        <v>0.33474819749461476</v>
      </c>
      <c r="R246" s="219">
        <f t="shared" si="79"/>
        <v>0.17978730879753479</v>
      </c>
      <c r="S246" s="220">
        <f t="shared" si="87"/>
        <v>9.169189757461188E-2</v>
      </c>
      <c r="T246" s="220">
        <f t="shared" si="88"/>
        <v>4.9246088931498663E-2</v>
      </c>
      <c r="U246" s="219">
        <f t="shared" si="80"/>
        <v>6.9860493390180481E-2</v>
      </c>
      <c r="V246" s="219">
        <f t="shared" si="89"/>
        <v>3.7520829662094218E-2</v>
      </c>
      <c r="W246" s="219">
        <f t="shared" si="81"/>
        <v>2.1831404184431399E-2</v>
      </c>
      <c r="X246" s="219">
        <f t="shared" si="82"/>
        <v>1.1725259269404443E-2</v>
      </c>
      <c r="Y246" s="219">
        <f t="shared" si="83"/>
        <v>0.95694321675090976</v>
      </c>
      <c r="Z246" s="219">
        <f t="shared" si="84"/>
        <v>0.51395719797556139</v>
      </c>
      <c r="AA246" s="232">
        <v>2381667559152.25</v>
      </c>
      <c r="AB246" s="239">
        <v>2381.6675591522499</v>
      </c>
      <c r="AC246" s="237">
        <v>1279151326624.439</v>
      </c>
      <c r="AD246" s="199">
        <v>1279.1513266244399</v>
      </c>
    </row>
    <row r="247" spans="1:30">
      <c r="A247" s="217" t="s">
        <v>467</v>
      </c>
      <c r="B247" s="215" t="s">
        <v>558</v>
      </c>
      <c r="C247" s="218">
        <f t="shared" si="72"/>
        <v>25.234121210982785</v>
      </c>
      <c r="D247" s="224">
        <v>2.7673372045961901</v>
      </c>
      <c r="E247" s="224">
        <v>22.466784006386597</v>
      </c>
      <c r="F247" s="224">
        <v>10.01376658570374</v>
      </c>
      <c r="G247" s="220">
        <f t="shared" si="73"/>
        <v>48.92766294724192</v>
      </c>
      <c r="H247" s="224">
        <v>2.995571200851546</v>
      </c>
      <c r="I247" s="224">
        <v>45.932091746390377</v>
      </c>
      <c r="J247" s="224">
        <v>20.426942664854352</v>
      </c>
      <c r="K247" s="220">
        <f t="shared" si="85"/>
        <v>2.5308691970139723</v>
      </c>
      <c r="L247" s="220">
        <f t="shared" si="86"/>
        <v>1.0812537761986203</v>
      </c>
      <c r="M247" s="219">
        <f t="shared" si="74"/>
        <v>0.27755151171323378</v>
      </c>
      <c r="N247" s="219">
        <f t="shared" si="75"/>
        <v>0.1185772937153942</v>
      </c>
      <c r="O247" s="219">
        <f t="shared" si="76"/>
        <v>2.2533176853007384</v>
      </c>
      <c r="P247" s="219">
        <f t="shared" si="77"/>
        <v>0.96267648248322613</v>
      </c>
      <c r="Q247" s="219">
        <f t="shared" si="78"/>
        <v>1.0043358825911861</v>
      </c>
      <c r="R247" s="219">
        <f t="shared" si="79"/>
        <v>0.42907866076395218</v>
      </c>
      <c r="S247" s="220">
        <f t="shared" si="87"/>
        <v>4.9072251813216079</v>
      </c>
      <c r="T247" s="220">
        <f t="shared" si="88"/>
        <v>2.0964954507412479</v>
      </c>
      <c r="U247" s="219">
        <f t="shared" si="80"/>
        <v>0.30044235804009845</v>
      </c>
      <c r="V247" s="219">
        <f t="shared" si="89"/>
        <v>0.1283568643310968</v>
      </c>
      <c r="W247" s="219">
        <f t="shared" si="81"/>
        <v>4.6067828232815096</v>
      </c>
      <c r="X247" s="219">
        <f t="shared" si="82"/>
        <v>1.9681385864101513</v>
      </c>
      <c r="Y247" s="219">
        <f t="shared" si="83"/>
        <v>2.0487307462543853</v>
      </c>
      <c r="Z247" s="219">
        <f t="shared" si="84"/>
        <v>0.87527157010538392</v>
      </c>
      <c r="AA247" s="232">
        <v>2333783406491.1899</v>
      </c>
      <c r="AB247" s="239">
        <v>2333.7834064911899</v>
      </c>
      <c r="AC247" s="237">
        <v>997053551434.22559</v>
      </c>
      <c r="AD247" s="199">
        <v>997.05355143423003</v>
      </c>
    </row>
    <row r="248" spans="1:30">
      <c r="A248" s="221" t="s">
        <v>530</v>
      </c>
      <c r="B248" s="215" t="s">
        <v>558</v>
      </c>
      <c r="C248" s="218">
        <f t="shared" si="72"/>
        <v>65.737835098814159</v>
      </c>
      <c r="D248" s="224">
        <v>7.6465884576745644</v>
      </c>
      <c r="E248" s="224">
        <v>58.091246641139598</v>
      </c>
      <c r="F248" s="224">
        <v>0</v>
      </c>
      <c r="G248" s="220">
        <f t="shared" si="73"/>
        <v>12.211715895092214</v>
      </c>
      <c r="H248" s="224">
        <v>0</v>
      </c>
      <c r="I248" s="224">
        <v>12.211715895092214</v>
      </c>
      <c r="J248" s="224">
        <v>0</v>
      </c>
      <c r="K248" s="220">
        <f t="shared" si="85"/>
        <v>15.880639720851256</v>
      </c>
      <c r="L248" s="220">
        <f t="shared" si="86"/>
        <v>14.028585723530457</v>
      </c>
      <c r="M248" s="219">
        <f t="shared" si="74"/>
        <v>1.8472271897517958</v>
      </c>
      <c r="N248" s="219">
        <f t="shared" si="75"/>
        <v>1.6317972977023274</v>
      </c>
      <c r="O248" s="219">
        <f t="shared" si="76"/>
        <v>14.033412531099462</v>
      </c>
      <c r="P248" s="219">
        <f t="shared" si="77"/>
        <v>12.396788425828129</v>
      </c>
      <c r="Q248" s="219">
        <f t="shared" si="78"/>
        <v>0</v>
      </c>
      <c r="R248" s="219">
        <f t="shared" si="79"/>
        <v>0</v>
      </c>
      <c r="S248" s="220">
        <f t="shared" si="87"/>
        <v>2.9500493925886886</v>
      </c>
      <c r="T248" s="220">
        <f t="shared" si="88"/>
        <v>2.6060046396141643</v>
      </c>
      <c r="U248" s="219">
        <f t="shared" si="80"/>
        <v>0</v>
      </c>
      <c r="V248" s="219">
        <f t="shared" si="89"/>
        <v>0</v>
      </c>
      <c r="W248" s="219">
        <f t="shared" si="81"/>
        <v>2.9500493925886886</v>
      </c>
      <c r="X248" s="219">
        <f t="shared" si="82"/>
        <v>2.6060046396141643</v>
      </c>
      <c r="Y248" s="219">
        <f t="shared" si="83"/>
        <v>0</v>
      </c>
      <c r="Z248" s="219">
        <f t="shared" si="84"/>
        <v>0</v>
      </c>
      <c r="AA248" s="232">
        <v>468599161699.88599</v>
      </c>
      <c r="AB248" s="239">
        <v>468.59916169988998</v>
      </c>
      <c r="AC248" s="237">
        <v>413949540159.26532</v>
      </c>
      <c r="AD248" s="199">
        <v>413.94954015926999</v>
      </c>
    </row>
    <row r="249" spans="1:30">
      <c r="A249" s="217" t="s">
        <v>456</v>
      </c>
      <c r="B249" s="215" t="s">
        <v>558</v>
      </c>
      <c r="C249" s="218">
        <f t="shared" si="72"/>
        <v>42.113300610177824</v>
      </c>
      <c r="D249" s="224">
        <v>10.95630584980236</v>
      </c>
      <c r="E249" s="224">
        <v>31.156994760375461</v>
      </c>
      <c r="F249" s="224">
        <v>14.722535985671922</v>
      </c>
      <c r="G249" s="220">
        <f t="shared" si="73"/>
        <v>61.172707661396508</v>
      </c>
      <c r="H249" s="224">
        <v>1.8260509749670601</v>
      </c>
      <c r="I249" s="224">
        <v>59.346656686429448</v>
      </c>
      <c r="J249" s="224">
        <v>0</v>
      </c>
      <c r="K249" s="220">
        <f t="shared" si="85"/>
        <v>8.5050310410477952</v>
      </c>
      <c r="L249" s="220">
        <f t="shared" si="86"/>
        <v>7.5835826820255718</v>
      </c>
      <c r="M249" s="219">
        <f t="shared" si="74"/>
        <v>2.2126910025490196</v>
      </c>
      <c r="N249" s="219">
        <f t="shared" si="75"/>
        <v>1.9729646002017747</v>
      </c>
      <c r="O249" s="219">
        <f t="shared" si="76"/>
        <v>6.2923400384987751</v>
      </c>
      <c r="P249" s="219">
        <f t="shared" si="77"/>
        <v>5.6106180818237972</v>
      </c>
      <c r="Q249" s="219">
        <f t="shared" si="78"/>
        <v>2.973303534675245</v>
      </c>
      <c r="R249" s="219">
        <f t="shared" si="79"/>
        <v>2.6511711815211347</v>
      </c>
      <c r="S249" s="220">
        <f t="shared" si="87"/>
        <v>12.354191430898693</v>
      </c>
      <c r="T249" s="220">
        <f t="shared" si="88"/>
        <v>11.015719017793241</v>
      </c>
      <c r="U249" s="219">
        <f t="shared" si="80"/>
        <v>0.36878183375816997</v>
      </c>
      <c r="V249" s="219">
        <f t="shared" si="89"/>
        <v>0.32882743336696246</v>
      </c>
      <c r="W249" s="219">
        <f t="shared" si="81"/>
        <v>11.985409597140523</v>
      </c>
      <c r="X249" s="219">
        <f t="shared" si="82"/>
        <v>10.686891584426279</v>
      </c>
      <c r="Y249" s="219">
        <f t="shared" si="83"/>
        <v>0</v>
      </c>
      <c r="Z249" s="219">
        <f t="shared" si="84"/>
        <v>0</v>
      </c>
      <c r="AA249" s="232">
        <v>555321968203.677</v>
      </c>
      <c r="AB249" s="239">
        <v>555.32196820367994</v>
      </c>
      <c r="AC249" s="237">
        <v>495157518025.82001</v>
      </c>
      <c r="AD249" s="199">
        <v>495.15751802582002</v>
      </c>
    </row>
    <row r="250" spans="1:30">
      <c r="A250" s="221" t="s">
        <v>454</v>
      </c>
      <c r="B250" s="215" t="s">
        <v>558</v>
      </c>
      <c r="C250" s="218">
        <f t="shared" si="72"/>
        <v>22.550381835611422</v>
      </c>
      <c r="D250" s="224">
        <v>6.3937269094473352</v>
      </c>
      <c r="E250" s="224">
        <v>16.156654926164087</v>
      </c>
      <c r="F250" s="224">
        <v>0.61610710785105727</v>
      </c>
      <c r="G250" s="220">
        <f t="shared" si="73"/>
        <v>37.970293297142426</v>
      </c>
      <c r="H250" s="224">
        <v>3.8775971822793812E-2</v>
      </c>
      <c r="I250" s="224">
        <v>37.931517325319632</v>
      </c>
      <c r="J250" s="224">
        <v>0</v>
      </c>
      <c r="K250" s="220">
        <f t="shared" si="85"/>
        <v>10.457403769203127</v>
      </c>
      <c r="L250" s="220">
        <f t="shared" si="86"/>
        <v>5.5352503612996573</v>
      </c>
      <c r="M250" s="219">
        <f t="shared" si="74"/>
        <v>2.9649956426246544</v>
      </c>
      <c r="N250" s="219">
        <f t="shared" si="75"/>
        <v>1.5694137440138884</v>
      </c>
      <c r="O250" s="219">
        <f t="shared" si="76"/>
        <v>7.4924081265784732</v>
      </c>
      <c r="P250" s="219">
        <f t="shared" si="77"/>
        <v>3.9658366172857686</v>
      </c>
      <c r="Q250" s="219">
        <f t="shared" si="78"/>
        <v>0.28571049656019243</v>
      </c>
      <c r="R250" s="219">
        <f t="shared" si="79"/>
        <v>0.15123056967249734</v>
      </c>
      <c r="S250" s="220">
        <f t="shared" si="87"/>
        <v>17.60815808520962</v>
      </c>
      <c r="T250" s="220">
        <f t="shared" si="88"/>
        <v>9.3202448288371951</v>
      </c>
      <c r="U250" s="219">
        <f t="shared" si="80"/>
        <v>1.7981779503788334E-2</v>
      </c>
      <c r="V250" s="219">
        <f t="shared" si="89"/>
        <v>9.5180078814858463E-3</v>
      </c>
      <c r="W250" s="219">
        <f t="shared" si="81"/>
        <v>17.590176305705832</v>
      </c>
      <c r="X250" s="219">
        <f t="shared" si="82"/>
        <v>9.3107268209557095</v>
      </c>
      <c r="Y250" s="219">
        <f t="shared" si="83"/>
        <v>0</v>
      </c>
      <c r="Z250" s="219">
        <f t="shared" si="84"/>
        <v>0</v>
      </c>
      <c r="AA250" s="232">
        <v>407395878482.30298</v>
      </c>
      <c r="AB250" s="239">
        <v>407.39587848230002</v>
      </c>
      <c r="AC250" s="237">
        <v>215640347578.63721</v>
      </c>
      <c r="AD250" s="199">
        <v>215.64034757863999</v>
      </c>
    </row>
    <row r="251" spans="1:30">
      <c r="A251" s="221" t="s">
        <v>446</v>
      </c>
      <c r="B251" s="215" t="s">
        <v>558</v>
      </c>
      <c r="C251" s="218">
        <f t="shared" si="72"/>
        <v>12.151964295383831</v>
      </c>
      <c r="D251" s="224">
        <v>0</v>
      </c>
      <c r="E251" s="224">
        <v>12.151964295383831</v>
      </c>
      <c r="F251" s="224">
        <v>48.730141098973149</v>
      </c>
      <c r="G251" s="220">
        <f t="shared" si="73"/>
        <v>55.669753413569694</v>
      </c>
      <c r="H251" s="224">
        <v>43.105080896833208</v>
      </c>
      <c r="I251" s="224">
        <v>12.56467251673649</v>
      </c>
      <c r="J251" s="224">
        <v>0</v>
      </c>
      <c r="K251" s="220">
        <f t="shared" si="85"/>
        <v>3.6535993308298735</v>
      </c>
      <c r="L251" s="220">
        <f t="shared" si="86"/>
        <v>3.9065858319656011</v>
      </c>
      <c r="M251" s="219">
        <f t="shared" si="74"/>
        <v>0</v>
      </c>
      <c r="N251" s="219">
        <f t="shared" si="75"/>
        <v>0</v>
      </c>
      <c r="O251" s="219">
        <f t="shared" si="76"/>
        <v>3.6535993308298735</v>
      </c>
      <c r="P251" s="219">
        <f t="shared" si="77"/>
        <v>3.9065858319656011</v>
      </c>
      <c r="Q251" s="219">
        <f t="shared" si="78"/>
        <v>14.651163102749228</v>
      </c>
      <c r="R251" s="219">
        <f t="shared" si="79"/>
        <v>15.665654883404198</v>
      </c>
      <c r="S251" s="220">
        <f t="shared" si="87"/>
        <v>16.737621085386667</v>
      </c>
      <c r="T251" s="220">
        <f t="shared" si="88"/>
        <v>17.896585660400905</v>
      </c>
      <c r="U251" s="219">
        <f t="shared" si="80"/>
        <v>12.959937248981438</v>
      </c>
      <c r="V251" s="219">
        <f t="shared" si="89"/>
        <v>13.857323328481755</v>
      </c>
      <c r="W251" s="219">
        <f t="shared" si="81"/>
        <v>3.7776838364052283</v>
      </c>
      <c r="X251" s="219">
        <f t="shared" si="82"/>
        <v>4.0392623319191499</v>
      </c>
      <c r="Y251" s="219">
        <f t="shared" si="83"/>
        <v>0</v>
      </c>
      <c r="Z251" s="219">
        <f t="shared" si="84"/>
        <v>0</v>
      </c>
      <c r="AA251" s="232">
        <v>311063542901.078</v>
      </c>
      <c r="AB251" s="239">
        <v>311.06354290107998</v>
      </c>
      <c r="AC251" s="237">
        <v>332602543274.04938</v>
      </c>
      <c r="AD251" s="199">
        <v>332.60254327404999</v>
      </c>
    </row>
    <row r="252" spans="1:30">
      <c r="A252" s="221" t="s">
        <v>531</v>
      </c>
      <c r="B252" s="215" t="s">
        <v>558</v>
      </c>
      <c r="C252" s="218">
        <f t="shared" si="72"/>
        <v>1.5871</v>
      </c>
      <c r="D252" s="224">
        <v>0.435</v>
      </c>
      <c r="E252" s="224">
        <v>1.1520999999999999</v>
      </c>
      <c r="F252" s="224">
        <v>0</v>
      </c>
      <c r="G252" s="220">
        <f t="shared" si="73"/>
        <v>1.3769999999999998</v>
      </c>
      <c r="H252" s="224">
        <v>1.0269999999999999</v>
      </c>
      <c r="I252" s="224">
        <v>0.35</v>
      </c>
      <c r="J252" s="224">
        <v>0</v>
      </c>
      <c r="K252" s="220">
        <f t="shared" si="85"/>
        <v>5.9009523324005393</v>
      </c>
      <c r="L252" s="220">
        <f t="shared" si="86"/>
        <v>3.456862622122669</v>
      </c>
      <c r="M252" s="219">
        <f t="shared" si="74"/>
        <v>1.6173613915911</v>
      </c>
      <c r="N252" s="219">
        <f t="shared" si="75"/>
        <v>0.94747353073112039</v>
      </c>
      <c r="O252" s="219">
        <f t="shared" si="76"/>
        <v>4.2835909408094395</v>
      </c>
      <c r="P252" s="219">
        <f t="shared" si="77"/>
        <v>2.5093890913915486</v>
      </c>
      <c r="Q252" s="219">
        <f t="shared" si="78"/>
        <v>0</v>
      </c>
      <c r="R252" s="219">
        <f t="shared" si="79"/>
        <v>0</v>
      </c>
      <c r="S252" s="220">
        <f t="shared" si="87"/>
        <v>5.1197853706228607</v>
      </c>
      <c r="T252" s="220">
        <f t="shared" si="88"/>
        <v>2.9992437972798909</v>
      </c>
      <c r="U252" s="219">
        <f t="shared" si="80"/>
        <v>3.8184601130208264</v>
      </c>
      <c r="V252" s="219">
        <f t="shared" si="89"/>
        <v>2.236908772553702</v>
      </c>
      <c r="W252" s="219">
        <f t="shared" si="81"/>
        <v>1.3013252576020344</v>
      </c>
      <c r="X252" s="219">
        <f t="shared" si="82"/>
        <v>0.76233502472618875</v>
      </c>
      <c r="Y252" s="219">
        <f t="shared" si="83"/>
        <v>0</v>
      </c>
      <c r="Z252" s="219">
        <f t="shared" si="84"/>
        <v>0</v>
      </c>
      <c r="AA252" s="232">
        <v>45911572818.753304</v>
      </c>
      <c r="AB252" s="239">
        <v>45.911572818750003</v>
      </c>
      <c r="AC252" s="237">
        <v>26895658710.637878</v>
      </c>
      <c r="AD252" s="199">
        <v>26.895658710639999</v>
      </c>
    </row>
    <row r="253" spans="1:30">
      <c r="A253" s="221" t="s">
        <v>447</v>
      </c>
      <c r="B253" s="215" t="s">
        <v>558</v>
      </c>
      <c r="C253" s="218">
        <f t="shared" si="72"/>
        <v>12.896485010704861</v>
      </c>
      <c r="D253" s="224">
        <v>4.6792556233530913</v>
      </c>
      <c r="E253" s="224">
        <v>8.2172293873517699</v>
      </c>
      <c r="F253" s="224">
        <v>0.57064092967720625</v>
      </c>
      <c r="G253" s="220">
        <f t="shared" si="73"/>
        <v>15.293176915349127</v>
      </c>
      <c r="H253" s="224">
        <v>1.3695382312252951</v>
      </c>
      <c r="I253" s="224">
        <v>13.923638684123832</v>
      </c>
      <c r="J253" s="224">
        <v>4.56512743741765</v>
      </c>
      <c r="K253" s="220">
        <f t="shared" si="85"/>
        <v>5.0625243093012413</v>
      </c>
      <c r="L253" s="220">
        <f t="shared" si="86"/>
        <v>5.0789095986528254</v>
      </c>
      <c r="M253" s="219">
        <f t="shared" si="74"/>
        <v>1.8368451033747866</v>
      </c>
      <c r="N253" s="219">
        <f t="shared" si="75"/>
        <v>1.8427902083607597</v>
      </c>
      <c r="O253" s="219">
        <f t="shared" si="76"/>
        <v>3.2256792059264545</v>
      </c>
      <c r="P253" s="219">
        <f t="shared" si="77"/>
        <v>3.2361193902920657</v>
      </c>
      <c r="Q253" s="219">
        <f t="shared" si="78"/>
        <v>0.22400550041155937</v>
      </c>
      <c r="R253" s="219">
        <f t="shared" si="79"/>
        <v>0.22473051321472678</v>
      </c>
      <c r="S253" s="220">
        <f t="shared" si="87"/>
        <v>6.0033474110297904</v>
      </c>
      <c r="T253" s="220">
        <f t="shared" si="88"/>
        <v>6.022777754154677</v>
      </c>
      <c r="U253" s="219">
        <f t="shared" si="80"/>
        <v>0.53761320098774246</v>
      </c>
      <c r="V253" s="219">
        <f t="shared" si="89"/>
        <v>0.53935323171534433</v>
      </c>
      <c r="W253" s="219">
        <f t="shared" si="81"/>
        <v>5.4657342100420481</v>
      </c>
      <c r="X253" s="219">
        <f t="shared" si="82"/>
        <v>5.483424522439333</v>
      </c>
      <c r="Y253" s="219">
        <f t="shared" si="83"/>
        <v>1.7920440032924749</v>
      </c>
      <c r="Z253" s="219">
        <f t="shared" si="84"/>
        <v>1.7978441057178143</v>
      </c>
      <c r="AA253" s="232">
        <v>253922318564.70901</v>
      </c>
      <c r="AB253" s="239">
        <v>253.92231856471</v>
      </c>
      <c r="AC253" s="237">
        <v>254744159687.49991</v>
      </c>
      <c r="AD253" s="199">
        <v>254.7441596875</v>
      </c>
    </row>
    <row r="254" spans="1:30">
      <c r="A254" s="221" t="s">
        <v>532</v>
      </c>
      <c r="B254" s="215" t="s">
        <v>558</v>
      </c>
      <c r="C254" s="218">
        <f t="shared" si="72"/>
        <v>33.097173921277964</v>
      </c>
      <c r="D254" s="224">
        <v>1.55</v>
      </c>
      <c r="E254" s="224">
        <v>31.547173921277963</v>
      </c>
      <c r="F254" s="224">
        <v>1.9401791609025012</v>
      </c>
      <c r="G254" s="220">
        <f t="shared" si="73"/>
        <v>6.9618193420619159</v>
      </c>
      <c r="H254" s="224">
        <v>3.7662301358695611</v>
      </c>
      <c r="I254" s="224">
        <v>3.1955892061923548</v>
      </c>
      <c r="J254" s="224">
        <v>0</v>
      </c>
      <c r="K254" s="220">
        <f t="shared" si="85"/>
        <v>16.231822283669384</v>
      </c>
      <c r="L254" s="220">
        <f t="shared" si="86"/>
        <v>10.975874798305878</v>
      </c>
      <c r="M254" s="219">
        <f t="shared" si="74"/>
        <v>0.76016534219898391</v>
      </c>
      <c r="N254" s="219">
        <f t="shared" si="75"/>
        <v>0.51401989722260888</v>
      </c>
      <c r="O254" s="219">
        <f t="shared" si="76"/>
        <v>15.471656941470401</v>
      </c>
      <c r="P254" s="219">
        <f t="shared" si="77"/>
        <v>10.461854901083269</v>
      </c>
      <c r="Q254" s="219">
        <f t="shared" si="78"/>
        <v>0.95152061662889498</v>
      </c>
      <c r="R254" s="219">
        <f t="shared" si="79"/>
        <v>0.64341335024551694</v>
      </c>
      <c r="S254" s="220">
        <f t="shared" si="87"/>
        <v>3.4142798596683877</v>
      </c>
      <c r="T254" s="220">
        <f t="shared" si="88"/>
        <v>2.3087184920574435</v>
      </c>
      <c r="U254" s="219">
        <f t="shared" si="80"/>
        <v>1.8470694322796195</v>
      </c>
      <c r="V254" s="219">
        <f t="shared" si="89"/>
        <v>1.2489788563589448</v>
      </c>
      <c r="W254" s="219">
        <f t="shared" si="81"/>
        <v>1.5672104273887679</v>
      </c>
      <c r="X254" s="219">
        <f t="shared" si="82"/>
        <v>1.0597396356984985</v>
      </c>
      <c r="Y254" s="219">
        <f t="shared" si="83"/>
        <v>0</v>
      </c>
      <c r="Z254" s="219">
        <f t="shared" si="84"/>
        <v>0</v>
      </c>
      <c r="AA254" s="232">
        <v>301544747270.495</v>
      </c>
      <c r="AB254" s="239">
        <v>301.54474727050001</v>
      </c>
      <c r="AC254" s="237">
        <v>203903008195.06079</v>
      </c>
      <c r="AD254" s="199">
        <v>203.90300819506001</v>
      </c>
    </row>
    <row r="255" spans="1:30">
      <c r="A255" s="221" t="s">
        <v>533</v>
      </c>
      <c r="B255" s="215" t="s">
        <v>558</v>
      </c>
      <c r="C255" s="218">
        <f t="shared" si="72"/>
        <v>2.2042255736459442</v>
      </c>
      <c r="D255" s="224">
        <v>0.12491350018021706</v>
      </c>
      <c r="E255" s="224">
        <v>2.0793120734657271</v>
      </c>
      <c r="F255" s="224">
        <v>7.5320270858253366E-2</v>
      </c>
      <c r="G255" s="220">
        <f t="shared" si="73"/>
        <v>0.23482202091102522</v>
      </c>
      <c r="H255" s="224">
        <v>0</v>
      </c>
      <c r="I255" s="224">
        <v>0.23482202091102522</v>
      </c>
      <c r="J255" s="224">
        <v>0</v>
      </c>
      <c r="K255" s="220">
        <f t="shared" si="85"/>
        <v>10.633022633913349</v>
      </c>
      <c r="L255" s="220">
        <f t="shared" si="86"/>
        <v>11.559122475080704</v>
      </c>
      <c r="M255" s="219">
        <f t="shared" si="74"/>
        <v>0.60257357077145135</v>
      </c>
      <c r="N255" s="219">
        <f t="shared" si="75"/>
        <v>0.65505566428296547</v>
      </c>
      <c r="O255" s="219">
        <f t="shared" si="76"/>
        <v>10.030449063141898</v>
      </c>
      <c r="P255" s="219">
        <f t="shared" si="77"/>
        <v>10.904066810797739</v>
      </c>
      <c r="Q255" s="219">
        <f t="shared" si="78"/>
        <v>0.3633394668874913</v>
      </c>
      <c r="R255" s="219">
        <f t="shared" si="79"/>
        <v>0.39498508960074769</v>
      </c>
      <c r="S255" s="220">
        <f t="shared" si="87"/>
        <v>1.1327642202962966</v>
      </c>
      <c r="T255" s="220">
        <f t="shared" si="88"/>
        <v>1.2314241028729194</v>
      </c>
      <c r="U255" s="219">
        <f t="shared" si="80"/>
        <v>0</v>
      </c>
      <c r="V255" s="219">
        <f t="shared" si="89"/>
        <v>0</v>
      </c>
      <c r="W255" s="219">
        <f t="shared" si="81"/>
        <v>1.1327642202962966</v>
      </c>
      <c r="X255" s="219">
        <f t="shared" si="82"/>
        <v>1.2314241028729194</v>
      </c>
      <c r="Y255" s="219">
        <f t="shared" si="83"/>
        <v>0</v>
      </c>
      <c r="Z255" s="219">
        <f t="shared" si="84"/>
        <v>0</v>
      </c>
      <c r="AA255" s="235">
        <v>19069142821.155399</v>
      </c>
      <c r="AB255" s="239">
        <v>19.06914282116</v>
      </c>
      <c r="AC255" s="237">
        <v>20729999827.29071</v>
      </c>
      <c r="AD255" s="199">
        <v>20.729999827290001</v>
      </c>
    </row>
    <row r="256" spans="1:30">
      <c r="A256" s="221" t="s">
        <v>534</v>
      </c>
      <c r="B256" s="215" t="s">
        <v>558</v>
      </c>
      <c r="C256" s="218">
        <f t="shared" si="72"/>
        <v>49.143596863801008</v>
      </c>
      <c r="D256" s="224">
        <v>5.1357683670948564</v>
      </c>
      <c r="E256" s="224">
        <v>44.007828496706153</v>
      </c>
      <c r="F256" s="224">
        <v>3.309717392127796</v>
      </c>
      <c r="G256" s="220">
        <f t="shared" si="73"/>
        <v>11.412818593544126</v>
      </c>
      <c r="H256" s="224">
        <v>5.7064092967720628</v>
      </c>
      <c r="I256" s="224">
        <v>5.7064092967720628</v>
      </c>
      <c r="J256" s="224">
        <v>0</v>
      </c>
      <c r="K256" s="220">
        <f t="shared" si="85"/>
        <v>13.229613995246758</v>
      </c>
      <c r="L256" s="220">
        <f t="shared" si="86"/>
        <v>11.759914728276369</v>
      </c>
      <c r="M256" s="219">
        <f t="shared" si="74"/>
        <v>1.3825653269533307</v>
      </c>
      <c r="N256" s="219">
        <f t="shared" si="75"/>
        <v>1.2289739033266058</v>
      </c>
      <c r="O256" s="219">
        <f t="shared" si="76"/>
        <v>11.847048668293429</v>
      </c>
      <c r="P256" s="219">
        <f t="shared" si="77"/>
        <v>10.530940824949763</v>
      </c>
      <c r="Q256" s="219">
        <f t="shared" si="78"/>
        <v>0.89098654403659061</v>
      </c>
      <c r="R256" s="219">
        <f t="shared" si="79"/>
        <v>0.79200540436603495</v>
      </c>
      <c r="S256" s="220">
        <f t="shared" si="87"/>
        <v>3.0723673932296238</v>
      </c>
      <c r="T256" s="220">
        <f t="shared" si="88"/>
        <v>2.7310531185035689</v>
      </c>
      <c r="U256" s="219">
        <f t="shared" si="80"/>
        <v>1.5361836966148119</v>
      </c>
      <c r="V256" s="219">
        <f t="shared" si="89"/>
        <v>1.3655265592517845</v>
      </c>
      <c r="W256" s="219">
        <f t="shared" si="81"/>
        <v>1.5361836966148119</v>
      </c>
      <c r="X256" s="219">
        <f t="shared" si="82"/>
        <v>1.3655265592517845</v>
      </c>
      <c r="Y256" s="219">
        <f t="shared" si="83"/>
        <v>0</v>
      </c>
      <c r="Z256" s="219">
        <f t="shared" si="84"/>
        <v>0</v>
      </c>
      <c r="AA256" s="235">
        <v>417890758558.284</v>
      </c>
      <c r="AB256" s="239">
        <v>417.89075855828003</v>
      </c>
      <c r="AC256" s="237">
        <v>371466596693.27911</v>
      </c>
      <c r="AD256" s="199">
        <v>371.46659669328</v>
      </c>
    </row>
    <row r="257" spans="1:30">
      <c r="A257" s="221" t="s">
        <v>535</v>
      </c>
      <c r="B257" s="215" t="s">
        <v>558</v>
      </c>
      <c r="C257" s="218">
        <f t="shared" si="72"/>
        <v>42.9</v>
      </c>
      <c r="D257" s="224">
        <v>9.4</v>
      </c>
      <c r="E257" s="224">
        <v>33.5</v>
      </c>
      <c r="F257" s="224">
        <v>2.1</v>
      </c>
      <c r="G257" s="220">
        <f t="shared" si="73"/>
        <v>15.3</v>
      </c>
      <c r="H257" s="224">
        <v>2</v>
      </c>
      <c r="I257" s="224">
        <v>13.3</v>
      </c>
      <c r="J257" s="224">
        <v>0</v>
      </c>
      <c r="K257" s="220">
        <f t="shared" si="85"/>
        <v>11.967854085033959</v>
      </c>
      <c r="L257" s="220">
        <f t="shared" si="86"/>
        <v>12.529326022886549</v>
      </c>
      <c r="M257" s="219">
        <f t="shared" si="74"/>
        <v>2.6223270023151333</v>
      </c>
      <c r="N257" s="219">
        <f t="shared" si="75"/>
        <v>2.7453534875322507</v>
      </c>
      <c r="O257" s="219">
        <f t="shared" si="76"/>
        <v>9.3455270827188262</v>
      </c>
      <c r="P257" s="219">
        <f t="shared" si="77"/>
        <v>9.7839725353542981</v>
      </c>
      <c r="Q257" s="219">
        <f t="shared" si="78"/>
        <v>0.5858390111555084</v>
      </c>
      <c r="R257" s="219">
        <f t="shared" si="79"/>
        <v>0.61332365146997092</v>
      </c>
      <c r="S257" s="220">
        <f t="shared" si="87"/>
        <v>4.2682556527044184</v>
      </c>
      <c r="T257" s="220">
        <f t="shared" si="88"/>
        <v>4.4685008892812164</v>
      </c>
      <c r="U257" s="219">
        <f t="shared" si="80"/>
        <v>0.55794191538619853</v>
      </c>
      <c r="V257" s="219">
        <f t="shared" si="89"/>
        <v>0.58411776330473419</v>
      </c>
      <c r="W257" s="219">
        <f t="shared" si="81"/>
        <v>3.71031373731822</v>
      </c>
      <c r="X257" s="219">
        <f t="shared" si="82"/>
        <v>3.8843831259764823</v>
      </c>
      <c r="Y257" s="219">
        <f t="shared" si="83"/>
        <v>0</v>
      </c>
      <c r="Z257" s="219">
        <f t="shared" si="84"/>
        <v>0</v>
      </c>
      <c r="AA257" s="235">
        <v>342396709301.34399</v>
      </c>
      <c r="AB257" s="239">
        <v>342.39670930134002</v>
      </c>
      <c r="AC257" s="237">
        <v>358460252733.58807</v>
      </c>
      <c r="AD257" s="199">
        <v>358.46025273358998</v>
      </c>
    </row>
    <row r="258" spans="1:30">
      <c r="A258" s="222" t="s">
        <v>536</v>
      </c>
      <c r="B258" s="215" t="s">
        <v>558</v>
      </c>
      <c r="C258" s="218">
        <f t="shared" si="72"/>
        <v>3.5487068625075562</v>
      </c>
      <c r="D258" s="224">
        <v>0.67911263411214207</v>
      </c>
      <c r="E258" s="224">
        <v>2.8695942283954139</v>
      </c>
      <c r="F258" s="224">
        <v>0</v>
      </c>
      <c r="G258" s="220">
        <f t="shared" si="73"/>
        <v>0.66956733254859557</v>
      </c>
      <c r="H258" s="224">
        <v>0.26782693301943822</v>
      </c>
      <c r="I258" s="224">
        <v>0.4017403995291573</v>
      </c>
      <c r="J258" s="224">
        <v>0</v>
      </c>
      <c r="K258" s="220">
        <f t="shared" si="85"/>
        <v>11.766239194164664</v>
      </c>
      <c r="L258" s="220">
        <f t="shared" si="86"/>
        <v>6.402997187889178</v>
      </c>
      <c r="M258" s="219">
        <f t="shared" si="74"/>
        <v>2.2516939274878407</v>
      </c>
      <c r="N258" s="219">
        <f t="shared" si="75"/>
        <v>1.2253354404729446</v>
      </c>
      <c r="O258" s="219">
        <f t="shared" si="76"/>
        <v>9.5145452666768229</v>
      </c>
      <c r="P258" s="219">
        <f t="shared" si="77"/>
        <v>5.1776617474162334</v>
      </c>
      <c r="Q258" s="219">
        <f t="shared" si="78"/>
        <v>0</v>
      </c>
      <c r="R258" s="219">
        <f t="shared" si="79"/>
        <v>0</v>
      </c>
      <c r="S258" s="220">
        <f t="shared" si="87"/>
        <v>2.2200451309744649</v>
      </c>
      <c r="T258" s="220">
        <f t="shared" si="88"/>
        <v>1.2081126769602224</v>
      </c>
      <c r="U258" s="219">
        <f t="shared" si="80"/>
        <v>0.88801805238978604</v>
      </c>
      <c r="V258" s="219">
        <f t="shared" si="89"/>
        <v>0.48324507078408896</v>
      </c>
      <c r="W258" s="219">
        <f t="shared" si="81"/>
        <v>1.3320270785846788</v>
      </c>
      <c r="X258" s="219">
        <f t="shared" si="82"/>
        <v>0.72486760617613333</v>
      </c>
      <c r="Y258" s="219">
        <f t="shared" si="83"/>
        <v>0</v>
      </c>
      <c r="Z258" s="219">
        <f t="shared" si="84"/>
        <v>0</v>
      </c>
      <c r="AA258" s="236">
        <v>55422589740</v>
      </c>
      <c r="AB258" s="240">
        <v>55.422589739999999</v>
      </c>
      <c r="AC258" s="237">
        <v>30160077523.05077</v>
      </c>
      <c r="AD258" s="199">
        <v>30.160077523049999</v>
      </c>
    </row>
    <row r="259" spans="1:30">
      <c r="A259" s="221" t="s">
        <v>537</v>
      </c>
      <c r="B259" s="215" t="s">
        <v>558</v>
      </c>
      <c r="C259" s="218">
        <f t="shared" si="72"/>
        <v>4.4000000000000004</v>
      </c>
      <c r="D259" s="224">
        <v>1.1000000000000001</v>
      </c>
      <c r="E259" s="224">
        <v>3.3000000000000003</v>
      </c>
      <c r="F259" s="224">
        <v>1.6</v>
      </c>
      <c r="G259" s="220">
        <f t="shared" si="73"/>
        <v>1.5749689659090893</v>
      </c>
      <c r="H259" s="224">
        <v>0.43368710655467674</v>
      </c>
      <c r="I259" s="224">
        <v>1.1412818593544125</v>
      </c>
      <c r="J259" s="224">
        <v>0</v>
      </c>
      <c r="K259" s="220">
        <f t="shared" si="85"/>
        <v>9.1254560112856833</v>
      </c>
      <c r="L259" s="220">
        <f t="shared" si="86"/>
        <v>4.5297280900149497</v>
      </c>
      <c r="M259" s="219">
        <f t="shared" si="74"/>
        <v>2.2813640028214208</v>
      </c>
      <c r="N259" s="219">
        <f t="shared" si="75"/>
        <v>1.1324320225037374</v>
      </c>
      <c r="O259" s="219">
        <f t="shared" si="76"/>
        <v>6.8440920084642629</v>
      </c>
      <c r="P259" s="219">
        <f t="shared" si="77"/>
        <v>3.397296067511212</v>
      </c>
      <c r="Q259" s="219">
        <f t="shared" si="78"/>
        <v>3.3183476404675214</v>
      </c>
      <c r="R259" s="219">
        <f t="shared" si="79"/>
        <v>1.6471738509145271</v>
      </c>
      <c r="S259" s="220">
        <f t="shared" si="87"/>
        <v>3.2664340948962485</v>
      </c>
      <c r="T259" s="220">
        <f t="shared" si="88"/>
        <v>1.6214048104045906</v>
      </c>
      <c r="U259" s="219">
        <f t="shared" si="80"/>
        <v>0.89945286671056124</v>
      </c>
      <c r="V259" s="219">
        <f t="shared" si="89"/>
        <v>0.44647378837227858</v>
      </c>
      <c r="W259" s="219">
        <f t="shared" si="81"/>
        <v>2.3669812281856872</v>
      </c>
      <c r="X259" s="219">
        <f t="shared" si="82"/>
        <v>1.1749310220323121</v>
      </c>
      <c r="Y259" s="219">
        <f t="shared" si="83"/>
        <v>0</v>
      </c>
      <c r="Z259" s="219">
        <f t="shared" si="84"/>
        <v>0</v>
      </c>
      <c r="AA259" s="235">
        <v>97136073348.399506</v>
      </c>
      <c r="AB259" s="239">
        <v>97.136073348400004</v>
      </c>
      <c r="AC259" s="237">
        <v>48216768505.137871</v>
      </c>
      <c r="AD259" s="199">
        <v>48.216768505140003</v>
      </c>
    </row>
    <row r="260" spans="1:30">
      <c r="A260" s="221" t="s">
        <v>538</v>
      </c>
      <c r="B260" s="215" t="s">
        <v>558</v>
      </c>
      <c r="C260" s="218">
        <f t="shared" si="72"/>
        <v>3.0814610202569139</v>
      </c>
      <c r="D260" s="224">
        <v>0.34238455780632376</v>
      </c>
      <c r="E260" s="224">
        <v>2.7390764624505901</v>
      </c>
      <c r="F260" s="224">
        <v>5.2384837344367536</v>
      </c>
      <c r="G260" s="220">
        <f t="shared" si="73"/>
        <v>3.3097173921277965</v>
      </c>
      <c r="H260" s="224">
        <v>0.45651274374176504</v>
      </c>
      <c r="I260" s="224">
        <v>2.8532046483860314</v>
      </c>
      <c r="J260" s="224">
        <v>1.0157408548254272</v>
      </c>
      <c r="K260" s="220">
        <f t="shared" si="85"/>
        <v>4.6297730687428773</v>
      </c>
      <c r="L260" s="220">
        <f t="shared" si="86"/>
        <v>4.6447078336746168</v>
      </c>
      <c r="M260" s="219">
        <f t="shared" si="74"/>
        <v>0.51441922986031974</v>
      </c>
      <c r="N260" s="219">
        <f t="shared" si="75"/>
        <v>0.51607864818606852</v>
      </c>
      <c r="O260" s="219">
        <f t="shared" si="76"/>
        <v>4.1153538388825579</v>
      </c>
      <c r="P260" s="219">
        <f t="shared" si="77"/>
        <v>4.1286291854885482</v>
      </c>
      <c r="Q260" s="219">
        <f t="shared" si="78"/>
        <v>7.870614216862891</v>
      </c>
      <c r="R260" s="219">
        <f t="shared" si="79"/>
        <v>7.8960033172468469</v>
      </c>
      <c r="S260" s="220">
        <f t="shared" si="87"/>
        <v>4.9727192219830911</v>
      </c>
      <c r="T260" s="220">
        <f t="shared" si="88"/>
        <v>4.9887602657986614</v>
      </c>
      <c r="U260" s="219">
        <f t="shared" si="80"/>
        <v>0.68589230648042632</v>
      </c>
      <c r="V260" s="219">
        <f t="shared" si="89"/>
        <v>0.68810486424809125</v>
      </c>
      <c r="W260" s="219">
        <f t="shared" si="81"/>
        <v>4.2868269155026644</v>
      </c>
      <c r="X260" s="219">
        <f t="shared" si="82"/>
        <v>4.3006554015505705</v>
      </c>
      <c r="Y260" s="219">
        <f t="shared" si="83"/>
        <v>1.5261103819189485</v>
      </c>
      <c r="Z260" s="219">
        <f t="shared" si="84"/>
        <v>1.531033322952003</v>
      </c>
      <c r="AA260" s="232">
        <v>66343484468.839996</v>
      </c>
      <c r="AB260" s="239">
        <v>66.343484468840003</v>
      </c>
      <c r="AC260" s="237">
        <v>66557495896.737839</v>
      </c>
      <c r="AD260" s="199">
        <v>66.557495896739994</v>
      </c>
    </row>
    <row r="261" spans="1:30">
      <c r="A261" s="221" t="s">
        <v>452</v>
      </c>
      <c r="B261" s="215" t="s">
        <v>558</v>
      </c>
      <c r="C261" s="218">
        <f t="shared" si="72"/>
        <v>93.92749702486816</v>
      </c>
      <c r="D261" s="224">
        <v>18.94527886528325</v>
      </c>
      <c r="E261" s="224">
        <v>74.982218159584903</v>
      </c>
      <c r="F261" s="224">
        <v>13.124741382575744</v>
      </c>
      <c r="G261" s="220">
        <f t="shared" si="73"/>
        <v>39.716608705533552</v>
      </c>
      <c r="H261" s="224">
        <v>0</v>
      </c>
      <c r="I261" s="224">
        <v>39.716608705533552</v>
      </c>
      <c r="J261" s="224">
        <v>0</v>
      </c>
      <c r="K261" s="220">
        <f t="shared" si="85"/>
        <v>11.178512242483428</v>
      </c>
      <c r="L261" s="220">
        <f t="shared" si="86"/>
        <v>10.073297291469261</v>
      </c>
      <c r="M261" s="219">
        <f t="shared" si="74"/>
        <v>2.2547181436843853</v>
      </c>
      <c r="N261" s="219">
        <f t="shared" si="75"/>
        <v>2.0317950794458048</v>
      </c>
      <c r="O261" s="219">
        <f t="shared" si="76"/>
        <v>8.9237940987990427</v>
      </c>
      <c r="P261" s="219">
        <f t="shared" si="77"/>
        <v>8.0415022120234561</v>
      </c>
      <c r="Q261" s="219">
        <f t="shared" si="78"/>
        <v>1.562003533275327</v>
      </c>
      <c r="R261" s="219">
        <f t="shared" si="79"/>
        <v>1.4075688803389612</v>
      </c>
      <c r="S261" s="220">
        <f t="shared" si="87"/>
        <v>4.7267585180853366</v>
      </c>
      <c r="T261" s="220">
        <f t="shared" si="88"/>
        <v>4.2594258291996381</v>
      </c>
      <c r="U261" s="219">
        <f t="shared" si="80"/>
        <v>0</v>
      </c>
      <c r="V261" s="219">
        <f t="shared" si="89"/>
        <v>0</v>
      </c>
      <c r="W261" s="219">
        <f t="shared" si="81"/>
        <v>4.7267585180853366</v>
      </c>
      <c r="X261" s="219">
        <f t="shared" si="82"/>
        <v>4.2594258291996381</v>
      </c>
      <c r="Y261" s="219">
        <f t="shared" si="83"/>
        <v>0</v>
      </c>
      <c r="Z261" s="219">
        <f t="shared" si="84"/>
        <v>0</v>
      </c>
      <c r="AA261" s="232">
        <v>932440434418.74902</v>
      </c>
      <c r="AB261" s="239">
        <v>932.44043441874999</v>
      </c>
      <c r="AC261" s="237">
        <v>840250428566.88171</v>
      </c>
      <c r="AD261" s="199">
        <v>840.25042856688003</v>
      </c>
    </row>
    <row r="262" spans="1:30">
      <c r="A262" s="221" t="s">
        <v>465</v>
      </c>
      <c r="B262" s="215" t="s">
        <v>558</v>
      </c>
      <c r="C262" s="218">
        <f t="shared" si="72"/>
        <v>40.366333649903929</v>
      </c>
      <c r="D262" s="224">
        <v>3.3151095268037039</v>
      </c>
      <c r="E262" s="224">
        <v>37.051224123100226</v>
      </c>
      <c r="F262" s="224">
        <v>0</v>
      </c>
      <c r="G262" s="220">
        <f t="shared" si="73"/>
        <v>4.0951352978163404</v>
      </c>
      <c r="H262" s="224">
        <v>2.2100730178691359</v>
      </c>
      <c r="I262" s="224">
        <v>1.8850622799472043</v>
      </c>
      <c r="J262" s="224">
        <v>0</v>
      </c>
      <c r="K262" s="220">
        <f t="shared" si="85"/>
        <v>19.890861906826895</v>
      </c>
      <c r="L262" s="220">
        <f t="shared" si="86"/>
        <v>20.810198388109878</v>
      </c>
      <c r="M262" s="219">
        <f t="shared" si="74"/>
        <v>1.6335490454881987</v>
      </c>
      <c r="N262" s="219">
        <f t="shared" si="75"/>
        <v>1.7090501091684438</v>
      </c>
      <c r="O262" s="219">
        <f t="shared" si="76"/>
        <v>18.257312861338697</v>
      </c>
      <c r="P262" s="219">
        <f t="shared" si="77"/>
        <v>19.101148278941434</v>
      </c>
      <c r="Q262" s="219">
        <f t="shared" si="78"/>
        <v>0</v>
      </c>
      <c r="R262" s="219">
        <f t="shared" si="79"/>
        <v>0</v>
      </c>
      <c r="S262" s="220">
        <f t="shared" si="87"/>
        <v>2.0179135267795401</v>
      </c>
      <c r="T262" s="220">
        <f t="shared" si="88"/>
        <v>2.1111795466198426</v>
      </c>
      <c r="U262" s="219">
        <f t="shared" si="80"/>
        <v>1.0890326969921327</v>
      </c>
      <c r="V262" s="219">
        <f t="shared" si="89"/>
        <v>1.1393667394456293</v>
      </c>
      <c r="W262" s="219">
        <f t="shared" si="81"/>
        <v>0.92888082978740716</v>
      </c>
      <c r="X262" s="219">
        <f t="shared" si="82"/>
        <v>0.97181280717421326</v>
      </c>
      <c r="Y262" s="219">
        <f t="shared" si="83"/>
        <v>0</v>
      </c>
      <c r="Z262" s="219">
        <f t="shared" si="84"/>
        <v>0</v>
      </c>
      <c r="AA262" s="232">
        <v>193973805040.548</v>
      </c>
      <c r="AB262" s="239">
        <v>193.97380504054999</v>
      </c>
      <c r="AC262" s="237">
        <v>202939087501.52551</v>
      </c>
      <c r="AD262" s="199">
        <v>202.93908750153</v>
      </c>
    </row>
    <row r="263" spans="1:30">
      <c r="A263" s="221" t="s">
        <v>451</v>
      </c>
      <c r="B263" s="215" t="s">
        <v>558</v>
      </c>
      <c r="C263" s="218">
        <f t="shared" ref="C263:C273" si="90">D263+E263</f>
        <v>23.917160810691193</v>
      </c>
      <c r="D263" s="224">
        <v>2.6232409947782966</v>
      </c>
      <c r="E263" s="224">
        <v>21.293919815912897</v>
      </c>
      <c r="F263" s="224">
        <v>0</v>
      </c>
      <c r="G263" s="220">
        <f t="shared" ref="G263:G273" si="91">H263+I263</f>
        <v>14.603062217895378</v>
      </c>
      <c r="H263" s="224">
        <v>6.3191432870165452</v>
      </c>
      <c r="I263" s="224">
        <v>8.2839189308788317</v>
      </c>
      <c r="J263" s="224">
        <v>0</v>
      </c>
      <c r="K263" s="220">
        <f t="shared" si="85"/>
        <v>5.8299085115697995</v>
      </c>
      <c r="L263" s="220">
        <f t="shared" si="86"/>
        <v>7.2376613497197813</v>
      </c>
      <c r="M263" s="219">
        <f t="shared" ref="M263:M273" si="92">($D263/$AD263)*100</f>
        <v>0.63942602236134116</v>
      </c>
      <c r="N263" s="219">
        <f t="shared" ref="N263:N273" si="93">($D263/$AB263)*100</f>
        <v>0.79382875372148565</v>
      </c>
      <c r="O263" s="219">
        <f t="shared" ref="O263:O273" si="94">($E263/$AD263)*100</f>
        <v>5.190482489208458</v>
      </c>
      <c r="P263" s="219">
        <f t="shared" ref="P263:P273" si="95">($E263/$AB263)*100</f>
        <v>6.4438325959982956</v>
      </c>
      <c r="Q263" s="219">
        <f t="shared" ref="Q263:Q273" si="96">($F263/$AD263)*100</f>
        <v>0</v>
      </c>
      <c r="R263" s="219">
        <f t="shared" ref="R263:R273" si="97">($F263/$AB263)*100</f>
        <v>0</v>
      </c>
      <c r="S263" s="220">
        <f t="shared" si="87"/>
        <v>3.5595578167888426</v>
      </c>
      <c r="T263" s="220">
        <f t="shared" si="88"/>
        <v>4.419087191769405</v>
      </c>
      <c r="U263" s="219">
        <f t="shared" ref="U263:U273" si="98">($H263/$AD263)*100</f>
        <v>1.5403177461740809</v>
      </c>
      <c r="V263" s="219">
        <f t="shared" si="89"/>
        <v>1.9122595484383971</v>
      </c>
      <c r="W263" s="219">
        <f t="shared" ref="W263:W273" si="99">($I263/$AD263)*100</f>
        <v>2.0192400706147615</v>
      </c>
      <c r="X263" s="219">
        <f t="shared" ref="X263:X273" si="100">($I263/$AB263)*100</f>
        <v>2.5068276433310075</v>
      </c>
      <c r="Y263" s="219">
        <f t="shared" ref="Y263:Y273" si="101">($J263/$AD263)*100</f>
        <v>0</v>
      </c>
      <c r="Z263" s="219">
        <f t="shared" ref="Z263:Z273" si="102">($J263/$AB263)*100</f>
        <v>0</v>
      </c>
      <c r="AA263" s="232">
        <v>330454267684.37299</v>
      </c>
      <c r="AB263" s="239">
        <v>330.45426768437</v>
      </c>
      <c r="AC263" s="237">
        <v>410249333471.11688</v>
      </c>
      <c r="AD263" s="199">
        <v>410.24933347112</v>
      </c>
    </row>
    <row r="264" spans="1:30">
      <c r="A264" s="221" t="s">
        <v>539</v>
      </c>
      <c r="B264" s="215" t="s">
        <v>558</v>
      </c>
      <c r="C264" s="218">
        <f t="shared" si="90"/>
        <v>13.809510498188393</v>
      </c>
      <c r="D264" s="224">
        <v>2.5108200905797076</v>
      </c>
      <c r="E264" s="224">
        <v>11.298690407608685</v>
      </c>
      <c r="F264" s="224">
        <v>1.2554100452898538</v>
      </c>
      <c r="G264" s="220">
        <f t="shared" si="91"/>
        <v>13.124741382575744</v>
      </c>
      <c r="H264" s="224">
        <v>0</v>
      </c>
      <c r="I264" s="224">
        <v>13.124741382575744</v>
      </c>
      <c r="J264" s="224">
        <v>0</v>
      </c>
      <c r="K264" s="220">
        <f t="shared" si="85"/>
        <v>6.2103627486341448</v>
      </c>
      <c r="L264" s="220">
        <f t="shared" si="86"/>
        <v>4.0471471165182482</v>
      </c>
      <c r="M264" s="219">
        <f t="shared" si="92"/>
        <v>1.1291568633880262</v>
      </c>
      <c r="N264" s="219">
        <f t="shared" si="93"/>
        <v>0.73584493027604503</v>
      </c>
      <c r="O264" s="219">
        <f t="shared" si="94"/>
        <v>5.0812058852461188</v>
      </c>
      <c r="P264" s="219">
        <f t="shared" si="95"/>
        <v>3.311302186242203</v>
      </c>
      <c r="Q264" s="219">
        <f t="shared" si="96"/>
        <v>0.56457843169401312</v>
      </c>
      <c r="R264" s="219">
        <f t="shared" si="97"/>
        <v>0.36792246513802251</v>
      </c>
      <c r="S264" s="220">
        <f t="shared" si="87"/>
        <v>5.9024108768010466</v>
      </c>
      <c r="T264" s="220">
        <f t="shared" si="88"/>
        <v>3.8464621355338715</v>
      </c>
      <c r="U264" s="219">
        <f t="shared" si="98"/>
        <v>0</v>
      </c>
      <c r="V264" s="219">
        <f t="shared" si="89"/>
        <v>0</v>
      </c>
      <c r="W264" s="219">
        <f t="shared" si="99"/>
        <v>5.9024108768010466</v>
      </c>
      <c r="X264" s="219">
        <f t="shared" si="100"/>
        <v>3.8464621355338715</v>
      </c>
      <c r="Y264" s="219">
        <f t="shared" si="101"/>
        <v>0</v>
      </c>
      <c r="Z264" s="219">
        <f t="shared" si="102"/>
        <v>0</v>
      </c>
      <c r="AA264" s="232">
        <v>341215925702.96198</v>
      </c>
      <c r="AB264" s="239">
        <v>341.21592570296002</v>
      </c>
      <c r="AC264" s="237">
        <v>222362381347.61981</v>
      </c>
      <c r="AD264" s="199">
        <v>222.36238134761999</v>
      </c>
    </row>
    <row r="265" spans="1:30">
      <c r="A265" s="221" t="s">
        <v>540</v>
      </c>
      <c r="B265" s="215" t="s">
        <v>558</v>
      </c>
      <c r="C265" s="218">
        <f t="shared" si="90"/>
        <v>6.3</v>
      </c>
      <c r="D265" s="224">
        <v>1.3</v>
      </c>
      <c r="E265" s="224">
        <v>5</v>
      </c>
      <c r="F265" s="224">
        <v>0.6006120601465349</v>
      </c>
      <c r="G265" s="220">
        <f t="shared" si="91"/>
        <v>1.8</v>
      </c>
      <c r="H265" s="224">
        <v>0</v>
      </c>
      <c r="I265" s="224">
        <v>1.8</v>
      </c>
      <c r="J265" s="224">
        <v>0</v>
      </c>
      <c r="K265" s="220">
        <f t="shared" si="85"/>
        <v>6.3323544575431603</v>
      </c>
      <c r="L265" s="220">
        <f t="shared" si="86"/>
        <v>3.4670296316850679</v>
      </c>
      <c r="M265" s="219">
        <f t="shared" si="92"/>
        <v>1.3066763166358901</v>
      </c>
      <c r="N265" s="219">
        <f t="shared" si="93"/>
        <v>0.71541881288739506</v>
      </c>
      <c r="O265" s="219">
        <f t="shared" si="94"/>
        <v>5.0256781409072699</v>
      </c>
      <c r="P265" s="219">
        <f t="shared" si="95"/>
        <v>2.7516108187976727</v>
      </c>
      <c r="Q265" s="219">
        <f t="shared" si="96"/>
        <v>0.60369658036874452</v>
      </c>
      <c r="R265" s="219">
        <f t="shared" si="97"/>
        <v>0.33053012851991281</v>
      </c>
      <c r="S265" s="220">
        <f t="shared" si="87"/>
        <v>1.8092441307266172</v>
      </c>
      <c r="T265" s="220">
        <f t="shared" si="88"/>
        <v>0.99057989476716235</v>
      </c>
      <c r="U265" s="219">
        <f t="shared" si="98"/>
        <v>0</v>
      </c>
      <c r="V265" s="219">
        <f t="shared" si="89"/>
        <v>0</v>
      </c>
      <c r="W265" s="219">
        <f t="shared" si="99"/>
        <v>1.8092441307266172</v>
      </c>
      <c r="X265" s="219">
        <f t="shared" si="100"/>
        <v>0.99057989476716235</v>
      </c>
      <c r="Y265" s="219">
        <f t="shared" si="101"/>
        <v>0</v>
      </c>
      <c r="Z265" s="219">
        <f t="shared" si="102"/>
        <v>0</v>
      </c>
      <c r="AA265" s="232">
        <v>181711743748.14999</v>
      </c>
      <c r="AB265" s="239">
        <v>181.71174374815001</v>
      </c>
      <c r="AC265" s="237">
        <v>99489061173.693314</v>
      </c>
      <c r="AD265" s="199">
        <v>99.489061173690004</v>
      </c>
    </row>
    <row r="266" spans="1:30">
      <c r="A266" s="221" t="s">
        <v>541</v>
      </c>
      <c r="B266" s="215" t="s">
        <v>558</v>
      </c>
      <c r="C266" s="218">
        <f t="shared" si="90"/>
        <v>5.2</v>
      </c>
      <c r="D266" s="224">
        <v>0.4</v>
      </c>
      <c r="E266" s="224">
        <v>4.8</v>
      </c>
      <c r="F266" s="224">
        <v>0.47399999999999998</v>
      </c>
      <c r="G266" s="220">
        <f t="shared" si="91"/>
        <v>3.5</v>
      </c>
      <c r="H266" s="224">
        <v>1</v>
      </c>
      <c r="I266" s="224">
        <v>2.5</v>
      </c>
      <c r="J266" s="224">
        <v>0</v>
      </c>
      <c r="K266" s="220">
        <f t="shared" si="85"/>
        <v>10.313781381738993</v>
      </c>
      <c r="L266" s="220">
        <f t="shared" si="86"/>
        <v>6.8387429344058681</v>
      </c>
      <c r="M266" s="219">
        <f t="shared" si="92"/>
        <v>0.79336779859530726</v>
      </c>
      <c r="N266" s="219">
        <f t="shared" si="93"/>
        <v>0.5260571488004514</v>
      </c>
      <c r="O266" s="219">
        <f t="shared" si="94"/>
        <v>9.5204135831436858</v>
      </c>
      <c r="P266" s="219">
        <f t="shared" si="95"/>
        <v>6.3126857856054164</v>
      </c>
      <c r="Q266" s="219">
        <f t="shared" si="96"/>
        <v>0.94014084133543885</v>
      </c>
      <c r="R266" s="219">
        <f t="shared" si="97"/>
        <v>0.62337772132853486</v>
      </c>
      <c r="S266" s="220">
        <f t="shared" si="87"/>
        <v>6.9419682377089371</v>
      </c>
      <c r="T266" s="220">
        <f t="shared" si="88"/>
        <v>4.6030000520039493</v>
      </c>
      <c r="U266" s="219">
        <f t="shared" si="98"/>
        <v>1.9834194964882681</v>
      </c>
      <c r="V266" s="219">
        <f t="shared" si="89"/>
        <v>1.3151428720011284</v>
      </c>
      <c r="W266" s="219">
        <f t="shared" si="99"/>
        <v>4.9585487412206692</v>
      </c>
      <c r="X266" s="219">
        <f t="shared" si="100"/>
        <v>3.2878571800028213</v>
      </c>
      <c r="Y266" s="219">
        <f t="shared" si="101"/>
        <v>0</v>
      </c>
      <c r="Z266" s="219">
        <f t="shared" si="102"/>
        <v>0</v>
      </c>
      <c r="AA266" s="232">
        <v>76037366075.546799</v>
      </c>
      <c r="AB266" s="239">
        <v>76.037366075549997</v>
      </c>
      <c r="AC266" s="237">
        <v>50417977728.390221</v>
      </c>
      <c r="AD266" s="199">
        <v>50.417977728389999</v>
      </c>
    </row>
    <row r="267" spans="1:30">
      <c r="A267" s="221" t="s">
        <v>450</v>
      </c>
      <c r="B267" s="215" t="s">
        <v>558</v>
      </c>
      <c r="C267" s="218">
        <f t="shared" si="90"/>
        <v>22.474815922163589</v>
      </c>
      <c r="D267" s="224">
        <v>4.125811618561432</v>
      </c>
      <c r="E267" s="224">
        <v>18.349004303602158</v>
      </c>
      <c r="F267" s="224">
        <v>36.372286637317892</v>
      </c>
      <c r="G267" s="220">
        <f t="shared" si="91"/>
        <v>28.413813173092809</v>
      </c>
      <c r="H267" s="224">
        <v>1.2703156825570725</v>
      </c>
      <c r="I267" s="224">
        <v>27.143497490535736</v>
      </c>
      <c r="J267" s="224">
        <v>0</v>
      </c>
      <c r="K267" s="220">
        <f t="shared" si="85"/>
        <v>4.087658419220789</v>
      </c>
      <c r="L267" s="220">
        <f t="shared" si="86"/>
        <v>4.3137470638911193</v>
      </c>
      <c r="M267" s="219">
        <f t="shared" si="92"/>
        <v>0.75039140062990328</v>
      </c>
      <c r="N267" s="219">
        <f t="shared" si="93"/>
        <v>0.79189559626986727</v>
      </c>
      <c r="O267" s="219">
        <f t="shared" si="94"/>
        <v>3.3372670185908859</v>
      </c>
      <c r="P267" s="219">
        <f t="shared" si="95"/>
        <v>3.5218514676212522</v>
      </c>
      <c r="Q267" s="219">
        <f t="shared" si="96"/>
        <v>6.6152926108162537</v>
      </c>
      <c r="R267" s="219">
        <f t="shared" si="97"/>
        <v>6.9811848618527783</v>
      </c>
      <c r="S267" s="220">
        <f t="shared" si="87"/>
        <v>5.1678270932854131</v>
      </c>
      <c r="T267" s="220">
        <f t="shared" si="88"/>
        <v>5.4536599353637971</v>
      </c>
      <c r="U267" s="219">
        <f t="shared" si="98"/>
        <v>0.23104156282552288</v>
      </c>
      <c r="V267" s="219">
        <f t="shared" si="89"/>
        <v>0.24382048621993282</v>
      </c>
      <c r="W267" s="219">
        <f t="shared" si="99"/>
        <v>4.9367855304598907</v>
      </c>
      <c r="X267" s="219">
        <f t="shared" si="100"/>
        <v>5.209839449143864</v>
      </c>
      <c r="Y267" s="219">
        <f t="shared" si="101"/>
        <v>0</v>
      </c>
      <c r="Z267" s="219">
        <f t="shared" si="102"/>
        <v>0</v>
      </c>
      <c r="AA267" s="232">
        <v>521004490742.91901</v>
      </c>
      <c r="AB267" s="239">
        <v>521.00449074291998</v>
      </c>
      <c r="AC267" s="237">
        <v>549821281946.73523</v>
      </c>
      <c r="AD267" s="199">
        <v>549.82128194673999</v>
      </c>
    </row>
    <row r="268" spans="1:30">
      <c r="A268" s="221" t="s">
        <v>453</v>
      </c>
      <c r="B268" s="215" t="s">
        <v>558</v>
      </c>
      <c r="C268" s="218">
        <f t="shared" si="90"/>
        <v>59.481808256628398</v>
      </c>
      <c r="D268" s="224">
        <v>7.6892624776985965</v>
      </c>
      <c r="E268" s="224">
        <v>51.792545778929799</v>
      </c>
      <c r="F268" s="224">
        <v>0</v>
      </c>
      <c r="G268" s="220">
        <f t="shared" si="91"/>
        <v>46.733119713121745</v>
      </c>
      <c r="H268" s="224">
        <v>1.1716565626081807</v>
      </c>
      <c r="I268" s="224">
        <v>45.561463150513568</v>
      </c>
      <c r="J268" s="224">
        <v>0</v>
      </c>
      <c r="K268" s="220">
        <f t="shared" si="85"/>
        <v>7.96158872775273</v>
      </c>
      <c r="L268" s="220">
        <f t="shared" si="86"/>
        <v>10.067768594848534</v>
      </c>
      <c r="M268" s="219">
        <f t="shared" si="92"/>
        <v>1.0292011500903759</v>
      </c>
      <c r="N268" s="219">
        <f t="shared" si="93"/>
        <v>1.301468760944982</v>
      </c>
      <c r="O268" s="219">
        <f t="shared" si="94"/>
        <v>6.9323875776623538</v>
      </c>
      <c r="P268" s="219">
        <f t="shared" si="95"/>
        <v>8.7662998339035525</v>
      </c>
      <c r="Q268" s="219">
        <f t="shared" si="96"/>
        <v>0</v>
      </c>
      <c r="R268" s="219">
        <f t="shared" si="97"/>
        <v>0</v>
      </c>
      <c r="S268" s="220">
        <f t="shared" si="87"/>
        <v>6.2551877628778554</v>
      </c>
      <c r="T268" s="220">
        <f t="shared" si="88"/>
        <v>7.9099517781494795</v>
      </c>
      <c r="U268" s="219">
        <f t="shared" si="98"/>
        <v>0.15682522026588358</v>
      </c>
      <c r="V268" s="219">
        <f t="shared" si="89"/>
        <v>0.19831218133252257</v>
      </c>
      <c r="W268" s="219">
        <f t="shared" si="99"/>
        <v>6.0983625426119721</v>
      </c>
      <c r="X268" s="219">
        <f t="shared" si="100"/>
        <v>7.7116395968169567</v>
      </c>
      <c r="Y268" s="219">
        <f t="shared" si="101"/>
        <v>0</v>
      </c>
      <c r="Z268" s="219">
        <f t="shared" si="102"/>
        <v>0</v>
      </c>
      <c r="AA268" s="232">
        <v>590814217631.73499</v>
      </c>
      <c r="AB268" s="239">
        <v>590.81421763174001</v>
      </c>
      <c r="AC268" s="237">
        <v>747109782866.38879</v>
      </c>
      <c r="AD268" s="199">
        <v>747.10978286638999</v>
      </c>
    </row>
    <row r="269" spans="1:30">
      <c r="A269" s="217" t="s">
        <v>490</v>
      </c>
      <c r="B269" s="215" t="s">
        <v>558</v>
      </c>
      <c r="C269" s="218">
        <f t="shared" si="90"/>
        <v>32.063993334728977</v>
      </c>
      <c r="D269" s="224">
        <v>1.5165334699489497</v>
      </c>
      <c r="E269" s="224">
        <v>30.547459864780031</v>
      </c>
      <c r="F269" s="224">
        <v>4.0446076631681755</v>
      </c>
      <c r="G269" s="220">
        <f t="shared" si="91"/>
        <v>3.2859281358385646</v>
      </c>
      <c r="H269" s="224">
        <v>3.2859281358385646</v>
      </c>
      <c r="I269" s="224">
        <v>0</v>
      </c>
      <c r="J269" s="224">
        <v>3.0330682022598419</v>
      </c>
      <c r="K269" s="220">
        <f t="shared" si="85"/>
        <v>12.240059455466971</v>
      </c>
      <c r="L269" s="220">
        <f t="shared" si="86"/>
        <v>7.2659904949572853</v>
      </c>
      <c r="M269" s="219">
        <f t="shared" si="92"/>
        <v>0.5789191522278514</v>
      </c>
      <c r="N269" s="219">
        <f t="shared" si="93"/>
        <v>0.34366018177775415</v>
      </c>
      <c r="O269" s="219">
        <f t="shared" si="94"/>
        <v>11.661140303239121</v>
      </c>
      <c r="P269" s="219">
        <f t="shared" si="95"/>
        <v>6.9223303131795308</v>
      </c>
      <c r="Q269" s="219">
        <f t="shared" si="96"/>
        <v>1.543982302965204</v>
      </c>
      <c r="R269" s="219">
        <f t="shared" si="97"/>
        <v>0.91654462778910029</v>
      </c>
      <c r="S269" s="220">
        <f t="shared" si="87"/>
        <v>1.2543651481330917</v>
      </c>
      <c r="T269" s="220">
        <f t="shared" si="88"/>
        <v>0.74462099442416596</v>
      </c>
      <c r="U269" s="219">
        <f t="shared" si="98"/>
        <v>1.2543651481330917</v>
      </c>
      <c r="V269" s="219">
        <f t="shared" si="89"/>
        <v>0.74462099442416596</v>
      </c>
      <c r="W269" s="219">
        <f t="shared" si="99"/>
        <v>0</v>
      </c>
      <c r="X269" s="219">
        <f t="shared" si="100"/>
        <v>0</v>
      </c>
      <c r="Y269" s="219">
        <f t="shared" si="101"/>
        <v>1.1578387863478075</v>
      </c>
      <c r="Z269" s="219">
        <f t="shared" si="102"/>
        <v>0.68732064961812622</v>
      </c>
      <c r="AA269" s="232">
        <v>441288677118.17102</v>
      </c>
      <c r="AB269" s="239">
        <v>441.28867711817003</v>
      </c>
      <c r="AC269" s="237">
        <v>261959457397.9639</v>
      </c>
      <c r="AD269" s="199">
        <v>261.95945739796002</v>
      </c>
    </row>
    <row r="270" spans="1:30">
      <c r="A270" s="217" t="s">
        <v>481</v>
      </c>
      <c r="B270" s="215" t="s">
        <v>558</v>
      </c>
      <c r="C270" s="218">
        <f t="shared" si="90"/>
        <v>12.537379304867349</v>
      </c>
      <c r="D270" s="224">
        <v>3.8751505833461795</v>
      </c>
      <c r="E270" s="224">
        <v>8.6622287215211689</v>
      </c>
      <c r="F270" s="224">
        <v>0.4819569618750838</v>
      </c>
      <c r="G270" s="220">
        <f t="shared" si="91"/>
        <v>14.618458635750434</v>
      </c>
      <c r="H270" s="224">
        <v>7.6937118380227556</v>
      </c>
      <c r="I270" s="224">
        <v>6.9247467977276784</v>
      </c>
      <c r="J270" s="224">
        <v>0</v>
      </c>
      <c r="K270" s="220">
        <f t="shared" si="85"/>
        <v>3.900796701648173</v>
      </c>
      <c r="L270" s="220">
        <f t="shared" si="86"/>
        <v>1.8157769524161016</v>
      </c>
      <c r="M270" s="219">
        <f t="shared" si="92"/>
        <v>1.2056885451362442</v>
      </c>
      <c r="N270" s="219">
        <f t="shared" si="93"/>
        <v>0.56123444503669762</v>
      </c>
      <c r="O270" s="219">
        <f t="shared" si="94"/>
        <v>2.695108156511929</v>
      </c>
      <c r="P270" s="219">
        <f t="shared" si="95"/>
        <v>1.2545425073794041</v>
      </c>
      <c r="Q270" s="219">
        <f t="shared" si="96"/>
        <v>0.14995287942583252</v>
      </c>
      <c r="R270" s="219">
        <f t="shared" si="97"/>
        <v>6.9801377317308677E-2</v>
      </c>
      <c r="S270" s="220">
        <f t="shared" si="87"/>
        <v>4.5482898652812906</v>
      </c>
      <c r="T270" s="220">
        <f t="shared" si="88"/>
        <v>2.1171777311019637</v>
      </c>
      <c r="U270" s="219">
        <f t="shared" si="98"/>
        <v>2.3937702634185563</v>
      </c>
      <c r="V270" s="219">
        <f t="shared" si="89"/>
        <v>1.1142731103771495</v>
      </c>
      <c r="W270" s="219">
        <f t="shared" si="99"/>
        <v>2.1545196018627339</v>
      </c>
      <c r="X270" s="219">
        <f t="shared" si="100"/>
        <v>1.0029046207248142</v>
      </c>
      <c r="Y270" s="219">
        <f t="shared" si="101"/>
        <v>0</v>
      </c>
      <c r="Z270" s="219">
        <f t="shared" si="102"/>
        <v>0</v>
      </c>
      <c r="AA270" s="232">
        <v>690469128831.32397</v>
      </c>
      <c r="AB270" s="239">
        <v>690.46912883131995</v>
      </c>
      <c r="AC270" s="237">
        <v>321405606694.9129</v>
      </c>
      <c r="AD270" s="199">
        <v>321.40560669490998</v>
      </c>
    </row>
    <row r="271" spans="1:30">
      <c r="A271" s="217" t="s">
        <v>542</v>
      </c>
      <c r="B271" s="215" t="s">
        <v>558</v>
      </c>
      <c r="C271" s="218">
        <f t="shared" si="90"/>
        <v>1</v>
      </c>
      <c r="D271" s="224">
        <v>0.2</v>
      </c>
      <c r="E271" s="224">
        <v>0.8</v>
      </c>
      <c r="F271" s="224">
        <v>0</v>
      </c>
      <c r="G271" s="220">
        <f t="shared" si="91"/>
        <v>0</v>
      </c>
      <c r="H271" s="224">
        <v>0</v>
      </c>
      <c r="I271" s="224">
        <v>0</v>
      </c>
      <c r="J271" s="224">
        <v>0</v>
      </c>
      <c r="K271" s="220">
        <f t="shared" si="85"/>
        <v>1.5532172409282836</v>
      </c>
      <c r="L271" s="220">
        <f t="shared" si="86"/>
        <v>1.0960887530702714</v>
      </c>
      <c r="M271" s="219">
        <f t="shared" si="92"/>
        <v>0.3106434481856567</v>
      </c>
      <c r="N271" s="219">
        <f t="shared" si="93"/>
        <v>0.21921775061405427</v>
      </c>
      <c r="O271" s="219">
        <f t="shared" si="94"/>
        <v>1.2425737927426268</v>
      </c>
      <c r="P271" s="219">
        <f t="shared" si="95"/>
        <v>0.87687100245621707</v>
      </c>
      <c r="Q271" s="219">
        <f t="shared" si="96"/>
        <v>0</v>
      </c>
      <c r="R271" s="219">
        <f t="shared" si="97"/>
        <v>0</v>
      </c>
      <c r="S271" s="220">
        <f t="shared" si="87"/>
        <v>0</v>
      </c>
      <c r="T271" s="220">
        <f t="shared" si="88"/>
        <v>0</v>
      </c>
      <c r="U271" s="219">
        <f t="shared" si="98"/>
        <v>0</v>
      </c>
      <c r="V271" s="219">
        <f t="shared" si="89"/>
        <v>0</v>
      </c>
      <c r="W271" s="219">
        <f t="shared" si="99"/>
        <v>0</v>
      </c>
      <c r="X271" s="219">
        <f t="shared" si="100"/>
        <v>0</v>
      </c>
      <c r="Y271" s="219">
        <f t="shared" si="101"/>
        <v>0</v>
      </c>
      <c r="Z271" s="219">
        <f t="shared" si="102"/>
        <v>0</v>
      </c>
      <c r="AA271" s="232">
        <v>91233487908.610901</v>
      </c>
      <c r="AB271" s="239">
        <v>91.233487908610002</v>
      </c>
      <c r="AC271" s="237">
        <v>64382494196.515457</v>
      </c>
      <c r="AD271" s="199">
        <v>64.38249419652</v>
      </c>
    </row>
    <row r="272" spans="1:30">
      <c r="A272" s="217" t="s">
        <v>543</v>
      </c>
      <c r="B272" s="215" t="s">
        <v>558</v>
      </c>
      <c r="C272" s="218">
        <f t="shared" si="90"/>
        <v>17.8</v>
      </c>
      <c r="D272" s="224">
        <v>7.7</v>
      </c>
      <c r="E272" s="224">
        <v>10.100000000000001</v>
      </c>
      <c r="F272" s="224">
        <v>0</v>
      </c>
      <c r="G272" s="220">
        <f t="shared" si="91"/>
        <v>6.5</v>
      </c>
      <c r="H272" s="224">
        <v>0</v>
      </c>
      <c r="I272" s="224">
        <v>6.5</v>
      </c>
      <c r="J272" s="224">
        <v>0</v>
      </c>
      <c r="K272" s="220">
        <f t="shared" si="85"/>
        <v>12.077296792300434</v>
      </c>
      <c r="L272" s="220">
        <f t="shared" si="86"/>
        <v>5.7440077276799695</v>
      </c>
      <c r="M272" s="219">
        <f t="shared" si="92"/>
        <v>5.224448612399625</v>
      </c>
      <c r="N272" s="219">
        <f t="shared" si="93"/>
        <v>2.4847673878166159</v>
      </c>
      <c r="O272" s="219">
        <f t="shared" si="94"/>
        <v>6.8528481799008087</v>
      </c>
      <c r="P272" s="219">
        <f t="shared" si="95"/>
        <v>3.2592403398633536</v>
      </c>
      <c r="Q272" s="219">
        <f t="shared" si="96"/>
        <v>0</v>
      </c>
      <c r="R272" s="219">
        <f t="shared" si="97"/>
        <v>0</v>
      </c>
      <c r="S272" s="220">
        <f t="shared" si="87"/>
        <v>4.410248828649034</v>
      </c>
      <c r="T272" s="220">
        <f t="shared" si="88"/>
        <v>2.097530911793247</v>
      </c>
      <c r="U272" s="219">
        <f t="shared" si="98"/>
        <v>0</v>
      </c>
      <c r="V272" s="219">
        <f t="shared" si="89"/>
        <v>0</v>
      </c>
      <c r="W272" s="219">
        <f t="shared" si="99"/>
        <v>4.410248828649034</v>
      </c>
      <c r="X272" s="219">
        <f t="shared" si="100"/>
        <v>2.097530911793247</v>
      </c>
      <c r="Y272" s="219">
        <f t="shared" si="101"/>
        <v>0</v>
      </c>
      <c r="Z272" s="219">
        <f t="shared" si="102"/>
        <v>0</v>
      </c>
      <c r="AA272" s="232">
        <v>309888162479.70697</v>
      </c>
      <c r="AB272" s="239">
        <v>309.88816247970999</v>
      </c>
      <c r="AC272" s="237">
        <v>147383974295.86609</v>
      </c>
      <c r="AD272" s="199">
        <v>147.38397429586999</v>
      </c>
    </row>
    <row r="273" spans="1:30">
      <c r="A273" s="217" t="s">
        <v>487</v>
      </c>
      <c r="B273" s="215" t="s">
        <v>558</v>
      </c>
      <c r="C273" s="218">
        <f t="shared" si="90"/>
        <v>38.516359409090974</v>
      </c>
      <c r="D273" s="224">
        <v>3.7695771192652283</v>
      </c>
      <c r="E273" s="224">
        <v>34.746782289825745</v>
      </c>
      <c r="F273" s="224">
        <v>0</v>
      </c>
      <c r="G273" s="220">
        <f t="shared" si="91"/>
        <v>28.720587575354124</v>
      </c>
      <c r="H273" s="224">
        <v>9.7444850702094339</v>
      </c>
      <c r="I273" s="224">
        <v>18.976102505144688</v>
      </c>
      <c r="J273" s="224">
        <v>0</v>
      </c>
      <c r="K273" s="220">
        <f t="shared" si="85"/>
        <v>6.7394836974641494</v>
      </c>
      <c r="L273" s="220">
        <f t="shared" si="86"/>
        <v>3.168967804681333</v>
      </c>
      <c r="M273" s="219">
        <f t="shared" si="92"/>
        <v>0.65958994908603863</v>
      </c>
      <c r="N273" s="219">
        <f t="shared" si="93"/>
        <v>0.3101453177684127</v>
      </c>
      <c r="O273" s="219">
        <f t="shared" si="94"/>
        <v>6.0798937483781108</v>
      </c>
      <c r="P273" s="219">
        <f t="shared" si="95"/>
        <v>2.8588224869129202</v>
      </c>
      <c r="Q273" s="219">
        <f t="shared" si="96"/>
        <v>0</v>
      </c>
      <c r="R273" s="219">
        <f t="shared" si="97"/>
        <v>0</v>
      </c>
      <c r="S273" s="220">
        <f t="shared" si="87"/>
        <v>5.0254472311317233</v>
      </c>
      <c r="T273" s="220">
        <f t="shared" si="88"/>
        <v>2.3630119449021922</v>
      </c>
      <c r="U273" s="219">
        <f t="shared" si="98"/>
        <v>1.7050624534196916</v>
      </c>
      <c r="V273" s="219">
        <f t="shared" si="89"/>
        <v>0.8017361955918153</v>
      </c>
      <c r="W273" s="219">
        <f t="shared" si="99"/>
        <v>3.3203847777120314</v>
      </c>
      <c r="X273" s="219">
        <f t="shared" si="100"/>
        <v>1.561275749310377</v>
      </c>
      <c r="Y273" s="219">
        <f t="shared" si="101"/>
        <v>0</v>
      </c>
      <c r="Z273" s="219">
        <f t="shared" si="102"/>
        <v>0</v>
      </c>
      <c r="AA273" s="232">
        <v>1215422868992.01</v>
      </c>
      <c r="AB273" s="239">
        <v>1215.4228689920101</v>
      </c>
      <c r="AC273" s="237">
        <v>571503117124.28699</v>
      </c>
      <c r="AD273" s="199">
        <v>571.50311712429004</v>
      </c>
    </row>
  </sheetData>
  <phoneticPr fontId="29" type="noConversion"/>
  <pageMargins left="0.7" right="0.7" top="0.78740157499999996" bottom="0.78740157499999996"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B5FF-9408-42ED-A418-C3759952E0F7}">
  <dimension ref="A1:AE272"/>
  <sheetViews>
    <sheetView zoomScale="106" zoomScaleNormal="100" workbookViewId="0">
      <pane ySplit="1" topLeftCell="A117" activePane="bottomLeft" state="frozen"/>
      <selection pane="bottomLeft" activeCell="D222" sqref="D222"/>
    </sheetView>
  </sheetViews>
  <sheetFormatPr baseColWidth="10" defaultRowHeight="14.5"/>
  <cols>
    <col min="1" max="1" width="15.26953125" style="199" customWidth="1"/>
    <col min="2" max="2" width="10.90625" style="199"/>
    <col min="3" max="3" width="16" style="199" customWidth="1"/>
    <col min="4" max="4" width="14.6328125" style="245" customWidth="1"/>
    <col min="5" max="5" width="12" style="245" customWidth="1"/>
    <col min="6" max="6" width="11.6328125" style="245" customWidth="1"/>
    <col min="7" max="7" width="13.6328125" style="199" bestFit="1" customWidth="1"/>
    <col min="8" max="9" width="11" style="245" bestFit="1" customWidth="1"/>
    <col min="10" max="10" width="11.26953125" style="245" bestFit="1" customWidth="1"/>
    <col min="11" max="14" width="10.90625" style="199"/>
    <col min="15" max="15" width="11.6328125" style="199" customWidth="1"/>
    <col min="16" max="18" width="14.1796875" style="199" customWidth="1"/>
    <col min="19" max="26" width="10.90625" style="199"/>
    <col min="27" max="28" width="39.6328125" style="199" customWidth="1"/>
    <col min="29" max="29" width="36.54296875" style="199" customWidth="1"/>
    <col min="30" max="30" width="30.1796875" style="199" customWidth="1"/>
    <col min="31" max="31" width="32.6328125" style="199" customWidth="1"/>
    <col min="32" max="16384" width="10.90625" style="199"/>
  </cols>
  <sheetData>
    <row r="1" spans="1:30" s="231" customFormat="1" ht="61.5" customHeight="1">
      <c r="A1" s="227" t="s">
        <v>529</v>
      </c>
      <c r="B1" s="227" t="s">
        <v>544</v>
      </c>
      <c r="C1" s="228" t="s">
        <v>514</v>
      </c>
      <c r="D1" s="242" t="s">
        <v>515</v>
      </c>
      <c r="E1" s="242" t="s">
        <v>516</v>
      </c>
      <c r="F1" s="242" t="s">
        <v>517</v>
      </c>
      <c r="G1" s="229" t="s">
        <v>518</v>
      </c>
      <c r="H1" s="242" t="s">
        <v>519</v>
      </c>
      <c r="I1" s="242" t="s">
        <v>520</v>
      </c>
      <c r="J1" s="242" t="s">
        <v>521</v>
      </c>
      <c r="K1" s="228" t="s">
        <v>522</v>
      </c>
      <c r="L1" s="228" t="s">
        <v>549</v>
      </c>
      <c r="M1" s="229" t="s">
        <v>523</v>
      </c>
      <c r="N1" s="229" t="s">
        <v>550</v>
      </c>
      <c r="O1" s="229" t="s">
        <v>524</v>
      </c>
      <c r="P1" s="229" t="s">
        <v>551</v>
      </c>
      <c r="Q1" s="229" t="s">
        <v>525</v>
      </c>
      <c r="R1" s="229" t="s">
        <v>552</v>
      </c>
      <c r="S1" s="229" t="s">
        <v>526</v>
      </c>
      <c r="T1" s="229" t="s">
        <v>556</v>
      </c>
      <c r="U1" s="229" t="s">
        <v>527</v>
      </c>
      <c r="V1" s="229" t="s">
        <v>553</v>
      </c>
      <c r="W1" s="229" t="s">
        <v>528</v>
      </c>
      <c r="X1" s="229" t="s">
        <v>554</v>
      </c>
      <c r="Y1" s="229" t="s">
        <v>521</v>
      </c>
      <c r="Z1" s="241" t="s">
        <v>555</v>
      </c>
      <c r="AA1" s="230" t="s">
        <v>546</v>
      </c>
      <c r="AB1" s="230" t="s">
        <v>548</v>
      </c>
      <c r="AC1" s="231" t="s">
        <v>547</v>
      </c>
      <c r="AD1" s="231" t="s">
        <v>548</v>
      </c>
    </row>
    <row r="2" spans="1:30">
      <c r="A2" s="276" t="s">
        <v>461</v>
      </c>
      <c r="B2" s="276" t="s">
        <v>545</v>
      </c>
      <c r="C2" s="277">
        <f>D2+E2</f>
        <v>130.0051</v>
      </c>
      <c r="D2" s="243">
        <v>2.1168</v>
      </c>
      <c r="E2" s="243">
        <v>127.8883</v>
      </c>
      <c r="F2" s="243">
        <v>0</v>
      </c>
      <c r="G2" s="278">
        <f>H2+I2</f>
        <v>24.0029</v>
      </c>
      <c r="H2" s="243">
        <v>10.3255</v>
      </c>
      <c r="I2" s="243">
        <v>13.6774</v>
      </c>
      <c r="J2" s="243">
        <v>0</v>
      </c>
      <c r="K2" s="278">
        <f>M2+O2</f>
        <v>8.6973117749133309</v>
      </c>
      <c r="L2" s="278">
        <f>N2+P2</f>
        <v>10.599546192138643</v>
      </c>
      <c r="M2" s="243">
        <f>($D2/$AD2)*100</f>
        <v>0.14161344105067059</v>
      </c>
      <c r="N2" s="243">
        <f>($D2/$AB2)*100</f>
        <v>0.1725864552969005</v>
      </c>
      <c r="O2" s="243">
        <f>($E2/$AD2)*100</f>
        <v>8.5556983338626598</v>
      </c>
      <c r="P2" s="243">
        <f>($E2/$AB2)*100</f>
        <v>10.426959736841743</v>
      </c>
      <c r="Q2" s="243">
        <f>($F2/$AD2)*100</f>
        <v>0</v>
      </c>
      <c r="R2" s="243">
        <f>($F2/$AB2)*100</f>
        <v>0</v>
      </c>
      <c r="S2" s="278">
        <f>U2+W2</f>
        <v>1.6057885790793376</v>
      </c>
      <c r="T2" s="278">
        <f>V2+X2</f>
        <v>1.9569989738501388</v>
      </c>
      <c r="U2" s="243">
        <f>($H2/$AD2)*100</f>
        <v>0.690773613741827</v>
      </c>
      <c r="V2" s="243">
        <f>($H2/AB2)*100</f>
        <v>0.84185631338253319</v>
      </c>
      <c r="W2" s="243">
        <f>($I2/$AD2)*100</f>
        <v>0.91501496533751059</v>
      </c>
      <c r="X2" s="243">
        <f>($I2/$AB2)*100</f>
        <v>1.1151426604676056</v>
      </c>
      <c r="Y2" s="243">
        <f>($J2/$AD2)*100</f>
        <v>0</v>
      </c>
      <c r="Z2" s="243">
        <f>($J2/$AB2)*100</f>
        <v>0</v>
      </c>
      <c r="AA2" s="232">
        <v>1226515717214.5801</v>
      </c>
      <c r="AB2" s="239">
        <v>1226.51571721458</v>
      </c>
      <c r="AC2" s="237">
        <v>1494773366351.988</v>
      </c>
      <c r="AD2" s="199">
        <v>1494.77336635199</v>
      </c>
    </row>
    <row r="3" spans="1:30">
      <c r="A3" s="276" t="s">
        <v>459</v>
      </c>
      <c r="B3" s="276" t="s">
        <v>545</v>
      </c>
      <c r="C3" s="277">
        <f t="shared" ref="C3:C66" si="0">D3+E3</f>
        <v>81</v>
      </c>
      <c r="D3" s="243">
        <v>2.4</v>
      </c>
      <c r="E3" s="243">
        <v>78.599999999999994</v>
      </c>
      <c r="F3" s="243">
        <v>63.75</v>
      </c>
      <c r="G3" s="278">
        <f t="shared" ref="G3:G66" si="1">H3+I3</f>
        <v>51.7</v>
      </c>
      <c r="H3" s="243">
        <v>3.7</v>
      </c>
      <c r="I3" s="243">
        <v>48</v>
      </c>
      <c r="J3" s="243">
        <v>0</v>
      </c>
      <c r="K3" s="278">
        <f t="shared" ref="K3:L66" si="2">M3+O3</f>
        <v>4.7742400680565593</v>
      </c>
      <c r="L3" s="278">
        <f t="shared" si="2"/>
        <v>4.6997712099071647</v>
      </c>
      <c r="M3" s="243">
        <f t="shared" ref="M3:M66" si="3">($D3/$AD3)*100</f>
        <v>0.14145896497945359</v>
      </c>
      <c r="N3" s="243">
        <f t="shared" ref="N3:N66" si="4">($D3/$AB3)*100</f>
        <v>0.13925248029354564</v>
      </c>
      <c r="O3" s="243">
        <f t="shared" ref="O3:O66" si="5">($E3/$AD3)*100</f>
        <v>4.6327811030771056</v>
      </c>
      <c r="P3" s="243">
        <f t="shared" ref="P3:P66" si="6">($E3/$AB3)*100</f>
        <v>4.5605187296136194</v>
      </c>
      <c r="Q3" s="243">
        <f t="shared" ref="Q3:Q65" si="7">($F3/$AD3)*100</f>
        <v>3.7575037572667362</v>
      </c>
      <c r="R3" s="243">
        <f t="shared" ref="R3:R66" si="8">($F3/$AB3)*100</f>
        <v>3.6988940077973065</v>
      </c>
      <c r="S3" s="278">
        <f t="shared" ref="S3:T66" si="9">U3+W3</f>
        <v>3.0472618705990637</v>
      </c>
      <c r="T3" s="278">
        <f t="shared" si="9"/>
        <v>2.999730512990129</v>
      </c>
      <c r="U3" s="243">
        <f t="shared" ref="U3:U66" si="10">($H3/$AD3)*100</f>
        <v>0.21808257100999098</v>
      </c>
      <c r="V3" s="243">
        <f t="shared" ref="V3:V39" si="11">($H3/AB3)*100</f>
        <v>0.21468090711921622</v>
      </c>
      <c r="W3" s="243">
        <f t="shared" ref="W3:W66" si="12">($I3/$AD3)*100</f>
        <v>2.8291792995890725</v>
      </c>
      <c r="X3" s="243">
        <f t="shared" ref="X3:X66" si="13">($I3/$AB3)*100</f>
        <v>2.7850496058709129</v>
      </c>
      <c r="Y3" s="243">
        <f t="shared" ref="Y3:Y66" si="14">($J3/$AD3)*100</f>
        <v>0</v>
      </c>
      <c r="Z3" s="243">
        <f t="shared" ref="Z3:Z66" si="15">($J3/$AB3)*100</f>
        <v>0</v>
      </c>
      <c r="AA3" s="232">
        <v>1723488152556.26</v>
      </c>
      <c r="AB3" s="239">
        <v>1723.48815255626</v>
      </c>
      <c r="AC3" s="237">
        <v>1696605089927.3779</v>
      </c>
      <c r="AD3" s="199">
        <v>1696.60508992738</v>
      </c>
    </row>
    <row r="4" spans="1:30">
      <c r="A4" s="276" t="s">
        <v>457</v>
      </c>
      <c r="B4" s="276" t="s">
        <v>545</v>
      </c>
      <c r="C4" s="277">
        <f t="shared" si="0"/>
        <v>16.5</v>
      </c>
      <c r="D4" s="279">
        <v>5.5</v>
      </c>
      <c r="E4" s="279">
        <v>11</v>
      </c>
      <c r="F4" s="279">
        <v>48.5</v>
      </c>
      <c r="G4" s="278">
        <f t="shared" si="1"/>
        <v>348</v>
      </c>
      <c r="H4" s="279">
        <v>0</v>
      </c>
      <c r="I4" s="279">
        <v>348</v>
      </c>
      <c r="J4" s="243">
        <v>0</v>
      </c>
      <c r="K4" s="278">
        <f t="shared" si="2"/>
        <v>0.630538110393977</v>
      </c>
      <c r="L4" s="278">
        <f t="shared" si="2"/>
        <v>0.56757783839276432</v>
      </c>
      <c r="M4" s="243">
        <f t="shared" si="3"/>
        <v>0.21017937013132568</v>
      </c>
      <c r="N4" s="243">
        <f t="shared" si="4"/>
        <v>0.18919261279758812</v>
      </c>
      <c r="O4" s="243">
        <f t="shared" si="5"/>
        <v>0.42035874026265135</v>
      </c>
      <c r="P4" s="243">
        <f t="shared" si="6"/>
        <v>0.37838522559517623</v>
      </c>
      <c r="Q4" s="243">
        <f t="shared" si="7"/>
        <v>1.8533999002489625</v>
      </c>
      <c r="R4" s="243">
        <f t="shared" si="8"/>
        <v>1.6683348583060043</v>
      </c>
      <c r="S4" s="278">
        <f t="shared" si="9"/>
        <v>13.298621964672968</v>
      </c>
      <c r="T4" s="278">
        <f t="shared" si="9"/>
        <v>11.970732591556484</v>
      </c>
      <c r="U4" s="243">
        <f t="shared" si="10"/>
        <v>0</v>
      </c>
      <c r="V4" s="243">
        <f t="shared" si="11"/>
        <v>0</v>
      </c>
      <c r="W4" s="243">
        <f t="shared" si="12"/>
        <v>13.298621964672968</v>
      </c>
      <c r="X4" s="243">
        <f t="shared" si="13"/>
        <v>11.970732591556484</v>
      </c>
      <c r="Y4" s="243">
        <f t="shared" si="14"/>
        <v>0</v>
      </c>
      <c r="Z4" s="243">
        <f t="shared" si="15"/>
        <v>0</v>
      </c>
      <c r="AA4" s="232">
        <v>2907090249810.2798</v>
      </c>
      <c r="AB4" s="239">
        <v>2907.0902498102801</v>
      </c>
      <c r="AC4" s="237">
        <v>2616812485718.0068</v>
      </c>
      <c r="AD4" s="199">
        <v>2616.8124857180101</v>
      </c>
    </row>
    <row r="5" spans="1:30">
      <c r="A5" s="276" t="s">
        <v>458</v>
      </c>
      <c r="B5" s="276" t="s">
        <v>545</v>
      </c>
      <c r="C5" s="277">
        <f t="shared" si="0"/>
        <v>143</v>
      </c>
      <c r="D5" s="243">
        <v>11.2</v>
      </c>
      <c r="E5" s="243">
        <v>131.80000000000001</v>
      </c>
      <c r="F5" s="243">
        <v>0</v>
      </c>
      <c r="G5" s="278">
        <f t="shared" si="1"/>
        <v>1072</v>
      </c>
      <c r="H5" s="243">
        <v>223</v>
      </c>
      <c r="I5" s="243">
        <v>849</v>
      </c>
      <c r="J5" s="243">
        <v>0</v>
      </c>
      <c r="K5" s="278">
        <f t="shared" si="2"/>
        <v>3.9751844662002656</v>
      </c>
      <c r="L5" s="278">
        <f t="shared" si="2"/>
        <v>3.4360258824878329</v>
      </c>
      <c r="M5" s="243">
        <f t="shared" si="3"/>
        <v>0.3113431190310697</v>
      </c>
      <c r="N5" s="243">
        <f t="shared" si="4"/>
        <v>0.26911531387317289</v>
      </c>
      <c r="O5" s="243">
        <f t="shared" si="5"/>
        <v>3.6638413471691957</v>
      </c>
      <c r="P5" s="243">
        <f t="shared" si="6"/>
        <v>3.1669105686146599</v>
      </c>
      <c r="Q5" s="243">
        <f t="shared" si="7"/>
        <v>0</v>
      </c>
      <c r="R5" s="243">
        <f t="shared" si="8"/>
        <v>0</v>
      </c>
      <c r="S5" s="278">
        <f t="shared" si="9"/>
        <v>29.799984250116676</v>
      </c>
      <c r="T5" s="278">
        <f t="shared" si="9"/>
        <v>25.758180042146549</v>
      </c>
      <c r="U5" s="243">
        <f t="shared" si="10"/>
        <v>6.1990638878507633</v>
      </c>
      <c r="V5" s="243">
        <f t="shared" si="11"/>
        <v>5.3582781244390683</v>
      </c>
      <c r="W5" s="243">
        <f t="shared" si="12"/>
        <v>23.600920362265914</v>
      </c>
      <c r="X5" s="243">
        <f t="shared" si="13"/>
        <v>20.399901917707481</v>
      </c>
      <c r="Y5" s="243">
        <f t="shared" si="14"/>
        <v>0</v>
      </c>
      <c r="Z5" s="243">
        <f t="shared" si="15"/>
        <v>0</v>
      </c>
      <c r="AA5" s="232">
        <v>4161784715558.1299</v>
      </c>
      <c r="AB5" s="239">
        <v>4161.7847155581303</v>
      </c>
      <c r="AC5" s="237">
        <v>3597317337494.2358</v>
      </c>
      <c r="AD5" s="199">
        <v>3597.3173374942398</v>
      </c>
    </row>
    <row r="6" spans="1:30">
      <c r="A6" s="276" t="s">
        <v>455</v>
      </c>
      <c r="B6" s="276" t="s">
        <v>545</v>
      </c>
      <c r="C6" s="277">
        <f t="shared" si="0"/>
        <v>22</v>
      </c>
      <c r="D6" s="243">
        <v>3.63</v>
      </c>
      <c r="E6" s="243">
        <v>18.37</v>
      </c>
      <c r="F6" s="243">
        <v>0</v>
      </c>
      <c r="G6" s="278">
        <f t="shared" si="1"/>
        <v>591</v>
      </c>
      <c r="H6" s="243">
        <v>0</v>
      </c>
      <c r="I6" s="243">
        <v>591</v>
      </c>
      <c r="J6" s="243">
        <v>0</v>
      </c>
      <c r="K6" s="278">
        <f t="shared" si="2"/>
        <v>1.1469339016069102</v>
      </c>
      <c r="L6" s="278">
        <f t="shared" si="2"/>
        <v>0.94111212635674024</v>
      </c>
      <c r="M6" s="243">
        <f t="shared" si="3"/>
        <v>0.18924409376514018</v>
      </c>
      <c r="N6" s="243">
        <f t="shared" si="4"/>
        <v>0.15528350084886214</v>
      </c>
      <c r="O6" s="243">
        <f t="shared" si="5"/>
        <v>0.95768980784176994</v>
      </c>
      <c r="P6" s="243">
        <f t="shared" si="6"/>
        <v>0.78582862550787813</v>
      </c>
      <c r="Q6" s="243">
        <f t="shared" si="7"/>
        <v>0</v>
      </c>
      <c r="R6" s="243">
        <f t="shared" si="8"/>
        <v>0</v>
      </c>
      <c r="S6" s="278">
        <f t="shared" si="9"/>
        <v>30.810815265894721</v>
      </c>
      <c r="T6" s="278">
        <f t="shared" si="9"/>
        <v>25.281693939856066</v>
      </c>
      <c r="U6" s="243">
        <f t="shared" si="10"/>
        <v>0</v>
      </c>
      <c r="V6" s="243">
        <f t="shared" si="11"/>
        <v>0</v>
      </c>
      <c r="W6" s="243">
        <f t="shared" si="12"/>
        <v>30.810815265894721</v>
      </c>
      <c r="X6" s="243">
        <f t="shared" si="13"/>
        <v>25.281693939856066</v>
      </c>
      <c r="Y6" s="243">
        <f t="shared" si="14"/>
        <v>0</v>
      </c>
      <c r="Z6" s="243">
        <f t="shared" si="15"/>
        <v>0</v>
      </c>
      <c r="AA6" s="232">
        <v>2337659815857.1201</v>
      </c>
      <c r="AB6" s="239">
        <v>2337.6598158571201</v>
      </c>
      <c r="AC6" s="237">
        <v>1918157617381.1699</v>
      </c>
      <c r="AD6" s="199">
        <v>1918.15761738117</v>
      </c>
    </row>
    <row r="7" spans="1:30">
      <c r="A7" s="276" t="s">
        <v>460</v>
      </c>
      <c r="B7" s="276" t="s">
        <v>545</v>
      </c>
      <c r="C7" s="277">
        <f t="shared" si="0"/>
        <v>497</v>
      </c>
      <c r="D7" s="243">
        <v>12.1906</v>
      </c>
      <c r="E7" s="243">
        <v>484.80939999999998</v>
      </c>
      <c r="F7" s="243">
        <v>0</v>
      </c>
      <c r="G7" s="278">
        <f t="shared" si="1"/>
        <v>518</v>
      </c>
      <c r="H7" s="243">
        <v>499</v>
      </c>
      <c r="I7" s="243">
        <v>19</v>
      </c>
      <c r="J7" s="243">
        <v>0</v>
      </c>
      <c r="K7" s="278">
        <f t="shared" si="2"/>
        <v>10.88877715515526</v>
      </c>
      <c r="L7" s="278">
        <f t="shared" si="2"/>
        <v>9.3335923458114554</v>
      </c>
      <c r="M7" s="243">
        <f t="shared" si="3"/>
        <v>0.26708395731918655</v>
      </c>
      <c r="N7" s="243">
        <f t="shared" si="4"/>
        <v>0.22893780855301635</v>
      </c>
      <c r="O7" s="243">
        <f t="shared" si="5"/>
        <v>10.621693197836073</v>
      </c>
      <c r="P7" s="243">
        <f t="shared" si="6"/>
        <v>9.1046545372584387</v>
      </c>
      <c r="Q7" s="243">
        <f t="shared" si="7"/>
        <v>0</v>
      </c>
      <c r="R7" s="243">
        <f t="shared" si="8"/>
        <v>0</v>
      </c>
      <c r="S7" s="278">
        <f t="shared" si="9"/>
        <v>11.348866330725201</v>
      </c>
      <c r="T7" s="278">
        <f t="shared" si="9"/>
        <v>9.7279694871837705</v>
      </c>
      <c r="U7" s="243">
        <f t="shared" si="10"/>
        <v>10.932595171876207</v>
      </c>
      <c r="V7" s="243">
        <f t="shared" si="11"/>
        <v>9.3711520735612002</v>
      </c>
      <c r="W7" s="243">
        <f t="shared" si="12"/>
        <v>0.41627115884899385</v>
      </c>
      <c r="X7" s="243">
        <f t="shared" si="13"/>
        <v>0.35681741362257074</v>
      </c>
      <c r="Y7" s="243">
        <f t="shared" si="14"/>
        <v>0</v>
      </c>
      <c r="Z7" s="243">
        <f t="shared" si="15"/>
        <v>0</v>
      </c>
      <c r="AA7" s="232">
        <v>5324852228231.6504</v>
      </c>
      <c r="AB7" s="239">
        <v>5324.8522282316499</v>
      </c>
      <c r="AC7" s="237">
        <v>4564332550094.4502</v>
      </c>
      <c r="AD7" s="199">
        <v>4564.3325500944502</v>
      </c>
    </row>
    <row r="8" spans="1:30">
      <c r="A8" s="276" t="s">
        <v>448</v>
      </c>
      <c r="B8" s="276" t="s">
        <v>545</v>
      </c>
      <c r="C8" s="277">
        <f t="shared" si="0"/>
        <v>24</v>
      </c>
      <c r="D8" s="243">
        <v>2.5</v>
      </c>
      <c r="E8" s="243">
        <v>21.5</v>
      </c>
      <c r="F8" s="243">
        <v>14</v>
      </c>
      <c r="G8" s="278">
        <f t="shared" si="1"/>
        <v>215</v>
      </c>
      <c r="H8" s="243">
        <v>101</v>
      </c>
      <c r="I8" s="243">
        <v>114</v>
      </c>
      <c r="J8" s="243">
        <v>0</v>
      </c>
      <c r="K8" s="278">
        <f t="shared" si="2"/>
        <v>1.465070020161209</v>
      </c>
      <c r="L8" s="278">
        <f t="shared" si="2"/>
        <v>1.1128940232744176</v>
      </c>
      <c r="M8" s="243">
        <f t="shared" si="3"/>
        <v>0.15261146043345927</v>
      </c>
      <c r="N8" s="243">
        <f t="shared" si="4"/>
        <v>0.11592646075775184</v>
      </c>
      <c r="O8" s="243">
        <f t="shared" si="5"/>
        <v>1.3124585597277498</v>
      </c>
      <c r="P8" s="243">
        <f t="shared" si="6"/>
        <v>0.99696756251666574</v>
      </c>
      <c r="Q8" s="243">
        <f t="shared" si="7"/>
        <v>0.85462417842737204</v>
      </c>
      <c r="R8" s="243">
        <f t="shared" si="8"/>
        <v>0.64918818024341018</v>
      </c>
      <c r="S8" s="278">
        <f t="shared" si="9"/>
        <v>13.124585597277498</v>
      </c>
      <c r="T8" s="278">
        <f t="shared" si="9"/>
        <v>9.9696756251666585</v>
      </c>
      <c r="U8" s="243">
        <f t="shared" si="10"/>
        <v>6.1655030015117545</v>
      </c>
      <c r="V8" s="243">
        <f t="shared" si="11"/>
        <v>4.6834290146131741</v>
      </c>
      <c r="W8" s="243">
        <f t="shared" si="12"/>
        <v>6.9590825957657438</v>
      </c>
      <c r="X8" s="243">
        <f t="shared" si="13"/>
        <v>5.2862466105534835</v>
      </c>
      <c r="Y8" s="243">
        <f t="shared" si="14"/>
        <v>0</v>
      </c>
      <c r="Z8" s="243">
        <f t="shared" si="15"/>
        <v>0</v>
      </c>
      <c r="AA8" s="232">
        <v>2156539571430.7</v>
      </c>
      <c r="AB8" s="239">
        <v>2156.5395714307001</v>
      </c>
      <c r="AC8" s="237">
        <v>1638146960195.0569</v>
      </c>
      <c r="AD8" s="199">
        <v>1638.14696019506</v>
      </c>
    </row>
    <row r="9" spans="1:30">
      <c r="A9" s="276" t="s">
        <v>449</v>
      </c>
      <c r="B9" s="276" t="s">
        <v>545</v>
      </c>
      <c r="C9" s="277">
        <f t="shared" si="0"/>
        <v>14.892900000000001</v>
      </c>
      <c r="D9" s="243">
        <v>4.1786000000000003</v>
      </c>
      <c r="E9" s="243">
        <v>10.7143</v>
      </c>
      <c r="F9" s="243">
        <v>0</v>
      </c>
      <c r="G9" s="278">
        <f t="shared" si="1"/>
        <v>175.61519999999999</v>
      </c>
      <c r="H9" s="243">
        <v>11</v>
      </c>
      <c r="I9" s="243">
        <v>164.61519999999999</v>
      </c>
      <c r="J9" s="243">
        <v>11.4316</v>
      </c>
      <c r="K9" s="278">
        <f t="shared" si="2"/>
        <v>1.1249106429758049</v>
      </c>
      <c r="L9" s="278">
        <f t="shared" si="2"/>
        <v>0.82898248866192525</v>
      </c>
      <c r="M9" s="243">
        <f t="shared" si="3"/>
        <v>0.31562366045153722</v>
      </c>
      <c r="N9" s="243">
        <f t="shared" si="4"/>
        <v>0.23259313009035992</v>
      </c>
      <c r="O9" s="243">
        <f t="shared" si="5"/>
        <v>0.80928698252426767</v>
      </c>
      <c r="P9" s="243">
        <f t="shared" si="6"/>
        <v>0.59638935857156539</v>
      </c>
      <c r="Q9" s="243">
        <f t="shared" si="7"/>
        <v>0</v>
      </c>
      <c r="R9" s="243">
        <f t="shared" si="8"/>
        <v>0</v>
      </c>
      <c r="S9" s="278">
        <f t="shared" si="9"/>
        <v>13.264804540977552</v>
      </c>
      <c r="T9" s="278">
        <f t="shared" si="9"/>
        <v>9.7752570381095509</v>
      </c>
      <c r="U9" s="243">
        <f t="shared" si="10"/>
        <v>0.83086686090243378</v>
      </c>
      <c r="V9" s="243">
        <f t="shared" si="11"/>
        <v>0.61229225841046264</v>
      </c>
      <c r="W9" s="243">
        <f t="shared" si="12"/>
        <v>12.433937680075118</v>
      </c>
      <c r="X9" s="243">
        <f t="shared" si="13"/>
        <v>9.1629647796990881</v>
      </c>
      <c r="Y9" s="243">
        <f t="shared" si="14"/>
        <v>0.86346705519020561</v>
      </c>
      <c r="Z9" s="243">
        <f t="shared" si="15"/>
        <v>0.63631638011318581</v>
      </c>
      <c r="AA9" s="232">
        <v>1796527695541.4199</v>
      </c>
      <c r="AB9" s="239">
        <v>1796.5276955414199</v>
      </c>
      <c r="AC9" s="237">
        <v>1323918490148.05</v>
      </c>
      <c r="AD9" s="199">
        <v>1323.9184901480501</v>
      </c>
    </row>
    <row r="10" spans="1:30">
      <c r="A10" s="276" t="s">
        <v>463</v>
      </c>
      <c r="B10" s="276" t="s">
        <v>545</v>
      </c>
      <c r="C10" s="277">
        <f t="shared" si="0"/>
        <v>83.000000005000004</v>
      </c>
      <c r="D10" s="243">
        <v>6.384615385</v>
      </c>
      <c r="E10" s="243">
        <v>76.61538462</v>
      </c>
      <c r="F10" s="243">
        <v>0</v>
      </c>
      <c r="G10" s="278">
        <f t="shared" si="1"/>
        <v>423</v>
      </c>
      <c r="H10" s="243">
        <v>423</v>
      </c>
      <c r="I10" s="243">
        <v>0</v>
      </c>
      <c r="J10" s="243">
        <v>0</v>
      </c>
      <c r="K10" s="278">
        <f t="shared" si="2"/>
        <v>2.628755024499684</v>
      </c>
      <c r="L10" s="278">
        <f t="shared" si="2"/>
        <v>2.8212212457603547</v>
      </c>
      <c r="M10" s="243">
        <f t="shared" si="3"/>
        <v>0.20221192496151416</v>
      </c>
      <c r="N10" s="243">
        <f t="shared" si="4"/>
        <v>0.2170170189046427</v>
      </c>
      <c r="O10" s="243">
        <f t="shared" si="5"/>
        <v>2.4265430995381698</v>
      </c>
      <c r="P10" s="243">
        <f t="shared" si="6"/>
        <v>2.6042042268557122</v>
      </c>
      <c r="Q10" s="243">
        <f t="shared" si="7"/>
        <v>0</v>
      </c>
      <c r="R10" s="243">
        <f t="shared" si="8"/>
        <v>0</v>
      </c>
      <c r="S10" s="278">
        <f t="shared" si="9"/>
        <v>13.397149099956392</v>
      </c>
      <c r="T10" s="278">
        <f t="shared" si="9"/>
        <v>14.378031167286023</v>
      </c>
      <c r="U10" s="243">
        <f t="shared" si="10"/>
        <v>13.397149099956392</v>
      </c>
      <c r="V10" s="243">
        <f t="shared" si="11"/>
        <v>14.378031167286023</v>
      </c>
      <c r="W10" s="243">
        <f t="shared" si="12"/>
        <v>0</v>
      </c>
      <c r="X10" s="243">
        <f t="shared" si="13"/>
        <v>0</v>
      </c>
      <c r="Y10" s="243">
        <f t="shared" si="14"/>
        <v>0</v>
      </c>
      <c r="Z10" s="243">
        <f t="shared" si="15"/>
        <v>0</v>
      </c>
      <c r="AA10" s="232">
        <v>2941988336778.9702</v>
      </c>
      <c r="AB10" s="239">
        <v>2941.9883367789698</v>
      </c>
      <c r="AC10" s="237">
        <v>3157388164033.9238</v>
      </c>
      <c r="AD10" s="199">
        <v>3157.38816403392</v>
      </c>
    </row>
    <row r="11" spans="1:30">
      <c r="A11" s="276" t="s">
        <v>464</v>
      </c>
      <c r="B11" s="276" t="s">
        <v>545</v>
      </c>
      <c r="C11" s="277">
        <f t="shared" si="0"/>
        <v>1395</v>
      </c>
      <c r="D11" s="243">
        <v>9.4499999999999993</v>
      </c>
      <c r="E11" s="243">
        <v>1385.55</v>
      </c>
      <c r="F11" s="243">
        <v>0</v>
      </c>
      <c r="G11" s="278">
        <f t="shared" si="1"/>
        <v>859</v>
      </c>
      <c r="H11" s="243">
        <v>405</v>
      </c>
      <c r="I11" s="243">
        <v>454</v>
      </c>
      <c r="J11" s="243">
        <v>0</v>
      </c>
      <c r="K11" s="278">
        <f t="shared" si="2"/>
        <v>6.9998581774039028</v>
      </c>
      <c r="L11" s="278">
        <f t="shared" si="2"/>
        <v>6.9840045164241253</v>
      </c>
      <c r="M11" s="243">
        <f t="shared" si="3"/>
        <v>4.7418394104994176E-2</v>
      </c>
      <c r="N11" s="243">
        <f t="shared" si="4"/>
        <v>4.7310998337066652E-2</v>
      </c>
      <c r="O11" s="243">
        <f t="shared" si="5"/>
        <v>6.9524397832989084</v>
      </c>
      <c r="P11" s="243">
        <f t="shared" si="6"/>
        <v>6.9366935180870586</v>
      </c>
      <c r="Q11" s="243">
        <f t="shared" si="7"/>
        <v>0</v>
      </c>
      <c r="R11" s="243">
        <f t="shared" si="8"/>
        <v>0</v>
      </c>
      <c r="S11" s="278">
        <f t="shared" si="9"/>
        <v>4.3103069350465608</v>
      </c>
      <c r="T11" s="278">
        <f t="shared" si="9"/>
        <v>4.3005447165651063</v>
      </c>
      <c r="U11" s="243">
        <f t="shared" si="10"/>
        <v>2.0322168902140363</v>
      </c>
      <c r="V11" s="243">
        <f t="shared" si="11"/>
        <v>2.0276142144457139</v>
      </c>
      <c r="W11" s="243">
        <f t="shared" si="12"/>
        <v>2.2780900448325245</v>
      </c>
      <c r="X11" s="243">
        <f t="shared" si="13"/>
        <v>2.2729305021193928</v>
      </c>
      <c r="Y11" s="243">
        <f t="shared" si="14"/>
        <v>0</v>
      </c>
      <c r="Z11" s="243">
        <f t="shared" si="15"/>
        <v>0</v>
      </c>
      <c r="AA11" s="232">
        <v>19974213887167.602</v>
      </c>
      <c r="AB11" s="239">
        <v>19974.2138871676</v>
      </c>
      <c r="AC11" s="237">
        <v>19928975197000</v>
      </c>
      <c r="AD11" s="199">
        <v>19928.975197</v>
      </c>
    </row>
    <row r="12" spans="1:30">
      <c r="A12" s="276" t="s">
        <v>466</v>
      </c>
      <c r="B12" s="276" t="s">
        <v>545</v>
      </c>
      <c r="C12" s="277">
        <f t="shared" si="0"/>
        <v>7.9</v>
      </c>
      <c r="D12" s="243">
        <v>7.9</v>
      </c>
      <c r="E12" s="243">
        <v>0</v>
      </c>
      <c r="F12" s="243">
        <v>0</v>
      </c>
      <c r="G12" s="278">
        <f t="shared" si="1"/>
        <v>3.3</v>
      </c>
      <c r="H12" s="243">
        <v>3.3</v>
      </c>
      <c r="I12" s="243">
        <v>0</v>
      </c>
      <c r="J12" s="243">
        <v>0</v>
      </c>
      <c r="K12" s="278">
        <f t="shared" si="2"/>
        <v>0.61759698290329401</v>
      </c>
      <c r="L12" s="278">
        <f t="shared" si="2"/>
        <v>0.33170036555446009</v>
      </c>
      <c r="M12" s="243">
        <f t="shared" si="3"/>
        <v>0.61759698290329401</v>
      </c>
      <c r="N12" s="243">
        <f t="shared" si="4"/>
        <v>0.33170036555446009</v>
      </c>
      <c r="O12" s="243">
        <f t="shared" si="5"/>
        <v>0</v>
      </c>
      <c r="P12" s="243">
        <f t="shared" si="6"/>
        <v>0</v>
      </c>
      <c r="Q12" s="243">
        <f t="shared" si="7"/>
        <v>0</v>
      </c>
      <c r="R12" s="243">
        <f t="shared" si="8"/>
        <v>0</v>
      </c>
      <c r="S12" s="278">
        <f t="shared" si="9"/>
        <v>0.25798354982036326</v>
      </c>
      <c r="T12" s="278">
        <f t="shared" si="9"/>
        <v>0.1385583805480656</v>
      </c>
      <c r="U12" s="243">
        <f t="shared" si="10"/>
        <v>0.25798354982036326</v>
      </c>
      <c r="V12" s="243">
        <f t="shared" si="11"/>
        <v>0.1385583805480656</v>
      </c>
      <c r="W12" s="243">
        <f t="shared" si="12"/>
        <v>0</v>
      </c>
      <c r="X12" s="243">
        <f t="shared" si="13"/>
        <v>0</v>
      </c>
      <c r="Y12" s="243">
        <f t="shared" si="14"/>
        <v>0</v>
      </c>
      <c r="Z12" s="243">
        <f t="shared" si="15"/>
        <v>0</v>
      </c>
      <c r="AA12" s="232">
        <v>2381667559152.25</v>
      </c>
      <c r="AB12" s="239">
        <v>2381.6675591522499</v>
      </c>
      <c r="AC12" s="237">
        <v>1279151326624.439</v>
      </c>
      <c r="AD12" s="199">
        <v>1279.1513266244399</v>
      </c>
    </row>
    <row r="13" spans="1:30">
      <c r="A13" s="276" t="s">
        <v>467</v>
      </c>
      <c r="B13" s="276" t="s">
        <v>545</v>
      </c>
      <c r="C13" s="277">
        <f t="shared" si="0"/>
        <v>11</v>
      </c>
      <c r="D13" s="243">
        <v>11</v>
      </c>
      <c r="E13" s="243">
        <v>0</v>
      </c>
      <c r="F13" s="243">
        <v>0</v>
      </c>
      <c r="G13" s="278">
        <f t="shared" si="1"/>
        <v>3.8</v>
      </c>
      <c r="H13" s="243">
        <v>0</v>
      </c>
      <c r="I13" s="243">
        <v>3.8</v>
      </c>
      <c r="J13" s="243">
        <v>0</v>
      </c>
      <c r="K13" s="278">
        <f t="shared" si="2"/>
        <v>1.1032506713583083</v>
      </c>
      <c r="L13" s="278">
        <f t="shared" si="2"/>
        <v>0.47133765581692705</v>
      </c>
      <c r="M13" s="243">
        <f t="shared" si="3"/>
        <v>1.1032506713583083</v>
      </c>
      <c r="N13" s="243">
        <f t="shared" si="4"/>
        <v>0.47133765581692705</v>
      </c>
      <c r="O13" s="243">
        <f t="shared" si="5"/>
        <v>0</v>
      </c>
      <c r="P13" s="243">
        <f t="shared" si="6"/>
        <v>0</v>
      </c>
      <c r="Q13" s="243">
        <f t="shared" si="7"/>
        <v>0</v>
      </c>
      <c r="R13" s="243">
        <f t="shared" si="8"/>
        <v>0</v>
      </c>
      <c r="S13" s="278">
        <f t="shared" si="9"/>
        <v>0.38112295919650652</v>
      </c>
      <c r="T13" s="278">
        <f t="shared" si="9"/>
        <v>0.16282573564584751</v>
      </c>
      <c r="U13" s="243">
        <f t="shared" si="10"/>
        <v>0</v>
      </c>
      <c r="V13" s="243">
        <f t="shared" si="11"/>
        <v>0</v>
      </c>
      <c r="W13" s="243">
        <f t="shared" si="12"/>
        <v>0.38112295919650652</v>
      </c>
      <c r="X13" s="243">
        <f t="shared" si="13"/>
        <v>0.16282573564584751</v>
      </c>
      <c r="Y13" s="243">
        <f t="shared" si="14"/>
        <v>0</v>
      </c>
      <c r="Z13" s="243">
        <f t="shared" si="15"/>
        <v>0</v>
      </c>
      <c r="AA13" s="232">
        <v>2333783406491.1899</v>
      </c>
      <c r="AB13" s="239">
        <v>2333.7834064911899</v>
      </c>
      <c r="AC13" s="237">
        <v>997053551434.22559</v>
      </c>
      <c r="AD13" s="199">
        <v>997.05355143423003</v>
      </c>
    </row>
    <row r="14" spans="1:30">
      <c r="A14" s="280" t="s">
        <v>530</v>
      </c>
      <c r="B14" s="276" t="s">
        <v>545</v>
      </c>
      <c r="C14" s="277">
        <f t="shared" si="0"/>
        <v>31.764700000000001</v>
      </c>
      <c r="D14" s="243">
        <v>0</v>
      </c>
      <c r="E14" s="243">
        <v>31.764700000000001</v>
      </c>
      <c r="F14" s="243">
        <v>0</v>
      </c>
      <c r="G14" s="278">
        <f t="shared" si="1"/>
        <v>0</v>
      </c>
      <c r="H14" s="243">
        <v>0</v>
      </c>
      <c r="I14" s="243">
        <v>0</v>
      </c>
      <c r="J14" s="243">
        <v>0</v>
      </c>
      <c r="K14" s="278">
        <f t="shared" si="2"/>
        <v>7.6735681329126031</v>
      </c>
      <c r="L14" s="278">
        <f t="shared" si="2"/>
        <v>6.7786506242927107</v>
      </c>
      <c r="M14" s="243">
        <f t="shared" si="3"/>
        <v>0</v>
      </c>
      <c r="N14" s="243">
        <f t="shared" si="4"/>
        <v>0</v>
      </c>
      <c r="O14" s="243">
        <f t="shared" si="5"/>
        <v>7.6735681329126031</v>
      </c>
      <c r="P14" s="243">
        <f t="shared" si="6"/>
        <v>6.7786506242927107</v>
      </c>
      <c r="Q14" s="243">
        <f t="shared" si="7"/>
        <v>0</v>
      </c>
      <c r="R14" s="243">
        <f t="shared" si="8"/>
        <v>0</v>
      </c>
      <c r="S14" s="278">
        <f t="shared" si="9"/>
        <v>0</v>
      </c>
      <c r="T14" s="278">
        <f t="shared" si="9"/>
        <v>0</v>
      </c>
      <c r="U14" s="243">
        <f t="shared" si="10"/>
        <v>0</v>
      </c>
      <c r="V14" s="243">
        <f t="shared" si="11"/>
        <v>0</v>
      </c>
      <c r="W14" s="243">
        <f t="shared" si="12"/>
        <v>0</v>
      </c>
      <c r="X14" s="243">
        <f t="shared" si="13"/>
        <v>0</v>
      </c>
      <c r="Y14" s="243">
        <f t="shared" si="14"/>
        <v>0</v>
      </c>
      <c r="Z14" s="243">
        <f t="shared" si="15"/>
        <v>0</v>
      </c>
      <c r="AA14" s="232">
        <v>468599161699.88599</v>
      </c>
      <c r="AB14" s="239">
        <v>468.59916169988998</v>
      </c>
      <c r="AC14" s="237">
        <v>413949540159.26532</v>
      </c>
      <c r="AD14" s="199">
        <v>413.94954015926999</v>
      </c>
    </row>
    <row r="15" spans="1:30">
      <c r="A15" s="276" t="s">
        <v>456</v>
      </c>
      <c r="B15" s="276" t="s">
        <v>545</v>
      </c>
      <c r="C15" s="277">
        <f t="shared" si="0"/>
        <v>0</v>
      </c>
      <c r="D15" s="243">
        <v>0</v>
      </c>
      <c r="E15" s="243">
        <v>0</v>
      </c>
      <c r="F15" s="243">
        <v>0</v>
      </c>
      <c r="G15" s="278">
        <f t="shared" si="1"/>
        <v>54</v>
      </c>
      <c r="H15" s="243">
        <v>0</v>
      </c>
      <c r="I15" s="243">
        <v>54</v>
      </c>
      <c r="J15" s="243">
        <v>0</v>
      </c>
      <c r="K15" s="278">
        <f t="shared" si="2"/>
        <v>0</v>
      </c>
      <c r="L15" s="278">
        <f t="shared" si="2"/>
        <v>0</v>
      </c>
      <c r="M15" s="243">
        <f t="shared" si="3"/>
        <v>0</v>
      </c>
      <c r="N15" s="243">
        <f t="shared" si="4"/>
        <v>0</v>
      </c>
      <c r="O15" s="243">
        <f t="shared" si="5"/>
        <v>0</v>
      </c>
      <c r="P15" s="243">
        <f t="shared" si="6"/>
        <v>0</v>
      </c>
      <c r="Q15" s="243">
        <f t="shared" si="7"/>
        <v>0</v>
      </c>
      <c r="R15" s="243">
        <f t="shared" si="8"/>
        <v>0</v>
      </c>
      <c r="S15" s="278">
        <f t="shared" si="9"/>
        <v>10.90562054178165</v>
      </c>
      <c r="T15" s="278">
        <f t="shared" si="9"/>
        <v>9.7240885633744618</v>
      </c>
      <c r="U15" s="243">
        <f t="shared" si="10"/>
        <v>0</v>
      </c>
      <c r="V15" s="243">
        <f t="shared" si="11"/>
        <v>0</v>
      </c>
      <c r="W15" s="243">
        <f t="shared" si="12"/>
        <v>10.90562054178165</v>
      </c>
      <c r="X15" s="243">
        <f t="shared" si="13"/>
        <v>9.7240885633744618</v>
      </c>
      <c r="Y15" s="243">
        <f t="shared" si="14"/>
        <v>0</v>
      </c>
      <c r="Z15" s="243">
        <f t="shared" si="15"/>
        <v>0</v>
      </c>
      <c r="AA15" s="232">
        <v>555321968203.677</v>
      </c>
      <c r="AB15" s="239">
        <v>555.32196820367994</v>
      </c>
      <c r="AC15" s="237">
        <v>495157518025.82001</v>
      </c>
      <c r="AD15" s="199">
        <v>495.15751802582002</v>
      </c>
    </row>
    <row r="16" spans="1:30">
      <c r="A16" s="280" t="s">
        <v>454</v>
      </c>
      <c r="B16" s="276" t="s">
        <v>545</v>
      </c>
      <c r="C16" s="277">
        <f t="shared" si="0"/>
        <v>9.0751215444483115</v>
      </c>
      <c r="D16" s="243">
        <v>2.2540984E-2</v>
      </c>
      <c r="E16" s="268">
        <v>9.0525805604483107</v>
      </c>
      <c r="F16" s="243">
        <v>0</v>
      </c>
      <c r="G16" s="278">
        <f t="shared" si="1"/>
        <v>21.104230256601589</v>
      </c>
      <c r="H16" s="243">
        <v>0.80696442599999996</v>
      </c>
      <c r="I16" s="268">
        <v>20.297265830601589</v>
      </c>
      <c r="J16" s="243">
        <v>0</v>
      </c>
      <c r="K16" s="278">
        <f t="shared" si="2"/>
        <v>4.2084524748499499</v>
      </c>
      <c r="L16" s="278">
        <f t="shared" si="2"/>
        <v>2.2275928706634165</v>
      </c>
      <c r="M16" s="243">
        <f t="shared" si="3"/>
        <v>1.0453045662885387E-2</v>
      </c>
      <c r="N16" s="243">
        <f t="shared" si="4"/>
        <v>5.5329435545527564E-3</v>
      </c>
      <c r="O16" s="243">
        <f t="shared" si="5"/>
        <v>4.1979994291870648</v>
      </c>
      <c r="P16" s="243">
        <f t="shared" si="6"/>
        <v>2.2220599271088637</v>
      </c>
      <c r="Q16" s="243">
        <f t="shared" si="7"/>
        <v>0</v>
      </c>
      <c r="R16" s="243">
        <f t="shared" si="8"/>
        <v>0</v>
      </c>
      <c r="S16" s="278">
        <f t="shared" si="9"/>
        <v>9.7867725096785385</v>
      </c>
      <c r="T16" s="278">
        <f t="shared" si="9"/>
        <v>5.1802758376502558</v>
      </c>
      <c r="U16" s="243">
        <f t="shared" si="10"/>
        <v>0.37421773571651062</v>
      </c>
      <c r="V16" s="243">
        <f t="shared" si="11"/>
        <v>0.19807869166625844</v>
      </c>
      <c r="W16" s="243">
        <f t="shared" si="12"/>
        <v>9.4125547739620288</v>
      </c>
      <c r="X16" s="243">
        <f t="shared" si="13"/>
        <v>4.9821971459839975</v>
      </c>
      <c r="Y16" s="243">
        <f t="shared" si="14"/>
        <v>0</v>
      </c>
      <c r="Z16" s="243">
        <f t="shared" si="15"/>
        <v>0</v>
      </c>
      <c r="AA16" s="232">
        <v>407395878482.30298</v>
      </c>
      <c r="AB16" s="239">
        <v>407.39587848230002</v>
      </c>
      <c r="AC16" s="237">
        <v>215640347578.63721</v>
      </c>
      <c r="AD16" s="199">
        <v>215.64034757863999</v>
      </c>
    </row>
    <row r="17" spans="1:31">
      <c r="A17" s="280" t="s">
        <v>446</v>
      </c>
      <c r="B17" s="276" t="s">
        <v>545</v>
      </c>
      <c r="C17" s="277">
        <f t="shared" si="0"/>
        <v>9</v>
      </c>
      <c r="D17" s="243">
        <v>0</v>
      </c>
      <c r="E17" s="243">
        <v>9</v>
      </c>
      <c r="F17" s="243">
        <v>0</v>
      </c>
      <c r="G17" s="278">
        <f t="shared" si="1"/>
        <v>9.6999999999999993</v>
      </c>
      <c r="H17" s="243">
        <v>0</v>
      </c>
      <c r="I17" s="243">
        <v>9.6999999999999993</v>
      </c>
      <c r="J17" s="243">
        <v>0</v>
      </c>
      <c r="K17" s="278">
        <f t="shared" si="2"/>
        <v>2.7059324055091158</v>
      </c>
      <c r="L17" s="278">
        <f t="shared" si="2"/>
        <v>2.8932995220407594</v>
      </c>
      <c r="M17" s="243">
        <f t="shared" si="3"/>
        <v>0</v>
      </c>
      <c r="N17" s="243">
        <f t="shared" si="4"/>
        <v>0</v>
      </c>
      <c r="O17" s="243">
        <f t="shared" si="5"/>
        <v>2.7059324055091158</v>
      </c>
      <c r="P17" s="243">
        <f t="shared" si="6"/>
        <v>2.8932995220407594</v>
      </c>
      <c r="Q17" s="243">
        <f t="shared" si="7"/>
        <v>0</v>
      </c>
      <c r="R17" s="243">
        <f t="shared" si="8"/>
        <v>0</v>
      </c>
      <c r="S17" s="278">
        <f t="shared" si="9"/>
        <v>2.9163938148264918</v>
      </c>
      <c r="T17" s="278">
        <f t="shared" si="9"/>
        <v>3.1183339293105963</v>
      </c>
      <c r="U17" s="243">
        <f t="shared" si="10"/>
        <v>0</v>
      </c>
      <c r="V17" s="243">
        <f t="shared" si="11"/>
        <v>0</v>
      </c>
      <c r="W17" s="243">
        <f t="shared" si="12"/>
        <v>2.9163938148264918</v>
      </c>
      <c r="X17" s="243">
        <f t="shared" si="13"/>
        <v>3.1183339293105963</v>
      </c>
      <c r="Y17" s="243">
        <f t="shared" si="14"/>
        <v>0</v>
      </c>
      <c r="Z17" s="243">
        <f t="shared" si="15"/>
        <v>0</v>
      </c>
      <c r="AA17" s="232">
        <v>311063542901.078</v>
      </c>
      <c r="AB17" s="239">
        <v>311.06354290107998</v>
      </c>
      <c r="AC17" s="237">
        <v>332602543274.04938</v>
      </c>
      <c r="AD17" s="199">
        <v>332.60254327404999</v>
      </c>
    </row>
    <row r="18" spans="1:31">
      <c r="A18" s="280" t="s">
        <v>531</v>
      </c>
      <c r="B18" s="276" t="s">
        <v>545</v>
      </c>
      <c r="C18" s="277">
        <f t="shared" si="0"/>
        <v>0</v>
      </c>
      <c r="D18" s="243">
        <v>0</v>
      </c>
      <c r="E18" s="243">
        <v>0</v>
      </c>
      <c r="F18" s="243">
        <v>0</v>
      </c>
      <c r="G18" s="278">
        <f t="shared" si="1"/>
        <v>0.34351350790000001</v>
      </c>
      <c r="H18" s="243">
        <v>0.166216216</v>
      </c>
      <c r="I18" s="243">
        <v>0.17729729189999999</v>
      </c>
      <c r="J18" s="243">
        <v>0</v>
      </c>
      <c r="K18" s="278">
        <f t="shared" si="2"/>
        <v>0</v>
      </c>
      <c r="L18" s="278">
        <f t="shared" si="2"/>
        <v>0</v>
      </c>
      <c r="M18" s="243">
        <f t="shared" si="3"/>
        <v>0</v>
      </c>
      <c r="N18" s="243">
        <f t="shared" si="4"/>
        <v>0</v>
      </c>
      <c r="O18" s="243">
        <f t="shared" si="5"/>
        <v>0</v>
      </c>
      <c r="P18" s="243">
        <f t="shared" si="6"/>
        <v>0</v>
      </c>
      <c r="Q18" s="243">
        <f t="shared" si="7"/>
        <v>0</v>
      </c>
      <c r="R18" s="243">
        <f t="shared" si="8"/>
        <v>0</v>
      </c>
      <c r="S18" s="278">
        <f t="shared" si="9"/>
        <v>1.2772080118792744</v>
      </c>
      <c r="T18" s="278">
        <f t="shared" si="9"/>
        <v>0.74820679582493232</v>
      </c>
      <c r="U18" s="243">
        <f t="shared" si="10"/>
        <v>0.61800388601095835</v>
      </c>
      <c r="V18" s="243">
        <f t="shared" si="11"/>
        <v>0.36203555181215297</v>
      </c>
      <c r="W18" s="243">
        <f t="shared" si="12"/>
        <v>0.659204125868316</v>
      </c>
      <c r="X18" s="243">
        <f t="shared" si="13"/>
        <v>0.38617124401277941</v>
      </c>
      <c r="Y18" s="243">
        <f t="shared" si="14"/>
        <v>0</v>
      </c>
      <c r="Z18" s="243">
        <f t="shared" si="15"/>
        <v>0</v>
      </c>
      <c r="AA18" s="232">
        <v>45911572818.753304</v>
      </c>
      <c r="AB18" s="239">
        <v>45.911572818750003</v>
      </c>
      <c r="AC18" s="237">
        <v>26895658710.637878</v>
      </c>
      <c r="AD18" s="199">
        <v>26.895658710639999</v>
      </c>
    </row>
    <row r="19" spans="1:31">
      <c r="A19" s="280" t="s">
        <v>447</v>
      </c>
      <c r="B19" s="276" t="s">
        <v>545</v>
      </c>
      <c r="C19" s="277">
        <f t="shared" si="0"/>
        <v>4.352352529</v>
      </c>
      <c r="D19" s="243">
        <v>2.8823529000000001E-2</v>
      </c>
      <c r="E19" s="243">
        <v>4.3235289999999997</v>
      </c>
      <c r="F19" s="243">
        <v>4.5</v>
      </c>
      <c r="G19" s="278">
        <f t="shared" si="1"/>
        <v>13.1</v>
      </c>
      <c r="H19" s="243">
        <v>1.1000000000000001</v>
      </c>
      <c r="I19" s="243">
        <v>12</v>
      </c>
      <c r="J19" s="243">
        <v>0</v>
      </c>
      <c r="K19" s="278">
        <f t="shared" si="2"/>
        <v>1.7085190625524533</v>
      </c>
      <c r="L19" s="278">
        <f t="shared" si="2"/>
        <v>1.7140488294221521</v>
      </c>
      <c r="M19" s="243">
        <f t="shared" si="3"/>
        <v>1.1314696688378813E-2</v>
      </c>
      <c r="N19" s="243">
        <f t="shared" si="4"/>
        <v>1.1351317663970748E-2</v>
      </c>
      <c r="O19" s="243">
        <f t="shared" si="5"/>
        <v>1.6972043658640745</v>
      </c>
      <c r="P19" s="243">
        <f t="shared" si="6"/>
        <v>1.7026975117581813</v>
      </c>
      <c r="Q19" s="243">
        <f t="shared" si="7"/>
        <v>1.7664781816863806</v>
      </c>
      <c r="R19" s="243">
        <f t="shared" si="8"/>
        <v>1.7721955381614918</v>
      </c>
      <c r="S19" s="278">
        <f t="shared" si="9"/>
        <v>5.1424142622425748</v>
      </c>
      <c r="T19" s="278">
        <f t="shared" si="9"/>
        <v>5.1590581222034544</v>
      </c>
      <c r="U19" s="243">
        <f t="shared" si="10"/>
        <v>0.43180577774555973</v>
      </c>
      <c r="V19" s="243">
        <f t="shared" si="11"/>
        <v>0.43320335377280911</v>
      </c>
      <c r="W19" s="243">
        <f t="shared" si="12"/>
        <v>4.7106084844970146</v>
      </c>
      <c r="X19" s="243">
        <f t="shared" si="13"/>
        <v>4.7258547684306453</v>
      </c>
      <c r="Y19" s="243">
        <f t="shared" si="14"/>
        <v>0</v>
      </c>
      <c r="Z19" s="243">
        <f t="shared" si="15"/>
        <v>0</v>
      </c>
      <c r="AA19" s="232">
        <v>253922318564.70901</v>
      </c>
      <c r="AB19" s="239">
        <v>253.92231856471</v>
      </c>
      <c r="AC19" s="237">
        <v>254744159687.49991</v>
      </c>
      <c r="AD19" s="199">
        <v>254.7441596875</v>
      </c>
    </row>
    <row r="20" spans="1:31">
      <c r="A20" s="280" t="s">
        <v>532</v>
      </c>
      <c r="B20" s="276" t="s">
        <v>545</v>
      </c>
      <c r="C20" s="277">
        <f>D20+E20</f>
        <v>6.3664610000000001</v>
      </c>
      <c r="D20" s="243">
        <v>5.4100000000000003E-4</v>
      </c>
      <c r="E20" s="243">
        <v>6.36592</v>
      </c>
      <c r="F20" s="243">
        <v>0</v>
      </c>
      <c r="G20" s="278">
        <f>H20+I20</f>
        <v>2.2164000000000001</v>
      </c>
      <c r="H20" s="243">
        <v>1.1082000000000001</v>
      </c>
      <c r="I20" s="243">
        <v>1.1082000000000001</v>
      </c>
      <c r="J20" s="243">
        <v>0</v>
      </c>
      <c r="K20" s="278">
        <f t="shared" si="2"/>
        <v>3.1222987126848292</v>
      </c>
      <c r="L20" s="278">
        <f t="shared" si="2"/>
        <v>2.1112823412204826</v>
      </c>
      <c r="M20" s="243">
        <f t="shared" si="3"/>
        <v>2.6532222589009696E-4</v>
      </c>
      <c r="N20" s="243">
        <f t="shared" si="4"/>
        <v>1.7940952541769769E-4</v>
      </c>
      <c r="O20" s="243">
        <f>($E20/$AD20)*100</f>
        <v>3.122033390458939</v>
      </c>
      <c r="P20" s="243">
        <f>($E20/$AB20)*100</f>
        <v>2.1111029316950649</v>
      </c>
      <c r="Q20" s="243">
        <f t="shared" si="7"/>
        <v>0</v>
      </c>
      <c r="R20" s="243">
        <f t="shared" si="8"/>
        <v>0</v>
      </c>
      <c r="S20" s="278">
        <f t="shared" si="9"/>
        <v>1.0869873964192438</v>
      </c>
      <c r="T20" s="278">
        <f t="shared" si="9"/>
        <v>0.73501529045431646</v>
      </c>
      <c r="U20" s="243">
        <f t="shared" si="10"/>
        <v>0.5434936982096219</v>
      </c>
      <c r="V20" s="243">
        <f t="shared" si="11"/>
        <v>0.36750764522715823</v>
      </c>
      <c r="W20" s="243">
        <f>($I20/$AD20)*100</f>
        <v>0.5434936982096219</v>
      </c>
      <c r="X20" s="243">
        <f>($I20/$AB20)*100</f>
        <v>0.36750764522715823</v>
      </c>
      <c r="Y20" s="243">
        <f t="shared" si="14"/>
        <v>0</v>
      </c>
      <c r="Z20" s="243">
        <f t="shared" si="15"/>
        <v>0</v>
      </c>
      <c r="AA20" s="232">
        <v>301544747270.495</v>
      </c>
      <c r="AB20" s="239">
        <v>301.54474727050001</v>
      </c>
      <c r="AC20" s="237">
        <v>203903008195.06079</v>
      </c>
      <c r="AD20" s="199">
        <v>203.90300819506001</v>
      </c>
    </row>
    <row r="21" spans="1:31">
      <c r="A21" s="280" t="s">
        <v>533</v>
      </c>
      <c r="B21" s="276" t="s">
        <v>545</v>
      </c>
      <c r="C21" s="277">
        <f t="shared" si="0"/>
        <v>0.88253820443329634</v>
      </c>
      <c r="D21" s="267">
        <v>2.1328006607137996E-2</v>
      </c>
      <c r="E21" s="267">
        <v>0.86121019782615837</v>
      </c>
      <c r="F21" s="243">
        <v>0</v>
      </c>
      <c r="G21" s="278">
        <f t="shared" si="1"/>
        <v>0.91931062961801713</v>
      </c>
      <c r="H21" s="243">
        <v>0</v>
      </c>
      <c r="I21" s="266">
        <v>0.91931062961801713</v>
      </c>
      <c r="J21" s="243">
        <v>0</v>
      </c>
      <c r="K21" s="278">
        <f t="shared" si="2"/>
        <v>4.2572996227017779</v>
      </c>
      <c r="L21" s="278">
        <f t="shared" si="2"/>
        <v>4.6280958337256317</v>
      </c>
      <c r="M21" s="243">
        <f t="shared" si="3"/>
        <v>0.10288474088195963</v>
      </c>
      <c r="N21" s="243">
        <f t="shared" si="4"/>
        <v>0.11184564931503611</v>
      </c>
      <c r="O21" s="243">
        <f t="shared" si="5"/>
        <v>4.1544148818198181</v>
      </c>
      <c r="P21" s="243">
        <f t="shared" si="6"/>
        <v>4.5162501844105956</v>
      </c>
      <c r="Q21" s="243">
        <f t="shared" si="7"/>
        <v>0</v>
      </c>
      <c r="R21" s="243">
        <f t="shared" si="8"/>
        <v>0</v>
      </c>
      <c r="S21" s="278">
        <f t="shared" si="9"/>
        <v>4.434687106981019</v>
      </c>
      <c r="T21" s="278">
        <f t="shared" si="9"/>
        <v>4.8209331601308669</v>
      </c>
      <c r="U21" s="243">
        <f t="shared" si="10"/>
        <v>0</v>
      </c>
      <c r="V21" s="243">
        <f t="shared" si="11"/>
        <v>0</v>
      </c>
      <c r="W21" s="243">
        <f t="shared" si="12"/>
        <v>4.434687106981019</v>
      </c>
      <c r="X21" s="243">
        <f t="shared" si="13"/>
        <v>4.8209331601308669</v>
      </c>
      <c r="Y21" s="243">
        <f t="shared" si="14"/>
        <v>0</v>
      </c>
      <c r="Z21" s="243">
        <f t="shared" si="15"/>
        <v>0</v>
      </c>
      <c r="AA21" s="235">
        <v>19069142821.155399</v>
      </c>
      <c r="AB21" s="239">
        <v>19.06914282116</v>
      </c>
      <c r="AC21" s="237">
        <v>20729999827.29071</v>
      </c>
      <c r="AD21" s="199">
        <v>20.729999827290001</v>
      </c>
    </row>
    <row r="22" spans="1:31">
      <c r="A22" s="280" t="s">
        <v>534</v>
      </c>
      <c r="B22" s="276" t="s">
        <v>545</v>
      </c>
      <c r="C22" s="277">
        <f t="shared" si="0"/>
        <v>23.434808652685703</v>
      </c>
      <c r="D22" s="267">
        <v>2.2863227953839709</v>
      </c>
      <c r="E22" s="267">
        <v>21.148485857301733</v>
      </c>
      <c r="F22" s="267">
        <v>2.8579034942299635</v>
      </c>
      <c r="G22" s="278">
        <f t="shared" si="1"/>
        <v>6.8589683861519131</v>
      </c>
      <c r="H22" s="266">
        <v>4.5726455907679417</v>
      </c>
      <c r="I22" s="266">
        <v>2.2863227953839709</v>
      </c>
      <c r="J22" s="243">
        <v>0</v>
      </c>
      <c r="K22" s="278">
        <f t="shared" si="2"/>
        <v>6.308725700048833</v>
      </c>
      <c r="L22" s="278">
        <f t="shared" si="2"/>
        <v>5.6078791341391749</v>
      </c>
      <c r="M22" s="243">
        <f t="shared" si="3"/>
        <v>0.61548543415110557</v>
      </c>
      <c r="N22" s="243">
        <f t="shared" si="4"/>
        <v>0.54711015942821217</v>
      </c>
      <c r="O22" s="243">
        <f t="shared" si="5"/>
        <v>5.6932402658977272</v>
      </c>
      <c r="P22" s="243">
        <f t="shared" si="6"/>
        <v>5.060768974710963</v>
      </c>
      <c r="Q22" s="243">
        <f t="shared" si="7"/>
        <v>0.76935679268888202</v>
      </c>
      <c r="R22" s="243">
        <f t="shared" si="8"/>
        <v>0.68388769928526516</v>
      </c>
      <c r="S22" s="278">
        <f t="shared" si="9"/>
        <v>1.8464563024533167</v>
      </c>
      <c r="T22" s="278">
        <f t="shared" si="9"/>
        <v>1.6413304782846365</v>
      </c>
      <c r="U22" s="243">
        <f t="shared" si="10"/>
        <v>1.2309708683022111</v>
      </c>
      <c r="V22" s="243">
        <f t="shared" si="11"/>
        <v>1.0942203188564243</v>
      </c>
      <c r="W22" s="243">
        <f t="shared" si="12"/>
        <v>0.61548543415110557</v>
      </c>
      <c r="X22" s="243">
        <f t="shared" si="13"/>
        <v>0.54711015942821217</v>
      </c>
      <c r="Y22" s="243">
        <f t="shared" si="14"/>
        <v>0</v>
      </c>
      <c r="Z22" s="243">
        <f t="shared" si="15"/>
        <v>0</v>
      </c>
      <c r="AA22" s="235">
        <v>417890758558.284</v>
      </c>
      <c r="AB22" s="239">
        <v>417.89075855828003</v>
      </c>
      <c r="AC22" s="237">
        <v>371466596693.27911</v>
      </c>
      <c r="AD22" s="199">
        <v>371.46659669328</v>
      </c>
    </row>
    <row r="23" spans="1:31">
      <c r="A23" s="280" t="s">
        <v>535</v>
      </c>
      <c r="B23" s="276" t="s">
        <v>545</v>
      </c>
      <c r="C23" s="277">
        <f t="shared" si="0"/>
        <v>25.918306382883841</v>
      </c>
      <c r="D23" s="267">
        <v>4.0163261841927023</v>
      </c>
      <c r="E23" s="267">
        <v>21.901980198691138</v>
      </c>
      <c r="F23" s="267">
        <v>2.0803991745458603</v>
      </c>
      <c r="G23" s="278">
        <f t="shared" si="1"/>
        <v>11.153251130204193</v>
      </c>
      <c r="H23" s="266">
        <v>0.9535162883335192</v>
      </c>
      <c r="I23" s="266">
        <v>10.199734841870674</v>
      </c>
      <c r="J23" s="243">
        <v>0</v>
      </c>
      <c r="K23" s="278">
        <f t="shared" si="2"/>
        <v>7.2304547534162724</v>
      </c>
      <c r="L23" s="278">
        <f t="shared" si="2"/>
        <v>7.5696715765084619</v>
      </c>
      <c r="M23" s="243">
        <f t="shared" si="3"/>
        <v>1.1204383620121092</v>
      </c>
      <c r="N23" s="243">
        <f t="shared" si="4"/>
        <v>1.1730037337064394</v>
      </c>
      <c r="O23" s="243">
        <f t="shared" si="5"/>
        <v>6.1100163914041632</v>
      </c>
      <c r="P23" s="243">
        <f t="shared" si="6"/>
        <v>6.3966678428020227</v>
      </c>
      <c r="Q23" s="243">
        <f t="shared" si="7"/>
        <v>0.5803709501069918</v>
      </c>
      <c r="R23" s="243">
        <f t="shared" si="8"/>
        <v>0.60759905630837163</v>
      </c>
      <c r="S23" s="278">
        <f t="shared" si="9"/>
        <v>3.1114331491847054</v>
      </c>
      <c r="T23" s="278">
        <f t="shared" si="9"/>
        <v>3.257406051875436</v>
      </c>
      <c r="U23" s="243">
        <f t="shared" si="10"/>
        <v>0.2660033521323712</v>
      </c>
      <c r="V23" s="243">
        <f t="shared" si="11"/>
        <v>0.27848290080800364</v>
      </c>
      <c r="W23" s="243">
        <f t="shared" si="12"/>
        <v>2.8454297970523341</v>
      </c>
      <c r="X23" s="243">
        <f t="shared" si="13"/>
        <v>2.9789231510674323</v>
      </c>
      <c r="Y23" s="243">
        <f t="shared" si="14"/>
        <v>0</v>
      </c>
      <c r="Z23" s="243">
        <f t="shared" si="15"/>
        <v>0</v>
      </c>
      <c r="AA23" s="235">
        <v>342396709301.34399</v>
      </c>
      <c r="AB23" s="239">
        <v>342.39670930134002</v>
      </c>
      <c r="AC23" s="237">
        <v>358460252733.58807</v>
      </c>
      <c r="AD23" s="199">
        <v>358.46025273358998</v>
      </c>
    </row>
    <row r="24" spans="1:31">
      <c r="A24" s="280" t="s">
        <v>536</v>
      </c>
      <c r="B24" s="276" t="s">
        <v>545</v>
      </c>
      <c r="C24" s="277">
        <f t="shared" si="0"/>
        <v>2.6412118346100706</v>
      </c>
      <c r="D24" s="267">
        <v>0.2311060355223796</v>
      </c>
      <c r="E24" s="267">
        <v>2.4101057990876908</v>
      </c>
      <c r="F24" s="243">
        <v>0</v>
      </c>
      <c r="G24" s="278">
        <f t="shared" si="1"/>
        <v>1.0485610983298868</v>
      </c>
      <c r="H24" s="266">
        <v>0.2311060355223796</v>
      </c>
      <c r="I24" s="266">
        <v>0.81745506280750724</v>
      </c>
      <c r="J24" s="243">
        <v>0</v>
      </c>
      <c r="K24" s="278">
        <f t="shared" si="2"/>
        <v>8.7573111594010662</v>
      </c>
      <c r="L24" s="278">
        <f t="shared" si="2"/>
        <v>4.7655871856594887</v>
      </c>
      <c r="M24" s="243">
        <f t="shared" si="3"/>
        <v>0.76626472642769428</v>
      </c>
      <c r="N24" s="243">
        <f t="shared" si="4"/>
        <v>0.41698887873437651</v>
      </c>
      <c r="O24" s="243">
        <f t="shared" si="5"/>
        <v>7.9910464329733726</v>
      </c>
      <c r="P24" s="243">
        <f t="shared" si="6"/>
        <v>4.348598306925112</v>
      </c>
      <c r="Q24" s="243">
        <f t="shared" si="7"/>
        <v>0</v>
      </c>
      <c r="R24" s="243">
        <f t="shared" si="8"/>
        <v>0</v>
      </c>
      <c r="S24" s="278">
        <f t="shared" si="9"/>
        <v>3.4766525302480353</v>
      </c>
      <c r="T24" s="278">
        <f t="shared" si="9"/>
        <v>1.8919381126882124</v>
      </c>
      <c r="U24" s="243">
        <f t="shared" si="10"/>
        <v>0.76626472642769428</v>
      </c>
      <c r="V24" s="243">
        <f t="shared" si="11"/>
        <v>0.41698887873437651</v>
      </c>
      <c r="W24" s="243">
        <f t="shared" si="12"/>
        <v>2.7103878038203408</v>
      </c>
      <c r="X24" s="243">
        <f t="shared" si="13"/>
        <v>1.4749492339538359</v>
      </c>
      <c r="Y24" s="243">
        <f t="shared" si="14"/>
        <v>0</v>
      </c>
      <c r="Z24" s="243">
        <f t="shared" si="15"/>
        <v>0</v>
      </c>
      <c r="AA24" s="236">
        <v>55422589740</v>
      </c>
      <c r="AB24" s="240">
        <v>55.422589739999999</v>
      </c>
      <c r="AC24" s="237">
        <v>30160077523.05077</v>
      </c>
      <c r="AD24" s="199">
        <v>30.160077523049999</v>
      </c>
      <c r="AE24" s="233"/>
    </row>
    <row r="25" spans="1:31">
      <c r="A25" s="280" t="s">
        <v>537</v>
      </c>
      <c r="B25" s="276" t="s">
        <v>545</v>
      </c>
      <c r="C25" s="277">
        <f t="shared" si="0"/>
        <v>2.5949763727608071</v>
      </c>
      <c r="D25" s="267">
        <v>0.57158069884599272</v>
      </c>
      <c r="E25" s="267">
        <v>2.0233956739148145</v>
      </c>
      <c r="F25" s="267">
        <v>2.503523460945448</v>
      </c>
      <c r="G25" s="278">
        <f t="shared" si="1"/>
        <v>1.9662376040302147</v>
      </c>
      <c r="H25" s="266">
        <v>0.36581164726143534</v>
      </c>
      <c r="I25" s="266">
        <v>1.6004259567687795</v>
      </c>
      <c r="J25" s="243">
        <v>0</v>
      </c>
      <c r="K25" s="278">
        <f t="shared" si="2"/>
        <v>5.3818960772623692</v>
      </c>
      <c r="L25" s="278">
        <f t="shared" si="2"/>
        <v>2.6714857655953939</v>
      </c>
      <c r="M25" s="243">
        <f t="shared" si="3"/>
        <v>1.1854396645952354</v>
      </c>
      <c r="N25" s="243">
        <f t="shared" si="4"/>
        <v>0.5884329880166066</v>
      </c>
      <c r="O25" s="243">
        <f t="shared" si="5"/>
        <v>4.1964564126671338</v>
      </c>
      <c r="P25" s="243">
        <f t="shared" si="6"/>
        <v>2.0830527775787875</v>
      </c>
      <c r="Q25" s="243">
        <f t="shared" si="7"/>
        <v>5.19222573092713</v>
      </c>
      <c r="R25" s="243">
        <f t="shared" si="8"/>
        <v>2.5773364875127363</v>
      </c>
      <c r="S25" s="278">
        <f t="shared" si="9"/>
        <v>4.0779124462076091</v>
      </c>
      <c r="T25" s="278">
        <f t="shared" si="9"/>
        <v>2.0242094787771263</v>
      </c>
      <c r="U25" s="243">
        <f t="shared" si="10"/>
        <v>0.75868138534095053</v>
      </c>
      <c r="V25" s="243">
        <f t="shared" si="11"/>
        <v>0.3765971123306282</v>
      </c>
      <c r="W25" s="243">
        <f t="shared" si="12"/>
        <v>3.3192310608666586</v>
      </c>
      <c r="X25" s="243">
        <f t="shared" si="13"/>
        <v>1.6476123664464981</v>
      </c>
      <c r="Y25" s="243">
        <f t="shared" si="14"/>
        <v>0</v>
      </c>
      <c r="Z25" s="243">
        <f t="shared" si="15"/>
        <v>0</v>
      </c>
      <c r="AA25" s="235">
        <v>97136073348.399506</v>
      </c>
      <c r="AB25" s="239">
        <v>97.136073348400004</v>
      </c>
      <c r="AC25" s="237">
        <v>48216768505.137871</v>
      </c>
      <c r="AD25" s="199">
        <v>48.216768505140003</v>
      </c>
    </row>
    <row r="26" spans="1:31">
      <c r="A26" s="280" t="s">
        <v>538</v>
      </c>
      <c r="B26" s="276" t="s">
        <v>545</v>
      </c>
      <c r="C26" s="277">
        <f t="shared" si="0"/>
        <v>3.5438003328451551</v>
      </c>
      <c r="D26" s="267">
        <v>0.2286322795383971</v>
      </c>
      <c r="E26" s="267">
        <v>3.315168053306758</v>
      </c>
      <c r="F26" s="267">
        <v>5.2145883075488326</v>
      </c>
      <c r="G26" s="278">
        <f t="shared" si="1"/>
        <v>2.8579034942299635</v>
      </c>
      <c r="H26" s="266">
        <v>0</v>
      </c>
      <c r="I26" s="266">
        <v>2.8579034942299635</v>
      </c>
      <c r="J26" s="266">
        <v>1.2574775374611842</v>
      </c>
      <c r="K26" s="278">
        <f t="shared" si="2"/>
        <v>5.3244195640159759</v>
      </c>
      <c r="L26" s="278">
        <f t="shared" si="2"/>
        <v>5.3415951260588308</v>
      </c>
      <c r="M26" s="243">
        <f t="shared" si="3"/>
        <v>0.34351093961393397</v>
      </c>
      <c r="N26" s="243">
        <f t="shared" si="4"/>
        <v>0.34461904039089231</v>
      </c>
      <c r="O26" s="243">
        <f t="shared" si="5"/>
        <v>4.9809086244020424</v>
      </c>
      <c r="P26" s="243">
        <f t="shared" si="6"/>
        <v>4.9969760856679386</v>
      </c>
      <c r="Q26" s="243">
        <f t="shared" si="7"/>
        <v>7.8347122849077095</v>
      </c>
      <c r="R26" s="243">
        <f t="shared" si="8"/>
        <v>7.8599855725063756</v>
      </c>
      <c r="S26" s="278">
        <f t="shared" si="9"/>
        <v>4.2938867451741736</v>
      </c>
      <c r="T26" s="278">
        <f t="shared" si="9"/>
        <v>4.3077380048861542</v>
      </c>
      <c r="U26" s="243">
        <f t="shared" si="10"/>
        <v>0</v>
      </c>
      <c r="V26" s="243">
        <f t="shared" si="11"/>
        <v>0</v>
      </c>
      <c r="W26" s="243">
        <f t="shared" si="12"/>
        <v>4.2938867451741736</v>
      </c>
      <c r="X26" s="243">
        <f t="shared" si="13"/>
        <v>4.3077380048861542</v>
      </c>
      <c r="Y26" s="243">
        <f t="shared" si="14"/>
        <v>1.8893101678766371</v>
      </c>
      <c r="Z26" s="243">
        <f t="shared" si="15"/>
        <v>1.8954047221499077</v>
      </c>
      <c r="AA26" s="232">
        <v>66343484468.839996</v>
      </c>
      <c r="AB26" s="239">
        <v>66.343484468840003</v>
      </c>
      <c r="AC26" s="237">
        <v>66557495896.737839</v>
      </c>
      <c r="AD26" s="199">
        <v>66.557495896739994</v>
      </c>
    </row>
    <row r="27" spans="1:31">
      <c r="A27" s="280" t="s">
        <v>452</v>
      </c>
      <c r="B27" s="276" t="s">
        <v>545</v>
      </c>
      <c r="C27" s="277">
        <f t="shared" si="0"/>
        <v>22</v>
      </c>
      <c r="D27" s="243">
        <v>0</v>
      </c>
      <c r="E27" s="243">
        <v>22</v>
      </c>
      <c r="F27" s="243">
        <v>45</v>
      </c>
      <c r="G27" s="278">
        <f t="shared" si="1"/>
        <v>0</v>
      </c>
      <c r="H27" s="243">
        <v>0</v>
      </c>
      <c r="I27" s="243">
        <v>0</v>
      </c>
      <c r="J27" s="243">
        <v>0</v>
      </c>
      <c r="K27" s="278">
        <f t="shared" si="2"/>
        <v>2.6182670370692831</v>
      </c>
      <c r="L27" s="278">
        <f t="shared" si="2"/>
        <v>2.3594000418604768</v>
      </c>
      <c r="M27" s="243">
        <f t="shared" si="3"/>
        <v>0</v>
      </c>
      <c r="N27" s="243">
        <f t="shared" si="4"/>
        <v>0</v>
      </c>
      <c r="O27" s="243">
        <f t="shared" si="5"/>
        <v>2.6182670370692831</v>
      </c>
      <c r="P27" s="243">
        <f t="shared" si="6"/>
        <v>2.3594000418604768</v>
      </c>
      <c r="Q27" s="243">
        <f t="shared" si="7"/>
        <v>5.3555462121871695</v>
      </c>
      <c r="R27" s="243">
        <f t="shared" si="8"/>
        <v>4.826045540169158</v>
      </c>
      <c r="S27" s="278">
        <f t="shared" si="9"/>
        <v>0</v>
      </c>
      <c r="T27" s="278">
        <f t="shared" si="9"/>
        <v>0</v>
      </c>
      <c r="U27" s="243">
        <f t="shared" si="10"/>
        <v>0</v>
      </c>
      <c r="V27" s="243">
        <f t="shared" si="11"/>
        <v>0</v>
      </c>
      <c r="W27" s="243">
        <f t="shared" si="12"/>
        <v>0</v>
      </c>
      <c r="X27" s="243">
        <f t="shared" si="13"/>
        <v>0</v>
      </c>
      <c r="Y27" s="243">
        <f t="shared" si="14"/>
        <v>0</v>
      </c>
      <c r="Z27" s="243">
        <f t="shared" si="15"/>
        <v>0</v>
      </c>
      <c r="AA27" s="232">
        <v>932440434418.74902</v>
      </c>
      <c r="AB27" s="239">
        <v>932.44043441874999</v>
      </c>
      <c r="AC27" s="237">
        <v>840250428566.88171</v>
      </c>
      <c r="AD27" s="199">
        <v>840.25042856688003</v>
      </c>
    </row>
    <row r="28" spans="1:31">
      <c r="A28" s="280" t="s">
        <v>465</v>
      </c>
      <c r="B28" s="276" t="s">
        <v>545</v>
      </c>
      <c r="C28" s="277">
        <f t="shared" si="0"/>
        <v>11.088515533797038</v>
      </c>
      <c r="D28" s="268">
        <v>0.31570903379703813</v>
      </c>
      <c r="E28" s="243">
        <v>10.7728065</v>
      </c>
      <c r="F28" s="243">
        <v>0</v>
      </c>
      <c r="G28" s="278">
        <f t="shared" si="1"/>
        <v>6.6522016324629796</v>
      </c>
      <c r="H28" s="269">
        <v>2.7058387100000001</v>
      </c>
      <c r="I28" s="243">
        <v>3.9463629224629799</v>
      </c>
      <c r="J28" s="243"/>
      <c r="K28" s="278">
        <f t="shared" si="2"/>
        <v>5.4639624481968951</v>
      </c>
      <c r="L28" s="278">
        <f t="shared" si="2"/>
        <v>5.7165015304406683</v>
      </c>
      <c r="M28" s="243">
        <f t="shared" si="3"/>
        <v>0.15556837161527984</v>
      </c>
      <c r="N28" s="243">
        <f t="shared" si="4"/>
        <v>0.16275859192999773</v>
      </c>
      <c r="O28" s="243">
        <f t="shared" si="5"/>
        <v>5.3083940765816156</v>
      </c>
      <c r="P28" s="243">
        <f t="shared" si="6"/>
        <v>5.5537429385106707</v>
      </c>
      <c r="Q28" s="243">
        <f t="shared" si="7"/>
        <v>0</v>
      </c>
      <c r="R28" s="243">
        <f t="shared" si="8"/>
        <v>0</v>
      </c>
      <c r="S28" s="278">
        <f t="shared" si="9"/>
        <v>3.2779301978544808</v>
      </c>
      <c r="T28" s="278">
        <f t="shared" si="9"/>
        <v>3.4294329747629302</v>
      </c>
      <c r="U28" s="243">
        <f t="shared" si="10"/>
        <v>1.3333255526634809</v>
      </c>
      <c r="V28" s="243">
        <f t="shared" si="11"/>
        <v>1.3949505756379568</v>
      </c>
      <c r="W28" s="243">
        <f t="shared" si="12"/>
        <v>1.9446046451909997</v>
      </c>
      <c r="X28" s="243">
        <f t="shared" si="13"/>
        <v>2.0344823991249732</v>
      </c>
      <c r="Y28" s="243">
        <f t="shared" si="14"/>
        <v>0</v>
      </c>
      <c r="Z28" s="243">
        <f t="shared" si="15"/>
        <v>0</v>
      </c>
      <c r="AA28" s="232">
        <v>193973805040.548</v>
      </c>
      <c r="AB28" s="239">
        <v>193.97380504054999</v>
      </c>
      <c r="AC28" s="237">
        <v>202939087501.52551</v>
      </c>
      <c r="AD28" s="199">
        <v>202.93908750153</v>
      </c>
    </row>
    <row r="29" spans="1:31">
      <c r="A29" s="280" t="s">
        <v>451</v>
      </c>
      <c r="B29" s="276" t="s">
        <v>545</v>
      </c>
      <c r="C29" s="277">
        <f t="shared" si="0"/>
        <v>8.1</v>
      </c>
      <c r="D29" s="243">
        <v>0</v>
      </c>
      <c r="E29" s="243">
        <v>8.1</v>
      </c>
      <c r="F29" s="243">
        <v>0</v>
      </c>
      <c r="G29" s="278">
        <f t="shared" si="1"/>
        <v>10.6</v>
      </c>
      <c r="H29" s="243">
        <v>5.3</v>
      </c>
      <c r="I29" s="243">
        <v>5.3</v>
      </c>
      <c r="J29" s="243">
        <v>0</v>
      </c>
      <c r="K29" s="278">
        <f t="shared" si="2"/>
        <v>1.9744090578931335</v>
      </c>
      <c r="L29" s="278">
        <f t="shared" si="2"/>
        <v>2.4511712488266704</v>
      </c>
      <c r="M29" s="243">
        <f t="shared" si="3"/>
        <v>0</v>
      </c>
      <c r="N29" s="243">
        <f t="shared" si="4"/>
        <v>0</v>
      </c>
      <c r="O29" s="243">
        <f t="shared" si="5"/>
        <v>1.9744090578931335</v>
      </c>
      <c r="P29" s="243">
        <f t="shared" si="6"/>
        <v>2.4511712488266704</v>
      </c>
      <c r="Q29" s="243">
        <f t="shared" si="7"/>
        <v>0</v>
      </c>
      <c r="R29" s="243">
        <f t="shared" si="8"/>
        <v>0</v>
      </c>
      <c r="S29" s="278">
        <f t="shared" si="9"/>
        <v>2.5837945695885449</v>
      </c>
      <c r="T29" s="278">
        <f t="shared" si="9"/>
        <v>3.2077055848842844</v>
      </c>
      <c r="U29" s="243">
        <f t="shared" si="10"/>
        <v>1.2918972847942725</v>
      </c>
      <c r="V29" s="243">
        <f t="shared" si="11"/>
        <v>1.6038527924421422</v>
      </c>
      <c r="W29" s="243">
        <f t="shared" si="12"/>
        <v>1.2918972847942725</v>
      </c>
      <c r="X29" s="243">
        <f t="shared" si="13"/>
        <v>1.6038527924421422</v>
      </c>
      <c r="Y29" s="243">
        <f t="shared" si="14"/>
        <v>0</v>
      </c>
      <c r="Z29" s="243">
        <f t="shared" si="15"/>
        <v>0</v>
      </c>
      <c r="AA29" s="232">
        <v>330454267684.37299</v>
      </c>
      <c r="AB29" s="239">
        <v>330.45426768437</v>
      </c>
      <c r="AC29" s="237">
        <v>410249333471.11688</v>
      </c>
      <c r="AD29" s="199">
        <v>410.24933347112</v>
      </c>
      <c r="AE29" s="234"/>
    </row>
    <row r="30" spans="1:31">
      <c r="A30" s="280" t="s">
        <v>539</v>
      </c>
      <c r="B30" s="276" t="s">
        <v>545</v>
      </c>
      <c r="C30" s="277">
        <f t="shared" si="0"/>
        <v>7.2019168054595077</v>
      </c>
      <c r="D30" s="267">
        <v>1.8290582363071768</v>
      </c>
      <c r="E30" s="267">
        <v>5.3728585691523305</v>
      </c>
      <c r="F30" s="267">
        <v>9.0309750417666859</v>
      </c>
      <c r="G30" s="278">
        <f t="shared" si="1"/>
        <v>14.861098169995811</v>
      </c>
      <c r="H30" s="267">
        <v>0</v>
      </c>
      <c r="I30" s="267">
        <v>14.861098169995811</v>
      </c>
      <c r="J30" s="267">
        <v>0</v>
      </c>
      <c r="K30" s="278">
        <f t="shared" si="2"/>
        <v>3.2388197867879107</v>
      </c>
      <c r="L30" s="278">
        <f t="shared" si="2"/>
        <v>2.1106625637775824</v>
      </c>
      <c r="M30" s="243">
        <f t="shared" si="3"/>
        <v>0.82255740616835848</v>
      </c>
      <c r="N30" s="243">
        <f t="shared" si="4"/>
        <v>0.53604128603875123</v>
      </c>
      <c r="O30" s="243">
        <f t="shared" si="5"/>
        <v>2.4162623806195525</v>
      </c>
      <c r="P30" s="243">
        <f t="shared" si="6"/>
        <v>1.5746212777388313</v>
      </c>
      <c r="Q30" s="243">
        <f t="shared" si="7"/>
        <v>4.0613771929562708</v>
      </c>
      <c r="R30" s="243">
        <f t="shared" si="8"/>
        <v>2.6467038498163342</v>
      </c>
      <c r="S30" s="278">
        <f t="shared" si="9"/>
        <v>6.6832789251179126</v>
      </c>
      <c r="T30" s="278">
        <f t="shared" si="9"/>
        <v>4.3553354490648539</v>
      </c>
      <c r="U30" s="243">
        <f t="shared" si="10"/>
        <v>0</v>
      </c>
      <c r="V30" s="243">
        <f t="shared" si="11"/>
        <v>0</v>
      </c>
      <c r="W30" s="243">
        <f t="shared" si="12"/>
        <v>6.6832789251179126</v>
      </c>
      <c r="X30" s="243">
        <f t="shared" si="13"/>
        <v>4.3553354490648539</v>
      </c>
      <c r="Y30" s="243">
        <f t="shared" si="14"/>
        <v>0</v>
      </c>
      <c r="Z30" s="243">
        <f t="shared" si="15"/>
        <v>0</v>
      </c>
      <c r="AA30" s="232">
        <v>341215925702.96198</v>
      </c>
      <c r="AB30" s="239">
        <v>341.21592570296002</v>
      </c>
      <c r="AC30" s="237">
        <v>222362381347.61981</v>
      </c>
      <c r="AD30" s="199">
        <v>222.36238134761999</v>
      </c>
    </row>
    <row r="31" spans="1:31">
      <c r="A31" s="280" t="s">
        <v>540</v>
      </c>
      <c r="B31" s="276" t="s">
        <v>545</v>
      </c>
      <c r="C31" s="277">
        <f t="shared" si="0"/>
        <v>2.5149550749223684</v>
      </c>
      <c r="D31" s="267">
        <v>0.18290582363071767</v>
      </c>
      <c r="E31" s="267">
        <v>2.3320492512916506</v>
      </c>
      <c r="F31" s="267">
        <v>1.4060885191611421</v>
      </c>
      <c r="G31" s="278">
        <f t="shared" si="1"/>
        <v>4.5840772047448617</v>
      </c>
      <c r="H31" s="267">
        <v>0</v>
      </c>
      <c r="I31" s="267">
        <v>4.5840772047448617</v>
      </c>
      <c r="J31" s="267">
        <v>0</v>
      </c>
      <c r="K31" s="278">
        <f t="shared" si="2"/>
        <v>2.52787094908023</v>
      </c>
      <c r="L31" s="278">
        <f t="shared" si="2"/>
        <v>1.3840355185893003</v>
      </c>
      <c r="M31" s="243">
        <f t="shared" si="3"/>
        <v>0.18384515993310763</v>
      </c>
      <c r="N31" s="243">
        <f t="shared" si="4"/>
        <v>0.10065712862467636</v>
      </c>
      <c r="O31" s="243">
        <f t="shared" si="5"/>
        <v>2.3440257891471226</v>
      </c>
      <c r="P31" s="243">
        <f t="shared" si="6"/>
        <v>1.2833783899646238</v>
      </c>
      <c r="Q31" s="243">
        <f t="shared" si="7"/>
        <v>1.4133096669857648</v>
      </c>
      <c r="R31" s="243">
        <f t="shared" si="8"/>
        <v>0.77380167630219954</v>
      </c>
      <c r="S31" s="278">
        <f t="shared" si="9"/>
        <v>4.6076193208235097</v>
      </c>
      <c r="T31" s="278">
        <f t="shared" si="9"/>
        <v>2.5227192861559513</v>
      </c>
      <c r="U31" s="243">
        <f t="shared" si="10"/>
        <v>0</v>
      </c>
      <c r="V31" s="243">
        <f t="shared" si="11"/>
        <v>0</v>
      </c>
      <c r="W31" s="243">
        <f t="shared" si="12"/>
        <v>4.6076193208235097</v>
      </c>
      <c r="X31" s="243">
        <f t="shared" si="13"/>
        <v>2.5227192861559513</v>
      </c>
      <c r="Y31" s="243">
        <f t="shared" si="14"/>
        <v>0</v>
      </c>
      <c r="Z31" s="243">
        <f t="shared" si="15"/>
        <v>0</v>
      </c>
      <c r="AA31" s="232">
        <v>181711743748.14999</v>
      </c>
      <c r="AB31" s="239">
        <v>181.71174374815001</v>
      </c>
      <c r="AC31" s="237">
        <v>99489061173.693314</v>
      </c>
      <c r="AD31" s="199">
        <v>99.489061173690004</v>
      </c>
    </row>
    <row r="32" spans="1:31">
      <c r="A32" s="280" t="s">
        <v>541</v>
      </c>
      <c r="B32" s="276" t="s">
        <v>545</v>
      </c>
      <c r="C32" s="277">
        <f t="shared" si="0"/>
        <v>4.1153810316911672</v>
      </c>
      <c r="D32" s="267">
        <v>0.11431613976919908</v>
      </c>
      <c r="E32" s="267">
        <v>4.0010648919219678</v>
      </c>
      <c r="F32" s="267">
        <v>0</v>
      </c>
      <c r="G32" s="278">
        <f t="shared" si="1"/>
        <v>3.3151680533067727</v>
      </c>
      <c r="H32" s="267">
        <v>0.68589683861519435</v>
      </c>
      <c r="I32" s="267">
        <v>2.6292712146915784</v>
      </c>
      <c r="J32" s="267">
        <v>0.11431613976919908</v>
      </c>
      <c r="K32" s="278">
        <f t="shared" si="2"/>
        <v>8.1625269737342627</v>
      </c>
      <c r="L32" s="278">
        <f t="shared" si="2"/>
        <v>5.4123140293972885</v>
      </c>
      <c r="M32" s="243">
        <f t="shared" si="3"/>
        <v>0.22673686038150731</v>
      </c>
      <c r="N32" s="243">
        <f t="shared" si="4"/>
        <v>0.1503420563721469</v>
      </c>
      <c r="O32" s="243">
        <f t="shared" si="5"/>
        <v>7.9357901133527555</v>
      </c>
      <c r="P32" s="243">
        <f t="shared" si="6"/>
        <v>5.2619719730251413</v>
      </c>
      <c r="Q32" s="243">
        <f t="shared" si="7"/>
        <v>0</v>
      </c>
      <c r="R32" s="243">
        <f t="shared" si="8"/>
        <v>0</v>
      </c>
      <c r="S32" s="278">
        <f t="shared" si="9"/>
        <v>6.5753689510637106</v>
      </c>
      <c r="T32" s="278">
        <f t="shared" si="9"/>
        <v>4.3599196347922593</v>
      </c>
      <c r="U32" s="243">
        <f t="shared" si="10"/>
        <v>1.3604211622890434</v>
      </c>
      <c r="V32" s="243">
        <f t="shared" si="11"/>
        <v>0.90205233823288122</v>
      </c>
      <c r="W32" s="243">
        <f t="shared" si="12"/>
        <v>5.2149477887746674</v>
      </c>
      <c r="X32" s="243">
        <f t="shared" si="13"/>
        <v>3.4578672965593782</v>
      </c>
      <c r="Y32" s="243">
        <f t="shared" si="14"/>
        <v>0.22673686038150731</v>
      </c>
      <c r="Z32" s="243">
        <f t="shared" si="15"/>
        <v>0.1503420563721469</v>
      </c>
      <c r="AA32" s="232">
        <v>76037366075.546799</v>
      </c>
      <c r="AB32" s="239">
        <v>76.037366075549997</v>
      </c>
      <c r="AC32" s="237">
        <v>50417977728.390221</v>
      </c>
      <c r="AD32" s="199">
        <v>50.417977728389999</v>
      </c>
      <c r="AE32"/>
    </row>
    <row r="33" spans="1:31">
      <c r="A33" s="280" t="s">
        <v>450</v>
      </c>
      <c r="B33" s="276" t="s">
        <v>545</v>
      </c>
      <c r="C33" s="277">
        <f t="shared" si="0"/>
        <v>11</v>
      </c>
      <c r="D33" s="243">
        <v>0</v>
      </c>
      <c r="E33" s="243">
        <v>11</v>
      </c>
      <c r="F33" s="243">
        <v>0</v>
      </c>
      <c r="G33" s="278">
        <f t="shared" si="1"/>
        <v>25</v>
      </c>
      <c r="H33" s="243">
        <v>0</v>
      </c>
      <c r="I33" s="243">
        <v>25</v>
      </c>
      <c r="J33" s="243">
        <v>0</v>
      </c>
      <c r="K33" s="278">
        <f t="shared" si="2"/>
        <v>2.0006500950731745</v>
      </c>
      <c r="L33" s="278">
        <f t="shared" si="2"/>
        <v>2.111306177863205</v>
      </c>
      <c r="M33" s="243">
        <f t="shared" si="3"/>
        <v>0</v>
      </c>
      <c r="N33" s="243">
        <f t="shared" si="4"/>
        <v>0</v>
      </c>
      <c r="O33" s="243">
        <f t="shared" si="5"/>
        <v>2.0006500950731745</v>
      </c>
      <c r="P33" s="243">
        <f t="shared" si="6"/>
        <v>2.111306177863205</v>
      </c>
      <c r="Q33" s="243">
        <f t="shared" si="7"/>
        <v>0</v>
      </c>
      <c r="R33" s="243">
        <f t="shared" si="8"/>
        <v>0</v>
      </c>
      <c r="S33" s="278">
        <f t="shared" si="9"/>
        <v>4.5469320342572148</v>
      </c>
      <c r="T33" s="278">
        <f t="shared" si="9"/>
        <v>4.7984231315072847</v>
      </c>
      <c r="U33" s="243">
        <f t="shared" si="10"/>
        <v>0</v>
      </c>
      <c r="V33" s="243">
        <f t="shared" si="11"/>
        <v>0</v>
      </c>
      <c r="W33" s="243">
        <f t="shared" si="12"/>
        <v>4.5469320342572148</v>
      </c>
      <c r="X33" s="243">
        <f t="shared" si="13"/>
        <v>4.7984231315072847</v>
      </c>
      <c r="Y33" s="243">
        <f t="shared" si="14"/>
        <v>0</v>
      </c>
      <c r="Z33" s="243">
        <f t="shared" si="15"/>
        <v>0</v>
      </c>
      <c r="AA33" s="232">
        <v>521004490742.91901</v>
      </c>
      <c r="AB33" s="239">
        <v>521.00449074291998</v>
      </c>
      <c r="AC33" s="237">
        <v>549821281946.73523</v>
      </c>
      <c r="AD33" s="199">
        <v>549.82128194673999</v>
      </c>
    </row>
    <row r="34" spans="1:31">
      <c r="A34" s="280" t="s">
        <v>453</v>
      </c>
      <c r="B34" s="276" t="s">
        <v>545</v>
      </c>
      <c r="C34" s="277">
        <f t="shared" si="0"/>
        <v>1.6825977000000001</v>
      </c>
      <c r="D34" s="243">
        <v>0</v>
      </c>
      <c r="E34" s="243">
        <v>1.6825977000000001</v>
      </c>
      <c r="F34" s="243">
        <v>0</v>
      </c>
      <c r="G34" s="278">
        <f t="shared" si="1"/>
        <v>0.21161296000000002</v>
      </c>
      <c r="H34" s="269">
        <f>0.0516129+0.05677419</f>
        <v>0.10838709000000001</v>
      </c>
      <c r="I34" s="269">
        <f>0.10322587</f>
        <v>0.10322587</v>
      </c>
      <c r="J34" s="243">
        <v>0</v>
      </c>
      <c r="K34" s="278">
        <f t="shared" si="2"/>
        <v>0.22521425078179022</v>
      </c>
      <c r="L34" s="278">
        <f t="shared" si="2"/>
        <v>0.28479302795803385</v>
      </c>
      <c r="M34" s="243">
        <f t="shared" si="3"/>
        <v>0</v>
      </c>
      <c r="N34" s="243">
        <f t="shared" si="4"/>
        <v>0</v>
      </c>
      <c r="O34" s="243">
        <f t="shared" si="5"/>
        <v>0.22521425078179022</v>
      </c>
      <c r="P34" s="243">
        <f t="shared" si="6"/>
        <v>0.28479302795803385</v>
      </c>
      <c r="Q34" s="243">
        <f t="shared" si="7"/>
        <v>0</v>
      </c>
      <c r="R34" s="243">
        <f t="shared" si="8"/>
        <v>0</v>
      </c>
      <c r="S34" s="278">
        <f t="shared" si="9"/>
        <v>2.8324212164391373E-2</v>
      </c>
      <c r="T34" s="278">
        <f t="shared" si="9"/>
        <v>3.5817174618485631E-2</v>
      </c>
      <c r="U34" s="243">
        <f t="shared" si="10"/>
        <v>1.4507518504731386E-2</v>
      </c>
      <c r="V34" s="243">
        <f t="shared" si="11"/>
        <v>1.8345376053146827E-2</v>
      </c>
      <c r="W34" s="243">
        <f t="shared" si="12"/>
        <v>1.3816693659659988E-2</v>
      </c>
      <c r="X34" s="243">
        <f t="shared" si="13"/>
        <v>1.74717985653388E-2</v>
      </c>
      <c r="Y34" s="243">
        <f t="shared" si="14"/>
        <v>0</v>
      </c>
      <c r="Z34" s="243">
        <f t="shared" si="15"/>
        <v>0</v>
      </c>
      <c r="AA34" s="232">
        <v>590814217631.73499</v>
      </c>
      <c r="AB34" s="239">
        <v>590.81421763174001</v>
      </c>
      <c r="AC34" s="237">
        <v>747109782866.38879</v>
      </c>
      <c r="AD34" s="199">
        <v>747.10978286638999</v>
      </c>
      <c r="AE34" s="234"/>
    </row>
    <row r="35" spans="1:31">
      <c r="A35" s="276" t="s">
        <v>490</v>
      </c>
      <c r="B35" s="276" t="s">
        <v>545</v>
      </c>
      <c r="C35" s="277">
        <f t="shared" si="0"/>
        <v>4.5999999999999996</v>
      </c>
      <c r="D35" s="243">
        <v>1</v>
      </c>
      <c r="E35" s="243">
        <v>3.6</v>
      </c>
      <c r="F35" s="243">
        <v>4.7152702260000003</v>
      </c>
      <c r="G35" s="278">
        <f t="shared" si="1"/>
        <v>2.4</v>
      </c>
      <c r="H35" s="243">
        <v>2.4</v>
      </c>
      <c r="I35" s="243">
        <v>0</v>
      </c>
      <c r="J35" s="243">
        <v>0</v>
      </c>
      <c r="K35" s="278">
        <f t="shared" si="2"/>
        <v>1.7559969186421984</v>
      </c>
      <c r="L35" s="278">
        <f t="shared" si="2"/>
        <v>1.0424015476762831</v>
      </c>
      <c r="M35" s="243">
        <f t="shared" si="3"/>
        <v>0.38173846057439093</v>
      </c>
      <c r="N35" s="243">
        <f t="shared" si="4"/>
        <v>0.2266090321035398</v>
      </c>
      <c r="O35" s="243">
        <f t="shared" si="5"/>
        <v>1.3742584580678074</v>
      </c>
      <c r="P35" s="243">
        <f t="shared" si="6"/>
        <v>0.81579251557274324</v>
      </c>
      <c r="Q35" s="243">
        <f t="shared" si="7"/>
        <v>1.7999999972655005</v>
      </c>
      <c r="R35" s="243">
        <f t="shared" si="8"/>
        <v>1.0685228220204994</v>
      </c>
      <c r="S35" s="278">
        <f t="shared" si="9"/>
        <v>0.91617230537853822</v>
      </c>
      <c r="T35" s="278">
        <f t="shared" si="9"/>
        <v>0.54386167704849553</v>
      </c>
      <c r="U35" s="243">
        <f t="shared" si="10"/>
        <v>0.91617230537853822</v>
      </c>
      <c r="V35" s="243">
        <f t="shared" si="11"/>
        <v>0.54386167704849553</v>
      </c>
      <c r="W35" s="243">
        <f t="shared" si="12"/>
        <v>0</v>
      </c>
      <c r="X35" s="243">
        <f t="shared" si="13"/>
        <v>0</v>
      </c>
      <c r="Y35" s="243">
        <f t="shared" si="14"/>
        <v>0</v>
      </c>
      <c r="Z35" s="243">
        <f t="shared" si="15"/>
        <v>0</v>
      </c>
      <c r="AA35" s="232">
        <v>441288677118.17102</v>
      </c>
      <c r="AB35" s="239">
        <v>441.28867711817003</v>
      </c>
      <c r="AC35" s="237">
        <v>261959457397.9639</v>
      </c>
      <c r="AD35" s="199">
        <v>261.95945739796002</v>
      </c>
    </row>
    <row r="36" spans="1:31">
      <c r="A36" s="276" t="s">
        <v>481</v>
      </c>
      <c r="B36" s="276" t="s">
        <v>545</v>
      </c>
      <c r="C36" s="277">
        <f t="shared" si="0"/>
        <v>0</v>
      </c>
      <c r="D36" s="243">
        <v>0</v>
      </c>
      <c r="E36" s="243">
        <v>0</v>
      </c>
      <c r="F36" s="243">
        <v>0</v>
      </c>
      <c r="G36" s="278">
        <f t="shared" si="1"/>
        <v>0.1</v>
      </c>
      <c r="H36" s="243">
        <v>0.1</v>
      </c>
      <c r="I36" s="243">
        <v>0</v>
      </c>
      <c r="J36" s="243">
        <v>0</v>
      </c>
      <c r="K36" s="278">
        <f t="shared" si="2"/>
        <v>0</v>
      </c>
      <c r="L36" s="278">
        <f t="shared" si="2"/>
        <v>0</v>
      </c>
      <c r="M36" s="243">
        <f t="shared" si="3"/>
        <v>0</v>
      </c>
      <c r="N36" s="243">
        <f t="shared" si="4"/>
        <v>0</v>
      </c>
      <c r="O36" s="243">
        <f t="shared" si="5"/>
        <v>0</v>
      </c>
      <c r="P36" s="243">
        <f t="shared" si="6"/>
        <v>0</v>
      </c>
      <c r="Q36" s="243">
        <f t="shared" si="7"/>
        <v>0</v>
      </c>
      <c r="R36" s="243">
        <f t="shared" si="8"/>
        <v>0</v>
      </c>
      <c r="S36" s="278">
        <f t="shared" si="9"/>
        <v>3.111333402933561E-2</v>
      </c>
      <c r="T36" s="278">
        <f t="shared" si="9"/>
        <v>1.4482906740415585E-2</v>
      </c>
      <c r="U36" s="243">
        <f t="shared" si="10"/>
        <v>3.111333402933561E-2</v>
      </c>
      <c r="V36" s="243">
        <f t="shared" si="11"/>
        <v>1.4482906740415585E-2</v>
      </c>
      <c r="W36" s="243">
        <f t="shared" si="12"/>
        <v>0</v>
      </c>
      <c r="X36" s="243">
        <f t="shared" si="13"/>
        <v>0</v>
      </c>
      <c r="Y36" s="243">
        <f t="shared" si="14"/>
        <v>0</v>
      </c>
      <c r="Z36" s="243">
        <f t="shared" si="15"/>
        <v>0</v>
      </c>
      <c r="AA36" s="232">
        <v>690469128831.32397</v>
      </c>
      <c r="AB36" s="239">
        <v>690.46912883131995</v>
      </c>
      <c r="AC36" s="237">
        <v>321405606694.9129</v>
      </c>
      <c r="AD36" s="199">
        <v>321.40560669490998</v>
      </c>
    </row>
    <row r="37" spans="1:31">
      <c r="A37" s="276" t="s">
        <v>542</v>
      </c>
      <c r="B37" s="276" t="s">
        <v>545</v>
      </c>
      <c r="C37" s="277">
        <f t="shared" si="0"/>
        <v>0.71743400000000002</v>
      </c>
      <c r="D37" s="243">
        <v>0.17</v>
      </c>
      <c r="E37" s="243">
        <v>0.54743399999999998</v>
      </c>
      <c r="F37" s="243">
        <v>0</v>
      </c>
      <c r="G37" s="278">
        <f t="shared" si="1"/>
        <v>0</v>
      </c>
      <c r="H37" s="243">
        <v>0</v>
      </c>
      <c r="I37" s="243">
        <v>0</v>
      </c>
      <c r="J37" s="243">
        <v>0</v>
      </c>
      <c r="K37" s="278">
        <f t="shared" si="2"/>
        <v>1.1143308580281421</v>
      </c>
      <c r="L37" s="278">
        <f t="shared" si="2"/>
        <v>0.7863713384702169</v>
      </c>
      <c r="M37" s="243">
        <f t="shared" si="3"/>
        <v>0.26404693095780818</v>
      </c>
      <c r="N37" s="243">
        <f t="shared" si="4"/>
        <v>0.18633508802194609</v>
      </c>
      <c r="O37" s="243">
        <f t="shared" si="5"/>
        <v>0.85028392707033384</v>
      </c>
      <c r="P37" s="243">
        <f t="shared" si="6"/>
        <v>0.6000362504482708</v>
      </c>
      <c r="Q37" s="243">
        <f t="shared" si="7"/>
        <v>0</v>
      </c>
      <c r="R37" s="243">
        <f t="shared" si="8"/>
        <v>0</v>
      </c>
      <c r="S37" s="278">
        <f t="shared" si="9"/>
        <v>0</v>
      </c>
      <c r="T37" s="278">
        <f t="shared" si="9"/>
        <v>0</v>
      </c>
      <c r="U37" s="243">
        <f t="shared" si="10"/>
        <v>0</v>
      </c>
      <c r="V37" s="243">
        <f t="shared" si="11"/>
        <v>0</v>
      </c>
      <c r="W37" s="243">
        <f t="shared" si="12"/>
        <v>0</v>
      </c>
      <c r="X37" s="243">
        <f t="shared" si="13"/>
        <v>0</v>
      </c>
      <c r="Y37" s="243">
        <f t="shared" si="14"/>
        <v>0</v>
      </c>
      <c r="Z37" s="243">
        <f t="shared" si="15"/>
        <v>0</v>
      </c>
      <c r="AA37" s="232">
        <v>91233487908.610901</v>
      </c>
      <c r="AB37" s="239">
        <v>91.233487908610002</v>
      </c>
      <c r="AC37" s="237">
        <v>64382494196.515457</v>
      </c>
      <c r="AD37" s="199">
        <v>64.38249419652</v>
      </c>
    </row>
    <row r="38" spans="1:31">
      <c r="A38" s="276" t="s">
        <v>543</v>
      </c>
      <c r="B38" s="276" t="s">
        <v>545</v>
      </c>
      <c r="C38" s="277">
        <f t="shared" si="0"/>
        <v>4.4197489986439065</v>
      </c>
      <c r="D38" s="243">
        <v>0</v>
      </c>
      <c r="E38" s="266">
        <v>4.4197489986439065</v>
      </c>
      <c r="F38" s="243">
        <v>0</v>
      </c>
      <c r="G38" s="278">
        <f t="shared" si="1"/>
        <v>0</v>
      </c>
      <c r="H38" s="243">
        <v>0</v>
      </c>
      <c r="I38" s="243">
        <v>0</v>
      </c>
      <c r="J38" s="243">
        <v>0</v>
      </c>
      <c r="K38" s="278">
        <f t="shared" si="2"/>
        <v>2.998798899106466</v>
      </c>
      <c r="L38" s="278">
        <f t="shared" si="2"/>
        <v>1.4262400226188992</v>
      </c>
      <c r="M38" s="243">
        <f t="shared" si="3"/>
        <v>0</v>
      </c>
      <c r="N38" s="243">
        <f t="shared" si="4"/>
        <v>0</v>
      </c>
      <c r="O38" s="243">
        <f t="shared" si="5"/>
        <v>2.998798899106466</v>
      </c>
      <c r="P38" s="243">
        <f t="shared" si="6"/>
        <v>1.4262400226188992</v>
      </c>
      <c r="Q38" s="243">
        <f t="shared" si="7"/>
        <v>0</v>
      </c>
      <c r="R38" s="243">
        <f t="shared" si="8"/>
        <v>0</v>
      </c>
      <c r="S38" s="278">
        <f t="shared" si="9"/>
        <v>0</v>
      </c>
      <c r="T38" s="278">
        <f t="shared" si="9"/>
        <v>0</v>
      </c>
      <c r="U38" s="243">
        <f t="shared" si="10"/>
        <v>0</v>
      </c>
      <c r="V38" s="243">
        <f t="shared" si="11"/>
        <v>0</v>
      </c>
      <c r="W38" s="243">
        <f t="shared" si="12"/>
        <v>0</v>
      </c>
      <c r="X38" s="243">
        <f t="shared" si="13"/>
        <v>0</v>
      </c>
      <c r="Y38" s="243">
        <f t="shared" si="14"/>
        <v>0</v>
      </c>
      <c r="Z38" s="243">
        <f t="shared" si="15"/>
        <v>0</v>
      </c>
      <c r="AA38" s="232">
        <v>309888162479.70697</v>
      </c>
      <c r="AB38" s="239">
        <v>309.88816247970999</v>
      </c>
      <c r="AC38" s="237">
        <v>147383974295.86609</v>
      </c>
      <c r="AD38" s="199">
        <v>147.38397429586999</v>
      </c>
    </row>
    <row r="39" spans="1:31">
      <c r="A39" s="276" t="s">
        <v>487</v>
      </c>
      <c r="B39" s="276" t="s">
        <v>545</v>
      </c>
      <c r="C39" s="277">
        <f t="shared" si="0"/>
        <v>17</v>
      </c>
      <c r="D39" s="243">
        <v>8</v>
      </c>
      <c r="E39" s="243">
        <v>9</v>
      </c>
      <c r="F39" s="243">
        <v>0</v>
      </c>
      <c r="G39" s="278">
        <f t="shared" si="1"/>
        <v>17</v>
      </c>
      <c r="H39" s="243">
        <v>0</v>
      </c>
      <c r="I39" s="243">
        <v>17</v>
      </c>
      <c r="J39" s="243">
        <v>0</v>
      </c>
      <c r="K39" s="278">
        <f t="shared" si="2"/>
        <v>2.9746119470950942</v>
      </c>
      <c r="L39" s="278">
        <f t="shared" si="2"/>
        <v>1.3986901541599801</v>
      </c>
      <c r="M39" s="243">
        <f t="shared" si="3"/>
        <v>1.3998173868682795</v>
      </c>
      <c r="N39" s="243">
        <f t="shared" si="4"/>
        <v>0.65820713136940245</v>
      </c>
      <c r="O39" s="243">
        <f t="shared" si="5"/>
        <v>1.5747945602268145</v>
      </c>
      <c r="P39" s="243">
        <f t="shared" si="6"/>
        <v>0.74048302279057776</v>
      </c>
      <c r="Q39" s="243">
        <f t="shared" si="7"/>
        <v>0</v>
      </c>
      <c r="R39" s="243">
        <f t="shared" si="8"/>
        <v>0</v>
      </c>
      <c r="S39" s="278">
        <f t="shared" si="9"/>
        <v>2.9746119470950938</v>
      </c>
      <c r="T39" s="278">
        <f t="shared" si="9"/>
        <v>1.3986901541599803</v>
      </c>
      <c r="U39" s="243">
        <f t="shared" si="10"/>
        <v>0</v>
      </c>
      <c r="V39" s="243">
        <f t="shared" si="11"/>
        <v>0</v>
      </c>
      <c r="W39" s="243">
        <f t="shared" si="12"/>
        <v>2.9746119470950938</v>
      </c>
      <c r="X39" s="243">
        <f t="shared" si="13"/>
        <v>1.3986901541599803</v>
      </c>
      <c r="Y39" s="243">
        <f t="shared" si="14"/>
        <v>0</v>
      </c>
      <c r="Z39" s="243">
        <f t="shared" si="15"/>
        <v>0</v>
      </c>
      <c r="AA39" s="232">
        <v>1215422868992.01</v>
      </c>
      <c r="AB39" s="239">
        <v>1215.4228689920101</v>
      </c>
      <c r="AC39" s="237">
        <v>571503117124.28699</v>
      </c>
      <c r="AD39" s="199">
        <v>571.50311712429004</v>
      </c>
    </row>
    <row r="40" spans="1:31">
      <c r="A40" s="271" t="s">
        <v>461</v>
      </c>
      <c r="B40" s="257" t="s">
        <v>557</v>
      </c>
      <c r="C40" s="258">
        <f t="shared" si="0"/>
        <v>0.36671521951269392</v>
      </c>
      <c r="D40" s="272">
        <f>data!D41-data!D2</f>
        <v>1.1544452643601866</v>
      </c>
      <c r="E40" s="273">
        <f>data!E41-data!E2</f>
        <v>-0.78773004484749265</v>
      </c>
      <c r="F40" s="273">
        <f>data!F41-data!F2</f>
        <v>0</v>
      </c>
      <c r="G40" s="259">
        <f t="shared" si="1"/>
        <v>-1.1041831494786933</v>
      </c>
      <c r="H40" s="273">
        <f>data!H41-data!H2</f>
        <v>-0.51176420691943925</v>
      </c>
      <c r="I40" s="273">
        <f>data!I41-data!I2</f>
        <v>-0.59241894255925409</v>
      </c>
      <c r="J40" s="273">
        <f>data!J41-data!J2</f>
        <v>0</v>
      </c>
      <c r="K40" s="259">
        <f t="shared" si="2"/>
        <v>2.4533165212039229E-2</v>
      </c>
      <c r="L40" s="259">
        <f t="shared" si="2"/>
        <v>2.9898941722940581E-2</v>
      </c>
      <c r="M40" s="260">
        <f t="shared" si="3"/>
        <v>7.723212697973221E-2</v>
      </c>
      <c r="N40" s="260">
        <f t="shared" si="4"/>
        <v>9.4123968258795279E-2</v>
      </c>
      <c r="O40" s="260">
        <f t="shared" si="5"/>
        <v>-5.2698961767692981E-2</v>
      </c>
      <c r="P40" s="260">
        <f t="shared" si="6"/>
        <v>-6.4225026535854698E-2</v>
      </c>
      <c r="Q40" s="260">
        <f t="shared" si="7"/>
        <v>0</v>
      </c>
      <c r="R40" s="260">
        <f t="shared" si="8"/>
        <v>0</v>
      </c>
      <c r="S40" s="259">
        <f t="shared" si="9"/>
        <v>-7.3869602866517753E-2</v>
      </c>
      <c r="T40" s="259">
        <f t="shared" si="9"/>
        <v>-9.0026008960268022E-2</v>
      </c>
      <c r="U40" s="260">
        <f t="shared" si="10"/>
        <v>-3.4236909650618486E-2</v>
      </c>
      <c r="V40" s="260">
        <f t="shared" ref="V40:V77" si="16">($H40/AB40)*100</f>
        <v>-4.1725042715445748E-2</v>
      </c>
      <c r="W40" s="260">
        <f t="shared" si="12"/>
        <v>-3.963269321589926E-2</v>
      </c>
      <c r="X40" s="260">
        <f t="shared" si="13"/>
        <v>-4.8300966244822267E-2</v>
      </c>
      <c r="Y40" s="260">
        <f t="shared" si="14"/>
        <v>0</v>
      </c>
      <c r="Z40" s="260">
        <f t="shared" si="15"/>
        <v>0</v>
      </c>
      <c r="AA40" s="232">
        <v>1226515717214.5801</v>
      </c>
      <c r="AB40" s="239">
        <v>1226.51571721458</v>
      </c>
      <c r="AC40" s="237">
        <v>1494773366351.988</v>
      </c>
      <c r="AD40" s="199">
        <v>1494.77336635199</v>
      </c>
    </row>
    <row r="41" spans="1:31">
      <c r="A41" s="271" t="s">
        <v>459</v>
      </c>
      <c r="B41" s="257" t="s">
        <v>557</v>
      </c>
      <c r="C41" s="258">
        <f t="shared" si="0"/>
        <v>5.3821266931310277</v>
      </c>
      <c r="D41" s="272">
        <f>data!D42-data!D3</f>
        <v>0.47940422310436759</v>
      </c>
      <c r="E41" s="273">
        <f>data!E42-data!E3</f>
        <v>4.9027224700266601</v>
      </c>
      <c r="F41" s="273">
        <f>data!F42-data!F3</f>
        <v>-2.5626602590321923</v>
      </c>
      <c r="G41" s="259">
        <f t="shared" si="1"/>
        <v>-1.3104260956735714</v>
      </c>
      <c r="H41" s="273">
        <f>data!H42-data!H3</f>
        <v>-0.10074472111954114</v>
      </c>
      <c r="I41" s="273">
        <f>data!I42-data!I3</f>
        <v>-1.2096813745540302</v>
      </c>
      <c r="J41" s="273">
        <f>data!J42-data!J3</f>
        <v>0</v>
      </c>
      <c r="K41" s="259">
        <f t="shared" si="2"/>
        <v>0.31722919641608521</v>
      </c>
      <c r="L41" s="259">
        <f t="shared" si="2"/>
        <v>0.31228103803024765</v>
      </c>
      <c r="M41" s="260">
        <f t="shared" si="3"/>
        <v>2.8256677169634543E-2</v>
      </c>
      <c r="N41" s="260">
        <f t="shared" si="4"/>
        <v>2.7815927971034798E-2</v>
      </c>
      <c r="O41" s="260">
        <f t="shared" si="5"/>
        <v>0.28897251924645068</v>
      </c>
      <c r="P41" s="260">
        <f t="shared" si="6"/>
        <v>0.28446511005921288</v>
      </c>
      <c r="Q41" s="260">
        <f t="shared" si="7"/>
        <v>-0.15104636159861351</v>
      </c>
      <c r="R41" s="260">
        <f t="shared" si="8"/>
        <v>-0.14869033217497205</v>
      </c>
      <c r="S41" s="259">
        <f t="shared" si="9"/>
        <v>-7.7238132990020775E-2</v>
      </c>
      <c r="T41" s="259">
        <f t="shared" si="9"/>
        <v>-7.6033368359971654E-2</v>
      </c>
      <c r="U41" s="260">
        <f t="shared" si="10"/>
        <v>-5.9380183236308294E-3</v>
      </c>
      <c r="V41" s="260">
        <f t="shared" si="16"/>
        <v>-5.8453967884906886E-3</v>
      </c>
      <c r="W41" s="260">
        <f t="shared" si="12"/>
        <v>-7.1300114666389941E-2</v>
      </c>
      <c r="X41" s="260">
        <f t="shared" si="13"/>
        <v>-7.0187971571480962E-2</v>
      </c>
      <c r="Y41" s="260">
        <f t="shared" si="14"/>
        <v>0</v>
      </c>
      <c r="Z41" s="260">
        <f t="shared" si="15"/>
        <v>0</v>
      </c>
      <c r="AA41" s="232">
        <v>1723488152556.26</v>
      </c>
      <c r="AB41" s="239">
        <v>1723.48815255626</v>
      </c>
      <c r="AC41" s="237">
        <v>1696605089927.3779</v>
      </c>
      <c r="AD41" s="199">
        <v>1696.60508992738</v>
      </c>
    </row>
    <row r="42" spans="1:31">
      <c r="A42" s="271" t="s">
        <v>457</v>
      </c>
      <c r="B42" s="257" t="s">
        <v>557</v>
      </c>
      <c r="C42" s="258">
        <f t="shared" si="0"/>
        <v>46.119277635451212</v>
      </c>
      <c r="D42" s="272">
        <f>data!D43-data!D4</f>
        <v>3.2426565634137816</v>
      </c>
      <c r="E42" s="273">
        <f>data!E43-data!E4</f>
        <v>42.87662107203743</v>
      </c>
      <c r="F42" s="273">
        <f>data!F43-data!F4</f>
        <v>12.152179908683117</v>
      </c>
      <c r="G42" s="259">
        <f t="shared" si="1"/>
        <v>32.305560508499525</v>
      </c>
      <c r="H42" s="273">
        <f>data!H43-data!H4</f>
        <v>22.949473478961178</v>
      </c>
      <c r="I42" s="273">
        <f>data!I43-data!I4</f>
        <v>9.3560870295383438</v>
      </c>
      <c r="J42" s="273">
        <f>data!J43-data!J4</f>
        <v>0</v>
      </c>
      <c r="K42" s="259">
        <f t="shared" si="2"/>
        <v>1.7624219498783402</v>
      </c>
      <c r="L42" s="259">
        <f t="shared" si="2"/>
        <v>1.5864412065797067</v>
      </c>
      <c r="M42" s="260">
        <f t="shared" si="3"/>
        <v>0.12391627528191231</v>
      </c>
      <c r="N42" s="260">
        <f t="shared" si="4"/>
        <v>0.11154303047954568</v>
      </c>
      <c r="O42" s="260">
        <f t="shared" si="5"/>
        <v>1.6385056745964279</v>
      </c>
      <c r="P42" s="260">
        <f t="shared" si="6"/>
        <v>1.4748981761001609</v>
      </c>
      <c r="Q42" s="260">
        <f t="shared" si="7"/>
        <v>0.46438863980537598</v>
      </c>
      <c r="R42" s="260">
        <f t="shared" si="8"/>
        <v>0.41801866692911172</v>
      </c>
      <c r="S42" s="259">
        <f t="shared" si="9"/>
        <v>1.2345386108028833</v>
      </c>
      <c r="T42" s="259">
        <f t="shared" si="9"/>
        <v>1.1112678909988369</v>
      </c>
      <c r="U42" s="260">
        <f t="shared" si="10"/>
        <v>0.87700106920974974</v>
      </c>
      <c r="V42" s="260">
        <f t="shared" si="16"/>
        <v>0.78943106360247617</v>
      </c>
      <c r="W42" s="260">
        <f t="shared" si="12"/>
        <v>0.35753754159313361</v>
      </c>
      <c r="X42" s="260">
        <f t="shared" si="13"/>
        <v>0.32183682739636077</v>
      </c>
      <c r="Y42" s="260">
        <f t="shared" si="14"/>
        <v>0</v>
      </c>
      <c r="Z42" s="260">
        <f t="shared" si="15"/>
        <v>0</v>
      </c>
      <c r="AA42" s="232">
        <v>2907090249810.2798</v>
      </c>
      <c r="AB42" s="239">
        <v>2907.0902498102801</v>
      </c>
      <c r="AC42" s="237">
        <v>2616812485718.0068</v>
      </c>
      <c r="AD42" s="199">
        <v>2616.8124857180101</v>
      </c>
    </row>
    <row r="43" spans="1:31">
      <c r="A43" s="271" t="s">
        <v>458</v>
      </c>
      <c r="B43" s="257" t="s">
        <v>557</v>
      </c>
      <c r="C43" s="258">
        <f t="shared" si="0"/>
        <v>189.22094940972295</v>
      </c>
      <c r="D43" s="272">
        <f>data!D44-data!D5</f>
        <v>13.935137619814569</v>
      </c>
      <c r="E43" s="273">
        <f>data!E44-data!E5</f>
        <v>175.28581178990839</v>
      </c>
      <c r="F43" s="273">
        <f>data!F44-data!F5</f>
        <v>0</v>
      </c>
      <c r="G43" s="259">
        <f t="shared" si="1"/>
        <v>42.688711835254736</v>
      </c>
      <c r="H43" s="273">
        <f>data!H44-data!H5</f>
        <v>-4.4335859146559358</v>
      </c>
      <c r="I43" s="273">
        <f>data!I44-data!I5</f>
        <v>47.122297749910672</v>
      </c>
      <c r="J43" s="273">
        <f>data!J44-data!J5</f>
        <v>0</v>
      </c>
      <c r="K43" s="259">
        <f t="shared" si="2"/>
        <v>5.2600571942181604</v>
      </c>
      <c r="L43" s="259">
        <f t="shared" si="2"/>
        <v>4.5466299278372659</v>
      </c>
      <c r="M43" s="260">
        <f t="shared" si="3"/>
        <v>0.38737582238216656</v>
      </c>
      <c r="N43" s="260">
        <f t="shared" si="4"/>
        <v>0.33483561914484444</v>
      </c>
      <c r="O43" s="260">
        <f t="shared" si="5"/>
        <v>4.872681371835994</v>
      </c>
      <c r="P43" s="260">
        <f t="shared" si="6"/>
        <v>4.2117943086924212</v>
      </c>
      <c r="Q43" s="260">
        <f t="shared" si="7"/>
        <v>0</v>
      </c>
      <c r="R43" s="260">
        <f t="shared" si="8"/>
        <v>0</v>
      </c>
      <c r="S43" s="259">
        <f t="shared" si="9"/>
        <v>1.1866818473398886</v>
      </c>
      <c r="T43" s="259">
        <f t="shared" si="9"/>
        <v>1.025730900391608</v>
      </c>
      <c r="U43" s="260">
        <f t="shared" si="10"/>
        <v>-0.12324700599653546</v>
      </c>
      <c r="V43" s="260">
        <f t="shared" si="16"/>
        <v>-0.10653088080413488</v>
      </c>
      <c r="W43" s="260">
        <f t="shared" si="12"/>
        <v>1.3099288533364239</v>
      </c>
      <c r="X43" s="260">
        <f t="shared" si="13"/>
        <v>1.1322617811957429</v>
      </c>
      <c r="Y43" s="260">
        <f t="shared" si="14"/>
        <v>0</v>
      </c>
      <c r="Z43" s="260">
        <f t="shared" si="15"/>
        <v>0</v>
      </c>
      <c r="AA43" s="232">
        <v>4161784715558.1299</v>
      </c>
      <c r="AB43" s="239">
        <v>4161.7847155581303</v>
      </c>
      <c r="AC43" s="237">
        <v>3597317337494.2358</v>
      </c>
      <c r="AD43" s="199">
        <v>3597.3173374942398</v>
      </c>
    </row>
    <row r="44" spans="1:31">
      <c r="A44" s="271" t="s">
        <v>455</v>
      </c>
      <c r="B44" s="257" t="s">
        <v>557</v>
      </c>
      <c r="C44" s="258">
        <f t="shared" si="0"/>
        <v>38.105763873469755</v>
      </c>
      <c r="D44" s="272">
        <f>data!D45-data!D6</f>
        <v>3.4734084577736981</v>
      </c>
      <c r="E44" s="273">
        <f>data!E45-data!E6</f>
        <v>34.632355415696054</v>
      </c>
      <c r="F44" s="273">
        <f>data!F45-data!F6</f>
        <v>7.6498244929870598</v>
      </c>
      <c r="G44" s="259">
        <f t="shared" si="1"/>
        <v>-8.1926568414287964</v>
      </c>
      <c r="H44" s="273">
        <f>data!H45-data!H6</f>
        <v>3.6063458324081847</v>
      </c>
      <c r="I44" s="273">
        <f>data!I45-data!I6</f>
        <v>-11.799002673836981</v>
      </c>
      <c r="J44" s="273">
        <f>data!J45-data!J6</f>
        <v>0</v>
      </c>
      <c r="K44" s="259">
        <f t="shared" si="2"/>
        <v>1.9865814742322869</v>
      </c>
      <c r="L44" s="259">
        <f t="shared" si="2"/>
        <v>1.6300816575185897</v>
      </c>
      <c r="M44" s="260">
        <f t="shared" si="3"/>
        <v>0.18108045065221948</v>
      </c>
      <c r="N44" s="260">
        <f t="shared" si="4"/>
        <v>0.1485848554273132</v>
      </c>
      <c r="O44" s="260">
        <f t="shared" si="5"/>
        <v>1.8055010235800675</v>
      </c>
      <c r="P44" s="260">
        <f t="shared" si="6"/>
        <v>1.4814968020912764</v>
      </c>
      <c r="Q44" s="260">
        <f t="shared" si="7"/>
        <v>0.39881104783407961</v>
      </c>
      <c r="R44" s="260">
        <f t="shared" si="8"/>
        <v>0.32724284522049651</v>
      </c>
      <c r="S44" s="259">
        <f t="shared" si="9"/>
        <v>-0.42711072162120334</v>
      </c>
      <c r="T44" s="259">
        <f t="shared" si="9"/>
        <v>-0.35046403184309766</v>
      </c>
      <c r="U44" s="260">
        <f t="shared" si="10"/>
        <v>0.18801092255035179</v>
      </c>
      <c r="V44" s="260">
        <f t="shared" si="16"/>
        <v>0.15427162703251979</v>
      </c>
      <c r="W44" s="260">
        <f t="shared" si="12"/>
        <v>-0.61512164417155513</v>
      </c>
      <c r="X44" s="260">
        <f t="shared" si="13"/>
        <v>-0.50473565887561744</v>
      </c>
      <c r="Y44" s="260">
        <f t="shared" si="14"/>
        <v>0</v>
      </c>
      <c r="Z44" s="260">
        <f t="shared" si="15"/>
        <v>0</v>
      </c>
      <c r="AA44" s="232">
        <v>2337659815857.1201</v>
      </c>
      <c r="AB44" s="239">
        <v>2337.6598158571201</v>
      </c>
      <c r="AC44" s="237">
        <v>1918157617381.1699</v>
      </c>
      <c r="AD44" s="199">
        <v>1918.15761738117</v>
      </c>
    </row>
    <row r="45" spans="1:31">
      <c r="A45" s="271" t="s">
        <v>460</v>
      </c>
      <c r="B45" s="257" t="s">
        <v>557</v>
      </c>
      <c r="C45" s="258">
        <f t="shared" si="0"/>
        <v>54.106824187597169</v>
      </c>
      <c r="D45" s="272">
        <f>data!D46-data!D7</f>
        <v>26.236916652536532</v>
      </c>
      <c r="E45" s="273">
        <f>data!E46-data!E7</f>
        <v>27.869907535060634</v>
      </c>
      <c r="F45" s="273">
        <f>data!F46-data!F7</f>
        <v>243.68669096730486</v>
      </c>
      <c r="G45" s="259">
        <f t="shared" si="1"/>
        <v>128.1492710841033</v>
      </c>
      <c r="H45" s="273">
        <f>data!H46-data!H7</f>
        <v>0</v>
      </c>
      <c r="I45" s="273">
        <f>data!I46-data!I7</f>
        <v>128.1492710841033</v>
      </c>
      <c r="J45" s="273">
        <f>data!J46-data!J7</f>
        <v>1021.6095890552396</v>
      </c>
      <c r="K45" s="259">
        <f t="shared" si="2"/>
        <v>1.1854268634847285</v>
      </c>
      <c r="L45" s="259">
        <f t="shared" si="2"/>
        <v>1.0161187929447144</v>
      </c>
      <c r="M45" s="260">
        <f t="shared" si="3"/>
        <v>0.57482482629346554</v>
      </c>
      <c r="N45" s="260">
        <f t="shared" si="4"/>
        <v>0.49272572323100217</v>
      </c>
      <c r="O45" s="260">
        <f t="shared" si="5"/>
        <v>0.61060203719126294</v>
      </c>
      <c r="P45" s="260">
        <f t="shared" si="6"/>
        <v>0.52339306971371213</v>
      </c>
      <c r="Q45" s="260">
        <f t="shared" si="7"/>
        <v>5.3389337497387706</v>
      </c>
      <c r="R45" s="260">
        <f t="shared" si="8"/>
        <v>4.5764028844840201</v>
      </c>
      <c r="S45" s="259">
        <f t="shared" si="9"/>
        <v>2.8076234515701861</v>
      </c>
      <c r="T45" s="259">
        <f t="shared" si="9"/>
        <v>2.4066258666235489</v>
      </c>
      <c r="U45" s="260">
        <f t="shared" si="10"/>
        <v>0</v>
      </c>
      <c r="V45" s="260">
        <f t="shared" si="16"/>
        <v>0</v>
      </c>
      <c r="W45" s="260">
        <f t="shared" si="12"/>
        <v>2.8076234515701861</v>
      </c>
      <c r="X45" s="260">
        <f t="shared" si="13"/>
        <v>2.4066258666235489</v>
      </c>
      <c r="Y45" s="260">
        <f t="shared" si="14"/>
        <v>22.382453027750998</v>
      </c>
      <c r="Z45" s="260">
        <f t="shared" si="15"/>
        <v>19.185689015721469</v>
      </c>
      <c r="AA45" s="232">
        <v>5324852228231.6504</v>
      </c>
      <c r="AB45" s="239">
        <v>5324.8522282316499</v>
      </c>
      <c r="AC45" s="237">
        <v>4564332550094.4502</v>
      </c>
      <c r="AD45" s="199">
        <v>4564.3325500944502</v>
      </c>
    </row>
    <row r="46" spans="1:31">
      <c r="A46" s="271" t="s">
        <v>448</v>
      </c>
      <c r="B46" s="257" t="s">
        <v>557</v>
      </c>
      <c r="C46" s="258">
        <f t="shared" si="0"/>
        <v>23.759348551253893</v>
      </c>
      <c r="D46" s="272">
        <f>data!D47-data!D8</f>
        <v>1.2812909352111514</v>
      </c>
      <c r="E46" s="273">
        <f>data!E47-data!E8</f>
        <v>22.47805761604274</v>
      </c>
      <c r="F46" s="273">
        <f>data!F47-data!F8</f>
        <v>13.126652361297392</v>
      </c>
      <c r="G46" s="259">
        <f t="shared" si="1"/>
        <v>-186.96912589332604</v>
      </c>
      <c r="H46" s="273">
        <f>data!H47-data!H8</f>
        <v>-101</v>
      </c>
      <c r="I46" s="273">
        <f>data!I47-data!I8</f>
        <v>-85.969125893326037</v>
      </c>
      <c r="J46" s="273">
        <f>data!J47-data!J8</f>
        <v>120.83690597305201</v>
      </c>
      <c r="K46" s="259">
        <f t="shared" si="2"/>
        <v>1.4503795525417806</v>
      </c>
      <c r="L46" s="259">
        <f t="shared" si="2"/>
        <v>1.1017348749826728</v>
      </c>
      <c r="M46" s="260">
        <f t="shared" si="3"/>
        <v>7.821587234509067E-2</v>
      </c>
      <c r="N46" s="260">
        <f t="shared" si="4"/>
        <v>5.9414209328007471E-2</v>
      </c>
      <c r="O46" s="260">
        <f t="shared" si="5"/>
        <v>1.3721636801966899</v>
      </c>
      <c r="P46" s="260">
        <f t="shared" si="6"/>
        <v>1.0423206656546653</v>
      </c>
      <c r="Q46" s="260">
        <f t="shared" si="7"/>
        <v>0.80131103498396472</v>
      </c>
      <c r="R46" s="260">
        <f t="shared" si="8"/>
        <v>0.60869053993703703</v>
      </c>
      <c r="S46" s="259">
        <f t="shared" si="9"/>
        <v>-11.413452543419117</v>
      </c>
      <c r="T46" s="259">
        <f t="shared" si="9"/>
        <v>-8.6698676143135298</v>
      </c>
      <c r="U46" s="260">
        <f t="shared" si="10"/>
        <v>-6.1655030015117545</v>
      </c>
      <c r="V46" s="260">
        <f t="shared" si="16"/>
        <v>-4.6834290146131741</v>
      </c>
      <c r="W46" s="260">
        <f t="shared" si="12"/>
        <v>-5.2479495419073627</v>
      </c>
      <c r="X46" s="260">
        <f t="shared" si="13"/>
        <v>-3.9864385997003553</v>
      </c>
      <c r="Y46" s="260">
        <f t="shared" si="14"/>
        <v>7.3764386779232263</v>
      </c>
      <c r="Z46" s="260">
        <f t="shared" si="15"/>
        <v>5.6032779353492641</v>
      </c>
      <c r="AA46" s="232">
        <v>2156539571430.7</v>
      </c>
      <c r="AB46" s="239">
        <v>2156.5395714307001</v>
      </c>
      <c r="AC46" s="237">
        <v>1638146960195.0569</v>
      </c>
      <c r="AD46" s="199">
        <v>1638.14696019506</v>
      </c>
    </row>
    <row r="47" spans="1:31">
      <c r="A47" s="271" t="s">
        <v>449</v>
      </c>
      <c r="B47" s="257" t="s">
        <v>557</v>
      </c>
      <c r="C47" s="258">
        <f t="shared" si="0"/>
        <v>24.886187363532706</v>
      </c>
      <c r="D47" s="272">
        <f>data!D48-data!D9</f>
        <v>0.52057790283490757</v>
      </c>
      <c r="E47" s="273">
        <f>data!E48-data!E9</f>
        <v>24.365609460697797</v>
      </c>
      <c r="F47" s="273">
        <f>data!F48-data!F9</f>
        <v>0</v>
      </c>
      <c r="G47" s="259">
        <f t="shared" si="1"/>
        <v>-60.841604635503849</v>
      </c>
      <c r="H47" s="273">
        <f>data!H48-data!H9</f>
        <v>-10.864488823267086</v>
      </c>
      <c r="I47" s="273">
        <f>data!I48-data!I9</f>
        <v>-49.977115812236761</v>
      </c>
      <c r="J47" s="273">
        <f>data!J48-data!J9</f>
        <v>-0.50327929573277252</v>
      </c>
      <c r="K47" s="259">
        <f t="shared" si="2"/>
        <v>1.8797371249607484</v>
      </c>
      <c r="L47" s="259">
        <f t="shared" si="2"/>
        <v>1.385238169458487</v>
      </c>
      <c r="M47" s="260">
        <f t="shared" si="3"/>
        <v>3.9320993453055619E-2</v>
      </c>
      <c r="N47" s="260">
        <f t="shared" si="4"/>
        <v>2.89768927095789E-2</v>
      </c>
      <c r="O47" s="260">
        <f t="shared" si="5"/>
        <v>1.8404161315076928</v>
      </c>
      <c r="P47" s="260">
        <f t="shared" si="6"/>
        <v>1.3562612767489082</v>
      </c>
      <c r="Q47" s="260">
        <f t="shared" si="7"/>
        <v>0</v>
      </c>
      <c r="R47" s="260">
        <f t="shared" si="8"/>
        <v>0</v>
      </c>
      <c r="S47" s="259">
        <f t="shared" si="9"/>
        <v>-4.595570277797095</v>
      </c>
      <c r="T47" s="259">
        <f t="shared" si="9"/>
        <v>-3.3866221370535565</v>
      </c>
      <c r="U47" s="260">
        <f t="shared" si="10"/>
        <v>-0.82063124762704542</v>
      </c>
      <c r="V47" s="260">
        <f t="shared" si="16"/>
        <v>-0.60474930891576661</v>
      </c>
      <c r="W47" s="260">
        <f t="shared" si="12"/>
        <v>-3.7749390301700494</v>
      </c>
      <c r="X47" s="260">
        <f t="shared" si="13"/>
        <v>-2.7818728281377898</v>
      </c>
      <c r="Y47" s="260">
        <f t="shared" si="14"/>
        <v>-3.801437169115239E-2</v>
      </c>
      <c r="Z47" s="260">
        <f t="shared" si="15"/>
        <v>-2.8014001508676948E-2</v>
      </c>
      <c r="AA47" s="232">
        <v>1796527695541.4199</v>
      </c>
      <c r="AB47" s="239">
        <v>1796.5276955414199</v>
      </c>
      <c r="AC47" s="237">
        <v>1323918490148.05</v>
      </c>
      <c r="AD47" s="199">
        <v>1323.9184901480501</v>
      </c>
    </row>
    <row r="48" spans="1:31">
      <c r="A48" s="271" t="s">
        <v>463</v>
      </c>
      <c r="B48" s="257" t="s">
        <v>557</v>
      </c>
      <c r="C48" s="258">
        <f t="shared" si="0"/>
        <v>71.618784378598789</v>
      </c>
      <c r="D48" s="272">
        <f>data!D49-data!D10</f>
        <v>1.8120430642510197</v>
      </c>
      <c r="E48" s="273">
        <f>data!E49-data!E10</f>
        <v>69.806741314347775</v>
      </c>
      <c r="F48" s="273">
        <f>data!F49-data!F10</f>
        <v>0</v>
      </c>
      <c r="G48" s="259">
        <f t="shared" si="1"/>
        <v>0.49401987796943558</v>
      </c>
      <c r="H48" s="273">
        <f>data!H49-data!H10</f>
        <v>-421.75808205314377</v>
      </c>
      <c r="I48" s="273">
        <f>data!I49-data!I10</f>
        <v>422.2521019311132</v>
      </c>
      <c r="J48" s="273">
        <f>data!J49-data!J10</f>
        <v>0</v>
      </c>
      <c r="K48" s="259">
        <f t="shared" si="2"/>
        <v>2.2682920394272243</v>
      </c>
      <c r="L48" s="259">
        <f t="shared" si="2"/>
        <v>2.434366699665794</v>
      </c>
      <c r="M48" s="260">
        <f t="shared" si="3"/>
        <v>5.7390569993647216E-2</v>
      </c>
      <c r="N48" s="260">
        <f t="shared" si="4"/>
        <v>6.1592462539635059E-2</v>
      </c>
      <c r="O48" s="260">
        <f t="shared" si="5"/>
        <v>2.2109014694335771</v>
      </c>
      <c r="P48" s="260">
        <f t="shared" si="6"/>
        <v>2.3727742371261589</v>
      </c>
      <c r="Q48" s="260">
        <f t="shared" si="7"/>
        <v>0</v>
      </c>
      <c r="R48" s="260">
        <f t="shared" si="8"/>
        <v>0</v>
      </c>
      <c r="S48" s="259">
        <f t="shared" si="9"/>
        <v>1.5646472726945859E-2</v>
      </c>
      <c r="T48" s="259">
        <f t="shared" si="9"/>
        <v>1.6792040668327957E-2</v>
      </c>
      <c r="U48" s="260">
        <f t="shared" si="10"/>
        <v>-13.357815388599551</v>
      </c>
      <c r="V48" s="260">
        <f t="shared" si="16"/>
        <v>-14.335817609491436</v>
      </c>
      <c r="W48" s="260">
        <f t="shared" si="12"/>
        <v>13.373461861326497</v>
      </c>
      <c r="X48" s="260">
        <f t="shared" si="13"/>
        <v>14.352609650159764</v>
      </c>
      <c r="Y48" s="260">
        <f t="shared" si="14"/>
        <v>0</v>
      </c>
      <c r="Z48" s="260">
        <f t="shared" si="15"/>
        <v>0</v>
      </c>
      <c r="AA48" s="232">
        <v>2941988336778.9702</v>
      </c>
      <c r="AB48" s="239">
        <v>2941.9883367789698</v>
      </c>
      <c r="AC48" s="237">
        <v>3157388164033.9238</v>
      </c>
      <c r="AD48" s="199">
        <v>3157.38816403392</v>
      </c>
    </row>
    <row r="49" spans="1:30">
      <c r="A49" s="271" t="s">
        <v>464</v>
      </c>
      <c r="B49" s="257" t="s">
        <v>557</v>
      </c>
      <c r="C49" s="258">
        <f t="shared" si="0"/>
        <v>1048</v>
      </c>
      <c r="D49" s="272">
        <f>data!D50-data!D11</f>
        <v>294.55</v>
      </c>
      <c r="E49" s="273">
        <f>data!E50-data!E11</f>
        <v>753.45</v>
      </c>
      <c r="F49" s="273">
        <f>data!F50-data!F11</f>
        <v>0</v>
      </c>
      <c r="G49" s="259">
        <f t="shared" si="1"/>
        <v>0</v>
      </c>
      <c r="H49" s="273">
        <f>data!H50-data!H11</f>
        <v>0</v>
      </c>
      <c r="I49" s="273">
        <f>data!I50-data!I11</f>
        <v>0</v>
      </c>
      <c r="J49" s="273">
        <f>data!J50-data!J11</f>
        <v>0</v>
      </c>
      <c r="K49" s="259">
        <f t="shared" si="2"/>
        <v>5.2586748171464448</v>
      </c>
      <c r="L49" s="259">
        <f t="shared" si="2"/>
        <v>5.2467646833064396</v>
      </c>
      <c r="M49" s="260">
        <f t="shared" si="3"/>
        <v>1.4779987284260356</v>
      </c>
      <c r="N49" s="260">
        <f t="shared" si="4"/>
        <v>1.4746512762098396</v>
      </c>
      <c r="O49" s="260">
        <f t="shared" si="5"/>
        <v>3.7806760887204089</v>
      </c>
      <c r="P49" s="260">
        <f t="shared" si="6"/>
        <v>3.7721134070966</v>
      </c>
      <c r="Q49" s="260">
        <f t="shared" si="7"/>
        <v>0</v>
      </c>
      <c r="R49" s="260">
        <f t="shared" si="8"/>
        <v>0</v>
      </c>
      <c r="S49" s="259">
        <f t="shared" si="9"/>
        <v>0</v>
      </c>
      <c r="T49" s="259">
        <f t="shared" si="9"/>
        <v>0</v>
      </c>
      <c r="U49" s="260">
        <f t="shared" si="10"/>
        <v>0</v>
      </c>
      <c r="V49" s="260">
        <f t="shared" si="16"/>
        <v>0</v>
      </c>
      <c r="W49" s="260">
        <f t="shared" si="12"/>
        <v>0</v>
      </c>
      <c r="X49" s="260">
        <f t="shared" si="13"/>
        <v>0</v>
      </c>
      <c r="Y49" s="260">
        <f t="shared" si="14"/>
        <v>0</v>
      </c>
      <c r="Z49" s="260">
        <f t="shared" si="15"/>
        <v>0</v>
      </c>
      <c r="AA49" s="232">
        <v>19974213887167.602</v>
      </c>
      <c r="AB49" s="239">
        <v>19974.2138871676</v>
      </c>
      <c r="AC49" s="237">
        <v>19928975197000</v>
      </c>
      <c r="AD49" s="199">
        <v>19928.975197</v>
      </c>
    </row>
    <row r="50" spans="1:30">
      <c r="A50" s="271" t="s">
        <v>466</v>
      </c>
      <c r="B50" s="257" t="s">
        <v>557</v>
      </c>
      <c r="C50" s="258">
        <f t="shared" si="0"/>
        <v>4.9963816139161317</v>
      </c>
      <c r="D50" s="272">
        <f>data!D51-data!D12</f>
        <v>4.2542129426514919E-4</v>
      </c>
      <c r="E50" s="273">
        <f>data!E51-data!E12</f>
        <v>4.9959561926218665</v>
      </c>
      <c r="F50" s="273">
        <f>data!F51-data!F12</f>
        <v>2.1604134887013475</v>
      </c>
      <c r="G50" s="259">
        <f t="shared" si="1"/>
        <v>-1.5306958497704479</v>
      </c>
      <c r="H50" s="273">
        <f>data!H51-data!H12</f>
        <v>-1.5306958497704479</v>
      </c>
      <c r="I50" s="273">
        <f>data!I51-data!I12</f>
        <v>0</v>
      </c>
      <c r="J50" s="273">
        <f>data!J51-data!J12</f>
        <v>3.026441309603181</v>
      </c>
      <c r="K50" s="259">
        <f t="shared" si="2"/>
        <v>0.39060129242887259</v>
      </c>
      <c r="L50" s="259">
        <f t="shared" si="2"/>
        <v>0.2097850136437423</v>
      </c>
      <c r="M50" s="260">
        <f t="shared" si="3"/>
        <v>3.3258089595059561E-5</v>
      </c>
      <c r="N50" s="260">
        <f t="shared" si="4"/>
        <v>1.7862328964860953E-5</v>
      </c>
      <c r="O50" s="260">
        <f t="shared" si="5"/>
        <v>0.39056803433927756</v>
      </c>
      <c r="P50" s="260">
        <f t="shared" si="6"/>
        <v>0.20976715131477744</v>
      </c>
      <c r="Q50" s="260">
        <f t="shared" si="7"/>
        <v>0.16889428511968757</v>
      </c>
      <c r="R50" s="260">
        <f t="shared" si="8"/>
        <v>9.0710119487471319E-2</v>
      </c>
      <c r="S50" s="259">
        <f t="shared" si="9"/>
        <v>-0.11966495424820536</v>
      </c>
      <c r="T50" s="259">
        <f t="shared" si="9"/>
        <v>-6.4269920622981327E-2</v>
      </c>
      <c r="U50" s="260">
        <f t="shared" si="10"/>
        <v>-0.11966495424820536</v>
      </c>
      <c r="V50" s="260">
        <f t="shared" si="16"/>
        <v>-6.4269920622981327E-2</v>
      </c>
      <c r="W50" s="260">
        <f t="shared" si="12"/>
        <v>0</v>
      </c>
      <c r="X50" s="260">
        <f t="shared" si="13"/>
        <v>0</v>
      </c>
      <c r="Y50" s="260">
        <f t="shared" si="14"/>
        <v>0.23659759768921751</v>
      </c>
      <c r="Z50" s="260">
        <f t="shared" si="15"/>
        <v>0.12707236566132835</v>
      </c>
      <c r="AA50" s="232">
        <v>2381667559152.25</v>
      </c>
      <c r="AB50" s="239">
        <v>2381.6675591522499</v>
      </c>
      <c r="AC50" s="237">
        <v>1279151326624.439</v>
      </c>
      <c r="AD50" s="199">
        <v>1279.1513266244399</v>
      </c>
    </row>
    <row r="51" spans="1:30">
      <c r="A51" s="271" t="s">
        <v>467</v>
      </c>
      <c r="B51" s="257" t="s">
        <v>557</v>
      </c>
      <c r="C51" s="258">
        <f t="shared" si="0"/>
        <v>1.6541353383458646</v>
      </c>
      <c r="D51" s="272">
        <f>data!D52-data!D13</f>
        <v>0</v>
      </c>
      <c r="E51" s="273">
        <f>data!E52-data!E13</f>
        <v>1.6541353383458646</v>
      </c>
      <c r="F51" s="273">
        <f>data!F52-data!F13</f>
        <v>9.9097744360902258</v>
      </c>
      <c r="G51" s="259">
        <f t="shared" si="1"/>
        <v>44.019548872180451</v>
      </c>
      <c r="H51" s="273">
        <f>data!H52-data!H13</f>
        <v>3.007518796992481</v>
      </c>
      <c r="I51" s="273">
        <f>data!I52-data!I13</f>
        <v>41.012030075187972</v>
      </c>
      <c r="J51" s="273">
        <f>data!J52-data!J13</f>
        <v>15.473684210526315</v>
      </c>
      <c r="K51" s="259">
        <f t="shared" si="2"/>
        <v>0.16590235659523436</v>
      </c>
      <c r="L51" s="259">
        <f t="shared" si="2"/>
        <v>7.0877842979989017E-2</v>
      </c>
      <c r="M51" s="260">
        <f t="shared" si="3"/>
        <v>0</v>
      </c>
      <c r="N51" s="260">
        <f t="shared" si="4"/>
        <v>0</v>
      </c>
      <c r="O51" s="260">
        <f t="shared" si="5"/>
        <v>0.16590235659523436</v>
      </c>
      <c r="P51" s="260">
        <f t="shared" si="6"/>
        <v>7.0877842979989017E-2</v>
      </c>
      <c r="Q51" s="260">
        <f t="shared" si="7"/>
        <v>0.99390593632963131</v>
      </c>
      <c r="R51" s="260">
        <f t="shared" si="8"/>
        <v>0.42462271385284334</v>
      </c>
      <c r="S51" s="259">
        <f t="shared" si="9"/>
        <v>4.4149633496475413</v>
      </c>
      <c r="T51" s="259">
        <f t="shared" si="9"/>
        <v>1.8861882705029263</v>
      </c>
      <c r="U51" s="260">
        <f t="shared" si="10"/>
        <v>0.30164064835497151</v>
      </c>
      <c r="V51" s="260">
        <f t="shared" si="16"/>
        <v>0.12886880541816187</v>
      </c>
      <c r="W51" s="260">
        <f t="shared" si="12"/>
        <v>4.1133227012925699</v>
      </c>
      <c r="X51" s="260">
        <f t="shared" si="13"/>
        <v>1.7573194650847643</v>
      </c>
      <c r="Y51" s="260">
        <f t="shared" si="14"/>
        <v>1.5519411357863286</v>
      </c>
      <c r="Z51" s="260">
        <f t="shared" si="15"/>
        <v>0.66303000387644273</v>
      </c>
      <c r="AA51" s="232">
        <v>2333783406491.1899</v>
      </c>
      <c r="AB51" s="239">
        <v>2333.7834064911899</v>
      </c>
      <c r="AC51" s="237">
        <v>997053551434.22559</v>
      </c>
      <c r="AD51" s="199">
        <v>997.05355143423003</v>
      </c>
    </row>
    <row r="52" spans="1:30">
      <c r="A52" s="256" t="s">
        <v>530</v>
      </c>
      <c r="B52" s="257" t="s">
        <v>557</v>
      </c>
      <c r="C52" s="258">
        <f t="shared" si="0"/>
        <v>8.4705882300000006</v>
      </c>
      <c r="D52" s="272">
        <f>data!D53-data!D14</f>
        <v>0</v>
      </c>
      <c r="E52" s="273">
        <f>data!E53-data!E14</f>
        <v>8.4705882300000006</v>
      </c>
      <c r="F52" s="273">
        <f>data!F53-data!F14</f>
        <v>0</v>
      </c>
      <c r="G52" s="259">
        <f t="shared" si="1"/>
        <v>8.4705999999999992</v>
      </c>
      <c r="H52" s="273">
        <f>data!H53-data!H14</f>
        <v>0</v>
      </c>
      <c r="I52" s="273">
        <f>data!I53-data!I14</f>
        <v>8.4705999999999992</v>
      </c>
      <c r="J52" s="273">
        <f>data!J53-data!J14</f>
        <v>0</v>
      </c>
      <c r="K52" s="259">
        <f t="shared" si="2"/>
        <v>2.0462852131061391</v>
      </c>
      <c r="L52" s="259">
        <f t="shared" si="2"/>
        <v>1.8076405000965217</v>
      </c>
      <c r="M52" s="260">
        <f t="shared" si="3"/>
        <v>0</v>
      </c>
      <c r="N52" s="260">
        <f t="shared" si="4"/>
        <v>0</v>
      </c>
      <c r="O52" s="260">
        <f t="shared" si="5"/>
        <v>2.0462852131061391</v>
      </c>
      <c r="P52" s="260">
        <f t="shared" si="6"/>
        <v>1.8076405000965217</v>
      </c>
      <c r="Q52" s="260">
        <f t="shared" si="7"/>
        <v>0</v>
      </c>
      <c r="R52" s="260">
        <f t="shared" si="8"/>
        <v>0</v>
      </c>
      <c r="S52" s="259">
        <f t="shared" si="9"/>
        <v>2.0462880564478647</v>
      </c>
      <c r="T52" s="259">
        <f t="shared" si="9"/>
        <v>1.8076430118381042</v>
      </c>
      <c r="U52" s="260">
        <f t="shared" si="10"/>
        <v>0</v>
      </c>
      <c r="V52" s="260">
        <f t="shared" si="16"/>
        <v>0</v>
      </c>
      <c r="W52" s="260">
        <f t="shared" si="12"/>
        <v>2.0462880564478647</v>
      </c>
      <c r="X52" s="260">
        <f t="shared" si="13"/>
        <v>1.8076430118381042</v>
      </c>
      <c r="Y52" s="260">
        <f t="shared" si="14"/>
        <v>0</v>
      </c>
      <c r="Z52" s="260">
        <f t="shared" si="15"/>
        <v>0</v>
      </c>
      <c r="AA52" s="232">
        <v>468599161699.88599</v>
      </c>
      <c r="AB52" s="239">
        <v>468.59916169988998</v>
      </c>
      <c r="AC52" s="237">
        <v>413949540159.26532</v>
      </c>
      <c r="AD52" s="199">
        <v>413.94954015926999</v>
      </c>
    </row>
    <row r="53" spans="1:30">
      <c r="A53" s="271" t="s">
        <v>456</v>
      </c>
      <c r="B53" s="257" t="s">
        <v>557</v>
      </c>
      <c r="C53" s="258">
        <f t="shared" si="0"/>
        <v>15.736781814144809</v>
      </c>
      <c r="D53" s="272">
        <f>data!D54-data!D15</f>
        <v>2.2949473478961178</v>
      </c>
      <c r="E53" s="273">
        <f>data!E54-data!E15</f>
        <v>13.441834466248691</v>
      </c>
      <c r="F53" s="273">
        <f>data!F54-data!F15</f>
        <v>12.021152774693951</v>
      </c>
      <c r="G53" s="259">
        <f t="shared" si="1"/>
        <v>2.827267662189584</v>
      </c>
      <c r="H53" s="273">
        <f>data!H54-data!H15</f>
        <v>0</v>
      </c>
      <c r="I53" s="273">
        <f>data!I54-data!I15</f>
        <v>2.827267662189584</v>
      </c>
      <c r="J53" s="273">
        <f>data!J54-data!J15</f>
        <v>0</v>
      </c>
      <c r="K53" s="259">
        <f t="shared" si="2"/>
        <v>3.1781365002569171</v>
      </c>
      <c r="L53" s="259">
        <f t="shared" si="2"/>
        <v>2.8338122233934211</v>
      </c>
      <c r="M53" s="260">
        <f t="shared" si="3"/>
        <v>0.46347823962080037</v>
      </c>
      <c r="N53" s="260">
        <f t="shared" si="4"/>
        <v>0.41326428257820719</v>
      </c>
      <c r="O53" s="260">
        <f t="shared" si="5"/>
        <v>2.7146582606361167</v>
      </c>
      <c r="P53" s="260">
        <f t="shared" si="6"/>
        <v>2.4205479408152137</v>
      </c>
      <c r="Q53" s="260">
        <f t="shared" si="7"/>
        <v>2.427743159918478</v>
      </c>
      <c r="R53" s="260">
        <f t="shared" si="8"/>
        <v>2.164717670647752</v>
      </c>
      <c r="S53" s="259">
        <f t="shared" si="9"/>
        <v>0.57098348692388345</v>
      </c>
      <c r="T53" s="259">
        <f t="shared" si="9"/>
        <v>0.50912224332400335</v>
      </c>
      <c r="U53" s="260">
        <f t="shared" si="10"/>
        <v>0</v>
      </c>
      <c r="V53" s="260">
        <f t="shared" si="16"/>
        <v>0</v>
      </c>
      <c r="W53" s="260">
        <f t="shared" si="12"/>
        <v>0.57098348692388345</v>
      </c>
      <c r="X53" s="260">
        <f t="shared" si="13"/>
        <v>0.50912224332400335</v>
      </c>
      <c r="Y53" s="260">
        <f t="shared" si="14"/>
        <v>0</v>
      </c>
      <c r="Z53" s="260">
        <f t="shared" si="15"/>
        <v>0</v>
      </c>
      <c r="AA53" s="232">
        <v>555321968203.677</v>
      </c>
      <c r="AB53" s="239">
        <v>555.32196820367994</v>
      </c>
      <c r="AC53" s="237">
        <v>495157518025.82001</v>
      </c>
      <c r="AD53" s="199">
        <v>495.15751802582002</v>
      </c>
    </row>
    <row r="54" spans="1:30">
      <c r="A54" s="256" t="s">
        <v>454</v>
      </c>
      <c r="B54" s="257" t="s">
        <v>557</v>
      </c>
      <c r="C54" s="258">
        <f t="shared" si="0"/>
        <v>1.8854020040765493</v>
      </c>
      <c r="D54" s="272">
        <f>data!D55-data!D16</f>
        <v>1.8854020040765493</v>
      </c>
      <c r="E54" s="273">
        <f>data!E55-data!E16</f>
        <v>0</v>
      </c>
      <c r="F54" s="273">
        <f>data!F55-data!F16</f>
        <v>0</v>
      </c>
      <c r="G54" s="259">
        <f t="shared" si="1"/>
        <v>-0.77448880067103743</v>
      </c>
      <c r="H54" s="273">
        <f>data!H55-data!H16</f>
        <v>-0.77448880067103743</v>
      </c>
      <c r="I54" s="273">
        <f>data!I55-data!I16</f>
        <v>0</v>
      </c>
      <c r="J54" s="273">
        <f>data!J55-data!J16</f>
        <v>0</v>
      </c>
      <c r="K54" s="259">
        <f t="shared" si="2"/>
        <v>0.87432710308954531</v>
      </c>
      <c r="L54" s="259">
        <f t="shared" si="2"/>
        <v>0.46279358816794303</v>
      </c>
      <c r="M54" s="260">
        <f t="shared" si="3"/>
        <v>0.87432710308954531</v>
      </c>
      <c r="N54" s="260">
        <f t="shared" si="4"/>
        <v>0.46279358816794303</v>
      </c>
      <c r="O54" s="260">
        <f t="shared" si="5"/>
        <v>0</v>
      </c>
      <c r="P54" s="260">
        <f t="shared" si="6"/>
        <v>0</v>
      </c>
      <c r="Q54" s="260">
        <f t="shared" si="7"/>
        <v>0</v>
      </c>
      <c r="R54" s="260">
        <f t="shared" si="8"/>
        <v>0</v>
      </c>
      <c r="S54" s="259">
        <f t="shared" si="9"/>
        <v>-0.35915764807817141</v>
      </c>
      <c r="T54" s="259">
        <f t="shared" si="9"/>
        <v>-0.19010717623268403</v>
      </c>
      <c r="U54" s="260">
        <f t="shared" si="10"/>
        <v>-0.35915764807817141</v>
      </c>
      <c r="V54" s="260">
        <f t="shared" si="16"/>
        <v>-0.19010717623268403</v>
      </c>
      <c r="W54" s="260">
        <f t="shared" si="12"/>
        <v>0</v>
      </c>
      <c r="X54" s="260">
        <f t="shared" si="13"/>
        <v>0</v>
      </c>
      <c r="Y54" s="260">
        <f t="shared" si="14"/>
        <v>0</v>
      </c>
      <c r="Z54" s="260">
        <f t="shared" si="15"/>
        <v>0</v>
      </c>
      <c r="AA54" s="232">
        <v>407395878482.30298</v>
      </c>
      <c r="AB54" s="239">
        <v>407.39587848230002</v>
      </c>
      <c r="AC54" s="237">
        <v>215640347578.63721</v>
      </c>
      <c r="AD54" s="199">
        <v>215.64034757863999</v>
      </c>
    </row>
    <row r="55" spans="1:30">
      <c r="A55" s="256" t="s">
        <v>446</v>
      </c>
      <c r="B55" s="257" t="s">
        <v>557</v>
      </c>
      <c r="C55" s="258">
        <f t="shared" si="0"/>
        <v>9.3883508485756924</v>
      </c>
      <c r="D55" s="272">
        <f>data!D56-data!D17</f>
        <v>0.11675143395921074</v>
      </c>
      <c r="E55" s="273">
        <f>data!E56-data!E17</f>
        <v>9.2715994146164817</v>
      </c>
      <c r="F55" s="273">
        <f>data!F56-data!F17</f>
        <v>24.284298263515833</v>
      </c>
      <c r="G55" s="259">
        <f t="shared" si="1"/>
        <v>21.166160352966337</v>
      </c>
      <c r="H55" s="273">
        <f>data!H56-data!H17</f>
        <v>5.822977768715635</v>
      </c>
      <c r="I55" s="273">
        <f>data!I56-data!I17</f>
        <v>15.343182584250702</v>
      </c>
      <c r="J55" s="273">
        <f>data!J56-data!J17</f>
        <v>0</v>
      </c>
      <c r="K55" s="259">
        <f t="shared" si="2"/>
        <v>2.8226936439388859</v>
      </c>
      <c r="L55" s="259">
        <f t="shared" si="2"/>
        <v>3.0181456692150013</v>
      </c>
      <c r="M55" s="260">
        <f t="shared" si="3"/>
        <v>3.5102387615542872E-2</v>
      </c>
      <c r="N55" s="260">
        <f t="shared" si="4"/>
        <v>3.7532985341306419E-2</v>
      </c>
      <c r="O55" s="260">
        <f t="shared" si="5"/>
        <v>2.7875912563233429</v>
      </c>
      <c r="P55" s="260">
        <f t="shared" si="6"/>
        <v>2.9806126838736948</v>
      </c>
      <c r="Q55" s="260">
        <f t="shared" si="7"/>
        <v>7.3012966240329176</v>
      </c>
      <c r="R55" s="260">
        <f t="shared" si="8"/>
        <v>7.8068609509917337</v>
      </c>
      <c r="S55" s="259">
        <f t="shared" si="9"/>
        <v>6.3637999110326531</v>
      </c>
      <c r="T55" s="259">
        <f t="shared" si="9"/>
        <v>6.8044490702972862</v>
      </c>
      <c r="U55" s="260">
        <f t="shared" si="10"/>
        <v>1.7507315823252003</v>
      </c>
      <c r="V55" s="260">
        <f t="shared" si="16"/>
        <v>1.8719576438976573</v>
      </c>
      <c r="W55" s="260">
        <f t="shared" si="12"/>
        <v>4.6130683287074525</v>
      </c>
      <c r="X55" s="260">
        <f t="shared" si="13"/>
        <v>4.9324914263996291</v>
      </c>
      <c r="Y55" s="260">
        <f t="shared" si="14"/>
        <v>0</v>
      </c>
      <c r="Z55" s="260">
        <f t="shared" si="15"/>
        <v>0</v>
      </c>
      <c r="AA55" s="232">
        <v>311063542901.078</v>
      </c>
      <c r="AB55" s="239">
        <v>311.06354290107998</v>
      </c>
      <c r="AC55" s="237">
        <v>332602543274.04938</v>
      </c>
      <c r="AD55" s="199">
        <v>332.60254327404999</v>
      </c>
    </row>
    <row r="56" spans="1:30">
      <c r="A56" s="256" t="s">
        <v>531</v>
      </c>
      <c r="B56" s="257" t="s">
        <v>557</v>
      </c>
      <c r="C56" s="258">
        <f t="shared" si="0"/>
        <v>1.2481951410000001</v>
      </c>
      <c r="D56" s="272">
        <f>data!D57-data!D18</f>
        <v>0.33243433</v>
      </c>
      <c r="E56" s="273">
        <f>data!E57-data!E18</f>
        <v>0.91576081099999995</v>
      </c>
      <c r="F56" s="273">
        <f>data!F57-data!F18</f>
        <v>0</v>
      </c>
      <c r="G56" s="259">
        <f t="shared" si="1"/>
        <v>0.67566216200000007</v>
      </c>
      <c r="H56" s="273">
        <f>data!H57-data!H18</f>
        <v>0.61666216200000001</v>
      </c>
      <c r="I56" s="273">
        <f>data!I57-data!I18</f>
        <v>5.9000000000000025E-2</v>
      </c>
      <c r="J56" s="273">
        <f>data!J57-data!J18</f>
        <v>0</v>
      </c>
      <c r="K56" s="259">
        <f t="shared" si="2"/>
        <v>4.6408796097126643</v>
      </c>
      <c r="L56" s="259">
        <f t="shared" si="2"/>
        <v>2.7186939247924107</v>
      </c>
      <c r="M56" s="260">
        <f t="shared" si="3"/>
        <v>1.2360148289228849</v>
      </c>
      <c r="N56" s="260">
        <f t="shared" si="4"/>
        <v>0.72407523765824</v>
      </c>
      <c r="O56" s="260">
        <f t="shared" si="5"/>
        <v>3.4048647807897798</v>
      </c>
      <c r="P56" s="260">
        <f t="shared" si="6"/>
        <v>1.9946186871341705</v>
      </c>
      <c r="Q56" s="260">
        <f t="shared" si="7"/>
        <v>0</v>
      </c>
      <c r="R56" s="260">
        <f t="shared" si="8"/>
        <v>0</v>
      </c>
      <c r="S56" s="259">
        <f t="shared" si="9"/>
        <v>2.5121606771902787</v>
      </c>
      <c r="T56" s="259">
        <f t="shared" si="9"/>
        <v>1.4716598027852006</v>
      </c>
      <c r="U56" s="260">
        <f t="shared" si="10"/>
        <v>2.2927944194802214</v>
      </c>
      <c r="V56" s="260">
        <f t="shared" si="16"/>
        <v>1.3431518986170716</v>
      </c>
      <c r="W56" s="260">
        <f t="shared" si="12"/>
        <v>0.21936625771005733</v>
      </c>
      <c r="X56" s="260">
        <f t="shared" si="13"/>
        <v>0.12850790416812902</v>
      </c>
      <c r="Y56" s="260">
        <f t="shared" si="14"/>
        <v>0</v>
      </c>
      <c r="Z56" s="260">
        <f t="shared" si="15"/>
        <v>0</v>
      </c>
      <c r="AA56" s="232">
        <v>45911572818.753304</v>
      </c>
      <c r="AB56" s="239">
        <v>45.911572818750003</v>
      </c>
      <c r="AC56" s="237">
        <v>26895658710.637878</v>
      </c>
      <c r="AD56" s="199">
        <v>26.895658710639999</v>
      </c>
    </row>
    <row r="57" spans="1:30">
      <c r="A57" s="256" t="s">
        <v>447</v>
      </c>
      <c r="B57" s="257" t="s">
        <v>557</v>
      </c>
      <c r="C57" s="258">
        <f t="shared" si="0"/>
        <v>3.2526658490995644</v>
      </c>
      <c r="D57" s="272">
        <f>data!D58-data!D19</f>
        <v>1.5678041258934419</v>
      </c>
      <c r="E57" s="273">
        <f>data!E58-data!E19</f>
        <v>1.6848617232061223</v>
      </c>
      <c r="F57" s="273">
        <f>data!F58-data!F19</f>
        <v>1.2373683697402944</v>
      </c>
      <c r="G57" s="259">
        <f t="shared" si="1"/>
        <v>3.751470525980066</v>
      </c>
      <c r="H57" s="273">
        <f>data!H58-data!H19</f>
        <v>1.54465361043267</v>
      </c>
      <c r="I57" s="273">
        <f>data!I58-data!I19</f>
        <v>2.206816915547396</v>
      </c>
      <c r="J57" s="273">
        <f>data!J58-data!J19</f>
        <v>1.0928320704267227</v>
      </c>
      <c r="K57" s="259">
        <f t="shared" si="2"/>
        <v>1.2768362788335077</v>
      </c>
      <c r="L57" s="259">
        <f t="shared" si="2"/>
        <v>1.2809688677565574</v>
      </c>
      <c r="M57" s="260">
        <f t="shared" si="3"/>
        <v>0.6154426181219228</v>
      </c>
      <c r="N57" s="260">
        <f t="shared" si="4"/>
        <v>0.61743455035989681</v>
      </c>
      <c r="O57" s="260">
        <f t="shared" si="5"/>
        <v>0.66139366071158501</v>
      </c>
      <c r="P57" s="260">
        <f t="shared" si="6"/>
        <v>0.66353431739666047</v>
      </c>
      <c r="Q57" s="260">
        <f t="shared" si="7"/>
        <v>0.48572982841223916</v>
      </c>
      <c r="R57" s="260">
        <f t="shared" si="8"/>
        <v>0.48730193420353535</v>
      </c>
      <c r="S57" s="259">
        <f t="shared" si="9"/>
        <v>1.4726424074185149</v>
      </c>
      <c r="T57" s="259">
        <f t="shared" si="9"/>
        <v>1.4774087394858262</v>
      </c>
      <c r="U57" s="260">
        <f t="shared" si="10"/>
        <v>0.60635486690942353</v>
      </c>
      <c r="V57" s="260">
        <f t="shared" si="16"/>
        <v>0.60831738586973705</v>
      </c>
      <c r="W57" s="260">
        <f t="shared" si="12"/>
        <v>0.8662875405090914</v>
      </c>
      <c r="X57" s="260">
        <f t="shared" si="13"/>
        <v>0.86909135361608914</v>
      </c>
      <c r="Y57" s="260">
        <f t="shared" si="14"/>
        <v>0.42899200192354664</v>
      </c>
      <c r="Z57" s="260">
        <f t="shared" si="15"/>
        <v>0.43038047092667181</v>
      </c>
      <c r="AA57" s="232">
        <v>253922318564.70901</v>
      </c>
      <c r="AB57" s="239">
        <v>253.92231856471</v>
      </c>
      <c r="AC57" s="237">
        <v>254744159687.49991</v>
      </c>
      <c r="AD57" s="199">
        <v>254.7441596875</v>
      </c>
    </row>
    <row r="58" spans="1:30">
      <c r="A58" s="256" t="s">
        <v>532</v>
      </c>
      <c r="B58" s="257" t="s">
        <v>557</v>
      </c>
      <c r="C58" s="258">
        <f t="shared" si="0"/>
        <v>4.02544590517134</v>
      </c>
      <c r="D58" s="272">
        <f>data!D59-data!D20</f>
        <v>0.707075905171339</v>
      </c>
      <c r="E58" s="273">
        <f>data!E59-data!E20</f>
        <v>3.3183700000000007</v>
      </c>
      <c r="F58" s="273">
        <f>data!F59-data!F20</f>
        <v>0</v>
      </c>
      <c r="G58" s="259">
        <f t="shared" si="1"/>
        <v>6.7446143999999997</v>
      </c>
      <c r="H58" s="273">
        <f>data!H59-data!H20</f>
        <v>5.3117944000000001</v>
      </c>
      <c r="I58" s="273">
        <f>data!I59-data!I20</f>
        <v>1.43282</v>
      </c>
      <c r="J58" s="273">
        <f>data!J59-data!J20</f>
        <v>0</v>
      </c>
      <c r="K58" s="259">
        <f t="shared" si="2"/>
        <v>1.974196428392303</v>
      </c>
      <c r="L58" s="259">
        <f t="shared" si="2"/>
        <v>1.3349414777105444</v>
      </c>
      <c r="M58" s="260">
        <f t="shared" si="3"/>
        <v>0.34677070800982396</v>
      </c>
      <c r="N58" s="260">
        <f t="shared" si="4"/>
        <v>0.23448457039016443</v>
      </c>
      <c r="O58" s="260">
        <f t="shared" si="5"/>
        <v>1.6274257203824791</v>
      </c>
      <c r="P58" s="260">
        <f t="shared" si="6"/>
        <v>1.10045690732038</v>
      </c>
      <c r="Q58" s="260">
        <f t="shared" si="7"/>
        <v>0</v>
      </c>
      <c r="R58" s="260">
        <f t="shared" si="8"/>
        <v>0</v>
      </c>
      <c r="S58" s="259">
        <f t="shared" si="9"/>
        <v>3.3077562021781897</v>
      </c>
      <c r="T58" s="259">
        <f t="shared" si="9"/>
        <v>2.2366877423833085</v>
      </c>
      <c r="U58" s="260">
        <f t="shared" si="10"/>
        <v>2.6050593598494491</v>
      </c>
      <c r="V58" s="260">
        <f t="shared" si="16"/>
        <v>1.7615277493907289</v>
      </c>
      <c r="W58" s="260">
        <f t="shared" si="12"/>
        <v>0.70269684232874063</v>
      </c>
      <c r="X58" s="260">
        <f t="shared" si="13"/>
        <v>0.47515999299257966</v>
      </c>
      <c r="Y58" s="260">
        <f t="shared" si="14"/>
        <v>0</v>
      </c>
      <c r="Z58" s="260">
        <f t="shared" si="15"/>
        <v>0</v>
      </c>
      <c r="AA58" s="232">
        <v>301544747270.495</v>
      </c>
      <c r="AB58" s="239">
        <v>301.54474727050001</v>
      </c>
      <c r="AC58" s="237">
        <v>203903008195.06079</v>
      </c>
      <c r="AD58" s="199">
        <v>203.90300819506001</v>
      </c>
    </row>
    <row r="59" spans="1:30">
      <c r="A59" s="256" t="s">
        <v>533</v>
      </c>
      <c r="B59" s="257" t="s">
        <v>557</v>
      </c>
      <c r="C59" s="258">
        <f t="shared" si="0"/>
        <v>0</v>
      </c>
      <c r="D59" s="272">
        <f>data!D60-data!D21</f>
        <v>0</v>
      </c>
      <c r="E59" s="273">
        <f>data!E60-data!E21</f>
        <v>0</v>
      </c>
      <c r="F59" s="273">
        <f>data!F60-data!F21</f>
        <v>0</v>
      </c>
      <c r="G59" s="259">
        <f t="shared" si="1"/>
        <v>0</v>
      </c>
      <c r="H59" s="273">
        <f>data!H60-data!H21</f>
        <v>0</v>
      </c>
      <c r="I59" s="273">
        <f>data!I60-data!I21</f>
        <v>0</v>
      </c>
      <c r="J59" s="273">
        <f>data!J60-data!J21</f>
        <v>0</v>
      </c>
      <c r="K59" s="259">
        <f t="shared" si="2"/>
        <v>0</v>
      </c>
      <c r="L59" s="259">
        <f t="shared" si="2"/>
        <v>0</v>
      </c>
      <c r="M59" s="260">
        <f t="shared" si="3"/>
        <v>0</v>
      </c>
      <c r="N59" s="260">
        <f t="shared" si="4"/>
        <v>0</v>
      </c>
      <c r="O59" s="260">
        <f t="shared" si="5"/>
        <v>0</v>
      </c>
      <c r="P59" s="260">
        <f t="shared" si="6"/>
        <v>0</v>
      </c>
      <c r="Q59" s="260">
        <f t="shared" si="7"/>
        <v>0</v>
      </c>
      <c r="R59" s="260">
        <f t="shared" si="8"/>
        <v>0</v>
      </c>
      <c r="S59" s="259">
        <f t="shared" si="9"/>
        <v>0</v>
      </c>
      <c r="T59" s="259">
        <f t="shared" si="9"/>
        <v>0</v>
      </c>
      <c r="U59" s="260">
        <f t="shared" si="10"/>
        <v>0</v>
      </c>
      <c r="V59" s="260">
        <f t="shared" si="16"/>
        <v>0</v>
      </c>
      <c r="W59" s="260">
        <f t="shared" si="12"/>
        <v>0</v>
      </c>
      <c r="X59" s="260">
        <f t="shared" si="13"/>
        <v>0</v>
      </c>
      <c r="Y59" s="260">
        <f t="shared" si="14"/>
        <v>0</v>
      </c>
      <c r="Z59" s="260">
        <f t="shared" si="15"/>
        <v>0</v>
      </c>
      <c r="AA59" s="235">
        <v>19069142821.155399</v>
      </c>
      <c r="AB59" s="239">
        <v>19.06914282116</v>
      </c>
      <c r="AC59" s="237">
        <v>20729999827.29071</v>
      </c>
      <c r="AD59" s="199">
        <v>20.729999827290001</v>
      </c>
    </row>
    <row r="60" spans="1:30">
      <c r="A60" s="256" t="s">
        <v>534</v>
      </c>
      <c r="B60" s="257" t="s">
        <v>557</v>
      </c>
      <c r="C60" s="258">
        <f t="shared" si="0"/>
        <v>0</v>
      </c>
      <c r="D60" s="272">
        <f>data!D61-data!D22</f>
        <v>0</v>
      </c>
      <c r="E60" s="273">
        <f>data!E61-data!E22</f>
        <v>0</v>
      </c>
      <c r="F60" s="273">
        <f>data!F61-data!F22</f>
        <v>0</v>
      </c>
      <c r="G60" s="259">
        <f t="shared" si="1"/>
        <v>0</v>
      </c>
      <c r="H60" s="273">
        <f>data!H61-data!H22</f>
        <v>0</v>
      </c>
      <c r="I60" s="273">
        <f>data!I61-data!I22</f>
        <v>0</v>
      </c>
      <c r="J60" s="273">
        <f>data!J61-data!J22</f>
        <v>0</v>
      </c>
      <c r="K60" s="259">
        <f t="shared" si="2"/>
        <v>0</v>
      </c>
      <c r="L60" s="259">
        <f t="shared" si="2"/>
        <v>0</v>
      </c>
      <c r="M60" s="260">
        <f t="shared" si="3"/>
        <v>0</v>
      </c>
      <c r="N60" s="260">
        <f t="shared" si="4"/>
        <v>0</v>
      </c>
      <c r="O60" s="260">
        <f t="shared" si="5"/>
        <v>0</v>
      </c>
      <c r="P60" s="260">
        <f t="shared" si="6"/>
        <v>0</v>
      </c>
      <c r="Q60" s="260">
        <f t="shared" si="7"/>
        <v>0</v>
      </c>
      <c r="R60" s="260">
        <f t="shared" si="8"/>
        <v>0</v>
      </c>
      <c r="S60" s="259">
        <f t="shared" si="9"/>
        <v>0</v>
      </c>
      <c r="T60" s="259">
        <f t="shared" si="9"/>
        <v>0</v>
      </c>
      <c r="U60" s="260">
        <f t="shared" si="10"/>
        <v>0</v>
      </c>
      <c r="V60" s="260">
        <f t="shared" si="16"/>
        <v>0</v>
      </c>
      <c r="W60" s="260">
        <f t="shared" si="12"/>
        <v>0</v>
      </c>
      <c r="X60" s="260">
        <f t="shared" si="13"/>
        <v>0</v>
      </c>
      <c r="Y60" s="260">
        <f t="shared" si="14"/>
        <v>0</v>
      </c>
      <c r="Z60" s="260">
        <f t="shared" si="15"/>
        <v>0</v>
      </c>
      <c r="AA60" s="235">
        <v>417890758558.284</v>
      </c>
      <c r="AB60" s="239">
        <v>417.89075855828003</v>
      </c>
      <c r="AC60" s="237">
        <v>371466596693.27911</v>
      </c>
      <c r="AD60" s="199">
        <v>371.46659669328</v>
      </c>
    </row>
    <row r="61" spans="1:30">
      <c r="A61" s="256" t="s">
        <v>535</v>
      </c>
      <c r="B61" s="257" t="s">
        <v>557</v>
      </c>
      <c r="C61" s="258">
        <f t="shared" si="0"/>
        <v>0</v>
      </c>
      <c r="D61" s="272">
        <f>data!D62-data!D23</f>
        <v>0</v>
      </c>
      <c r="E61" s="273">
        <f>data!E62-data!E23</f>
        <v>0</v>
      </c>
      <c r="F61" s="273">
        <f>data!F62-data!F23</f>
        <v>0</v>
      </c>
      <c r="G61" s="259">
        <f t="shared" si="1"/>
        <v>0</v>
      </c>
      <c r="H61" s="273">
        <f>data!H62-data!H23</f>
        <v>0</v>
      </c>
      <c r="I61" s="273">
        <f>data!I62-data!I23</f>
        <v>0</v>
      </c>
      <c r="J61" s="273">
        <f>data!J62-data!J23</f>
        <v>0</v>
      </c>
      <c r="K61" s="259">
        <f t="shared" si="2"/>
        <v>0</v>
      </c>
      <c r="L61" s="259">
        <f t="shared" si="2"/>
        <v>0</v>
      </c>
      <c r="M61" s="260">
        <f t="shared" si="3"/>
        <v>0</v>
      </c>
      <c r="N61" s="260">
        <f t="shared" si="4"/>
        <v>0</v>
      </c>
      <c r="O61" s="260">
        <f t="shared" si="5"/>
        <v>0</v>
      </c>
      <c r="P61" s="260">
        <f t="shared" si="6"/>
        <v>0</v>
      </c>
      <c r="Q61" s="260">
        <f t="shared" si="7"/>
        <v>0</v>
      </c>
      <c r="R61" s="260">
        <f t="shared" si="8"/>
        <v>0</v>
      </c>
      <c r="S61" s="259">
        <f t="shared" si="9"/>
        <v>0</v>
      </c>
      <c r="T61" s="259">
        <f t="shared" si="9"/>
        <v>0</v>
      </c>
      <c r="U61" s="260">
        <f t="shared" si="10"/>
        <v>0</v>
      </c>
      <c r="V61" s="260">
        <f t="shared" si="16"/>
        <v>0</v>
      </c>
      <c r="W61" s="260">
        <f t="shared" si="12"/>
        <v>0</v>
      </c>
      <c r="X61" s="260">
        <f t="shared" si="13"/>
        <v>0</v>
      </c>
      <c r="Y61" s="260">
        <f t="shared" si="14"/>
        <v>0</v>
      </c>
      <c r="Z61" s="260">
        <f t="shared" si="15"/>
        <v>0</v>
      </c>
      <c r="AA61" s="235">
        <v>342396709301.34399</v>
      </c>
      <c r="AB61" s="239">
        <v>342.39670930134002</v>
      </c>
      <c r="AC61" s="237">
        <v>358460252733.58807</v>
      </c>
      <c r="AD61" s="199">
        <v>358.46025273358998</v>
      </c>
    </row>
    <row r="62" spans="1:30">
      <c r="A62" s="256" t="s">
        <v>536</v>
      </c>
      <c r="B62" s="257" t="s">
        <v>557</v>
      </c>
      <c r="C62" s="258">
        <f t="shared" si="0"/>
        <v>0</v>
      </c>
      <c r="D62" s="272">
        <f>data!D63-data!D24</f>
        <v>0</v>
      </c>
      <c r="E62" s="273">
        <f>data!E63-data!E24</f>
        <v>0</v>
      </c>
      <c r="F62" s="273">
        <f>data!F63-data!F24</f>
        <v>0</v>
      </c>
      <c r="G62" s="259">
        <f t="shared" si="1"/>
        <v>0</v>
      </c>
      <c r="H62" s="273">
        <f>data!H63-data!H24</f>
        <v>0</v>
      </c>
      <c r="I62" s="273">
        <f>data!I63-data!I24</f>
        <v>0</v>
      </c>
      <c r="J62" s="273">
        <f>data!J63-data!J24</f>
        <v>0</v>
      </c>
      <c r="K62" s="259">
        <f t="shared" si="2"/>
        <v>0</v>
      </c>
      <c r="L62" s="259">
        <f t="shared" si="2"/>
        <v>0</v>
      </c>
      <c r="M62" s="260">
        <f t="shared" si="3"/>
        <v>0</v>
      </c>
      <c r="N62" s="260">
        <f t="shared" si="4"/>
        <v>0</v>
      </c>
      <c r="O62" s="260">
        <f t="shared" si="5"/>
        <v>0</v>
      </c>
      <c r="P62" s="260">
        <f t="shared" si="6"/>
        <v>0</v>
      </c>
      <c r="Q62" s="260">
        <f t="shared" si="7"/>
        <v>0</v>
      </c>
      <c r="R62" s="260">
        <f t="shared" si="8"/>
        <v>0</v>
      </c>
      <c r="S62" s="259">
        <f t="shared" si="9"/>
        <v>0</v>
      </c>
      <c r="T62" s="259">
        <f t="shared" si="9"/>
        <v>0</v>
      </c>
      <c r="U62" s="260">
        <f t="shared" si="10"/>
        <v>0</v>
      </c>
      <c r="V62" s="260">
        <f t="shared" si="16"/>
        <v>0</v>
      </c>
      <c r="W62" s="260">
        <f t="shared" si="12"/>
        <v>0</v>
      </c>
      <c r="X62" s="260">
        <f t="shared" si="13"/>
        <v>0</v>
      </c>
      <c r="Y62" s="260">
        <f t="shared" si="14"/>
        <v>0</v>
      </c>
      <c r="Z62" s="260">
        <f t="shared" si="15"/>
        <v>0</v>
      </c>
      <c r="AA62" s="236">
        <v>55422589740</v>
      </c>
      <c r="AB62" s="240">
        <v>55.422589739999999</v>
      </c>
      <c r="AC62" s="237">
        <v>30160077523.05077</v>
      </c>
      <c r="AD62" s="199">
        <v>30.160077523049999</v>
      </c>
    </row>
    <row r="63" spans="1:30">
      <c r="A63" s="256" t="s">
        <v>537</v>
      </c>
      <c r="B63" s="257" t="s">
        <v>557</v>
      </c>
      <c r="C63" s="258">
        <f t="shared" si="0"/>
        <v>0</v>
      </c>
      <c r="D63" s="272">
        <f>data!D64-data!D25</f>
        <v>0</v>
      </c>
      <c r="E63" s="273">
        <f>data!E64-data!E25</f>
        <v>0</v>
      </c>
      <c r="F63" s="273">
        <f>data!F64-data!F25</f>
        <v>0</v>
      </c>
      <c r="G63" s="259">
        <f t="shared" si="1"/>
        <v>0</v>
      </c>
      <c r="H63" s="273">
        <f>data!H64-data!H25</f>
        <v>0</v>
      </c>
      <c r="I63" s="273">
        <f>data!I64-data!I25</f>
        <v>0</v>
      </c>
      <c r="J63" s="273">
        <f>data!J64-data!J25</f>
        <v>0</v>
      </c>
      <c r="K63" s="259">
        <f t="shared" si="2"/>
        <v>0</v>
      </c>
      <c r="L63" s="259">
        <f t="shared" si="2"/>
        <v>0</v>
      </c>
      <c r="M63" s="260">
        <f t="shared" si="3"/>
        <v>0</v>
      </c>
      <c r="N63" s="260">
        <f t="shared" si="4"/>
        <v>0</v>
      </c>
      <c r="O63" s="260">
        <f t="shared" si="5"/>
        <v>0</v>
      </c>
      <c r="P63" s="260">
        <f t="shared" si="6"/>
        <v>0</v>
      </c>
      <c r="Q63" s="260">
        <f t="shared" si="7"/>
        <v>0</v>
      </c>
      <c r="R63" s="260">
        <f t="shared" si="8"/>
        <v>0</v>
      </c>
      <c r="S63" s="259">
        <f t="shared" si="9"/>
        <v>0</v>
      </c>
      <c r="T63" s="259">
        <f t="shared" si="9"/>
        <v>0</v>
      </c>
      <c r="U63" s="260">
        <f t="shared" si="10"/>
        <v>0</v>
      </c>
      <c r="V63" s="260">
        <f t="shared" si="16"/>
        <v>0</v>
      </c>
      <c r="W63" s="260">
        <f t="shared" si="12"/>
        <v>0</v>
      </c>
      <c r="X63" s="260">
        <f t="shared" si="13"/>
        <v>0</v>
      </c>
      <c r="Y63" s="260">
        <f t="shared" si="14"/>
        <v>0</v>
      </c>
      <c r="Z63" s="260">
        <f t="shared" si="15"/>
        <v>0</v>
      </c>
      <c r="AA63" s="235">
        <v>97136073348.399506</v>
      </c>
      <c r="AB63" s="239">
        <v>97.136073348400004</v>
      </c>
      <c r="AC63" s="237">
        <v>48216768505.137871</v>
      </c>
      <c r="AD63" s="199">
        <v>48.216768505140003</v>
      </c>
    </row>
    <row r="64" spans="1:30">
      <c r="A64" s="256" t="s">
        <v>538</v>
      </c>
      <c r="B64" s="257" t="s">
        <v>557</v>
      </c>
      <c r="C64" s="258">
        <f t="shared" si="0"/>
        <v>0</v>
      </c>
      <c r="D64" s="272">
        <f>data!D65-data!D26</f>
        <v>0</v>
      </c>
      <c r="E64" s="273">
        <f>data!E65-data!E26</f>
        <v>0</v>
      </c>
      <c r="F64" s="273">
        <f>data!F65-data!F26</f>
        <v>0</v>
      </c>
      <c r="G64" s="259">
        <f t="shared" si="1"/>
        <v>0</v>
      </c>
      <c r="H64" s="273">
        <f>data!H65-data!H26</f>
        <v>0</v>
      </c>
      <c r="I64" s="273">
        <f>data!I65-data!I26</f>
        <v>0</v>
      </c>
      <c r="J64" s="273">
        <f>data!J65-data!J26</f>
        <v>0</v>
      </c>
      <c r="K64" s="259">
        <f t="shared" si="2"/>
        <v>0</v>
      </c>
      <c r="L64" s="259">
        <f t="shared" si="2"/>
        <v>0</v>
      </c>
      <c r="M64" s="260">
        <f t="shared" si="3"/>
        <v>0</v>
      </c>
      <c r="N64" s="260">
        <f t="shared" si="4"/>
        <v>0</v>
      </c>
      <c r="O64" s="260">
        <f t="shared" si="5"/>
        <v>0</v>
      </c>
      <c r="P64" s="260">
        <f t="shared" si="6"/>
        <v>0</v>
      </c>
      <c r="Q64" s="260">
        <f t="shared" si="7"/>
        <v>0</v>
      </c>
      <c r="R64" s="260">
        <f t="shared" si="8"/>
        <v>0</v>
      </c>
      <c r="S64" s="259">
        <f t="shared" si="9"/>
        <v>0</v>
      </c>
      <c r="T64" s="259">
        <f t="shared" si="9"/>
        <v>0</v>
      </c>
      <c r="U64" s="260">
        <f t="shared" si="10"/>
        <v>0</v>
      </c>
      <c r="V64" s="260">
        <f t="shared" si="16"/>
        <v>0</v>
      </c>
      <c r="W64" s="260">
        <f t="shared" si="12"/>
        <v>0</v>
      </c>
      <c r="X64" s="260">
        <f t="shared" si="13"/>
        <v>0</v>
      </c>
      <c r="Y64" s="260">
        <f t="shared" si="14"/>
        <v>0</v>
      </c>
      <c r="Z64" s="260">
        <f t="shared" si="15"/>
        <v>0</v>
      </c>
      <c r="AA64" s="232">
        <v>66343484468.839996</v>
      </c>
      <c r="AB64" s="239">
        <v>66.343484468840003</v>
      </c>
      <c r="AC64" s="237">
        <v>66557495896.737839</v>
      </c>
      <c r="AD64" s="199">
        <v>66.557495896739994</v>
      </c>
    </row>
    <row r="65" spans="1:30">
      <c r="A65" s="256" t="s">
        <v>452</v>
      </c>
      <c r="B65" s="257" t="s">
        <v>557</v>
      </c>
      <c r="C65" s="258">
        <f t="shared" si="0"/>
        <v>11.987077390271075</v>
      </c>
      <c r="D65" s="272">
        <f>data!D66-data!D27</f>
        <v>0.76498244929870585</v>
      </c>
      <c r="E65" s="273">
        <f>data!E66-data!E27</f>
        <v>11.222094940972369</v>
      </c>
      <c r="F65" s="273">
        <f>data!F66-data!F27</f>
        <v>-10.029373746344874</v>
      </c>
      <c r="G65" s="259">
        <f t="shared" si="1"/>
        <v>33.440661355057721</v>
      </c>
      <c r="H65" s="273">
        <f>data!H66-data!H27</f>
        <v>0</v>
      </c>
      <c r="I65" s="273">
        <f>data!I66-data!I27</f>
        <v>33.440661355057721</v>
      </c>
      <c r="J65" s="273">
        <f>data!J66-data!J27</f>
        <v>0</v>
      </c>
      <c r="K65" s="259">
        <f t="shared" si="2"/>
        <v>1.4266077091702383</v>
      </c>
      <c r="L65" s="259">
        <f t="shared" si="2"/>
        <v>1.2855595861995615</v>
      </c>
      <c r="M65" s="260">
        <f t="shared" si="3"/>
        <v>9.1042196860696603E-2</v>
      </c>
      <c r="N65" s="260">
        <f t="shared" si="4"/>
        <v>8.2040891949904396E-2</v>
      </c>
      <c r="O65" s="260">
        <f t="shared" si="5"/>
        <v>1.3355655123095416</v>
      </c>
      <c r="P65" s="260">
        <f t="shared" si="6"/>
        <v>1.203518694249657</v>
      </c>
      <c r="Q65" s="260">
        <f t="shared" si="7"/>
        <v>-1.1936172128410383</v>
      </c>
      <c r="R65" s="260">
        <f t="shared" si="8"/>
        <v>-1.0756047653163847</v>
      </c>
      <c r="S65" s="259">
        <f t="shared" si="9"/>
        <v>3.9798446056247383</v>
      </c>
      <c r="T65" s="259">
        <f t="shared" si="9"/>
        <v>3.5863589909529647</v>
      </c>
      <c r="U65" s="260">
        <f t="shared" si="10"/>
        <v>0</v>
      </c>
      <c r="V65" s="260">
        <f t="shared" si="16"/>
        <v>0</v>
      </c>
      <c r="W65" s="260">
        <f t="shared" si="12"/>
        <v>3.9798446056247383</v>
      </c>
      <c r="X65" s="260">
        <f t="shared" si="13"/>
        <v>3.5863589909529647</v>
      </c>
      <c r="Y65" s="260">
        <f t="shared" si="14"/>
        <v>0</v>
      </c>
      <c r="Z65" s="260">
        <f t="shared" si="15"/>
        <v>0</v>
      </c>
      <c r="AA65" s="232">
        <v>932440434418.74902</v>
      </c>
      <c r="AB65" s="239">
        <v>932.44043441874999</v>
      </c>
      <c r="AC65" s="237">
        <v>840250428566.88171</v>
      </c>
      <c r="AD65" s="199">
        <v>840.25042856688003</v>
      </c>
    </row>
    <row r="66" spans="1:30">
      <c r="A66" s="256" t="s">
        <v>465</v>
      </c>
      <c r="B66" s="257" t="s">
        <v>557</v>
      </c>
      <c r="C66" s="258">
        <f t="shared" si="0"/>
        <v>28.122546463795096</v>
      </c>
      <c r="D66" s="272">
        <f>data!D67-data!D28</f>
        <v>0</v>
      </c>
      <c r="E66" s="273">
        <f>data!E67-data!E28</f>
        <v>28.122546463795096</v>
      </c>
      <c r="F66" s="273">
        <f>data!F67-data!F28</f>
        <v>0</v>
      </c>
      <c r="G66" s="259">
        <f t="shared" si="1"/>
        <v>1.1458115023238649</v>
      </c>
      <c r="H66" s="273">
        <f>data!H67-data!H28</f>
        <v>1.1458115023238649</v>
      </c>
      <c r="I66" s="273">
        <f>data!I67-data!I28</f>
        <v>0</v>
      </c>
      <c r="J66" s="273">
        <f>data!J67-data!J28</f>
        <v>0</v>
      </c>
      <c r="K66" s="259">
        <f t="shared" si="2"/>
        <v>13.857629306420863</v>
      </c>
      <c r="L66" s="259">
        <f t="shared" si="2"/>
        <v>14.498115587265051</v>
      </c>
      <c r="M66" s="260">
        <f t="shared" si="3"/>
        <v>0</v>
      </c>
      <c r="N66" s="260">
        <f t="shared" si="4"/>
        <v>0</v>
      </c>
      <c r="O66" s="260">
        <f t="shared" si="5"/>
        <v>13.857629306420863</v>
      </c>
      <c r="P66" s="260">
        <f t="shared" si="6"/>
        <v>14.498115587265051</v>
      </c>
      <c r="Q66" s="274">
        <f>($F66/$AD66)*100</f>
        <v>0</v>
      </c>
      <c r="R66" s="260">
        <f t="shared" si="8"/>
        <v>0</v>
      </c>
      <c r="S66" s="259">
        <f t="shared" si="9"/>
        <v>0.5646085810429331</v>
      </c>
      <c r="T66" s="259">
        <f t="shared" si="9"/>
        <v>0.5907042459080154</v>
      </c>
      <c r="U66" s="260">
        <f t="shared" si="10"/>
        <v>0.5646085810429331</v>
      </c>
      <c r="V66" s="260">
        <f t="shared" si="16"/>
        <v>0.5907042459080154</v>
      </c>
      <c r="W66" s="260">
        <f t="shared" si="12"/>
        <v>0</v>
      </c>
      <c r="X66" s="260">
        <f t="shared" si="13"/>
        <v>0</v>
      </c>
      <c r="Y66" s="260">
        <f t="shared" si="14"/>
        <v>0</v>
      </c>
      <c r="Z66" s="260">
        <f t="shared" si="15"/>
        <v>0</v>
      </c>
      <c r="AA66" s="232">
        <v>193973805040.548</v>
      </c>
      <c r="AB66" s="239">
        <v>193.97380504054999</v>
      </c>
      <c r="AC66" s="237">
        <v>202939087501.52551</v>
      </c>
      <c r="AD66" s="199">
        <v>202.93908750153</v>
      </c>
    </row>
    <row r="67" spans="1:30">
      <c r="A67" s="256" t="s">
        <v>451</v>
      </c>
      <c r="B67" s="257" t="s">
        <v>557</v>
      </c>
      <c r="C67" s="258">
        <f t="shared" ref="C67:C131" si="17">D67+E67</f>
        <v>-8.1</v>
      </c>
      <c r="D67" s="272">
        <f>data!D68-data!D29</f>
        <v>0</v>
      </c>
      <c r="E67" s="273">
        <f>data!E68-data!E29</f>
        <v>-8.1</v>
      </c>
      <c r="F67" s="273">
        <f>data!F68-data!F29</f>
        <v>0</v>
      </c>
      <c r="G67" s="259">
        <f t="shared" ref="G67:G131" si="18">H67+I67</f>
        <v>7.1492515149594515</v>
      </c>
      <c r="H67" s="273">
        <f>data!H68-data!H29</f>
        <v>-0.35867162723845958</v>
      </c>
      <c r="I67" s="273">
        <f>data!I68-data!I29</f>
        <v>7.5079231421979111</v>
      </c>
      <c r="J67" s="273">
        <f>data!J68-data!J29</f>
        <v>0</v>
      </c>
      <c r="K67" s="259">
        <f t="shared" ref="K67:L77" si="19">M67+O67</f>
        <v>-1.9744090578931335</v>
      </c>
      <c r="L67" s="259">
        <f t="shared" si="19"/>
        <v>-2.4511712488266704</v>
      </c>
      <c r="M67" s="260">
        <f t="shared" ref="M67:M131" si="20">($D67/$AD67)*100</f>
        <v>0</v>
      </c>
      <c r="N67" s="260">
        <f t="shared" ref="N67:N131" si="21">($D67/$AB67)*100</f>
        <v>0</v>
      </c>
      <c r="O67" s="260">
        <f t="shared" ref="O67:O131" si="22">($E67/$AD67)*100</f>
        <v>-1.9744090578931335</v>
      </c>
      <c r="P67" s="260">
        <f t="shared" ref="P67:P131" si="23">($E67/$AB67)*100</f>
        <v>-2.4511712488266704</v>
      </c>
      <c r="Q67" s="260">
        <f t="shared" ref="Q67:Q131" si="24">($F67/$AD67)*100</f>
        <v>0</v>
      </c>
      <c r="R67" s="260">
        <f t="shared" ref="R67:R131" si="25">($F67/$AB67)*100</f>
        <v>0</v>
      </c>
      <c r="S67" s="259">
        <f t="shared" ref="S67:T77" si="26">U67+W67</f>
        <v>1.7426601170731046</v>
      </c>
      <c r="T67" s="259">
        <f t="shared" si="26"/>
        <v>2.1634616992714966</v>
      </c>
      <c r="U67" s="260">
        <f t="shared" ref="U67:U131" si="27">($H67/$AD67)*100</f>
        <v>-8.7427717238133848E-2</v>
      </c>
      <c r="V67" s="260">
        <f t="shared" si="16"/>
        <v>-0.10853896055022087</v>
      </c>
      <c r="W67" s="260">
        <f t="shared" ref="W67:W131" si="28">($I67/$AD67)*100</f>
        <v>1.8300878343112386</v>
      </c>
      <c r="X67" s="260">
        <f t="shared" ref="X67:X131" si="29">($I67/$AB67)*100</f>
        <v>2.2720006598217175</v>
      </c>
      <c r="Y67" s="260">
        <f t="shared" ref="Y67:Y131" si="30">($J67/$AD67)*100</f>
        <v>0</v>
      </c>
      <c r="Z67" s="260">
        <f t="shared" ref="Z67:Z131" si="31">($J67/$AB67)*100</f>
        <v>0</v>
      </c>
      <c r="AA67" s="232">
        <v>330454267684.37299</v>
      </c>
      <c r="AB67" s="239">
        <v>330.45426768437</v>
      </c>
      <c r="AC67" s="237">
        <v>410249333471.11688</v>
      </c>
      <c r="AD67" s="199">
        <v>410.24933347112</v>
      </c>
    </row>
    <row r="68" spans="1:30">
      <c r="A68" s="256" t="s">
        <v>539</v>
      </c>
      <c r="B68" s="257" t="s">
        <v>557</v>
      </c>
      <c r="C68" s="258">
        <f t="shared" si="17"/>
        <v>0</v>
      </c>
      <c r="D68" s="272">
        <f>data!D69-data!D30</f>
        <v>0</v>
      </c>
      <c r="E68" s="273">
        <f>data!E69-data!E30</f>
        <v>0</v>
      </c>
      <c r="F68" s="273">
        <f>data!F69-data!F30</f>
        <v>0</v>
      </c>
      <c r="G68" s="259">
        <f t="shared" si="18"/>
        <v>0</v>
      </c>
      <c r="H68" s="273">
        <f>data!H69-data!H30</f>
        <v>0</v>
      </c>
      <c r="I68" s="273">
        <f>data!I69-data!I30</f>
        <v>0</v>
      </c>
      <c r="J68" s="273">
        <f>data!J69-data!J30</f>
        <v>0</v>
      </c>
      <c r="K68" s="259">
        <f t="shared" si="19"/>
        <v>0</v>
      </c>
      <c r="L68" s="259">
        <f t="shared" si="19"/>
        <v>0</v>
      </c>
      <c r="M68" s="260">
        <f t="shared" si="20"/>
        <v>0</v>
      </c>
      <c r="N68" s="260">
        <f t="shared" si="21"/>
        <v>0</v>
      </c>
      <c r="O68" s="260">
        <f t="shared" si="22"/>
        <v>0</v>
      </c>
      <c r="P68" s="260">
        <f t="shared" si="23"/>
        <v>0</v>
      </c>
      <c r="Q68" s="260">
        <f t="shared" si="24"/>
        <v>0</v>
      </c>
      <c r="R68" s="260">
        <f t="shared" si="25"/>
        <v>0</v>
      </c>
      <c r="S68" s="259">
        <f t="shared" si="26"/>
        <v>0</v>
      </c>
      <c r="T68" s="259">
        <f t="shared" si="26"/>
        <v>0</v>
      </c>
      <c r="U68" s="260">
        <f t="shared" si="27"/>
        <v>0</v>
      </c>
      <c r="V68" s="260">
        <f t="shared" si="16"/>
        <v>0</v>
      </c>
      <c r="W68" s="260">
        <f t="shared" si="28"/>
        <v>0</v>
      </c>
      <c r="X68" s="260">
        <f t="shared" si="29"/>
        <v>0</v>
      </c>
      <c r="Y68" s="260">
        <f t="shared" si="30"/>
        <v>0</v>
      </c>
      <c r="Z68" s="260">
        <f t="shared" si="31"/>
        <v>0</v>
      </c>
      <c r="AA68" s="232">
        <v>341215925702.96198</v>
      </c>
      <c r="AB68" s="239">
        <v>341.21592570296002</v>
      </c>
      <c r="AC68" s="237">
        <v>222362381347.61981</v>
      </c>
      <c r="AD68" s="199">
        <v>222.36238134761999</v>
      </c>
    </row>
    <row r="69" spans="1:30">
      <c r="A69" s="256" t="s">
        <v>540</v>
      </c>
      <c r="B69" s="257" t="s">
        <v>557</v>
      </c>
      <c r="C69" s="258">
        <f t="shared" si="17"/>
        <v>0</v>
      </c>
      <c r="D69" s="272">
        <f>data!D70-data!D31</f>
        <v>0</v>
      </c>
      <c r="E69" s="273">
        <f>data!E70-data!E31</f>
        <v>0</v>
      </c>
      <c r="F69" s="273">
        <f>data!F70-data!F31</f>
        <v>0</v>
      </c>
      <c r="G69" s="259">
        <f t="shared" si="18"/>
        <v>0</v>
      </c>
      <c r="H69" s="273">
        <f>data!H70-data!H31</f>
        <v>0</v>
      </c>
      <c r="I69" s="273">
        <f>data!I70-data!I31</f>
        <v>0</v>
      </c>
      <c r="J69" s="273">
        <f>data!J70-data!J31</f>
        <v>0</v>
      </c>
      <c r="K69" s="259">
        <f t="shared" si="19"/>
        <v>0</v>
      </c>
      <c r="L69" s="259">
        <f t="shared" si="19"/>
        <v>0</v>
      </c>
      <c r="M69" s="260">
        <f t="shared" si="20"/>
        <v>0</v>
      </c>
      <c r="N69" s="260">
        <f t="shared" si="21"/>
        <v>0</v>
      </c>
      <c r="O69" s="260">
        <f t="shared" si="22"/>
        <v>0</v>
      </c>
      <c r="P69" s="260">
        <f t="shared" si="23"/>
        <v>0</v>
      </c>
      <c r="Q69" s="260">
        <f t="shared" si="24"/>
        <v>0</v>
      </c>
      <c r="R69" s="260">
        <f t="shared" si="25"/>
        <v>0</v>
      </c>
      <c r="S69" s="259">
        <f t="shared" si="26"/>
        <v>0</v>
      </c>
      <c r="T69" s="259">
        <f t="shared" si="26"/>
        <v>0</v>
      </c>
      <c r="U69" s="260">
        <f t="shared" si="27"/>
        <v>0</v>
      </c>
      <c r="V69" s="260">
        <f t="shared" si="16"/>
        <v>0</v>
      </c>
      <c r="W69" s="260">
        <f t="shared" si="28"/>
        <v>0</v>
      </c>
      <c r="X69" s="260">
        <f t="shared" si="29"/>
        <v>0</v>
      </c>
      <c r="Y69" s="260">
        <f t="shared" si="30"/>
        <v>0</v>
      </c>
      <c r="Z69" s="260">
        <f t="shared" si="31"/>
        <v>0</v>
      </c>
      <c r="AA69" s="232">
        <v>181711743748.14999</v>
      </c>
      <c r="AB69" s="239">
        <v>181.71174374815001</v>
      </c>
      <c r="AC69" s="237">
        <v>99489061173.693314</v>
      </c>
      <c r="AD69" s="199">
        <v>99.489061173690004</v>
      </c>
    </row>
    <row r="70" spans="1:30">
      <c r="A70" s="256" t="s">
        <v>541</v>
      </c>
      <c r="B70" s="257" t="s">
        <v>557</v>
      </c>
      <c r="C70" s="258">
        <f t="shared" si="17"/>
        <v>0</v>
      </c>
      <c r="D70" s="272">
        <f>data!D71-data!D32</f>
        <v>0</v>
      </c>
      <c r="E70" s="273">
        <f>data!E71-data!E32</f>
        <v>0</v>
      </c>
      <c r="F70" s="273">
        <f>data!F71-data!F32</f>
        <v>0</v>
      </c>
      <c r="G70" s="275">
        <f t="shared" si="18"/>
        <v>0</v>
      </c>
      <c r="H70" s="273">
        <f>data!H71-data!H32</f>
        <v>0</v>
      </c>
      <c r="I70" s="273">
        <f>data!I71-data!I32</f>
        <v>0</v>
      </c>
      <c r="J70" s="273">
        <f>data!J71-data!J32</f>
        <v>0</v>
      </c>
      <c r="K70" s="259">
        <f t="shared" si="19"/>
        <v>0</v>
      </c>
      <c r="L70" s="259">
        <f t="shared" si="19"/>
        <v>0</v>
      </c>
      <c r="M70" s="260">
        <f t="shared" si="20"/>
        <v>0</v>
      </c>
      <c r="N70" s="260">
        <f t="shared" si="21"/>
        <v>0</v>
      </c>
      <c r="O70" s="260">
        <f t="shared" si="22"/>
        <v>0</v>
      </c>
      <c r="P70" s="260">
        <f t="shared" si="23"/>
        <v>0</v>
      </c>
      <c r="Q70" s="260">
        <f t="shared" si="24"/>
        <v>0</v>
      </c>
      <c r="R70" s="260">
        <f t="shared" si="25"/>
        <v>0</v>
      </c>
      <c r="S70" s="259">
        <f t="shared" si="26"/>
        <v>0</v>
      </c>
      <c r="T70" s="259">
        <f t="shared" si="26"/>
        <v>0</v>
      </c>
      <c r="U70" s="260">
        <f t="shared" si="27"/>
        <v>0</v>
      </c>
      <c r="V70" s="260">
        <f t="shared" si="16"/>
        <v>0</v>
      </c>
      <c r="W70" s="260">
        <f t="shared" si="28"/>
        <v>0</v>
      </c>
      <c r="X70" s="260">
        <f t="shared" si="29"/>
        <v>0</v>
      </c>
      <c r="Y70" s="260">
        <f t="shared" si="30"/>
        <v>0</v>
      </c>
      <c r="Z70" s="260">
        <f t="shared" si="31"/>
        <v>0</v>
      </c>
      <c r="AA70" s="232">
        <v>76037366075.546799</v>
      </c>
      <c r="AB70" s="239">
        <v>76.037366075549997</v>
      </c>
      <c r="AC70" s="237">
        <v>50417977728.390221</v>
      </c>
      <c r="AD70" s="199">
        <v>50.417977728389999</v>
      </c>
    </row>
    <row r="71" spans="1:30">
      <c r="A71" s="256" t="s">
        <v>450</v>
      </c>
      <c r="B71" s="257" t="s">
        <v>557</v>
      </c>
      <c r="C71" s="258">
        <f t="shared" si="17"/>
        <v>14.10043735832228</v>
      </c>
      <c r="D71" s="272">
        <f>data!D72-data!D33</f>
        <v>0.8349841230760352</v>
      </c>
      <c r="E71" s="273">
        <f>data!E72-data!E33</f>
        <v>13.265453235246245</v>
      </c>
      <c r="F71" s="273">
        <f>data!F72-data!F33</f>
        <v>34.112156247618515</v>
      </c>
      <c r="G71" s="259">
        <f t="shared" si="18"/>
        <v>-1.5797136210380351</v>
      </c>
      <c r="H71" s="273">
        <f>data!H72-data!H33</f>
        <v>0</v>
      </c>
      <c r="I71" s="273">
        <f>data!I72-data!I33</f>
        <v>-1.5797136210380351</v>
      </c>
      <c r="J71" s="273">
        <f>data!J72-data!J33</f>
        <v>0</v>
      </c>
      <c r="K71" s="259">
        <f t="shared" si="19"/>
        <v>2.5645492128637102</v>
      </c>
      <c r="L71" s="259">
        <f t="shared" si="19"/>
        <v>2.7063945913817236</v>
      </c>
      <c r="M71" s="260">
        <f t="shared" si="20"/>
        <v>0.15186464229242372</v>
      </c>
      <c r="N71" s="260">
        <f t="shared" si="21"/>
        <v>0.16026428522437489</v>
      </c>
      <c r="O71" s="260">
        <f t="shared" si="22"/>
        <v>2.4126845705712863</v>
      </c>
      <c r="P71" s="260">
        <f t="shared" si="23"/>
        <v>2.5461303061573486</v>
      </c>
      <c r="Q71" s="260">
        <f t="shared" si="24"/>
        <v>6.2042262399953607</v>
      </c>
      <c r="R71" s="260">
        <f t="shared" si="25"/>
        <v>6.5473823841665366</v>
      </c>
      <c r="S71" s="259">
        <f t="shared" si="26"/>
        <v>-0.28731401873801216</v>
      </c>
      <c r="T71" s="259">
        <f t="shared" si="26"/>
        <v>-0.30320537521384161</v>
      </c>
      <c r="U71" s="260">
        <f t="shared" si="27"/>
        <v>0</v>
      </c>
      <c r="V71" s="260">
        <f t="shared" si="16"/>
        <v>0</v>
      </c>
      <c r="W71" s="260">
        <f t="shared" si="28"/>
        <v>-0.28731401873801216</v>
      </c>
      <c r="X71" s="260">
        <f t="shared" si="29"/>
        <v>-0.30320537521384161</v>
      </c>
      <c r="Y71" s="260">
        <f t="shared" si="30"/>
        <v>0</v>
      </c>
      <c r="Z71" s="260">
        <f t="shared" si="31"/>
        <v>0</v>
      </c>
      <c r="AA71" s="232">
        <v>521004490742.91901</v>
      </c>
      <c r="AB71" s="239">
        <v>521.00449074291998</v>
      </c>
      <c r="AC71" s="237">
        <v>549821281946.73523</v>
      </c>
      <c r="AD71" s="199">
        <v>549.82128194673999</v>
      </c>
    </row>
    <row r="72" spans="1:30">
      <c r="A72" s="256" t="s">
        <v>453</v>
      </c>
      <c r="B72" s="257" t="s">
        <v>557</v>
      </c>
      <c r="C72" s="258">
        <f t="shared" si="17"/>
        <v>30.27282054763505</v>
      </c>
      <c r="D72" s="272">
        <f>data!D73-data!D34</f>
        <v>2.6975353066185432</v>
      </c>
      <c r="E72" s="273">
        <f>data!E73-data!E34</f>
        <v>27.575285241016505</v>
      </c>
      <c r="F72" s="273">
        <f>data!F73-data!F34</f>
        <v>0</v>
      </c>
      <c r="G72" s="259">
        <f t="shared" si="18"/>
        <v>42.741449230002949</v>
      </c>
      <c r="H72" s="273">
        <f>data!H73-data!H34</f>
        <v>-0.10838709000000001</v>
      </c>
      <c r="I72" s="273">
        <f>data!I73-data!I34</f>
        <v>42.84983632000295</v>
      </c>
      <c r="J72" s="273">
        <f>data!J73-data!J34</f>
        <v>0</v>
      </c>
      <c r="K72" s="259">
        <f t="shared" si="19"/>
        <v>4.051990917785762</v>
      </c>
      <c r="L72" s="259">
        <f t="shared" si="19"/>
        <v>5.1239153771523451</v>
      </c>
      <c r="M72" s="260">
        <f t="shared" si="20"/>
        <v>0.3610627739699882</v>
      </c>
      <c r="N72" s="260">
        <f t="shared" si="21"/>
        <v>0.45657928095087619</v>
      </c>
      <c r="O72" s="260">
        <f t="shared" si="22"/>
        <v>3.6909281438157735</v>
      </c>
      <c r="P72" s="260">
        <f t="shared" si="23"/>
        <v>4.6673360962014687</v>
      </c>
      <c r="Q72" s="260">
        <f t="shared" si="24"/>
        <v>0</v>
      </c>
      <c r="R72" s="260">
        <f t="shared" si="25"/>
        <v>0</v>
      </c>
      <c r="S72" s="259">
        <f t="shared" si="26"/>
        <v>5.7209061118192652</v>
      </c>
      <c r="T72" s="259">
        <f t="shared" si="26"/>
        <v>7.2343298374454648</v>
      </c>
      <c r="U72" s="260">
        <f t="shared" si="27"/>
        <v>-1.4507518504731386E-2</v>
      </c>
      <c r="V72" s="260">
        <f t="shared" si="16"/>
        <v>-1.8345376053146827E-2</v>
      </c>
      <c r="W72" s="260">
        <f t="shared" si="28"/>
        <v>5.7354136303239969</v>
      </c>
      <c r="X72" s="260">
        <f t="shared" si="29"/>
        <v>7.2526752134986117</v>
      </c>
      <c r="Y72" s="260">
        <f t="shared" si="30"/>
        <v>0</v>
      </c>
      <c r="Z72" s="260">
        <f t="shared" si="31"/>
        <v>0</v>
      </c>
      <c r="AA72" s="232">
        <v>590814217631.73499</v>
      </c>
      <c r="AB72" s="239">
        <v>590.81421763174001</v>
      </c>
      <c r="AC72" s="237">
        <v>747109782866.38879</v>
      </c>
      <c r="AD72" s="199">
        <v>747.10978286638999</v>
      </c>
    </row>
    <row r="73" spans="1:30">
      <c r="A73" s="271" t="s">
        <v>490</v>
      </c>
      <c r="B73" s="257" t="s">
        <v>557</v>
      </c>
      <c r="C73" s="258">
        <f t="shared" si="17"/>
        <v>13.597478788559124</v>
      </c>
      <c r="D73" s="272">
        <f>data!D74-data!D35</f>
        <v>0.72138312864748477</v>
      </c>
      <c r="E73" s="273">
        <f>data!E74-data!E35</f>
        <v>12.876095659911639</v>
      </c>
      <c r="F73" s="273">
        <f>data!F74-data!F35</f>
        <v>-0.90363615542342712</v>
      </c>
      <c r="G73" s="259">
        <f t="shared" si="18"/>
        <v>3.1944951681043254</v>
      </c>
      <c r="H73" s="273">
        <f>data!H74-data!H35</f>
        <v>0.18207469297122714</v>
      </c>
      <c r="I73" s="273">
        <f>data!I74-data!I35</f>
        <v>3.0124204751330983</v>
      </c>
      <c r="J73" s="273">
        <f>data!J74-data!J35</f>
        <v>0</v>
      </c>
      <c r="K73" s="259">
        <f t="shared" si="19"/>
        <v>5.1906806204374938</v>
      </c>
      <c r="L73" s="259">
        <f t="shared" si="19"/>
        <v>3.0813115073237962</v>
      </c>
      <c r="M73" s="260">
        <f t="shared" si="20"/>
        <v>0.2753796850142286</v>
      </c>
      <c r="N73" s="260">
        <f t="shared" si="21"/>
        <v>0.16347193255862985</v>
      </c>
      <c r="O73" s="260">
        <f t="shared" si="22"/>
        <v>4.9153009354232653</v>
      </c>
      <c r="P73" s="260">
        <f t="shared" si="23"/>
        <v>2.9178395747651664</v>
      </c>
      <c r="Q73" s="260">
        <f t="shared" si="24"/>
        <v>-0.34495267489070014</v>
      </c>
      <c r="R73" s="260">
        <f t="shared" si="25"/>
        <v>-0.20477211455426667</v>
      </c>
      <c r="S73" s="259">
        <f t="shared" si="26"/>
        <v>1.2194616677844754</v>
      </c>
      <c r="T73" s="259">
        <f t="shared" si="26"/>
        <v>0.72390145810355588</v>
      </c>
      <c r="U73" s="260">
        <f t="shared" si="27"/>
        <v>6.9504913004391114E-2</v>
      </c>
      <c r="V73" s="260">
        <f t="shared" si="16"/>
        <v>4.1259769944758967E-2</v>
      </c>
      <c r="W73" s="260">
        <f t="shared" si="28"/>
        <v>1.1499567547800842</v>
      </c>
      <c r="X73" s="260">
        <f t="shared" si="29"/>
        <v>0.68264168815879689</v>
      </c>
      <c r="Y73" s="260">
        <f t="shared" si="30"/>
        <v>0</v>
      </c>
      <c r="Z73" s="260">
        <f t="shared" si="31"/>
        <v>0</v>
      </c>
      <c r="AA73" s="232">
        <v>441288677118.17102</v>
      </c>
      <c r="AB73" s="239">
        <v>441.28867711817003</v>
      </c>
      <c r="AC73" s="237">
        <v>261959457397.9639</v>
      </c>
      <c r="AD73" s="199">
        <v>261.95945739796002</v>
      </c>
    </row>
    <row r="74" spans="1:30">
      <c r="A74" s="271" t="s">
        <v>481</v>
      </c>
      <c r="B74" s="257" t="s">
        <v>557</v>
      </c>
      <c r="C74" s="258">
        <f t="shared" si="17"/>
        <v>3.824337949750285</v>
      </c>
      <c r="D74" s="272">
        <f>data!D75-data!D36</f>
        <v>1.9136139057485111</v>
      </c>
      <c r="E74" s="273">
        <f>data!E75-data!E36</f>
        <v>1.9107240440017739</v>
      </c>
      <c r="F74" s="273">
        <f>data!F75-data!F36</f>
        <v>0.10508588169953384</v>
      </c>
      <c r="G74" s="259">
        <f t="shared" si="18"/>
        <v>0.88649371445437386</v>
      </c>
      <c r="H74" s="273">
        <f>data!H75-data!H36</f>
        <v>0.88649371445437386</v>
      </c>
      <c r="I74" s="273">
        <f>data!I75-data!I36</f>
        <v>0</v>
      </c>
      <c r="J74" s="273">
        <f>data!J75-data!J36</f>
        <v>0</v>
      </c>
      <c r="K74" s="259">
        <f t="shared" si="19"/>
        <v>1.1898790407164512</v>
      </c>
      <c r="L74" s="259">
        <f t="shared" si="19"/>
        <v>0.55387529870065522</v>
      </c>
      <c r="M74" s="260">
        <f t="shared" si="20"/>
        <v>0.59538908652734979</v>
      </c>
      <c r="N74" s="260">
        <f t="shared" si="21"/>
        <v>0.27714691734118102</v>
      </c>
      <c r="O74" s="260">
        <f t="shared" si="22"/>
        <v>0.59448995418910144</v>
      </c>
      <c r="P74" s="260">
        <f t="shared" si="23"/>
        <v>0.27672838135947414</v>
      </c>
      <c r="Q74" s="260">
        <f t="shared" si="24"/>
        <v>3.2695721390848427E-2</v>
      </c>
      <c r="R74" s="260">
        <f t="shared" si="25"/>
        <v>1.5219490243886932E-2</v>
      </c>
      <c r="S74" s="259">
        <f t="shared" si="26"/>
        <v>0.27581775052725399</v>
      </c>
      <c r="T74" s="259">
        <f t="shared" si="26"/>
        <v>0.12839005792407299</v>
      </c>
      <c r="U74" s="260">
        <f t="shared" si="27"/>
        <v>0.27581775052725399</v>
      </c>
      <c r="V74" s="260">
        <f t="shared" si="16"/>
        <v>0.12839005792407299</v>
      </c>
      <c r="W74" s="260">
        <f t="shared" si="28"/>
        <v>0</v>
      </c>
      <c r="X74" s="260">
        <f t="shared" si="29"/>
        <v>0</v>
      </c>
      <c r="Y74" s="260">
        <f t="shared" si="30"/>
        <v>0</v>
      </c>
      <c r="Z74" s="260">
        <f t="shared" si="31"/>
        <v>0</v>
      </c>
      <c r="AA74" s="232">
        <v>690469128831.32397</v>
      </c>
      <c r="AB74" s="239">
        <v>690.46912883131995</v>
      </c>
      <c r="AC74" s="237">
        <v>321405606694.9129</v>
      </c>
      <c r="AD74" s="199">
        <v>321.40560669490998</v>
      </c>
    </row>
    <row r="75" spans="1:30">
      <c r="A75" s="271" t="s">
        <v>542</v>
      </c>
      <c r="B75" s="257" t="s">
        <v>557</v>
      </c>
      <c r="C75" s="258">
        <f t="shared" si="17"/>
        <v>7.0500000000000007E-2</v>
      </c>
      <c r="D75" s="272">
        <f>data!D76-data!D37</f>
        <v>0</v>
      </c>
      <c r="E75" s="273">
        <f>data!E76-data!E37</f>
        <v>7.0500000000000007E-2</v>
      </c>
      <c r="F75" s="273">
        <f>data!F76-data!F37</f>
        <v>0.40684985167435311</v>
      </c>
      <c r="G75" s="259">
        <f t="shared" si="18"/>
        <v>0</v>
      </c>
      <c r="H75" s="273">
        <f>data!H76-data!H37</f>
        <v>0</v>
      </c>
      <c r="I75" s="273">
        <f>data!I76-data!I37</f>
        <v>0</v>
      </c>
      <c r="J75" s="273">
        <f>data!J76-data!J37</f>
        <v>0</v>
      </c>
      <c r="K75" s="259">
        <f t="shared" si="19"/>
        <v>0.10950181548544397</v>
      </c>
      <c r="L75" s="259">
        <f t="shared" si="19"/>
        <v>7.7274257091454121E-2</v>
      </c>
      <c r="M75" s="260">
        <f t="shared" si="20"/>
        <v>0</v>
      </c>
      <c r="N75" s="260">
        <f t="shared" si="21"/>
        <v>0</v>
      </c>
      <c r="O75" s="260">
        <f t="shared" si="22"/>
        <v>0.10950181548544397</v>
      </c>
      <c r="P75" s="260">
        <f t="shared" si="23"/>
        <v>7.7274257091454121E-2</v>
      </c>
      <c r="Q75" s="260">
        <f t="shared" si="24"/>
        <v>0.63192620408972</v>
      </c>
      <c r="R75" s="260">
        <f t="shared" si="25"/>
        <v>0.4459435466085665</v>
      </c>
      <c r="S75" s="259">
        <f t="shared" si="26"/>
        <v>0</v>
      </c>
      <c r="T75" s="259">
        <f t="shared" si="26"/>
        <v>0</v>
      </c>
      <c r="U75" s="260">
        <f t="shared" si="27"/>
        <v>0</v>
      </c>
      <c r="V75" s="260">
        <f t="shared" si="16"/>
        <v>0</v>
      </c>
      <c r="W75" s="260">
        <f t="shared" si="28"/>
        <v>0</v>
      </c>
      <c r="X75" s="260">
        <f t="shared" si="29"/>
        <v>0</v>
      </c>
      <c r="Y75" s="260">
        <f t="shared" si="30"/>
        <v>0</v>
      </c>
      <c r="Z75" s="260">
        <f t="shared" si="31"/>
        <v>0</v>
      </c>
      <c r="AA75" s="232">
        <v>91233487908.610901</v>
      </c>
      <c r="AB75" s="239">
        <v>91.233487908610002</v>
      </c>
      <c r="AC75" s="237">
        <v>64382494196.515457</v>
      </c>
      <c r="AD75" s="199">
        <v>64.38249419652</v>
      </c>
    </row>
    <row r="76" spans="1:30">
      <c r="A76" s="271" t="s">
        <v>543</v>
      </c>
      <c r="B76" s="257" t="s">
        <v>557</v>
      </c>
      <c r="C76" s="258">
        <f t="shared" si="17"/>
        <v>1.7694150329493317</v>
      </c>
      <c r="D76" s="272">
        <f>data!D77-data!D38</f>
        <v>1.7694150329493317</v>
      </c>
      <c r="E76" s="273">
        <f>data!E77-data!E38</f>
        <v>0</v>
      </c>
      <c r="F76" s="273">
        <f>data!F77-data!F38</f>
        <v>0</v>
      </c>
      <c r="G76" s="259">
        <f t="shared" si="18"/>
        <v>6.6270225953158493</v>
      </c>
      <c r="H76" s="273">
        <f>data!H77-data!H38</f>
        <v>0</v>
      </c>
      <c r="I76" s="273">
        <f>data!I77-data!I38</f>
        <v>6.6270225953158493</v>
      </c>
      <c r="J76" s="273">
        <f>data!J77-data!J38</f>
        <v>0</v>
      </c>
      <c r="K76" s="259">
        <f t="shared" si="19"/>
        <v>1.2005477809936589</v>
      </c>
      <c r="L76" s="259">
        <f t="shared" si="19"/>
        <v>0.57098503498505992</v>
      </c>
      <c r="M76" s="260">
        <f t="shared" si="20"/>
        <v>1.2005477809936589</v>
      </c>
      <c r="N76" s="260">
        <f t="shared" si="21"/>
        <v>0.57098503498505992</v>
      </c>
      <c r="O76" s="260">
        <f t="shared" si="22"/>
        <v>0</v>
      </c>
      <c r="P76" s="260">
        <f t="shared" si="23"/>
        <v>0</v>
      </c>
      <c r="Q76" s="260">
        <f t="shared" si="24"/>
        <v>0</v>
      </c>
      <c r="R76" s="260">
        <f t="shared" si="25"/>
        <v>0</v>
      </c>
      <c r="S76" s="259">
        <f t="shared" si="26"/>
        <v>4.4964336366803703</v>
      </c>
      <c r="T76" s="259">
        <f t="shared" si="26"/>
        <v>2.1385207302811238</v>
      </c>
      <c r="U76" s="260">
        <f t="shared" si="27"/>
        <v>0</v>
      </c>
      <c r="V76" s="260">
        <f t="shared" si="16"/>
        <v>0</v>
      </c>
      <c r="W76" s="260">
        <f t="shared" si="28"/>
        <v>4.4964336366803703</v>
      </c>
      <c r="X76" s="260">
        <f t="shared" si="29"/>
        <v>2.1385207302811238</v>
      </c>
      <c r="Y76" s="260">
        <f t="shared" si="30"/>
        <v>0</v>
      </c>
      <c r="Z76" s="260">
        <f t="shared" si="31"/>
        <v>0</v>
      </c>
      <c r="AA76" s="232">
        <v>309888162479.70697</v>
      </c>
      <c r="AB76" s="239">
        <v>309.88816247970999</v>
      </c>
      <c r="AC76" s="237">
        <v>147383974295.86609</v>
      </c>
      <c r="AD76" s="199">
        <v>147.38397429586999</v>
      </c>
    </row>
    <row r="77" spans="1:30">
      <c r="A77" s="271" t="s">
        <v>487</v>
      </c>
      <c r="B77" s="257" t="s">
        <v>557</v>
      </c>
      <c r="C77" s="258">
        <f t="shared" si="17"/>
        <v>26.050977899376022</v>
      </c>
      <c r="D77" s="272">
        <f>data!D78-data!D39</f>
        <v>-5.7942536941247962</v>
      </c>
      <c r="E77" s="273">
        <f>data!E78-data!E39</f>
        <v>31.84523159350082</v>
      </c>
      <c r="F77" s="273">
        <f>data!F78-data!F39</f>
        <v>0</v>
      </c>
      <c r="G77" s="259">
        <f t="shared" si="18"/>
        <v>2.2029678393841223</v>
      </c>
      <c r="H77" s="273">
        <f>data!H78-data!H39</f>
        <v>0</v>
      </c>
      <c r="I77" s="273">
        <f>data!I78-data!I39</f>
        <v>2.2029678393841223</v>
      </c>
      <c r="J77" s="273">
        <f>data!J78-data!J39</f>
        <v>9.8869334416288517</v>
      </c>
      <c r="K77" s="259">
        <f t="shared" si="19"/>
        <v>4.5583264760584807</v>
      </c>
      <c r="L77" s="259">
        <f t="shared" si="19"/>
        <v>2.1433674290644995</v>
      </c>
      <c r="M77" s="260">
        <f t="shared" si="20"/>
        <v>-1.013862133120206</v>
      </c>
      <c r="N77" s="260">
        <f t="shared" si="21"/>
        <v>-0.47672738780455565</v>
      </c>
      <c r="O77" s="260">
        <f t="shared" si="22"/>
        <v>5.5721886091786867</v>
      </c>
      <c r="P77" s="260">
        <f t="shared" si="23"/>
        <v>2.620094816869055</v>
      </c>
      <c r="Q77" s="260">
        <f t="shared" si="24"/>
        <v>0</v>
      </c>
      <c r="R77" s="260">
        <f t="shared" si="25"/>
        <v>0</v>
      </c>
      <c r="S77" s="259">
        <f t="shared" si="26"/>
        <v>0.38546908553519271</v>
      </c>
      <c r="T77" s="259">
        <f t="shared" si="26"/>
        <v>0.1812511427575092</v>
      </c>
      <c r="U77" s="260">
        <f t="shared" si="27"/>
        <v>0</v>
      </c>
      <c r="V77" s="260">
        <f t="shared" si="16"/>
        <v>0</v>
      </c>
      <c r="W77" s="260">
        <f t="shared" si="28"/>
        <v>0.38546908553519271</v>
      </c>
      <c r="X77" s="260">
        <f t="shared" si="29"/>
        <v>0.1812511427575092</v>
      </c>
      <c r="Y77" s="260">
        <f t="shared" si="30"/>
        <v>1.7299876668001881</v>
      </c>
      <c r="Z77" s="260">
        <f t="shared" si="31"/>
        <v>0.81345626233184243</v>
      </c>
      <c r="AA77" s="232">
        <v>1215422868992.01</v>
      </c>
      <c r="AB77" s="239">
        <v>1215.4228689920101</v>
      </c>
      <c r="AC77" s="237">
        <v>571503117124.28699</v>
      </c>
      <c r="AD77" s="199">
        <v>571.50311712429004</v>
      </c>
    </row>
    <row r="78" spans="1:30">
      <c r="A78" s="217"/>
      <c r="B78" s="215"/>
      <c r="C78" s="218"/>
      <c r="D78" s="246"/>
      <c r="E78" s="246"/>
      <c r="F78" s="246"/>
      <c r="G78" s="263"/>
      <c r="H78" s="246"/>
      <c r="I78" s="246"/>
      <c r="J78" s="246"/>
      <c r="K78" s="220"/>
      <c r="L78" s="220"/>
      <c r="M78" s="219"/>
      <c r="N78" s="219"/>
      <c r="O78" s="219"/>
      <c r="P78" s="219"/>
      <c r="Q78" s="219"/>
      <c r="R78" s="219"/>
      <c r="S78" s="220"/>
      <c r="T78" s="220"/>
      <c r="U78" s="219"/>
      <c r="V78" s="219"/>
      <c r="W78" s="219"/>
      <c r="X78" s="219"/>
      <c r="Y78" s="219"/>
      <c r="Z78" s="219"/>
      <c r="AA78" s="238"/>
      <c r="AB78" s="239"/>
      <c r="AC78" s="237"/>
    </row>
    <row r="79" spans="1:30">
      <c r="A79" s="217" t="s">
        <v>461</v>
      </c>
      <c r="B79" s="215" t="s">
        <v>559</v>
      </c>
      <c r="C79" s="218">
        <f t="shared" si="17"/>
        <v>156.53523326296911</v>
      </c>
      <c r="D79" s="194">
        <v>6.6083475783839196</v>
      </c>
      <c r="E79" s="194">
        <v>149.92688568458519</v>
      </c>
      <c r="F79" s="194">
        <v>0</v>
      </c>
      <c r="G79" s="250">
        <f t="shared" si="18"/>
        <v>24.092933879524708</v>
      </c>
      <c r="H79" s="194">
        <v>10.325543091224874</v>
      </c>
      <c r="I79" s="194">
        <v>13.767390788299833</v>
      </c>
      <c r="J79" s="194">
        <v>0</v>
      </c>
      <c r="K79" s="220">
        <f t="shared" ref="K79:L115" si="32">M79+O79</f>
        <v>10.472171687470921</v>
      </c>
      <c r="L79" s="220">
        <f t="shared" si="32"/>
        <v>12.762594972566758</v>
      </c>
      <c r="M79" s="219">
        <f t="shared" si="20"/>
        <v>0.44209695778241359</v>
      </c>
      <c r="N79" s="219">
        <f t="shared" si="21"/>
        <v>0.53879028907933535</v>
      </c>
      <c r="O79" s="219">
        <f t="shared" si="22"/>
        <v>10.030074729688508</v>
      </c>
      <c r="P79" s="219">
        <f t="shared" si="23"/>
        <v>12.223804683487423</v>
      </c>
      <c r="Q79" s="219">
        <f t="shared" si="24"/>
        <v>0</v>
      </c>
      <c r="R79" s="219">
        <f t="shared" si="25"/>
        <v>0</v>
      </c>
      <c r="S79" s="220">
        <f t="shared" ref="S79:T115" si="33">U79+W79</f>
        <v>1.6118118252483828</v>
      </c>
      <c r="T79" s="220">
        <f t="shared" si="33"/>
        <v>1.9643395956017438</v>
      </c>
      <c r="U79" s="219">
        <f t="shared" si="27"/>
        <v>0.69077649653502127</v>
      </c>
      <c r="V79" s="219">
        <f t="shared" ref="V79:V116" si="34">($H79/AB79)*100</f>
        <v>0.84185982668646153</v>
      </c>
      <c r="W79" s="219">
        <f t="shared" si="28"/>
        <v>0.92103532871336169</v>
      </c>
      <c r="X79" s="219">
        <f t="shared" si="29"/>
        <v>1.1224797689152821</v>
      </c>
      <c r="Y79" s="219">
        <f t="shared" si="30"/>
        <v>0</v>
      </c>
      <c r="Z79" s="219">
        <f t="shared" si="31"/>
        <v>0</v>
      </c>
      <c r="AA79" s="232">
        <v>1226515717214.5801</v>
      </c>
      <c r="AB79" s="239">
        <v>1226.51571721458</v>
      </c>
      <c r="AC79" s="237">
        <v>1494773366351.988</v>
      </c>
      <c r="AD79" s="199">
        <v>1494.77336635199</v>
      </c>
    </row>
    <row r="80" spans="1:30">
      <c r="A80" s="217" t="s">
        <v>459</v>
      </c>
      <c r="B80" s="215" t="s">
        <v>559</v>
      </c>
      <c r="C80" s="218">
        <f t="shared" si="17"/>
        <v>199.62492503836216</v>
      </c>
      <c r="D80" s="194">
        <v>14.693581842972383</v>
      </c>
      <c r="E80" s="194">
        <v>184.93134319538979</v>
      </c>
      <c r="F80" s="194">
        <v>63.07850791175013</v>
      </c>
      <c r="G80" s="250">
        <f t="shared" si="18"/>
        <v>68.050578535382201</v>
      </c>
      <c r="H80" s="194">
        <v>3.8589204840129492</v>
      </c>
      <c r="I80" s="194">
        <v>64.191658051369245</v>
      </c>
      <c r="J80" s="194">
        <v>0</v>
      </c>
      <c r="K80" s="220">
        <f t="shared" si="32"/>
        <v>11.766139700011552</v>
      </c>
      <c r="L80" s="220">
        <f t="shared" si="32"/>
        <v>11.582610808335438</v>
      </c>
      <c r="M80" s="219">
        <f t="shared" si="20"/>
        <v>0.86605786639490245</v>
      </c>
      <c r="N80" s="219">
        <f t="shared" si="21"/>
        <v>0.85254904834587997</v>
      </c>
      <c r="O80" s="219">
        <f t="shared" si="22"/>
        <v>10.90008183361665</v>
      </c>
      <c r="P80" s="219">
        <f t="shared" si="23"/>
        <v>10.730061759989558</v>
      </c>
      <c r="Q80" s="219">
        <f t="shared" si="24"/>
        <v>3.7179251840185201</v>
      </c>
      <c r="R80" s="219">
        <f t="shared" si="25"/>
        <v>3.6599327833030202</v>
      </c>
      <c r="S80" s="220">
        <f t="shared" si="33"/>
        <v>4.0109851691117449</v>
      </c>
      <c r="T80" s="220">
        <f t="shared" si="33"/>
        <v>3.948421602692787</v>
      </c>
      <c r="U80" s="219">
        <f t="shared" si="27"/>
        <v>0.22744954066936832</v>
      </c>
      <c r="V80" s="219">
        <f t="shared" si="34"/>
        <v>0.22390177027265534</v>
      </c>
      <c r="W80" s="219">
        <f t="shared" si="28"/>
        <v>3.7835356284423765</v>
      </c>
      <c r="X80" s="219">
        <f t="shared" si="29"/>
        <v>3.7245198324201318</v>
      </c>
      <c r="Y80" s="219">
        <f t="shared" si="30"/>
        <v>0</v>
      </c>
      <c r="Z80" s="219">
        <f t="shared" si="31"/>
        <v>0</v>
      </c>
      <c r="AA80" s="232">
        <v>1723488152556.26</v>
      </c>
      <c r="AB80" s="239">
        <v>1723.48815255626</v>
      </c>
      <c r="AC80" s="237">
        <v>1696605089927.3779</v>
      </c>
      <c r="AD80" s="199">
        <v>1696.60508992738</v>
      </c>
    </row>
    <row r="81" spans="1:30">
      <c r="A81" s="217" t="s">
        <v>457</v>
      </c>
      <c r="B81" s="215" t="s">
        <v>559</v>
      </c>
      <c r="C81" s="218">
        <f t="shared" si="17"/>
        <v>133.52125125042392</v>
      </c>
      <c r="D81" s="194">
        <v>16.004259567687797</v>
      </c>
      <c r="E81" s="194">
        <v>117.51699168273612</v>
      </c>
      <c r="F81" s="194">
        <v>64.588618969597178</v>
      </c>
      <c r="G81" s="250">
        <f t="shared" si="18"/>
        <v>401.82123128873292</v>
      </c>
      <c r="H81" s="194">
        <v>24.006389351531695</v>
      </c>
      <c r="I81" s="194">
        <v>377.81484193720121</v>
      </c>
      <c r="J81" s="194">
        <v>0</v>
      </c>
      <c r="K81" s="220">
        <f t="shared" si="32"/>
        <v>5.1024386339928318</v>
      </c>
      <c r="L81" s="220">
        <f t="shared" si="32"/>
        <v>4.5929517069219878</v>
      </c>
      <c r="M81" s="219">
        <f t="shared" si="20"/>
        <v>0.61159367188270242</v>
      </c>
      <c r="N81" s="219">
        <f t="shared" si="21"/>
        <v>0.55052503336393677</v>
      </c>
      <c r="O81" s="219">
        <f t="shared" si="22"/>
        <v>4.4908449621101294</v>
      </c>
      <c r="P81" s="219">
        <f t="shared" si="23"/>
        <v>4.042426673558051</v>
      </c>
      <c r="Q81" s="219">
        <f t="shared" si="24"/>
        <v>2.4682173186694776</v>
      </c>
      <c r="R81" s="219">
        <f t="shared" si="25"/>
        <v>2.2217617417901732</v>
      </c>
      <c r="S81" s="220">
        <f t="shared" si="33"/>
        <v>15.355369690483567</v>
      </c>
      <c r="T81" s="220">
        <f t="shared" si="33"/>
        <v>13.8221106591017</v>
      </c>
      <c r="U81" s="219">
        <f t="shared" si="27"/>
        <v>0.91739050782405374</v>
      </c>
      <c r="V81" s="219">
        <f t="shared" si="34"/>
        <v>0.82578755004590509</v>
      </c>
      <c r="W81" s="219">
        <f t="shared" si="28"/>
        <v>14.437979182659513</v>
      </c>
      <c r="X81" s="219">
        <f t="shared" si="29"/>
        <v>12.996323109055794</v>
      </c>
      <c r="Y81" s="219">
        <f t="shared" si="30"/>
        <v>0</v>
      </c>
      <c r="Z81" s="219">
        <f t="shared" si="31"/>
        <v>0</v>
      </c>
      <c r="AA81" s="232">
        <v>2907090249810.2798</v>
      </c>
      <c r="AB81" s="239">
        <v>2907.0902498102801</v>
      </c>
      <c r="AC81" s="237">
        <v>2616812485718.0068</v>
      </c>
      <c r="AD81" s="199">
        <v>2616.8124857180101</v>
      </c>
    </row>
    <row r="82" spans="1:30">
      <c r="A82" s="217" t="s">
        <v>458</v>
      </c>
      <c r="B82" s="215" t="s">
        <v>559</v>
      </c>
      <c r="C82" s="218">
        <f t="shared" si="17"/>
        <v>315.51254576298942</v>
      </c>
      <c r="D82" s="194">
        <v>26.292712146915786</v>
      </c>
      <c r="E82" s="194">
        <v>289.21983361607363</v>
      </c>
      <c r="F82" s="194">
        <v>0</v>
      </c>
      <c r="G82" s="250">
        <f t="shared" si="18"/>
        <v>1166.0246256458304</v>
      </c>
      <c r="H82" s="194">
        <v>228.63227953839814</v>
      </c>
      <c r="I82" s="194">
        <v>937.39234610743233</v>
      </c>
      <c r="J82" s="194">
        <v>0</v>
      </c>
      <c r="K82" s="220">
        <f t="shared" si="32"/>
        <v>8.7707732224359152</v>
      </c>
      <c r="L82" s="220">
        <f t="shared" si="32"/>
        <v>7.5811837307081023</v>
      </c>
      <c r="M82" s="219">
        <f t="shared" si="20"/>
        <v>0.73089776853632626</v>
      </c>
      <c r="N82" s="219">
        <f t="shared" si="21"/>
        <v>0.63176531089234178</v>
      </c>
      <c r="O82" s="219">
        <f t="shared" si="22"/>
        <v>8.0398754538995885</v>
      </c>
      <c r="P82" s="219">
        <f t="shared" si="23"/>
        <v>6.9494184198157605</v>
      </c>
      <c r="Q82" s="219">
        <f t="shared" si="24"/>
        <v>0</v>
      </c>
      <c r="R82" s="219">
        <f t="shared" si="25"/>
        <v>0</v>
      </c>
      <c r="S82" s="220">
        <f t="shared" si="33"/>
        <v>32.413727126393603</v>
      </c>
      <c r="T82" s="220">
        <f t="shared" si="33"/>
        <v>28.01741813522559</v>
      </c>
      <c r="U82" s="219">
        <f t="shared" si="27"/>
        <v>6.3556327698810993</v>
      </c>
      <c r="V82" s="219">
        <f t="shared" si="34"/>
        <v>5.493611399063842</v>
      </c>
      <c r="W82" s="219">
        <f t="shared" si="28"/>
        <v>26.058094356512502</v>
      </c>
      <c r="X82" s="219">
        <f t="shared" si="29"/>
        <v>22.523806736161749</v>
      </c>
      <c r="Y82" s="219">
        <f t="shared" si="30"/>
        <v>0</v>
      </c>
      <c r="Z82" s="219">
        <f t="shared" si="31"/>
        <v>0</v>
      </c>
      <c r="AA82" s="232">
        <v>4161784715558.1299</v>
      </c>
      <c r="AB82" s="239">
        <v>4161.7847155581303</v>
      </c>
      <c r="AC82" s="237">
        <v>3597317337494.2358</v>
      </c>
      <c r="AD82" s="199">
        <v>3597.3173374942398</v>
      </c>
    </row>
    <row r="83" spans="1:30">
      <c r="A83" s="217" t="s">
        <v>455</v>
      </c>
      <c r="B83" s="215" t="s">
        <v>559</v>
      </c>
      <c r="C83" s="218">
        <f t="shared" si="17"/>
        <v>91.452911815358846</v>
      </c>
      <c r="D83" s="194">
        <v>7.4305490849979057</v>
      </c>
      <c r="E83" s="194">
        <v>84.022362730360939</v>
      </c>
      <c r="F83" s="194">
        <v>8.0021297838438983</v>
      </c>
      <c r="G83" s="250">
        <f t="shared" si="18"/>
        <v>609.59081531925131</v>
      </c>
      <c r="H83" s="194">
        <v>3.7152745424989528</v>
      </c>
      <c r="I83" s="194">
        <v>605.87554077675236</v>
      </c>
      <c r="J83" s="194">
        <v>0</v>
      </c>
      <c r="K83" s="220">
        <f t="shared" si="32"/>
        <v>4.7677474982591912</v>
      </c>
      <c r="L83" s="220">
        <f t="shared" si="32"/>
        <v>3.9121565590939915</v>
      </c>
      <c r="M83" s="219">
        <f t="shared" si="20"/>
        <v>0.38737948423355928</v>
      </c>
      <c r="N83" s="219">
        <f t="shared" si="21"/>
        <v>0.3178627204263868</v>
      </c>
      <c r="O83" s="219">
        <f t="shared" si="22"/>
        <v>4.380368014025632</v>
      </c>
      <c r="P83" s="219">
        <f t="shared" si="23"/>
        <v>3.5942938386676047</v>
      </c>
      <c r="Q83" s="219">
        <f t="shared" si="24"/>
        <v>0.41717790609767919</v>
      </c>
      <c r="R83" s="219">
        <f t="shared" si="25"/>
        <v>0.34231369892072422</v>
      </c>
      <c r="S83" s="220">
        <f t="shared" si="33"/>
        <v>31.780016918083923</v>
      </c>
      <c r="T83" s="220">
        <f t="shared" si="33"/>
        <v>26.076968564210887</v>
      </c>
      <c r="U83" s="219">
        <f t="shared" si="27"/>
        <v>0.19368974211677964</v>
      </c>
      <c r="V83" s="219">
        <f t="shared" si="34"/>
        <v>0.1589313602131934</v>
      </c>
      <c r="W83" s="219">
        <f t="shared" si="28"/>
        <v>31.586327175967142</v>
      </c>
      <c r="X83" s="219">
        <f t="shared" si="29"/>
        <v>25.918037203997695</v>
      </c>
      <c r="Y83" s="219">
        <f t="shared" si="30"/>
        <v>0</v>
      </c>
      <c r="Z83" s="219">
        <f t="shared" si="31"/>
        <v>0</v>
      </c>
      <c r="AA83" s="232">
        <v>2337659815857.1201</v>
      </c>
      <c r="AB83" s="239">
        <v>2337.6598158571201</v>
      </c>
      <c r="AC83" s="237">
        <v>1918157617381.1699</v>
      </c>
      <c r="AD83" s="199">
        <v>1918.15761738117</v>
      </c>
    </row>
    <row r="84" spans="1:30">
      <c r="A84" s="217" t="s">
        <v>460</v>
      </c>
      <c r="B84" s="215" t="s">
        <v>559</v>
      </c>
      <c r="C84" s="218">
        <f t="shared" si="17"/>
        <v>555.08784138136377</v>
      </c>
      <c r="D84" s="194">
        <v>47.578957832688324</v>
      </c>
      <c r="E84" s="194">
        <v>507.50888354867544</v>
      </c>
      <c r="F84" s="194">
        <v>242.55939287252869</v>
      </c>
      <c r="G84" s="250">
        <f t="shared" si="18"/>
        <v>146.46855646533464</v>
      </c>
      <c r="H84" s="194">
        <v>0</v>
      </c>
      <c r="I84" s="194">
        <v>146.46855646533464</v>
      </c>
      <c r="J84" s="194">
        <v>1016.8836085809857</v>
      </c>
      <c r="K84" s="220">
        <f t="shared" si="32"/>
        <v>12.161424157621409</v>
      </c>
      <c r="L84" s="220">
        <f t="shared" si="32"/>
        <v>10.424474099738632</v>
      </c>
      <c r="M84" s="219">
        <f t="shared" si="20"/>
        <v>1.0424077849389779</v>
      </c>
      <c r="N84" s="219">
        <f t="shared" si="21"/>
        <v>0.89352635140616843</v>
      </c>
      <c r="O84" s="219">
        <f t="shared" si="22"/>
        <v>11.119016372682431</v>
      </c>
      <c r="P84" s="219">
        <f t="shared" si="23"/>
        <v>9.5309477483324638</v>
      </c>
      <c r="Q84" s="219">
        <f t="shared" si="24"/>
        <v>5.3142357663555728</v>
      </c>
      <c r="R84" s="219">
        <f t="shared" si="25"/>
        <v>4.5552323797177214</v>
      </c>
      <c r="S84" s="220">
        <f t="shared" si="33"/>
        <v>3.208980828145481</v>
      </c>
      <c r="T84" s="220">
        <f t="shared" si="33"/>
        <v>2.7506595523680089</v>
      </c>
      <c r="U84" s="219">
        <f t="shared" si="27"/>
        <v>0</v>
      </c>
      <c r="V84" s="219">
        <f t="shared" si="34"/>
        <v>0</v>
      </c>
      <c r="W84" s="219">
        <f t="shared" si="28"/>
        <v>3.208980828145481</v>
      </c>
      <c r="X84" s="219">
        <f t="shared" si="29"/>
        <v>2.7506595523680089</v>
      </c>
      <c r="Y84" s="219">
        <f t="shared" si="30"/>
        <v>22.278911482029134</v>
      </c>
      <c r="Z84" s="219">
        <f t="shared" si="31"/>
        <v>19.096935745739678</v>
      </c>
      <c r="AA84" s="232">
        <v>5324852228231.6504</v>
      </c>
      <c r="AB84" s="239">
        <v>5324.8522282316499</v>
      </c>
      <c r="AC84" s="237">
        <v>4564332550094.4502</v>
      </c>
      <c r="AD84" s="199">
        <v>4564.3325500944502</v>
      </c>
    </row>
    <row r="85" spans="1:30">
      <c r="A85" s="217" t="s">
        <v>448</v>
      </c>
      <c r="B85" s="215" t="s">
        <v>559</v>
      </c>
      <c r="C85" s="218">
        <f t="shared" si="17"/>
        <v>55.370457900727885</v>
      </c>
      <c r="D85" s="194">
        <v>4.2592659923636838</v>
      </c>
      <c r="E85" s="194">
        <v>51.111191908364205</v>
      </c>
      <c r="F85" s="194">
        <v>27.559956421176778</v>
      </c>
      <c r="G85" s="250">
        <f t="shared" si="18"/>
        <v>59.212148795801021</v>
      </c>
      <c r="H85" s="194">
        <v>0</v>
      </c>
      <c r="I85" s="194">
        <v>59.212148795801021</v>
      </c>
      <c r="J85" s="194">
        <v>104.39377432263932</v>
      </c>
      <c r="K85" s="220">
        <f t="shared" si="32"/>
        <v>3.3800665780397825</v>
      </c>
      <c r="L85" s="220">
        <f t="shared" si="32"/>
        <v>2.5675604859869927</v>
      </c>
      <c r="M85" s="219">
        <f t="shared" si="20"/>
        <v>0.26000512138767562</v>
      </c>
      <c r="N85" s="219">
        <f t="shared" si="21"/>
        <v>0.19750465276823018</v>
      </c>
      <c r="O85" s="219">
        <f t="shared" si="22"/>
        <v>3.120061456652107</v>
      </c>
      <c r="P85" s="219">
        <f t="shared" si="23"/>
        <v>2.3700558332187627</v>
      </c>
      <c r="Q85" s="219">
        <f t="shared" si="24"/>
        <v>1.6823860795673127</v>
      </c>
      <c r="R85" s="219">
        <f t="shared" si="25"/>
        <v>1.2779712826179601</v>
      </c>
      <c r="S85" s="220">
        <f t="shared" si="33"/>
        <v>3.6145810012521964</v>
      </c>
      <c r="T85" s="220">
        <f t="shared" si="33"/>
        <v>2.7457019375034357</v>
      </c>
      <c r="U85" s="219">
        <f t="shared" si="27"/>
        <v>0</v>
      </c>
      <c r="V85" s="219">
        <f t="shared" si="34"/>
        <v>0</v>
      </c>
      <c r="W85" s="219">
        <f t="shared" si="28"/>
        <v>3.6145810012521964</v>
      </c>
      <c r="X85" s="219">
        <f t="shared" si="29"/>
        <v>2.7457019375034357</v>
      </c>
      <c r="Y85" s="219">
        <f t="shared" si="30"/>
        <v>6.3726745438155792</v>
      </c>
      <c r="Z85" s="219">
        <f t="shared" si="31"/>
        <v>4.8408003129468193</v>
      </c>
      <c r="AA85" s="232">
        <v>2156539571430.7</v>
      </c>
      <c r="AB85" s="239">
        <v>2156.5395714307001</v>
      </c>
      <c r="AC85" s="237">
        <v>1638146960195.0569</v>
      </c>
      <c r="AD85" s="199">
        <v>1638.14696019506</v>
      </c>
    </row>
    <row r="86" spans="1:30">
      <c r="A86" s="217" t="s">
        <v>449</v>
      </c>
      <c r="B86" s="215" t="s">
        <v>559</v>
      </c>
      <c r="C86" s="218">
        <f t="shared" si="17"/>
        <v>43.554449252064643</v>
      </c>
      <c r="D86" s="194">
        <v>6.0587554077675225</v>
      </c>
      <c r="E86" s="194">
        <v>37.495693844297122</v>
      </c>
      <c r="F86" s="194">
        <v>0</v>
      </c>
      <c r="G86" s="250">
        <f t="shared" si="18"/>
        <v>165.30113810626108</v>
      </c>
      <c r="H86" s="194">
        <v>0.68589683861519124</v>
      </c>
      <c r="I86" s="194">
        <v>164.6152412676459</v>
      </c>
      <c r="J86" s="194">
        <v>11.431613976919854</v>
      </c>
      <c r="K86" s="220">
        <f t="shared" si="32"/>
        <v>3.2898135025815733</v>
      </c>
      <c r="L86" s="220">
        <f t="shared" si="32"/>
        <v>2.4243683723973222</v>
      </c>
      <c r="M86" s="219">
        <f t="shared" si="20"/>
        <v>0.45763809878431333</v>
      </c>
      <c r="N86" s="219">
        <f t="shared" si="21"/>
        <v>0.33724809379805271</v>
      </c>
      <c r="O86" s="219">
        <f t="shared" si="22"/>
        <v>2.83217540379726</v>
      </c>
      <c r="P86" s="219">
        <f t="shared" si="23"/>
        <v>2.0871202785992695</v>
      </c>
      <c r="Q86" s="219">
        <f t="shared" si="24"/>
        <v>0</v>
      </c>
      <c r="R86" s="219">
        <f t="shared" si="25"/>
        <v>0</v>
      </c>
      <c r="S86" s="220">
        <f t="shared" si="33"/>
        <v>12.48574888381353</v>
      </c>
      <c r="T86" s="220">
        <f t="shared" si="33"/>
        <v>9.2011461062638542</v>
      </c>
      <c r="U86" s="219">
        <f t="shared" si="27"/>
        <v>5.1808086654827917E-2</v>
      </c>
      <c r="V86" s="219">
        <f t="shared" si="34"/>
        <v>3.8179029486572008E-2</v>
      </c>
      <c r="W86" s="219">
        <f t="shared" si="28"/>
        <v>12.433940797158701</v>
      </c>
      <c r="X86" s="219">
        <f t="shared" si="29"/>
        <v>9.1629670767772815</v>
      </c>
      <c r="Y86" s="219">
        <f t="shared" si="30"/>
        <v>0.86346811091379871</v>
      </c>
      <c r="Z86" s="219">
        <f t="shared" si="31"/>
        <v>0.63631715810953338</v>
      </c>
      <c r="AA86" s="232">
        <v>1796527695541.4199</v>
      </c>
      <c r="AB86" s="239">
        <v>1796.5276955414199</v>
      </c>
      <c r="AC86" s="237">
        <v>1323918490148.05</v>
      </c>
      <c r="AD86" s="199">
        <v>1323.9184901480501</v>
      </c>
    </row>
    <row r="87" spans="1:30">
      <c r="A87" s="217" t="s">
        <v>463</v>
      </c>
      <c r="B87" s="215" t="s">
        <v>559</v>
      </c>
      <c r="C87" s="218">
        <f t="shared" si="17"/>
        <v>241.4414266835733</v>
      </c>
      <c r="D87" s="194">
        <v>40.752852274615869</v>
      </c>
      <c r="E87" s="194">
        <v>200.68857440895744</v>
      </c>
      <c r="F87" s="194">
        <v>5.126144940203254</v>
      </c>
      <c r="G87" s="250">
        <f t="shared" si="18"/>
        <v>437.00385615232733</v>
      </c>
      <c r="H87" s="194">
        <v>1.2815362350508135</v>
      </c>
      <c r="I87" s="194">
        <v>435.72231991727654</v>
      </c>
      <c r="J87" s="194">
        <v>0</v>
      </c>
      <c r="K87" s="220">
        <f t="shared" si="32"/>
        <v>7.6468718491395311</v>
      </c>
      <c r="L87" s="220">
        <f t="shared" si="32"/>
        <v>8.2067431629560765</v>
      </c>
      <c r="M87" s="219">
        <f t="shared" si="20"/>
        <v>1.2907140382305575</v>
      </c>
      <c r="N87" s="219">
        <f t="shared" si="21"/>
        <v>1.3852146103078726</v>
      </c>
      <c r="O87" s="219">
        <f t="shared" si="22"/>
        <v>6.3561578109089734</v>
      </c>
      <c r="P87" s="219">
        <f t="shared" si="23"/>
        <v>6.8215285526482035</v>
      </c>
      <c r="Q87" s="219">
        <f t="shared" si="24"/>
        <v>0.1623539670730261</v>
      </c>
      <c r="R87" s="219">
        <f t="shared" si="25"/>
        <v>0.17424083148526701</v>
      </c>
      <c r="S87" s="220">
        <f t="shared" si="33"/>
        <v>13.840675692975474</v>
      </c>
      <c r="T87" s="220">
        <f t="shared" si="33"/>
        <v>14.854030884119007</v>
      </c>
      <c r="U87" s="219">
        <f t="shared" si="27"/>
        <v>4.0588491768256525E-2</v>
      </c>
      <c r="V87" s="219">
        <f t="shared" si="34"/>
        <v>4.3560207871316751E-2</v>
      </c>
      <c r="W87" s="219">
        <f t="shared" si="28"/>
        <v>13.800087201207218</v>
      </c>
      <c r="X87" s="219">
        <f t="shared" si="29"/>
        <v>14.810470676247691</v>
      </c>
      <c r="Y87" s="219">
        <f t="shared" si="30"/>
        <v>0</v>
      </c>
      <c r="Z87" s="219">
        <f t="shared" si="31"/>
        <v>0</v>
      </c>
      <c r="AA87" s="232">
        <v>2941988336778.9702</v>
      </c>
      <c r="AB87" s="239">
        <v>2941.9883367789698</v>
      </c>
      <c r="AC87" s="237">
        <v>3157388164033.9238</v>
      </c>
      <c r="AD87" s="199">
        <v>3157.38816403392</v>
      </c>
    </row>
    <row r="88" spans="1:30">
      <c r="A88" s="217" t="s">
        <v>464</v>
      </c>
      <c r="B88" s="215" t="s">
        <v>559</v>
      </c>
      <c r="C88" s="218">
        <f t="shared" si="17"/>
        <v>2449</v>
      </c>
      <c r="D88" s="194">
        <v>304</v>
      </c>
      <c r="E88" s="194">
        <v>2145</v>
      </c>
      <c r="F88" s="194">
        <v>18</v>
      </c>
      <c r="G88" s="250">
        <f t="shared" si="18"/>
        <v>510</v>
      </c>
      <c r="H88" s="194">
        <v>56</v>
      </c>
      <c r="I88" s="194">
        <v>454</v>
      </c>
      <c r="J88" s="194">
        <v>0</v>
      </c>
      <c r="K88" s="220">
        <f t="shared" si="32"/>
        <v>12.288639911442406</v>
      </c>
      <c r="L88" s="220">
        <f t="shared" si="32"/>
        <v>12.260807928833465</v>
      </c>
      <c r="M88" s="219">
        <f t="shared" si="20"/>
        <v>1.5254171225310298</v>
      </c>
      <c r="N88" s="219">
        <f t="shared" si="21"/>
        <v>1.5219622745469061</v>
      </c>
      <c r="O88" s="219">
        <f t="shared" si="22"/>
        <v>10.763222788911376</v>
      </c>
      <c r="P88" s="219">
        <f t="shared" si="23"/>
        <v>10.738845654286559</v>
      </c>
      <c r="Q88" s="219">
        <f t="shared" si="24"/>
        <v>9.0320750676179395E-2</v>
      </c>
      <c r="R88" s="219">
        <f t="shared" si="25"/>
        <v>9.0116187308698387E-2</v>
      </c>
      <c r="S88" s="220">
        <f t="shared" si="33"/>
        <v>2.5590879358250826</v>
      </c>
      <c r="T88" s="220">
        <f t="shared" si="33"/>
        <v>2.5532919737464543</v>
      </c>
      <c r="U88" s="219">
        <f t="shared" si="27"/>
        <v>0.28099789099255812</v>
      </c>
      <c r="V88" s="219">
        <f t="shared" si="34"/>
        <v>0.28036147162706165</v>
      </c>
      <c r="W88" s="219">
        <f t="shared" si="28"/>
        <v>2.2780900448325245</v>
      </c>
      <c r="X88" s="219">
        <f t="shared" si="29"/>
        <v>2.2729305021193928</v>
      </c>
      <c r="Y88" s="219">
        <f t="shared" si="30"/>
        <v>0</v>
      </c>
      <c r="Z88" s="219">
        <f t="shared" si="31"/>
        <v>0</v>
      </c>
      <c r="AA88" s="232">
        <v>19974213887167.602</v>
      </c>
      <c r="AB88" s="239">
        <v>19974.2138871676</v>
      </c>
      <c r="AC88" s="237">
        <v>19928975197000</v>
      </c>
      <c r="AD88" s="199">
        <v>19928.975197</v>
      </c>
    </row>
    <row r="89" spans="1:30">
      <c r="A89" s="217" t="s">
        <v>466</v>
      </c>
      <c r="B89" s="215" t="s">
        <v>559</v>
      </c>
      <c r="C89" s="218">
        <f t="shared" si="17"/>
        <v>6.7455001538198225</v>
      </c>
      <c r="D89" s="194">
        <v>1.8317719358641744</v>
      </c>
      <c r="E89" s="194">
        <v>4.9137282179556481</v>
      </c>
      <c r="F89" s="194">
        <v>2.1248554456024422</v>
      </c>
      <c r="G89" s="250">
        <f t="shared" si="18"/>
        <v>1.7401833390709658</v>
      </c>
      <c r="H89" s="194">
        <v>1.7401833390709658</v>
      </c>
      <c r="I89" s="194">
        <v>0</v>
      </c>
      <c r="J89" s="194">
        <v>2.9766293957792835</v>
      </c>
      <c r="K89" s="220">
        <f t="shared" si="32"/>
        <v>0.52734184090795289</v>
      </c>
      <c r="L89" s="220">
        <f t="shared" si="32"/>
        <v>0.28322593251515216</v>
      </c>
      <c r="M89" s="219">
        <f t="shared" si="20"/>
        <v>0.14320212923501774</v>
      </c>
      <c r="N89" s="219">
        <f t="shared" si="21"/>
        <v>7.6911319080828822E-2</v>
      </c>
      <c r="O89" s="219">
        <f t="shared" si="22"/>
        <v>0.38413971167293515</v>
      </c>
      <c r="P89" s="219">
        <f t="shared" si="23"/>
        <v>0.20631461343432334</v>
      </c>
      <c r="Q89" s="219">
        <f t="shared" si="24"/>
        <v>0.16611446991262058</v>
      </c>
      <c r="R89" s="219">
        <f t="shared" si="25"/>
        <v>8.9217130133761438E-2</v>
      </c>
      <c r="S89" s="220">
        <f t="shared" si="33"/>
        <v>0.13604202277326685</v>
      </c>
      <c r="T89" s="220">
        <f t="shared" si="33"/>
        <v>7.3065753126787383E-2</v>
      </c>
      <c r="U89" s="219">
        <f t="shared" si="27"/>
        <v>0.13604202277326685</v>
      </c>
      <c r="V89" s="219">
        <f t="shared" si="34"/>
        <v>7.3065753126787383E-2</v>
      </c>
      <c r="W89" s="219">
        <f t="shared" si="28"/>
        <v>0</v>
      </c>
      <c r="X89" s="219">
        <f t="shared" si="29"/>
        <v>0</v>
      </c>
      <c r="Y89" s="219">
        <f t="shared" si="30"/>
        <v>0.23270346000690387</v>
      </c>
      <c r="Z89" s="219">
        <f t="shared" si="31"/>
        <v>0.12498089350634684</v>
      </c>
      <c r="AA89" s="232">
        <v>2381667559152.25</v>
      </c>
      <c r="AB89" s="239">
        <v>2381.6675591522499</v>
      </c>
      <c r="AC89" s="237">
        <v>1279151326624.439</v>
      </c>
      <c r="AD89" s="199">
        <v>1279.1513266244399</v>
      </c>
    </row>
    <row r="90" spans="1:30">
      <c r="A90" s="217" t="s">
        <v>467</v>
      </c>
      <c r="B90" s="215" t="s">
        <v>559</v>
      </c>
      <c r="C90" s="218">
        <f t="shared" si="17"/>
        <v>4.9034694285941081</v>
      </c>
      <c r="D90" s="194">
        <v>1.9527090644843794</v>
      </c>
      <c r="E90" s="194">
        <v>2.9507603641097289</v>
      </c>
      <c r="F90" s="194">
        <v>9.6189002065341658</v>
      </c>
      <c r="G90" s="250">
        <f t="shared" si="18"/>
        <v>69.096971859569479</v>
      </c>
      <c r="H90" s="194">
        <v>2.8929023177546362</v>
      </c>
      <c r="I90" s="194">
        <v>66.204069541814846</v>
      </c>
      <c r="J90" s="194">
        <v>15.3179177725108</v>
      </c>
      <c r="K90" s="220">
        <f t="shared" si="32"/>
        <v>0.49179599446194466</v>
      </c>
      <c r="L90" s="220">
        <f t="shared" si="32"/>
        <v>0.21010816234941035</v>
      </c>
      <c r="M90" s="219">
        <f t="shared" si="20"/>
        <v>0.19584796239634963</v>
      </c>
      <c r="N90" s="219">
        <f t="shared" si="21"/>
        <v>8.3671392086048374E-2</v>
      </c>
      <c r="O90" s="219">
        <f t="shared" si="22"/>
        <v>0.295948032065595</v>
      </c>
      <c r="P90" s="219">
        <f t="shared" si="23"/>
        <v>0.12643677026336197</v>
      </c>
      <c r="Q90" s="219">
        <f t="shared" si="24"/>
        <v>0.96473255550794457</v>
      </c>
      <c r="R90" s="219">
        <f t="shared" si="25"/>
        <v>0.41215907953497899</v>
      </c>
      <c r="S90" s="220">
        <f t="shared" si="33"/>
        <v>6.9301164175360164</v>
      </c>
      <c r="T90" s="220">
        <f t="shared" si="33"/>
        <v>2.9607277036670592</v>
      </c>
      <c r="U90" s="219">
        <f t="shared" si="27"/>
        <v>0.29014512947607357</v>
      </c>
      <c r="V90" s="219">
        <f t="shared" si="34"/>
        <v>0.12395761790525683</v>
      </c>
      <c r="W90" s="219">
        <f t="shared" si="28"/>
        <v>6.6399712880599431</v>
      </c>
      <c r="X90" s="219">
        <f t="shared" si="29"/>
        <v>2.8367700857618026</v>
      </c>
      <c r="Y90" s="219">
        <f t="shared" si="30"/>
        <v>1.5363184605758096</v>
      </c>
      <c r="Z90" s="219">
        <f t="shared" si="31"/>
        <v>0.65635558680833506</v>
      </c>
      <c r="AA90" s="232">
        <v>2333783406491.1899</v>
      </c>
      <c r="AB90" s="239">
        <v>2333.7834064911899</v>
      </c>
      <c r="AC90" s="237">
        <v>997053551434.22559</v>
      </c>
      <c r="AD90" s="199">
        <v>997.05355143423003</v>
      </c>
    </row>
    <row r="91" spans="1:30">
      <c r="A91" s="221" t="s">
        <v>530</v>
      </c>
      <c r="B91" s="215" t="s">
        <v>559</v>
      </c>
      <c r="C91" s="218">
        <f t="shared" si="17"/>
        <v>36.581164726143534</v>
      </c>
      <c r="D91" s="194">
        <v>2.0576905158455738</v>
      </c>
      <c r="E91" s="194">
        <v>34.523474210297962</v>
      </c>
      <c r="F91" s="194">
        <v>0</v>
      </c>
      <c r="G91" s="250">
        <f t="shared" si="18"/>
        <v>10.288452579227869</v>
      </c>
      <c r="H91" s="194">
        <v>0</v>
      </c>
      <c r="I91" s="194">
        <v>10.288452579227869</v>
      </c>
      <c r="J91" s="194">
        <v>0</v>
      </c>
      <c r="K91" s="220">
        <f t="shared" si="32"/>
        <v>8.8371072261775385</v>
      </c>
      <c r="L91" s="220">
        <f t="shared" si="32"/>
        <v>7.8064938472023151</v>
      </c>
      <c r="M91" s="219">
        <f t="shared" si="20"/>
        <v>0.49708728147248649</v>
      </c>
      <c r="N91" s="219">
        <f t="shared" si="21"/>
        <v>0.43911527890513014</v>
      </c>
      <c r="O91" s="219">
        <f t="shared" si="22"/>
        <v>8.3400199447050518</v>
      </c>
      <c r="P91" s="219">
        <f t="shared" si="23"/>
        <v>7.3673785682971848</v>
      </c>
      <c r="Q91" s="219">
        <f t="shared" si="24"/>
        <v>0</v>
      </c>
      <c r="R91" s="219">
        <f t="shared" si="25"/>
        <v>0</v>
      </c>
      <c r="S91" s="220">
        <f t="shared" si="33"/>
        <v>2.4854364073624322</v>
      </c>
      <c r="T91" s="220">
        <f t="shared" si="33"/>
        <v>2.1955763945256508</v>
      </c>
      <c r="U91" s="219">
        <f t="shared" si="27"/>
        <v>0</v>
      </c>
      <c r="V91" s="219">
        <f t="shared" si="34"/>
        <v>0</v>
      </c>
      <c r="W91" s="219">
        <f t="shared" si="28"/>
        <v>2.4854364073624322</v>
      </c>
      <c r="X91" s="219">
        <f t="shared" si="29"/>
        <v>2.1955763945256508</v>
      </c>
      <c r="Y91" s="219">
        <f t="shared" si="30"/>
        <v>0</v>
      </c>
      <c r="Z91" s="219">
        <f t="shared" si="31"/>
        <v>0</v>
      </c>
      <c r="AA91" s="232">
        <v>468599161699.88599</v>
      </c>
      <c r="AB91" s="239">
        <v>468.59916169988998</v>
      </c>
      <c r="AC91" s="237">
        <v>413949540159.26532</v>
      </c>
      <c r="AD91" s="199">
        <v>413.94954015926999</v>
      </c>
    </row>
    <row r="92" spans="1:30">
      <c r="A92" s="217" t="s">
        <v>456</v>
      </c>
      <c r="B92" s="215" t="s">
        <v>559</v>
      </c>
      <c r="C92" s="218">
        <f t="shared" si="17"/>
        <v>19.891008319840545</v>
      </c>
      <c r="D92" s="194">
        <v>3.7724326123835521</v>
      </c>
      <c r="E92" s="194">
        <v>16.118575707456994</v>
      </c>
      <c r="F92" s="194">
        <v>18.404898502840968</v>
      </c>
      <c r="G92" s="250">
        <f t="shared" si="18"/>
        <v>60.70187021744443</v>
      </c>
      <c r="H92" s="194">
        <v>1.2574775374611842</v>
      </c>
      <c r="I92" s="194">
        <v>59.444392679983245</v>
      </c>
      <c r="J92" s="194">
        <v>0</v>
      </c>
      <c r="K92" s="220">
        <f t="shared" si="32"/>
        <v>4.0171072024000507</v>
      </c>
      <c r="L92" s="220">
        <f t="shared" si="32"/>
        <v>3.5818875280916243</v>
      </c>
      <c r="M92" s="219">
        <f t="shared" si="20"/>
        <v>0.76186515907587182</v>
      </c>
      <c r="N92" s="219">
        <f t="shared" si="21"/>
        <v>0.67932349670703218</v>
      </c>
      <c r="O92" s="219">
        <f t="shared" si="22"/>
        <v>3.2552420433241789</v>
      </c>
      <c r="P92" s="219">
        <f t="shared" si="23"/>
        <v>2.9025640313845922</v>
      </c>
      <c r="Q92" s="219">
        <f t="shared" si="24"/>
        <v>3.716978503370163</v>
      </c>
      <c r="R92" s="219">
        <f t="shared" si="25"/>
        <v>3.3142752415100665</v>
      </c>
      <c r="S92" s="220">
        <f t="shared" si="33"/>
        <v>12.259103014220845</v>
      </c>
      <c r="T92" s="220">
        <f t="shared" si="33"/>
        <v>10.930932628831336</v>
      </c>
      <c r="U92" s="219">
        <f t="shared" si="27"/>
        <v>0.25395505302529059</v>
      </c>
      <c r="V92" s="219">
        <f t="shared" si="34"/>
        <v>0.22644116556901078</v>
      </c>
      <c r="W92" s="219">
        <f t="shared" si="28"/>
        <v>12.005147961195554</v>
      </c>
      <c r="X92" s="219">
        <f t="shared" si="29"/>
        <v>10.704491463262325</v>
      </c>
      <c r="Y92" s="219">
        <f t="shared" si="30"/>
        <v>0</v>
      </c>
      <c r="Z92" s="219">
        <f t="shared" si="31"/>
        <v>0</v>
      </c>
      <c r="AA92" s="232">
        <v>555321968203.677</v>
      </c>
      <c r="AB92" s="239">
        <v>555.32196820367994</v>
      </c>
      <c r="AC92" s="237">
        <v>495157518025.82001</v>
      </c>
      <c r="AD92" s="199">
        <v>495.15751802582002</v>
      </c>
    </row>
    <row r="93" spans="1:30">
      <c r="A93" s="221" t="s">
        <v>454</v>
      </c>
      <c r="B93" s="215" t="s">
        <v>559</v>
      </c>
      <c r="C93" s="218">
        <f t="shared" si="17"/>
        <v>10.573339000389979</v>
      </c>
      <c r="D93" s="194">
        <v>2.5315222329475802</v>
      </c>
      <c r="E93" s="194">
        <v>8.0418167674423984</v>
      </c>
      <c r="F93" s="194">
        <v>1.5892575253152907</v>
      </c>
      <c r="G93" s="250">
        <f t="shared" si="18"/>
        <v>37.38663194799085</v>
      </c>
      <c r="H93" s="194">
        <v>4.3422336757248381E-2</v>
      </c>
      <c r="I93" s="194">
        <v>37.343209611233604</v>
      </c>
      <c r="J93" s="194">
        <v>0</v>
      </c>
      <c r="K93" s="220">
        <f t="shared" si="32"/>
        <v>4.9032285094671719</v>
      </c>
      <c r="L93" s="220">
        <f t="shared" si="32"/>
        <v>2.5953475621254607</v>
      </c>
      <c r="M93" s="219">
        <f t="shared" si="20"/>
        <v>1.1739557375849534</v>
      </c>
      <c r="N93" s="219">
        <f t="shared" si="21"/>
        <v>0.62139122329328289</v>
      </c>
      <c r="O93" s="219">
        <f t="shared" si="22"/>
        <v>3.7292727718822185</v>
      </c>
      <c r="P93" s="219">
        <f t="shared" si="23"/>
        <v>1.9739563388321779</v>
      </c>
      <c r="Q93" s="219">
        <f t="shared" si="24"/>
        <v>0.73699451107391589</v>
      </c>
      <c r="R93" s="219">
        <f t="shared" si="25"/>
        <v>0.39010152268497694</v>
      </c>
      <c r="S93" s="220">
        <f t="shared" si="33"/>
        <v>17.337493826083104</v>
      </c>
      <c r="T93" s="220">
        <f t="shared" si="33"/>
        <v>9.1769784434908512</v>
      </c>
      <c r="U93" s="219">
        <f t="shared" si="27"/>
        <v>2.0136462051199889E-2</v>
      </c>
      <c r="V93" s="219">
        <f t="shared" si="34"/>
        <v>1.0658511548769862E-2</v>
      </c>
      <c r="W93" s="219">
        <f t="shared" si="28"/>
        <v>17.317357364031906</v>
      </c>
      <c r="X93" s="219">
        <f t="shared" si="29"/>
        <v>9.1663199319420805</v>
      </c>
      <c r="Y93" s="219">
        <f t="shared" si="30"/>
        <v>0</v>
      </c>
      <c r="Z93" s="219">
        <f t="shared" si="31"/>
        <v>0</v>
      </c>
      <c r="AA93" s="232">
        <v>407395878482.30298</v>
      </c>
      <c r="AB93" s="239">
        <v>407.39587848230002</v>
      </c>
      <c r="AC93" s="237">
        <v>215640347578.63721</v>
      </c>
      <c r="AD93" s="199">
        <v>215.64034757863999</v>
      </c>
    </row>
    <row r="94" spans="1:30">
      <c r="A94" s="221" t="s">
        <v>446</v>
      </c>
      <c r="B94" s="215" t="s">
        <v>559</v>
      </c>
      <c r="C94" s="218">
        <f t="shared" si="17"/>
        <v>20.044411427789434</v>
      </c>
      <c r="D94" s="194">
        <v>0.12203599042794176</v>
      </c>
      <c r="E94" s="194">
        <v>19.922375437361492</v>
      </c>
      <c r="F94" s="194">
        <v>26.756390901326231</v>
      </c>
      <c r="G94" s="250">
        <f t="shared" si="18"/>
        <v>30.692051592627351</v>
      </c>
      <c r="H94" s="194">
        <v>8.9848997952572116</v>
      </c>
      <c r="I94" s="194">
        <v>21.707151797370141</v>
      </c>
      <c r="J94" s="194">
        <v>0</v>
      </c>
      <c r="K94" s="220">
        <f t="shared" si="32"/>
        <v>6.0265358257569641</v>
      </c>
      <c r="L94" s="220">
        <f t="shared" si="32"/>
        <v>6.4438317781790557</v>
      </c>
      <c r="M94" s="219">
        <f t="shared" si="20"/>
        <v>3.6691237904151991E-2</v>
      </c>
      <c r="N94" s="219">
        <f t="shared" si="21"/>
        <v>3.9231852530770508E-2</v>
      </c>
      <c r="O94" s="219">
        <f t="shared" si="22"/>
        <v>5.9898445878528124</v>
      </c>
      <c r="P94" s="219">
        <f t="shared" si="23"/>
        <v>6.4045999256482853</v>
      </c>
      <c r="Q94" s="219">
        <f t="shared" si="24"/>
        <v>8.044553910485325</v>
      </c>
      <c r="R94" s="219">
        <f t="shared" si="25"/>
        <v>8.6015836673714343</v>
      </c>
      <c r="S94" s="220">
        <f t="shared" si="33"/>
        <v>9.2278463328942255</v>
      </c>
      <c r="T94" s="220">
        <f t="shared" si="33"/>
        <v>9.8668109114887841</v>
      </c>
      <c r="U94" s="219">
        <f t="shared" si="27"/>
        <v>2.7013923906931905</v>
      </c>
      <c r="V94" s="219">
        <f t="shared" si="34"/>
        <v>2.8884451425779787</v>
      </c>
      <c r="W94" s="219">
        <f t="shared" si="28"/>
        <v>6.5264539422010355</v>
      </c>
      <c r="X94" s="219">
        <f t="shared" si="29"/>
        <v>6.9783657689108045</v>
      </c>
      <c r="Y94" s="219">
        <f t="shared" si="30"/>
        <v>0</v>
      </c>
      <c r="Z94" s="219">
        <f t="shared" si="31"/>
        <v>0</v>
      </c>
      <c r="AA94" s="232">
        <v>311063542901.078</v>
      </c>
      <c r="AB94" s="239">
        <v>311.06354290107998</v>
      </c>
      <c r="AC94" s="237">
        <v>332602543274.04938</v>
      </c>
      <c r="AD94" s="199">
        <v>332.60254327404999</v>
      </c>
    </row>
    <row r="95" spans="1:30">
      <c r="A95" s="222" t="s">
        <v>531</v>
      </c>
      <c r="B95" s="255" t="s">
        <v>559</v>
      </c>
      <c r="C95" s="218">
        <f t="shared" si="17"/>
        <v>1.0745717138304665</v>
      </c>
      <c r="D95" s="194">
        <v>0.2629271214691567</v>
      </c>
      <c r="E95" s="194">
        <v>0.8116445923613097</v>
      </c>
      <c r="F95" s="194">
        <v>0</v>
      </c>
      <c r="G95" s="250">
        <f t="shared" si="18"/>
        <v>1.3260672213227032</v>
      </c>
      <c r="H95" s="194">
        <v>0.98311880201510748</v>
      </c>
      <c r="I95" s="194">
        <v>0.34294841930759562</v>
      </c>
      <c r="J95" s="194">
        <v>0</v>
      </c>
      <c r="K95" s="220">
        <f t="shared" si="32"/>
        <v>3.9953351780351181</v>
      </c>
      <c r="L95" s="220">
        <f t="shared" si="32"/>
        <v>2.3405247258086046</v>
      </c>
      <c r="M95" s="219">
        <f t="shared" si="20"/>
        <v>0.97758201164689063</v>
      </c>
      <c r="N95" s="219">
        <f t="shared" si="21"/>
        <v>0.5726815818467863</v>
      </c>
      <c r="O95" s="219">
        <f t="shared" si="22"/>
        <v>3.0177531663882275</v>
      </c>
      <c r="P95" s="219">
        <f t="shared" si="23"/>
        <v>1.7678431439618183</v>
      </c>
      <c r="Q95" s="219">
        <f t="shared" si="24"/>
        <v>0</v>
      </c>
      <c r="R95" s="219">
        <f t="shared" si="25"/>
        <v>0</v>
      </c>
      <c r="S95" s="220">
        <f t="shared" si="33"/>
        <v>4.9304136239582306</v>
      </c>
      <c r="T95" s="220">
        <f t="shared" si="33"/>
        <v>2.8883071084446614</v>
      </c>
      <c r="U95" s="219">
        <f t="shared" si="27"/>
        <v>3.6553066522448954</v>
      </c>
      <c r="V95" s="219">
        <f t="shared" si="34"/>
        <v>2.1413311321227662</v>
      </c>
      <c r="W95" s="219">
        <f t="shared" si="28"/>
        <v>1.2751069717133354</v>
      </c>
      <c r="X95" s="219">
        <f t="shared" si="29"/>
        <v>0.74697597632189505</v>
      </c>
      <c r="Y95" s="219">
        <f t="shared" si="30"/>
        <v>0</v>
      </c>
      <c r="Z95" s="219">
        <f t="shared" si="31"/>
        <v>0</v>
      </c>
      <c r="AA95" s="232">
        <v>45911572818.753304</v>
      </c>
      <c r="AB95" s="239">
        <v>45.911572818750003</v>
      </c>
      <c r="AC95" s="237">
        <v>26895658710.637878</v>
      </c>
      <c r="AD95" s="199">
        <v>26.895658710639999</v>
      </c>
    </row>
    <row r="96" spans="1:30">
      <c r="A96" s="221" t="s">
        <v>447</v>
      </c>
      <c r="B96" s="215" t="s">
        <v>559</v>
      </c>
      <c r="C96" s="218">
        <f t="shared" si="17"/>
        <v>6.8589683861519131</v>
      </c>
      <c r="D96" s="194">
        <v>1.4861098169995812</v>
      </c>
      <c r="E96" s="194">
        <v>5.3728585691523323</v>
      </c>
      <c r="F96" s="194">
        <v>4.9155940100755373</v>
      </c>
      <c r="G96" s="250">
        <f t="shared" si="18"/>
        <v>17.513232612641218</v>
      </c>
      <c r="H96" s="194">
        <v>2.7664505824146048</v>
      </c>
      <c r="I96" s="194">
        <v>14.746782030226614</v>
      </c>
      <c r="J96" s="194">
        <v>1.1431613976919854</v>
      </c>
      <c r="K96" s="220">
        <f t="shared" si="32"/>
        <v>2.6924928895586673</v>
      </c>
      <c r="L96" s="220">
        <f t="shared" si="32"/>
        <v>2.7012073711842555</v>
      </c>
      <c r="M96" s="219">
        <f t="shared" si="20"/>
        <v>0.58337345940437779</v>
      </c>
      <c r="N96" s="219">
        <f t="shared" si="21"/>
        <v>0.58526159708992198</v>
      </c>
      <c r="O96" s="219">
        <f t="shared" si="22"/>
        <v>2.1091194301542893</v>
      </c>
      <c r="P96" s="219">
        <f t="shared" si="23"/>
        <v>2.1159457740943335</v>
      </c>
      <c r="Q96" s="219">
        <f t="shared" si="24"/>
        <v>1.929619904183711</v>
      </c>
      <c r="R96" s="219">
        <f t="shared" si="25"/>
        <v>1.9358652826820495</v>
      </c>
      <c r="S96" s="220">
        <f t="shared" si="33"/>
        <v>6.87483184467313</v>
      </c>
      <c r="T96" s="220">
        <f t="shared" si="33"/>
        <v>6.897082821090466</v>
      </c>
      <c r="U96" s="219">
        <f t="shared" si="27"/>
        <v>1.0859721321219955</v>
      </c>
      <c r="V96" s="219">
        <f t="shared" si="34"/>
        <v>1.0894869730443162</v>
      </c>
      <c r="W96" s="219">
        <f t="shared" si="28"/>
        <v>5.7888597125511341</v>
      </c>
      <c r="X96" s="219">
        <f t="shared" si="29"/>
        <v>5.8075958480461498</v>
      </c>
      <c r="Y96" s="219">
        <f t="shared" si="30"/>
        <v>0.44874881492644442</v>
      </c>
      <c r="Z96" s="219">
        <f t="shared" si="31"/>
        <v>0.45020122853070921</v>
      </c>
      <c r="AA96" s="232">
        <v>253922318564.70901</v>
      </c>
      <c r="AB96" s="239">
        <v>253.92231856471</v>
      </c>
      <c r="AC96" s="237">
        <v>254744159687.49991</v>
      </c>
      <c r="AD96" s="199">
        <v>254.7441596875</v>
      </c>
    </row>
    <row r="97" spans="1:30">
      <c r="A97" s="222" t="s">
        <v>532</v>
      </c>
      <c r="B97" s="255" t="s">
        <v>559</v>
      </c>
      <c r="C97" s="218">
        <f t="shared" si="17"/>
        <v>13.260672213227091</v>
      </c>
      <c r="D97" s="194">
        <v>0.34294841930759717</v>
      </c>
      <c r="E97" s="194">
        <v>12.917723793919494</v>
      </c>
      <c r="F97" s="194">
        <v>1.3717936772303887</v>
      </c>
      <c r="G97" s="250">
        <f t="shared" si="18"/>
        <v>2.9722196339991758</v>
      </c>
      <c r="H97" s="194">
        <v>0</v>
      </c>
      <c r="I97" s="194">
        <v>2.9722196339991758</v>
      </c>
      <c r="J97" s="194">
        <v>0</v>
      </c>
      <c r="K97" s="220">
        <f t="shared" si="32"/>
        <v>6.5034215682298893</v>
      </c>
      <c r="L97" s="220">
        <f t="shared" si="32"/>
        <v>4.3975802375133517</v>
      </c>
      <c r="M97" s="219">
        <f t="shared" si="20"/>
        <v>0.16819193710939367</v>
      </c>
      <c r="N97" s="219">
        <f t="shared" si="21"/>
        <v>0.113730523383966</v>
      </c>
      <c r="O97" s="219">
        <f t="shared" si="22"/>
        <v>6.3352296311204954</v>
      </c>
      <c r="P97" s="219">
        <f t="shared" si="23"/>
        <v>4.2838497141293859</v>
      </c>
      <c r="Q97" s="219">
        <f t="shared" si="24"/>
        <v>0.6727677484375747</v>
      </c>
      <c r="R97" s="219">
        <f t="shared" si="25"/>
        <v>0.45492209353586399</v>
      </c>
      <c r="S97" s="220">
        <f t="shared" si="33"/>
        <v>1.4576634549480787</v>
      </c>
      <c r="T97" s="220">
        <f t="shared" si="33"/>
        <v>0.98566453599437198</v>
      </c>
      <c r="U97" s="219">
        <f t="shared" si="27"/>
        <v>0</v>
      </c>
      <c r="V97" s="219">
        <f t="shared" si="34"/>
        <v>0</v>
      </c>
      <c r="W97" s="219">
        <f t="shared" si="28"/>
        <v>1.4576634549480787</v>
      </c>
      <c r="X97" s="219">
        <f t="shared" si="29"/>
        <v>0.98566453599437198</v>
      </c>
      <c r="Y97" s="219">
        <f t="shared" si="30"/>
        <v>0</v>
      </c>
      <c r="Z97" s="219">
        <f t="shared" si="31"/>
        <v>0</v>
      </c>
      <c r="AA97" s="232">
        <v>301544747270.495</v>
      </c>
      <c r="AB97" s="239">
        <v>301.54474727050001</v>
      </c>
      <c r="AC97" s="237">
        <v>203903008195.06079</v>
      </c>
      <c r="AD97" s="199">
        <v>203.90300819506001</v>
      </c>
    </row>
    <row r="98" spans="1:30">
      <c r="A98" s="222" t="s">
        <v>533</v>
      </c>
      <c r="B98" s="255" t="s">
        <v>559</v>
      </c>
      <c r="C98" s="218">
        <f t="shared" si="17"/>
        <v>0.88253820443329634</v>
      </c>
      <c r="D98" s="194">
        <v>2.1328006607137996E-2</v>
      </c>
      <c r="E98" s="194">
        <v>0.86121019782615837</v>
      </c>
      <c r="F98" s="194">
        <v>0</v>
      </c>
      <c r="G98" s="250">
        <f t="shared" si="18"/>
        <v>0.91931062961801713</v>
      </c>
      <c r="H98" s="194">
        <v>0</v>
      </c>
      <c r="I98" s="194">
        <v>0.91931062961801713</v>
      </c>
      <c r="J98" s="194">
        <v>0</v>
      </c>
      <c r="K98" s="220">
        <f t="shared" si="32"/>
        <v>4.2572996227017779</v>
      </c>
      <c r="L98" s="220">
        <f t="shared" si="32"/>
        <v>4.6280958337256317</v>
      </c>
      <c r="M98" s="219">
        <f t="shared" si="20"/>
        <v>0.10288474088195963</v>
      </c>
      <c r="N98" s="219">
        <f t="shared" si="21"/>
        <v>0.11184564931503611</v>
      </c>
      <c r="O98" s="219">
        <f t="shared" si="22"/>
        <v>4.1544148818198181</v>
      </c>
      <c r="P98" s="219">
        <f t="shared" si="23"/>
        <v>4.5162501844105956</v>
      </c>
      <c r="Q98" s="219">
        <f t="shared" si="24"/>
        <v>0</v>
      </c>
      <c r="R98" s="219">
        <f t="shared" si="25"/>
        <v>0</v>
      </c>
      <c r="S98" s="220">
        <f t="shared" si="33"/>
        <v>4.434687106981019</v>
      </c>
      <c r="T98" s="220">
        <f t="shared" si="33"/>
        <v>4.8209331601308669</v>
      </c>
      <c r="U98" s="219">
        <f t="shared" si="27"/>
        <v>0</v>
      </c>
      <c r="V98" s="219">
        <f t="shared" si="34"/>
        <v>0</v>
      </c>
      <c r="W98" s="219">
        <f t="shared" si="28"/>
        <v>4.434687106981019</v>
      </c>
      <c r="X98" s="219">
        <f t="shared" si="29"/>
        <v>4.8209331601308669</v>
      </c>
      <c r="Y98" s="219">
        <f t="shared" si="30"/>
        <v>0</v>
      </c>
      <c r="Z98" s="219">
        <f t="shared" si="31"/>
        <v>0</v>
      </c>
      <c r="AA98" s="235">
        <v>19069142821.155399</v>
      </c>
      <c r="AB98" s="239">
        <v>19.06914282116</v>
      </c>
      <c r="AC98" s="237">
        <v>20729999827.29071</v>
      </c>
      <c r="AD98" s="199">
        <v>20.729999827290001</v>
      </c>
    </row>
    <row r="99" spans="1:30">
      <c r="A99" s="222" t="s">
        <v>534</v>
      </c>
      <c r="B99" s="255" t="s">
        <v>559</v>
      </c>
      <c r="C99" s="218">
        <f t="shared" si="17"/>
        <v>23.434808652685703</v>
      </c>
      <c r="D99" s="194">
        <v>2.2863227953839709</v>
      </c>
      <c r="E99" s="194">
        <v>21.148485857301733</v>
      </c>
      <c r="F99" s="194">
        <v>2.8579034942299635</v>
      </c>
      <c r="G99" s="250">
        <f t="shared" si="18"/>
        <v>6.8589683861519131</v>
      </c>
      <c r="H99" s="194">
        <v>4.5726455907679417</v>
      </c>
      <c r="I99" s="194">
        <v>2.2863227953839709</v>
      </c>
      <c r="J99" s="194">
        <v>0</v>
      </c>
      <c r="K99" s="220">
        <f t="shared" si="32"/>
        <v>6.308725700048833</v>
      </c>
      <c r="L99" s="220">
        <f t="shared" si="32"/>
        <v>5.6078791341391749</v>
      </c>
      <c r="M99" s="219">
        <f t="shared" si="20"/>
        <v>0.61548543415110557</v>
      </c>
      <c r="N99" s="219">
        <f t="shared" si="21"/>
        <v>0.54711015942821217</v>
      </c>
      <c r="O99" s="219">
        <f t="shared" si="22"/>
        <v>5.6932402658977272</v>
      </c>
      <c r="P99" s="219">
        <f t="shared" si="23"/>
        <v>5.060768974710963</v>
      </c>
      <c r="Q99" s="219">
        <f t="shared" si="24"/>
        <v>0.76935679268888202</v>
      </c>
      <c r="R99" s="219">
        <f t="shared" si="25"/>
        <v>0.68388769928526516</v>
      </c>
      <c r="S99" s="220">
        <f t="shared" si="33"/>
        <v>1.8464563024533167</v>
      </c>
      <c r="T99" s="220">
        <f t="shared" si="33"/>
        <v>1.6413304782846365</v>
      </c>
      <c r="U99" s="219">
        <f t="shared" si="27"/>
        <v>1.2309708683022111</v>
      </c>
      <c r="V99" s="219">
        <f t="shared" si="34"/>
        <v>1.0942203188564243</v>
      </c>
      <c r="W99" s="219">
        <f t="shared" si="28"/>
        <v>0.61548543415110557</v>
      </c>
      <c r="X99" s="219">
        <f t="shared" si="29"/>
        <v>0.54711015942821217</v>
      </c>
      <c r="Y99" s="219">
        <f t="shared" si="30"/>
        <v>0</v>
      </c>
      <c r="Z99" s="219">
        <f t="shared" si="31"/>
        <v>0</v>
      </c>
      <c r="AA99" s="235">
        <v>417890758558.284</v>
      </c>
      <c r="AB99" s="239">
        <v>417.89075855828003</v>
      </c>
      <c r="AC99" s="237">
        <v>371466596693.27911</v>
      </c>
      <c r="AD99" s="199">
        <v>371.46659669328</v>
      </c>
    </row>
    <row r="100" spans="1:30">
      <c r="A100" s="222" t="s">
        <v>535</v>
      </c>
      <c r="B100" s="255" t="s">
        <v>559</v>
      </c>
      <c r="C100" s="218">
        <f t="shared" si="17"/>
        <v>25.918306382883841</v>
      </c>
      <c r="D100" s="194">
        <v>4.0163261841927023</v>
      </c>
      <c r="E100" s="194">
        <v>21.901980198691138</v>
      </c>
      <c r="F100" s="194">
        <v>2.0803991745458603</v>
      </c>
      <c r="G100" s="250">
        <f t="shared" si="18"/>
        <v>11.153251130204193</v>
      </c>
      <c r="H100" s="194">
        <v>0.9535162883335192</v>
      </c>
      <c r="I100" s="194">
        <v>10.199734841870674</v>
      </c>
      <c r="J100" s="194">
        <v>0</v>
      </c>
      <c r="K100" s="220">
        <f t="shared" si="32"/>
        <v>7.2304547534162724</v>
      </c>
      <c r="L100" s="220">
        <f t="shared" si="32"/>
        <v>7.5696715765084619</v>
      </c>
      <c r="M100" s="219">
        <f t="shared" si="20"/>
        <v>1.1204383620121092</v>
      </c>
      <c r="N100" s="219">
        <f t="shared" si="21"/>
        <v>1.1730037337064394</v>
      </c>
      <c r="O100" s="219">
        <f t="shared" si="22"/>
        <v>6.1100163914041632</v>
      </c>
      <c r="P100" s="219">
        <f t="shared" si="23"/>
        <v>6.3966678428020227</v>
      </c>
      <c r="Q100" s="219">
        <f t="shared" si="24"/>
        <v>0.5803709501069918</v>
      </c>
      <c r="R100" s="219">
        <f t="shared" si="25"/>
        <v>0.60759905630837163</v>
      </c>
      <c r="S100" s="220">
        <f t="shared" si="33"/>
        <v>3.1114331491847054</v>
      </c>
      <c r="T100" s="220">
        <f t="shared" si="33"/>
        <v>3.257406051875436</v>
      </c>
      <c r="U100" s="219">
        <f t="shared" si="27"/>
        <v>0.2660033521323712</v>
      </c>
      <c r="V100" s="219">
        <f t="shared" si="34"/>
        <v>0.27848290080800364</v>
      </c>
      <c r="W100" s="219">
        <f t="shared" si="28"/>
        <v>2.8454297970523341</v>
      </c>
      <c r="X100" s="219">
        <f t="shared" si="29"/>
        <v>2.9789231510674323</v>
      </c>
      <c r="Y100" s="219">
        <f t="shared" si="30"/>
        <v>0</v>
      </c>
      <c r="Z100" s="219">
        <f t="shared" si="31"/>
        <v>0</v>
      </c>
      <c r="AA100" s="235">
        <v>342396709301.34399</v>
      </c>
      <c r="AB100" s="239">
        <v>342.39670930134002</v>
      </c>
      <c r="AC100" s="237">
        <v>358460252733.58807</v>
      </c>
      <c r="AD100" s="199">
        <v>358.46025273358998</v>
      </c>
    </row>
    <row r="101" spans="1:30">
      <c r="A101" s="222" t="s">
        <v>536</v>
      </c>
      <c r="B101" s="255" t="s">
        <v>559</v>
      </c>
      <c r="C101" s="218">
        <f t="shared" si="17"/>
        <v>2.6412118346100706</v>
      </c>
      <c r="D101" s="194">
        <v>0.2311060355223796</v>
      </c>
      <c r="E101" s="194">
        <v>2.4101057990876908</v>
      </c>
      <c r="F101" s="194">
        <v>0</v>
      </c>
      <c r="G101" s="250">
        <f t="shared" si="18"/>
        <v>1.0485610983298868</v>
      </c>
      <c r="H101" s="194">
        <v>0.2311060355223796</v>
      </c>
      <c r="I101" s="194">
        <v>0.81745506280750724</v>
      </c>
      <c r="J101" s="194">
        <v>0</v>
      </c>
      <c r="K101" s="220">
        <f t="shared" si="32"/>
        <v>8.7573111594010662</v>
      </c>
      <c r="L101" s="220">
        <f t="shared" si="32"/>
        <v>4.7655871856594887</v>
      </c>
      <c r="M101" s="219">
        <f t="shared" si="20"/>
        <v>0.76626472642769428</v>
      </c>
      <c r="N101" s="219">
        <f t="shared" si="21"/>
        <v>0.41698887873437651</v>
      </c>
      <c r="O101" s="219">
        <f t="shared" si="22"/>
        <v>7.9910464329733726</v>
      </c>
      <c r="P101" s="219">
        <f t="shared" si="23"/>
        <v>4.348598306925112</v>
      </c>
      <c r="Q101" s="219">
        <f t="shared" si="24"/>
        <v>0</v>
      </c>
      <c r="R101" s="219">
        <f t="shared" si="25"/>
        <v>0</v>
      </c>
      <c r="S101" s="220">
        <f t="shared" si="33"/>
        <v>3.4766525302480353</v>
      </c>
      <c r="T101" s="220">
        <f t="shared" si="33"/>
        <v>1.8919381126882124</v>
      </c>
      <c r="U101" s="219">
        <f t="shared" si="27"/>
        <v>0.76626472642769428</v>
      </c>
      <c r="V101" s="219">
        <f t="shared" si="34"/>
        <v>0.41698887873437651</v>
      </c>
      <c r="W101" s="219">
        <f t="shared" si="28"/>
        <v>2.7103878038203408</v>
      </c>
      <c r="X101" s="219">
        <f t="shared" si="29"/>
        <v>1.4749492339538359</v>
      </c>
      <c r="Y101" s="219">
        <f t="shared" si="30"/>
        <v>0</v>
      </c>
      <c r="Z101" s="219">
        <f t="shared" si="31"/>
        <v>0</v>
      </c>
      <c r="AA101" s="236">
        <v>55422589740</v>
      </c>
      <c r="AB101" s="240">
        <v>55.422589739999999</v>
      </c>
      <c r="AC101" s="237">
        <v>30160077523.05077</v>
      </c>
      <c r="AD101" s="199">
        <v>30.160077523049999</v>
      </c>
    </row>
    <row r="102" spans="1:30">
      <c r="A102" s="222" t="s">
        <v>537</v>
      </c>
      <c r="B102" s="255" t="s">
        <v>559</v>
      </c>
      <c r="C102" s="218">
        <f t="shared" si="17"/>
        <v>2.5949763727608071</v>
      </c>
      <c r="D102" s="194">
        <v>0.57158069884599272</v>
      </c>
      <c r="E102" s="194">
        <v>2.0233956739148145</v>
      </c>
      <c r="F102" s="194">
        <v>2.503523460945448</v>
      </c>
      <c r="G102" s="250">
        <f t="shared" si="18"/>
        <v>1.9662376040302147</v>
      </c>
      <c r="H102" s="194">
        <v>0.36581164726143534</v>
      </c>
      <c r="I102" s="194">
        <v>1.6004259567687795</v>
      </c>
      <c r="J102" s="194">
        <v>0</v>
      </c>
      <c r="K102" s="220">
        <f t="shared" si="32"/>
        <v>5.3818960772623692</v>
      </c>
      <c r="L102" s="220">
        <f t="shared" si="32"/>
        <v>2.6714857655953939</v>
      </c>
      <c r="M102" s="219">
        <f t="shared" si="20"/>
        <v>1.1854396645952354</v>
      </c>
      <c r="N102" s="219">
        <f t="shared" si="21"/>
        <v>0.5884329880166066</v>
      </c>
      <c r="O102" s="219">
        <f t="shared" si="22"/>
        <v>4.1964564126671338</v>
      </c>
      <c r="P102" s="219">
        <f t="shared" si="23"/>
        <v>2.0830527775787875</v>
      </c>
      <c r="Q102" s="219">
        <f t="shared" si="24"/>
        <v>5.19222573092713</v>
      </c>
      <c r="R102" s="219">
        <f t="shared" si="25"/>
        <v>2.5773364875127363</v>
      </c>
      <c r="S102" s="220">
        <f t="shared" si="33"/>
        <v>4.0779124462076091</v>
      </c>
      <c r="T102" s="220">
        <f t="shared" si="33"/>
        <v>2.0242094787771263</v>
      </c>
      <c r="U102" s="219">
        <f t="shared" si="27"/>
        <v>0.75868138534095053</v>
      </c>
      <c r="V102" s="219">
        <f t="shared" si="34"/>
        <v>0.3765971123306282</v>
      </c>
      <c r="W102" s="219">
        <f t="shared" si="28"/>
        <v>3.3192310608666586</v>
      </c>
      <c r="X102" s="219">
        <f t="shared" si="29"/>
        <v>1.6476123664464981</v>
      </c>
      <c r="Y102" s="219">
        <f t="shared" si="30"/>
        <v>0</v>
      </c>
      <c r="Z102" s="219">
        <f t="shared" si="31"/>
        <v>0</v>
      </c>
      <c r="AA102" s="235">
        <v>97136073348.399506</v>
      </c>
      <c r="AB102" s="239">
        <v>97.136073348400004</v>
      </c>
      <c r="AC102" s="237">
        <v>48216768505.137871</v>
      </c>
      <c r="AD102" s="199">
        <v>48.216768505140003</v>
      </c>
    </row>
    <row r="103" spans="1:30">
      <c r="A103" s="222" t="s">
        <v>538</v>
      </c>
      <c r="B103" s="255" t="s">
        <v>559</v>
      </c>
      <c r="C103" s="218">
        <f t="shared" si="17"/>
        <v>3.5438003328451551</v>
      </c>
      <c r="D103" s="194">
        <v>0.2286322795383971</v>
      </c>
      <c r="E103" s="194">
        <v>3.315168053306758</v>
      </c>
      <c r="F103" s="194">
        <v>5.2145883075488326</v>
      </c>
      <c r="G103" s="250">
        <f t="shared" si="18"/>
        <v>2.8579034942299635</v>
      </c>
      <c r="H103" s="194">
        <v>0</v>
      </c>
      <c r="I103" s="194">
        <v>2.8579034942299635</v>
      </c>
      <c r="J103" s="194">
        <v>1.2574775374611842</v>
      </c>
      <c r="K103" s="220">
        <f t="shared" si="32"/>
        <v>5.3244195640159759</v>
      </c>
      <c r="L103" s="220">
        <f t="shared" si="32"/>
        <v>5.3415951260588308</v>
      </c>
      <c r="M103" s="219">
        <f t="shared" si="20"/>
        <v>0.34351093961393397</v>
      </c>
      <c r="N103" s="219">
        <f t="shared" si="21"/>
        <v>0.34461904039089231</v>
      </c>
      <c r="O103" s="219">
        <f t="shared" si="22"/>
        <v>4.9809086244020424</v>
      </c>
      <c r="P103" s="219">
        <f t="shared" si="23"/>
        <v>4.9969760856679386</v>
      </c>
      <c r="Q103" s="219">
        <f t="shared" si="24"/>
        <v>7.8347122849077095</v>
      </c>
      <c r="R103" s="219">
        <f t="shared" si="25"/>
        <v>7.8599855725063756</v>
      </c>
      <c r="S103" s="220">
        <f t="shared" si="33"/>
        <v>4.2938867451741736</v>
      </c>
      <c r="T103" s="220">
        <f t="shared" si="33"/>
        <v>4.3077380048861542</v>
      </c>
      <c r="U103" s="219">
        <f t="shared" si="27"/>
        <v>0</v>
      </c>
      <c r="V103" s="219">
        <f t="shared" si="34"/>
        <v>0</v>
      </c>
      <c r="W103" s="219">
        <f t="shared" si="28"/>
        <v>4.2938867451741736</v>
      </c>
      <c r="X103" s="219">
        <f t="shared" si="29"/>
        <v>4.3077380048861542</v>
      </c>
      <c r="Y103" s="219">
        <f t="shared" si="30"/>
        <v>1.8893101678766371</v>
      </c>
      <c r="Z103" s="219">
        <f t="shared" si="31"/>
        <v>1.8954047221499077</v>
      </c>
      <c r="AA103" s="232">
        <v>66343484468.839996</v>
      </c>
      <c r="AB103" s="239">
        <v>66.343484468840003</v>
      </c>
      <c r="AC103" s="237">
        <v>66557495896.737839</v>
      </c>
      <c r="AD103" s="199">
        <v>66.557495896739994</v>
      </c>
    </row>
    <row r="104" spans="1:30">
      <c r="A104" s="222" t="s">
        <v>452</v>
      </c>
      <c r="B104" s="255" t="s">
        <v>559</v>
      </c>
      <c r="C104" s="218">
        <f t="shared" si="17"/>
        <v>40.696545757834684</v>
      </c>
      <c r="D104" s="194">
        <v>4.2296971714603462</v>
      </c>
      <c r="E104" s="194">
        <v>36.46684858637434</v>
      </c>
      <c r="F104" s="194">
        <v>30.86535773768361</v>
      </c>
      <c r="G104" s="250">
        <f t="shared" si="18"/>
        <v>37.724326123835517</v>
      </c>
      <c r="H104" s="194">
        <v>0</v>
      </c>
      <c r="I104" s="194">
        <v>37.724326123835517</v>
      </c>
      <c r="J104" s="194">
        <v>0</v>
      </c>
      <c r="K104" s="220">
        <f t="shared" si="32"/>
        <v>4.8433829218327409</v>
      </c>
      <c r="L104" s="220">
        <f t="shared" si="32"/>
        <v>4.3645196256641805</v>
      </c>
      <c r="M104" s="219">
        <f t="shared" si="20"/>
        <v>0.50338530367362755</v>
      </c>
      <c r="N104" s="219">
        <f t="shared" si="21"/>
        <v>0.45361580379094008</v>
      </c>
      <c r="O104" s="219">
        <f t="shared" si="22"/>
        <v>4.3399976181591136</v>
      </c>
      <c r="P104" s="219">
        <f t="shared" si="23"/>
        <v>3.9109038218732408</v>
      </c>
      <c r="Q104" s="219">
        <f t="shared" si="24"/>
        <v>3.6733522159967418</v>
      </c>
      <c r="R104" s="219">
        <f t="shared" si="25"/>
        <v>3.3101693790149684</v>
      </c>
      <c r="S104" s="220">
        <f t="shared" si="33"/>
        <v>4.4896527084404623</v>
      </c>
      <c r="T104" s="220">
        <f t="shared" si="33"/>
        <v>4.0457625743516274</v>
      </c>
      <c r="U104" s="219">
        <f t="shared" si="27"/>
        <v>0</v>
      </c>
      <c r="V104" s="219">
        <f t="shared" si="34"/>
        <v>0</v>
      </c>
      <c r="W104" s="219">
        <f t="shared" si="28"/>
        <v>4.4896527084404623</v>
      </c>
      <c r="X104" s="219">
        <f t="shared" si="29"/>
        <v>4.0457625743516274</v>
      </c>
      <c r="Y104" s="219">
        <f t="shared" si="30"/>
        <v>0</v>
      </c>
      <c r="Z104" s="219">
        <f t="shared" si="31"/>
        <v>0</v>
      </c>
      <c r="AA104" s="232">
        <v>932440434418.74902</v>
      </c>
      <c r="AB104" s="239">
        <v>932.44043441874999</v>
      </c>
      <c r="AC104" s="237">
        <v>840250428566.88171</v>
      </c>
      <c r="AD104" s="199">
        <v>840.25042856688003</v>
      </c>
    </row>
    <row r="105" spans="1:30">
      <c r="A105" s="222" t="s">
        <v>465</v>
      </c>
      <c r="B105" s="255" t="s">
        <v>559</v>
      </c>
      <c r="C105" s="218">
        <f t="shared" si="17"/>
        <v>37.647910645019209</v>
      </c>
      <c r="D105" s="194">
        <v>0.51484322249598913</v>
      </c>
      <c r="E105" s="194">
        <v>37.133067422523219</v>
      </c>
      <c r="F105" s="194">
        <v>0</v>
      </c>
      <c r="G105" s="250">
        <f t="shared" si="18"/>
        <v>7.9478922472818319</v>
      </c>
      <c r="H105" s="194">
        <v>3.9256795715319166</v>
      </c>
      <c r="I105" s="194">
        <v>4.0222126757499153</v>
      </c>
      <c r="J105" s="194">
        <v>0</v>
      </c>
      <c r="K105" s="220">
        <f t="shared" si="32"/>
        <v>18.55133533343367</v>
      </c>
      <c r="L105" s="220">
        <f t="shared" si="32"/>
        <v>19.408760186535989</v>
      </c>
      <c r="M105" s="219">
        <f t="shared" si="20"/>
        <v>0.25369347464524672</v>
      </c>
      <c r="N105" s="219">
        <f t="shared" si="21"/>
        <v>0.26541894272185967</v>
      </c>
      <c r="O105" s="219">
        <f t="shared" si="22"/>
        <v>18.297641858788424</v>
      </c>
      <c r="P105" s="219">
        <f t="shared" si="23"/>
        <v>19.143341243814131</v>
      </c>
      <c r="Q105" s="219">
        <f t="shared" si="24"/>
        <v>0</v>
      </c>
      <c r="R105" s="219">
        <f t="shared" si="25"/>
        <v>0</v>
      </c>
      <c r="S105" s="220">
        <f t="shared" si="33"/>
        <v>3.9163930148359967</v>
      </c>
      <c r="T105" s="220">
        <f t="shared" si="33"/>
        <v>4.0974049282687082</v>
      </c>
      <c r="U105" s="219">
        <f t="shared" si="27"/>
        <v>1.9344127441700061</v>
      </c>
      <c r="V105" s="219">
        <f t="shared" si="34"/>
        <v>2.0238194382541796</v>
      </c>
      <c r="W105" s="219">
        <f t="shared" si="28"/>
        <v>1.9819802706659906</v>
      </c>
      <c r="X105" s="219">
        <f t="shared" si="29"/>
        <v>2.0735854900145285</v>
      </c>
      <c r="Y105" s="219">
        <f t="shared" si="30"/>
        <v>0</v>
      </c>
      <c r="Z105" s="219">
        <f t="shared" si="31"/>
        <v>0</v>
      </c>
      <c r="AA105" s="232">
        <v>193973805040.548</v>
      </c>
      <c r="AB105" s="239">
        <v>193.97380504054999</v>
      </c>
      <c r="AC105" s="237">
        <v>202939087501.52551</v>
      </c>
      <c r="AD105" s="199">
        <v>202.93908750153</v>
      </c>
    </row>
    <row r="106" spans="1:30">
      <c r="A106" s="222" t="s">
        <v>451</v>
      </c>
      <c r="B106" s="255" t="s">
        <v>559</v>
      </c>
      <c r="C106" s="218">
        <f t="shared" si="17"/>
        <v>0</v>
      </c>
      <c r="D106" s="194">
        <v>0</v>
      </c>
      <c r="E106" s="194">
        <v>0</v>
      </c>
      <c r="F106" s="194">
        <v>0</v>
      </c>
      <c r="G106" s="250">
        <f t="shared" si="18"/>
        <v>19.124674418686535</v>
      </c>
      <c r="H106" s="194">
        <v>5.3242412078748709</v>
      </c>
      <c r="I106" s="194">
        <v>13.800433210811665</v>
      </c>
      <c r="J106" s="194">
        <v>0</v>
      </c>
      <c r="K106" s="220">
        <f t="shared" si="32"/>
        <v>0</v>
      </c>
      <c r="L106" s="220">
        <f t="shared" si="32"/>
        <v>0</v>
      </c>
      <c r="M106" s="219">
        <f t="shared" si="20"/>
        <v>0</v>
      </c>
      <c r="N106" s="219">
        <f t="shared" si="21"/>
        <v>0</v>
      </c>
      <c r="O106" s="219">
        <f t="shared" si="22"/>
        <v>0</v>
      </c>
      <c r="P106" s="219">
        <f t="shared" si="23"/>
        <v>0</v>
      </c>
      <c r="Q106" s="219">
        <f t="shared" si="24"/>
        <v>0</v>
      </c>
      <c r="R106" s="219">
        <f t="shared" si="25"/>
        <v>0</v>
      </c>
      <c r="S106" s="220">
        <f t="shared" si="33"/>
        <v>4.6617198026557771</v>
      </c>
      <c r="T106" s="220">
        <f t="shared" si="33"/>
        <v>5.7873891454636235</v>
      </c>
      <c r="U106" s="219">
        <f t="shared" si="27"/>
        <v>1.2978061811402497</v>
      </c>
      <c r="V106" s="219">
        <f t="shared" si="34"/>
        <v>1.6111885148840825</v>
      </c>
      <c r="W106" s="219">
        <f t="shared" si="28"/>
        <v>3.3639136215155276</v>
      </c>
      <c r="X106" s="219">
        <f t="shared" si="29"/>
        <v>4.1762006305795412</v>
      </c>
      <c r="Y106" s="219">
        <f t="shared" si="30"/>
        <v>0</v>
      </c>
      <c r="Z106" s="219">
        <f t="shared" si="31"/>
        <v>0</v>
      </c>
      <c r="AA106" s="232">
        <v>330454267684.37299</v>
      </c>
      <c r="AB106" s="239">
        <v>330.45426768437</v>
      </c>
      <c r="AC106" s="237">
        <v>410249333471.11688</v>
      </c>
      <c r="AD106" s="199">
        <v>410.24933347112</v>
      </c>
    </row>
    <row r="107" spans="1:30">
      <c r="A107" s="222" t="s">
        <v>539</v>
      </c>
      <c r="B107" s="255" t="s">
        <v>559</v>
      </c>
      <c r="C107" s="218">
        <f t="shared" si="17"/>
        <v>7.2019168054595077</v>
      </c>
      <c r="D107" s="194">
        <v>1.8290582363071768</v>
      </c>
      <c r="E107" s="194">
        <v>5.3728585691523305</v>
      </c>
      <c r="F107" s="194">
        <v>9.0309750417666859</v>
      </c>
      <c r="G107" s="250">
        <f t="shared" si="18"/>
        <v>14.861098169995811</v>
      </c>
      <c r="H107" s="194">
        <v>0</v>
      </c>
      <c r="I107" s="194">
        <v>14.861098169995811</v>
      </c>
      <c r="J107" s="194">
        <v>0</v>
      </c>
      <c r="K107" s="220">
        <f t="shared" si="32"/>
        <v>3.2388197867879107</v>
      </c>
      <c r="L107" s="220">
        <f t="shared" si="32"/>
        <v>2.1106625637775824</v>
      </c>
      <c r="M107" s="219">
        <f t="shared" si="20"/>
        <v>0.82255740616835848</v>
      </c>
      <c r="N107" s="219">
        <f t="shared" si="21"/>
        <v>0.53604128603875123</v>
      </c>
      <c r="O107" s="219">
        <f t="shared" si="22"/>
        <v>2.4162623806195525</v>
      </c>
      <c r="P107" s="219">
        <f t="shared" si="23"/>
        <v>1.5746212777388313</v>
      </c>
      <c r="Q107" s="219">
        <f t="shared" si="24"/>
        <v>4.0613771929562708</v>
      </c>
      <c r="R107" s="219">
        <f t="shared" si="25"/>
        <v>2.6467038498163342</v>
      </c>
      <c r="S107" s="220">
        <f t="shared" si="33"/>
        <v>6.6832789251179126</v>
      </c>
      <c r="T107" s="220">
        <f t="shared" si="33"/>
        <v>4.3553354490648539</v>
      </c>
      <c r="U107" s="219">
        <f t="shared" si="27"/>
        <v>0</v>
      </c>
      <c r="V107" s="219">
        <f t="shared" si="34"/>
        <v>0</v>
      </c>
      <c r="W107" s="219">
        <f t="shared" si="28"/>
        <v>6.6832789251179126</v>
      </c>
      <c r="X107" s="219">
        <f t="shared" si="29"/>
        <v>4.3553354490648539</v>
      </c>
      <c r="Y107" s="219">
        <f t="shared" si="30"/>
        <v>0</v>
      </c>
      <c r="Z107" s="219">
        <f t="shared" si="31"/>
        <v>0</v>
      </c>
      <c r="AA107" s="232">
        <v>341215925702.96198</v>
      </c>
      <c r="AB107" s="239">
        <v>341.21592570296002</v>
      </c>
      <c r="AC107" s="237">
        <v>222362381347.61981</v>
      </c>
      <c r="AD107" s="199">
        <v>222.36238134761999</v>
      </c>
    </row>
    <row r="108" spans="1:30">
      <c r="A108" s="222" t="s">
        <v>540</v>
      </c>
      <c r="B108" s="255" t="s">
        <v>559</v>
      </c>
      <c r="C108" s="218">
        <f>D108+E108</f>
        <v>2.5149550749223684</v>
      </c>
      <c r="D108" s="194">
        <v>0.18290582363071767</v>
      </c>
      <c r="E108" s="194">
        <v>2.3320492512916506</v>
      </c>
      <c r="F108" s="194">
        <v>1.4060885191611421</v>
      </c>
      <c r="G108" s="250">
        <f t="shared" si="18"/>
        <v>4.5840772047448617</v>
      </c>
      <c r="H108" s="194">
        <v>0</v>
      </c>
      <c r="I108" s="194">
        <v>4.5840772047448617</v>
      </c>
      <c r="J108" s="194">
        <v>0</v>
      </c>
      <c r="K108" s="220">
        <f t="shared" si="32"/>
        <v>2.52787094908023</v>
      </c>
      <c r="L108" s="220">
        <f t="shared" si="32"/>
        <v>1.3840355185893003</v>
      </c>
      <c r="M108" s="219">
        <f>($D108/$AD108)*100</f>
        <v>0.18384515993310763</v>
      </c>
      <c r="N108" s="219">
        <f>($D108/$AB108)*100</f>
        <v>0.10065712862467636</v>
      </c>
      <c r="O108" s="219">
        <f>($E108/$AD108)*100</f>
        <v>2.3440257891471226</v>
      </c>
      <c r="P108" s="219">
        <f>($E108/$AB108)*100</f>
        <v>1.2833783899646238</v>
      </c>
      <c r="Q108" s="219">
        <f>($F108/$AD108)*100</f>
        <v>1.4133096669857648</v>
      </c>
      <c r="R108" s="219">
        <f>($F108/$AB108)*100</f>
        <v>0.77380167630219954</v>
      </c>
      <c r="S108" s="220">
        <f t="shared" si="33"/>
        <v>4.6076193208235097</v>
      </c>
      <c r="T108" s="220">
        <f t="shared" si="33"/>
        <v>2.5227192861559513</v>
      </c>
      <c r="U108" s="219">
        <f t="shared" si="27"/>
        <v>0</v>
      </c>
      <c r="V108" s="219">
        <f t="shared" si="34"/>
        <v>0</v>
      </c>
      <c r="W108" s="219">
        <f t="shared" si="28"/>
        <v>4.6076193208235097</v>
      </c>
      <c r="X108" s="219">
        <f t="shared" si="29"/>
        <v>2.5227192861559513</v>
      </c>
      <c r="Y108" s="219">
        <f t="shared" si="30"/>
        <v>0</v>
      </c>
      <c r="Z108" s="219">
        <f t="shared" si="31"/>
        <v>0</v>
      </c>
      <c r="AA108" s="232">
        <v>181711743748.14999</v>
      </c>
      <c r="AB108" s="239">
        <v>181.71174374815001</v>
      </c>
      <c r="AC108" s="237">
        <v>99489061173.693314</v>
      </c>
      <c r="AD108" s="199">
        <v>99.489061173690004</v>
      </c>
    </row>
    <row r="109" spans="1:30">
      <c r="A109" s="222" t="s">
        <v>541</v>
      </c>
      <c r="B109" s="255" t="s">
        <v>559</v>
      </c>
      <c r="C109" s="218">
        <f>D109+E109</f>
        <v>4.1153810316911672</v>
      </c>
      <c r="D109" s="194">
        <v>0.11431613976919908</v>
      </c>
      <c r="E109" s="194">
        <v>4.0010648919219678</v>
      </c>
      <c r="F109" s="194">
        <v>0</v>
      </c>
      <c r="G109" s="250">
        <f t="shared" si="18"/>
        <v>3.3151680533067727</v>
      </c>
      <c r="H109" s="194">
        <v>0.68589683861519435</v>
      </c>
      <c r="I109" s="194">
        <v>2.6292712146915784</v>
      </c>
      <c r="J109" s="194">
        <v>0.11431613976919908</v>
      </c>
      <c r="K109" s="220">
        <f t="shared" si="32"/>
        <v>8.1625269737342627</v>
      </c>
      <c r="L109" s="220">
        <f t="shared" si="32"/>
        <v>5.4123140293972885</v>
      </c>
      <c r="M109" s="219">
        <f>($D109/$AD109)*100</f>
        <v>0.22673686038150731</v>
      </c>
      <c r="N109" s="219">
        <f>($D109/$AB109)*100</f>
        <v>0.1503420563721469</v>
      </c>
      <c r="O109" s="219">
        <f>($E109/$AD109)*100</f>
        <v>7.9357901133527555</v>
      </c>
      <c r="P109" s="219">
        <f>($E109/$AB109)*100</f>
        <v>5.2619719730251413</v>
      </c>
      <c r="Q109" s="219">
        <f>($F109/$AD109)*100</f>
        <v>0</v>
      </c>
      <c r="R109" s="219">
        <f>($F109/$AB109)*100</f>
        <v>0</v>
      </c>
      <c r="S109" s="220">
        <f t="shared" si="33"/>
        <v>6.5753689510637106</v>
      </c>
      <c r="T109" s="220">
        <f t="shared" si="33"/>
        <v>4.3599196347922593</v>
      </c>
      <c r="U109" s="219">
        <f t="shared" si="27"/>
        <v>1.3604211622890434</v>
      </c>
      <c r="V109" s="219">
        <f t="shared" si="34"/>
        <v>0.90205233823288122</v>
      </c>
      <c r="W109" s="219">
        <f t="shared" si="28"/>
        <v>5.2149477887746674</v>
      </c>
      <c r="X109" s="219">
        <f t="shared" si="29"/>
        <v>3.4578672965593782</v>
      </c>
      <c r="Y109" s="219">
        <f t="shared" si="30"/>
        <v>0.22673686038150731</v>
      </c>
      <c r="Z109" s="219">
        <f t="shared" si="31"/>
        <v>0.1503420563721469</v>
      </c>
      <c r="AA109" s="232">
        <v>76037366075.546799</v>
      </c>
      <c r="AB109" s="239">
        <v>76.037366075549997</v>
      </c>
      <c r="AC109" s="237">
        <v>50417977728.390221</v>
      </c>
      <c r="AD109" s="199">
        <v>50.417977728389999</v>
      </c>
    </row>
    <row r="110" spans="1:30">
      <c r="A110" s="221" t="s">
        <v>450</v>
      </c>
      <c r="B110" s="215" t="s">
        <v>559</v>
      </c>
      <c r="C110" s="218">
        <f>D110+E110</f>
        <v>27.74467105165445</v>
      </c>
      <c r="D110" s="194">
        <v>1.5449973683666396</v>
      </c>
      <c r="E110" s="194">
        <v>26.199673683287809</v>
      </c>
      <c r="F110" s="194">
        <v>34.272828946161376</v>
      </c>
      <c r="G110" s="250">
        <f t="shared" si="18"/>
        <v>28.473648683207717</v>
      </c>
      <c r="H110" s="194">
        <v>1.272990789428851</v>
      </c>
      <c r="I110" s="194">
        <v>27.200657893778867</v>
      </c>
      <c r="J110" s="194">
        <v>0</v>
      </c>
      <c r="K110" s="220">
        <f t="shared" si="32"/>
        <v>5.0461253433878568</v>
      </c>
      <c r="L110" s="220">
        <f t="shared" si="32"/>
        <v>5.3252268540127687</v>
      </c>
      <c r="M110" s="219">
        <f>($D110/$AD110)*100</f>
        <v>0.28099992108277472</v>
      </c>
      <c r="N110" s="219">
        <f>($D110/$AB110)*100</f>
        <v>0.29654204441953458</v>
      </c>
      <c r="O110" s="219">
        <f>($E110/$AD110)*100</f>
        <v>4.7651254223050818</v>
      </c>
      <c r="P110" s="219">
        <f>($E110/$AB110)*100</f>
        <v>5.0286848095932344</v>
      </c>
      <c r="Q110" s="219">
        <f>($F110/$AD110)*100</f>
        <v>6.2334489535967634</v>
      </c>
      <c r="R110" s="219">
        <f>($F110/$AB110)*100</f>
        <v>6.5782214078981269</v>
      </c>
      <c r="S110" s="220">
        <f t="shared" si="33"/>
        <v>5.1787098131945175</v>
      </c>
      <c r="T110" s="220">
        <f t="shared" si="33"/>
        <v>5.4651445791966333</v>
      </c>
      <c r="U110" s="219">
        <f t="shared" si="27"/>
        <v>0.23152810399073692</v>
      </c>
      <c r="V110" s="219">
        <f t="shared" si="34"/>
        <v>0.24433393800764469</v>
      </c>
      <c r="W110" s="219">
        <f t="shared" si="28"/>
        <v>4.9471817092037806</v>
      </c>
      <c r="X110" s="219">
        <f t="shared" si="29"/>
        <v>5.2208106411889883</v>
      </c>
      <c r="Y110" s="219">
        <f t="shared" si="30"/>
        <v>0</v>
      </c>
      <c r="Z110" s="219">
        <f t="shared" si="31"/>
        <v>0</v>
      </c>
      <c r="AA110" s="232">
        <v>521004490742.91901</v>
      </c>
      <c r="AB110" s="239">
        <v>521.00449074291998</v>
      </c>
      <c r="AC110" s="237">
        <v>549821281946.73523</v>
      </c>
      <c r="AD110" s="199">
        <v>549.82128194673999</v>
      </c>
    </row>
    <row r="111" spans="1:30">
      <c r="A111" s="221" t="s">
        <v>453</v>
      </c>
      <c r="B111" s="215" t="s">
        <v>559</v>
      </c>
      <c r="C111" s="218">
        <f>D111+E111</f>
        <v>33.755844605203976</v>
      </c>
      <c r="D111" s="194">
        <v>2.7773796194155169</v>
      </c>
      <c r="E111" s="194">
        <v>30.978464985788456</v>
      </c>
      <c r="F111" s="194">
        <v>0</v>
      </c>
      <c r="G111" s="250">
        <f t="shared" si="18"/>
        <v>45.212535535292979</v>
      </c>
      <c r="H111" s="194">
        <v>1.014811784017208</v>
      </c>
      <c r="I111" s="194">
        <v>44.197723751275774</v>
      </c>
      <c r="J111" s="194">
        <v>0</v>
      </c>
      <c r="K111" s="220">
        <f t="shared" si="32"/>
        <v>4.5181906835291334</v>
      </c>
      <c r="L111" s="220">
        <f t="shared" si="32"/>
        <v>5.7134448694402113</v>
      </c>
      <c r="M111" s="219">
        <f>($D111/$AD111)*100</f>
        <v>0.37174986636632118</v>
      </c>
      <c r="N111" s="219">
        <f>($D111/$AB111)*100</f>
        <v>0.47009356520710599</v>
      </c>
      <c r="O111" s="219">
        <f>($E111/$AD111)*100</f>
        <v>4.1464408171628122</v>
      </c>
      <c r="P111" s="219">
        <f>($E111/$AB111)*100</f>
        <v>5.243351304233105</v>
      </c>
      <c r="Q111" s="219">
        <f>($F111/$AD111)*100</f>
        <v>0</v>
      </c>
      <c r="R111" s="219">
        <f>($F111/$AB111)*100</f>
        <v>0</v>
      </c>
      <c r="S111" s="220">
        <f t="shared" si="33"/>
        <v>6.0516588822902087</v>
      </c>
      <c r="T111" s="220">
        <f t="shared" si="33"/>
        <v>7.6525808259195234</v>
      </c>
      <c r="U111" s="219">
        <f t="shared" si="27"/>
        <v>0.13583168194154041</v>
      </c>
      <c r="V111" s="219">
        <f t="shared" si="34"/>
        <v>0.17176495651798102</v>
      </c>
      <c r="W111" s="219">
        <f t="shared" si="28"/>
        <v>5.9158272003486685</v>
      </c>
      <c r="X111" s="219">
        <f t="shared" si="29"/>
        <v>7.4808158694015425</v>
      </c>
      <c r="Y111" s="219">
        <f t="shared" si="30"/>
        <v>0</v>
      </c>
      <c r="Z111" s="219">
        <f t="shared" si="31"/>
        <v>0</v>
      </c>
      <c r="AA111" s="232">
        <v>590814217631.73499</v>
      </c>
      <c r="AB111" s="239">
        <v>590.81421763174001</v>
      </c>
      <c r="AC111" s="237">
        <v>747109782866.38879</v>
      </c>
      <c r="AD111" s="199">
        <v>747.10978286638999</v>
      </c>
    </row>
    <row r="112" spans="1:30">
      <c r="A112" s="217" t="s">
        <v>490</v>
      </c>
      <c r="B112" s="215" t="s">
        <v>559</v>
      </c>
      <c r="C112" s="218">
        <f>D112+E112</f>
        <v>20.586692247925818</v>
      </c>
      <c r="D112" s="194">
        <v>1.746749645278554</v>
      </c>
      <c r="E112" s="194">
        <v>18.839942602647263</v>
      </c>
      <c r="F112" s="194">
        <v>5.6145524312524948</v>
      </c>
      <c r="G112" s="250">
        <f t="shared" si="18"/>
        <v>0</v>
      </c>
      <c r="H112" s="194">
        <v>0</v>
      </c>
      <c r="I112" s="194">
        <v>0</v>
      </c>
      <c r="J112" s="194">
        <v>5.6145524312524948</v>
      </c>
      <c r="K112" s="220">
        <f t="shared" si="32"/>
        <v>7.8587322070419496</v>
      </c>
      <c r="L112" s="220">
        <f t="shared" si="32"/>
        <v>4.6651304045159154</v>
      </c>
      <c r="M112" s="219">
        <f>($D112/$AD112)*100</f>
        <v>0.66680152059749864</v>
      </c>
      <c r="N112" s="219">
        <f>($D112/$AB112)*100</f>
        <v>0.39582924644377454</v>
      </c>
      <c r="O112" s="219">
        <f>($E112/$AD112)*100</f>
        <v>7.1919306864444508</v>
      </c>
      <c r="P112" s="219">
        <f>($E112/$AB112)*100</f>
        <v>4.2693011580721407</v>
      </c>
      <c r="Q112" s="219">
        <f>($F112/$AD112)*100</f>
        <v>2.1432906019205311</v>
      </c>
      <c r="R112" s="219">
        <f>($F112/$AB112)*100</f>
        <v>1.2723082921407038</v>
      </c>
      <c r="S112" s="220">
        <f t="shared" si="33"/>
        <v>0</v>
      </c>
      <c r="T112" s="220">
        <f t="shared" si="33"/>
        <v>0</v>
      </c>
      <c r="U112" s="219">
        <f t="shared" si="27"/>
        <v>0</v>
      </c>
      <c r="V112" s="219">
        <f t="shared" si="34"/>
        <v>0</v>
      </c>
      <c r="W112" s="219">
        <f t="shared" si="28"/>
        <v>0</v>
      </c>
      <c r="X112" s="219">
        <f t="shared" si="29"/>
        <v>0</v>
      </c>
      <c r="Y112" s="219">
        <f t="shared" si="30"/>
        <v>2.1432906019205311</v>
      </c>
      <c r="Z112" s="219">
        <f t="shared" si="31"/>
        <v>1.2723082921407038</v>
      </c>
      <c r="AA112" s="232">
        <v>441288677118.17102</v>
      </c>
      <c r="AB112" s="239">
        <v>441.28867711817003</v>
      </c>
      <c r="AC112" s="237">
        <v>261959457397.9639</v>
      </c>
      <c r="AD112" s="199">
        <v>261.95945739796002</v>
      </c>
    </row>
    <row r="113" spans="1:30">
      <c r="A113" s="217" t="s">
        <v>481</v>
      </c>
      <c r="B113" s="215" t="s">
        <v>559</v>
      </c>
      <c r="C113" s="218">
        <f t="shared" si="17"/>
        <v>7.0502118032217247</v>
      </c>
      <c r="D113" s="194">
        <v>2.366534055873502</v>
      </c>
      <c r="E113" s="194">
        <v>4.6836777473482227</v>
      </c>
      <c r="F113" s="194">
        <v>0.10508588169953384</v>
      </c>
      <c r="G113" s="250">
        <f t="shared" si="18"/>
        <v>6.9141255864208286</v>
      </c>
      <c r="H113" s="194">
        <v>0.92028960898366752</v>
      </c>
      <c r="I113" s="194">
        <v>5.9938359774371612</v>
      </c>
      <c r="J113" s="194">
        <v>0</v>
      </c>
      <c r="K113" s="220">
        <f t="shared" si="32"/>
        <v>2.1935559481120208</v>
      </c>
      <c r="L113" s="220">
        <f t="shared" si="32"/>
        <v>1.0210756004623742</v>
      </c>
      <c r="M113" s="219">
        <f t="shared" si="20"/>
        <v>0.73630764572190655</v>
      </c>
      <c r="N113" s="219">
        <f t="shared" si="21"/>
        <v>0.34274292029233372</v>
      </c>
      <c r="O113" s="219">
        <f t="shared" si="22"/>
        <v>1.4572483023901142</v>
      </c>
      <c r="P113" s="219">
        <f t="shared" si="23"/>
        <v>0.67833268017004056</v>
      </c>
      <c r="Q113" s="219">
        <f t="shared" si="24"/>
        <v>3.2695721390848427E-2</v>
      </c>
      <c r="R113" s="219">
        <f t="shared" si="25"/>
        <v>1.5219490243886932E-2</v>
      </c>
      <c r="S113" s="220">
        <f t="shared" si="33"/>
        <v>2.1512149889108723</v>
      </c>
      <c r="T113" s="220">
        <f t="shared" si="33"/>
        <v>1.0013663605965408</v>
      </c>
      <c r="U113" s="219">
        <f t="shared" si="27"/>
        <v>0.28633278008035506</v>
      </c>
      <c r="V113" s="219">
        <f t="shared" si="34"/>
        <v>0.1332846858108398</v>
      </c>
      <c r="W113" s="219">
        <f t="shared" si="28"/>
        <v>1.864882208830517</v>
      </c>
      <c r="X113" s="219">
        <f t="shared" si="29"/>
        <v>0.86808167478570097</v>
      </c>
      <c r="Y113" s="219">
        <f t="shared" si="30"/>
        <v>0</v>
      </c>
      <c r="Z113" s="219">
        <f t="shared" si="31"/>
        <v>0</v>
      </c>
      <c r="AA113" s="232">
        <v>690469128831.32397</v>
      </c>
      <c r="AB113" s="239">
        <v>690.46912883131995</v>
      </c>
      <c r="AC113" s="237">
        <v>321405606694.9129</v>
      </c>
      <c r="AD113" s="199">
        <v>321.40560669490998</v>
      </c>
    </row>
    <row r="114" spans="1:30">
      <c r="A114" s="262" t="s">
        <v>542</v>
      </c>
      <c r="B114" s="255" t="s">
        <v>559</v>
      </c>
      <c r="C114" s="218">
        <f t="shared" si="17"/>
        <v>0.85162638443699334</v>
      </c>
      <c r="D114" s="194">
        <v>0.19652916563930617</v>
      </c>
      <c r="E114" s="194">
        <v>0.65509721879768712</v>
      </c>
      <c r="F114" s="194">
        <v>0.40684985167435311</v>
      </c>
      <c r="G114" s="250">
        <f t="shared" si="18"/>
        <v>0</v>
      </c>
      <c r="H114" s="194">
        <v>0</v>
      </c>
      <c r="I114" s="194">
        <v>0</v>
      </c>
      <c r="J114" s="194">
        <v>0</v>
      </c>
      <c r="K114" s="220">
        <f t="shared" si="32"/>
        <v>1.3227607831369561</v>
      </c>
      <c r="L114" s="220">
        <f t="shared" si="32"/>
        <v>0.93345810179928734</v>
      </c>
      <c r="M114" s="219">
        <f t="shared" si="20"/>
        <v>0.30525248841622071</v>
      </c>
      <c r="N114" s="219">
        <f t="shared" si="21"/>
        <v>0.21541340810752788</v>
      </c>
      <c r="O114" s="219">
        <f t="shared" si="22"/>
        <v>1.0175082947207355</v>
      </c>
      <c r="P114" s="219">
        <f t="shared" si="23"/>
        <v>0.71804469369175949</v>
      </c>
      <c r="Q114" s="219">
        <f t="shared" si="24"/>
        <v>0.63192620408972</v>
      </c>
      <c r="R114" s="219">
        <f t="shared" si="25"/>
        <v>0.4459435466085665</v>
      </c>
      <c r="S114" s="220">
        <f t="shared" si="33"/>
        <v>0</v>
      </c>
      <c r="T114" s="220">
        <f t="shared" si="33"/>
        <v>0</v>
      </c>
      <c r="U114" s="219">
        <f t="shared" si="27"/>
        <v>0</v>
      </c>
      <c r="V114" s="219">
        <f t="shared" si="34"/>
        <v>0</v>
      </c>
      <c r="W114" s="219">
        <f t="shared" si="28"/>
        <v>0</v>
      </c>
      <c r="X114" s="219">
        <f t="shared" si="29"/>
        <v>0</v>
      </c>
      <c r="Y114" s="219">
        <f t="shared" si="30"/>
        <v>0</v>
      </c>
      <c r="Z114" s="219">
        <f t="shared" si="31"/>
        <v>0</v>
      </c>
      <c r="AA114" s="232">
        <v>91233487908.610901</v>
      </c>
      <c r="AB114" s="239">
        <v>91.233487908610002</v>
      </c>
      <c r="AC114" s="237">
        <v>64382494196.515457</v>
      </c>
      <c r="AD114" s="199">
        <v>64.38249419652</v>
      </c>
    </row>
    <row r="115" spans="1:30">
      <c r="A115" s="262" t="s">
        <v>543</v>
      </c>
      <c r="B115" s="255" t="s">
        <v>559</v>
      </c>
      <c r="C115" s="218">
        <f t="shared" si="17"/>
        <v>6.1891640315932381</v>
      </c>
      <c r="D115" s="194">
        <v>1.7694150329493317</v>
      </c>
      <c r="E115" s="194">
        <v>4.4197489986439065</v>
      </c>
      <c r="F115" s="194">
        <v>0</v>
      </c>
      <c r="G115" s="250">
        <f t="shared" si="18"/>
        <v>6.6270225953158493</v>
      </c>
      <c r="H115" s="194">
        <v>0</v>
      </c>
      <c r="I115" s="194">
        <v>6.6270225953158493</v>
      </c>
      <c r="J115" s="194">
        <v>0</v>
      </c>
      <c r="K115" s="220">
        <f t="shared" si="32"/>
        <v>4.1993466801001249</v>
      </c>
      <c r="L115" s="220">
        <f t="shared" si="32"/>
        <v>1.9972250576039592</v>
      </c>
      <c r="M115" s="219">
        <f t="shared" si="20"/>
        <v>1.2005477809936589</v>
      </c>
      <c r="N115" s="219">
        <f t="shared" si="21"/>
        <v>0.57098503498505992</v>
      </c>
      <c r="O115" s="219">
        <f t="shared" si="22"/>
        <v>2.998798899106466</v>
      </c>
      <c r="P115" s="219">
        <f t="shared" si="23"/>
        <v>1.4262400226188992</v>
      </c>
      <c r="Q115" s="219">
        <f t="shared" si="24"/>
        <v>0</v>
      </c>
      <c r="R115" s="219">
        <f t="shared" si="25"/>
        <v>0</v>
      </c>
      <c r="S115" s="220">
        <f t="shared" si="33"/>
        <v>4.4964336366803703</v>
      </c>
      <c r="T115" s="220">
        <f t="shared" si="33"/>
        <v>2.1385207302811238</v>
      </c>
      <c r="U115" s="219">
        <f t="shared" si="27"/>
        <v>0</v>
      </c>
      <c r="V115" s="219">
        <f t="shared" si="34"/>
        <v>0</v>
      </c>
      <c r="W115" s="219">
        <f t="shared" si="28"/>
        <v>4.4964336366803703</v>
      </c>
      <c r="X115" s="219">
        <f t="shared" si="29"/>
        <v>2.1385207302811238</v>
      </c>
      <c r="Y115" s="219">
        <f t="shared" si="30"/>
        <v>0</v>
      </c>
      <c r="Z115" s="219">
        <f t="shared" si="31"/>
        <v>0</v>
      </c>
      <c r="AA115" s="232">
        <v>309888162479.70697</v>
      </c>
      <c r="AB115" s="239">
        <v>309.88816247970999</v>
      </c>
      <c r="AC115" s="237">
        <v>147383974295.86609</v>
      </c>
      <c r="AD115" s="199">
        <v>147.38397429586999</v>
      </c>
    </row>
    <row r="116" spans="1:30">
      <c r="A116" s="217" t="s">
        <v>487</v>
      </c>
      <c r="B116" s="215" t="s">
        <v>559</v>
      </c>
      <c r="C116" s="218">
        <f t="shared" si="17"/>
        <v>38.720578300885037</v>
      </c>
      <c r="D116" s="194">
        <v>2.169577558058819</v>
      </c>
      <c r="E116" s="194">
        <v>36.551000742826218</v>
      </c>
      <c r="F116" s="194">
        <v>0</v>
      </c>
      <c r="G116" s="250">
        <f t="shared" si="18"/>
        <v>29.097863719847695</v>
      </c>
      <c r="H116" s="194">
        <v>10.209776743806207</v>
      </c>
      <c r="I116" s="194">
        <v>18.888086976041485</v>
      </c>
      <c r="J116" s="194">
        <v>0</v>
      </c>
      <c r="K116" s="220">
        <f t="shared" ref="K116:L116" si="35">M116+O116</f>
        <v>6.7752173418966866</v>
      </c>
      <c r="L116" s="220">
        <f t="shared" si="35"/>
        <v>3.1857700960487341</v>
      </c>
      <c r="M116" s="219">
        <f t="shared" si="20"/>
        <v>0.37962654849124489</v>
      </c>
      <c r="N116" s="219">
        <f t="shared" si="21"/>
        <v>0.17850392759666606</v>
      </c>
      <c r="O116" s="219">
        <f t="shared" si="22"/>
        <v>6.3955907934054421</v>
      </c>
      <c r="P116" s="219">
        <f t="shared" si="23"/>
        <v>3.0072661684520678</v>
      </c>
      <c r="Q116" s="219">
        <f t="shared" si="24"/>
        <v>0</v>
      </c>
      <c r="R116" s="219">
        <f t="shared" si="25"/>
        <v>0</v>
      </c>
      <c r="S116" s="220">
        <f t="shared" ref="S116:T116" si="36">U116+W116</f>
        <v>5.0914619444708142</v>
      </c>
      <c r="T116" s="220">
        <f t="shared" si="36"/>
        <v>2.3940526760023451</v>
      </c>
      <c r="U116" s="219">
        <f t="shared" si="27"/>
        <v>1.7864778752529171</v>
      </c>
      <c r="V116" s="219">
        <f t="shared" si="34"/>
        <v>0.84001848280784031</v>
      </c>
      <c r="W116" s="219">
        <f t="shared" si="28"/>
        <v>3.3049840692178969</v>
      </c>
      <c r="X116" s="219">
        <f t="shared" si="29"/>
        <v>1.5540341931945045</v>
      </c>
      <c r="Y116" s="219">
        <f t="shared" si="30"/>
        <v>0</v>
      </c>
      <c r="Z116" s="219">
        <f t="shared" si="31"/>
        <v>0</v>
      </c>
      <c r="AA116" s="232">
        <v>1215422868992.01</v>
      </c>
      <c r="AB116" s="239">
        <v>1215.4228689920101</v>
      </c>
      <c r="AC116" s="237">
        <v>571503117124.28699</v>
      </c>
      <c r="AD116" s="199">
        <v>571.50311712429004</v>
      </c>
    </row>
    <row r="117" spans="1:30">
      <c r="A117" s="217"/>
      <c r="B117" s="215"/>
      <c r="C117" s="218"/>
      <c r="D117" s="248"/>
      <c r="E117" s="248"/>
      <c r="F117" s="248"/>
      <c r="G117" s="220"/>
      <c r="H117" s="248"/>
      <c r="I117" s="248"/>
      <c r="J117" s="248"/>
      <c r="K117" s="220"/>
      <c r="L117" s="220"/>
      <c r="M117" s="219"/>
      <c r="N117" s="219"/>
      <c r="O117" s="219"/>
      <c r="P117" s="219"/>
      <c r="Q117" s="219"/>
      <c r="R117" s="219"/>
      <c r="S117" s="220"/>
      <c r="T117" s="220"/>
      <c r="U117" s="219"/>
      <c r="V117" s="219"/>
      <c r="W117" s="219"/>
      <c r="X117" s="219"/>
      <c r="Y117" s="219"/>
      <c r="Z117" s="219"/>
      <c r="AA117" s="238"/>
      <c r="AB117" s="239"/>
      <c r="AC117" s="237"/>
    </row>
    <row r="118" spans="1:30">
      <c r="A118" s="217" t="s">
        <v>461</v>
      </c>
      <c r="B118" s="215" t="s">
        <v>560</v>
      </c>
      <c r="C118" s="251">
        <f t="shared" si="17"/>
        <v>218.44777903701456</v>
      </c>
      <c r="D118" s="252">
        <v>11.460913817997604</v>
      </c>
      <c r="E118" s="252">
        <v>206.98686521901695</v>
      </c>
      <c r="F118" s="252">
        <v>0</v>
      </c>
      <c r="G118" s="253">
        <f t="shared" si="18"/>
        <v>24.16457732710338</v>
      </c>
      <c r="H118" s="252">
        <v>10.356247425901449</v>
      </c>
      <c r="I118" s="252">
        <v>13.808329901201931</v>
      </c>
      <c r="J118" s="252">
        <v>0</v>
      </c>
      <c r="K118" s="220">
        <f t="shared" ref="K118:L155" si="37">M118+O118</f>
        <v>14.614106991358739</v>
      </c>
      <c r="L118" s="220">
        <f t="shared" si="37"/>
        <v>17.810434548128736</v>
      </c>
      <c r="M118" s="219">
        <f t="shared" si="20"/>
        <v>0.76673254126597679</v>
      </c>
      <c r="N118" s="219">
        <f t="shared" si="21"/>
        <v>0.93442861409272149</v>
      </c>
      <c r="O118" s="219">
        <f t="shared" si="22"/>
        <v>13.847374450092762</v>
      </c>
      <c r="P118" s="219">
        <f t="shared" si="23"/>
        <v>16.876005934036016</v>
      </c>
      <c r="Q118" s="219">
        <f t="shared" si="24"/>
        <v>0</v>
      </c>
      <c r="R118" s="219">
        <f t="shared" si="25"/>
        <v>0</v>
      </c>
      <c r="S118" s="220">
        <f t="shared" ref="S118:T155" si="38">U118+W118</f>
        <v>1.6166047556812764</v>
      </c>
      <c r="T118" s="220">
        <f t="shared" si="38"/>
        <v>1.9701808128460994</v>
      </c>
      <c r="U118" s="219">
        <f t="shared" si="27"/>
        <v>0.69283060957768994</v>
      </c>
      <c r="V118" s="219">
        <f t="shared" ref="V118:V155" si="39">($H118/AB118)*100</f>
        <v>0.84436320550547117</v>
      </c>
      <c r="W118" s="219">
        <f t="shared" si="28"/>
        <v>0.92377414610358644</v>
      </c>
      <c r="X118" s="219">
        <f t="shared" si="29"/>
        <v>1.1258176073406283</v>
      </c>
      <c r="Y118" s="219">
        <f t="shared" si="30"/>
        <v>0</v>
      </c>
      <c r="Z118" s="219">
        <f t="shared" si="31"/>
        <v>0</v>
      </c>
      <c r="AA118" s="232">
        <v>1226515717214.5801</v>
      </c>
      <c r="AB118" s="239">
        <v>1226.51571721458</v>
      </c>
      <c r="AC118" s="237">
        <v>1494773366351.988</v>
      </c>
      <c r="AD118" s="199">
        <v>1494.77336635199</v>
      </c>
    </row>
    <row r="119" spans="1:30">
      <c r="A119" s="217" t="s">
        <v>459</v>
      </c>
      <c r="B119" s="215" t="s">
        <v>560</v>
      </c>
      <c r="C119" s="251">
        <f t="shared" si="17"/>
        <v>240.10443817674749</v>
      </c>
      <c r="D119" s="252">
        <v>39.211353864005552</v>
      </c>
      <c r="E119" s="252">
        <v>200.89308431274193</v>
      </c>
      <c r="F119" s="252">
        <v>63.244119135492831</v>
      </c>
      <c r="G119" s="253">
        <f t="shared" si="18"/>
        <v>65.922693592996055</v>
      </c>
      <c r="H119" s="252">
        <v>3.8690519941713259</v>
      </c>
      <c r="I119" s="252">
        <v>62.053641598824733</v>
      </c>
      <c r="J119" s="252">
        <v>0</v>
      </c>
      <c r="K119" s="220">
        <f t="shared" si="37"/>
        <v>14.152052213106629</v>
      </c>
      <c r="L119" s="220">
        <f t="shared" si="37"/>
        <v>13.931307727333492</v>
      </c>
      <c r="M119" s="219">
        <f t="shared" si="20"/>
        <v>2.3111656387688853</v>
      </c>
      <c r="N119" s="219">
        <f t="shared" si="21"/>
        <v>2.2751159505127827</v>
      </c>
      <c r="O119" s="219">
        <f t="shared" si="22"/>
        <v>11.840886574337743</v>
      </c>
      <c r="P119" s="219">
        <f t="shared" si="23"/>
        <v>11.656191776820709</v>
      </c>
      <c r="Q119" s="219">
        <f t="shared" si="24"/>
        <v>3.7276865141433637</v>
      </c>
      <c r="R119" s="219">
        <f t="shared" si="25"/>
        <v>3.6695418556657788</v>
      </c>
      <c r="S119" s="220">
        <f t="shared" si="38"/>
        <v>3.8855650018011998</v>
      </c>
      <c r="T119" s="220">
        <f t="shared" si="38"/>
        <v>3.8249577460233888</v>
      </c>
      <c r="U119" s="219">
        <f t="shared" si="27"/>
        <v>0.22804670439465283</v>
      </c>
      <c r="V119" s="219">
        <f t="shared" si="39"/>
        <v>0.22448961940543585</v>
      </c>
      <c r="W119" s="219">
        <f t="shared" si="28"/>
        <v>3.657518297406547</v>
      </c>
      <c r="X119" s="219">
        <f t="shared" si="29"/>
        <v>3.6004681266179528</v>
      </c>
      <c r="Y119" s="219">
        <f t="shared" si="30"/>
        <v>0</v>
      </c>
      <c r="Z119" s="219">
        <f t="shared" si="31"/>
        <v>0</v>
      </c>
      <c r="AA119" s="232">
        <v>1723488152556.26</v>
      </c>
      <c r="AB119" s="239">
        <v>1723.48815255626</v>
      </c>
      <c r="AC119" s="237">
        <v>1696605089927.3779</v>
      </c>
      <c r="AD119" s="199">
        <v>1696.60508992738</v>
      </c>
    </row>
    <row r="120" spans="1:30">
      <c r="A120" s="217" t="s">
        <v>457</v>
      </c>
      <c r="B120" s="215" t="s">
        <v>560</v>
      </c>
      <c r="C120" s="251">
        <f t="shared" si="17"/>
        <v>198.05783396635229</v>
      </c>
      <c r="D120" s="252">
        <v>20.261088762075122</v>
      </c>
      <c r="E120" s="252">
        <v>177.79674520427716</v>
      </c>
      <c r="F120" s="252">
        <v>62.604487747984926</v>
      </c>
      <c r="G120" s="253">
        <f t="shared" si="18"/>
        <v>404.65264353470258</v>
      </c>
      <c r="H120" s="252">
        <v>23.903531685594242</v>
      </c>
      <c r="I120" s="252">
        <v>380.74911184910832</v>
      </c>
      <c r="J120" s="252">
        <v>0</v>
      </c>
      <c r="K120" s="220">
        <f t="shared" si="37"/>
        <v>7.568667416840472</v>
      </c>
      <c r="L120" s="220">
        <f t="shared" si="37"/>
        <v>6.8129234714772871</v>
      </c>
      <c r="M120" s="219">
        <f t="shared" si="20"/>
        <v>0.77426597712506007</v>
      </c>
      <c r="N120" s="219">
        <f t="shared" si="21"/>
        <v>0.6969542401856077</v>
      </c>
      <c r="O120" s="219">
        <f t="shared" si="22"/>
        <v>6.7944014397154122</v>
      </c>
      <c r="P120" s="219">
        <f t="shared" si="23"/>
        <v>6.1159692312916798</v>
      </c>
      <c r="Q120" s="219">
        <f t="shared" si="24"/>
        <v>2.3923948731392306</v>
      </c>
      <c r="R120" s="219">
        <f t="shared" si="25"/>
        <v>2.1535102927083383</v>
      </c>
      <c r="S120" s="220">
        <f t="shared" si="38"/>
        <v>15.463570498199934</v>
      </c>
      <c r="T120" s="220">
        <f t="shared" si="38"/>
        <v>13.919507437414804</v>
      </c>
      <c r="U120" s="219">
        <f t="shared" si="27"/>
        <v>0.91345986065316054</v>
      </c>
      <c r="V120" s="219">
        <f t="shared" si="39"/>
        <v>0.82224938448863827</v>
      </c>
      <c r="W120" s="219">
        <f t="shared" si="28"/>
        <v>14.550110637546773</v>
      </c>
      <c r="X120" s="219">
        <f t="shared" si="29"/>
        <v>13.097258052926167</v>
      </c>
      <c r="Y120" s="219">
        <f t="shared" si="30"/>
        <v>0</v>
      </c>
      <c r="Z120" s="219">
        <f t="shared" si="31"/>
        <v>0</v>
      </c>
      <c r="AA120" s="232">
        <v>2907090249810.2798</v>
      </c>
      <c r="AB120" s="239">
        <v>2907.0902498102801</v>
      </c>
      <c r="AC120" s="237">
        <v>2616812485718.0068</v>
      </c>
      <c r="AD120" s="199">
        <v>2616.8124857180101</v>
      </c>
    </row>
    <row r="121" spans="1:30">
      <c r="A121" s="217" t="s">
        <v>458</v>
      </c>
      <c r="B121" s="215" t="s">
        <v>560</v>
      </c>
      <c r="C121" s="251">
        <f t="shared" si="17"/>
        <v>417.7426727911008</v>
      </c>
      <c r="D121" s="252">
        <v>45.530536543989193</v>
      </c>
      <c r="E121" s="252">
        <v>372.21213624711163</v>
      </c>
      <c r="F121" s="252">
        <v>0</v>
      </c>
      <c r="G121" s="253">
        <f t="shared" si="18"/>
        <v>1054.3734000174297</v>
      </c>
      <c r="H121" s="252">
        <v>113.82634135997297</v>
      </c>
      <c r="I121" s="252">
        <v>940.54705865745666</v>
      </c>
      <c r="J121" s="252">
        <v>0</v>
      </c>
      <c r="K121" s="220">
        <f t="shared" si="37"/>
        <v>11.612616669567583</v>
      </c>
      <c r="L121" s="220">
        <f t="shared" si="37"/>
        <v>10.037584866642435</v>
      </c>
      <c r="M121" s="219">
        <f t="shared" si="20"/>
        <v>1.2656802909610445</v>
      </c>
      <c r="N121" s="219">
        <f t="shared" si="21"/>
        <v>1.0940146993615734</v>
      </c>
      <c r="O121" s="219">
        <f t="shared" si="22"/>
        <v>10.346936378606538</v>
      </c>
      <c r="P121" s="219">
        <f t="shared" si="23"/>
        <v>8.9435701672808623</v>
      </c>
      <c r="Q121" s="219">
        <f t="shared" si="24"/>
        <v>0</v>
      </c>
      <c r="R121" s="219">
        <f t="shared" si="25"/>
        <v>0</v>
      </c>
      <c r="S121" s="220">
        <f t="shared" si="38"/>
        <v>29.309991337930388</v>
      </c>
      <c r="T121" s="220">
        <f t="shared" si="38"/>
        <v>25.334645400465632</v>
      </c>
      <c r="U121" s="219">
        <f t="shared" si="27"/>
        <v>3.1642007274026107</v>
      </c>
      <c r="V121" s="219">
        <f t="shared" si="39"/>
        <v>2.7350367484039335</v>
      </c>
      <c r="W121" s="219">
        <f t="shared" si="28"/>
        <v>26.145790610527776</v>
      </c>
      <c r="X121" s="219">
        <f t="shared" si="29"/>
        <v>22.599608652061701</v>
      </c>
      <c r="Y121" s="219">
        <f t="shared" si="30"/>
        <v>0</v>
      </c>
      <c r="Z121" s="219">
        <f t="shared" si="31"/>
        <v>0</v>
      </c>
      <c r="AA121" s="232">
        <v>4161784715558.1299</v>
      </c>
      <c r="AB121" s="239">
        <v>4161.7847155581303</v>
      </c>
      <c r="AC121" s="237">
        <v>3597317337494.2358</v>
      </c>
      <c r="AD121" s="199">
        <v>3597.3173374942398</v>
      </c>
    </row>
    <row r="122" spans="1:30">
      <c r="A122" s="217" t="s">
        <v>455</v>
      </c>
      <c r="B122" s="215" t="s">
        <v>560</v>
      </c>
      <c r="C122" s="251">
        <f t="shared" si="17"/>
        <v>127.4855023231693</v>
      </c>
      <c r="D122" s="252">
        <v>10.813502429197396</v>
      </c>
      <c r="E122" s="252">
        <v>116.6719998939719</v>
      </c>
      <c r="F122" s="252">
        <v>7.9678438951980812</v>
      </c>
      <c r="G122" s="253">
        <f t="shared" si="18"/>
        <v>662.75387256844033</v>
      </c>
      <c r="H122" s="252">
        <v>3.6993560941991093</v>
      </c>
      <c r="I122" s="252">
        <v>659.05451647424127</v>
      </c>
      <c r="J122" s="252">
        <v>0</v>
      </c>
      <c r="K122" s="220">
        <f t="shared" si="37"/>
        <v>6.6462474808104259</v>
      </c>
      <c r="L122" s="220">
        <f t="shared" si="37"/>
        <v>5.4535523714097724</v>
      </c>
      <c r="M122" s="219">
        <f t="shared" si="20"/>
        <v>0.56374420596159858</v>
      </c>
      <c r="N122" s="219">
        <f t="shared" si="21"/>
        <v>0.46257810293207896</v>
      </c>
      <c r="O122" s="219">
        <f t="shared" si="22"/>
        <v>6.0825032748488272</v>
      </c>
      <c r="P122" s="219">
        <f t="shared" si="23"/>
        <v>4.9909742684776939</v>
      </c>
      <c r="Q122" s="219">
        <f t="shared" si="24"/>
        <v>0.41539046755065162</v>
      </c>
      <c r="R122" s="219">
        <f t="shared" si="25"/>
        <v>0.34084702321311078</v>
      </c>
      <c r="S122" s="220">
        <f t="shared" si="38"/>
        <v>34.551585675909557</v>
      </c>
      <c r="T122" s="220">
        <f t="shared" si="38"/>
        <v>28.351168466547676</v>
      </c>
      <c r="U122" s="219">
        <f t="shared" si="27"/>
        <v>0.1928598599342311</v>
      </c>
      <c r="V122" s="219">
        <f t="shared" si="39"/>
        <v>0.15825040363465859</v>
      </c>
      <c r="W122" s="219">
        <f t="shared" si="28"/>
        <v>34.358725815975326</v>
      </c>
      <c r="X122" s="219">
        <f t="shared" si="29"/>
        <v>28.192918062913019</v>
      </c>
      <c r="Y122" s="219">
        <f t="shared" si="30"/>
        <v>0</v>
      </c>
      <c r="Z122" s="219">
        <f t="shared" si="31"/>
        <v>0</v>
      </c>
      <c r="AA122" s="232">
        <v>2337659815857.1201</v>
      </c>
      <c r="AB122" s="239">
        <v>2337.6598158571201</v>
      </c>
      <c r="AC122" s="237">
        <v>1918157617381.1699</v>
      </c>
      <c r="AD122" s="199">
        <v>1918.15761738117</v>
      </c>
    </row>
    <row r="123" spans="1:30">
      <c r="A123" s="217" t="s">
        <v>460</v>
      </c>
      <c r="B123" s="215" t="s">
        <v>560</v>
      </c>
      <c r="C123" s="251">
        <f t="shared" si="17"/>
        <v>782.33294838167296</v>
      </c>
      <c r="D123" s="252">
        <v>89.837276369187336</v>
      </c>
      <c r="E123" s="252">
        <v>692.49567201248567</v>
      </c>
      <c r="F123" s="252">
        <v>243.30929016654903</v>
      </c>
      <c r="G123" s="253">
        <f t="shared" si="18"/>
        <v>146.92137906210846</v>
      </c>
      <c r="H123" s="252">
        <v>0</v>
      </c>
      <c r="I123" s="252">
        <v>146.92137906210846</v>
      </c>
      <c r="J123" s="252">
        <v>1281.1169932230987</v>
      </c>
      <c r="K123" s="220">
        <f t="shared" si="37"/>
        <v>17.140139106767847</v>
      </c>
      <c r="L123" s="220">
        <f t="shared" si="37"/>
        <v>14.692106275435194</v>
      </c>
      <c r="M123" s="219">
        <f t="shared" si="20"/>
        <v>1.9682456390546812</v>
      </c>
      <c r="N123" s="219">
        <f t="shared" si="21"/>
        <v>1.6871318211026061</v>
      </c>
      <c r="O123" s="219">
        <f t="shared" si="22"/>
        <v>15.171893467713165</v>
      </c>
      <c r="P123" s="219">
        <f t="shared" si="23"/>
        <v>13.004974454332588</v>
      </c>
      <c r="Q123" s="219">
        <f t="shared" si="24"/>
        <v>5.3306652724397612</v>
      </c>
      <c r="R123" s="219">
        <f t="shared" si="25"/>
        <v>4.5693153488195577</v>
      </c>
      <c r="S123" s="220">
        <f t="shared" si="38"/>
        <v>3.2189017222040093</v>
      </c>
      <c r="T123" s="220">
        <f t="shared" si="38"/>
        <v>2.7591634990948872</v>
      </c>
      <c r="U123" s="219">
        <f t="shared" si="27"/>
        <v>0</v>
      </c>
      <c r="V123" s="219">
        <f t="shared" si="39"/>
        <v>0</v>
      </c>
      <c r="W123" s="219">
        <f t="shared" si="28"/>
        <v>3.2189017222040093</v>
      </c>
      <c r="X123" s="219">
        <f t="shared" si="29"/>
        <v>2.7591634990948872</v>
      </c>
      <c r="Y123" s="219">
        <f t="shared" si="30"/>
        <v>28.068002915269364</v>
      </c>
      <c r="Z123" s="219">
        <f t="shared" si="31"/>
        <v>24.059202740515293</v>
      </c>
      <c r="AA123" s="232">
        <v>5324852228231.6504</v>
      </c>
      <c r="AB123" s="239">
        <v>5324.8522282316499</v>
      </c>
      <c r="AC123" s="237">
        <v>4564332550094.4502</v>
      </c>
      <c r="AD123" s="199">
        <v>4564.3325500944502</v>
      </c>
    </row>
    <row r="124" spans="1:30">
      <c r="A124" s="217" t="s">
        <v>448</v>
      </c>
      <c r="B124" s="215" t="s">
        <v>560</v>
      </c>
      <c r="C124" s="251">
        <f t="shared" si="17"/>
        <v>56.080292033825813</v>
      </c>
      <c r="D124" s="252">
        <v>4.3138686179866008</v>
      </c>
      <c r="E124" s="252">
        <v>51.766423415839213</v>
      </c>
      <c r="F124" s="252">
        <v>27.913267528148594</v>
      </c>
      <c r="G124" s="253">
        <f t="shared" si="18"/>
        <v>59.971232355931377</v>
      </c>
      <c r="H124" s="252">
        <v>0</v>
      </c>
      <c r="I124" s="252">
        <v>59.971232355931377</v>
      </c>
      <c r="J124" s="252">
        <v>105.73207397025983</v>
      </c>
      <c r="K124" s="220">
        <f t="shared" si="37"/>
        <v>3.4233981075268196</v>
      </c>
      <c r="L124" s="220">
        <f t="shared" si="37"/>
        <v>2.6004759094970282</v>
      </c>
      <c r="M124" s="219">
        <f t="shared" si="20"/>
        <v>0.26333831596360152</v>
      </c>
      <c r="N124" s="219">
        <f t="shared" si="21"/>
        <v>0.20003660842284832</v>
      </c>
      <c r="O124" s="219">
        <f t="shared" si="22"/>
        <v>3.160059791563218</v>
      </c>
      <c r="P124" s="219">
        <f t="shared" si="23"/>
        <v>2.4004393010741798</v>
      </c>
      <c r="Q124" s="219">
        <f t="shared" si="24"/>
        <v>1.7039538091762452</v>
      </c>
      <c r="R124" s="219">
        <f t="shared" si="25"/>
        <v>1.2943545250890187</v>
      </c>
      <c r="S124" s="220">
        <f t="shared" si="38"/>
        <v>3.6609189415332062</v>
      </c>
      <c r="T124" s="220">
        <f t="shared" si="38"/>
        <v>2.7809010857215584</v>
      </c>
      <c r="U124" s="219">
        <f t="shared" si="27"/>
        <v>0</v>
      </c>
      <c r="V124" s="219">
        <f t="shared" si="39"/>
        <v>0</v>
      </c>
      <c r="W124" s="219">
        <f t="shared" si="28"/>
        <v>3.6609189415332062</v>
      </c>
      <c r="X124" s="219">
        <f t="shared" si="29"/>
        <v>2.7809010857215584</v>
      </c>
      <c r="Y124" s="219">
        <f t="shared" si="30"/>
        <v>6.4543704893039591</v>
      </c>
      <c r="Z124" s="219">
        <f t="shared" si="31"/>
        <v>4.9028580495796161</v>
      </c>
      <c r="AA124" s="232">
        <v>2156539571430.7</v>
      </c>
      <c r="AB124" s="239">
        <v>2156.5395714307001</v>
      </c>
      <c r="AC124" s="237">
        <v>1638146960195.0569</v>
      </c>
      <c r="AD124" s="199">
        <v>1638.14696019506</v>
      </c>
    </row>
    <row r="125" spans="1:30">
      <c r="A125" s="217" t="s">
        <v>449</v>
      </c>
      <c r="B125" s="215" t="s">
        <v>560</v>
      </c>
      <c r="C125" s="251">
        <f t="shared" si="17"/>
        <v>52.473943366947367</v>
      </c>
      <c r="D125" s="252">
        <v>5.0083590198387942</v>
      </c>
      <c r="E125" s="252">
        <v>47.465584347108575</v>
      </c>
      <c r="F125" s="252">
        <v>0.614662243343852</v>
      </c>
      <c r="G125" s="253">
        <f t="shared" si="18"/>
        <v>172.14982040940893</v>
      </c>
      <c r="H125" s="252">
        <v>0.72735032129022481</v>
      </c>
      <c r="I125" s="252">
        <v>171.4224700881187</v>
      </c>
      <c r="J125" s="252">
        <v>11.382634135997259</v>
      </c>
      <c r="K125" s="220">
        <f t="shared" si="37"/>
        <v>3.9635327822243318</v>
      </c>
      <c r="L125" s="220">
        <f t="shared" si="37"/>
        <v>2.9208535719864472</v>
      </c>
      <c r="M125" s="219">
        <f t="shared" si="20"/>
        <v>0.37829813973507714</v>
      </c>
      <c r="N125" s="219">
        <f t="shared" si="21"/>
        <v>0.27877995047159143</v>
      </c>
      <c r="O125" s="219">
        <f t="shared" si="22"/>
        <v>3.5852346424892545</v>
      </c>
      <c r="P125" s="219">
        <f t="shared" si="23"/>
        <v>2.6420736215148559</v>
      </c>
      <c r="Q125" s="219">
        <f t="shared" si="24"/>
        <v>4.6427498967486741E-2</v>
      </c>
      <c r="R125" s="219">
        <f t="shared" si="25"/>
        <v>3.4213903012422588E-2</v>
      </c>
      <c r="S125" s="220">
        <f t="shared" si="38"/>
        <v>13.003052808043938</v>
      </c>
      <c r="T125" s="220">
        <f t="shared" si="38"/>
        <v>9.5823638475847766</v>
      </c>
      <c r="U125" s="219">
        <f t="shared" si="27"/>
        <v>5.4939207111525973E-2</v>
      </c>
      <c r="V125" s="219">
        <f t="shared" si="39"/>
        <v>4.0486451898033397E-2</v>
      </c>
      <c r="W125" s="219">
        <f t="shared" si="28"/>
        <v>12.948113600932412</v>
      </c>
      <c r="X125" s="219">
        <f t="shared" si="29"/>
        <v>9.5418773956867433</v>
      </c>
      <c r="Y125" s="219">
        <f t="shared" si="30"/>
        <v>0.85976849939790256</v>
      </c>
      <c r="Z125" s="219">
        <f t="shared" si="31"/>
        <v>0.6335907965263442</v>
      </c>
      <c r="AA125" s="232">
        <v>1796527695541.4199</v>
      </c>
      <c r="AB125" s="239">
        <v>1796.5276955414199</v>
      </c>
      <c r="AC125" s="237">
        <v>1323918490148.05</v>
      </c>
      <c r="AD125" s="199">
        <v>1323.9184901480501</v>
      </c>
    </row>
    <row r="126" spans="1:30">
      <c r="A126" s="217" t="s">
        <v>463</v>
      </c>
      <c r="B126" s="215" t="s">
        <v>560</v>
      </c>
      <c r="C126" s="251">
        <f t="shared" si="17"/>
        <v>440.54615742148212</v>
      </c>
      <c r="D126" s="252">
        <v>144.71429008321942</v>
      </c>
      <c r="E126" s="252">
        <v>295.83186733826267</v>
      </c>
      <c r="F126" s="252">
        <v>8.9646020405534159</v>
      </c>
      <c r="G126" s="253">
        <f t="shared" si="18"/>
        <v>436.70418511838784</v>
      </c>
      <c r="H126" s="252">
        <v>1.2806574343647736</v>
      </c>
      <c r="I126" s="252">
        <v>435.42352768402304</v>
      </c>
      <c r="J126" s="252">
        <v>0</v>
      </c>
      <c r="K126" s="220">
        <f t="shared" si="37"/>
        <v>13.95286656356609</v>
      </c>
      <c r="L126" s="220">
        <f t="shared" si="37"/>
        <v>14.974435891333723</v>
      </c>
      <c r="M126" s="219">
        <f t="shared" si="20"/>
        <v>4.583354423497001</v>
      </c>
      <c r="N126" s="219">
        <f t="shared" si="21"/>
        <v>4.9189280689555543</v>
      </c>
      <c r="O126" s="219">
        <f t="shared" si="22"/>
        <v>9.3695121400690891</v>
      </c>
      <c r="P126" s="219">
        <f t="shared" si="23"/>
        <v>10.055507822378168</v>
      </c>
      <c r="Q126" s="219">
        <f t="shared" si="24"/>
        <v>0.28392461030512395</v>
      </c>
      <c r="R126" s="219">
        <f t="shared" si="25"/>
        <v>0.30471235825388393</v>
      </c>
      <c r="S126" s="220">
        <f t="shared" si="38"/>
        <v>13.83118458772104</v>
      </c>
      <c r="T126" s="220">
        <f t="shared" si="38"/>
        <v>14.843844880653489</v>
      </c>
      <c r="U126" s="219">
        <f t="shared" si="27"/>
        <v>4.056065861501771E-2</v>
      </c>
      <c r="V126" s="219">
        <f t="shared" si="39"/>
        <v>4.3530336893411993E-2</v>
      </c>
      <c r="W126" s="219">
        <f t="shared" si="28"/>
        <v>13.790623929106022</v>
      </c>
      <c r="X126" s="219">
        <f t="shared" si="29"/>
        <v>14.800314543760077</v>
      </c>
      <c r="Y126" s="219">
        <f t="shared" si="30"/>
        <v>0</v>
      </c>
      <c r="Z126" s="219">
        <f t="shared" si="31"/>
        <v>0</v>
      </c>
      <c r="AA126" s="232">
        <v>2941988336778.9702</v>
      </c>
      <c r="AB126" s="239">
        <v>2941.9883367789698</v>
      </c>
      <c r="AC126" s="237">
        <v>3157388164033.9238</v>
      </c>
      <c r="AD126" s="199">
        <v>3157.38816403392</v>
      </c>
    </row>
    <row r="127" spans="1:30">
      <c r="A127" s="217" t="s">
        <v>464</v>
      </c>
      <c r="B127" s="215" t="s">
        <v>560</v>
      </c>
      <c r="C127" s="251">
        <f t="shared" si="17"/>
        <v>3503.3</v>
      </c>
      <c r="D127" s="252">
        <v>483.8</v>
      </c>
      <c r="E127" s="252">
        <v>3019.5</v>
      </c>
      <c r="F127" s="252">
        <v>18</v>
      </c>
      <c r="G127" s="253">
        <f t="shared" si="18"/>
        <v>510</v>
      </c>
      <c r="H127" s="252">
        <v>56</v>
      </c>
      <c r="I127" s="252">
        <v>454</v>
      </c>
      <c r="J127" s="252">
        <v>0</v>
      </c>
      <c r="K127" s="220">
        <f t="shared" si="37"/>
        <v>17.578926991325513</v>
      </c>
      <c r="L127" s="220">
        <f t="shared" si="37"/>
        <v>17.539113277697947</v>
      </c>
      <c r="M127" s="219">
        <f t="shared" si="20"/>
        <v>2.4276210653964214</v>
      </c>
      <c r="N127" s="219">
        <f t="shared" si="21"/>
        <v>2.4221228566637936</v>
      </c>
      <c r="O127" s="219">
        <f t="shared" si="22"/>
        <v>15.151305925929092</v>
      </c>
      <c r="P127" s="219">
        <f t="shared" si="23"/>
        <v>15.116990421034155</v>
      </c>
      <c r="Q127" s="219">
        <f t="shared" si="24"/>
        <v>9.0320750676179395E-2</v>
      </c>
      <c r="R127" s="219">
        <f t="shared" si="25"/>
        <v>9.0116187308698387E-2</v>
      </c>
      <c r="S127" s="220">
        <f t="shared" si="38"/>
        <v>2.5590879358250826</v>
      </c>
      <c r="T127" s="220">
        <f t="shared" si="38"/>
        <v>2.5532919737464543</v>
      </c>
      <c r="U127" s="219">
        <f t="shared" si="27"/>
        <v>0.28099789099255812</v>
      </c>
      <c r="V127" s="219">
        <f t="shared" si="39"/>
        <v>0.28036147162706165</v>
      </c>
      <c r="W127" s="219">
        <f t="shared" si="28"/>
        <v>2.2780900448325245</v>
      </c>
      <c r="X127" s="219">
        <f t="shared" si="29"/>
        <v>2.2729305021193928</v>
      </c>
      <c r="Y127" s="219">
        <f t="shared" si="30"/>
        <v>0</v>
      </c>
      <c r="Z127" s="219">
        <f t="shared" si="31"/>
        <v>0</v>
      </c>
      <c r="AA127" s="232">
        <v>19974213887167.602</v>
      </c>
      <c r="AB127" s="239">
        <v>19974.2138871676</v>
      </c>
      <c r="AC127" s="237">
        <v>19928975197000</v>
      </c>
      <c r="AD127" s="199">
        <v>19928.975197</v>
      </c>
    </row>
    <row r="128" spans="1:30">
      <c r="A128" s="217" t="s">
        <v>466</v>
      </c>
      <c r="B128" s="215" t="s">
        <v>560</v>
      </c>
      <c r="C128" s="251">
        <f t="shared" si="17"/>
        <v>7.2279883115998169</v>
      </c>
      <c r="D128" s="252">
        <v>2.3467494518181224</v>
      </c>
      <c r="E128" s="252">
        <v>4.8812388597816945</v>
      </c>
      <c r="F128" s="252">
        <v>4.3180189913453448</v>
      </c>
      <c r="G128" s="253">
        <f t="shared" si="18"/>
        <v>2.9950155203883604</v>
      </c>
      <c r="H128" s="252">
        <v>1.8445450691290441</v>
      </c>
      <c r="I128" s="252">
        <v>1.1504704512593162</v>
      </c>
      <c r="J128" s="252">
        <v>10.593227025507003</v>
      </c>
      <c r="K128" s="220">
        <f t="shared" si="37"/>
        <v>0.56506123717776213</v>
      </c>
      <c r="L128" s="220">
        <f t="shared" si="37"/>
        <v>0.30348435002291441</v>
      </c>
      <c r="M128" s="219">
        <f t="shared" si="20"/>
        <v>0.18346144064213057</v>
      </c>
      <c r="N128" s="219">
        <f t="shared" si="21"/>
        <v>9.8533879877569633E-2</v>
      </c>
      <c r="O128" s="219">
        <f t="shared" si="22"/>
        <v>0.38159979653563153</v>
      </c>
      <c r="P128" s="219">
        <f t="shared" si="23"/>
        <v>0.20495047014534479</v>
      </c>
      <c r="Q128" s="219">
        <f t="shared" si="24"/>
        <v>0.33756905078152022</v>
      </c>
      <c r="R128" s="219">
        <f t="shared" si="25"/>
        <v>0.18130233897472808</v>
      </c>
      <c r="S128" s="220">
        <f t="shared" si="38"/>
        <v>0.23414082900511271</v>
      </c>
      <c r="T128" s="220">
        <f t="shared" si="38"/>
        <v>0.12575287885494946</v>
      </c>
      <c r="U128" s="219">
        <f t="shared" si="27"/>
        <v>0.14420069234471464</v>
      </c>
      <c r="V128" s="219">
        <f t="shared" si="39"/>
        <v>7.7447629583769731E-2</v>
      </c>
      <c r="W128" s="219">
        <f t="shared" si="28"/>
        <v>8.9940136660398073E-2</v>
      </c>
      <c r="X128" s="219">
        <f t="shared" si="29"/>
        <v>4.8305249271179726E-2</v>
      </c>
      <c r="Y128" s="219">
        <f t="shared" si="30"/>
        <v>0.82814494305857733</v>
      </c>
      <c r="Z128" s="219">
        <f t="shared" si="31"/>
        <v>0.4447819337673492</v>
      </c>
      <c r="AA128" s="232">
        <v>2381667559152.25</v>
      </c>
      <c r="AB128" s="239">
        <v>2381.6675591522499</v>
      </c>
      <c r="AC128" s="237">
        <v>1279151326624.439</v>
      </c>
      <c r="AD128" s="199">
        <v>1279.1513266244399</v>
      </c>
    </row>
    <row r="129" spans="1:30">
      <c r="A129" s="217" t="s">
        <v>467</v>
      </c>
      <c r="B129" s="215" t="s">
        <v>560</v>
      </c>
      <c r="C129" s="251">
        <f t="shared" si="17"/>
        <v>7.6102084556631375</v>
      </c>
      <c r="D129" s="252">
        <v>2.0161373147465773</v>
      </c>
      <c r="E129" s="252">
        <v>5.5940711409165607</v>
      </c>
      <c r="F129" s="252">
        <v>9.86771432217515</v>
      </c>
      <c r="G129" s="253">
        <f t="shared" si="18"/>
        <v>46.427950839586678</v>
      </c>
      <c r="H129" s="252">
        <v>2.9816115218083188</v>
      </c>
      <c r="I129" s="252">
        <v>43.44633931777836</v>
      </c>
      <c r="J129" s="252">
        <v>17.548913528357534</v>
      </c>
      <c r="K129" s="220">
        <f t="shared" si="37"/>
        <v>0.76326978071700302</v>
      </c>
      <c r="L129" s="220">
        <f t="shared" si="37"/>
        <v>0.32608889216094727</v>
      </c>
      <c r="M129" s="219">
        <f t="shared" si="20"/>
        <v>0.20220953145860895</v>
      </c>
      <c r="N129" s="219">
        <f t="shared" si="21"/>
        <v>8.6389221430698715E-2</v>
      </c>
      <c r="O129" s="219">
        <f t="shared" si="22"/>
        <v>0.56106024925839404</v>
      </c>
      <c r="P129" s="219">
        <f t="shared" si="23"/>
        <v>0.23969967073024859</v>
      </c>
      <c r="Q129" s="219">
        <f t="shared" si="24"/>
        <v>0.98968749551924828</v>
      </c>
      <c r="R129" s="219">
        <f t="shared" si="25"/>
        <v>0.42282048517137749</v>
      </c>
      <c r="S129" s="220">
        <f t="shared" si="38"/>
        <v>4.6565152666876859</v>
      </c>
      <c r="T129" s="220">
        <f t="shared" si="38"/>
        <v>1.9893855921013015</v>
      </c>
      <c r="U129" s="219">
        <f t="shared" si="27"/>
        <v>0.2990422648331541</v>
      </c>
      <c r="V129" s="219">
        <f t="shared" si="39"/>
        <v>0.12775870774962486</v>
      </c>
      <c r="W129" s="219">
        <f t="shared" si="28"/>
        <v>4.3574730018545313</v>
      </c>
      <c r="X129" s="219">
        <f t="shared" si="29"/>
        <v>1.8616268843516766</v>
      </c>
      <c r="Y129" s="219">
        <f t="shared" si="30"/>
        <v>1.7600773301608501</v>
      </c>
      <c r="Z129" s="219">
        <f t="shared" si="31"/>
        <v>0.75195125132636342</v>
      </c>
      <c r="AA129" s="232">
        <v>2333783406491.1899</v>
      </c>
      <c r="AB129" s="239">
        <v>2333.7834064911899</v>
      </c>
      <c r="AC129" s="237">
        <v>997053551434.22559</v>
      </c>
      <c r="AD129" s="199">
        <v>997.05355143423003</v>
      </c>
    </row>
    <row r="130" spans="1:30">
      <c r="A130" s="221" t="s">
        <v>530</v>
      </c>
      <c r="B130" s="215" t="s">
        <v>560</v>
      </c>
      <c r="C130" s="251">
        <f t="shared" si="17"/>
        <v>36.424429235191226</v>
      </c>
      <c r="D130" s="252">
        <v>2.0488741444795067</v>
      </c>
      <c r="E130" s="252">
        <v>34.375555090711721</v>
      </c>
      <c r="F130" s="252">
        <v>0</v>
      </c>
      <c r="G130" s="253">
        <f t="shared" si="18"/>
        <v>10.244370722397534</v>
      </c>
      <c r="H130" s="252">
        <v>0</v>
      </c>
      <c r="I130" s="252">
        <v>10.244370722397534</v>
      </c>
      <c r="J130" s="252">
        <v>0</v>
      </c>
      <c r="K130" s="220">
        <f t="shared" si="37"/>
        <v>8.7992437970040207</v>
      </c>
      <c r="L130" s="220">
        <f t="shared" si="37"/>
        <v>7.7730461793951982</v>
      </c>
      <c r="M130" s="219">
        <f t="shared" si="20"/>
        <v>0.49495746358147613</v>
      </c>
      <c r="N130" s="219">
        <f t="shared" si="21"/>
        <v>0.43723384759097994</v>
      </c>
      <c r="O130" s="219">
        <f t="shared" si="22"/>
        <v>8.3042863334225441</v>
      </c>
      <c r="P130" s="219">
        <f t="shared" si="23"/>
        <v>7.3358123318042185</v>
      </c>
      <c r="Q130" s="219">
        <f t="shared" si="24"/>
        <v>0</v>
      </c>
      <c r="R130" s="219">
        <f t="shared" si="25"/>
        <v>0</v>
      </c>
      <c r="S130" s="220">
        <f t="shared" si="38"/>
        <v>2.4747873179073809</v>
      </c>
      <c r="T130" s="220">
        <f t="shared" si="38"/>
        <v>2.1861692379548998</v>
      </c>
      <c r="U130" s="219">
        <f t="shared" si="27"/>
        <v>0</v>
      </c>
      <c r="V130" s="219">
        <f t="shared" si="39"/>
        <v>0</v>
      </c>
      <c r="W130" s="219">
        <f t="shared" si="28"/>
        <v>2.4747873179073809</v>
      </c>
      <c r="X130" s="219">
        <f t="shared" si="29"/>
        <v>2.1861692379548998</v>
      </c>
      <c r="Y130" s="219">
        <f t="shared" si="30"/>
        <v>0</v>
      </c>
      <c r="Z130" s="219">
        <f t="shared" si="31"/>
        <v>0</v>
      </c>
      <c r="AA130" s="232">
        <v>468599161699.88599</v>
      </c>
      <c r="AB130" s="239">
        <v>468.59916169988998</v>
      </c>
      <c r="AC130" s="237">
        <v>413949540159.26532</v>
      </c>
      <c r="AD130" s="199">
        <v>413.94954015926999</v>
      </c>
    </row>
    <row r="131" spans="1:30">
      <c r="A131" s="217" t="s">
        <v>456</v>
      </c>
      <c r="B131" s="215" t="s">
        <v>560</v>
      </c>
      <c r="C131" s="251">
        <f t="shared" si="17"/>
        <v>36.538255576551201</v>
      </c>
      <c r="D131" s="252">
        <v>9.2199336501577793</v>
      </c>
      <c r="E131" s="252">
        <v>27.31832192639342</v>
      </c>
      <c r="F131" s="252">
        <v>15.708035107676219</v>
      </c>
      <c r="G131" s="253">
        <f t="shared" si="18"/>
        <v>60.327960920785472</v>
      </c>
      <c r="H131" s="252">
        <v>1.1382634135997258</v>
      </c>
      <c r="I131" s="252">
        <v>59.189697507185748</v>
      </c>
      <c r="J131" s="252">
        <v>0</v>
      </c>
      <c r="K131" s="220">
        <f t="shared" si="37"/>
        <v>7.3791176032686039</v>
      </c>
      <c r="L131" s="220">
        <f t="shared" si="37"/>
        <v>6.5796524662517522</v>
      </c>
      <c r="M131" s="219">
        <f t="shared" si="20"/>
        <v>1.8620203297967506</v>
      </c>
      <c r="N131" s="219">
        <f t="shared" si="21"/>
        <v>1.6602861363439001</v>
      </c>
      <c r="O131" s="219">
        <f t="shared" si="22"/>
        <v>5.5170972734718537</v>
      </c>
      <c r="P131" s="219">
        <f t="shared" si="23"/>
        <v>4.9193663299078523</v>
      </c>
      <c r="Q131" s="219">
        <f t="shared" si="24"/>
        <v>3.1723309322463167</v>
      </c>
      <c r="R131" s="219">
        <f t="shared" si="25"/>
        <v>2.8286356396970151</v>
      </c>
      <c r="S131" s="220">
        <f t="shared" si="38"/>
        <v>12.183589812250345</v>
      </c>
      <c r="T131" s="220">
        <f t="shared" si="38"/>
        <v>10.863600645213173</v>
      </c>
      <c r="U131" s="219">
        <f t="shared" si="27"/>
        <v>0.22987905306132722</v>
      </c>
      <c r="V131" s="219">
        <f t="shared" si="39"/>
        <v>0.20497359707949384</v>
      </c>
      <c r="W131" s="219">
        <f t="shared" si="28"/>
        <v>11.953710759189018</v>
      </c>
      <c r="X131" s="219">
        <f t="shared" si="29"/>
        <v>10.658627048133679</v>
      </c>
      <c r="Y131" s="219">
        <f t="shared" si="30"/>
        <v>0</v>
      </c>
      <c r="Z131" s="219">
        <f t="shared" si="31"/>
        <v>0</v>
      </c>
      <c r="AA131" s="232">
        <v>555321968203.677</v>
      </c>
      <c r="AB131" s="239">
        <v>555.32196820367994</v>
      </c>
      <c r="AC131" s="237">
        <v>495157518025.82001</v>
      </c>
      <c r="AD131" s="199">
        <v>495.15751802582002</v>
      </c>
    </row>
    <row r="132" spans="1:30">
      <c r="A132" s="221" t="s">
        <v>454</v>
      </c>
      <c r="B132" s="215" t="s">
        <v>560</v>
      </c>
      <c r="C132" s="251">
        <f t="shared" ref="C132:C196" si="40">D132+E132</f>
        <v>13.066403598920733</v>
      </c>
      <c r="D132" s="252">
        <v>2.8588123511436292</v>
      </c>
      <c r="E132" s="252">
        <v>10.207591247777104</v>
      </c>
      <c r="F132" s="252">
        <v>1.5581815067044105</v>
      </c>
      <c r="G132" s="253">
        <f t="shared" ref="G132:G196" si="41">H132+I132</f>
        <v>37.130220476565157</v>
      </c>
      <c r="H132" s="252">
        <v>4.2925110377531973E-2</v>
      </c>
      <c r="I132" s="252">
        <v>37.087295366187625</v>
      </c>
      <c r="J132" s="252">
        <v>0</v>
      </c>
      <c r="K132" s="220">
        <f t="shared" si="37"/>
        <v>6.0593500917798613</v>
      </c>
      <c r="L132" s="220">
        <f t="shared" si="37"/>
        <v>3.2072989171117561</v>
      </c>
      <c r="M132" s="219">
        <f t="shared" ref="M132:M196" si="42">($D132/$AD132)*100</f>
        <v>1.3257316560858696</v>
      </c>
      <c r="N132" s="219">
        <f t="shared" ref="N132:N196" si="43">($D132/$AB132)*100</f>
        <v>0.70172834388844585</v>
      </c>
      <c r="O132" s="219">
        <f t="shared" ref="O132:O196" si="44">($E132/$AD132)*100</f>
        <v>4.7336184356939919</v>
      </c>
      <c r="P132" s="219">
        <f t="shared" ref="P132:P196" si="45">($E132/$AB132)*100</f>
        <v>2.5055705732233102</v>
      </c>
      <c r="Q132" s="219">
        <f t="shared" ref="Q132:Q196" si="46">($F132/$AD132)*100</f>
        <v>0.72258347020896485</v>
      </c>
      <c r="R132" s="219">
        <f t="shared" ref="R132:R196" si="47">($F132/$AB132)*100</f>
        <v>0.38247355680406281</v>
      </c>
      <c r="S132" s="220">
        <f t="shared" si="38"/>
        <v>17.218586824538697</v>
      </c>
      <c r="T132" s="220">
        <f t="shared" si="38"/>
        <v>9.1140393012538379</v>
      </c>
      <c r="U132" s="219">
        <f t="shared" ref="U132:U196" si="48">($H132/$AD132)*100</f>
        <v>1.9905880722010057E-2</v>
      </c>
      <c r="V132" s="219">
        <f t="shared" si="39"/>
        <v>1.0536461619946634E-2</v>
      </c>
      <c r="W132" s="219">
        <f t="shared" ref="W132:W196" si="49">($I132/$AD132)*100</f>
        <v>17.198680943816687</v>
      </c>
      <c r="X132" s="219">
        <f t="shared" ref="X132:X196" si="50">($I132/$AB132)*100</f>
        <v>9.103502839633892</v>
      </c>
      <c r="Y132" s="219">
        <f t="shared" ref="Y132:Y196" si="51">($J132/$AD132)*100</f>
        <v>0</v>
      </c>
      <c r="Z132" s="219">
        <f t="shared" ref="Z132:Z196" si="52">($J132/$AB132)*100</f>
        <v>0</v>
      </c>
      <c r="AA132" s="232">
        <v>407395878482.30298</v>
      </c>
      <c r="AB132" s="239">
        <v>407.39587848230002</v>
      </c>
      <c r="AC132" s="237">
        <v>215640347578.63721</v>
      </c>
      <c r="AD132" s="199">
        <v>215.64034757863999</v>
      </c>
    </row>
    <row r="133" spans="1:30">
      <c r="A133" s="221" t="s">
        <v>446</v>
      </c>
      <c r="B133" s="215" t="s">
        <v>560</v>
      </c>
      <c r="C133" s="251">
        <f t="shared" si="40"/>
        <v>6.1428697867727307</v>
      </c>
      <c r="D133" s="252">
        <v>0.12194282455131972</v>
      </c>
      <c r="E133" s="252">
        <v>6.0209269622214112</v>
      </c>
      <c r="F133" s="252">
        <v>26.73596428287685</v>
      </c>
      <c r="G133" s="253">
        <f t="shared" si="41"/>
        <v>14.784957762724758</v>
      </c>
      <c r="H133" s="252">
        <v>8.7010778173287289</v>
      </c>
      <c r="I133" s="252">
        <v>6.0838799453960295</v>
      </c>
      <c r="J133" s="252">
        <v>0</v>
      </c>
      <c r="K133" s="220">
        <f t="shared" si="37"/>
        <v>1.8469100465390231</v>
      </c>
      <c r="L133" s="220">
        <f t="shared" si="37"/>
        <v>1.9747958020031295</v>
      </c>
      <c r="M133" s="219">
        <f t="shared" si="42"/>
        <v>3.6663226730303186E-2</v>
      </c>
      <c r="N133" s="219">
        <f t="shared" si="43"/>
        <v>3.9201901776737061E-2</v>
      </c>
      <c r="O133" s="219">
        <f t="shared" si="44"/>
        <v>1.81024681980872</v>
      </c>
      <c r="P133" s="219">
        <f t="shared" si="45"/>
        <v>1.9355939002263924</v>
      </c>
      <c r="Q133" s="219">
        <f t="shared" si="46"/>
        <v>8.0384124606189733</v>
      </c>
      <c r="R133" s="219">
        <f t="shared" si="47"/>
        <v>8.5950169645496004</v>
      </c>
      <c r="S133" s="220">
        <f t="shared" si="38"/>
        <v>4.4452329249156097</v>
      </c>
      <c r="T133" s="220">
        <f t="shared" si="38"/>
        <v>4.7530345809204846</v>
      </c>
      <c r="U133" s="219">
        <f t="shared" si="48"/>
        <v>2.6160587143073708</v>
      </c>
      <c r="V133" s="219">
        <f t="shared" si="39"/>
        <v>2.7972026989018515</v>
      </c>
      <c r="W133" s="219">
        <f t="shared" si="49"/>
        <v>1.8291742106082385</v>
      </c>
      <c r="X133" s="219">
        <f t="shared" si="50"/>
        <v>1.9558318820186327</v>
      </c>
      <c r="Y133" s="219">
        <f t="shared" si="51"/>
        <v>0</v>
      </c>
      <c r="Z133" s="219">
        <f t="shared" si="52"/>
        <v>0</v>
      </c>
      <c r="AA133" s="232">
        <v>311063542901.078</v>
      </c>
      <c r="AB133" s="239">
        <v>311.06354290107998</v>
      </c>
      <c r="AC133" s="237">
        <v>332602543274.04938</v>
      </c>
      <c r="AD133" s="199">
        <v>332.60254327404999</v>
      </c>
    </row>
    <row r="134" spans="1:30">
      <c r="A134" s="221" t="s">
        <v>531</v>
      </c>
      <c r="B134" s="215" t="s">
        <v>560</v>
      </c>
      <c r="C134" s="251">
        <f t="shared" si="40"/>
        <v>1.0676910819565428</v>
      </c>
      <c r="D134" s="252">
        <v>0.26180058512793697</v>
      </c>
      <c r="E134" s="252">
        <v>0.80589049682860592</v>
      </c>
      <c r="F134" s="252">
        <v>0</v>
      </c>
      <c r="G134" s="253">
        <f t="shared" si="41"/>
        <v>1.3203855597756819</v>
      </c>
      <c r="H134" s="252">
        <v>0.97890653569576425</v>
      </c>
      <c r="I134" s="252">
        <v>0.34147902407991776</v>
      </c>
      <c r="J134" s="252">
        <v>0</v>
      </c>
      <c r="K134" s="220">
        <f t="shared" si="37"/>
        <v>3.9697524921899801</v>
      </c>
      <c r="L134" s="220">
        <f t="shared" si="37"/>
        <v>2.3255380210379206</v>
      </c>
      <c r="M134" s="219">
        <f t="shared" si="42"/>
        <v>0.97339346823421702</v>
      </c>
      <c r="N134" s="219">
        <f t="shared" si="43"/>
        <v>0.57022787296238997</v>
      </c>
      <c r="O134" s="219">
        <f t="shared" si="44"/>
        <v>2.9963590239557631</v>
      </c>
      <c r="P134" s="219">
        <f t="shared" si="45"/>
        <v>1.7553101480755309</v>
      </c>
      <c r="Q134" s="219">
        <f t="shared" si="46"/>
        <v>0</v>
      </c>
      <c r="R134" s="219">
        <f t="shared" si="47"/>
        <v>0</v>
      </c>
      <c r="S134" s="220">
        <f t="shared" si="38"/>
        <v>4.909288796311702</v>
      </c>
      <c r="T134" s="220">
        <f t="shared" si="38"/>
        <v>2.8759318810277064</v>
      </c>
      <c r="U134" s="219">
        <f t="shared" si="48"/>
        <v>3.6396451420931584</v>
      </c>
      <c r="V134" s="219">
        <f t="shared" si="39"/>
        <v>2.1321563945550235</v>
      </c>
      <c r="W134" s="219">
        <f t="shared" si="49"/>
        <v>1.2696436542185436</v>
      </c>
      <c r="X134" s="219">
        <f t="shared" si="50"/>
        <v>0.74377548647268266</v>
      </c>
      <c r="Y134" s="219">
        <f t="shared" si="51"/>
        <v>0</v>
      </c>
      <c r="Z134" s="219">
        <f t="shared" si="52"/>
        <v>0</v>
      </c>
      <c r="AA134" s="232">
        <v>45911572818.753304</v>
      </c>
      <c r="AB134" s="239">
        <v>45.911572818750003</v>
      </c>
      <c r="AC134" s="237">
        <v>26895658710.637878</v>
      </c>
      <c r="AD134" s="199">
        <v>26.895658710639999</v>
      </c>
    </row>
    <row r="135" spans="1:30">
      <c r="A135" s="221" t="s">
        <v>447</v>
      </c>
      <c r="B135" s="215" t="s">
        <v>560</v>
      </c>
      <c r="C135" s="251">
        <f t="shared" si="40"/>
        <v>7.910930724518094</v>
      </c>
      <c r="D135" s="252">
        <v>2.105787315159493</v>
      </c>
      <c r="E135" s="252">
        <v>5.8051434093586014</v>
      </c>
      <c r="F135" s="252">
        <v>4.8376195077988351</v>
      </c>
      <c r="G135" s="253">
        <f t="shared" si="41"/>
        <v>17.438195496347802</v>
      </c>
      <c r="H135" s="252">
        <v>2.7545974609113366</v>
      </c>
      <c r="I135" s="252">
        <v>14.683598035436464</v>
      </c>
      <c r="J135" s="252">
        <v>1.1382634135997258</v>
      </c>
      <c r="K135" s="220">
        <f t="shared" si="37"/>
        <v>3.1054414492652542</v>
      </c>
      <c r="L135" s="220">
        <f t="shared" si="37"/>
        <v>3.1154924739323606</v>
      </c>
      <c r="M135" s="219">
        <f t="shared" si="42"/>
        <v>0.82662829944470817</v>
      </c>
      <c r="N135" s="219">
        <f t="shared" si="43"/>
        <v>0.82930375205393791</v>
      </c>
      <c r="O135" s="219">
        <f t="shared" si="44"/>
        <v>2.2788131498205462</v>
      </c>
      <c r="P135" s="219">
        <f t="shared" si="45"/>
        <v>2.2861887218784229</v>
      </c>
      <c r="Q135" s="219">
        <f t="shared" si="46"/>
        <v>1.8990109581837888</v>
      </c>
      <c r="R135" s="219">
        <f t="shared" si="47"/>
        <v>1.9051572682320197</v>
      </c>
      <c r="S135" s="220">
        <f t="shared" si="38"/>
        <v>6.8453759716177993</v>
      </c>
      <c r="T135" s="220">
        <f t="shared" si="38"/>
        <v>6.8675316116034208</v>
      </c>
      <c r="U135" s="219">
        <f t="shared" si="48"/>
        <v>1.0813191808952398</v>
      </c>
      <c r="V135" s="219">
        <f t="shared" si="39"/>
        <v>1.0848189621462323</v>
      </c>
      <c r="W135" s="219">
        <f t="shared" si="49"/>
        <v>5.7640567907225595</v>
      </c>
      <c r="X135" s="219">
        <f t="shared" si="50"/>
        <v>5.7827126494571885</v>
      </c>
      <c r="Y135" s="219">
        <f t="shared" si="51"/>
        <v>0.44682610780795035</v>
      </c>
      <c r="Z135" s="219">
        <f t="shared" si="52"/>
        <v>0.44827229840753402</v>
      </c>
      <c r="AA135" s="232">
        <v>253922318564.70901</v>
      </c>
      <c r="AB135" s="239">
        <v>253.92231856471</v>
      </c>
      <c r="AC135" s="237">
        <v>254744159687.49991</v>
      </c>
      <c r="AD135" s="199">
        <v>254.7441596875</v>
      </c>
    </row>
    <row r="136" spans="1:30">
      <c r="A136" s="222" t="s">
        <v>532</v>
      </c>
      <c r="B136" s="255" t="s">
        <v>560</v>
      </c>
      <c r="C136" s="251">
        <f t="shared" si="40"/>
        <v>21.213646056970173</v>
      </c>
      <c r="D136" s="252">
        <v>0.70761690517133902</v>
      </c>
      <c r="E136" s="252">
        <v>20.506029151798835</v>
      </c>
      <c r="F136" s="252">
        <v>1.7913339101833412</v>
      </c>
      <c r="G136" s="253">
        <f t="shared" si="41"/>
        <v>9.3327696507573688</v>
      </c>
      <c r="H136" s="252">
        <v>6.41999440943819</v>
      </c>
      <c r="I136" s="252">
        <v>2.9127752413191792</v>
      </c>
      <c r="J136" s="252">
        <v>0</v>
      </c>
      <c r="K136" s="220">
        <f t="shared" si="37"/>
        <v>10.40379258979668</v>
      </c>
      <c r="L136" s="220">
        <f t="shared" si="37"/>
        <v>7.0349910747874915</v>
      </c>
      <c r="M136" s="219">
        <f t="shared" si="42"/>
        <v>0.34703603023571405</v>
      </c>
      <c r="N136" s="219">
        <f t="shared" si="43"/>
        <v>0.2346639799155821</v>
      </c>
      <c r="O136" s="219">
        <f t="shared" si="44"/>
        <v>10.056756559560966</v>
      </c>
      <c r="P136" s="219">
        <f t="shared" si="45"/>
        <v>6.8003270948719097</v>
      </c>
      <c r="Q136" s="219">
        <f t="shared" si="46"/>
        <v>0.8785225515013958</v>
      </c>
      <c r="R136" s="219">
        <f t="shared" si="47"/>
        <v>0.59405243380891304</v>
      </c>
      <c r="S136" s="220">
        <f t="shared" si="38"/>
        <v>4.5770632485369456</v>
      </c>
      <c r="T136" s="220">
        <f t="shared" si="38"/>
        <v>3.0949866430223141</v>
      </c>
      <c r="U136" s="219">
        <f t="shared" si="48"/>
        <v>3.1485530626878351</v>
      </c>
      <c r="V136" s="219">
        <f t="shared" si="39"/>
        <v>2.1290353977478338</v>
      </c>
      <c r="W136" s="219">
        <f t="shared" si="49"/>
        <v>1.4285101858491107</v>
      </c>
      <c r="X136" s="219">
        <f t="shared" si="50"/>
        <v>0.96595124527448017</v>
      </c>
      <c r="Y136" s="219">
        <f t="shared" si="51"/>
        <v>0</v>
      </c>
      <c r="Z136" s="219">
        <f t="shared" si="52"/>
        <v>0</v>
      </c>
      <c r="AA136" s="232">
        <v>301544747270.495</v>
      </c>
      <c r="AB136" s="239">
        <v>301.54474727050001</v>
      </c>
      <c r="AC136" s="237">
        <v>203903008195.06079</v>
      </c>
      <c r="AD136" s="199">
        <v>203.90300819506001</v>
      </c>
    </row>
    <row r="137" spans="1:30">
      <c r="A137" s="221" t="s">
        <v>533</v>
      </c>
      <c r="B137" s="215" t="s">
        <v>560</v>
      </c>
      <c r="C137" s="251">
        <f t="shared" si="40"/>
        <v>0.90880495530115557</v>
      </c>
      <c r="D137" s="252">
        <v>5.0270792906436608E-2</v>
      </c>
      <c r="E137" s="252">
        <v>0.85853416239471891</v>
      </c>
      <c r="F137" s="252">
        <v>0</v>
      </c>
      <c r="G137" s="253">
        <f t="shared" si="41"/>
        <v>0.91645405891835929</v>
      </c>
      <c r="H137" s="252">
        <v>0</v>
      </c>
      <c r="I137" s="252">
        <v>0.91645405891835929</v>
      </c>
      <c r="J137" s="252">
        <v>0</v>
      </c>
      <c r="K137" s="220">
        <f t="shared" si="37"/>
        <v>4.3840085039690138</v>
      </c>
      <c r="L137" s="220">
        <f t="shared" si="37"/>
        <v>4.7658406244286118</v>
      </c>
      <c r="M137" s="219">
        <f t="shared" si="42"/>
        <v>0.24250262096122951</v>
      </c>
      <c r="N137" s="219">
        <f t="shared" si="43"/>
        <v>0.26362376839851354</v>
      </c>
      <c r="O137" s="219">
        <f t="shared" si="44"/>
        <v>4.1415058830077847</v>
      </c>
      <c r="P137" s="219">
        <f t="shared" si="45"/>
        <v>4.5022168560300981</v>
      </c>
      <c r="Q137" s="219">
        <f t="shared" si="46"/>
        <v>0</v>
      </c>
      <c r="R137" s="219">
        <f t="shared" si="47"/>
        <v>0</v>
      </c>
      <c r="S137" s="220">
        <f t="shared" si="38"/>
        <v>4.4209072192653549</v>
      </c>
      <c r="T137" s="220">
        <f t="shared" si="38"/>
        <v>4.805953091407023</v>
      </c>
      <c r="U137" s="219">
        <f t="shared" si="48"/>
        <v>0</v>
      </c>
      <c r="V137" s="219">
        <f t="shared" si="39"/>
        <v>0</v>
      </c>
      <c r="W137" s="219">
        <f t="shared" si="49"/>
        <v>4.4209072192653549</v>
      </c>
      <c r="X137" s="219">
        <f t="shared" si="50"/>
        <v>4.805953091407023</v>
      </c>
      <c r="Y137" s="219">
        <f t="shared" si="51"/>
        <v>0</v>
      </c>
      <c r="Z137" s="219">
        <f t="shared" si="52"/>
        <v>0</v>
      </c>
      <c r="AA137" s="235">
        <v>19069142821.155399</v>
      </c>
      <c r="AB137" s="239">
        <v>19.06914282116</v>
      </c>
      <c r="AC137" s="237">
        <v>20729999827.29071</v>
      </c>
      <c r="AD137" s="199">
        <v>20.729999827290001</v>
      </c>
    </row>
    <row r="138" spans="1:30">
      <c r="A138" s="221" t="s">
        <v>534</v>
      </c>
      <c r="B138" s="215" t="s">
        <v>560</v>
      </c>
      <c r="C138" s="251">
        <f t="shared" si="40"/>
        <v>22.385999999999996</v>
      </c>
      <c r="D138" s="252">
        <v>3.0750000000000006</v>
      </c>
      <c r="E138" s="252">
        <v>19.310999999999996</v>
      </c>
      <c r="F138" s="252">
        <v>2.46</v>
      </c>
      <c r="G138" s="253">
        <f t="shared" si="41"/>
        <v>6.15</v>
      </c>
      <c r="H138" s="252">
        <v>3.69</v>
      </c>
      <c r="I138" s="252">
        <v>2.46</v>
      </c>
      <c r="J138" s="252">
        <v>0</v>
      </c>
      <c r="K138" s="220">
        <f t="shared" si="37"/>
        <v>6.0263830447409301</v>
      </c>
      <c r="L138" s="220">
        <f t="shared" si="37"/>
        <v>5.3569023821516248</v>
      </c>
      <c r="M138" s="219">
        <f t="shared" si="42"/>
        <v>0.82779986878309497</v>
      </c>
      <c r="N138" s="219">
        <f t="shared" si="43"/>
        <v>0.73583823930654202</v>
      </c>
      <c r="O138" s="219">
        <f t="shared" si="44"/>
        <v>5.1985831759578351</v>
      </c>
      <c r="P138" s="219">
        <f t="shared" si="45"/>
        <v>4.6210641428450829</v>
      </c>
      <c r="Q138" s="219">
        <f t="shared" si="46"/>
        <v>0.66223989502647596</v>
      </c>
      <c r="R138" s="219">
        <f t="shared" si="47"/>
        <v>0.58867059144523359</v>
      </c>
      <c r="S138" s="220">
        <f t="shared" si="38"/>
        <v>1.6555997375661897</v>
      </c>
      <c r="T138" s="220">
        <f t="shared" si="38"/>
        <v>1.4716764786130838</v>
      </c>
      <c r="U138" s="219">
        <f t="shared" si="48"/>
        <v>0.99335984253971377</v>
      </c>
      <c r="V138" s="219">
        <f t="shared" si="39"/>
        <v>0.88300588716785033</v>
      </c>
      <c r="W138" s="219">
        <f t="shared" si="49"/>
        <v>0.66223989502647596</v>
      </c>
      <c r="X138" s="219">
        <f t="shared" si="50"/>
        <v>0.58867059144523359</v>
      </c>
      <c r="Y138" s="219">
        <f t="shared" si="51"/>
        <v>0</v>
      </c>
      <c r="Z138" s="219">
        <f t="shared" si="52"/>
        <v>0</v>
      </c>
      <c r="AA138" s="235">
        <v>417890758558.284</v>
      </c>
      <c r="AB138" s="239">
        <v>417.89075855828003</v>
      </c>
      <c r="AC138" s="237">
        <v>371466596693.27911</v>
      </c>
      <c r="AD138" s="199">
        <v>371.46659669328</v>
      </c>
    </row>
    <row r="139" spans="1:30">
      <c r="A139" s="221" t="s">
        <v>535</v>
      </c>
      <c r="B139" s="215" t="s">
        <v>560</v>
      </c>
      <c r="C139" s="251">
        <f t="shared" si="40"/>
        <v>26.891847077879898</v>
      </c>
      <c r="D139" s="252">
        <v>4.4578519375602843</v>
      </c>
      <c r="E139" s="252">
        <v>22.433995140319613</v>
      </c>
      <c r="F139" s="252">
        <v>2.0841905162619514</v>
      </c>
      <c r="G139" s="253">
        <f t="shared" si="41"/>
        <v>11.144629843900709</v>
      </c>
      <c r="H139" s="252">
        <v>0.92630689611642281</v>
      </c>
      <c r="I139" s="252">
        <v>10.218322947784287</v>
      </c>
      <c r="J139" s="252">
        <v>0</v>
      </c>
      <c r="K139" s="220">
        <f t="shared" si="37"/>
        <v>7.5020443334525275</v>
      </c>
      <c r="L139" s="220">
        <f t="shared" si="37"/>
        <v>7.8540027831320796</v>
      </c>
      <c r="M139" s="219">
        <f t="shared" si="42"/>
        <v>1.2436112242752306</v>
      </c>
      <c r="N139" s="219">
        <f t="shared" si="43"/>
        <v>1.3019552514556945</v>
      </c>
      <c r="O139" s="219">
        <f t="shared" si="44"/>
        <v>6.2584331091772967</v>
      </c>
      <c r="P139" s="219">
        <f t="shared" si="45"/>
        <v>6.5520475316763847</v>
      </c>
      <c r="Q139" s="219">
        <f t="shared" si="46"/>
        <v>0.58142862433647158</v>
      </c>
      <c r="R139" s="219">
        <f t="shared" si="47"/>
        <v>0.60870635132993511</v>
      </c>
      <c r="S139" s="220">
        <f t="shared" si="38"/>
        <v>3.1090280606880762</v>
      </c>
      <c r="T139" s="220">
        <f t="shared" si="38"/>
        <v>3.2548881286392355</v>
      </c>
      <c r="U139" s="219">
        <f t="shared" si="48"/>
        <v>0.25841272192732068</v>
      </c>
      <c r="V139" s="219">
        <f t="shared" si="39"/>
        <v>0.27053615614663779</v>
      </c>
      <c r="W139" s="219">
        <f t="shared" si="49"/>
        <v>2.8506153387607558</v>
      </c>
      <c r="X139" s="219">
        <f t="shared" si="50"/>
        <v>2.9843519724925978</v>
      </c>
      <c r="Y139" s="219">
        <f t="shared" si="51"/>
        <v>0</v>
      </c>
      <c r="Z139" s="219">
        <f t="shared" si="52"/>
        <v>0</v>
      </c>
      <c r="AA139" s="235">
        <v>342396709301.34399</v>
      </c>
      <c r="AB139" s="239">
        <v>342.39670930134002</v>
      </c>
      <c r="AC139" s="237">
        <v>358460252733.58807</v>
      </c>
      <c r="AD139" s="199">
        <v>358.46025273358998</v>
      </c>
    </row>
    <row r="140" spans="1:30">
      <c r="A140" s="222" t="s">
        <v>536</v>
      </c>
      <c r="B140" s="215" t="s">
        <v>560</v>
      </c>
      <c r="C140" s="251">
        <f t="shared" si="40"/>
        <v>2.6180058512793694</v>
      </c>
      <c r="D140" s="252">
        <v>0.23903531685594243</v>
      </c>
      <c r="E140" s="252">
        <v>2.3789705344234271</v>
      </c>
      <c r="F140" s="252">
        <v>0</v>
      </c>
      <c r="G140" s="253">
        <f t="shared" si="41"/>
        <v>0.97890653569576436</v>
      </c>
      <c r="H140" s="252">
        <v>0.22765268271994518</v>
      </c>
      <c r="I140" s="252">
        <v>0.75125385297581915</v>
      </c>
      <c r="J140" s="252">
        <v>0</v>
      </c>
      <c r="K140" s="220">
        <f t="shared" si="37"/>
        <v>8.6803684416213613</v>
      </c>
      <c r="L140" s="220">
        <f t="shared" si="37"/>
        <v>4.7237162022941037</v>
      </c>
      <c r="M140" s="219">
        <f t="shared" si="42"/>
        <v>0.79255537945238519</v>
      </c>
      <c r="N140" s="219">
        <f t="shared" si="43"/>
        <v>0.43129582716598341</v>
      </c>
      <c r="O140" s="219">
        <f t="shared" si="44"/>
        <v>7.8878130621689762</v>
      </c>
      <c r="P140" s="219">
        <f t="shared" si="45"/>
        <v>4.2924203751281205</v>
      </c>
      <c r="Q140" s="219">
        <f t="shared" si="46"/>
        <v>0</v>
      </c>
      <c r="R140" s="219">
        <f t="shared" si="47"/>
        <v>0</v>
      </c>
      <c r="S140" s="220">
        <f t="shared" si="38"/>
        <v>3.2457029825192922</v>
      </c>
      <c r="T140" s="220">
        <f t="shared" si="38"/>
        <v>1.7662591017273606</v>
      </c>
      <c r="U140" s="219">
        <f t="shared" si="48"/>
        <v>0.75481464709750967</v>
      </c>
      <c r="V140" s="219">
        <f t="shared" si="39"/>
        <v>0.41075793063426985</v>
      </c>
      <c r="W140" s="219">
        <f t="shared" si="49"/>
        <v>2.4908883354217823</v>
      </c>
      <c r="X140" s="219">
        <f t="shared" si="50"/>
        <v>1.3555011710930907</v>
      </c>
      <c r="Y140" s="219">
        <f t="shared" si="51"/>
        <v>0</v>
      </c>
      <c r="Z140" s="219">
        <f t="shared" si="52"/>
        <v>0</v>
      </c>
      <c r="AA140" s="236">
        <v>55422589740</v>
      </c>
      <c r="AB140" s="240">
        <v>55.422589739999999</v>
      </c>
      <c r="AC140" s="237">
        <v>30160077523.05077</v>
      </c>
      <c r="AD140" s="199">
        <v>30.160077523049999</v>
      </c>
    </row>
    <row r="141" spans="1:30">
      <c r="A141" s="221" t="s">
        <v>537</v>
      </c>
      <c r="B141" s="215" t="s">
        <v>560</v>
      </c>
      <c r="C141" s="251">
        <f t="shared" si="40"/>
        <v>2.5872727391121773</v>
      </c>
      <c r="D141" s="252">
        <v>0.56913170679986291</v>
      </c>
      <c r="E141" s="252">
        <v>2.0181410323123141</v>
      </c>
      <c r="F141" s="252">
        <v>2.4927968757833998</v>
      </c>
      <c r="G141" s="253">
        <f t="shared" si="41"/>
        <v>1.9578130713915285</v>
      </c>
      <c r="H141" s="252">
        <v>0.3642442923519123</v>
      </c>
      <c r="I141" s="252">
        <v>1.5935687790396162</v>
      </c>
      <c r="J141" s="252">
        <v>0</v>
      </c>
      <c r="K141" s="220">
        <f t="shared" si="37"/>
        <v>5.3659189931742706</v>
      </c>
      <c r="L141" s="220">
        <f t="shared" si="37"/>
        <v>2.6635550006559883</v>
      </c>
      <c r="M141" s="219">
        <f t="shared" si="42"/>
        <v>1.1803605352341113</v>
      </c>
      <c r="N141" s="219">
        <f t="shared" si="43"/>
        <v>0.58591179072942978</v>
      </c>
      <c r="O141" s="219">
        <f t="shared" si="44"/>
        <v>4.185558457940159</v>
      </c>
      <c r="P141" s="219">
        <f t="shared" si="45"/>
        <v>2.0776432099265585</v>
      </c>
      <c r="Q141" s="219">
        <f t="shared" si="46"/>
        <v>5.1699791443254073</v>
      </c>
      <c r="R141" s="219">
        <f t="shared" si="47"/>
        <v>2.5662936433949031</v>
      </c>
      <c r="S141" s="220">
        <f t="shared" si="38"/>
        <v>4.0604402412053426</v>
      </c>
      <c r="T141" s="220">
        <f t="shared" si="38"/>
        <v>2.015536560109239</v>
      </c>
      <c r="U141" s="219">
        <f t="shared" si="48"/>
        <v>0.75543074254983122</v>
      </c>
      <c r="V141" s="219">
        <f t="shared" si="39"/>
        <v>0.37498354606683515</v>
      </c>
      <c r="W141" s="219">
        <f t="shared" si="49"/>
        <v>3.3050094986555116</v>
      </c>
      <c r="X141" s="219">
        <f t="shared" si="50"/>
        <v>1.6405530140424038</v>
      </c>
      <c r="Y141" s="219">
        <f t="shared" si="51"/>
        <v>0</v>
      </c>
      <c r="Z141" s="219">
        <f t="shared" si="52"/>
        <v>0</v>
      </c>
      <c r="AA141" s="235">
        <v>97136073348.399506</v>
      </c>
      <c r="AB141" s="239">
        <v>97.136073348400004</v>
      </c>
      <c r="AC141" s="237">
        <v>48216768505.137871</v>
      </c>
      <c r="AD141" s="199">
        <v>48.216768505140003</v>
      </c>
    </row>
    <row r="142" spans="1:30">
      <c r="A142" s="221" t="s">
        <v>538</v>
      </c>
      <c r="B142" s="215" t="s">
        <v>560</v>
      </c>
      <c r="C142" s="251">
        <f t="shared" si="40"/>
        <v>2.9594848753592875</v>
      </c>
      <c r="D142" s="252">
        <v>0.22765268271994518</v>
      </c>
      <c r="E142" s="252">
        <v>2.7318321926393425</v>
      </c>
      <c r="F142" s="252">
        <v>5.2360117025587387</v>
      </c>
      <c r="G142" s="253">
        <f t="shared" si="41"/>
        <v>3.3009638994392052</v>
      </c>
      <c r="H142" s="252">
        <v>0.45530536543989036</v>
      </c>
      <c r="I142" s="252">
        <v>2.8456585339993148</v>
      </c>
      <c r="J142" s="252">
        <v>1.0244370722397533</v>
      </c>
      <c r="K142" s="220">
        <f t="shared" si="37"/>
        <v>4.4465087447862421</v>
      </c>
      <c r="L142" s="220">
        <f t="shared" si="37"/>
        <v>4.460852333960978</v>
      </c>
      <c r="M142" s="219">
        <f t="shared" si="42"/>
        <v>0.34203913421432619</v>
      </c>
      <c r="N142" s="219">
        <f t="shared" si="43"/>
        <v>0.34314248722776741</v>
      </c>
      <c r="O142" s="219">
        <f t="shared" si="44"/>
        <v>4.1044696105719156</v>
      </c>
      <c r="P142" s="219">
        <f t="shared" si="45"/>
        <v>4.1177098467332103</v>
      </c>
      <c r="Q142" s="219">
        <f t="shared" si="46"/>
        <v>7.8669000869295029</v>
      </c>
      <c r="R142" s="219">
        <f t="shared" si="47"/>
        <v>7.8922772062386501</v>
      </c>
      <c r="S142" s="220">
        <f t="shared" si="38"/>
        <v>4.9595674461077301</v>
      </c>
      <c r="T142" s="220">
        <f t="shared" si="38"/>
        <v>4.975566064802627</v>
      </c>
      <c r="U142" s="219">
        <f t="shared" si="48"/>
        <v>0.68407826842865238</v>
      </c>
      <c r="V142" s="219">
        <f t="shared" si="39"/>
        <v>0.68628497445553482</v>
      </c>
      <c r="W142" s="219">
        <f t="shared" si="49"/>
        <v>4.275489177679078</v>
      </c>
      <c r="X142" s="219">
        <f t="shared" si="50"/>
        <v>4.2892810903470924</v>
      </c>
      <c r="Y142" s="219">
        <f t="shared" si="51"/>
        <v>1.539176103964468</v>
      </c>
      <c r="Z142" s="219">
        <f t="shared" si="52"/>
        <v>1.5441411925249535</v>
      </c>
      <c r="AA142" s="232">
        <v>66343484468.839996</v>
      </c>
      <c r="AB142" s="239">
        <v>66.343484468840003</v>
      </c>
      <c r="AC142" s="237">
        <v>66557495896.737839</v>
      </c>
      <c r="AD142" s="199">
        <v>66.557495896739994</v>
      </c>
    </row>
    <row r="143" spans="1:30">
      <c r="A143" s="221" t="s">
        <v>452</v>
      </c>
      <c r="B143" s="215" t="s">
        <v>560</v>
      </c>
      <c r="C143" s="251">
        <f t="shared" si="40"/>
        <v>40.522177524150244</v>
      </c>
      <c r="D143" s="252">
        <v>6.7157541402383831</v>
      </c>
      <c r="E143" s="252">
        <v>33.806423383911863</v>
      </c>
      <c r="F143" s="252">
        <v>14.342119011356546</v>
      </c>
      <c r="G143" s="253">
        <f t="shared" si="41"/>
        <v>73.987121883982184</v>
      </c>
      <c r="H143" s="252">
        <v>0</v>
      </c>
      <c r="I143" s="252">
        <v>73.987121883982184</v>
      </c>
      <c r="J143" s="252">
        <v>0</v>
      </c>
      <c r="K143" s="220">
        <f t="shared" si="37"/>
        <v>4.8226309855341976</v>
      </c>
      <c r="L143" s="220">
        <f t="shared" si="37"/>
        <v>4.3458194248526256</v>
      </c>
      <c r="M143" s="219">
        <f t="shared" si="42"/>
        <v>0.79925625883853268</v>
      </c>
      <c r="N143" s="219">
        <f t="shared" si="43"/>
        <v>0.72023411816377791</v>
      </c>
      <c r="O143" s="219">
        <f t="shared" si="44"/>
        <v>4.023374726695665</v>
      </c>
      <c r="P143" s="219">
        <f t="shared" si="45"/>
        <v>3.6255853066888477</v>
      </c>
      <c r="Q143" s="219">
        <f t="shared" si="46"/>
        <v>1.7068862476890698</v>
      </c>
      <c r="R143" s="219">
        <f t="shared" si="47"/>
        <v>1.5381270998073899</v>
      </c>
      <c r="S143" s="220">
        <f t="shared" si="38"/>
        <v>8.8053655634753607</v>
      </c>
      <c r="T143" s="220">
        <f t="shared" si="38"/>
        <v>7.9347826577365348</v>
      </c>
      <c r="U143" s="219">
        <f t="shared" si="48"/>
        <v>0</v>
      </c>
      <c r="V143" s="219">
        <f t="shared" si="39"/>
        <v>0</v>
      </c>
      <c r="W143" s="219">
        <f t="shared" si="49"/>
        <v>8.8053655634753607</v>
      </c>
      <c r="X143" s="219">
        <f t="shared" si="50"/>
        <v>7.9347826577365348</v>
      </c>
      <c r="Y143" s="219">
        <f t="shared" si="51"/>
        <v>0</v>
      </c>
      <c r="Z143" s="219">
        <f t="shared" si="52"/>
        <v>0</v>
      </c>
      <c r="AA143" s="232">
        <v>932440434418.74902</v>
      </c>
      <c r="AB143" s="239">
        <v>932.44043441874999</v>
      </c>
      <c r="AC143" s="237">
        <v>840250428566.88171</v>
      </c>
      <c r="AD143" s="199">
        <v>840.25042856688003</v>
      </c>
    </row>
    <row r="144" spans="1:30">
      <c r="A144" s="221" t="s">
        <v>465</v>
      </c>
      <c r="B144" s="215" t="s">
        <v>560</v>
      </c>
      <c r="C144" s="251">
        <f t="shared" si="40"/>
        <v>39.908289467911899</v>
      </c>
      <c r="D144" s="252">
        <v>2.5266611838450714</v>
      </c>
      <c r="E144" s="252">
        <v>37.381628284066828</v>
      </c>
      <c r="F144" s="252">
        <v>0</v>
      </c>
      <c r="G144" s="253">
        <f t="shared" si="41"/>
        <v>5.6687911176011223</v>
      </c>
      <c r="H144" s="252">
        <v>1.619654605028892</v>
      </c>
      <c r="I144" s="252">
        <v>4.0491365125722298</v>
      </c>
      <c r="J144" s="252">
        <v>0</v>
      </c>
      <c r="K144" s="220">
        <f t="shared" si="37"/>
        <v>19.665156653279531</v>
      </c>
      <c r="L144" s="220">
        <f t="shared" si="37"/>
        <v>20.57406125511077</v>
      </c>
      <c r="M144" s="219">
        <f t="shared" si="42"/>
        <v>1.2450342686329574</v>
      </c>
      <c r="N144" s="219">
        <f t="shared" si="43"/>
        <v>1.3025785534891559</v>
      </c>
      <c r="O144" s="219">
        <f t="shared" si="44"/>
        <v>18.420122384646575</v>
      </c>
      <c r="P144" s="219">
        <f t="shared" si="45"/>
        <v>19.271482701621615</v>
      </c>
      <c r="Q144" s="219">
        <f t="shared" si="46"/>
        <v>0</v>
      </c>
      <c r="R144" s="219">
        <f t="shared" si="47"/>
        <v>0</v>
      </c>
      <c r="S144" s="220">
        <f t="shared" si="38"/>
        <v>2.7933461155226609</v>
      </c>
      <c r="T144" s="220">
        <f t="shared" si="38"/>
        <v>2.9224518828282346</v>
      </c>
      <c r="U144" s="219">
        <f t="shared" si="48"/>
        <v>0.79809889014933166</v>
      </c>
      <c r="V144" s="219">
        <f t="shared" si="39"/>
        <v>0.83498625223663836</v>
      </c>
      <c r="W144" s="219">
        <f t="shared" si="49"/>
        <v>1.9952472253733291</v>
      </c>
      <c r="X144" s="219">
        <f t="shared" si="50"/>
        <v>2.0874656305915962</v>
      </c>
      <c r="Y144" s="219">
        <f t="shared" si="51"/>
        <v>0</v>
      </c>
      <c r="Z144" s="219">
        <f t="shared" si="52"/>
        <v>0</v>
      </c>
      <c r="AA144" s="232">
        <v>193973805040.548</v>
      </c>
      <c r="AB144" s="239">
        <v>193.97380504054999</v>
      </c>
      <c r="AC144" s="237">
        <v>202939087501.52551</v>
      </c>
      <c r="AD144" s="199">
        <v>202.93908750153</v>
      </c>
    </row>
    <row r="145" spans="1:30">
      <c r="A145" s="221" t="s">
        <v>451</v>
      </c>
      <c r="B145" s="215" t="s">
        <v>560</v>
      </c>
      <c r="C145" s="251">
        <f t="shared" si="40"/>
        <v>13.348965621899447</v>
      </c>
      <c r="D145" s="252">
        <v>1.1414792455781</v>
      </c>
      <c r="E145" s="252">
        <v>12.207486376321347</v>
      </c>
      <c r="F145" s="252">
        <v>0</v>
      </c>
      <c r="G145" s="253">
        <f t="shared" si="41"/>
        <v>13.740027956032684</v>
      </c>
      <c r="H145" s="252">
        <v>5.4960111824130733</v>
      </c>
      <c r="I145" s="252">
        <v>8.2440167736196095</v>
      </c>
      <c r="J145" s="252">
        <v>0</v>
      </c>
      <c r="K145" s="220">
        <f t="shared" si="37"/>
        <v>3.2538664984422607</v>
      </c>
      <c r="L145" s="220">
        <f t="shared" si="37"/>
        <v>4.0395803375278465</v>
      </c>
      <c r="M145" s="219">
        <f t="shared" si="42"/>
        <v>0.27824036566252114</v>
      </c>
      <c r="N145" s="219">
        <f t="shared" si="43"/>
        <v>0.34542729727078975</v>
      </c>
      <c r="O145" s="219">
        <f t="shared" si="44"/>
        <v>2.9756261327797398</v>
      </c>
      <c r="P145" s="219">
        <f t="shared" si="45"/>
        <v>3.6941530402570568</v>
      </c>
      <c r="Q145" s="219">
        <f t="shared" si="46"/>
        <v>0</v>
      </c>
      <c r="R145" s="219">
        <f t="shared" si="47"/>
        <v>0</v>
      </c>
      <c r="S145" s="220">
        <f t="shared" si="38"/>
        <v>3.3491895866784946</v>
      </c>
      <c r="T145" s="220">
        <f t="shared" si="38"/>
        <v>4.1579211708520978</v>
      </c>
      <c r="U145" s="219">
        <f t="shared" si="48"/>
        <v>1.3396758346713979</v>
      </c>
      <c r="V145" s="219">
        <f t="shared" si="39"/>
        <v>1.6631684683408392</v>
      </c>
      <c r="W145" s="219">
        <f t="shared" si="49"/>
        <v>2.0095137520070967</v>
      </c>
      <c r="X145" s="219">
        <f t="shared" si="50"/>
        <v>2.4947527025112586</v>
      </c>
      <c r="Y145" s="219">
        <f t="shared" si="51"/>
        <v>0</v>
      </c>
      <c r="Z145" s="219">
        <f t="shared" si="52"/>
        <v>0</v>
      </c>
      <c r="AA145" s="232">
        <v>330454267684.37299</v>
      </c>
      <c r="AB145" s="239">
        <v>330.45426768437</v>
      </c>
      <c r="AC145" s="237">
        <v>410249333471.11688</v>
      </c>
      <c r="AD145" s="199">
        <v>410.24933347112</v>
      </c>
    </row>
    <row r="146" spans="1:30">
      <c r="A146" s="221" t="s">
        <v>539</v>
      </c>
      <c r="B146" s="215" t="s">
        <v>560</v>
      </c>
      <c r="C146" s="251">
        <f t="shared" si="40"/>
        <v>10.813502429197396</v>
      </c>
      <c r="D146" s="252">
        <v>2.5041795099193971</v>
      </c>
      <c r="E146" s="252">
        <v>8.3093229192779994</v>
      </c>
      <c r="F146" s="252">
        <v>8.9922809674378357</v>
      </c>
      <c r="G146" s="253">
        <f t="shared" si="41"/>
        <v>14.797424376796437</v>
      </c>
      <c r="H146" s="252">
        <v>0</v>
      </c>
      <c r="I146" s="252">
        <v>14.797424376796437</v>
      </c>
      <c r="J146" s="252">
        <v>0</v>
      </c>
      <c r="K146" s="220">
        <f t="shared" si="37"/>
        <v>4.8630089152951665</v>
      </c>
      <c r="L146" s="220">
        <f t="shared" si="37"/>
        <v>3.1691083606135417</v>
      </c>
      <c r="M146" s="219">
        <f t="shared" si="42"/>
        <v>1.1261704856473016</v>
      </c>
      <c r="N146" s="219">
        <f t="shared" si="43"/>
        <v>0.73389877824734639</v>
      </c>
      <c r="O146" s="219">
        <f t="shared" si="44"/>
        <v>3.7368384296478645</v>
      </c>
      <c r="P146" s="219">
        <f t="shared" si="45"/>
        <v>2.4352095823661952</v>
      </c>
      <c r="Q146" s="219">
        <f t="shared" si="46"/>
        <v>4.0439758348244021</v>
      </c>
      <c r="R146" s="219">
        <f t="shared" si="47"/>
        <v>2.6353637946154715</v>
      </c>
      <c r="S146" s="220">
        <f t="shared" si="38"/>
        <v>6.6546437788249646</v>
      </c>
      <c r="T146" s="220">
        <f t="shared" si="38"/>
        <v>4.3366745987343203</v>
      </c>
      <c r="U146" s="219">
        <f t="shared" si="48"/>
        <v>0</v>
      </c>
      <c r="V146" s="219">
        <f t="shared" si="39"/>
        <v>0</v>
      </c>
      <c r="W146" s="219">
        <f t="shared" si="49"/>
        <v>6.6546437788249646</v>
      </c>
      <c r="X146" s="219">
        <f t="shared" si="50"/>
        <v>4.3366745987343203</v>
      </c>
      <c r="Y146" s="219">
        <f t="shared" si="51"/>
        <v>0</v>
      </c>
      <c r="Z146" s="219">
        <f t="shared" si="52"/>
        <v>0</v>
      </c>
      <c r="AA146" s="232">
        <v>341215925702.96198</v>
      </c>
      <c r="AB146" s="239">
        <v>341.21592570296002</v>
      </c>
      <c r="AC146" s="237">
        <v>222362381347.61981</v>
      </c>
      <c r="AD146" s="199">
        <v>222.36238134761999</v>
      </c>
    </row>
    <row r="147" spans="1:30">
      <c r="A147" s="221" t="s">
        <v>540</v>
      </c>
      <c r="B147" s="215" t="s">
        <v>560</v>
      </c>
      <c r="C147" s="251">
        <f t="shared" si="40"/>
        <v>3.9671784617144987</v>
      </c>
      <c r="D147" s="252">
        <v>0.153665560835963</v>
      </c>
      <c r="E147" s="252">
        <v>3.8135129008785356</v>
      </c>
      <c r="F147" s="252">
        <v>0.54465904340746885</v>
      </c>
      <c r="G147" s="253">
        <f t="shared" si="41"/>
        <v>4.5644362885349006</v>
      </c>
      <c r="H147" s="252">
        <v>0</v>
      </c>
      <c r="I147" s="252">
        <v>4.5644362885349006</v>
      </c>
      <c r="J147" s="252">
        <v>0</v>
      </c>
      <c r="K147" s="220">
        <f t="shared" si="37"/>
        <v>3.9875524152233366</v>
      </c>
      <c r="L147" s="220">
        <f t="shared" si="37"/>
        <v>2.1832262350709453</v>
      </c>
      <c r="M147" s="219">
        <f t="shared" si="42"/>
        <v>0.15445473002071108</v>
      </c>
      <c r="N147" s="219">
        <f t="shared" si="43"/>
        <v>8.4565563934569557E-2</v>
      </c>
      <c r="O147" s="219">
        <f t="shared" si="44"/>
        <v>3.8330976852026257</v>
      </c>
      <c r="P147" s="219">
        <f t="shared" si="45"/>
        <v>2.0986606711363756</v>
      </c>
      <c r="Q147" s="219">
        <f t="shared" si="46"/>
        <v>0.54745620974007603</v>
      </c>
      <c r="R147" s="219">
        <f t="shared" si="47"/>
        <v>0.29973794327919656</v>
      </c>
      <c r="S147" s="220">
        <f t="shared" si="38"/>
        <v>4.5878775361707511</v>
      </c>
      <c r="T147" s="220">
        <f t="shared" si="38"/>
        <v>2.5119104546490658</v>
      </c>
      <c r="U147" s="219">
        <f t="shared" si="48"/>
        <v>0</v>
      </c>
      <c r="V147" s="219">
        <f t="shared" si="39"/>
        <v>0</v>
      </c>
      <c r="W147" s="219">
        <f t="shared" si="49"/>
        <v>4.5878775361707511</v>
      </c>
      <c r="X147" s="219">
        <f t="shared" si="50"/>
        <v>2.5119104546490658</v>
      </c>
      <c r="Y147" s="219">
        <f t="shared" si="51"/>
        <v>0</v>
      </c>
      <c r="Z147" s="219">
        <f t="shared" si="52"/>
        <v>0</v>
      </c>
      <c r="AA147" s="232">
        <v>181711743748.14999</v>
      </c>
      <c r="AB147" s="239">
        <v>181.71174374815001</v>
      </c>
      <c r="AC147" s="237">
        <v>99489061173.693314</v>
      </c>
      <c r="AD147" s="199">
        <v>99.489061173690004</v>
      </c>
    </row>
    <row r="148" spans="1:30">
      <c r="A148" s="222" t="s">
        <v>541</v>
      </c>
      <c r="B148" s="255" t="s">
        <v>560</v>
      </c>
      <c r="C148" s="251">
        <f t="shared" si="40"/>
        <v>2.7659800950473437</v>
      </c>
      <c r="D148" s="252">
        <v>0.45530536543989192</v>
      </c>
      <c r="E148" s="252">
        <v>2.3106747296074519</v>
      </c>
      <c r="F148" s="252">
        <v>0.1</v>
      </c>
      <c r="G148" s="253">
        <f t="shared" si="41"/>
        <v>3.5</v>
      </c>
      <c r="H148" s="252">
        <v>1</v>
      </c>
      <c r="I148" s="252">
        <v>2.5</v>
      </c>
      <c r="J148" s="252">
        <v>0</v>
      </c>
      <c r="K148" s="220">
        <f t="shared" si="37"/>
        <v>5.4860988474153745</v>
      </c>
      <c r="L148" s="220">
        <f t="shared" si="37"/>
        <v>3.6376590060985183</v>
      </c>
      <c r="M148" s="219">
        <f t="shared" si="42"/>
        <v>0.90306153866919725</v>
      </c>
      <c r="N148" s="219">
        <f t="shared" si="43"/>
        <v>0.59879160594214276</v>
      </c>
      <c r="O148" s="219">
        <f t="shared" si="44"/>
        <v>4.5830373087461771</v>
      </c>
      <c r="P148" s="219">
        <f t="shared" si="45"/>
        <v>3.0388674001563754</v>
      </c>
      <c r="Q148" s="219">
        <f t="shared" si="46"/>
        <v>0.19834194964882682</v>
      </c>
      <c r="R148" s="219">
        <f t="shared" si="47"/>
        <v>0.13151428720011285</v>
      </c>
      <c r="S148" s="220">
        <f t="shared" si="38"/>
        <v>6.9419682377089371</v>
      </c>
      <c r="T148" s="220">
        <f t="shared" si="38"/>
        <v>4.6030000520039493</v>
      </c>
      <c r="U148" s="219">
        <f t="shared" si="48"/>
        <v>1.9834194964882681</v>
      </c>
      <c r="V148" s="219">
        <f t="shared" si="39"/>
        <v>1.3151428720011284</v>
      </c>
      <c r="W148" s="219">
        <f t="shared" si="49"/>
        <v>4.9585487412206692</v>
      </c>
      <c r="X148" s="219">
        <f t="shared" si="50"/>
        <v>3.2878571800028213</v>
      </c>
      <c r="Y148" s="219">
        <f t="shared" si="51"/>
        <v>0</v>
      </c>
      <c r="Z148" s="219">
        <f t="shared" si="52"/>
        <v>0</v>
      </c>
      <c r="AA148" s="232">
        <v>76037366075.546799</v>
      </c>
      <c r="AB148" s="239">
        <v>76.037366075549997</v>
      </c>
      <c r="AC148" s="237">
        <v>50417977728.390221</v>
      </c>
      <c r="AD148" s="199">
        <v>50.417977728389999</v>
      </c>
    </row>
    <row r="149" spans="1:30">
      <c r="A149" s="221" t="s">
        <v>450</v>
      </c>
      <c r="B149" s="215" t="s">
        <v>560</v>
      </c>
      <c r="C149" s="251">
        <f t="shared" si="40"/>
        <v>22.325028541088955</v>
      </c>
      <c r="D149" s="252">
        <v>4.0762172736226612</v>
      </c>
      <c r="E149" s="252">
        <v>18.248811267466294</v>
      </c>
      <c r="F149" s="252">
        <v>36.259500442474554</v>
      </c>
      <c r="G149" s="253">
        <f t="shared" si="41"/>
        <v>28.325705271031612</v>
      </c>
      <c r="H149" s="252">
        <v>1.2663765826177678</v>
      </c>
      <c r="I149" s="252">
        <v>27.059328688413846</v>
      </c>
      <c r="J149" s="252">
        <v>0</v>
      </c>
      <c r="K149" s="220">
        <f t="shared" si="37"/>
        <v>4.0604154975673596</v>
      </c>
      <c r="L149" s="220">
        <f t="shared" si="37"/>
        <v>4.2849973345248626</v>
      </c>
      <c r="M149" s="219">
        <f t="shared" si="42"/>
        <v>0.7413713160010994</v>
      </c>
      <c r="N149" s="219">
        <f t="shared" si="43"/>
        <v>0.78237661019202132</v>
      </c>
      <c r="O149" s="219">
        <f t="shared" si="44"/>
        <v>3.3190441815662601</v>
      </c>
      <c r="P149" s="219">
        <f t="shared" si="45"/>
        <v>3.5026207243328411</v>
      </c>
      <c r="Q149" s="219">
        <f t="shared" si="46"/>
        <v>6.594779364322048</v>
      </c>
      <c r="R149" s="219">
        <f t="shared" si="47"/>
        <v>6.9595370264027405</v>
      </c>
      <c r="S149" s="220">
        <f t="shared" si="38"/>
        <v>5.1518022675912833</v>
      </c>
      <c r="T149" s="220">
        <f t="shared" si="38"/>
        <v>5.4367487755510364</v>
      </c>
      <c r="U149" s="219">
        <f t="shared" si="48"/>
        <v>0.23032513003751623</v>
      </c>
      <c r="V149" s="219">
        <f t="shared" si="39"/>
        <v>0.24306442748928966</v>
      </c>
      <c r="W149" s="219">
        <f t="shared" si="49"/>
        <v>4.9214771375537669</v>
      </c>
      <c r="X149" s="219">
        <f t="shared" si="50"/>
        <v>5.1936843480617467</v>
      </c>
      <c r="Y149" s="219">
        <f t="shared" si="51"/>
        <v>0</v>
      </c>
      <c r="Z149" s="219">
        <f t="shared" si="52"/>
        <v>0</v>
      </c>
      <c r="AA149" s="232">
        <v>521004490742.91901</v>
      </c>
      <c r="AB149" s="239">
        <v>521.00449074291998</v>
      </c>
      <c r="AC149" s="237">
        <v>549821281946.73523</v>
      </c>
      <c r="AD149" s="199">
        <v>549.82128194673999</v>
      </c>
    </row>
    <row r="150" spans="1:30">
      <c r="A150" s="221" t="s">
        <v>453</v>
      </c>
      <c r="B150" s="215" t="s">
        <v>560</v>
      </c>
      <c r="C150" s="251">
        <f t="shared" si="40"/>
        <v>39.489616738061301</v>
      </c>
      <c r="D150" s="252">
        <v>3.1894478304486302</v>
      </c>
      <c r="E150" s="252">
        <v>36.300168907612672</v>
      </c>
      <c r="F150" s="252">
        <v>0</v>
      </c>
      <c r="G150" s="253">
        <f t="shared" si="41"/>
        <v>44.864899481644059</v>
      </c>
      <c r="H150" s="252">
        <v>0.85051942145296811</v>
      </c>
      <c r="I150" s="252">
        <v>44.014380060191094</v>
      </c>
      <c r="J150" s="252">
        <v>0</v>
      </c>
      <c r="K150" s="220">
        <f t="shared" si="37"/>
        <v>5.2856511377155213</v>
      </c>
      <c r="L150" s="220">
        <f t="shared" si="37"/>
        <v>6.6839313543188199</v>
      </c>
      <c r="M150" s="219">
        <f t="shared" si="42"/>
        <v>0.42690484097422365</v>
      </c>
      <c r="N150" s="219">
        <f t="shared" si="43"/>
        <v>0.53983938356010286</v>
      </c>
      <c r="O150" s="219">
        <f t="shared" si="44"/>
        <v>4.8587462967412973</v>
      </c>
      <c r="P150" s="219">
        <f t="shared" si="45"/>
        <v>6.1440919707587174</v>
      </c>
      <c r="Q150" s="219">
        <f t="shared" si="46"/>
        <v>0</v>
      </c>
      <c r="R150" s="219">
        <f t="shared" si="47"/>
        <v>0</v>
      </c>
      <c r="S150" s="220">
        <f t="shared" si="38"/>
        <v>6.0051280963707461</v>
      </c>
      <c r="T150" s="220">
        <f t="shared" si="38"/>
        <v>7.5937406620787797</v>
      </c>
      <c r="U150" s="219">
        <f t="shared" si="48"/>
        <v>0.11384129092645967</v>
      </c>
      <c r="V150" s="219">
        <f t="shared" si="39"/>
        <v>0.14395716894936081</v>
      </c>
      <c r="W150" s="219">
        <f t="shared" si="49"/>
        <v>5.8912868054442864</v>
      </c>
      <c r="X150" s="219">
        <f t="shared" si="50"/>
        <v>7.4497834931294191</v>
      </c>
      <c r="Y150" s="219">
        <f t="shared" si="51"/>
        <v>0</v>
      </c>
      <c r="Z150" s="219">
        <f t="shared" si="52"/>
        <v>0</v>
      </c>
      <c r="AA150" s="232">
        <v>590814217631.73499</v>
      </c>
      <c r="AB150" s="239">
        <v>590.81421763174001</v>
      </c>
      <c r="AC150" s="237">
        <v>747109782866.38879</v>
      </c>
      <c r="AD150" s="199">
        <v>747.10978286638999</v>
      </c>
    </row>
    <row r="151" spans="1:30">
      <c r="A151" s="217" t="s">
        <v>490</v>
      </c>
      <c r="B151" s="215" t="s">
        <v>560</v>
      </c>
      <c r="C151" s="251">
        <f t="shared" si="40"/>
        <v>20.735557264419626</v>
      </c>
      <c r="D151" s="252">
        <v>2.21544520875785</v>
      </c>
      <c r="E151" s="252">
        <v>18.520112055661777</v>
      </c>
      <c r="F151" s="252">
        <v>3.04</v>
      </c>
      <c r="G151" s="253">
        <f t="shared" si="41"/>
        <v>0</v>
      </c>
      <c r="H151" s="252">
        <v>0</v>
      </c>
      <c r="I151" s="252">
        <v>0</v>
      </c>
      <c r="J151" s="252">
        <v>4.5003203243428693</v>
      </c>
      <c r="K151" s="220">
        <f t="shared" si="37"/>
        <v>7.9155597092716778</v>
      </c>
      <c r="L151" s="220">
        <f t="shared" si="37"/>
        <v>4.6988645618176559</v>
      </c>
      <c r="M151" s="219">
        <f t="shared" si="42"/>
        <v>0.84572064347813192</v>
      </c>
      <c r="N151" s="219">
        <f t="shared" si="43"/>
        <v>0.50203989443504105</v>
      </c>
      <c r="O151" s="219">
        <f t="shared" si="44"/>
        <v>7.0698390657935457</v>
      </c>
      <c r="P151" s="219">
        <f t="shared" si="45"/>
        <v>4.1968246673826144</v>
      </c>
      <c r="Q151" s="219">
        <f t="shared" si="46"/>
        <v>1.1604849201461482</v>
      </c>
      <c r="R151" s="219">
        <f t="shared" si="47"/>
        <v>0.688891457594761</v>
      </c>
      <c r="S151" s="220">
        <f t="shared" si="38"/>
        <v>0</v>
      </c>
      <c r="T151" s="220">
        <f t="shared" si="38"/>
        <v>0</v>
      </c>
      <c r="U151" s="219">
        <f t="shared" si="48"/>
        <v>0</v>
      </c>
      <c r="V151" s="219">
        <f t="shared" si="39"/>
        <v>0</v>
      </c>
      <c r="W151" s="219">
        <f t="shared" si="49"/>
        <v>0</v>
      </c>
      <c r="X151" s="219">
        <f t="shared" si="50"/>
        <v>0</v>
      </c>
      <c r="Y151" s="219">
        <f t="shared" si="51"/>
        <v>1.7179453527062905</v>
      </c>
      <c r="Z151" s="219">
        <f t="shared" si="52"/>
        <v>1.0198132328552258</v>
      </c>
      <c r="AA151" s="232">
        <v>441288677118.17102</v>
      </c>
      <c r="AB151" s="239">
        <v>441.28867711817003</v>
      </c>
      <c r="AC151" s="237">
        <v>261959457397.9639</v>
      </c>
      <c r="AD151" s="199">
        <v>261.95945739796002</v>
      </c>
    </row>
    <row r="152" spans="1:30">
      <c r="A152" s="217" t="s">
        <v>481</v>
      </c>
      <c r="B152" s="215" t="s">
        <v>560</v>
      </c>
      <c r="C152" s="251">
        <f t="shared" si="40"/>
        <v>11.060053989571156</v>
      </c>
      <c r="D152" s="252">
        <v>2.9135225289071882</v>
      </c>
      <c r="E152" s="252">
        <v>8.1465314606639669</v>
      </c>
      <c r="F152" s="252">
        <v>0.10756165425876577</v>
      </c>
      <c r="G152" s="253">
        <f t="shared" si="41"/>
        <v>15.41143382219596</v>
      </c>
      <c r="H152" s="252">
        <v>8.5363617861112981</v>
      </c>
      <c r="I152" s="252">
        <v>6.8750720360846609</v>
      </c>
      <c r="J152" s="252">
        <v>0</v>
      </c>
      <c r="K152" s="220">
        <f t="shared" si="37"/>
        <v>3.4411515416001333</v>
      </c>
      <c r="L152" s="220">
        <f t="shared" si="37"/>
        <v>1.6018173047492037</v>
      </c>
      <c r="M152" s="219">
        <f t="shared" si="42"/>
        <v>0.90649399643883966</v>
      </c>
      <c r="N152" s="219">
        <f t="shared" si="43"/>
        <v>0.42196275072262579</v>
      </c>
      <c r="O152" s="219">
        <f t="shared" si="44"/>
        <v>2.5346575451612936</v>
      </c>
      <c r="P152" s="219">
        <f t="shared" si="45"/>
        <v>1.1798545540265779</v>
      </c>
      <c r="Q152" s="219">
        <f t="shared" si="46"/>
        <v>3.3466016777008889E-2</v>
      </c>
      <c r="R152" s="219">
        <f t="shared" si="47"/>
        <v>1.5578054074745292E-2</v>
      </c>
      <c r="S152" s="220">
        <f t="shared" si="38"/>
        <v>4.7950108838098338</v>
      </c>
      <c r="T152" s="220">
        <f t="shared" si="38"/>
        <v>2.2320235878295058</v>
      </c>
      <c r="U152" s="219">
        <f t="shared" si="48"/>
        <v>2.6559467564653678</v>
      </c>
      <c r="V152" s="219">
        <f t="shared" si="39"/>
        <v>1.2363133165069735</v>
      </c>
      <c r="W152" s="219">
        <f t="shared" si="49"/>
        <v>2.1390641273444655</v>
      </c>
      <c r="X152" s="219">
        <f t="shared" si="50"/>
        <v>0.99571027132253231</v>
      </c>
      <c r="Y152" s="219">
        <f t="shared" si="51"/>
        <v>0</v>
      </c>
      <c r="Z152" s="219">
        <f t="shared" si="52"/>
        <v>0</v>
      </c>
      <c r="AA152" s="232">
        <v>690469128831.32397</v>
      </c>
      <c r="AB152" s="239">
        <v>690.46912883131995</v>
      </c>
      <c r="AC152" s="237">
        <v>321405606694.9129</v>
      </c>
      <c r="AD152" s="199">
        <v>321.40560669490998</v>
      </c>
    </row>
    <row r="153" spans="1:30">
      <c r="A153" s="217" t="s">
        <v>542</v>
      </c>
      <c r="B153" s="215" t="s">
        <v>560</v>
      </c>
      <c r="C153" s="251">
        <f t="shared" si="40"/>
        <v>0.84666152667042227</v>
      </c>
      <c r="D153" s="252">
        <v>0.1953834292316359</v>
      </c>
      <c r="E153" s="252">
        <v>0.6512780974387864</v>
      </c>
      <c r="F153" s="252">
        <v>0.40447797630408838</v>
      </c>
      <c r="G153" s="253">
        <f t="shared" si="41"/>
        <v>0</v>
      </c>
      <c r="H153" s="252">
        <v>0</v>
      </c>
      <c r="I153" s="252">
        <v>0</v>
      </c>
      <c r="J153" s="252">
        <v>0</v>
      </c>
      <c r="K153" s="220">
        <f t="shared" si="37"/>
        <v>1.3150492804551615</v>
      </c>
      <c r="L153" s="220">
        <f t="shared" si="37"/>
        <v>0.92801617704075523</v>
      </c>
      <c r="M153" s="219">
        <f t="shared" si="42"/>
        <v>0.30347291087426803</v>
      </c>
      <c r="N153" s="219">
        <f t="shared" si="43"/>
        <v>0.21415757931709736</v>
      </c>
      <c r="O153" s="219">
        <f t="shared" si="44"/>
        <v>1.0115763695808935</v>
      </c>
      <c r="P153" s="219">
        <f t="shared" si="45"/>
        <v>0.71385859772365789</v>
      </c>
      <c r="Q153" s="219">
        <f t="shared" si="46"/>
        <v>0.62824216637129171</v>
      </c>
      <c r="R153" s="219">
        <f t="shared" si="47"/>
        <v>0.44334376069153497</v>
      </c>
      <c r="S153" s="220">
        <f t="shared" si="38"/>
        <v>0</v>
      </c>
      <c r="T153" s="220">
        <f t="shared" si="38"/>
        <v>0</v>
      </c>
      <c r="U153" s="219">
        <f t="shared" si="48"/>
        <v>0</v>
      </c>
      <c r="V153" s="219">
        <f t="shared" si="39"/>
        <v>0</v>
      </c>
      <c r="W153" s="219">
        <f t="shared" si="49"/>
        <v>0</v>
      </c>
      <c r="X153" s="219">
        <f t="shared" si="50"/>
        <v>0</v>
      </c>
      <c r="Y153" s="219">
        <f t="shared" si="51"/>
        <v>0</v>
      </c>
      <c r="Z153" s="219">
        <f t="shared" si="52"/>
        <v>0</v>
      </c>
      <c r="AA153" s="232">
        <v>91233487908.610901</v>
      </c>
      <c r="AB153" s="239">
        <v>91.233487908610002</v>
      </c>
      <c r="AC153" s="237">
        <v>64382494196.515457</v>
      </c>
      <c r="AD153" s="199">
        <v>64.38249419652</v>
      </c>
    </row>
    <row r="154" spans="1:30">
      <c r="A154" s="217" t="s">
        <v>543</v>
      </c>
      <c r="B154" s="215" t="s">
        <v>560</v>
      </c>
      <c r="C154" s="251">
        <f t="shared" si="40"/>
        <v>5.9975490460949956</v>
      </c>
      <c r="D154" s="252">
        <v>1.7694150329493317</v>
      </c>
      <c r="E154" s="252">
        <v>4.2281340131456639</v>
      </c>
      <c r="F154" s="252">
        <v>0</v>
      </c>
      <c r="G154" s="253">
        <f t="shared" si="41"/>
        <v>6.6270225953158493</v>
      </c>
      <c r="H154" s="252">
        <v>0</v>
      </c>
      <c r="I154" s="252">
        <v>6.6270225953158493</v>
      </c>
      <c r="J154" s="252">
        <v>0</v>
      </c>
      <c r="K154" s="220">
        <f t="shared" si="37"/>
        <v>4.0693359469700905</v>
      </c>
      <c r="L154" s="220">
        <f t="shared" si="37"/>
        <v>1.9353914644892853</v>
      </c>
      <c r="M154" s="219">
        <f t="shared" si="42"/>
        <v>1.2005477809936589</v>
      </c>
      <c r="N154" s="219">
        <f t="shared" si="43"/>
        <v>0.57098503498505992</v>
      </c>
      <c r="O154" s="219">
        <f t="shared" si="44"/>
        <v>2.8687881659764316</v>
      </c>
      <c r="P154" s="219">
        <f t="shared" si="45"/>
        <v>1.3644064295042255</v>
      </c>
      <c r="Q154" s="219">
        <f t="shared" si="46"/>
        <v>0</v>
      </c>
      <c r="R154" s="219">
        <f t="shared" si="47"/>
        <v>0</v>
      </c>
      <c r="S154" s="220">
        <f t="shared" si="38"/>
        <v>4.4964336366803703</v>
      </c>
      <c r="T154" s="220">
        <f t="shared" si="38"/>
        <v>2.1385207302811238</v>
      </c>
      <c r="U154" s="219">
        <f t="shared" si="48"/>
        <v>0</v>
      </c>
      <c r="V154" s="219">
        <f t="shared" si="39"/>
        <v>0</v>
      </c>
      <c r="W154" s="219">
        <f t="shared" si="49"/>
        <v>4.4964336366803703</v>
      </c>
      <c r="X154" s="219">
        <f t="shared" si="50"/>
        <v>2.1385207302811238</v>
      </c>
      <c r="Y154" s="219">
        <f t="shared" si="51"/>
        <v>0</v>
      </c>
      <c r="Z154" s="219">
        <f t="shared" si="52"/>
        <v>0</v>
      </c>
      <c r="AA154" s="232">
        <v>309888162479.70697</v>
      </c>
      <c r="AB154" s="239">
        <v>309.88816247970999</v>
      </c>
      <c r="AC154" s="237">
        <v>147383974295.86609</v>
      </c>
      <c r="AD154" s="199">
        <v>147.38397429586999</v>
      </c>
    </row>
    <row r="155" spans="1:30">
      <c r="A155" s="217" t="s">
        <v>487</v>
      </c>
      <c r="B155" s="215" t="s">
        <v>560</v>
      </c>
      <c r="C155" s="251">
        <f t="shared" si="40"/>
        <v>44.709731424704025</v>
      </c>
      <c r="D155" s="252">
        <v>2.1654285875212778</v>
      </c>
      <c r="E155" s="252">
        <v>42.544302837182748</v>
      </c>
      <c r="F155" s="252">
        <v>0</v>
      </c>
      <c r="G155" s="253">
        <f t="shared" si="41"/>
        <v>31.58978174736923</v>
      </c>
      <c r="H155" s="252">
        <v>12.737815220713399</v>
      </c>
      <c r="I155" s="252">
        <v>18.851966526655829</v>
      </c>
      <c r="J155" s="252">
        <v>0</v>
      </c>
      <c r="K155" s="220">
        <f t="shared" si="37"/>
        <v>7.8231824263139735</v>
      </c>
      <c r="L155" s="220">
        <f t="shared" si="37"/>
        <v>3.6785330081688583</v>
      </c>
      <c r="M155" s="219">
        <f t="shared" si="42"/>
        <v>0.37890057335423805</v>
      </c>
      <c r="N155" s="219">
        <f t="shared" si="43"/>
        <v>0.17816256734720967</v>
      </c>
      <c r="O155" s="219">
        <f t="shared" si="44"/>
        <v>7.4442818529597359</v>
      </c>
      <c r="P155" s="219">
        <f t="shared" si="45"/>
        <v>3.5003704408216487</v>
      </c>
      <c r="Q155" s="219">
        <f t="shared" si="46"/>
        <v>0</v>
      </c>
      <c r="R155" s="219">
        <f t="shared" si="47"/>
        <v>0</v>
      </c>
      <c r="S155" s="220">
        <f t="shared" si="38"/>
        <v>5.5274907171677086</v>
      </c>
      <c r="T155" s="220">
        <f t="shared" si="38"/>
        <v>2.5990774530651759</v>
      </c>
      <c r="U155" s="219">
        <f t="shared" si="48"/>
        <v>2.2288269020837537</v>
      </c>
      <c r="V155" s="219">
        <f t="shared" si="39"/>
        <v>1.0480151020424098</v>
      </c>
      <c r="W155" s="219">
        <f t="shared" si="49"/>
        <v>3.2986638150839549</v>
      </c>
      <c r="X155" s="219">
        <f t="shared" si="50"/>
        <v>1.5510623510227664</v>
      </c>
      <c r="Y155" s="219">
        <f t="shared" si="51"/>
        <v>0</v>
      </c>
      <c r="Z155" s="219">
        <f t="shared" si="52"/>
        <v>0</v>
      </c>
      <c r="AA155" s="232">
        <v>1215422868992.01</v>
      </c>
      <c r="AB155" s="239">
        <v>1215.4228689920101</v>
      </c>
      <c r="AC155" s="237">
        <v>571503117124.28699</v>
      </c>
      <c r="AD155" s="199">
        <v>571.50311712429004</v>
      </c>
    </row>
    <row r="156" spans="1:30">
      <c r="A156" s="217"/>
      <c r="B156" s="215"/>
      <c r="C156" s="251"/>
      <c r="D156" s="252"/>
      <c r="E156" s="252"/>
      <c r="F156" s="252"/>
      <c r="G156" s="253"/>
      <c r="H156" s="252"/>
      <c r="I156" s="252"/>
      <c r="J156" s="252"/>
      <c r="K156" s="220"/>
      <c r="L156" s="220"/>
      <c r="M156" s="219"/>
      <c r="N156" s="219"/>
      <c r="O156" s="219"/>
      <c r="P156" s="219"/>
      <c r="Q156" s="219"/>
      <c r="R156" s="219"/>
      <c r="S156" s="220"/>
      <c r="T156" s="220"/>
      <c r="U156" s="219"/>
      <c r="V156" s="219"/>
      <c r="W156" s="219"/>
      <c r="X156" s="219"/>
      <c r="Y156" s="219"/>
      <c r="Z156" s="219"/>
      <c r="AA156" s="238"/>
      <c r="AB156" s="239"/>
      <c r="AC156" s="237"/>
    </row>
    <row r="157" spans="1:30">
      <c r="A157" s="217" t="s">
        <v>461</v>
      </c>
      <c r="B157" s="215" t="s">
        <v>561</v>
      </c>
      <c r="C157" s="251">
        <f t="shared" si="40"/>
        <v>219.27816741903561</v>
      </c>
      <c r="D157" s="252">
        <v>11.461012528828688</v>
      </c>
      <c r="E157" s="252">
        <v>207.81715489020692</v>
      </c>
      <c r="F157" s="252">
        <v>0</v>
      </c>
      <c r="G157" s="253">
        <f t="shared" si="41"/>
        <v>24.164785452349641</v>
      </c>
      <c r="H157" s="252">
        <v>10.356336622435562</v>
      </c>
      <c r="I157" s="252">
        <v>13.808448829914079</v>
      </c>
      <c r="J157" s="252">
        <v>0</v>
      </c>
      <c r="K157" s="220">
        <f t="shared" ref="K157:L194" si="53">M157+O157</f>
        <v>14.669659786231424</v>
      </c>
      <c r="L157" s="220">
        <f t="shared" si="53"/>
        <v>17.878137584491526</v>
      </c>
      <c r="M157" s="219">
        <f t="shared" si="42"/>
        <v>0.76673914499824203</v>
      </c>
      <c r="N157" s="219">
        <f t="shared" si="43"/>
        <v>0.93443666216171062</v>
      </c>
      <c r="O157" s="219">
        <f t="shared" si="44"/>
        <v>13.902920641233182</v>
      </c>
      <c r="P157" s="219">
        <f t="shared" si="45"/>
        <v>16.943700922329814</v>
      </c>
      <c r="Q157" s="219">
        <f t="shared" si="46"/>
        <v>0</v>
      </c>
      <c r="R157" s="219">
        <f t="shared" si="47"/>
        <v>0</v>
      </c>
      <c r="S157" s="220">
        <f t="shared" ref="S157:T194" si="54">U157+W157</f>
        <v>1.6166186792131607</v>
      </c>
      <c r="T157" s="220">
        <f t="shared" si="54"/>
        <v>1.9701977816662573</v>
      </c>
      <c r="U157" s="219">
        <f t="shared" si="48"/>
        <v>0.69283657680564037</v>
      </c>
      <c r="V157" s="219">
        <f t="shared" ref="V157:V194" si="55">($H157/AB157)*100</f>
        <v>0.84437047785696751</v>
      </c>
      <c r="W157" s="219">
        <f t="shared" si="49"/>
        <v>0.92378210240752023</v>
      </c>
      <c r="X157" s="219">
        <f t="shared" si="50"/>
        <v>1.1258273038092899</v>
      </c>
      <c r="Y157" s="219">
        <f t="shared" si="51"/>
        <v>0</v>
      </c>
      <c r="Z157" s="219">
        <f t="shared" si="52"/>
        <v>0</v>
      </c>
      <c r="AA157" s="232">
        <v>1226515717214.5801</v>
      </c>
      <c r="AB157" s="239">
        <v>1226.51571721458</v>
      </c>
      <c r="AC157" s="237">
        <v>1494773366351.988</v>
      </c>
      <c r="AD157" s="199">
        <v>1494.77336635199</v>
      </c>
    </row>
    <row r="158" spans="1:30">
      <c r="A158" s="217" t="s">
        <v>459</v>
      </c>
      <c r="B158" s="215" t="s">
        <v>561</v>
      </c>
      <c r="C158" s="251">
        <f t="shared" si="40"/>
        <v>240.61391867109978</v>
      </c>
      <c r="D158" s="252">
        <v>39.294556907241891</v>
      </c>
      <c r="E158" s="252">
        <v>201.3193617638579</v>
      </c>
      <c r="F158" s="252">
        <v>63.378317592325629</v>
      </c>
      <c r="G158" s="253">
        <f t="shared" si="41"/>
        <v>66.062575749177071</v>
      </c>
      <c r="H158" s="252">
        <v>3.8772617821187447</v>
      </c>
      <c r="I158" s="252">
        <v>62.185313967058327</v>
      </c>
      <c r="J158" s="252">
        <v>0</v>
      </c>
      <c r="K158" s="220">
        <f t="shared" si="53"/>
        <v>14.182081622860085</v>
      </c>
      <c r="L158" s="220">
        <f t="shared" si="53"/>
        <v>13.960868736708385</v>
      </c>
      <c r="M158" s="219">
        <f t="shared" si="42"/>
        <v>2.3160697289269492</v>
      </c>
      <c r="N158" s="219">
        <f t="shared" si="43"/>
        <v>2.2799435464038789</v>
      </c>
      <c r="O158" s="219">
        <f t="shared" si="44"/>
        <v>11.866011893933136</v>
      </c>
      <c r="P158" s="219">
        <f t="shared" si="45"/>
        <v>11.680925190304505</v>
      </c>
      <c r="Q158" s="219">
        <f t="shared" si="46"/>
        <v>3.7355963369789498</v>
      </c>
      <c r="R158" s="219">
        <f t="shared" si="47"/>
        <v>3.6773283006514177</v>
      </c>
      <c r="S158" s="220">
        <f t="shared" si="54"/>
        <v>3.8938098288980587</v>
      </c>
      <c r="T158" s="220">
        <f t="shared" si="54"/>
        <v>3.8330739698554779</v>
      </c>
      <c r="U158" s="219">
        <f t="shared" si="48"/>
        <v>0.22853059943871226</v>
      </c>
      <c r="V158" s="219">
        <f t="shared" si="55"/>
        <v>0.22496596662808674</v>
      </c>
      <c r="W158" s="219">
        <f t="shared" si="49"/>
        <v>3.6652792294593466</v>
      </c>
      <c r="X158" s="219">
        <f t="shared" si="50"/>
        <v>3.6081080032273913</v>
      </c>
      <c r="Y158" s="219">
        <f t="shared" si="51"/>
        <v>0</v>
      </c>
      <c r="Z158" s="219">
        <f t="shared" si="52"/>
        <v>0</v>
      </c>
      <c r="AA158" s="232">
        <v>1723488152556.26</v>
      </c>
      <c r="AB158" s="239">
        <v>1723.48815255626</v>
      </c>
      <c r="AC158" s="237">
        <v>1696605089927.3779</v>
      </c>
      <c r="AD158" s="199">
        <v>1696.60508992738</v>
      </c>
    </row>
    <row r="159" spans="1:30">
      <c r="A159" s="217" t="s">
        <v>457</v>
      </c>
      <c r="B159" s="215" t="s">
        <v>561</v>
      </c>
      <c r="C159" s="251">
        <f t="shared" si="40"/>
        <v>198.58304352766777</v>
      </c>
      <c r="D159" s="252">
        <v>21.456098955862956</v>
      </c>
      <c r="E159" s="252">
        <v>177.12694457180481</v>
      </c>
      <c r="F159" s="252">
        <v>79.319089225131677</v>
      </c>
      <c r="G159" s="253">
        <f t="shared" si="41"/>
        <v>405.7257010004937</v>
      </c>
      <c r="H159" s="252">
        <v>23.966919046442662</v>
      </c>
      <c r="I159" s="252">
        <v>381.75878195405102</v>
      </c>
      <c r="J159" s="252">
        <v>0</v>
      </c>
      <c r="K159" s="220">
        <f t="shared" si="53"/>
        <v>7.5887380013466981</v>
      </c>
      <c r="L159" s="220">
        <f t="shared" si="53"/>
        <v>6.8309899749630247</v>
      </c>
      <c r="M159" s="219">
        <f t="shared" si="42"/>
        <v>0.81993261163975828</v>
      </c>
      <c r="N159" s="219">
        <f t="shared" si="43"/>
        <v>0.73806098580060275</v>
      </c>
      <c r="O159" s="219">
        <f t="shared" si="44"/>
        <v>6.76880538970694</v>
      </c>
      <c r="P159" s="219">
        <f t="shared" si="45"/>
        <v>6.0929289891624219</v>
      </c>
      <c r="Q159" s="219">
        <f t="shared" si="46"/>
        <v>3.0311338568597446</v>
      </c>
      <c r="R159" s="219">
        <f t="shared" si="47"/>
        <v>2.7284701336777601</v>
      </c>
      <c r="S159" s="220">
        <f t="shared" si="54"/>
        <v>15.504576778613515</v>
      </c>
      <c r="T159" s="220">
        <f t="shared" si="54"/>
        <v>13.9564191729848</v>
      </c>
      <c r="U159" s="219">
        <f t="shared" si="48"/>
        <v>0.91588217257632565</v>
      </c>
      <c r="V159" s="219">
        <f t="shared" si="55"/>
        <v>0.82442982456450298</v>
      </c>
      <c r="W159" s="219">
        <f t="shared" si="49"/>
        <v>14.588694606037189</v>
      </c>
      <c r="X159" s="219">
        <f t="shared" si="50"/>
        <v>13.131989348420298</v>
      </c>
      <c r="Y159" s="219">
        <f t="shared" si="51"/>
        <v>0</v>
      </c>
      <c r="Z159" s="219">
        <f t="shared" si="52"/>
        <v>0</v>
      </c>
      <c r="AA159" s="232">
        <v>2907090249810.2798</v>
      </c>
      <c r="AB159" s="239">
        <v>2907.0902498102801</v>
      </c>
      <c r="AC159" s="237">
        <v>2616812485718.0068</v>
      </c>
      <c r="AD159" s="199">
        <v>2616.8124857180101</v>
      </c>
    </row>
    <row r="160" spans="1:30">
      <c r="A160" s="217" t="s">
        <v>458</v>
      </c>
      <c r="B160" s="215" t="s">
        <v>561</v>
      </c>
      <c r="C160" s="251">
        <f t="shared" si="40"/>
        <v>418.85044238306943</v>
      </c>
      <c r="D160" s="252">
        <v>45.651274374176502</v>
      </c>
      <c r="E160" s="252">
        <v>373.19916800889291</v>
      </c>
      <c r="F160" s="252">
        <v>0</v>
      </c>
      <c r="G160" s="253">
        <f t="shared" si="41"/>
        <v>1057.1693863199921</v>
      </c>
      <c r="H160" s="252">
        <v>114.12818593544125</v>
      </c>
      <c r="I160" s="252">
        <v>943.04120038455096</v>
      </c>
      <c r="J160" s="252">
        <v>0</v>
      </c>
      <c r="K160" s="220">
        <f t="shared" si="53"/>
        <v>11.643410994561446</v>
      </c>
      <c r="L160" s="220">
        <f t="shared" si="53"/>
        <v>10.064202523914023</v>
      </c>
      <c r="M160" s="219">
        <f t="shared" si="42"/>
        <v>1.2690366206606483</v>
      </c>
      <c r="N160" s="219">
        <f t="shared" si="43"/>
        <v>1.0969158064211468</v>
      </c>
      <c r="O160" s="219">
        <f t="shared" si="44"/>
        <v>10.374374373900798</v>
      </c>
      <c r="P160" s="219">
        <f t="shared" si="45"/>
        <v>8.9672867174928772</v>
      </c>
      <c r="Q160" s="219">
        <f t="shared" si="46"/>
        <v>0</v>
      </c>
      <c r="R160" s="219">
        <f t="shared" si="47"/>
        <v>0</v>
      </c>
      <c r="S160" s="220">
        <f t="shared" si="54"/>
        <v>29.387715542948957</v>
      </c>
      <c r="T160" s="220">
        <f t="shared" si="54"/>
        <v>25.401827787197707</v>
      </c>
      <c r="U160" s="219">
        <f t="shared" si="48"/>
        <v>3.1725915516516197</v>
      </c>
      <c r="V160" s="219">
        <f t="shared" si="55"/>
        <v>2.7422895160528671</v>
      </c>
      <c r="W160" s="219">
        <f t="shared" si="49"/>
        <v>26.215123991297336</v>
      </c>
      <c r="X160" s="219">
        <f t="shared" si="50"/>
        <v>22.659538271144839</v>
      </c>
      <c r="Y160" s="219">
        <f t="shared" si="51"/>
        <v>0</v>
      </c>
      <c r="Z160" s="219">
        <f t="shared" si="52"/>
        <v>0</v>
      </c>
      <c r="AA160" s="232">
        <v>4161784715558.1299</v>
      </c>
      <c r="AB160" s="239">
        <v>4161.7847155581303</v>
      </c>
      <c r="AC160" s="237">
        <v>3597317337494.2358</v>
      </c>
      <c r="AD160" s="199">
        <v>3597.3173374942398</v>
      </c>
    </row>
    <row r="161" spans="1:30">
      <c r="A161" s="217" t="s">
        <v>455</v>
      </c>
      <c r="B161" s="215" t="s">
        <v>561</v>
      </c>
      <c r="C161" s="251">
        <f t="shared" si="40"/>
        <v>159.77946030961775</v>
      </c>
      <c r="D161" s="252">
        <v>11.412818593544126</v>
      </c>
      <c r="E161" s="252">
        <v>148.36664171607362</v>
      </c>
      <c r="F161" s="252">
        <v>7.9889730154808873</v>
      </c>
      <c r="G161" s="253">
        <f t="shared" si="41"/>
        <v>664.51136260910675</v>
      </c>
      <c r="H161" s="252">
        <v>3.7091660429018405</v>
      </c>
      <c r="I161" s="252">
        <v>660.80219656620488</v>
      </c>
      <c r="J161" s="252">
        <v>0</v>
      </c>
      <c r="K161" s="220">
        <f t="shared" si="53"/>
        <v>8.3298399913434693</v>
      </c>
      <c r="L161" s="220">
        <f t="shared" si="53"/>
        <v>6.8350176200053054</v>
      </c>
      <c r="M161" s="219">
        <f t="shared" si="42"/>
        <v>0.59498857081024792</v>
      </c>
      <c r="N161" s="219">
        <f t="shared" si="43"/>
        <v>0.48821554428609326</v>
      </c>
      <c r="O161" s="219">
        <f t="shared" si="44"/>
        <v>7.7348514205332215</v>
      </c>
      <c r="P161" s="219">
        <f t="shared" si="45"/>
        <v>6.3468020757192125</v>
      </c>
      <c r="Q161" s="219">
        <f t="shared" si="46"/>
        <v>0.41649199956717348</v>
      </c>
      <c r="R161" s="219">
        <f t="shared" si="47"/>
        <v>0.34175088100026529</v>
      </c>
      <c r="S161" s="220">
        <f t="shared" si="54"/>
        <v>34.643209535426678</v>
      </c>
      <c r="T161" s="220">
        <f t="shared" si="54"/>
        <v>28.426350066057783</v>
      </c>
      <c r="U161" s="219">
        <f t="shared" si="48"/>
        <v>0.19337128551333052</v>
      </c>
      <c r="V161" s="219">
        <f t="shared" si="55"/>
        <v>0.15867005189298031</v>
      </c>
      <c r="W161" s="219">
        <f t="shared" si="49"/>
        <v>34.449838249913348</v>
      </c>
      <c r="X161" s="219">
        <f t="shared" si="50"/>
        <v>28.267680014164803</v>
      </c>
      <c r="Y161" s="219">
        <f t="shared" si="51"/>
        <v>0</v>
      </c>
      <c r="Z161" s="219">
        <f t="shared" si="52"/>
        <v>0</v>
      </c>
      <c r="AA161" s="232">
        <v>2337659815857.1201</v>
      </c>
      <c r="AB161" s="239">
        <v>2337.6598158571201</v>
      </c>
      <c r="AC161" s="237">
        <v>1918157617381.1699</v>
      </c>
      <c r="AD161" s="199">
        <v>1918.15761738117</v>
      </c>
    </row>
    <row r="162" spans="1:30">
      <c r="A162" s="217" t="s">
        <v>460</v>
      </c>
      <c r="B162" s="215" t="s">
        <v>561</v>
      </c>
      <c r="C162" s="251">
        <f t="shared" si="40"/>
        <v>800.7523718505679</v>
      </c>
      <c r="D162" s="252">
        <v>89.909038242870778</v>
      </c>
      <c r="E162" s="252">
        <v>710.8433336076971</v>
      </c>
      <c r="F162" s="252">
        <v>243.50364524110836</v>
      </c>
      <c r="G162" s="253">
        <f t="shared" si="41"/>
        <v>147.0387396263616</v>
      </c>
      <c r="H162" s="252">
        <v>0</v>
      </c>
      <c r="I162" s="252">
        <v>147.0387396263616</v>
      </c>
      <c r="J162" s="252">
        <v>1282.1403474426052</v>
      </c>
      <c r="K162" s="220">
        <f t="shared" si="53"/>
        <v>17.543690409542965</v>
      </c>
      <c r="L162" s="220">
        <f t="shared" si="53"/>
        <v>15.038020540834664</v>
      </c>
      <c r="M162" s="219">
        <f t="shared" si="42"/>
        <v>1.969817870545175</v>
      </c>
      <c r="N162" s="219">
        <f t="shared" si="43"/>
        <v>1.6884794993217871</v>
      </c>
      <c r="O162" s="219">
        <f t="shared" si="44"/>
        <v>15.57387253899779</v>
      </c>
      <c r="P162" s="219">
        <f t="shared" si="45"/>
        <v>13.349541041512877</v>
      </c>
      <c r="Q162" s="219">
        <f t="shared" si="46"/>
        <v>5.3349233993931824</v>
      </c>
      <c r="R162" s="219">
        <f t="shared" si="47"/>
        <v>4.5729653106631734</v>
      </c>
      <c r="S162" s="220">
        <f t="shared" si="54"/>
        <v>3.2214729757874219</v>
      </c>
      <c r="T162" s="220">
        <f t="shared" si="54"/>
        <v>2.7613675145158392</v>
      </c>
      <c r="U162" s="219">
        <f t="shared" si="48"/>
        <v>0</v>
      </c>
      <c r="V162" s="219">
        <f t="shared" si="55"/>
        <v>0</v>
      </c>
      <c r="W162" s="219">
        <f t="shared" si="49"/>
        <v>3.2214729757874219</v>
      </c>
      <c r="X162" s="219">
        <f t="shared" si="50"/>
        <v>2.7613675145158392</v>
      </c>
      <c r="Y162" s="219">
        <f t="shared" si="51"/>
        <v>28.090423591420254</v>
      </c>
      <c r="Z162" s="219">
        <f t="shared" si="52"/>
        <v>24.078421193453401</v>
      </c>
      <c r="AA162" s="232">
        <v>5324852228231.6504</v>
      </c>
      <c r="AB162" s="239">
        <v>5324.8522282316499</v>
      </c>
      <c r="AC162" s="237">
        <v>4564332550094.4502</v>
      </c>
      <c r="AD162" s="199">
        <v>4564.3325500944502</v>
      </c>
    </row>
    <row r="163" spans="1:30">
      <c r="A163" s="217" t="s">
        <v>448</v>
      </c>
      <c r="B163" s="215" t="s">
        <v>561</v>
      </c>
      <c r="C163" s="251">
        <f t="shared" si="40"/>
        <v>73.473615277217803</v>
      </c>
      <c r="D163" s="252">
        <v>8.4744654298982489</v>
      </c>
      <c r="E163" s="252">
        <v>64.999149847319558</v>
      </c>
      <c r="F163" s="252">
        <v>39.575753557624822</v>
      </c>
      <c r="G163" s="253">
        <f t="shared" si="41"/>
        <v>60.08395989797858</v>
      </c>
      <c r="H163" s="252">
        <v>0</v>
      </c>
      <c r="I163" s="252">
        <v>60.08395989797858</v>
      </c>
      <c r="J163" s="252">
        <v>105.9308178737281</v>
      </c>
      <c r="K163" s="220">
        <f t="shared" si="53"/>
        <v>4.4851662923129334</v>
      </c>
      <c r="L163" s="220">
        <f t="shared" si="53"/>
        <v>3.4070144712658177</v>
      </c>
      <c r="M163" s="219">
        <f t="shared" si="42"/>
        <v>0.51732021825985408</v>
      </c>
      <c r="N163" s="219">
        <f t="shared" si="43"/>
        <v>0.39296591364080952</v>
      </c>
      <c r="O163" s="219">
        <f t="shared" si="44"/>
        <v>3.9678460740530794</v>
      </c>
      <c r="P163" s="219">
        <f t="shared" si="45"/>
        <v>3.0140485576250082</v>
      </c>
      <c r="Q163" s="219">
        <f t="shared" si="46"/>
        <v>2.4158854192735184</v>
      </c>
      <c r="R163" s="219">
        <f t="shared" si="47"/>
        <v>1.8351508167025805</v>
      </c>
      <c r="S163" s="220">
        <f t="shared" si="54"/>
        <v>3.6678003474623648</v>
      </c>
      <c r="T163" s="220">
        <f t="shared" si="54"/>
        <v>2.7861283277133393</v>
      </c>
      <c r="U163" s="219">
        <f t="shared" si="48"/>
        <v>0</v>
      </c>
      <c r="V163" s="219">
        <f t="shared" si="55"/>
        <v>0</v>
      </c>
      <c r="W163" s="219">
        <f t="shared" si="49"/>
        <v>3.6678003474623648</v>
      </c>
      <c r="X163" s="219">
        <f t="shared" si="50"/>
        <v>2.7861283277133393</v>
      </c>
      <c r="Y163" s="219">
        <f t="shared" si="51"/>
        <v>6.4665027282481748</v>
      </c>
      <c r="Z163" s="219">
        <f t="shared" si="52"/>
        <v>4.9120739205101192</v>
      </c>
      <c r="AA163" s="232">
        <v>2156539571430.7</v>
      </c>
      <c r="AB163" s="239">
        <v>2156.5395714307001</v>
      </c>
      <c r="AC163" s="237">
        <v>1638146960195.0569</v>
      </c>
      <c r="AD163" s="199">
        <v>1638.14696019506</v>
      </c>
    </row>
    <row r="164" spans="1:30">
      <c r="A164" s="217" t="s">
        <v>449</v>
      </c>
      <c r="B164" s="215" t="s">
        <v>561</v>
      </c>
      <c r="C164" s="251">
        <f t="shared" si="40"/>
        <v>97.00895804512507</v>
      </c>
      <c r="D164" s="252">
        <v>16.092074216897217</v>
      </c>
      <c r="E164" s="252">
        <v>80.916883828227853</v>
      </c>
      <c r="F164" s="252">
        <v>5.1357683670948562E-2</v>
      </c>
      <c r="G164" s="253">
        <f t="shared" si="41"/>
        <v>172.60632712690199</v>
      </c>
      <c r="H164" s="252">
        <v>0.72927910812746966</v>
      </c>
      <c r="I164" s="252">
        <v>171.87704801877453</v>
      </c>
      <c r="J164" s="252">
        <v>11.412818593544126</v>
      </c>
      <c r="K164" s="220">
        <f t="shared" si="53"/>
        <v>7.3274116773062694</v>
      </c>
      <c r="L164" s="220">
        <f t="shared" si="53"/>
        <v>5.3998030915904947</v>
      </c>
      <c r="M164" s="219">
        <f t="shared" si="42"/>
        <v>1.2154882900002164</v>
      </c>
      <c r="N164" s="219">
        <f t="shared" si="43"/>
        <v>0.89573204225207037</v>
      </c>
      <c r="O164" s="219">
        <f t="shared" si="44"/>
        <v>6.111923387306053</v>
      </c>
      <c r="P164" s="219">
        <f t="shared" si="45"/>
        <v>4.5040710493384246</v>
      </c>
      <c r="Q164" s="219">
        <f t="shared" si="46"/>
        <v>3.8792179468092008E-3</v>
      </c>
      <c r="R164" s="219">
        <f t="shared" si="47"/>
        <v>2.8587192837832031E-3</v>
      </c>
      <c r="S164" s="220">
        <f t="shared" si="54"/>
        <v>13.03753429016615</v>
      </c>
      <c r="T164" s="220">
        <f t="shared" si="54"/>
        <v>9.6077743502241759</v>
      </c>
      <c r="U164" s="219">
        <f t="shared" si="48"/>
        <v>5.508489484469066E-2</v>
      </c>
      <c r="V164" s="219">
        <f t="shared" si="55"/>
        <v>4.0593813829721485E-2</v>
      </c>
      <c r="W164" s="219">
        <f t="shared" si="49"/>
        <v>12.98244939532146</v>
      </c>
      <c r="X164" s="219">
        <f t="shared" si="50"/>
        <v>9.5671805363944546</v>
      </c>
      <c r="Y164" s="219">
        <f t="shared" si="51"/>
        <v>0.862048432624267</v>
      </c>
      <c r="Z164" s="219">
        <f t="shared" si="52"/>
        <v>0.63527095195182293</v>
      </c>
      <c r="AA164" s="232">
        <v>1796527695541.4199</v>
      </c>
      <c r="AB164" s="239">
        <v>1796.5276955414199</v>
      </c>
      <c r="AC164" s="237">
        <v>1323918490148.05</v>
      </c>
      <c r="AD164" s="199">
        <v>1323.9184901480501</v>
      </c>
    </row>
    <row r="165" spans="1:30">
      <c r="A165" s="217" t="s">
        <v>463</v>
      </c>
      <c r="B165" s="215" t="s">
        <v>561</v>
      </c>
      <c r="C165" s="251">
        <f t="shared" si="40"/>
        <v>440.0580179680901</v>
      </c>
      <c r="D165" s="252">
        <v>203.99190920386684</v>
      </c>
      <c r="E165" s="252">
        <v>236.06610876422326</v>
      </c>
      <c r="F165" s="252">
        <v>14.112647806556826</v>
      </c>
      <c r="G165" s="253">
        <f t="shared" si="41"/>
        <v>437.4920820032616</v>
      </c>
      <c r="H165" s="252">
        <v>1.2829679824142568</v>
      </c>
      <c r="I165" s="252">
        <v>436.20911402084732</v>
      </c>
      <c r="J165" s="252">
        <v>0</v>
      </c>
      <c r="K165" s="220">
        <f t="shared" si="53"/>
        <v>13.937406334160265</v>
      </c>
      <c r="L165" s="220">
        <f t="shared" si="53"/>
        <v>14.957843729927454</v>
      </c>
      <c r="M165" s="219">
        <f t="shared" si="42"/>
        <v>6.4607801957186073</v>
      </c>
      <c r="N165" s="219">
        <f t="shared" si="43"/>
        <v>6.933810941861414</v>
      </c>
      <c r="O165" s="219">
        <f t="shared" si="44"/>
        <v>7.4766261384416586</v>
      </c>
      <c r="P165" s="219">
        <f t="shared" si="45"/>
        <v>8.0240327880660391</v>
      </c>
      <c r="Q165" s="219">
        <f t="shared" si="46"/>
        <v>0.44697221479814264</v>
      </c>
      <c r="R165" s="219">
        <f t="shared" si="47"/>
        <v>0.47969761233003494</v>
      </c>
      <c r="S165" s="220">
        <f t="shared" si="54"/>
        <v>13.856138658742422</v>
      </c>
      <c r="T165" s="220">
        <f t="shared" si="54"/>
        <v>14.870625982231083</v>
      </c>
      <c r="U165" s="219">
        <f t="shared" si="48"/>
        <v>4.0633837708922059E-2</v>
      </c>
      <c r="V165" s="219">
        <f t="shared" si="55"/>
        <v>4.3608873848184994E-2</v>
      </c>
      <c r="W165" s="219">
        <f t="shared" si="49"/>
        <v>13.8155048210335</v>
      </c>
      <c r="X165" s="219">
        <f t="shared" si="50"/>
        <v>14.827017108382897</v>
      </c>
      <c r="Y165" s="219">
        <f t="shared" si="51"/>
        <v>0</v>
      </c>
      <c r="Z165" s="219">
        <f t="shared" si="52"/>
        <v>0</v>
      </c>
      <c r="AA165" s="232">
        <v>2941988336778.9702</v>
      </c>
      <c r="AB165" s="239">
        <v>2941.9883367789698</v>
      </c>
      <c r="AC165" s="237">
        <v>3157388164033.9238</v>
      </c>
      <c r="AD165" s="199">
        <v>3157.38816403392</v>
      </c>
    </row>
    <row r="166" spans="1:30">
      <c r="A166" s="217" t="s">
        <v>464</v>
      </c>
      <c r="B166" s="215" t="s">
        <v>561</v>
      </c>
      <c r="C166" s="251">
        <f t="shared" si="40"/>
        <v>5328.0279999999993</v>
      </c>
      <c r="D166" s="252">
        <v>690.4</v>
      </c>
      <c r="E166" s="252">
        <v>4637.6279999999997</v>
      </c>
      <c r="F166" s="252">
        <v>17.98</v>
      </c>
      <c r="G166" s="253">
        <f t="shared" si="41"/>
        <v>510</v>
      </c>
      <c r="H166" s="252">
        <v>56</v>
      </c>
      <c r="I166" s="252">
        <v>454</v>
      </c>
      <c r="J166" s="252">
        <v>0</v>
      </c>
      <c r="K166" s="220">
        <f t="shared" si="53"/>
        <v>26.735082699094594</v>
      </c>
      <c r="L166" s="220">
        <f t="shared" si="53"/>
        <v>26.674531624110536</v>
      </c>
      <c r="M166" s="219">
        <f t="shared" si="42"/>
        <v>3.4643025703796808</v>
      </c>
      <c r="N166" s="219">
        <f t="shared" si="43"/>
        <v>3.4564564287736315</v>
      </c>
      <c r="O166" s="219">
        <f t="shared" si="44"/>
        <v>23.270780128714915</v>
      </c>
      <c r="P166" s="219">
        <f t="shared" si="45"/>
        <v>23.218075195336905</v>
      </c>
      <c r="Q166" s="219">
        <f t="shared" si="46"/>
        <v>9.0220394286539191E-2</v>
      </c>
      <c r="R166" s="219">
        <f t="shared" si="47"/>
        <v>9.0016058211688718E-2</v>
      </c>
      <c r="S166" s="220">
        <f t="shared" si="54"/>
        <v>2.5590879358250826</v>
      </c>
      <c r="T166" s="220">
        <f t="shared" si="54"/>
        <v>2.5532919737464543</v>
      </c>
      <c r="U166" s="219">
        <f t="shared" si="48"/>
        <v>0.28099789099255812</v>
      </c>
      <c r="V166" s="219">
        <f t="shared" si="55"/>
        <v>0.28036147162706165</v>
      </c>
      <c r="W166" s="219">
        <f t="shared" si="49"/>
        <v>2.2780900448325245</v>
      </c>
      <c r="X166" s="219">
        <f t="shared" si="50"/>
        <v>2.2729305021193928</v>
      </c>
      <c r="Y166" s="219">
        <f t="shared" si="51"/>
        <v>0</v>
      </c>
      <c r="Z166" s="219">
        <f t="shared" si="52"/>
        <v>0</v>
      </c>
      <c r="AA166" s="232">
        <v>19974213887167.602</v>
      </c>
      <c r="AB166" s="239">
        <v>19974.2138871676</v>
      </c>
      <c r="AC166" s="237">
        <v>19928975197000</v>
      </c>
      <c r="AD166" s="199">
        <v>19928.975197</v>
      </c>
    </row>
    <row r="167" spans="1:30">
      <c r="A167" s="217" t="s">
        <v>466</v>
      </c>
      <c r="B167" s="215" t="s">
        <v>561</v>
      </c>
      <c r="C167" s="251">
        <f t="shared" si="40"/>
        <v>7.0279601888551095</v>
      </c>
      <c r="D167" s="252">
        <v>4.8032151754294521</v>
      </c>
      <c r="E167" s="252">
        <v>2.224745013425657</v>
      </c>
      <c r="F167" s="252">
        <v>4.2819360091037746</v>
      </c>
      <c r="G167" s="253">
        <f t="shared" si="41"/>
        <v>1.0704840022759436</v>
      </c>
      <c r="H167" s="252">
        <v>0.89362142798687472</v>
      </c>
      <c r="I167" s="252">
        <v>0.17686257428906896</v>
      </c>
      <c r="J167" s="252">
        <v>11.789286859847676</v>
      </c>
      <c r="K167" s="220">
        <f t="shared" si="53"/>
        <v>0.5494236719748582</v>
      </c>
      <c r="L167" s="220">
        <f t="shared" si="53"/>
        <v>0.2950856916133458</v>
      </c>
      <c r="M167" s="219">
        <f t="shared" si="42"/>
        <v>0.37550015197222092</v>
      </c>
      <c r="N167" s="219">
        <f t="shared" si="43"/>
        <v>0.20167445943375686</v>
      </c>
      <c r="O167" s="219">
        <f t="shared" si="44"/>
        <v>0.17392352000263722</v>
      </c>
      <c r="P167" s="219">
        <f t="shared" si="45"/>
        <v>9.3411232179588952E-2</v>
      </c>
      <c r="Q167" s="219">
        <f t="shared" si="46"/>
        <v>0.33474819749461554</v>
      </c>
      <c r="R167" s="219">
        <f t="shared" si="47"/>
        <v>0.17978730879753521</v>
      </c>
      <c r="S167" s="220">
        <f t="shared" si="54"/>
        <v>8.3687049373653885E-2</v>
      </c>
      <c r="T167" s="220">
        <f t="shared" si="54"/>
        <v>4.4946827199383796E-2</v>
      </c>
      <c r="U167" s="219">
        <f t="shared" si="48"/>
        <v>6.9860493390180634E-2</v>
      </c>
      <c r="V167" s="219">
        <f t="shared" si="55"/>
        <v>3.7520829662094302E-2</v>
      </c>
      <c r="W167" s="219">
        <f t="shared" si="49"/>
        <v>1.3826555983473252E-2</v>
      </c>
      <c r="X167" s="219">
        <f t="shared" si="50"/>
        <v>7.4259975372894969E-3</v>
      </c>
      <c r="Y167" s="219">
        <f t="shared" si="51"/>
        <v>0.92164911331941435</v>
      </c>
      <c r="Z167" s="219">
        <f t="shared" si="52"/>
        <v>0.4950013621566921</v>
      </c>
      <c r="AA167" s="232">
        <v>2381667559152.25</v>
      </c>
      <c r="AB167" s="239">
        <v>2381.6675591522499</v>
      </c>
      <c r="AC167" s="237">
        <v>1279151326624.439</v>
      </c>
      <c r="AD167" s="199">
        <v>1279.1513266244399</v>
      </c>
    </row>
    <row r="168" spans="1:30">
      <c r="A168" s="217" t="s">
        <v>467</v>
      </c>
      <c r="B168" s="215" t="s">
        <v>561</v>
      </c>
      <c r="C168" s="251">
        <f t="shared" si="40"/>
        <v>13.522864278129838</v>
      </c>
      <c r="D168" s="252">
        <v>2.3964569606812369</v>
      </c>
      <c r="E168" s="252">
        <v>11.126407317448601</v>
      </c>
      <c r="F168" s="252">
        <v>10.042295835235661</v>
      </c>
      <c r="G168" s="253">
        <f t="shared" si="41"/>
        <v>48.92766294724192</v>
      </c>
      <c r="H168" s="252">
        <v>2.995571200851546</v>
      </c>
      <c r="I168" s="252">
        <v>45.932091746390377</v>
      </c>
      <c r="J168" s="252">
        <v>18.47268907191787</v>
      </c>
      <c r="K168" s="220">
        <f t="shared" si="53"/>
        <v>1.35628264486673</v>
      </c>
      <c r="L168" s="220">
        <f t="shared" si="53"/>
        <v>0.57943955898037991</v>
      </c>
      <c r="M168" s="219">
        <f t="shared" si="42"/>
        <v>0.24035388643207875</v>
      </c>
      <c r="N168" s="219">
        <f t="shared" si="43"/>
        <v>0.10268549146487745</v>
      </c>
      <c r="O168" s="219">
        <f t="shared" si="44"/>
        <v>1.1159287584346513</v>
      </c>
      <c r="P168" s="219">
        <f t="shared" si="45"/>
        <v>0.47675406751550248</v>
      </c>
      <c r="Q168" s="219">
        <f t="shared" si="46"/>
        <v>1.0071972383820444</v>
      </c>
      <c r="R168" s="219">
        <f t="shared" si="47"/>
        <v>0.43030110709091507</v>
      </c>
      <c r="S168" s="220">
        <f t="shared" si="54"/>
        <v>4.9072251813216079</v>
      </c>
      <c r="T168" s="220">
        <f t="shared" si="54"/>
        <v>2.0964954507412479</v>
      </c>
      <c r="U168" s="219">
        <f t="shared" si="48"/>
        <v>0.30044235804009845</v>
      </c>
      <c r="V168" s="219">
        <f t="shared" si="55"/>
        <v>0.1283568643310968</v>
      </c>
      <c r="W168" s="219">
        <f t="shared" si="49"/>
        <v>4.6067828232815096</v>
      </c>
      <c r="X168" s="219">
        <f t="shared" si="50"/>
        <v>1.9681385864101513</v>
      </c>
      <c r="Y168" s="219">
        <f t="shared" si="51"/>
        <v>1.8527278745806071</v>
      </c>
      <c r="Z168" s="219">
        <f t="shared" si="52"/>
        <v>0.79153399670843039</v>
      </c>
      <c r="AA168" s="232">
        <v>2333783406491.1899</v>
      </c>
      <c r="AB168" s="239">
        <v>2333.7834064911899</v>
      </c>
      <c r="AC168" s="237">
        <v>997053551434.22559</v>
      </c>
      <c r="AD168" s="199">
        <v>997.05355143423003</v>
      </c>
    </row>
    <row r="169" spans="1:30">
      <c r="A169" s="221" t="s">
        <v>530</v>
      </c>
      <c r="B169" s="215" t="s">
        <v>561</v>
      </c>
      <c r="C169" s="251">
        <f t="shared" si="40"/>
        <v>50.216401811594153</v>
      </c>
      <c r="D169" s="252">
        <v>2.8532046483860314</v>
      </c>
      <c r="E169" s="252">
        <v>47.36319716320812</v>
      </c>
      <c r="F169" s="252">
        <v>0</v>
      </c>
      <c r="G169" s="253">
        <f t="shared" si="41"/>
        <v>10.271536734189713</v>
      </c>
      <c r="H169" s="252">
        <v>0</v>
      </c>
      <c r="I169" s="252">
        <v>10.271536734189713</v>
      </c>
      <c r="J169" s="252">
        <v>0</v>
      </c>
      <c r="K169" s="220">
        <f t="shared" si="53"/>
        <v>12.131044231205824</v>
      </c>
      <c r="L169" s="220">
        <f t="shared" si="53"/>
        <v>10.716280761030211</v>
      </c>
      <c r="M169" s="219">
        <f t="shared" si="42"/>
        <v>0.68926387677305812</v>
      </c>
      <c r="N169" s="219">
        <f t="shared" si="43"/>
        <v>0.60887958869489833</v>
      </c>
      <c r="O169" s="219">
        <f t="shared" si="44"/>
        <v>11.441780354432765</v>
      </c>
      <c r="P169" s="219">
        <f t="shared" si="45"/>
        <v>10.107401172335312</v>
      </c>
      <c r="Q169" s="219">
        <f t="shared" si="46"/>
        <v>0</v>
      </c>
      <c r="R169" s="219">
        <f t="shared" si="47"/>
        <v>0</v>
      </c>
      <c r="S169" s="220">
        <f t="shared" si="54"/>
        <v>2.4813499563830095</v>
      </c>
      <c r="T169" s="220">
        <f t="shared" si="54"/>
        <v>2.1919665193016336</v>
      </c>
      <c r="U169" s="219">
        <f t="shared" si="48"/>
        <v>0</v>
      </c>
      <c r="V169" s="219">
        <f t="shared" si="55"/>
        <v>0</v>
      </c>
      <c r="W169" s="219">
        <f t="shared" si="49"/>
        <v>2.4813499563830095</v>
      </c>
      <c r="X169" s="219">
        <f t="shared" si="50"/>
        <v>2.1919665193016336</v>
      </c>
      <c r="Y169" s="219">
        <f t="shared" si="51"/>
        <v>0</v>
      </c>
      <c r="Z169" s="219">
        <f t="shared" si="52"/>
        <v>0</v>
      </c>
      <c r="AA169" s="232">
        <v>468599161699.88599</v>
      </c>
      <c r="AB169" s="239">
        <v>468.59916169988998</v>
      </c>
      <c r="AC169" s="237">
        <v>413949540159.26532</v>
      </c>
      <c r="AD169" s="199">
        <v>413.94954015926999</v>
      </c>
    </row>
    <row r="170" spans="1:30">
      <c r="A170" s="217" t="s">
        <v>456</v>
      </c>
      <c r="B170" s="215" t="s">
        <v>561</v>
      </c>
      <c r="C170" s="251">
        <f t="shared" si="40"/>
        <v>41.200275122694293</v>
      </c>
      <c r="D170" s="252">
        <v>9.5867676185770652</v>
      </c>
      <c r="E170" s="252">
        <v>31.613507504117226</v>
      </c>
      <c r="F170" s="252">
        <v>15.52143328722001</v>
      </c>
      <c r="G170" s="253">
        <f t="shared" si="41"/>
        <v>60.602066731719304</v>
      </c>
      <c r="H170" s="252">
        <v>1.2554100452898538</v>
      </c>
      <c r="I170" s="252">
        <v>59.346656686429448</v>
      </c>
      <c r="J170" s="252">
        <v>0</v>
      </c>
      <c r="K170" s="220">
        <f t="shared" si="53"/>
        <v>8.32064012416871</v>
      </c>
      <c r="L170" s="220">
        <f t="shared" si="53"/>
        <v>7.4191689653420898</v>
      </c>
      <c r="M170" s="219">
        <f t="shared" si="42"/>
        <v>1.9361046272303923</v>
      </c>
      <c r="N170" s="219">
        <f t="shared" si="43"/>
        <v>1.7263440251765527</v>
      </c>
      <c r="O170" s="219">
        <f t="shared" si="44"/>
        <v>6.3845354969383177</v>
      </c>
      <c r="P170" s="219">
        <f t="shared" si="45"/>
        <v>5.6928249401655373</v>
      </c>
      <c r="Q170" s="219">
        <f t="shared" si="46"/>
        <v>3.1346455869444441</v>
      </c>
      <c r="R170" s="219">
        <f t="shared" si="47"/>
        <v>2.7950331836191804</v>
      </c>
      <c r="S170" s="220">
        <f t="shared" si="54"/>
        <v>12.238947107849265</v>
      </c>
      <c r="T170" s="220">
        <f t="shared" si="54"/>
        <v>10.912960444866066</v>
      </c>
      <c r="U170" s="219">
        <f t="shared" si="48"/>
        <v>0.25353751070874186</v>
      </c>
      <c r="V170" s="219">
        <f t="shared" si="55"/>
        <v>0.22606886043978666</v>
      </c>
      <c r="W170" s="219">
        <f t="shared" si="49"/>
        <v>11.985409597140523</v>
      </c>
      <c r="X170" s="219">
        <f t="shared" si="50"/>
        <v>10.686891584426279</v>
      </c>
      <c r="Y170" s="219">
        <f t="shared" si="51"/>
        <v>0</v>
      </c>
      <c r="Z170" s="219">
        <f t="shared" si="52"/>
        <v>0</v>
      </c>
      <c r="AA170" s="232">
        <v>555321968203.677</v>
      </c>
      <c r="AB170" s="239">
        <v>555.32196820367994</v>
      </c>
      <c r="AC170" s="237">
        <v>495157518025.82001</v>
      </c>
      <c r="AD170" s="199">
        <v>495.15751802582002</v>
      </c>
    </row>
    <row r="171" spans="1:30">
      <c r="A171" s="221" t="s">
        <v>454</v>
      </c>
      <c r="B171" s="215" t="s">
        <v>561</v>
      </c>
      <c r="C171" s="251">
        <f t="shared" si="40"/>
        <v>13.114895358731596</v>
      </c>
      <c r="D171" s="252">
        <v>2.8694219148867419</v>
      </c>
      <c r="E171" s="252">
        <v>10.245473443844855</v>
      </c>
      <c r="F171" s="252">
        <v>1.5639641968526836</v>
      </c>
      <c r="G171" s="253">
        <f t="shared" si="41"/>
        <v>37.268017363018501</v>
      </c>
      <c r="H171" s="252">
        <v>4.3084413136437572E-2</v>
      </c>
      <c r="I171" s="252">
        <v>37.22493294988206</v>
      </c>
      <c r="J171" s="252">
        <v>0</v>
      </c>
      <c r="K171" s="220">
        <f t="shared" si="53"/>
        <v>6.0818374232812999</v>
      </c>
      <c r="L171" s="220">
        <f t="shared" si="53"/>
        <v>3.219201776804768</v>
      </c>
      <c r="M171" s="219">
        <f t="shared" si="42"/>
        <v>1.3306516832803368</v>
      </c>
      <c r="N171" s="219">
        <f t="shared" si="43"/>
        <v>0.70433258322995251</v>
      </c>
      <c r="O171" s="219">
        <f t="shared" si="44"/>
        <v>4.7511857400009632</v>
      </c>
      <c r="P171" s="219">
        <f t="shared" si="45"/>
        <v>2.5148691935748158</v>
      </c>
      <c r="Q171" s="219">
        <f t="shared" si="46"/>
        <v>0.7252651066527962</v>
      </c>
      <c r="R171" s="219">
        <f t="shared" si="47"/>
        <v>0.38389298455326237</v>
      </c>
      <c r="S171" s="220">
        <f t="shared" si="54"/>
        <v>17.282488078641009</v>
      </c>
      <c r="T171" s="220">
        <f t="shared" si="54"/>
        <v>9.1478631305391716</v>
      </c>
      <c r="U171" s="219">
        <f t="shared" si="48"/>
        <v>1.9979755004209263E-2</v>
      </c>
      <c r="V171" s="219">
        <f t="shared" si="55"/>
        <v>1.057556431276205E-2</v>
      </c>
      <c r="W171" s="219">
        <f t="shared" si="49"/>
        <v>17.262508323636801</v>
      </c>
      <c r="X171" s="219">
        <f t="shared" si="50"/>
        <v>9.1372875662264104</v>
      </c>
      <c r="Y171" s="219">
        <f t="shared" si="51"/>
        <v>0</v>
      </c>
      <c r="Z171" s="219">
        <f t="shared" si="52"/>
        <v>0</v>
      </c>
      <c r="AA171" s="232">
        <v>407395878482.30298</v>
      </c>
      <c r="AB171" s="239">
        <v>407.39587848230002</v>
      </c>
      <c r="AC171" s="237">
        <v>215640347578.63721</v>
      </c>
      <c r="AD171" s="199">
        <v>215.64034757863999</v>
      </c>
    </row>
    <row r="172" spans="1:30">
      <c r="A172" s="221" t="s">
        <v>446</v>
      </c>
      <c r="B172" s="215" t="s">
        <v>561</v>
      </c>
      <c r="C172" s="251">
        <f t="shared" si="40"/>
        <v>17.975735863360232</v>
      </c>
      <c r="D172" s="252">
        <v>0.12228391743782471</v>
      </c>
      <c r="E172" s="252">
        <v>17.853451945922409</v>
      </c>
      <c r="F172" s="252">
        <v>48.730141098973149</v>
      </c>
      <c r="G172" s="253">
        <f t="shared" si="41"/>
        <v>47.847404069968846</v>
      </c>
      <c r="H172" s="252">
        <v>33.826788661238261</v>
      </c>
      <c r="I172" s="252">
        <v>14.020615408730588</v>
      </c>
      <c r="J172" s="252">
        <v>0</v>
      </c>
      <c r="K172" s="220">
        <f t="shared" si="53"/>
        <v>5.4045695761709833</v>
      </c>
      <c r="L172" s="220">
        <f t="shared" si="53"/>
        <v>5.7787986646434559</v>
      </c>
      <c r="M172" s="219">
        <f t="shared" si="42"/>
        <v>3.6765779429734573E-2</v>
      </c>
      <c r="N172" s="219">
        <f t="shared" si="43"/>
        <v>3.9311555541792213E-2</v>
      </c>
      <c r="O172" s="219">
        <f t="shared" si="44"/>
        <v>5.3678037967412484</v>
      </c>
      <c r="P172" s="219">
        <f t="shared" si="45"/>
        <v>5.7394871091016642</v>
      </c>
      <c r="Q172" s="219">
        <f t="shared" si="46"/>
        <v>14.651163102749228</v>
      </c>
      <c r="R172" s="219">
        <f t="shared" si="47"/>
        <v>15.665654883404198</v>
      </c>
      <c r="S172" s="220">
        <f t="shared" si="54"/>
        <v>14.385760132490832</v>
      </c>
      <c r="T172" s="220">
        <f t="shared" si="54"/>
        <v>15.381874591836883</v>
      </c>
      <c r="U172" s="219">
        <f t="shared" si="48"/>
        <v>10.170333734750328</v>
      </c>
      <c r="V172" s="219">
        <f t="shared" si="55"/>
        <v>10.874559051748271</v>
      </c>
      <c r="W172" s="219">
        <f t="shared" si="49"/>
        <v>4.2154263977405044</v>
      </c>
      <c r="X172" s="219">
        <f t="shared" si="50"/>
        <v>4.5073155400886131</v>
      </c>
      <c r="Y172" s="219">
        <f t="shared" si="51"/>
        <v>0</v>
      </c>
      <c r="Z172" s="219">
        <f t="shared" si="52"/>
        <v>0</v>
      </c>
      <c r="AA172" s="232">
        <v>311063542901.078</v>
      </c>
      <c r="AB172" s="239">
        <v>311.06354290107998</v>
      </c>
      <c r="AC172" s="237">
        <v>332602543274.04938</v>
      </c>
      <c r="AD172" s="199">
        <v>332.60254327404999</v>
      </c>
    </row>
    <row r="173" spans="1:30">
      <c r="A173" s="221" t="s">
        <v>531</v>
      </c>
      <c r="B173" s="215" t="s">
        <v>561</v>
      </c>
      <c r="C173" s="251">
        <f t="shared" si="40"/>
        <v>0.97330000000000005</v>
      </c>
      <c r="D173" s="252">
        <v>0.22389999999999999</v>
      </c>
      <c r="E173" s="252">
        <v>0.74940000000000007</v>
      </c>
      <c r="F173" s="252">
        <v>0</v>
      </c>
      <c r="G173" s="253">
        <f t="shared" si="41"/>
        <v>1.5502562191675586</v>
      </c>
      <c r="H173" s="252">
        <v>1.1471896021839934</v>
      </c>
      <c r="I173" s="252">
        <v>0.40306661698356522</v>
      </c>
      <c r="J173" s="252">
        <v>0</v>
      </c>
      <c r="K173" s="220">
        <f t="shared" si="53"/>
        <v>3.6187996377830292</v>
      </c>
      <c r="L173" s="220">
        <f t="shared" si="53"/>
        <v>2.1199447987599989</v>
      </c>
      <c r="M173" s="219">
        <f t="shared" si="42"/>
        <v>0.83247635764884431</v>
      </c>
      <c r="N173" s="219">
        <f t="shared" si="43"/>
        <v>0.48767660581769617</v>
      </c>
      <c r="O173" s="219">
        <f t="shared" si="44"/>
        <v>2.7863232801341851</v>
      </c>
      <c r="P173" s="219">
        <f t="shared" si="45"/>
        <v>1.6322681929423026</v>
      </c>
      <c r="Q173" s="219">
        <f t="shared" si="46"/>
        <v>0</v>
      </c>
      <c r="R173" s="219">
        <f t="shared" si="47"/>
        <v>0</v>
      </c>
      <c r="S173" s="220">
        <f t="shared" si="54"/>
        <v>5.7639644964496544</v>
      </c>
      <c r="T173" s="220">
        <f t="shared" si="54"/>
        <v>3.3766131804886532</v>
      </c>
      <c r="U173" s="219">
        <f t="shared" si="48"/>
        <v>4.2653337273727443</v>
      </c>
      <c r="V173" s="219">
        <f t="shared" si="55"/>
        <v>2.4986937535616036</v>
      </c>
      <c r="W173" s="219">
        <f t="shared" si="49"/>
        <v>1.4986307690769103</v>
      </c>
      <c r="X173" s="219">
        <f t="shared" si="50"/>
        <v>0.87791942692704983</v>
      </c>
      <c r="Y173" s="219">
        <f t="shared" si="51"/>
        <v>0</v>
      </c>
      <c r="Z173" s="219">
        <f t="shared" si="52"/>
        <v>0</v>
      </c>
      <c r="AA173" s="232">
        <v>45911572818.753304</v>
      </c>
      <c r="AB173" s="239">
        <v>45.911572818750003</v>
      </c>
      <c r="AC173" s="237">
        <v>26895658710.637878</v>
      </c>
      <c r="AD173" s="199">
        <v>26.895658710639999</v>
      </c>
    </row>
    <row r="174" spans="1:30">
      <c r="A174" s="221" t="s">
        <v>447</v>
      </c>
      <c r="B174" s="215" t="s">
        <v>561</v>
      </c>
      <c r="C174" s="251">
        <f t="shared" si="40"/>
        <v>6.8362783375329315</v>
      </c>
      <c r="D174" s="252">
        <v>2.1113714398056631</v>
      </c>
      <c r="E174" s="252">
        <v>4.7249068977272684</v>
      </c>
      <c r="F174" s="252">
        <v>2.3966919046442663</v>
      </c>
      <c r="G174" s="253">
        <f t="shared" si="41"/>
        <v>15.749689659090892</v>
      </c>
      <c r="H174" s="252">
        <v>1.8260509749670601</v>
      </c>
      <c r="I174" s="252">
        <v>13.923638684123832</v>
      </c>
      <c r="J174" s="252">
        <v>4.56512743741765</v>
      </c>
      <c r="K174" s="220">
        <f t="shared" si="53"/>
        <v>2.6835858949304816</v>
      </c>
      <c r="L174" s="220">
        <f t="shared" si="53"/>
        <v>2.6922715483124273</v>
      </c>
      <c r="M174" s="219">
        <f t="shared" si="42"/>
        <v>0.82882035152276967</v>
      </c>
      <c r="N174" s="219">
        <f t="shared" si="43"/>
        <v>0.83150289889448914</v>
      </c>
      <c r="O174" s="219">
        <f t="shared" si="44"/>
        <v>1.8547655434077117</v>
      </c>
      <c r="P174" s="219">
        <f t="shared" si="45"/>
        <v>1.8607686494179381</v>
      </c>
      <c r="Q174" s="219">
        <f t="shared" si="46"/>
        <v>0.94082310172854933</v>
      </c>
      <c r="R174" s="219">
        <f t="shared" si="47"/>
        <v>0.94386815550185255</v>
      </c>
      <c r="S174" s="220">
        <f t="shared" si="54"/>
        <v>6.1825518113590379</v>
      </c>
      <c r="T174" s="220">
        <f t="shared" si="54"/>
        <v>6.2025621647264586</v>
      </c>
      <c r="U174" s="219">
        <f t="shared" si="48"/>
        <v>0.71681760131699002</v>
      </c>
      <c r="V174" s="219">
        <f t="shared" si="55"/>
        <v>0.71913764228712584</v>
      </c>
      <c r="W174" s="219">
        <f t="shared" si="49"/>
        <v>5.4657342100420481</v>
      </c>
      <c r="X174" s="219">
        <f t="shared" si="50"/>
        <v>5.483424522439333</v>
      </c>
      <c r="Y174" s="219">
        <f t="shared" si="51"/>
        <v>1.7920440032924749</v>
      </c>
      <c r="Z174" s="219">
        <f t="shared" si="52"/>
        <v>1.7978441057178143</v>
      </c>
      <c r="AA174" s="232">
        <v>253922318564.70901</v>
      </c>
      <c r="AB174" s="239">
        <v>253.92231856471</v>
      </c>
      <c r="AC174" s="237">
        <v>254744159687.49991</v>
      </c>
      <c r="AD174" s="199">
        <v>254.7441596875</v>
      </c>
    </row>
    <row r="175" spans="1:30">
      <c r="A175" s="221" t="s">
        <v>532</v>
      </c>
      <c r="B175" s="215" t="s">
        <v>561</v>
      </c>
      <c r="C175" s="251">
        <f t="shared" si="40"/>
        <v>25.336457277667957</v>
      </c>
      <c r="D175" s="252">
        <v>1.0613921291996038</v>
      </c>
      <c r="E175" s="252">
        <v>24.275065148468354</v>
      </c>
      <c r="F175" s="252">
        <v>0.84454857592226529</v>
      </c>
      <c r="G175" s="253">
        <f t="shared" si="41"/>
        <v>7.2471398069005195</v>
      </c>
      <c r="H175" s="252">
        <v>3.8803583218050024</v>
      </c>
      <c r="I175" s="252">
        <v>3.3667814850955171</v>
      </c>
      <c r="J175" s="252">
        <v>0</v>
      </c>
      <c r="K175" s="220">
        <f t="shared" si="53"/>
        <v>12.425739817153806</v>
      </c>
      <c r="L175" s="220">
        <f t="shared" si="53"/>
        <v>8.4022213973238085</v>
      </c>
      <c r="M175" s="219">
        <f t="shared" si="42"/>
        <v>0.5205377490969838</v>
      </c>
      <c r="N175" s="219">
        <f t="shared" si="43"/>
        <v>0.35198495042842992</v>
      </c>
      <c r="O175" s="219">
        <f t="shared" si="44"/>
        <v>11.905202068056822</v>
      </c>
      <c r="P175" s="219">
        <f t="shared" si="45"/>
        <v>8.0502364468953793</v>
      </c>
      <c r="Q175" s="219">
        <f t="shared" si="46"/>
        <v>0.41419132723846014</v>
      </c>
      <c r="R175" s="219">
        <f t="shared" si="47"/>
        <v>0.28007404657746032</v>
      </c>
      <c r="S175" s="220">
        <f t="shared" si="54"/>
        <v>3.5542093621138138</v>
      </c>
      <c r="T175" s="220">
        <f t="shared" si="54"/>
        <v>2.4033381023876661</v>
      </c>
      <c r="U175" s="219">
        <f t="shared" si="48"/>
        <v>1.90304123325779</v>
      </c>
      <c r="V175" s="219">
        <f t="shared" si="55"/>
        <v>1.2868267004910339</v>
      </c>
      <c r="W175" s="219">
        <f t="shared" si="49"/>
        <v>1.6511681288560238</v>
      </c>
      <c r="X175" s="219">
        <f t="shared" si="50"/>
        <v>1.1165114018966324</v>
      </c>
      <c r="Y175" s="219">
        <f t="shared" si="51"/>
        <v>0</v>
      </c>
      <c r="Z175" s="219">
        <f t="shared" si="52"/>
        <v>0</v>
      </c>
      <c r="AA175" s="232">
        <v>301544747270.495</v>
      </c>
      <c r="AB175" s="239">
        <v>301.54474727050001</v>
      </c>
      <c r="AC175" s="237">
        <v>203903008195.06079</v>
      </c>
      <c r="AD175" s="199">
        <v>203.90300819506001</v>
      </c>
    </row>
    <row r="176" spans="1:30">
      <c r="A176" s="221" t="s">
        <v>533</v>
      </c>
      <c r="B176" s="215" t="s">
        <v>561</v>
      </c>
      <c r="C176" s="251">
        <f t="shared" si="40"/>
        <v>2.0091211225997045</v>
      </c>
      <c r="D176" s="252">
        <v>0.10494830132939439</v>
      </c>
      <c r="E176" s="252">
        <v>1.90417282127031</v>
      </c>
      <c r="F176" s="252">
        <v>0</v>
      </c>
      <c r="G176" s="253">
        <f t="shared" si="41"/>
        <v>0.33264401772525848</v>
      </c>
      <c r="H176" s="252">
        <v>0.1</v>
      </c>
      <c r="I176" s="252">
        <v>0.23264401772525847</v>
      </c>
      <c r="J176" s="252">
        <v>0</v>
      </c>
      <c r="K176" s="220">
        <f t="shared" si="53"/>
        <v>9.6918530600024297</v>
      </c>
      <c r="L176" s="220">
        <f t="shared" si="53"/>
        <v>10.535980255862844</v>
      </c>
      <c r="M176" s="219">
        <f t="shared" si="42"/>
        <v>0.50626291463464101</v>
      </c>
      <c r="N176" s="219">
        <f t="shared" si="43"/>
        <v>0.55035667997063265</v>
      </c>
      <c r="O176" s="219">
        <f t="shared" si="44"/>
        <v>9.1855901453677884</v>
      </c>
      <c r="P176" s="219">
        <f t="shared" si="45"/>
        <v>9.9856235758922107</v>
      </c>
      <c r="Q176" s="219">
        <f t="shared" si="46"/>
        <v>0</v>
      </c>
      <c r="R176" s="219">
        <f t="shared" si="47"/>
        <v>0</v>
      </c>
      <c r="S176" s="220">
        <f t="shared" si="54"/>
        <v>1.6046503641903045</v>
      </c>
      <c r="T176" s="220">
        <f t="shared" si="54"/>
        <v>1.7444099131511113</v>
      </c>
      <c r="U176" s="219">
        <f t="shared" si="48"/>
        <v>0.48239267165046013</v>
      </c>
      <c r="V176" s="219">
        <f t="shared" si="55"/>
        <v>0.52440742060537404</v>
      </c>
      <c r="W176" s="219">
        <f t="shared" si="49"/>
        <v>1.1222576925398444</v>
      </c>
      <c r="X176" s="219">
        <f t="shared" si="50"/>
        <v>1.2200024925457371</v>
      </c>
      <c r="Y176" s="219">
        <f t="shared" si="51"/>
        <v>0</v>
      </c>
      <c r="Z176" s="219">
        <f t="shared" si="52"/>
        <v>0</v>
      </c>
      <c r="AA176" s="235">
        <v>19069142821.155399</v>
      </c>
      <c r="AB176" s="239">
        <v>19.06914282116</v>
      </c>
      <c r="AC176" s="237">
        <v>20729999827.29071</v>
      </c>
      <c r="AD176" s="199">
        <v>20.729999827290001</v>
      </c>
    </row>
    <row r="177" spans="1:30">
      <c r="A177" s="221" t="s">
        <v>534</v>
      </c>
      <c r="B177" s="215" t="s">
        <v>561</v>
      </c>
      <c r="C177" s="251">
        <f t="shared" si="40"/>
        <v>36.545111825001776</v>
      </c>
      <c r="D177" s="252">
        <v>5.9326480235392491</v>
      </c>
      <c r="E177" s="252">
        <v>30.612463801462525</v>
      </c>
      <c r="F177" s="252">
        <v>2.3730592094156995</v>
      </c>
      <c r="G177" s="253">
        <f t="shared" si="41"/>
        <v>7.8310953910718082</v>
      </c>
      <c r="H177" s="252">
        <v>5.4580361816561087</v>
      </c>
      <c r="I177" s="252">
        <v>2.3730592094156995</v>
      </c>
      <c r="J177" s="252">
        <v>0</v>
      </c>
      <c r="K177" s="220">
        <f t="shared" si="53"/>
        <v>9.8380613897235776</v>
      </c>
      <c r="L177" s="220">
        <f t="shared" si="53"/>
        <v>8.7451352001853628</v>
      </c>
      <c r="M177" s="219">
        <f t="shared" si="42"/>
        <v>1.5970878879421391</v>
      </c>
      <c r="N177" s="219">
        <f t="shared" si="43"/>
        <v>1.4196648052248966</v>
      </c>
      <c r="O177" s="219">
        <f t="shared" si="44"/>
        <v>8.2409735017814381</v>
      </c>
      <c r="P177" s="219">
        <f t="shared" si="45"/>
        <v>7.3254703949604663</v>
      </c>
      <c r="Q177" s="219">
        <f t="shared" si="46"/>
        <v>0.63883515517685563</v>
      </c>
      <c r="R177" s="219">
        <f t="shared" si="47"/>
        <v>0.56786592208995856</v>
      </c>
      <c r="S177" s="220">
        <f t="shared" si="54"/>
        <v>2.1081560120836231</v>
      </c>
      <c r="T177" s="220">
        <f t="shared" si="54"/>
        <v>1.8739575428968633</v>
      </c>
      <c r="U177" s="219">
        <f t="shared" si="48"/>
        <v>1.4693208569067677</v>
      </c>
      <c r="V177" s="219">
        <f t="shared" si="55"/>
        <v>1.3060916208069047</v>
      </c>
      <c r="W177" s="219">
        <f t="shared" si="49"/>
        <v>0.63883515517685563</v>
      </c>
      <c r="X177" s="219">
        <f t="shared" si="50"/>
        <v>0.56786592208995856</v>
      </c>
      <c r="Y177" s="219">
        <f t="shared" si="51"/>
        <v>0</v>
      </c>
      <c r="Z177" s="219">
        <f t="shared" si="52"/>
        <v>0</v>
      </c>
      <c r="AA177" s="235">
        <v>417890758558.284</v>
      </c>
      <c r="AB177" s="239">
        <v>417.89075855828003</v>
      </c>
      <c r="AC177" s="237">
        <v>371466596693.27911</v>
      </c>
      <c r="AD177" s="199">
        <v>371.46659669328</v>
      </c>
    </row>
    <row r="178" spans="1:30">
      <c r="A178" s="221" t="s">
        <v>535</v>
      </c>
      <c r="B178" s="215" t="s">
        <v>561</v>
      </c>
      <c r="C178" s="251">
        <f t="shared" si="40"/>
        <v>40.23348958694659</v>
      </c>
      <c r="D178" s="252">
        <v>5.0110302915150085</v>
      </c>
      <c r="E178" s="252">
        <v>35.222459295431584</v>
      </c>
      <c r="F178" s="252">
        <v>2.1002753047915084</v>
      </c>
      <c r="G178" s="253">
        <f t="shared" si="41"/>
        <v>18.184956304280554</v>
      </c>
      <c r="H178" s="252">
        <v>3.5440330177671364</v>
      </c>
      <c r="I178" s="252">
        <v>14.640923286513416</v>
      </c>
      <c r="J178" s="252">
        <v>0</v>
      </c>
      <c r="K178" s="220">
        <f t="shared" si="53"/>
        <v>11.223975121405827</v>
      </c>
      <c r="L178" s="220">
        <f t="shared" si="53"/>
        <v>11.750547973735779</v>
      </c>
      <c r="M178" s="219">
        <f t="shared" si="42"/>
        <v>1.3979319194530724</v>
      </c>
      <c r="N178" s="219">
        <f t="shared" si="43"/>
        <v>1.4635159028660083</v>
      </c>
      <c r="O178" s="219">
        <f t="shared" si="44"/>
        <v>9.8260432019527553</v>
      </c>
      <c r="P178" s="219">
        <f t="shared" si="45"/>
        <v>10.28703207086977</v>
      </c>
      <c r="Q178" s="219">
        <f t="shared" si="46"/>
        <v>0.58591581319685304</v>
      </c>
      <c r="R178" s="219">
        <f t="shared" si="47"/>
        <v>0.61340405667949227</v>
      </c>
      <c r="S178" s="220">
        <f t="shared" si="54"/>
        <v>5.0730746758123093</v>
      </c>
      <c r="T178" s="220">
        <f t="shared" si="54"/>
        <v>5.31107800112534</v>
      </c>
      <c r="U178" s="219">
        <f t="shared" si="48"/>
        <v>0.98868228506246281</v>
      </c>
      <c r="V178" s="219">
        <f t="shared" si="55"/>
        <v>1.0350663197081336</v>
      </c>
      <c r="W178" s="219">
        <f t="shared" si="49"/>
        <v>4.0843923907498461</v>
      </c>
      <c r="X178" s="219">
        <f t="shared" si="50"/>
        <v>4.2760116814172067</v>
      </c>
      <c r="Y178" s="219">
        <f t="shared" si="51"/>
        <v>0</v>
      </c>
      <c r="Z178" s="219">
        <f t="shared" si="52"/>
        <v>0</v>
      </c>
      <c r="AA178" s="235">
        <v>342396709301.34399</v>
      </c>
      <c r="AB178" s="239">
        <v>342.39670930134002</v>
      </c>
      <c r="AC178" s="237">
        <v>358460252733.58807</v>
      </c>
      <c r="AD178" s="199">
        <v>358.46025273358998</v>
      </c>
    </row>
    <row r="179" spans="1:30">
      <c r="A179" s="222" t="s">
        <v>536</v>
      </c>
      <c r="B179" s="215" t="s">
        <v>561</v>
      </c>
      <c r="C179" s="251">
        <f t="shared" si="40"/>
        <v>2.9126178965863909</v>
      </c>
      <c r="D179" s="252">
        <v>0.67911263411214207</v>
      </c>
      <c r="E179" s="252">
        <v>2.2335052624742486</v>
      </c>
      <c r="F179" s="252">
        <v>0</v>
      </c>
      <c r="G179" s="253">
        <f t="shared" si="41"/>
        <v>1.0455461485605735</v>
      </c>
      <c r="H179" s="252">
        <v>0.2896249719004359</v>
      </c>
      <c r="I179" s="252">
        <v>0.75592117666013769</v>
      </c>
      <c r="J179" s="252">
        <v>0</v>
      </c>
      <c r="K179" s="220">
        <f t="shared" si="53"/>
        <v>9.6571963197389223</v>
      </c>
      <c r="L179" s="220">
        <f t="shared" si="53"/>
        <v>5.2552901447769678</v>
      </c>
      <c r="M179" s="219">
        <f t="shared" si="42"/>
        <v>2.2516939274878407</v>
      </c>
      <c r="N179" s="219">
        <f t="shared" si="43"/>
        <v>1.2253354404729446</v>
      </c>
      <c r="O179" s="219">
        <f t="shared" si="44"/>
        <v>7.4055023922510825</v>
      </c>
      <c r="P179" s="219">
        <f t="shared" si="45"/>
        <v>4.0299547043040231</v>
      </c>
      <c r="Q179" s="219">
        <f t="shared" si="46"/>
        <v>0</v>
      </c>
      <c r="R179" s="219">
        <f t="shared" si="47"/>
        <v>0</v>
      </c>
      <c r="S179" s="220">
        <f t="shared" si="54"/>
        <v>3.4666560381401847</v>
      </c>
      <c r="T179" s="220">
        <f t="shared" si="54"/>
        <v>1.8864981832596941</v>
      </c>
      <c r="U179" s="219">
        <f t="shared" si="48"/>
        <v>0.96029253134077153</v>
      </c>
      <c r="V179" s="219">
        <f t="shared" si="55"/>
        <v>0.52257567403315619</v>
      </c>
      <c r="W179" s="219">
        <f t="shared" si="49"/>
        <v>2.5063635067994134</v>
      </c>
      <c r="X179" s="219">
        <f t="shared" si="50"/>
        <v>1.3639225092265379</v>
      </c>
      <c r="Y179" s="219">
        <f t="shared" si="51"/>
        <v>0</v>
      </c>
      <c r="Z179" s="219">
        <f t="shared" si="52"/>
        <v>0</v>
      </c>
      <c r="AA179" s="236">
        <v>55422589740</v>
      </c>
      <c r="AB179" s="240">
        <v>55.422589739999999</v>
      </c>
      <c r="AC179" s="237">
        <v>30160077523.05077</v>
      </c>
      <c r="AD179" s="199">
        <v>30.160077523049999</v>
      </c>
    </row>
    <row r="180" spans="1:30">
      <c r="A180" s="221" t="s">
        <v>537</v>
      </c>
      <c r="B180" s="215" t="s">
        <v>561</v>
      </c>
      <c r="C180" s="251">
        <f t="shared" si="40"/>
        <v>3.6064506755599437</v>
      </c>
      <c r="D180" s="252">
        <v>0.73042038998682401</v>
      </c>
      <c r="E180" s="252">
        <v>2.8760302855731195</v>
      </c>
      <c r="F180" s="252">
        <v>1.4950792357542804</v>
      </c>
      <c r="G180" s="253">
        <f t="shared" si="41"/>
        <v>1.5635561473155453</v>
      </c>
      <c r="H180" s="252">
        <v>0.42227428796113264</v>
      </c>
      <c r="I180" s="252">
        <v>1.1412818593544125</v>
      </c>
      <c r="J180" s="252">
        <v>0</v>
      </c>
      <c r="K180" s="220">
        <f t="shared" si="53"/>
        <v>7.479660681066771</v>
      </c>
      <c r="L180" s="220">
        <f t="shared" si="53"/>
        <v>3.7127820296221064</v>
      </c>
      <c r="M180" s="219">
        <f t="shared" si="42"/>
        <v>1.5148679860388399</v>
      </c>
      <c r="N180" s="219">
        <f t="shared" si="43"/>
        <v>0.75195585410067978</v>
      </c>
      <c r="O180" s="219">
        <f t="shared" si="44"/>
        <v>5.9647926950279313</v>
      </c>
      <c r="P180" s="219">
        <f t="shared" si="45"/>
        <v>2.9608261755214267</v>
      </c>
      <c r="Q180" s="219">
        <f t="shared" si="46"/>
        <v>3.1007454089232502</v>
      </c>
      <c r="R180" s="219">
        <f t="shared" si="47"/>
        <v>1.5391596388623288</v>
      </c>
      <c r="S180" s="220">
        <f t="shared" si="54"/>
        <v>3.2427642826143916</v>
      </c>
      <c r="T180" s="220">
        <f t="shared" si="54"/>
        <v>1.6096555001842676</v>
      </c>
      <c r="U180" s="219">
        <f t="shared" si="48"/>
        <v>0.87578305442870441</v>
      </c>
      <c r="V180" s="219">
        <f t="shared" si="55"/>
        <v>0.43472447815195547</v>
      </c>
      <c r="W180" s="219">
        <f t="shared" si="49"/>
        <v>2.3669812281856872</v>
      </c>
      <c r="X180" s="219">
        <f t="shared" si="50"/>
        <v>1.1749310220323121</v>
      </c>
      <c r="Y180" s="219">
        <f t="shared" si="51"/>
        <v>0</v>
      </c>
      <c r="Z180" s="219">
        <f t="shared" si="52"/>
        <v>0</v>
      </c>
      <c r="AA180" s="235">
        <v>97136073348.399506</v>
      </c>
      <c r="AB180" s="239">
        <v>97.136073348400004</v>
      </c>
      <c r="AC180" s="237">
        <v>48216768505.137871</v>
      </c>
      <c r="AD180" s="199">
        <v>48.216768505140003</v>
      </c>
    </row>
    <row r="181" spans="1:30">
      <c r="A181" s="221" t="s">
        <v>538</v>
      </c>
      <c r="B181" s="215" t="s">
        <v>561</v>
      </c>
      <c r="C181" s="251">
        <f t="shared" si="40"/>
        <v>3.0814610202569139</v>
      </c>
      <c r="D181" s="252">
        <v>0.34238455780632376</v>
      </c>
      <c r="E181" s="252">
        <v>2.7390764624505901</v>
      </c>
      <c r="F181" s="252">
        <v>5.2384837344367536</v>
      </c>
      <c r="G181" s="253">
        <f t="shared" si="41"/>
        <v>3.3097173921277965</v>
      </c>
      <c r="H181" s="252">
        <v>0.45651274374176504</v>
      </c>
      <c r="I181" s="252">
        <v>2.8532046483860314</v>
      </c>
      <c r="J181" s="252">
        <v>1.0157408548254272</v>
      </c>
      <c r="K181" s="220">
        <f t="shared" si="53"/>
        <v>4.6297730687428773</v>
      </c>
      <c r="L181" s="220">
        <f t="shared" si="53"/>
        <v>4.6447078336746168</v>
      </c>
      <c r="M181" s="219">
        <f t="shared" si="42"/>
        <v>0.51441922986031974</v>
      </c>
      <c r="N181" s="219">
        <f t="shared" si="43"/>
        <v>0.51607864818606852</v>
      </c>
      <c r="O181" s="219">
        <f t="shared" si="44"/>
        <v>4.1153538388825579</v>
      </c>
      <c r="P181" s="219">
        <f t="shared" si="45"/>
        <v>4.1286291854885482</v>
      </c>
      <c r="Q181" s="219">
        <f t="shared" si="46"/>
        <v>7.870614216862891</v>
      </c>
      <c r="R181" s="219">
        <f t="shared" si="47"/>
        <v>7.8960033172468469</v>
      </c>
      <c r="S181" s="220">
        <f t="shared" si="54"/>
        <v>4.9727192219830911</v>
      </c>
      <c r="T181" s="220">
        <f t="shared" si="54"/>
        <v>4.9887602657986614</v>
      </c>
      <c r="U181" s="219">
        <f t="shared" si="48"/>
        <v>0.68589230648042632</v>
      </c>
      <c r="V181" s="219">
        <f t="shared" si="55"/>
        <v>0.68810486424809125</v>
      </c>
      <c r="W181" s="219">
        <f t="shared" si="49"/>
        <v>4.2868269155026644</v>
      </c>
      <c r="X181" s="219">
        <f t="shared" si="50"/>
        <v>4.3006554015505705</v>
      </c>
      <c r="Y181" s="219">
        <f t="shared" si="51"/>
        <v>1.5261103819189485</v>
      </c>
      <c r="Z181" s="219">
        <f t="shared" si="52"/>
        <v>1.531033322952003</v>
      </c>
      <c r="AA181" s="232">
        <v>66343484468.839996</v>
      </c>
      <c r="AB181" s="239">
        <v>66.343484468840003</v>
      </c>
      <c r="AC181" s="237">
        <v>66557495896.737839</v>
      </c>
      <c r="AD181" s="199">
        <v>66.557495896739994</v>
      </c>
    </row>
    <row r="182" spans="1:30">
      <c r="A182" s="221" t="s">
        <v>452</v>
      </c>
      <c r="B182" s="215" t="s">
        <v>561</v>
      </c>
      <c r="C182" s="251">
        <f t="shared" si="40"/>
        <v>41.200275122694293</v>
      </c>
      <c r="D182" s="252">
        <v>6.8020398817522985</v>
      </c>
      <c r="E182" s="252">
        <v>34.398235240941993</v>
      </c>
      <c r="F182" s="252">
        <v>14.380151427865597</v>
      </c>
      <c r="G182" s="253">
        <f t="shared" si="41"/>
        <v>74.183320858036808</v>
      </c>
      <c r="H182" s="252">
        <v>0</v>
      </c>
      <c r="I182" s="252">
        <v>74.183320858036808</v>
      </c>
      <c r="J182" s="252">
        <v>0</v>
      </c>
      <c r="K182" s="220">
        <f t="shared" si="53"/>
        <v>4.9033328305425483</v>
      </c>
      <c r="L182" s="220">
        <f t="shared" si="53"/>
        <v>4.4185423113249129</v>
      </c>
      <c r="M182" s="219">
        <f t="shared" si="42"/>
        <v>0.80952530941921297</v>
      </c>
      <c r="N182" s="219">
        <f t="shared" si="43"/>
        <v>0.72948787189740938</v>
      </c>
      <c r="O182" s="219">
        <f t="shared" si="44"/>
        <v>4.0938075211233356</v>
      </c>
      <c r="P182" s="219">
        <f t="shared" si="45"/>
        <v>3.6890544394275033</v>
      </c>
      <c r="Q182" s="219">
        <f t="shared" si="46"/>
        <v>1.7114125668929669</v>
      </c>
      <c r="R182" s="219">
        <f t="shared" si="47"/>
        <v>1.5422059036757312</v>
      </c>
      <c r="S182" s="220">
        <f t="shared" si="54"/>
        <v>8.8287156228605426</v>
      </c>
      <c r="T182" s="220">
        <f t="shared" si="54"/>
        <v>7.9558241062636927</v>
      </c>
      <c r="U182" s="219">
        <f t="shared" si="48"/>
        <v>0</v>
      </c>
      <c r="V182" s="219">
        <f t="shared" si="55"/>
        <v>0</v>
      </c>
      <c r="W182" s="219">
        <f t="shared" si="49"/>
        <v>8.8287156228605426</v>
      </c>
      <c r="X182" s="219">
        <f t="shared" si="50"/>
        <v>7.9558241062636927</v>
      </c>
      <c r="Y182" s="219">
        <f t="shared" si="51"/>
        <v>0</v>
      </c>
      <c r="Z182" s="219">
        <f t="shared" si="52"/>
        <v>0</v>
      </c>
      <c r="AA182" s="232">
        <v>932440434418.74902</v>
      </c>
      <c r="AB182" s="239">
        <v>932.44043441874999</v>
      </c>
      <c r="AC182" s="237">
        <v>840250428566.88171</v>
      </c>
      <c r="AD182" s="199">
        <v>840.25042856688003</v>
      </c>
    </row>
    <row r="183" spans="1:30">
      <c r="A183" s="221" t="s">
        <v>465</v>
      </c>
      <c r="B183" s="215" t="s">
        <v>561</v>
      </c>
      <c r="C183" s="251">
        <f t="shared" si="40"/>
        <v>40.366333649903929</v>
      </c>
      <c r="D183" s="252">
        <v>2.5350837557910677</v>
      </c>
      <c r="E183" s="252">
        <v>37.831249894112858</v>
      </c>
      <c r="F183" s="252">
        <v>0</v>
      </c>
      <c r="G183" s="253">
        <f t="shared" si="41"/>
        <v>5.8176922088025798</v>
      </c>
      <c r="H183" s="252">
        <v>1.7550579847784318</v>
      </c>
      <c r="I183" s="252">
        <v>4.0626342240241478</v>
      </c>
      <c r="J183" s="252">
        <v>0</v>
      </c>
      <c r="K183" s="220">
        <f t="shared" si="53"/>
        <v>19.890861906826892</v>
      </c>
      <c r="L183" s="220">
        <f t="shared" si="53"/>
        <v>20.810198388109875</v>
      </c>
      <c r="M183" s="219">
        <f t="shared" si="42"/>
        <v>1.249184564196858</v>
      </c>
      <c r="N183" s="219">
        <f t="shared" si="43"/>
        <v>1.3069206717170454</v>
      </c>
      <c r="O183" s="219">
        <f t="shared" si="44"/>
        <v>18.641677342630032</v>
      </c>
      <c r="P183" s="219">
        <f t="shared" si="45"/>
        <v>19.50327771639283</v>
      </c>
      <c r="Q183" s="219">
        <f t="shared" si="46"/>
        <v>0</v>
      </c>
      <c r="R183" s="219">
        <f t="shared" si="47"/>
        <v>0</v>
      </c>
      <c r="S183" s="220">
        <f t="shared" si="54"/>
        <v>2.8667184229645848</v>
      </c>
      <c r="T183" s="220">
        <f t="shared" si="54"/>
        <v>2.9992153876583481</v>
      </c>
      <c r="U183" s="219">
        <f t="shared" si="48"/>
        <v>0.86482008290551715</v>
      </c>
      <c r="V183" s="219">
        <f t="shared" si="55"/>
        <v>0.90479123426564689</v>
      </c>
      <c r="W183" s="219">
        <f t="shared" si="49"/>
        <v>2.0018983400590677</v>
      </c>
      <c r="X183" s="219">
        <f t="shared" si="50"/>
        <v>2.0944241533927013</v>
      </c>
      <c r="Y183" s="219">
        <f t="shared" si="51"/>
        <v>0</v>
      </c>
      <c r="Z183" s="219">
        <f t="shared" si="52"/>
        <v>0</v>
      </c>
      <c r="AA183" s="232">
        <v>193973805040.548</v>
      </c>
      <c r="AB183" s="239">
        <v>193.97380504054999</v>
      </c>
      <c r="AC183" s="237">
        <v>202939087501.52551</v>
      </c>
      <c r="AD183" s="199">
        <v>202.93908750153</v>
      </c>
    </row>
    <row r="184" spans="1:30">
      <c r="A184" s="221" t="s">
        <v>451</v>
      </c>
      <c r="B184" s="215" t="s">
        <v>561</v>
      </c>
      <c r="C184" s="251">
        <f t="shared" si="40"/>
        <v>13.413576422692262</v>
      </c>
      <c r="D184" s="252">
        <v>1.1470041596601461</v>
      </c>
      <c r="E184" s="252">
        <v>12.266572263032117</v>
      </c>
      <c r="F184" s="252">
        <v>0</v>
      </c>
      <c r="G184" s="253">
        <f t="shared" si="41"/>
        <v>13.764049915921753</v>
      </c>
      <c r="H184" s="252">
        <v>5.4801309850429201</v>
      </c>
      <c r="I184" s="252">
        <v>8.2839189308788317</v>
      </c>
      <c r="J184" s="252">
        <v>0</v>
      </c>
      <c r="K184" s="220">
        <f t="shared" si="53"/>
        <v>3.2696156528031333</v>
      </c>
      <c r="L184" s="220">
        <f t="shared" si="53"/>
        <v>4.0591324532398243</v>
      </c>
      <c r="M184" s="219">
        <f t="shared" si="42"/>
        <v>0.27958708670050547</v>
      </c>
      <c r="N184" s="219">
        <f t="shared" si="43"/>
        <v>0.34709921215352418</v>
      </c>
      <c r="O184" s="219">
        <f t="shared" si="44"/>
        <v>2.9900285661026276</v>
      </c>
      <c r="P184" s="219">
        <f t="shared" si="45"/>
        <v>3.7120332410863002</v>
      </c>
      <c r="Q184" s="219">
        <f t="shared" si="46"/>
        <v>0</v>
      </c>
      <c r="R184" s="219">
        <f t="shared" si="47"/>
        <v>0</v>
      </c>
      <c r="S184" s="220">
        <f t="shared" si="54"/>
        <v>3.3550450404060657</v>
      </c>
      <c r="T184" s="220">
        <f t="shared" si="54"/>
        <v>4.1651905458422895</v>
      </c>
      <c r="U184" s="219">
        <f t="shared" si="48"/>
        <v>1.3358049697913039</v>
      </c>
      <c r="V184" s="219">
        <f t="shared" si="55"/>
        <v>1.658362902511282</v>
      </c>
      <c r="W184" s="219">
        <f t="shared" si="49"/>
        <v>2.0192400706147615</v>
      </c>
      <c r="X184" s="219">
        <f t="shared" si="50"/>
        <v>2.5068276433310075</v>
      </c>
      <c r="Y184" s="219">
        <f t="shared" si="51"/>
        <v>0</v>
      </c>
      <c r="Z184" s="219">
        <f t="shared" si="52"/>
        <v>0</v>
      </c>
      <c r="AA184" s="232">
        <v>330454267684.37299</v>
      </c>
      <c r="AB184" s="239">
        <v>330.45426768437</v>
      </c>
      <c r="AC184" s="237">
        <v>410249333471.11688</v>
      </c>
      <c r="AD184" s="199">
        <v>410.24933347112</v>
      </c>
    </row>
    <row r="185" spans="1:30">
      <c r="A185" s="221" t="s">
        <v>539</v>
      </c>
      <c r="B185" s="215" t="s">
        <v>561</v>
      </c>
      <c r="C185" s="251">
        <f t="shared" si="40"/>
        <v>12.554100452898536</v>
      </c>
      <c r="D185" s="252">
        <v>2.1684355327733837</v>
      </c>
      <c r="E185" s="252">
        <v>10.385664920125153</v>
      </c>
      <c r="F185" s="252">
        <v>1.2554100452898538</v>
      </c>
      <c r="G185" s="253">
        <f t="shared" si="41"/>
        <v>13.124741382575744</v>
      </c>
      <c r="H185" s="252">
        <v>0</v>
      </c>
      <c r="I185" s="252">
        <v>13.124741382575744</v>
      </c>
      <c r="J185" s="252">
        <v>0</v>
      </c>
      <c r="K185" s="220">
        <f t="shared" si="53"/>
        <v>5.6457843169401318</v>
      </c>
      <c r="L185" s="220">
        <f t="shared" si="53"/>
        <v>3.6792246513802249</v>
      </c>
      <c r="M185" s="219">
        <f t="shared" si="42"/>
        <v>0.97518092747147722</v>
      </c>
      <c r="N185" s="219">
        <f t="shared" si="43"/>
        <v>0.63550243978385701</v>
      </c>
      <c r="O185" s="219">
        <f t="shared" si="44"/>
        <v>4.6706033894686545</v>
      </c>
      <c r="P185" s="219">
        <f t="shared" si="45"/>
        <v>3.0437222115963678</v>
      </c>
      <c r="Q185" s="219">
        <f t="shared" si="46"/>
        <v>0.56457843169401312</v>
      </c>
      <c r="R185" s="219">
        <f t="shared" si="47"/>
        <v>0.36792246513802251</v>
      </c>
      <c r="S185" s="220">
        <f t="shared" si="54"/>
        <v>5.9024108768010466</v>
      </c>
      <c r="T185" s="220">
        <f t="shared" si="54"/>
        <v>3.8464621355338715</v>
      </c>
      <c r="U185" s="219">
        <f t="shared" si="48"/>
        <v>0</v>
      </c>
      <c r="V185" s="219">
        <f t="shared" si="55"/>
        <v>0</v>
      </c>
      <c r="W185" s="219">
        <f t="shared" si="49"/>
        <v>5.9024108768010466</v>
      </c>
      <c r="X185" s="219">
        <f t="shared" si="50"/>
        <v>3.8464621355338715</v>
      </c>
      <c r="Y185" s="219">
        <f t="shared" si="51"/>
        <v>0</v>
      </c>
      <c r="Z185" s="219">
        <f t="shared" si="52"/>
        <v>0</v>
      </c>
      <c r="AA185" s="232">
        <v>341215925702.96198</v>
      </c>
      <c r="AB185" s="239">
        <v>341.21592570296002</v>
      </c>
      <c r="AC185" s="237">
        <v>222362381347.61981</v>
      </c>
      <c r="AD185" s="199">
        <v>222.36238134761999</v>
      </c>
    </row>
    <row r="186" spans="1:30">
      <c r="A186" s="221" t="s">
        <v>540</v>
      </c>
      <c r="B186" s="215" t="s">
        <v>561</v>
      </c>
      <c r="C186" s="251">
        <f t="shared" si="40"/>
        <v>4.6197248733241425</v>
      </c>
      <c r="D186" s="252">
        <v>0.28079327190109787</v>
      </c>
      <c r="E186" s="252">
        <v>4.3389316014230443</v>
      </c>
      <c r="F186" s="252">
        <v>0.6006120601465349</v>
      </c>
      <c r="G186" s="253">
        <f t="shared" si="41"/>
        <v>4.5823680163275764</v>
      </c>
      <c r="H186" s="252">
        <v>0</v>
      </c>
      <c r="I186" s="252">
        <v>4.5823680163275764</v>
      </c>
      <c r="J186" s="252">
        <v>0</v>
      </c>
      <c r="K186" s="220">
        <f t="shared" si="53"/>
        <v>4.6434500625741491</v>
      </c>
      <c r="L186" s="220">
        <f t="shared" si="53"/>
        <v>2.5423369882614839</v>
      </c>
      <c r="M186" s="219">
        <f t="shared" si="42"/>
        <v>0.28223532174143579</v>
      </c>
      <c r="N186" s="219">
        <f t="shared" si="43"/>
        <v>0.15452676096173151</v>
      </c>
      <c r="O186" s="219">
        <f t="shared" si="44"/>
        <v>4.3612147408327129</v>
      </c>
      <c r="P186" s="219">
        <f t="shared" si="45"/>
        <v>2.3878102272997523</v>
      </c>
      <c r="Q186" s="219">
        <f t="shared" si="46"/>
        <v>0.60369658036874452</v>
      </c>
      <c r="R186" s="219">
        <f t="shared" si="47"/>
        <v>0.33053012851991281</v>
      </c>
      <c r="S186" s="220">
        <f t="shared" si="54"/>
        <v>4.6059013546500216</v>
      </c>
      <c r="T186" s="220">
        <f t="shared" si="54"/>
        <v>2.5217786818878785</v>
      </c>
      <c r="U186" s="219">
        <f t="shared" si="48"/>
        <v>0</v>
      </c>
      <c r="V186" s="219">
        <f t="shared" si="55"/>
        <v>0</v>
      </c>
      <c r="W186" s="219">
        <f t="shared" si="49"/>
        <v>4.6059013546500216</v>
      </c>
      <c r="X186" s="219">
        <f t="shared" si="50"/>
        <v>2.5217786818878785</v>
      </c>
      <c r="Y186" s="219">
        <f t="shared" si="51"/>
        <v>0</v>
      </c>
      <c r="Z186" s="219">
        <f t="shared" si="52"/>
        <v>0</v>
      </c>
      <c r="AA186" s="232">
        <v>181711743748.14999</v>
      </c>
      <c r="AB186" s="239">
        <v>181.71174374815001</v>
      </c>
      <c r="AC186" s="237">
        <v>99489061173.693314</v>
      </c>
      <c r="AD186" s="199">
        <v>99.489061173690004</v>
      </c>
    </row>
    <row r="187" spans="1:30">
      <c r="A187" s="221" t="s">
        <v>541</v>
      </c>
      <c r="B187" s="215" t="s">
        <v>561</v>
      </c>
      <c r="C187" s="251">
        <f t="shared" si="40"/>
        <v>3.8232942288372822</v>
      </c>
      <c r="D187" s="252">
        <v>0.45651274374176504</v>
      </c>
      <c r="E187" s="252">
        <v>3.3667814850955171</v>
      </c>
      <c r="F187" s="252">
        <v>0.1</v>
      </c>
      <c r="G187" s="253">
        <f t="shared" si="41"/>
        <v>3.5</v>
      </c>
      <c r="H187" s="252">
        <v>1</v>
      </c>
      <c r="I187" s="252">
        <v>2.5</v>
      </c>
      <c r="J187" s="252">
        <v>0</v>
      </c>
      <c r="K187" s="220">
        <f t="shared" si="53"/>
        <v>7.5831963142869423</v>
      </c>
      <c r="L187" s="220">
        <f t="shared" si="53"/>
        <v>5.0281781526184028</v>
      </c>
      <c r="M187" s="219">
        <f t="shared" si="42"/>
        <v>0.90545627633276926</v>
      </c>
      <c r="N187" s="219">
        <f t="shared" si="43"/>
        <v>0.60037948090965998</v>
      </c>
      <c r="O187" s="219">
        <f t="shared" si="44"/>
        <v>6.6777400379541731</v>
      </c>
      <c r="P187" s="219">
        <f t="shared" si="45"/>
        <v>4.427798671708743</v>
      </c>
      <c r="Q187" s="219">
        <f t="shared" si="46"/>
        <v>0.19834194964882682</v>
      </c>
      <c r="R187" s="219">
        <f t="shared" si="47"/>
        <v>0.13151428720011285</v>
      </c>
      <c r="S187" s="220">
        <f t="shared" si="54"/>
        <v>6.9419682377089371</v>
      </c>
      <c r="T187" s="220">
        <f t="shared" si="54"/>
        <v>4.6030000520039493</v>
      </c>
      <c r="U187" s="219">
        <f t="shared" si="48"/>
        <v>1.9834194964882681</v>
      </c>
      <c r="V187" s="219">
        <f t="shared" si="55"/>
        <v>1.3151428720011284</v>
      </c>
      <c r="W187" s="219">
        <f t="shared" si="49"/>
        <v>4.9585487412206692</v>
      </c>
      <c r="X187" s="219">
        <f t="shared" si="50"/>
        <v>3.2878571800028213</v>
      </c>
      <c r="Y187" s="219">
        <f t="shared" si="51"/>
        <v>0</v>
      </c>
      <c r="Z187" s="219">
        <f t="shared" si="52"/>
        <v>0</v>
      </c>
      <c r="AA187" s="232">
        <v>76037366075.546799</v>
      </c>
      <c r="AB187" s="239">
        <v>76.037366075549997</v>
      </c>
      <c r="AC187" s="237">
        <v>50417977728.390221</v>
      </c>
      <c r="AD187" s="199">
        <v>50.417977728389999</v>
      </c>
    </row>
    <row r="188" spans="1:30">
      <c r="A188" s="221" t="s">
        <v>450</v>
      </c>
      <c r="B188" s="215" t="s">
        <v>561</v>
      </c>
      <c r="C188" s="251">
        <f t="shared" si="40"/>
        <v>22.474815922163589</v>
      </c>
      <c r="D188" s="252">
        <v>4.125811618561432</v>
      </c>
      <c r="E188" s="252">
        <v>18.349004303602158</v>
      </c>
      <c r="F188" s="252">
        <v>36.372286637317892</v>
      </c>
      <c r="G188" s="253">
        <f t="shared" si="41"/>
        <v>28.413813173092809</v>
      </c>
      <c r="H188" s="252">
        <v>1.2703156825570725</v>
      </c>
      <c r="I188" s="252">
        <v>27.143497490535736</v>
      </c>
      <c r="J188" s="252">
        <v>0</v>
      </c>
      <c r="K188" s="220">
        <f t="shared" si="53"/>
        <v>4.087658419220789</v>
      </c>
      <c r="L188" s="220">
        <f t="shared" si="53"/>
        <v>4.3137470638911193</v>
      </c>
      <c r="M188" s="219">
        <f t="shared" si="42"/>
        <v>0.75039140062990328</v>
      </c>
      <c r="N188" s="219">
        <f t="shared" si="43"/>
        <v>0.79189559626986727</v>
      </c>
      <c r="O188" s="219">
        <f t="shared" si="44"/>
        <v>3.3372670185908859</v>
      </c>
      <c r="P188" s="219">
        <f t="shared" si="45"/>
        <v>3.5218514676212522</v>
      </c>
      <c r="Q188" s="219">
        <f t="shared" si="46"/>
        <v>6.6152926108162537</v>
      </c>
      <c r="R188" s="219">
        <f t="shared" si="47"/>
        <v>6.9811848618527783</v>
      </c>
      <c r="S188" s="220">
        <f t="shared" si="54"/>
        <v>5.1678270932854131</v>
      </c>
      <c r="T188" s="220">
        <f t="shared" si="54"/>
        <v>5.4536599353637971</v>
      </c>
      <c r="U188" s="219">
        <f t="shared" si="48"/>
        <v>0.23104156282552288</v>
      </c>
      <c r="V188" s="219">
        <f t="shared" si="55"/>
        <v>0.24382048621993282</v>
      </c>
      <c r="W188" s="219">
        <f t="shared" si="49"/>
        <v>4.9367855304598907</v>
      </c>
      <c r="X188" s="219">
        <f t="shared" si="50"/>
        <v>5.209839449143864</v>
      </c>
      <c r="Y188" s="219">
        <f t="shared" si="51"/>
        <v>0</v>
      </c>
      <c r="Z188" s="219">
        <f t="shared" si="52"/>
        <v>0</v>
      </c>
      <c r="AA188" s="232">
        <v>521004490742.91901</v>
      </c>
      <c r="AB188" s="239">
        <v>521.00449074291998</v>
      </c>
      <c r="AC188" s="237">
        <v>549821281946.73523</v>
      </c>
      <c r="AD188" s="199">
        <v>549.82128194673999</v>
      </c>
    </row>
    <row r="189" spans="1:30">
      <c r="A189" s="221" t="s">
        <v>453</v>
      </c>
      <c r="B189" s="215" t="s">
        <v>561</v>
      </c>
      <c r="C189" s="251">
        <f t="shared" si="40"/>
        <v>54.35111984988594</v>
      </c>
      <c r="D189" s="252">
        <v>4.7396136259453741</v>
      </c>
      <c r="E189" s="252">
        <v>49.611506223940566</v>
      </c>
      <c r="F189" s="252">
        <v>0</v>
      </c>
      <c r="G189" s="253">
        <f t="shared" si="41"/>
        <v>46.623952017024436</v>
      </c>
      <c r="H189" s="252">
        <v>1.0650817136955897</v>
      </c>
      <c r="I189" s="252">
        <v>45.558870303328845</v>
      </c>
      <c r="J189" s="252">
        <v>0</v>
      </c>
      <c r="K189" s="220">
        <f t="shared" si="53"/>
        <v>7.2748505101031276</v>
      </c>
      <c r="L189" s="220">
        <f t="shared" si="53"/>
        <v>9.1993588217546076</v>
      </c>
      <c r="M189" s="219">
        <f t="shared" si="42"/>
        <v>0.63439319557042761</v>
      </c>
      <c r="N189" s="219">
        <f t="shared" si="43"/>
        <v>0.80221725958863432</v>
      </c>
      <c r="O189" s="219">
        <f t="shared" si="44"/>
        <v>6.6404573145326999</v>
      </c>
      <c r="P189" s="219">
        <f t="shared" si="45"/>
        <v>8.3971415621659737</v>
      </c>
      <c r="Q189" s="219">
        <f t="shared" si="46"/>
        <v>0</v>
      </c>
      <c r="R189" s="219">
        <f t="shared" si="47"/>
        <v>0</v>
      </c>
      <c r="S189" s="220">
        <f t="shared" si="54"/>
        <v>6.2405757609203292</v>
      </c>
      <c r="T189" s="220">
        <f t="shared" si="54"/>
        <v>7.8914742783129119</v>
      </c>
      <c r="U189" s="219">
        <f t="shared" si="48"/>
        <v>0.14256026866751181</v>
      </c>
      <c r="V189" s="219">
        <f t="shared" si="55"/>
        <v>0.18027354148059196</v>
      </c>
      <c r="W189" s="219">
        <f t="shared" si="49"/>
        <v>6.0980154922528174</v>
      </c>
      <c r="X189" s="219">
        <f t="shared" si="50"/>
        <v>7.7112007368323203</v>
      </c>
      <c r="Y189" s="219">
        <f t="shared" si="51"/>
        <v>0</v>
      </c>
      <c r="Z189" s="219">
        <f t="shared" si="52"/>
        <v>0</v>
      </c>
      <c r="AA189" s="232">
        <v>590814217631.73499</v>
      </c>
      <c r="AB189" s="239">
        <v>590.81421763174001</v>
      </c>
      <c r="AC189" s="237">
        <v>747109782866.38879</v>
      </c>
      <c r="AD189" s="199">
        <v>747.10978286638999</v>
      </c>
    </row>
    <row r="190" spans="1:30">
      <c r="A190" s="217" t="s">
        <v>490</v>
      </c>
      <c r="B190" s="215" t="s">
        <v>561</v>
      </c>
      <c r="C190" s="251">
        <f t="shared" si="40"/>
        <v>20.735557264419626</v>
      </c>
      <c r="D190" s="252">
        <v>2.21544520875785</v>
      </c>
      <c r="E190" s="252">
        <v>18.520112055661777</v>
      </c>
      <c r="F190" s="252">
        <v>3.0397675570876941</v>
      </c>
      <c r="G190" s="253">
        <f t="shared" si="41"/>
        <v>0</v>
      </c>
      <c r="H190" s="252">
        <v>0</v>
      </c>
      <c r="I190" s="252">
        <v>0</v>
      </c>
      <c r="J190" s="252">
        <v>4.5003203243428693</v>
      </c>
      <c r="K190" s="220">
        <f t="shared" si="53"/>
        <v>7.9155597092716778</v>
      </c>
      <c r="L190" s="220">
        <f t="shared" si="53"/>
        <v>4.6988645618176559</v>
      </c>
      <c r="M190" s="219">
        <f t="shared" si="42"/>
        <v>0.84572064347813192</v>
      </c>
      <c r="N190" s="219">
        <f t="shared" si="43"/>
        <v>0.50203989443504105</v>
      </c>
      <c r="O190" s="219">
        <f t="shared" si="44"/>
        <v>7.0698390657935457</v>
      </c>
      <c r="P190" s="219">
        <f t="shared" si="45"/>
        <v>4.1968246673826144</v>
      </c>
      <c r="Q190" s="219">
        <f t="shared" si="46"/>
        <v>1.1603961877466333</v>
      </c>
      <c r="R190" s="219">
        <f t="shared" si="47"/>
        <v>0.68883878393138398</v>
      </c>
      <c r="S190" s="220">
        <f t="shared" si="54"/>
        <v>0</v>
      </c>
      <c r="T190" s="220">
        <f t="shared" si="54"/>
        <v>0</v>
      </c>
      <c r="U190" s="219">
        <f t="shared" si="48"/>
        <v>0</v>
      </c>
      <c r="V190" s="219">
        <f t="shared" si="55"/>
        <v>0</v>
      </c>
      <c r="W190" s="219">
        <f t="shared" si="49"/>
        <v>0</v>
      </c>
      <c r="X190" s="219">
        <f t="shared" si="50"/>
        <v>0</v>
      </c>
      <c r="Y190" s="219">
        <f t="shared" si="51"/>
        <v>1.7179453527062905</v>
      </c>
      <c r="Z190" s="219">
        <f t="shared" si="52"/>
        <v>1.0198132328552258</v>
      </c>
      <c r="AA190" s="232">
        <v>441288677118.17102</v>
      </c>
      <c r="AB190" s="239">
        <v>441.28867711817003</v>
      </c>
      <c r="AC190" s="237">
        <v>261959457397.9639</v>
      </c>
      <c r="AD190" s="199">
        <v>261.95945739796002</v>
      </c>
    </row>
    <row r="191" spans="1:30">
      <c r="A191" s="217" t="s">
        <v>481</v>
      </c>
      <c r="B191" s="215" t="s">
        <v>561</v>
      </c>
      <c r="C191" s="251">
        <f t="shared" si="40"/>
        <v>11.136482043605833</v>
      </c>
      <c r="D191" s="252">
        <v>2.9336557811933468</v>
      </c>
      <c r="E191" s="252">
        <v>8.2028262624124864</v>
      </c>
      <c r="F191" s="252">
        <v>0.10830493525282782</v>
      </c>
      <c r="G191" s="253">
        <f t="shared" si="41"/>
        <v>15.517931123025171</v>
      </c>
      <c r="H191" s="252">
        <v>8.5953504240025485</v>
      </c>
      <c r="I191" s="252">
        <v>6.922580699022622</v>
      </c>
      <c r="J191" s="252">
        <v>0</v>
      </c>
      <c r="K191" s="220">
        <f t="shared" si="53"/>
        <v>3.4649308573440631</v>
      </c>
      <c r="L191" s="220">
        <f t="shared" si="53"/>
        <v>1.6128863085385605</v>
      </c>
      <c r="M191" s="219">
        <f t="shared" si="42"/>
        <v>0.912758122473601</v>
      </c>
      <c r="N191" s="219">
        <f t="shared" si="43"/>
        <v>0.42487863087504274</v>
      </c>
      <c r="O191" s="219">
        <f t="shared" si="44"/>
        <v>2.5521727348704624</v>
      </c>
      <c r="P191" s="219">
        <f t="shared" si="45"/>
        <v>1.1880076776635178</v>
      </c>
      <c r="Q191" s="219">
        <f t="shared" si="46"/>
        <v>3.369727627546798E-2</v>
      </c>
      <c r="R191" s="219">
        <f t="shared" si="47"/>
        <v>1.5685702767934535E-2</v>
      </c>
      <c r="S191" s="220">
        <f t="shared" si="54"/>
        <v>4.8281457447490519</v>
      </c>
      <c r="T191" s="220">
        <f t="shared" si="54"/>
        <v>2.2474474925896599</v>
      </c>
      <c r="U191" s="219">
        <f t="shared" si="48"/>
        <v>2.6743000884118273</v>
      </c>
      <c r="V191" s="219">
        <f t="shared" si="55"/>
        <v>1.2448565859202045</v>
      </c>
      <c r="W191" s="219">
        <f t="shared" si="49"/>
        <v>2.1538456563372246</v>
      </c>
      <c r="X191" s="219">
        <f t="shared" si="50"/>
        <v>1.0025909066694556</v>
      </c>
      <c r="Y191" s="219">
        <f t="shared" si="51"/>
        <v>0</v>
      </c>
      <c r="Z191" s="219">
        <f t="shared" si="52"/>
        <v>0</v>
      </c>
      <c r="AA191" s="232">
        <v>690469128831.32397</v>
      </c>
      <c r="AB191" s="239">
        <v>690.46912883131995</v>
      </c>
      <c r="AC191" s="237">
        <v>321405606694.9129</v>
      </c>
      <c r="AD191" s="199">
        <v>321.40560669490998</v>
      </c>
    </row>
    <row r="192" spans="1:30">
      <c r="A192" s="217" t="s">
        <v>542</v>
      </c>
      <c r="B192" s="215" t="s">
        <v>561</v>
      </c>
      <c r="C192" s="251">
        <f t="shared" si="40"/>
        <v>0.85479368304217118</v>
      </c>
      <c r="D192" s="252">
        <v>0.2</v>
      </c>
      <c r="E192" s="252">
        <v>0.65479368304217123</v>
      </c>
      <c r="F192" s="252">
        <v>0</v>
      </c>
      <c r="G192" s="253">
        <f t="shared" si="41"/>
        <v>0</v>
      </c>
      <c r="H192" s="252">
        <v>0</v>
      </c>
      <c r="I192" s="252">
        <v>0</v>
      </c>
      <c r="J192" s="252">
        <v>0</v>
      </c>
      <c r="K192" s="220">
        <f t="shared" si="53"/>
        <v>1.3276802859376868</v>
      </c>
      <c r="L192" s="220">
        <f t="shared" si="53"/>
        <v>0.93692974217803804</v>
      </c>
      <c r="M192" s="219">
        <f t="shared" si="42"/>
        <v>0.3106434481856567</v>
      </c>
      <c r="N192" s="219">
        <f t="shared" si="43"/>
        <v>0.21921775061405427</v>
      </c>
      <c r="O192" s="219">
        <f t="shared" si="44"/>
        <v>1.01703683775203</v>
      </c>
      <c r="P192" s="219">
        <f t="shared" si="45"/>
        <v>0.7177119915639838</v>
      </c>
      <c r="Q192" s="219">
        <f t="shared" si="46"/>
        <v>0</v>
      </c>
      <c r="R192" s="219">
        <f t="shared" si="47"/>
        <v>0</v>
      </c>
      <c r="S192" s="220">
        <f t="shared" si="54"/>
        <v>0</v>
      </c>
      <c r="T192" s="220">
        <f t="shared" si="54"/>
        <v>0</v>
      </c>
      <c r="U192" s="219">
        <f t="shared" si="48"/>
        <v>0</v>
      </c>
      <c r="V192" s="219">
        <f t="shared" si="55"/>
        <v>0</v>
      </c>
      <c r="W192" s="219">
        <f t="shared" si="49"/>
        <v>0</v>
      </c>
      <c r="X192" s="219">
        <f t="shared" si="50"/>
        <v>0</v>
      </c>
      <c r="Y192" s="219">
        <f t="shared" si="51"/>
        <v>0</v>
      </c>
      <c r="Z192" s="219">
        <f t="shared" si="52"/>
        <v>0</v>
      </c>
      <c r="AA192" s="232">
        <v>91233487908.610901</v>
      </c>
      <c r="AB192" s="239">
        <v>91.233487908610002</v>
      </c>
      <c r="AC192" s="237">
        <v>64382494196.515457</v>
      </c>
      <c r="AD192" s="199">
        <v>64.38249419652</v>
      </c>
    </row>
    <row r="193" spans="1:30">
      <c r="A193" s="217" t="s">
        <v>543</v>
      </c>
      <c r="B193" s="215" t="s">
        <v>561</v>
      </c>
      <c r="C193" s="251">
        <f t="shared" si="40"/>
        <v>13.7</v>
      </c>
      <c r="D193" s="252">
        <v>4.2</v>
      </c>
      <c r="E193" s="252">
        <v>9.5</v>
      </c>
      <c r="F193" s="252">
        <v>2.9</v>
      </c>
      <c r="G193" s="253">
        <f t="shared" si="41"/>
        <v>6.5</v>
      </c>
      <c r="H193" s="252">
        <v>0</v>
      </c>
      <c r="I193" s="252">
        <v>6.5</v>
      </c>
      <c r="J193" s="252">
        <v>0</v>
      </c>
      <c r="K193" s="220">
        <f t="shared" si="53"/>
        <v>9.2954475311525808</v>
      </c>
      <c r="L193" s="220">
        <f t="shared" si="53"/>
        <v>4.4209497679334593</v>
      </c>
      <c r="M193" s="219">
        <f t="shared" si="42"/>
        <v>2.8496992431270685</v>
      </c>
      <c r="N193" s="219">
        <f t="shared" si="43"/>
        <v>1.3553276660817906</v>
      </c>
      <c r="O193" s="219">
        <f t="shared" si="44"/>
        <v>6.4457482880255119</v>
      </c>
      <c r="P193" s="219">
        <f t="shared" si="45"/>
        <v>3.0656221018516687</v>
      </c>
      <c r="Q193" s="219">
        <f t="shared" si="46"/>
        <v>1.9676494773972615</v>
      </c>
      <c r="R193" s="219">
        <f t="shared" si="47"/>
        <v>0.93582148372314089</v>
      </c>
      <c r="S193" s="220">
        <f t="shared" si="54"/>
        <v>4.410248828649034</v>
      </c>
      <c r="T193" s="220">
        <f t="shared" si="54"/>
        <v>2.097530911793247</v>
      </c>
      <c r="U193" s="219">
        <f t="shared" si="48"/>
        <v>0</v>
      </c>
      <c r="V193" s="219">
        <f t="shared" si="55"/>
        <v>0</v>
      </c>
      <c r="W193" s="219">
        <f t="shared" si="49"/>
        <v>4.410248828649034</v>
      </c>
      <c r="X193" s="219">
        <f t="shared" si="50"/>
        <v>2.097530911793247</v>
      </c>
      <c r="Y193" s="219">
        <f t="shared" si="51"/>
        <v>0</v>
      </c>
      <c r="Z193" s="219">
        <f t="shared" si="52"/>
        <v>0</v>
      </c>
      <c r="AA193" s="232">
        <v>309888162479.70697</v>
      </c>
      <c r="AB193" s="239">
        <v>309.88816247970999</v>
      </c>
      <c r="AC193" s="237">
        <v>147383974295.86609</v>
      </c>
      <c r="AD193" s="199">
        <v>147.38397429586999</v>
      </c>
    </row>
    <row r="194" spans="1:30">
      <c r="A194" s="217" t="s">
        <v>487</v>
      </c>
      <c r="B194" s="215" t="s">
        <v>561</v>
      </c>
      <c r="C194" s="251">
        <f t="shared" si="40"/>
        <v>46.286304083494819</v>
      </c>
      <c r="D194" s="252">
        <v>2.1796874499152681</v>
      </c>
      <c r="E194" s="252">
        <v>44.106616633579549</v>
      </c>
      <c r="F194" s="252">
        <v>0</v>
      </c>
      <c r="G194" s="253">
        <f t="shared" si="41"/>
        <v>31.797793386999206</v>
      </c>
      <c r="H194" s="252">
        <v>12.821690881854519</v>
      </c>
      <c r="I194" s="252">
        <v>18.976102505144688</v>
      </c>
      <c r="J194" s="252">
        <v>0</v>
      </c>
      <c r="K194" s="220">
        <f t="shared" si="53"/>
        <v>8.099046653743537</v>
      </c>
      <c r="L194" s="220">
        <f t="shared" si="53"/>
        <v>3.8082469290611232</v>
      </c>
      <c r="M194" s="219">
        <f t="shared" si="42"/>
        <v>0.38139554879124682</v>
      </c>
      <c r="N194" s="219">
        <f t="shared" si="43"/>
        <v>0.1793357279613271</v>
      </c>
      <c r="O194" s="219">
        <f t="shared" si="44"/>
        <v>7.7176511049522905</v>
      </c>
      <c r="P194" s="219">
        <f t="shared" si="45"/>
        <v>3.6289112010997959</v>
      </c>
      <c r="Q194" s="219">
        <f t="shared" si="46"/>
        <v>0</v>
      </c>
      <c r="R194" s="219">
        <f t="shared" si="47"/>
        <v>0</v>
      </c>
      <c r="S194" s="220">
        <f t="shared" si="54"/>
        <v>5.5638880058958371</v>
      </c>
      <c r="T194" s="220">
        <f t="shared" si="54"/>
        <v>2.6161917961417132</v>
      </c>
      <c r="U194" s="219">
        <f t="shared" si="48"/>
        <v>2.2435032281838052</v>
      </c>
      <c r="V194" s="219">
        <f t="shared" si="55"/>
        <v>1.0549160468313359</v>
      </c>
      <c r="W194" s="219">
        <f t="shared" si="49"/>
        <v>3.3203847777120314</v>
      </c>
      <c r="X194" s="219">
        <f t="shared" si="50"/>
        <v>1.561275749310377</v>
      </c>
      <c r="Y194" s="219">
        <f t="shared" si="51"/>
        <v>0</v>
      </c>
      <c r="Z194" s="219">
        <f t="shared" si="52"/>
        <v>0</v>
      </c>
      <c r="AA194" s="232">
        <v>1215422868992.01</v>
      </c>
      <c r="AB194" s="239">
        <v>1215.4228689920101</v>
      </c>
      <c r="AC194" s="237">
        <v>571503117124.28699</v>
      </c>
      <c r="AD194" s="199">
        <v>571.50311712429004</v>
      </c>
    </row>
    <row r="195" spans="1:30">
      <c r="A195" s="217"/>
      <c r="B195" s="215"/>
      <c r="C195" s="251"/>
      <c r="D195" s="252"/>
      <c r="E195" s="252"/>
      <c r="F195" s="252"/>
      <c r="G195" s="253"/>
      <c r="H195" s="252"/>
      <c r="I195" s="252"/>
      <c r="J195" s="252"/>
      <c r="K195" s="220"/>
      <c r="L195" s="220"/>
      <c r="M195" s="219"/>
      <c r="N195" s="219"/>
      <c r="O195" s="219"/>
      <c r="P195" s="219"/>
      <c r="Q195" s="219"/>
      <c r="R195" s="219"/>
      <c r="S195" s="220"/>
      <c r="T195" s="220"/>
      <c r="U195" s="219"/>
      <c r="V195" s="219"/>
      <c r="W195" s="219"/>
      <c r="X195" s="219"/>
      <c r="Y195" s="219"/>
      <c r="Z195" s="219"/>
      <c r="AA195" s="238"/>
      <c r="AB195" s="239"/>
      <c r="AC195" s="237"/>
    </row>
    <row r="196" spans="1:30">
      <c r="A196" s="217" t="s">
        <v>461</v>
      </c>
      <c r="B196" s="215" t="s">
        <v>558</v>
      </c>
      <c r="C196" s="251">
        <f t="shared" si="40"/>
        <v>249.72579708899616</v>
      </c>
      <c r="D196" s="252">
        <v>13.808448829914081</v>
      </c>
      <c r="E196" s="252">
        <v>235.91734825908208</v>
      </c>
      <c r="F196" s="252">
        <v>0</v>
      </c>
      <c r="G196" s="253">
        <f t="shared" si="41"/>
        <v>24.164785452349641</v>
      </c>
      <c r="H196" s="252">
        <v>10.356336622435562</v>
      </c>
      <c r="I196" s="252">
        <v>13.808448829914079</v>
      </c>
      <c r="J196" s="252">
        <v>0</v>
      </c>
      <c r="K196" s="220">
        <f t="shared" ref="K196:L233" si="56">M196+O196</f>
        <v>16.706599322040006</v>
      </c>
      <c r="L196" s="220">
        <f t="shared" si="56"/>
        <v>20.360586789391007</v>
      </c>
      <c r="M196" s="219">
        <f t="shared" si="42"/>
        <v>0.92378210240752034</v>
      </c>
      <c r="N196" s="219">
        <f t="shared" si="43"/>
        <v>1.1258273038092899</v>
      </c>
      <c r="O196" s="219">
        <f t="shared" si="44"/>
        <v>15.782817219632486</v>
      </c>
      <c r="P196" s="219">
        <f t="shared" si="45"/>
        <v>19.234759485581719</v>
      </c>
      <c r="Q196" s="219">
        <f t="shared" si="46"/>
        <v>0</v>
      </c>
      <c r="R196" s="219">
        <f t="shared" si="47"/>
        <v>0</v>
      </c>
      <c r="S196" s="220">
        <f t="shared" ref="S196:T233" si="57">U196+W196</f>
        <v>1.6166186792131607</v>
      </c>
      <c r="T196" s="220">
        <f t="shared" si="57"/>
        <v>1.9701977816662573</v>
      </c>
      <c r="U196" s="219">
        <f t="shared" si="48"/>
        <v>0.69283657680564037</v>
      </c>
      <c r="V196" s="219">
        <f t="shared" ref="V196:V233" si="58">($H196/AB196)*100</f>
        <v>0.84437047785696751</v>
      </c>
      <c r="W196" s="219">
        <f t="shared" si="49"/>
        <v>0.92378210240752023</v>
      </c>
      <c r="X196" s="219">
        <f t="shared" si="50"/>
        <v>1.1258273038092899</v>
      </c>
      <c r="Y196" s="219">
        <f t="shared" si="51"/>
        <v>0</v>
      </c>
      <c r="Z196" s="219">
        <f t="shared" si="52"/>
        <v>0</v>
      </c>
      <c r="AA196" s="232">
        <v>1226515717214.5801</v>
      </c>
      <c r="AB196" s="239">
        <v>1226.51571721458</v>
      </c>
      <c r="AC196" s="237">
        <v>1494773366351.988</v>
      </c>
      <c r="AD196" s="199">
        <v>1494.77336635199</v>
      </c>
    </row>
    <row r="197" spans="1:30">
      <c r="A197" s="217" t="s">
        <v>459</v>
      </c>
      <c r="B197" s="215" t="s">
        <v>558</v>
      </c>
      <c r="C197" s="251">
        <f t="shared" ref="C197:C260" si="59">D197+E197</f>
        <v>261.11866848038159</v>
      </c>
      <c r="D197" s="252">
        <v>44.961324127261591</v>
      </c>
      <c r="E197" s="252">
        <v>216.15734435311998</v>
      </c>
      <c r="F197" s="252">
        <v>63.452880318904832</v>
      </c>
      <c r="G197" s="253">
        <f t="shared" ref="G197:G261" si="60">H197+I197</f>
        <v>64.944134850488979</v>
      </c>
      <c r="H197" s="252">
        <v>3.8772617821187447</v>
      </c>
      <c r="I197" s="252">
        <v>61.066873068370228</v>
      </c>
      <c r="J197" s="252">
        <v>0</v>
      </c>
      <c r="K197" s="220">
        <f t="shared" si="56"/>
        <v>15.390656908353272</v>
      </c>
      <c r="L197" s="220">
        <f t="shared" si="56"/>
        <v>15.150592598683838</v>
      </c>
      <c r="M197" s="219">
        <f t="shared" ref="M197:M261" si="61">($D197/$AD197)*100</f>
        <v>2.6500759896450665</v>
      </c>
      <c r="N197" s="219">
        <f t="shared" ref="N197:N261" si="62">($D197/$AB197)*100</f>
        <v>2.6087399591680058</v>
      </c>
      <c r="O197" s="219">
        <f t="shared" ref="O197:O261" si="63">($E197/$AD197)*100</f>
        <v>12.740580918708206</v>
      </c>
      <c r="P197" s="219">
        <f t="shared" ref="P197:P261" si="64">($E197/$AB197)*100</f>
        <v>12.541852639515833</v>
      </c>
      <c r="Q197" s="219">
        <f t="shared" ref="Q197:Q261" si="65">($F197/$AD197)*100</f>
        <v>3.7399911561989247</v>
      </c>
      <c r="R197" s="219">
        <f t="shared" ref="R197:R261" si="66">($F197/$AB197)*100</f>
        <v>3.6816545692404188</v>
      </c>
      <c r="S197" s="220">
        <f t="shared" si="57"/>
        <v>3.8278875405984296</v>
      </c>
      <c r="T197" s="220">
        <f t="shared" si="57"/>
        <v>3.7681799410204526</v>
      </c>
      <c r="U197" s="219">
        <f t="shared" ref="U197:U261" si="67">($H197/$AD197)*100</f>
        <v>0.22853059943871226</v>
      </c>
      <c r="V197" s="219">
        <f t="shared" si="58"/>
        <v>0.22496596662808674</v>
      </c>
      <c r="W197" s="219">
        <f t="shared" ref="W197:W261" si="68">($I197/$AD197)*100</f>
        <v>3.5993569411597175</v>
      </c>
      <c r="X197" s="219">
        <f t="shared" ref="X197:X261" si="69">($I197/$AB197)*100</f>
        <v>3.5432139743923661</v>
      </c>
      <c r="Y197" s="219">
        <f t="shared" ref="Y197:Y261" si="70">($J197/$AD197)*100</f>
        <v>0</v>
      </c>
      <c r="Z197" s="219">
        <f t="shared" ref="Z197:Z261" si="71">($J197/$AB197)*100</f>
        <v>0</v>
      </c>
      <c r="AA197" s="232">
        <v>1723488152556.26</v>
      </c>
      <c r="AB197" s="239">
        <v>1723.48815255626</v>
      </c>
      <c r="AC197" s="237">
        <v>1696605089927.3779</v>
      </c>
      <c r="AD197" s="199">
        <v>1696.60508992738</v>
      </c>
    </row>
    <row r="198" spans="1:30">
      <c r="A198" s="217" t="s">
        <v>457</v>
      </c>
      <c r="B198" s="215" t="s">
        <v>558</v>
      </c>
      <c r="C198" s="251">
        <f t="shared" si="59"/>
        <v>251.88090635951886</v>
      </c>
      <c r="D198" s="252">
        <v>35.722122197793112</v>
      </c>
      <c r="E198" s="252">
        <v>216.15878416172575</v>
      </c>
      <c r="F198" s="252">
        <v>79.319089225131677</v>
      </c>
      <c r="G198" s="253">
        <f t="shared" si="60"/>
        <v>399.79103533185071</v>
      </c>
      <c r="H198" s="252">
        <v>18.032253377799719</v>
      </c>
      <c r="I198" s="252">
        <v>381.75878195405102</v>
      </c>
      <c r="J198" s="252">
        <v>0</v>
      </c>
      <c r="K198" s="220">
        <f t="shared" si="56"/>
        <v>9.6254854994092884</v>
      </c>
      <c r="L198" s="220">
        <f t="shared" si="56"/>
        <v>8.6643648705421832</v>
      </c>
      <c r="M198" s="219">
        <f t="shared" si="61"/>
        <v>1.3651005715066187</v>
      </c>
      <c r="N198" s="219">
        <f t="shared" si="62"/>
        <v>1.2287930242318545</v>
      </c>
      <c r="O198" s="219">
        <f t="shared" si="63"/>
        <v>8.2603849279026704</v>
      </c>
      <c r="P198" s="219">
        <f t="shared" si="64"/>
        <v>7.435571846310328</v>
      </c>
      <c r="Q198" s="219">
        <f t="shared" si="65"/>
        <v>3.0311338568597446</v>
      </c>
      <c r="R198" s="219">
        <f t="shared" si="66"/>
        <v>2.7284701336777601</v>
      </c>
      <c r="S198" s="220">
        <f t="shared" si="57"/>
        <v>15.277786907308901</v>
      </c>
      <c r="T198" s="220">
        <f t="shared" si="57"/>
        <v>13.752274644997399</v>
      </c>
      <c r="U198" s="219">
        <f t="shared" si="67"/>
        <v>0.68909230127171173</v>
      </c>
      <c r="V198" s="219">
        <f t="shared" si="58"/>
        <v>0.6202852965771023</v>
      </c>
      <c r="W198" s="219">
        <f t="shared" si="68"/>
        <v>14.588694606037189</v>
      </c>
      <c r="X198" s="219">
        <f t="shared" si="69"/>
        <v>13.131989348420298</v>
      </c>
      <c r="Y198" s="219">
        <f t="shared" si="70"/>
        <v>0</v>
      </c>
      <c r="Z198" s="219">
        <f t="shared" si="71"/>
        <v>0</v>
      </c>
      <c r="AA198" s="232">
        <v>2907090249810.2798</v>
      </c>
      <c r="AB198" s="239">
        <v>2907.0902498102801</v>
      </c>
      <c r="AC198" s="237">
        <v>2616812485718.0068</v>
      </c>
      <c r="AD198" s="199">
        <v>2616.8124857180101</v>
      </c>
    </row>
    <row r="199" spans="1:30">
      <c r="A199" s="217" t="s">
        <v>458</v>
      </c>
      <c r="B199" s="215" t="s">
        <v>558</v>
      </c>
      <c r="C199" s="251">
        <f t="shared" si="59"/>
        <v>519.28324600625774</v>
      </c>
      <c r="D199" s="252">
        <v>69.618193420619164</v>
      </c>
      <c r="E199" s="252">
        <v>449.66505258563853</v>
      </c>
      <c r="F199" s="252">
        <v>0</v>
      </c>
      <c r="G199" s="253">
        <f t="shared" si="60"/>
        <v>1057.9682836215404</v>
      </c>
      <c r="H199" s="252">
        <v>114.12818593544125</v>
      </c>
      <c r="I199" s="252">
        <v>943.84009768609917</v>
      </c>
      <c r="J199" s="252">
        <v>0</v>
      </c>
      <c r="K199" s="220">
        <f t="shared" si="56"/>
        <v>14.435291560014873</v>
      </c>
      <c r="L199" s="220">
        <f t="shared" si="56"/>
        <v>12.477417298040546</v>
      </c>
      <c r="M199" s="219">
        <f t="shared" si="61"/>
        <v>1.9352808465074884</v>
      </c>
      <c r="N199" s="219">
        <f t="shared" si="62"/>
        <v>1.6727966047922489</v>
      </c>
      <c r="O199" s="219">
        <f t="shared" si="63"/>
        <v>12.500010713507384</v>
      </c>
      <c r="P199" s="219">
        <f t="shared" si="64"/>
        <v>10.804620693248298</v>
      </c>
      <c r="Q199" s="219">
        <f t="shared" si="65"/>
        <v>0</v>
      </c>
      <c r="R199" s="219">
        <f t="shared" si="66"/>
        <v>0</v>
      </c>
      <c r="S199" s="220">
        <f t="shared" si="57"/>
        <v>29.409923683810518</v>
      </c>
      <c r="T199" s="220">
        <f t="shared" si="57"/>
        <v>25.421023813810081</v>
      </c>
      <c r="U199" s="219">
        <f t="shared" si="67"/>
        <v>3.1725915516516197</v>
      </c>
      <c r="V199" s="219">
        <f t="shared" si="58"/>
        <v>2.7422895160528671</v>
      </c>
      <c r="W199" s="219">
        <f t="shared" si="68"/>
        <v>26.237332132158897</v>
      </c>
      <c r="X199" s="219">
        <f t="shared" si="69"/>
        <v>22.678734297757213</v>
      </c>
      <c r="Y199" s="219">
        <f t="shared" si="70"/>
        <v>0</v>
      </c>
      <c r="Z199" s="219">
        <f t="shared" si="71"/>
        <v>0</v>
      </c>
      <c r="AA199" s="232">
        <v>4161784715558.1299</v>
      </c>
      <c r="AB199" s="239">
        <v>4161.7847155581303</v>
      </c>
      <c r="AC199" s="237">
        <v>3597317337494.2358</v>
      </c>
      <c r="AD199" s="199">
        <v>3597.3173374942398</v>
      </c>
    </row>
    <row r="200" spans="1:30">
      <c r="A200" s="217" t="s">
        <v>455</v>
      </c>
      <c r="B200" s="215" t="s">
        <v>558</v>
      </c>
      <c r="C200" s="251">
        <f t="shared" si="59"/>
        <v>205.43073468379427</v>
      </c>
      <c r="D200" s="252">
        <v>22.825637187088251</v>
      </c>
      <c r="E200" s="252">
        <v>182.60509749670601</v>
      </c>
      <c r="F200" s="252">
        <v>7.9889730154808873</v>
      </c>
      <c r="G200" s="253">
        <f t="shared" si="60"/>
        <v>664.51136260910675</v>
      </c>
      <c r="H200" s="252">
        <v>3.7091660429018405</v>
      </c>
      <c r="I200" s="252">
        <v>660.80219656620488</v>
      </c>
      <c r="J200" s="252">
        <v>0</v>
      </c>
      <c r="K200" s="220">
        <f t="shared" si="56"/>
        <v>10.709794274584462</v>
      </c>
      <c r="L200" s="220">
        <f t="shared" si="56"/>
        <v>8.787879797149678</v>
      </c>
      <c r="M200" s="219">
        <f t="shared" si="61"/>
        <v>1.1899771416204958</v>
      </c>
      <c r="N200" s="219">
        <f t="shared" si="62"/>
        <v>0.97643108857218652</v>
      </c>
      <c r="O200" s="219">
        <f t="shared" si="63"/>
        <v>9.5198171329639667</v>
      </c>
      <c r="P200" s="219">
        <f t="shared" si="64"/>
        <v>7.8114487085774922</v>
      </c>
      <c r="Q200" s="219">
        <f t="shared" si="65"/>
        <v>0.41649199956717348</v>
      </c>
      <c r="R200" s="219">
        <f t="shared" si="66"/>
        <v>0.34175088100026529</v>
      </c>
      <c r="S200" s="220">
        <f t="shared" si="57"/>
        <v>34.643209535426678</v>
      </c>
      <c r="T200" s="220">
        <f t="shared" si="57"/>
        <v>28.426350066057783</v>
      </c>
      <c r="U200" s="219">
        <f t="shared" si="67"/>
        <v>0.19337128551333052</v>
      </c>
      <c r="V200" s="219">
        <f t="shared" si="58"/>
        <v>0.15867005189298031</v>
      </c>
      <c r="W200" s="219">
        <f t="shared" si="68"/>
        <v>34.449838249913348</v>
      </c>
      <c r="X200" s="219">
        <f t="shared" si="69"/>
        <v>28.267680014164803</v>
      </c>
      <c r="Y200" s="219">
        <f t="shared" si="70"/>
        <v>0</v>
      </c>
      <c r="Z200" s="219">
        <f t="shared" si="71"/>
        <v>0</v>
      </c>
      <c r="AA200" s="232">
        <v>2337659815857.1201</v>
      </c>
      <c r="AB200" s="239">
        <v>2337.6598158571201</v>
      </c>
      <c r="AC200" s="237">
        <v>1918157617381.1699</v>
      </c>
      <c r="AD200" s="199">
        <v>1918.15761738117</v>
      </c>
    </row>
    <row r="201" spans="1:30">
      <c r="A201" s="217" t="s">
        <v>460</v>
      </c>
      <c r="B201" s="215" t="s">
        <v>558</v>
      </c>
      <c r="C201" s="251">
        <f t="shared" si="59"/>
        <v>830.72205126485824</v>
      </c>
      <c r="D201" s="252">
        <v>94.591800651353637</v>
      </c>
      <c r="E201" s="252">
        <v>736.13025061350459</v>
      </c>
      <c r="F201" s="252">
        <v>27.16002196920055</v>
      </c>
      <c r="G201" s="253">
        <f t="shared" si="60"/>
        <v>147.0387396263616</v>
      </c>
      <c r="H201" s="252">
        <v>0</v>
      </c>
      <c r="I201" s="252">
        <v>147.0387396263616</v>
      </c>
      <c r="J201" s="252">
        <v>1282.1403474426052</v>
      </c>
      <c r="K201" s="220">
        <f t="shared" si="56"/>
        <v>18.20029636639136</v>
      </c>
      <c r="L201" s="220">
        <f t="shared" si="56"/>
        <v>15.600847040608596</v>
      </c>
      <c r="M201" s="219">
        <f t="shared" si="61"/>
        <v>2.0724125513027363</v>
      </c>
      <c r="N201" s="219">
        <f t="shared" si="62"/>
        <v>1.7764211399114636</v>
      </c>
      <c r="O201" s="219">
        <f t="shared" si="63"/>
        <v>16.127883815088623</v>
      </c>
      <c r="P201" s="219">
        <f t="shared" si="64"/>
        <v>13.824425900697133</v>
      </c>
      <c r="Q201" s="219">
        <f t="shared" si="65"/>
        <v>0.59504914839385492</v>
      </c>
      <c r="R201" s="219">
        <f t="shared" si="66"/>
        <v>0.51006151542012323</v>
      </c>
      <c r="S201" s="220">
        <f t="shared" si="57"/>
        <v>3.2214729757874219</v>
      </c>
      <c r="T201" s="220">
        <f t="shared" si="57"/>
        <v>2.7613675145158392</v>
      </c>
      <c r="U201" s="219">
        <f t="shared" si="67"/>
        <v>0</v>
      </c>
      <c r="V201" s="219">
        <f t="shared" si="58"/>
        <v>0</v>
      </c>
      <c r="W201" s="219">
        <f t="shared" si="68"/>
        <v>3.2214729757874219</v>
      </c>
      <c r="X201" s="219">
        <f t="shared" si="69"/>
        <v>2.7613675145158392</v>
      </c>
      <c r="Y201" s="219">
        <f t="shared" si="70"/>
        <v>28.090423591420254</v>
      </c>
      <c r="Z201" s="219">
        <f t="shared" si="71"/>
        <v>24.078421193453401</v>
      </c>
      <c r="AA201" s="232">
        <v>5324852228231.6504</v>
      </c>
      <c r="AB201" s="239">
        <v>5324.8522282316499</v>
      </c>
      <c r="AC201" s="237">
        <v>4564332550094.4502</v>
      </c>
      <c r="AD201" s="199">
        <v>4564.3325500944502</v>
      </c>
    </row>
    <row r="202" spans="1:30">
      <c r="A202" s="217" t="s">
        <v>448</v>
      </c>
      <c r="B202" s="215" t="s">
        <v>558</v>
      </c>
      <c r="C202" s="251">
        <f t="shared" si="59"/>
        <v>73.474251908227828</v>
      </c>
      <c r="D202" s="252">
        <v>8.4745388590804875</v>
      </c>
      <c r="E202" s="252">
        <v>64.999713049147346</v>
      </c>
      <c r="F202" s="252">
        <v>39.576096471905878</v>
      </c>
      <c r="G202" s="253">
        <f t="shared" si="60"/>
        <v>60.08448051088066</v>
      </c>
      <c r="H202" s="252">
        <v>0</v>
      </c>
      <c r="I202" s="252">
        <v>60.08448051088066</v>
      </c>
      <c r="J202" s="252">
        <v>105.93173573850609</v>
      </c>
      <c r="K202" s="220">
        <f t="shared" si="56"/>
        <v>4.4852051551882131</v>
      </c>
      <c r="L202" s="220">
        <f t="shared" si="56"/>
        <v>3.4070439922177385</v>
      </c>
      <c r="M202" s="219">
        <f t="shared" si="61"/>
        <v>0.51732470071374992</v>
      </c>
      <c r="N202" s="219">
        <f t="shared" si="62"/>
        <v>0.39296931859489487</v>
      </c>
      <c r="O202" s="219">
        <f t="shared" si="63"/>
        <v>3.967880454474463</v>
      </c>
      <c r="P202" s="219">
        <f t="shared" si="64"/>
        <v>3.0140746736228436</v>
      </c>
      <c r="Q202" s="219">
        <f t="shared" si="65"/>
        <v>2.4159063523332125</v>
      </c>
      <c r="R202" s="219">
        <f t="shared" si="66"/>
        <v>1.835166717838159</v>
      </c>
      <c r="S202" s="220">
        <f t="shared" si="57"/>
        <v>3.6678321280604878</v>
      </c>
      <c r="T202" s="220">
        <f t="shared" si="57"/>
        <v>2.7861524688378045</v>
      </c>
      <c r="U202" s="219">
        <f t="shared" si="67"/>
        <v>0</v>
      </c>
      <c r="V202" s="219">
        <f t="shared" si="58"/>
        <v>0</v>
      </c>
      <c r="W202" s="219">
        <f t="shared" si="68"/>
        <v>3.6678321280604878</v>
      </c>
      <c r="X202" s="219">
        <f t="shared" si="69"/>
        <v>2.7861524688378045</v>
      </c>
      <c r="Y202" s="219">
        <f t="shared" si="70"/>
        <v>6.4665587589218756</v>
      </c>
      <c r="Z202" s="219">
        <f t="shared" si="71"/>
        <v>4.9121164824361854</v>
      </c>
      <c r="AA202" s="232">
        <v>2156539571430.7</v>
      </c>
      <c r="AB202" s="239">
        <v>2156.5395714307001</v>
      </c>
      <c r="AC202" s="237">
        <v>1638146960195.0569</v>
      </c>
      <c r="AD202" s="199">
        <v>1638.14696019506</v>
      </c>
    </row>
    <row r="203" spans="1:30">
      <c r="A203" s="217" t="s">
        <v>449</v>
      </c>
      <c r="B203" s="215" t="s">
        <v>558</v>
      </c>
      <c r="C203" s="251">
        <f t="shared" si="59"/>
        <v>97.020370863718611</v>
      </c>
      <c r="D203" s="252">
        <v>16.092074216897217</v>
      </c>
      <c r="E203" s="252">
        <v>80.928296646821394</v>
      </c>
      <c r="F203" s="252">
        <v>5.1357683670948562E-2</v>
      </c>
      <c r="G203" s="253">
        <f t="shared" si="60"/>
        <v>172.60632712690199</v>
      </c>
      <c r="H203" s="252">
        <v>0.72927910812746966</v>
      </c>
      <c r="I203" s="252">
        <v>171.87704801877453</v>
      </c>
      <c r="J203" s="252">
        <v>11.412818593544126</v>
      </c>
      <c r="K203" s="220">
        <f t="shared" si="56"/>
        <v>7.3282737257388932</v>
      </c>
      <c r="L203" s="220">
        <f t="shared" si="56"/>
        <v>5.4004383625424461</v>
      </c>
      <c r="M203" s="219">
        <f t="shared" si="61"/>
        <v>1.2154882900002164</v>
      </c>
      <c r="N203" s="219">
        <f t="shared" si="62"/>
        <v>0.89573204225207037</v>
      </c>
      <c r="O203" s="219">
        <f t="shared" si="63"/>
        <v>6.1127854357386768</v>
      </c>
      <c r="P203" s="219">
        <f t="shared" si="64"/>
        <v>4.5047063202903761</v>
      </c>
      <c r="Q203" s="219">
        <f t="shared" si="65"/>
        <v>3.8792179468092008E-3</v>
      </c>
      <c r="R203" s="219">
        <f t="shared" si="66"/>
        <v>2.8587192837832031E-3</v>
      </c>
      <c r="S203" s="220">
        <f t="shared" si="57"/>
        <v>13.03753429016615</v>
      </c>
      <c r="T203" s="220">
        <f t="shared" si="57"/>
        <v>9.6077743502241759</v>
      </c>
      <c r="U203" s="219">
        <f t="shared" si="67"/>
        <v>5.508489484469066E-2</v>
      </c>
      <c r="V203" s="219">
        <f t="shared" si="58"/>
        <v>4.0593813829721485E-2</v>
      </c>
      <c r="W203" s="219">
        <f t="shared" si="68"/>
        <v>12.98244939532146</v>
      </c>
      <c r="X203" s="219">
        <f t="shared" si="69"/>
        <v>9.5671805363944546</v>
      </c>
      <c r="Y203" s="219">
        <f t="shared" si="70"/>
        <v>0.862048432624267</v>
      </c>
      <c r="Z203" s="219">
        <f t="shared" si="71"/>
        <v>0.63527095195182293</v>
      </c>
      <c r="AA203" s="232">
        <v>1796527695541.4199</v>
      </c>
      <c r="AB203" s="239">
        <v>1796.5276955414199</v>
      </c>
      <c r="AC203" s="237">
        <v>1323918490148.05</v>
      </c>
      <c r="AD203" s="199">
        <v>1323.9184901480501</v>
      </c>
    </row>
    <row r="204" spans="1:30">
      <c r="A204" s="217" t="s">
        <v>463</v>
      </c>
      <c r="B204" s="215" t="s">
        <v>558</v>
      </c>
      <c r="C204" s="251">
        <f t="shared" si="59"/>
        <v>440.0580179680901</v>
      </c>
      <c r="D204" s="252">
        <v>203.99190920386684</v>
      </c>
      <c r="E204" s="252">
        <v>236.06610876422326</v>
      </c>
      <c r="F204" s="252">
        <v>14.112647806556826</v>
      </c>
      <c r="G204" s="253">
        <f t="shared" si="60"/>
        <v>452.8876977922327</v>
      </c>
      <c r="H204" s="252">
        <v>1.2829679824142568</v>
      </c>
      <c r="I204" s="252">
        <v>451.60472980981842</v>
      </c>
      <c r="J204" s="252">
        <v>0</v>
      </c>
      <c r="K204" s="220">
        <f t="shared" si="56"/>
        <v>13.937406334160265</v>
      </c>
      <c r="L204" s="220">
        <f t="shared" si="56"/>
        <v>14.957843729927454</v>
      </c>
      <c r="M204" s="219">
        <f t="shared" si="61"/>
        <v>6.4607801957186073</v>
      </c>
      <c r="N204" s="219">
        <f t="shared" si="62"/>
        <v>6.933810941861414</v>
      </c>
      <c r="O204" s="219">
        <f t="shared" si="63"/>
        <v>7.4766261384416586</v>
      </c>
      <c r="P204" s="219">
        <f t="shared" si="64"/>
        <v>8.0240327880660391</v>
      </c>
      <c r="Q204" s="219">
        <f t="shared" si="65"/>
        <v>0.44697221479814264</v>
      </c>
      <c r="R204" s="219">
        <f t="shared" si="66"/>
        <v>0.47969761233003494</v>
      </c>
      <c r="S204" s="220">
        <f t="shared" si="57"/>
        <v>14.343744711249487</v>
      </c>
      <c r="T204" s="220">
        <f t="shared" si="57"/>
        <v>15.393932468409304</v>
      </c>
      <c r="U204" s="219">
        <f t="shared" si="67"/>
        <v>4.0633837708922059E-2</v>
      </c>
      <c r="V204" s="219">
        <f t="shared" si="58"/>
        <v>4.3608873848184994E-2</v>
      </c>
      <c r="W204" s="219">
        <f t="shared" si="68"/>
        <v>14.303110873540565</v>
      </c>
      <c r="X204" s="219">
        <f t="shared" si="69"/>
        <v>15.350323594561118</v>
      </c>
      <c r="Y204" s="219">
        <f t="shared" si="70"/>
        <v>0</v>
      </c>
      <c r="Z204" s="219">
        <f t="shared" si="71"/>
        <v>0</v>
      </c>
      <c r="AA204" s="232">
        <v>2941988336778.9702</v>
      </c>
      <c r="AB204" s="239">
        <v>2941.9883367789698</v>
      </c>
      <c r="AC204" s="237">
        <v>3157388164033.9238</v>
      </c>
      <c r="AD204" s="199">
        <v>3157.38816403392</v>
      </c>
    </row>
    <row r="205" spans="1:30">
      <c r="A205" s="217" t="s">
        <v>464</v>
      </c>
      <c r="B205" s="215" t="s">
        <v>558</v>
      </c>
      <c r="C205" s="251">
        <f t="shared" si="59"/>
        <v>5328.3</v>
      </c>
      <c r="D205" s="252">
        <v>687.3</v>
      </c>
      <c r="E205" s="252">
        <v>4641</v>
      </c>
      <c r="F205" s="252">
        <v>17.98</v>
      </c>
      <c r="G205" s="253">
        <f t="shared" si="60"/>
        <v>510</v>
      </c>
      <c r="H205" s="252">
        <v>56</v>
      </c>
      <c r="I205" s="252">
        <v>454</v>
      </c>
      <c r="J205" s="252">
        <v>0</v>
      </c>
      <c r="K205" s="220">
        <f t="shared" si="56"/>
        <v>26.736447545993702</v>
      </c>
      <c r="L205" s="220">
        <f t="shared" si="56"/>
        <v>26.675893379829869</v>
      </c>
      <c r="M205" s="219">
        <f t="shared" si="61"/>
        <v>3.4487473299854492</v>
      </c>
      <c r="N205" s="219">
        <f t="shared" si="62"/>
        <v>3.4409364187371332</v>
      </c>
      <c r="O205" s="219">
        <f t="shared" si="63"/>
        <v>23.287700216008254</v>
      </c>
      <c r="P205" s="219">
        <f t="shared" si="64"/>
        <v>23.234956961092735</v>
      </c>
      <c r="Q205" s="219">
        <f t="shared" si="65"/>
        <v>9.0220394286539191E-2</v>
      </c>
      <c r="R205" s="219">
        <f t="shared" si="66"/>
        <v>9.0016058211688718E-2</v>
      </c>
      <c r="S205" s="220">
        <f t="shared" si="57"/>
        <v>2.5590879358250826</v>
      </c>
      <c r="T205" s="220">
        <f t="shared" si="57"/>
        <v>2.5532919737464543</v>
      </c>
      <c r="U205" s="219">
        <f t="shared" si="67"/>
        <v>0.28099789099255812</v>
      </c>
      <c r="V205" s="219">
        <f t="shared" si="58"/>
        <v>0.28036147162706165</v>
      </c>
      <c r="W205" s="219">
        <f t="shared" si="68"/>
        <v>2.2780900448325245</v>
      </c>
      <c r="X205" s="219">
        <f t="shared" si="69"/>
        <v>2.2729305021193928</v>
      </c>
      <c r="Y205" s="219">
        <f t="shared" si="70"/>
        <v>0</v>
      </c>
      <c r="Z205" s="219">
        <f t="shared" si="71"/>
        <v>0</v>
      </c>
      <c r="AA205" s="232">
        <v>19974213887167.602</v>
      </c>
      <c r="AB205" s="239">
        <v>19974.2138871676</v>
      </c>
      <c r="AC205" s="237">
        <v>19928975197000</v>
      </c>
      <c r="AD205" s="199">
        <v>19928.975197</v>
      </c>
    </row>
    <row r="206" spans="1:30">
      <c r="A206" s="217" t="s">
        <v>466</v>
      </c>
      <c r="B206" s="215" t="s">
        <v>558</v>
      </c>
      <c r="C206" s="251">
        <f t="shared" si="59"/>
        <v>7.0279601888550918</v>
      </c>
      <c r="D206" s="252">
        <v>4.8032151754294405</v>
      </c>
      <c r="E206" s="252">
        <v>2.2247450134256517</v>
      </c>
      <c r="F206" s="252">
        <v>4.2819360091037648</v>
      </c>
      <c r="G206" s="253">
        <f t="shared" si="60"/>
        <v>1.0704840022759412</v>
      </c>
      <c r="H206" s="252">
        <v>0.89362142798687272</v>
      </c>
      <c r="I206" s="252">
        <v>0.17686257428906854</v>
      </c>
      <c r="J206" s="252">
        <v>11.78928685984765</v>
      </c>
      <c r="K206" s="220">
        <f t="shared" si="56"/>
        <v>0.54942367197485686</v>
      </c>
      <c r="L206" s="220">
        <f t="shared" si="56"/>
        <v>0.29508569161334508</v>
      </c>
      <c r="M206" s="219">
        <f t="shared" si="61"/>
        <v>0.37550015197222009</v>
      </c>
      <c r="N206" s="219">
        <f t="shared" si="62"/>
        <v>0.20167445943375639</v>
      </c>
      <c r="O206" s="219">
        <f t="shared" si="63"/>
        <v>0.17392352000263681</v>
      </c>
      <c r="P206" s="219">
        <f t="shared" si="64"/>
        <v>9.3411232179588716E-2</v>
      </c>
      <c r="Q206" s="219">
        <f t="shared" si="65"/>
        <v>0.33474819749461476</v>
      </c>
      <c r="R206" s="219">
        <f t="shared" si="66"/>
        <v>0.17978730879753479</v>
      </c>
      <c r="S206" s="220">
        <f t="shared" si="57"/>
        <v>8.3687049373653705E-2</v>
      </c>
      <c r="T206" s="220">
        <f t="shared" si="57"/>
        <v>4.4946827199383699E-2</v>
      </c>
      <c r="U206" s="219">
        <f t="shared" si="67"/>
        <v>6.9860493390180481E-2</v>
      </c>
      <c r="V206" s="219">
        <f t="shared" si="58"/>
        <v>3.7520829662094218E-2</v>
      </c>
      <c r="W206" s="219">
        <f t="shared" si="68"/>
        <v>1.3826555983473219E-2</v>
      </c>
      <c r="X206" s="219">
        <f t="shared" si="69"/>
        <v>7.4259975372894804E-3</v>
      </c>
      <c r="Y206" s="219">
        <f t="shared" si="70"/>
        <v>0.92164911331941224</v>
      </c>
      <c r="Z206" s="219">
        <f t="shared" si="71"/>
        <v>0.49500136215669094</v>
      </c>
      <c r="AA206" s="232">
        <v>2381667559152.25</v>
      </c>
      <c r="AB206" s="239">
        <v>2381.6675591522499</v>
      </c>
      <c r="AC206" s="237">
        <v>1279151326624.439</v>
      </c>
      <c r="AD206" s="199">
        <v>1279.1513266244399</v>
      </c>
    </row>
    <row r="207" spans="1:30">
      <c r="A207" s="217" t="s">
        <v>467</v>
      </c>
      <c r="B207" s="215" t="s">
        <v>558</v>
      </c>
      <c r="C207" s="251">
        <f t="shared" si="59"/>
        <v>20</v>
      </c>
      <c r="D207" s="252">
        <v>3</v>
      </c>
      <c r="E207" s="252">
        <v>17</v>
      </c>
      <c r="F207" s="252">
        <v>10</v>
      </c>
      <c r="G207" s="253">
        <f t="shared" si="60"/>
        <v>49</v>
      </c>
      <c r="H207" s="252">
        <v>3</v>
      </c>
      <c r="I207" s="252">
        <v>46</v>
      </c>
      <c r="J207" s="252">
        <v>19</v>
      </c>
      <c r="K207" s="220">
        <f t="shared" si="56"/>
        <v>2.005910311560561</v>
      </c>
      <c r="L207" s="220">
        <f t="shared" si="56"/>
        <v>0.85697755603077641</v>
      </c>
      <c r="M207" s="219">
        <f t="shared" si="61"/>
        <v>0.3008865467340841</v>
      </c>
      <c r="N207" s="219">
        <f t="shared" si="62"/>
        <v>0.12854663340461647</v>
      </c>
      <c r="O207" s="219">
        <f t="shared" si="63"/>
        <v>1.7050237648264768</v>
      </c>
      <c r="P207" s="219">
        <f t="shared" si="64"/>
        <v>0.72843092262615994</v>
      </c>
      <c r="Q207" s="219">
        <f t="shared" si="65"/>
        <v>1.0029551557802803</v>
      </c>
      <c r="R207" s="219">
        <f t="shared" si="66"/>
        <v>0.42848877801538821</v>
      </c>
      <c r="S207" s="220">
        <f t="shared" si="57"/>
        <v>4.914480263323374</v>
      </c>
      <c r="T207" s="220">
        <f t="shared" si="57"/>
        <v>2.0995950122754024</v>
      </c>
      <c r="U207" s="219">
        <f t="shared" si="67"/>
        <v>0.3008865467340841</v>
      </c>
      <c r="V207" s="219">
        <f t="shared" si="58"/>
        <v>0.12854663340461647</v>
      </c>
      <c r="W207" s="219">
        <f t="shared" si="68"/>
        <v>4.61359371658929</v>
      </c>
      <c r="X207" s="219">
        <f t="shared" si="69"/>
        <v>1.9710483788707858</v>
      </c>
      <c r="Y207" s="219">
        <f t="shared" si="70"/>
        <v>1.9056147959825329</v>
      </c>
      <c r="Z207" s="219">
        <f t="shared" si="71"/>
        <v>0.81412867822923762</v>
      </c>
      <c r="AA207" s="232">
        <v>2333783406491.1899</v>
      </c>
      <c r="AB207" s="239">
        <v>2333.7834064911899</v>
      </c>
      <c r="AC207" s="237">
        <v>997053551434.22559</v>
      </c>
      <c r="AD207" s="199">
        <v>997.05355143423003</v>
      </c>
    </row>
    <row r="208" spans="1:30">
      <c r="A208" s="221" t="s">
        <v>530</v>
      </c>
      <c r="B208" s="215" t="s">
        <v>558</v>
      </c>
      <c r="C208" s="251">
        <f t="shared" si="59"/>
        <v>50.216401811594153</v>
      </c>
      <c r="D208" s="252">
        <v>2.8532046483860314</v>
      </c>
      <c r="E208" s="252">
        <v>47.36319716320812</v>
      </c>
      <c r="F208" s="252">
        <v>0</v>
      </c>
      <c r="G208" s="253">
        <f t="shared" si="60"/>
        <v>10.271536734189713</v>
      </c>
      <c r="H208" s="252">
        <v>0</v>
      </c>
      <c r="I208" s="252">
        <v>10.271536734189713</v>
      </c>
      <c r="J208" s="252">
        <v>0</v>
      </c>
      <c r="K208" s="220">
        <f t="shared" si="56"/>
        <v>12.131044231205824</v>
      </c>
      <c r="L208" s="220">
        <f t="shared" si="56"/>
        <v>10.716280761030211</v>
      </c>
      <c r="M208" s="219">
        <f t="shared" si="61"/>
        <v>0.68926387677305812</v>
      </c>
      <c r="N208" s="219">
        <f t="shared" si="62"/>
        <v>0.60887958869489833</v>
      </c>
      <c r="O208" s="219">
        <f t="shared" si="63"/>
        <v>11.441780354432765</v>
      </c>
      <c r="P208" s="219">
        <f t="shared" si="64"/>
        <v>10.107401172335312</v>
      </c>
      <c r="Q208" s="219">
        <f t="shared" si="65"/>
        <v>0</v>
      </c>
      <c r="R208" s="219">
        <f t="shared" si="66"/>
        <v>0</v>
      </c>
      <c r="S208" s="220">
        <f t="shared" si="57"/>
        <v>2.4813499563830095</v>
      </c>
      <c r="T208" s="220">
        <f t="shared" si="57"/>
        <v>2.1919665193016336</v>
      </c>
      <c r="U208" s="219">
        <f t="shared" si="67"/>
        <v>0</v>
      </c>
      <c r="V208" s="219">
        <f t="shared" si="58"/>
        <v>0</v>
      </c>
      <c r="W208" s="219">
        <f t="shared" si="68"/>
        <v>2.4813499563830095</v>
      </c>
      <c r="X208" s="219">
        <f t="shared" si="69"/>
        <v>2.1919665193016336</v>
      </c>
      <c r="Y208" s="219">
        <f t="shared" si="70"/>
        <v>0</v>
      </c>
      <c r="Z208" s="219">
        <f t="shared" si="71"/>
        <v>0</v>
      </c>
      <c r="AA208" s="232">
        <v>468599161699.88599</v>
      </c>
      <c r="AB208" s="239">
        <v>468.59916169988998</v>
      </c>
      <c r="AC208" s="237">
        <v>413949540159.26532</v>
      </c>
      <c r="AD208" s="199">
        <v>413.94954015926999</v>
      </c>
    </row>
    <row r="209" spans="1:30">
      <c r="A209" s="217" t="s">
        <v>456</v>
      </c>
      <c r="B209" s="215" t="s">
        <v>558</v>
      </c>
      <c r="C209" s="251">
        <f t="shared" si="59"/>
        <v>42.341556982048701</v>
      </c>
      <c r="D209" s="252">
        <v>10.499793106060594</v>
      </c>
      <c r="E209" s="252">
        <v>31.841763875988111</v>
      </c>
      <c r="F209" s="252">
        <v>15.064920543478244</v>
      </c>
      <c r="G209" s="253">
        <f t="shared" si="60"/>
        <v>61.172707661396508</v>
      </c>
      <c r="H209" s="252">
        <v>1.8260509749670601</v>
      </c>
      <c r="I209" s="252">
        <v>59.346656686429448</v>
      </c>
      <c r="J209" s="252">
        <v>0</v>
      </c>
      <c r="K209" s="220">
        <f t="shared" si="56"/>
        <v>8.5511287702675656</v>
      </c>
      <c r="L209" s="220">
        <f t="shared" si="56"/>
        <v>7.6246861111964419</v>
      </c>
      <c r="M209" s="219">
        <f t="shared" si="61"/>
        <v>2.120495544109477</v>
      </c>
      <c r="N209" s="219">
        <f t="shared" si="62"/>
        <v>1.8907577418600336</v>
      </c>
      <c r="O209" s="219">
        <f t="shared" si="63"/>
        <v>6.430633226158089</v>
      </c>
      <c r="P209" s="219">
        <f t="shared" si="64"/>
        <v>5.7339283693364083</v>
      </c>
      <c r="Q209" s="219">
        <f t="shared" si="65"/>
        <v>3.0424501285049019</v>
      </c>
      <c r="R209" s="219">
        <f t="shared" si="66"/>
        <v>2.7128263252774403</v>
      </c>
      <c r="S209" s="220">
        <f t="shared" si="57"/>
        <v>12.354191430898693</v>
      </c>
      <c r="T209" s="220">
        <f t="shared" si="57"/>
        <v>11.015719017793241</v>
      </c>
      <c r="U209" s="219">
        <f t="shared" si="67"/>
        <v>0.36878183375816997</v>
      </c>
      <c r="V209" s="219">
        <f t="shared" si="58"/>
        <v>0.32882743336696246</v>
      </c>
      <c r="W209" s="219">
        <f t="shared" si="68"/>
        <v>11.985409597140523</v>
      </c>
      <c r="X209" s="219">
        <f t="shared" si="69"/>
        <v>10.686891584426279</v>
      </c>
      <c r="Y209" s="219">
        <f t="shared" si="70"/>
        <v>0</v>
      </c>
      <c r="Z209" s="219">
        <f t="shared" si="71"/>
        <v>0</v>
      </c>
      <c r="AA209" s="232">
        <v>555321968203.677</v>
      </c>
      <c r="AB209" s="239">
        <v>555.32196820367994</v>
      </c>
      <c r="AC209" s="237">
        <v>495157518025.82001</v>
      </c>
      <c r="AD209" s="199">
        <v>495.15751802582002</v>
      </c>
    </row>
    <row r="210" spans="1:30">
      <c r="A210" s="221" t="s">
        <v>454</v>
      </c>
      <c r="B210" s="215" t="s">
        <v>558</v>
      </c>
      <c r="C210" s="251">
        <f t="shared" si="59"/>
        <v>23.390527891771956</v>
      </c>
      <c r="D210" s="252">
        <v>6.505746383602073</v>
      </c>
      <c r="E210" s="252">
        <v>16.884781508169883</v>
      </c>
      <c r="F210" s="252">
        <v>1.5639641968526836</v>
      </c>
      <c r="G210" s="253">
        <f t="shared" si="60"/>
        <v>37.767796555401176</v>
      </c>
      <c r="H210" s="252">
        <v>4.3084413136437572E-2</v>
      </c>
      <c r="I210" s="252">
        <v>37.724712142264735</v>
      </c>
      <c r="J210" s="252">
        <v>0</v>
      </c>
      <c r="K210" s="220">
        <f t="shared" si="56"/>
        <v>10.847008991785207</v>
      </c>
      <c r="L210" s="220">
        <f t="shared" si="56"/>
        <v>5.7414738653985165</v>
      </c>
      <c r="M210" s="219">
        <f t="shared" si="61"/>
        <v>3.0169430056355986</v>
      </c>
      <c r="N210" s="219">
        <f t="shared" si="62"/>
        <v>1.5969102112270694</v>
      </c>
      <c r="O210" s="219">
        <f t="shared" si="63"/>
        <v>7.8300659861496094</v>
      </c>
      <c r="P210" s="219">
        <f t="shared" si="64"/>
        <v>4.1445636541714475</v>
      </c>
      <c r="Q210" s="219">
        <f t="shared" si="65"/>
        <v>0.7252651066527962</v>
      </c>
      <c r="R210" s="219">
        <f t="shared" si="66"/>
        <v>0.38389298455326237</v>
      </c>
      <c r="S210" s="220">
        <f t="shared" si="57"/>
        <v>17.514253236689836</v>
      </c>
      <c r="T210" s="220">
        <f t="shared" si="57"/>
        <v>9.2705396765672123</v>
      </c>
      <c r="U210" s="219">
        <f t="shared" si="67"/>
        <v>1.9979755004209263E-2</v>
      </c>
      <c r="V210" s="219">
        <f t="shared" si="58"/>
        <v>1.057556431276205E-2</v>
      </c>
      <c r="W210" s="219">
        <f t="shared" si="68"/>
        <v>17.494273481685628</v>
      </c>
      <c r="X210" s="219">
        <f t="shared" si="69"/>
        <v>9.2599641122544512</v>
      </c>
      <c r="Y210" s="219">
        <f t="shared" si="70"/>
        <v>0</v>
      </c>
      <c r="Z210" s="219">
        <f t="shared" si="71"/>
        <v>0</v>
      </c>
      <c r="AA210" s="232">
        <v>407395878482.30298</v>
      </c>
      <c r="AB210" s="239">
        <v>407.39587848230002</v>
      </c>
      <c r="AC210" s="237">
        <v>215640347578.63721</v>
      </c>
      <c r="AD210" s="199">
        <v>215.64034757863999</v>
      </c>
    </row>
    <row r="211" spans="1:30">
      <c r="A211" s="221" t="s">
        <v>446</v>
      </c>
      <c r="B211" s="215" t="s">
        <v>558</v>
      </c>
      <c r="C211" s="251">
        <f t="shared" si="59"/>
        <v>12.274248212821655</v>
      </c>
      <c r="D211" s="252">
        <v>0.12228391743782471</v>
      </c>
      <c r="E211" s="252">
        <v>12.151964295383831</v>
      </c>
      <c r="F211" s="252">
        <v>48.730141098973149</v>
      </c>
      <c r="G211" s="253">
        <f t="shared" si="60"/>
        <v>55.669753413569694</v>
      </c>
      <c r="H211" s="252">
        <v>43.105080896833208</v>
      </c>
      <c r="I211" s="252">
        <v>12.56467251673649</v>
      </c>
      <c r="J211" s="252">
        <v>0</v>
      </c>
      <c r="K211" s="220">
        <f t="shared" si="56"/>
        <v>3.690365110259608</v>
      </c>
      <c r="L211" s="220">
        <f t="shared" si="56"/>
        <v>3.9458973875073933</v>
      </c>
      <c r="M211" s="219">
        <f t="shared" si="61"/>
        <v>3.6765779429734573E-2</v>
      </c>
      <c r="N211" s="219">
        <f t="shared" si="62"/>
        <v>3.9311555541792213E-2</v>
      </c>
      <c r="O211" s="219">
        <f t="shared" si="63"/>
        <v>3.6535993308298735</v>
      </c>
      <c r="P211" s="219">
        <f t="shared" si="64"/>
        <v>3.9065858319656011</v>
      </c>
      <c r="Q211" s="219">
        <f t="shared" si="65"/>
        <v>14.651163102749228</v>
      </c>
      <c r="R211" s="219">
        <f t="shared" si="66"/>
        <v>15.665654883404198</v>
      </c>
      <c r="S211" s="220">
        <f t="shared" si="57"/>
        <v>16.737621085386667</v>
      </c>
      <c r="T211" s="220">
        <f t="shared" si="57"/>
        <v>17.896585660400905</v>
      </c>
      <c r="U211" s="219">
        <f t="shared" si="67"/>
        <v>12.959937248981438</v>
      </c>
      <c r="V211" s="219">
        <f t="shared" si="58"/>
        <v>13.857323328481755</v>
      </c>
      <c r="W211" s="219">
        <f t="shared" si="68"/>
        <v>3.7776838364052283</v>
      </c>
      <c r="X211" s="219">
        <f t="shared" si="69"/>
        <v>4.0392623319191499</v>
      </c>
      <c r="Y211" s="219">
        <f t="shared" si="70"/>
        <v>0</v>
      </c>
      <c r="Z211" s="219">
        <f t="shared" si="71"/>
        <v>0</v>
      </c>
      <c r="AA211" s="232">
        <v>311063542901.078</v>
      </c>
      <c r="AB211" s="239">
        <v>311.06354290107998</v>
      </c>
      <c r="AC211" s="237">
        <v>332602543274.04938</v>
      </c>
      <c r="AD211" s="199">
        <v>332.60254327404999</v>
      </c>
    </row>
    <row r="212" spans="1:30">
      <c r="A212" s="221" t="s">
        <v>531</v>
      </c>
      <c r="B212" s="215" t="s">
        <v>558</v>
      </c>
      <c r="C212" s="251">
        <f t="shared" si="59"/>
        <v>1.5871</v>
      </c>
      <c r="D212" s="252">
        <v>0.435</v>
      </c>
      <c r="E212" s="252">
        <v>1.1520999999999999</v>
      </c>
      <c r="F212" s="252">
        <v>0</v>
      </c>
      <c r="G212" s="253">
        <f t="shared" si="60"/>
        <v>1.3769999999999998</v>
      </c>
      <c r="H212" s="252">
        <v>1.0269999999999999</v>
      </c>
      <c r="I212" s="252">
        <v>0.35</v>
      </c>
      <c r="J212" s="252">
        <v>0</v>
      </c>
      <c r="K212" s="220">
        <f t="shared" si="56"/>
        <v>5.9009523324005393</v>
      </c>
      <c r="L212" s="220">
        <f t="shared" si="56"/>
        <v>3.456862622122669</v>
      </c>
      <c r="M212" s="219">
        <f t="shared" si="61"/>
        <v>1.6173613915911</v>
      </c>
      <c r="N212" s="219">
        <f t="shared" si="62"/>
        <v>0.94747353073112039</v>
      </c>
      <c r="O212" s="219">
        <f t="shared" si="63"/>
        <v>4.2835909408094395</v>
      </c>
      <c r="P212" s="219">
        <f t="shared" si="64"/>
        <v>2.5093890913915486</v>
      </c>
      <c r="Q212" s="219">
        <f t="shared" si="65"/>
        <v>0</v>
      </c>
      <c r="R212" s="219">
        <f t="shared" si="66"/>
        <v>0</v>
      </c>
      <c r="S212" s="220">
        <f t="shared" si="57"/>
        <v>5.1197853706228607</v>
      </c>
      <c r="T212" s="220">
        <f t="shared" si="57"/>
        <v>2.9992437972798909</v>
      </c>
      <c r="U212" s="219">
        <f t="shared" si="67"/>
        <v>3.8184601130208264</v>
      </c>
      <c r="V212" s="219">
        <f t="shared" si="58"/>
        <v>2.236908772553702</v>
      </c>
      <c r="W212" s="219">
        <f t="shared" si="68"/>
        <v>1.3013252576020344</v>
      </c>
      <c r="X212" s="219">
        <f t="shared" si="69"/>
        <v>0.76233502472618875</v>
      </c>
      <c r="Y212" s="219">
        <f t="shared" si="70"/>
        <v>0</v>
      </c>
      <c r="Z212" s="219">
        <f t="shared" si="71"/>
        <v>0</v>
      </c>
      <c r="AA212" s="232">
        <v>45911572818.753304</v>
      </c>
      <c r="AB212" s="239">
        <v>45.911572818750003</v>
      </c>
      <c r="AC212" s="237">
        <v>26895658710.637878</v>
      </c>
      <c r="AD212" s="199">
        <v>26.895658710639999</v>
      </c>
    </row>
    <row r="213" spans="1:30">
      <c r="A213" s="221" t="s">
        <v>447</v>
      </c>
      <c r="B213" s="215" t="s">
        <v>558</v>
      </c>
      <c r="C213" s="251">
        <f t="shared" si="59"/>
        <v>11.584010872447287</v>
      </c>
      <c r="D213" s="252">
        <v>4.1086146936758849</v>
      </c>
      <c r="E213" s="252">
        <v>7.4753961787714021</v>
      </c>
      <c r="F213" s="252">
        <v>2.3966919046442663</v>
      </c>
      <c r="G213" s="253">
        <f t="shared" si="60"/>
        <v>15.749689659090892</v>
      </c>
      <c r="H213" s="252">
        <v>1.8260509749670601</v>
      </c>
      <c r="I213" s="252">
        <v>13.923638684123832</v>
      </c>
      <c r="J213" s="252">
        <v>4.56512743741765</v>
      </c>
      <c r="K213" s="220">
        <f t="shared" si="56"/>
        <v>4.5473116583546549</v>
      </c>
      <c r="L213" s="220">
        <f t="shared" si="56"/>
        <v>4.5620294182589536</v>
      </c>
      <c r="M213" s="219">
        <f t="shared" si="61"/>
        <v>1.6128396029632273</v>
      </c>
      <c r="N213" s="219">
        <f t="shared" si="62"/>
        <v>1.6180596951460329</v>
      </c>
      <c r="O213" s="219">
        <f t="shared" si="63"/>
        <v>2.9344720553914279</v>
      </c>
      <c r="P213" s="219">
        <f t="shared" si="64"/>
        <v>2.9439697231129212</v>
      </c>
      <c r="Q213" s="219">
        <f t="shared" si="65"/>
        <v>0.94082310172854933</v>
      </c>
      <c r="R213" s="219">
        <f t="shared" si="66"/>
        <v>0.94386815550185255</v>
      </c>
      <c r="S213" s="220">
        <f t="shared" si="57"/>
        <v>6.1825518113590379</v>
      </c>
      <c r="T213" s="220">
        <f t="shared" si="57"/>
        <v>6.2025621647264586</v>
      </c>
      <c r="U213" s="219">
        <f t="shared" si="67"/>
        <v>0.71681760131699002</v>
      </c>
      <c r="V213" s="219">
        <f t="shared" si="58"/>
        <v>0.71913764228712584</v>
      </c>
      <c r="W213" s="219">
        <f t="shared" si="68"/>
        <v>5.4657342100420481</v>
      </c>
      <c r="X213" s="219">
        <f t="shared" si="69"/>
        <v>5.483424522439333</v>
      </c>
      <c r="Y213" s="219">
        <f t="shared" si="70"/>
        <v>1.7920440032924749</v>
      </c>
      <c r="Z213" s="219">
        <f t="shared" si="71"/>
        <v>1.7978441057178143</v>
      </c>
      <c r="AA213" s="232">
        <v>253922318564.70901</v>
      </c>
      <c r="AB213" s="239">
        <v>253.92231856471</v>
      </c>
      <c r="AC213" s="237">
        <v>254744159687.49991</v>
      </c>
      <c r="AD213" s="199">
        <v>254.7441596875</v>
      </c>
    </row>
    <row r="214" spans="1:30">
      <c r="A214" s="221" t="s">
        <v>532</v>
      </c>
      <c r="B214" s="215" t="s">
        <v>558</v>
      </c>
      <c r="C214" s="251">
        <f t="shared" si="59"/>
        <v>38.894885766798382</v>
      </c>
      <c r="D214" s="252">
        <v>1.1070434035737802</v>
      </c>
      <c r="E214" s="252">
        <v>37.787842363224598</v>
      </c>
      <c r="F214" s="252">
        <v>1.7918125191864278</v>
      </c>
      <c r="G214" s="253">
        <f t="shared" si="60"/>
        <v>12.942136285079037</v>
      </c>
      <c r="H214" s="252">
        <v>6.4710681425395187</v>
      </c>
      <c r="I214" s="252">
        <v>6.4710681425395187</v>
      </c>
      <c r="J214" s="252">
        <v>0</v>
      </c>
      <c r="K214" s="220">
        <f t="shared" si="56"/>
        <v>19.075189773360435</v>
      </c>
      <c r="L214" s="220">
        <f t="shared" si="56"/>
        <v>12.898545280216011</v>
      </c>
      <c r="M214" s="219">
        <f t="shared" si="61"/>
        <v>0.54292646948825185</v>
      </c>
      <c r="N214" s="219">
        <f t="shared" si="62"/>
        <v>0.36712408808126562</v>
      </c>
      <c r="O214" s="219">
        <f t="shared" si="63"/>
        <v>18.532263303872185</v>
      </c>
      <c r="P214" s="219">
        <f t="shared" si="64"/>
        <v>12.531421192134745</v>
      </c>
      <c r="Q214" s="219">
        <f t="shared" si="65"/>
        <v>0.87875727535727377</v>
      </c>
      <c r="R214" s="219">
        <f t="shared" si="66"/>
        <v>0.59421115287380111</v>
      </c>
      <c r="S214" s="220">
        <f t="shared" si="57"/>
        <v>6.3472022309245109</v>
      </c>
      <c r="T214" s="220">
        <f t="shared" si="57"/>
        <v>4.2919455245789191</v>
      </c>
      <c r="U214" s="219">
        <f t="shared" si="67"/>
        <v>3.1736011154622554</v>
      </c>
      <c r="V214" s="219">
        <f t="shared" si="58"/>
        <v>2.1459727622894595</v>
      </c>
      <c r="W214" s="219">
        <f t="shared" si="68"/>
        <v>3.1736011154622554</v>
      </c>
      <c r="X214" s="219">
        <f t="shared" si="69"/>
        <v>2.1459727622894595</v>
      </c>
      <c r="Y214" s="219">
        <f t="shared" si="70"/>
        <v>0</v>
      </c>
      <c r="Z214" s="219">
        <f t="shared" si="71"/>
        <v>0</v>
      </c>
      <c r="AA214" s="232">
        <v>301544747270.495</v>
      </c>
      <c r="AB214" s="239">
        <v>301.54474727050001</v>
      </c>
      <c r="AC214" s="237">
        <v>203903008195.06079</v>
      </c>
      <c r="AD214" s="199">
        <v>203.90300819506001</v>
      </c>
    </row>
    <row r="215" spans="1:30">
      <c r="A215" s="221" t="s">
        <v>533</v>
      </c>
      <c r="B215" s="215" t="s">
        <v>558</v>
      </c>
      <c r="C215" s="251">
        <f t="shared" si="59"/>
        <v>2.0091211225997041</v>
      </c>
      <c r="D215" s="252">
        <v>0.10494830132939439</v>
      </c>
      <c r="E215" s="252">
        <v>1.9041728212703097</v>
      </c>
      <c r="F215" s="252">
        <v>0</v>
      </c>
      <c r="G215" s="253">
        <f t="shared" si="60"/>
        <v>0.32127031019202362</v>
      </c>
      <c r="H215" s="252">
        <v>8.862629246676515E-2</v>
      </c>
      <c r="I215" s="252">
        <v>0.23264401772525847</v>
      </c>
      <c r="J215" s="252">
        <v>0</v>
      </c>
      <c r="K215" s="220">
        <f t="shared" si="56"/>
        <v>9.6918530600024297</v>
      </c>
      <c r="L215" s="220">
        <f t="shared" si="56"/>
        <v>10.535980255862842</v>
      </c>
      <c r="M215" s="219">
        <f t="shared" si="61"/>
        <v>0.50626291463464101</v>
      </c>
      <c r="N215" s="219">
        <f t="shared" si="62"/>
        <v>0.55035667997063265</v>
      </c>
      <c r="O215" s="219">
        <f t="shared" si="63"/>
        <v>9.1855901453677884</v>
      </c>
      <c r="P215" s="219">
        <f t="shared" si="64"/>
        <v>9.9856235758922089</v>
      </c>
      <c r="Q215" s="219">
        <f t="shared" si="65"/>
        <v>0</v>
      </c>
      <c r="R215" s="219">
        <f t="shared" si="66"/>
        <v>0</v>
      </c>
      <c r="S215" s="220">
        <f t="shared" si="57"/>
        <v>1.5497844325550232</v>
      </c>
      <c r="T215" s="220">
        <f t="shared" si="57"/>
        <v>1.684765346848875</v>
      </c>
      <c r="U215" s="219">
        <f t="shared" si="67"/>
        <v>0.42752674001517887</v>
      </c>
      <c r="V215" s="219">
        <f t="shared" si="58"/>
        <v>0.46476285430313802</v>
      </c>
      <c r="W215" s="219">
        <f t="shared" si="68"/>
        <v>1.1222576925398444</v>
      </c>
      <c r="X215" s="219">
        <f t="shared" si="69"/>
        <v>1.2200024925457371</v>
      </c>
      <c r="Y215" s="219">
        <f t="shared" si="70"/>
        <v>0</v>
      </c>
      <c r="Z215" s="219">
        <f t="shared" si="71"/>
        <v>0</v>
      </c>
      <c r="AA215" s="235">
        <v>19069142821.155399</v>
      </c>
      <c r="AB215" s="239">
        <v>19.06914282116</v>
      </c>
      <c r="AC215" s="237">
        <v>20729999827.29071</v>
      </c>
      <c r="AD215" s="199">
        <v>20.729999827290001</v>
      </c>
    </row>
    <row r="216" spans="1:30">
      <c r="A216" s="221" t="s">
        <v>534</v>
      </c>
      <c r="B216" s="215" t="s">
        <v>558</v>
      </c>
      <c r="C216" s="251">
        <f t="shared" si="59"/>
        <v>43.140454283596789</v>
      </c>
      <c r="D216" s="252">
        <v>5.0216401811594151</v>
      </c>
      <c r="E216" s="252">
        <v>38.118814102437376</v>
      </c>
      <c r="F216" s="252">
        <v>2.8532046483860314</v>
      </c>
      <c r="G216" s="253">
        <f t="shared" si="60"/>
        <v>13.695382312252949</v>
      </c>
      <c r="H216" s="252">
        <v>7.9889730154808873</v>
      </c>
      <c r="I216" s="252">
        <v>5.7064092967720628</v>
      </c>
      <c r="J216" s="252">
        <v>0</v>
      </c>
      <c r="K216" s="220">
        <f t="shared" si="56"/>
        <v>11.613548746407977</v>
      </c>
      <c r="L216" s="220">
        <f t="shared" si="56"/>
        <v>10.32338078794349</v>
      </c>
      <c r="M216" s="219">
        <f t="shared" si="61"/>
        <v>1.3518416530210342</v>
      </c>
      <c r="N216" s="219">
        <f t="shared" si="62"/>
        <v>1.2016633721415702</v>
      </c>
      <c r="O216" s="219">
        <f t="shared" si="63"/>
        <v>10.261707093386942</v>
      </c>
      <c r="P216" s="219">
        <f t="shared" si="64"/>
        <v>9.1217174158019194</v>
      </c>
      <c r="Q216" s="219">
        <f t="shared" si="65"/>
        <v>0.76809184830740596</v>
      </c>
      <c r="R216" s="219">
        <f t="shared" si="66"/>
        <v>0.68276327962589223</v>
      </c>
      <c r="S216" s="220">
        <f t="shared" si="57"/>
        <v>3.6868408718755483</v>
      </c>
      <c r="T216" s="220">
        <f t="shared" si="57"/>
        <v>3.2772637422042825</v>
      </c>
      <c r="U216" s="219">
        <f t="shared" si="67"/>
        <v>2.1506571752607364</v>
      </c>
      <c r="V216" s="219">
        <f t="shared" si="58"/>
        <v>1.9117371829524981</v>
      </c>
      <c r="W216" s="219">
        <f t="shared" si="68"/>
        <v>1.5361836966148119</v>
      </c>
      <c r="X216" s="219">
        <f t="shared" si="69"/>
        <v>1.3655265592517845</v>
      </c>
      <c r="Y216" s="219">
        <f t="shared" si="70"/>
        <v>0</v>
      </c>
      <c r="Z216" s="219">
        <f t="shared" si="71"/>
        <v>0</v>
      </c>
      <c r="AA216" s="235">
        <v>417890758558.284</v>
      </c>
      <c r="AB216" s="239">
        <v>417.89075855828003</v>
      </c>
      <c r="AC216" s="237">
        <v>371466596693.27911</v>
      </c>
      <c r="AD216" s="199">
        <v>371.46659669328</v>
      </c>
    </row>
    <row r="217" spans="1:30">
      <c r="A217" s="221" t="s">
        <v>535</v>
      </c>
      <c r="B217" s="215" t="s">
        <v>558</v>
      </c>
      <c r="C217" s="251">
        <f t="shared" si="59"/>
        <v>41.4</v>
      </c>
      <c r="D217" s="252">
        <v>6.5</v>
      </c>
      <c r="E217" s="252">
        <v>34.9</v>
      </c>
      <c r="F217" s="252">
        <v>2.1</v>
      </c>
      <c r="G217" s="253">
        <f t="shared" si="60"/>
        <v>17</v>
      </c>
      <c r="H217" s="252">
        <v>3.7</v>
      </c>
      <c r="I217" s="252">
        <v>13.3</v>
      </c>
      <c r="J217" s="252">
        <v>0</v>
      </c>
      <c r="K217" s="220">
        <f t="shared" si="56"/>
        <v>11.54939764849431</v>
      </c>
      <c r="L217" s="220">
        <f t="shared" si="56"/>
        <v>12.091237700407998</v>
      </c>
      <c r="M217" s="219">
        <f t="shared" si="61"/>
        <v>1.8133112250051451</v>
      </c>
      <c r="N217" s="219">
        <f t="shared" si="62"/>
        <v>1.8983827307403862</v>
      </c>
      <c r="O217" s="219">
        <f t="shared" si="63"/>
        <v>9.736086423489164</v>
      </c>
      <c r="P217" s="219">
        <f t="shared" si="64"/>
        <v>10.192854969667611</v>
      </c>
      <c r="Q217" s="219">
        <f t="shared" si="65"/>
        <v>0.5858390111555084</v>
      </c>
      <c r="R217" s="219">
        <f t="shared" si="66"/>
        <v>0.61332365146997092</v>
      </c>
      <c r="S217" s="220">
        <f t="shared" si="57"/>
        <v>4.7425062807826874</v>
      </c>
      <c r="T217" s="220">
        <f t="shared" si="57"/>
        <v>4.9650009880902406</v>
      </c>
      <c r="U217" s="219">
        <f t="shared" si="67"/>
        <v>1.0321925434644674</v>
      </c>
      <c r="V217" s="219">
        <f t="shared" si="58"/>
        <v>1.0806178621137581</v>
      </c>
      <c r="W217" s="219">
        <f t="shared" si="68"/>
        <v>3.71031373731822</v>
      </c>
      <c r="X217" s="219">
        <f t="shared" si="69"/>
        <v>3.8843831259764823</v>
      </c>
      <c r="Y217" s="219">
        <f t="shared" si="70"/>
        <v>0</v>
      </c>
      <c r="Z217" s="219">
        <f t="shared" si="71"/>
        <v>0</v>
      </c>
      <c r="AA217" s="235">
        <v>342396709301.34399</v>
      </c>
      <c r="AB217" s="239">
        <v>342.39670930134002</v>
      </c>
      <c r="AC217" s="237">
        <v>358460252733.58807</v>
      </c>
      <c r="AD217" s="199">
        <v>358.46025273358998</v>
      </c>
    </row>
    <row r="218" spans="1:30">
      <c r="A218" s="222" t="s">
        <v>536</v>
      </c>
      <c r="B218" s="215" t="s">
        <v>558</v>
      </c>
      <c r="C218" s="251">
        <f t="shared" si="59"/>
        <v>2.9126178965863909</v>
      </c>
      <c r="D218" s="252">
        <v>0.67911263411214207</v>
      </c>
      <c r="E218" s="252">
        <v>2.2335052624742486</v>
      </c>
      <c r="F218" s="252">
        <v>0</v>
      </c>
      <c r="G218" s="253">
        <f t="shared" si="60"/>
        <v>1.0455461485605735</v>
      </c>
      <c r="H218" s="252">
        <v>0.2896249719004359</v>
      </c>
      <c r="I218" s="252">
        <v>0.75592117666013769</v>
      </c>
      <c r="J218" s="252">
        <v>0</v>
      </c>
      <c r="K218" s="220">
        <f t="shared" si="56"/>
        <v>9.6571963197389223</v>
      </c>
      <c r="L218" s="220">
        <f t="shared" si="56"/>
        <v>5.2552901447769678</v>
      </c>
      <c r="M218" s="219">
        <f t="shared" si="61"/>
        <v>2.2516939274878407</v>
      </c>
      <c r="N218" s="219">
        <f t="shared" si="62"/>
        <v>1.2253354404729446</v>
      </c>
      <c r="O218" s="219">
        <f t="shared" si="63"/>
        <v>7.4055023922510825</v>
      </c>
      <c r="P218" s="219">
        <f t="shared" si="64"/>
        <v>4.0299547043040231</v>
      </c>
      <c r="Q218" s="219">
        <f t="shared" si="65"/>
        <v>0</v>
      </c>
      <c r="R218" s="219">
        <f t="shared" si="66"/>
        <v>0</v>
      </c>
      <c r="S218" s="220">
        <f t="shared" si="57"/>
        <v>3.4666560381401847</v>
      </c>
      <c r="T218" s="220">
        <f t="shared" si="57"/>
        <v>1.8864981832596941</v>
      </c>
      <c r="U218" s="219">
        <f t="shared" si="67"/>
        <v>0.96029253134077153</v>
      </c>
      <c r="V218" s="219">
        <f t="shared" si="58"/>
        <v>0.52257567403315619</v>
      </c>
      <c r="W218" s="219">
        <f t="shared" si="68"/>
        <v>2.5063635067994134</v>
      </c>
      <c r="X218" s="219">
        <f t="shared" si="69"/>
        <v>1.3639225092265379</v>
      </c>
      <c r="Y218" s="219">
        <f t="shared" si="70"/>
        <v>0</v>
      </c>
      <c r="Z218" s="219">
        <f t="shared" si="71"/>
        <v>0</v>
      </c>
      <c r="AA218" s="236">
        <v>55422589740</v>
      </c>
      <c r="AB218" s="240">
        <v>55.422589739999999</v>
      </c>
      <c r="AC218" s="237">
        <v>30160077523.05077</v>
      </c>
      <c r="AD218" s="199">
        <v>30.160077523049999</v>
      </c>
    </row>
    <row r="219" spans="1:30">
      <c r="A219" s="221" t="s">
        <v>537</v>
      </c>
      <c r="B219" s="215" t="s">
        <v>558</v>
      </c>
      <c r="C219" s="251">
        <f t="shared" si="59"/>
        <v>4.1622029999999999</v>
      </c>
      <c r="D219" s="252">
        <v>1.086606</v>
      </c>
      <c r="E219" s="252">
        <v>3.0755970000000001</v>
      </c>
      <c r="F219" s="252">
        <v>1.5986199999999999</v>
      </c>
      <c r="G219" s="253">
        <f t="shared" si="60"/>
        <v>1.5635561473155453</v>
      </c>
      <c r="H219" s="252">
        <v>0.42227428796113264</v>
      </c>
      <c r="I219" s="252">
        <v>1.1412818593544125</v>
      </c>
      <c r="J219" s="252">
        <v>0</v>
      </c>
      <c r="K219" s="220">
        <f t="shared" si="56"/>
        <v>8.6322728151230237</v>
      </c>
      <c r="L219" s="220">
        <f t="shared" si="56"/>
        <v>4.2849199648737493</v>
      </c>
      <c r="M219" s="219">
        <f t="shared" si="61"/>
        <v>2.2535852851361566</v>
      </c>
      <c r="N219" s="219">
        <f t="shared" si="62"/>
        <v>1.1186431184042691</v>
      </c>
      <c r="O219" s="219">
        <f t="shared" si="63"/>
        <v>6.3786875299868662</v>
      </c>
      <c r="P219" s="219">
        <f t="shared" si="64"/>
        <v>3.1662768464694797</v>
      </c>
      <c r="Q219" s="219">
        <f t="shared" si="65"/>
        <v>3.3154855656276174</v>
      </c>
      <c r="R219" s="219">
        <f t="shared" si="66"/>
        <v>1.6457531634681131</v>
      </c>
      <c r="S219" s="220">
        <f t="shared" si="57"/>
        <v>3.2427642826143916</v>
      </c>
      <c r="T219" s="220">
        <f t="shared" si="57"/>
        <v>1.6096555001842676</v>
      </c>
      <c r="U219" s="219">
        <f t="shared" si="67"/>
        <v>0.87578305442870441</v>
      </c>
      <c r="V219" s="219">
        <f t="shared" si="58"/>
        <v>0.43472447815195547</v>
      </c>
      <c r="W219" s="219">
        <f t="shared" si="68"/>
        <v>2.3669812281856872</v>
      </c>
      <c r="X219" s="219">
        <f t="shared" si="69"/>
        <v>1.1749310220323121</v>
      </c>
      <c r="Y219" s="219">
        <f t="shared" si="70"/>
        <v>0</v>
      </c>
      <c r="Z219" s="219">
        <f t="shared" si="71"/>
        <v>0</v>
      </c>
      <c r="AA219" s="235">
        <v>97136073348.399506</v>
      </c>
      <c r="AB219" s="239">
        <v>97.136073348400004</v>
      </c>
      <c r="AC219" s="237">
        <v>48216768505.137871</v>
      </c>
      <c r="AD219" s="199">
        <v>48.216768505140003</v>
      </c>
    </row>
    <row r="220" spans="1:30">
      <c r="A220" s="221" t="s">
        <v>538</v>
      </c>
      <c r="B220" s="215" t="s">
        <v>558</v>
      </c>
      <c r="C220" s="251">
        <f t="shared" si="59"/>
        <v>3.0814610202569139</v>
      </c>
      <c r="D220" s="252">
        <v>0.34238455780632376</v>
      </c>
      <c r="E220" s="252">
        <v>2.7390764624505901</v>
      </c>
      <c r="F220" s="252">
        <v>5.2384837344367536</v>
      </c>
      <c r="G220" s="253">
        <f t="shared" si="60"/>
        <v>3.3097173921277965</v>
      </c>
      <c r="H220" s="252">
        <v>0.45651274374176504</v>
      </c>
      <c r="I220" s="252">
        <v>2.8532046483860314</v>
      </c>
      <c r="J220" s="252">
        <v>1.0157408548254272</v>
      </c>
      <c r="K220" s="220">
        <f t="shared" si="56"/>
        <v>4.6297730687428773</v>
      </c>
      <c r="L220" s="220">
        <f t="shared" si="56"/>
        <v>4.6447078336746168</v>
      </c>
      <c r="M220" s="219">
        <f t="shared" si="61"/>
        <v>0.51441922986031974</v>
      </c>
      <c r="N220" s="219">
        <f t="shared" si="62"/>
        <v>0.51607864818606852</v>
      </c>
      <c r="O220" s="219">
        <f t="shared" si="63"/>
        <v>4.1153538388825579</v>
      </c>
      <c r="P220" s="219">
        <f t="shared" si="64"/>
        <v>4.1286291854885482</v>
      </c>
      <c r="Q220" s="219">
        <f t="shared" si="65"/>
        <v>7.870614216862891</v>
      </c>
      <c r="R220" s="219">
        <f t="shared" si="66"/>
        <v>7.8960033172468469</v>
      </c>
      <c r="S220" s="220">
        <f t="shared" si="57"/>
        <v>4.9727192219830911</v>
      </c>
      <c r="T220" s="220">
        <f t="shared" si="57"/>
        <v>4.9887602657986614</v>
      </c>
      <c r="U220" s="219">
        <f t="shared" si="67"/>
        <v>0.68589230648042632</v>
      </c>
      <c r="V220" s="219">
        <f t="shared" si="58"/>
        <v>0.68810486424809125</v>
      </c>
      <c r="W220" s="219">
        <f t="shared" si="68"/>
        <v>4.2868269155026644</v>
      </c>
      <c r="X220" s="219">
        <f t="shared" si="69"/>
        <v>4.3006554015505705</v>
      </c>
      <c r="Y220" s="219">
        <f t="shared" si="70"/>
        <v>1.5261103819189485</v>
      </c>
      <c r="Z220" s="219">
        <f t="shared" si="71"/>
        <v>1.531033322952003</v>
      </c>
      <c r="AA220" s="232">
        <v>66343484468.839996</v>
      </c>
      <c r="AB220" s="239">
        <v>66.343484468840003</v>
      </c>
      <c r="AC220" s="237">
        <v>66557495896.737839</v>
      </c>
      <c r="AD220" s="199">
        <v>66.557495896739994</v>
      </c>
    </row>
    <row r="221" spans="1:30">
      <c r="A221" s="221" t="s">
        <v>452</v>
      </c>
      <c r="B221" s="215" t="s">
        <v>558</v>
      </c>
      <c r="C221" s="251">
        <f t="shared" si="59"/>
        <v>93.927497024868103</v>
      </c>
      <c r="D221" s="252">
        <v>18.9452788652832</v>
      </c>
      <c r="E221" s="252">
        <v>74.982218159584903</v>
      </c>
      <c r="F221" s="252">
        <v>14.380151427865597</v>
      </c>
      <c r="G221" s="253">
        <f t="shared" si="60"/>
        <v>74.183320858036808</v>
      </c>
      <c r="H221" s="252">
        <v>0</v>
      </c>
      <c r="I221" s="252">
        <v>74.183320858036808</v>
      </c>
      <c r="J221" s="252">
        <v>0</v>
      </c>
      <c r="K221" s="220">
        <f t="shared" si="56"/>
        <v>11.178512242483421</v>
      </c>
      <c r="L221" s="220">
        <f t="shared" si="56"/>
        <v>10.073297291469256</v>
      </c>
      <c r="M221" s="219">
        <f t="shared" si="61"/>
        <v>2.2547181436843795</v>
      </c>
      <c r="N221" s="219">
        <f t="shared" si="62"/>
        <v>2.0317950794457995</v>
      </c>
      <c r="O221" s="219">
        <f t="shared" si="63"/>
        <v>8.9237940987990427</v>
      </c>
      <c r="P221" s="219">
        <f t="shared" si="64"/>
        <v>8.0415022120234561</v>
      </c>
      <c r="Q221" s="219">
        <f t="shared" si="65"/>
        <v>1.7114125668929669</v>
      </c>
      <c r="R221" s="219">
        <f t="shared" si="66"/>
        <v>1.5422059036757312</v>
      </c>
      <c r="S221" s="220">
        <f t="shared" si="57"/>
        <v>8.8287156228605426</v>
      </c>
      <c r="T221" s="220">
        <f t="shared" si="57"/>
        <v>7.9558241062636927</v>
      </c>
      <c r="U221" s="219">
        <f t="shared" si="67"/>
        <v>0</v>
      </c>
      <c r="V221" s="219">
        <f t="shared" si="58"/>
        <v>0</v>
      </c>
      <c r="W221" s="219">
        <f t="shared" si="68"/>
        <v>8.8287156228605426</v>
      </c>
      <c r="X221" s="219">
        <f t="shared" si="69"/>
        <v>7.9558241062636927</v>
      </c>
      <c r="Y221" s="219">
        <f t="shared" si="70"/>
        <v>0</v>
      </c>
      <c r="Z221" s="219">
        <f t="shared" si="71"/>
        <v>0</v>
      </c>
      <c r="AA221" s="232">
        <v>932440434418.74902</v>
      </c>
      <c r="AB221" s="239">
        <v>932.44043441874999</v>
      </c>
      <c r="AC221" s="237">
        <v>840250428566.88171</v>
      </c>
      <c r="AD221" s="199">
        <v>840.25042856688003</v>
      </c>
    </row>
    <row r="222" spans="1:30">
      <c r="A222" s="221" t="s">
        <v>465</v>
      </c>
      <c r="B222" s="215" t="s">
        <v>558</v>
      </c>
      <c r="C222" s="251">
        <f t="shared" si="59"/>
        <v>40.366333649903929</v>
      </c>
      <c r="D222" s="252">
        <v>3.3151095268037039</v>
      </c>
      <c r="E222" s="252">
        <v>37.051224123100226</v>
      </c>
      <c r="F222" s="252">
        <v>0</v>
      </c>
      <c r="G222" s="253">
        <f t="shared" si="60"/>
        <v>3.4451138219724768</v>
      </c>
      <c r="H222" s="252">
        <v>1.8200601323628178</v>
      </c>
      <c r="I222" s="252">
        <v>1.625053689609659</v>
      </c>
      <c r="J222" s="252">
        <v>0</v>
      </c>
      <c r="K222" s="220">
        <f t="shared" si="56"/>
        <v>19.890861906826895</v>
      </c>
      <c r="L222" s="220">
        <f t="shared" si="56"/>
        <v>20.810198388109878</v>
      </c>
      <c r="M222" s="219">
        <f t="shared" si="61"/>
        <v>1.6335490454881987</v>
      </c>
      <c r="N222" s="219">
        <f t="shared" si="62"/>
        <v>1.7090501091684438</v>
      </c>
      <c r="O222" s="219">
        <f t="shared" si="63"/>
        <v>18.257312861338697</v>
      </c>
      <c r="P222" s="219">
        <f t="shared" si="64"/>
        <v>19.101148278941434</v>
      </c>
      <c r="Q222" s="219">
        <f t="shared" si="65"/>
        <v>0</v>
      </c>
      <c r="R222" s="219">
        <f t="shared" si="66"/>
        <v>0</v>
      </c>
      <c r="S222" s="220">
        <f t="shared" si="57"/>
        <v>1.697609792370089</v>
      </c>
      <c r="T222" s="220">
        <f t="shared" si="57"/>
        <v>1.7760716820770104</v>
      </c>
      <c r="U222" s="219">
        <f t="shared" si="67"/>
        <v>0.8968504563464621</v>
      </c>
      <c r="V222" s="219">
        <f t="shared" si="58"/>
        <v>0.93830202071992996</v>
      </c>
      <c r="W222" s="219">
        <f t="shared" si="68"/>
        <v>0.80075933602362703</v>
      </c>
      <c r="X222" s="219">
        <f t="shared" si="69"/>
        <v>0.83776966135708042</v>
      </c>
      <c r="Y222" s="219">
        <f t="shared" si="70"/>
        <v>0</v>
      </c>
      <c r="Z222" s="219">
        <f t="shared" si="71"/>
        <v>0</v>
      </c>
      <c r="AA222" s="232">
        <v>193973805040.548</v>
      </c>
      <c r="AB222" s="239">
        <v>193.97380504054999</v>
      </c>
      <c r="AC222" s="237">
        <v>202939087501.52551</v>
      </c>
      <c r="AD222" s="199">
        <v>202.93908750153</v>
      </c>
    </row>
    <row r="223" spans="1:30">
      <c r="A223" s="221" t="s">
        <v>451</v>
      </c>
      <c r="B223" s="215" t="s">
        <v>558</v>
      </c>
      <c r="C223" s="251">
        <f t="shared" si="59"/>
        <v>23.917160810691193</v>
      </c>
      <c r="D223" s="252">
        <v>2.6232409947782966</v>
      </c>
      <c r="E223" s="252">
        <v>21.293919815912897</v>
      </c>
      <c r="F223" s="252">
        <v>0</v>
      </c>
      <c r="G223" s="253">
        <f t="shared" si="60"/>
        <v>14.603062217895378</v>
      </c>
      <c r="H223" s="252">
        <v>6.3191432870165452</v>
      </c>
      <c r="I223" s="252">
        <v>8.2839189308788317</v>
      </c>
      <c r="J223" s="252">
        <v>0</v>
      </c>
      <c r="K223" s="220">
        <f t="shared" si="56"/>
        <v>5.8299085115697995</v>
      </c>
      <c r="L223" s="220">
        <f t="shared" si="56"/>
        <v>7.2376613497197813</v>
      </c>
      <c r="M223" s="219">
        <f t="shared" si="61"/>
        <v>0.63942602236134116</v>
      </c>
      <c r="N223" s="219">
        <f t="shared" si="62"/>
        <v>0.79382875372148565</v>
      </c>
      <c r="O223" s="219">
        <f t="shared" si="63"/>
        <v>5.190482489208458</v>
      </c>
      <c r="P223" s="219">
        <f t="shared" si="64"/>
        <v>6.4438325959982956</v>
      </c>
      <c r="Q223" s="219">
        <f t="shared" si="65"/>
        <v>0</v>
      </c>
      <c r="R223" s="219">
        <f t="shared" si="66"/>
        <v>0</v>
      </c>
      <c r="S223" s="220">
        <f t="shared" si="57"/>
        <v>3.5595578167888426</v>
      </c>
      <c r="T223" s="220">
        <f t="shared" si="57"/>
        <v>4.419087191769405</v>
      </c>
      <c r="U223" s="219">
        <f t="shared" si="67"/>
        <v>1.5403177461740809</v>
      </c>
      <c r="V223" s="219">
        <f t="shared" si="58"/>
        <v>1.9122595484383971</v>
      </c>
      <c r="W223" s="219">
        <f t="shared" si="68"/>
        <v>2.0192400706147615</v>
      </c>
      <c r="X223" s="219">
        <f t="shared" si="69"/>
        <v>2.5068276433310075</v>
      </c>
      <c r="Y223" s="219">
        <f t="shared" si="70"/>
        <v>0</v>
      </c>
      <c r="Z223" s="219">
        <f t="shared" si="71"/>
        <v>0</v>
      </c>
      <c r="AA223" s="232">
        <v>330454267684.37299</v>
      </c>
      <c r="AB223" s="239">
        <v>330.45426768437</v>
      </c>
      <c r="AC223" s="237">
        <v>410249333471.11688</v>
      </c>
      <c r="AD223" s="199">
        <v>410.24933347112</v>
      </c>
    </row>
    <row r="224" spans="1:30">
      <c r="A224" s="221" t="s">
        <v>539</v>
      </c>
      <c r="B224" s="215" t="s">
        <v>558</v>
      </c>
      <c r="C224" s="251">
        <f t="shared" si="59"/>
        <v>13.010613196640302</v>
      </c>
      <c r="D224" s="252">
        <v>2.1684355327733837</v>
      </c>
      <c r="E224" s="252">
        <v>10.842177663866918</v>
      </c>
      <c r="F224" s="252">
        <v>1.2554100452898538</v>
      </c>
      <c r="G224" s="253">
        <f t="shared" si="60"/>
        <v>13.124741382575744</v>
      </c>
      <c r="H224" s="252">
        <v>0</v>
      </c>
      <c r="I224" s="252">
        <v>13.124741382575744</v>
      </c>
      <c r="J224" s="252">
        <v>0</v>
      </c>
      <c r="K224" s="220">
        <f t="shared" si="56"/>
        <v>5.8510855648288631</v>
      </c>
      <c r="L224" s="220">
        <f t="shared" si="56"/>
        <v>3.8130146387031418</v>
      </c>
      <c r="M224" s="219">
        <f t="shared" si="61"/>
        <v>0.97518092747147722</v>
      </c>
      <c r="N224" s="219">
        <f t="shared" si="62"/>
        <v>0.63550243978385701</v>
      </c>
      <c r="O224" s="219">
        <f t="shared" si="63"/>
        <v>4.8759046373573858</v>
      </c>
      <c r="P224" s="219">
        <f t="shared" si="64"/>
        <v>3.1775121989192847</v>
      </c>
      <c r="Q224" s="219">
        <f t="shared" si="65"/>
        <v>0.56457843169401312</v>
      </c>
      <c r="R224" s="219">
        <f t="shared" si="66"/>
        <v>0.36792246513802251</v>
      </c>
      <c r="S224" s="220">
        <f t="shared" si="57"/>
        <v>5.9024108768010466</v>
      </c>
      <c r="T224" s="220">
        <f t="shared" si="57"/>
        <v>3.8464621355338715</v>
      </c>
      <c r="U224" s="219">
        <f t="shared" si="67"/>
        <v>0</v>
      </c>
      <c r="V224" s="219">
        <f t="shared" si="58"/>
        <v>0</v>
      </c>
      <c r="W224" s="219">
        <f t="shared" si="68"/>
        <v>5.9024108768010466</v>
      </c>
      <c r="X224" s="219">
        <f t="shared" si="69"/>
        <v>3.8464621355338715</v>
      </c>
      <c r="Y224" s="219">
        <f t="shared" si="70"/>
        <v>0</v>
      </c>
      <c r="Z224" s="219">
        <f t="shared" si="71"/>
        <v>0</v>
      </c>
      <c r="AA224" s="232">
        <v>341215925702.96198</v>
      </c>
      <c r="AB224" s="239">
        <v>341.21592570296002</v>
      </c>
      <c r="AC224" s="237">
        <v>222362381347.61981</v>
      </c>
      <c r="AD224" s="199">
        <v>222.36238134761999</v>
      </c>
    </row>
    <row r="225" spans="1:30">
      <c r="A225" s="221" t="s">
        <v>540</v>
      </c>
      <c r="B225" s="215" t="s">
        <v>558</v>
      </c>
      <c r="C225" s="251">
        <f t="shared" si="59"/>
        <v>4.6197248733241425</v>
      </c>
      <c r="D225" s="252">
        <v>0.28079327190109787</v>
      </c>
      <c r="E225" s="252">
        <v>4.3389316014230443</v>
      </c>
      <c r="F225" s="252">
        <v>0.6006120601465349</v>
      </c>
      <c r="G225" s="253">
        <f t="shared" si="60"/>
        <v>4.5823680163275764</v>
      </c>
      <c r="H225" s="252">
        <v>0</v>
      </c>
      <c r="I225" s="252">
        <v>4.5823680163275764</v>
      </c>
      <c r="J225" s="252">
        <v>0</v>
      </c>
      <c r="K225" s="220">
        <f t="shared" si="56"/>
        <v>4.6434500625741491</v>
      </c>
      <c r="L225" s="220">
        <f t="shared" si="56"/>
        <v>2.5423369882614839</v>
      </c>
      <c r="M225" s="219">
        <f t="shared" si="61"/>
        <v>0.28223532174143579</v>
      </c>
      <c r="N225" s="219">
        <f t="shared" si="62"/>
        <v>0.15452676096173151</v>
      </c>
      <c r="O225" s="219">
        <f t="shared" si="63"/>
        <v>4.3612147408327129</v>
      </c>
      <c r="P225" s="219">
        <f t="shared" si="64"/>
        <v>2.3878102272997523</v>
      </c>
      <c r="Q225" s="219">
        <f t="shared" si="65"/>
        <v>0.60369658036874452</v>
      </c>
      <c r="R225" s="219">
        <f t="shared" si="66"/>
        <v>0.33053012851991281</v>
      </c>
      <c r="S225" s="220">
        <f t="shared" si="57"/>
        <v>4.6059013546500216</v>
      </c>
      <c r="T225" s="220">
        <f t="shared" si="57"/>
        <v>2.5217786818878785</v>
      </c>
      <c r="U225" s="219">
        <f t="shared" si="67"/>
        <v>0</v>
      </c>
      <c r="V225" s="219">
        <f t="shared" si="58"/>
        <v>0</v>
      </c>
      <c r="W225" s="219">
        <f t="shared" si="68"/>
        <v>4.6059013546500216</v>
      </c>
      <c r="X225" s="219">
        <f t="shared" si="69"/>
        <v>2.5217786818878785</v>
      </c>
      <c r="Y225" s="219">
        <f t="shared" si="70"/>
        <v>0</v>
      </c>
      <c r="Z225" s="219">
        <f t="shared" si="71"/>
        <v>0</v>
      </c>
      <c r="AA225" s="232">
        <v>181711743748.14999</v>
      </c>
      <c r="AB225" s="239">
        <v>181.71174374815001</v>
      </c>
      <c r="AC225" s="237">
        <v>99489061173.693314</v>
      </c>
      <c r="AD225" s="199">
        <v>99.489061173690004</v>
      </c>
    </row>
    <row r="226" spans="1:30">
      <c r="A226" s="221" t="s">
        <v>541</v>
      </c>
      <c r="B226" s="215" t="s">
        <v>558</v>
      </c>
      <c r="C226" s="251">
        <f t="shared" si="59"/>
        <v>4.1790000000000003</v>
      </c>
      <c r="D226" s="252">
        <v>0.41199999999999998</v>
      </c>
      <c r="E226" s="252">
        <v>3.7670000000000003</v>
      </c>
      <c r="F226" s="252">
        <v>0.47399999999999998</v>
      </c>
      <c r="G226" s="253">
        <f t="shared" si="60"/>
        <v>3.5</v>
      </c>
      <c r="H226" s="252">
        <v>1</v>
      </c>
      <c r="I226" s="252">
        <v>2.5</v>
      </c>
      <c r="J226" s="252">
        <v>0</v>
      </c>
      <c r="K226" s="220">
        <f t="shared" si="56"/>
        <v>8.2887100758244721</v>
      </c>
      <c r="L226" s="220">
        <f t="shared" si="56"/>
        <v>5.4959820620927164</v>
      </c>
      <c r="M226" s="219">
        <f t="shared" si="61"/>
        <v>0.81716883255316641</v>
      </c>
      <c r="N226" s="219">
        <f t="shared" si="62"/>
        <v>0.54183886326446495</v>
      </c>
      <c r="O226" s="219">
        <f t="shared" si="63"/>
        <v>7.4715412432713055</v>
      </c>
      <c r="P226" s="219">
        <f t="shared" si="64"/>
        <v>4.9541431988282518</v>
      </c>
      <c r="Q226" s="219">
        <f t="shared" si="65"/>
        <v>0.94014084133543885</v>
      </c>
      <c r="R226" s="219">
        <f t="shared" si="66"/>
        <v>0.62337772132853486</v>
      </c>
      <c r="S226" s="220">
        <f t="shared" si="57"/>
        <v>6.9419682377089371</v>
      </c>
      <c r="T226" s="220">
        <f t="shared" si="57"/>
        <v>4.6030000520039493</v>
      </c>
      <c r="U226" s="219">
        <f t="shared" si="67"/>
        <v>1.9834194964882681</v>
      </c>
      <c r="V226" s="219">
        <f t="shared" si="58"/>
        <v>1.3151428720011284</v>
      </c>
      <c r="W226" s="219">
        <f t="shared" si="68"/>
        <v>4.9585487412206692</v>
      </c>
      <c r="X226" s="219">
        <f t="shared" si="69"/>
        <v>3.2878571800028213</v>
      </c>
      <c r="Y226" s="219">
        <f t="shared" si="70"/>
        <v>0</v>
      </c>
      <c r="Z226" s="219">
        <f t="shared" si="71"/>
        <v>0</v>
      </c>
      <c r="AA226" s="232">
        <v>76037366075.546799</v>
      </c>
      <c r="AB226" s="239">
        <v>76.037366075549997</v>
      </c>
      <c r="AC226" s="237">
        <v>50417977728.390221</v>
      </c>
      <c r="AD226" s="199">
        <v>50.417977728389999</v>
      </c>
    </row>
    <row r="227" spans="1:30">
      <c r="A227" s="221" t="s">
        <v>450</v>
      </c>
      <c r="B227" s="215" t="s">
        <v>558</v>
      </c>
      <c r="C227" s="251">
        <f t="shared" si="59"/>
        <v>22.474815922163589</v>
      </c>
      <c r="D227" s="252">
        <v>4.125811618561432</v>
      </c>
      <c r="E227" s="252">
        <v>18.349004303602158</v>
      </c>
      <c r="F227" s="252">
        <v>36.372286637317892</v>
      </c>
      <c r="G227" s="253">
        <f t="shared" si="60"/>
        <v>28.413813173092809</v>
      </c>
      <c r="H227" s="252">
        <v>1.2703156825570725</v>
      </c>
      <c r="I227" s="252">
        <v>27.143497490535736</v>
      </c>
      <c r="J227" s="252">
        <v>0</v>
      </c>
      <c r="K227" s="220">
        <f t="shared" si="56"/>
        <v>4.087658419220789</v>
      </c>
      <c r="L227" s="220">
        <f t="shared" si="56"/>
        <v>4.3137470638911193</v>
      </c>
      <c r="M227" s="219">
        <f t="shared" si="61"/>
        <v>0.75039140062990328</v>
      </c>
      <c r="N227" s="219">
        <f t="shared" si="62"/>
        <v>0.79189559626986727</v>
      </c>
      <c r="O227" s="219">
        <f t="shared" si="63"/>
        <v>3.3372670185908859</v>
      </c>
      <c r="P227" s="219">
        <f t="shared" si="64"/>
        <v>3.5218514676212522</v>
      </c>
      <c r="Q227" s="219">
        <f t="shared" si="65"/>
        <v>6.6152926108162537</v>
      </c>
      <c r="R227" s="219">
        <f t="shared" si="66"/>
        <v>6.9811848618527783</v>
      </c>
      <c r="S227" s="220">
        <f t="shared" si="57"/>
        <v>5.1678270932854131</v>
      </c>
      <c r="T227" s="220">
        <f t="shared" si="57"/>
        <v>5.4536599353637971</v>
      </c>
      <c r="U227" s="219">
        <f t="shared" si="67"/>
        <v>0.23104156282552288</v>
      </c>
      <c r="V227" s="219">
        <f t="shared" si="58"/>
        <v>0.24382048621993282</v>
      </c>
      <c r="W227" s="219">
        <f t="shared" si="68"/>
        <v>4.9367855304598907</v>
      </c>
      <c r="X227" s="219">
        <f t="shared" si="69"/>
        <v>5.209839449143864</v>
      </c>
      <c r="Y227" s="219">
        <f t="shared" si="70"/>
        <v>0</v>
      </c>
      <c r="Z227" s="219">
        <f t="shared" si="71"/>
        <v>0</v>
      </c>
      <c r="AA227" s="232">
        <v>521004490742.91901</v>
      </c>
      <c r="AB227" s="239">
        <v>521.00449074291998</v>
      </c>
      <c r="AC227" s="237">
        <v>549821281946.73523</v>
      </c>
      <c r="AD227" s="199">
        <v>549.82128194673999</v>
      </c>
    </row>
    <row r="228" spans="1:30">
      <c r="A228" s="221" t="s">
        <v>453</v>
      </c>
      <c r="B228" s="215" t="s">
        <v>558</v>
      </c>
      <c r="C228" s="251">
        <f t="shared" si="59"/>
        <v>58.18339975679261</v>
      </c>
      <c r="D228" s="252">
        <v>7.0384605142862338</v>
      </c>
      <c r="E228" s="252">
        <v>51.144939242506375</v>
      </c>
      <c r="F228" s="252">
        <v>0</v>
      </c>
      <c r="G228" s="253">
        <f t="shared" si="60"/>
        <v>46.626605480157366</v>
      </c>
      <c r="H228" s="252">
        <v>1.0651423296438005</v>
      </c>
      <c r="I228" s="252">
        <v>45.561463150513568</v>
      </c>
      <c r="J228" s="252">
        <v>0</v>
      </c>
      <c r="K228" s="220">
        <f t="shared" si="56"/>
        <v>7.787797870021719</v>
      </c>
      <c r="L228" s="220">
        <f t="shared" si="56"/>
        <v>9.8480026411718598</v>
      </c>
      <c r="M228" s="219">
        <f t="shared" si="61"/>
        <v>0.94209186865178052</v>
      </c>
      <c r="N228" s="219">
        <f t="shared" si="62"/>
        <v>1.1913153584048262</v>
      </c>
      <c r="O228" s="219">
        <f t="shared" si="63"/>
        <v>6.8457060013699387</v>
      </c>
      <c r="P228" s="219">
        <f t="shared" si="64"/>
        <v>8.6566872827670327</v>
      </c>
      <c r="Q228" s="219">
        <f t="shared" si="65"/>
        <v>0</v>
      </c>
      <c r="R228" s="219">
        <f t="shared" si="66"/>
        <v>0</v>
      </c>
      <c r="S228" s="220">
        <f t="shared" si="57"/>
        <v>6.2409309246718658</v>
      </c>
      <c r="T228" s="220">
        <f t="shared" si="57"/>
        <v>7.8919233980283412</v>
      </c>
      <c r="U228" s="219">
        <f t="shared" si="67"/>
        <v>0.14256838205989414</v>
      </c>
      <c r="V228" s="219">
        <f t="shared" si="58"/>
        <v>0.18028380121138413</v>
      </c>
      <c r="W228" s="219">
        <f t="shared" si="68"/>
        <v>6.0983625426119721</v>
      </c>
      <c r="X228" s="219">
        <f t="shared" si="69"/>
        <v>7.7116395968169567</v>
      </c>
      <c r="Y228" s="219">
        <f t="shared" si="70"/>
        <v>0</v>
      </c>
      <c r="Z228" s="219">
        <f t="shared" si="71"/>
        <v>0</v>
      </c>
      <c r="AA228" s="232">
        <v>590814217631.73499</v>
      </c>
      <c r="AB228" s="239">
        <v>590.81421763174001</v>
      </c>
      <c r="AC228" s="237">
        <v>747109782866.38879</v>
      </c>
      <c r="AD228" s="199">
        <v>747.10978286638999</v>
      </c>
    </row>
    <row r="229" spans="1:30">
      <c r="A229" s="217" t="s">
        <v>490</v>
      </c>
      <c r="B229" s="215" t="s">
        <v>558</v>
      </c>
      <c r="C229" s="251">
        <f t="shared" si="59"/>
        <v>35.638542855610027</v>
      </c>
      <c r="D229" s="252">
        <v>1.5165334699489497</v>
      </c>
      <c r="E229" s="252">
        <v>34.12200938566108</v>
      </c>
      <c r="F229" s="252">
        <v>3.2859281358385646</v>
      </c>
      <c r="G229" s="253">
        <f t="shared" si="60"/>
        <v>3.2859281358385646</v>
      </c>
      <c r="H229" s="252">
        <v>3.2859281358385646</v>
      </c>
      <c r="I229" s="252">
        <v>0</v>
      </c>
      <c r="J229" s="252">
        <v>3.0330682022598419</v>
      </c>
      <c r="K229" s="220">
        <f t="shared" si="56"/>
        <v>13.604602486815029</v>
      </c>
      <c r="L229" s="220">
        <f t="shared" si="56"/>
        <v>8.0760157020903112</v>
      </c>
      <c r="M229" s="219">
        <f t="shared" si="61"/>
        <v>0.5789191522278514</v>
      </c>
      <c r="N229" s="219">
        <f t="shared" si="62"/>
        <v>0.34366018177775415</v>
      </c>
      <c r="O229" s="219">
        <f t="shared" si="63"/>
        <v>13.025683334587178</v>
      </c>
      <c r="P229" s="219">
        <f t="shared" si="64"/>
        <v>7.7323555203125576</v>
      </c>
      <c r="Q229" s="219">
        <f t="shared" si="65"/>
        <v>1.2543651481330917</v>
      </c>
      <c r="R229" s="219">
        <f t="shared" si="66"/>
        <v>0.74462099442416596</v>
      </c>
      <c r="S229" s="220">
        <f t="shared" si="57"/>
        <v>1.2543651481330917</v>
      </c>
      <c r="T229" s="220">
        <f t="shared" si="57"/>
        <v>0.74462099442416596</v>
      </c>
      <c r="U229" s="219">
        <f t="shared" si="67"/>
        <v>1.2543651481330917</v>
      </c>
      <c r="V229" s="219">
        <f t="shared" si="58"/>
        <v>0.74462099442416596</v>
      </c>
      <c r="W229" s="219">
        <f t="shared" si="68"/>
        <v>0</v>
      </c>
      <c r="X229" s="219">
        <f t="shared" si="69"/>
        <v>0</v>
      </c>
      <c r="Y229" s="219">
        <f t="shared" si="70"/>
        <v>1.1578387863478075</v>
      </c>
      <c r="Z229" s="219">
        <f t="shared" si="71"/>
        <v>0.68732064961812622</v>
      </c>
      <c r="AA229" s="232">
        <v>441288677118.17102</v>
      </c>
      <c r="AB229" s="239">
        <v>441.28867711817003</v>
      </c>
      <c r="AC229" s="237">
        <v>261959457397.9639</v>
      </c>
      <c r="AD229" s="199">
        <v>261.95945739796002</v>
      </c>
    </row>
    <row r="230" spans="1:30">
      <c r="A230" s="217" t="s">
        <v>481</v>
      </c>
      <c r="B230" s="215" t="s">
        <v>558</v>
      </c>
      <c r="C230" s="251">
        <f t="shared" si="59"/>
        <v>12.777545498790493</v>
      </c>
      <c r="D230" s="252">
        <v>3.8881471755765187</v>
      </c>
      <c r="E230" s="252">
        <v>8.8893983232139746</v>
      </c>
      <c r="F230" s="252">
        <v>0.4819569618750838</v>
      </c>
      <c r="G230" s="253">
        <f t="shared" si="60"/>
        <v>15.583184846514998</v>
      </c>
      <c r="H230" s="252">
        <v>8.6584380487873194</v>
      </c>
      <c r="I230" s="252">
        <v>6.9247467977276784</v>
      </c>
      <c r="J230" s="252">
        <v>0</v>
      </c>
      <c r="K230" s="220">
        <f t="shared" si="56"/>
        <v>3.9755204117890228</v>
      </c>
      <c r="L230" s="220">
        <f t="shared" si="56"/>
        <v>1.8505599983039964</v>
      </c>
      <c r="M230" s="219">
        <f t="shared" si="61"/>
        <v>1.2097322182893004</v>
      </c>
      <c r="N230" s="219">
        <f t="shared" si="62"/>
        <v>0.56311672936884971</v>
      </c>
      <c r="O230" s="219">
        <f t="shared" si="63"/>
        <v>2.7657881934997226</v>
      </c>
      <c r="P230" s="219">
        <f t="shared" si="64"/>
        <v>1.2874432689351467</v>
      </c>
      <c r="Q230" s="219">
        <f t="shared" si="65"/>
        <v>0.14995287942583252</v>
      </c>
      <c r="R230" s="219">
        <f t="shared" si="66"/>
        <v>6.9801377317308677E-2</v>
      </c>
      <c r="S230" s="220">
        <f t="shared" si="57"/>
        <v>4.8484483537050211</v>
      </c>
      <c r="T230" s="220">
        <f t="shared" si="57"/>
        <v>2.2568981285073404</v>
      </c>
      <c r="U230" s="219">
        <f t="shared" si="67"/>
        <v>2.6939287518422872</v>
      </c>
      <c r="V230" s="219">
        <f t="shared" si="58"/>
        <v>1.2539935077825262</v>
      </c>
      <c r="W230" s="219">
        <f t="shared" si="68"/>
        <v>2.1545196018627339</v>
      </c>
      <c r="X230" s="219">
        <f t="shared" si="69"/>
        <v>1.0029046207248142</v>
      </c>
      <c r="Y230" s="219">
        <f t="shared" si="70"/>
        <v>0</v>
      </c>
      <c r="Z230" s="219">
        <f t="shared" si="71"/>
        <v>0</v>
      </c>
      <c r="AA230" s="232">
        <v>690469128831.32397</v>
      </c>
      <c r="AB230" s="239">
        <v>690.46912883131995</v>
      </c>
      <c r="AC230" s="237">
        <v>321405606694.9129</v>
      </c>
      <c r="AD230" s="199">
        <v>321.40560669490998</v>
      </c>
    </row>
    <row r="231" spans="1:30">
      <c r="A231" s="217" t="s">
        <v>542</v>
      </c>
      <c r="B231" s="215" t="s">
        <v>558</v>
      </c>
      <c r="C231" s="251">
        <f t="shared" si="59"/>
        <v>0.85465337395785701</v>
      </c>
      <c r="D231" s="252">
        <v>0.2</v>
      </c>
      <c r="E231" s="252">
        <v>0.65465337395785705</v>
      </c>
      <c r="F231" s="252">
        <v>0</v>
      </c>
      <c r="G231" s="253">
        <f t="shared" si="60"/>
        <v>0</v>
      </c>
      <c r="H231" s="252">
        <v>0</v>
      </c>
      <c r="I231" s="252">
        <v>0</v>
      </c>
      <c r="J231" s="252">
        <v>0</v>
      </c>
      <c r="K231" s="220">
        <f t="shared" si="56"/>
        <v>1.3274623554488709</v>
      </c>
      <c r="L231" s="220">
        <f t="shared" si="56"/>
        <v>0.93677595096876765</v>
      </c>
      <c r="M231" s="219">
        <f t="shared" si="61"/>
        <v>0.3106434481856567</v>
      </c>
      <c r="N231" s="219">
        <f t="shared" si="62"/>
        <v>0.21921775061405427</v>
      </c>
      <c r="O231" s="219">
        <f t="shared" si="63"/>
        <v>1.0168189072632143</v>
      </c>
      <c r="P231" s="219">
        <f t="shared" si="64"/>
        <v>0.7175582003547134</v>
      </c>
      <c r="Q231" s="219">
        <f t="shared" si="65"/>
        <v>0</v>
      </c>
      <c r="R231" s="219">
        <f t="shared" si="66"/>
        <v>0</v>
      </c>
      <c r="S231" s="220">
        <f t="shared" si="57"/>
        <v>0</v>
      </c>
      <c r="T231" s="220">
        <f t="shared" si="57"/>
        <v>0</v>
      </c>
      <c r="U231" s="219">
        <f t="shared" si="67"/>
        <v>0</v>
      </c>
      <c r="V231" s="219">
        <f t="shared" si="58"/>
        <v>0</v>
      </c>
      <c r="W231" s="219">
        <f t="shared" si="68"/>
        <v>0</v>
      </c>
      <c r="X231" s="219">
        <f t="shared" si="69"/>
        <v>0</v>
      </c>
      <c r="Y231" s="219">
        <f t="shared" si="70"/>
        <v>0</v>
      </c>
      <c r="Z231" s="219">
        <f t="shared" si="71"/>
        <v>0</v>
      </c>
      <c r="AA231" s="232">
        <v>91233487908.610901</v>
      </c>
      <c r="AB231" s="239">
        <v>91.233487908610002</v>
      </c>
      <c r="AC231" s="237">
        <v>64382494196.515457</v>
      </c>
      <c r="AD231" s="199">
        <v>64.38249419652</v>
      </c>
    </row>
    <row r="232" spans="1:30">
      <c r="A232" s="217" t="s">
        <v>543</v>
      </c>
      <c r="B232" s="215" t="s">
        <v>558</v>
      </c>
      <c r="C232" s="251">
        <f t="shared" si="59"/>
        <v>16.289137328326046</v>
      </c>
      <c r="D232" s="252">
        <v>7.0357904306323586</v>
      </c>
      <c r="E232" s="252">
        <v>9.253346897693687</v>
      </c>
      <c r="F232" s="252">
        <v>0</v>
      </c>
      <c r="G232" s="253">
        <f t="shared" si="60"/>
        <v>6.4935767703113596</v>
      </c>
      <c r="H232" s="252">
        <v>0</v>
      </c>
      <c r="I232" s="252">
        <v>6.4935767703113596</v>
      </c>
      <c r="J232" s="252">
        <v>0</v>
      </c>
      <c r="K232" s="220">
        <f t="shared" si="56"/>
        <v>11.052176741838952</v>
      </c>
      <c r="L232" s="220">
        <f t="shared" si="56"/>
        <v>5.2564567804014075</v>
      </c>
      <c r="M232" s="219">
        <f t="shared" si="61"/>
        <v>4.7737825392794528</v>
      </c>
      <c r="N232" s="219">
        <f t="shared" si="62"/>
        <v>2.2704289103308453</v>
      </c>
      <c r="O232" s="219">
        <f t="shared" si="63"/>
        <v>6.2783942025595003</v>
      </c>
      <c r="P232" s="219">
        <f t="shared" si="64"/>
        <v>2.9860278700705623</v>
      </c>
      <c r="Q232" s="219">
        <f t="shared" si="65"/>
        <v>0</v>
      </c>
      <c r="R232" s="219">
        <f t="shared" si="66"/>
        <v>0</v>
      </c>
      <c r="S232" s="220">
        <f t="shared" si="57"/>
        <v>4.4058906684628081</v>
      </c>
      <c r="T232" s="220">
        <f t="shared" si="57"/>
        <v>2.095458154435482</v>
      </c>
      <c r="U232" s="219">
        <f t="shared" si="67"/>
        <v>0</v>
      </c>
      <c r="V232" s="219">
        <f t="shared" si="58"/>
        <v>0</v>
      </c>
      <c r="W232" s="219">
        <f t="shared" si="68"/>
        <v>4.4058906684628081</v>
      </c>
      <c r="X232" s="219">
        <f t="shared" si="69"/>
        <v>2.095458154435482</v>
      </c>
      <c r="Y232" s="219">
        <f t="shared" si="70"/>
        <v>0</v>
      </c>
      <c r="Z232" s="219">
        <f t="shared" si="71"/>
        <v>0</v>
      </c>
      <c r="AA232" s="232">
        <v>309888162479.70697</v>
      </c>
      <c r="AB232" s="239">
        <v>309.88816247970999</v>
      </c>
      <c r="AC232" s="237">
        <v>147383974295.86609</v>
      </c>
      <c r="AD232" s="199">
        <v>147.38397429586999</v>
      </c>
    </row>
    <row r="233" spans="1:30">
      <c r="A233" s="217" t="s">
        <v>487</v>
      </c>
      <c r="B233" s="215" t="s">
        <v>558</v>
      </c>
      <c r="C233" s="251">
        <f t="shared" si="59"/>
        <v>38.516359409090974</v>
      </c>
      <c r="D233" s="252">
        <v>3.7695771192652283</v>
      </c>
      <c r="E233" s="252">
        <v>34.746782289825745</v>
      </c>
      <c r="F233" s="252">
        <v>0</v>
      </c>
      <c r="G233" s="253">
        <f t="shared" si="60"/>
        <v>28.720587575354124</v>
      </c>
      <c r="H233" s="252">
        <v>9.7444850702094339</v>
      </c>
      <c r="I233" s="252">
        <v>18.976102505144688</v>
      </c>
      <c r="J233" s="252">
        <v>0</v>
      </c>
      <c r="K233" s="220">
        <f t="shared" si="56"/>
        <v>6.7394836974641494</v>
      </c>
      <c r="L233" s="220">
        <f t="shared" si="56"/>
        <v>3.168967804681333</v>
      </c>
      <c r="M233" s="219">
        <f t="shared" si="61"/>
        <v>0.65958994908603863</v>
      </c>
      <c r="N233" s="219">
        <f t="shared" si="62"/>
        <v>0.3101453177684127</v>
      </c>
      <c r="O233" s="219">
        <f t="shared" si="63"/>
        <v>6.0798937483781108</v>
      </c>
      <c r="P233" s="219">
        <f t="shared" si="64"/>
        <v>2.8588224869129202</v>
      </c>
      <c r="Q233" s="219">
        <f t="shared" si="65"/>
        <v>0</v>
      </c>
      <c r="R233" s="219">
        <f t="shared" si="66"/>
        <v>0</v>
      </c>
      <c r="S233" s="220">
        <f t="shared" si="57"/>
        <v>5.0254472311317233</v>
      </c>
      <c r="T233" s="220">
        <f t="shared" si="57"/>
        <v>2.3630119449021922</v>
      </c>
      <c r="U233" s="219">
        <f t="shared" si="67"/>
        <v>1.7050624534196916</v>
      </c>
      <c r="V233" s="219">
        <f t="shared" si="58"/>
        <v>0.8017361955918153</v>
      </c>
      <c r="W233" s="219">
        <f t="shared" si="68"/>
        <v>3.3203847777120314</v>
      </c>
      <c r="X233" s="219">
        <f t="shared" si="69"/>
        <v>1.561275749310377</v>
      </c>
      <c r="Y233" s="219">
        <f t="shared" si="70"/>
        <v>0</v>
      </c>
      <c r="Z233" s="219">
        <f t="shared" si="71"/>
        <v>0</v>
      </c>
      <c r="AA233" s="232">
        <v>1215422868992.01</v>
      </c>
      <c r="AB233" s="239">
        <v>1215.4228689920101</v>
      </c>
      <c r="AC233" s="237">
        <v>571503117124.28699</v>
      </c>
      <c r="AD233" s="199">
        <v>571.50311712429004</v>
      </c>
    </row>
    <row r="234" spans="1:30">
      <c r="A234" s="217"/>
      <c r="B234" s="215"/>
      <c r="C234" s="218"/>
      <c r="D234" s="248"/>
      <c r="E234" s="248"/>
      <c r="F234" s="248"/>
      <c r="G234" s="220"/>
      <c r="H234" s="248"/>
      <c r="I234" s="248"/>
      <c r="J234" s="248"/>
      <c r="K234" s="220"/>
      <c r="L234" s="220"/>
      <c r="M234" s="219"/>
      <c r="N234" s="219"/>
      <c r="O234" s="219"/>
      <c r="P234" s="219"/>
      <c r="Q234" s="219"/>
      <c r="R234" s="219"/>
      <c r="S234" s="220"/>
      <c r="T234" s="220"/>
      <c r="U234" s="219"/>
      <c r="V234" s="219"/>
      <c r="W234" s="219"/>
      <c r="X234" s="219"/>
      <c r="Y234" s="219"/>
      <c r="Z234" s="219"/>
      <c r="AA234" s="238"/>
      <c r="AB234" s="239"/>
      <c r="AC234" s="237"/>
    </row>
    <row r="235" spans="1:30">
      <c r="A235" s="217" t="s">
        <v>461</v>
      </c>
      <c r="B235" s="215" t="s">
        <v>558</v>
      </c>
      <c r="C235" s="218">
        <f t="shared" si="59"/>
        <v>249.72579708899616</v>
      </c>
      <c r="D235" s="224">
        <v>13.808448829914081</v>
      </c>
      <c r="E235" s="224">
        <v>235.91734825908208</v>
      </c>
      <c r="F235" s="224">
        <v>0</v>
      </c>
      <c r="G235" s="220">
        <f t="shared" si="60"/>
        <v>24.164785452349641</v>
      </c>
      <c r="H235" s="224">
        <v>10.356336622435562</v>
      </c>
      <c r="I235" s="224">
        <v>13.808448829914079</v>
      </c>
      <c r="J235" s="224">
        <v>0</v>
      </c>
      <c r="K235" s="220">
        <f t="shared" ref="K235:L272" si="72">M235+O235</f>
        <v>16.706599322040006</v>
      </c>
      <c r="L235" s="220">
        <f t="shared" si="72"/>
        <v>20.360586789391007</v>
      </c>
      <c r="M235" s="219">
        <f t="shared" si="61"/>
        <v>0.92378210240752034</v>
      </c>
      <c r="N235" s="219">
        <f t="shared" si="62"/>
        <v>1.1258273038092899</v>
      </c>
      <c r="O235" s="219">
        <f t="shared" si="63"/>
        <v>15.782817219632486</v>
      </c>
      <c r="P235" s="219">
        <f t="shared" si="64"/>
        <v>19.234759485581719</v>
      </c>
      <c r="Q235" s="219">
        <f t="shared" si="65"/>
        <v>0</v>
      </c>
      <c r="R235" s="219">
        <f t="shared" si="66"/>
        <v>0</v>
      </c>
      <c r="S235" s="220">
        <f t="shared" ref="S235:T272" si="73">U235+W235</f>
        <v>1.6166186792131607</v>
      </c>
      <c r="T235" s="220">
        <f t="shared" si="73"/>
        <v>1.9701977816662573</v>
      </c>
      <c r="U235" s="219">
        <f t="shared" si="67"/>
        <v>0.69283657680564037</v>
      </c>
      <c r="V235" s="219">
        <f t="shared" ref="V235:V272" si="74">($H235/AB235)*100</f>
        <v>0.84437047785696751</v>
      </c>
      <c r="W235" s="219">
        <f t="shared" si="68"/>
        <v>0.92378210240752023</v>
      </c>
      <c r="X235" s="219">
        <f t="shared" si="69"/>
        <v>1.1258273038092899</v>
      </c>
      <c r="Y235" s="219">
        <f t="shared" si="70"/>
        <v>0</v>
      </c>
      <c r="Z235" s="219">
        <f t="shared" si="71"/>
        <v>0</v>
      </c>
      <c r="AA235" s="232">
        <v>1226515717214.5801</v>
      </c>
      <c r="AB235" s="239">
        <v>1226.51571721458</v>
      </c>
      <c r="AC235" s="237">
        <v>1494773366351.988</v>
      </c>
      <c r="AD235" s="199">
        <v>1494.77336635199</v>
      </c>
    </row>
    <row r="236" spans="1:30">
      <c r="A236" s="217" t="s">
        <v>459</v>
      </c>
      <c r="B236" s="215" t="s">
        <v>558</v>
      </c>
      <c r="C236" s="218">
        <f t="shared" si="59"/>
        <v>261.78973301959445</v>
      </c>
      <c r="D236" s="224">
        <v>45.632388666474455</v>
      </c>
      <c r="E236" s="224">
        <v>216.15734435311998</v>
      </c>
      <c r="F236" s="224">
        <v>68.027303732528338</v>
      </c>
      <c r="G236" s="220">
        <f t="shared" si="60"/>
        <v>64.944134850488979</v>
      </c>
      <c r="H236" s="224">
        <v>3.8772617821187447</v>
      </c>
      <c r="I236" s="224">
        <v>61.066873068370228</v>
      </c>
      <c r="J236" s="224">
        <v>0</v>
      </c>
      <c r="K236" s="220">
        <f t="shared" si="72"/>
        <v>15.43021028133305</v>
      </c>
      <c r="L236" s="220">
        <f t="shared" si="72"/>
        <v>15.189529015984853</v>
      </c>
      <c r="M236" s="219">
        <f t="shared" si="61"/>
        <v>2.689629362624844</v>
      </c>
      <c r="N236" s="219">
        <f t="shared" si="62"/>
        <v>2.6476763764690205</v>
      </c>
      <c r="O236" s="219">
        <f t="shared" si="63"/>
        <v>12.740580918708206</v>
      </c>
      <c r="P236" s="219">
        <f t="shared" si="64"/>
        <v>12.541852639515833</v>
      </c>
      <c r="Q236" s="219">
        <f t="shared" si="65"/>
        <v>4.0096133234776588</v>
      </c>
      <c r="R236" s="219">
        <f t="shared" si="66"/>
        <v>3.9470711551820608</v>
      </c>
      <c r="S236" s="220">
        <f t="shared" si="73"/>
        <v>3.8278875405984296</v>
      </c>
      <c r="T236" s="220">
        <f t="shared" si="73"/>
        <v>3.7681799410204526</v>
      </c>
      <c r="U236" s="219">
        <f t="shared" si="67"/>
        <v>0.22853059943871226</v>
      </c>
      <c r="V236" s="219">
        <f t="shared" si="74"/>
        <v>0.22496596662808674</v>
      </c>
      <c r="W236" s="219">
        <f t="shared" si="68"/>
        <v>3.5993569411597175</v>
      </c>
      <c r="X236" s="219">
        <f t="shared" si="69"/>
        <v>3.5432139743923661</v>
      </c>
      <c r="Y236" s="219">
        <f t="shared" si="70"/>
        <v>0</v>
      </c>
      <c r="Z236" s="219">
        <f t="shared" si="71"/>
        <v>0</v>
      </c>
      <c r="AA236" s="232">
        <v>1723488152556.26</v>
      </c>
      <c r="AB236" s="239">
        <v>1723.48815255626</v>
      </c>
      <c r="AC236" s="237">
        <v>1696605089927.3779</v>
      </c>
      <c r="AD236" s="199">
        <v>1696.60508992738</v>
      </c>
    </row>
    <row r="237" spans="1:30">
      <c r="A237" s="217" t="s">
        <v>457</v>
      </c>
      <c r="B237" s="215" t="s">
        <v>558</v>
      </c>
      <c r="C237" s="218">
        <f t="shared" si="59"/>
        <v>252.88463784604201</v>
      </c>
      <c r="D237" s="224">
        <v>38.633570180174964</v>
      </c>
      <c r="E237" s="224">
        <v>214.25106766586705</v>
      </c>
      <c r="F237" s="224">
        <v>79.204517036051911</v>
      </c>
      <c r="G237" s="220">
        <f t="shared" si="60"/>
        <v>399.21355852847461</v>
      </c>
      <c r="H237" s="224">
        <v>18.006206750642018</v>
      </c>
      <c r="I237" s="224">
        <v>381.20735177783257</v>
      </c>
      <c r="J237" s="224">
        <v>0</v>
      </c>
      <c r="K237" s="220">
        <f t="shared" si="72"/>
        <v>9.6638425269762749</v>
      </c>
      <c r="L237" s="220">
        <f t="shared" si="72"/>
        <v>8.6988918855390054</v>
      </c>
      <c r="M237" s="219">
        <f t="shared" si="61"/>
        <v>1.4763598993442799</v>
      </c>
      <c r="N237" s="219">
        <f t="shared" si="62"/>
        <v>1.3289429243793252</v>
      </c>
      <c r="O237" s="219">
        <f t="shared" si="63"/>
        <v>8.1874826276319954</v>
      </c>
      <c r="P237" s="219">
        <f t="shared" si="64"/>
        <v>7.3699489611596798</v>
      </c>
      <c r="Q237" s="219">
        <f t="shared" si="65"/>
        <v>3.0267555458533173</v>
      </c>
      <c r="R237" s="219">
        <f t="shared" si="66"/>
        <v>2.7245290042584984</v>
      </c>
      <c r="S237" s="220">
        <f t="shared" si="73"/>
        <v>15.25571895989089</v>
      </c>
      <c r="T237" s="220">
        <f t="shared" si="73"/>
        <v>13.732410218586359</v>
      </c>
      <c r="U237" s="219">
        <f t="shared" si="67"/>
        <v>0.68809694423715706</v>
      </c>
      <c r="V237" s="219">
        <f t="shared" si="74"/>
        <v>0.61938932758682408</v>
      </c>
      <c r="W237" s="219">
        <f t="shared" si="68"/>
        <v>14.567622015653733</v>
      </c>
      <c r="X237" s="219">
        <f t="shared" si="69"/>
        <v>13.113020890999536</v>
      </c>
      <c r="Y237" s="219">
        <f t="shared" si="70"/>
        <v>0</v>
      </c>
      <c r="Z237" s="219">
        <f t="shared" si="71"/>
        <v>0</v>
      </c>
      <c r="AA237" s="232">
        <v>2907090249810.2798</v>
      </c>
      <c r="AB237" s="239">
        <v>2907.0902498102801</v>
      </c>
      <c r="AC237" s="237">
        <v>2616812485718.0068</v>
      </c>
      <c r="AD237" s="199">
        <v>2616.8124857180101</v>
      </c>
    </row>
    <row r="238" spans="1:30">
      <c r="A238" s="217" t="s">
        <v>458</v>
      </c>
      <c r="B238" s="215" t="s">
        <v>558</v>
      </c>
      <c r="C238" s="218">
        <f t="shared" si="59"/>
        <v>588.90143942687689</v>
      </c>
      <c r="D238" s="224">
        <v>69.618193420619164</v>
      </c>
      <c r="E238" s="224">
        <v>519.28324600625774</v>
      </c>
      <c r="F238" s="224">
        <v>0</v>
      </c>
      <c r="G238" s="220">
        <f t="shared" si="60"/>
        <v>1057.9682836215404</v>
      </c>
      <c r="H238" s="224">
        <v>114.12818593544125</v>
      </c>
      <c r="I238" s="224">
        <v>943.84009768609917</v>
      </c>
      <c r="J238" s="224">
        <v>0</v>
      </c>
      <c r="K238" s="220">
        <f t="shared" si="72"/>
        <v>16.37057240652236</v>
      </c>
      <c r="L238" s="220">
        <f t="shared" si="72"/>
        <v>14.150213902832794</v>
      </c>
      <c r="M238" s="219">
        <f t="shared" si="61"/>
        <v>1.9352808465074884</v>
      </c>
      <c r="N238" s="219">
        <f t="shared" si="62"/>
        <v>1.6727966047922489</v>
      </c>
      <c r="O238" s="219">
        <f t="shared" si="63"/>
        <v>14.435291560014873</v>
      </c>
      <c r="P238" s="219">
        <f t="shared" si="64"/>
        <v>12.477417298040546</v>
      </c>
      <c r="Q238" s="219">
        <f t="shared" si="65"/>
        <v>0</v>
      </c>
      <c r="R238" s="219">
        <f t="shared" si="66"/>
        <v>0</v>
      </c>
      <c r="S238" s="220">
        <f t="shared" si="73"/>
        <v>29.409923683810518</v>
      </c>
      <c r="T238" s="220">
        <f t="shared" si="73"/>
        <v>25.421023813810081</v>
      </c>
      <c r="U238" s="219">
        <f t="shared" si="67"/>
        <v>3.1725915516516197</v>
      </c>
      <c r="V238" s="219">
        <f t="shared" si="74"/>
        <v>2.7422895160528671</v>
      </c>
      <c r="W238" s="219">
        <f t="shared" si="68"/>
        <v>26.237332132158897</v>
      </c>
      <c r="X238" s="219">
        <f t="shared" si="69"/>
        <v>22.678734297757213</v>
      </c>
      <c r="Y238" s="219">
        <f t="shared" si="70"/>
        <v>0</v>
      </c>
      <c r="Z238" s="219">
        <f t="shared" si="71"/>
        <v>0</v>
      </c>
      <c r="AA238" s="232">
        <v>4161784715558.1299</v>
      </c>
      <c r="AB238" s="239">
        <v>4161.7847155581303</v>
      </c>
      <c r="AC238" s="237">
        <v>3597317337494.2358</v>
      </c>
      <c r="AD238" s="199">
        <v>3597.3173374942398</v>
      </c>
    </row>
    <row r="239" spans="1:30">
      <c r="A239" s="217" t="s">
        <v>455</v>
      </c>
      <c r="B239" s="215" t="s">
        <v>558</v>
      </c>
      <c r="C239" s="218">
        <f t="shared" si="59"/>
        <v>205.43073468379427</v>
      </c>
      <c r="D239" s="224">
        <v>22.825637187088251</v>
      </c>
      <c r="E239" s="224">
        <v>182.60509749670601</v>
      </c>
      <c r="F239" s="224">
        <v>7.9889730154808873</v>
      </c>
      <c r="G239" s="220">
        <f t="shared" si="60"/>
        <v>664.51136260910675</v>
      </c>
      <c r="H239" s="224">
        <v>3.7091660429018405</v>
      </c>
      <c r="I239" s="224">
        <v>660.80219656620488</v>
      </c>
      <c r="J239" s="224">
        <v>0</v>
      </c>
      <c r="K239" s="220">
        <f t="shared" si="72"/>
        <v>10.709794274584462</v>
      </c>
      <c r="L239" s="220">
        <f t="shared" si="72"/>
        <v>8.787879797149678</v>
      </c>
      <c r="M239" s="219">
        <f t="shared" si="61"/>
        <v>1.1899771416204958</v>
      </c>
      <c r="N239" s="219">
        <f t="shared" si="62"/>
        <v>0.97643108857218652</v>
      </c>
      <c r="O239" s="219">
        <f t="shared" si="63"/>
        <v>9.5198171329639667</v>
      </c>
      <c r="P239" s="219">
        <f t="shared" si="64"/>
        <v>7.8114487085774922</v>
      </c>
      <c r="Q239" s="219">
        <f t="shared" si="65"/>
        <v>0.41649199956717348</v>
      </c>
      <c r="R239" s="219">
        <f t="shared" si="66"/>
        <v>0.34175088100026529</v>
      </c>
      <c r="S239" s="220">
        <f t="shared" si="73"/>
        <v>34.643209535426678</v>
      </c>
      <c r="T239" s="220">
        <f t="shared" si="73"/>
        <v>28.426350066057783</v>
      </c>
      <c r="U239" s="219">
        <f t="shared" si="67"/>
        <v>0.19337128551333052</v>
      </c>
      <c r="V239" s="219">
        <f t="shared" si="74"/>
        <v>0.15867005189298031</v>
      </c>
      <c r="W239" s="219">
        <f t="shared" si="68"/>
        <v>34.449838249913348</v>
      </c>
      <c r="X239" s="219">
        <f t="shared" si="69"/>
        <v>28.267680014164803</v>
      </c>
      <c r="Y239" s="219">
        <f t="shared" si="70"/>
        <v>0</v>
      </c>
      <c r="Z239" s="219">
        <f t="shared" si="71"/>
        <v>0</v>
      </c>
      <c r="AA239" s="232">
        <v>2337659815857.1201</v>
      </c>
      <c r="AB239" s="239">
        <v>2337.6598158571201</v>
      </c>
      <c r="AC239" s="237">
        <v>1918157617381.1699</v>
      </c>
      <c r="AD239" s="199">
        <v>1918.15761738117</v>
      </c>
    </row>
    <row r="240" spans="1:30">
      <c r="A240" s="217" t="s">
        <v>460</v>
      </c>
      <c r="B240" s="215" t="s">
        <v>558</v>
      </c>
      <c r="C240" s="218">
        <f t="shared" si="59"/>
        <v>843.83378600861022</v>
      </c>
      <c r="D240" s="224">
        <v>104.89387795001592</v>
      </c>
      <c r="E240" s="224">
        <v>738.93990805859426</v>
      </c>
      <c r="F240" s="224">
        <v>27.16002196920055</v>
      </c>
      <c r="G240" s="220">
        <f t="shared" si="60"/>
        <v>147.0387396263616</v>
      </c>
      <c r="H240" s="224">
        <v>0</v>
      </c>
      <c r="I240" s="224">
        <v>147.0387396263616</v>
      </c>
      <c r="J240" s="224">
        <v>1282.1403474426052</v>
      </c>
      <c r="K240" s="220">
        <f t="shared" si="72"/>
        <v>18.487561472512532</v>
      </c>
      <c r="L240" s="220">
        <f t="shared" si="72"/>
        <v>15.84708363425969</v>
      </c>
      <c r="M240" s="219">
        <f t="shared" si="61"/>
        <v>2.2981208489693707</v>
      </c>
      <c r="N240" s="219">
        <f t="shared" si="62"/>
        <v>1.9698927492087519</v>
      </c>
      <c r="O240" s="219">
        <f t="shared" si="63"/>
        <v>16.18944062354316</v>
      </c>
      <c r="P240" s="219">
        <f t="shared" si="64"/>
        <v>13.877190885050938</v>
      </c>
      <c r="Q240" s="219">
        <f t="shared" si="65"/>
        <v>0.59504914839385492</v>
      </c>
      <c r="R240" s="219">
        <f t="shared" si="66"/>
        <v>0.51006151542012323</v>
      </c>
      <c r="S240" s="220">
        <f t="shared" si="73"/>
        <v>3.2214729757874219</v>
      </c>
      <c r="T240" s="220">
        <f t="shared" si="73"/>
        <v>2.7613675145158392</v>
      </c>
      <c r="U240" s="219">
        <f t="shared" si="67"/>
        <v>0</v>
      </c>
      <c r="V240" s="219">
        <f t="shared" si="74"/>
        <v>0</v>
      </c>
      <c r="W240" s="219">
        <f t="shared" si="68"/>
        <v>3.2214729757874219</v>
      </c>
      <c r="X240" s="219">
        <f t="shared" si="69"/>
        <v>2.7613675145158392</v>
      </c>
      <c r="Y240" s="219">
        <f t="shared" si="70"/>
        <v>28.090423591420254</v>
      </c>
      <c r="Z240" s="219">
        <f t="shared" si="71"/>
        <v>24.078421193453401</v>
      </c>
      <c r="AA240" s="232">
        <v>5324852228231.6504</v>
      </c>
      <c r="AB240" s="239">
        <v>5324.8522282316499</v>
      </c>
      <c r="AC240" s="237">
        <v>4564332550094.4502</v>
      </c>
      <c r="AD240" s="199">
        <v>4564.3325500944502</v>
      </c>
    </row>
    <row r="241" spans="1:30">
      <c r="A241" s="217" t="s">
        <v>448</v>
      </c>
      <c r="B241" s="215" t="s">
        <v>558</v>
      </c>
      <c r="C241" s="218">
        <f t="shared" si="59"/>
        <v>104.83004568682563</v>
      </c>
      <c r="D241" s="224">
        <v>11.949099791303487</v>
      </c>
      <c r="E241" s="224">
        <v>92.880945895522146</v>
      </c>
      <c r="F241" s="224">
        <v>27.965978234965611</v>
      </c>
      <c r="G241" s="220">
        <f t="shared" si="60"/>
        <v>60.08448051088066</v>
      </c>
      <c r="H241" s="224">
        <v>0</v>
      </c>
      <c r="I241" s="224">
        <v>60.08448051088066</v>
      </c>
      <c r="J241" s="224">
        <v>105.93173573850609</v>
      </c>
      <c r="K241" s="220">
        <f t="shared" si="72"/>
        <v>6.3993065478290871</v>
      </c>
      <c r="L241" s="220">
        <f t="shared" si="72"/>
        <v>4.8610304710188492</v>
      </c>
      <c r="M241" s="219">
        <f t="shared" si="61"/>
        <v>0.72942782800638739</v>
      </c>
      <c r="N241" s="219">
        <f t="shared" si="62"/>
        <v>0.55408673921880169</v>
      </c>
      <c r="O241" s="219">
        <f t="shared" si="63"/>
        <v>5.6698787198226999</v>
      </c>
      <c r="P241" s="219">
        <f t="shared" si="64"/>
        <v>4.3069437318000476</v>
      </c>
      <c r="Q241" s="219">
        <f t="shared" si="65"/>
        <v>1.7071715123553752</v>
      </c>
      <c r="R241" s="219">
        <f t="shared" si="66"/>
        <v>1.2967987513631529</v>
      </c>
      <c r="S241" s="220">
        <f t="shared" si="73"/>
        <v>3.6678321280604878</v>
      </c>
      <c r="T241" s="220">
        <f t="shared" si="73"/>
        <v>2.7861524688378045</v>
      </c>
      <c r="U241" s="219">
        <f t="shared" si="67"/>
        <v>0</v>
      </c>
      <c r="V241" s="219">
        <f t="shared" si="74"/>
        <v>0</v>
      </c>
      <c r="W241" s="219">
        <f t="shared" si="68"/>
        <v>3.6678321280604878</v>
      </c>
      <c r="X241" s="219">
        <f t="shared" si="69"/>
        <v>2.7861524688378045</v>
      </c>
      <c r="Y241" s="219">
        <f t="shared" si="70"/>
        <v>6.4665587589218756</v>
      </c>
      <c r="Z241" s="219">
        <f t="shared" si="71"/>
        <v>4.9121164824361854</v>
      </c>
      <c r="AA241" s="232">
        <v>2156539571430.7</v>
      </c>
      <c r="AB241" s="239">
        <v>2156.5395714307001</v>
      </c>
      <c r="AC241" s="237">
        <v>1638146960195.0569</v>
      </c>
      <c r="AD241" s="199">
        <v>1638.14696019506</v>
      </c>
    </row>
    <row r="242" spans="1:30">
      <c r="A242" s="217" t="s">
        <v>449</v>
      </c>
      <c r="B242" s="215" t="s">
        <v>558</v>
      </c>
      <c r="C242" s="218">
        <f t="shared" si="59"/>
        <v>107.45168705821794</v>
      </c>
      <c r="D242" s="224">
        <v>21.924024518198266</v>
      </c>
      <c r="E242" s="224">
        <v>85.527662540019676</v>
      </c>
      <c r="F242" s="224">
        <v>5.1357683670948562E-2</v>
      </c>
      <c r="G242" s="220">
        <f t="shared" si="60"/>
        <v>172.60632712690199</v>
      </c>
      <c r="H242" s="224">
        <v>0.72927910812746966</v>
      </c>
      <c r="I242" s="224">
        <v>171.87704801877453</v>
      </c>
      <c r="J242" s="224">
        <v>11.412818593544126</v>
      </c>
      <c r="K242" s="220">
        <f t="shared" si="72"/>
        <v>8.1161859931574725</v>
      </c>
      <c r="L242" s="220">
        <f t="shared" si="72"/>
        <v>5.9810760126264126</v>
      </c>
      <c r="M242" s="219">
        <f t="shared" si="61"/>
        <v>1.6559950390712168</v>
      </c>
      <c r="N242" s="219">
        <f t="shared" si="62"/>
        <v>1.220355498699452</v>
      </c>
      <c r="O242" s="219">
        <f t="shared" si="63"/>
        <v>6.4601909540862561</v>
      </c>
      <c r="P242" s="219">
        <f t="shared" si="64"/>
        <v>4.7607205139269606</v>
      </c>
      <c r="Q242" s="219">
        <f t="shared" si="65"/>
        <v>3.8792179468092008E-3</v>
      </c>
      <c r="R242" s="219">
        <f t="shared" si="66"/>
        <v>2.8587192837832031E-3</v>
      </c>
      <c r="S242" s="220">
        <f t="shared" si="73"/>
        <v>13.03753429016615</v>
      </c>
      <c r="T242" s="220">
        <f t="shared" si="73"/>
        <v>9.6077743502241759</v>
      </c>
      <c r="U242" s="219">
        <f t="shared" si="67"/>
        <v>5.508489484469066E-2</v>
      </c>
      <c r="V242" s="219">
        <f t="shared" si="74"/>
        <v>4.0593813829721485E-2</v>
      </c>
      <c r="W242" s="219">
        <f t="shared" si="68"/>
        <v>12.98244939532146</v>
      </c>
      <c r="X242" s="219">
        <f t="shared" si="69"/>
        <v>9.5671805363944546</v>
      </c>
      <c r="Y242" s="219">
        <f t="shared" si="70"/>
        <v>0.862048432624267</v>
      </c>
      <c r="Z242" s="219">
        <f t="shared" si="71"/>
        <v>0.63527095195182293</v>
      </c>
      <c r="AA242" s="232">
        <v>1796527695541.4199</v>
      </c>
      <c r="AB242" s="239">
        <v>1796.5276955414199</v>
      </c>
      <c r="AC242" s="237">
        <v>1323918490148.05</v>
      </c>
      <c r="AD242" s="199">
        <v>1323.9184901480501</v>
      </c>
    </row>
    <row r="243" spans="1:30">
      <c r="A243" s="217" t="s">
        <v>463</v>
      </c>
      <c r="B243" s="215" t="s">
        <v>558</v>
      </c>
      <c r="C243" s="218">
        <f t="shared" si="59"/>
        <v>522.16796884260248</v>
      </c>
      <c r="D243" s="224">
        <v>130.8627342062542</v>
      </c>
      <c r="E243" s="224">
        <v>391.30523463634825</v>
      </c>
      <c r="F243" s="224">
        <v>16.03709978017821</v>
      </c>
      <c r="G243" s="220">
        <f t="shared" si="60"/>
        <v>452.92618683170508</v>
      </c>
      <c r="H243" s="224">
        <v>1.3214570218866846</v>
      </c>
      <c r="I243" s="224">
        <v>451.60472980981842</v>
      </c>
      <c r="J243" s="224">
        <v>0</v>
      </c>
      <c r="K243" s="220">
        <f t="shared" si="72"/>
        <v>16.537971947531275</v>
      </c>
      <c r="L243" s="220">
        <f t="shared" si="72"/>
        <v>17.748811656211291</v>
      </c>
      <c r="M243" s="219">
        <f t="shared" si="61"/>
        <v>4.1446514463100499</v>
      </c>
      <c r="N243" s="219">
        <f t="shared" si="62"/>
        <v>4.4481051325148693</v>
      </c>
      <c r="O243" s="219">
        <f t="shared" si="63"/>
        <v>12.393320501221226</v>
      </c>
      <c r="P243" s="219">
        <f t="shared" si="64"/>
        <v>13.300706523696421</v>
      </c>
      <c r="Q243" s="219">
        <f t="shared" si="65"/>
        <v>0.50792297136152575</v>
      </c>
      <c r="R243" s="219">
        <f t="shared" si="66"/>
        <v>0.54511092310231246</v>
      </c>
      <c r="S243" s="220">
        <f t="shared" si="73"/>
        <v>14.344963726380755</v>
      </c>
      <c r="T243" s="220">
        <f t="shared" si="73"/>
        <v>15.395240734624748</v>
      </c>
      <c r="U243" s="219">
        <f t="shared" si="67"/>
        <v>4.1852852840189719E-2</v>
      </c>
      <c r="V243" s="219">
        <f t="shared" si="74"/>
        <v>4.4917140063630547E-2</v>
      </c>
      <c r="W243" s="219">
        <f t="shared" si="68"/>
        <v>14.303110873540565</v>
      </c>
      <c r="X243" s="219">
        <f t="shared" si="69"/>
        <v>15.350323594561118</v>
      </c>
      <c r="Y243" s="219">
        <f t="shared" si="70"/>
        <v>0</v>
      </c>
      <c r="Z243" s="219">
        <f t="shared" si="71"/>
        <v>0</v>
      </c>
      <c r="AA243" s="232">
        <v>2941988336778.9702</v>
      </c>
      <c r="AB243" s="239">
        <v>2941.9883367789698</v>
      </c>
      <c r="AC243" s="237">
        <v>3157388164033.9238</v>
      </c>
      <c r="AD243" s="199">
        <v>3157.38816403392</v>
      </c>
    </row>
    <row r="244" spans="1:30">
      <c r="A244" s="217" t="s">
        <v>464</v>
      </c>
      <c r="B244" s="215" t="s">
        <v>558</v>
      </c>
      <c r="C244" s="218">
        <f t="shared" si="59"/>
        <v>5328.3</v>
      </c>
      <c r="D244" s="224">
        <v>687.3</v>
      </c>
      <c r="E244" s="224">
        <v>4641</v>
      </c>
      <c r="F244" s="224">
        <v>17.98</v>
      </c>
      <c r="G244" s="220">
        <f t="shared" si="60"/>
        <v>510</v>
      </c>
      <c r="H244" s="224">
        <v>56</v>
      </c>
      <c r="I244" s="224">
        <v>454</v>
      </c>
      <c r="J244" s="224">
        <v>0</v>
      </c>
      <c r="K244" s="220">
        <f t="shared" si="72"/>
        <v>26.736447545993702</v>
      </c>
      <c r="L244" s="220">
        <f t="shared" si="72"/>
        <v>26.675893379829869</v>
      </c>
      <c r="M244" s="219">
        <f t="shared" si="61"/>
        <v>3.4487473299854492</v>
      </c>
      <c r="N244" s="219">
        <f t="shared" si="62"/>
        <v>3.4409364187371332</v>
      </c>
      <c r="O244" s="219">
        <f t="shared" si="63"/>
        <v>23.287700216008254</v>
      </c>
      <c r="P244" s="219">
        <f t="shared" si="64"/>
        <v>23.234956961092735</v>
      </c>
      <c r="Q244" s="219">
        <f t="shared" si="65"/>
        <v>9.0220394286539191E-2</v>
      </c>
      <c r="R244" s="219">
        <f t="shared" si="66"/>
        <v>9.0016058211688718E-2</v>
      </c>
      <c r="S244" s="220">
        <f t="shared" si="73"/>
        <v>2.5590879358250826</v>
      </c>
      <c r="T244" s="220">
        <f t="shared" si="73"/>
        <v>2.5532919737464543</v>
      </c>
      <c r="U244" s="219">
        <f t="shared" si="67"/>
        <v>0.28099789099255812</v>
      </c>
      <c r="V244" s="219">
        <f t="shared" si="74"/>
        <v>0.28036147162706165</v>
      </c>
      <c r="W244" s="219">
        <f t="shared" si="68"/>
        <v>2.2780900448325245</v>
      </c>
      <c r="X244" s="219">
        <f t="shared" si="69"/>
        <v>2.2729305021193928</v>
      </c>
      <c r="Y244" s="219">
        <f t="shared" si="70"/>
        <v>0</v>
      </c>
      <c r="Z244" s="219">
        <f t="shared" si="71"/>
        <v>0</v>
      </c>
      <c r="AA244" s="232">
        <v>19974213887167.602</v>
      </c>
      <c r="AB244" s="239">
        <v>19974.2138871676</v>
      </c>
      <c r="AC244" s="237">
        <v>19928975197000</v>
      </c>
      <c r="AD244" s="199">
        <v>19928.975197</v>
      </c>
    </row>
    <row r="245" spans="1:30">
      <c r="A245" s="217" t="s">
        <v>466</v>
      </c>
      <c r="B245" s="215" t="s">
        <v>558</v>
      </c>
      <c r="C245" s="218">
        <f t="shared" si="59"/>
        <v>7.0279601888550918</v>
      </c>
      <c r="D245" s="224">
        <v>4.8032151754294405</v>
      </c>
      <c r="E245" s="224">
        <v>2.2247450134256517</v>
      </c>
      <c r="F245" s="224">
        <v>4.2819360091037648</v>
      </c>
      <c r="G245" s="220">
        <f t="shared" si="60"/>
        <v>1.1728781242327704</v>
      </c>
      <c r="H245" s="224">
        <v>0.89362142798687272</v>
      </c>
      <c r="I245" s="224">
        <v>0.27925669624589772</v>
      </c>
      <c r="J245" s="224">
        <v>12.240751852111851</v>
      </c>
      <c r="K245" s="220">
        <f t="shared" si="72"/>
        <v>0.54942367197485686</v>
      </c>
      <c r="L245" s="220">
        <f t="shared" si="72"/>
        <v>0.29508569161334508</v>
      </c>
      <c r="M245" s="219">
        <f t="shared" si="61"/>
        <v>0.37550015197222009</v>
      </c>
      <c r="N245" s="219">
        <f t="shared" si="62"/>
        <v>0.20167445943375639</v>
      </c>
      <c r="O245" s="219">
        <f t="shared" si="63"/>
        <v>0.17392352000263681</v>
      </c>
      <c r="P245" s="219">
        <f t="shared" si="64"/>
        <v>9.3411232179588716E-2</v>
      </c>
      <c r="Q245" s="219">
        <f t="shared" si="65"/>
        <v>0.33474819749461476</v>
      </c>
      <c r="R245" s="219">
        <f t="shared" si="66"/>
        <v>0.17978730879753479</v>
      </c>
      <c r="S245" s="220">
        <f t="shared" si="73"/>
        <v>9.169189757461188E-2</v>
      </c>
      <c r="T245" s="220">
        <f t="shared" si="73"/>
        <v>4.9246088931498663E-2</v>
      </c>
      <c r="U245" s="219">
        <f t="shared" si="67"/>
        <v>6.9860493390180481E-2</v>
      </c>
      <c r="V245" s="219">
        <f t="shared" si="74"/>
        <v>3.7520829662094218E-2</v>
      </c>
      <c r="W245" s="219">
        <f t="shared" si="68"/>
        <v>2.1831404184431399E-2</v>
      </c>
      <c r="X245" s="219">
        <f t="shared" si="69"/>
        <v>1.1725259269404443E-2</v>
      </c>
      <c r="Y245" s="219">
        <f t="shared" si="70"/>
        <v>0.95694321675090976</v>
      </c>
      <c r="Z245" s="219">
        <f t="shared" si="71"/>
        <v>0.51395719797556139</v>
      </c>
      <c r="AA245" s="232">
        <v>2381667559152.25</v>
      </c>
      <c r="AB245" s="239">
        <v>2381.6675591522499</v>
      </c>
      <c r="AC245" s="237">
        <v>1279151326624.439</v>
      </c>
      <c r="AD245" s="199">
        <v>1279.1513266244399</v>
      </c>
    </row>
    <row r="246" spans="1:30">
      <c r="A246" s="217" t="s">
        <v>467</v>
      </c>
      <c r="B246" s="215" t="s">
        <v>558</v>
      </c>
      <c r="C246" s="218">
        <f t="shared" si="59"/>
        <v>25.234121210982785</v>
      </c>
      <c r="D246" s="224">
        <v>2.7673372045961901</v>
      </c>
      <c r="E246" s="224">
        <v>22.466784006386597</v>
      </c>
      <c r="F246" s="224">
        <v>10.01376658570374</v>
      </c>
      <c r="G246" s="220">
        <f t="shared" si="60"/>
        <v>48.92766294724192</v>
      </c>
      <c r="H246" s="224">
        <v>2.995571200851546</v>
      </c>
      <c r="I246" s="224">
        <v>45.932091746390377</v>
      </c>
      <c r="J246" s="224">
        <v>20.426942664854352</v>
      </c>
      <c r="K246" s="220">
        <f t="shared" si="72"/>
        <v>2.5308691970139723</v>
      </c>
      <c r="L246" s="220">
        <f t="shared" si="72"/>
        <v>1.0812537761986203</v>
      </c>
      <c r="M246" s="219">
        <f t="shared" si="61"/>
        <v>0.27755151171323378</v>
      </c>
      <c r="N246" s="219">
        <f t="shared" si="62"/>
        <v>0.1185772937153942</v>
      </c>
      <c r="O246" s="219">
        <f t="shared" si="63"/>
        <v>2.2533176853007384</v>
      </c>
      <c r="P246" s="219">
        <f t="shared" si="64"/>
        <v>0.96267648248322613</v>
      </c>
      <c r="Q246" s="219">
        <f t="shared" si="65"/>
        <v>1.0043358825911861</v>
      </c>
      <c r="R246" s="219">
        <f t="shared" si="66"/>
        <v>0.42907866076395218</v>
      </c>
      <c r="S246" s="220">
        <f t="shared" si="73"/>
        <v>4.9072251813216079</v>
      </c>
      <c r="T246" s="220">
        <f t="shared" si="73"/>
        <v>2.0964954507412479</v>
      </c>
      <c r="U246" s="219">
        <f t="shared" si="67"/>
        <v>0.30044235804009845</v>
      </c>
      <c r="V246" s="219">
        <f t="shared" si="74"/>
        <v>0.1283568643310968</v>
      </c>
      <c r="W246" s="219">
        <f t="shared" si="68"/>
        <v>4.6067828232815096</v>
      </c>
      <c r="X246" s="219">
        <f t="shared" si="69"/>
        <v>1.9681385864101513</v>
      </c>
      <c r="Y246" s="219">
        <f t="shared" si="70"/>
        <v>2.0487307462543853</v>
      </c>
      <c r="Z246" s="219">
        <f t="shared" si="71"/>
        <v>0.87527157010538392</v>
      </c>
      <c r="AA246" s="232">
        <v>2333783406491.1899</v>
      </c>
      <c r="AB246" s="239">
        <v>2333.7834064911899</v>
      </c>
      <c r="AC246" s="237">
        <v>997053551434.22559</v>
      </c>
      <c r="AD246" s="199">
        <v>997.05355143423003</v>
      </c>
    </row>
    <row r="247" spans="1:30">
      <c r="A247" s="221" t="s">
        <v>530</v>
      </c>
      <c r="B247" s="215" t="s">
        <v>558</v>
      </c>
      <c r="C247" s="218">
        <f t="shared" si="59"/>
        <v>65.737835098814159</v>
      </c>
      <c r="D247" s="224">
        <v>7.6465884576745644</v>
      </c>
      <c r="E247" s="224">
        <v>58.091246641139598</v>
      </c>
      <c r="F247" s="224">
        <v>0</v>
      </c>
      <c r="G247" s="220">
        <f t="shared" si="60"/>
        <v>12.211715895092214</v>
      </c>
      <c r="H247" s="224">
        <v>0</v>
      </c>
      <c r="I247" s="224">
        <v>12.211715895092214</v>
      </c>
      <c r="J247" s="224">
        <v>0</v>
      </c>
      <c r="K247" s="220">
        <f t="shared" si="72"/>
        <v>15.880639720851256</v>
      </c>
      <c r="L247" s="220">
        <f t="shared" si="72"/>
        <v>14.028585723530457</v>
      </c>
      <c r="M247" s="219">
        <f t="shared" si="61"/>
        <v>1.8472271897517958</v>
      </c>
      <c r="N247" s="219">
        <f t="shared" si="62"/>
        <v>1.6317972977023274</v>
      </c>
      <c r="O247" s="219">
        <f t="shared" si="63"/>
        <v>14.033412531099462</v>
      </c>
      <c r="P247" s="219">
        <f t="shared" si="64"/>
        <v>12.396788425828129</v>
      </c>
      <c r="Q247" s="219">
        <f t="shared" si="65"/>
        <v>0</v>
      </c>
      <c r="R247" s="219">
        <f t="shared" si="66"/>
        <v>0</v>
      </c>
      <c r="S247" s="220">
        <f t="shared" si="73"/>
        <v>2.9500493925886886</v>
      </c>
      <c r="T247" s="220">
        <f t="shared" si="73"/>
        <v>2.6060046396141643</v>
      </c>
      <c r="U247" s="219">
        <f t="shared" si="67"/>
        <v>0</v>
      </c>
      <c r="V247" s="219">
        <f t="shared" si="74"/>
        <v>0</v>
      </c>
      <c r="W247" s="219">
        <f t="shared" si="68"/>
        <v>2.9500493925886886</v>
      </c>
      <c r="X247" s="219">
        <f t="shared" si="69"/>
        <v>2.6060046396141643</v>
      </c>
      <c r="Y247" s="219">
        <f t="shared" si="70"/>
        <v>0</v>
      </c>
      <c r="Z247" s="219">
        <f t="shared" si="71"/>
        <v>0</v>
      </c>
      <c r="AA247" s="232">
        <v>468599161699.88599</v>
      </c>
      <c r="AB247" s="239">
        <v>468.59916169988998</v>
      </c>
      <c r="AC247" s="237">
        <v>413949540159.26532</v>
      </c>
      <c r="AD247" s="199">
        <v>413.94954015926999</v>
      </c>
    </row>
    <row r="248" spans="1:30">
      <c r="A248" s="217" t="s">
        <v>456</v>
      </c>
      <c r="B248" s="215" t="s">
        <v>558</v>
      </c>
      <c r="C248" s="218">
        <f t="shared" si="59"/>
        <v>42.113300610177824</v>
      </c>
      <c r="D248" s="224">
        <v>10.95630584980236</v>
      </c>
      <c r="E248" s="224">
        <v>31.156994760375461</v>
      </c>
      <c r="F248" s="224">
        <v>14.722535985671922</v>
      </c>
      <c r="G248" s="220">
        <f t="shared" si="60"/>
        <v>61.172707661396508</v>
      </c>
      <c r="H248" s="224">
        <v>1.8260509749670601</v>
      </c>
      <c r="I248" s="224">
        <v>59.346656686429448</v>
      </c>
      <c r="J248" s="224">
        <v>0</v>
      </c>
      <c r="K248" s="220">
        <f t="shared" si="72"/>
        <v>8.5050310410477952</v>
      </c>
      <c r="L248" s="220">
        <f t="shared" si="72"/>
        <v>7.5835826820255718</v>
      </c>
      <c r="M248" s="219">
        <f t="shared" si="61"/>
        <v>2.2126910025490196</v>
      </c>
      <c r="N248" s="219">
        <f t="shared" si="62"/>
        <v>1.9729646002017747</v>
      </c>
      <c r="O248" s="219">
        <f t="shared" si="63"/>
        <v>6.2923400384987751</v>
      </c>
      <c r="P248" s="219">
        <f t="shared" si="64"/>
        <v>5.6106180818237972</v>
      </c>
      <c r="Q248" s="219">
        <f t="shared" si="65"/>
        <v>2.973303534675245</v>
      </c>
      <c r="R248" s="219">
        <f t="shared" si="66"/>
        <v>2.6511711815211347</v>
      </c>
      <c r="S248" s="220">
        <f t="shared" si="73"/>
        <v>12.354191430898693</v>
      </c>
      <c r="T248" s="220">
        <f t="shared" si="73"/>
        <v>11.015719017793241</v>
      </c>
      <c r="U248" s="219">
        <f t="shared" si="67"/>
        <v>0.36878183375816997</v>
      </c>
      <c r="V248" s="219">
        <f t="shared" si="74"/>
        <v>0.32882743336696246</v>
      </c>
      <c r="W248" s="219">
        <f t="shared" si="68"/>
        <v>11.985409597140523</v>
      </c>
      <c r="X248" s="219">
        <f t="shared" si="69"/>
        <v>10.686891584426279</v>
      </c>
      <c r="Y248" s="219">
        <f t="shared" si="70"/>
        <v>0</v>
      </c>
      <c r="Z248" s="219">
        <f t="shared" si="71"/>
        <v>0</v>
      </c>
      <c r="AA248" s="232">
        <v>555321968203.677</v>
      </c>
      <c r="AB248" s="239">
        <v>555.32196820367994</v>
      </c>
      <c r="AC248" s="237">
        <v>495157518025.82001</v>
      </c>
      <c r="AD248" s="199">
        <v>495.15751802582002</v>
      </c>
    </row>
    <row r="249" spans="1:30">
      <c r="A249" s="221" t="s">
        <v>454</v>
      </c>
      <c r="B249" s="215" t="s">
        <v>558</v>
      </c>
      <c r="C249" s="218">
        <f t="shared" si="59"/>
        <v>22.550381835611422</v>
      </c>
      <c r="D249" s="224">
        <v>6.3937269094473352</v>
      </c>
      <c r="E249" s="224">
        <v>16.156654926164087</v>
      </c>
      <c r="F249" s="224">
        <v>0.61610710785105727</v>
      </c>
      <c r="G249" s="220">
        <f t="shared" si="60"/>
        <v>37.970293297142426</v>
      </c>
      <c r="H249" s="224">
        <v>3.8775971822793812E-2</v>
      </c>
      <c r="I249" s="224">
        <v>37.931517325319632</v>
      </c>
      <c r="J249" s="224">
        <v>0</v>
      </c>
      <c r="K249" s="220">
        <f t="shared" si="72"/>
        <v>10.457403769203127</v>
      </c>
      <c r="L249" s="220">
        <f t="shared" si="72"/>
        <v>5.5352503612996573</v>
      </c>
      <c r="M249" s="219">
        <f t="shared" si="61"/>
        <v>2.9649956426246544</v>
      </c>
      <c r="N249" s="219">
        <f t="shared" si="62"/>
        <v>1.5694137440138884</v>
      </c>
      <c r="O249" s="219">
        <f t="shared" si="63"/>
        <v>7.4924081265784732</v>
      </c>
      <c r="P249" s="219">
        <f t="shared" si="64"/>
        <v>3.9658366172857686</v>
      </c>
      <c r="Q249" s="219">
        <f t="shared" si="65"/>
        <v>0.28571049656019243</v>
      </c>
      <c r="R249" s="219">
        <f t="shared" si="66"/>
        <v>0.15123056967249734</v>
      </c>
      <c r="S249" s="220">
        <f t="shared" si="73"/>
        <v>17.60815808520962</v>
      </c>
      <c r="T249" s="220">
        <f t="shared" si="73"/>
        <v>9.3202448288371951</v>
      </c>
      <c r="U249" s="219">
        <f t="shared" si="67"/>
        <v>1.7981779503788334E-2</v>
      </c>
      <c r="V249" s="219">
        <f t="shared" si="74"/>
        <v>9.5180078814858463E-3</v>
      </c>
      <c r="W249" s="219">
        <f t="shared" si="68"/>
        <v>17.590176305705832</v>
      </c>
      <c r="X249" s="219">
        <f t="shared" si="69"/>
        <v>9.3107268209557095</v>
      </c>
      <c r="Y249" s="219">
        <f t="shared" si="70"/>
        <v>0</v>
      </c>
      <c r="Z249" s="219">
        <f t="shared" si="71"/>
        <v>0</v>
      </c>
      <c r="AA249" s="232">
        <v>407395878482.30298</v>
      </c>
      <c r="AB249" s="239">
        <v>407.39587848230002</v>
      </c>
      <c r="AC249" s="237">
        <v>215640347578.63721</v>
      </c>
      <c r="AD249" s="199">
        <v>215.64034757863999</v>
      </c>
    </row>
    <row r="250" spans="1:30">
      <c r="A250" s="221" t="s">
        <v>446</v>
      </c>
      <c r="B250" s="215" t="s">
        <v>558</v>
      </c>
      <c r="C250" s="218">
        <f t="shared" si="59"/>
        <v>12.151964295383831</v>
      </c>
      <c r="D250" s="224">
        <v>0</v>
      </c>
      <c r="E250" s="224">
        <v>12.151964295383831</v>
      </c>
      <c r="F250" s="224">
        <v>48.730141098973149</v>
      </c>
      <c r="G250" s="220">
        <f t="shared" si="60"/>
        <v>55.669753413569694</v>
      </c>
      <c r="H250" s="224">
        <v>43.105080896833208</v>
      </c>
      <c r="I250" s="224">
        <v>12.56467251673649</v>
      </c>
      <c r="J250" s="224">
        <v>0</v>
      </c>
      <c r="K250" s="220">
        <f t="shared" si="72"/>
        <v>3.6535993308298735</v>
      </c>
      <c r="L250" s="220">
        <f t="shared" si="72"/>
        <v>3.9065858319656011</v>
      </c>
      <c r="M250" s="219">
        <f t="shared" si="61"/>
        <v>0</v>
      </c>
      <c r="N250" s="219">
        <f t="shared" si="62"/>
        <v>0</v>
      </c>
      <c r="O250" s="219">
        <f t="shared" si="63"/>
        <v>3.6535993308298735</v>
      </c>
      <c r="P250" s="219">
        <f t="shared" si="64"/>
        <v>3.9065858319656011</v>
      </c>
      <c r="Q250" s="219">
        <f t="shared" si="65"/>
        <v>14.651163102749228</v>
      </c>
      <c r="R250" s="219">
        <f t="shared" si="66"/>
        <v>15.665654883404198</v>
      </c>
      <c r="S250" s="220">
        <f t="shared" si="73"/>
        <v>16.737621085386667</v>
      </c>
      <c r="T250" s="220">
        <f t="shared" si="73"/>
        <v>17.896585660400905</v>
      </c>
      <c r="U250" s="219">
        <f t="shared" si="67"/>
        <v>12.959937248981438</v>
      </c>
      <c r="V250" s="219">
        <f t="shared" si="74"/>
        <v>13.857323328481755</v>
      </c>
      <c r="W250" s="219">
        <f t="shared" si="68"/>
        <v>3.7776838364052283</v>
      </c>
      <c r="X250" s="219">
        <f t="shared" si="69"/>
        <v>4.0392623319191499</v>
      </c>
      <c r="Y250" s="219">
        <f t="shared" si="70"/>
        <v>0</v>
      </c>
      <c r="Z250" s="219">
        <f t="shared" si="71"/>
        <v>0</v>
      </c>
      <c r="AA250" s="232">
        <v>311063542901.078</v>
      </c>
      <c r="AB250" s="239">
        <v>311.06354290107998</v>
      </c>
      <c r="AC250" s="237">
        <v>332602543274.04938</v>
      </c>
      <c r="AD250" s="199">
        <v>332.60254327404999</v>
      </c>
    </row>
    <row r="251" spans="1:30">
      <c r="A251" s="221" t="s">
        <v>531</v>
      </c>
      <c r="B251" s="215" t="s">
        <v>558</v>
      </c>
      <c r="C251" s="218">
        <f t="shared" si="59"/>
        <v>1.5871</v>
      </c>
      <c r="D251" s="224">
        <v>0.435</v>
      </c>
      <c r="E251" s="224">
        <v>1.1520999999999999</v>
      </c>
      <c r="F251" s="224">
        <v>0</v>
      </c>
      <c r="G251" s="220">
        <f t="shared" si="60"/>
        <v>1.3769999999999998</v>
      </c>
      <c r="H251" s="224">
        <v>1.0269999999999999</v>
      </c>
      <c r="I251" s="224">
        <v>0.35</v>
      </c>
      <c r="J251" s="224">
        <v>0</v>
      </c>
      <c r="K251" s="220">
        <f t="shared" si="72"/>
        <v>5.9009523324005393</v>
      </c>
      <c r="L251" s="220">
        <f t="shared" si="72"/>
        <v>3.456862622122669</v>
      </c>
      <c r="M251" s="219">
        <f t="shared" si="61"/>
        <v>1.6173613915911</v>
      </c>
      <c r="N251" s="219">
        <f t="shared" si="62"/>
        <v>0.94747353073112039</v>
      </c>
      <c r="O251" s="219">
        <f t="shared" si="63"/>
        <v>4.2835909408094395</v>
      </c>
      <c r="P251" s="219">
        <f t="shared" si="64"/>
        <v>2.5093890913915486</v>
      </c>
      <c r="Q251" s="219">
        <f t="shared" si="65"/>
        <v>0</v>
      </c>
      <c r="R251" s="219">
        <f t="shared" si="66"/>
        <v>0</v>
      </c>
      <c r="S251" s="220">
        <f t="shared" si="73"/>
        <v>5.1197853706228607</v>
      </c>
      <c r="T251" s="220">
        <f t="shared" si="73"/>
        <v>2.9992437972798909</v>
      </c>
      <c r="U251" s="219">
        <f t="shared" si="67"/>
        <v>3.8184601130208264</v>
      </c>
      <c r="V251" s="219">
        <f t="shared" si="74"/>
        <v>2.236908772553702</v>
      </c>
      <c r="W251" s="219">
        <f t="shared" si="68"/>
        <v>1.3013252576020344</v>
      </c>
      <c r="X251" s="219">
        <f t="shared" si="69"/>
        <v>0.76233502472618875</v>
      </c>
      <c r="Y251" s="219">
        <f t="shared" si="70"/>
        <v>0</v>
      </c>
      <c r="Z251" s="219">
        <f t="shared" si="71"/>
        <v>0</v>
      </c>
      <c r="AA251" s="232">
        <v>45911572818.753304</v>
      </c>
      <c r="AB251" s="239">
        <v>45.911572818750003</v>
      </c>
      <c r="AC251" s="237">
        <v>26895658710.637878</v>
      </c>
      <c r="AD251" s="199">
        <v>26.895658710639999</v>
      </c>
    </row>
    <row r="252" spans="1:30">
      <c r="A252" s="221" t="s">
        <v>447</v>
      </c>
      <c r="B252" s="215" t="s">
        <v>558</v>
      </c>
      <c r="C252" s="218">
        <f t="shared" si="59"/>
        <v>12.896485010704861</v>
      </c>
      <c r="D252" s="224">
        <v>4.6792556233530913</v>
      </c>
      <c r="E252" s="224">
        <v>8.2172293873517699</v>
      </c>
      <c r="F252" s="224">
        <v>0.57064092967720625</v>
      </c>
      <c r="G252" s="220">
        <f t="shared" si="60"/>
        <v>15.293176915349127</v>
      </c>
      <c r="H252" s="224">
        <v>1.3695382312252951</v>
      </c>
      <c r="I252" s="224">
        <v>13.923638684123832</v>
      </c>
      <c r="J252" s="224">
        <v>4.56512743741765</v>
      </c>
      <c r="K252" s="220">
        <f t="shared" si="72"/>
        <v>5.0625243093012413</v>
      </c>
      <c r="L252" s="220">
        <f t="shared" si="72"/>
        <v>5.0789095986528254</v>
      </c>
      <c r="M252" s="219">
        <f t="shared" si="61"/>
        <v>1.8368451033747866</v>
      </c>
      <c r="N252" s="219">
        <f t="shared" si="62"/>
        <v>1.8427902083607597</v>
      </c>
      <c r="O252" s="219">
        <f t="shared" si="63"/>
        <v>3.2256792059264545</v>
      </c>
      <c r="P252" s="219">
        <f t="shared" si="64"/>
        <v>3.2361193902920657</v>
      </c>
      <c r="Q252" s="219">
        <f t="shared" si="65"/>
        <v>0.22400550041155937</v>
      </c>
      <c r="R252" s="219">
        <f t="shared" si="66"/>
        <v>0.22473051321472678</v>
      </c>
      <c r="S252" s="220">
        <f t="shared" si="73"/>
        <v>6.0033474110297904</v>
      </c>
      <c r="T252" s="220">
        <f t="shared" si="73"/>
        <v>6.022777754154677</v>
      </c>
      <c r="U252" s="219">
        <f t="shared" si="67"/>
        <v>0.53761320098774246</v>
      </c>
      <c r="V252" s="219">
        <f t="shared" si="74"/>
        <v>0.53935323171534433</v>
      </c>
      <c r="W252" s="219">
        <f t="shared" si="68"/>
        <v>5.4657342100420481</v>
      </c>
      <c r="X252" s="219">
        <f t="shared" si="69"/>
        <v>5.483424522439333</v>
      </c>
      <c r="Y252" s="219">
        <f t="shared" si="70"/>
        <v>1.7920440032924749</v>
      </c>
      <c r="Z252" s="219">
        <f t="shared" si="71"/>
        <v>1.7978441057178143</v>
      </c>
      <c r="AA252" s="232">
        <v>253922318564.70901</v>
      </c>
      <c r="AB252" s="239">
        <v>253.92231856471</v>
      </c>
      <c r="AC252" s="237">
        <v>254744159687.49991</v>
      </c>
      <c r="AD252" s="199">
        <v>254.7441596875</v>
      </c>
    </row>
    <row r="253" spans="1:30">
      <c r="A253" s="221" t="s">
        <v>532</v>
      </c>
      <c r="B253" s="215" t="s">
        <v>558</v>
      </c>
      <c r="C253" s="218">
        <f t="shared" si="59"/>
        <v>33.097173921277964</v>
      </c>
      <c r="D253" s="224">
        <v>1.55</v>
      </c>
      <c r="E253" s="224">
        <v>31.547173921277963</v>
      </c>
      <c r="F253" s="224">
        <v>1.9401791609025012</v>
      </c>
      <c r="G253" s="220">
        <f t="shared" si="60"/>
        <v>6.9618193420619159</v>
      </c>
      <c r="H253" s="224">
        <v>3.7662301358695611</v>
      </c>
      <c r="I253" s="224">
        <v>3.1955892061923548</v>
      </c>
      <c r="J253" s="224">
        <v>0</v>
      </c>
      <c r="K253" s="220">
        <f t="shared" si="72"/>
        <v>16.231822283669384</v>
      </c>
      <c r="L253" s="220">
        <f t="shared" si="72"/>
        <v>10.975874798305878</v>
      </c>
      <c r="M253" s="219">
        <f t="shared" si="61"/>
        <v>0.76016534219898391</v>
      </c>
      <c r="N253" s="219">
        <f t="shared" si="62"/>
        <v>0.51401989722260888</v>
      </c>
      <c r="O253" s="219">
        <f t="shared" si="63"/>
        <v>15.471656941470401</v>
      </c>
      <c r="P253" s="219">
        <f t="shared" si="64"/>
        <v>10.461854901083269</v>
      </c>
      <c r="Q253" s="219">
        <f t="shared" si="65"/>
        <v>0.95152061662889498</v>
      </c>
      <c r="R253" s="219">
        <f t="shared" si="66"/>
        <v>0.64341335024551694</v>
      </c>
      <c r="S253" s="220">
        <f t="shared" si="73"/>
        <v>3.4142798596683877</v>
      </c>
      <c r="T253" s="220">
        <f t="shared" si="73"/>
        <v>2.3087184920574435</v>
      </c>
      <c r="U253" s="219">
        <f t="shared" si="67"/>
        <v>1.8470694322796195</v>
      </c>
      <c r="V253" s="219">
        <f t="shared" si="74"/>
        <v>1.2489788563589448</v>
      </c>
      <c r="W253" s="219">
        <f t="shared" si="68"/>
        <v>1.5672104273887679</v>
      </c>
      <c r="X253" s="219">
        <f t="shared" si="69"/>
        <v>1.0597396356984985</v>
      </c>
      <c r="Y253" s="219">
        <f t="shared" si="70"/>
        <v>0</v>
      </c>
      <c r="Z253" s="219">
        <f t="shared" si="71"/>
        <v>0</v>
      </c>
      <c r="AA253" s="232">
        <v>301544747270.495</v>
      </c>
      <c r="AB253" s="239">
        <v>301.54474727050001</v>
      </c>
      <c r="AC253" s="237">
        <v>203903008195.06079</v>
      </c>
      <c r="AD253" s="199">
        <v>203.90300819506001</v>
      </c>
    </row>
    <row r="254" spans="1:30">
      <c r="A254" s="221" t="s">
        <v>533</v>
      </c>
      <c r="B254" s="215" t="s">
        <v>558</v>
      </c>
      <c r="C254" s="218">
        <f t="shared" si="59"/>
        <v>2.2042255736459442</v>
      </c>
      <c r="D254" s="224">
        <v>0.12491350018021706</v>
      </c>
      <c r="E254" s="224">
        <v>2.0793120734657271</v>
      </c>
      <c r="F254" s="224">
        <v>7.5320270858253366E-2</v>
      </c>
      <c r="G254" s="220">
        <f t="shared" si="60"/>
        <v>0.23482202091102522</v>
      </c>
      <c r="H254" s="224">
        <v>0</v>
      </c>
      <c r="I254" s="224">
        <v>0.23482202091102522</v>
      </c>
      <c r="J254" s="224">
        <v>0</v>
      </c>
      <c r="K254" s="220">
        <f t="shared" si="72"/>
        <v>10.633022633913349</v>
      </c>
      <c r="L254" s="220">
        <f t="shared" si="72"/>
        <v>11.559122475080704</v>
      </c>
      <c r="M254" s="219">
        <f t="shared" si="61"/>
        <v>0.60257357077145135</v>
      </c>
      <c r="N254" s="219">
        <f t="shared" si="62"/>
        <v>0.65505566428296547</v>
      </c>
      <c r="O254" s="219">
        <f t="shared" si="63"/>
        <v>10.030449063141898</v>
      </c>
      <c r="P254" s="219">
        <f t="shared" si="64"/>
        <v>10.904066810797739</v>
      </c>
      <c r="Q254" s="219">
        <f t="shared" si="65"/>
        <v>0.3633394668874913</v>
      </c>
      <c r="R254" s="219">
        <f t="shared" si="66"/>
        <v>0.39498508960074769</v>
      </c>
      <c r="S254" s="220">
        <f t="shared" si="73"/>
        <v>1.1327642202962966</v>
      </c>
      <c r="T254" s="220">
        <f t="shared" si="73"/>
        <v>1.2314241028729194</v>
      </c>
      <c r="U254" s="219">
        <f t="shared" si="67"/>
        <v>0</v>
      </c>
      <c r="V254" s="219">
        <f t="shared" si="74"/>
        <v>0</v>
      </c>
      <c r="W254" s="219">
        <f t="shared" si="68"/>
        <v>1.1327642202962966</v>
      </c>
      <c r="X254" s="219">
        <f t="shared" si="69"/>
        <v>1.2314241028729194</v>
      </c>
      <c r="Y254" s="219">
        <f t="shared" si="70"/>
        <v>0</v>
      </c>
      <c r="Z254" s="219">
        <f t="shared" si="71"/>
        <v>0</v>
      </c>
      <c r="AA254" s="235">
        <v>19069142821.155399</v>
      </c>
      <c r="AB254" s="239">
        <v>19.06914282116</v>
      </c>
      <c r="AC254" s="237">
        <v>20729999827.29071</v>
      </c>
      <c r="AD254" s="199">
        <v>20.729999827290001</v>
      </c>
    </row>
    <row r="255" spans="1:30">
      <c r="A255" s="221" t="s">
        <v>534</v>
      </c>
      <c r="B255" s="215" t="s">
        <v>558</v>
      </c>
      <c r="C255" s="218">
        <f t="shared" si="59"/>
        <v>49.143596863801008</v>
      </c>
      <c r="D255" s="224">
        <v>5.1357683670948564</v>
      </c>
      <c r="E255" s="224">
        <v>44.007828496706153</v>
      </c>
      <c r="F255" s="224">
        <v>3.309717392127796</v>
      </c>
      <c r="G255" s="220">
        <f t="shared" si="60"/>
        <v>11.412818593544126</v>
      </c>
      <c r="H255" s="224">
        <v>5.7064092967720628</v>
      </c>
      <c r="I255" s="224">
        <v>5.7064092967720628</v>
      </c>
      <c r="J255" s="224">
        <v>0</v>
      </c>
      <c r="K255" s="220">
        <f t="shared" si="72"/>
        <v>13.229613995246758</v>
      </c>
      <c r="L255" s="220">
        <f t="shared" si="72"/>
        <v>11.759914728276369</v>
      </c>
      <c r="M255" s="219">
        <f t="shared" si="61"/>
        <v>1.3825653269533307</v>
      </c>
      <c r="N255" s="219">
        <f t="shared" si="62"/>
        <v>1.2289739033266058</v>
      </c>
      <c r="O255" s="219">
        <f t="shared" si="63"/>
        <v>11.847048668293429</v>
      </c>
      <c r="P255" s="219">
        <f t="shared" si="64"/>
        <v>10.530940824949763</v>
      </c>
      <c r="Q255" s="219">
        <f t="shared" si="65"/>
        <v>0.89098654403659061</v>
      </c>
      <c r="R255" s="219">
        <f t="shared" si="66"/>
        <v>0.79200540436603495</v>
      </c>
      <c r="S255" s="220">
        <f t="shared" si="73"/>
        <v>3.0723673932296238</v>
      </c>
      <c r="T255" s="220">
        <f t="shared" si="73"/>
        <v>2.7310531185035689</v>
      </c>
      <c r="U255" s="219">
        <f t="shared" si="67"/>
        <v>1.5361836966148119</v>
      </c>
      <c r="V255" s="219">
        <f t="shared" si="74"/>
        <v>1.3655265592517845</v>
      </c>
      <c r="W255" s="219">
        <f t="shared" si="68"/>
        <v>1.5361836966148119</v>
      </c>
      <c r="X255" s="219">
        <f t="shared" si="69"/>
        <v>1.3655265592517845</v>
      </c>
      <c r="Y255" s="219">
        <f t="shared" si="70"/>
        <v>0</v>
      </c>
      <c r="Z255" s="219">
        <f t="shared" si="71"/>
        <v>0</v>
      </c>
      <c r="AA255" s="235">
        <v>417890758558.284</v>
      </c>
      <c r="AB255" s="239">
        <v>417.89075855828003</v>
      </c>
      <c r="AC255" s="237">
        <v>371466596693.27911</v>
      </c>
      <c r="AD255" s="199">
        <v>371.46659669328</v>
      </c>
    </row>
    <row r="256" spans="1:30">
      <c r="A256" s="221" t="s">
        <v>535</v>
      </c>
      <c r="B256" s="215" t="s">
        <v>558</v>
      </c>
      <c r="C256" s="218">
        <f t="shared" si="59"/>
        <v>42.9</v>
      </c>
      <c r="D256" s="224">
        <v>9.4</v>
      </c>
      <c r="E256" s="224">
        <v>33.5</v>
      </c>
      <c r="F256" s="224">
        <v>2.1</v>
      </c>
      <c r="G256" s="220">
        <f t="shared" si="60"/>
        <v>15.3</v>
      </c>
      <c r="H256" s="224">
        <v>2</v>
      </c>
      <c r="I256" s="224">
        <v>13.3</v>
      </c>
      <c r="J256" s="224">
        <v>0</v>
      </c>
      <c r="K256" s="220">
        <f t="shared" si="72"/>
        <v>11.967854085033959</v>
      </c>
      <c r="L256" s="220">
        <f t="shared" si="72"/>
        <v>12.529326022886549</v>
      </c>
      <c r="M256" s="219">
        <f t="shared" si="61"/>
        <v>2.6223270023151333</v>
      </c>
      <c r="N256" s="219">
        <f t="shared" si="62"/>
        <v>2.7453534875322507</v>
      </c>
      <c r="O256" s="219">
        <f t="shared" si="63"/>
        <v>9.3455270827188262</v>
      </c>
      <c r="P256" s="219">
        <f t="shared" si="64"/>
        <v>9.7839725353542981</v>
      </c>
      <c r="Q256" s="219">
        <f t="shared" si="65"/>
        <v>0.5858390111555084</v>
      </c>
      <c r="R256" s="219">
        <f t="shared" si="66"/>
        <v>0.61332365146997092</v>
      </c>
      <c r="S256" s="220">
        <f t="shared" si="73"/>
        <v>4.2682556527044184</v>
      </c>
      <c r="T256" s="220">
        <f t="shared" si="73"/>
        <v>4.4685008892812164</v>
      </c>
      <c r="U256" s="219">
        <f t="shared" si="67"/>
        <v>0.55794191538619853</v>
      </c>
      <c r="V256" s="219">
        <f t="shared" si="74"/>
        <v>0.58411776330473419</v>
      </c>
      <c r="W256" s="219">
        <f t="shared" si="68"/>
        <v>3.71031373731822</v>
      </c>
      <c r="X256" s="219">
        <f t="shared" si="69"/>
        <v>3.8843831259764823</v>
      </c>
      <c r="Y256" s="219">
        <f t="shared" si="70"/>
        <v>0</v>
      </c>
      <c r="Z256" s="219">
        <f t="shared" si="71"/>
        <v>0</v>
      </c>
      <c r="AA256" s="235">
        <v>342396709301.34399</v>
      </c>
      <c r="AB256" s="239">
        <v>342.39670930134002</v>
      </c>
      <c r="AC256" s="237">
        <v>358460252733.58807</v>
      </c>
      <c r="AD256" s="199">
        <v>358.46025273358998</v>
      </c>
    </row>
    <row r="257" spans="1:30">
      <c r="A257" s="222" t="s">
        <v>536</v>
      </c>
      <c r="B257" s="215" t="s">
        <v>558</v>
      </c>
      <c r="C257" s="218">
        <f t="shared" si="59"/>
        <v>3.5487068625075562</v>
      </c>
      <c r="D257" s="224">
        <v>0.67911263411214207</v>
      </c>
      <c r="E257" s="224">
        <v>2.8695942283954139</v>
      </c>
      <c r="F257" s="224">
        <v>0</v>
      </c>
      <c r="G257" s="220">
        <f t="shared" si="60"/>
        <v>0.66956733254859557</v>
      </c>
      <c r="H257" s="224">
        <v>0.26782693301943822</v>
      </c>
      <c r="I257" s="224">
        <v>0.4017403995291573</v>
      </c>
      <c r="J257" s="224">
        <v>0</v>
      </c>
      <c r="K257" s="220">
        <f t="shared" si="72"/>
        <v>11.766239194164664</v>
      </c>
      <c r="L257" s="220">
        <f t="shared" si="72"/>
        <v>6.402997187889178</v>
      </c>
      <c r="M257" s="219">
        <f t="shared" si="61"/>
        <v>2.2516939274878407</v>
      </c>
      <c r="N257" s="219">
        <f t="shared" si="62"/>
        <v>1.2253354404729446</v>
      </c>
      <c r="O257" s="219">
        <f t="shared" si="63"/>
        <v>9.5145452666768229</v>
      </c>
      <c r="P257" s="219">
        <f t="shared" si="64"/>
        <v>5.1776617474162334</v>
      </c>
      <c r="Q257" s="219">
        <f t="shared" si="65"/>
        <v>0</v>
      </c>
      <c r="R257" s="219">
        <f t="shared" si="66"/>
        <v>0</v>
      </c>
      <c r="S257" s="220">
        <f t="shared" si="73"/>
        <v>2.2200451309744649</v>
      </c>
      <c r="T257" s="220">
        <f t="shared" si="73"/>
        <v>1.2081126769602224</v>
      </c>
      <c r="U257" s="219">
        <f t="shared" si="67"/>
        <v>0.88801805238978604</v>
      </c>
      <c r="V257" s="219">
        <f t="shared" si="74"/>
        <v>0.48324507078408896</v>
      </c>
      <c r="W257" s="219">
        <f t="shared" si="68"/>
        <v>1.3320270785846788</v>
      </c>
      <c r="X257" s="219">
        <f t="shared" si="69"/>
        <v>0.72486760617613333</v>
      </c>
      <c r="Y257" s="219">
        <f t="shared" si="70"/>
        <v>0</v>
      </c>
      <c r="Z257" s="219">
        <f t="shared" si="71"/>
        <v>0</v>
      </c>
      <c r="AA257" s="236">
        <v>55422589740</v>
      </c>
      <c r="AB257" s="240">
        <v>55.422589739999999</v>
      </c>
      <c r="AC257" s="237">
        <v>30160077523.05077</v>
      </c>
      <c r="AD257" s="199">
        <v>30.160077523049999</v>
      </c>
    </row>
    <row r="258" spans="1:30">
      <c r="A258" s="221" t="s">
        <v>537</v>
      </c>
      <c r="B258" s="215" t="s">
        <v>558</v>
      </c>
      <c r="C258" s="218">
        <f t="shared" si="59"/>
        <v>4.4000000000000004</v>
      </c>
      <c r="D258" s="224">
        <v>1.1000000000000001</v>
      </c>
      <c r="E258" s="224">
        <v>3.3000000000000003</v>
      </c>
      <c r="F258" s="224">
        <v>1.6</v>
      </c>
      <c r="G258" s="220">
        <f t="shared" si="60"/>
        <v>1.5749689659090893</v>
      </c>
      <c r="H258" s="224">
        <v>0.43368710655467674</v>
      </c>
      <c r="I258" s="224">
        <v>1.1412818593544125</v>
      </c>
      <c r="J258" s="224">
        <v>0</v>
      </c>
      <c r="K258" s="220">
        <f t="shared" si="72"/>
        <v>9.1254560112856833</v>
      </c>
      <c r="L258" s="220">
        <f t="shared" si="72"/>
        <v>4.5297280900149497</v>
      </c>
      <c r="M258" s="219">
        <f t="shared" si="61"/>
        <v>2.2813640028214208</v>
      </c>
      <c r="N258" s="219">
        <f t="shared" si="62"/>
        <v>1.1324320225037374</v>
      </c>
      <c r="O258" s="219">
        <f t="shared" si="63"/>
        <v>6.8440920084642629</v>
      </c>
      <c r="P258" s="219">
        <f t="shared" si="64"/>
        <v>3.397296067511212</v>
      </c>
      <c r="Q258" s="219">
        <f t="shared" si="65"/>
        <v>3.3183476404675214</v>
      </c>
      <c r="R258" s="219">
        <f t="shared" si="66"/>
        <v>1.6471738509145271</v>
      </c>
      <c r="S258" s="220">
        <f t="shared" si="73"/>
        <v>3.2664340948962485</v>
      </c>
      <c r="T258" s="220">
        <f t="shared" si="73"/>
        <v>1.6214048104045906</v>
      </c>
      <c r="U258" s="219">
        <f t="shared" si="67"/>
        <v>0.89945286671056124</v>
      </c>
      <c r="V258" s="219">
        <f t="shared" si="74"/>
        <v>0.44647378837227858</v>
      </c>
      <c r="W258" s="219">
        <f t="shared" si="68"/>
        <v>2.3669812281856872</v>
      </c>
      <c r="X258" s="219">
        <f t="shared" si="69"/>
        <v>1.1749310220323121</v>
      </c>
      <c r="Y258" s="219">
        <f t="shared" si="70"/>
        <v>0</v>
      </c>
      <c r="Z258" s="219">
        <f t="shared" si="71"/>
        <v>0</v>
      </c>
      <c r="AA258" s="235">
        <v>97136073348.399506</v>
      </c>
      <c r="AB258" s="239">
        <v>97.136073348400004</v>
      </c>
      <c r="AC258" s="237">
        <v>48216768505.137871</v>
      </c>
      <c r="AD258" s="199">
        <v>48.216768505140003</v>
      </c>
    </row>
    <row r="259" spans="1:30">
      <c r="A259" s="221" t="s">
        <v>538</v>
      </c>
      <c r="B259" s="215" t="s">
        <v>558</v>
      </c>
      <c r="C259" s="218">
        <f t="shared" si="59"/>
        <v>3.0814610202569139</v>
      </c>
      <c r="D259" s="224">
        <v>0.34238455780632376</v>
      </c>
      <c r="E259" s="224">
        <v>2.7390764624505901</v>
      </c>
      <c r="F259" s="224">
        <v>5.2384837344367536</v>
      </c>
      <c r="G259" s="220">
        <f t="shared" si="60"/>
        <v>3.3097173921277965</v>
      </c>
      <c r="H259" s="224">
        <v>0.45651274374176504</v>
      </c>
      <c r="I259" s="224">
        <v>2.8532046483860314</v>
      </c>
      <c r="J259" s="224">
        <v>1.0157408548254272</v>
      </c>
      <c r="K259" s="220">
        <f t="shared" si="72"/>
        <v>4.6297730687428773</v>
      </c>
      <c r="L259" s="220">
        <f t="shared" si="72"/>
        <v>4.6447078336746168</v>
      </c>
      <c r="M259" s="219">
        <f t="shared" si="61"/>
        <v>0.51441922986031974</v>
      </c>
      <c r="N259" s="219">
        <f t="shared" si="62"/>
        <v>0.51607864818606852</v>
      </c>
      <c r="O259" s="219">
        <f t="shared" si="63"/>
        <v>4.1153538388825579</v>
      </c>
      <c r="P259" s="219">
        <f t="shared" si="64"/>
        <v>4.1286291854885482</v>
      </c>
      <c r="Q259" s="219">
        <f t="shared" si="65"/>
        <v>7.870614216862891</v>
      </c>
      <c r="R259" s="219">
        <f t="shared" si="66"/>
        <v>7.8960033172468469</v>
      </c>
      <c r="S259" s="220">
        <f t="shared" si="73"/>
        <v>4.9727192219830911</v>
      </c>
      <c r="T259" s="220">
        <f t="shared" si="73"/>
        <v>4.9887602657986614</v>
      </c>
      <c r="U259" s="219">
        <f t="shared" si="67"/>
        <v>0.68589230648042632</v>
      </c>
      <c r="V259" s="219">
        <f t="shared" si="74"/>
        <v>0.68810486424809125</v>
      </c>
      <c r="W259" s="219">
        <f t="shared" si="68"/>
        <v>4.2868269155026644</v>
      </c>
      <c r="X259" s="219">
        <f t="shared" si="69"/>
        <v>4.3006554015505705</v>
      </c>
      <c r="Y259" s="219">
        <f t="shared" si="70"/>
        <v>1.5261103819189485</v>
      </c>
      <c r="Z259" s="219">
        <f t="shared" si="71"/>
        <v>1.531033322952003</v>
      </c>
      <c r="AA259" s="232">
        <v>66343484468.839996</v>
      </c>
      <c r="AB259" s="239">
        <v>66.343484468840003</v>
      </c>
      <c r="AC259" s="237">
        <v>66557495896.737839</v>
      </c>
      <c r="AD259" s="199">
        <v>66.557495896739994</v>
      </c>
    </row>
    <row r="260" spans="1:30">
      <c r="A260" s="221" t="s">
        <v>452</v>
      </c>
      <c r="B260" s="215" t="s">
        <v>558</v>
      </c>
      <c r="C260" s="218">
        <f t="shared" si="59"/>
        <v>93.92749702486816</v>
      </c>
      <c r="D260" s="224">
        <v>18.94527886528325</v>
      </c>
      <c r="E260" s="224">
        <v>74.982218159584903</v>
      </c>
      <c r="F260" s="224">
        <v>13.124741382575744</v>
      </c>
      <c r="G260" s="220">
        <f t="shared" si="60"/>
        <v>39.716608705533552</v>
      </c>
      <c r="H260" s="224">
        <v>0</v>
      </c>
      <c r="I260" s="224">
        <v>39.716608705533552</v>
      </c>
      <c r="J260" s="224">
        <v>0</v>
      </c>
      <c r="K260" s="220">
        <f t="shared" si="72"/>
        <v>11.178512242483428</v>
      </c>
      <c r="L260" s="220">
        <f t="shared" si="72"/>
        <v>10.073297291469261</v>
      </c>
      <c r="M260" s="219">
        <f t="shared" si="61"/>
        <v>2.2547181436843853</v>
      </c>
      <c r="N260" s="219">
        <f t="shared" si="62"/>
        <v>2.0317950794458048</v>
      </c>
      <c r="O260" s="219">
        <f t="shared" si="63"/>
        <v>8.9237940987990427</v>
      </c>
      <c r="P260" s="219">
        <f t="shared" si="64"/>
        <v>8.0415022120234561</v>
      </c>
      <c r="Q260" s="219">
        <f t="shared" si="65"/>
        <v>1.562003533275327</v>
      </c>
      <c r="R260" s="219">
        <f t="shared" si="66"/>
        <v>1.4075688803389612</v>
      </c>
      <c r="S260" s="220">
        <f t="shared" si="73"/>
        <v>4.7267585180853366</v>
      </c>
      <c r="T260" s="220">
        <f t="shared" si="73"/>
        <v>4.2594258291996381</v>
      </c>
      <c r="U260" s="219">
        <f t="shared" si="67"/>
        <v>0</v>
      </c>
      <c r="V260" s="219">
        <f t="shared" si="74"/>
        <v>0</v>
      </c>
      <c r="W260" s="219">
        <f t="shared" si="68"/>
        <v>4.7267585180853366</v>
      </c>
      <c r="X260" s="219">
        <f t="shared" si="69"/>
        <v>4.2594258291996381</v>
      </c>
      <c r="Y260" s="219">
        <f t="shared" si="70"/>
        <v>0</v>
      </c>
      <c r="Z260" s="219">
        <f t="shared" si="71"/>
        <v>0</v>
      </c>
      <c r="AA260" s="232">
        <v>932440434418.74902</v>
      </c>
      <c r="AB260" s="239">
        <v>932.44043441874999</v>
      </c>
      <c r="AC260" s="237">
        <v>840250428566.88171</v>
      </c>
      <c r="AD260" s="199">
        <v>840.25042856688003</v>
      </c>
    </row>
    <row r="261" spans="1:30">
      <c r="A261" s="221" t="s">
        <v>465</v>
      </c>
      <c r="B261" s="215" t="s">
        <v>558</v>
      </c>
      <c r="C261" s="218">
        <f>D261+E261</f>
        <v>40.366333649903929</v>
      </c>
      <c r="D261" s="224">
        <v>3.3151095268037039</v>
      </c>
      <c r="E261" s="224">
        <v>37.051224123100226</v>
      </c>
      <c r="F261" s="224">
        <v>0</v>
      </c>
      <c r="G261" s="220">
        <f t="shared" si="60"/>
        <v>4.0951352978163404</v>
      </c>
      <c r="H261" s="224">
        <v>2.2100730178691359</v>
      </c>
      <c r="I261" s="224">
        <v>1.8850622799472043</v>
      </c>
      <c r="J261" s="224">
        <v>0</v>
      </c>
      <c r="K261" s="220">
        <f t="shared" si="72"/>
        <v>19.890861906826895</v>
      </c>
      <c r="L261" s="220">
        <f t="shared" si="72"/>
        <v>20.810198388109878</v>
      </c>
      <c r="M261" s="219">
        <f t="shared" si="61"/>
        <v>1.6335490454881987</v>
      </c>
      <c r="N261" s="219">
        <f t="shared" si="62"/>
        <v>1.7090501091684438</v>
      </c>
      <c r="O261" s="219">
        <f t="shared" si="63"/>
        <v>18.257312861338697</v>
      </c>
      <c r="P261" s="219">
        <f t="shared" si="64"/>
        <v>19.101148278941434</v>
      </c>
      <c r="Q261" s="219">
        <f t="shared" si="65"/>
        <v>0</v>
      </c>
      <c r="R261" s="219">
        <f t="shared" si="66"/>
        <v>0</v>
      </c>
      <c r="S261" s="220">
        <f t="shared" si="73"/>
        <v>2.0179135267795401</v>
      </c>
      <c r="T261" s="220">
        <f t="shared" si="73"/>
        <v>2.1111795466198426</v>
      </c>
      <c r="U261" s="219">
        <f t="shared" si="67"/>
        <v>1.0890326969921327</v>
      </c>
      <c r="V261" s="219">
        <f t="shared" si="74"/>
        <v>1.1393667394456293</v>
      </c>
      <c r="W261" s="219">
        <f t="shared" si="68"/>
        <v>0.92888082978740716</v>
      </c>
      <c r="X261" s="219">
        <f t="shared" si="69"/>
        <v>0.97181280717421326</v>
      </c>
      <c r="Y261" s="219">
        <f t="shared" si="70"/>
        <v>0</v>
      </c>
      <c r="Z261" s="219">
        <f t="shared" si="71"/>
        <v>0</v>
      </c>
      <c r="AA261" s="232">
        <v>193973805040.548</v>
      </c>
      <c r="AB261" s="239">
        <v>193.97380504054999</v>
      </c>
      <c r="AC261" s="237">
        <v>202939087501.52551</v>
      </c>
      <c r="AD261" s="199">
        <v>202.93908750153</v>
      </c>
    </row>
    <row r="262" spans="1:30">
      <c r="A262" s="221" t="s">
        <v>451</v>
      </c>
      <c r="B262" s="215" t="s">
        <v>558</v>
      </c>
      <c r="C262" s="218">
        <f t="shared" ref="C262:C272" si="75">D262+E262</f>
        <v>23.917160810691193</v>
      </c>
      <c r="D262" s="224">
        <v>2.6232409947782966</v>
      </c>
      <c r="E262" s="224">
        <v>21.293919815912897</v>
      </c>
      <c r="F262" s="224">
        <v>0</v>
      </c>
      <c r="G262" s="220">
        <f t="shared" ref="G262:G272" si="76">H262+I262</f>
        <v>14.603062217895378</v>
      </c>
      <c r="H262" s="224">
        <v>6.3191432870165452</v>
      </c>
      <c r="I262" s="224">
        <v>8.2839189308788317</v>
      </c>
      <c r="J262" s="224">
        <v>0</v>
      </c>
      <c r="K262" s="220">
        <f t="shared" si="72"/>
        <v>5.8299085115697995</v>
      </c>
      <c r="L262" s="220">
        <f t="shared" si="72"/>
        <v>7.2376613497197813</v>
      </c>
      <c r="M262" s="219">
        <f t="shared" ref="M262:M272" si="77">($D262/$AD262)*100</f>
        <v>0.63942602236134116</v>
      </c>
      <c r="N262" s="219">
        <f t="shared" ref="N262:N272" si="78">($D262/$AB262)*100</f>
        <v>0.79382875372148565</v>
      </c>
      <c r="O262" s="219">
        <f t="shared" ref="O262:O272" si="79">($E262/$AD262)*100</f>
        <v>5.190482489208458</v>
      </c>
      <c r="P262" s="219">
        <f t="shared" ref="P262:P272" si="80">($E262/$AB262)*100</f>
        <v>6.4438325959982956</v>
      </c>
      <c r="Q262" s="219">
        <f t="shared" ref="Q262:Q272" si="81">($F262/$AD262)*100</f>
        <v>0</v>
      </c>
      <c r="R262" s="219">
        <f t="shared" ref="R262:R272" si="82">($F262/$AB262)*100</f>
        <v>0</v>
      </c>
      <c r="S262" s="220">
        <f t="shared" si="73"/>
        <v>3.5595578167888426</v>
      </c>
      <c r="T262" s="220">
        <f t="shared" si="73"/>
        <v>4.419087191769405</v>
      </c>
      <c r="U262" s="219">
        <f t="shared" ref="U262:U272" si="83">($H262/$AD262)*100</f>
        <v>1.5403177461740809</v>
      </c>
      <c r="V262" s="219">
        <f t="shared" si="74"/>
        <v>1.9122595484383971</v>
      </c>
      <c r="W262" s="219">
        <f t="shared" ref="W262:W272" si="84">($I262/$AD262)*100</f>
        <v>2.0192400706147615</v>
      </c>
      <c r="X262" s="219">
        <f t="shared" ref="X262:X272" si="85">($I262/$AB262)*100</f>
        <v>2.5068276433310075</v>
      </c>
      <c r="Y262" s="219">
        <f t="shared" ref="Y262:Y272" si="86">($J262/$AD262)*100</f>
        <v>0</v>
      </c>
      <c r="Z262" s="219">
        <f t="shared" ref="Z262:Z272" si="87">($J262/$AB262)*100</f>
        <v>0</v>
      </c>
      <c r="AA262" s="232">
        <v>330454267684.37299</v>
      </c>
      <c r="AB262" s="239">
        <v>330.45426768437</v>
      </c>
      <c r="AC262" s="237">
        <v>410249333471.11688</v>
      </c>
      <c r="AD262" s="199">
        <v>410.24933347112</v>
      </c>
    </row>
    <row r="263" spans="1:30">
      <c r="A263" s="221" t="s">
        <v>539</v>
      </c>
      <c r="B263" s="215" t="s">
        <v>558</v>
      </c>
      <c r="C263" s="218">
        <f t="shared" si="75"/>
        <v>13.809510498188393</v>
      </c>
      <c r="D263" s="224">
        <v>2.5108200905797076</v>
      </c>
      <c r="E263" s="224">
        <v>11.298690407608685</v>
      </c>
      <c r="F263" s="224">
        <v>1.2554100452898538</v>
      </c>
      <c r="G263" s="220">
        <f t="shared" si="76"/>
        <v>13.124741382575744</v>
      </c>
      <c r="H263" s="224">
        <v>0</v>
      </c>
      <c r="I263" s="224">
        <v>13.124741382575744</v>
      </c>
      <c r="J263" s="224">
        <v>0</v>
      </c>
      <c r="K263" s="220">
        <f t="shared" si="72"/>
        <v>6.2103627486341448</v>
      </c>
      <c r="L263" s="220">
        <f t="shared" si="72"/>
        <v>4.0471471165182482</v>
      </c>
      <c r="M263" s="219">
        <f t="shared" si="77"/>
        <v>1.1291568633880262</v>
      </c>
      <c r="N263" s="219">
        <f t="shared" si="78"/>
        <v>0.73584493027604503</v>
      </c>
      <c r="O263" s="219">
        <f t="shared" si="79"/>
        <v>5.0812058852461188</v>
      </c>
      <c r="P263" s="219">
        <f t="shared" si="80"/>
        <v>3.311302186242203</v>
      </c>
      <c r="Q263" s="219">
        <f t="shared" si="81"/>
        <v>0.56457843169401312</v>
      </c>
      <c r="R263" s="219">
        <f t="shared" si="82"/>
        <v>0.36792246513802251</v>
      </c>
      <c r="S263" s="220">
        <f t="shared" si="73"/>
        <v>5.9024108768010466</v>
      </c>
      <c r="T263" s="220">
        <f t="shared" si="73"/>
        <v>3.8464621355338715</v>
      </c>
      <c r="U263" s="219">
        <f t="shared" si="83"/>
        <v>0</v>
      </c>
      <c r="V263" s="219">
        <f t="shared" si="74"/>
        <v>0</v>
      </c>
      <c r="W263" s="219">
        <f t="shared" si="84"/>
        <v>5.9024108768010466</v>
      </c>
      <c r="X263" s="219">
        <f t="shared" si="85"/>
        <v>3.8464621355338715</v>
      </c>
      <c r="Y263" s="219">
        <f t="shared" si="86"/>
        <v>0</v>
      </c>
      <c r="Z263" s="219">
        <f t="shared" si="87"/>
        <v>0</v>
      </c>
      <c r="AA263" s="232">
        <v>341215925702.96198</v>
      </c>
      <c r="AB263" s="239">
        <v>341.21592570296002</v>
      </c>
      <c r="AC263" s="237">
        <v>222362381347.61981</v>
      </c>
      <c r="AD263" s="199">
        <v>222.36238134761999</v>
      </c>
    </row>
    <row r="264" spans="1:30">
      <c r="A264" s="221" t="s">
        <v>540</v>
      </c>
      <c r="B264" s="215" t="s">
        <v>558</v>
      </c>
      <c r="C264" s="218">
        <f t="shared" si="75"/>
        <v>6.3</v>
      </c>
      <c r="D264" s="224">
        <v>1.3</v>
      </c>
      <c r="E264" s="224">
        <v>5</v>
      </c>
      <c r="F264" s="224">
        <v>0.6006120601465349</v>
      </c>
      <c r="G264" s="220">
        <f t="shared" si="76"/>
        <v>1.8</v>
      </c>
      <c r="H264" s="224">
        <v>0</v>
      </c>
      <c r="I264" s="224">
        <v>1.8</v>
      </c>
      <c r="J264" s="224">
        <v>0</v>
      </c>
      <c r="K264" s="220">
        <f t="shared" si="72"/>
        <v>6.3323544575431603</v>
      </c>
      <c r="L264" s="220">
        <f t="shared" si="72"/>
        <v>3.4670296316850679</v>
      </c>
      <c r="M264" s="219">
        <f t="shared" si="77"/>
        <v>1.3066763166358901</v>
      </c>
      <c r="N264" s="219">
        <f t="shared" si="78"/>
        <v>0.71541881288739506</v>
      </c>
      <c r="O264" s="219">
        <f t="shared" si="79"/>
        <v>5.0256781409072699</v>
      </c>
      <c r="P264" s="219">
        <f t="shared" si="80"/>
        <v>2.7516108187976727</v>
      </c>
      <c r="Q264" s="219">
        <f t="shared" si="81"/>
        <v>0.60369658036874452</v>
      </c>
      <c r="R264" s="219">
        <f t="shared" si="82"/>
        <v>0.33053012851991281</v>
      </c>
      <c r="S264" s="220">
        <f t="shared" si="73"/>
        <v>1.8092441307266172</v>
      </c>
      <c r="T264" s="220">
        <f t="shared" si="73"/>
        <v>0.99057989476716235</v>
      </c>
      <c r="U264" s="219">
        <f t="shared" si="83"/>
        <v>0</v>
      </c>
      <c r="V264" s="219">
        <f t="shared" si="74"/>
        <v>0</v>
      </c>
      <c r="W264" s="219">
        <f t="shared" si="84"/>
        <v>1.8092441307266172</v>
      </c>
      <c r="X264" s="219">
        <f t="shared" si="85"/>
        <v>0.99057989476716235</v>
      </c>
      <c r="Y264" s="219">
        <f t="shared" si="86"/>
        <v>0</v>
      </c>
      <c r="Z264" s="219">
        <f t="shared" si="87"/>
        <v>0</v>
      </c>
      <c r="AA264" s="232">
        <v>181711743748.14999</v>
      </c>
      <c r="AB264" s="239">
        <v>181.71174374815001</v>
      </c>
      <c r="AC264" s="237">
        <v>99489061173.693314</v>
      </c>
      <c r="AD264" s="199">
        <v>99.489061173690004</v>
      </c>
    </row>
    <row r="265" spans="1:30">
      <c r="A265" s="221" t="s">
        <v>541</v>
      </c>
      <c r="B265" s="215" t="s">
        <v>558</v>
      </c>
      <c r="C265" s="218">
        <f t="shared" si="75"/>
        <v>5.2</v>
      </c>
      <c r="D265" s="224">
        <v>0.4</v>
      </c>
      <c r="E265" s="224">
        <v>4.8</v>
      </c>
      <c r="F265" s="224">
        <v>0.47399999999999998</v>
      </c>
      <c r="G265" s="220">
        <f t="shared" si="76"/>
        <v>3.5</v>
      </c>
      <c r="H265" s="224">
        <v>1</v>
      </c>
      <c r="I265" s="224">
        <v>2.5</v>
      </c>
      <c r="J265" s="224">
        <v>0</v>
      </c>
      <c r="K265" s="220">
        <f t="shared" si="72"/>
        <v>10.313781381738993</v>
      </c>
      <c r="L265" s="220">
        <f t="shared" si="72"/>
        <v>6.8387429344058681</v>
      </c>
      <c r="M265" s="219">
        <f t="shared" si="77"/>
        <v>0.79336779859530726</v>
      </c>
      <c r="N265" s="219">
        <f t="shared" si="78"/>
        <v>0.5260571488004514</v>
      </c>
      <c r="O265" s="219">
        <f t="shared" si="79"/>
        <v>9.5204135831436858</v>
      </c>
      <c r="P265" s="219">
        <f t="shared" si="80"/>
        <v>6.3126857856054164</v>
      </c>
      <c r="Q265" s="219">
        <f t="shared" si="81"/>
        <v>0.94014084133543885</v>
      </c>
      <c r="R265" s="219">
        <f t="shared" si="82"/>
        <v>0.62337772132853486</v>
      </c>
      <c r="S265" s="220">
        <f t="shared" si="73"/>
        <v>6.9419682377089371</v>
      </c>
      <c r="T265" s="220">
        <f t="shared" si="73"/>
        <v>4.6030000520039493</v>
      </c>
      <c r="U265" s="219">
        <f t="shared" si="83"/>
        <v>1.9834194964882681</v>
      </c>
      <c r="V265" s="219">
        <f t="shared" si="74"/>
        <v>1.3151428720011284</v>
      </c>
      <c r="W265" s="219">
        <f t="shared" si="84"/>
        <v>4.9585487412206692</v>
      </c>
      <c r="X265" s="219">
        <f t="shared" si="85"/>
        <v>3.2878571800028213</v>
      </c>
      <c r="Y265" s="219">
        <f t="shared" si="86"/>
        <v>0</v>
      </c>
      <c r="Z265" s="219">
        <f t="shared" si="87"/>
        <v>0</v>
      </c>
      <c r="AA265" s="232">
        <v>76037366075.546799</v>
      </c>
      <c r="AB265" s="239">
        <v>76.037366075549997</v>
      </c>
      <c r="AC265" s="237">
        <v>50417977728.390221</v>
      </c>
      <c r="AD265" s="199">
        <v>50.417977728389999</v>
      </c>
    </row>
    <row r="266" spans="1:30">
      <c r="A266" s="221" t="s">
        <v>450</v>
      </c>
      <c r="B266" s="215" t="s">
        <v>558</v>
      </c>
      <c r="C266" s="218">
        <f t="shared" si="75"/>
        <v>22.474815922163589</v>
      </c>
      <c r="D266" s="224">
        <v>4.125811618561432</v>
      </c>
      <c r="E266" s="224">
        <v>18.349004303602158</v>
      </c>
      <c r="F266" s="224">
        <v>36.372286637317892</v>
      </c>
      <c r="G266" s="220">
        <f t="shared" si="76"/>
        <v>28.413813173092809</v>
      </c>
      <c r="H266" s="224">
        <v>1.2703156825570725</v>
      </c>
      <c r="I266" s="224">
        <v>27.143497490535736</v>
      </c>
      <c r="J266" s="224">
        <v>0</v>
      </c>
      <c r="K266" s="220">
        <f t="shared" si="72"/>
        <v>4.087658419220789</v>
      </c>
      <c r="L266" s="220">
        <f t="shared" si="72"/>
        <v>4.3137470638911193</v>
      </c>
      <c r="M266" s="219">
        <f t="shared" si="77"/>
        <v>0.75039140062990328</v>
      </c>
      <c r="N266" s="219">
        <f t="shared" si="78"/>
        <v>0.79189559626986727</v>
      </c>
      <c r="O266" s="219">
        <f t="shared" si="79"/>
        <v>3.3372670185908859</v>
      </c>
      <c r="P266" s="219">
        <f t="shared" si="80"/>
        <v>3.5218514676212522</v>
      </c>
      <c r="Q266" s="219">
        <f t="shared" si="81"/>
        <v>6.6152926108162537</v>
      </c>
      <c r="R266" s="219">
        <f t="shared" si="82"/>
        <v>6.9811848618527783</v>
      </c>
      <c r="S266" s="220">
        <f t="shared" si="73"/>
        <v>5.1678270932854131</v>
      </c>
      <c r="T266" s="220">
        <f t="shared" si="73"/>
        <v>5.4536599353637971</v>
      </c>
      <c r="U266" s="219">
        <f t="shared" si="83"/>
        <v>0.23104156282552288</v>
      </c>
      <c r="V266" s="219">
        <f t="shared" si="74"/>
        <v>0.24382048621993282</v>
      </c>
      <c r="W266" s="219">
        <f t="shared" si="84"/>
        <v>4.9367855304598907</v>
      </c>
      <c r="X266" s="219">
        <f t="shared" si="85"/>
        <v>5.209839449143864</v>
      </c>
      <c r="Y266" s="219">
        <f t="shared" si="86"/>
        <v>0</v>
      </c>
      <c r="Z266" s="219">
        <f t="shared" si="87"/>
        <v>0</v>
      </c>
      <c r="AA266" s="232">
        <v>521004490742.91901</v>
      </c>
      <c r="AB266" s="239">
        <v>521.00449074291998</v>
      </c>
      <c r="AC266" s="237">
        <v>549821281946.73523</v>
      </c>
      <c r="AD266" s="199">
        <v>549.82128194673999</v>
      </c>
    </row>
    <row r="267" spans="1:30">
      <c r="A267" s="221" t="s">
        <v>453</v>
      </c>
      <c r="B267" s="215" t="s">
        <v>558</v>
      </c>
      <c r="C267" s="218">
        <f t="shared" si="75"/>
        <v>59.481808256628398</v>
      </c>
      <c r="D267" s="224">
        <v>7.6892624776985965</v>
      </c>
      <c r="E267" s="224">
        <v>51.792545778929799</v>
      </c>
      <c r="F267" s="224">
        <v>0</v>
      </c>
      <c r="G267" s="220">
        <f t="shared" si="76"/>
        <v>46.733119713121745</v>
      </c>
      <c r="H267" s="224">
        <v>1.1716565626081807</v>
      </c>
      <c r="I267" s="224">
        <v>45.561463150513568</v>
      </c>
      <c r="J267" s="224">
        <v>0</v>
      </c>
      <c r="K267" s="220">
        <f t="shared" si="72"/>
        <v>7.96158872775273</v>
      </c>
      <c r="L267" s="220">
        <f t="shared" si="72"/>
        <v>10.067768594848534</v>
      </c>
      <c r="M267" s="219">
        <f t="shared" si="77"/>
        <v>1.0292011500903759</v>
      </c>
      <c r="N267" s="219">
        <f t="shared" si="78"/>
        <v>1.301468760944982</v>
      </c>
      <c r="O267" s="219">
        <f t="shared" si="79"/>
        <v>6.9323875776623538</v>
      </c>
      <c r="P267" s="219">
        <f t="shared" si="80"/>
        <v>8.7662998339035525</v>
      </c>
      <c r="Q267" s="219">
        <f t="shared" si="81"/>
        <v>0</v>
      </c>
      <c r="R267" s="219">
        <f t="shared" si="82"/>
        <v>0</v>
      </c>
      <c r="S267" s="220">
        <f t="shared" si="73"/>
        <v>6.2551877628778554</v>
      </c>
      <c r="T267" s="220">
        <f t="shared" si="73"/>
        <v>7.9099517781494795</v>
      </c>
      <c r="U267" s="219">
        <f t="shared" si="83"/>
        <v>0.15682522026588358</v>
      </c>
      <c r="V267" s="219">
        <f t="shared" si="74"/>
        <v>0.19831218133252257</v>
      </c>
      <c r="W267" s="219">
        <f t="shared" si="84"/>
        <v>6.0983625426119721</v>
      </c>
      <c r="X267" s="219">
        <f t="shared" si="85"/>
        <v>7.7116395968169567</v>
      </c>
      <c r="Y267" s="219">
        <f t="shared" si="86"/>
        <v>0</v>
      </c>
      <c r="Z267" s="219">
        <f t="shared" si="87"/>
        <v>0</v>
      </c>
      <c r="AA267" s="232">
        <v>590814217631.73499</v>
      </c>
      <c r="AB267" s="239">
        <v>590.81421763174001</v>
      </c>
      <c r="AC267" s="237">
        <v>747109782866.38879</v>
      </c>
      <c r="AD267" s="199">
        <v>747.10978286638999</v>
      </c>
    </row>
    <row r="268" spans="1:30">
      <c r="A268" s="217" t="s">
        <v>490</v>
      </c>
      <c r="B268" s="215" t="s">
        <v>558</v>
      </c>
      <c r="C268" s="218">
        <f t="shared" si="75"/>
        <v>32.063993334728977</v>
      </c>
      <c r="D268" s="224">
        <v>1.5165334699489497</v>
      </c>
      <c r="E268" s="224">
        <v>30.547459864780031</v>
      </c>
      <c r="F268" s="224">
        <v>4.0446076631681755</v>
      </c>
      <c r="G268" s="220">
        <f t="shared" si="76"/>
        <v>3.2859281358385646</v>
      </c>
      <c r="H268" s="224">
        <v>3.2859281358385646</v>
      </c>
      <c r="I268" s="224">
        <v>0</v>
      </c>
      <c r="J268" s="224">
        <v>3.0330682022598419</v>
      </c>
      <c r="K268" s="220">
        <f t="shared" si="72"/>
        <v>12.240059455466971</v>
      </c>
      <c r="L268" s="220">
        <f t="shared" si="72"/>
        <v>7.2659904949572853</v>
      </c>
      <c r="M268" s="219">
        <f t="shared" si="77"/>
        <v>0.5789191522278514</v>
      </c>
      <c r="N268" s="219">
        <f t="shared" si="78"/>
        <v>0.34366018177775415</v>
      </c>
      <c r="O268" s="219">
        <f t="shared" si="79"/>
        <v>11.661140303239121</v>
      </c>
      <c r="P268" s="219">
        <f t="shared" si="80"/>
        <v>6.9223303131795308</v>
      </c>
      <c r="Q268" s="219">
        <f t="shared" si="81"/>
        <v>1.543982302965204</v>
      </c>
      <c r="R268" s="219">
        <f t="shared" si="82"/>
        <v>0.91654462778910029</v>
      </c>
      <c r="S268" s="220">
        <f t="shared" si="73"/>
        <v>1.2543651481330917</v>
      </c>
      <c r="T268" s="220">
        <f t="shared" si="73"/>
        <v>0.74462099442416596</v>
      </c>
      <c r="U268" s="219">
        <f t="shared" si="83"/>
        <v>1.2543651481330917</v>
      </c>
      <c r="V268" s="219">
        <f t="shared" si="74"/>
        <v>0.74462099442416596</v>
      </c>
      <c r="W268" s="219">
        <f t="shared" si="84"/>
        <v>0</v>
      </c>
      <c r="X268" s="219">
        <f t="shared" si="85"/>
        <v>0</v>
      </c>
      <c r="Y268" s="219">
        <f t="shared" si="86"/>
        <v>1.1578387863478075</v>
      </c>
      <c r="Z268" s="219">
        <f t="shared" si="87"/>
        <v>0.68732064961812622</v>
      </c>
      <c r="AA268" s="232">
        <v>441288677118.17102</v>
      </c>
      <c r="AB268" s="239">
        <v>441.28867711817003</v>
      </c>
      <c r="AC268" s="237">
        <v>261959457397.9639</v>
      </c>
      <c r="AD268" s="199">
        <v>261.95945739796002</v>
      </c>
    </row>
    <row r="269" spans="1:30">
      <c r="A269" s="217" t="s">
        <v>481</v>
      </c>
      <c r="B269" s="215" t="s">
        <v>558</v>
      </c>
      <c r="C269" s="218">
        <f t="shared" si="75"/>
        <v>12.537379304867349</v>
      </c>
      <c r="D269" s="224">
        <v>3.8751505833461795</v>
      </c>
      <c r="E269" s="224">
        <v>8.6622287215211689</v>
      </c>
      <c r="F269" s="224">
        <v>0.4819569618750838</v>
      </c>
      <c r="G269" s="220">
        <f t="shared" si="76"/>
        <v>14.618458635750434</v>
      </c>
      <c r="H269" s="224">
        <v>7.6937118380227556</v>
      </c>
      <c r="I269" s="224">
        <v>6.9247467977276784</v>
      </c>
      <c r="J269" s="224">
        <v>0</v>
      </c>
      <c r="K269" s="220">
        <f t="shared" si="72"/>
        <v>3.900796701648173</v>
      </c>
      <c r="L269" s="220">
        <f t="shared" si="72"/>
        <v>1.8157769524161016</v>
      </c>
      <c r="M269" s="219">
        <f t="shared" si="77"/>
        <v>1.2056885451362442</v>
      </c>
      <c r="N269" s="219">
        <f t="shared" si="78"/>
        <v>0.56123444503669762</v>
      </c>
      <c r="O269" s="219">
        <f t="shared" si="79"/>
        <v>2.695108156511929</v>
      </c>
      <c r="P269" s="219">
        <f t="shared" si="80"/>
        <v>1.2545425073794041</v>
      </c>
      <c r="Q269" s="219">
        <f t="shared" si="81"/>
        <v>0.14995287942583252</v>
      </c>
      <c r="R269" s="219">
        <f t="shared" si="82"/>
        <v>6.9801377317308677E-2</v>
      </c>
      <c r="S269" s="220">
        <f t="shared" si="73"/>
        <v>4.5482898652812906</v>
      </c>
      <c r="T269" s="220">
        <f t="shared" si="73"/>
        <v>2.1171777311019637</v>
      </c>
      <c r="U269" s="219">
        <f t="shared" si="83"/>
        <v>2.3937702634185563</v>
      </c>
      <c r="V269" s="219">
        <f t="shared" si="74"/>
        <v>1.1142731103771495</v>
      </c>
      <c r="W269" s="219">
        <f t="shared" si="84"/>
        <v>2.1545196018627339</v>
      </c>
      <c r="X269" s="219">
        <f t="shared" si="85"/>
        <v>1.0029046207248142</v>
      </c>
      <c r="Y269" s="219">
        <f t="shared" si="86"/>
        <v>0</v>
      </c>
      <c r="Z269" s="219">
        <f t="shared" si="87"/>
        <v>0</v>
      </c>
      <c r="AA269" s="232">
        <v>690469128831.32397</v>
      </c>
      <c r="AB269" s="239">
        <v>690.46912883131995</v>
      </c>
      <c r="AC269" s="237">
        <v>321405606694.9129</v>
      </c>
      <c r="AD269" s="199">
        <v>321.40560669490998</v>
      </c>
    </row>
    <row r="270" spans="1:30">
      <c r="A270" s="217" t="s">
        <v>542</v>
      </c>
      <c r="B270" s="215" t="s">
        <v>558</v>
      </c>
      <c r="C270" s="218">
        <f t="shared" si="75"/>
        <v>1</v>
      </c>
      <c r="D270" s="224">
        <v>0.2</v>
      </c>
      <c r="E270" s="224">
        <v>0.8</v>
      </c>
      <c r="F270" s="224">
        <v>0</v>
      </c>
      <c r="G270" s="220">
        <f t="shared" si="76"/>
        <v>0</v>
      </c>
      <c r="H270" s="224">
        <v>0</v>
      </c>
      <c r="I270" s="224">
        <v>0</v>
      </c>
      <c r="J270" s="224">
        <v>0</v>
      </c>
      <c r="K270" s="220">
        <f t="shared" si="72"/>
        <v>1.5532172409282836</v>
      </c>
      <c r="L270" s="220">
        <f t="shared" si="72"/>
        <v>1.0960887530702714</v>
      </c>
      <c r="M270" s="219">
        <f t="shared" si="77"/>
        <v>0.3106434481856567</v>
      </c>
      <c r="N270" s="219">
        <f t="shared" si="78"/>
        <v>0.21921775061405427</v>
      </c>
      <c r="O270" s="219">
        <f t="shared" si="79"/>
        <v>1.2425737927426268</v>
      </c>
      <c r="P270" s="219">
        <f t="shared" si="80"/>
        <v>0.87687100245621707</v>
      </c>
      <c r="Q270" s="219">
        <f t="shared" si="81"/>
        <v>0</v>
      </c>
      <c r="R270" s="219">
        <f t="shared" si="82"/>
        <v>0</v>
      </c>
      <c r="S270" s="220">
        <f t="shared" si="73"/>
        <v>0</v>
      </c>
      <c r="T270" s="220">
        <f t="shared" si="73"/>
        <v>0</v>
      </c>
      <c r="U270" s="219">
        <f t="shared" si="83"/>
        <v>0</v>
      </c>
      <c r="V270" s="219">
        <f t="shared" si="74"/>
        <v>0</v>
      </c>
      <c r="W270" s="219">
        <f t="shared" si="84"/>
        <v>0</v>
      </c>
      <c r="X270" s="219">
        <f t="shared" si="85"/>
        <v>0</v>
      </c>
      <c r="Y270" s="219">
        <f t="shared" si="86"/>
        <v>0</v>
      </c>
      <c r="Z270" s="219">
        <f t="shared" si="87"/>
        <v>0</v>
      </c>
      <c r="AA270" s="232">
        <v>91233487908.610901</v>
      </c>
      <c r="AB270" s="239">
        <v>91.233487908610002</v>
      </c>
      <c r="AC270" s="237">
        <v>64382494196.515457</v>
      </c>
      <c r="AD270" s="199">
        <v>64.38249419652</v>
      </c>
    </row>
    <row r="271" spans="1:30">
      <c r="A271" s="217" t="s">
        <v>543</v>
      </c>
      <c r="B271" s="215" t="s">
        <v>558</v>
      </c>
      <c r="C271" s="218">
        <f t="shared" si="75"/>
        <v>17.8</v>
      </c>
      <c r="D271" s="224">
        <v>7.7</v>
      </c>
      <c r="E271" s="224">
        <v>10.100000000000001</v>
      </c>
      <c r="F271" s="224">
        <v>0</v>
      </c>
      <c r="G271" s="220">
        <f t="shared" si="76"/>
        <v>6.5</v>
      </c>
      <c r="H271" s="224">
        <v>0</v>
      </c>
      <c r="I271" s="224">
        <v>6.5</v>
      </c>
      <c r="J271" s="224">
        <v>0</v>
      </c>
      <c r="K271" s="220">
        <f t="shared" si="72"/>
        <v>12.077296792300434</v>
      </c>
      <c r="L271" s="220">
        <f t="shared" si="72"/>
        <v>5.7440077276799695</v>
      </c>
      <c r="M271" s="219">
        <f t="shared" si="77"/>
        <v>5.224448612399625</v>
      </c>
      <c r="N271" s="219">
        <f t="shared" si="78"/>
        <v>2.4847673878166159</v>
      </c>
      <c r="O271" s="219">
        <f t="shared" si="79"/>
        <v>6.8528481799008087</v>
      </c>
      <c r="P271" s="219">
        <f t="shared" si="80"/>
        <v>3.2592403398633536</v>
      </c>
      <c r="Q271" s="219">
        <f t="shared" si="81"/>
        <v>0</v>
      </c>
      <c r="R271" s="219">
        <f t="shared" si="82"/>
        <v>0</v>
      </c>
      <c r="S271" s="220">
        <f t="shared" si="73"/>
        <v>4.410248828649034</v>
      </c>
      <c r="T271" s="220">
        <f t="shared" si="73"/>
        <v>2.097530911793247</v>
      </c>
      <c r="U271" s="219">
        <f t="shared" si="83"/>
        <v>0</v>
      </c>
      <c r="V271" s="219">
        <f t="shared" si="74"/>
        <v>0</v>
      </c>
      <c r="W271" s="219">
        <f t="shared" si="84"/>
        <v>4.410248828649034</v>
      </c>
      <c r="X271" s="219">
        <f t="shared" si="85"/>
        <v>2.097530911793247</v>
      </c>
      <c r="Y271" s="219">
        <f t="shared" si="86"/>
        <v>0</v>
      </c>
      <c r="Z271" s="219">
        <f t="shared" si="87"/>
        <v>0</v>
      </c>
      <c r="AA271" s="232">
        <v>309888162479.70697</v>
      </c>
      <c r="AB271" s="239">
        <v>309.88816247970999</v>
      </c>
      <c r="AC271" s="237">
        <v>147383974295.86609</v>
      </c>
      <c r="AD271" s="199">
        <v>147.38397429586999</v>
      </c>
    </row>
    <row r="272" spans="1:30">
      <c r="A272" s="217" t="s">
        <v>487</v>
      </c>
      <c r="B272" s="215" t="s">
        <v>558</v>
      </c>
      <c r="C272" s="218">
        <f t="shared" si="75"/>
        <v>38.516359409090974</v>
      </c>
      <c r="D272" s="224">
        <v>3.7695771192652283</v>
      </c>
      <c r="E272" s="224">
        <v>34.746782289825745</v>
      </c>
      <c r="F272" s="224">
        <v>0</v>
      </c>
      <c r="G272" s="220">
        <f t="shared" si="76"/>
        <v>28.720587575354124</v>
      </c>
      <c r="H272" s="224">
        <v>9.7444850702094339</v>
      </c>
      <c r="I272" s="224">
        <v>18.976102505144688</v>
      </c>
      <c r="J272" s="224">
        <v>0</v>
      </c>
      <c r="K272" s="220">
        <f t="shared" si="72"/>
        <v>6.7394836974641494</v>
      </c>
      <c r="L272" s="220">
        <f t="shared" si="72"/>
        <v>3.168967804681333</v>
      </c>
      <c r="M272" s="219">
        <f t="shared" si="77"/>
        <v>0.65958994908603863</v>
      </c>
      <c r="N272" s="219">
        <f t="shared" si="78"/>
        <v>0.3101453177684127</v>
      </c>
      <c r="O272" s="219">
        <f t="shared" si="79"/>
        <v>6.0798937483781108</v>
      </c>
      <c r="P272" s="219">
        <f t="shared" si="80"/>
        <v>2.8588224869129202</v>
      </c>
      <c r="Q272" s="219">
        <f t="shared" si="81"/>
        <v>0</v>
      </c>
      <c r="R272" s="219">
        <f t="shared" si="82"/>
        <v>0</v>
      </c>
      <c r="S272" s="220">
        <f t="shared" si="73"/>
        <v>5.0254472311317233</v>
      </c>
      <c r="T272" s="220">
        <f t="shared" si="73"/>
        <v>2.3630119449021922</v>
      </c>
      <c r="U272" s="219">
        <f t="shared" si="83"/>
        <v>1.7050624534196916</v>
      </c>
      <c r="V272" s="219">
        <f t="shared" si="74"/>
        <v>0.8017361955918153</v>
      </c>
      <c r="W272" s="219">
        <f t="shared" si="84"/>
        <v>3.3203847777120314</v>
      </c>
      <c r="X272" s="219">
        <f t="shared" si="85"/>
        <v>1.561275749310377</v>
      </c>
      <c r="Y272" s="219">
        <f t="shared" si="86"/>
        <v>0</v>
      </c>
      <c r="Z272" s="219">
        <f t="shared" si="87"/>
        <v>0</v>
      </c>
      <c r="AA272" s="232">
        <v>1215422868992.01</v>
      </c>
      <c r="AB272" s="239">
        <v>1215.4228689920101</v>
      </c>
      <c r="AC272" s="237">
        <v>571503117124.28699</v>
      </c>
      <c r="AD272" s="199">
        <v>571.50311712429004</v>
      </c>
    </row>
  </sheetData>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FF406-50A1-4D71-AA0E-2C169A75AA86}">
  <dimension ref="A1:Q47"/>
  <sheetViews>
    <sheetView topLeftCell="A4" zoomScale="106" workbookViewId="0">
      <selection activeCell="E12" sqref="E12"/>
    </sheetView>
  </sheetViews>
  <sheetFormatPr baseColWidth="10" defaultRowHeight="14.5"/>
  <cols>
    <col min="1" max="1" width="10.90625" style="199"/>
    <col min="2" max="2" width="16" style="199" customWidth="1"/>
    <col min="3" max="3" width="14.6328125" style="199" customWidth="1"/>
    <col min="4" max="16384" width="10.90625" style="199"/>
  </cols>
  <sheetData>
    <row r="1" spans="1:17">
      <c r="A1" s="1" t="s">
        <v>511</v>
      </c>
      <c r="B1" s="213"/>
      <c r="C1" s="213"/>
      <c r="D1" s="213"/>
      <c r="E1" s="213"/>
      <c r="F1" s="213"/>
      <c r="G1" s="213"/>
      <c r="H1" s="213"/>
      <c r="I1" s="213"/>
      <c r="J1" s="213"/>
      <c r="K1" s="213"/>
      <c r="L1" s="213"/>
      <c r="M1" s="213"/>
      <c r="N1" s="213"/>
      <c r="O1" s="213"/>
      <c r="P1" s="213"/>
      <c r="Q1" s="213"/>
    </row>
    <row r="2" spans="1:17">
      <c r="A2" s="3" t="s">
        <v>512</v>
      </c>
      <c r="B2" s="213"/>
      <c r="C2" s="213"/>
      <c r="D2" s="213"/>
      <c r="E2" s="213"/>
      <c r="F2" s="213"/>
      <c r="G2" s="213"/>
      <c r="H2" s="213"/>
      <c r="I2" s="213"/>
      <c r="J2" s="213"/>
      <c r="K2" s="213"/>
      <c r="L2" s="213"/>
      <c r="M2" s="213"/>
      <c r="N2" s="213"/>
      <c r="O2" s="213"/>
      <c r="P2" s="213"/>
      <c r="Q2" s="213"/>
    </row>
    <row r="3" spans="1:17">
      <c r="A3" s="286" t="s">
        <v>2</v>
      </c>
      <c r="B3" s="287"/>
      <c r="C3" s="287"/>
      <c r="D3" s="287"/>
      <c r="E3" s="287"/>
      <c r="F3" s="287"/>
      <c r="G3" s="287"/>
      <c r="H3" s="287"/>
      <c r="I3" s="287"/>
      <c r="J3" s="287"/>
      <c r="K3" s="287"/>
      <c r="L3" s="287"/>
      <c r="M3" s="287"/>
      <c r="N3" s="287"/>
      <c r="O3" s="287"/>
      <c r="P3" s="287"/>
      <c r="Q3" s="287"/>
    </row>
    <row r="4" spans="1:17">
      <c r="A4" s="212"/>
      <c r="B4" s="291" t="s">
        <v>3</v>
      </c>
      <c r="C4" s="291"/>
      <c r="D4" s="291"/>
      <c r="E4" s="291"/>
      <c r="F4" s="292" t="s">
        <v>4</v>
      </c>
      <c r="G4" s="292"/>
      <c r="H4" s="292"/>
      <c r="I4" s="292"/>
      <c r="J4" s="291" t="s">
        <v>3</v>
      </c>
      <c r="K4" s="291"/>
      <c r="L4" s="291"/>
      <c r="M4" s="291"/>
      <c r="N4" s="292" t="s">
        <v>4</v>
      </c>
      <c r="O4" s="292"/>
      <c r="P4" s="292"/>
      <c r="Q4" s="292"/>
    </row>
    <row r="5" spans="1:17">
      <c r="A5" s="212"/>
      <c r="B5" s="292" t="s">
        <v>5</v>
      </c>
      <c r="C5" s="292"/>
      <c r="D5" s="292"/>
      <c r="E5" s="293" t="s">
        <v>6</v>
      </c>
      <c r="F5" s="211"/>
      <c r="G5" s="289" t="s">
        <v>7</v>
      </c>
      <c r="H5" s="291" t="s">
        <v>8</v>
      </c>
      <c r="I5" s="291"/>
      <c r="J5" s="292" t="s">
        <v>5</v>
      </c>
      <c r="K5" s="292"/>
      <c r="L5" s="292"/>
      <c r="M5" s="293" t="s">
        <v>6</v>
      </c>
      <c r="N5" s="211"/>
      <c r="O5" s="289" t="s">
        <v>7</v>
      </c>
      <c r="P5" s="291" t="s">
        <v>8</v>
      </c>
      <c r="Q5" s="291"/>
    </row>
    <row r="6" spans="1:17" ht="119.5" customHeight="1">
      <c r="A6" s="210"/>
      <c r="B6" s="209" t="s">
        <v>9</v>
      </c>
      <c r="C6" s="206" t="s">
        <v>10</v>
      </c>
      <c r="D6" s="206" t="s">
        <v>11</v>
      </c>
      <c r="E6" s="294"/>
      <c r="F6" s="208" t="s">
        <v>9</v>
      </c>
      <c r="G6" s="290"/>
      <c r="H6" s="207" t="s">
        <v>12</v>
      </c>
      <c r="I6" s="207" t="s">
        <v>13</v>
      </c>
      <c r="J6" s="209" t="s">
        <v>9</v>
      </c>
      <c r="K6" s="206" t="s">
        <v>10</v>
      </c>
      <c r="L6" s="206" t="s">
        <v>11</v>
      </c>
      <c r="M6" s="294"/>
      <c r="N6" s="208" t="s">
        <v>9</v>
      </c>
      <c r="O6" s="290"/>
      <c r="P6" s="207" t="s">
        <v>12</v>
      </c>
      <c r="Q6" s="206" t="s">
        <v>13</v>
      </c>
    </row>
    <row r="7" spans="1:17">
      <c r="A7" s="203" t="s">
        <v>15</v>
      </c>
      <c r="B7" s="202">
        <f>C7+D7</f>
        <v>31.278018051981519</v>
      </c>
      <c r="C7" s="200">
        <f>'2021'!D8-'2020'!D8</f>
        <v>2.3475350119164773</v>
      </c>
      <c r="D7" s="200">
        <f>'2021'!E8-'2020'!E8</f>
        <v>28.930483040065042</v>
      </c>
      <c r="E7" s="200">
        <f>'2021'!F8-'2020'!F8</f>
        <v>0</v>
      </c>
      <c r="F7" s="201">
        <f>G7+H7</f>
        <v>2.081252462922123E-4</v>
      </c>
      <c r="G7" s="200">
        <f>'2021'!H8-'2020'!H8</f>
        <v>8.9196534112545578E-5</v>
      </c>
      <c r="H7" s="200">
        <f>'2021'!I8-'2020'!I8</f>
        <v>1.1892871217966672E-4</v>
      </c>
      <c r="I7" s="200">
        <f>'2021'!J8-'2020'!J8</f>
        <v>0</v>
      </c>
      <c r="J7" s="201">
        <f>K7+L7</f>
        <v>2.1928208514321743</v>
      </c>
      <c r="K7" s="200">
        <f>'2021'!L8-'2020'!L8</f>
        <v>0.16702133315199186</v>
      </c>
      <c r="L7" s="200">
        <f>'2021'!M8-'2020'!M8</f>
        <v>2.0257995182801825</v>
      </c>
      <c r="M7" s="200">
        <f>'2021'!N8-'2020'!N8</f>
        <v>0</v>
      </c>
      <c r="N7" s="201">
        <f>O7+P7+Q7</f>
        <v>-1.194219035164068E-2</v>
      </c>
      <c r="O7" s="200">
        <f>'2021'!P8-'2020'!Q8</f>
        <v>-5.1180815792745138E-3</v>
      </c>
      <c r="P7" s="200">
        <f>'2021'!Q8-'2020'!R8</f>
        <v>-6.8241087723661664E-3</v>
      </c>
      <c r="Q7" s="200">
        <f>'2021'!R8-'2020'!S8</f>
        <v>0</v>
      </c>
    </row>
    <row r="8" spans="1:17">
      <c r="A8" s="203" t="s">
        <v>16</v>
      </c>
      <c r="B8" s="202">
        <f t="shared" ref="B8:B44" si="0">C8+D8</f>
        <v>21.68529484284695</v>
      </c>
      <c r="C8" s="200">
        <f>'2021'!D9-'2020'!D9</f>
        <v>6.4210348024689026</v>
      </c>
      <c r="D8" s="200">
        <f>'2021'!E9-'2020'!E9</f>
        <v>15.264260040378048</v>
      </c>
      <c r="E8" s="200">
        <f>'2021'!F9-'2020'!F9</f>
        <v>4.7831845970355076</v>
      </c>
      <c r="F8" s="201">
        <f t="shared" ref="F8:F44" si="1">G8+H8</f>
        <v>-0.97855874250708608</v>
      </c>
      <c r="G8" s="200">
        <f>'2021'!H9-'2020'!H9</f>
        <v>8.2097879474187785E-3</v>
      </c>
      <c r="H8" s="200">
        <f>'2021'!I9-'2020'!I9</f>
        <v>-0.98676853045450486</v>
      </c>
      <c r="I8" s="200">
        <f>'2021'!J9-'2020'!J9</f>
        <v>0</v>
      </c>
      <c r="J8" s="201">
        <f t="shared" ref="J8:J44" si="2">K8+L8</f>
        <v>1.2774468576632922</v>
      </c>
      <c r="K8" s="200">
        <f>'2021'!L9-'2020'!L9</f>
        <v>0.38377460805555108</v>
      </c>
      <c r="L8" s="200">
        <f>'2021'!M9-'2020'!M9</f>
        <v>0.89367224960774116</v>
      </c>
      <c r="M8" s="200">
        <f>'2021'!N9-'2020'!N9</f>
        <v>1.745779387851254E-3</v>
      </c>
      <c r="N8" s="201">
        <f t="shared" ref="N8:N44" si="3">O8+P8+Q8</f>
        <v>-7.093785150768192E-2</v>
      </c>
      <c r="O8" s="200">
        <f>'2021'!P9-'2020'!Q9</f>
        <v>-1.7065564358140217E-4</v>
      </c>
      <c r="P8" s="200">
        <f>'2021'!Q9-'2020'!R9</f>
        <v>-7.0767195864100518E-2</v>
      </c>
      <c r="Q8" s="200">
        <f>'2021'!R9-'2020'!S9</f>
        <v>0</v>
      </c>
    </row>
    <row r="9" spans="1:17">
      <c r="A9" s="203" t="s">
        <v>18</v>
      </c>
      <c r="B9" s="202">
        <f t="shared" si="0"/>
        <v>54.826803879689734</v>
      </c>
      <c r="C9" s="200">
        <f>'2021'!D10-'2020'!D10</f>
        <v>18.372481418099841</v>
      </c>
      <c r="D9" s="200">
        <f>'2021'!E10-'2020'!E10</f>
        <v>36.454322461589896</v>
      </c>
      <c r="E9" s="200">
        <f>'2021'!F10-'2020'!F10</f>
        <v>16.600029288066985</v>
      </c>
      <c r="F9" s="201">
        <f t="shared" si="1"/>
        <v>-5.4390850062279696</v>
      </c>
      <c r="G9" s="200">
        <f>'2021'!H10-'2020'!H10</f>
        <v>-5.8973249349522234</v>
      </c>
      <c r="H9" s="200">
        <f>'2021'!I10-'2020'!I10</f>
        <v>0.45823992872425379</v>
      </c>
      <c r="I9" s="200">
        <f>'2021'!J10-'2020'!J10</f>
        <v>0</v>
      </c>
      <c r="J9" s="201">
        <f t="shared" si="2"/>
        <v>1.9255431948431152</v>
      </c>
      <c r="K9" s="200">
        <f>'2021'!L10-'2020'!L10</f>
        <v>0.68332761817574017</v>
      </c>
      <c r="L9" s="200">
        <f>'2021'!M10-'2020'!M10</f>
        <v>1.242215576667375</v>
      </c>
      <c r="M9" s="200">
        <f>'2021'!N10-'2020'!N10</f>
        <v>0.58082224315621911</v>
      </c>
      <c r="N9" s="201">
        <f t="shared" si="3"/>
        <v>-0.54142282745671455</v>
      </c>
      <c r="O9" s="200">
        <f>'2021'!P10-'2020'!Q10</f>
        <v>-0.24445019332980156</v>
      </c>
      <c r="P9" s="200">
        <f>'2021'!Q10-'2020'!R10</f>
        <v>-0.29697263412691299</v>
      </c>
      <c r="Q9" s="200">
        <f>'2021'!R10-'2020'!S10</f>
        <v>0</v>
      </c>
    </row>
    <row r="10" spans="1:17">
      <c r="A10" s="203" t="s">
        <v>19</v>
      </c>
      <c r="B10" s="202">
        <f t="shared" si="0"/>
        <v>171.15876663577609</v>
      </c>
      <c r="C10" s="200">
        <f>'2021'!D11-'2020'!D11</f>
        <v>24.087656876629971</v>
      </c>
      <c r="D10" s="200">
        <f>'2021'!E11-'2020'!E11</f>
        <v>147.07110975914611</v>
      </c>
      <c r="E10" s="200">
        <f>'2021'!F11-'2020'!F11</f>
        <v>0</v>
      </c>
      <c r="F10" s="201">
        <f t="shared" si="1"/>
        <v>3.594883604110791</v>
      </c>
      <c r="G10" s="200">
        <f>'2021'!H11-'2020'!H11</f>
        <v>0.30184457546828014</v>
      </c>
      <c r="H10" s="200">
        <f>'2021'!I11-'2020'!I11</f>
        <v>3.2930390286425109</v>
      </c>
      <c r="I10" s="200">
        <f>'2021'!J11-'2020'!J11</f>
        <v>0</v>
      </c>
      <c r="J10" s="201">
        <f t="shared" si="2"/>
        <v>4.4160479458690132</v>
      </c>
      <c r="K10" s="200">
        <f>'2021'!L11-'2020'!L11</f>
        <v>0.6088168400734455</v>
      </c>
      <c r="L10" s="200">
        <f>'2021'!M11-'2020'!M11</f>
        <v>3.8072311057955677</v>
      </c>
      <c r="M10" s="200">
        <f>'2021'!N11-'2020'!N11</f>
        <v>0</v>
      </c>
      <c r="N10" s="201">
        <f t="shared" si="3"/>
        <v>-6.256148900694436E-2</v>
      </c>
      <c r="O10" s="200">
        <f>'2021'!P11-'2020'!Q11</f>
        <v>-9.0190618924226307E-3</v>
      </c>
      <c r="P10" s="200">
        <f>'2021'!Q11-'2020'!R11</f>
        <v>-5.3542427114521729E-2</v>
      </c>
      <c r="Q10" s="200">
        <f>'2021'!R11-'2020'!S11</f>
        <v>0</v>
      </c>
    </row>
    <row r="11" spans="1:17">
      <c r="A11" s="203" t="s">
        <v>20</v>
      </c>
      <c r="B11" s="202">
        <f t="shared" si="0"/>
        <v>77.945232360624971</v>
      </c>
      <c r="C11" s="200">
        <f>'2021'!D12-'2020'!D12</f>
        <v>12.012134757890855</v>
      </c>
      <c r="D11" s="200">
        <f>'2021'!E12-'2020'!E12</f>
        <v>65.933097602734108</v>
      </c>
      <c r="E11" s="200">
        <f>'2021'!F12-'2020'!F12</f>
        <v>2.1129120282806113E-2</v>
      </c>
      <c r="F11" s="201">
        <f t="shared" si="1"/>
        <v>1.7574900406663474</v>
      </c>
      <c r="G11" s="200">
        <f>'2021'!H12-'2020'!H12</f>
        <v>9.8099487027312193E-3</v>
      </c>
      <c r="H11" s="200">
        <f>'2021'!I12-'2020'!I12</f>
        <v>1.7476800919636162</v>
      </c>
      <c r="I11" s="200">
        <f>'2021'!J12-'2020'!J12</f>
        <v>0</v>
      </c>
      <c r="J11" s="201">
        <f t="shared" si="2"/>
        <v>4.0737001222888596</v>
      </c>
      <c r="K11" s="200">
        <f>'2021'!L12-'2020'!L12</f>
        <v>0.63205663182506289</v>
      </c>
      <c r="L11" s="200">
        <f>'2021'!M12-'2020'!M12</f>
        <v>3.4416434904637967</v>
      </c>
      <c r="M11" s="200">
        <f>'2021'!N12-'2020'!N12</f>
        <v>-2.7207504915071623E-3</v>
      </c>
      <c r="N11" s="201">
        <f t="shared" si="3"/>
        <v>-0.22630813909715314</v>
      </c>
      <c r="O11" s="200">
        <f>'2021'!P12-'2020'!Q12</f>
        <v>-1.2632055853425972E-3</v>
      </c>
      <c r="P11" s="200">
        <f>'2021'!Q12-'2020'!R12</f>
        <v>-0.22504493351181054</v>
      </c>
      <c r="Q11" s="200">
        <f>'2021'!R12-'2020'!S12</f>
        <v>0</v>
      </c>
    </row>
    <row r="12" spans="1:17">
      <c r="A12" s="203" t="s">
        <v>21</v>
      </c>
      <c r="B12" s="202">
        <f t="shared" si="0"/>
        <v>61.500837626937169</v>
      </c>
      <c r="C12" s="200">
        <f>'2021'!D13-'2020'!D13</f>
        <v>15.056601580828584</v>
      </c>
      <c r="D12" s="200">
        <f>'2021'!E13-'2020'!E13</f>
        <v>46.444236046108585</v>
      </c>
      <c r="E12" s="200">
        <f>'2021'!F13-'2020'!F13</f>
        <v>-216.14926819734848</v>
      </c>
      <c r="F12" s="201">
        <f t="shared" si="1"/>
        <v>0.117360564253147</v>
      </c>
      <c r="G12" s="200">
        <f>'2021'!H13-'2020'!H13</f>
        <v>0</v>
      </c>
      <c r="H12" s="200">
        <f>'2021'!I13-'2020'!I13</f>
        <v>0.117360564253147</v>
      </c>
      <c r="I12" s="200">
        <f>'2021'!J13-'2020'!J13</f>
        <v>1.0233542195064729</v>
      </c>
      <c r="J12" s="201">
        <f t="shared" si="2"/>
        <v>1.1454142777987255</v>
      </c>
      <c r="K12" s="200">
        <f>'2021'!L13-'2020'!L13</f>
        <v>0.28998761830229336</v>
      </c>
      <c r="L12" s="200">
        <f>'2021'!M13-'2020'!M13</f>
        <v>0.85542665949643215</v>
      </c>
      <c r="M12" s="200">
        <f>'2021'!N13-'2020'!N13</f>
        <v>-4.3072322344825089</v>
      </c>
      <c r="N12" s="201">
        <f t="shared" si="3"/>
        <v>-0.11174843787426481</v>
      </c>
      <c r="O12" s="200">
        <f>'2021'!P13-'2020'!Q13</f>
        <v>0</v>
      </c>
      <c r="P12" s="200">
        <f>'2021'!Q13-'2020'!R13</f>
        <v>-1.1497054224285375E-2</v>
      </c>
      <c r="Q12" s="200">
        <f>'2021'!R13-'2020'!S13</f>
        <v>-0.10025138364997943</v>
      </c>
    </row>
    <row r="13" spans="1:17">
      <c r="A13" s="203" t="s">
        <v>22</v>
      </c>
      <c r="B13" s="202">
        <f t="shared" si="0"/>
        <v>48.749753652999821</v>
      </c>
      <c r="C13" s="200">
        <f>'2021'!D14-'2020'!D14</f>
        <v>7.6352311733168863</v>
      </c>
      <c r="D13" s="200">
        <f>'2021'!E14-'2020'!E14</f>
        <v>41.114522479682932</v>
      </c>
      <c r="E13" s="200">
        <f>'2021'!F14-'2020'!F14</f>
        <v>5.2710706817016728E-2</v>
      </c>
      <c r="F13" s="201">
        <f t="shared" si="1"/>
        <v>0.11324815494928231</v>
      </c>
      <c r="G13" s="200">
        <f>'2021'!H14-'2020'!H14</f>
        <v>0</v>
      </c>
      <c r="H13" s="200">
        <f>'2021'!I14-'2020'!I14</f>
        <v>0.11324815494928231</v>
      </c>
      <c r="I13" s="200">
        <f>'2021'!J14-'2020'!J14</f>
        <v>0.19966176824625848</v>
      </c>
      <c r="J13" s="201">
        <f t="shared" si="2"/>
        <v>2.9566670401674231</v>
      </c>
      <c r="K13" s="200">
        <f>'2021'!L14-'2020'!L14</f>
        <v>0.46459339934966615</v>
      </c>
      <c r="L13" s="200">
        <f>'2021'!M14-'2020'!M14</f>
        <v>2.4920736408177571</v>
      </c>
      <c r="M13" s="200">
        <f>'2021'!N14-'2020'!N14</f>
        <v>-6.2597253533782649E-3</v>
      </c>
      <c r="N13" s="201">
        <f t="shared" si="3"/>
        <v>-3.7160005961416775E-2</v>
      </c>
      <c r="O13" s="200">
        <f>'2021'!P14-'2020'!Q14</f>
        <v>0</v>
      </c>
      <c r="P13" s="200">
        <f>'2021'!Q14-'2020'!R14</f>
        <v>-1.3448925077409246E-2</v>
      </c>
      <c r="Q13" s="200">
        <f>'2021'!R14-'2020'!S14</f>
        <v>-2.3711080884007529E-2</v>
      </c>
    </row>
    <row r="14" spans="1:17">
      <c r="A14" s="203" t="s">
        <v>23</v>
      </c>
      <c r="B14" s="202">
        <f t="shared" si="0"/>
        <v>54.977743691270575</v>
      </c>
      <c r="C14" s="200">
        <f>'2021'!D15-'2020'!D15</f>
        <v>16.915665498359473</v>
      </c>
      <c r="D14" s="200">
        <f>'2021'!E15-'2020'!E15</f>
        <v>38.062078192911102</v>
      </c>
      <c r="E14" s="200">
        <f>'2021'!F15-'2020'!F15</f>
        <v>-0.56330455967290338</v>
      </c>
      <c r="F14" s="201">
        <f t="shared" si="1"/>
        <v>0.45650671749307503</v>
      </c>
      <c r="G14" s="200">
        <f>'2021'!H15-'2020'!H15</f>
        <v>1.9287868372448447E-3</v>
      </c>
      <c r="H14" s="200">
        <f>'2021'!I15-'2020'!I15</f>
        <v>0.45457793065583019</v>
      </c>
      <c r="I14" s="200">
        <f>'2021'!J15-'2020'!J15</f>
        <v>3.0184457546866383E-2</v>
      </c>
      <c r="J14" s="201">
        <f t="shared" si="2"/>
        <v>4.2618059477694796</v>
      </c>
      <c r="K14" s="200">
        <f>'2021'!L15-'2020'!L15</f>
        <v>1.3180284679045935</v>
      </c>
      <c r="L14" s="200">
        <f>'2021'!M15-'2020'!M15</f>
        <v>2.9437774798648864</v>
      </c>
      <c r="M14" s="200">
        <f>'2021'!N15-'2020'!N15</f>
        <v>-4.4364785441632762E-2</v>
      </c>
      <c r="N14" s="201">
        <f t="shared" si="3"/>
        <v>-7.3182685519281476E-2</v>
      </c>
      <c r="O14" s="200">
        <f>'2021'!P15-'2020'!Q15</f>
        <v>-2.9002745022493892E-4</v>
      </c>
      <c r="P14" s="200">
        <f>'2021'!Q15-'2020'!R15</f>
        <v>-6.8353887330012242E-2</v>
      </c>
      <c r="Q14" s="200">
        <f>'2021'!R15-'2020'!S15</f>
        <v>-4.5387707390442955E-3</v>
      </c>
    </row>
    <row r="15" spans="1:17">
      <c r="A15" s="203" t="s">
        <v>24</v>
      </c>
      <c r="B15" s="202">
        <f t="shared" si="0"/>
        <v>81.621811421120356</v>
      </c>
      <c r="C15" s="200">
        <f>'2021'!D16-'2020'!D16</f>
        <v>-13.851555876965222</v>
      </c>
      <c r="D15" s="200">
        <f>'2021'!E16-'2020'!E16</f>
        <v>95.473367298085577</v>
      </c>
      <c r="E15" s="200">
        <f>'2021'!F16-'2020'!F16</f>
        <v>7.0724977396247937</v>
      </c>
      <c r="F15" s="201">
        <f t="shared" si="1"/>
        <v>16.22200171331729</v>
      </c>
      <c r="G15" s="200">
        <f>'2021'!H16-'2020'!H16</f>
        <v>4.0799587521910929E-2</v>
      </c>
      <c r="H15" s="200">
        <f>'2021'!I16-'2020'!I16</f>
        <v>16.18120212579538</v>
      </c>
      <c r="I15" s="200">
        <f>'2021'!J16-'2020'!J16</f>
        <v>0</v>
      </c>
      <c r="J15" s="201">
        <f t="shared" si="2"/>
        <v>3.0124734734915819</v>
      </c>
      <c r="K15" s="200">
        <f>'2021'!L16-'2020'!L16</f>
        <v>-0.51110899745293459</v>
      </c>
      <c r="L15" s="200">
        <f>'2021'!M16-'2020'!M16</f>
        <v>3.5235824709445165</v>
      </c>
      <c r="M15" s="200">
        <f>'2021'!N16-'2020'!N16</f>
        <v>0.26101365463983101</v>
      </c>
      <c r="N15" s="201">
        <f t="shared" si="3"/>
        <v>0.59890785180727057</v>
      </c>
      <c r="O15" s="200">
        <f>'2021'!P16-'2020'!Q16</f>
        <v>1.5063992752199704E-3</v>
      </c>
      <c r="P15" s="200">
        <f>'2021'!Q16-'2020'!R16</f>
        <v>0.59740145253205057</v>
      </c>
      <c r="Q15" s="200">
        <f>'2021'!R16-'2020'!S16</f>
        <v>0</v>
      </c>
    </row>
    <row r="16" spans="1:17">
      <c r="A16" s="203" t="s">
        <v>25</v>
      </c>
      <c r="B16" s="202">
        <f t="shared" si="0"/>
        <v>1825</v>
      </c>
      <c r="C16" s="200">
        <f>'2021'!D17-'2020'!D17</f>
        <v>203.49999999999994</v>
      </c>
      <c r="D16" s="200">
        <f>'2021'!E17-'2020'!E17</f>
        <v>1621.5</v>
      </c>
      <c r="E16" s="200">
        <f>'2021'!F17-'2020'!F17</f>
        <v>-1.9999999999999574E-2</v>
      </c>
      <c r="F16" s="201">
        <f t="shared" si="1"/>
        <v>0</v>
      </c>
      <c r="G16" s="200">
        <f>'2021'!H17-'2020'!H17</f>
        <v>0</v>
      </c>
      <c r="H16" s="200">
        <f>'2021'!I17-'2020'!I17</f>
        <v>0</v>
      </c>
      <c r="I16" s="200">
        <f>'2021'!J17-'2020'!J17</f>
        <v>0</v>
      </c>
      <c r="J16" s="201">
        <f t="shared" si="2"/>
        <v>8.7825784813041032</v>
      </c>
      <c r="K16" s="200">
        <f>'2021'!L17-'2020'!L17</f>
        <v>0.98059162881324013</v>
      </c>
      <c r="L16" s="200">
        <f>'2021'!M17-'2020'!M17</f>
        <v>7.8019868524908631</v>
      </c>
      <c r="M16" s="200">
        <f>'2021'!N17-'2020'!N17</f>
        <v>1.5043476370442399E-4</v>
      </c>
      <c r="N16" s="201">
        <f t="shared" si="3"/>
        <v>6.9744531140124577E-3</v>
      </c>
      <c r="O16" s="200">
        <f>'2021'!P17-'2020'!Q17</f>
        <v>7.6582230271504681E-4</v>
      </c>
      <c r="P16" s="200">
        <f>'2021'!Q17-'2020'!R17</f>
        <v>6.2086308112974109E-3</v>
      </c>
      <c r="Q16" s="200">
        <f>'2021'!R17-'2020'!S17</f>
        <v>0</v>
      </c>
    </row>
    <row r="17" spans="1:17">
      <c r="A17" s="203" t="s">
        <v>31</v>
      </c>
      <c r="B17" s="202">
        <f t="shared" si="0"/>
        <v>-0.2000281227447247</v>
      </c>
      <c r="C17" s="200">
        <f>'2021'!D18-'2020'!D18</f>
        <v>2.4564657236113181</v>
      </c>
      <c r="D17" s="200">
        <f>'2021'!E18-'2020'!E18</f>
        <v>-2.6564938463560428</v>
      </c>
      <c r="E17" s="200">
        <f>'2021'!F18-'2020'!F18</f>
        <v>-3.6082982241580019E-2</v>
      </c>
      <c r="F17" s="201">
        <f t="shared" si="1"/>
        <v>-1.8221373961555898</v>
      </c>
      <c r="G17" s="200">
        <f>'2021'!H18-'2020'!H18</f>
        <v>-0.95092364114217143</v>
      </c>
      <c r="H17" s="200">
        <f>'2021'!I18-'2020'!I18</f>
        <v>-0.87121375501341847</v>
      </c>
      <c r="I17" s="200">
        <f>'2021'!J18-'2020'!J18</f>
        <v>1.6475248266048474</v>
      </c>
      <c r="J17" s="201">
        <f t="shared" si="2"/>
        <v>-2.6841587379476201E-2</v>
      </c>
      <c r="K17" s="200">
        <f>'2021'!L18-'2020'!L18</f>
        <v>0.22607182811369927</v>
      </c>
      <c r="L17" s="200">
        <f>'2021'!M18-'2020'!M18</f>
        <v>-0.25291341549317548</v>
      </c>
      <c r="M17" s="200">
        <f>'2021'!N18-'2020'!N18</f>
        <v>-8.2679245230292131E-3</v>
      </c>
      <c r="N17" s="201">
        <f t="shared" si="3"/>
        <v>-3.1704200878829719E-2</v>
      </c>
      <c r="O17" s="200">
        <f>'2021'!P18-'2020'!Q18</f>
        <v>-9.0643906213073167E-2</v>
      </c>
      <c r="P17" s="200">
        <f>'2021'!Q18-'2020'!R18</f>
        <v>-8.2432640722581135E-2</v>
      </c>
      <c r="Q17" s="200">
        <f>'2021'!R18-'2020'!S18</f>
        <v>0.14137234605682458</v>
      </c>
    </row>
    <row r="18" spans="1:17">
      <c r="A18" s="203" t="s">
        <v>35</v>
      </c>
      <c r="B18" s="202">
        <f t="shared" si="0"/>
        <v>17.623912755319648</v>
      </c>
      <c r="C18" s="200">
        <f>'2021'!D19-'2020'!D19</f>
        <v>0.75119988984961283</v>
      </c>
      <c r="D18" s="200">
        <f>'2021'!E19-'2020'!E19</f>
        <v>16.872712865470035</v>
      </c>
      <c r="E18" s="200">
        <f>'2021'!F19-'2020'!F19</f>
        <v>0.14605226352859013</v>
      </c>
      <c r="F18" s="201">
        <f t="shared" si="1"/>
        <v>2.499712107655244</v>
      </c>
      <c r="G18" s="200">
        <f>'2021'!H19-'2020'!H19</f>
        <v>1.3959679043227258E-2</v>
      </c>
      <c r="H18" s="200">
        <f>'2021'!I19-'2020'!I19</f>
        <v>2.4857524286120167</v>
      </c>
      <c r="I18" s="200">
        <f>'2021'!J19-'2020'!J19</f>
        <v>2.8780291364968171</v>
      </c>
      <c r="J18" s="201">
        <f t="shared" si="2"/>
        <v>2.434309146288685</v>
      </c>
      <c r="K18" s="200">
        <f>'2021'!L19-'2020'!L19</f>
        <v>0.1007070967777749</v>
      </c>
      <c r="L18" s="200">
        <f>'2021'!M19-'2020'!M19</f>
        <v>2.33360204951091</v>
      </c>
      <c r="M18" s="200">
        <f>'2021'!N19-'2020'!N19</f>
        <v>2.481786342944492E-3</v>
      </c>
      <c r="N18" s="201">
        <f t="shared" si="3"/>
        <v>0.63155123475137687</v>
      </c>
      <c r="O18" s="200">
        <f>'2021'!P19-'2020'!Q19</f>
        <v>-3.4410267284578078E-3</v>
      </c>
      <c r="P18" s="200">
        <f>'2021'!Q19-'2020'!R19</f>
        <v>0.26688666721351506</v>
      </c>
      <c r="Q18" s="200">
        <f>'2021'!R19-'2020'!S19</f>
        <v>0.36810559426631961</v>
      </c>
    </row>
    <row r="19" spans="1:17">
      <c r="A19" s="205" t="s">
        <v>36</v>
      </c>
      <c r="B19" s="202">
        <f t="shared" si="0"/>
        <v>29.313405863622933</v>
      </c>
      <c r="C19" s="200">
        <f>'2021'!D20-'2020'!D20</f>
        <v>5.5977143131950573</v>
      </c>
      <c r="D19" s="200">
        <f>'2021'!E20-'2020'!E20</f>
        <v>23.715691550427877</v>
      </c>
      <c r="E19" s="200">
        <f>'2021'!F20-'2020'!F20</f>
        <v>0</v>
      </c>
      <c r="F19" s="201">
        <f t="shared" si="1"/>
        <v>1.9673451726946798</v>
      </c>
      <c r="G19" s="200">
        <f>'2021'!H20-'2020'!H20</f>
        <v>0</v>
      </c>
      <c r="H19" s="200">
        <f>'2021'!I20-'2020'!I20</f>
        <v>1.9673451726946798</v>
      </c>
      <c r="I19" s="200">
        <f>'2021'!J20-'2020'!J20</f>
        <v>0</v>
      </c>
      <c r="J19" s="201">
        <f t="shared" si="2"/>
        <v>6.6440783855715626</v>
      </c>
      <c r="K19" s="200">
        <f>'2021'!L20-'2020'!L20</f>
        <v>1.2867049018653343</v>
      </c>
      <c r="L19" s="200">
        <f>'2021'!M20-'2020'!M20</f>
        <v>5.3573734837062279</v>
      </c>
      <c r="M19" s="200">
        <f>'2021'!N20-'2020'!N20</f>
        <v>0</v>
      </c>
      <c r="N19" s="201">
        <f t="shared" si="3"/>
        <v>0.41738542463473705</v>
      </c>
      <c r="O19" s="200">
        <f>'2021'!P20-'2020'!Q20</f>
        <v>0</v>
      </c>
      <c r="P19" s="200">
        <f>'2021'!Q20-'2020'!R20</f>
        <v>0.41738542463473705</v>
      </c>
      <c r="Q19" s="200">
        <f>'2021'!R20-'2020'!S20</f>
        <v>0</v>
      </c>
    </row>
    <row r="20" spans="1:17">
      <c r="A20" s="203" t="s">
        <v>37</v>
      </c>
      <c r="B20" s="202">
        <f t="shared" si="0"/>
        <v>5.5750450336266226</v>
      </c>
      <c r="C20" s="200">
        <f>'2021'!D21-'2020'!D21</f>
        <v>1.7363721996445811</v>
      </c>
      <c r="D20" s="200">
        <f>'2021'!E21-'2020'!E21</f>
        <v>3.8386728339820415</v>
      </c>
      <c r="E20" s="200">
        <f>'2021'!F21-'2020'!F21</f>
        <v>-0.98549912200429723</v>
      </c>
      <c r="F20" s="201">
        <f t="shared" si="1"/>
        <v>0.84474674061103383</v>
      </c>
      <c r="G20" s="200">
        <f>'2021'!H21-'2020'!H21</f>
        <v>0.68778756136733432</v>
      </c>
      <c r="H20" s="200">
        <f>'2021'!I21-'2020'!I21</f>
        <v>0.15695917924369951</v>
      </c>
      <c r="I20" s="200">
        <f>'2021'!J21-'2020'!J21</f>
        <v>0</v>
      </c>
      <c r="J20" s="201">
        <f t="shared" si="2"/>
        <v>0.95812389399989017</v>
      </c>
      <c r="K20" s="200">
        <f>'2021'!L21-'2020'!L21</f>
        <v>0.30577662158629648</v>
      </c>
      <c r="L20" s="200">
        <f>'2021'!M21-'2020'!M21</f>
        <v>0.65234727241359369</v>
      </c>
      <c r="M20" s="200">
        <f>'2021'!N21-'2020'!N21</f>
        <v>-0.24494522313348011</v>
      </c>
      <c r="N20" s="201">
        <f t="shared" si="3"/>
        <v>-4.1634018516690185E-2</v>
      </c>
      <c r="O20" s="200">
        <f>'2021'!P21-'2020'!Q21</f>
        <v>0.12969079442267567</v>
      </c>
      <c r="P20" s="200">
        <f>'2021'!Q21-'2020'!R21</f>
        <v>-0.17132481293936586</v>
      </c>
      <c r="Q20" s="200">
        <f>'2021'!R21-'2020'!S21</f>
        <v>0</v>
      </c>
    </row>
    <row r="21" spans="1:17">
      <c r="A21" s="204" t="s">
        <v>38</v>
      </c>
      <c r="B21" s="202">
        <f t="shared" si="0"/>
        <v>9.4839782366906888</v>
      </c>
      <c r="C21" s="200">
        <f>'2021'!D22-'2020'!D22</f>
        <v>3.534914558303706</v>
      </c>
      <c r="D21" s="200">
        <f>'2021'!E22-'2020'!E22</f>
        <v>5.9490636783869828</v>
      </c>
      <c r="E21" s="200">
        <f>'2021'!F22-'2020'!F22</f>
        <v>-0.9420743988533532</v>
      </c>
      <c r="F21" s="201">
        <f t="shared" si="1"/>
        <v>0.84007282057726862</v>
      </c>
      <c r="G21" s="200">
        <f>'2021'!H22-'2020'!H22</f>
        <v>-4.1491385547381618E-3</v>
      </c>
      <c r="H21" s="200">
        <f>'2021'!I22-'2020'!I22</f>
        <v>0.84422195913200682</v>
      </c>
      <c r="I21" s="200">
        <f>'2021'!J22-'2020'!J22</f>
        <v>0</v>
      </c>
      <c r="J21" s="201">
        <f t="shared" si="2"/>
        <v>3.7468929753637594</v>
      </c>
      <c r="K21" s="200">
        <f>'2021'!L22-'2020'!L22</f>
        <v>1.4148174338323358</v>
      </c>
      <c r="L21" s="200">
        <f>'2021'!M22-'2020'!M22</f>
        <v>2.3320755415314238</v>
      </c>
      <c r="M21" s="200">
        <f>'2021'!N22-'2020'!N22</f>
        <v>-0.39811612849223182</v>
      </c>
      <c r="N21" s="201">
        <f t="shared" si="3"/>
        <v>5.3654034685327173E-3</v>
      </c>
      <c r="O21" s="200">
        <f>'2021'!P22-'2020'!Q22</f>
        <v>-2.0807471500815938E-3</v>
      </c>
      <c r="P21" s="200">
        <f>'2021'!Q22-'2020'!R22</f>
        <v>7.4461506186143112E-3</v>
      </c>
      <c r="Q21" s="200">
        <f>'2021'!R22-'2020'!S22</f>
        <v>0</v>
      </c>
    </row>
    <row r="22" spans="1:17">
      <c r="A22" s="204" t="s">
        <v>39</v>
      </c>
      <c r="B22" s="202">
        <f t="shared" si="0"/>
        <v>6.0090945086111001</v>
      </c>
      <c r="C22" s="200">
        <f>'2021'!D23-'2020'!D23</f>
        <v>-0.12194282455131972</v>
      </c>
      <c r="D22" s="200">
        <f>'2021'!E23-'2020'!E23</f>
        <v>6.1310373331624195</v>
      </c>
      <c r="E22" s="200">
        <f>'2021'!F23-'2020'!F23</f>
        <v>21.994176816096299</v>
      </c>
      <c r="F22" s="201">
        <f t="shared" si="1"/>
        <v>40.884795650844936</v>
      </c>
      <c r="G22" s="200">
        <f>'2021'!H23-'2020'!H23</f>
        <v>34.404003079504477</v>
      </c>
      <c r="H22" s="200">
        <f>'2021'!I23-'2020'!I23</f>
        <v>6.4807925713404604</v>
      </c>
      <c r="I22" s="200">
        <f>'2021'!J23-'2020'!J23</f>
        <v>0</v>
      </c>
      <c r="J22" s="201">
        <f t="shared" si="2"/>
        <v>1.6398029271404615</v>
      </c>
      <c r="K22" s="200">
        <f>'2021'!L23-'2020'!L23</f>
        <v>-3.5193195561785656E-2</v>
      </c>
      <c r="L22" s="200">
        <f>'2021'!M23-'2020'!M23</f>
        <v>1.6749961227022472</v>
      </c>
      <c r="M22" s="200">
        <f>'2021'!N23-'2020'!N23</f>
        <v>5.9688737215898673</v>
      </c>
      <c r="N22" s="201">
        <f t="shared" si="3"/>
        <v>11.366847896293988</v>
      </c>
      <c r="O22" s="200">
        <f>'2021'!P23-'2020'!Q23</f>
        <v>9.5941185952077248</v>
      </c>
      <c r="P22" s="200">
        <f>'2021'!Q23-'2020'!R23</f>
        <v>1.7727293010862637</v>
      </c>
      <c r="Q22" s="200">
        <f>'2021'!R23-'2020'!S23</f>
        <v>0</v>
      </c>
    </row>
    <row r="23" spans="1:17">
      <c r="A23" s="205" t="s">
        <v>40</v>
      </c>
      <c r="B23" s="202">
        <f t="shared" si="0"/>
        <v>0.51940891804345701</v>
      </c>
      <c r="C23" s="200">
        <f>'2021'!D24-'2020'!D24</f>
        <v>0.17319941487206303</v>
      </c>
      <c r="D23" s="200">
        <f>'2021'!E24-'2020'!E24</f>
        <v>0.34620950317139398</v>
      </c>
      <c r="E23" s="200">
        <f>'2021'!F24-'2020'!F24</f>
        <v>0</v>
      </c>
      <c r="F23" s="201">
        <f t="shared" si="1"/>
        <v>5.6614440224317886E-2</v>
      </c>
      <c r="G23" s="200">
        <f>'2021'!H24-'2020'!H24</f>
        <v>4.8093464304235667E-2</v>
      </c>
      <c r="H23" s="200">
        <f>'2021'!I24-'2020'!I24</f>
        <v>8.5209759200822188E-3</v>
      </c>
      <c r="I23" s="200">
        <f>'2021'!J24-'2020'!J24</f>
        <v>0</v>
      </c>
      <c r="J23" s="201">
        <f t="shared" si="2"/>
        <v>2.3099849039727856</v>
      </c>
      <c r="K23" s="200">
        <f>'2021'!L24-'2020'!L24</f>
        <v>0.74423936877797536</v>
      </c>
      <c r="L23" s="200">
        <f>'2021'!M24-'2020'!M24</f>
        <v>1.5657455351948104</v>
      </c>
      <c r="M23" s="200">
        <f>'2021'!N24-'2020'!N24</f>
        <v>0</v>
      </c>
      <c r="N23" s="201">
        <f t="shared" si="3"/>
        <v>0.77232093008878833</v>
      </c>
      <c r="O23" s="200">
        <f>'2021'!P24-'2020'!Q24</f>
        <v>0.60019937890895125</v>
      </c>
      <c r="P23" s="200">
        <f>'2021'!Q24-'2020'!R24</f>
        <v>0.17212155117983707</v>
      </c>
      <c r="Q23" s="200">
        <f>'2021'!R24-'2020'!S24</f>
        <v>0</v>
      </c>
    </row>
    <row r="24" spans="1:17">
      <c r="A24" s="205" t="s">
        <v>41</v>
      </c>
      <c r="B24" s="202">
        <f t="shared" si="0"/>
        <v>4.9855542861867672</v>
      </c>
      <c r="C24" s="200">
        <f>'2021'!D25-'2020'!D25</f>
        <v>2.5734683081935983</v>
      </c>
      <c r="D24" s="200">
        <f>'2021'!E25-'2020'!E25</f>
        <v>2.4120859779931685</v>
      </c>
      <c r="E24" s="200">
        <f>'2021'!F25-'2020'!F25</f>
        <v>-4.2669785781216287</v>
      </c>
      <c r="F24" s="201">
        <f t="shared" si="1"/>
        <v>-2.1450185809986744</v>
      </c>
      <c r="G24" s="200">
        <f>'2021'!H25-'2020'!H25</f>
        <v>-1.3850592296860416</v>
      </c>
      <c r="H24" s="200">
        <f>'2021'!I25-'2020'!I25</f>
        <v>-0.75995935131263259</v>
      </c>
      <c r="I24" s="200">
        <f>'2021'!J25-'2020'!J25</f>
        <v>3.4268640238179242</v>
      </c>
      <c r="J24" s="201">
        <f t="shared" si="2"/>
        <v>1.8103170242200515</v>
      </c>
      <c r="K24" s="200">
        <f>'2021'!L25-'2020'!L25</f>
        <v>0.94426305750796113</v>
      </c>
      <c r="L24" s="200">
        <f>'2021'!M25-'2020'!M25</f>
        <v>0.86605396671209034</v>
      </c>
      <c r="M24" s="200">
        <f>'2021'!N25-'2020'!N25</f>
        <v>-1.6069418066335746</v>
      </c>
      <c r="N24" s="201">
        <f t="shared" si="3"/>
        <v>0.38344443294047237</v>
      </c>
      <c r="O24" s="200">
        <f>'2021'!P25-'2020'!Q25</f>
        <v>-0.52748378793853468</v>
      </c>
      <c r="P24" s="200">
        <f>'2021'!Q25-'2020'!R25</f>
        <v>-0.35472319795566953</v>
      </c>
      <c r="Q24" s="200">
        <f>'2021'!R25-'2020'!S25</f>
        <v>1.2656514188346766</v>
      </c>
    </row>
    <row r="25" spans="1:17">
      <c r="A25" s="205" t="s">
        <v>42</v>
      </c>
      <c r="B25" s="202">
        <f t="shared" si="0"/>
        <v>11.883527864307789</v>
      </c>
      <c r="C25" s="200">
        <f>'2021'!D26-'2020'!D26</f>
        <v>0.84238309482866103</v>
      </c>
      <c r="D25" s="200">
        <f>'2021'!E26-'2020'!E26</f>
        <v>11.041144769479128</v>
      </c>
      <c r="E25" s="200">
        <f>'2021'!F26-'2020'!F26</f>
        <v>0.14884525071915999</v>
      </c>
      <c r="F25" s="201">
        <f t="shared" si="1"/>
        <v>-2.3709503086954533</v>
      </c>
      <c r="G25" s="200">
        <f>'2021'!H26-'2020'!H26</f>
        <v>-2.6537642735686289</v>
      </c>
      <c r="H25" s="200">
        <f>'2021'!I26-'2020'!I26</f>
        <v>0.28281396487317556</v>
      </c>
      <c r="I25" s="200">
        <f>'2021'!J26-'2020'!J26</f>
        <v>0</v>
      </c>
      <c r="J25" s="201">
        <f t="shared" si="2"/>
        <v>6.4711275728760764</v>
      </c>
      <c r="K25" s="200">
        <f>'2021'!L26-'2020'!L26</f>
        <v>0.43211337865012078</v>
      </c>
      <c r="L25" s="200">
        <f>'2021'!M26-'2020'!M26</f>
        <v>6.0390141942259561</v>
      </c>
      <c r="M25" s="200">
        <f>'2021'!N26-'2020'!N26</f>
        <v>9.384036066177992E-2</v>
      </c>
      <c r="N25" s="201">
        <f t="shared" si="3"/>
        <v>-1.16358584762613</v>
      </c>
      <c r="O25" s="200">
        <f>'2021'!P26-'2020'!Q26</f>
        <v>-1.3377241768997119</v>
      </c>
      <c r="P25" s="200">
        <f>'2021'!Q26-'2020'!R26</f>
        <v>0.17413832927358186</v>
      </c>
      <c r="Q25" s="200">
        <f>'2021'!R26-'2020'!S26</f>
        <v>0</v>
      </c>
    </row>
    <row r="26" spans="1:17">
      <c r="A26" s="205" t="s">
        <v>43</v>
      </c>
      <c r="B26" s="202">
        <f t="shared" si="0"/>
        <v>1.2954206183447887</v>
      </c>
      <c r="C26" s="200">
        <f>'2021'!D27-'2020'!D27</f>
        <v>7.4642707273780445E-2</v>
      </c>
      <c r="D26" s="200">
        <f>'2021'!E27-'2020'!E27</f>
        <v>1.2207779110710082</v>
      </c>
      <c r="E26" s="200">
        <f>'2021'!F27-'2020'!F27</f>
        <v>7.5320270858253366E-2</v>
      </c>
      <c r="F26" s="201">
        <f t="shared" si="1"/>
        <v>-0.68163203800733407</v>
      </c>
      <c r="G26" s="200">
        <f>'2021'!H27-'2020'!H27</f>
        <v>0</v>
      </c>
      <c r="H26" s="200">
        <f>'2021'!I27-'2020'!I27</f>
        <v>-0.68163203800733407</v>
      </c>
      <c r="I26" s="200">
        <f>'2021'!J27-'2020'!J27</f>
        <v>0</v>
      </c>
      <c r="J26" s="201">
        <f t="shared" si="2"/>
        <v>5.8105016854498865</v>
      </c>
      <c r="K26" s="200">
        <f>'2021'!L27-'2020'!L27</f>
        <v>0.33515914969200289</v>
      </c>
      <c r="L26" s="200">
        <f>'2021'!M27-'2020'!M27</f>
        <v>5.4753425357578838</v>
      </c>
      <c r="M26" s="200">
        <f>'2021'!N27-'2020'!N27</f>
        <v>0.34680913495261462</v>
      </c>
      <c r="N26" s="201">
        <f t="shared" si="3"/>
        <v>-3.2940550881741606</v>
      </c>
      <c r="O26" s="200">
        <f>'2021'!P27-'2020'!Q27</f>
        <v>0</v>
      </c>
      <c r="P26" s="200">
        <f>'2021'!Q27-'2020'!R27</f>
        <v>-3.2940550881741606</v>
      </c>
      <c r="Q26" s="200">
        <f>'2021'!R27-'2020'!S27</f>
        <v>0</v>
      </c>
    </row>
    <row r="27" spans="1:17">
      <c r="A27" s="205" t="s">
        <v>44</v>
      </c>
      <c r="B27" s="202">
        <f t="shared" si="0"/>
        <v>26.757596863801012</v>
      </c>
      <c r="C27" s="200">
        <f>'2021'!D28-'2020'!D28</f>
        <v>2.0607683670948558</v>
      </c>
      <c r="D27" s="200">
        <f>'2021'!E28-'2020'!E28</f>
        <v>24.696828496706157</v>
      </c>
      <c r="E27" s="200">
        <f>'2021'!F28-'2020'!F28</f>
        <v>0.84971739212779607</v>
      </c>
      <c r="F27" s="201">
        <f t="shared" si="1"/>
        <v>5.2628185935441252</v>
      </c>
      <c r="G27" s="200">
        <f>'2021'!H28-'2020'!H28</f>
        <v>2.0164092967720628</v>
      </c>
      <c r="H27" s="200">
        <f>'2021'!I28-'2020'!I28</f>
        <v>3.2464092967720628</v>
      </c>
      <c r="I27" s="200">
        <f>'2021'!J28-'2020'!J28</f>
        <v>0</v>
      </c>
      <c r="J27" s="201">
        <f t="shared" si="2"/>
        <v>6.1608052438458545</v>
      </c>
      <c r="K27" s="200">
        <f>'2021'!L28-'2020'!L28</f>
        <v>0.46681881619044563</v>
      </c>
      <c r="L27" s="200">
        <f>'2021'!M28-'2020'!M28</f>
        <v>5.6939864276554086</v>
      </c>
      <c r="M27" s="200">
        <f>'2021'!N28-'2020'!N28</f>
        <v>0.18572155941977542</v>
      </c>
      <c r="N27" s="201">
        <f t="shared" si="3"/>
        <v>1.2018283374274357</v>
      </c>
      <c r="O27" s="200">
        <f>'2021'!P28-'2020'!Q28</f>
        <v>0.45290629740991706</v>
      </c>
      <c r="P27" s="200">
        <f>'2021'!Q28-'2020'!R28</f>
        <v>0.74892204001751872</v>
      </c>
      <c r="Q27" s="200">
        <f>'2021'!R28-'2020'!S28</f>
        <v>0</v>
      </c>
    </row>
    <row r="28" spans="1:17">
      <c r="A28" s="204" t="s">
        <v>45</v>
      </c>
      <c r="B28" s="202">
        <f t="shared" si="0"/>
        <v>16.008152922120104</v>
      </c>
      <c r="C28" s="200">
        <f>'2021'!D29-'2020'!D29</f>
        <v>4.942148062439716</v>
      </c>
      <c r="D28" s="200">
        <f>'2021'!E29-'2020'!E29</f>
        <v>11.066004859680387</v>
      </c>
      <c r="E28" s="200">
        <f>'2021'!F29-'2020'!F29</f>
        <v>1.5809483738048691E-2</v>
      </c>
      <c r="F28" s="201">
        <f t="shared" si="1"/>
        <v>4.1553701560992913</v>
      </c>
      <c r="G28" s="200">
        <f>'2021'!H29-'2020'!H29</f>
        <v>1.0736931038835773</v>
      </c>
      <c r="H28" s="200">
        <f>'2021'!I29-'2020'!I29</f>
        <v>3.0816770522157135</v>
      </c>
      <c r="I28" s="200">
        <f>'2021'!J29-'2020'!J29</f>
        <v>0</v>
      </c>
      <c r="J28" s="201">
        <f t="shared" si="2"/>
        <v>3.3629827539746051</v>
      </c>
      <c r="K28" s="200">
        <f>'2021'!L29-'2020'!L29</f>
        <v>1.0500531152982662</v>
      </c>
      <c r="L28" s="200">
        <f>'2021'!M29-'2020'!M29</f>
        <v>2.3129296386763389</v>
      </c>
      <c r="M28" s="200">
        <f>'2021'!N29-'2020'!N29</f>
        <v>-3.7637504535875665E-2</v>
      </c>
      <c r="N28" s="201">
        <f t="shared" si="3"/>
        <v>0.82513278824566516</v>
      </c>
      <c r="O28" s="200">
        <f>'2021'!P29-'2020'!Q29</f>
        <v>0.26104999798405526</v>
      </c>
      <c r="P28" s="200">
        <f>'2021'!Q29-'2020'!R29</f>
        <v>0.5640827902616099</v>
      </c>
      <c r="Q28" s="200">
        <f>'2021'!R29-'2020'!S29</f>
        <v>0</v>
      </c>
    </row>
    <row r="29" spans="1:17">
      <c r="A29" s="205" t="s">
        <v>46</v>
      </c>
      <c r="B29" s="202">
        <f t="shared" si="0"/>
        <v>0.93070101122818638</v>
      </c>
      <c r="C29" s="200">
        <f>'2021'!D30-'2020'!D30</f>
        <v>0.44007731725619964</v>
      </c>
      <c r="D29" s="200">
        <f>'2021'!E30-'2020'!E30</f>
        <v>0.4906236939719868</v>
      </c>
      <c r="E29" s="200">
        <f>'2021'!F30-'2020'!F30</f>
        <v>0</v>
      </c>
      <c r="F29" s="201">
        <f t="shared" si="1"/>
        <v>-0.30933920314716878</v>
      </c>
      <c r="G29" s="200">
        <f>'2021'!H30-'2020'!H30</f>
        <v>4.0174250299493036E-2</v>
      </c>
      <c r="H29" s="200">
        <f>'2021'!I30-'2020'!I30</f>
        <v>-0.34951345344666185</v>
      </c>
      <c r="I29" s="200">
        <f>'2021'!J30-'2020'!J30</f>
        <v>0</v>
      </c>
      <c r="J29" s="201">
        <f t="shared" si="2"/>
        <v>2.7004462265992148</v>
      </c>
      <c r="K29" s="200">
        <f>'2021'!L30-'2020'!L30</f>
        <v>1.3046449884297426</v>
      </c>
      <c r="L29" s="200">
        <f>'2021'!M30-'2020'!M30</f>
        <v>1.3958012381694722</v>
      </c>
      <c r="M29" s="200">
        <f>'2021'!N30-'2020'!N30</f>
        <v>0</v>
      </c>
      <c r="N29" s="201">
        <f t="shared" si="3"/>
        <v>-0.9750101353149041</v>
      </c>
      <c r="O29" s="200">
        <f>'2021'!P30-'2020'!Q30</f>
        <v>0.10000000000000009</v>
      </c>
      <c r="P29" s="200">
        <f>'2021'!Q30-'2020'!R30</f>
        <v>-1.0750101353149042</v>
      </c>
      <c r="Q29" s="200">
        <f>'2021'!R30-'2020'!S30</f>
        <v>0</v>
      </c>
    </row>
    <row r="30" spans="1:17">
      <c r="A30" s="204" t="s">
        <v>47</v>
      </c>
      <c r="B30" s="202">
        <f t="shared" si="0"/>
        <v>1.8127272608878233</v>
      </c>
      <c r="C30" s="200">
        <f>'2021'!D31-'2020'!D31</f>
        <v>0.53086829320013718</v>
      </c>
      <c r="D30" s="200">
        <f>'2021'!E31-'2020'!E31</f>
        <v>1.2818589676876861</v>
      </c>
      <c r="E30" s="200">
        <f>'2021'!F31-'2020'!F31</f>
        <v>-0.89279687578339972</v>
      </c>
      <c r="F30" s="201">
        <f t="shared" si="1"/>
        <v>-0.3828441054824393</v>
      </c>
      <c r="G30" s="200">
        <f>'2021'!H31-'2020'!H31</f>
        <v>6.9442814202764436E-2</v>
      </c>
      <c r="H30" s="200">
        <f>'2021'!I31-'2020'!I31</f>
        <v>-0.45228691968520374</v>
      </c>
      <c r="I30" s="200">
        <f>'2021'!J31-'2020'!J31</f>
        <v>0</v>
      </c>
      <c r="J30" s="201">
        <f t="shared" si="2"/>
        <v>3.2192856066495414</v>
      </c>
      <c r="K30" s="200">
        <f>'2021'!L31-'2020'!L31</f>
        <v>0.92756638949615966</v>
      </c>
      <c r="L30" s="200">
        <f>'2021'!M31-'2020'!M31</f>
        <v>2.2917192171533816</v>
      </c>
      <c r="M30" s="200">
        <f>'2021'!N31-'2020'!N31</f>
        <v>-1.6303952140068207</v>
      </c>
      <c r="N30" s="201">
        <f t="shared" si="3"/>
        <v>-0.72156671778555659</v>
      </c>
      <c r="O30" s="200">
        <f>'2021'!P31-'2020'!Q31</f>
        <v>0.11765891166312803</v>
      </c>
      <c r="P30" s="200">
        <f>'2021'!Q31-'2020'!R31</f>
        <v>-0.83922562944868462</v>
      </c>
      <c r="Q30" s="200">
        <f>'2021'!R31-'2020'!S31</f>
        <v>0</v>
      </c>
    </row>
    <row r="31" spans="1:17">
      <c r="A31" s="205" t="s">
        <v>48</v>
      </c>
      <c r="B31" s="202">
        <f t="shared" si="0"/>
        <v>0.12197614489762618</v>
      </c>
      <c r="C31" s="200">
        <f>'2021'!D32-'2020'!D32</f>
        <v>0.11473187508637858</v>
      </c>
      <c r="D31" s="200">
        <f>'2021'!E32-'2020'!E32</f>
        <v>7.2442698112475945E-3</v>
      </c>
      <c r="E31" s="200">
        <f>'2021'!F32-'2020'!F32</f>
        <v>2.4720318780149242E-3</v>
      </c>
      <c r="F31" s="201">
        <f t="shared" si="1"/>
        <v>8.7534926885912689E-3</v>
      </c>
      <c r="G31" s="200">
        <f>'2021'!H32-'2020'!H32</f>
        <v>1.2073783018746731E-3</v>
      </c>
      <c r="H31" s="200">
        <f>'2021'!I32-'2020'!I32</f>
        <v>7.5461143867165958E-3</v>
      </c>
      <c r="I31" s="200">
        <f>'2021'!J32-'2020'!J32</f>
        <v>-8.696217414326135E-3</v>
      </c>
      <c r="J31" s="201">
        <f t="shared" si="2"/>
        <v>5.0617689248164788E-2</v>
      </c>
      <c r="K31" s="200">
        <f>'2021'!L32-'2020'!L32</f>
        <v>0.14780289046642781</v>
      </c>
      <c r="L31" s="200">
        <f>'2021'!M32-'2020'!M32</f>
        <v>-9.7185201218263018E-2</v>
      </c>
      <c r="M31" s="200">
        <f>'2021'!N32-'2020'!N32</f>
        <v>-0.20186180139179744</v>
      </c>
      <c r="N31" s="201">
        <f t="shared" si="3"/>
        <v>-0.16946673431904391</v>
      </c>
      <c r="O31" s="200">
        <f>'2021'!P32-'2020'!Q32</f>
        <v>-1.6197533536377096E-2</v>
      </c>
      <c r="P31" s="200">
        <f>'2021'!Q32-'2020'!R32</f>
        <v>-0.10123458460235657</v>
      </c>
      <c r="Q31" s="200">
        <f>'2021'!R32-'2020'!S32</f>
        <v>-5.2034616180310245E-2</v>
      </c>
    </row>
    <row r="32" spans="1:17">
      <c r="A32" s="205" t="s">
        <v>49</v>
      </c>
      <c r="B32" s="202">
        <f t="shared" si="0"/>
        <v>53.405319500717908</v>
      </c>
      <c r="C32" s="200">
        <f>'2021'!D33-'2020'!D33</f>
        <v>12.229524725044866</v>
      </c>
      <c r="D32" s="200">
        <f>'2021'!E33-'2020'!E33</f>
        <v>41.17579477567304</v>
      </c>
      <c r="E32" s="200">
        <f>'2021'!F33-'2020'!F33</f>
        <v>-1.2173776287808025</v>
      </c>
      <c r="F32" s="201">
        <f t="shared" si="1"/>
        <v>-34.270513178448631</v>
      </c>
      <c r="G32" s="200">
        <f>'2021'!H33-'2020'!H33</f>
        <v>0</v>
      </c>
      <c r="H32" s="200">
        <f>'2021'!I33-'2020'!I33</f>
        <v>-34.270513178448631</v>
      </c>
      <c r="I32" s="200">
        <f>'2021'!J33-'2020'!J33</f>
        <v>0</v>
      </c>
      <c r="J32" s="201">
        <f t="shared" si="2"/>
        <v>5.7670006867294008</v>
      </c>
      <c r="K32" s="200">
        <f>'2021'!L33-'2020'!L33</f>
        <v>1.3257721869280721</v>
      </c>
      <c r="L32" s="200">
        <f>'2021'!M33-'2020'!M33</f>
        <v>4.4412284998013289</v>
      </c>
      <c r="M32" s="200">
        <f>'2021'!N33-'2020'!N33</f>
        <v>-0.16219035990689656</v>
      </c>
      <c r="N32" s="201">
        <f t="shared" si="3"/>
        <v>-3.9020068986481524</v>
      </c>
      <c r="O32" s="200">
        <f>'2021'!P33-'2020'!Q33</f>
        <v>0</v>
      </c>
      <c r="P32" s="200">
        <f>'2021'!Q33-'2020'!R33</f>
        <v>-3.9020068986481524</v>
      </c>
      <c r="Q32" s="200">
        <f>'2021'!R33-'2020'!S33</f>
        <v>0</v>
      </c>
    </row>
    <row r="33" spans="1:17">
      <c r="A33" s="205" t="s">
        <v>50</v>
      </c>
      <c r="B33" s="202">
        <f t="shared" si="0"/>
        <v>0.4580441819920309</v>
      </c>
      <c r="C33" s="200">
        <f>'2021'!D34-'2020'!D34</f>
        <v>0.78844834295863242</v>
      </c>
      <c r="D33" s="200">
        <f>'2021'!E34-'2020'!E34</f>
        <v>-0.33040416096660152</v>
      </c>
      <c r="E33" s="200">
        <f>'2021'!F34-'2020'!F34</f>
        <v>0</v>
      </c>
      <c r="F33" s="201">
        <f t="shared" si="1"/>
        <v>-1.5736558197847814</v>
      </c>
      <c r="G33" s="200">
        <f>'2021'!H34-'2020'!H34</f>
        <v>0.59041841284024388</v>
      </c>
      <c r="H33" s="200">
        <f>'2021'!I34-'2020'!I34</f>
        <v>-2.1640742326250253</v>
      </c>
      <c r="I33" s="200">
        <f>'2021'!J34-'2020'!J34</f>
        <v>0</v>
      </c>
      <c r="J33" s="201">
        <f t="shared" si="2"/>
        <v>0.2152577844942527</v>
      </c>
      <c r="K33" s="200">
        <f>'2021'!L34-'2020'!L34</f>
        <v>0.37633521628116706</v>
      </c>
      <c r="L33" s="200">
        <f>'2021'!M34-'2020'!M34</f>
        <v>-0.16107743178691436</v>
      </c>
      <c r="M33" s="200">
        <f>'2021'!N34-'2020'!N34</f>
        <v>0</v>
      </c>
      <c r="N33" s="201">
        <f t="shared" si="3"/>
        <v>-0.75206311719260222</v>
      </c>
      <c r="O33" s="200">
        <f>'2021'!P34-'2020'!Q34</f>
        <v>0.28183720856168359</v>
      </c>
      <c r="P33" s="200">
        <f>'2021'!Q34-'2020'!R34</f>
        <v>-1.0339003257542858</v>
      </c>
      <c r="Q33" s="200">
        <f>'2021'!R34-'2020'!S34</f>
        <v>0</v>
      </c>
    </row>
    <row r="34" spans="1:17">
      <c r="A34" s="205" t="s">
        <v>51</v>
      </c>
      <c r="B34" s="202">
        <f t="shared" si="0"/>
        <v>10.568195188791748</v>
      </c>
      <c r="C34" s="200">
        <f>'2021'!D35-'2020'!D35</f>
        <v>1.4817617492001967</v>
      </c>
      <c r="D34" s="200">
        <f>'2021'!E35-'2020'!E35</f>
        <v>9.0864334395915503</v>
      </c>
      <c r="E34" s="200">
        <f>'2021'!F35-'2020'!F35</f>
        <v>0</v>
      </c>
      <c r="F34" s="201">
        <f t="shared" si="1"/>
        <v>0.86303426186269405</v>
      </c>
      <c r="G34" s="200">
        <f>'2021'!H35-'2020'!H35</f>
        <v>0.82313210460347186</v>
      </c>
      <c r="H34" s="200">
        <f>'2021'!I35-'2020'!I35</f>
        <v>3.9902157259222193E-2</v>
      </c>
      <c r="I34" s="200">
        <f>'2021'!J35-'2020'!J35</f>
        <v>0</v>
      </c>
      <c r="J34" s="201">
        <f t="shared" si="2"/>
        <v>3.6853039436141928</v>
      </c>
      <c r="K34" s="200">
        <f>'2021'!L35-'2020'!L35</f>
        <v>0.49404333712989551</v>
      </c>
      <c r="L34" s="200">
        <f>'2021'!M35-'2020'!M35</f>
        <v>3.1912606064842972</v>
      </c>
      <c r="M34" s="200">
        <f>'2021'!N35-'2020'!N35</f>
        <v>0</v>
      </c>
      <c r="N34" s="201">
        <f t="shared" si="3"/>
        <v>0.15850787942919542</v>
      </c>
      <c r="O34" s="200">
        <f>'2021'!P35-'2020'!Q35</f>
        <v>0.21131755863490653</v>
      </c>
      <c r="P34" s="200">
        <f>'2021'!Q35-'2020'!R35</f>
        <v>-5.2809679205711113E-2</v>
      </c>
      <c r="Q34" s="200">
        <f>'2021'!R35-'2020'!S35</f>
        <v>0</v>
      </c>
    </row>
    <row r="35" spans="1:17">
      <c r="A35" s="205" t="s">
        <v>52</v>
      </c>
      <c r="B35" s="202">
        <f t="shared" si="0"/>
        <v>2.9960080689909963</v>
      </c>
      <c r="C35" s="200">
        <f>'2021'!D36-'2020'!D36</f>
        <v>6.64058066031048E-3</v>
      </c>
      <c r="D35" s="200">
        <f>'2021'!E36-'2020'!E36</f>
        <v>2.9893674883306858</v>
      </c>
      <c r="E35" s="200">
        <f>'2021'!F36-'2020'!F36</f>
        <v>-7.7368709221479817</v>
      </c>
      <c r="F35" s="201">
        <f t="shared" si="1"/>
        <v>-1.6726829942206933</v>
      </c>
      <c r="G35" s="200">
        <f>'2021'!H36-'2020'!H36</f>
        <v>0</v>
      </c>
      <c r="H35" s="200">
        <f>'2021'!I36-'2020'!I36</f>
        <v>-1.6726829942206933</v>
      </c>
      <c r="I35" s="200">
        <f>'2021'!J36-'2020'!J36</f>
        <v>0</v>
      </c>
      <c r="J35" s="201">
        <f t="shared" si="2"/>
        <v>1.3215854995956089</v>
      </c>
      <c r="K35" s="200">
        <f>'2021'!L36-'2020'!L36</f>
        <v>5.1305505975489663E-3</v>
      </c>
      <c r="L35" s="200">
        <f>'2021'!M36-'2020'!M36</f>
        <v>1.3164549489980599</v>
      </c>
      <c r="M35" s="200">
        <f>'2021'!N36-'2020'!N36</f>
        <v>-3.3800881112019234</v>
      </c>
      <c r="N35" s="201">
        <f t="shared" si="3"/>
        <v>-0.71935475392539949</v>
      </c>
      <c r="O35" s="200">
        <f>'2021'!P36-'2020'!Q36</f>
        <v>0</v>
      </c>
      <c r="P35" s="200">
        <f>'2021'!Q36-'2020'!R36</f>
        <v>-0.71935475392539949</v>
      </c>
      <c r="Q35" s="200">
        <f>'2021'!R36-'2020'!S36</f>
        <v>0</v>
      </c>
    </row>
    <row r="36" spans="1:17">
      <c r="A36" s="204" t="s">
        <v>54</v>
      </c>
      <c r="B36" s="202">
        <f t="shared" si="0"/>
        <v>2.3328215382855015</v>
      </c>
      <c r="C36" s="200">
        <f>'2021'!D37-'2020'!D37</f>
        <v>1.1463344391640371</v>
      </c>
      <c r="D36" s="200">
        <f>'2021'!E37-'2020'!E37</f>
        <v>1.1864870991214644</v>
      </c>
      <c r="E36" s="200">
        <f>'2021'!F37-'2020'!F37</f>
        <v>5.5953016739066053E-2</v>
      </c>
      <c r="F36" s="201">
        <f t="shared" si="1"/>
        <v>-2.7644362885349008</v>
      </c>
      <c r="G36" s="200">
        <f>'2021'!H37-'2020'!H37</f>
        <v>0</v>
      </c>
      <c r="H36" s="200">
        <f>'2021'!I37-'2020'!I37</f>
        <v>-2.7644362885349008</v>
      </c>
      <c r="I36" s="200">
        <f>'2021'!J37-'2020'!J37</f>
        <v>0</v>
      </c>
      <c r="J36" s="201">
        <f t="shared" si="2"/>
        <v>2.1047686549919149</v>
      </c>
      <c r="K36" s="200">
        <f>'2021'!L37-'2020'!L37</f>
        <v>1.0506162949512823</v>
      </c>
      <c r="L36" s="200">
        <f>'2021'!M37-'2020'!M37</f>
        <v>1.0541523600406326</v>
      </c>
      <c r="M36" s="200">
        <f>'2021'!N37-'2020'!N37</f>
        <v>4.7524695159605557E-2</v>
      </c>
      <c r="N36" s="201">
        <f t="shared" si="3"/>
        <v>-2.7372493129285731</v>
      </c>
      <c r="O36" s="200">
        <f>'2021'!P37-'2020'!Q37</f>
        <v>0</v>
      </c>
      <c r="P36" s="200">
        <f>'2021'!Q37-'2020'!R37</f>
        <v>-2.7372493129285731</v>
      </c>
      <c r="Q36" s="200">
        <f>'2021'!R37-'2020'!S37</f>
        <v>0</v>
      </c>
    </row>
    <row r="37" spans="1:17">
      <c r="A37" s="204" t="s">
        <v>55</v>
      </c>
      <c r="B37" s="202">
        <f t="shared" si="0"/>
        <v>2.4340199049526561</v>
      </c>
      <c r="C37" s="200">
        <f>'2021'!D38-'2020'!D38</f>
        <v>-5.5305365439891896E-2</v>
      </c>
      <c r="D37" s="200">
        <f>'2021'!E38-'2020'!E38</f>
        <v>2.4893252703925479</v>
      </c>
      <c r="E37" s="200">
        <f>'2021'!F38-'2020'!F38</f>
        <v>0.374</v>
      </c>
      <c r="F37" s="201">
        <f t="shared" si="1"/>
        <v>0</v>
      </c>
      <c r="G37" s="200">
        <f>'2021'!H38-'2020'!H38</f>
        <v>0</v>
      </c>
      <c r="H37" s="200">
        <f>'2021'!I38-'2020'!I38</f>
        <v>0</v>
      </c>
      <c r="I37" s="200">
        <f>'2021'!J38-'2020'!J38</f>
        <v>0</v>
      </c>
      <c r="J37" s="201">
        <f t="shared" si="2"/>
        <v>4.053943668093801</v>
      </c>
      <c r="K37" s="200">
        <f>'2021'!L38-'2020'!L38</f>
        <v>-8.0009272741761062E-2</v>
      </c>
      <c r="L37" s="200">
        <f>'2021'!M38-'2020'!M38</f>
        <v>4.1339529408355622</v>
      </c>
      <c r="M37" s="200">
        <f>'2021'!N38-'2020'!N38</f>
        <v>0.60000000000000009</v>
      </c>
      <c r="N37" s="201">
        <f t="shared" si="3"/>
        <v>0</v>
      </c>
      <c r="O37" s="200">
        <f>'2021'!P38-'2020'!Q38</f>
        <v>0</v>
      </c>
      <c r="P37" s="200">
        <f>'2021'!Q38-'2020'!R38</f>
        <v>0</v>
      </c>
      <c r="Q37" s="200">
        <f>'2021'!R38-'2020'!S38</f>
        <v>0</v>
      </c>
    </row>
    <row r="38" spans="1:17">
      <c r="A38" s="204" t="s">
        <v>56</v>
      </c>
      <c r="B38" s="202">
        <f t="shared" si="0"/>
        <v>0.14978738107463396</v>
      </c>
      <c r="C38" s="200">
        <f>'2021'!D39-'2020'!D39</f>
        <v>4.9594344938770796E-2</v>
      </c>
      <c r="D38" s="200">
        <f>'2021'!E39-'2020'!E39</f>
        <v>0.10019303613586317</v>
      </c>
      <c r="E38" s="200">
        <f>'2021'!F39-'2020'!F39</f>
        <v>0.11278619484333774</v>
      </c>
      <c r="F38" s="201">
        <f t="shared" si="1"/>
        <v>8.8107902061195453E-2</v>
      </c>
      <c r="G38" s="200">
        <f>'2021'!H39-'2020'!H39</f>
        <v>3.9390999393047466E-3</v>
      </c>
      <c r="H38" s="200">
        <f>'2021'!I39-'2020'!I39</f>
        <v>8.4168802121890707E-2</v>
      </c>
      <c r="I38" s="200">
        <f>'2021'!J39-'2020'!J39</f>
        <v>0</v>
      </c>
      <c r="J38" s="201">
        <f t="shared" si="2"/>
        <v>-4.6875452844806098E-2</v>
      </c>
      <c r="K38" s="200">
        <f>'2021'!L39-'2020'!L39</f>
        <v>-4.4473375676625793E-3</v>
      </c>
      <c r="L38" s="200">
        <f>'2021'!M39-'2020'!M39</f>
        <v>-4.2428115277143519E-2</v>
      </c>
      <c r="M38" s="200">
        <f>'2021'!N39-'2020'!N39</f>
        <v>-0.10025128007571826</v>
      </c>
      <c r="N38" s="201">
        <f t="shared" si="3"/>
        <v>-7.8315701480046102E-2</v>
      </c>
      <c r="O38" s="200">
        <f>'2021'!P39-'2020'!Q39</f>
        <v>-3.5013133638385485E-3</v>
      </c>
      <c r="P38" s="200">
        <f>'2021'!Q39-'2020'!R39</f>
        <v>-7.4814388116207553E-2</v>
      </c>
      <c r="Q38" s="200">
        <f>'2021'!R39-'2020'!S39</f>
        <v>0</v>
      </c>
    </row>
    <row r="39" spans="1:17">
      <c r="A39" s="204" t="s">
        <v>57</v>
      </c>
      <c r="B39" s="202">
        <f t="shared" si="0"/>
        <v>19.992191518567093</v>
      </c>
      <c r="C39" s="200">
        <f>'2021'!D40-'2020'!D40</f>
        <v>4.4998146472499663</v>
      </c>
      <c r="D39" s="200">
        <f>'2021'!E40-'2020'!E40</f>
        <v>15.492376871317127</v>
      </c>
      <c r="E39" s="200">
        <f>'2021'!F40-'2020'!F40</f>
        <v>0</v>
      </c>
      <c r="F39" s="201">
        <f t="shared" si="1"/>
        <v>1.8682202314776863</v>
      </c>
      <c r="G39" s="200">
        <f>'2021'!H40-'2020'!H40</f>
        <v>0.32113714115521264</v>
      </c>
      <c r="H39" s="200">
        <f>'2021'!I40-'2020'!I40</f>
        <v>1.5470830903224737</v>
      </c>
      <c r="I39" s="200">
        <f>'2021'!J40-'2020'!J40</f>
        <v>0</v>
      </c>
      <c r="J39" s="201">
        <f t="shared" si="2"/>
        <v>2.6228497428339161</v>
      </c>
      <c r="K39" s="200">
        <f>'2021'!L40-'2020'!L40</f>
        <v>0.59556012913840073</v>
      </c>
      <c r="L39" s="200">
        <f>'2021'!M40-'2020'!M40</f>
        <v>2.0272896136955154</v>
      </c>
      <c r="M39" s="200">
        <f>'2021'!N40-'2020'!N40</f>
        <v>0</v>
      </c>
      <c r="N39" s="201">
        <f t="shared" si="3"/>
        <v>0.20743590098923742</v>
      </c>
      <c r="O39" s="200">
        <f>'2021'!P40-'2020'!Q40</f>
        <v>4.1933419205390787E-2</v>
      </c>
      <c r="P39" s="200">
        <f>'2021'!Q40-'2020'!R40</f>
        <v>0.16550248178384663</v>
      </c>
      <c r="Q39" s="200">
        <f>'2021'!R40-'2020'!S40</f>
        <v>0</v>
      </c>
    </row>
    <row r="40" spans="1:17">
      <c r="A40" s="203" t="s">
        <v>60</v>
      </c>
      <c r="B40" s="202">
        <f t="shared" si="0"/>
        <v>11.328436070309353</v>
      </c>
      <c r="C40" s="200">
        <f>'2021'!D41-'2020'!D41</f>
        <v>-0.69891173880890034</v>
      </c>
      <c r="D40" s="200">
        <f>'2021'!E41-'2020'!E41</f>
        <v>12.027347809118254</v>
      </c>
      <c r="E40" s="200">
        <f>'2021'!F41-'2020'!F41</f>
        <v>1.0046076631681755</v>
      </c>
      <c r="F40" s="201">
        <f t="shared" si="1"/>
        <v>3.2859281358385646</v>
      </c>
      <c r="G40" s="200">
        <f>'2021'!H41-'2020'!H41</f>
        <v>3.2859281358385646</v>
      </c>
      <c r="H40" s="200">
        <f>'2021'!I41-'2020'!I41</f>
        <v>0</v>
      </c>
      <c r="I40" s="200">
        <f>'2021'!J41-'2020'!J41</f>
        <v>-1.4672521220830275</v>
      </c>
      <c r="J40" s="201">
        <f t="shared" si="2"/>
        <v>4.4370614905635621</v>
      </c>
      <c r="K40" s="200">
        <f>'2021'!L41-'2020'!L41</f>
        <v>-0.28111874901126577</v>
      </c>
      <c r="L40" s="200">
        <f>'2021'!M41-'2020'!M41</f>
        <v>4.7181802395748278</v>
      </c>
      <c r="M40" s="200">
        <f>'2021'!N41-'2020'!N41</f>
        <v>0.39094531468681604</v>
      </c>
      <c r="N40" s="201">
        <f t="shared" si="3"/>
        <v>0.70985803106845213</v>
      </c>
      <c r="O40" s="200">
        <f>'2021'!P41-'2020'!Q41</f>
        <v>1.2997035456550827</v>
      </c>
      <c r="P40" s="200">
        <f>'2021'!Q41-'2020'!R41</f>
        <v>0</v>
      </c>
      <c r="Q40" s="200">
        <f>'2021'!R41-'2020'!S41</f>
        <v>-0.58984551458663059</v>
      </c>
    </row>
    <row r="41" spans="1:17">
      <c r="A41" s="203" t="s">
        <v>61</v>
      </c>
      <c r="B41" s="202">
        <f t="shared" si="0"/>
        <v>1.4773253152961932</v>
      </c>
      <c r="C41" s="200">
        <f>'2021'!D42-'2020'!D42</f>
        <v>0.96162805443899124</v>
      </c>
      <c r="D41" s="200">
        <f>'2021'!E42-'2020'!E42</f>
        <v>0.51569726085720191</v>
      </c>
      <c r="E41" s="200">
        <f>'2021'!F42-'2020'!F42</f>
        <v>0.37439530761631801</v>
      </c>
      <c r="F41" s="201">
        <f t="shared" si="1"/>
        <v>-0.792975186445525</v>
      </c>
      <c r="G41" s="200">
        <f>'2021'!H42-'2020'!H42</f>
        <v>-0.84264994808854254</v>
      </c>
      <c r="H41" s="200">
        <f>'2021'!I42-'2020'!I42</f>
        <v>4.967476164301754E-2</v>
      </c>
      <c r="I41" s="200">
        <f>'2021'!J42-'2020'!J42</f>
        <v>0</v>
      </c>
      <c r="J41" s="201">
        <f t="shared" si="2"/>
        <v>0.51677319091247154</v>
      </c>
      <c r="K41" s="200">
        <f>'2021'!L42-'2020'!L42</f>
        <v>0.34694132068087336</v>
      </c>
      <c r="L41" s="200">
        <f>'2021'!M42-'2020'!M42</f>
        <v>0.16983187023159818</v>
      </c>
      <c r="M41" s="200">
        <f>'2021'!N42-'2020'!N42</f>
        <v>0.13760646792349962</v>
      </c>
      <c r="N41" s="201">
        <f t="shared" si="3"/>
        <v>-0.32999010229349102</v>
      </c>
      <c r="O41" s="200">
        <f>'2021'!P42-'2020'!Q42</f>
        <v>-0.33134169878888153</v>
      </c>
      <c r="P41" s="200">
        <f>'2021'!Q42-'2020'!R42</f>
        <v>1.3515964953905168E-3</v>
      </c>
      <c r="Q41" s="200">
        <f>'2021'!R42-'2020'!S42</f>
        <v>0</v>
      </c>
    </row>
    <row r="42" spans="1:17">
      <c r="A42" s="203" t="s">
        <v>62</v>
      </c>
      <c r="B42" s="202">
        <f t="shared" si="0"/>
        <v>0.15333847332957776</v>
      </c>
      <c r="C42" s="200">
        <f>'2021'!D43-'2020'!D43</f>
        <v>4.6165707683641088E-3</v>
      </c>
      <c r="D42" s="200">
        <f>'2021'!E43-'2020'!E43</f>
        <v>0.14872190256121365</v>
      </c>
      <c r="E42" s="200">
        <f>'2021'!F43-'2020'!F43</f>
        <v>-0.40447797630408838</v>
      </c>
      <c r="F42" s="201">
        <f t="shared" si="1"/>
        <v>0</v>
      </c>
      <c r="G42" s="200">
        <f>'2021'!H43-'2020'!H43</f>
        <v>0</v>
      </c>
      <c r="H42" s="200">
        <f>'2021'!I43-'2020'!I43</f>
        <v>0</v>
      </c>
      <c r="I42" s="200">
        <f>'2021'!J43-'2020'!J43</f>
        <v>0</v>
      </c>
      <c r="J42" s="201">
        <f t="shared" si="2"/>
        <v>0.17098808600613086</v>
      </c>
      <c r="K42" s="200">
        <f>'2021'!L43-'2020'!L43</f>
        <v>-2.9771980152431377E-2</v>
      </c>
      <c r="L42" s="200">
        <f>'2021'!M43-'2020'!M43</f>
        <v>0.20076006615856223</v>
      </c>
      <c r="M42" s="200">
        <f>'2021'!N43-'2020'!N43</f>
        <v>-0.682685853648893</v>
      </c>
      <c r="N42" s="201">
        <f t="shared" si="3"/>
        <v>0</v>
      </c>
      <c r="O42" s="200">
        <f>'2021'!P43-'2020'!Q43</f>
        <v>0</v>
      </c>
      <c r="P42" s="200">
        <f>'2021'!Q43-'2020'!R43</f>
        <v>0</v>
      </c>
      <c r="Q42" s="200">
        <f>'2021'!R43-'2020'!S43</f>
        <v>0</v>
      </c>
    </row>
    <row r="43" spans="1:17">
      <c r="A43" s="203" t="s">
        <v>65</v>
      </c>
      <c r="B43" s="202">
        <f t="shared" si="0"/>
        <v>11.802450953905005</v>
      </c>
      <c r="C43" s="200">
        <f>'2021'!D44-'2020'!D44</f>
        <v>5.9305849670506685</v>
      </c>
      <c r="D43" s="200">
        <f>'2021'!E44-'2020'!E44</f>
        <v>5.8718659868543375</v>
      </c>
      <c r="E43" s="200">
        <f>'2021'!F44-'2020'!F44</f>
        <v>0</v>
      </c>
      <c r="F43" s="201">
        <f t="shared" si="1"/>
        <v>-0.12702259531584925</v>
      </c>
      <c r="G43" s="200">
        <f>'2021'!H44-'2020'!H44</f>
        <v>0</v>
      </c>
      <c r="H43" s="200">
        <f>'2021'!I44-'2020'!I44</f>
        <v>-0.12702259531584925</v>
      </c>
      <c r="I43" s="200">
        <f>'2021'!J44-'2020'!J44</f>
        <v>0</v>
      </c>
      <c r="J43" s="201">
        <f t="shared" si="2"/>
        <v>7.5</v>
      </c>
      <c r="K43" s="200">
        <f>'2021'!L44-'2020'!L44</f>
        <v>3.7199079194849451</v>
      </c>
      <c r="L43" s="200">
        <f>'2021'!M44-'2020'!M44</f>
        <v>3.7800920805150549</v>
      </c>
      <c r="M43" s="200">
        <f>'2021'!N44-'2020'!N44</f>
        <v>0</v>
      </c>
      <c r="N43" s="201">
        <f t="shared" si="3"/>
        <v>-0.21982052627361437</v>
      </c>
      <c r="O43" s="200">
        <f>'2021'!P44-'2020'!Q44</f>
        <v>0</v>
      </c>
      <c r="P43" s="200">
        <f>'2021'!Q44-'2020'!R44</f>
        <v>-0.21982052627361437</v>
      </c>
      <c r="Q43" s="200">
        <f>'2021'!R44-'2020'!S44</f>
        <v>0</v>
      </c>
    </row>
    <row r="44" spans="1:17">
      <c r="A44" s="203" t="s">
        <v>72</v>
      </c>
      <c r="B44" s="202">
        <f t="shared" si="0"/>
        <v>-6.1933720156130523</v>
      </c>
      <c r="C44" s="200">
        <f>'2021'!D45-'2020'!D45</f>
        <v>1.6041485317439506</v>
      </c>
      <c r="D44" s="200">
        <f>'2021'!E45-'2020'!E45</f>
        <v>-7.7975205473570028</v>
      </c>
      <c r="E44" s="200">
        <f>'2021'!F45-'2020'!F45</f>
        <v>0</v>
      </c>
      <c r="F44" s="201">
        <f t="shared" si="1"/>
        <v>-2.8691941720151064</v>
      </c>
      <c r="G44" s="200">
        <f>'2021'!H45-'2020'!H45</f>
        <v>-2.9933301505039651</v>
      </c>
      <c r="H44" s="200">
        <f>'2021'!I45-'2020'!I45</f>
        <v>0.12413597848885871</v>
      </c>
      <c r="I44" s="200">
        <f>'2021'!J45-'2020'!J45</f>
        <v>0</v>
      </c>
      <c r="J44" s="201">
        <f t="shared" si="2"/>
        <v>-1.2136025316587993</v>
      </c>
      <c r="K44" s="200">
        <f>'2021'!L45-'2020'!L45</f>
        <v>0.2607484944518384</v>
      </c>
      <c r="L44" s="200">
        <f>'2021'!M45-'2020'!M45</f>
        <v>-1.4743510261106376</v>
      </c>
      <c r="M44" s="200">
        <f>'2021'!N45-'2020'!N45</f>
        <v>0</v>
      </c>
      <c r="N44" s="201">
        <f t="shared" si="3"/>
        <v>-0.60462819866457918</v>
      </c>
      <c r="O44" s="200">
        <f>'2021'!P45-'2020'!Q45</f>
        <v>-0.55196541217620498</v>
      </c>
      <c r="P44" s="200">
        <f>'2021'!Q45-'2020'!R45</f>
        <v>-5.2662786488374191E-2</v>
      </c>
      <c r="Q44" s="200">
        <f>'2021'!R45-'2020'!S45</f>
        <v>0</v>
      </c>
    </row>
    <row r="45" spans="1:17">
      <c r="A45" s="203"/>
      <c r="B45" s="202"/>
      <c r="C45" s="200"/>
      <c r="D45" s="200"/>
      <c r="E45" s="200"/>
      <c r="F45" s="201"/>
      <c r="G45" s="200"/>
      <c r="H45" s="200"/>
      <c r="I45" s="200"/>
      <c r="J45" s="201"/>
      <c r="K45" s="200"/>
      <c r="L45" s="200"/>
      <c r="M45" s="200"/>
      <c r="N45" s="201"/>
      <c r="O45" s="200"/>
      <c r="P45" s="200"/>
      <c r="Q45" s="200"/>
    </row>
    <row r="46" spans="1:17">
      <c r="M46" s="200"/>
    </row>
    <row r="47" spans="1:17">
      <c r="M47" s="200"/>
    </row>
  </sheetData>
  <mergeCells count="14">
    <mergeCell ref="A3:I3"/>
    <mergeCell ref="J3:Q3"/>
    <mergeCell ref="B4:E4"/>
    <mergeCell ref="F4:I4"/>
    <mergeCell ref="J4:M4"/>
    <mergeCell ref="N4:Q4"/>
    <mergeCell ref="O5:O6"/>
    <mergeCell ref="P5:Q5"/>
    <mergeCell ref="B5:D5"/>
    <mergeCell ref="E5:E6"/>
    <mergeCell ref="G5:G6"/>
    <mergeCell ref="H5:I5"/>
    <mergeCell ref="J5:L5"/>
    <mergeCell ref="M5:M6"/>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1B2D9-AC92-41DA-B100-6488C641B571}">
  <sheetPr>
    <tabColor rgb="FFFF0000"/>
    <pageSetUpPr fitToPage="1"/>
  </sheetPr>
  <dimension ref="A2:Z198"/>
  <sheetViews>
    <sheetView view="pageBreakPreview" zoomScale="70" zoomScaleNormal="100" zoomScaleSheetLayoutView="70" workbookViewId="0">
      <pane ySplit="5" topLeftCell="A47" activePane="bottomLeft" state="frozen"/>
      <selection activeCell="I185" sqref="I185"/>
      <selection pane="bottomLeft" activeCell="K51" sqref="K51:K53"/>
    </sheetView>
  </sheetViews>
  <sheetFormatPr baseColWidth="10" defaultColWidth="8.54296875" defaultRowHeight="12.5" outlineLevelRow="1" outlineLevelCol="1"/>
  <cols>
    <col min="1" max="1" width="6.54296875" style="2" customWidth="1" outlineLevel="1"/>
    <col min="2" max="2" width="7.26953125" style="2" customWidth="1" outlineLevel="1"/>
    <col min="3" max="3" width="5.81640625" style="147" customWidth="1"/>
    <col min="4" max="4" width="5.81640625" style="174" customWidth="1"/>
    <col min="5" max="5" width="1.453125" style="29" customWidth="1"/>
    <col min="6" max="6" width="4" style="28" bestFit="1" customWidth="1"/>
    <col min="7" max="7" width="10.54296875" style="145" customWidth="1"/>
    <col min="8" max="8" width="7.54296875" style="2" customWidth="1"/>
    <col min="9" max="9" width="31.54296875" style="29" customWidth="1"/>
    <col min="10" max="10" width="8.453125" style="29" customWidth="1"/>
    <col min="11" max="11" width="50.453125" style="28" customWidth="1"/>
    <col min="12" max="12" width="9" style="28" customWidth="1"/>
    <col min="13" max="13" width="36.54296875" style="28" customWidth="1"/>
    <col min="14" max="14" width="1.453125" style="29" customWidth="1"/>
    <col min="15" max="15" width="4" style="28" bestFit="1" customWidth="1"/>
    <col min="16" max="16" width="9.453125" style="29" customWidth="1"/>
    <col min="17" max="17" width="8.453125" style="146" customWidth="1"/>
    <col min="18" max="18" width="32.1796875" style="28" customWidth="1"/>
    <col min="19" max="19" width="1.453125" style="29" customWidth="1"/>
    <col min="20" max="20" width="4" style="28" bestFit="1" customWidth="1"/>
    <col min="21" max="21" width="8.54296875" style="145" bestFit="1" customWidth="1"/>
    <col min="22" max="22" width="37.453125" style="28" customWidth="1"/>
    <col min="23" max="23" width="9" style="28" customWidth="1"/>
    <col min="24" max="24" width="37.1796875" style="28" customWidth="1"/>
    <col min="25" max="25" width="9.54296875" style="28" hidden="1" customWidth="1"/>
    <col min="26" max="26" width="2.54296875" style="29" customWidth="1"/>
    <col min="27" max="16384" width="8.54296875" style="2"/>
  </cols>
  <sheetData>
    <row r="2" spans="1:26" ht="21.65" customHeight="1">
      <c r="A2" s="20"/>
      <c r="C2" s="21" t="s">
        <v>94</v>
      </c>
      <c r="D2" s="21"/>
      <c r="E2" s="22"/>
      <c r="F2" s="23"/>
      <c r="G2" s="24"/>
      <c r="H2" s="18"/>
      <c r="I2" s="22"/>
      <c r="J2" s="22"/>
      <c r="K2" s="25"/>
      <c r="L2" s="25"/>
      <c r="M2" s="25"/>
      <c r="N2" s="22"/>
      <c r="O2" s="25"/>
      <c r="P2" s="22"/>
      <c r="Q2" s="26"/>
      <c r="R2" s="25"/>
      <c r="S2" s="22"/>
      <c r="T2" s="25"/>
      <c r="U2" s="27"/>
      <c r="V2" s="25"/>
      <c r="W2" s="25"/>
      <c r="X2" s="25"/>
    </row>
    <row r="3" spans="1:26" ht="116.15" customHeight="1" outlineLevel="1">
      <c r="A3" s="20"/>
      <c r="C3" s="295" t="s">
        <v>95</v>
      </c>
      <c r="D3" s="295"/>
      <c r="E3" s="295"/>
      <c r="F3" s="295"/>
      <c r="G3" s="295"/>
      <c r="H3" s="295"/>
      <c r="I3" s="295"/>
      <c r="J3" s="295"/>
      <c r="K3" s="295"/>
      <c r="L3" s="295"/>
      <c r="M3" s="295"/>
      <c r="N3" s="295"/>
      <c r="O3" s="295"/>
      <c r="P3" s="295"/>
      <c r="Q3" s="295"/>
      <c r="R3" s="295"/>
      <c r="S3" s="295"/>
      <c r="T3" s="295"/>
      <c r="U3" s="295"/>
      <c r="V3" s="295"/>
      <c r="W3" s="295"/>
      <c r="X3" s="295"/>
    </row>
    <row r="4" spans="1:26" ht="13">
      <c r="A4" s="30"/>
      <c r="B4" s="30"/>
      <c r="C4" s="31"/>
      <c r="D4" s="31"/>
      <c r="F4" s="31"/>
      <c r="G4" s="32"/>
      <c r="H4" s="296" t="s">
        <v>96</v>
      </c>
      <c r="I4" s="296"/>
      <c r="J4" s="296"/>
      <c r="K4" s="296"/>
      <c r="L4" s="296"/>
      <c r="M4" s="296"/>
      <c r="O4" s="31"/>
      <c r="P4" s="33"/>
      <c r="Q4" s="297" t="s">
        <v>97</v>
      </c>
      <c r="R4" s="297"/>
      <c r="T4" s="297" t="s">
        <v>98</v>
      </c>
      <c r="U4" s="297"/>
      <c r="V4" s="297"/>
      <c r="W4" s="297"/>
      <c r="X4" s="297"/>
      <c r="Y4" s="34" t="s">
        <v>99</v>
      </c>
    </row>
    <row r="5" spans="1:26" s="46" customFormat="1" ht="58">
      <c r="A5" s="35" t="s">
        <v>100</v>
      </c>
      <c r="B5" s="36" t="s">
        <v>101</v>
      </c>
      <c r="C5" s="37" t="s">
        <v>102</v>
      </c>
      <c r="D5" s="38" t="s">
        <v>103</v>
      </c>
      <c r="E5" s="39"/>
      <c r="F5" s="40" t="s">
        <v>104</v>
      </c>
      <c r="G5" s="41" t="s">
        <v>105</v>
      </c>
      <c r="H5" s="42" t="s">
        <v>106</v>
      </c>
      <c r="I5" s="35" t="s">
        <v>107</v>
      </c>
      <c r="J5" s="42" t="s">
        <v>108</v>
      </c>
      <c r="K5" s="35" t="s">
        <v>109</v>
      </c>
      <c r="L5" s="35" t="s">
        <v>108</v>
      </c>
      <c r="M5" s="35" t="s">
        <v>110</v>
      </c>
      <c r="N5" s="39"/>
      <c r="O5" s="40" t="s">
        <v>104</v>
      </c>
      <c r="P5" s="43" t="s">
        <v>111</v>
      </c>
      <c r="Q5" s="44" t="s">
        <v>108</v>
      </c>
      <c r="R5" s="35" t="s">
        <v>112</v>
      </c>
      <c r="S5" s="39"/>
      <c r="T5" s="45" t="s">
        <v>104</v>
      </c>
      <c r="U5" s="44" t="s">
        <v>108</v>
      </c>
      <c r="V5" s="35" t="s">
        <v>113</v>
      </c>
      <c r="W5" s="35" t="s">
        <v>108</v>
      </c>
      <c r="X5" s="35" t="s">
        <v>114</v>
      </c>
      <c r="Y5" s="184" t="s">
        <v>115</v>
      </c>
      <c r="Z5" s="39"/>
    </row>
    <row r="6" spans="1:26" ht="214.5" customHeight="1">
      <c r="A6" s="298">
        <v>1</v>
      </c>
      <c r="B6" s="299" t="s">
        <v>116</v>
      </c>
      <c r="C6" s="300" t="s">
        <v>15</v>
      </c>
      <c r="D6" s="303" t="s">
        <v>117</v>
      </c>
      <c r="F6" s="47" t="s">
        <v>118</v>
      </c>
      <c r="G6" s="48">
        <v>316.40000000000003</v>
      </c>
      <c r="H6" s="49">
        <v>16.600000000000001</v>
      </c>
      <c r="I6" s="306" t="s">
        <v>119</v>
      </c>
      <c r="J6" s="48">
        <v>299.8</v>
      </c>
      <c r="K6" s="309" t="s">
        <v>120</v>
      </c>
      <c r="L6" s="50"/>
      <c r="M6" s="312"/>
      <c r="O6" s="47" t="s">
        <v>118</v>
      </c>
      <c r="P6" s="51">
        <v>35</v>
      </c>
      <c r="Q6" s="52">
        <v>15</v>
      </c>
      <c r="R6" s="309" t="s">
        <v>121</v>
      </c>
      <c r="T6" s="47" t="s">
        <v>118</v>
      </c>
      <c r="U6" s="48">
        <v>20</v>
      </c>
      <c r="V6" s="309" t="s">
        <v>122</v>
      </c>
      <c r="W6" s="169"/>
      <c r="X6" s="169"/>
      <c r="Y6" s="310" t="s">
        <v>123</v>
      </c>
    </row>
    <row r="7" spans="1:26" ht="184.5" customHeight="1">
      <c r="A7" s="299"/>
      <c r="B7" s="299"/>
      <c r="C7" s="301"/>
      <c r="D7" s="304"/>
      <c r="F7" s="47" t="s">
        <v>124</v>
      </c>
      <c r="G7" s="51">
        <v>218.44777903701456</v>
      </c>
      <c r="H7" s="49">
        <v>11.460913817997604</v>
      </c>
      <c r="I7" s="307"/>
      <c r="J7" s="51">
        <v>206.98686521901695</v>
      </c>
      <c r="K7" s="310"/>
      <c r="L7" s="178"/>
      <c r="M7" s="313"/>
      <c r="O7" s="47" t="s">
        <v>124</v>
      </c>
      <c r="P7" s="53">
        <v>24.16457732710338</v>
      </c>
      <c r="Q7" s="53">
        <v>10.356247425901449</v>
      </c>
      <c r="R7" s="310"/>
      <c r="T7" s="47" t="s">
        <v>124</v>
      </c>
      <c r="U7" s="54">
        <v>13.808329901201931</v>
      </c>
      <c r="V7" s="310"/>
      <c r="W7" s="169"/>
      <c r="X7" s="169"/>
      <c r="Y7" s="310"/>
    </row>
    <row r="8" spans="1:26" ht="174.65" customHeight="1">
      <c r="A8" s="299"/>
      <c r="B8" s="299"/>
      <c r="C8" s="302"/>
      <c r="D8" s="305"/>
      <c r="E8" s="22"/>
      <c r="F8" s="55" t="s">
        <v>125</v>
      </c>
      <c r="G8" s="56">
        <v>16.177852301431432</v>
      </c>
      <c r="H8" s="56">
        <v>0.8487748046895125</v>
      </c>
      <c r="I8" s="308"/>
      <c r="J8" s="56">
        <v>15.329077496741919</v>
      </c>
      <c r="K8" s="311"/>
      <c r="L8" s="179"/>
      <c r="M8" s="314"/>
      <c r="N8" s="22"/>
      <c r="O8" s="55" t="s">
        <v>125</v>
      </c>
      <c r="P8" s="57">
        <v>1.7895854315742734</v>
      </c>
      <c r="Q8" s="58">
        <v>0.76696518496040278</v>
      </c>
      <c r="R8" s="311"/>
      <c r="S8" s="22"/>
      <c r="T8" s="55" t="s">
        <v>125</v>
      </c>
      <c r="U8" s="59">
        <v>1.0226202466138705</v>
      </c>
      <c r="V8" s="311"/>
      <c r="W8" s="170"/>
      <c r="X8" s="170"/>
      <c r="Y8" s="311"/>
      <c r="Z8" s="22"/>
    </row>
    <row r="9" spans="1:26" ht="140.15" customHeight="1">
      <c r="A9" s="299">
        <v>1</v>
      </c>
      <c r="B9" s="299" t="s">
        <v>116</v>
      </c>
      <c r="C9" s="300" t="s">
        <v>16</v>
      </c>
      <c r="D9" s="304" t="s">
        <v>126</v>
      </c>
      <c r="E9" s="60"/>
      <c r="F9" s="61" t="s">
        <v>118</v>
      </c>
      <c r="G9" s="62">
        <v>322.7</v>
      </c>
      <c r="H9" s="62">
        <v>52.7</v>
      </c>
      <c r="I9" s="315" t="s">
        <v>127</v>
      </c>
      <c r="J9" s="62">
        <v>270</v>
      </c>
      <c r="K9" s="309" t="s">
        <v>128</v>
      </c>
      <c r="L9" s="62">
        <v>85</v>
      </c>
      <c r="M9" s="309" t="s">
        <v>129</v>
      </c>
      <c r="N9" s="60"/>
      <c r="O9" s="61" t="s">
        <v>118</v>
      </c>
      <c r="P9" s="63">
        <v>88.600000000000009</v>
      </c>
      <c r="Q9" s="64">
        <v>5.2</v>
      </c>
      <c r="R9" s="309" t="s">
        <v>130</v>
      </c>
      <c r="S9" s="60"/>
      <c r="T9" s="61" t="s">
        <v>118</v>
      </c>
      <c r="U9" s="65">
        <v>83.4</v>
      </c>
      <c r="V9" s="309" t="s">
        <v>131</v>
      </c>
      <c r="W9" s="168"/>
      <c r="X9" s="168"/>
      <c r="Y9" s="168"/>
      <c r="Z9" s="66"/>
    </row>
    <row r="10" spans="1:26" ht="97" customHeight="1">
      <c r="A10" s="299"/>
      <c r="B10" s="299"/>
      <c r="C10" s="301"/>
      <c r="D10" s="304"/>
      <c r="E10" s="28"/>
      <c r="F10" s="47" t="s">
        <v>124</v>
      </c>
      <c r="G10" s="51">
        <v>240.10443817674746</v>
      </c>
      <c r="H10" s="51">
        <v>39.211353864005552</v>
      </c>
      <c r="I10" s="316"/>
      <c r="J10" s="51">
        <v>200.89308431274193</v>
      </c>
      <c r="K10" s="310"/>
      <c r="L10" s="51">
        <v>63.244119135492831</v>
      </c>
      <c r="M10" s="310"/>
      <c r="N10" s="28"/>
      <c r="O10" s="47" t="s">
        <v>124</v>
      </c>
      <c r="P10" s="67">
        <v>65.922693592996055</v>
      </c>
      <c r="Q10" s="68">
        <v>3.8690519941713259</v>
      </c>
      <c r="R10" s="310"/>
      <c r="S10" s="28"/>
      <c r="T10" s="47" t="s">
        <v>124</v>
      </c>
      <c r="U10" s="51">
        <v>62.053641598824733</v>
      </c>
      <c r="V10" s="310"/>
      <c r="W10" s="169"/>
      <c r="X10" s="169"/>
      <c r="Y10" s="169"/>
    </row>
    <row r="11" spans="1:26" ht="97" customHeight="1">
      <c r="A11" s="299"/>
      <c r="B11" s="299"/>
      <c r="C11" s="302"/>
      <c r="D11" s="305"/>
      <c r="E11" s="25"/>
      <c r="F11" s="55" t="s">
        <v>125</v>
      </c>
      <c r="G11" s="56">
        <v>14.646141686967878</v>
      </c>
      <c r="H11" s="56">
        <v>2.3918551809829789</v>
      </c>
      <c r="I11" s="317"/>
      <c r="J11" s="56">
        <v>12.254286505984901</v>
      </c>
      <c r="K11" s="311"/>
      <c r="L11" s="56">
        <v>3.8578309370693202</v>
      </c>
      <c r="M11" s="311"/>
      <c r="N11" s="25"/>
      <c r="O11" s="55" t="s">
        <v>125</v>
      </c>
      <c r="P11" s="69">
        <v>4.0212214238157857</v>
      </c>
      <c r="Q11" s="58">
        <v>0.23600848085600551</v>
      </c>
      <c r="R11" s="311"/>
      <c r="S11" s="25"/>
      <c r="T11" s="55" t="s">
        <v>125</v>
      </c>
      <c r="U11" s="56">
        <v>3.7852129429597805</v>
      </c>
      <c r="V11" s="311"/>
      <c r="W11" s="170"/>
      <c r="X11" s="170"/>
      <c r="Y11" s="170"/>
      <c r="Z11" s="22"/>
    </row>
    <row r="12" spans="1:26" ht="161.15" customHeight="1">
      <c r="A12" s="299" t="s">
        <v>132</v>
      </c>
      <c r="B12" s="299" t="s">
        <v>132</v>
      </c>
      <c r="C12" s="300" t="s">
        <v>17</v>
      </c>
      <c r="D12" s="304"/>
      <c r="E12" s="60"/>
      <c r="F12" s="47" t="s">
        <v>118</v>
      </c>
      <c r="G12" s="62">
        <v>427.85</v>
      </c>
      <c r="H12" s="65">
        <v>0.05</v>
      </c>
      <c r="I12" s="315" t="s">
        <v>133</v>
      </c>
      <c r="J12" s="62">
        <v>427.8</v>
      </c>
      <c r="K12" s="309" t="s">
        <v>134</v>
      </c>
      <c r="L12" s="168"/>
      <c r="M12" s="168"/>
      <c r="N12" s="60"/>
      <c r="O12" s="47" t="s">
        <v>118</v>
      </c>
      <c r="P12" s="63">
        <v>765</v>
      </c>
      <c r="Q12" s="70">
        <v>700</v>
      </c>
      <c r="R12" s="318" t="s">
        <v>135</v>
      </c>
      <c r="S12" s="60"/>
      <c r="T12" s="47" t="s">
        <v>118</v>
      </c>
      <c r="U12" s="62">
        <v>65</v>
      </c>
      <c r="V12" s="309" t="s">
        <v>136</v>
      </c>
      <c r="W12" s="168"/>
      <c r="X12" s="168"/>
      <c r="Y12" s="309" t="s">
        <v>137</v>
      </c>
      <c r="Z12" s="66"/>
    </row>
    <row r="13" spans="1:26" ht="131.15" customHeight="1">
      <c r="A13" s="299"/>
      <c r="B13" s="299"/>
      <c r="C13" s="301"/>
      <c r="D13" s="304"/>
      <c r="E13" s="28"/>
      <c r="F13" s="47" t="s">
        <v>124</v>
      </c>
      <c r="G13" s="51">
        <v>487.00600150864443</v>
      </c>
      <c r="H13" s="49">
        <v>5.691317067998649E-2</v>
      </c>
      <c r="I13" s="316"/>
      <c r="J13" s="51">
        <v>486.94908833796438</v>
      </c>
      <c r="K13" s="310"/>
      <c r="L13" s="169"/>
      <c r="M13" s="169"/>
      <c r="N13" s="28"/>
      <c r="O13" s="47" t="s">
        <v>124</v>
      </c>
      <c r="P13" s="67">
        <v>870.77151140379328</v>
      </c>
      <c r="Q13" s="72">
        <v>796.78438951981082</v>
      </c>
      <c r="R13" s="307"/>
      <c r="S13" s="28"/>
      <c r="T13" s="47" t="s">
        <v>124</v>
      </c>
      <c r="U13" s="51">
        <v>73.987121883982439</v>
      </c>
      <c r="V13" s="310"/>
      <c r="W13" s="169"/>
      <c r="X13" s="169"/>
      <c r="Y13" s="310"/>
    </row>
    <row r="14" spans="1:26" ht="150" customHeight="1">
      <c r="A14" s="299"/>
      <c r="B14" s="299"/>
      <c r="C14" s="302"/>
      <c r="D14" s="305"/>
      <c r="E14" s="25"/>
      <c r="F14" s="55" t="s">
        <v>125</v>
      </c>
      <c r="G14" s="56">
        <v>3.8049469735647148</v>
      </c>
      <c r="H14" s="56">
        <v>4.4465898954828973E-4</v>
      </c>
      <c r="I14" s="317"/>
      <c r="J14" s="56">
        <v>3.8045023145751666</v>
      </c>
      <c r="K14" s="311"/>
      <c r="L14" s="170"/>
      <c r="M14" s="170"/>
      <c r="N14" s="25"/>
      <c r="O14" s="55" t="s">
        <v>125</v>
      </c>
      <c r="P14" s="69">
        <v>6.8032825400888326</v>
      </c>
      <c r="Q14" s="58">
        <v>6.2252258536760561</v>
      </c>
      <c r="R14" s="308"/>
      <c r="S14" s="25"/>
      <c r="T14" s="55" t="s">
        <v>125</v>
      </c>
      <c r="U14" s="56">
        <v>0.57805668641277663</v>
      </c>
      <c r="V14" s="311"/>
      <c r="W14" s="170"/>
      <c r="X14" s="170"/>
      <c r="Y14" s="311"/>
      <c r="Z14" s="22"/>
    </row>
    <row r="15" spans="1:26" ht="155.15" customHeight="1">
      <c r="A15" s="299">
        <v>1</v>
      </c>
      <c r="B15" s="299" t="s">
        <v>116</v>
      </c>
      <c r="C15" s="301" t="s">
        <v>18</v>
      </c>
      <c r="D15" s="304" t="s">
        <v>117</v>
      </c>
      <c r="E15" s="60"/>
      <c r="F15" s="47" t="s">
        <v>118</v>
      </c>
      <c r="G15" s="62">
        <v>174</v>
      </c>
      <c r="H15" s="62">
        <v>17.8</v>
      </c>
      <c r="I15" s="309" t="s">
        <v>138</v>
      </c>
      <c r="J15" s="73">
        <v>156.19999999999999</v>
      </c>
      <c r="K15" s="318" t="s">
        <v>139</v>
      </c>
      <c r="L15" s="73">
        <v>55</v>
      </c>
      <c r="M15" s="318" t="s">
        <v>140</v>
      </c>
      <c r="N15" s="60"/>
      <c r="O15" s="47" t="s">
        <v>118</v>
      </c>
      <c r="P15" s="63">
        <v>355.5</v>
      </c>
      <c r="Q15" s="70">
        <v>21</v>
      </c>
      <c r="R15" s="309" t="s">
        <v>141</v>
      </c>
      <c r="S15" s="60"/>
      <c r="T15" s="47" t="s">
        <v>118</v>
      </c>
      <c r="U15" s="62">
        <v>334.5</v>
      </c>
      <c r="V15" s="309" t="s">
        <v>142</v>
      </c>
      <c r="W15" s="168"/>
      <c r="X15" s="168"/>
      <c r="Y15" s="168" t="s">
        <v>143</v>
      </c>
      <c r="Z15" s="66"/>
    </row>
    <row r="16" spans="1:26" ht="95.15" customHeight="1">
      <c r="A16" s="299"/>
      <c r="B16" s="299"/>
      <c r="C16" s="301"/>
      <c r="D16" s="304"/>
      <c r="E16" s="28"/>
      <c r="F16" s="47" t="s">
        <v>124</v>
      </c>
      <c r="G16" s="51">
        <v>198.05783396635229</v>
      </c>
      <c r="H16" s="51">
        <v>20.261088762075122</v>
      </c>
      <c r="I16" s="310"/>
      <c r="J16" s="51">
        <v>177.79674520427716</v>
      </c>
      <c r="K16" s="307"/>
      <c r="L16" s="51">
        <v>62.604487747984926</v>
      </c>
      <c r="M16" s="307"/>
      <c r="N16" s="28"/>
      <c r="O16" s="47" t="s">
        <v>124</v>
      </c>
      <c r="P16" s="67">
        <v>404.65264353470258</v>
      </c>
      <c r="Q16" s="72">
        <v>23.903531685594242</v>
      </c>
      <c r="R16" s="310"/>
      <c r="S16" s="28"/>
      <c r="T16" s="47" t="s">
        <v>124</v>
      </c>
      <c r="U16" s="51">
        <v>380.74911184910832</v>
      </c>
      <c r="V16" s="310"/>
      <c r="W16" s="169"/>
      <c r="X16" s="169"/>
      <c r="Y16" s="169"/>
    </row>
    <row r="17" spans="1:26" s="18" customFormat="1" ht="95.15" customHeight="1">
      <c r="A17" s="299"/>
      <c r="B17" s="299"/>
      <c r="C17" s="302"/>
      <c r="D17" s="305"/>
      <c r="E17" s="25"/>
      <c r="F17" s="55" t="s">
        <v>125</v>
      </c>
      <c r="G17" s="56">
        <v>7.7103009294197555</v>
      </c>
      <c r="H17" s="56">
        <v>0.78875492266477965</v>
      </c>
      <c r="I17" s="311"/>
      <c r="J17" s="56">
        <v>6.9215460067549763</v>
      </c>
      <c r="K17" s="308"/>
      <c r="L17" s="56">
        <v>2.4371640868855549</v>
      </c>
      <c r="M17" s="308"/>
      <c r="N17" s="25"/>
      <c r="O17" s="55" t="s">
        <v>125</v>
      </c>
      <c r="P17" s="69">
        <v>15.752942416142089</v>
      </c>
      <c r="Q17" s="58">
        <v>0.93055356044721205</v>
      </c>
      <c r="R17" s="311"/>
      <c r="S17" s="25"/>
      <c r="T17" s="55" t="s">
        <v>125</v>
      </c>
      <c r="U17" s="56">
        <v>14.822388855694877</v>
      </c>
      <c r="V17" s="311"/>
      <c r="W17" s="170"/>
      <c r="X17" s="170"/>
      <c r="Y17" s="170"/>
      <c r="Z17" s="22"/>
    </row>
    <row r="18" spans="1:26" s="76" customFormat="1" ht="72" customHeight="1">
      <c r="A18" s="299">
        <v>1</v>
      </c>
      <c r="B18" s="299" t="s">
        <v>116</v>
      </c>
      <c r="C18" s="301" t="s">
        <v>19</v>
      </c>
      <c r="D18" s="324" t="s">
        <v>117</v>
      </c>
      <c r="E18" s="60"/>
      <c r="F18" s="61" t="s">
        <v>118</v>
      </c>
      <c r="G18" s="62">
        <v>367</v>
      </c>
      <c r="H18" s="62">
        <v>40</v>
      </c>
      <c r="I18" s="315" t="s">
        <v>144</v>
      </c>
      <c r="J18" s="62">
        <v>327</v>
      </c>
      <c r="K18" s="309" t="s">
        <v>145</v>
      </c>
      <c r="L18" s="74"/>
      <c r="M18" s="309" t="s">
        <v>146</v>
      </c>
      <c r="N18" s="60"/>
      <c r="O18" s="61" t="s">
        <v>118</v>
      </c>
      <c r="P18" s="75">
        <v>926.3</v>
      </c>
      <c r="Q18" s="70">
        <v>100</v>
      </c>
      <c r="R18" s="309" t="s">
        <v>147</v>
      </c>
      <c r="S18" s="60"/>
      <c r="T18" s="61" t="s">
        <v>118</v>
      </c>
      <c r="U18" s="62">
        <v>826.3</v>
      </c>
      <c r="V18" s="309" t="s">
        <v>148</v>
      </c>
      <c r="W18" s="168"/>
      <c r="X18" s="168"/>
      <c r="Y18" s="309" t="s">
        <v>149</v>
      </c>
      <c r="Z18" s="66"/>
    </row>
    <row r="19" spans="1:26" ht="64" customHeight="1">
      <c r="A19" s="299"/>
      <c r="B19" s="299"/>
      <c r="C19" s="301"/>
      <c r="D19" s="324"/>
      <c r="E19" s="28"/>
      <c r="F19" s="47" t="s">
        <v>124</v>
      </c>
      <c r="G19" s="51">
        <v>417.7426727911008</v>
      </c>
      <c r="H19" s="51">
        <v>45.530536543989193</v>
      </c>
      <c r="I19" s="316"/>
      <c r="J19" s="51">
        <v>372.21213624711163</v>
      </c>
      <c r="K19" s="310"/>
      <c r="L19" s="77"/>
      <c r="M19" s="310"/>
      <c r="N19" s="28"/>
      <c r="O19" s="47" t="s">
        <v>124</v>
      </c>
      <c r="P19" s="78">
        <v>1054.3734000174297</v>
      </c>
      <c r="Q19" s="72">
        <v>113.82634135997297</v>
      </c>
      <c r="R19" s="310"/>
      <c r="S19" s="28"/>
      <c r="T19" s="47" t="s">
        <v>124</v>
      </c>
      <c r="U19" s="51">
        <v>940.54705865745666</v>
      </c>
      <c r="V19" s="310"/>
      <c r="W19" s="169"/>
      <c r="X19" s="169"/>
      <c r="Y19" s="310"/>
    </row>
    <row r="20" spans="1:26" ht="69" customHeight="1">
      <c r="A20" s="299"/>
      <c r="B20" s="299"/>
      <c r="C20" s="302"/>
      <c r="D20" s="325"/>
      <c r="E20" s="25"/>
      <c r="F20" s="55" t="s">
        <v>125</v>
      </c>
      <c r="G20" s="56">
        <v>11.03370544006278</v>
      </c>
      <c r="H20" s="56">
        <v>1.2025836991894037</v>
      </c>
      <c r="I20" s="317"/>
      <c r="J20" s="56">
        <v>9.8311217408733764</v>
      </c>
      <c r="K20" s="311"/>
      <c r="L20" s="79"/>
      <c r="M20" s="311"/>
      <c r="N20" s="25"/>
      <c r="O20" s="55" t="s">
        <v>125</v>
      </c>
      <c r="P20" s="69">
        <v>27.848832013978619</v>
      </c>
      <c r="Q20" s="58">
        <v>3.0064592479735093</v>
      </c>
      <c r="R20" s="311"/>
      <c r="S20" s="25"/>
      <c r="T20" s="55" t="s">
        <v>125</v>
      </c>
      <c r="U20" s="56">
        <v>24.842372766005109</v>
      </c>
      <c r="V20" s="311"/>
      <c r="W20" s="170"/>
      <c r="X20" s="170"/>
      <c r="Y20" s="311"/>
      <c r="Z20" s="22"/>
    </row>
    <row r="21" spans="1:26" ht="60" customHeight="1">
      <c r="A21" s="299">
        <v>1</v>
      </c>
      <c r="B21" s="299" t="s">
        <v>116</v>
      </c>
      <c r="C21" s="301" t="s">
        <v>20</v>
      </c>
      <c r="D21" s="304" t="s">
        <v>117</v>
      </c>
      <c r="E21" s="60"/>
      <c r="F21" s="47" t="s">
        <v>118</v>
      </c>
      <c r="G21" s="62">
        <v>112</v>
      </c>
      <c r="H21" s="65">
        <v>9.5</v>
      </c>
      <c r="I21" s="315" t="s">
        <v>150</v>
      </c>
      <c r="J21" s="62">
        <v>102.5</v>
      </c>
      <c r="K21" s="318" t="s">
        <v>151</v>
      </c>
      <c r="L21" s="65">
        <v>7</v>
      </c>
      <c r="M21" s="318" t="s">
        <v>152</v>
      </c>
      <c r="N21" s="60"/>
      <c r="O21" s="47" t="s">
        <v>118</v>
      </c>
      <c r="P21" s="62">
        <v>582.25</v>
      </c>
      <c r="Q21" s="64">
        <v>3.25</v>
      </c>
      <c r="R21" s="318" t="s">
        <v>153</v>
      </c>
      <c r="S21" s="60"/>
      <c r="T21" s="47" t="s">
        <v>118</v>
      </c>
      <c r="U21" s="62">
        <v>579</v>
      </c>
      <c r="V21" s="318" t="s">
        <v>154</v>
      </c>
      <c r="W21" s="177"/>
      <c r="X21" s="318"/>
      <c r="Y21" s="309" t="s">
        <v>155</v>
      </c>
      <c r="Z21" s="66"/>
    </row>
    <row r="22" spans="1:26" ht="39" customHeight="1">
      <c r="A22" s="299"/>
      <c r="B22" s="299"/>
      <c r="C22" s="301"/>
      <c r="D22" s="304"/>
      <c r="E22" s="28"/>
      <c r="F22" s="47" t="s">
        <v>124</v>
      </c>
      <c r="G22" s="51">
        <v>127.4855023231693</v>
      </c>
      <c r="H22" s="49">
        <v>10.813502429197396</v>
      </c>
      <c r="I22" s="316"/>
      <c r="J22" s="51">
        <v>116.6719998939719</v>
      </c>
      <c r="K22" s="307"/>
      <c r="L22" s="49">
        <v>7.9678438951980812</v>
      </c>
      <c r="M22" s="307"/>
      <c r="N22" s="28"/>
      <c r="O22" s="47" t="s">
        <v>124</v>
      </c>
      <c r="P22" s="51">
        <v>662.75387256844044</v>
      </c>
      <c r="Q22" s="49">
        <v>3.6993560941991093</v>
      </c>
      <c r="R22" s="307"/>
      <c r="S22" s="28"/>
      <c r="T22" s="47" t="s">
        <v>124</v>
      </c>
      <c r="U22" s="51">
        <v>659.05451647424127</v>
      </c>
      <c r="V22" s="307"/>
      <c r="W22" s="51"/>
      <c r="X22" s="307"/>
      <c r="Y22" s="310"/>
    </row>
    <row r="23" spans="1:26" ht="59.15" customHeight="1">
      <c r="A23" s="299"/>
      <c r="B23" s="299"/>
      <c r="C23" s="302"/>
      <c r="D23" s="305"/>
      <c r="E23" s="25"/>
      <c r="F23" s="55" t="s">
        <v>125</v>
      </c>
      <c r="G23" s="56">
        <v>6.8248555163513647</v>
      </c>
      <c r="H23" s="56">
        <v>0.57889399469051761</v>
      </c>
      <c r="I23" s="317"/>
      <c r="J23" s="56">
        <v>6.2459615216608473</v>
      </c>
      <c r="K23" s="308"/>
      <c r="L23" s="56">
        <v>0.42655346977196029</v>
      </c>
      <c r="M23" s="308"/>
      <c r="N23" s="25"/>
      <c r="O23" s="55" t="s">
        <v>125</v>
      </c>
      <c r="P23" s="56">
        <v>35.480108253531988</v>
      </c>
      <c r="Q23" s="56">
        <v>0.19804268239412443</v>
      </c>
      <c r="R23" s="308"/>
      <c r="S23" s="25"/>
      <c r="T23" s="55" t="s">
        <v>125</v>
      </c>
      <c r="U23" s="56">
        <v>35.282065571137863</v>
      </c>
      <c r="V23" s="308"/>
      <c r="W23" s="80"/>
      <c r="X23" s="308"/>
      <c r="Y23" s="311"/>
      <c r="Z23" s="22"/>
    </row>
    <row r="24" spans="1:26" ht="229" customHeight="1">
      <c r="A24" s="299">
        <v>1</v>
      </c>
      <c r="B24" s="299" t="s">
        <v>116</v>
      </c>
      <c r="C24" s="319" t="s">
        <v>21</v>
      </c>
      <c r="D24" s="304" t="s">
        <v>117</v>
      </c>
      <c r="E24" s="60"/>
      <c r="F24" s="47" t="s">
        <v>118</v>
      </c>
      <c r="G24" s="75">
        <v>83600</v>
      </c>
      <c r="H24" s="75">
        <v>9600</v>
      </c>
      <c r="I24" s="309" t="s">
        <v>503</v>
      </c>
      <c r="J24" s="75">
        <v>74000</v>
      </c>
      <c r="K24" s="323" t="s">
        <v>504</v>
      </c>
      <c r="L24" s="75">
        <v>26000</v>
      </c>
      <c r="M24" s="309" t="s">
        <v>156</v>
      </c>
      <c r="N24" s="60"/>
      <c r="O24" s="61" t="s">
        <v>118</v>
      </c>
      <c r="P24" s="81">
        <v>152600</v>
      </c>
      <c r="Q24" s="82"/>
      <c r="R24" s="326"/>
      <c r="S24" s="60"/>
      <c r="T24" s="61" t="s">
        <v>118</v>
      </c>
      <c r="U24" s="75">
        <v>15700</v>
      </c>
      <c r="V24" s="326" t="s">
        <v>157</v>
      </c>
      <c r="W24" s="83">
        <v>136900</v>
      </c>
      <c r="X24" s="327" t="s">
        <v>505</v>
      </c>
      <c r="Y24" s="309" t="s">
        <v>158</v>
      </c>
      <c r="Z24" s="66"/>
    </row>
    <row r="25" spans="1:26" ht="229" customHeight="1">
      <c r="A25" s="299"/>
      <c r="B25" s="299"/>
      <c r="C25" s="319"/>
      <c r="D25" s="304"/>
      <c r="E25" s="28"/>
      <c r="F25" s="47" t="s">
        <v>124</v>
      </c>
      <c r="G25" s="51">
        <v>782.33294838167308</v>
      </c>
      <c r="H25" s="49">
        <v>89.837276369187336</v>
      </c>
      <c r="I25" s="321"/>
      <c r="J25" s="51">
        <v>692.49567201248567</v>
      </c>
      <c r="K25" s="310"/>
      <c r="L25" s="51">
        <v>243.30929016654903</v>
      </c>
      <c r="M25" s="310"/>
      <c r="N25" s="28"/>
      <c r="O25" s="47" t="s">
        <v>124</v>
      </c>
      <c r="P25" s="51">
        <v>1428.0383722852071</v>
      </c>
      <c r="Q25" s="84"/>
      <c r="R25" s="321"/>
      <c r="S25" s="28"/>
      <c r="T25" s="47" t="s">
        <v>124</v>
      </c>
      <c r="U25" s="51">
        <v>146.92137906210846</v>
      </c>
      <c r="V25" s="321"/>
      <c r="W25" s="85">
        <v>1281.1169932230987</v>
      </c>
      <c r="X25" s="328"/>
      <c r="Y25" s="310"/>
    </row>
    <row r="26" spans="1:26" s="18" customFormat="1" ht="238" customHeight="1">
      <c r="A26" s="299"/>
      <c r="B26" s="299"/>
      <c r="C26" s="320"/>
      <c r="D26" s="305"/>
      <c r="E26" s="25"/>
      <c r="F26" s="55" t="s">
        <v>125</v>
      </c>
      <c r="G26" s="56">
        <v>15.580392937317248</v>
      </c>
      <c r="H26" s="56">
        <v>1.7891360310794924</v>
      </c>
      <c r="I26" s="322"/>
      <c r="J26" s="56">
        <v>13.791256906237754</v>
      </c>
      <c r="K26" s="311"/>
      <c r="L26" s="56">
        <v>4.8455767508402925</v>
      </c>
      <c r="M26" s="311"/>
      <c r="N26" s="25"/>
      <c r="O26" s="55" t="s">
        <v>125</v>
      </c>
      <c r="P26" s="56">
        <v>28.439808160701098</v>
      </c>
      <c r="Q26" s="86"/>
      <c r="R26" s="322"/>
      <c r="S26" s="25"/>
      <c r="T26" s="55" t="s">
        <v>125</v>
      </c>
      <c r="U26" s="56">
        <v>2.925982884161253</v>
      </c>
      <c r="V26" s="322"/>
      <c r="W26" s="87">
        <v>25.513825276539841</v>
      </c>
      <c r="X26" s="329"/>
      <c r="Y26" s="311"/>
      <c r="Z26" s="22"/>
    </row>
    <row r="27" spans="1:26" s="76" customFormat="1" ht="161.15" customHeight="1">
      <c r="A27" s="299">
        <v>1</v>
      </c>
      <c r="B27" s="299" t="s">
        <v>116</v>
      </c>
      <c r="C27" s="332" t="s">
        <v>22</v>
      </c>
      <c r="D27" s="303" t="s">
        <v>117</v>
      </c>
      <c r="E27" s="60"/>
      <c r="F27" s="61" t="s">
        <v>118</v>
      </c>
      <c r="G27" s="88">
        <v>66300</v>
      </c>
      <c r="H27" s="89">
        <v>5100</v>
      </c>
      <c r="I27" s="333" t="s">
        <v>159</v>
      </c>
      <c r="J27" s="88">
        <v>61200</v>
      </c>
      <c r="K27" s="318" t="s">
        <v>160</v>
      </c>
      <c r="L27" s="88">
        <v>33000</v>
      </c>
      <c r="M27" s="318" t="s">
        <v>161</v>
      </c>
      <c r="N27" s="60"/>
      <c r="O27" s="61" t="s">
        <v>118</v>
      </c>
      <c r="P27" s="83">
        <v>195900</v>
      </c>
      <c r="Q27" s="83"/>
      <c r="R27" s="309"/>
      <c r="S27" s="60"/>
      <c r="T27" s="61" t="s">
        <v>118</v>
      </c>
      <c r="U27" s="90">
        <v>70900</v>
      </c>
      <c r="V27" s="318" t="s">
        <v>162</v>
      </c>
      <c r="W27" s="90">
        <v>125000</v>
      </c>
      <c r="X27" s="326" t="s">
        <v>510</v>
      </c>
      <c r="Y27" s="309" t="s">
        <v>163</v>
      </c>
      <c r="Z27" s="66"/>
    </row>
    <row r="28" spans="1:26" ht="180" customHeight="1">
      <c r="A28" s="299"/>
      <c r="B28" s="299"/>
      <c r="C28" s="319"/>
      <c r="D28" s="304"/>
      <c r="E28" s="28"/>
      <c r="F28" s="47" t="s">
        <v>124</v>
      </c>
      <c r="G28" s="53">
        <v>56.080292033825813</v>
      </c>
      <c r="H28" s="91">
        <v>4.3138686179866008</v>
      </c>
      <c r="I28" s="334"/>
      <c r="J28" s="51">
        <v>51.766423415839213</v>
      </c>
      <c r="K28" s="307"/>
      <c r="L28" s="51">
        <v>27.913267528148594</v>
      </c>
      <c r="M28" s="307"/>
      <c r="N28" s="28"/>
      <c r="O28" s="47" t="s">
        <v>124</v>
      </c>
      <c r="P28" s="51">
        <v>165.70330632619121</v>
      </c>
      <c r="Q28" s="92"/>
      <c r="R28" s="310"/>
      <c r="S28" s="28"/>
      <c r="T28" s="47" t="s">
        <v>124</v>
      </c>
      <c r="U28" s="53">
        <v>59.971232355931377</v>
      </c>
      <c r="V28" s="307"/>
      <c r="W28" s="85">
        <v>105.73207397025983</v>
      </c>
      <c r="X28" s="330"/>
      <c r="Y28" s="310"/>
    </row>
    <row r="29" spans="1:26" ht="170.15" customHeight="1">
      <c r="A29" s="299"/>
      <c r="B29" s="299"/>
      <c r="C29" s="320"/>
      <c r="D29" s="305"/>
      <c r="E29" s="25"/>
      <c r="F29" s="55" t="s">
        <v>125</v>
      </c>
      <c r="G29" s="57">
        <v>3.4422076683139151</v>
      </c>
      <c r="H29" s="57">
        <v>0.26478520525491656</v>
      </c>
      <c r="I29" s="335"/>
      <c r="J29" s="56">
        <v>3.1774224630589987</v>
      </c>
      <c r="K29" s="308"/>
      <c r="L29" s="56">
        <v>1.7133160340024014</v>
      </c>
      <c r="M29" s="308"/>
      <c r="N29" s="25"/>
      <c r="O29" s="55" t="s">
        <v>125</v>
      </c>
      <c r="P29" s="56">
        <v>10.170867001850619</v>
      </c>
      <c r="Q29" s="93"/>
      <c r="R29" s="311"/>
      <c r="S29" s="25"/>
      <c r="T29" s="55" t="s">
        <v>125</v>
      </c>
      <c r="U29" s="57">
        <v>3.6810335397203104</v>
      </c>
      <c r="V29" s="308"/>
      <c r="W29" s="94">
        <v>6.4898334621303082</v>
      </c>
      <c r="X29" s="331"/>
      <c r="Y29" s="311"/>
      <c r="Z29" s="22"/>
    </row>
    <row r="30" spans="1:26" s="171" customFormat="1" ht="203.15" customHeight="1">
      <c r="A30" s="299">
        <v>1</v>
      </c>
      <c r="B30" s="299" t="s">
        <v>116</v>
      </c>
      <c r="C30" s="319" t="s">
        <v>23</v>
      </c>
      <c r="D30" s="304" t="s">
        <v>117</v>
      </c>
      <c r="E30" s="183"/>
      <c r="F30" s="61" t="s">
        <v>118</v>
      </c>
      <c r="G30" s="73">
        <v>46.1</v>
      </c>
      <c r="H30" s="74">
        <v>4.4000000000000004</v>
      </c>
      <c r="I30" s="315" t="s">
        <v>164</v>
      </c>
      <c r="J30" s="73">
        <v>41.7</v>
      </c>
      <c r="K30" s="318" t="s">
        <v>165</v>
      </c>
      <c r="L30" s="95">
        <v>0.54</v>
      </c>
      <c r="M30" s="309" t="s">
        <v>166</v>
      </c>
      <c r="N30" s="183"/>
      <c r="O30" s="47" t="s">
        <v>118</v>
      </c>
      <c r="P30" s="181">
        <v>161.239</v>
      </c>
      <c r="Q30" s="96">
        <v>0.63900000000000001</v>
      </c>
      <c r="R30" s="309" t="s">
        <v>167</v>
      </c>
      <c r="S30" s="183"/>
      <c r="T30" s="47" t="s">
        <v>118</v>
      </c>
      <c r="U30" s="73">
        <v>150.6</v>
      </c>
      <c r="V30" s="309" t="s">
        <v>168</v>
      </c>
      <c r="W30" s="73">
        <v>10</v>
      </c>
      <c r="X30" s="309" t="s">
        <v>169</v>
      </c>
      <c r="Y30" s="168"/>
      <c r="Z30" s="183"/>
    </row>
    <row r="31" spans="1:26" s="29" customFormat="1" ht="203.15" customHeight="1">
      <c r="A31" s="299"/>
      <c r="B31" s="299"/>
      <c r="C31" s="319"/>
      <c r="D31" s="304"/>
      <c r="E31" s="171"/>
      <c r="F31" s="47" t="s">
        <v>124</v>
      </c>
      <c r="G31" s="51">
        <v>52.473943366947367</v>
      </c>
      <c r="H31" s="97">
        <v>5.0083590198387942</v>
      </c>
      <c r="I31" s="316"/>
      <c r="J31" s="51">
        <v>47.465584347108575</v>
      </c>
      <c r="K31" s="307"/>
      <c r="L31" s="49">
        <v>0.614662243343852</v>
      </c>
      <c r="M31" s="310"/>
      <c r="N31" s="171"/>
      <c r="O31" s="47" t="s">
        <v>124</v>
      </c>
      <c r="P31" s="180">
        <v>183.53245454540618</v>
      </c>
      <c r="Q31" s="98">
        <v>0.72735032129022481</v>
      </c>
      <c r="R31" s="310"/>
      <c r="S31" s="171"/>
      <c r="T31" s="47" t="s">
        <v>124</v>
      </c>
      <c r="U31" s="51">
        <v>171.4224700881187</v>
      </c>
      <c r="V31" s="310"/>
      <c r="W31" s="51">
        <v>11.382634135997259</v>
      </c>
      <c r="X31" s="310"/>
      <c r="Y31" s="169"/>
      <c r="Z31" s="171"/>
    </row>
    <row r="32" spans="1:26" ht="177" customHeight="1">
      <c r="A32" s="299"/>
      <c r="B32" s="299"/>
      <c r="C32" s="320"/>
      <c r="D32" s="305"/>
      <c r="E32" s="25"/>
      <c r="F32" s="55" t="s">
        <v>125</v>
      </c>
      <c r="G32" s="56">
        <v>4.129848567413041</v>
      </c>
      <c r="H32" s="99">
        <v>0.39417209754050719</v>
      </c>
      <c r="I32" s="317"/>
      <c r="J32" s="56">
        <v>3.7356764698725335</v>
      </c>
      <c r="K32" s="308"/>
      <c r="L32" s="56">
        <v>4.8375666516334973E-2</v>
      </c>
      <c r="M32" s="311"/>
      <c r="N32" s="25"/>
      <c r="O32" s="55" t="s">
        <v>125</v>
      </c>
      <c r="P32" s="77">
        <v>14.444526098939509</v>
      </c>
      <c r="Q32" s="58">
        <v>5.7244538710996377E-2</v>
      </c>
      <c r="R32" s="311"/>
      <c r="S32" s="25"/>
      <c r="T32" s="55" t="s">
        <v>125</v>
      </c>
      <c r="U32" s="56">
        <v>13.491435884000087</v>
      </c>
      <c r="V32" s="311"/>
      <c r="W32" s="56">
        <v>0.89584567622842526</v>
      </c>
      <c r="X32" s="311"/>
      <c r="Y32" s="170"/>
      <c r="Z32" s="22"/>
    </row>
    <row r="33" spans="1:26" ht="168" customHeight="1">
      <c r="A33" s="299">
        <v>1</v>
      </c>
      <c r="B33" s="299" t="s">
        <v>116</v>
      </c>
      <c r="C33" s="301" t="s">
        <v>24</v>
      </c>
      <c r="D33" s="304" t="s">
        <v>126</v>
      </c>
      <c r="E33" s="60"/>
      <c r="F33" s="47" t="s">
        <v>118</v>
      </c>
      <c r="G33" s="62">
        <v>344</v>
      </c>
      <c r="H33" s="62">
        <v>113</v>
      </c>
      <c r="I33" s="315" t="s">
        <v>170</v>
      </c>
      <c r="J33" s="62">
        <v>231</v>
      </c>
      <c r="K33" s="309" t="s">
        <v>171</v>
      </c>
      <c r="L33" s="64">
        <v>7</v>
      </c>
      <c r="M33" s="309" t="s">
        <v>172</v>
      </c>
      <c r="N33" s="60"/>
      <c r="O33" s="47" t="s">
        <v>118</v>
      </c>
      <c r="P33" s="62">
        <v>341</v>
      </c>
      <c r="Q33" s="64">
        <v>1</v>
      </c>
      <c r="R33" s="318" t="s">
        <v>173</v>
      </c>
      <c r="S33" s="60"/>
      <c r="T33" s="47" t="s">
        <v>118</v>
      </c>
      <c r="U33" s="62">
        <v>340</v>
      </c>
      <c r="V33" s="318" t="s">
        <v>174</v>
      </c>
      <c r="W33" s="182"/>
      <c r="X33" s="309"/>
      <c r="Y33" s="336" t="s">
        <v>175</v>
      </c>
      <c r="Z33" s="66"/>
    </row>
    <row r="34" spans="1:26" ht="166" customHeight="1">
      <c r="A34" s="299"/>
      <c r="B34" s="299"/>
      <c r="C34" s="301"/>
      <c r="D34" s="304"/>
      <c r="E34" s="28"/>
      <c r="F34" s="47" t="s">
        <v>124</v>
      </c>
      <c r="G34" s="51">
        <v>440.54615742148212</v>
      </c>
      <c r="H34" s="51">
        <v>144.71429008321942</v>
      </c>
      <c r="I34" s="316"/>
      <c r="J34" s="48">
        <v>295.83186733826267</v>
      </c>
      <c r="K34" s="310"/>
      <c r="L34" s="68">
        <v>8.9646020405534159</v>
      </c>
      <c r="M34" s="310"/>
      <c r="N34" s="28"/>
      <c r="O34" s="47" t="s">
        <v>124</v>
      </c>
      <c r="P34" s="51">
        <v>436.70418511838778</v>
      </c>
      <c r="Q34" s="68">
        <v>1.2806574343647736</v>
      </c>
      <c r="R34" s="307"/>
      <c r="S34" s="28"/>
      <c r="T34" s="47" t="s">
        <v>124</v>
      </c>
      <c r="U34" s="51">
        <v>435.42352768402304</v>
      </c>
      <c r="V34" s="307"/>
      <c r="W34" s="169"/>
      <c r="X34" s="310"/>
      <c r="Y34" s="337"/>
    </row>
    <row r="35" spans="1:26" s="18" customFormat="1" ht="204" customHeight="1">
      <c r="A35" s="299"/>
      <c r="B35" s="299"/>
      <c r="C35" s="302"/>
      <c r="D35" s="305"/>
      <c r="E35" s="25"/>
      <c r="F35" s="55" t="s">
        <v>125</v>
      </c>
      <c r="G35" s="56">
        <v>16.258004012956349</v>
      </c>
      <c r="H35" s="56">
        <v>5.3405652716978693</v>
      </c>
      <c r="I35" s="317"/>
      <c r="J35" s="99">
        <v>10.917438741258479</v>
      </c>
      <c r="K35" s="311"/>
      <c r="L35" s="99">
        <v>0.33083147700783261</v>
      </c>
      <c r="M35" s="311"/>
      <c r="N35" s="25"/>
      <c r="O35" s="55" t="s">
        <v>125</v>
      </c>
      <c r="P35" s="56">
        <v>16.116219094238705</v>
      </c>
      <c r="Q35" s="58">
        <v>4.7261639572547517E-2</v>
      </c>
      <c r="R35" s="308"/>
      <c r="S35" s="25"/>
      <c r="T35" s="55" t="s">
        <v>125</v>
      </c>
      <c r="U35" s="56">
        <v>16.068957454666158</v>
      </c>
      <c r="V35" s="308"/>
      <c r="W35" s="170"/>
      <c r="X35" s="311"/>
      <c r="Y35" s="338"/>
      <c r="Z35" s="22"/>
    </row>
    <row r="36" spans="1:26" s="76" customFormat="1" ht="204" customHeight="1">
      <c r="A36" s="299">
        <v>1</v>
      </c>
      <c r="B36" s="299" t="s">
        <v>116</v>
      </c>
      <c r="C36" s="300" t="s">
        <v>25</v>
      </c>
      <c r="D36" s="303" t="s">
        <v>126</v>
      </c>
      <c r="E36" s="60"/>
      <c r="F36" s="61" t="s">
        <v>118</v>
      </c>
      <c r="G36" s="83">
        <v>3503.3</v>
      </c>
      <c r="H36" s="62">
        <v>483.8</v>
      </c>
      <c r="I36" s="315" t="s">
        <v>176</v>
      </c>
      <c r="J36" s="83">
        <v>3019.5</v>
      </c>
      <c r="K36" s="309" t="s">
        <v>177</v>
      </c>
      <c r="L36" s="74">
        <v>18</v>
      </c>
      <c r="M36" s="309" t="s">
        <v>178</v>
      </c>
      <c r="N36" s="60"/>
      <c r="O36" s="61" t="s">
        <v>118</v>
      </c>
      <c r="P36" s="63">
        <v>510</v>
      </c>
      <c r="Q36" s="100">
        <v>56</v>
      </c>
      <c r="R36" s="318" t="s">
        <v>179</v>
      </c>
      <c r="S36" s="60"/>
      <c r="T36" s="61" t="s">
        <v>118</v>
      </c>
      <c r="U36" s="62">
        <v>454</v>
      </c>
      <c r="V36" s="309" t="s">
        <v>180</v>
      </c>
      <c r="W36" s="168"/>
      <c r="X36" s="168"/>
      <c r="Y36" s="309" t="s">
        <v>181</v>
      </c>
      <c r="Z36" s="66"/>
    </row>
    <row r="37" spans="1:26" ht="239.15" customHeight="1">
      <c r="A37" s="299"/>
      <c r="B37" s="299"/>
      <c r="C37" s="301"/>
      <c r="D37" s="304"/>
      <c r="E37" s="28"/>
      <c r="F37" s="47" t="s">
        <v>124</v>
      </c>
      <c r="G37" s="78">
        <v>3503.3</v>
      </c>
      <c r="H37" s="51">
        <v>483.8</v>
      </c>
      <c r="I37" s="316"/>
      <c r="J37" s="78">
        <v>3019.5</v>
      </c>
      <c r="K37" s="310"/>
      <c r="L37" s="101">
        <v>18</v>
      </c>
      <c r="M37" s="310"/>
      <c r="N37" s="28"/>
      <c r="O37" s="47" t="s">
        <v>124</v>
      </c>
      <c r="P37" s="67">
        <v>510</v>
      </c>
      <c r="Q37" s="72">
        <v>56</v>
      </c>
      <c r="R37" s="307"/>
      <c r="S37" s="28"/>
      <c r="T37" s="47" t="s">
        <v>124</v>
      </c>
      <c r="U37" s="54">
        <v>454</v>
      </c>
      <c r="V37" s="310"/>
      <c r="W37" s="169"/>
      <c r="X37" s="169"/>
      <c r="Y37" s="310"/>
    </row>
    <row r="38" spans="1:26" ht="180" customHeight="1">
      <c r="A38" s="299"/>
      <c r="B38" s="299"/>
      <c r="C38" s="302"/>
      <c r="D38" s="305"/>
      <c r="E38" s="25"/>
      <c r="F38" s="55" t="s">
        <v>125</v>
      </c>
      <c r="G38" s="56">
        <v>16.719306053544834</v>
      </c>
      <c r="H38" s="56">
        <v>2.3089088198855334</v>
      </c>
      <c r="I38" s="317"/>
      <c r="J38" s="56">
        <v>14.4103972336593</v>
      </c>
      <c r="K38" s="311"/>
      <c r="L38" s="99">
        <v>8.5904007354153794E-2</v>
      </c>
      <c r="M38" s="311"/>
      <c r="N38" s="25"/>
      <c r="O38" s="55" t="s">
        <v>125</v>
      </c>
      <c r="P38" s="69">
        <v>2.4339468750343576</v>
      </c>
      <c r="Q38" s="58">
        <v>0.26725691176847849</v>
      </c>
      <c r="R38" s="308"/>
      <c r="S38" s="25"/>
      <c r="T38" s="55" t="s">
        <v>125</v>
      </c>
      <c r="U38" s="102">
        <v>2.1666899632658789</v>
      </c>
      <c r="V38" s="311"/>
      <c r="W38" s="170"/>
      <c r="X38" s="170"/>
      <c r="Y38" s="311"/>
      <c r="Z38" s="22"/>
    </row>
    <row r="39" spans="1:26" ht="54.65" customHeight="1">
      <c r="A39" s="299">
        <v>1</v>
      </c>
      <c r="B39" s="299" t="s">
        <v>182</v>
      </c>
      <c r="C39" s="301" t="s">
        <v>26</v>
      </c>
      <c r="D39" s="304" t="s">
        <v>126</v>
      </c>
      <c r="E39" s="28"/>
      <c r="F39" s="47" t="s">
        <v>118</v>
      </c>
      <c r="G39" s="103">
        <v>1037.5</v>
      </c>
      <c r="H39" s="51">
        <v>78</v>
      </c>
      <c r="I39" s="333" t="s">
        <v>183</v>
      </c>
      <c r="J39" s="51">
        <v>959.5</v>
      </c>
      <c r="K39" s="318" t="s">
        <v>184</v>
      </c>
      <c r="L39" s="51">
        <v>10</v>
      </c>
      <c r="M39" s="318" t="s">
        <v>185</v>
      </c>
      <c r="N39" s="28"/>
      <c r="O39" s="47" t="s">
        <v>118</v>
      </c>
      <c r="P39" s="51">
        <v>530.1</v>
      </c>
      <c r="Q39" s="68"/>
      <c r="R39" s="318"/>
      <c r="S39" s="28"/>
      <c r="T39" s="47" t="s">
        <v>118</v>
      </c>
      <c r="U39" s="53">
        <v>530.1</v>
      </c>
      <c r="V39" s="318" t="s">
        <v>186</v>
      </c>
      <c r="W39" s="169"/>
      <c r="X39" s="309"/>
      <c r="Y39" s="185"/>
    </row>
    <row r="40" spans="1:26" ht="409.5">
      <c r="A40" s="299"/>
      <c r="B40" s="299"/>
      <c r="C40" s="301"/>
      <c r="D40" s="304"/>
      <c r="E40" s="28"/>
      <c r="F40" s="47" t="s">
        <v>124</v>
      </c>
      <c r="G40" s="48">
        <v>14.691368773784189</v>
      </c>
      <c r="H40" s="49">
        <v>1.1045077246796788</v>
      </c>
      <c r="I40" s="334"/>
      <c r="J40" s="51">
        <v>13.58686104910451</v>
      </c>
      <c r="K40" s="307"/>
      <c r="L40" s="49">
        <v>0.14160355444611267</v>
      </c>
      <c r="M40" s="307"/>
      <c r="N40" s="28"/>
      <c r="O40" s="47" t="s">
        <v>124</v>
      </c>
      <c r="P40" s="49">
        <v>7.5064044211884333</v>
      </c>
      <c r="Q40" s="68"/>
      <c r="R40" s="307"/>
      <c r="S40" s="28"/>
      <c r="T40" s="47" t="s">
        <v>124</v>
      </c>
      <c r="U40" s="49">
        <v>7.5064044211884333</v>
      </c>
      <c r="V40" s="307"/>
      <c r="W40" s="169"/>
      <c r="X40" s="310"/>
      <c r="Y40" s="169" t="s">
        <v>187</v>
      </c>
    </row>
    <row r="41" spans="1:26" ht="38">
      <c r="A41" s="299"/>
      <c r="B41" s="299"/>
      <c r="C41" s="302"/>
      <c r="D41" s="305"/>
      <c r="E41" s="25"/>
      <c r="F41" s="55" t="s">
        <v>125</v>
      </c>
      <c r="G41" s="56">
        <v>3.7991928411281406</v>
      </c>
      <c r="H41" s="56">
        <v>0.28562606420047709</v>
      </c>
      <c r="I41" s="335"/>
      <c r="J41" s="56">
        <v>3.5135667769276639</v>
      </c>
      <c r="K41" s="308"/>
      <c r="L41" s="56">
        <v>3.6618726179548346E-2</v>
      </c>
      <c r="M41" s="308"/>
      <c r="N41" s="25"/>
      <c r="O41" s="55" t="s">
        <v>125</v>
      </c>
      <c r="P41" s="56">
        <v>1.941158674777858</v>
      </c>
      <c r="Q41" s="58"/>
      <c r="R41" s="308"/>
      <c r="S41" s="25"/>
      <c r="T41" s="55" t="s">
        <v>125</v>
      </c>
      <c r="U41" s="56">
        <v>1.941158674777858</v>
      </c>
      <c r="V41" s="308"/>
      <c r="W41" s="170"/>
      <c r="X41" s="311"/>
      <c r="Y41" s="170"/>
      <c r="Z41" s="22"/>
    </row>
    <row r="42" spans="1:26" ht="171" customHeight="1">
      <c r="A42" s="299">
        <v>1</v>
      </c>
      <c r="B42" s="299" t="s">
        <v>182</v>
      </c>
      <c r="C42" s="319" t="s">
        <v>27</v>
      </c>
      <c r="D42" s="304" t="s">
        <v>117</v>
      </c>
      <c r="E42" s="60"/>
      <c r="F42" s="47" t="s">
        <v>118</v>
      </c>
      <c r="G42" s="62">
        <v>610.20000000000005</v>
      </c>
      <c r="H42" s="62">
        <v>86.399999999999991</v>
      </c>
      <c r="I42" s="339" t="s">
        <v>188</v>
      </c>
      <c r="J42" s="62">
        <v>523.80000000000007</v>
      </c>
      <c r="K42" s="309" t="s">
        <v>189</v>
      </c>
      <c r="L42" s="62">
        <v>201.8</v>
      </c>
      <c r="M42" s="318" t="s">
        <v>190</v>
      </c>
      <c r="N42" s="60"/>
      <c r="O42" s="47" t="s">
        <v>118</v>
      </c>
      <c r="P42" s="62">
        <v>457.69999999999993</v>
      </c>
      <c r="Q42" s="70">
        <v>79.900000000000006</v>
      </c>
      <c r="R42" s="309" t="s">
        <v>191</v>
      </c>
      <c r="S42" s="60"/>
      <c r="T42" s="47" t="s">
        <v>118</v>
      </c>
      <c r="U42" s="62"/>
      <c r="V42" s="309" t="s">
        <v>192</v>
      </c>
      <c r="W42" s="104">
        <v>377.79999999999995</v>
      </c>
      <c r="X42" s="309" t="s">
        <v>193</v>
      </c>
      <c r="Y42" s="309" t="s">
        <v>194</v>
      </c>
      <c r="Z42" s="66"/>
    </row>
    <row r="43" spans="1:26" ht="165" customHeight="1">
      <c r="A43" s="299"/>
      <c r="B43" s="299"/>
      <c r="C43" s="319"/>
      <c r="D43" s="304"/>
      <c r="E43" s="28"/>
      <c r="F43" s="47" t="s">
        <v>124</v>
      </c>
      <c r="G43" s="51">
        <v>117.69145569067234</v>
      </c>
      <c r="H43" s="51">
        <v>16.664276911953603</v>
      </c>
      <c r="I43" s="316"/>
      <c r="J43" s="51">
        <v>101.02717877871875</v>
      </c>
      <c r="K43" s="310"/>
      <c r="L43" s="51">
        <v>38.921887509632377</v>
      </c>
      <c r="M43" s="307"/>
      <c r="N43" s="28"/>
      <c r="O43" s="47" t="s">
        <v>124</v>
      </c>
      <c r="P43" s="51">
        <v>88.278235446772726</v>
      </c>
      <c r="Q43" s="72">
        <v>15.410598672049689</v>
      </c>
      <c r="R43" s="310"/>
      <c r="S43" s="28"/>
      <c r="T43" s="47" t="s">
        <v>124</v>
      </c>
      <c r="U43" s="49"/>
      <c r="V43" s="310"/>
      <c r="W43" s="51">
        <v>72.867636774723053</v>
      </c>
      <c r="X43" s="310"/>
      <c r="Y43" s="310"/>
    </row>
    <row r="44" spans="1:26" ht="164.15" customHeight="1">
      <c r="A44" s="299"/>
      <c r="B44" s="299"/>
      <c r="C44" s="320"/>
      <c r="D44" s="305"/>
      <c r="E44" s="28"/>
      <c r="F44" s="47" t="s">
        <v>125</v>
      </c>
      <c r="G44" s="49">
        <v>8.256941459558897</v>
      </c>
      <c r="H44" s="56">
        <v>1.169124454450817</v>
      </c>
      <c r="I44" s="317"/>
      <c r="J44" s="56">
        <v>7.0878170051080813</v>
      </c>
      <c r="K44" s="311"/>
      <c r="L44" s="56">
        <v>2.7306633669927654</v>
      </c>
      <c r="M44" s="308"/>
      <c r="N44" s="28"/>
      <c r="O44" s="47" t="s">
        <v>125</v>
      </c>
      <c r="P44" s="49">
        <v>6.1933826713210527</v>
      </c>
      <c r="Q44" s="68">
        <v>1.0811694897062536</v>
      </c>
      <c r="R44" s="311"/>
      <c r="S44" s="28"/>
      <c r="T44" s="47" t="s">
        <v>125</v>
      </c>
      <c r="U44" s="49"/>
      <c r="V44" s="311"/>
      <c r="W44" s="56">
        <v>5.1122131816148002</v>
      </c>
      <c r="X44" s="311"/>
      <c r="Y44" s="311"/>
    </row>
    <row r="45" spans="1:26" s="183" customFormat="1" ht="143.15" customHeight="1">
      <c r="A45" s="299">
        <v>1</v>
      </c>
      <c r="B45" s="299" t="s">
        <v>182</v>
      </c>
      <c r="C45" s="319" t="s">
        <v>28</v>
      </c>
      <c r="D45" s="304" t="s">
        <v>117</v>
      </c>
      <c r="F45" s="61" t="s">
        <v>118</v>
      </c>
      <c r="G45" s="105">
        <v>4904</v>
      </c>
      <c r="H45" s="74">
        <v>147</v>
      </c>
      <c r="I45" s="315" t="s">
        <v>195</v>
      </c>
      <c r="J45" s="105">
        <v>4757</v>
      </c>
      <c r="K45" s="318" t="s">
        <v>196</v>
      </c>
      <c r="L45" s="105">
        <v>1600</v>
      </c>
      <c r="M45" s="318" t="s">
        <v>197</v>
      </c>
      <c r="O45" s="61" t="s">
        <v>118</v>
      </c>
      <c r="P45" s="63">
        <v>1330</v>
      </c>
      <c r="Q45" s="106">
        <v>0</v>
      </c>
      <c r="R45" s="309" t="s">
        <v>198</v>
      </c>
      <c r="T45" s="61" t="s">
        <v>118</v>
      </c>
      <c r="U45" s="73">
        <v>400</v>
      </c>
      <c r="V45" s="309" t="s">
        <v>199</v>
      </c>
      <c r="W45" s="187">
        <v>930</v>
      </c>
      <c r="X45" s="318" t="s">
        <v>200</v>
      </c>
      <c r="Y45" s="309" t="s">
        <v>201</v>
      </c>
    </row>
    <row r="46" spans="1:26" ht="148" customHeight="1">
      <c r="A46" s="299"/>
      <c r="B46" s="299"/>
      <c r="C46" s="319"/>
      <c r="D46" s="304"/>
      <c r="E46" s="28"/>
      <c r="F46" s="47" t="s">
        <v>124</v>
      </c>
      <c r="G46" s="51">
        <v>710.76584149805785</v>
      </c>
      <c r="H46" s="51">
        <v>21.305582932343903</v>
      </c>
      <c r="I46" s="316"/>
      <c r="J46" s="51">
        <v>689.46025856571396</v>
      </c>
      <c r="K46" s="307"/>
      <c r="L46" s="51">
        <v>231.89750130442343</v>
      </c>
      <c r="M46" s="307"/>
      <c r="N46" s="28"/>
      <c r="O46" s="47" t="s">
        <v>124</v>
      </c>
      <c r="P46" s="67">
        <v>192.76479795930197</v>
      </c>
      <c r="Q46" s="72"/>
      <c r="R46" s="310"/>
      <c r="S46" s="28"/>
      <c r="T46" s="47" t="s">
        <v>124</v>
      </c>
      <c r="U46" s="51">
        <v>57.974375326105857</v>
      </c>
      <c r="V46" s="310"/>
      <c r="W46" s="48">
        <v>134.79042263319613</v>
      </c>
      <c r="X46" s="307"/>
      <c r="Y46" s="310"/>
    </row>
    <row r="47" spans="1:26" ht="148" customHeight="1">
      <c r="A47" s="299"/>
      <c r="B47" s="299"/>
      <c r="C47" s="320"/>
      <c r="D47" s="305"/>
      <c r="E47" s="25"/>
      <c r="F47" s="55" t="s">
        <v>125</v>
      </c>
      <c r="G47" s="56">
        <v>4.7347943347338237</v>
      </c>
      <c r="H47" s="56">
        <v>0.1419279704742806</v>
      </c>
      <c r="I47" s="317"/>
      <c r="J47" s="56">
        <v>4.5928663642595433</v>
      </c>
      <c r="K47" s="308"/>
      <c r="L47" s="56">
        <v>1.5447942364547549</v>
      </c>
      <c r="M47" s="308"/>
      <c r="N47" s="25"/>
      <c r="O47" s="55" t="s">
        <v>125</v>
      </c>
      <c r="P47" s="69">
        <v>1.284110209053015</v>
      </c>
      <c r="Q47" s="58"/>
      <c r="R47" s="311"/>
      <c r="S47" s="25"/>
      <c r="T47" s="55" t="s">
        <v>125</v>
      </c>
      <c r="U47" s="56">
        <v>0.38619855911368872</v>
      </c>
      <c r="V47" s="311"/>
      <c r="W47" s="97">
        <v>0.89791164993932637</v>
      </c>
      <c r="X47" s="308"/>
      <c r="Y47" s="310"/>
    </row>
    <row r="48" spans="1:26" s="183" customFormat="1" ht="175" customHeight="1">
      <c r="A48" s="299">
        <v>1</v>
      </c>
      <c r="B48" s="299" t="s">
        <v>182</v>
      </c>
      <c r="C48" s="301" t="s">
        <v>29</v>
      </c>
      <c r="D48" s="304" t="s">
        <v>126</v>
      </c>
      <c r="F48" s="61" t="s">
        <v>118</v>
      </c>
      <c r="G48" s="105">
        <v>5998.7</v>
      </c>
      <c r="H48" s="74">
        <v>360</v>
      </c>
      <c r="I48" s="309" t="s">
        <v>202</v>
      </c>
      <c r="J48" s="105">
        <v>5638.7</v>
      </c>
      <c r="K48" s="318" t="s">
        <v>203</v>
      </c>
      <c r="L48" s="74">
        <v>1340</v>
      </c>
      <c r="M48" s="318" t="s">
        <v>204</v>
      </c>
      <c r="O48" s="61" t="s">
        <v>118</v>
      </c>
      <c r="P48" s="105">
        <v>9991</v>
      </c>
      <c r="Q48" s="74">
        <v>641</v>
      </c>
      <c r="R48" s="309" t="s">
        <v>205</v>
      </c>
      <c r="T48" s="61" t="s">
        <v>118</v>
      </c>
      <c r="U48" s="107">
        <v>8450</v>
      </c>
      <c r="V48" s="318" t="s">
        <v>206</v>
      </c>
      <c r="W48" s="74">
        <v>900</v>
      </c>
      <c r="X48" s="309" t="s">
        <v>207</v>
      </c>
      <c r="Y48" s="168"/>
    </row>
    <row r="49" spans="1:26" s="171" customFormat="1" ht="175" customHeight="1">
      <c r="A49" s="299"/>
      <c r="B49" s="299"/>
      <c r="C49" s="301"/>
      <c r="D49" s="304"/>
      <c r="F49" s="47" t="s">
        <v>124</v>
      </c>
      <c r="G49" s="51">
        <v>80.647538405868104</v>
      </c>
      <c r="H49" s="49">
        <v>4.8399009495578236</v>
      </c>
      <c r="I49" s="310"/>
      <c r="J49" s="51">
        <v>75.807637456310275</v>
      </c>
      <c r="K49" s="307"/>
      <c r="L49" s="49">
        <v>18.015186867798565</v>
      </c>
      <c r="M49" s="307"/>
      <c r="O49" s="47" t="s">
        <v>124</v>
      </c>
      <c r="P49" s="72">
        <v>134.32069551953393</v>
      </c>
      <c r="Q49" s="68">
        <v>8.6177125240737915</v>
      </c>
      <c r="R49" s="310"/>
      <c r="T49" s="47" t="s">
        <v>124</v>
      </c>
      <c r="U49" s="72">
        <v>113.60323062156559</v>
      </c>
      <c r="V49" s="307"/>
      <c r="W49" s="72">
        <v>12.09975237389456</v>
      </c>
      <c r="X49" s="310"/>
      <c r="Y49" s="169"/>
    </row>
    <row r="50" spans="1:26" ht="175" customHeight="1">
      <c r="A50" s="299"/>
      <c r="B50" s="299"/>
      <c r="C50" s="302"/>
      <c r="D50" s="305"/>
      <c r="E50" s="28"/>
      <c r="F50" s="47" t="s">
        <v>125</v>
      </c>
      <c r="G50" s="49">
        <v>3.0568212569433708</v>
      </c>
      <c r="H50" s="57">
        <v>0.18344902270485497</v>
      </c>
      <c r="I50" s="311"/>
      <c r="J50" s="57">
        <v>2.873372234238516</v>
      </c>
      <c r="K50" s="308"/>
      <c r="L50" s="57">
        <v>0.68283802895696022</v>
      </c>
      <c r="M50" s="308"/>
      <c r="N50" s="28"/>
      <c r="O50" s="47" t="s">
        <v>125</v>
      </c>
      <c r="P50" s="57">
        <v>5.0912199606783499</v>
      </c>
      <c r="Q50" s="57">
        <v>0.32664117653836677</v>
      </c>
      <c r="R50" s="311"/>
      <c r="S50" s="28"/>
      <c r="T50" s="47" t="s">
        <v>125</v>
      </c>
      <c r="U50" s="57">
        <v>4.3059562273778464</v>
      </c>
      <c r="V50" s="308"/>
      <c r="W50" s="57">
        <v>0.45862255676213748</v>
      </c>
      <c r="X50" s="311"/>
      <c r="Y50" s="169"/>
    </row>
    <row r="51" spans="1:26" s="183" customFormat="1" ht="77.5" customHeight="1">
      <c r="A51" s="299">
        <v>1</v>
      </c>
      <c r="B51" s="299" t="s">
        <v>182</v>
      </c>
      <c r="C51" s="301" t="s">
        <v>30</v>
      </c>
      <c r="D51" s="304" t="s">
        <v>126</v>
      </c>
      <c r="F51" s="61" t="s">
        <v>118</v>
      </c>
      <c r="G51" s="105">
        <v>424500</v>
      </c>
      <c r="H51" s="108">
        <v>76000</v>
      </c>
      <c r="I51" s="309" t="s">
        <v>208</v>
      </c>
      <c r="J51" s="108">
        <v>348500</v>
      </c>
      <c r="K51" s="309" t="s">
        <v>209</v>
      </c>
      <c r="L51" s="177"/>
      <c r="M51" s="318" t="s">
        <v>210</v>
      </c>
      <c r="O51" s="61" t="s">
        <v>118</v>
      </c>
      <c r="P51" s="109">
        <v>135150</v>
      </c>
      <c r="Q51" s="110">
        <v>35150</v>
      </c>
      <c r="R51" s="309" t="s">
        <v>211</v>
      </c>
      <c r="T51" s="61" t="s">
        <v>118</v>
      </c>
      <c r="U51" s="110">
        <v>100000</v>
      </c>
      <c r="V51" s="318" t="s">
        <v>212</v>
      </c>
      <c r="W51" s="111"/>
      <c r="X51" s="177"/>
      <c r="Y51" s="168"/>
    </row>
    <row r="52" spans="1:26" s="171" customFormat="1" ht="76" customHeight="1">
      <c r="A52" s="299"/>
      <c r="B52" s="299"/>
      <c r="C52" s="301"/>
      <c r="D52" s="304"/>
      <c r="F52" s="47" t="s">
        <v>124</v>
      </c>
      <c r="G52" s="51">
        <v>29.092196677869818</v>
      </c>
      <c r="H52" s="49">
        <v>5.2084969317269874</v>
      </c>
      <c r="I52" s="310"/>
      <c r="J52" s="53">
        <v>23.883699746142831</v>
      </c>
      <c r="K52" s="310"/>
      <c r="L52" s="178"/>
      <c r="M52" s="307"/>
      <c r="O52" s="47" t="s">
        <v>124</v>
      </c>
      <c r="P52" s="51">
        <v>9.2622152674066101</v>
      </c>
      <c r="Q52" s="98">
        <v>2.4089298309237317</v>
      </c>
      <c r="R52" s="340"/>
      <c r="T52" s="47" t="s">
        <v>124</v>
      </c>
      <c r="U52" s="92">
        <v>6.8532854364828779</v>
      </c>
      <c r="V52" s="307"/>
      <c r="W52" s="112"/>
      <c r="X52" s="172"/>
      <c r="Y52" s="169"/>
    </row>
    <row r="53" spans="1:26" s="18" customFormat="1" ht="179.5" customHeight="1">
      <c r="A53" s="299"/>
      <c r="B53" s="299"/>
      <c r="C53" s="302"/>
      <c r="D53" s="305"/>
      <c r="E53" s="25"/>
      <c r="F53" s="55" t="s">
        <v>125</v>
      </c>
      <c r="G53" s="56">
        <v>2.6804100904569146</v>
      </c>
      <c r="H53" s="56">
        <v>0.47988496319134388</v>
      </c>
      <c r="I53" s="311"/>
      <c r="J53" s="57">
        <v>2.2005251272655708</v>
      </c>
      <c r="K53" s="311"/>
      <c r="L53" s="179"/>
      <c r="M53" s="308"/>
      <c r="N53" s="25"/>
      <c r="O53" s="55" t="s">
        <v>125</v>
      </c>
      <c r="P53" s="56">
        <v>0.85337437862250176</v>
      </c>
      <c r="Q53" s="93">
        <v>0.22194679547599658</v>
      </c>
      <c r="R53" s="341"/>
      <c r="S53" s="25"/>
      <c r="T53" s="55" t="s">
        <v>125</v>
      </c>
      <c r="U53" s="93">
        <v>0.63142758314650516</v>
      </c>
      <c r="V53" s="308"/>
      <c r="W53" s="113"/>
      <c r="X53" s="179"/>
      <c r="Y53" s="114" t="s">
        <v>213</v>
      </c>
      <c r="Z53" s="22"/>
    </row>
    <row r="54" spans="1:26" s="36" customFormat="1" ht="69" customHeight="1">
      <c r="A54" s="299">
        <v>1</v>
      </c>
      <c r="B54" s="299" t="s">
        <v>182</v>
      </c>
      <c r="C54" s="301" t="s">
        <v>31</v>
      </c>
      <c r="D54" s="304" t="s">
        <v>214</v>
      </c>
      <c r="F54" s="47" t="s">
        <v>118</v>
      </c>
      <c r="G54" s="48">
        <v>154</v>
      </c>
      <c r="H54" s="101">
        <v>50</v>
      </c>
      <c r="I54" s="342" t="s">
        <v>215</v>
      </c>
      <c r="J54" s="48">
        <v>104</v>
      </c>
      <c r="K54" s="327" t="s">
        <v>216</v>
      </c>
      <c r="L54" s="48">
        <v>92</v>
      </c>
      <c r="M54" s="318" t="s">
        <v>217</v>
      </c>
      <c r="O54" s="47" t="s">
        <v>118</v>
      </c>
      <c r="P54" s="48">
        <v>289.512</v>
      </c>
      <c r="Q54" s="52">
        <v>39.299999999999997</v>
      </c>
      <c r="R54" s="309" t="s">
        <v>218</v>
      </c>
      <c r="T54" s="47" t="s">
        <v>118</v>
      </c>
      <c r="U54" s="97">
        <v>24.512</v>
      </c>
      <c r="V54" s="169" t="s">
        <v>219</v>
      </c>
      <c r="W54" s="52">
        <v>225.7</v>
      </c>
      <c r="X54" s="309" t="s">
        <v>220</v>
      </c>
      <c r="Y54" s="309" t="s">
        <v>221</v>
      </c>
    </row>
    <row r="55" spans="1:26" s="36" customFormat="1" ht="69" customHeight="1">
      <c r="A55" s="299"/>
      <c r="B55" s="299"/>
      <c r="C55" s="301"/>
      <c r="D55" s="304"/>
      <c r="F55" s="47" t="s">
        <v>124</v>
      </c>
      <c r="G55" s="49">
        <v>7.2279883115998169</v>
      </c>
      <c r="H55" s="49">
        <v>2.3467494518181224</v>
      </c>
      <c r="I55" s="316"/>
      <c r="J55" s="49">
        <v>4.8812388597816945</v>
      </c>
      <c r="K55" s="307"/>
      <c r="L55" s="49">
        <v>4.3180189913453448</v>
      </c>
      <c r="M55" s="307"/>
      <c r="O55" s="47" t="s">
        <v>124</v>
      </c>
      <c r="P55" s="49">
        <v>13.588242545895366</v>
      </c>
      <c r="Q55" s="49">
        <v>1.8445450691290441</v>
      </c>
      <c r="R55" s="310"/>
      <c r="T55" s="47" t="s">
        <v>124</v>
      </c>
      <c r="U55" s="97">
        <v>1.1504704512593162</v>
      </c>
      <c r="V55" s="169"/>
      <c r="W55" s="49">
        <v>10.593227025507003</v>
      </c>
      <c r="X55" s="310"/>
      <c r="Y55" s="310"/>
    </row>
    <row r="56" spans="1:26" s="39" customFormat="1" ht="41.15" customHeight="1">
      <c r="A56" s="299"/>
      <c r="B56" s="299"/>
      <c r="C56" s="302"/>
      <c r="D56" s="305"/>
      <c r="F56" s="55" t="s">
        <v>125</v>
      </c>
      <c r="G56" s="56">
        <v>0.68126555483297013</v>
      </c>
      <c r="H56" s="56">
        <v>0.22119011520550977</v>
      </c>
      <c r="I56" s="317"/>
      <c r="J56" s="56">
        <v>0.46007543962746028</v>
      </c>
      <c r="K56" s="308"/>
      <c r="L56" s="56">
        <v>0.40698981197813799</v>
      </c>
      <c r="M56" s="308"/>
      <c r="O56" s="55" t="s">
        <v>125</v>
      </c>
      <c r="P56" s="56">
        <v>1.2807438526675508</v>
      </c>
      <c r="Q56" s="56">
        <v>0.17385543055153066</v>
      </c>
      <c r="R56" s="311"/>
      <c r="T56" s="55" t="s">
        <v>125</v>
      </c>
      <c r="U56" s="99">
        <v>0.10843624207834911</v>
      </c>
      <c r="V56" s="170"/>
      <c r="W56" s="56">
        <v>0.99845218003767111</v>
      </c>
      <c r="X56" s="311"/>
      <c r="Y56" s="311"/>
    </row>
    <row r="57" spans="1:26" s="171" customFormat="1" ht="298" customHeight="1">
      <c r="A57" s="299">
        <v>1</v>
      </c>
      <c r="B57" s="299" t="s">
        <v>182</v>
      </c>
      <c r="C57" s="301" t="s">
        <v>32</v>
      </c>
      <c r="D57" s="304" t="s">
        <v>126</v>
      </c>
      <c r="E57" s="183"/>
      <c r="F57" s="47" t="s">
        <v>118</v>
      </c>
      <c r="G57" s="105">
        <v>3012</v>
      </c>
      <c r="H57" s="74">
        <v>634</v>
      </c>
      <c r="I57" s="309" t="s">
        <v>222</v>
      </c>
      <c r="J57" s="105">
        <v>2378</v>
      </c>
      <c r="K57" s="318" t="s">
        <v>223</v>
      </c>
      <c r="L57" s="74">
        <v>460</v>
      </c>
      <c r="M57" s="309" t="s">
        <v>224</v>
      </c>
      <c r="N57" s="183"/>
      <c r="O57" s="47" t="s">
        <v>118</v>
      </c>
      <c r="P57" s="105">
        <v>1567</v>
      </c>
      <c r="Q57" s="52">
        <v>567</v>
      </c>
      <c r="R57" s="309" t="s">
        <v>225</v>
      </c>
      <c r="S57" s="183"/>
      <c r="T57" s="47" t="s">
        <v>118</v>
      </c>
      <c r="U57" s="48">
        <v>500</v>
      </c>
      <c r="V57" s="309" t="s">
        <v>226</v>
      </c>
      <c r="W57" s="187">
        <v>500</v>
      </c>
      <c r="X57" s="318" t="s">
        <v>227</v>
      </c>
      <c r="Y57" s="168"/>
      <c r="Z57" s="183"/>
    </row>
    <row r="58" spans="1:26" s="171" customFormat="1" ht="359.15" customHeight="1">
      <c r="A58" s="299"/>
      <c r="B58" s="299"/>
      <c r="C58" s="301"/>
      <c r="D58" s="304"/>
      <c r="F58" s="47" t="s">
        <v>124</v>
      </c>
      <c r="G58" s="51">
        <v>41.633738800701707</v>
      </c>
      <c r="H58" s="97">
        <v>8.7635426293641707</v>
      </c>
      <c r="I58" s="310"/>
      <c r="J58" s="53">
        <v>32.87019617133754</v>
      </c>
      <c r="K58" s="307"/>
      <c r="L58" s="91">
        <v>6.3584063241443518</v>
      </c>
      <c r="M58" s="310"/>
      <c r="O58" s="47" t="s">
        <v>124</v>
      </c>
      <c r="P58" s="51">
        <v>21.660049369422172</v>
      </c>
      <c r="Q58" s="49">
        <v>7.837426925630103</v>
      </c>
      <c r="R58" s="310"/>
      <c r="T58" s="47" t="s">
        <v>124</v>
      </c>
      <c r="U58" s="49">
        <v>6.9113112218960344</v>
      </c>
      <c r="V58" s="310"/>
      <c r="W58" s="49">
        <v>6.9113112218960344</v>
      </c>
      <c r="X58" s="307"/>
      <c r="Y58" s="169"/>
    </row>
    <row r="59" spans="1:26" ht="409.6" customHeight="1">
      <c r="A59" s="299"/>
      <c r="B59" s="299"/>
      <c r="C59" s="302"/>
      <c r="D59" s="305"/>
      <c r="E59" s="28"/>
      <c r="F59" s="47" t="s">
        <v>125</v>
      </c>
      <c r="G59" s="49">
        <v>2.9094770375926076</v>
      </c>
      <c r="H59" s="115">
        <v>0.61241980140561525</v>
      </c>
      <c r="I59" s="311"/>
      <c r="J59" s="57">
        <v>2.2970572361869923</v>
      </c>
      <c r="K59" s="308"/>
      <c r="L59" s="57">
        <v>0.4443424426602256</v>
      </c>
      <c r="M59" s="311"/>
      <c r="N59" s="28"/>
      <c r="O59" s="47" t="s">
        <v>125</v>
      </c>
      <c r="P59" s="56">
        <v>1.5136621905403773</v>
      </c>
      <c r="Q59" s="56">
        <v>0.54770035867032163</v>
      </c>
      <c r="R59" s="311"/>
      <c r="S59" s="28"/>
      <c r="T59" s="47" t="s">
        <v>125</v>
      </c>
      <c r="U59" s="56">
        <v>0.48298091593502779</v>
      </c>
      <c r="V59" s="311"/>
      <c r="W59" s="56">
        <v>0.48298091593502779</v>
      </c>
      <c r="X59" s="308"/>
      <c r="Y59" s="169"/>
    </row>
    <row r="60" spans="1:26" s="183" customFormat="1" ht="120" customHeight="1">
      <c r="A60" s="299">
        <v>1</v>
      </c>
      <c r="B60" s="299" t="s">
        <v>182</v>
      </c>
      <c r="C60" s="301" t="s">
        <v>33</v>
      </c>
      <c r="D60" s="304" t="s">
        <v>117</v>
      </c>
      <c r="F60" s="61" t="s">
        <v>118</v>
      </c>
      <c r="G60" s="73">
        <v>57.6</v>
      </c>
      <c r="H60" s="74">
        <v>47</v>
      </c>
      <c r="I60" s="309" t="s">
        <v>228</v>
      </c>
      <c r="J60" s="95">
        <v>10.6</v>
      </c>
      <c r="K60" s="309" t="s">
        <v>229</v>
      </c>
      <c r="L60" s="74">
        <v>56</v>
      </c>
      <c r="M60" s="309" t="s">
        <v>230</v>
      </c>
      <c r="O60" s="61" t="s">
        <v>118</v>
      </c>
      <c r="P60" s="63">
        <v>22</v>
      </c>
      <c r="Q60" s="106">
        <v>22</v>
      </c>
      <c r="R60" s="309" t="s">
        <v>231</v>
      </c>
      <c r="T60" s="61" t="s">
        <v>118</v>
      </c>
      <c r="U60" s="95"/>
      <c r="V60" s="168"/>
      <c r="W60" s="168"/>
      <c r="X60" s="168"/>
      <c r="Y60" s="168"/>
    </row>
    <row r="61" spans="1:26" s="171" customFormat="1" ht="38">
      <c r="A61" s="299"/>
      <c r="B61" s="299"/>
      <c r="C61" s="301"/>
      <c r="D61" s="304"/>
      <c r="F61" s="47" t="s">
        <v>124</v>
      </c>
      <c r="G61" s="51">
        <v>15.360000000000001</v>
      </c>
      <c r="H61" s="51">
        <v>12.533333333333333</v>
      </c>
      <c r="I61" s="310"/>
      <c r="J61" s="49">
        <v>2.8266666666666667</v>
      </c>
      <c r="K61" s="310"/>
      <c r="L61" s="51">
        <v>14.933333333333334</v>
      </c>
      <c r="M61" s="310"/>
      <c r="O61" s="47" t="s">
        <v>124</v>
      </c>
      <c r="P61" s="116">
        <v>5.8666666666666663</v>
      </c>
      <c r="Q61" s="68">
        <v>5.8666666666666663</v>
      </c>
      <c r="R61" s="310"/>
      <c r="T61" s="47" t="s">
        <v>124</v>
      </c>
      <c r="U61" s="97"/>
      <c r="V61" s="169"/>
      <c r="W61" s="169"/>
      <c r="X61" s="169"/>
      <c r="Y61" s="169"/>
    </row>
    <row r="62" spans="1:26" ht="38">
      <c r="A62" s="299"/>
      <c r="B62" s="299"/>
      <c r="C62" s="302"/>
      <c r="D62" s="305"/>
      <c r="E62" s="25"/>
      <c r="F62" s="55" t="s">
        <v>125</v>
      </c>
      <c r="G62" s="56">
        <v>2.1908414259088271</v>
      </c>
      <c r="H62" s="56">
        <v>1.7876657468353274</v>
      </c>
      <c r="I62" s="311"/>
      <c r="J62" s="56">
        <v>0.40317567907349933</v>
      </c>
      <c r="K62" s="311"/>
      <c r="L62" s="56">
        <v>2.1299847196335815</v>
      </c>
      <c r="M62" s="311"/>
      <c r="N62" s="25"/>
      <c r="O62" s="55" t="s">
        <v>125</v>
      </c>
      <c r="P62" s="69">
        <v>0.83677971128462125</v>
      </c>
      <c r="Q62" s="58">
        <v>0.83677971128462125</v>
      </c>
      <c r="R62" s="311"/>
      <c r="S62" s="25"/>
      <c r="T62" s="55" t="s">
        <v>125</v>
      </c>
      <c r="U62" s="56"/>
      <c r="V62" s="170"/>
      <c r="W62" s="170"/>
      <c r="X62" s="170"/>
      <c r="Y62" s="170"/>
      <c r="Z62" s="22"/>
    </row>
    <row r="63" spans="1:26" s="171" customFormat="1" ht="108" customHeight="1">
      <c r="A63" s="299">
        <v>1</v>
      </c>
      <c r="B63" s="299" t="s">
        <v>182</v>
      </c>
      <c r="C63" s="301" t="s">
        <v>34</v>
      </c>
      <c r="D63" s="304" t="s">
        <v>117</v>
      </c>
      <c r="E63" s="183"/>
      <c r="F63" s="47" t="s">
        <v>118</v>
      </c>
      <c r="G63" s="73">
        <v>266</v>
      </c>
      <c r="H63" s="73">
        <v>20</v>
      </c>
      <c r="I63" s="309" t="s">
        <v>232</v>
      </c>
      <c r="J63" s="73">
        <v>246</v>
      </c>
      <c r="K63" s="318" t="s">
        <v>233</v>
      </c>
      <c r="L63" s="73">
        <v>44</v>
      </c>
      <c r="M63" s="318" t="s">
        <v>234</v>
      </c>
      <c r="N63" s="183"/>
      <c r="O63" s="47" t="s">
        <v>118</v>
      </c>
      <c r="P63" s="73">
        <v>203</v>
      </c>
      <c r="Q63" s="106"/>
      <c r="R63" s="309"/>
      <c r="S63" s="183"/>
      <c r="T63" s="47" t="s">
        <v>118</v>
      </c>
      <c r="U63" s="73">
        <v>200</v>
      </c>
      <c r="V63" s="318" t="s">
        <v>235</v>
      </c>
      <c r="W63" s="95">
        <v>3</v>
      </c>
      <c r="X63" s="318" t="s">
        <v>236</v>
      </c>
      <c r="Y63" s="168"/>
      <c r="Z63" s="183"/>
    </row>
    <row r="64" spans="1:26" s="171" customFormat="1" ht="122.15" customHeight="1">
      <c r="A64" s="299"/>
      <c r="B64" s="299"/>
      <c r="C64" s="301"/>
      <c r="D64" s="304"/>
      <c r="F64" s="47" t="s">
        <v>124</v>
      </c>
      <c r="G64" s="51">
        <v>16.156544362165711</v>
      </c>
      <c r="H64" s="49">
        <v>1.214777771591407</v>
      </c>
      <c r="I64" s="310"/>
      <c r="J64" s="53">
        <v>14.941766590574305</v>
      </c>
      <c r="K64" s="307"/>
      <c r="L64" s="91">
        <v>2.6725110975010953</v>
      </c>
      <c r="M64" s="307"/>
      <c r="O64" s="47" t="s">
        <v>124</v>
      </c>
      <c r="P64" s="48">
        <v>12.32999438165278</v>
      </c>
      <c r="Q64" s="68"/>
      <c r="R64" s="310"/>
      <c r="T64" s="47" t="s">
        <v>124</v>
      </c>
      <c r="U64" s="48">
        <v>12.147777715914069</v>
      </c>
      <c r="V64" s="307"/>
      <c r="W64" s="97">
        <v>0.18221666573871104</v>
      </c>
      <c r="X64" s="307"/>
      <c r="Y64" s="169"/>
    </row>
    <row r="65" spans="1:26" ht="88.5" customHeight="1">
      <c r="A65" s="299"/>
      <c r="B65" s="299"/>
      <c r="C65" s="302"/>
      <c r="D65" s="305"/>
      <c r="E65" s="25"/>
      <c r="F65" s="55" t="s">
        <v>125</v>
      </c>
      <c r="G65" s="56">
        <v>5.4774789744919543</v>
      </c>
      <c r="H65" s="56">
        <v>0.41184052439789132</v>
      </c>
      <c r="I65" s="311"/>
      <c r="J65" s="57">
        <v>5.0656384500940632</v>
      </c>
      <c r="K65" s="308"/>
      <c r="L65" s="57">
        <v>0.90604915367536087</v>
      </c>
      <c r="M65" s="308"/>
      <c r="N65" s="25"/>
      <c r="O65" s="55" t="s">
        <v>125</v>
      </c>
      <c r="P65" s="56">
        <v>4.3006219097176235</v>
      </c>
      <c r="Q65" s="58"/>
      <c r="R65" s="311"/>
      <c r="S65" s="25"/>
      <c r="T65" s="55" t="s">
        <v>125</v>
      </c>
      <c r="U65" s="56">
        <v>4.1184052439789127</v>
      </c>
      <c r="V65" s="308"/>
      <c r="W65" s="99">
        <v>6.1776078659683688E-2</v>
      </c>
      <c r="X65" s="308"/>
      <c r="Y65" s="170"/>
      <c r="Z65" s="22"/>
    </row>
    <row r="66" spans="1:26" s="36" customFormat="1" ht="90.65" customHeight="1">
      <c r="A66" s="299">
        <v>1</v>
      </c>
      <c r="B66" s="299" t="s">
        <v>182</v>
      </c>
      <c r="C66" s="301" t="s">
        <v>35</v>
      </c>
      <c r="D66" s="304" t="s">
        <v>214</v>
      </c>
      <c r="E66" s="30"/>
      <c r="F66" s="47" t="s">
        <v>118</v>
      </c>
      <c r="G66" s="73">
        <v>53.6</v>
      </c>
      <c r="H66" s="74">
        <v>14.2</v>
      </c>
      <c r="I66" s="318" t="s">
        <v>237</v>
      </c>
      <c r="J66" s="117">
        <v>39.400000000000006</v>
      </c>
      <c r="K66" s="318" t="s">
        <v>238</v>
      </c>
      <c r="L66" s="117">
        <v>69.5</v>
      </c>
      <c r="M66" s="318" t="s">
        <v>239</v>
      </c>
      <c r="N66" s="30"/>
      <c r="O66" s="47" t="s">
        <v>118</v>
      </c>
      <c r="P66" s="73">
        <v>450.6</v>
      </c>
      <c r="Q66" s="106">
        <v>21</v>
      </c>
      <c r="R66" s="309" t="s">
        <v>240</v>
      </c>
      <c r="S66" s="30"/>
      <c r="T66" s="47" t="s">
        <v>118</v>
      </c>
      <c r="U66" s="73">
        <v>306</v>
      </c>
      <c r="V66" s="309" t="s">
        <v>241</v>
      </c>
      <c r="W66" s="73">
        <v>123.6</v>
      </c>
      <c r="X66" s="309" t="s">
        <v>242</v>
      </c>
      <c r="Y66" s="168"/>
      <c r="Z66" s="30"/>
    </row>
    <row r="67" spans="1:26" s="36" customFormat="1" ht="90.65" customHeight="1">
      <c r="A67" s="299"/>
      <c r="B67" s="299"/>
      <c r="C67" s="301"/>
      <c r="D67" s="304"/>
      <c r="F67" s="47" t="s">
        <v>124</v>
      </c>
      <c r="G67" s="49">
        <v>7.6102084556631384</v>
      </c>
      <c r="H67" s="97">
        <v>2.0161373147465773</v>
      </c>
      <c r="I67" s="307"/>
      <c r="J67" s="91">
        <v>5.5940711409165607</v>
      </c>
      <c r="K67" s="307"/>
      <c r="L67" s="91">
        <v>9.86771432217515</v>
      </c>
      <c r="M67" s="307"/>
      <c r="O67" s="47" t="s">
        <v>124</v>
      </c>
      <c r="P67" s="53">
        <v>63.976864367944216</v>
      </c>
      <c r="Q67" s="91">
        <v>2.9816115218083188</v>
      </c>
      <c r="R67" s="310"/>
      <c r="T67" s="47" t="s">
        <v>124</v>
      </c>
      <c r="U67" s="51">
        <v>43.44633931777836</v>
      </c>
      <c r="V67" s="310"/>
      <c r="W67" s="51">
        <v>17.548913528357534</v>
      </c>
      <c r="X67" s="310"/>
      <c r="Y67" s="169"/>
    </row>
    <row r="68" spans="1:26" ht="104.5" customHeight="1">
      <c r="A68" s="299"/>
      <c r="B68" s="299"/>
      <c r="C68" s="302"/>
      <c r="D68" s="305"/>
      <c r="E68" s="25"/>
      <c r="F68" s="55" t="s">
        <v>125</v>
      </c>
      <c r="G68" s="56">
        <v>1.0708244081170604</v>
      </c>
      <c r="H68" s="118">
        <v>0.28368855588175851</v>
      </c>
      <c r="I68" s="308"/>
      <c r="J68" s="57">
        <v>0.78713585223530191</v>
      </c>
      <c r="K68" s="308"/>
      <c r="L68" s="57">
        <v>1.3884756784353673</v>
      </c>
      <c r="M68" s="308"/>
      <c r="N68" s="25"/>
      <c r="O68" s="55" t="s">
        <v>125</v>
      </c>
      <c r="P68" s="57">
        <v>9.0021171324169291</v>
      </c>
      <c r="Q68" s="57">
        <v>0.41953941362795277</v>
      </c>
      <c r="R68" s="311"/>
      <c r="S68" s="25"/>
      <c r="T68" s="55" t="s">
        <v>125</v>
      </c>
      <c r="U68" s="56">
        <v>6.1132885985787402</v>
      </c>
      <c r="V68" s="311"/>
      <c r="W68" s="56">
        <v>2.4692891202102363</v>
      </c>
      <c r="X68" s="311"/>
      <c r="Y68" s="170"/>
      <c r="Z68" s="22"/>
    </row>
    <row r="69" spans="1:26" ht="135.65" customHeight="1">
      <c r="A69" s="299">
        <v>0</v>
      </c>
      <c r="B69" s="299" t="s">
        <v>116</v>
      </c>
      <c r="C69" s="301" t="s">
        <v>37</v>
      </c>
      <c r="D69" s="304" t="s">
        <v>117</v>
      </c>
      <c r="F69" s="47" t="s">
        <v>118</v>
      </c>
      <c r="G69" s="51">
        <v>32.1</v>
      </c>
      <c r="H69" s="49">
        <v>8.1</v>
      </c>
      <c r="I69" s="343" t="s">
        <v>243</v>
      </c>
      <c r="J69" s="51">
        <v>24</v>
      </c>
      <c r="K69" s="318" t="s">
        <v>244</v>
      </c>
      <c r="L69" s="51">
        <v>13.8</v>
      </c>
      <c r="M69" s="309" t="s">
        <v>245</v>
      </c>
      <c r="O69" s="47" t="s">
        <v>118</v>
      </c>
      <c r="P69" s="63">
        <v>53</v>
      </c>
      <c r="Q69" s="68">
        <v>1</v>
      </c>
      <c r="R69" s="318" t="s">
        <v>246</v>
      </c>
      <c r="T69" s="47" t="s">
        <v>118</v>
      </c>
      <c r="U69" s="51">
        <v>52</v>
      </c>
      <c r="V69" s="309" t="s">
        <v>247</v>
      </c>
      <c r="W69" s="185"/>
      <c r="X69" s="185"/>
    </row>
    <row r="70" spans="1:26" ht="138.65" customHeight="1">
      <c r="A70" s="299"/>
      <c r="B70" s="299"/>
      <c r="C70" s="301"/>
      <c r="D70" s="304"/>
      <c r="F70" s="47" t="s">
        <v>124</v>
      </c>
      <c r="G70" s="51">
        <v>36.538255576551201</v>
      </c>
      <c r="H70" s="49">
        <v>9.2199336501577793</v>
      </c>
      <c r="I70" s="310"/>
      <c r="J70" s="51">
        <v>27.31832192639342</v>
      </c>
      <c r="K70" s="307"/>
      <c r="L70" s="51">
        <v>15.708035107676219</v>
      </c>
      <c r="M70" s="310"/>
      <c r="O70" s="47" t="s">
        <v>124</v>
      </c>
      <c r="P70" s="67">
        <v>60.327960920785472</v>
      </c>
      <c r="Q70" s="49">
        <v>1.1382634135997258</v>
      </c>
      <c r="R70" s="307"/>
      <c r="T70" s="47" t="s">
        <v>124</v>
      </c>
      <c r="U70" s="51">
        <v>59.189697507185748</v>
      </c>
      <c r="V70" s="310"/>
      <c r="W70" s="185"/>
      <c r="X70" s="185"/>
    </row>
    <row r="71" spans="1:26" ht="171.65" customHeight="1">
      <c r="A71" s="299"/>
      <c r="B71" s="299"/>
      <c r="C71" s="302"/>
      <c r="D71" s="305"/>
      <c r="F71" s="55" t="s">
        <v>125</v>
      </c>
      <c r="G71" s="56">
        <v>7.2204845013748731</v>
      </c>
      <c r="H71" s="56">
        <v>1.8219914162347806</v>
      </c>
      <c r="I71" s="311"/>
      <c r="J71" s="56">
        <v>5.3984930851400916</v>
      </c>
      <c r="K71" s="308"/>
      <c r="L71" s="56">
        <v>3.1041335239555523</v>
      </c>
      <c r="M71" s="311"/>
      <c r="O71" s="55" t="s">
        <v>125</v>
      </c>
      <c r="P71" s="69">
        <v>11.921672229684368</v>
      </c>
      <c r="Q71" s="56">
        <v>0.22493721188083715</v>
      </c>
      <c r="R71" s="308"/>
      <c r="T71" s="55" t="s">
        <v>125</v>
      </c>
      <c r="U71" s="56">
        <v>11.696735017803531</v>
      </c>
      <c r="V71" s="311"/>
      <c r="W71" s="185"/>
      <c r="X71" s="185"/>
    </row>
    <row r="72" spans="1:26" ht="253" customHeight="1">
      <c r="A72" s="299">
        <v>0</v>
      </c>
      <c r="B72" s="299" t="s">
        <v>116</v>
      </c>
      <c r="C72" s="301" t="s">
        <v>248</v>
      </c>
      <c r="D72" s="304" t="s">
        <v>117</v>
      </c>
      <c r="E72" s="66"/>
      <c r="F72" s="47" t="s">
        <v>118</v>
      </c>
      <c r="G72" s="73">
        <v>304.39999999999998</v>
      </c>
      <c r="H72" s="119">
        <v>66.599999999999994</v>
      </c>
      <c r="I72" s="306" t="s">
        <v>249</v>
      </c>
      <c r="J72" s="120">
        <v>237.8</v>
      </c>
      <c r="K72" s="318" t="s">
        <v>250</v>
      </c>
      <c r="L72" s="120">
        <v>36.299999999999997</v>
      </c>
      <c r="M72" s="306" t="s">
        <v>251</v>
      </c>
      <c r="N72" s="30"/>
      <c r="O72" s="47" t="s">
        <v>118</v>
      </c>
      <c r="P72" s="63">
        <v>865</v>
      </c>
      <c r="Q72" s="96">
        <v>1</v>
      </c>
      <c r="R72" s="318" t="s">
        <v>252</v>
      </c>
      <c r="S72" s="30"/>
      <c r="T72" s="47" t="s">
        <v>118</v>
      </c>
      <c r="U72" s="73">
        <v>864</v>
      </c>
      <c r="V72" s="309" t="s">
        <v>253</v>
      </c>
      <c r="W72" s="73"/>
      <c r="X72" s="309"/>
    </row>
    <row r="73" spans="1:26" ht="244" customHeight="1">
      <c r="A73" s="299"/>
      <c r="B73" s="299"/>
      <c r="C73" s="301"/>
      <c r="D73" s="304"/>
      <c r="F73" s="47" t="s">
        <v>124</v>
      </c>
      <c r="G73" s="51">
        <v>13.066403598920733</v>
      </c>
      <c r="H73" s="97">
        <v>2.8588123511436292</v>
      </c>
      <c r="I73" s="307"/>
      <c r="J73" s="49">
        <v>10.207591247777104</v>
      </c>
      <c r="K73" s="307"/>
      <c r="L73" s="49">
        <v>1.5581815067044105</v>
      </c>
      <c r="M73" s="307"/>
      <c r="N73" s="36"/>
      <c r="O73" s="47" t="s">
        <v>124</v>
      </c>
      <c r="P73" s="67">
        <v>37.130220476565157</v>
      </c>
      <c r="Q73" s="121">
        <v>4.2925110377531973E-2</v>
      </c>
      <c r="R73" s="307"/>
      <c r="S73" s="36"/>
      <c r="T73" s="47" t="s">
        <v>124</v>
      </c>
      <c r="U73" s="51">
        <v>37.087295366187625</v>
      </c>
      <c r="V73" s="310"/>
      <c r="W73" s="49"/>
      <c r="X73" s="310"/>
    </row>
    <row r="74" spans="1:26" ht="263.14999999999998" customHeight="1">
      <c r="A74" s="299"/>
      <c r="B74" s="299"/>
      <c r="C74" s="302"/>
      <c r="D74" s="305"/>
      <c r="F74" s="55" t="s">
        <v>125</v>
      </c>
      <c r="G74" s="56">
        <v>5.44423346092535</v>
      </c>
      <c r="H74" s="99">
        <v>1.1911496336978591</v>
      </c>
      <c r="I74" s="308"/>
      <c r="J74" s="56">
        <v>4.2530838272274911</v>
      </c>
      <c r="K74" s="308"/>
      <c r="L74" s="56">
        <v>0.64923020575423851</v>
      </c>
      <c r="M74" s="308"/>
      <c r="N74" s="25"/>
      <c r="O74" s="55" t="s">
        <v>125</v>
      </c>
      <c r="P74" s="69">
        <v>15.470637134364086</v>
      </c>
      <c r="Q74" s="58">
        <v>1.7885129635102991E-2</v>
      </c>
      <c r="R74" s="308"/>
      <c r="S74" s="25"/>
      <c r="T74" s="55" t="s">
        <v>125</v>
      </c>
      <c r="U74" s="56">
        <v>15.452752004728984</v>
      </c>
      <c r="V74" s="311"/>
      <c r="W74" s="56"/>
      <c r="X74" s="311"/>
    </row>
    <row r="75" spans="1:26" s="171" customFormat="1" ht="115.5" customHeight="1">
      <c r="A75" s="299">
        <v>0</v>
      </c>
      <c r="B75" s="299" t="s">
        <v>116</v>
      </c>
      <c r="C75" s="301" t="s">
        <v>39</v>
      </c>
      <c r="D75" s="304" t="s">
        <v>117</v>
      </c>
      <c r="E75" s="183"/>
      <c r="F75" s="47" t="s">
        <v>118</v>
      </c>
      <c r="G75" s="97">
        <v>40.299999999999997</v>
      </c>
      <c r="H75" s="101">
        <v>0.8</v>
      </c>
      <c r="I75" s="316" t="s">
        <v>254</v>
      </c>
      <c r="J75" s="48">
        <v>39.5</v>
      </c>
      <c r="K75" s="318" t="s">
        <v>255</v>
      </c>
      <c r="L75" s="48">
        <v>175.4</v>
      </c>
      <c r="M75" s="310" t="s">
        <v>256</v>
      </c>
      <c r="O75" s="47" t="s">
        <v>118</v>
      </c>
      <c r="P75" s="63">
        <v>96.995999999999995</v>
      </c>
      <c r="Q75" s="52">
        <v>57.082999999999998</v>
      </c>
      <c r="R75" s="307" t="s">
        <v>257</v>
      </c>
      <c r="T75" s="47" t="s">
        <v>118</v>
      </c>
      <c r="U75" s="48">
        <v>39.912999999999997</v>
      </c>
      <c r="V75" s="307" t="s">
        <v>258</v>
      </c>
      <c r="W75" s="169"/>
      <c r="X75" s="169"/>
      <c r="Y75" s="310" t="s">
        <v>259</v>
      </c>
    </row>
    <row r="76" spans="1:26" ht="124.5" customHeight="1">
      <c r="A76" s="299"/>
      <c r="B76" s="299"/>
      <c r="C76" s="301"/>
      <c r="D76" s="304"/>
      <c r="E76" s="28"/>
      <c r="F76" s="47" t="s">
        <v>124</v>
      </c>
      <c r="G76" s="51">
        <v>6.1428697867727307</v>
      </c>
      <c r="H76" s="115">
        <v>0.12194282455131972</v>
      </c>
      <c r="I76" s="316"/>
      <c r="J76" s="51">
        <v>6.0209269622214112</v>
      </c>
      <c r="K76" s="307"/>
      <c r="L76" s="51">
        <v>26.73596428287685</v>
      </c>
      <c r="M76" s="310"/>
      <c r="N76" s="28"/>
      <c r="O76" s="47" t="s">
        <v>124</v>
      </c>
      <c r="P76" s="67">
        <v>14.784957762724758</v>
      </c>
      <c r="Q76" s="68">
        <v>8.7010778173287289</v>
      </c>
      <c r="R76" s="307"/>
      <c r="S76" s="28"/>
      <c r="T76" s="47" t="s">
        <v>124</v>
      </c>
      <c r="U76" s="51">
        <v>6.0838799453960295</v>
      </c>
      <c r="V76" s="310"/>
      <c r="W76" s="169"/>
      <c r="X76" s="169"/>
      <c r="Y76" s="310"/>
    </row>
    <row r="77" spans="1:26" ht="111.65" customHeight="1">
      <c r="A77" s="299"/>
      <c r="B77" s="299"/>
      <c r="C77" s="302"/>
      <c r="D77" s="305"/>
      <c r="E77" s="28"/>
      <c r="F77" s="47" t="s">
        <v>125</v>
      </c>
      <c r="G77" s="49">
        <v>1.7728572264249522</v>
      </c>
      <c r="H77" s="115">
        <v>3.5193195561785656E-2</v>
      </c>
      <c r="I77" s="317"/>
      <c r="J77" s="56">
        <v>1.7376640308631668</v>
      </c>
      <c r="K77" s="308"/>
      <c r="L77" s="56">
        <v>7.7161081269215046</v>
      </c>
      <c r="M77" s="311"/>
      <c r="N77" s="28"/>
      <c r="O77" s="47" t="s">
        <v>125</v>
      </c>
      <c r="P77" s="69">
        <v>4.2669989958887014</v>
      </c>
      <c r="Q77" s="68">
        <v>2.5111664778167628</v>
      </c>
      <c r="R77" s="308"/>
      <c r="S77" s="28"/>
      <c r="T77" s="47" t="s">
        <v>125</v>
      </c>
      <c r="U77" s="49">
        <v>1.7558325180719383</v>
      </c>
      <c r="V77" s="311"/>
      <c r="W77" s="169"/>
      <c r="X77" s="169"/>
      <c r="Y77" s="311"/>
    </row>
    <row r="78" spans="1:26" s="66" customFormat="1" ht="150.65" customHeight="1">
      <c r="A78" s="299">
        <v>0</v>
      </c>
      <c r="B78" s="299" t="s">
        <v>116</v>
      </c>
      <c r="C78" s="301" t="s">
        <v>41</v>
      </c>
      <c r="D78" s="304" t="s">
        <v>117</v>
      </c>
      <c r="F78" s="61" t="s">
        <v>118</v>
      </c>
      <c r="G78" s="95">
        <v>6.9499999999999993</v>
      </c>
      <c r="H78" s="95">
        <v>1.85</v>
      </c>
      <c r="I78" s="309" t="s">
        <v>260</v>
      </c>
      <c r="J78" s="122">
        <v>5.0999999999999996</v>
      </c>
      <c r="K78" s="309" t="s">
        <v>261</v>
      </c>
      <c r="L78" s="95">
        <v>4.25</v>
      </c>
      <c r="M78" s="315" t="s">
        <v>262</v>
      </c>
      <c r="O78" s="61" t="s">
        <v>118</v>
      </c>
      <c r="P78" s="63">
        <v>16.32</v>
      </c>
      <c r="Q78" s="64">
        <v>2.42</v>
      </c>
      <c r="R78" s="318" t="s">
        <v>263</v>
      </c>
      <c r="T78" s="61" t="s">
        <v>118</v>
      </c>
      <c r="U78" s="123">
        <v>12.9</v>
      </c>
      <c r="V78" s="309" t="s">
        <v>264</v>
      </c>
      <c r="W78" s="95">
        <v>1</v>
      </c>
      <c r="X78" s="309" t="s">
        <v>265</v>
      </c>
      <c r="Y78" s="309" t="s">
        <v>266</v>
      </c>
    </row>
    <row r="79" spans="1:26" s="29" customFormat="1" ht="147.65" customHeight="1">
      <c r="A79" s="299"/>
      <c r="B79" s="299"/>
      <c r="C79" s="301"/>
      <c r="D79" s="304"/>
      <c r="F79" s="47" t="s">
        <v>124</v>
      </c>
      <c r="G79" s="49">
        <v>7.910930724518094</v>
      </c>
      <c r="H79" s="49">
        <v>2.105787315159493</v>
      </c>
      <c r="I79" s="344"/>
      <c r="J79" s="49">
        <v>5.8051434093586014</v>
      </c>
      <c r="K79" s="310"/>
      <c r="L79" s="97">
        <v>4.8376195077988351</v>
      </c>
      <c r="M79" s="316"/>
      <c r="O79" s="47" t="s">
        <v>124</v>
      </c>
      <c r="P79" s="67">
        <v>18.576458909947529</v>
      </c>
      <c r="Q79" s="68">
        <v>2.7545974609113366</v>
      </c>
      <c r="R79" s="307"/>
      <c r="T79" s="47" t="s">
        <v>124</v>
      </c>
      <c r="U79" s="51">
        <v>14.683598035436464</v>
      </c>
      <c r="V79" s="310"/>
      <c r="W79" s="97">
        <v>1.1382634135997258</v>
      </c>
      <c r="X79" s="310"/>
      <c r="Y79" s="311"/>
    </row>
    <row r="80" spans="1:26" ht="167.5" customHeight="1">
      <c r="A80" s="299"/>
      <c r="B80" s="299"/>
      <c r="C80" s="302"/>
      <c r="D80" s="305"/>
      <c r="E80" s="25"/>
      <c r="F80" s="55" t="s">
        <v>125</v>
      </c>
      <c r="G80" s="56">
        <v>2.9740073275675076</v>
      </c>
      <c r="H80" s="56">
        <v>0.79164223827336544</v>
      </c>
      <c r="I80" s="345"/>
      <c r="J80" s="56">
        <v>2.1823650892941422</v>
      </c>
      <c r="K80" s="311"/>
      <c r="L80" s="99">
        <v>1.8186375744117851</v>
      </c>
      <c r="M80" s="317"/>
      <c r="N80" s="25"/>
      <c r="O80" s="55" t="s">
        <v>125</v>
      </c>
      <c r="P80" s="69">
        <v>6.9835682857412555</v>
      </c>
      <c r="Q80" s="58">
        <v>1.0355536306062401</v>
      </c>
      <c r="R80" s="308"/>
      <c r="S80" s="25"/>
      <c r="T80" s="55" t="s">
        <v>125</v>
      </c>
      <c r="U80" s="56">
        <v>5.5200999317440074</v>
      </c>
      <c r="V80" s="311"/>
      <c r="W80" s="99">
        <v>0.42791472339100828</v>
      </c>
      <c r="X80" s="311"/>
      <c r="Y80" s="175" t="s">
        <v>267</v>
      </c>
      <c r="Z80" s="22"/>
    </row>
    <row r="81" spans="1:26" ht="139.5" customHeight="1">
      <c r="A81" s="299">
        <v>0</v>
      </c>
      <c r="B81" s="299" t="s">
        <v>116</v>
      </c>
      <c r="C81" s="301" t="s">
        <v>49</v>
      </c>
      <c r="D81" s="303" t="s">
        <v>117</v>
      </c>
      <c r="E81" s="30"/>
      <c r="F81" s="61" t="s">
        <v>118</v>
      </c>
      <c r="G81" s="73">
        <v>35.6</v>
      </c>
      <c r="H81" s="49">
        <v>5.9</v>
      </c>
      <c r="I81" s="309" t="s">
        <v>268</v>
      </c>
      <c r="J81" s="73">
        <v>29.700000000000003</v>
      </c>
      <c r="K81" s="309" t="s">
        <v>269</v>
      </c>
      <c r="L81" s="73">
        <v>12.6</v>
      </c>
      <c r="M81" s="309" t="s">
        <v>270</v>
      </c>
      <c r="N81" s="30"/>
      <c r="O81" s="47" t="s">
        <v>118</v>
      </c>
      <c r="P81" s="73">
        <v>65</v>
      </c>
      <c r="Q81" s="96"/>
      <c r="R81" s="309"/>
      <c r="S81" s="30"/>
      <c r="T81" s="47" t="s">
        <v>118</v>
      </c>
      <c r="U81" s="73">
        <v>65</v>
      </c>
      <c r="V81" s="309" t="s">
        <v>271</v>
      </c>
      <c r="W81" s="168"/>
      <c r="X81" s="168"/>
      <c r="Y81" s="309" t="s">
        <v>272</v>
      </c>
      <c r="Z81" s="30"/>
    </row>
    <row r="82" spans="1:26" ht="130.5" customHeight="1">
      <c r="A82" s="299"/>
      <c r="B82" s="299"/>
      <c r="C82" s="301"/>
      <c r="D82" s="304"/>
      <c r="E82" s="36"/>
      <c r="F82" s="47" t="s">
        <v>124</v>
      </c>
      <c r="G82" s="51">
        <v>40.522177524150244</v>
      </c>
      <c r="H82" s="49">
        <v>6.7157541402383831</v>
      </c>
      <c r="I82" s="344"/>
      <c r="J82" s="51">
        <v>33.806423383911863</v>
      </c>
      <c r="K82" s="310"/>
      <c r="L82" s="51">
        <v>14.342119011356546</v>
      </c>
      <c r="M82" s="310"/>
      <c r="N82" s="36"/>
      <c r="O82" s="47" t="s">
        <v>124</v>
      </c>
      <c r="P82" s="48">
        <v>73.987121883982184</v>
      </c>
      <c r="Q82" s="121"/>
      <c r="R82" s="310"/>
      <c r="S82" s="36"/>
      <c r="T82" s="47" t="s">
        <v>124</v>
      </c>
      <c r="U82" s="48">
        <v>73.987121883982184</v>
      </c>
      <c r="V82" s="310"/>
      <c r="W82" s="169"/>
      <c r="X82" s="169"/>
      <c r="Y82" s="310"/>
      <c r="Z82" s="36"/>
    </row>
    <row r="83" spans="1:26" ht="105.65" customHeight="1">
      <c r="A83" s="299"/>
      <c r="B83" s="299"/>
      <c r="C83" s="302"/>
      <c r="D83" s="305"/>
      <c r="E83" s="25"/>
      <c r="F83" s="55" t="s">
        <v>125</v>
      </c>
      <c r="G83" s="56">
        <v>4.5192778176981978</v>
      </c>
      <c r="H83" s="56">
        <v>0.74898143607919576</v>
      </c>
      <c r="I83" s="345"/>
      <c r="J83" s="56">
        <v>3.7702963816190023</v>
      </c>
      <c r="K83" s="311"/>
      <c r="L83" s="56">
        <v>1.5995196770504858</v>
      </c>
      <c r="M83" s="311"/>
      <c r="N83" s="25"/>
      <c r="O83" s="55" t="s">
        <v>125</v>
      </c>
      <c r="P83" s="56">
        <v>8.2514903974826659</v>
      </c>
      <c r="Q83" s="58"/>
      <c r="R83" s="311"/>
      <c r="S83" s="25"/>
      <c r="T83" s="55" t="s">
        <v>125</v>
      </c>
      <c r="U83" s="99">
        <v>8.2514903974826659</v>
      </c>
      <c r="V83" s="311"/>
      <c r="W83" s="170"/>
      <c r="X83" s="170"/>
      <c r="Y83" s="311"/>
      <c r="Z83" s="22"/>
    </row>
    <row r="84" spans="1:26" ht="107.5" customHeight="1">
      <c r="A84" s="299">
        <v>0</v>
      </c>
      <c r="B84" s="299" t="s">
        <v>116</v>
      </c>
      <c r="C84" s="301" t="s">
        <v>50</v>
      </c>
      <c r="D84" s="304" t="s">
        <v>126</v>
      </c>
      <c r="E84" s="30"/>
      <c r="F84" s="61" t="s">
        <v>118</v>
      </c>
      <c r="G84" s="51">
        <v>61.6</v>
      </c>
      <c r="H84" s="188">
        <v>3.9</v>
      </c>
      <c r="I84" s="309" t="s">
        <v>273</v>
      </c>
      <c r="J84" s="103">
        <v>57.7</v>
      </c>
      <c r="K84" s="306" t="s">
        <v>274</v>
      </c>
      <c r="L84" s="124"/>
      <c r="M84" s="124"/>
      <c r="N84" s="28"/>
      <c r="O84" s="47" t="s">
        <v>118</v>
      </c>
      <c r="P84" s="73">
        <v>8.75</v>
      </c>
      <c r="Q84" s="125">
        <v>2.5</v>
      </c>
      <c r="R84" s="318" t="s">
        <v>275</v>
      </c>
      <c r="S84" s="28"/>
      <c r="T84" s="47" t="s">
        <v>118</v>
      </c>
      <c r="U84" s="97">
        <v>6.25</v>
      </c>
      <c r="V84" s="318" t="s">
        <v>276</v>
      </c>
      <c r="W84" s="169"/>
      <c r="X84" s="346"/>
      <c r="Y84" s="169"/>
    </row>
    <row r="85" spans="1:26" ht="169.5" customHeight="1">
      <c r="A85" s="299"/>
      <c r="B85" s="299"/>
      <c r="C85" s="301"/>
      <c r="D85" s="304"/>
      <c r="E85" s="36"/>
      <c r="F85" s="47" t="s">
        <v>124</v>
      </c>
      <c r="G85" s="51">
        <v>39.908289467911899</v>
      </c>
      <c r="H85" s="49">
        <v>2.5266611838450714</v>
      </c>
      <c r="I85" s="344"/>
      <c r="J85" s="51">
        <v>37.381628284066828</v>
      </c>
      <c r="K85" s="307"/>
      <c r="L85" s="124"/>
      <c r="M85" s="124"/>
      <c r="N85" s="28"/>
      <c r="O85" s="47" t="s">
        <v>124</v>
      </c>
      <c r="P85" s="97">
        <v>5.6687911176011223</v>
      </c>
      <c r="Q85" s="49">
        <v>1.619654605028892</v>
      </c>
      <c r="R85" s="307"/>
      <c r="S85" s="28"/>
      <c r="T85" s="47" t="s">
        <v>124</v>
      </c>
      <c r="U85" s="49">
        <v>4.0491365125722298</v>
      </c>
      <c r="V85" s="307"/>
      <c r="W85" s="169"/>
      <c r="X85" s="347"/>
      <c r="Y85" s="169"/>
    </row>
    <row r="86" spans="1:26" ht="113.5" customHeight="1">
      <c r="A86" s="299"/>
      <c r="B86" s="299"/>
      <c r="C86" s="302"/>
      <c r="D86" s="305"/>
      <c r="E86" s="25"/>
      <c r="F86" s="55" t="s">
        <v>125</v>
      </c>
      <c r="G86" s="56">
        <v>19.063391654531198</v>
      </c>
      <c r="H86" s="56">
        <v>1.2069355105953192</v>
      </c>
      <c r="I86" s="345"/>
      <c r="J86" s="56">
        <v>17.85645614393588</v>
      </c>
      <c r="K86" s="308"/>
      <c r="L86" s="124"/>
      <c r="M86" s="124"/>
      <c r="N86" s="28"/>
      <c r="O86" s="55" t="s">
        <v>125</v>
      </c>
      <c r="P86" s="56">
        <v>2.7078681327459089</v>
      </c>
      <c r="Q86" s="56">
        <v>0.77367660935597393</v>
      </c>
      <c r="R86" s="308"/>
      <c r="S86" s="28"/>
      <c r="T86" s="55" t="s">
        <v>125</v>
      </c>
      <c r="U86" s="56">
        <v>1.9341915233899349</v>
      </c>
      <c r="V86" s="308"/>
      <c r="W86" s="169"/>
      <c r="X86" s="348"/>
      <c r="Y86" s="169"/>
    </row>
    <row r="87" spans="1:26" s="36" customFormat="1" ht="69.650000000000006" customHeight="1">
      <c r="A87" s="299">
        <v>0</v>
      </c>
      <c r="B87" s="299" t="s">
        <v>116</v>
      </c>
      <c r="C87" s="301" t="s">
        <v>51</v>
      </c>
      <c r="D87" s="304" t="s">
        <v>126</v>
      </c>
      <c r="E87" s="30"/>
      <c r="F87" s="61" t="s">
        <v>118</v>
      </c>
      <c r="G87" s="73">
        <v>126.3</v>
      </c>
      <c r="H87" s="74">
        <v>10.8</v>
      </c>
      <c r="I87" s="309" t="s">
        <v>277</v>
      </c>
      <c r="J87" s="95">
        <v>115.5</v>
      </c>
      <c r="K87" s="309" t="s">
        <v>278</v>
      </c>
      <c r="L87" s="74"/>
      <c r="M87" s="309" t="s">
        <v>279</v>
      </c>
      <c r="N87" s="30"/>
      <c r="O87" s="47" t="s">
        <v>118</v>
      </c>
      <c r="P87" s="73">
        <v>130</v>
      </c>
      <c r="Q87" s="106">
        <v>52</v>
      </c>
      <c r="R87" s="309" t="s">
        <v>280</v>
      </c>
      <c r="S87" s="30"/>
      <c r="T87" s="47" t="s">
        <v>118</v>
      </c>
      <c r="U87" s="73">
        <v>78</v>
      </c>
      <c r="V87" s="309" t="s">
        <v>281</v>
      </c>
      <c r="W87" s="168"/>
      <c r="X87" s="168"/>
      <c r="Y87" s="309" t="s">
        <v>282</v>
      </c>
      <c r="Z87" s="30"/>
    </row>
    <row r="88" spans="1:26" s="36" customFormat="1" ht="69.650000000000006" customHeight="1">
      <c r="A88" s="299"/>
      <c r="B88" s="299"/>
      <c r="C88" s="301"/>
      <c r="D88" s="304"/>
      <c r="F88" s="47" t="s">
        <v>124</v>
      </c>
      <c r="G88" s="51">
        <v>13.348965621899445</v>
      </c>
      <c r="H88" s="97">
        <v>1.1414792455781</v>
      </c>
      <c r="I88" s="310"/>
      <c r="J88" s="97">
        <v>12.207486376321347</v>
      </c>
      <c r="K88" s="310"/>
      <c r="L88" s="169"/>
      <c r="M88" s="310"/>
      <c r="O88" s="47" t="s">
        <v>124</v>
      </c>
      <c r="P88" s="48">
        <v>13.740027956032684</v>
      </c>
      <c r="Q88" s="98">
        <v>5.4960111824130733</v>
      </c>
      <c r="R88" s="310"/>
      <c r="T88" s="47" t="s">
        <v>124</v>
      </c>
      <c r="U88" s="48">
        <v>8.2440167736196095</v>
      </c>
      <c r="V88" s="310"/>
      <c r="W88" s="169"/>
      <c r="X88" s="169"/>
      <c r="Y88" s="310"/>
    </row>
    <row r="89" spans="1:26" ht="92.5" customHeight="1">
      <c r="A89" s="299"/>
      <c r="B89" s="299"/>
      <c r="C89" s="302"/>
      <c r="D89" s="305"/>
      <c r="E89" s="25"/>
      <c r="F89" s="55" t="s">
        <v>125</v>
      </c>
      <c r="G89" s="56">
        <v>4.2369754101110404</v>
      </c>
      <c r="H89" s="118">
        <v>0.31784240720826956</v>
      </c>
      <c r="I89" s="311"/>
      <c r="J89" s="99">
        <v>3.3991479659773267</v>
      </c>
      <c r="K89" s="311"/>
      <c r="L89" s="170"/>
      <c r="M89" s="311"/>
      <c r="N89" s="25"/>
      <c r="O89" s="55" t="s">
        <v>125</v>
      </c>
      <c r="P89" s="126">
        <v>4.3610989969472307</v>
      </c>
      <c r="Q89" s="93">
        <v>1.7444395987788921</v>
      </c>
      <c r="R89" s="311"/>
      <c r="S89" s="25"/>
      <c r="T89" s="55" t="s">
        <v>125</v>
      </c>
      <c r="U89" s="56">
        <v>2.6166593981683381</v>
      </c>
      <c r="V89" s="311"/>
      <c r="W89" s="170"/>
      <c r="X89" s="170"/>
      <c r="Y89" s="311"/>
      <c r="Z89" s="22"/>
    </row>
    <row r="90" spans="1:26" s="36" customFormat="1" ht="86.15" customHeight="1">
      <c r="A90" s="299">
        <v>0</v>
      </c>
      <c r="B90" s="299" t="s">
        <v>116</v>
      </c>
      <c r="C90" s="301" t="s">
        <v>53</v>
      </c>
      <c r="D90" s="304" t="s">
        <v>126</v>
      </c>
      <c r="E90" s="30"/>
      <c r="F90" s="61" t="s">
        <v>118</v>
      </c>
      <c r="G90" s="73">
        <v>75.3</v>
      </c>
      <c r="H90" s="74">
        <v>13.8</v>
      </c>
      <c r="I90" s="309" t="s">
        <v>283</v>
      </c>
      <c r="J90" s="73">
        <v>61.5</v>
      </c>
      <c r="K90" s="309" t="s">
        <v>284</v>
      </c>
      <c r="L90" s="168"/>
      <c r="M90" s="168"/>
      <c r="N90" s="30"/>
      <c r="O90" s="47" t="s">
        <v>118</v>
      </c>
      <c r="P90" s="73">
        <v>22</v>
      </c>
      <c r="Q90" s="106">
        <v>22</v>
      </c>
      <c r="R90" s="309" t="s">
        <v>285</v>
      </c>
      <c r="S90" s="30"/>
      <c r="T90" s="47" t="s">
        <v>118</v>
      </c>
      <c r="U90" s="95"/>
      <c r="V90" s="309"/>
      <c r="W90" s="168"/>
      <c r="X90" s="168"/>
      <c r="Y90" s="168"/>
      <c r="Z90" s="30"/>
    </row>
    <row r="91" spans="1:26" s="171" customFormat="1" ht="80.150000000000006" customHeight="1">
      <c r="A91" s="299"/>
      <c r="B91" s="299"/>
      <c r="C91" s="301"/>
      <c r="D91" s="304"/>
      <c r="E91" s="36"/>
      <c r="F91" s="47" t="s">
        <v>124</v>
      </c>
      <c r="G91" s="51">
        <v>54.504670014422004</v>
      </c>
      <c r="H91" s="49">
        <v>9.9889036679817238</v>
      </c>
      <c r="I91" s="310"/>
      <c r="J91" s="51">
        <v>44.515766346440287</v>
      </c>
      <c r="K91" s="310"/>
      <c r="L91" s="169"/>
      <c r="M91" s="169"/>
      <c r="N91" s="36"/>
      <c r="O91" s="47" t="s">
        <v>124</v>
      </c>
      <c r="P91" s="48">
        <v>15.924339180840427</v>
      </c>
      <c r="Q91" s="72">
        <v>15.924339180840427</v>
      </c>
      <c r="R91" s="310"/>
      <c r="S91" s="36"/>
      <c r="T91" s="47" t="s">
        <v>124</v>
      </c>
      <c r="U91" s="97"/>
      <c r="V91" s="310"/>
      <c r="W91" s="169"/>
      <c r="X91" s="169"/>
      <c r="Y91" s="169"/>
      <c r="Z91" s="36"/>
    </row>
    <row r="92" spans="1:26" ht="27" customHeight="1">
      <c r="A92" s="299"/>
      <c r="B92" s="299"/>
      <c r="C92" s="302"/>
      <c r="D92" s="305"/>
      <c r="E92" s="28"/>
      <c r="F92" s="47" t="s">
        <v>125</v>
      </c>
      <c r="G92" s="49">
        <v>16.25793005941393</v>
      </c>
      <c r="H92" s="56">
        <v>2.9795409670639077</v>
      </c>
      <c r="I92" s="311"/>
      <c r="J92" s="56">
        <v>13.278389092350023</v>
      </c>
      <c r="K92" s="311"/>
      <c r="L92" s="169"/>
      <c r="M92" s="169"/>
      <c r="N92" s="28"/>
      <c r="O92" s="47" t="s">
        <v>125</v>
      </c>
      <c r="P92" s="56">
        <v>4.7499928460439111</v>
      </c>
      <c r="Q92" s="68">
        <v>4.7499928460439111</v>
      </c>
      <c r="R92" s="311"/>
      <c r="S92" s="28"/>
      <c r="T92" s="47" t="s">
        <v>125</v>
      </c>
      <c r="U92" s="49"/>
      <c r="V92" s="311"/>
      <c r="W92" s="169"/>
      <c r="X92" s="169"/>
      <c r="Y92" s="169"/>
    </row>
    <row r="93" spans="1:26" s="66" customFormat="1" ht="100" customHeight="1">
      <c r="A93" s="299">
        <v>0</v>
      </c>
      <c r="B93" s="299" t="s">
        <v>116</v>
      </c>
      <c r="C93" s="301" t="s">
        <v>56</v>
      </c>
      <c r="D93" s="303" t="s">
        <v>126</v>
      </c>
      <c r="F93" s="61" t="s">
        <v>118</v>
      </c>
      <c r="G93" s="73">
        <v>206.26</v>
      </c>
      <c r="H93" s="95">
        <v>37.659999999999997</v>
      </c>
      <c r="I93" s="333" t="s">
        <v>286</v>
      </c>
      <c r="J93" s="65">
        <v>168.6</v>
      </c>
      <c r="K93" s="318" t="s">
        <v>287</v>
      </c>
      <c r="L93" s="74">
        <v>335</v>
      </c>
      <c r="M93" s="323" t="s">
        <v>288</v>
      </c>
      <c r="O93" s="61" t="s">
        <v>118</v>
      </c>
      <c r="P93" s="73">
        <v>261.7</v>
      </c>
      <c r="Q93" s="64">
        <v>11.7</v>
      </c>
      <c r="R93" s="318" t="s">
        <v>289</v>
      </c>
      <c r="T93" s="61" t="s">
        <v>118</v>
      </c>
      <c r="U93" s="62">
        <v>250</v>
      </c>
      <c r="V93" s="318" t="s">
        <v>290</v>
      </c>
      <c r="W93" s="168"/>
      <c r="X93" s="168"/>
      <c r="Y93" s="71"/>
    </row>
    <row r="94" spans="1:26" s="36" customFormat="1" ht="114" customHeight="1">
      <c r="A94" s="299"/>
      <c r="B94" s="299"/>
      <c r="C94" s="301"/>
      <c r="D94" s="304"/>
      <c r="E94" s="29"/>
      <c r="F94" s="47" t="s">
        <v>124</v>
      </c>
      <c r="G94" s="51">
        <v>22.325028541088958</v>
      </c>
      <c r="H94" s="49">
        <v>4.0762172736226612</v>
      </c>
      <c r="I94" s="334"/>
      <c r="J94" s="51">
        <v>18.248811267466294</v>
      </c>
      <c r="K94" s="307"/>
      <c r="L94" s="48">
        <v>36.259500442474554</v>
      </c>
      <c r="M94" s="310"/>
      <c r="N94" s="29"/>
      <c r="O94" s="47" t="s">
        <v>124</v>
      </c>
      <c r="P94" s="48">
        <v>28.325705271031612</v>
      </c>
      <c r="Q94" s="49">
        <v>1.2663765826177678</v>
      </c>
      <c r="R94" s="307"/>
      <c r="S94" s="29"/>
      <c r="T94" s="47" t="s">
        <v>124</v>
      </c>
      <c r="U94" s="51">
        <v>27.059328688413846</v>
      </c>
      <c r="V94" s="307"/>
      <c r="W94" s="169"/>
      <c r="X94" s="169"/>
      <c r="Y94" s="185"/>
      <c r="Z94" s="29"/>
    </row>
    <row r="95" spans="1:26" ht="83.15" customHeight="1">
      <c r="A95" s="299"/>
      <c r="B95" s="299"/>
      <c r="C95" s="302"/>
      <c r="D95" s="305"/>
      <c r="E95" s="25"/>
      <c r="F95" s="55" t="s">
        <v>125</v>
      </c>
      <c r="G95" s="56">
        <v>4.2006968782557186</v>
      </c>
      <c r="H95" s="56">
        <v>0.76698460406821656</v>
      </c>
      <c r="I95" s="335"/>
      <c r="J95" s="56">
        <v>3.4337122741875019</v>
      </c>
      <c r="K95" s="308"/>
      <c r="L95" s="99">
        <v>6.8226192873832332</v>
      </c>
      <c r="M95" s="311"/>
      <c r="N95" s="25"/>
      <c r="O95" s="55" t="s">
        <v>125</v>
      </c>
      <c r="P95" s="56">
        <v>5.3297894552483349</v>
      </c>
      <c r="Q95" s="56">
        <v>0.23828252436532485</v>
      </c>
      <c r="R95" s="308"/>
      <c r="S95" s="25"/>
      <c r="T95" s="55" t="s">
        <v>125</v>
      </c>
      <c r="U95" s="56">
        <v>5.0915069308830097</v>
      </c>
      <c r="V95" s="308"/>
      <c r="W95" s="170"/>
      <c r="X95" s="170"/>
      <c r="Y95" s="170"/>
      <c r="Z95" s="22"/>
    </row>
    <row r="96" spans="1:26" ht="57" customHeight="1">
      <c r="A96" s="299">
        <v>0</v>
      </c>
      <c r="B96" s="299" t="s">
        <v>116</v>
      </c>
      <c r="C96" s="301" t="s">
        <v>57</v>
      </c>
      <c r="D96" s="303" t="s">
        <v>126</v>
      </c>
      <c r="E96" s="66"/>
      <c r="F96" s="61" t="s">
        <v>118</v>
      </c>
      <c r="G96" s="51">
        <v>37.143999999999998</v>
      </c>
      <c r="H96" s="188">
        <v>3</v>
      </c>
      <c r="I96" s="318" t="s">
        <v>291</v>
      </c>
      <c r="J96" s="48">
        <v>34.143999999999998</v>
      </c>
      <c r="K96" s="306" t="s">
        <v>292</v>
      </c>
      <c r="L96" s="77"/>
      <c r="M96" s="309"/>
      <c r="N96" s="28"/>
      <c r="O96" s="61" t="s">
        <v>118</v>
      </c>
      <c r="P96" s="73">
        <v>42.199999999999996</v>
      </c>
      <c r="Q96" s="68">
        <v>0.8</v>
      </c>
      <c r="R96" s="349" t="s">
        <v>293</v>
      </c>
      <c r="S96" s="28"/>
      <c r="T96" s="61" t="s">
        <v>118</v>
      </c>
      <c r="U96" s="51">
        <v>41.4</v>
      </c>
      <c r="V96" s="349" t="s">
        <v>294</v>
      </c>
      <c r="W96" s="169"/>
      <c r="X96" s="169"/>
      <c r="Y96" s="169"/>
    </row>
    <row r="97" spans="1:26" ht="57" customHeight="1">
      <c r="A97" s="299"/>
      <c r="B97" s="299"/>
      <c r="C97" s="301"/>
      <c r="D97" s="304"/>
      <c r="F97" s="47" t="s">
        <v>124</v>
      </c>
      <c r="G97" s="51">
        <v>39.489616738061301</v>
      </c>
      <c r="H97" s="49">
        <v>3.1894478304486302</v>
      </c>
      <c r="I97" s="307"/>
      <c r="J97" s="51">
        <v>36.300168907612672</v>
      </c>
      <c r="K97" s="307"/>
      <c r="L97" s="51"/>
      <c r="M97" s="310"/>
      <c r="N97" s="28"/>
      <c r="O97" s="47" t="s">
        <v>124</v>
      </c>
      <c r="P97" s="48">
        <v>44.864899481644059</v>
      </c>
      <c r="Q97" s="49">
        <v>0.85051942145296811</v>
      </c>
      <c r="R97" s="310"/>
      <c r="S97" s="28"/>
      <c r="T97" s="47" t="s">
        <v>124</v>
      </c>
      <c r="U97" s="51">
        <v>44.014380060191094</v>
      </c>
      <c r="V97" s="344"/>
      <c r="W97" s="169"/>
      <c r="X97" s="169"/>
      <c r="Y97" s="169"/>
    </row>
    <row r="98" spans="1:26" ht="35.15" customHeight="1">
      <c r="A98" s="299"/>
      <c r="B98" s="299"/>
      <c r="C98" s="302"/>
      <c r="D98" s="305"/>
      <c r="E98" s="25"/>
      <c r="F98" s="55" t="s">
        <v>125</v>
      </c>
      <c r="G98" s="56">
        <v>5.2882597816353591</v>
      </c>
      <c r="H98" s="56">
        <v>0.42711553265415886</v>
      </c>
      <c r="I98" s="308"/>
      <c r="J98" s="56">
        <v>4.8611442489812005</v>
      </c>
      <c r="K98" s="308"/>
      <c r="L98" s="56"/>
      <c r="M98" s="311"/>
      <c r="N98" s="25"/>
      <c r="O98" s="55" t="s">
        <v>125</v>
      </c>
      <c r="P98" s="56">
        <v>6.0080918260018352</v>
      </c>
      <c r="Q98" s="56">
        <v>0.11389747537444236</v>
      </c>
      <c r="R98" s="311"/>
      <c r="S98" s="25"/>
      <c r="T98" s="55" t="s">
        <v>125</v>
      </c>
      <c r="U98" s="56">
        <v>5.8941943506273926</v>
      </c>
      <c r="V98" s="345"/>
      <c r="W98" s="170"/>
      <c r="X98" s="170"/>
      <c r="Y98" s="169"/>
    </row>
    <row r="99" spans="1:26" s="36" customFormat="1" ht="91" customHeight="1">
      <c r="A99" s="299">
        <v>0</v>
      </c>
      <c r="B99" s="299" t="s">
        <v>182</v>
      </c>
      <c r="C99" s="301" t="s">
        <v>58</v>
      </c>
      <c r="D99" s="303" t="s">
        <v>117</v>
      </c>
      <c r="F99" s="47" t="s">
        <v>118</v>
      </c>
      <c r="G99" s="48">
        <v>19.135000000000002</v>
      </c>
      <c r="H99" s="74">
        <v>2.5</v>
      </c>
      <c r="I99" s="315" t="s">
        <v>295</v>
      </c>
      <c r="J99" s="48">
        <v>13.715999999999999</v>
      </c>
      <c r="K99" s="318" t="s">
        <v>296</v>
      </c>
      <c r="L99" s="101"/>
      <c r="M99" s="309" t="s">
        <v>297</v>
      </c>
      <c r="O99" s="47" t="s">
        <v>118</v>
      </c>
      <c r="P99" s="63">
        <v>26</v>
      </c>
      <c r="Q99" s="121"/>
      <c r="R99" s="169"/>
      <c r="T99" s="47" t="s">
        <v>118</v>
      </c>
      <c r="U99" s="48">
        <v>26</v>
      </c>
      <c r="V99" s="309" t="s">
        <v>298</v>
      </c>
      <c r="W99" s="101"/>
      <c r="X99" s="169"/>
      <c r="Y99" s="169"/>
    </row>
    <row r="100" spans="1:26" ht="91" customHeight="1">
      <c r="A100" s="299"/>
      <c r="B100" s="299"/>
      <c r="C100" s="301"/>
      <c r="D100" s="304"/>
      <c r="E100" s="36"/>
      <c r="F100" s="47" t="s">
        <v>124</v>
      </c>
      <c r="G100" s="49">
        <v>0.1759639411250436</v>
      </c>
      <c r="H100" s="49">
        <v>2.298980155801458E-2</v>
      </c>
      <c r="I100" s="316"/>
      <c r="J100" s="49">
        <v>0.12613124726789118</v>
      </c>
      <c r="K100" s="307"/>
      <c r="L100" s="169"/>
      <c r="M100" s="310"/>
      <c r="N100" s="36"/>
      <c r="O100" s="47" t="s">
        <v>124</v>
      </c>
      <c r="P100" s="116">
        <v>0.23909393620335162</v>
      </c>
      <c r="Q100" s="121"/>
      <c r="R100" s="169"/>
      <c r="S100" s="36"/>
      <c r="T100" s="47" t="s">
        <v>124</v>
      </c>
      <c r="U100" s="49">
        <v>0.23909393620335162</v>
      </c>
      <c r="V100" s="310"/>
      <c r="W100" s="169"/>
      <c r="X100" s="169"/>
      <c r="Y100" s="169"/>
      <c r="Z100" s="36"/>
    </row>
    <row r="101" spans="1:26" ht="91" customHeight="1">
      <c r="A101" s="299"/>
      <c r="B101" s="299"/>
      <c r="C101" s="302"/>
      <c r="D101" s="305"/>
      <c r="E101" s="25"/>
      <c r="F101" s="55" t="s">
        <v>125</v>
      </c>
      <c r="G101" s="56">
        <v>1.2173373610342335</v>
      </c>
      <c r="H101" s="56">
        <v>0.15904590554405976</v>
      </c>
      <c r="I101" s="317"/>
      <c r="J101" s="56">
        <v>0.8725894561769294</v>
      </c>
      <c r="K101" s="308"/>
      <c r="L101" s="170"/>
      <c r="M101" s="311"/>
      <c r="N101" s="25"/>
      <c r="O101" s="55" t="s">
        <v>125</v>
      </c>
      <c r="P101" s="69">
        <v>1.6540774176582216</v>
      </c>
      <c r="Q101" s="58"/>
      <c r="R101" s="186"/>
      <c r="S101" s="25"/>
      <c r="T101" s="55" t="s">
        <v>125</v>
      </c>
      <c r="U101" s="56">
        <v>1.6540774176582216</v>
      </c>
      <c r="V101" s="311"/>
      <c r="W101" s="170"/>
      <c r="X101" s="170"/>
      <c r="Y101" s="170"/>
      <c r="Z101" s="22"/>
    </row>
    <row r="102" spans="1:26" ht="214" customHeight="1">
      <c r="A102" s="299">
        <v>0</v>
      </c>
      <c r="B102" s="299" t="s">
        <v>182</v>
      </c>
      <c r="C102" s="301" t="s">
        <v>59</v>
      </c>
      <c r="D102" s="303" t="s">
        <v>117</v>
      </c>
      <c r="E102" s="66"/>
      <c r="F102" s="61" t="s">
        <v>118</v>
      </c>
      <c r="G102" s="95">
        <v>5.0966000000000005</v>
      </c>
      <c r="H102" s="95">
        <v>1.5596000000000001</v>
      </c>
      <c r="I102" s="323" t="s">
        <v>299</v>
      </c>
      <c r="J102" s="65">
        <v>3.5369999999999999</v>
      </c>
      <c r="K102" s="306" t="s">
        <v>300</v>
      </c>
      <c r="L102" s="74">
        <v>0.6</v>
      </c>
      <c r="M102" s="309" t="s">
        <v>301</v>
      </c>
      <c r="N102" s="66"/>
      <c r="O102" s="47" t="s">
        <v>118</v>
      </c>
      <c r="P102" s="95">
        <v>4.5620000000000003</v>
      </c>
      <c r="Q102" s="64">
        <v>1.6219999999999999</v>
      </c>
      <c r="R102" s="309" t="s">
        <v>302</v>
      </c>
      <c r="S102" s="66"/>
      <c r="T102" s="47" t="s">
        <v>118</v>
      </c>
      <c r="U102" s="65"/>
      <c r="V102" s="309"/>
      <c r="W102" s="65">
        <v>2.9400000000000004</v>
      </c>
      <c r="X102" s="309" t="s">
        <v>303</v>
      </c>
      <c r="Y102" s="309" t="s">
        <v>304</v>
      </c>
      <c r="Z102" s="66"/>
    </row>
    <row r="103" spans="1:26" s="28" customFormat="1" ht="173.15" customHeight="1">
      <c r="A103" s="299"/>
      <c r="B103" s="299"/>
      <c r="C103" s="301"/>
      <c r="D103" s="304"/>
      <c r="E103" s="29"/>
      <c r="F103" s="47" t="s">
        <v>124</v>
      </c>
      <c r="G103" s="49">
        <v>2.9789073587566213</v>
      </c>
      <c r="H103" s="49">
        <v>0.91156926514084413</v>
      </c>
      <c r="I103" s="344"/>
      <c r="J103" s="49">
        <v>2.0673380936157768</v>
      </c>
      <c r="K103" s="307"/>
      <c r="L103" s="49">
        <v>0.35069348492209951</v>
      </c>
      <c r="M103" s="310"/>
      <c r="N103" s="29"/>
      <c r="O103" s="47" t="s">
        <v>124</v>
      </c>
      <c r="P103" s="49">
        <v>2.6664394636910305</v>
      </c>
      <c r="Q103" s="68">
        <v>0.94804138757274237</v>
      </c>
      <c r="R103" s="310"/>
      <c r="S103" s="29"/>
      <c r="T103" s="47" t="s">
        <v>124</v>
      </c>
      <c r="U103" s="49"/>
      <c r="V103" s="310"/>
      <c r="W103" s="49">
        <v>1.718398076118288</v>
      </c>
      <c r="X103" s="310"/>
      <c r="Y103" s="310"/>
      <c r="Z103" s="29"/>
    </row>
    <row r="104" spans="1:26" ht="188.15" customHeight="1">
      <c r="A104" s="299"/>
      <c r="B104" s="299"/>
      <c r="C104" s="302"/>
      <c r="D104" s="305"/>
      <c r="E104" s="25"/>
      <c r="F104" s="55" t="s">
        <v>125</v>
      </c>
      <c r="G104" s="56">
        <v>4.3861065138416224</v>
      </c>
      <c r="H104" s="56">
        <v>1.3421833612579745</v>
      </c>
      <c r="I104" s="345"/>
      <c r="J104" s="56">
        <v>3.043923152583647</v>
      </c>
      <c r="K104" s="308"/>
      <c r="L104" s="56">
        <v>0.51635676888611481</v>
      </c>
      <c r="M104" s="311"/>
      <c r="N104" s="25"/>
      <c r="O104" s="55" t="s">
        <v>125</v>
      </c>
      <c r="P104" s="56">
        <v>3.9260326327640933</v>
      </c>
      <c r="Q104" s="56">
        <v>1.3958844652221303</v>
      </c>
      <c r="R104" s="311"/>
      <c r="S104" s="25"/>
      <c r="T104" s="55" t="s">
        <v>125</v>
      </c>
      <c r="U104" s="56"/>
      <c r="V104" s="311"/>
      <c r="W104" s="56">
        <v>2.530148167541963</v>
      </c>
      <c r="X104" s="311"/>
      <c r="Y104" s="311"/>
      <c r="Z104" s="22"/>
    </row>
    <row r="105" spans="1:26" s="28" customFormat="1" ht="53.15" customHeight="1">
      <c r="A105" s="299">
        <v>0</v>
      </c>
      <c r="B105" s="299" t="s">
        <v>182</v>
      </c>
      <c r="C105" s="301" t="s">
        <v>60</v>
      </c>
      <c r="D105" s="304" t="s">
        <v>126</v>
      </c>
      <c r="E105" s="60"/>
      <c r="F105" s="61" t="s">
        <v>118</v>
      </c>
      <c r="G105" s="127">
        <v>16426</v>
      </c>
      <c r="H105" s="110">
        <v>1755</v>
      </c>
      <c r="I105" s="333" t="s">
        <v>305</v>
      </c>
      <c r="J105" s="110">
        <v>14671</v>
      </c>
      <c r="K105" s="318" t="s">
        <v>306</v>
      </c>
      <c r="L105" s="110">
        <v>2408.1841333333291</v>
      </c>
      <c r="M105" s="307" t="s">
        <v>307</v>
      </c>
      <c r="N105" s="60"/>
      <c r="O105" s="47" t="s">
        <v>118</v>
      </c>
      <c r="P105" s="110">
        <v>3565</v>
      </c>
      <c r="Q105" s="110"/>
      <c r="R105" s="307"/>
      <c r="S105" s="60"/>
      <c r="T105" s="47" t="s">
        <v>118</v>
      </c>
      <c r="U105" s="110"/>
      <c r="V105" s="307"/>
      <c r="W105" s="62">
        <v>3565</v>
      </c>
      <c r="X105" s="315" t="s">
        <v>308</v>
      </c>
      <c r="Y105" s="309" t="s">
        <v>309</v>
      </c>
      <c r="Z105" s="60"/>
    </row>
    <row r="106" spans="1:26" s="36" customFormat="1" ht="37" customHeight="1">
      <c r="A106" s="299"/>
      <c r="B106" s="299"/>
      <c r="C106" s="301"/>
      <c r="D106" s="304"/>
      <c r="E106" s="28"/>
      <c r="F106" s="47" t="s">
        <v>124</v>
      </c>
      <c r="G106" s="49">
        <v>20.735557264419626</v>
      </c>
      <c r="H106" s="49">
        <v>2.21544520875785</v>
      </c>
      <c r="I106" s="334"/>
      <c r="J106" s="49">
        <v>18.520112055661777</v>
      </c>
      <c r="K106" s="307"/>
      <c r="L106" s="49">
        <v>3.04</v>
      </c>
      <c r="M106" s="307"/>
      <c r="N106" s="28"/>
      <c r="O106" s="47" t="s">
        <v>124</v>
      </c>
      <c r="P106" s="116">
        <v>4.5003203243428693</v>
      </c>
      <c r="Q106" s="49"/>
      <c r="R106" s="307"/>
      <c r="S106" s="28"/>
      <c r="T106" s="47" t="s">
        <v>124</v>
      </c>
      <c r="U106" s="49"/>
      <c r="V106" s="307"/>
      <c r="W106" s="49">
        <v>4.5003203243428693</v>
      </c>
      <c r="X106" s="316"/>
      <c r="Y106" s="310"/>
      <c r="Z106" s="28"/>
    </row>
    <row r="107" spans="1:26" ht="59.15" customHeight="1">
      <c r="A107" s="299"/>
      <c r="B107" s="299"/>
      <c r="C107" s="302"/>
      <c r="D107" s="305"/>
      <c r="E107" s="25"/>
      <c r="F107" s="55" t="s">
        <v>125</v>
      </c>
      <c r="G107" s="56">
        <v>8.2454087590096599</v>
      </c>
      <c r="H107" s="56">
        <v>0.88096264288700565</v>
      </c>
      <c r="I107" s="335"/>
      <c r="J107" s="56">
        <v>7.3644461161226555</v>
      </c>
      <c r="K107" s="308"/>
      <c r="L107" s="99">
        <v>1.2088434522278535</v>
      </c>
      <c r="M107" s="308"/>
      <c r="N107" s="25"/>
      <c r="O107" s="55" t="s">
        <v>125</v>
      </c>
      <c r="P107" s="69">
        <v>1.7895338016479629</v>
      </c>
      <c r="Q107" s="56"/>
      <c r="R107" s="308"/>
      <c r="S107" s="25"/>
      <c r="T107" s="55" t="s">
        <v>125</v>
      </c>
      <c r="U107" s="56"/>
      <c r="V107" s="308"/>
      <c r="W107" s="56">
        <v>1.7895338016479629</v>
      </c>
      <c r="X107" s="317"/>
      <c r="Y107" s="311"/>
      <c r="Z107" s="22"/>
    </row>
    <row r="108" spans="1:26" s="28" customFormat="1" ht="109" customHeight="1">
      <c r="A108" s="299">
        <v>0</v>
      </c>
      <c r="B108" s="299" t="s">
        <v>182</v>
      </c>
      <c r="C108" s="301" t="s">
        <v>61</v>
      </c>
      <c r="D108" s="303" t="s">
        <v>117</v>
      </c>
      <c r="E108" s="60"/>
      <c r="F108" s="61" t="s">
        <v>118</v>
      </c>
      <c r="G108" s="105">
        <v>41130.1</v>
      </c>
      <c r="H108" s="105">
        <v>10834.8</v>
      </c>
      <c r="I108" s="315" t="s">
        <v>310</v>
      </c>
      <c r="J108" s="105">
        <v>30295.3</v>
      </c>
      <c r="K108" s="309" t="s">
        <v>311</v>
      </c>
      <c r="L108" s="74">
        <v>400</v>
      </c>
      <c r="M108" s="309" t="s">
        <v>312</v>
      </c>
      <c r="N108" s="60"/>
      <c r="O108" s="47" t="s">
        <v>118</v>
      </c>
      <c r="P108" s="105">
        <v>57312</v>
      </c>
      <c r="Q108" s="110">
        <v>31745</v>
      </c>
      <c r="R108" s="351" t="s">
        <v>313</v>
      </c>
      <c r="S108" s="60"/>
      <c r="T108" s="47" t="s">
        <v>118</v>
      </c>
      <c r="U108" s="105">
        <v>25567</v>
      </c>
      <c r="V108" s="309" t="s">
        <v>314</v>
      </c>
      <c r="W108" s="71"/>
      <c r="X108" s="71"/>
      <c r="Y108" s="71"/>
      <c r="Z108" s="60"/>
    </row>
    <row r="109" spans="1:26" s="28" customFormat="1" ht="127" customHeight="1">
      <c r="A109" s="299"/>
      <c r="B109" s="299"/>
      <c r="C109" s="301"/>
      <c r="D109" s="304"/>
      <c r="F109" s="47" t="s">
        <v>124</v>
      </c>
      <c r="G109" s="49">
        <v>11.060053989571156</v>
      </c>
      <c r="H109" s="49">
        <v>2.9135225289071882</v>
      </c>
      <c r="I109" s="316"/>
      <c r="J109" s="49">
        <v>8.1465314606639669</v>
      </c>
      <c r="K109" s="310"/>
      <c r="L109" s="49">
        <v>0.10756165425876577</v>
      </c>
      <c r="M109" s="310"/>
      <c r="O109" s="47" t="s">
        <v>124</v>
      </c>
      <c r="P109" s="97">
        <v>15.41143382219596</v>
      </c>
      <c r="Q109" s="68">
        <v>8.5363617861112981</v>
      </c>
      <c r="R109" s="310"/>
      <c r="T109" s="47" t="s">
        <v>124</v>
      </c>
      <c r="U109" s="49">
        <v>6.8750720360846609</v>
      </c>
      <c r="V109" s="310"/>
      <c r="W109" s="185"/>
      <c r="X109" s="185"/>
      <c r="Y109" s="185"/>
    </row>
    <row r="110" spans="1:26" ht="106" customHeight="1">
      <c r="A110" s="299"/>
      <c r="B110" s="299"/>
      <c r="C110" s="302"/>
      <c r="D110" s="305"/>
      <c r="E110" s="25"/>
      <c r="F110" s="55" t="s">
        <v>125</v>
      </c>
      <c r="G110" s="56">
        <v>4.1001315963942302</v>
      </c>
      <c r="H110" s="56">
        <v>1.0800874741518307</v>
      </c>
      <c r="I110" s="317"/>
      <c r="J110" s="56">
        <v>3.0200441222424002</v>
      </c>
      <c r="K110" s="311"/>
      <c r="L110" s="56">
        <v>3.9874754463463308E-2</v>
      </c>
      <c r="M110" s="311"/>
      <c r="N110" s="25"/>
      <c r="O110" s="55" t="s">
        <v>125</v>
      </c>
      <c r="P110" s="56">
        <v>5.713254819525023</v>
      </c>
      <c r="Q110" s="58">
        <v>3.1645602011066072</v>
      </c>
      <c r="R110" s="311"/>
      <c r="S110" s="25"/>
      <c r="T110" s="55" t="s">
        <v>125</v>
      </c>
      <c r="U110" s="56">
        <v>2.5486946184184163</v>
      </c>
      <c r="V110" s="311"/>
      <c r="W110" s="170"/>
      <c r="X110" s="170"/>
      <c r="Y110" s="170"/>
      <c r="Z110" s="22"/>
    </row>
    <row r="111" spans="1:26" s="36" customFormat="1" ht="122.15" customHeight="1">
      <c r="A111" s="299">
        <v>0</v>
      </c>
      <c r="B111" s="299" t="s">
        <v>182</v>
      </c>
      <c r="C111" s="301" t="s">
        <v>63</v>
      </c>
      <c r="D111" s="303" t="s">
        <v>126</v>
      </c>
      <c r="E111" s="30"/>
      <c r="F111" s="61" t="s">
        <v>118</v>
      </c>
      <c r="G111" s="95">
        <v>91.612000000000009</v>
      </c>
      <c r="H111" s="95">
        <v>12.941000000000001</v>
      </c>
      <c r="I111" s="309" t="s">
        <v>315</v>
      </c>
      <c r="J111" s="95">
        <v>78.671000000000006</v>
      </c>
      <c r="K111" s="323" t="s">
        <v>316</v>
      </c>
      <c r="L111" s="168"/>
      <c r="M111" s="309" t="s">
        <v>317</v>
      </c>
      <c r="N111" s="30"/>
      <c r="O111" s="47" t="s">
        <v>118</v>
      </c>
      <c r="P111" s="95">
        <v>7.44</v>
      </c>
      <c r="Q111" s="96">
        <v>7.44</v>
      </c>
      <c r="R111" s="350"/>
      <c r="S111" s="30"/>
      <c r="T111" s="47" t="s">
        <v>118</v>
      </c>
      <c r="U111" s="95"/>
      <c r="V111" s="309" t="s">
        <v>318</v>
      </c>
      <c r="W111" s="168"/>
      <c r="X111" s="168" t="s">
        <v>319</v>
      </c>
      <c r="Y111" s="168"/>
      <c r="Z111" s="30"/>
    </row>
    <row r="112" spans="1:26" s="36" customFormat="1" ht="118" customHeight="1">
      <c r="A112" s="299"/>
      <c r="B112" s="299"/>
      <c r="C112" s="301"/>
      <c r="D112" s="304"/>
      <c r="F112" s="47" t="s">
        <v>124</v>
      </c>
      <c r="G112" s="49">
        <v>5.6957877830164128</v>
      </c>
      <c r="H112" s="49">
        <v>0.80458007357131589</v>
      </c>
      <c r="I112" s="310"/>
      <c r="J112" s="97">
        <v>4.891207709445097</v>
      </c>
      <c r="K112" s="310"/>
      <c r="L112" s="169"/>
      <c r="M112" s="310"/>
      <c r="O112" s="47" t="s">
        <v>124</v>
      </c>
      <c r="P112" s="97">
        <v>0.46256670638826908</v>
      </c>
      <c r="Q112" s="97">
        <v>0.46256670638826908</v>
      </c>
      <c r="R112" s="344"/>
      <c r="T112" s="47" t="s">
        <v>124</v>
      </c>
      <c r="U112" s="97"/>
      <c r="V112" s="310"/>
      <c r="W112" s="169"/>
      <c r="X112" s="169"/>
      <c r="Y112" s="169"/>
    </row>
    <row r="113" spans="1:26" ht="119.15" customHeight="1">
      <c r="A113" s="299"/>
      <c r="B113" s="299"/>
      <c r="C113" s="302"/>
      <c r="D113" s="305"/>
      <c r="E113" s="25"/>
      <c r="F113" s="55" t="s">
        <v>125</v>
      </c>
      <c r="G113" s="56">
        <v>1.574089347079038</v>
      </c>
      <c r="H113" s="56">
        <v>0.22235395189003437</v>
      </c>
      <c r="I113" s="311"/>
      <c r="J113" s="99">
        <v>1.3517353951890034</v>
      </c>
      <c r="K113" s="311"/>
      <c r="L113" s="170"/>
      <c r="M113" s="311"/>
      <c r="N113" s="25"/>
      <c r="O113" s="55" t="s">
        <v>125</v>
      </c>
      <c r="P113" s="56">
        <v>0.12783505154639177</v>
      </c>
      <c r="Q113" s="56">
        <v>0.12783505154639177</v>
      </c>
      <c r="R113" s="345"/>
      <c r="S113" s="25"/>
      <c r="T113" s="55" t="s">
        <v>125</v>
      </c>
      <c r="U113" s="56"/>
      <c r="V113" s="311"/>
      <c r="W113" s="170"/>
      <c r="X113" s="170"/>
      <c r="Y113" s="170"/>
      <c r="Z113" s="22"/>
    </row>
    <row r="114" spans="1:26" ht="92.15" customHeight="1">
      <c r="A114" s="299">
        <v>0</v>
      </c>
      <c r="B114" s="299" t="s">
        <v>182</v>
      </c>
      <c r="C114" s="301" t="s">
        <v>64</v>
      </c>
      <c r="D114" s="304" t="s">
        <v>117</v>
      </c>
      <c r="E114" s="28"/>
      <c r="F114" s="61" t="s">
        <v>118</v>
      </c>
      <c r="G114" s="49">
        <v>3.202</v>
      </c>
      <c r="H114" s="97">
        <v>0.97300000000000009</v>
      </c>
      <c r="I114" s="323" t="s">
        <v>320</v>
      </c>
      <c r="J114" s="97">
        <v>2.2290000000000001</v>
      </c>
      <c r="K114" s="309" t="s">
        <v>321</v>
      </c>
      <c r="L114" s="169"/>
      <c r="M114" s="309" t="s">
        <v>322</v>
      </c>
      <c r="N114" s="28"/>
      <c r="O114" s="47" t="s">
        <v>118</v>
      </c>
      <c r="P114" s="49">
        <v>7.0000000000000007E-2</v>
      </c>
      <c r="Q114" s="49">
        <v>7.0000000000000007E-2</v>
      </c>
      <c r="R114" s="309" t="s">
        <v>323</v>
      </c>
      <c r="S114" s="28"/>
      <c r="T114" s="47" t="s">
        <v>118</v>
      </c>
      <c r="U114" s="128"/>
      <c r="V114" s="309" t="s">
        <v>324</v>
      </c>
      <c r="W114" s="169"/>
      <c r="X114" s="169"/>
      <c r="Y114" s="169"/>
    </row>
    <row r="115" spans="1:26" ht="134.15" customHeight="1">
      <c r="A115" s="299"/>
      <c r="B115" s="299"/>
      <c r="C115" s="301"/>
      <c r="D115" s="304"/>
      <c r="E115" s="28"/>
      <c r="F115" s="47" t="s">
        <v>124</v>
      </c>
      <c r="G115" s="49">
        <v>1.0381217410099144</v>
      </c>
      <c r="H115" s="49">
        <v>0.31545673141869041</v>
      </c>
      <c r="I115" s="310"/>
      <c r="J115" s="49">
        <v>0.72266500959122393</v>
      </c>
      <c r="K115" s="310"/>
      <c r="L115" s="49"/>
      <c r="M115" s="310"/>
      <c r="N115" s="28"/>
      <c r="O115" s="47" t="s">
        <v>124</v>
      </c>
      <c r="P115" s="97">
        <v>2.4381353628372098E-5</v>
      </c>
      <c r="Q115" s="59">
        <v>2.4381353628372098E-5</v>
      </c>
      <c r="R115" s="310"/>
      <c r="S115" s="28"/>
      <c r="T115" s="47" t="s">
        <v>124</v>
      </c>
      <c r="U115" s="49"/>
      <c r="V115" s="310"/>
      <c r="W115" s="169"/>
      <c r="X115" s="169"/>
      <c r="Y115" s="169"/>
    </row>
    <row r="116" spans="1:26" ht="167.15" customHeight="1">
      <c r="A116" s="299"/>
      <c r="B116" s="299"/>
      <c r="C116" s="302"/>
      <c r="D116" s="305"/>
      <c r="E116" s="28"/>
      <c r="F116" s="55" t="s">
        <v>125</v>
      </c>
      <c r="G116" s="56">
        <v>6.4171911765327883</v>
      </c>
      <c r="H116" s="56">
        <v>1.9500084368414752</v>
      </c>
      <c r="I116" s="311"/>
      <c r="J116" s="56">
        <v>4.4671827396913129</v>
      </c>
      <c r="K116" s="311"/>
      <c r="L116" s="56"/>
      <c r="M116" s="311"/>
      <c r="N116" s="28"/>
      <c r="O116" s="55" t="s">
        <v>125</v>
      </c>
      <c r="P116" s="56">
        <v>1.8215652368232442E-4</v>
      </c>
      <c r="Q116" s="102">
        <v>1.8215652368232442E-4</v>
      </c>
      <c r="R116" s="311"/>
      <c r="S116" s="28"/>
      <c r="T116" s="55" t="s">
        <v>125</v>
      </c>
      <c r="U116" s="56"/>
      <c r="V116" s="311"/>
      <c r="W116" s="169"/>
      <c r="X116" s="169"/>
      <c r="Y116" s="169"/>
    </row>
    <row r="117" spans="1:26" s="171" customFormat="1" ht="92.15" customHeight="1">
      <c r="A117" s="299">
        <v>0</v>
      </c>
      <c r="B117" s="299" t="s">
        <v>182</v>
      </c>
      <c r="C117" s="301" t="s">
        <v>66</v>
      </c>
      <c r="D117" s="304" t="s">
        <v>126</v>
      </c>
      <c r="E117" s="183"/>
      <c r="F117" s="61" t="s">
        <v>118</v>
      </c>
      <c r="G117" s="105">
        <v>1638</v>
      </c>
      <c r="H117" s="74" t="s">
        <v>132</v>
      </c>
      <c r="I117" s="309" t="s">
        <v>325</v>
      </c>
      <c r="J117" s="74" t="s">
        <v>132</v>
      </c>
      <c r="K117" s="309" t="s">
        <v>326</v>
      </c>
      <c r="L117" s="74" t="s">
        <v>132</v>
      </c>
      <c r="M117" s="309" t="s">
        <v>327</v>
      </c>
      <c r="N117" s="183"/>
      <c r="O117" s="61" t="s">
        <v>118</v>
      </c>
      <c r="P117" s="105">
        <v>2100</v>
      </c>
      <c r="Q117" s="105">
        <v>1300</v>
      </c>
      <c r="R117" s="309" t="s">
        <v>328</v>
      </c>
      <c r="S117" s="183"/>
      <c r="T117" s="61" t="s">
        <v>118</v>
      </c>
      <c r="U117" s="73"/>
      <c r="V117" s="309" t="s">
        <v>329</v>
      </c>
      <c r="W117" s="74">
        <v>800</v>
      </c>
      <c r="X117" s="309" t="s">
        <v>330</v>
      </c>
      <c r="Y117" s="168"/>
      <c r="Z117" s="183"/>
    </row>
    <row r="118" spans="1:26" s="171" customFormat="1" ht="92.15" customHeight="1">
      <c r="A118" s="299"/>
      <c r="B118" s="299"/>
      <c r="C118" s="301"/>
      <c r="D118" s="304"/>
      <c r="F118" s="47" t="s">
        <v>124</v>
      </c>
      <c r="G118" s="49">
        <v>3.9665498926432399</v>
      </c>
      <c r="H118" s="101"/>
      <c r="I118" s="310"/>
      <c r="J118" s="101"/>
      <c r="K118" s="310"/>
      <c r="L118" s="169"/>
      <c r="M118" s="310"/>
      <c r="O118" s="47" t="s">
        <v>124</v>
      </c>
      <c r="P118" s="116">
        <v>5.0853203751836409</v>
      </c>
      <c r="Q118" s="49">
        <v>3.1480554703517778</v>
      </c>
      <c r="R118" s="310"/>
      <c r="T118" s="47" t="s">
        <v>124</v>
      </c>
      <c r="U118" s="97"/>
      <c r="V118" s="310"/>
      <c r="W118" s="49">
        <v>1.9372649048318633</v>
      </c>
      <c r="X118" s="310"/>
      <c r="Y118" s="169"/>
    </row>
    <row r="119" spans="1:26" ht="78" customHeight="1">
      <c r="A119" s="299"/>
      <c r="B119" s="299"/>
      <c r="C119" s="302"/>
      <c r="D119" s="305"/>
      <c r="E119" s="25"/>
      <c r="F119" s="55" t="s">
        <v>125</v>
      </c>
      <c r="G119" s="56">
        <v>2.410373216215953</v>
      </c>
      <c r="H119" s="129"/>
      <c r="I119" s="311"/>
      <c r="J119" s="99"/>
      <c r="K119" s="311"/>
      <c r="L119" s="170"/>
      <c r="M119" s="311"/>
      <c r="N119" s="25"/>
      <c r="O119" s="55" t="s">
        <v>125</v>
      </c>
      <c r="P119" s="69">
        <v>3.090222072071735</v>
      </c>
      <c r="Q119" s="56">
        <v>1.9129946160444073</v>
      </c>
      <c r="R119" s="311"/>
      <c r="S119" s="25"/>
      <c r="T119" s="55" t="s">
        <v>125</v>
      </c>
      <c r="U119" s="56"/>
      <c r="V119" s="311"/>
      <c r="W119" s="56">
        <v>1.1772274560273275</v>
      </c>
      <c r="X119" s="311"/>
      <c r="Y119" s="170"/>
      <c r="Z119" s="22"/>
    </row>
    <row r="120" spans="1:26" ht="147" customHeight="1">
      <c r="A120" s="299">
        <v>0</v>
      </c>
      <c r="B120" s="299" t="s">
        <v>182</v>
      </c>
      <c r="C120" s="301" t="s">
        <v>67</v>
      </c>
      <c r="D120" s="304" t="s">
        <v>117</v>
      </c>
      <c r="E120" s="183"/>
      <c r="F120" s="61" t="s">
        <v>118</v>
      </c>
      <c r="G120" s="95">
        <v>44.3</v>
      </c>
      <c r="H120" s="74">
        <v>1.3</v>
      </c>
      <c r="I120" s="309" t="s">
        <v>331</v>
      </c>
      <c r="J120" s="95">
        <v>43</v>
      </c>
      <c r="K120" s="309" t="s">
        <v>332</v>
      </c>
      <c r="L120" s="168"/>
      <c r="M120" s="168"/>
      <c r="N120" s="183"/>
      <c r="O120" s="47" t="s">
        <v>118</v>
      </c>
      <c r="P120" s="63">
        <v>149.19999999999999</v>
      </c>
      <c r="Q120" s="96">
        <v>4.2</v>
      </c>
      <c r="R120" s="309" t="s">
        <v>333</v>
      </c>
      <c r="S120" s="183"/>
      <c r="T120" s="47" t="s">
        <v>118</v>
      </c>
      <c r="U120" s="73"/>
      <c r="V120" s="309"/>
      <c r="W120" s="168">
        <v>145</v>
      </c>
      <c r="X120" s="309" t="s">
        <v>334</v>
      </c>
      <c r="Y120" s="168"/>
      <c r="Z120" s="183"/>
    </row>
    <row r="121" spans="1:26" ht="133" customHeight="1">
      <c r="A121" s="299"/>
      <c r="B121" s="299"/>
      <c r="C121" s="301"/>
      <c r="D121" s="304"/>
      <c r="E121" s="171"/>
      <c r="F121" s="47" t="s">
        <v>124</v>
      </c>
      <c r="G121" s="49">
        <v>1.1313675831907708</v>
      </c>
      <c r="H121" s="49">
        <v>3.3200403118465061E-2</v>
      </c>
      <c r="I121" s="310"/>
      <c r="J121" s="49">
        <v>1.0981671800723058</v>
      </c>
      <c r="K121" s="310"/>
      <c r="L121" s="169"/>
      <c r="M121" s="169"/>
      <c r="N121" s="171"/>
      <c r="O121" s="47" t="s">
        <v>124</v>
      </c>
      <c r="P121" s="116">
        <v>3.810384727134605</v>
      </c>
      <c r="Q121" s="68">
        <v>0.10726284084427173</v>
      </c>
      <c r="R121" s="310"/>
      <c r="S121" s="171"/>
      <c r="T121" s="47" t="s">
        <v>124</v>
      </c>
      <c r="U121" s="68"/>
      <c r="V121" s="310"/>
      <c r="W121" s="77">
        <v>3.7031218862903335</v>
      </c>
      <c r="X121" s="310"/>
      <c r="Y121" s="169"/>
      <c r="Z121" s="171"/>
    </row>
    <row r="122" spans="1:26" ht="103" customHeight="1">
      <c r="A122" s="299"/>
      <c r="B122" s="299"/>
      <c r="C122" s="302"/>
      <c r="D122" s="305"/>
      <c r="E122" s="25"/>
      <c r="F122" s="55" t="s">
        <v>125</v>
      </c>
      <c r="G122" s="56">
        <v>9.9755633644964341</v>
      </c>
      <c r="H122" s="56">
        <v>0.29273662243443266</v>
      </c>
      <c r="I122" s="311"/>
      <c r="J122" s="56">
        <v>9.6828267420620016</v>
      </c>
      <c r="K122" s="311"/>
      <c r="L122" s="170"/>
      <c r="M122" s="170"/>
      <c r="N122" s="25"/>
      <c r="O122" s="55" t="s">
        <v>125</v>
      </c>
      <c r="P122" s="69">
        <v>33.597156974782578</v>
      </c>
      <c r="Q122" s="58">
        <v>0.94576447248047468</v>
      </c>
      <c r="R122" s="311"/>
      <c r="S122" s="25"/>
      <c r="T122" s="55" t="s">
        <v>125</v>
      </c>
      <c r="U122" s="58"/>
      <c r="V122" s="311"/>
      <c r="W122" s="79">
        <v>32.651392502302102</v>
      </c>
      <c r="X122" s="311"/>
      <c r="Y122" s="170"/>
      <c r="Z122" s="22"/>
    </row>
    <row r="123" spans="1:26" ht="86.15" customHeight="1">
      <c r="A123" s="174"/>
      <c r="B123" s="174"/>
      <c r="C123" s="300" t="s">
        <v>68</v>
      </c>
      <c r="D123" s="303" t="s">
        <v>117</v>
      </c>
      <c r="E123" s="36"/>
      <c r="F123" s="47" t="s">
        <v>118</v>
      </c>
      <c r="G123" s="97">
        <v>19.510953139008002</v>
      </c>
      <c r="H123" s="95">
        <v>0.67279148755200013</v>
      </c>
      <c r="I123" s="315" t="s">
        <v>335</v>
      </c>
      <c r="J123" s="48">
        <v>18.838161651456002</v>
      </c>
      <c r="K123" s="309" t="s">
        <v>506</v>
      </c>
      <c r="L123" s="169"/>
      <c r="M123" s="309"/>
      <c r="N123" s="36"/>
      <c r="O123" s="47" t="s">
        <v>118</v>
      </c>
      <c r="P123" s="133">
        <v>19.510953139007999</v>
      </c>
      <c r="Q123" s="167"/>
      <c r="R123" s="169"/>
      <c r="S123" s="36"/>
      <c r="T123" s="47" t="s">
        <v>118</v>
      </c>
      <c r="U123" s="97"/>
      <c r="V123" s="309"/>
      <c r="W123" s="49">
        <v>19.510953139007999</v>
      </c>
      <c r="X123" s="169"/>
      <c r="Y123" s="169"/>
    </row>
    <row r="124" spans="1:26" ht="69" customHeight="1">
      <c r="A124" s="174">
        <v>0</v>
      </c>
      <c r="B124" s="174" t="s">
        <v>182</v>
      </c>
      <c r="C124" s="301"/>
      <c r="D124" s="304"/>
      <c r="E124" s="36"/>
      <c r="F124" s="47" t="s">
        <v>124</v>
      </c>
      <c r="G124" s="49">
        <v>0.36263820325526785</v>
      </c>
      <c r="H124" s="49">
        <v>1.2504765629491998E-2</v>
      </c>
      <c r="I124" s="316"/>
      <c r="J124" s="49">
        <v>0.35013343762577587</v>
      </c>
      <c r="K124" s="310"/>
      <c r="L124" s="169"/>
      <c r="M124" s="310"/>
      <c r="N124" s="36"/>
      <c r="O124" s="47" t="s">
        <v>124</v>
      </c>
      <c r="P124" s="116">
        <v>0.3626382032552678</v>
      </c>
      <c r="Q124" s="167"/>
      <c r="R124" s="169"/>
      <c r="S124" s="36"/>
      <c r="T124" s="47" t="s">
        <v>124</v>
      </c>
      <c r="U124" s="49"/>
      <c r="V124" s="310"/>
      <c r="W124" s="49">
        <v>0.3626382032552678</v>
      </c>
      <c r="X124" s="169" t="s">
        <v>336</v>
      </c>
      <c r="Y124" s="169"/>
    </row>
    <row r="125" spans="1:26" ht="65.150000000000006" customHeight="1">
      <c r="A125" s="174"/>
      <c r="B125" s="174"/>
      <c r="C125" s="302"/>
      <c r="D125" s="305"/>
      <c r="E125" s="25"/>
      <c r="F125" s="55" t="s">
        <v>125</v>
      </c>
      <c r="G125" s="56">
        <v>2.9000000000000004</v>
      </c>
      <c r="H125" s="56">
        <v>0.10000000000000002</v>
      </c>
      <c r="I125" s="317"/>
      <c r="J125" s="56">
        <v>2.8000000000000003</v>
      </c>
      <c r="K125" s="311"/>
      <c r="L125" s="170"/>
      <c r="M125" s="311"/>
      <c r="N125" s="25"/>
      <c r="O125" s="55" t="s">
        <v>125</v>
      </c>
      <c r="P125" s="69">
        <v>2.9</v>
      </c>
      <c r="Q125" s="102"/>
      <c r="R125" s="186"/>
      <c r="S125" s="25"/>
      <c r="T125" s="55" t="s">
        <v>125</v>
      </c>
      <c r="U125" s="56"/>
      <c r="V125" s="311"/>
      <c r="W125" s="56">
        <v>2.9</v>
      </c>
      <c r="X125" s="170"/>
      <c r="Y125" s="169"/>
    </row>
    <row r="126" spans="1:26" ht="103" customHeight="1">
      <c r="A126" s="299">
        <v>0</v>
      </c>
      <c r="B126" s="299" t="s">
        <v>182</v>
      </c>
      <c r="C126" s="301" t="s">
        <v>69</v>
      </c>
      <c r="D126" s="304" t="s">
        <v>126</v>
      </c>
      <c r="E126" s="28"/>
      <c r="F126" s="61" t="s">
        <v>118</v>
      </c>
      <c r="G126" s="51">
        <v>828</v>
      </c>
      <c r="H126" s="51">
        <v>178</v>
      </c>
      <c r="I126" s="309" t="s">
        <v>337</v>
      </c>
      <c r="J126" s="48">
        <v>650</v>
      </c>
      <c r="K126" s="309" t="s">
        <v>338</v>
      </c>
      <c r="L126" s="48">
        <v>480</v>
      </c>
      <c r="M126" s="309" t="s">
        <v>339</v>
      </c>
      <c r="N126" s="28"/>
      <c r="O126" s="61" t="s">
        <v>118</v>
      </c>
      <c r="P126" s="95" t="s">
        <v>132</v>
      </c>
      <c r="Q126" s="68"/>
      <c r="R126" s="169"/>
      <c r="S126" s="28"/>
      <c r="T126" s="61" t="s">
        <v>118</v>
      </c>
      <c r="U126" s="49" t="s">
        <v>132</v>
      </c>
      <c r="V126" s="309" t="s">
        <v>340</v>
      </c>
      <c r="W126" s="169" t="s">
        <v>132</v>
      </c>
      <c r="X126" s="350"/>
      <c r="Y126" s="169"/>
    </row>
    <row r="127" spans="1:26" ht="38">
      <c r="A127" s="299"/>
      <c r="B127" s="299"/>
      <c r="C127" s="301"/>
      <c r="D127" s="304"/>
      <c r="E127" s="28"/>
      <c r="F127" s="47" t="s">
        <v>124</v>
      </c>
      <c r="G127" s="49">
        <v>5.2148375564455147</v>
      </c>
      <c r="H127" s="49">
        <v>1.1210641123759681</v>
      </c>
      <c r="I127" s="310"/>
      <c r="J127" s="49">
        <v>4.0937734440695461</v>
      </c>
      <c r="K127" s="310"/>
      <c r="L127" s="49">
        <v>3.0230942356205883</v>
      </c>
      <c r="M127" s="310"/>
      <c r="N127" s="28"/>
      <c r="O127" s="47" t="s">
        <v>124</v>
      </c>
      <c r="P127" s="116"/>
      <c r="Q127" s="49"/>
      <c r="R127" s="169"/>
      <c r="S127" s="28"/>
      <c r="T127" s="47" t="s">
        <v>124</v>
      </c>
      <c r="U127" s="49"/>
      <c r="V127" s="310"/>
      <c r="W127" s="169"/>
      <c r="X127" s="344"/>
      <c r="Y127" s="169"/>
    </row>
    <row r="128" spans="1:26" ht="38">
      <c r="A128" s="299"/>
      <c r="B128" s="299"/>
      <c r="C128" s="302"/>
      <c r="D128" s="305"/>
      <c r="E128" s="28"/>
      <c r="F128" s="55" t="s">
        <v>125</v>
      </c>
      <c r="G128" s="56">
        <v>1.9843417699892416</v>
      </c>
      <c r="H128" s="56">
        <v>0.42658554958705924</v>
      </c>
      <c r="I128" s="311"/>
      <c r="J128" s="56">
        <v>1.5577562204021824</v>
      </c>
      <c r="K128" s="311"/>
      <c r="L128" s="56">
        <v>1.150343055066227</v>
      </c>
      <c r="M128" s="311"/>
      <c r="N128" s="25"/>
      <c r="O128" s="55" t="s">
        <v>125</v>
      </c>
      <c r="P128" s="69"/>
      <c r="Q128" s="56"/>
      <c r="R128" s="170"/>
      <c r="S128" s="25"/>
      <c r="T128" s="55" t="s">
        <v>125</v>
      </c>
      <c r="U128" s="56"/>
      <c r="V128" s="311"/>
      <c r="W128" s="170"/>
      <c r="X128" s="345"/>
      <c r="Y128" s="169"/>
    </row>
    <row r="129" spans="1:26" ht="48" customHeight="1">
      <c r="A129" s="299">
        <v>0</v>
      </c>
      <c r="B129" s="299" t="s">
        <v>182</v>
      </c>
      <c r="C129" s="301" t="s">
        <v>70</v>
      </c>
      <c r="D129" s="304" t="s">
        <v>117</v>
      </c>
      <c r="E129" s="28"/>
      <c r="F129" s="61" t="s">
        <v>118</v>
      </c>
      <c r="G129" s="51">
        <v>37.332999999999998</v>
      </c>
      <c r="H129" s="49">
        <v>5.3330000000000002</v>
      </c>
      <c r="I129" s="309" t="s">
        <v>341</v>
      </c>
      <c r="J129" s="51">
        <v>32</v>
      </c>
      <c r="K129" s="309" t="s">
        <v>342</v>
      </c>
      <c r="L129" s="51">
        <v>12</v>
      </c>
      <c r="M129" s="309" t="s">
        <v>343</v>
      </c>
      <c r="N129" s="28"/>
      <c r="O129" s="61" t="s">
        <v>118</v>
      </c>
      <c r="P129" s="63">
        <v>75.599999999999994</v>
      </c>
      <c r="Q129" s="49">
        <v>8.6</v>
      </c>
      <c r="R129" s="169"/>
      <c r="S129" s="28"/>
      <c r="T129" s="61" t="s">
        <v>118</v>
      </c>
      <c r="U129" s="51">
        <v>67</v>
      </c>
      <c r="V129" s="309" t="s">
        <v>344</v>
      </c>
      <c r="W129" s="49"/>
      <c r="X129" s="346"/>
      <c r="Y129" s="169"/>
    </row>
    <row r="130" spans="1:26" ht="48" customHeight="1">
      <c r="A130" s="299"/>
      <c r="B130" s="299"/>
      <c r="C130" s="301"/>
      <c r="D130" s="304"/>
      <c r="E130" s="28"/>
      <c r="F130" s="47" t="s">
        <v>124</v>
      </c>
      <c r="G130" s="51">
        <v>10.653665274067986</v>
      </c>
      <c r="H130" s="49">
        <v>1.5218706481291238</v>
      </c>
      <c r="I130" s="310"/>
      <c r="J130" s="51">
        <v>9.1317946259388627</v>
      </c>
      <c r="K130" s="310"/>
      <c r="L130" s="49">
        <v>3.4244229847270735</v>
      </c>
      <c r="M130" s="310"/>
      <c r="N130" s="28"/>
      <c r="O130" s="47" t="s">
        <v>124</v>
      </c>
      <c r="P130" s="67">
        <v>19.119694998059494</v>
      </c>
      <c r="Q130" s="49"/>
      <c r="R130" s="169"/>
      <c r="S130" s="28"/>
      <c r="T130" s="47" t="s">
        <v>124</v>
      </c>
      <c r="U130" s="51">
        <v>19.119694998059494</v>
      </c>
      <c r="V130" s="310"/>
      <c r="W130" s="169"/>
      <c r="X130" s="347"/>
      <c r="Y130" s="169"/>
    </row>
    <row r="131" spans="1:26" ht="48" customHeight="1">
      <c r="A131" s="299"/>
      <c r="B131" s="299"/>
      <c r="C131" s="302"/>
      <c r="D131" s="305"/>
      <c r="E131" s="28"/>
      <c r="F131" s="55" t="s">
        <v>125</v>
      </c>
      <c r="G131" s="56">
        <v>5.3603502194989856</v>
      </c>
      <c r="H131" s="56">
        <v>0.76572329361658831</v>
      </c>
      <c r="I131" s="311"/>
      <c r="J131" s="56">
        <v>4.5946269258823973</v>
      </c>
      <c r="K131" s="311"/>
      <c r="L131" s="56">
        <v>1.7229850972058991</v>
      </c>
      <c r="M131" s="311"/>
      <c r="N131" s="25"/>
      <c r="O131" s="55" t="s">
        <v>125</v>
      </c>
      <c r="P131" s="69">
        <v>9.6200001260662695</v>
      </c>
      <c r="Q131" s="56"/>
      <c r="R131" s="170"/>
      <c r="S131" s="25"/>
      <c r="T131" s="55" t="s">
        <v>125</v>
      </c>
      <c r="U131" s="56">
        <v>9.6200001260662695</v>
      </c>
      <c r="V131" s="311"/>
      <c r="W131" s="170"/>
      <c r="X131" s="348"/>
      <c r="Y131" s="169"/>
    </row>
    <row r="132" spans="1:26" ht="30.5">
      <c r="A132" s="299">
        <v>0</v>
      </c>
      <c r="B132" s="299" t="s">
        <v>182</v>
      </c>
      <c r="C132" s="301" t="s">
        <v>71</v>
      </c>
      <c r="D132" s="304" t="s">
        <v>126</v>
      </c>
      <c r="E132" s="28"/>
      <c r="F132" s="61" t="s">
        <v>118</v>
      </c>
      <c r="G132" s="51">
        <v>457.6</v>
      </c>
      <c r="H132" s="51">
        <v>84.6</v>
      </c>
      <c r="I132" s="309" t="s">
        <v>345</v>
      </c>
      <c r="J132" s="51">
        <v>373</v>
      </c>
      <c r="K132" s="309" t="s">
        <v>507</v>
      </c>
      <c r="L132" s="49"/>
      <c r="M132" s="169"/>
      <c r="N132" s="28"/>
      <c r="O132" s="61" t="s">
        <v>118</v>
      </c>
      <c r="P132" s="63">
        <v>165.8</v>
      </c>
      <c r="Q132" s="51">
        <v>45.8</v>
      </c>
      <c r="R132" s="309" t="s">
        <v>346</v>
      </c>
      <c r="S132" s="28"/>
      <c r="T132" s="61" t="s">
        <v>118</v>
      </c>
      <c r="U132" s="51">
        <v>120</v>
      </c>
      <c r="V132" s="309" t="s">
        <v>347</v>
      </c>
      <c r="W132" s="49"/>
      <c r="X132" s="309" t="s">
        <v>348</v>
      </c>
      <c r="Y132" s="169"/>
    </row>
    <row r="133" spans="1:26" ht="38">
      <c r="A133" s="299"/>
      <c r="B133" s="299"/>
      <c r="C133" s="301"/>
      <c r="D133" s="304"/>
      <c r="E133" s="28"/>
      <c r="F133" s="47" t="s">
        <v>124</v>
      </c>
      <c r="G133" s="49">
        <v>9.2220878677952456</v>
      </c>
      <c r="H133" s="49">
        <v>1.7049576783555018</v>
      </c>
      <c r="I133" s="310"/>
      <c r="J133" s="49">
        <v>7.517130189439742</v>
      </c>
      <c r="K133" s="310"/>
      <c r="L133" s="49"/>
      <c r="M133" s="169"/>
      <c r="N133" s="28"/>
      <c r="O133" s="47" t="s">
        <v>124</v>
      </c>
      <c r="P133" s="116">
        <v>3.3413945989520357</v>
      </c>
      <c r="Q133" s="49">
        <v>0.92301491334139463</v>
      </c>
      <c r="R133" s="310"/>
      <c r="S133" s="28"/>
      <c r="T133" s="47" t="s">
        <v>124</v>
      </c>
      <c r="U133" s="49">
        <v>2.418379685610641</v>
      </c>
      <c r="V133" s="310"/>
      <c r="W133" s="49"/>
      <c r="X133" s="310"/>
      <c r="Y133" s="169"/>
    </row>
    <row r="134" spans="1:26" ht="38">
      <c r="A134" s="299"/>
      <c r="B134" s="299"/>
      <c r="C134" s="302"/>
      <c r="D134" s="305"/>
      <c r="E134" s="28"/>
      <c r="F134" s="55" t="s">
        <v>125</v>
      </c>
      <c r="G134" s="56">
        <v>2.5426457949039269</v>
      </c>
      <c r="H134" s="56">
        <v>0.47007830911029769</v>
      </c>
      <c r="I134" s="311"/>
      <c r="J134" s="56">
        <v>2.0725674857936291</v>
      </c>
      <c r="K134" s="311"/>
      <c r="L134" s="56"/>
      <c r="M134" s="169"/>
      <c r="N134" s="28"/>
      <c r="O134" s="55" t="s">
        <v>125</v>
      </c>
      <c r="P134" s="69">
        <v>0.92126458215706097</v>
      </c>
      <c r="Q134" s="56">
        <v>0.25448683873819899</v>
      </c>
      <c r="R134" s="311"/>
      <c r="S134" s="28"/>
      <c r="T134" s="55" t="s">
        <v>125</v>
      </c>
      <c r="U134" s="56">
        <v>0.66677774341886198</v>
      </c>
      <c r="V134" s="311"/>
      <c r="W134" s="56"/>
      <c r="X134" s="311"/>
      <c r="Y134" s="169"/>
    </row>
    <row r="135" spans="1:26" s="171" customFormat="1" ht="74.150000000000006" customHeight="1">
      <c r="A135" s="299">
        <v>0</v>
      </c>
      <c r="B135" s="299" t="s">
        <v>182</v>
      </c>
      <c r="C135" s="301" t="s">
        <v>72</v>
      </c>
      <c r="D135" s="303" t="s">
        <v>117</v>
      </c>
      <c r="E135" s="183"/>
      <c r="F135" s="61" t="s">
        <v>118</v>
      </c>
      <c r="G135" s="73">
        <v>175.5</v>
      </c>
      <c r="H135" s="95">
        <v>8.5</v>
      </c>
      <c r="I135" s="309" t="s">
        <v>349</v>
      </c>
      <c r="J135" s="73">
        <v>167</v>
      </c>
      <c r="K135" s="309" t="s">
        <v>350</v>
      </c>
      <c r="L135" s="74" t="s">
        <v>132</v>
      </c>
      <c r="M135" s="309" t="s">
        <v>351</v>
      </c>
      <c r="N135" s="183"/>
      <c r="O135" s="47" t="s">
        <v>118</v>
      </c>
      <c r="P135" s="63">
        <v>124</v>
      </c>
      <c r="Q135" s="106">
        <v>50</v>
      </c>
      <c r="R135" s="309" t="s">
        <v>352</v>
      </c>
      <c r="S135" s="183"/>
      <c r="T135" s="130" t="s">
        <v>118</v>
      </c>
      <c r="U135" s="131">
        <v>74</v>
      </c>
      <c r="V135" s="309" t="s">
        <v>353</v>
      </c>
      <c r="W135" s="131"/>
      <c r="X135" s="309"/>
      <c r="Y135" s="132" t="s">
        <v>354</v>
      </c>
      <c r="Z135" s="183"/>
    </row>
    <row r="136" spans="1:26" s="171" customFormat="1" ht="89.15" customHeight="1">
      <c r="A136" s="299"/>
      <c r="B136" s="299"/>
      <c r="C136" s="301"/>
      <c r="D136" s="304"/>
      <c r="F136" s="47" t="s">
        <v>124</v>
      </c>
      <c r="G136" s="51">
        <v>44.709731424704025</v>
      </c>
      <c r="H136" s="49">
        <v>2.1654285875212778</v>
      </c>
      <c r="I136" s="310"/>
      <c r="J136" s="51">
        <v>42.544302837182748</v>
      </c>
      <c r="K136" s="310"/>
      <c r="L136" s="169"/>
      <c r="M136" s="310"/>
      <c r="O136" s="47" t="s">
        <v>124</v>
      </c>
      <c r="P136" s="67">
        <v>31.58978174736923</v>
      </c>
      <c r="Q136" s="52">
        <v>12.737815220713399</v>
      </c>
      <c r="R136" s="310"/>
      <c r="T136" s="47" t="s">
        <v>124</v>
      </c>
      <c r="U136" s="54">
        <v>18.851966526655829</v>
      </c>
      <c r="V136" s="310"/>
      <c r="W136" s="51"/>
      <c r="X136" s="310"/>
      <c r="Y136" s="169"/>
    </row>
    <row r="137" spans="1:26" ht="72" customHeight="1">
      <c r="A137" s="299"/>
      <c r="B137" s="299"/>
      <c r="C137" s="302"/>
      <c r="D137" s="305"/>
      <c r="E137" s="25"/>
      <c r="F137" s="55" t="s">
        <v>125</v>
      </c>
      <c r="G137" s="56">
        <v>7.6769895099565364</v>
      </c>
      <c r="H137" s="56">
        <v>0.37182000475572968</v>
      </c>
      <c r="I137" s="311"/>
      <c r="J137" s="56">
        <v>7.3051695052008068</v>
      </c>
      <c r="K137" s="311"/>
      <c r="L137" s="170"/>
      <c r="M137" s="311"/>
      <c r="N137" s="25"/>
      <c r="O137" s="55" t="s">
        <v>125</v>
      </c>
      <c r="P137" s="69">
        <v>5.4241977164365274</v>
      </c>
      <c r="Q137" s="58">
        <v>2.1871764985631157</v>
      </c>
      <c r="R137" s="311"/>
      <c r="S137" s="25"/>
      <c r="T137" s="55" t="s">
        <v>125</v>
      </c>
      <c r="U137" s="102">
        <v>3.2370212178734112</v>
      </c>
      <c r="V137" s="311"/>
      <c r="W137" s="56"/>
      <c r="X137" s="311"/>
      <c r="Y137" s="170"/>
      <c r="Z137" s="22"/>
    </row>
    <row r="138" spans="1:26" ht="164.15" customHeight="1">
      <c r="A138" s="299">
        <v>0</v>
      </c>
      <c r="B138" s="299" t="s">
        <v>182</v>
      </c>
      <c r="C138" s="301" t="s">
        <v>73</v>
      </c>
      <c r="D138" s="303" t="s">
        <v>126</v>
      </c>
      <c r="E138" s="28"/>
      <c r="F138" s="61" t="s">
        <v>118</v>
      </c>
      <c r="G138" s="51">
        <v>23.8</v>
      </c>
      <c r="H138" s="188">
        <v>12.8</v>
      </c>
      <c r="I138" s="309" t="s">
        <v>355</v>
      </c>
      <c r="J138" s="48">
        <v>11</v>
      </c>
      <c r="K138" s="309" t="s">
        <v>356</v>
      </c>
      <c r="L138" s="101"/>
      <c r="M138" s="318" t="s">
        <v>357</v>
      </c>
      <c r="N138" s="28"/>
      <c r="O138" s="47" t="s">
        <v>118</v>
      </c>
      <c r="P138" s="63">
        <v>33.700000000000003</v>
      </c>
      <c r="Q138" s="68">
        <v>1.7</v>
      </c>
      <c r="R138" s="309" t="s">
        <v>358</v>
      </c>
      <c r="S138" s="28"/>
      <c r="T138" s="47" t="s">
        <v>118</v>
      </c>
      <c r="U138" s="54">
        <v>32</v>
      </c>
      <c r="V138" s="350" t="s">
        <v>359</v>
      </c>
      <c r="W138" s="169"/>
      <c r="X138" s="169"/>
      <c r="Y138" s="169"/>
    </row>
    <row r="139" spans="1:26" ht="117" customHeight="1">
      <c r="A139" s="299"/>
      <c r="B139" s="299"/>
      <c r="C139" s="301"/>
      <c r="D139" s="304"/>
      <c r="E139" s="28"/>
      <c r="F139" s="47" t="s">
        <v>124</v>
      </c>
      <c r="G139" s="49">
        <v>5.6342966647716937</v>
      </c>
      <c r="H139" s="49">
        <v>3.0302099709696506</v>
      </c>
      <c r="I139" s="310"/>
      <c r="J139" s="49">
        <v>2.6040866938020431</v>
      </c>
      <c r="K139" s="310"/>
      <c r="L139" s="49"/>
      <c r="M139" s="307"/>
      <c r="N139" s="28"/>
      <c r="O139" s="47" t="s">
        <v>124</v>
      </c>
      <c r="P139" s="116">
        <v>7.9779746891935321</v>
      </c>
      <c r="Q139" s="49">
        <v>0.40244976176940667</v>
      </c>
      <c r="R139" s="310"/>
      <c r="S139" s="28"/>
      <c r="T139" s="47" t="s">
        <v>124</v>
      </c>
      <c r="U139" s="49">
        <v>7.5755249274241256</v>
      </c>
      <c r="V139" s="310"/>
      <c r="W139" s="169"/>
      <c r="X139" s="169"/>
      <c r="Y139" s="169"/>
    </row>
    <row r="140" spans="1:26" ht="95.15" customHeight="1">
      <c r="A140" s="299"/>
      <c r="B140" s="299"/>
      <c r="C140" s="302"/>
      <c r="D140" s="305"/>
      <c r="E140" s="28"/>
      <c r="F140" s="55" t="s">
        <v>125</v>
      </c>
      <c r="G140" s="56">
        <v>2.2661937174174835</v>
      </c>
      <c r="H140" s="56">
        <v>1.2187932597875542</v>
      </c>
      <c r="I140" s="311"/>
      <c r="J140" s="56">
        <v>1.0474004576299294</v>
      </c>
      <c r="K140" s="311"/>
      <c r="L140" s="56"/>
      <c r="M140" s="308"/>
      <c r="N140" s="25"/>
      <c r="O140" s="55" t="s">
        <v>125</v>
      </c>
      <c r="P140" s="69">
        <v>3.2088541292844197</v>
      </c>
      <c r="Q140" s="56">
        <v>0.16187097981553453</v>
      </c>
      <c r="R140" s="311"/>
      <c r="S140" s="25"/>
      <c r="T140" s="55" t="s">
        <v>125</v>
      </c>
      <c r="U140" s="56">
        <v>3.0469831494688853</v>
      </c>
      <c r="V140" s="311"/>
      <c r="W140" s="170"/>
      <c r="X140" s="170"/>
      <c r="Y140" s="169"/>
    </row>
    <row r="141" spans="1:26" ht="71.150000000000006" customHeight="1">
      <c r="A141" s="174"/>
      <c r="B141" s="174"/>
      <c r="C141" s="300" t="s">
        <v>74</v>
      </c>
      <c r="D141" s="303" t="s">
        <v>117</v>
      </c>
      <c r="E141" s="36"/>
      <c r="F141" s="47" t="s">
        <v>118</v>
      </c>
      <c r="G141" s="48">
        <v>308</v>
      </c>
      <c r="H141" s="74">
        <v>73</v>
      </c>
      <c r="I141" s="315" t="s">
        <v>360</v>
      </c>
      <c r="J141" s="48">
        <v>235</v>
      </c>
      <c r="K141" s="318" t="s">
        <v>361</v>
      </c>
      <c r="L141" s="48">
        <v>151</v>
      </c>
      <c r="M141" s="309" t="s">
        <v>362</v>
      </c>
      <c r="N141" s="36"/>
      <c r="O141" s="47" t="s">
        <v>118</v>
      </c>
      <c r="P141" s="63">
        <v>76.5</v>
      </c>
      <c r="Q141" s="121"/>
      <c r="R141" s="169"/>
      <c r="S141" s="36"/>
      <c r="T141" s="47" t="s">
        <v>118</v>
      </c>
      <c r="U141" s="48">
        <v>56.5</v>
      </c>
      <c r="V141" s="309" t="s">
        <v>363</v>
      </c>
      <c r="W141" s="51">
        <v>20</v>
      </c>
      <c r="X141" s="309" t="s">
        <v>364</v>
      </c>
      <c r="Y141" s="169"/>
    </row>
    <row r="142" spans="1:26" ht="84" customHeight="1">
      <c r="A142" s="174">
        <v>0</v>
      </c>
      <c r="B142" s="174" t="s">
        <v>182</v>
      </c>
      <c r="C142" s="301"/>
      <c r="D142" s="304"/>
      <c r="E142" s="36"/>
      <c r="F142" s="47" t="s">
        <v>124</v>
      </c>
      <c r="G142" s="49">
        <v>2.9244461804058437</v>
      </c>
      <c r="H142" s="49">
        <v>0.69313172457670968</v>
      </c>
      <c r="I142" s="316"/>
      <c r="J142" s="49">
        <v>2.2313144558291338</v>
      </c>
      <c r="K142" s="307"/>
      <c r="L142" s="49">
        <v>1.4337382248093584</v>
      </c>
      <c r="M142" s="310"/>
      <c r="N142" s="36"/>
      <c r="O142" s="47" t="s">
        <v>124</v>
      </c>
      <c r="P142" s="116">
        <v>0.72636406753586702</v>
      </c>
      <c r="Q142" s="121"/>
      <c r="R142" s="169"/>
      <c r="S142" s="36"/>
      <c r="T142" s="47" t="s">
        <v>124</v>
      </c>
      <c r="U142" s="49">
        <v>0.53646496491211093</v>
      </c>
      <c r="V142" s="310"/>
      <c r="W142" s="49">
        <v>0.18989910262375609</v>
      </c>
      <c r="X142" s="310"/>
      <c r="Y142" s="169"/>
    </row>
    <row r="143" spans="1:26" ht="47.15" customHeight="1">
      <c r="A143" s="174"/>
      <c r="B143" s="174"/>
      <c r="C143" s="302"/>
      <c r="D143" s="305"/>
      <c r="E143" s="25"/>
      <c r="F143" s="55" t="s">
        <v>125</v>
      </c>
      <c r="G143" s="56">
        <v>5.6239918201327903</v>
      </c>
      <c r="H143" s="56">
        <v>1.3329591002262784</v>
      </c>
      <c r="I143" s="317"/>
      <c r="J143" s="56">
        <v>4.2910327199065126</v>
      </c>
      <c r="K143" s="308"/>
      <c r="L143" s="56">
        <v>2.7572167689612055</v>
      </c>
      <c r="M143" s="311"/>
      <c r="N143" s="25"/>
      <c r="O143" s="55" t="s">
        <v>125</v>
      </c>
      <c r="P143" s="69">
        <v>1.3968680981823327</v>
      </c>
      <c r="Q143" s="58"/>
      <c r="R143" s="186"/>
      <c r="S143" s="25"/>
      <c r="T143" s="55" t="s">
        <v>125</v>
      </c>
      <c r="U143" s="56">
        <v>1.0316738241477359</v>
      </c>
      <c r="V143" s="311"/>
      <c r="W143" s="56">
        <v>0.36519427403459681</v>
      </c>
      <c r="X143" s="311"/>
      <c r="Y143" s="169"/>
    </row>
    <row r="144" spans="1:26" ht="254.15" customHeight="1">
      <c r="A144" s="299">
        <v>0</v>
      </c>
      <c r="B144" s="299" t="s">
        <v>182</v>
      </c>
      <c r="C144" s="301" t="s">
        <v>75</v>
      </c>
      <c r="D144" s="304" t="s">
        <v>214</v>
      </c>
      <c r="E144" s="28"/>
      <c r="F144" s="61" t="s">
        <v>118</v>
      </c>
      <c r="G144" s="105">
        <v>1290</v>
      </c>
      <c r="H144" s="49" t="s">
        <v>132</v>
      </c>
      <c r="I144" s="309" t="s">
        <v>365</v>
      </c>
      <c r="J144" s="49" t="s">
        <v>132</v>
      </c>
      <c r="K144" s="323" t="s">
        <v>366</v>
      </c>
      <c r="L144" s="49"/>
      <c r="M144" s="309" t="s">
        <v>367</v>
      </c>
      <c r="N144" s="28"/>
      <c r="O144" s="47" t="s">
        <v>118</v>
      </c>
      <c r="P144" s="63">
        <v>665</v>
      </c>
      <c r="Q144" s="51">
        <v>90</v>
      </c>
      <c r="R144" s="350" t="s">
        <v>368</v>
      </c>
      <c r="S144" s="28"/>
      <c r="T144" s="47" t="s">
        <v>118</v>
      </c>
      <c r="U144" s="51">
        <v>325</v>
      </c>
      <c r="V144" s="309" t="s">
        <v>369</v>
      </c>
      <c r="W144" s="51">
        <v>250</v>
      </c>
      <c r="X144" s="309" t="s">
        <v>370</v>
      </c>
      <c r="Y144" s="169"/>
    </row>
    <row r="145" spans="1:26" ht="223" customHeight="1">
      <c r="A145" s="299"/>
      <c r="B145" s="299"/>
      <c r="C145" s="301"/>
      <c r="D145" s="304"/>
      <c r="E145" s="28"/>
      <c r="F145" s="47" t="s">
        <v>124</v>
      </c>
      <c r="G145" s="51">
        <v>42.41070581454985</v>
      </c>
      <c r="H145" s="49"/>
      <c r="I145" s="310"/>
      <c r="J145" s="49"/>
      <c r="K145" s="310"/>
      <c r="L145" s="49"/>
      <c r="M145" s="310"/>
      <c r="N145" s="28"/>
      <c r="O145" s="47" t="s">
        <v>124</v>
      </c>
      <c r="P145" s="67">
        <v>21.862883229981122</v>
      </c>
      <c r="Q145" s="49">
        <v>2.9588864521778966</v>
      </c>
      <c r="R145" s="344"/>
      <c r="S145" s="28"/>
      <c r="T145" s="47" t="s">
        <v>124</v>
      </c>
      <c r="U145" s="51">
        <v>10.684867743975737</v>
      </c>
      <c r="V145" s="310"/>
      <c r="W145" s="49">
        <v>8.2191290338274907</v>
      </c>
      <c r="X145" s="310"/>
      <c r="Y145" s="169"/>
    </row>
    <row r="146" spans="1:26" ht="202" customHeight="1">
      <c r="A146" s="299"/>
      <c r="B146" s="299"/>
      <c r="C146" s="302"/>
      <c r="D146" s="305"/>
      <c r="E146" s="28"/>
      <c r="F146" s="55" t="s">
        <v>125</v>
      </c>
      <c r="G146" s="56">
        <v>8.2790021605857174</v>
      </c>
      <c r="H146" s="56"/>
      <c r="I146" s="311"/>
      <c r="J146" s="56"/>
      <c r="K146" s="311"/>
      <c r="L146" s="56"/>
      <c r="M146" s="311"/>
      <c r="N146" s="25"/>
      <c r="O146" s="55" t="s">
        <v>125</v>
      </c>
      <c r="P146" s="69">
        <v>4.267857702937599</v>
      </c>
      <c r="Q146" s="56">
        <v>0.57760480190132912</v>
      </c>
      <c r="R146" s="345"/>
      <c r="S146" s="25"/>
      <c r="T146" s="55" t="s">
        <v>125</v>
      </c>
      <c r="U146" s="56">
        <v>2.085795117977022</v>
      </c>
      <c r="V146" s="311"/>
      <c r="W146" s="56">
        <v>1.6044577830592475</v>
      </c>
      <c r="X146" s="311"/>
      <c r="Y146" s="169"/>
    </row>
    <row r="147" spans="1:26" s="171" customFormat="1" ht="85" customHeight="1">
      <c r="A147" s="299">
        <v>0</v>
      </c>
      <c r="B147" s="299" t="s">
        <v>182</v>
      </c>
      <c r="C147" s="300" t="s">
        <v>76</v>
      </c>
      <c r="D147" s="303" t="s">
        <v>117</v>
      </c>
      <c r="E147" s="183"/>
      <c r="F147" s="61" t="s">
        <v>118</v>
      </c>
      <c r="G147" s="95">
        <v>2.6859999999999999</v>
      </c>
      <c r="H147" s="95">
        <v>0.4</v>
      </c>
      <c r="I147" s="309" t="s">
        <v>371</v>
      </c>
      <c r="J147" s="95">
        <v>2.286</v>
      </c>
      <c r="K147" s="323" t="s">
        <v>372</v>
      </c>
      <c r="L147" s="95">
        <v>0.55500000000000005</v>
      </c>
      <c r="M147" s="309" t="s">
        <v>373</v>
      </c>
      <c r="N147" s="183"/>
      <c r="O147" s="61" t="s">
        <v>118</v>
      </c>
      <c r="P147" s="133">
        <v>0.5</v>
      </c>
      <c r="Q147" s="134">
        <v>0.3</v>
      </c>
      <c r="R147" s="309" t="s">
        <v>374</v>
      </c>
      <c r="S147" s="183"/>
      <c r="T147" s="61" t="s">
        <v>118</v>
      </c>
      <c r="U147" s="95">
        <v>0.2</v>
      </c>
      <c r="V147" s="309" t="s">
        <v>375</v>
      </c>
      <c r="W147" s="168"/>
      <c r="X147" s="168"/>
      <c r="Y147" s="309" t="s">
        <v>376</v>
      </c>
      <c r="Z147" s="183"/>
    </row>
    <row r="148" spans="1:26" s="171" customFormat="1" ht="85" customHeight="1">
      <c r="A148" s="299"/>
      <c r="B148" s="299"/>
      <c r="C148" s="301"/>
      <c r="D148" s="304"/>
      <c r="F148" s="47" t="s">
        <v>124</v>
      </c>
      <c r="G148" s="49">
        <v>0.94860176617429059</v>
      </c>
      <c r="H148" s="49">
        <v>0.14126608580406413</v>
      </c>
      <c r="I148" s="310"/>
      <c r="J148" s="49">
        <v>0.80733568037022652</v>
      </c>
      <c r="K148" s="310"/>
      <c r="L148" s="49">
        <v>0.196006694053139</v>
      </c>
      <c r="M148" s="310"/>
      <c r="O148" s="47" t="s">
        <v>124</v>
      </c>
      <c r="P148" s="116">
        <v>0.17658260725508018</v>
      </c>
      <c r="Q148" s="59">
        <v>0.1059495643530481</v>
      </c>
      <c r="R148" s="310"/>
      <c r="T148" s="47" t="s">
        <v>124</v>
      </c>
      <c r="U148" s="49">
        <v>7.0633042902032067E-2</v>
      </c>
      <c r="V148" s="310"/>
      <c r="W148" s="169"/>
      <c r="X148" s="169"/>
      <c r="Y148" s="310"/>
    </row>
    <row r="149" spans="1:26" ht="98.15" customHeight="1">
      <c r="A149" s="299"/>
      <c r="B149" s="299"/>
      <c r="C149" s="302"/>
      <c r="D149" s="305"/>
      <c r="E149" s="25"/>
      <c r="F149" s="55" t="s">
        <v>125</v>
      </c>
      <c r="G149" s="56">
        <v>2.4182894612809829</v>
      </c>
      <c r="H149" s="56">
        <v>0.36013245886537348</v>
      </c>
      <c r="I149" s="311"/>
      <c r="J149" s="56">
        <v>2.0581570024156091</v>
      </c>
      <c r="K149" s="311"/>
      <c r="L149" s="56">
        <v>0.49968378667570573</v>
      </c>
      <c r="M149" s="311"/>
      <c r="N149" s="25"/>
      <c r="O149" s="55" t="s">
        <v>125</v>
      </c>
      <c r="P149" s="69">
        <v>0.45016557358171677</v>
      </c>
      <c r="Q149" s="102">
        <v>0.27009934414903003</v>
      </c>
      <c r="R149" s="311"/>
      <c r="S149" s="25"/>
      <c r="T149" s="55" t="s">
        <v>125</v>
      </c>
      <c r="U149" s="56">
        <v>0.18006622943268674</v>
      </c>
      <c r="V149" s="311"/>
      <c r="W149" s="170"/>
      <c r="X149" s="170"/>
      <c r="Y149" s="311"/>
      <c r="Z149" s="22"/>
    </row>
    <row r="150" spans="1:26" s="171" customFormat="1" ht="67" customHeight="1">
      <c r="A150" s="299">
        <v>0</v>
      </c>
      <c r="B150" s="299" t="s">
        <v>182</v>
      </c>
      <c r="C150" s="300" t="s">
        <v>77</v>
      </c>
      <c r="D150" s="303" t="s">
        <v>117</v>
      </c>
      <c r="E150" s="183"/>
      <c r="F150" s="61" t="s">
        <v>118</v>
      </c>
      <c r="G150" s="73">
        <v>32</v>
      </c>
      <c r="H150" s="74" t="s">
        <v>132</v>
      </c>
      <c r="I150" s="309" t="s">
        <v>377</v>
      </c>
      <c r="J150" s="65" t="s">
        <v>132</v>
      </c>
      <c r="K150" s="309" t="s">
        <v>378</v>
      </c>
      <c r="L150" s="168"/>
      <c r="M150" s="168"/>
      <c r="N150" s="183"/>
      <c r="O150" s="61" t="s">
        <v>118</v>
      </c>
      <c r="P150" s="134" t="s">
        <v>132</v>
      </c>
      <c r="Q150" s="134" t="s">
        <v>132</v>
      </c>
      <c r="R150" s="309" t="s">
        <v>379</v>
      </c>
      <c r="S150" s="183"/>
      <c r="T150" s="61" t="s">
        <v>118</v>
      </c>
      <c r="U150" s="134" t="s">
        <v>132</v>
      </c>
      <c r="V150" s="309" t="s">
        <v>380</v>
      </c>
      <c r="W150" s="134" t="s">
        <v>132</v>
      </c>
      <c r="X150" s="309" t="s">
        <v>381</v>
      </c>
      <c r="Y150" s="168"/>
      <c r="Z150" s="183"/>
    </row>
    <row r="151" spans="1:26" s="171" customFormat="1" ht="56.15" customHeight="1">
      <c r="A151" s="299"/>
      <c r="B151" s="299"/>
      <c r="C151" s="301"/>
      <c r="D151" s="304"/>
      <c r="F151" s="47" t="s">
        <v>124</v>
      </c>
      <c r="G151" s="49">
        <v>8.7134104833219883</v>
      </c>
      <c r="H151" s="176"/>
      <c r="I151" s="310"/>
      <c r="J151" s="101"/>
      <c r="K151" s="310"/>
      <c r="L151" s="169"/>
      <c r="M151" s="169"/>
      <c r="O151" s="47" t="s">
        <v>124</v>
      </c>
      <c r="P151" s="169"/>
      <c r="Q151" s="121"/>
      <c r="R151" s="310"/>
      <c r="T151" s="47" t="s">
        <v>124</v>
      </c>
      <c r="U151" s="97"/>
      <c r="V151" s="310"/>
      <c r="W151" s="169"/>
      <c r="X151" s="310"/>
      <c r="Y151" s="169"/>
    </row>
    <row r="152" spans="1:26" ht="82" customHeight="1">
      <c r="A152" s="299"/>
      <c r="B152" s="299"/>
      <c r="C152" s="302"/>
      <c r="D152" s="305"/>
      <c r="E152" s="25"/>
      <c r="F152" s="55" t="s">
        <v>125</v>
      </c>
      <c r="G152" s="56">
        <v>2.4651263904404717</v>
      </c>
      <c r="H152" s="129"/>
      <c r="I152" s="311"/>
      <c r="J152" s="99"/>
      <c r="K152" s="311"/>
      <c r="L152" s="170"/>
      <c r="M152" s="170"/>
      <c r="N152" s="25"/>
      <c r="O152" s="55" t="s">
        <v>125</v>
      </c>
      <c r="P152" s="186"/>
      <c r="Q152" s="58"/>
      <c r="R152" s="311"/>
      <c r="S152" s="25"/>
      <c r="T152" s="55" t="s">
        <v>125</v>
      </c>
      <c r="U152" s="56"/>
      <c r="V152" s="311"/>
      <c r="W152" s="170"/>
      <c r="X152" s="311"/>
      <c r="Y152" s="170"/>
      <c r="Z152" s="22"/>
    </row>
    <row r="153" spans="1:26" s="171" customFormat="1" ht="109" customHeight="1">
      <c r="A153" s="299">
        <v>0</v>
      </c>
      <c r="B153" s="299" t="s">
        <v>382</v>
      </c>
      <c r="C153" s="300" t="s">
        <v>78</v>
      </c>
      <c r="D153" s="303" t="s">
        <v>126</v>
      </c>
      <c r="E153" s="183"/>
      <c r="F153" s="61" t="s">
        <v>118</v>
      </c>
      <c r="G153" s="117">
        <v>353.14</v>
      </c>
      <c r="H153" s="117">
        <v>25.61</v>
      </c>
      <c r="I153" s="309" t="s">
        <v>383</v>
      </c>
      <c r="J153" s="117">
        <v>327.52999999999997</v>
      </c>
      <c r="K153" s="309" t="s">
        <v>384</v>
      </c>
      <c r="L153" s="168"/>
      <c r="M153" s="168"/>
      <c r="N153" s="183"/>
      <c r="O153" s="61" t="s">
        <v>118</v>
      </c>
      <c r="P153" s="133"/>
      <c r="Q153" s="106"/>
      <c r="R153" s="309"/>
      <c r="S153" s="183"/>
      <c r="T153" s="61" t="s">
        <v>118</v>
      </c>
      <c r="U153" s="95"/>
      <c r="V153" s="168"/>
      <c r="W153" s="168"/>
      <c r="X153" s="168"/>
      <c r="Y153" s="168"/>
      <c r="Z153" s="183"/>
    </row>
    <row r="154" spans="1:26" s="36" customFormat="1" ht="162" customHeight="1">
      <c r="A154" s="299"/>
      <c r="B154" s="299"/>
      <c r="C154" s="301"/>
      <c r="D154" s="304"/>
      <c r="E154" s="171"/>
      <c r="F154" s="47" t="s">
        <v>124</v>
      </c>
      <c r="G154" s="49">
        <v>4.190589929218528</v>
      </c>
      <c r="H154" s="49">
        <v>0.30390498976974151</v>
      </c>
      <c r="I154" s="310"/>
      <c r="J154" s="49">
        <v>3.8866849394487866</v>
      </c>
      <c r="K154" s="310"/>
      <c r="L154" s="169"/>
      <c r="M154" s="169"/>
      <c r="N154" s="171"/>
      <c r="O154" s="47" t="s">
        <v>124</v>
      </c>
      <c r="P154" s="116"/>
      <c r="Q154" s="68"/>
      <c r="R154" s="310"/>
      <c r="S154" s="171"/>
      <c r="T154" s="47" t="s">
        <v>124</v>
      </c>
      <c r="U154" s="97"/>
      <c r="V154" s="169"/>
      <c r="W154" s="169"/>
      <c r="X154" s="169"/>
      <c r="Y154" s="169"/>
      <c r="Z154" s="171"/>
    </row>
    <row r="155" spans="1:26" ht="163" customHeight="1">
      <c r="A155" s="299"/>
      <c r="B155" s="299"/>
      <c r="C155" s="302"/>
      <c r="D155" s="305"/>
      <c r="E155" s="25"/>
      <c r="F155" s="55" t="s">
        <v>125</v>
      </c>
      <c r="G155" s="56">
        <v>1.2725932342664057</v>
      </c>
      <c r="H155" s="56">
        <v>9.2289496317501982E-2</v>
      </c>
      <c r="I155" s="311"/>
      <c r="J155" s="56">
        <v>1.1803037379489036</v>
      </c>
      <c r="K155" s="311"/>
      <c r="L155" s="170"/>
      <c r="M155" s="170"/>
      <c r="N155" s="25"/>
      <c r="O155" s="55" t="s">
        <v>125</v>
      </c>
      <c r="P155" s="69"/>
      <c r="Q155" s="58"/>
      <c r="R155" s="311"/>
      <c r="S155" s="25"/>
      <c r="T155" s="55" t="s">
        <v>125</v>
      </c>
      <c r="U155" s="56"/>
      <c r="V155" s="170"/>
      <c r="W155" s="170"/>
      <c r="X155" s="170"/>
      <c r="Y155" s="169"/>
    </row>
    <row r="156" spans="1:26" ht="68.150000000000006" customHeight="1">
      <c r="A156" s="299">
        <v>0</v>
      </c>
      <c r="B156" s="299" t="s">
        <v>382</v>
      </c>
      <c r="C156" s="301" t="s">
        <v>79</v>
      </c>
      <c r="D156" s="304" t="s">
        <v>126</v>
      </c>
      <c r="E156" s="28"/>
      <c r="F156" s="47" t="s">
        <v>118</v>
      </c>
      <c r="G156" s="51">
        <v>52</v>
      </c>
      <c r="H156" s="48">
        <v>16</v>
      </c>
      <c r="I156" s="309" t="s">
        <v>385</v>
      </c>
      <c r="J156" s="48">
        <v>35</v>
      </c>
      <c r="K156" s="309" t="s">
        <v>386</v>
      </c>
      <c r="L156" s="169"/>
      <c r="M156" s="169"/>
      <c r="N156" s="28"/>
      <c r="O156" s="61" t="s">
        <v>118</v>
      </c>
      <c r="P156" s="63">
        <v>21</v>
      </c>
      <c r="Q156" s="72">
        <v>21</v>
      </c>
      <c r="R156" s="309" t="s">
        <v>387</v>
      </c>
      <c r="S156" s="28"/>
      <c r="T156" s="61" t="s">
        <v>118</v>
      </c>
      <c r="U156" s="49"/>
      <c r="V156" s="169"/>
      <c r="W156" s="169"/>
      <c r="X156" s="169"/>
      <c r="Y156" s="169"/>
    </row>
    <row r="157" spans="1:26" ht="68.150000000000006" customHeight="1">
      <c r="A157" s="299"/>
      <c r="B157" s="299"/>
      <c r="C157" s="301"/>
      <c r="D157" s="304"/>
      <c r="E157" s="28"/>
      <c r="F157" s="47" t="s">
        <v>124</v>
      </c>
      <c r="G157" s="49">
        <v>1.4882547168188784</v>
      </c>
      <c r="H157" s="49">
        <v>0.45792452825196261</v>
      </c>
      <c r="I157" s="310"/>
      <c r="J157" s="49">
        <v>1.0017099055511682</v>
      </c>
      <c r="K157" s="310"/>
      <c r="L157" s="49"/>
      <c r="M157" s="169"/>
      <c r="N157" s="28"/>
      <c r="O157" s="47" t="s">
        <v>124</v>
      </c>
      <c r="P157" s="116">
        <v>0.60102594333070092</v>
      </c>
      <c r="Q157" s="68">
        <v>0.60102594333070092</v>
      </c>
      <c r="R157" s="310"/>
      <c r="S157" s="28"/>
      <c r="T157" s="47" t="s">
        <v>124</v>
      </c>
      <c r="U157" s="49"/>
      <c r="V157" s="169"/>
      <c r="W157" s="169"/>
      <c r="X157" s="169"/>
      <c r="Y157" s="169"/>
    </row>
    <row r="158" spans="1:26" ht="31" customHeight="1">
      <c r="A158" s="299"/>
      <c r="B158" s="299"/>
      <c r="C158" s="302"/>
      <c r="D158" s="305"/>
      <c r="E158" s="25"/>
      <c r="F158" s="55" t="s">
        <v>125</v>
      </c>
      <c r="G158" s="56">
        <v>1.5410379122087119</v>
      </c>
      <c r="H158" s="56">
        <v>0.4741655114488344</v>
      </c>
      <c r="I158" s="311"/>
      <c r="J158" s="56">
        <v>1.0372370562943254</v>
      </c>
      <c r="K158" s="311"/>
      <c r="L158" s="56"/>
      <c r="M158" s="170"/>
      <c r="N158" s="25"/>
      <c r="O158" s="55" t="s">
        <v>125</v>
      </c>
      <c r="P158" s="69">
        <v>0.62234223377659526</v>
      </c>
      <c r="Q158" s="58">
        <v>0.62234223377659526</v>
      </c>
      <c r="R158" s="311"/>
      <c r="S158" s="25"/>
      <c r="T158" s="55" t="s">
        <v>125</v>
      </c>
      <c r="U158" s="56"/>
      <c r="V158" s="170"/>
      <c r="W158" s="170"/>
      <c r="X158" s="170"/>
      <c r="Y158" s="169"/>
    </row>
    <row r="159" spans="1:26" ht="63" customHeight="1">
      <c r="A159" s="299">
        <v>0</v>
      </c>
      <c r="B159" s="299" t="s">
        <v>382</v>
      </c>
      <c r="C159" s="301" t="s">
        <v>80</v>
      </c>
      <c r="D159" s="304" t="s">
        <v>126</v>
      </c>
      <c r="E159" s="28"/>
      <c r="F159" s="47" t="s">
        <v>118</v>
      </c>
      <c r="G159" s="49">
        <v>11.2</v>
      </c>
      <c r="H159" s="97">
        <v>0.57199999999999995</v>
      </c>
      <c r="I159" s="309" t="s">
        <v>388</v>
      </c>
      <c r="J159" s="49">
        <v>10.628</v>
      </c>
      <c r="K159" s="309" t="s">
        <v>389</v>
      </c>
      <c r="L159" s="169" t="s">
        <v>132</v>
      </c>
      <c r="M159" s="309" t="s">
        <v>390</v>
      </c>
      <c r="N159" s="28"/>
      <c r="O159" s="61" t="s">
        <v>118</v>
      </c>
      <c r="P159" s="133">
        <v>1.2</v>
      </c>
      <c r="Q159" s="135">
        <v>1.2</v>
      </c>
      <c r="R159" s="318" t="s">
        <v>391</v>
      </c>
      <c r="S159" s="28"/>
      <c r="T159" s="61" t="s">
        <v>118</v>
      </c>
      <c r="U159" s="49"/>
      <c r="V159" s="169"/>
      <c r="W159" s="169"/>
      <c r="X159" s="169"/>
      <c r="Y159" s="169"/>
    </row>
    <row r="160" spans="1:26" ht="38.15" customHeight="1">
      <c r="A160" s="299"/>
      <c r="B160" s="299"/>
      <c r="C160" s="301"/>
      <c r="D160" s="304"/>
      <c r="E160" s="28"/>
      <c r="F160" s="47" t="s">
        <v>124</v>
      </c>
      <c r="G160" s="49">
        <v>1.9415775419650416</v>
      </c>
      <c r="H160" s="49">
        <v>9.9159138750357478E-2</v>
      </c>
      <c r="I160" s="310"/>
      <c r="J160" s="49">
        <v>1.8424184032146842</v>
      </c>
      <c r="K160" s="310"/>
      <c r="L160" s="49"/>
      <c r="M160" s="310"/>
      <c r="N160" s="28"/>
      <c r="O160" s="47" t="s">
        <v>124</v>
      </c>
      <c r="P160" s="116">
        <v>0.20802616521054018</v>
      </c>
      <c r="Q160" s="49">
        <v>0.20802616521054018</v>
      </c>
      <c r="R160" s="307"/>
      <c r="S160" s="28"/>
      <c r="T160" s="47" t="s">
        <v>124</v>
      </c>
      <c r="U160" s="49"/>
      <c r="V160" s="169"/>
      <c r="W160" s="169"/>
      <c r="X160" s="169"/>
      <c r="Y160" s="169"/>
    </row>
    <row r="161" spans="1:26" ht="45" customHeight="1">
      <c r="A161" s="299"/>
      <c r="B161" s="299"/>
      <c r="C161" s="302"/>
      <c r="D161" s="305"/>
      <c r="E161" s="25"/>
      <c r="F161" s="55" t="s">
        <v>125</v>
      </c>
      <c r="G161" s="56">
        <v>2.8833694498395888</v>
      </c>
      <c r="H161" s="56">
        <v>0.14725779690252186</v>
      </c>
      <c r="I161" s="311"/>
      <c r="J161" s="56">
        <v>2.7361116529370668</v>
      </c>
      <c r="K161" s="311"/>
      <c r="L161" s="56"/>
      <c r="M161" s="311"/>
      <c r="N161" s="25"/>
      <c r="O161" s="55" t="s">
        <v>125</v>
      </c>
      <c r="P161" s="69">
        <v>0.30893244105424167</v>
      </c>
      <c r="Q161" s="56">
        <v>0.30893244105424167</v>
      </c>
      <c r="R161" s="308"/>
      <c r="S161" s="25"/>
      <c r="T161" s="55" t="s">
        <v>125</v>
      </c>
      <c r="U161" s="56"/>
      <c r="V161" s="170"/>
      <c r="W161" s="170"/>
      <c r="X161" s="170"/>
      <c r="Y161" s="169"/>
    </row>
    <row r="162" spans="1:26" ht="30.5">
      <c r="A162" s="299">
        <v>0</v>
      </c>
      <c r="B162" s="299" t="s">
        <v>382</v>
      </c>
      <c r="C162" s="300" t="s">
        <v>81</v>
      </c>
      <c r="D162" s="303" t="s">
        <v>126</v>
      </c>
      <c r="E162" s="60"/>
      <c r="F162" s="61" t="s">
        <v>118</v>
      </c>
      <c r="G162" s="62">
        <v>41.980000000000004</v>
      </c>
      <c r="H162" s="117">
        <v>35.06</v>
      </c>
      <c r="I162" s="323" t="s">
        <v>392</v>
      </c>
      <c r="J162" s="65">
        <v>6.92</v>
      </c>
      <c r="K162" s="318" t="s">
        <v>393</v>
      </c>
      <c r="L162" s="168"/>
      <c r="M162" s="168"/>
      <c r="N162" s="60"/>
      <c r="O162" s="61" t="s">
        <v>118</v>
      </c>
      <c r="P162" s="63">
        <v>15</v>
      </c>
      <c r="Q162" s="62">
        <v>15</v>
      </c>
      <c r="R162" s="309" t="s">
        <v>394</v>
      </c>
      <c r="S162" s="60"/>
      <c r="T162" s="61" t="s">
        <v>118</v>
      </c>
      <c r="U162" s="65"/>
      <c r="V162" s="168"/>
      <c r="W162" s="168"/>
      <c r="X162" s="168"/>
      <c r="Y162" s="169"/>
    </row>
    <row r="163" spans="1:26" ht="38">
      <c r="A163" s="299"/>
      <c r="B163" s="299"/>
      <c r="C163" s="301"/>
      <c r="D163" s="304"/>
      <c r="E163" s="28"/>
      <c r="F163" s="47" t="s">
        <v>124</v>
      </c>
      <c r="G163" s="49">
        <v>7.1752477144293628E-2</v>
      </c>
      <c r="H163" s="49">
        <v>5.9924770097163751E-2</v>
      </c>
      <c r="I163" s="343"/>
      <c r="J163" s="49">
        <v>1.1827707047129868E-2</v>
      </c>
      <c r="K163" s="310"/>
      <c r="L163" s="49"/>
      <c r="M163" s="169"/>
      <c r="N163" s="28"/>
      <c r="O163" s="47" t="s">
        <v>124</v>
      </c>
      <c r="P163" s="116">
        <v>2.5638093310252602E-2</v>
      </c>
      <c r="Q163" s="49">
        <v>2.5638093310252602E-2</v>
      </c>
      <c r="R163" s="310"/>
      <c r="S163" s="28"/>
      <c r="T163" s="47" t="s">
        <v>124</v>
      </c>
      <c r="U163" s="49"/>
      <c r="V163" s="169"/>
      <c r="W163" s="169"/>
      <c r="X163" s="169"/>
      <c r="Y163" s="169"/>
    </row>
    <row r="164" spans="1:26" ht="38">
      <c r="A164" s="299"/>
      <c r="B164" s="299"/>
      <c r="C164" s="302"/>
      <c r="D164" s="305"/>
      <c r="E164" s="25"/>
      <c r="F164" s="55" t="s">
        <v>125</v>
      </c>
      <c r="G164" s="56">
        <v>5.1553452632492336</v>
      </c>
      <c r="H164" s="56">
        <v>4.305536086934687</v>
      </c>
      <c r="I164" s="352"/>
      <c r="J164" s="56">
        <v>0.84980917631454733</v>
      </c>
      <c r="K164" s="311"/>
      <c r="L164" s="56"/>
      <c r="M164" s="170"/>
      <c r="N164" s="25"/>
      <c r="O164" s="55" t="s">
        <v>125</v>
      </c>
      <c r="P164" s="69">
        <v>1.8420719139766197</v>
      </c>
      <c r="Q164" s="56">
        <v>1.8420719139766197</v>
      </c>
      <c r="R164" s="311"/>
      <c r="S164" s="25"/>
      <c r="T164" s="55" t="s">
        <v>125</v>
      </c>
      <c r="U164" s="56"/>
      <c r="V164" s="170"/>
      <c r="W164" s="170"/>
      <c r="X164" s="170"/>
      <c r="Y164" s="169"/>
    </row>
    <row r="165" spans="1:26" s="183" customFormat="1" ht="44.15" customHeight="1">
      <c r="A165" s="299">
        <v>0</v>
      </c>
      <c r="B165" s="299" t="s">
        <v>382</v>
      </c>
      <c r="C165" s="300" t="s">
        <v>82</v>
      </c>
      <c r="D165" s="303" t="s">
        <v>126</v>
      </c>
      <c r="E165" s="136"/>
      <c r="F165" s="61" t="s">
        <v>118</v>
      </c>
      <c r="G165" s="73">
        <v>13.6</v>
      </c>
      <c r="H165" s="74">
        <v>5.6</v>
      </c>
      <c r="I165" s="315" t="s">
        <v>395</v>
      </c>
      <c r="J165" s="95">
        <v>8</v>
      </c>
      <c r="K165" s="309" t="s">
        <v>396</v>
      </c>
      <c r="L165" s="168"/>
      <c r="M165" s="309" t="s">
        <v>397</v>
      </c>
      <c r="N165" s="136"/>
      <c r="O165" s="61" t="s">
        <v>118</v>
      </c>
      <c r="P165" s="63">
        <v>12.475</v>
      </c>
      <c r="Q165" s="96"/>
      <c r="R165" s="168"/>
      <c r="S165" s="136"/>
      <c r="T165" s="61" t="s">
        <v>118</v>
      </c>
      <c r="U165" s="95">
        <v>6.875</v>
      </c>
      <c r="V165" s="309" t="s">
        <v>398</v>
      </c>
      <c r="W165" s="74">
        <v>5.6</v>
      </c>
      <c r="X165" s="309" t="s">
        <v>399</v>
      </c>
      <c r="Y165" s="168"/>
      <c r="Z165" s="30"/>
    </row>
    <row r="166" spans="1:26" ht="44.15" customHeight="1">
      <c r="A166" s="299"/>
      <c r="B166" s="299"/>
      <c r="C166" s="301"/>
      <c r="D166" s="304"/>
      <c r="E166" s="28"/>
      <c r="F166" s="47" t="s">
        <v>124</v>
      </c>
      <c r="G166" s="49">
        <v>0.54491588362042265</v>
      </c>
      <c r="H166" s="49">
        <v>0.22437712854958577</v>
      </c>
      <c r="I166" s="316"/>
      <c r="J166" s="49">
        <v>0.32053875507083684</v>
      </c>
      <c r="K166" s="310"/>
      <c r="L166" s="169"/>
      <c r="M166" s="310"/>
      <c r="N166" s="28"/>
      <c r="O166" s="47" t="s">
        <v>124</v>
      </c>
      <c r="P166" s="116">
        <v>0.49984012118858623</v>
      </c>
      <c r="Q166" s="68"/>
      <c r="R166" s="169"/>
      <c r="S166" s="28"/>
      <c r="T166" s="47" t="s">
        <v>124</v>
      </c>
      <c r="U166" s="49">
        <v>0.27546299263900043</v>
      </c>
      <c r="V166" s="310"/>
      <c r="W166" s="49">
        <v>0.22437712854958577</v>
      </c>
      <c r="X166" s="310"/>
      <c r="Y166" s="169"/>
    </row>
    <row r="167" spans="1:26" ht="44.15" customHeight="1">
      <c r="A167" s="299"/>
      <c r="B167" s="299"/>
      <c r="C167" s="302"/>
      <c r="D167" s="305"/>
      <c r="E167" s="25"/>
      <c r="F167" s="55" t="s">
        <v>125</v>
      </c>
      <c r="G167" s="56">
        <v>2.2719587745556735</v>
      </c>
      <c r="H167" s="56">
        <v>0.93551243658174776</v>
      </c>
      <c r="I167" s="317"/>
      <c r="J167" s="56">
        <v>1.3364463379739255</v>
      </c>
      <c r="K167" s="311"/>
      <c r="L167" s="170"/>
      <c r="M167" s="311"/>
      <c r="N167" s="25"/>
      <c r="O167" s="55" t="s">
        <v>125</v>
      </c>
      <c r="P167" s="69">
        <v>2.0840210082780901</v>
      </c>
      <c r="Q167" s="58"/>
      <c r="R167" s="170"/>
      <c r="S167" s="25"/>
      <c r="T167" s="55" t="s">
        <v>125</v>
      </c>
      <c r="U167" s="56">
        <v>1.1485085716963424</v>
      </c>
      <c r="V167" s="311"/>
      <c r="W167" s="56">
        <v>0.93551243658174776</v>
      </c>
      <c r="X167" s="311"/>
      <c r="Y167" s="170"/>
      <c r="Z167" s="22"/>
    </row>
    <row r="168" spans="1:26" ht="70" customHeight="1">
      <c r="A168" s="299">
        <v>0</v>
      </c>
      <c r="B168" s="299" t="s">
        <v>382</v>
      </c>
      <c r="C168" s="301" t="s">
        <v>83</v>
      </c>
      <c r="D168" s="304" t="s">
        <v>126</v>
      </c>
      <c r="E168" s="28"/>
      <c r="F168" s="61" t="s">
        <v>118</v>
      </c>
      <c r="G168" s="51">
        <v>249.6</v>
      </c>
      <c r="H168" s="49">
        <v>7.6</v>
      </c>
      <c r="I168" s="309" t="s">
        <v>400</v>
      </c>
      <c r="J168" s="48">
        <v>242</v>
      </c>
      <c r="K168" s="309" t="s">
        <v>401</v>
      </c>
      <c r="L168" s="101">
        <v>33</v>
      </c>
      <c r="M168" s="309" t="s">
        <v>402</v>
      </c>
      <c r="N168" s="28"/>
      <c r="O168" s="61" t="s">
        <v>118</v>
      </c>
      <c r="P168" s="133"/>
      <c r="Q168" s="59"/>
      <c r="R168" s="169"/>
      <c r="S168" s="28"/>
      <c r="T168" s="61" t="s">
        <v>118</v>
      </c>
      <c r="U168" s="49"/>
      <c r="V168" s="169"/>
      <c r="W168" s="169"/>
      <c r="X168" s="169"/>
      <c r="Y168" s="169"/>
    </row>
    <row r="169" spans="1:26" ht="70" customHeight="1">
      <c r="A169" s="299"/>
      <c r="B169" s="299"/>
      <c r="C169" s="301"/>
      <c r="D169" s="304"/>
      <c r="E169" s="28"/>
      <c r="F169" s="47" t="s">
        <v>124</v>
      </c>
      <c r="G169" s="49">
        <v>2.3722022651366337</v>
      </c>
      <c r="H169" s="49">
        <v>7.223051768845519E-2</v>
      </c>
      <c r="I169" s="310"/>
      <c r="J169" s="49">
        <v>2.2999717474481787</v>
      </c>
      <c r="K169" s="310"/>
      <c r="L169" s="49">
        <v>0.3136325110156607</v>
      </c>
      <c r="M169" s="310"/>
      <c r="N169" s="28"/>
      <c r="O169" s="47" t="s">
        <v>124</v>
      </c>
      <c r="P169" s="116"/>
      <c r="Q169" s="49"/>
      <c r="R169" s="169"/>
      <c r="S169" s="28"/>
      <c r="T169" s="47" t="s">
        <v>124</v>
      </c>
      <c r="U169" s="49"/>
      <c r="V169" s="169"/>
      <c r="W169" s="169"/>
      <c r="X169" s="169"/>
      <c r="Y169" s="169"/>
    </row>
    <row r="170" spans="1:26" ht="70" customHeight="1">
      <c r="A170" s="299"/>
      <c r="B170" s="299"/>
      <c r="C170" s="302"/>
      <c r="D170" s="305"/>
      <c r="E170" s="25"/>
      <c r="F170" s="55" t="s">
        <v>125</v>
      </c>
      <c r="G170" s="56">
        <v>2.3882593762032762</v>
      </c>
      <c r="H170" s="56">
        <v>7.2719436134394619E-2</v>
      </c>
      <c r="I170" s="311"/>
      <c r="J170" s="56">
        <v>2.3155399400688812</v>
      </c>
      <c r="K170" s="311"/>
      <c r="L170" s="56">
        <v>0.31575544637302927</v>
      </c>
      <c r="M170" s="311"/>
      <c r="N170" s="28"/>
      <c r="O170" s="55" t="s">
        <v>125</v>
      </c>
      <c r="P170" s="69"/>
      <c r="Q170" s="56"/>
      <c r="R170" s="170"/>
      <c r="S170" s="25"/>
      <c r="T170" s="55" t="s">
        <v>125</v>
      </c>
      <c r="U170" s="56"/>
      <c r="V170" s="170"/>
      <c r="W170" s="170"/>
      <c r="X170" s="170"/>
      <c r="Y170" s="169"/>
    </row>
    <row r="171" spans="1:26" ht="94" customHeight="1">
      <c r="A171" s="299">
        <v>0</v>
      </c>
      <c r="B171" s="299" t="s">
        <v>382</v>
      </c>
      <c r="C171" s="300" t="s">
        <v>84</v>
      </c>
      <c r="D171" s="303" t="s">
        <v>214</v>
      </c>
      <c r="E171" s="28"/>
      <c r="F171" s="61" t="s">
        <v>118</v>
      </c>
      <c r="G171" s="51">
        <v>992</v>
      </c>
      <c r="H171" s="51">
        <v>185</v>
      </c>
      <c r="I171" s="350" t="s">
        <v>403</v>
      </c>
      <c r="J171" s="51">
        <v>807</v>
      </c>
      <c r="K171" s="309" t="s">
        <v>404</v>
      </c>
      <c r="L171" s="49"/>
      <c r="M171" s="169"/>
      <c r="N171" s="28"/>
      <c r="O171" s="61" t="s">
        <v>118</v>
      </c>
      <c r="P171" s="137">
        <v>300</v>
      </c>
      <c r="Q171" s="51">
        <v>300</v>
      </c>
      <c r="R171" s="309" t="s">
        <v>405</v>
      </c>
      <c r="S171" s="28"/>
      <c r="T171" s="61" t="s">
        <v>118</v>
      </c>
      <c r="U171" s="49"/>
      <c r="V171" s="169"/>
      <c r="W171" s="169"/>
      <c r="X171" s="169"/>
      <c r="Y171" s="169"/>
    </row>
    <row r="172" spans="1:26" ht="70" customHeight="1">
      <c r="A172" s="299"/>
      <c r="B172" s="299"/>
      <c r="C172" s="301"/>
      <c r="D172" s="304"/>
      <c r="E172" s="28"/>
      <c r="F172" s="47" t="s">
        <v>124</v>
      </c>
      <c r="G172" s="49">
        <v>0.61729948814161151</v>
      </c>
      <c r="H172" s="49">
        <v>0.11512137631673199</v>
      </c>
      <c r="I172" s="310"/>
      <c r="J172" s="49">
        <v>0.50217811182487959</v>
      </c>
      <c r="K172" s="310"/>
      <c r="L172" s="49"/>
      <c r="M172" s="169"/>
      <c r="N172" s="28"/>
      <c r="O172" s="47" t="s">
        <v>124</v>
      </c>
      <c r="P172" s="138">
        <v>0.18668331294605187</v>
      </c>
      <c r="Q172" s="49">
        <v>0.18668331294605187</v>
      </c>
      <c r="R172" s="310"/>
      <c r="S172" s="28"/>
      <c r="T172" s="47" t="s">
        <v>124</v>
      </c>
      <c r="U172" s="49"/>
      <c r="V172" s="169"/>
      <c r="W172" s="169"/>
      <c r="X172" s="169"/>
      <c r="Y172" s="169"/>
    </row>
    <row r="173" spans="1:26" ht="74.150000000000006" customHeight="1">
      <c r="A173" s="299"/>
      <c r="B173" s="299"/>
      <c r="C173" s="302"/>
      <c r="D173" s="305"/>
      <c r="E173" s="25"/>
      <c r="F173" s="55" t="s">
        <v>125</v>
      </c>
      <c r="G173" s="56">
        <v>0.87078610626834652</v>
      </c>
      <c r="H173" s="56">
        <v>0.16239458635044768</v>
      </c>
      <c r="I173" s="311"/>
      <c r="J173" s="56">
        <v>0.70839151991789884</v>
      </c>
      <c r="K173" s="311"/>
      <c r="L173" s="56"/>
      <c r="M173" s="170"/>
      <c r="N173" s="25"/>
      <c r="O173" s="55" t="s">
        <v>125</v>
      </c>
      <c r="P173" s="69">
        <v>0.26334257246018544</v>
      </c>
      <c r="Q173" s="56">
        <v>0.26334257246018544</v>
      </c>
      <c r="R173" s="311"/>
      <c r="S173" s="25"/>
      <c r="T173" s="55" t="s">
        <v>125</v>
      </c>
      <c r="U173" s="56"/>
      <c r="V173" s="170"/>
      <c r="W173" s="170"/>
      <c r="X173" s="170"/>
      <c r="Y173" s="169"/>
    </row>
    <row r="174" spans="1:26" ht="57.65" customHeight="1">
      <c r="A174" s="299">
        <v>0</v>
      </c>
      <c r="B174" s="299" t="s">
        <v>382</v>
      </c>
      <c r="C174" s="300" t="s">
        <v>85</v>
      </c>
      <c r="D174" s="303" t="s">
        <v>117</v>
      </c>
      <c r="E174" s="60"/>
      <c r="F174" s="61" t="s">
        <v>118</v>
      </c>
      <c r="G174" s="62">
        <v>67.5</v>
      </c>
      <c r="H174" s="62">
        <v>49.6</v>
      </c>
      <c r="I174" s="353" t="s">
        <v>406</v>
      </c>
      <c r="J174" s="62">
        <v>17.899999999999999</v>
      </c>
      <c r="K174" s="309" t="s">
        <v>407</v>
      </c>
      <c r="L174" s="65"/>
      <c r="M174" s="168"/>
      <c r="N174" s="60"/>
      <c r="O174" s="61" t="s">
        <v>118</v>
      </c>
      <c r="P174" s="137">
        <v>50.5</v>
      </c>
      <c r="Q174" s="62">
        <v>50.5</v>
      </c>
      <c r="R174" s="309" t="s">
        <v>408</v>
      </c>
      <c r="S174" s="60"/>
      <c r="T174" s="61" t="s">
        <v>118</v>
      </c>
      <c r="U174" s="65"/>
      <c r="V174" s="168"/>
      <c r="W174" s="168"/>
      <c r="X174" s="168"/>
      <c r="Y174" s="169"/>
    </row>
    <row r="175" spans="1:26" ht="49" customHeight="1">
      <c r="A175" s="299"/>
      <c r="B175" s="299"/>
      <c r="C175" s="301"/>
      <c r="D175" s="304"/>
      <c r="E175" s="28"/>
      <c r="F175" s="47" t="s">
        <v>124</v>
      </c>
      <c r="G175" s="49">
        <v>0.58887041808961993</v>
      </c>
      <c r="H175" s="49">
        <v>0.43271070721844668</v>
      </c>
      <c r="I175" s="354"/>
      <c r="J175" s="49">
        <v>0.15615971087117328</v>
      </c>
      <c r="K175" s="310"/>
      <c r="L175" s="49"/>
      <c r="M175" s="169"/>
      <c r="N175" s="28"/>
      <c r="O175" s="47" t="s">
        <v>124</v>
      </c>
      <c r="P175" s="138">
        <v>0.44056231279297492</v>
      </c>
      <c r="Q175" s="49">
        <v>0.44056231279297492</v>
      </c>
      <c r="R175" s="310"/>
      <c r="S175" s="28"/>
      <c r="T175" s="47" t="s">
        <v>124</v>
      </c>
      <c r="U175" s="49"/>
      <c r="V175" s="169"/>
      <c r="W175" s="169"/>
      <c r="X175" s="169"/>
      <c r="Y175" s="169"/>
    </row>
    <row r="176" spans="1:26" ht="83.15" customHeight="1">
      <c r="A176" s="299"/>
      <c r="B176" s="299"/>
      <c r="C176" s="302"/>
      <c r="D176" s="305"/>
      <c r="E176" s="25"/>
      <c r="F176" s="55" t="s">
        <v>125</v>
      </c>
      <c r="G176" s="56">
        <v>1.8311737233930707</v>
      </c>
      <c r="H176" s="56">
        <v>1.345573580448834</v>
      </c>
      <c r="I176" s="355"/>
      <c r="J176" s="56">
        <v>0.48560014294423642</v>
      </c>
      <c r="K176" s="311"/>
      <c r="L176" s="56"/>
      <c r="M176" s="170"/>
      <c r="N176" s="25"/>
      <c r="O176" s="55" t="s">
        <v>125</v>
      </c>
      <c r="P176" s="69">
        <v>1.369989230094075</v>
      </c>
      <c r="Q176" s="56">
        <v>1.369989230094075</v>
      </c>
      <c r="R176" s="311"/>
      <c r="S176" s="25"/>
      <c r="T176" s="55" t="s">
        <v>125</v>
      </c>
      <c r="U176" s="56"/>
      <c r="V176" s="170"/>
      <c r="W176" s="170"/>
      <c r="X176" s="170"/>
      <c r="Y176" s="169"/>
    </row>
    <row r="177" spans="1:26" ht="95.15" customHeight="1">
      <c r="A177" s="299">
        <v>0</v>
      </c>
      <c r="B177" s="299" t="s">
        <v>382</v>
      </c>
      <c r="C177" s="300" t="s">
        <v>86</v>
      </c>
      <c r="D177" s="303" t="s">
        <v>126</v>
      </c>
      <c r="E177" s="60"/>
      <c r="F177" s="61" t="s">
        <v>118</v>
      </c>
      <c r="G177" s="62">
        <v>58.49</v>
      </c>
      <c r="H177" s="62">
        <v>25.75</v>
      </c>
      <c r="I177" s="356" t="s">
        <v>409</v>
      </c>
      <c r="J177" s="62">
        <v>32.74</v>
      </c>
      <c r="K177" s="351" t="s">
        <v>410</v>
      </c>
      <c r="L177" s="65"/>
      <c r="M177" s="168"/>
      <c r="N177" s="60"/>
      <c r="O177" s="61" t="s">
        <v>118</v>
      </c>
      <c r="P177" s="139">
        <v>100</v>
      </c>
      <c r="Q177" s="62">
        <v>50</v>
      </c>
      <c r="R177" s="309" t="s">
        <v>411</v>
      </c>
      <c r="S177" s="60"/>
      <c r="T177" s="61" t="s">
        <v>118</v>
      </c>
      <c r="U177" s="62">
        <v>50</v>
      </c>
      <c r="V177" s="309" t="s">
        <v>412</v>
      </c>
      <c r="W177" s="168"/>
      <c r="X177" s="168"/>
      <c r="Y177" s="169"/>
    </row>
    <row r="178" spans="1:26" ht="95.15" customHeight="1">
      <c r="A178" s="299"/>
      <c r="B178" s="299"/>
      <c r="C178" s="301"/>
      <c r="D178" s="304"/>
      <c r="E178" s="28"/>
      <c r="F178" s="47" t="s">
        <v>124</v>
      </c>
      <c r="G178" s="49">
        <v>9.7444581680680042E-2</v>
      </c>
      <c r="H178" s="49">
        <v>4.289960639900002E-2</v>
      </c>
      <c r="I178" s="354"/>
      <c r="J178" s="49">
        <v>5.4544975281680022E-2</v>
      </c>
      <c r="K178" s="310"/>
      <c r="L178" s="49"/>
      <c r="M178" s="169"/>
      <c r="N178" s="28"/>
      <c r="O178" s="47" t="s">
        <v>124</v>
      </c>
      <c r="P178" s="138">
        <v>0.16660041320000007</v>
      </c>
      <c r="Q178" s="49">
        <v>8.3300206600000037E-2</v>
      </c>
      <c r="R178" s="310"/>
      <c r="S178" s="28"/>
      <c r="T178" s="47" t="s">
        <v>124</v>
      </c>
      <c r="U178" s="49">
        <v>8.3300206600000037E-2</v>
      </c>
      <c r="V178" s="310"/>
      <c r="W178" s="169"/>
      <c r="X178" s="169"/>
      <c r="Y178" s="169"/>
    </row>
    <row r="179" spans="1:26" ht="95.15" customHeight="1">
      <c r="A179" s="299"/>
      <c r="B179" s="299"/>
      <c r="C179" s="302"/>
      <c r="D179" s="305"/>
      <c r="E179" s="25"/>
      <c r="F179" s="55" t="s">
        <v>125</v>
      </c>
      <c r="G179" s="56">
        <v>0.75126848355144216</v>
      </c>
      <c r="H179" s="56">
        <v>0.33074309200631963</v>
      </c>
      <c r="I179" s="355"/>
      <c r="J179" s="56">
        <v>0.42052539154512253</v>
      </c>
      <c r="K179" s="311"/>
      <c r="L179" s="56"/>
      <c r="M179" s="170"/>
      <c r="N179" s="25"/>
      <c r="O179" s="55" t="s">
        <v>125</v>
      </c>
      <c r="P179" s="69">
        <v>1.284439192257552</v>
      </c>
      <c r="Q179" s="56">
        <v>0.64221959612877599</v>
      </c>
      <c r="R179" s="311"/>
      <c r="S179" s="25"/>
      <c r="T179" s="55" t="s">
        <v>125</v>
      </c>
      <c r="U179" s="56">
        <v>0.64221959612877599</v>
      </c>
      <c r="V179" s="311"/>
      <c r="W179" s="170"/>
      <c r="X179" s="170"/>
      <c r="Y179" s="169"/>
    </row>
    <row r="180" spans="1:26" s="171" customFormat="1" ht="72" customHeight="1">
      <c r="A180" s="299">
        <v>0</v>
      </c>
      <c r="B180" s="299" t="s">
        <v>382</v>
      </c>
      <c r="C180" s="301" t="s">
        <v>87</v>
      </c>
      <c r="D180" s="303" t="s">
        <v>117</v>
      </c>
      <c r="F180" s="47" t="s">
        <v>118</v>
      </c>
      <c r="G180" s="140">
        <v>2300</v>
      </c>
      <c r="H180" s="101">
        <v>500</v>
      </c>
      <c r="I180" s="310" t="s">
        <v>413</v>
      </c>
      <c r="J180" s="105">
        <v>1800</v>
      </c>
      <c r="K180" s="310" t="s">
        <v>414</v>
      </c>
      <c r="L180" s="169"/>
      <c r="M180" s="169"/>
      <c r="O180" s="47" t="s">
        <v>118</v>
      </c>
      <c r="P180" s="169"/>
      <c r="Q180" s="121"/>
      <c r="R180" s="169"/>
      <c r="T180" s="47" t="s">
        <v>118</v>
      </c>
      <c r="U180" s="97"/>
      <c r="V180" s="169"/>
      <c r="W180" s="169"/>
      <c r="X180" s="169"/>
      <c r="Y180" s="168"/>
      <c r="Z180" s="183"/>
    </row>
    <row r="181" spans="1:26" s="36" customFormat="1" ht="72" customHeight="1">
      <c r="A181" s="299"/>
      <c r="B181" s="299"/>
      <c r="C181" s="301"/>
      <c r="D181" s="304"/>
      <c r="E181" s="171"/>
      <c r="F181" s="47" t="s">
        <v>124</v>
      </c>
      <c r="G181" s="97">
        <v>6.4029694930982552</v>
      </c>
      <c r="H181" s="49">
        <v>1.3919498898039684</v>
      </c>
      <c r="I181" s="310"/>
      <c r="J181" s="97">
        <v>5.0110196032942866</v>
      </c>
      <c r="K181" s="310"/>
      <c r="L181" s="169"/>
      <c r="M181" s="169"/>
      <c r="N181" s="171"/>
      <c r="O181" s="47" t="s">
        <v>124</v>
      </c>
      <c r="P181" s="169"/>
      <c r="Q181" s="121"/>
      <c r="R181" s="169"/>
      <c r="S181" s="171"/>
      <c r="T181" s="47" t="s">
        <v>124</v>
      </c>
      <c r="U181" s="97"/>
      <c r="V181" s="169"/>
      <c r="W181" s="169"/>
      <c r="X181" s="169"/>
      <c r="Y181" s="169"/>
      <c r="Z181" s="171"/>
    </row>
    <row r="182" spans="1:26" ht="72" customHeight="1">
      <c r="A182" s="299"/>
      <c r="B182" s="299"/>
      <c r="C182" s="302"/>
      <c r="D182" s="305"/>
      <c r="E182" s="25"/>
      <c r="F182" s="55" t="s">
        <v>125</v>
      </c>
      <c r="G182" s="56">
        <v>1.4589170592426774</v>
      </c>
      <c r="H182" s="56">
        <v>0.31715588244406029</v>
      </c>
      <c r="I182" s="311"/>
      <c r="J182" s="56">
        <v>1.1417611767986171</v>
      </c>
      <c r="K182" s="311"/>
      <c r="L182" s="170"/>
      <c r="M182" s="170"/>
      <c r="N182" s="25"/>
      <c r="O182" s="55" t="s">
        <v>125</v>
      </c>
      <c r="P182" s="186"/>
      <c r="Q182" s="58"/>
      <c r="R182" s="186"/>
      <c r="S182" s="25"/>
      <c r="T182" s="55" t="s">
        <v>125</v>
      </c>
      <c r="U182" s="56"/>
      <c r="V182" s="170"/>
      <c r="W182" s="170"/>
      <c r="X182" s="170"/>
      <c r="Y182" s="170"/>
      <c r="Z182" s="22"/>
    </row>
    <row r="183" spans="1:26" ht="68.150000000000006" customHeight="1">
      <c r="A183" s="299">
        <v>0</v>
      </c>
      <c r="B183" s="299" t="s">
        <v>382</v>
      </c>
      <c r="C183" s="301" t="s">
        <v>88</v>
      </c>
      <c r="D183" s="304" t="s">
        <v>126</v>
      </c>
      <c r="E183" s="30"/>
      <c r="F183" s="61" t="s">
        <v>118</v>
      </c>
      <c r="G183" s="73">
        <v>443</v>
      </c>
      <c r="H183" s="73">
        <v>79</v>
      </c>
      <c r="I183" s="309" t="s">
        <v>415</v>
      </c>
      <c r="J183" s="74">
        <v>364</v>
      </c>
      <c r="K183" s="309" t="s">
        <v>416</v>
      </c>
      <c r="L183" s="74">
        <v>15</v>
      </c>
      <c r="M183" s="309" t="s">
        <v>417</v>
      </c>
      <c r="N183" s="30"/>
      <c r="O183" s="47" t="s">
        <v>118</v>
      </c>
      <c r="P183" s="73">
        <v>70</v>
      </c>
      <c r="Q183" s="110"/>
      <c r="R183" s="318"/>
      <c r="S183" s="30"/>
      <c r="T183" s="47" t="s">
        <v>118</v>
      </c>
      <c r="U183" s="73">
        <v>70</v>
      </c>
      <c r="V183" s="309" t="s">
        <v>418</v>
      </c>
      <c r="W183" s="168"/>
      <c r="X183" s="168"/>
      <c r="Y183" s="168"/>
      <c r="Z183" s="30"/>
    </row>
    <row r="184" spans="1:26" ht="64" customHeight="1">
      <c r="A184" s="299"/>
      <c r="B184" s="299"/>
      <c r="C184" s="301"/>
      <c r="D184" s="304"/>
      <c r="E184" s="36"/>
      <c r="F184" s="47" t="s">
        <v>124</v>
      </c>
      <c r="G184" s="49">
        <v>0.76872522470936455</v>
      </c>
      <c r="H184" s="49">
        <v>0.13708643962085734</v>
      </c>
      <c r="I184" s="310"/>
      <c r="J184" s="49">
        <v>0.63163878508850724</v>
      </c>
      <c r="K184" s="310"/>
      <c r="L184" s="49">
        <v>2.6029070814086838E-2</v>
      </c>
      <c r="M184" s="310"/>
      <c r="N184" s="36"/>
      <c r="O184" s="47" t="s">
        <v>124</v>
      </c>
      <c r="P184" s="68">
        <v>0.12146899713240523</v>
      </c>
      <c r="Q184" s="68"/>
      <c r="R184" s="307"/>
      <c r="S184" s="36"/>
      <c r="T184" s="47" t="s">
        <v>124</v>
      </c>
      <c r="U184" s="49">
        <v>0.12146899713240523</v>
      </c>
      <c r="V184" s="310"/>
      <c r="W184" s="169"/>
      <c r="X184" s="169"/>
      <c r="Y184" s="169"/>
      <c r="Z184" s="36"/>
    </row>
    <row r="185" spans="1:26" ht="64" customHeight="1">
      <c r="A185" s="299"/>
      <c r="B185" s="299"/>
      <c r="C185" s="302"/>
      <c r="D185" s="305"/>
      <c r="E185" s="25"/>
      <c r="F185" s="55" t="s">
        <v>125</v>
      </c>
      <c r="G185" s="56">
        <v>3.1628411514016226</v>
      </c>
      <c r="H185" s="56">
        <v>0.56402810600615849</v>
      </c>
      <c r="I185" s="311"/>
      <c r="J185" s="56">
        <v>2.5988130453954641</v>
      </c>
      <c r="K185" s="311"/>
      <c r="L185" s="56">
        <v>0.10709394417838451</v>
      </c>
      <c r="M185" s="311"/>
      <c r="N185" s="25"/>
      <c r="O185" s="55" t="s">
        <v>125</v>
      </c>
      <c r="P185" s="58">
        <v>0.49977173949912773</v>
      </c>
      <c r="Q185" s="58"/>
      <c r="R185" s="308"/>
      <c r="S185" s="25"/>
      <c r="T185" s="55" t="s">
        <v>125</v>
      </c>
      <c r="U185" s="56">
        <v>0.49977173949912773</v>
      </c>
      <c r="V185" s="311"/>
      <c r="W185" s="170"/>
      <c r="X185" s="170"/>
      <c r="Y185" s="170"/>
      <c r="Z185" s="22"/>
    </row>
    <row r="186" spans="1:26" ht="168" customHeight="1">
      <c r="A186" s="299">
        <v>0</v>
      </c>
      <c r="B186" s="299" t="s">
        <v>382</v>
      </c>
      <c r="C186" s="300" t="s">
        <v>89</v>
      </c>
      <c r="D186" s="303" t="s">
        <v>117</v>
      </c>
      <c r="E186" s="28"/>
      <c r="F186" s="61" t="s">
        <v>118</v>
      </c>
      <c r="G186" s="105">
        <v>22200</v>
      </c>
      <c r="H186" s="105">
        <v>4500</v>
      </c>
      <c r="I186" s="309" t="s">
        <v>419</v>
      </c>
      <c r="J186" s="105">
        <v>17700</v>
      </c>
      <c r="K186" s="309" t="s">
        <v>420</v>
      </c>
      <c r="L186" s="49"/>
      <c r="M186" s="169"/>
      <c r="N186" s="28"/>
      <c r="O186" s="61" t="s">
        <v>118</v>
      </c>
      <c r="P186" s="105">
        <v>14575</v>
      </c>
      <c r="Q186" s="105">
        <v>14575</v>
      </c>
      <c r="R186" s="318" t="s">
        <v>421</v>
      </c>
      <c r="S186" s="28"/>
      <c r="T186" s="61" t="s">
        <v>118</v>
      </c>
      <c r="U186" s="49"/>
      <c r="V186" s="169"/>
      <c r="W186" s="169"/>
      <c r="X186" s="169"/>
      <c r="Y186" s="169"/>
    </row>
    <row r="187" spans="1:26" ht="165" customHeight="1">
      <c r="A187" s="299"/>
      <c r="B187" s="299"/>
      <c r="C187" s="301"/>
      <c r="D187" s="304"/>
      <c r="E187" s="28"/>
      <c r="F187" s="47" t="s">
        <v>124</v>
      </c>
      <c r="G187" s="49">
        <v>2.2181608289682098</v>
      </c>
      <c r="H187" s="49">
        <v>0.44962719506112364</v>
      </c>
      <c r="I187" s="310"/>
      <c r="J187" s="49">
        <v>1.7685336339070863</v>
      </c>
      <c r="K187" s="310"/>
      <c r="L187" s="49"/>
      <c r="M187" s="169"/>
      <c r="N187" s="28"/>
      <c r="O187" s="47" t="s">
        <v>124</v>
      </c>
      <c r="P187" s="68">
        <v>1.4562925262257504</v>
      </c>
      <c r="Q187" s="49">
        <v>1.4562925262257504</v>
      </c>
      <c r="R187" s="307"/>
      <c r="S187" s="28"/>
      <c r="T187" s="47" t="s">
        <v>124</v>
      </c>
      <c r="U187" s="49"/>
      <c r="V187" s="169"/>
      <c r="W187" s="169"/>
      <c r="X187" s="169"/>
      <c r="Y187" s="169"/>
    </row>
    <row r="188" spans="1:26" ht="120" customHeight="1">
      <c r="A188" s="299"/>
      <c r="B188" s="299"/>
      <c r="C188" s="302"/>
      <c r="D188" s="305"/>
      <c r="E188" s="28"/>
      <c r="F188" s="55" t="s">
        <v>125</v>
      </c>
      <c r="G188" s="49">
        <v>3.704564006123956</v>
      </c>
      <c r="H188" s="49">
        <v>0.75092513637647751</v>
      </c>
      <c r="I188" s="311"/>
      <c r="J188" s="49">
        <v>2.9536388697474782</v>
      </c>
      <c r="K188" s="311"/>
      <c r="L188" s="49"/>
      <c r="M188" s="169"/>
      <c r="N188" s="28"/>
      <c r="O188" s="55" t="s">
        <v>125</v>
      </c>
      <c r="P188" s="68">
        <v>2.4321630805971468</v>
      </c>
      <c r="Q188" s="49">
        <v>2.4321630805971468</v>
      </c>
      <c r="R188" s="308"/>
      <c r="S188" s="28"/>
      <c r="T188" s="55" t="s">
        <v>125</v>
      </c>
      <c r="U188" s="49"/>
      <c r="V188" s="169"/>
      <c r="W188" s="169"/>
      <c r="X188" s="169"/>
      <c r="Y188" s="169"/>
    </row>
    <row r="189" spans="1:26" ht="121" customHeight="1">
      <c r="A189" s="299">
        <v>0</v>
      </c>
      <c r="B189" s="299" t="s">
        <v>382</v>
      </c>
      <c r="C189" s="301" t="s">
        <v>90</v>
      </c>
      <c r="D189" s="304" t="s">
        <v>422</v>
      </c>
      <c r="E189" s="30"/>
      <c r="F189" s="61" t="s">
        <v>118</v>
      </c>
      <c r="G189" s="105">
        <v>42700</v>
      </c>
      <c r="H189" s="105">
        <v>6700</v>
      </c>
      <c r="I189" s="315" t="s">
        <v>423</v>
      </c>
      <c r="J189" s="141">
        <v>36000</v>
      </c>
      <c r="K189" s="309" t="s">
        <v>424</v>
      </c>
      <c r="L189" s="105">
        <v>180000</v>
      </c>
      <c r="M189" s="306" t="s">
        <v>425</v>
      </c>
      <c r="N189" s="30"/>
      <c r="O189" s="47" t="s">
        <v>118</v>
      </c>
      <c r="P189" s="105">
        <v>37500</v>
      </c>
      <c r="Q189" s="105">
        <v>9500</v>
      </c>
      <c r="R189" s="309" t="s">
        <v>426</v>
      </c>
      <c r="S189" s="30"/>
      <c r="T189" s="47" t="s">
        <v>118</v>
      </c>
      <c r="U189" s="95"/>
      <c r="V189" s="168"/>
      <c r="W189" s="105">
        <v>28000</v>
      </c>
      <c r="X189" s="309" t="s">
        <v>427</v>
      </c>
      <c r="Y189" s="309" t="s">
        <v>428</v>
      </c>
      <c r="Z189" s="30"/>
    </row>
    <row r="190" spans="1:26" ht="110.15" customHeight="1">
      <c r="A190" s="299"/>
      <c r="B190" s="299"/>
      <c r="C190" s="301"/>
      <c r="D190" s="304"/>
      <c r="E190" s="28"/>
      <c r="F190" s="47" t="s">
        <v>124</v>
      </c>
      <c r="G190" s="49">
        <v>1.8243072883758307</v>
      </c>
      <c r="H190" s="49">
        <v>0.28624962136107879</v>
      </c>
      <c r="I190" s="316"/>
      <c r="J190" s="49">
        <v>1.5380576670147519</v>
      </c>
      <c r="K190" s="310"/>
      <c r="L190" s="49">
        <v>7.6902883350737588</v>
      </c>
      <c r="M190" s="347"/>
      <c r="N190" s="28"/>
      <c r="O190" s="47" t="s">
        <v>124</v>
      </c>
      <c r="P190" s="142">
        <v>1.6021434031403665</v>
      </c>
      <c r="Q190" s="142">
        <v>0.40587632879555952</v>
      </c>
      <c r="R190" s="310"/>
      <c r="S190" s="28"/>
      <c r="T190" s="47" t="s">
        <v>124</v>
      </c>
      <c r="U190" s="49"/>
      <c r="V190" s="169"/>
      <c r="W190" s="142">
        <v>1.1962670743448069</v>
      </c>
      <c r="X190" s="310"/>
      <c r="Y190" s="310"/>
    </row>
    <row r="191" spans="1:26" ht="95.15" customHeight="1">
      <c r="A191" s="299"/>
      <c r="B191" s="299"/>
      <c r="C191" s="302"/>
      <c r="D191" s="305"/>
      <c r="E191" s="25"/>
      <c r="F191" s="55" t="s">
        <v>125</v>
      </c>
      <c r="G191" s="56">
        <v>0.53561329172394667</v>
      </c>
      <c r="H191" s="56">
        <v>8.4042366617106373E-2</v>
      </c>
      <c r="I191" s="317"/>
      <c r="J191" s="56">
        <v>0.45157092510684016</v>
      </c>
      <c r="K191" s="311"/>
      <c r="L191" s="56">
        <v>2.2578546255342014</v>
      </c>
      <c r="M191" s="348"/>
      <c r="N191" s="25"/>
      <c r="O191" s="55" t="s">
        <v>125</v>
      </c>
      <c r="P191" s="143">
        <v>0.47038638031962526</v>
      </c>
      <c r="Q191" s="143">
        <v>0.11916454968097173</v>
      </c>
      <c r="R191" s="311"/>
      <c r="S191" s="25"/>
      <c r="T191" s="55" t="s">
        <v>125</v>
      </c>
      <c r="U191" s="56"/>
      <c r="V191" s="170"/>
      <c r="W191" s="143">
        <v>0.35122183063865353</v>
      </c>
      <c r="X191" s="311"/>
      <c r="Y191" s="311"/>
      <c r="Z191" s="22"/>
    </row>
    <row r="192" spans="1:26" ht="69" customHeight="1">
      <c r="A192" s="299">
        <v>0</v>
      </c>
      <c r="B192" s="299" t="s">
        <v>382</v>
      </c>
      <c r="C192" s="300" t="s">
        <v>91</v>
      </c>
      <c r="D192" s="303" t="s">
        <v>126</v>
      </c>
      <c r="E192" s="60"/>
      <c r="F192" s="61" t="s">
        <v>118</v>
      </c>
      <c r="G192" s="65">
        <v>7.1</v>
      </c>
      <c r="H192" s="65">
        <v>1</v>
      </c>
      <c r="I192" s="309" t="s">
        <v>429</v>
      </c>
      <c r="J192" s="65">
        <v>6.1</v>
      </c>
      <c r="K192" s="309" t="s">
        <v>430</v>
      </c>
      <c r="L192" s="65"/>
      <c r="M192" s="182"/>
      <c r="N192" s="60"/>
      <c r="O192" s="61" t="s">
        <v>118</v>
      </c>
      <c r="P192" s="144">
        <v>0.9</v>
      </c>
      <c r="Q192" s="144">
        <v>0.9</v>
      </c>
      <c r="R192" s="309" t="s">
        <v>431</v>
      </c>
      <c r="S192" s="60"/>
      <c r="T192" s="61" t="s">
        <v>118</v>
      </c>
      <c r="U192" s="65"/>
      <c r="V192" s="168"/>
      <c r="W192" s="144"/>
      <c r="X192" s="168"/>
      <c r="Y192" s="169"/>
    </row>
    <row r="193" spans="1:25" ht="69" customHeight="1">
      <c r="A193" s="299"/>
      <c r="B193" s="299"/>
      <c r="C193" s="301"/>
      <c r="D193" s="304"/>
      <c r="E193" s="28"/>
      <c r="F193" s="47" t="s">
        <v>124</v>
      </c>
      <c r="G193" s="49">
        <v>0.39701731992953948</v>
      </c>
      <c r="H193" s="49">
        <v>5.5917932384442183E-2</v>
      </c>
      <c r="I193" s="310"/>
      <c r="J193" s="49">
        <v>0.34109938754509728</v>
      </c>
      <c r="K193" s="310"/>
      <c r="L193" s="49"/>
      <c r="M193" s="172"/>
      <c r="N193" s="28"/>
      <c r="O193" s="47" t="s">
        <v>124</v>
      </c>
      <c r="P193" s="142">
        <v>5.032613914599797E-2</v>
      </c>
      <c r="Q193" s="49">
        <v>5.032613914599797E-2</v>
      </c>
      <c r="R193" s="310"/>
      <c r="S193" s="28"/>
      <c r="T193" s="47" t="s">
        <v>124</v>
      </c>
      <c r="U193" s="49"/>
      <c r="V193" s="169"/>
      <c r="W193" s="142"/>
      <c r="X193" s="169"/>
      <c r="Y193" s="169"/>
    </row>
    <row r="194" spans="1:25" ht="69" customHeight="1">
      <c r="A194" s="299"/>
      <c r="B194" s="299"/>
      <c r="C194" s="302"/>
      <c r="D194" s="305"/>
      <c r="E194" s="25"/>
      <c r="F194" s="55" t="s">
        <v>125</v>
      </c>
      <c r="G194" s="56">
        <v>2.0995999624452013</v>
      </c>
      <c r="H194" s="56">
        <v>0.29571830456974668</v>
      </c>
      <c r="I194" s="311"/>
      <c r="J194" s="56">
        <v>1.8038816578754544</v>
      </c>
      <c r="K194" s="311"/>
      <c r="L194" s="56"/>
      <c r="M194" s="173"/>
      <c r="N194" s="25"/>
      <c r="O194" s="55" t="s">
        <v>125</v>
      </c>
      <c r="P194" s="143">
        <v>0.26614647411277198</v>
      </c>
      <c r="Q194" s="56">
        <v>0.26614647411277198</v>
      </c>
      <c r="R194" s="311"/>
      <c r="S194" s="25"/>
      <c r="T194" s="55" t="s">
        <v>125</v>
      </c>
      <c r="U194" s="56"/>
      <c r="V194" s="170"/>
      <c r="W194" s="143"/>
      <c r="X194" s="170"/>
      <c r="Y194" s="169"/>
    </row>
    <row r="195" spans="1:25">
      <c r="C195" s="28" t="s">
        <v>92</v>
      </c>
    </row>
    <row r="196" spans="1:25" ht="52.5" customHeight="1">
      <c r="C196" s="337" t="s">
        <v>508</v>
      </c>
      <c r="D196" s="337"/>
      <c r="E196" s="337"/>
      <c r="F196" s="337"/>
      <c r="G196" s="337"/>
      <c r="H196" s="337"/>
      <c r="I196" s="337"/>
      <c r="J196" s="337"/>
      <c r="K196" s="337"/>
      <c r="L196" s="337"/>
      <c r="M196" s="337"/>
      <c r="N196" s="337"/>
      <c r="O196" s="337"/>
      <c r="P196" s="337"/>
      <c r="Q196" s="337"/>
      <c r="R196" s="337"/>
      <c r="S196" s="337"/>
      <c r="T196" s="337"/>
      <c r="U196" s="337"/>
      <c r="V196" s="337"/>
      <c r="W196" s="337"/>
      <c r="X196" s="337"/>
    </row>
    <row r="197" spans="1:25">
      <c r="C197" s="28" t="s">
        <v>432</v>
      </c>
    </row>
    <row r="198" spans="1:25" ht="15.65" customHeight="1">
      <c r="C198" s="174"/>
    </row>
  </sheetData>
  <autoFilter ref="A5:F197" xr:uid="{70D8D969-D19A-4A37-9D57-5E4D8D57F6B2}"/>
  <mergeCells count="580">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A132:A134"/>
    <mergeCell ref="B132:B134"/>
    <mergeCell ref="C132:C134"/>
    <mergeCell ref="D132:D134"/>
    <mergeCell ref="I132:I134"/>
    <mergeCell ref="K132:K134"/>
    <mergeCell ref="R132:R134"/>
    <mergeCell ref="V132:V134"/>
    <mergeCell ref="X132:X134"/>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X120:X122"/>
    <mergeCell ref="C123:C125"/>
    <mergeCell ref="D123:D125"/>
    <mergeCell ref="I123:I125"/>
    <mergeCell ref="K123:K125"/>
    <mergeCell ref="M123:M125"/>
    <mergeCell ref="V123:V125"/>
    <mergeCell ref="V117:V119"/>
    <mergeCell ref="X117:X119"/>
    <mergeCell ref="R120:R122"/>
    <mergeCell ref="V120:V122"/>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A120:A122"/>
    <mergeCell ref="B120:B122"/>
    <mergeCell ref="C120:C122"/>
    <mergeCell ref="D120:D122"/>
    <mergeCell ref="I120:I122"/>
    <mergeCell ref="K120:K122"/>
    <mergeCell ref="A111:A113"/>
    <mergeCell ref="B111:B113"/>
    <mergeCell ref="C111:C113"/>
    <mergeCell ref="D111:D113"/>
    <mergeCell ref="I111:I113"/>
    <mergeCell ref="K111:K113"/>
    <mergeCell ref="M111:M113"/>
    <mergeCell ref="R111:R113"/>
    <mergeCell ref="V111:V113"/>
    <mergeCell ref="A108:A110"/>
    <mergeCell ref="B108:B110"/>
    <mergeCell ref="C108:C110"/>
    <mergeCell ref="D108:D110"/>
    <mergeCell ref="I108:I110"/>
    <mergeCell ref="K108:K110"/>
    <mergeCell ref="M108:M110"/>
    <mergeCell ref="R108:R110"/>
    <mergeCell ref="V108:V110"/>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A96:A98"/>
    <mergeCell ref="B96:B98"/>
    <mergeCell ref="C96:C98"/>
    <mergeCell ref="D96:D98"/>
    <mergeCell ref="I96:I98"/>
    <mergeCell ref="K96:K98"/>
    <mergeCell ref="M96:M98"/>
    <mergeCell ref="R96:R98"/>
    <mergeCell ref="V96:V98"/>
    <mergeCell ref="A93:A95"/>
    <mergeCell ref="B93:B95"/>
    <mergeCell ref="C93:C95"/>
    <mergeCell ref="D93:D95"/>
    <mergeCell ref="I93:I95"/>
    <mergeCell ref="K93:K95"/>
    <mergeCell ref="M93:M95"/>
    <mergeCell ref="R93:R95"/>
    <mergeCell ref="V93:V95"/>
    <mergeCell ref="Y87:Y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Y81:Y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75:Y77"/>
    <mergeCell ref="A78:A80"/>
    <mergeCell ref="B78:B80"/>
    <mergeCell ref="C78:C80"/>
    <mergeCell ref="D78:D80"/>
    <mergeCell ref="I78:I80"/>
    <mergeCell ref="K78:K80"/>
    <mergeCell ref="M78:M80"/>
    <mergeCell ref="R78:R80"/>
    <mergeCell ref="V78:V80"/>
    <mergeCell ref="X78:X80"/>
    <mergeCell ref="Y78:Y79"/>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A69:A71"/>
    <mergeCell ref="B69:B71"/>
    <mergeCell ref="C69:C71"/>
    <mergeCell ref="D69:D71"/>
    <mergeCell ref="I69:I71"/>
    <mergeCell ref="K69:K71"/>
    <mergeCell ref="M69:M71"/>
    <mergeCell ref="R69:R71"/>
    <mergeCell ref="V69:V71"/>
    <mergeCell ref="V63:V65"/>
    <mergeCell ref="X63:X65"/>
    <mergeCell ref="A66:A68"/>
    <mergeCell ref="B66:B68"/>
    <mergeCell ref="C66:C68"/>
    <mergeCell ref="D66:D68"/>
    <mergeCell ref="I66:I68"/>
    <mergeCell ref="K66:K68"/>
    <mergeCell ref="M66:M68"/>
    <mergeCell ref="R66:R68"/>
    <mergeCell ref="V66:V68"/>
    <mergeCell ref="X66:X68"/>
    <mergeCell ref="A60:A62"/>
    <mergeCell ref="B60:B62"/>
    <mergeCell ref="C60:C62"/>
    <mergeCell ref="D60:D62"/>
    <mergeCell ref="I60:I62"/>
    <mergeCell ref="K60:K62"/>
    <mergeCell ref="M60:M62"/>
    <mergeCell ref="R60:R62"/>
    <mergeCell ref="A63:A65"/>
    <mergeCell ref="B63:B65"/>
    <mergeCell ref="C63:C65"/>
    <mergeCell ref="D63:D65"/>
    <mergeCell ref="I63:I65"/>
    <mergeCell ref="K63:K65"/>
    <mergeCell ref="M63:M65"/>
    <mergeCell ref="R63:R65"/>
    <mergeCell ref="Y54:Y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X48:X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Y36:Y38"/>
    <mergeCell ref="A39:A41"/>
    <mergeCell ref="B39:B41"/>
    <mergeCell ref="C39:C41"/>
    <mergeCell ref="D39:D41"/>
    <mergeCell ref="I39:I41"/>
    <mergeCell ref="K39:K41"/>
    <mergeCell ref="M39:M41"/>
    <mergeCell ref="R39:R41"/>
    <mergeCell ref="V39:V41"/>
    <mergeCell ref="A36:A38"/>
    <mergeCell ref="B36:B38"/>
    <mergeCell ref="C36:C38"/>
    <mergeCell ref="D36:D38"/>
    <mergeCell ref="I36:I38"/>
    <mergeCell ref="K36:K38"/>
    <mergeCell ref="M36:M38"/>
    <mergeCell ref="R36:R38"/>
    <mergeCell ref="V36:V38"/>
    <mergeCell ref="X39:X41"/>
    <mergeCell ref="K33:K35"/>
    <mergeCell ref="M33:M35"/>
    <mergeCell ref="R33:R35"/>
    <mergeCell ref="V33:V35"/>
    <mergeCell ref="X33:X35"/>
    <mergeCell ref="Y33:Y35"/>
    <mergeCell ref="M30:M32"/>
    <mergeCell ref="R30:R32"/>
    <mergeCell ref="V30:V32"/>
    <mergeCell ref="X30:X32"/>
    <mergeCell ref="K30:K32"/>
    <mergeCell ref="A33:A35"/>
    <mergeCell ref="B33:B35"/>
    <mergeCell ref="C33:C35"/>
    <mergeCell ref="D33:D35"/>
    <mergeCell ref="I33:I35"/>
    <mergeCell ref="A30:A32"/>
    <mergeCell ref="B30:B32"/>
    <mergeCell ref="C30:C32"/>
    <mergeCell ref="D30:D32"/>
    <mergeCell ref="I30:I32"/>
    <mergeCell ref="M27:M29"/>
    <mergeCell ref="R27:R29"/>
    <mergeCell ref="V27:V29"/>
    <mergeCell ref="X27:X29"/>
    <mergeCell ref="Y27:Y29"/>
    <mergeCell ref="A27:A29"/>
    <mergeCell ref="B27:B29"/>
    <mergeCell ref="C27:C29"/>
    <mergeCell ref="D27:D29"/>
    <mergeCell ref="I27:I29"/>
    <mergeCell ref="K27:K29"/>
    <mergeCell ref="R24:R26"/>
    <mergeCell ref="V24:V26"/>
    <mergeCell ref="X24:X26"/>
    <mergeCell ref="Y24:Y26"/>
    <mergeCell ref="M21:M23"/>
    <mergeCell ref="R21:R23"/>
    <mergeCell ref="V21:V23"/>
    <mergeCell ref="X21:X23"/>
    <mergeCell ref="Y21:Y23"/>
    <mergeCell ref="R18:R20"/>
    <mergeCell ref="V18:V20"/>
    <mergeCell ref="Y18:Y20"/>
    <mergeCell ref="A21:A23"/>
    <mergeCell ref="B21:B23"/>
    <mergeCell ref="C21:C23"/>
    <mergeCell ref="D21:D23"/>
    <mergeCell ref="I21:I23"/>
    <mergeCell ref="K21:K23"/>
    <mergeCell ref="A18:A20"/>
    <mergeCell ref="B18:B20"/>
    <mergeCell ref="C18:C20"/>
    <mergeCell ref="D18:D20"/>
    <mergeCell ref="I18:I20"/>
    <mergeCell ref="K18:K20"/>
    <mergeCell ref="M18:M20"/>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5:R17"/>
    <mergeCell ref="V15:V17"/>
    <mergeCell ref="A12:A14"/>
    <mergeCell ref="B12:B14"/>
    <mergeCell ref="C12:C14"/>
    <mergeCell ref="D12:D14"/>
    <mergeCell ref="I12:I14"/>
    <mergeCell ref="K12:K14"/>
    <mergeCell ref="R12:R14"/>
    <mergeCell ref="V12:V14"/>
    <mergeCell ref="Y12:Y14"/>
    <mergeCell ref="Y6:Y8"/>
    <mergeCell ref="A9:A11"/>
    <mergeCell ref="B9:B11"/>
    <mergeCell ref="C9:C11"/>
    <mergeCell ref="D9:D11"/>
    <mergeCell ref="I9:I11"/>
    <mergeCell ref="K9:K11"/>
    <mergeCell ref="M9:M11"/>
    <mergeCell ref="R9:R11"/>
    <mergeCell ref="V9:V11"/>
    <mergeCell ref="C3:X3"/>
    <mergeCell ref="H4:M4"/>
    <mergeCell ref="Q4:R4"/>
    <mergeCell ref="T4:X4"/>
    <mergeCell ref="A6:A8"/>
    <mergeCell ref="B6:B8"/>
    <mergeCell ref="C6:C8"/>
    <mergeCell ref="D6:D8"/>
    <mergeCell ref="I6:I8"/>
    <mergeCell ref="K6:K8"/>
    <mergeCell ref="M6:M8"/>
    <mergeCell ref="R6:R8"/>
    <mergeCell ref="V6:V8"/>
  </mergeCells>
  <pageMargins left="0.7" right="0.7" top="0.75" bottom="0.75" header="0.3" footer="0.3"/>
  <pageSetup scale="38" fitToHeight="0" orientation="landscape" r:id="rId1"/>
  <rowBreaks count="19" manualBreakCount="19">
    <brk id="11" max="16383" man="1"/>
    <brk id="23" max="16383" man="1"/>
    <brk id="29" max="16383" man="1"/>
    <brk id="35" max="16383" man="1"/>
    <brk id="41" max="16383" man="1"/>
    <brk id="47" max="16383" man="1"/>
    <brk id="56" max="16383" man="1"/>
    <brk id="62" max="16383" man="1"/>
    <brk id="71" max="16383" man="1"/>
    <brk id="77" max="16383" man="1"/>
    <brk id="86" max="16383" man="1"/>
    <brk id="101" max="16383" man="1"/>
    <brk id="110" max="16383" man="1"/>
    <brk id="119" max="16383" man="1"/>
    <brk id="134" max="16383" man="1"/>
    <brk id="143" max="16383" man="1"/>
    <brk id="152" max="16383" man="1"/>
    <brk id="167" max="16383" man="1"/>
    <brk id="182" max="16383" man="1"/>
  </rowBreaks>
  <colBreaks count="1" manualBreakCount="1">
    <brk id="25" max="1048575"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CA5B-61B6-476B-8973-81AC684F4F5B}">
  <sheetPr>
    <tabColor rgb="FFFF0000"/>
  </sheetPr>
  <dimension ref="B3:G74"/>
  <sheetViews>
    <sheetView showGridLines="0" zoomScale="85" zoomScaleNormal="85" workbookViewId="0">
      <selection activeCell="D66" sqref="D66"/>
    </sheetView>
  </sheetViews>
  <sheetFormatPr baseColWidth="10" defaultColWidth="8.7265625" defaultRowHeight="12.5"/>
  <cols>
    <col min="2" max="7" width="9.1796875" style="148"/>
  </cols>
  <sheetData>
    <row r="3" spans="2:7" ht="13">
      <c r="B3" s="166" t="s">
        <v>501</v>
      </c>
    </row>
    <row r="4" spans="2:7" ht="14.5">
      <c r="B4" s="149" t="s">
        <v>433</v>
      </c>
      <c r="C4" s="150" t="s">
        <v>435</v>
      </c>
      <c r="D4" s="150" t="s">
        <v>436</v>
      </c>
      <c r="E4" s="150" t="s">
        <v>437</v>
      </c>
      <c r="F4" s="151"/>
      <c r="G4" s="152"/>
    </row>
    <row r="5" spans="2:7">
      <c r="B5" s="153" t="s">
        <v>446</v>
      </c>
      <c r="C5" s="148" t="s">
        <v>39</v>
      </c>
      <c r="D5" s="154">
        <v>1.7728572264249522</v>
      </c>
      <c r="E5" s="154">
        <v>4.2669989958887014</v>
      </c>
      <c r="G5" s="155"/>
    </row>
    <row r="6" spans="2:7">
      <c r="B6" s="153" t="s">
        <v>447</v>
      </c>
      <c r="C6" s="148" t="s">
        <v>41</v>
      </c>
      <c r="D6" s="154">
        <v>2.9740073275675076</v>
      </c>
      <c r="E6" s="154">
        <v>6.9835682857412555</v>
      </c>
      <c r="G6" s="155"/>
    </row>
    <row r="7" spans="2:7">
      <c r="B7" s="153" t="s">
        <v>448</v>
      </c>
      <c r="C7" s="148" t="s">
        <v>22</v>
      </c>
      <c r="D7" s="154">
        <v>3.4422076683139151</v>
      </c>
      <c r="E7" s="154">
        <v>10.170867001850619</v>
      </c>
      <c r="G7" s="155"/>
    </row>
    <row r="8" spans="2:7">
      <c r="B8" s="153" t="s">
        <v>449</v>
      </c>
      <c r="C8" s="148" t="s">
        <v>23</v>
      </c>
      <c r="D8" s="154">
        <v>4.129848567413041</v>
      </c>
      <c r="E8" s="154">
        <v>14.444526098939509</v>
      </c>
      <c r="G8" s="155"/>
    </row>
    <row r="9" spans="2:7">
      <c r="B9" s="153" t="s">
        <v>450</v>
      </c>
      <c r="C9" s="148" t="s">
        <v>56</v>
      </c>
      <c r="D9" s="154">
        <v>4.2006968782557186</v>
      </c>
      <c r="E9" s="154">
        <v>5.3297894552483349</v>
      </c>
      <c r="G9" s="155"/>
    </row>
    <row r="10" spans="2:7">
      <c r="B10" s="153" t="s">
        <v>451</v>
      </c>
      <c r="C10" s="148" t="s">
        <v>51</v>
      </c>
      <c r="D10" s="154">
        <v>4.2369754101110404</v>
      </c>
      <c r="E10" s="154">
        <v>4.3610989969472307</v>
      </c>
      <c r="G10" s="155"/>
    </row>
    <row r="11" spans="2:7">
      <c r="B11" s="153" t="s">
        <v>452</v>
      </c>
      <c r="C11" s="148" t="s">
        <v>49</v>
      </c>
      <c r="D11" s="154">
        <v>4.5192778176981978</v>
      </c>
      <c r="E11" s="154">
        <v>8.2514903974826659</v>
      </c>
      <c r="G11" s="155"/>
    </row>
    <row r="12" spans="2:7">
      <c r="B12" s="153" t="s">
        <v>453</v>
      </c>
      <c r="C12" s="148" t="s">
        <v>57</v>
      </c>
      <c r="D12" s="154">
        <v>5.2882597816353591</v>
      </c>
      <c r="E12" s="154">
        <v>6.0080918260018352</v>
      </c>
      <c r="G12" s="155"/>
    </row>
    <row r="13" spans="2:7">
      <c r="B13" s="153" t="s">
        <v>454</v>
      </c>
      <c r="C13" s="148" t="s">
        <v>38</v>
      </c>
      <c r="D13" s="154">
        <v>5.44423346092535</v>
      </c>
      <c r="E13" s="154">
        <v>15.470637134364086</v>
      </c>
      <c r="G13" s="155"/>
    </row>
    <row r="14" spans="2:7">
      <c r="B14" s="153" t="s">
        <v>455</v>
      </c>
      <c r="C14" s="148" t="s">
        <v>20</v>
      </c>
      <c r="D14" s="154">
        <v>6.8248555163513647</v>
      </c>
      <c r="E14" s="154">
        <v>35.480108253531988</v>
      </c>
      <c r="G14" s="155"/>
    </row>
    <row r="15" spans="2:7">
      <c r="B15" s="153" t="s">
        <v>456</v>
      </c>
      <c r="C15" s="148" t="s">
        <v>37</v>
      </c>
      <c r="D15" s="154">
        <v>7.2204845013748731</v>
      </c>
      <c r="E15" s="154">
        <v>11.921672229684368</v>
      </c>
      <c r="G15" s="155"/>
    </row>
    <row r="16" spans="2:7">
      <c r="B16" s="153" t="s">
        <v>457</v>
      </c>
      <c r="C16" s="148" t="s">
        <v>18</v>
      </c>
      <c r="D16" s="154">
        <v>7.7103009294197555</v>
      </c>
      <c r="E16" s="154">
        <v>15.752942416142089</v>
      </c>
      <c r="G16" s="155"/>
    </row>
    <row r="17" spans="2:7">
      <c r="B17" s="153" t="s">
        <v>458</v>
      </c>
      <c r="C17" s="148" t="s">
        <v>19</v>
      </c>
      <c r="D17" s="156">
        <v>11.03370544006278</v>
      </c>
      <c r="E17" s="154">
        <v>27.848832013978619</v>
      </c>
      <c r="G17" s="155"/>
    </row>
    <row r="18" spans="2:7">
      <c r="B18" s="153" t="s">
        <v>434</v>
      </c>
      <c r="C18" s="157" t="s">
        <v>434</v>
      </c>
      <c r="D18" s="156">
        <v>12.683283892845772</v>
      </c>
      <c r="E18" s="154">
        <v>11.278336604300787</v>
      </c>
      <c r="G18" s="155"/>
    </row>
    <row r="19" spans="2:7">
      <c r="B19" s="153" t="s">
        <v>459</v>
      </c>
      <c r="C19" s="148" t="s">
        <v>16</v>
      </c>
      <c r="D19" s="154">
        <v>14.646141686967878</v>
      </c>
      <c r="E19" s="154">
        <v>4.0212214238157857</v>
      </c>
      <c r="G19" s="155"/>
    </row>
    <row r="20" spans="2:7">
      <c r="B20" s="153" t="s">
        <v>460</v>
      </c>
      <c r="C20" s="148" t="s">
        <v>21</v>
      </c>
      <c r="D20" s="154">
        <v>15.580392937317248</v>
      </c>
      <c r="E20" s="154">
        <v>28.439808160701094</v>
      </c>
      <c r="G20" s="155"/>
    </row>
    <row r="21" spans="2:7">
      <c r="B21" s="153" t="s">
        <v>461</v>
      </c>
      <c r="C21" s="148" t="s">
        <v>15</v>
      </c>
      <c r="D21" s="154">
        <v>16.177852301431432</v>
      </c>
      <c r="E21" s="154">
        <v>1.7895854315742734</v>
      </c>
      <c r="G21" s="155"/>
    </row>
    <row r="22" spans="2:7">
      <c r="B22" s="153" t="s">
        <v>462</v>
      </c>
      <c r="C22" s="148" t="s">
        <v>53</v>
      </c>
      <c r="D22" s="154">
        <v>16.25793005941393</v>
      </c>
      <c r="E22" s="154">
        <v>4.7499928460439111</v>
      </c>
      <c r="G22" s="155"/>
    </row>
    <row r="23" spans="2:7">
      <c r="B23" s="153" t="s">
        <v>463</v>
      </c>
      <c r="C23" s="148" t="s">
        <v>24</v>
      </c>
      <c r="D23" s="154">
        <v>16.258004012956349</v>
      </c>
      <c r="E23" s="154">
        <v>16.116219094238705</v>
      </c>
      <c r="G23" s="155"/>
    </row>
    <row r="24" spans="2:7">
      <c r="B24" s="153" t="s">
        <v>464</v>
      </c>
      <c r="C24" s="148" t="s">
        <v>25</v>
      </c>
      <c r="D24" s="154">
        <v>16.719306053544834</v>
      </c>
      <c r="E24" s="154">
        <v>2.4339468750343576</v>
      </c>
      <c r="G24" s="155"/>
    </row>
    <row r="25" spans="2:7">
      <c r="B25" s="158" t="s">
        <v>465</v>
      </c>
      <c r="C25" s="159" t="s">
        <v>50</v>
      </c>
      <c r="D25" s="165">
        <v>19.063391654531198</v>
      </c>
      <c r="E25" s="165">
        <v>2.7078681327459089</v>
      </c>
      <c r="F25" s="159"/>
      <c r="G25" s="162"/>
    </row>
    <row r="27" spans="2:7" ht="13">
      <c r="B27" s="166" t="s">
        <v>500</v>
      </c>
    </row>
    <row r="28" spans="2:7" ht="14.5">
      <c r="B28" s="149" t="s">
        <v>433</v>
      </c>
      <c r="C28" s="150" t="s">
        <v>435</v>
      </c>
      <c r="D28" s="150" t="s">
        <v>436</v>
      </c>
      <c r="E28" s="150" t="s">
        <v>437</v>
      </c>
      <c r="F28" s="151"/>
      <c r="G28" s="152"/>
    </row>
    <row r="29" spans="2:7">
      <c r="B29" s="153" t="s">
        <v>466</v>
      </c>
      <c r="C29" s="148" t="s">
        <v>31</v>
      </c>
      <c r="D29" s="154">
        <v>0.68126555483297013</v>
      </c>
      <c r="E29" s="154">
        <v>1.280743852667551</v>
      </c>
      <c r="G29" s="155"/>
    </row>
    <row r="30" spans="2:7">
      <c r="B30" s="153" t="s">
        <v>467</v>
      </c>
      <c r="C30" s="148" t="s">
        <v>35</v>
      </c>
      <c r="D30" s="154">
        <v>1.0708244081170604</v>
      </c>
      <c r="E30" s="154">
        <v>9.0021171324169291</v>
      </c>
      <c r="G30" s="155"/>
    </row>
    <row r="31" spans="2:7">
      <c r="B31" s="153" t="s">
        <v>468</v>
      </c>
      <c r="C31" s="148" t="s">
        <v>58</v>
      </c>
      <c r="D31" s="154">
        <v>1.2173373610342335</v>
      </c>
      <c r="E31" s="154">
        <v>1.6540774176582216</v>
      </c>
      <c r="G31" s="155"/>
    </row>
    <row r="32" spans="2:7">
      <c r="B32" s="153" t="s">
        <v>469</v>
      </c>
      <c r="C32" s="148" t="s">
        <v>63</v>
      </c>
      <c r="D32" s="154">
        <v>1.574089347079038</v>
      </c>
      <c r="E32" s="154">
        <v>0.12783505154639177</v>
      </c>
      <c r="G32" s="155"/>
    </row>
    <row r="33" spans="2:7">
      <c r="B33" s="153" t="s">
        <v>470</v>
      </c>
      <c r="C33" s="148" t="s">
        <v>69</v>
      </c>
      <c r="D33" s="154">
        <v>1.9843417699892416</v>
      </c>
      <c r="E33" s="154">
        <v>0</v>
      </c>
      <c r="G33" s="155"/>
    </row>
    <row r="34" spans="2:7">
      <c r="B34" s="153" t="s">
        <v>471</v>
      </c>
      <c r="C34" s="148" t="s">
        <v>33</v>
      </c>
      <c r="D34" s="154">
        <v>2.1908414259088271</v>
      </c>
      <c r="E34" s="154">
        <v>0.83677971128462125</v>
      </c>
      <c r="G34" s="155"/>
    </row>
    <row r="35" spans="2:7">
      <c r="B35" s="153" t="s">
        <v>472</v>
      </c>
      <c r="C35" s="148" t="s">
        <v>73</v>
      </c>
      <c r="D35" s="154">
        <v>2.2661937174174835</v>
      </c>
      <c r="E35" s="154">
        <v>3.2088541292844197</v>
      </c>
      <c r="G35" s="155"/>
    </row>
    <row r="36" spans="2:7">
      <c r="B36" s="153" t="s">
        <v>473</v>
      </c>
      <c r="C36" s="148" t="s">
        <v>66</v>
      </c>
      <c r="D36" s="154">
        <v>2.410373216215953</v>
      </c>
      <c r="E36" s="154">
        <v>3.090222072071735</v>
      </c>
      <c r="G36" s="155"/>
    </row>
    <row r="37" spans="2:7">
      <c r="B37" s="153" t="s">
        <v>474</v>
      </c>
      <c r="C37" s="148" t="s">
        <v>76</v>
      </c>
      <c r="D37" s="154">
        <v>2.4182894612809829</v>
      </c>
      <c r="E37" s="154">
        <v>0.45016557358171677</v>
      </c>
      <c r="G37" s="155"/>
    </row>
    <row r="38" spans="2:7">
      <c r="B38" s="153" t="s">
        <v>475</v>
      </c>
      <c r="C38" s="148" t="s">
        <v>77</v>
      </c>
      <c r="D38" s="154">
        <v>2.4651263904404717</v>
      </c>
      <c r="E38" s="154">
        <v>0</v>
      </c>
      <c r="G38" s="155"/>
    </row>
    <row r="39" spans="2:7">
      <c r="B39" s="153" t="s">
        <v>476</v>
      </c>
      <c r="C39" s="148" t="s">
        <v>71</v>
      </c>
      <c r="D39" s="154">
        <v>2.5426457949039269</v>
      </c>
      <c r="E39" s="154">
        <v>0.92126458215706097</v>
      </c>
      <c r="G39" s="155"/>
    </row>
    <row r="40" spans="2:7">
      <c r="B40" s="153" t="s">
        <v>477</v>
      </c>
      <c r="C40" s="148" t="s">
        <v>30</v>
      </c>
      <c r="D40" s="154">
        <v>2.6804100904569146</v>
      </c>
      <c r="E40" s="154">
        <v>0.85337437862250176</v>
      </c>
      <c r="G40" s="155"/>
    </row>
    <row r="41" spans="2:7">
      <c r="B41" s="153" t="s">
        <v>478</v>
      </c>
      <c r="C41" s="148" t="s">
        <v>32</v>
      </c>
      <c r="D41" s="154">
        <v>2.9094770375926076</v>
      </c>
      <c r="E41" s="154">
        <v>1.5136621905403773</v>
      </c>
      <c r="G41" s="155"/>
    </row>
    <row r="42" spans="2:7">
      <c r="B42" s="153" t="s">
        <v>479</v>
      </c>
      <c r="C42" s="148" t="s">
        <v>29</v>
      </c>
      <c r="D42" s="154">
        <v>3.0568212569433708</v>
      </c>
      <c r="E42" s="154">
        <v>5.0912199606783508</v>
      </c>
      <c r="G42" s="155"/>
    </row>
    <row r="43" spans="2:7">
      <c r="B43" s="153" t="s">
        <v>438</v>
      </c>
      <c r="C43" s="148" t="s">
        <v>438</v>
      </c>
      <c r="D43" s="154">
        <v>3.6269039160512979</v>
      </c>
      <c r="E43" s="154">
        <v>2.5044941274599504</v>
      </c>
      <c r="G43" s="155"/>
    </row>
    <row r="44" spans="2:7">
      <c r="B44" s="153" t="s">
        <v>480</v>
      </c>
      <c r="C44" s="148" t="s">
        <v>26</v>
      </c>
      <c r="D44" s="154">
        <v>3.7991928411281406</v>
      </c>
      <c r="E44" s="154">
        <v>1.941158674777858</v>
      </c>
      <c r="G44" s="155"/>
    </row>
    <row r="45" spans="2:7">
      <c r="B45" s="153" t="s">
        <v>481</v>
      </c>
      <c r="C45" s="148" t="s">
        <v>61</v>
      </c>
      <c r="D45" s="154">
        <v>4.1001315963942302</v>
      </c>
      <c r="E45" s="154">
        <v>5.713254819525023</v>
      </c>
      <c r="G45" s="155"/>
    </row>
    <row r="46" spans="2:7">
      <c r="B46" s="153" t="s">
        <v>482</v>
      </c>
      <c r="C46" s="148" t="s">
        <v>59</v>
      </c>
      <c r="D46" s="154">
        <v>4.3861065138416224</v>
      </c>
      <c r="E46" s="154">
        <v>3.9260326327640933</v>
      </c>
      <c r="G46" s="155"/>
    </row>
    <row r="47" spans="2:7">
      <c r="B47" s="153" t="s">
        <v>483</v>
      </c>
      <c r="C47" s="148" t="s">
        <v>28</v>
      </c>
      <c r="D47" s="154">
        <v>4.7347943347338237</v>
      </c>
      <c r="E47" s="154">
        <v>1.284110209053015</v>
      </c>
      <c r="G47" s="155"/>
    </row>
    <row r="48" spans="2:7">
      <c r="B48" s="153" t="s">
        <v>484</v>
      </c>
      <c r="C48" s="148" t="s">
        <v>70</v>
      </c>
      <c r="D48" s="154">
        <v>5.3603502194989856</v>
      </c>
      <c r="E48" s="154">
        <v>9.6200001260662695</v>
      </c>
      <c r="G48" s="155"/>
    </row>
    <row r="49" spans="2:7">
      <c r="B49" s="153" t="s">
        <v>485</v>
      </c>
      <c r="C49" s="148" t="s">
        <v>34</v>
      </c>
      <c r="D49" s="154">
        <v>5.4774789744919543</v>
      </c>
      <c r="E49" s="154">
        <v>4.180181322638596</v>
      </c>
      <c r="G49" s="155"/>
    </row>
    <row r="50" spans="2:7">
      <c r="B50" s="153" t="s">
        <v>486</v>
      </c>
      <c r="C50" s="148" t="s">
        <v>64</v>
      </c>
      <c r="D50" s="154">
        <v>6.4171911765327883</v>
      </c>
      <c r="E50" s="154">
        <v>1.8215652368232442E-4</v>
      </c>
      <c r="F50" s="160"/>
      <c r="G50" s="161"/>
    </row>
    <row r="51" spans="2:7">
      <c r="B51" s="153" t="s">
        <v>487</v>
      </c>
      <c r="C51" s="148" t="s">
        <v>72</v>
      </c>
      <c r="D51" s="154">
        <v>7.6769895099565364</v>
      </c>
      <c r="E51" s="154">
        <v>5.4241977164365274</v>
      </c>
      <c r="F51" s="160"/>
      <c r="G51" s="161"/>
    </row>
    <row r="52" spans="2:7">
      <c r="B52" s="153" t="s">
        <v>490</v>
      </c>
      <c r="C52" s="148" t="s">
        <v>60</v>
      </c>
      <c r="D52" s="154">
        <v>8.2454087590096599</v>
      </c>
      <c r="E52" s="154">
        <v>1.7895338016479629</v>
      </c>
      <c r="G52" s="155"/>
    </row>
    <row r="53" spans="2:7">
      <c r="B53" s="153" t="s">
        <v>488</v>
      </c>
      <c r="C53" s="148" t="s">
        <v>27</v>
      </c>
      <c r="D53" s="154">
        <v>8.256941459558897</v>
      </c>
      <c r="E53" s="154">
        <v>6.1933826713210536</v>
      </c>
      <c r="G53" s="155"/>
    </row>
    <row r="54" spans="2:7">
      <c r="B54" s="158" t="s">
        <v>489</v>
      </c>
      <c r="C54" s="159" t="s">
        <v>75</v>
      </c>
      <c r="D54" s="165">
        <v>8.2790021605857174</v>
      </c>
      <c r="E54" s="165">
        <v>4.267857702937599</v>
      </c>
      <c r="F54" s="159"/>
      <c r="G54" s="162"/>
    </row>
    <row r="57" spans="2:7" ht="13">
      <c r="B57" s="166" t="s">
        <v>502</v>
      </c>
    </row>
    <row r="58" spans="2:7" ht="14.5">
      <c r="B58" s="149" t="s">
        <v>433</v>
      </c>
      <c r="C58" s="150" t="s">
        <v>435</v>
      </c>
      <c r="D58" s="150" t="s">
        <v>436</v>
      </c>
      <c r="E58" s="150" t="s">
        <v>437</v>
      </c>
      <c r="F58" s="151"/>
      <c r="G58" s="152"/>
    </row>
    <row r="59" spans="2:7" ht="14.5">
      <c r="B59" s="153" t="s">
        <v>491</v>
      </c>
      <c r="C59" s="148" t="s">
        <v>90</v>
      </c>
      <c r="D59" s="154">
        <v>0.53561329172394667</v>
      </c>
      <c r="E59" s="154">
        <v>0.47038638031962526</v>
      </c>
      <c r="F59" s="163"/>
      <c r="G59" s="164"/>
    </row>
    <row r="60" spans="2:7" ht="14.5">
      <c r="B60" s="153" t="s">
        <v>509</v>
      </c>
      <c r="C60" s="148" t="s">
        <v>84</v>
      </c>
      <c r="D60" s="154">
        <v>0.7303367342895809</v>
      </c>
      <c r="E60" s="154">
        <v>0.26334257246018544</v>
      </c>
      <c r="F60" s="163"/>
      <c r="G60" s="164"/>
    </row>
    <row r="61" spans="2:7">
      <c r="B61" s="153" t="s">
        <v>441</v>
      </c>
      <c r="C61" s="148" t="s">
        <v>86</v>
      </c>
      <c r="D61" s="154">
        <v>0.75126848355144216</v>
      </c>
      <c r="E61" s="154">
        <v>1.284439192257552</v>
      </c>
      <c r="G61" s="155"/>
    </row>
    <row r="62" spans="2:7">
      <c r="B62" s="153" t="s">
        <v>492</v>
      </c>
      <c r="C62" s="148" t="s">
        <v>78</v>
      </c>
      <c r="D62" s="154">
        <v>1.2725932342664057</v>
      </c>
      <c r="E62" s="154">
        <v>0</v>
      </c>
      <c r="G62" s="155"/>
    </row>
    <row r="63" spans="2:7">
      <c r="B63" s="153" t="s">
        <v>443</v>
      </c>
      <c r="C63" s="148" t="s">
        <v>440</v>
      </c>
      <c r="D63" s="154">
        <v>1.4</v>
      </c>
      <c r="E63" s="154">
        <v>0</v>
      </c>
      <c r="G63" s="155"/>
    </row>
    <row r="64" spans="2:7">
      <c r="B64" s="153" t="s">
        <v>493</v>
      </c>
      <c r="C64" s="148" t="s">
        <v>87</v>
      </c>
      <c r="D64" s="154">
        <v>1.4589170592426774</v>
      </c>
      <c r="E64" s="154">
        <v>0</v>
      </c>
      <c r="G64" s="155"/>
    </row>
    <row r="65" spans="2:7">
      <c r="B65" s="153" t="s">
        <v>494</v>
      </c>
      <c r="C65" s="148" t="s">
        <v>79</v>
      </c>
      <c r="D65" s="154">
        <v>1.5410379122087119</v>
      </c>
      <c r="E65" s="154">
        <v>0.62234223377659526</v>
      </c>
      <c r="G65" s="155"/>
    </row>
    <row r="66" spans="2:7">
      <c r="B66" s="153" t="s">
        <v>439</v>
      </c>
      <c r="C66" s="148" t="s">
        <v>439</v>
      </c>
      <c r="D66" s="154">
        <v>1.5876485248498626</v>
      </c>
      <c r="E66" s="154">
        <v>0.22001660716709234</v>
      </c>
      <c r="G66" s="155"/>
    </row>
    <row r="67" spans="2:7">
      <c r="B67" s="153" t="s">
        <v>442</v>
      </c>
      <c r="C67" s="148" t="s">
        <v>85</v>
      </c>
      <c r="D67" s="154">
        <v>1.8311737233930707</v>
      </c>
      <c r="E67" s="154">
        <v>1.369989230094075</v>
      </c>
      <c r="G67" s="155"/>
    </row>
    <row r="68" spans="2:7">
      <c r="B68" s="153" t="s">
        <v>444</v>
      </c>
      <c r="C68" s="148" t="s">
        <v>91</v>
      </c>
      <c r="D68" s="154">
        <v>2.0995999624452013</v>
      </c>
      <c r="E68" s="154">
        <v>0.26614647411277198</v>
      </c>
      <c r="G68" s="155"/>
    </row>
    <row r="69" spans="2:7">
      <c r="B69" s="153" t="s">
        <v>495</v>
      </c>
      <c r="C69" s="148" t="s">
        <v>82</v>
      </c>
      <c r="D69" s="154">
        <v>2.2719587745556735</v>
      </c>
      <c r="E69" s="154">
        <v>2.0840210082780901</v>
      </c>
      <c r="G69" s="155"/>
    </row>
    <row r="70" spans="2:7">
      <c r="B70" s="153" t="s">
        <v>496</v>
      </c>
      <c r="C70" s="148" t="s">
        <v>83</v>
      </c>
      <c r="D70" s="154">
        <v>2.3882593762032762</v>
      </c>
      <c r="E70" s="154">
        <v>0</v>
      </c>
      <c r="G70" s="155"/>
    </row>
    <row r="71" spans="2:7">
      <c r="B71" s="153" t="s">
        <v>497</v>
      </c>
      <c r="C71" s="148" t="s">
        <v>80</v>
      </c>
      <c r="D71" s="154">
        <v>2.8833694498395888</v>
      </c>
      <c r="E71" s="154">
        <v>0.30893244105424167</v>
      </c>
      <c r="G71" s="155"/>
    </row>
    <row r="72" spans="2:7">
      <c r="B72" s="153" t="s">
        <v>498</v>
      </c>
      <c r="C72" s="148" t="s">
        <v>88</v>
      </c>
      <c r="D72" s="154">
        <v>3.1628411514016226</v>
      </c>
      <c r="E72" s="154">
        <v>0.49977173949912773</v>
      </c>
      <c r="G72" s="155"/>
    </row>
    <row r="73" spans="2:7">
      <c r="B73" s="153" t="s">
        <v>445</v>
      </c>
      <c r="C73" s="148" t="s">
        <v>89</v>
      </c>
      <c r="D73" s="154">
        <v>3.704564006123956</v>
      </c>
      <c r="E73" s="154">
        <v>2.4321630805971468</v>
      </c>
      <c r="G73" s="155"/>
    </row>
    <row r="74" spans="2:7">
      <c r="B74" s="158" t="s">
        <v>499</v>
      </c>
      <c r="C74" s="159" t="s">
        <v>81</v>
      </c>
      <c r="D74" s="165">
        <v>5.1553452632492336</v>
      </c>
      <c r="E74" s="165">
        <v>1.8420719139766197</v>
      </c>
      <c r="F74" s="159"/>
      <c r="G74" s="162"/>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6</vt:i4>
      </vt:variant>
    </vt:vector>
  </HeadingPairs>
  <TitlesOfParts>
    <vt:vector size="13" baseType="lpstr">
      <vt:lpstr>2020</vt:lpstr>
      <vt:lpstr>2021</vt:lpstr>
      <vt:lpstr>data</vt:lpstr>
      <vt:lpstr>diff</vt:lpstr>
      <vt:lpstr>Security</vt:lpstr>
      <vt:lpstr>Database</vt:lpstr>
      <vt:lpstr>Figure</vt:lpstr>
      <vt:lpstr>'2020'!Druckbereich</vt:lpstr>
      <vt:lpstr>'2021'!Druckbereich</vt:lpstr>
      <vt:lpstr>Database!Druckbereich</vt:lpstr>
      <vt:lpstr>'2020'!Drucktitel</vt:lpstr>
      <vt:lpstr>'2021'!Drucktitel</vt:lpstr>
      <vt:lpstr>Database!Drucktitel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 Yuan</dc:creator>
  <cp:lastModifiedBy>aulis pesenti</cp:lastModifiedBy>
  <cp:lastPrinted>2021-03-01T15:09:47Z</cp:lastPrinted>
  <dcterms:created xsi:type="dcterms:W3CDTF">2021-01-12T17:26:15Z</dcterms:created>
  <dcterms:modified xsi:type="dcterms:W3CDTF">2024-05-09T15:55:50Z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20210301101048406</vt:lpwstr>
  </property>
  <property fmtid="{D5CDD505-2E9C-101B-9397-08002B2CF9AE}" pid="3" name="{A44787D4-0540-4523-9961-78E4036D8C6D}">
    <vt:lpwstr>{DB730BFC-807A-41BF-97F0-5055EC74F257}</vt:lpwstr>
  </property>
</Properties>
</file>