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Master-Thesis/New/Working/Policy Reactions/IMF/"/>
    </mc:Choice>
  </mc:AlternateContent>
  <xr:revisionPtr revIDLastSave="617" documentId="13_ncr:1_{9EC61FE1-80C3-477C-B786-26F851794214}" xr6:coauthVersionLast="47" xr6:coauthVersionMax="47" xr10:uidLastSave="{5C018B76-77BE-4CFF-8E25-B7E546113DE9}"/>
  <bookViews>
    <workbookView xWindow="-30465" yWindow="-21600" windowWidth="26010" windowHeight="20985" xr2:uid="{00000000-000D-0000-FFFF-FFFF00000000}"/>
  </bookViews>
  <sheets>
    <sheet name="diff" sheetId="2" r:id="rId1"/>
    <sheet name="Sheet1" sheetId="1" r:id="rId2"/>
  </sheets>
  <externalReferences>
    <externalReference r:id="rId3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" i="2"/>
  <c r="O260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1" i="2"/>
  <c r="O262" i="2"/>
  <c r="O263" i="2"/>
  <c r="O264" i="2"/>
  <c r="O265" i="2"/>
  <c r="O266" i="2"/>
  <c r="O267" i="2"/>
  <c r="P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2" i="2"/>
  <c r="D2" i="2" l="1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M267" i="2"/>
  <c r="K267" i="2"/>
  <c r="J267" i="2"/>
  <c r="I267" i="2"/>
  <c r="H267" i="2"/>
  <c r="G267" i="2"/>
  <c r="F267" i="2"/>
  <c r="E267" i="2"/>
  <c r="D267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M266" i="2"/>
  <c r="K266" i="2"/>
  <c r="J266" i="2"/>
  <c r="I266" i="2"/>
  <c r="H266" i="2"/>
  <c r="G266" i="2"/>
  <c r="F266" i="2"/>
  <c r="E266" i="2"/>
  <c r="D266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M265" i="2"/>
  <c r="K265" i="2"/>
  <c r="J265" i="2"/>
  <c r="I265" i="2"/>
  <c r="H265" i="2"/>
  <c r="G265" i="2"/>
  <c r="F265" i="2"/>
  <c r="E265" i="2"/>
  <c r="D265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M264" i="2"/>
  <c r="K264" i="2"/>
  <c r="J264" i="2"/>
  <c r="I264" i="2"/>
  <c r="H264" i="2"/>
  <c r="G264" i="2"/>
  <c r="F264" i="2"/>
  <c r="E264" i="2"/>
  <c r="D264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M263" i="2"/>
  <c r="K263" i="2"/>
  <c r="J263" i="2"/>
  <c r="I263" i="2"/>
  <c r="H263" i="2"/>
  <c r="G263" i="2"/>
  <c r="F263" i="2"/>
  <c r="E263" i="2"/>
  <c r="D263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M262" i="2"/>
  <c r="K262" i="2"/>
  <c r="J262" i="2"/>
  <c r="I262" i="2"/>
  <c r="H262" i="2"/>
  <c r="G262" i="2"/>
  <c r="F262" i="2"/>
  <c r="E262" i="2"/>
  <c r="D262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M261" i="2"/>
  <c r="K261" i="2"/>
  <c r="J261" i="2"/>
  <c r="I261" i="2"/>
  <c r="H261" i="2"/>
  <c r="G261" i="2"/>
  <c r="F261" i="2"/>
  <c r="E261" i="2"/>
  <c r="D261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M260" i="2"/>
  <c r="K260" i="2"/>
  <c r="J260" i="2"/>
  <c r="I260" i="2"/>
  <c r="H260" i="2"/>
  <c r="G260" i="2"/>
  <c r="F260" i="2"/>
  <c r="E260" i="2"/>
  <c r="D260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M259" i="2"/>
  <c r="K259" i="2"/>
  <c r="J259" i="2"/>
  <c r="I259" i="2"/>
  <c r="H259" i="2"/>
  <c r="G259" i="2"/>
  <c r="F259" i="2"/>
  <c r="E259" i="2"/>
  <c r="D259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M258" i="2"/>
  <c r="K258" i="2"/>
  <c r="J258" i="2"/>
  <c r="I258" i="2"/>
  <c r="H258" i="2"/>
  <c r="G258" i="2"/>
  <c r="F258" i="2"/>
  <c r="E258" i="2"/>
  <c r="D258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M257" i="2"/>
  <c r="K257" i="2"/>
  <c r="J257" i="2"/>
  <c r="I257" i="2"/>
  <c r="H257" i="2"/>
  <c r="G257" i="2"/>
  <c r="F257" i="2"/>
  <c r="E257" i="2"/>
  <c r="D257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M256" i="2"/>
  <c r="K256" i="2"/>
  <c r="J256" i="2"/>
  <c r="I256" i="2"/>
  <c r="H256" i="2"/>
  <c r="G256" i="2"/>
  <c r="F256" i="2"/>
  <c r="E256" i="2"/>
  <c r="D256" i="2"/>
  <c r="AC255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M255" i="2"/>
  <c r="K255" i="2"/>
  <c r="J255" i="2"/>
  <c r="I255" i="2"/>
  <c r="H255" i="2"/>
  <c r="G255" i="2"/>
  <c r="F255" i="2"/>
  <c r="E255" i="2"/>
  <c r="D255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M254" i="2"/>
  <c r="K254" i="2"/>
  <c r="J254" i="2"/>
  <c r="I254" i="2"/>
  <c r="H254" i="2"/>
  <c r="G254" i="2"/>
  <c r="F254" i="2"/>
  <c r="E254" i="2"/>
  <c r="D254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M253" i="2"/>
  <c r="K253" i="2"/>
  <c r="J253" i="2"/>
  <c r="I253" i="2"/>
  <c r="H253" i="2"/>
  <c r="G253" i="2"/>
  <c r="F253" i="2"/>
  <c r="E253" i="2"/>
  <c r="D253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M252" i="2"/>
  <c r="K252" i="2"/>
  <c r="J252" i="2"/>
  <c r="I252" i="2"/>
  <c r="H252" i="2"/>
  <c r="G252" i="2"/>
  <c r="F252" i="2"/>
  <c r="E252" i="2"/>
  <c r="D252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M251" i="2"/>
  <c r="K251" i="2"/>
  <c r="J251" i="2"/>
  <c r="I251" i="2"/>
  <c r="H251" i="2"/>
  <c r="G251" i="2"/>
  <c r="F251" i="2"/>
  <c r="E251" i="2"/>
  <c r="D251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M250" i="2"/>
  <c r="K250" i="2"/>
  <c r="J250" i="2"/>
  <c r="I250" i="2"/>
  <c r="H250" i="2"/>
  <c r="G250" i="2"/>
  <c r="F250" i="2"/>
  <c r="E250" i="2"/>
  <c r="D250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M249" i="2"/>
  <c r="K249" i="2"/>
  <c r="J249" i="2"/>
  <c r="I249" i="2"/>
  <c r="H249" i="2"/>
  <c r="G249" i="2"/>
  <c r="F249" i="2"/>
  <c r="E249" i="2"/>
  <c r="D249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M248" i="2"/>
  <c r="K248" i="2"/>
  <c r="J248" i="2"/>
  <c r="I248" i="2"/>
  <c r="H248" i="2"/>
  <c r="G248" i="2"/>
  <c r="F248" i="2"/>
  <c r="E248" i="2"/>
  <c r="D248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M247" i="2"/>
  <c r="K247" i="2"/>
  <c r="J247" i="2"/>
  <c r="I247" i="2"/>
  <c r="H247" i="2"/>
  <c r="G247" i="2"/>
  <c r="F247" i="2"/>
  <c r="E247" i="2"/>
  <c r="D247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M246" i="2"/>
  <c r="K246" i="2"/>
  <c r="J246" i="2"/>
  <c r="I246" i="2"/>
  <c r="H246" i="2"/>
  <c r="G246" i="2"/>
  <c r="F246" i="2"/>
  <c r="E246" i="2"/>
  <c r="D246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M245" i="2"/>
  <c r="K245" i="2"/>
  <c r="J245" i="2"/>
  <c r="I245" i="2"/>
  <c r="H245" i="2"/>
  <c r="G245" i="2"/>
  <c r="F245" i="2"/>
  <c r="E245" i="2"/>
  <c r="D245" i="2"/>
  <c r="AC244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M244" i="2"/>
  <c r="K244" i="2"/>
  <c r="J244" i="2"/>
  <c r="I244" i="2"/>
  <c r="H244" i="2"/>
  <c r="G244" i="2"/>
  <c r="F244" i="2"/>
  <c r="E244" i="2"/>
  <c r="D244" i="2"/>
  <c r="AC243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M243" i="2"/>
  <c r="K243" i="2"/>
  <c r="J243" i="2"/>
  <c r="I243" i="2"/>
  <c r="H243" i="2"/>
  <c r="G243" i="2"/>
  <c r="F243" i="2"/>
  <c r="E243" i="2"/>
  <c r="D243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M242" i="2"/>
  <c r="K242" i="2"/>
  <c r="J242" i="2"/>
  <c r="I242" i="2"/>
  <c r="H242" i="2"/>
  <c r="G242" i="2"/>
  <c r="F242" i="2"/>
  <c r="E242" i="2"/>
  <c r="D242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M241" i="2"/>
  <c r="K241" i="2"/>
  <c r="J241" i="2"/>
  <c r="I241" i="2"/>
  <c r="H241" i="2"/>
  <c r="G241" i="2"/>
  <c r="F241" i="2"/>
  <c r="E241" i="2"/>
  <c r="D241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M240" i="2"/>
  <c r="K240" i="2"/>
  <c r="J240" i="2"/>
  <c r="I240" i="2"/>
  <c r="H240" i="2"/>
  <c r="G240" i="2"/>
  <c r="F240" i="2"/>
  <c r="E240" i="2"/>
  <c r="D240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M239" i="2"/>
  <c r="K239" i="2"/>
  <c r="J239" i="2"/>
  <c r="I239" i="2"/>
  <c r="H239" i="2"/>
  <c r="G239" i="2"/>
  <c r="F239" i="2"/>
  <c r="E239" i="2"/>
  <c r="D239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M238" i="2"/>
  <c r="K238" i="2"/>
  <c r="J238" i="2"/>
  <c r="I238" i="2"/>
  <c r="H238" i="2"/>
  <c r="G238" i="2"/>
  <c r="F238" i="2"/>
  <c r="E238" i="2"/>
  <c r="D238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M237" i="2"/>
  <c r="K237" i="2"/>
  <c r="J237" i="2"/>
  <c r="I237" i="2"/>
  <c r="H237" i="2"/>
  <c r="G237" i="2"/>
  <c r="F237" i="2"/>
  <c r="E237" i="2"/>
  <c r="D237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M236" i="2"/>
  <c r="K236" i="2"/>
  <c r="J236" i="2"/>
  <c r="I236" i="2"/>
  <c r="H236" i="2"/>
  <c r="G236" i="2"/>
  <c r="F236" i="2"/>
  <c r="E236" i="2"/>
  <c r="D236" i="2"/>
  <c r="AC235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M235" i="2"/>
  <c r="K235" i="2"/>
  <c r="J235" i="2"/>
  <c r="I235" i="2"/>
  <c r="H235" i="2"/>
  <c r="G235" i="2"/>
  <c r="F235" i="2"/>
  <c r="E235" i="2"/>
  <c r="D235" i="2"/>
  <c r="AC234" i="2"/>
  <c r="AB234" i="2"/>
  <c r="AA234" i="2"/>
  <c r="Z234" i="2"/>
  <c r="Y234" i="2"/>
  <c r="X234" i="2"/>
  <c r="W234" i="2"/>
  <c r="V234" i="2"/>
  <c r="U234" i="2"/>
  <c r="T234" i="2"/>
  <c r="S234" i="2"/>
  <c r="R234" i="2"/>
  <c r="Q234" i="2"/>
  <c r="P234" i="2"/>
  <c r="M234" i="2"/>
  <c r="K234" i="2"/>
  <c r="J234" i="2"/>
  <c r="I234" i="2"/>
  <c r="H234" i="2"/>
  <c r="G234" i="2"/>
  <c r="F234" i="2"/>
  <c r="E234" i="2"/>
  <c r="D234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M233" i="2"/>
  <c r="K233" i="2"/>
  <c r="J233" i="2"/>
  <c r="I233" i="2"/>
  <c r="H233" i="2"/>
  <c r="G233" i="2"/>
  <c r="F233" i="2"/>
  <c r="E233" i="2"/>
  <c r="D233" i="2"/>
  <c r="AC232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M232" i="2"/>
  <c r="K232" i="2"/>
  <c r="J232" i="2"/>
  <c r="I232" i="2"/>
  <c r="H232" i="2"/>
  <c r="G232" i="2"/>
  <c r="F232" i="2"/>
  <c r="E232" i="2"/>
  <c r="D232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M231" i="2"/>
  <c r="K231" i="2"/>
  <c r="J231" i="2"/>
  <c r="I231" i="2"/>
  <c r="H231" i="2"/>
  <c r="G231" i="2"/>
  <c r="F231" i="2"/>
  <c r="E231" i="2"/>
  <c r="D231" i="2"/>
  <c r="AC230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M230" i="2"/>
  <c r="K230" i="2"/>
  <c r="J230" i="2"/>
  <c r="I230" i="2"/>
  <c r="H230" i="2"/>
  <c r="G230" i="2"/>
  <c r="F230" i="2"/>
  <c r="E230" i="2"/>
  <c r="D230" i="2"/>
  <c r="AC229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M229" i="2"/>
  <c r="K229" i="2"/>
  <c r="J229" i="2"/>
  <c r="I229" i="2"/>
  <c r="H229" i="2"/>
  <c r="G229" i="2"/>
  <c r="F229" i="2"/>
  <c r="E229" i="2"/>
  <c r="D229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M228" i="2"/>
  <c r="K228" i="2"/>
  <c r="J228" i="2"/>
  <c r="I228" i="2"/>
  <c r="H228" i="2"/>
  <c r="G228" i="2"/>
  <c r="F228" i="2"/>
  <c r="E228" i="2"/>
  <c r="D228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M227" i="2"/>
  <c r="K227" i="2"/>
  <c r="J227" i="2"/>
  <c r="I227" i="2"/>
  <c r="H227" i="2"/>
  <c r="G227" i="2"/>
  <c r="F227" i="2"/>
  <c r="E227" i="2"/>
  <c r="D227" i="2"/>
  <c r="AC226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M226" i="2"/>
  <c r="K226" i="2"/>
  <c r="J226" i="2"/>
  <c r="I226" i="2"/>
  <c r="H226" i="2"/>
  <c r="G226" i="2"/>
  <c r="F226" i="2"/>
  <c r="E226" i="2"/>
  <c r="D226" i="2"/>
  <c r="AC225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M225" i="2"/>
  <c r="K225" i="2"/>
  <c r="J225" i="2"/>
  <c r="I225" i="2"/>
  <c r="H225" i="2"/>
  <c r="G225" i="2"/>
  <c r="F225" i="2"/>
  <c r="E225" i="2"/>
  <c r="D225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M224" i="2"/>
  <c r="K224" i="2"/>
  <c r="J224" i="2"/>
  <c r="I224" i="2"/>
  <c r="H224" i="2"/>
  <c r="G224" i="2"/>
  <c r="F224" i="2"/>
  <c r="E224" i="2"/>
  <c r="D224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M223" i="2"/>
  <c r="K223" i="2"/>
  <c r="J223" i="2"/>
  <c r="I223" i="2"/>
  <c r="H223" i="2"/>
  <c r="G223" i="2"/>
  <c r="F223" i="2"/>
  <c r="E223" i="2"/>
  <c r="D223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M222" i="2"/>
  <c r="K222" i="2"/>
  <c r="J222" i="2"/>
  <c r="I222" i="2"/>
  <c r="H222" i="2"/>
  <c r="G222" i="2"/>
  <c r="F222" i="2"/>
  <c r="E222" i="2"/>
  <c r="D222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M221" i="2"/>
  <c r="K221" i="2"/>
  <c r="J221" i="2"/>
  <c r="I221" i="2"/>
  <c r="H221" i="2"/>
  <c r="G221" i="2"/>
  <c r="F221" i="2"/>
  <c r="E221" i="2"/>
  <c r="D221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M220" i="2"/>
  <c r="K220" i="2"/>
  <c r="J220" i="2"/>
  <c r="I220" i="2"/>
  <c r="H220" i="2"/>
  <c r="G220" i="2"/>
  <c r="F220" i="2"/>
  <c r="E220" i="2"/>
  <c r="D220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M219" i="2"/>
  <c r="K219" i="2"/>
  <c r="J219" i="2"/>
  <c r="I219" i="2"/>
  <c r="H219" i="2"/>
  <c r="G219" i="2"/>
  <c r="F219" i="2"/>
  <c r="E219" i="2"/>
  <c r="D219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M218" i="2"/>
  <c r="K218" i="2"/>
  <c r="J218" i="2"/>
  <c r="I218" i="2"/>
  <c r="H218" i="2"/>
  <c r="G218" i="2"/>
  <c r="F218" i="2"/>
  <c r="E218" i="2"/>
  <c r="D218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M217" i="2"/>
  <c r="K217" i="2"/>
  <c r="J217" i="2"/>
  <c r="I217" i="2"/>
  <c r="H217" i="2"/>
  <c r="G217" i="2"/>
  <c r="F217" i="2"/>
  <c r="E217" i="2"/>
  <c r="D217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M216" i="2"/>
  <c r="K216" i="2"/>
  <c r="J216" i="2"/>
  <c r="I216" i="2"/>
  <c r="H216" i="2"/>
  <c r="G216" i="2"/>
  <c r="F216" i="2"/>
  <c r="E216" i="2"/>
  <c r="D216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M215" i="2"/>
  <c r="K215" i="2"/>
  <c r="J215" i="2"/>
  <c r="I215" i="2"/>
  <c r="H215" i="2"/>
  <c r="G215" i="2"/>
  <c r="F215" i="2"/>
  <c r="E215" i="2"/>
  <c r="D215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M214" i="2"/>
  <c r="K214" i="2"/>
  <c r="J214" i="2"/>
  <c r="I214" i="2"/>
  <c r="H214" i="2"/>
  <c r="G214" i="2"/>
  <c r="F214" i="2"/>
  <c r="E214" i="2"/>
  <c r="D214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M213" i="2"/>
  <c r="K213" i="2"/>
  <c r="J213" i="2"/>
  <c r="I213" i="2"/>
  <c r="H213" i="2"/>
  <c r="G213" i="2"/>
  <c r="F213" i="2"/>
  <c r="E213" i="2"/>
  <c r="D213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M212" i="2"/>
  <c r="K212" i="2"/>
  <c r="J212" i="2"/>
  <c r="I212" i="2"/>
  <c r="H212" i="2"/>
  <c r="G212" i="2"/>
  <c r="F212" i="2"/>
  <c r="E212" i="2"/>
  <c r="D212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M211" i="2"/>
  <c r="K211" i="2"/>
  <c r="J211" i="2"/>
  <c r="I211" i="2"/>
  <c r="H211" i="2"/>
  <c r="G211" i="2"/>
  <c r="F211" i="2"/>
  <c r="E211" i="2"/>
  <c r="D211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M210" i="2"/>
  <c r="K210" i="2"/>
  <c r="J210" i="2"/>
  <c r="I210" i="2"/>
  <c r="H210" i="2"/>
  <c r="G210" i="2"/>
  <c r="F210" i="2"/>
  <c r="E210" i="2"/>
  <c r="D210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M209" i="2"/>
  <c r="K209" i="2"/>
  <c r="J209" i="2"/>
  <c r="I209" i="2"/>
  <c r="H209" i="2"/>
  <c r="G209" i="2"/>
  <c r="F209" i="2"/>
  <c r="E209" i="2"/>
  <c r="D209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M208" i="2"/>
  <c r="K208" i="2"/>
  <c r="J208" i="2"/>
  <c r="I208" i="2"/>
  <c r="H208" i="2"/>
  <c r="G208" i="2"/>
  <c r="F208" i="2"/>
  <c r="E208" i="2"/>
  <c r="D208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M207" i="2"/>
  <c r="K207" i="2"/>
  <c r="J207" i="2"/>
  <c r="I207" i="2"/>
  <c r="H207" i="2"/>
  <c r="G207" i="2"/>
  <c r="F207" i="2"/>
  <c r="E207" i="2"/>
  <c r="D207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M206" i="2"/>
  <c r="K206" i="2"/>
  <c r="J206" i="2"/>
  <c r="I206" i="2"/>
  <c r="H206" i="2"/>
  <c r="G206" i="2"/>
  <c r="F206" i="2"/>
  <c r="E206" i="2"/>
  <c r="D206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M205" i="2"/>
  <c r="K205" i="2"/>
  <c r="J205" i="2"/>
  <c r="I205" i="2"/>
  <c r="H205" i="2"/>
  <c r="G205" i="2"/>
  <c r="F205" i="2"/>
  <c r="E205" i="2"/>
  <c r="D205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M204" i="2"/>
  <c r="K204" i="2"/>
  <c r="J204" i="2"/>
  <c r="I204" i="2"/>
  <c r="H204" i="2"/>
  <c r="G204" i="2"/>
  <c r="F204" i="2"/>
  <c r="E204" i="2"/>
  <c r="D204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M203" i="2"/>
  <c r="K203" i="2"/>
  <c r="J203" i="2"/>
  <c r="I203" i="2"/>
  <c r="H203" i="2"/>
  <c r="G203" i="2"/>
  <c r="F203" i="2"/>
  <c r="E203" i="2"/>
  <c r="D203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M202" i="2"/>
  <c r="K202" i="2"/>
  <c r="J202" i="2"/>
  <c r="I202" i="2"/>
  <c r="H202" i="2"/>
  <c r="G202" i="2"/>
  <c r="F202" i="2"/>
  <c r="E202" i="2"/>
  <c r="D202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M201" i="2"/>
  <c r="K201" i="2"/>
  <c r="J201" i="2"/>
  <c r="I201" i="2"/>
  <c r="H201" i="2"/>
  <c r="G201" i="2"/>
  <c r="F201" i="2"/>
  <c r="E201" i="2"/>
  <c r="D201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M200" i="2"/>
  <c r="K200" i="2"/>
  <c r="J200" i="2"/>
  <c r="I200" i="2"/>
  <c r="H200" i="2"/>
  <c r="G200" i="2"/>
  <c r="F200" i="2"/>
  <c r="E200" i="2"/>
  <c r="D200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M199" i="2"/>
  <c r="K199" i="2"/>
  <c r="J199" i="2"/>
  <c r="I199" i="2"/>
  <c r="H199" i="2"/>
  <c r="G199" i="2"/>
  <c r="F199" i="2"/>
  <c r="E199" i="2"/>
  <c r="D199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M198" i="2"/>
  <c r="K198" i="2"/>
  <c r="J198" i="2"/>
  <c r="I198" i="2"/>
  <c r="H198" i="2"/>
  <c r="G198" i="2"/>
  <c r="F198" i="2"/>
  <c r="E198" i="2"/>
  <c r="D198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M197" i="2"/>
  <c r="K197" i="2"/>
  <c r="J197" i="2"/>
  <c r="I197" i="2"/>
  <c r="H197" i="2"/>
  <c r="G197" i="2"/>
  <c r="F197" i="2"/>
  <c r="E197" i="2"/>
  <c r="D197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M196" i="2"/>
  <c r="K196" i="2"/>
  <c r="J196" i="2"/>
  <c r="I196" i="2"/>
  <c r="H196" i="2"/>
  <c r="G196" i="2"/>
  <c r="F196" i="2"/>
  <c r="E196" i="2"/>
  <c r="D196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M195" i="2"/>
  <c r="K195" i="2"/>
  <c r="J195" i="2"/>
  <c r="I195" i="2"/>
  <c r="H195" i="2"/>
  <c r="G195" i="2"/>
  <c r="F195" i="2"/>
  <c r="E195" i="2"/>
  <c r="D195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M194" i="2"/>
  <c r="K194" i="2"/>
  <c r="J194" i="2"/>
  <c r="I194" i="2"/>
  <c r="H194" i="2"/>
  <c r="G194" i="2"/>
  <c r="F194" i="2"/>
  <c r="E194" i="2"/>
  <c r="D194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M193" i="2"/>
  <c r="K193" i="2"/>
  <c r="J193" i="2"/>
  <c r="I193" i="2"/>
  <c r="H193" i="2"/>
  <c r="G193" i="2"/>
  <c r="F193" i="2"/>
  <c r="E193" i="2"/>
  <c r="D193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M192" i="2"/>
  <c r="K192" i="2"/>
  <c r="J192" i="2"/>
  <c r="I192" i="2"/>
  <c r="H192" i="2"/>
  <c r="G192" i="2"/>
  <c r="F192" i="2"/>
  <c r="E192" i="2"/>
  <c r="D192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M191" i="2"/>
  <c r="K191" i="2"/>
  <c r="J191" i="2"/>
  <c r="I191" i="2"/>
  <c r="H191" i="2"/>
  <c r="G191" i="2"/>
  <c r="F191" i="2"/>
  <c r="E191" i="2"/>
  <c r="D191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M190" i="2"/>
  <c r="K190" i="2"/>
  <c r="J190" i="2"/>
  <c r="I190" i="2"/>
  <c r="H190" i="2"/>
  <c r="G190" i="2"/>
  <c r="F190" i="2"/>
  <c r="E190" i="2"/>
  <c r="D190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M189" i="2"/>
  <c r="K189" i="2"/>
  <c r="J189" i="2"/>
  <c r="I189" i="2"/>
  <c r="H189" i="2"/>
  <c r="G189" i="2"/>
  <c r="F189" i="2"/>
  <c r="E189" i="2"/>
  <c r="D189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M188" i="2"/>
  <c r="K188" i="2"/>
  <c r="J188" i="2"/>
  <c r="I188" i="2"/>
  <c r="H188" i="2"/>
  <c r="G188" i="2"/>
  <c r="F188" i="2"/>
  <c r="E188" i="2"/>
  <c r="D188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M187" i="2"/>
  <c r="K187" i="2"/>
  <c r="J187" i="2"/>
  <c r="I187" i="2"/>
  <c r="H187" i="2"/>
  <c r="G187" i="2"/>
  <c r="F187" i="2"/>
  <c r="E187" i="2"/>
  <c r="D187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M186" i="2"/>
  <c r="K186" i="2"/>
  <c r="J186" i="2"/>
  <c r="I186" i="2"/>
  <c r="H186" i="2"/>
  <c r="G186" i="2"/>
  <c r="F186" i="2"/>
  <c r="E186" i="2"/>
  <c r="D186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M185" i="2"/>
  <c r="K185" i="2"/>
  <c r="J185" i="2"/>
  <c r="I185" i="2"/>
  <c r="H185" i="2"/>
  <c r="G185" i="2"/>
  <c r="F185" i="2"/>
  <c r="E185" i="2"/>
  <c r="D185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M184" i="2"/>
  <c r="K184" i="2"/>
  <c r="J184" i="2"/>
  <c r="I184" i="2"/>
  <c r="H184" i="2"/>
  <c r="G184" i="2"/>
  <c r="F184" i="2"/>
  <c r="E184" i="2"/>
  <c r="D184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M183" i="2"/>
  <c r="K183" i="2"/>
  <c r="J183" i="2"/>
  <c r="I183" i="2"/>
  <c r="H183" i="2"/>
  <c r="G183" i="2"/>
  <c r="F183" i="2"/>
  <c r="E183" i="2"/>
  <c r="D183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M182" i="2"/>
  <c r="K182" i="2"/>
  <c r="J182" i="2"/>
  <c r="I182" i="2"/>
  <c r="H182" i="2"/>
  <c r="G182" i="2"/>
  <c r="F182" i="2"/>
  <c r="E182" i="2"/>
  <c r="D182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M181" i="2"/>
  <c r="K181" i="2"/>
  <c r="J181" i="2"/>
  <c r="I181" i="2"/>
  <c r="H181" i="2"/>
  <c r="G181" i="2"/>
  <c r="F181" i="2"/>
  <c r="E181" i="2"/>
  <c r="D181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M180" i="2"/>
  <c r="K180" i="2"/>
  <c r="J180" i="2"/>
  <c r="I180" i="2"/>
  <c r="H180" i="2"/>
  <c r="G180" i="2"/>
  <c r="F180" i="2"/>
  <c r="E180" i="2"/>
  <c r="D180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M179" i="2"/>
  <c r="K179" i="2"/>
  <c r="J179" i="2"/>
  <c r="I179" i="2"/>
  <c r="H179" i="2"/>
  <c r="G179" i="2"/>
  <c r="F179" i="2"/>
  <c r="E179" i="2"/>
  <c r="D179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M178" i="2"/>
  <c r="K178" i="2"/>
  <c r="J178" i="2"/>
  <c r="I178" i="2"/>
  <c r="H178" i="2"/>
  <c r="G178" i="2"/>
  <c r="F178" i="2"/>
  <c r="E178" i="2"/>
  <c r="D178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M177" i="2"/>
  <c r="K177" i="2"/>
  <c r="J177" i="2"/>
  <c r="I177" i="2"/>
  <c r="H177" i="2"/>
  <c r="G177" i="2"/>
  <c r="F177" i="2"/>
  <c r="E177" i="2"/>
  <c r="D177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M176" i="2"/>
  <c r="K176" i="2"/>
  <c r="J176" i="2"/>
  <c r="I176" i="2"/>
  <c r="H176" i="2"/>
  <c r="G176" i="2"/>
  <c r="F176" i="2"/>
  <c r="E176" i="2"/>
  <c r="D176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M175" i="2"/>
  <c r="K175" i="2"/>
  <c r="J175" i="2"/>
  <c r="I175" i="2"/>
  <c r="H175" i="2"/>
  <c r="G175" i="2"/>
  <c r="F175" i="2"/>
  <c r="E175" i="2"/>
  <c r="D175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M174" i="2"/>
  <c r="K174" i="2"/>
  <c r="J174" i="2"/>
  <c r="I174" i="2"/>
  <c r="H174" i="2"/>
  <c r="G174" i="2"/>
  <c r="F174" i="2"/>
  <c r="E174" i="2"/>
  <c r="D174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M173" i="2"/>
  <c r="K173" i="2"/>
  <c r="J173" i="2"/>
  <c r="I173" i="2"/>
  <c r="H173" i="2"/>
  <c r="G173" i="2"/>
  <c r="F173" i="2"/>
  <c r="E173" i="2"/>
  <c r="D173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M172" i="2"/>
  <c r="K172" i="2"/>
  <c r="J172" i="2"/>
  <c r="I172" i="2"/>
  <c r="H172" i="2"/>
  <c r="G172" i="2"/>
  <c r="F172" i="2"/>
  <c r="E172" i="2"/>
  <c r="D172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M171" i="2"/>
  <c r="K171" i="2"/>
  <c r="J171" i="2"/>
  <c r="I171" i="2"/>
  <c r="H171" i="2"/>
  <c r="G171" i="2"/>
  <c r="F171" i="2"/>
  <c r="E171" i="2"/>
  <c r="D171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M170" i="2"/>
  <c r="K170" i="2"/>
  <c r="J170" i="2"/>
  <c r="I170" i="2"/>
  <c r="H170" i="2"/>
  <c r="G170" i="2"/>
  <c r="F170" i="2"/>
  <c r="E170" i="2"/>
  <c r="D170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M169" i="2"/>
  <c r="K169" i="2"/>
  <c r="J169" i="2"/>
  <c r="I169" i="2"/>
  <c r="H169" i="2"/>
  <c r="G169" i="2"/>
  <c r="F169" i="2"/>
  <c r="E169" i="2"/>
  <c r="D169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M168" i="2"/>
  <c r="K168" i="2"/>
  <c r="J168" i="2"/>
  <c r="I168" i="2"/>
  <c r="H168" i="2"/>
  <c r="G168" i="2"/>
  <c r="F168" i="2"/>
  <c r="E168" i="2"/>
  <c r="D168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M167" i="2"/>
  <c r="K167" i="2"/>
  <c r="J167" i="2"/>
  <c r="I167" i="2"/>
  <c r="H167" i="2"/>
  <c r="G167" i="2"/>
  <c r="F167" i="2"/>
  <c r="E167" i="2"/>
  <c r="D167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M166" i="2"/>
  <c r="K166" i="2"/>
  <c r="J166" i="2"/>
  <c r="I166" i="2"/>
  <c r="H166" i="2"/>
  <c r="G166" i="2"/>
  <c r="F166" i="2"/>
  <c r="E166" i="2"/>
  <c r="D166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M165" i="2"/>
  <c r="K165" i="2"/>
  <c r="J165" i="2"/>
  <c r="I165" i="2"/>
  <c r="H165" i="2"/>
  <c r="G165" i="2"/>
  <c r="F165" i="2"/>
  <c r="E165" i="2"/>
  <c r="D165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M164" i="2"/>
  <c r="K164" i="2"/>
  <c r="J164" i="2"/>
  <c r="I164" i="2"/>
  <c r="H164" i="2"/>
  <c r="G164" i="2"/>
  <c r="F164" i="2"/>
  <c r="E164" i="2"/>
  <c r="D164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M163" i="2"/>
  <c r="K163" i="2"/>
  <c r="J163" i="2"/>
  <c r="I163" i="2"/>
  <c r="H163" i="2"/>
  <c r="G163" i="2"/>
  <c r="F163" i="2"/>
  <c r="E163" i="2"/>
  <c r="D163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M162" i="2"/>
  <c r="K162" i="2"/>
  <c r="J162" i="2"/>
  <c r="I162" i="2"/>
  <c r="H162" i="2"/>
  <c r="G162" i="2"/>
  <c r="F162" i="2"/>
  <c r="E162" i="2"/>
  <c r="D162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M161" i="2"/>
  <c r="K161" i="2"/>
  <c r="J161" i="2"/>
  <c r="I161" i="2"/>
  <c r="H161" i="2"/>
  <c r="G161" i="2"/>
  <c r="F161" i="2"/>
  <c r="E161" i="2"/>
  <c r="D161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M160" i="2"/>
  <c r="K160" i="2"/>
  <c r="J160" i="2"/>
  <c r="I160" i="2"/>
  <c r="H160" i="2"/>
  <c r="G160" i="2"/>
  <c r="F160" i="2"/>
  <c r="E160" i="2"/>
  <c r="D160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M159" i="2"/>
  <c r="K159" i="2"/>
  <c r="J159" i="2"/>
  <c r="I159" i="2"/>
  <c r="H159" i="2"/>
  <c r="G159" i="2"/>
  <c r="F159" i="2"/>
  <c r="E159" i="2"/>
  <c r="D159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M158" i="2"/>
  <c r="K158" i="2"/>
  <c r="J158" i="2"/>
  <c r="I158" i="2"/>
  <c r="H158" i="2"/>
  <c r="G158" i="2"/>
  <c r="F158" i="2"/>
  <c r="E158" i="2"/>
  <c r="D158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M157" i="2"/>
  <c r="K157" i="2"/>
  <c r="J157" i="2"/>
  <c r="I157" i="2"/>
  <c r="H157" i="2"/>
  <c r="G157" i="2"/>
  <c r="F157" i="2"/>
  <c r="E157" i="2"/>
  <c r="D157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M156" i="2"/>
  <c r="K156" i="2"/>
  <c r="J156" i="2"/>
  <c r="I156" i="2"/>
  <c r="H156" i="2"/>
  <c r="G156" i="2"/>
  <c r="F156" i="2"/>
  <c r="E156" i="2"/>
  <c r="D156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M155" i="2"/>
  <c r="K155" i="2"/>
  <c r="J155" i="2"/>
  <c r="I155" i="2"/>
  <c r="H155" i="2"/>
  <c r="G155" i="2"/>
  <c r="F155" i="2"/>
  <c r="E155" i="2"/>
  <c r="D155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M154" i="2"/>
  <c r="K154" i="2"/>
  <c r="J154" i="2"/>
  <c r="I154" i="2"/>
  <c r="H154" i="2"/>
  <c r="G154" i="2"/>
  <c r="F154" i="2"/>
  <c r="E154" i="2"/>
  <c r="D154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M153" i="2"/>
  <c r="K153" i="2"/>
  <c r="J153" i="2"/>
  <c r="I153" i="2"/>
  <c r="H153" i="2"/>
  <c r="G153" i="2"/>
  <c r="F153" i="2"/>
  <c r="E153" i="2"/>
  <c r="D153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M152" i="2"/>
  <c r="K152" i="2"/>
  <c r="J152" i="2"/>
  <c r="I152" i="2"/>
  <c r="H152" i="2"/>
  <c r="G152" i="2"/>
  <c r="F152" i="2"/>
  <c r="E152" i="2"/>
  <c r="D152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M151" i="2"/>
  <c r="K151" i="2"/>
  <c r="J151" i="2"/>
  <c r="I151" i="2"/>
  <c r="H151" i="2"/>
  <c r="G151" i="2"/>
  <c r="F151" i="2"/>
  <c r="E151" i="2"/>
  <c r="D151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M150" i="2"/>
  <c r="K150" i="2"/>
  <c r="J150" i="2"/>
  <c r="I150" i="2"/>
  <c r="H150" i="2"/>
  <c r="G150" i="2"/>
  <c r="F150" i="2"/>
  <c r="E150" i="2"/>
  <c r="D150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M149" i="2"/>
  <c r="K149" i="2"/>
  <c r="J149" i="2"/>
  <c r="I149" i="2"/>
  <c r="H149" i="2"/>
  <c r="G149" i="2"/>
  <c r="F149" i="2"/>
  <c r="E149" i="2"/>
  <c r="D149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M148" i="2"/>
  <c r="K148" i="2"/>
  <c r="J148" i="2"/>
  <c r="I148" i="2"/>
  <c r="H148" i="2"/>
  <c r="G148" i="2"/>
  <c r="F148" i="2"/>
  <c r="E148" i="2"/>
  <c r="D148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M147" i="2"/>
  <c r="K147" i="2"/>
  <c r="J147" i="2"/>
  <c r="I147" i="2"/>
  <c r="H147" i="2"/>
  <c r="G147" i="2"/>
  <c r="E147" i="2"/>
  <c r="D147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M146" i="2"/>
  <c r="K146" i="2"/>
  <c r="J146" i="2"/>
  <c r="I146" i="2"/>
  <c r="H146" i="2"/>
  <c r="G146" i="2"/>
  <c r="F146" i="2"/>
  <c r="E146" i="2"/>
  <c r="D146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M145" i="2"/>
  <c r="K145" i="2"/>
  <c r="J145" i="2"/>
  <c r="I145" i="2"/>
  <c r="H145" i="2"/>
  <c r="G145" i="2"/>
  <c r="F145" i="2"/>
  <c r="E145" i="2"/>
  <c r="D145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M144" i="2"/>
  <c r="K144" i="2"/>
  <c r="J144" i="2"/>
  <c r="I144" i="2"/>
  <c r="H144" i="2"/>
  <c r="G144" i="2"/>
  <c r="F144" i="2"/>
  <c r="E144" i="2"/>
  <c r="D144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M143" i="2"/>
  <c r="K143" i="2"/>
  <c r="J143" i="2"/>
  <c r="I143" i="2"/>
  <c r="H143" i="2"/>
  <c r="G143" i="2"/>
  <c r="F143" i="2"/>
  <c r="E143" i="2"/>
  <c r="D143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M142" i="2"/>
  <c r="K142" i="2"/>
  <c r="J142" i="2"/>
  <c r="I142" i="2"/>
  <c r="H142" i="2"/>
  <c r="G142" i="2"/>
  <c r="F142" i="2"/>
  <c r="E142" i="2"/>
  <c r="D142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M141" i="2"/>
  <c r="K141" i="2"/>
  <c r="J141" i="2"/>
  <c r="I141" i="2"/>
  <c r="H141" i="2"/>
  <c r="G141" i="2"/>
  <c r="F141" i="2"/>
  <c r="E141" i="2"/>
  <c r="D141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M140" i="2"/>
  <c r="K140" i="2"/>
  <c r="J140" i="2"/>
  <c r="I140" i="2"/>
  <c r="H140" i="2"/>
  <c r="G140" i="2"/>
  <c r="F140" i="2"/>
  <c r="E140" i="2"/>
  <c r="D140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M139" i="2"/>
  <c r="K139" i="2"/>
  <c r="J139" i="2"/>
  <c r="I139" i="2"/>
  <c r="H139" i="2"/>
  <c r="G139" i="2"/>
  <c r="F139" i="2"/>
  <c r="E139" i="2"/>
  <c r="D139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M138" i="2"/>
  <c r="K138" i="2"/>
  <c r="J138" i="2"/>
  <c r="I138" i="2"/>
  <c r="H138" i="2"/>
  <c r="G138" i="2"/>
  <c r="F138" i="2"/>
  <c r="E138" i="2"/>
  <c r="D138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M137" i="2"/>
  <c r="K137" i="2"/>
  <c r="J137" i="2"/>
  <c r="I137" i="2"/>
  <c r="H137" i="2"/>
  <c r="G137" i="2"/>
  <c r="F137" i="2"/>
  <c r="E137" i="2"/>
  <c r="D137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M136" i="2"/>
  <c r="K136" i="2"/>
  <c r="J136" i="2"/>
  <c r="I136" i="2"/>
  <c r="H136" i="2"/>
  <c r="G136" i="2"/>
  <c r="F136" i="2"/>
  <c r="E136" i="2"/>
  <c r="D136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M135" i="2"/>
  <c r="K135" i="2"/>
  <c r="J135" i="2"/>
  <c r="I135" i="2"/>
  <c r="H135" i="2"/>
  <c r="G135" i="2"/>
  <c r="F135" i="2"/>
  <c r="E135" i="2"/>
  <c r="D135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M134" i="2"/>
  <c r="K134" i="2"/>
  <c r="J134" i="2"/>
  <c r="I134" i="2"/>
  <c r="H134" i="2"/>
  <c r="G134" i="2"/>
  <c r="F134" i="2"/>
  <c r="E134" i="2"/>
  <c r="D134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M133" i="2"/>
  <c r="K133" i="2"/>
  <c r="J133" i="2"/>
  <c r="I133" i="2"/>
  <c r="H133" i="2"/>
  <c r="G133" i="2"/>
  <c r="F133" i="2"/>
  <c r="E133" i="2"/>
  <c r="D133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M132" i="2"/>
  <c r="K132" i="2"/>
  <c r="J132" i="2"/>
  <c r="I132" i="2"/>
  <c r="H132" i="2"/>
  <c r="G132" i="2"/>
  <c r="F132" i="2"/>
  <c r="E132" i="2"/>
  <c r="D132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M131" i="2"/>
  <c r="K131" i="2"/>
  <c r="J131" i="2"/>
  <c r="I131" i="2"/>
  <c r="H131" i="2"/>
  <c r="G131" i="2"/>
  <c r="F131" i="2"/>
  <c r="E131" i="2"/>
  <c r="D131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M130" i="2"/>
  <c r="K130" i="2"/>
  <c r="J130" i="2"/>
  <c r="I130" i="2"/>
  <c r="H130" i="2"/>
  <c r="G130" i="2"/>
  <c r="F130" i="2"/>
  <c r="E130" i="2"/>
  <c r="D130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M129" i="2"/>
  <c r="K129" i="2"/>
  <c r="J129" i="2"/>
  <c r="I129" i="2"/>
  <c r="H129" i="2"/>
  <c r="G129" i="2"/>
  <c r="F129" i="2"/>
  <c r="E129" i="2"/>
  <c r="D129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M128" i="2"/>
  <c r="K128" i="2"/>
  <c r="J128" i="2"/>
  <c r="I128" i="2"/>
  <c r="H128" i="2"/>
  <c r="G128" i="2"/>
  <c r="F128" i="2"/>
  <c r="E128" i="2"/>
  <c r="D128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M127" i="2"/>
  <c r="K127" i="2"/>
  <c r="J127" i="2"/>
  <c r="I127" i="2"/>
  <c r="H127" i="2"/>
  <c r="G127" i="2"/>
  <c r="F127" i="2"/>
  <c r="E127" i="2"/>
  <c r="D127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M126" i="2"/>
  <c r="K126" i="2"/>
  <c r="J126" i="2"/>
  <c r="I126" i="2"/>
  <c r="H126" i="2"/>
  <c r="G126" i="2"/>
  <c r="F126" i="2"/>
  <c r="E126" i="2"/>
  <c r="D126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M125" i="2"/>
  <c r="K125" i="2"/>
  <c r="J125" i="2"/>
  <c r="I125" i="2"/>
  <c r="H125" i="2"/>
  <c r="G125" i="2"/>
  <c r="F125" i="2"/>
  <c r="E125" i="2"/>
  <c r="D125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M124" i="2"/>
  <c r="K124" i="2"/>
  <c r="J124" i="2"/>
  <c r="I124" i="2"/>
  <c r="H124" i="2"/>
  <c r="G124" i="2"/>
  <c r="F124" i="2"/>
  <c r="E124" i="2"/>
  <c r="D124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M123" i="2"/>
  <c r="K123" i="2"/>
  <c r="J123" i="2"/>
  <c r="I123" i="2"/>
  <c r="H123" i="2"/>
  <c r="G123" i="2"/>
  <c r="F123" i="2"/>
  <c r="E123" i="2"/>
  <c r="D123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M122" i="2"/>
  <c r="K122" i="2"/>
  <c r="J122" i="2"/>
  <c r="I122" i="2"/>
  <c r="H122" i="2"/>
  <c r="G122" i="2"/>
  <c r="F122" i="2"/>
  <c r="E122" i="2"/>
  <c r="D122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M121" i="2"/>
  <c r="K121" i="2"/>
  <c r="J121" i="2"/>
  <c r="I121" i="2"/>
  <c r="H121" i="2"/>
  <c r="G121" i="2"/>
  <c r="F121" i="2"/>
  <c r="E121" i="2"/>
  <c r="D121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M120" i="2"/>
  <c r="K120" i="2"/>
  <c r="J120" i="2"/>
  <c r="I120" i="2"/>
  <c r="H120" i="2"/>
  <c r="G120" i="2"/>
  <c r="F120" i="2"/>
  <c r="E120" i="2"/>
  <c r="D120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M119" i="2"/>
  <c r="K119" i="2"/>
  <c r="J119" i="2"/>
  <c r="I119" i="2"/>
  <c r="H119" i="2"/>
  <c r="G119" i="2"/>
  <c r="F119" i="2"/>
  <c r="E119" i="2"/>
  <c r="D119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M118" i="2"/>
  <c r="K118" i="2"/>
  <c r="J118" i="2"/>
  <c r="I118" i="2"/>
  <c r="H118" i="2"/>
  <c r="G118" i="2"/>
  <c r="F118" i="2"/>
  <c r="E118" i="2"/>
  <c r="D118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M117" i="2"/>
  <c r="K117" i="2"/>
  <c r="J117" i="2"/>
  <c r="I117" i="2"/>
  <c r="H117" i="2"/>
  <c r="G117" i="2"/>
  <c r="F117" i="2"/>
  <c r="E117" i="2"/>
  <c r="D117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M116" i="2"/>
  <c r="K116" i="2"/>
  <c r="J116" i="2"/>
  <c r="I116" i="2"/>
  <c r="H116" i="2"/>
  <c r="G116" i="2"/>
  <c r="F116" i="2"/>
  <c r="E116" i="2"/>
  <c r="D116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M115" i="2"/>
  <c r="K115" i="2"/>
  <c r="J115" i="2"/>
  <c r="I115" i="2"/>
  <c r="H115" i="2"/>
  <c r="G115" i="2"/>
  <c r="F115" i="2"/>
  <c r="E115" i="2"/>
  <c r="D115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M114" i="2"/>
  <c r="K114" i="2"/>
  <c r="J114" i="2"/>
  <c r="I114" i="2"/>
  <c r="H114" i="2"/>
  <c r="G114" i="2"/>
  <c r="F114" i="2"/>
  <c r="E114" i="2"/>
  <c r="D114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M113" i="2"/>
  <c r="K113" i="2"/>
  <c r="J113" i="2"/>
  <c r="I113" i="2"/>
  <c r="H113" i="2"/>
  <c r="G113" i="2"/>
  <c r="F113" i="2"/>
  <c r="E113" i="2"/>
  <c r="D113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M112" i="2"/>
  <c r="K112" i="2"/>
  <c r="J112" i="2"/>
  <c r="I112" i="2"/>
  <c r="H112" i="2"/>
  <c r="G112" i="2"/>
  <c r="F112" i="2"/>
  <c r="E112" i="2"/>
  <c r="D112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M111" i="2"/>
  <c r="K111" i="2"/>
  <c r="J111" i="2"/>
  <c r="I111" i="2"/>
  <c r="H111" i="2"/>
  <c r="G111" i="2"/>
  <c r="F111" i="2"/>
  <c r="E111" i="2"/>
  <c r="D111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M110" i="2"/>
  <c r="K110" i="2"/>
  <c r="J110" i="2"/>
  <c r="I110" i="2"/>
  <c r="H110" i="2"/>
  <c r="G110" i="2"/>
  <c r="F110" i="2"/>
  <c r="E110" i="2"/>
  <c r="D110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M109" i="2"/>
  <c r="K109" i="2"/>
  <c r="J109" i="2"/>
  <c r="I109" i="2"/>
  <c r="H109" i="2"/>
  <c r="G109" i="2"/>
  <c r="F109" i="2"/>
  <c r="E109" i="2"/>
  <c r="D109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M108" i="2"/>
  <c r="K108" i="2"/>
  <c r="J108" i="2"/>
  <c r="I108" i="2"/>
  <c r="H108" i="2"/>
  <c r="G108" i="2"/>
  <c r="F108" i="2"/>
  <c r="E108" i="2"/>
  <c r="D108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M107" i="2"/>
  <c r="K107" i="2"/>
  <c r="J107" i="2"/>
  <c r="I107" i="2"/>
  <c r="H107" i="2"/>
  <c r="G107" i="2"/>
  <c r="F107" i="2"/>
  <c r="E107" i="2"/>
  <c r="D107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M106" i="2"/>
  <c r="K106" i="2"/>
  <c r="J106" i="2"/>
  <c r="I106" i="2"/>
  <c r="H106" i="2"/>
  <c r="G106" i="2"/>
  <c r="F106" i="2"/>
  <c r="E106" i="2"/>
  <c r="D106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M105" i="2"/>
  <c r="K105" i="2"/>
  <c r="J105" i="2"/>
  <c r="I105" i="2"/>
  <c r="H105" i="2"/>
  <c r="G105" i="2"/>
  <c r="E105" i="2"/>
  <c r="D105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M104" i="2"/>
  <c r="K104" i="2"/>
  <c r="J104" i="2"/>
  <c r="I104" i="2"/>
  <c r="H104" i="2"/>
  <c r="G104" i="2"/>
  <c r="F104" i="2"/>
  <c r="E104" i="2"/>
  <c r="D104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M103" i="2"/>
  <c r="K103" i="2"/>
  <c r="J103" i="2"/>
  <c r="I103" i="2"/>
  <c r="H103" i="2"/>
  <c r="G103" i="2"/>
  <c r="F103" i="2"/>
  <c r="E103" i="2"/>
  <c r="D103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M102" i="2"/>
  <c r="K102" i="2"/>
  <c r="J102" i="2"/>
  <c r="I102" i="2"/>
  <c r="H102" i="2"/>
  <c r="G102" i="2"/>
  <c r="F102" i="2"/>
  <c r="E102" i="2"/>
  <c r="D102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M101" i="2"/>
  <c r="K101" i="2"/>
  <c r="J101" i="2"/>
  <c r="I101" i="2"/>
  <c r="H101" i="2"/>
  <c r="G101" i="2"/>
  <c r="F101" i="2"/>
  <c r="E101" i="2"/>
  <c r="D101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M100" i="2"/>
  <c r="K100" i="2"/>
  <c r="J100" i="2"/>
  <c r="I100" i="2"/>
  <c r="H100" i="2"/>
  <c r="G100" i="2"/>
  <c r="F100" i="2"/>
  <c r="E100" i="2"/>
  <c r="D100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M99" i="2"/>
  <c r="K99" i="2"/>
  <c r="J99" i="2"/>
  <c r="I99" i="2"/>
  <c r="H99" i="2"/>
  <c r="G99" i="2"/>
  <c r="F99" i="2"/>
  <c r="E99" i="2"/>
  <c r="D99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M98" i="2"/>
  <c r="K98" i="2"/>
  <c r="J98" i="2"/>
  <c r="I98" i="2"/>
  <c r="H98" i="2"/>
  <c r="G98" i="2"/>
  <c r="F98" i="2"/>
  <c r="E98" i="2"/>
  <c r="D98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M97" i="2"/>
  <c r="K97" i="2"/>
  <c r="J97" i="2"/>
  <c r="I97" i="2"/>
  <c r="H97" i="2"/>
  <c r="G97" i="2"/>
  <c r="F97" i="2"/>
  <c r="E97" i="2"/>
  <c r="D97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M96" i="2"/>
  <c r="K96" i="2"/>
  <c r="J96" i="2"/>
  <c r="I96" i="2"/>
  <c r="H96" i="2"/>
  <c r="G96" i="2"/>
  <c r="F96" i="2"/>
  <c r="E96" i="2"/>
  <c r="D96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M95" i="2"/>
  <c r="K95" i="2"/>
  <c r="J95" i="2"/>
  <c r="I95" i="2"/>
  <c r="H95" i="2"/>
  <c r="G95" i="2"/>
  <c r="F95" i="2"/>
  <c r="E95" i="2"/>
  <c r="D95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M94" i="2"/>
  <c r="K94" i="2"/>
  <c r="J94" i="2"/>
  <c r="I94" i="2"/>
  <c r="H94" i="2"/>
  <c r="G94" i="2"/>
  <c r="F94" i="2"/>
  <c r="E94" i="2"/>
  <c r="D94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M93" i="2"/>
  <c r="K93" i="2"/>
  <c r="J93" i="2"/>
  <c r="I93" i="2"/>
  <c r="H93" i="2"/>
  <c r="G93" i="2"/>
  <c r="F93" i="2"/>
  <c r="E93" i="2"/>
  <c r="D93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M92" i="2"/>
  <c r="K92" i="2"/>
  <c r="J92" i="2"/>
  <c r="I92" i="2"/>
  <c r="H92" i="2"/>
  <c r="G92" i="2"/>
  <c r="F92" i="2"/>
  <c r="E92" i="2"/>
  <c r="D92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M91" i="2"/>
  <c r="K91" i="2"/>
  <c r="J91" i="2"/>
  <c r="I91" i="2"/>
  <c r="H91" i="2"/>
  <c r="G91" i="2"/>
  <c r="F91" i="2"/>
  <c r="E91" i="2"/>
  <c r="D91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M90" i="2"/>
  <c r="K90" i="2"/>
  <c r="J90" i="2"/>
  <c r="I90" i="2"/>
  <c r="H90" i="2"/>
  <c r="G90" i="2"/>
  <c r="F90" i="2"/>
  <c r="E90" i="2"/>
  <c r="D90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M89" i="2"/>
  <c r="K89" i="2"/>
  <c r="J89" i="2"/>
  <c r="I89" i="2"/>
  <c r="H89" i="2"/>
  <c r="G89" i="2"/>
  <c r="F89" i="2"/>
  <c r="E89" i="2"/>
  <c r="D89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M88" i="2"/>
  <c r="K88" i="2"/>
  <c r="J88" i="2"/>
  <c r="I88" i="2"/>
  <c r="H88" i="2"/>
  <c r="G88" i="2"/>
  <c r="F88" i="2"/>
  <c r="E88" i="2"/>
  <c r="D88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M87" i="2"/>
  <c r="K87" i="2"/>
  <c r="J87" i="2"/>
  <c r="I87" i="2"/>
  <c r="H87" i="2"/>
  <c r="G87" i="2"/>
  <c r="F87" i="2"/>
  <c r="E87" i="2"/>
  <c r="D87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M86" i="2"/>
  <c r="K86" i="2"/>
  <c r="J86" i="2"/>
  <c r="I86" i="2"/>
  <c r="H86" i="2"/>
  <c r="G86" i="2"/>
  <c r="F86" i="2"/>
  <c r="E86" i="2"/>
  <c r="D86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M85" i="2"/>
  <c r="K85" i="2"/>
  <c r="J85" i="2"/>
  <c r="I85" i="2"/>
  <c r="H85" i="2"/>
  <c r="G85" i="2"/>
  <c r="F85" i="2"/>
  <c r="E85" i="2"/>
  <c r="D85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M84" i="2"/>
  <c r="K84" i="2"/>
  <c r="J84" i="2"/>
  <c r="I84" i="2"/>
  <c r="H84" i="2"/>
  <c r="G84" i="2"/>
  <c r="F84" i="2"/>
  <c r="E84" i="2"/>
  <c r="D84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M83" i="2"/>
  <c r="K83" i="2"/>
  <c r="J83" i="2"/>
  <c r="I83" i="2"/>
  <c r="H83" i="2"/>
  <c r="G83" i="2"/>
  <c r="F83" i="2"/>
  <c r="E83" i="2"/>
  <c r="D83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M82" i="2"/>
  <c r="K82" i="2"/>
  <c r="J82" i="2"/>
  <c r="I82" i="2"/>
  <c r="H82" i="2"/>
  <c r="G82" i="2"/>
  <c r="F82" i="2"/>
  <c r="E82" i="2"/>
  <c r="D82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M81" i="2"/>
  <c r="K81" i="2"/>
  <c r="J81" i="2"/>
  <c r="I81" i="2"/>
  <c r="H81" i="2"/>
  <c r="G81" i="2"/>
  <c r="F81" i="2"/>
  <c r="E81" i="2"/>
  <c r="D81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M80" i="2"/>
  <c r="K80" i="2"/>
  <c r="J80" i="2"/>
  <c r="I80" i="2"/>
  <c r="H80" i="2"/>
  <c r="G80" i="2"/>
  <c r="F80" i="2"/>
  <c r="E80" i="2"/>
  <c r="D80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M79" i="2"/>
  <c r="K79" i="2"/>
  <c r="J79" i="2"/>
  <c r="I79" i="2"/>
  <c r="H79" i="2"/>
  <c r="G79" i="2"/>
  <c r="F79" i="2"/>
  <c r="E79" i="2"/>
  <c r="D79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M78" i="2"/>
  <c r="K78" i="2"/>
  <c r="J78" i="2"/>
  <c r="I78" i="2"/>
  <c r="H78" i="2"/>
  <c r="G78" i="2"/>
  <c r="F78" i="2"/>
  <c r="E78" i="2"/>
  <c r="D78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M77" i="2"/>
  <c r="K77" i="2"/>
  <c r="J77" i="2"/>
  <c r="I77" i="2"/>
  <c r="H77" i="2"/>
  <c r="G77" i="2"/>
  <c r="F77" i="2"/>
  <c r="E77" i="2"/>
  <c r="D77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M76" i="2"/>
  <c r="K76" i="2"/>
  <c r="J76" i="2"/>
  <c r="I76" i="2"/>
  <c r="H76" i="2"/>
  <c r="G76" i="2"/>
  <c r="F76" i="2"/>
  <c r="E76" i="2"/>
  <c r="D76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M75" i="2"/>
  <c r="K75" i="2"/>
  <c r="J75" i="2"/>
  <c r="I75" i="2"/>
  <c r="H75" i="2"/>
  <c r="G75" i="2"/>
  <c r="F75" i="2"/>
  <c r="E75" i="2"/>
  <c r="D75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M74" i="2"/>
  <c r="K74" i="2"/>
  <c r="J74" i="2"/>
  <c r="I74" i="2"/>
  <c r="H74" i="2"/>
  <c r="G74" i="2"/>
  <c r="F74" i="2"/>
  <c r="E74" i="2"/>
  <c r="D74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M73" i="2"/>
  <c r="K73" i="2"/>
  <c r="J73" i="2"/>
  <c r="I73" i="2"/>
  <c r="H73" i="2"/>
  <c r="G73" i="2"/>
  <c r="F73" i="2"/>
  <c r="E73" i="2"/>
  <c r="D73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M72" i="2"/>
  <c r="K72" i="2"/>
  <c r="J72" i="2"/>
  <c r="I72" i="2"/>
  <c r="H72" i="2"/>
  <c r="G72" i="2"/>
  <c r="F72" i="2"/>
  <c r="E72" i="2"/>
  <c r="D72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M71" i="2"/>
  <c r="K71" i="2"/>
  <c r="J71" i="2"/>
  <c r="I71" i="2"/>
  <c r="H71" i="2"/>
  <c r="G71" i="2"/>
  <c r="F71" i="2"/>
  <c r="E71" i="2"/>
  <c r="D71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M70" i="2"/>
  <c r="K70" i="2"/>
  <c r="J70" i="2"/>
  <c r="I70" i="2"/>
  <c r="H70" i="2"/>
  <c r="G70" i="2"/>
  <c r="F70" i="2"/>
  <c r="E70" i="2"/>
  <c r="D70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M69" i="2"/>
  <c r="K69" i="2"/>
  <c r="J69" i="2"/>
  <c r="I69" i="2"/>
  <c r="H69" i="2"/>
  <c r="G69" i="2"/>
  <c r="F69" i="2"/>
  <c r="E69" i="2"/>
  <c r="D69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M68" i="2"/>
  <c r="K68" i="2"/>
  <c r="J68" i="2"/>
  <c r="I68" i="2"/>
  <c r="H68" i="2"/>
  <c r="G68" i="2"/>
  <c r="F68" i="2"/>
  <c r="E68" i="2"/>
  <c r="D68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M67" i="2"/>
  <c r="K67" i="2"/>
  <c r="J67" i="2"/>
  <c r="I67" i="2"/>
  <c r="H67" i="2"/>
  <c r="G67" i="2"/>
  <c r="F67" i="2"/>
  <c r="E67" i="2"/>
  <c r="D67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M66" i="2"/>
  <c r="K66" i="2"/>
  <c r="J66" i="2"/>
  <c r="I66" i="2"/>
  <c r="H66" i="2"/>
  <c r="G66" i="2"/>
  <c r="F66" i="2"/>
  <c r="E66" i="2"/>
  <c r="D66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M65" i="2"/>
  <c r="K65" i="2"/>
  <c r="J65" i="2"/>
  <c r="I65" i="2"/>
  <c r="H65" i="2"/>
  <c r="G65" i="2"/>
  <c r="F65" i="2"/>
  <c r="E65" i="2"/>
  <c r="D65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M64" i="2"/>
  <c r="K64" i="2"/>
  <c r="J64" i="2"/>
  <c r="I64" i="2"/>
  <c r="H64" i="2"/>
  <c r="G64" i="2"/>
  <c r="F64" i="2"/>
  <c r="E64" i="2"/>
  <c r="D64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M63" i="2"/>
  <c r="K63" i="2"/>
  <c r="J63" i="2"/>
  <c r="I63" i="2"/>
  <c r="H63" i="2"/>
  <c r="G63" i="2"/>
  <c r="F63" i="2"/>
  <c r="E63" i="2"/>
  <c r="D63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M62" i="2"/>
  <c r="K62" i="2"/>
  <c r="J62" i="2"/>
  <c r="I62" i="2"/>
  <c r="H62" i="2"/>
  <c r="G62" i="2"/>
  <c r="F62" i="2"/>
  <c r="E62" i="2"/>
  <c r="D62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M61" i="2"/>
  <c r="K61" i="2"/>
  <c r="J61" i="2"/>
  <c r="I61" i="2"/>
  <c r="H61" i="2"/>
  <c r="G61" i="2"/>
  <c r="F61" i="2"/>
  <c r="E61" i="2"/>
  <c r="D61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M60" i="2"/>
  <c r="K60" i="2"/>
  <c r="J60" i="2"/>
  <c r="I60" i="2"/>
  <c r="H60" i="2"/>
  <c r="G60" i="2"/>
  <c r="F60" i="2"/>
  <c r="E60" i="2"/>
  <c r="D60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M59" i="2"/>
  <c r="K59" i="2"/>
  <c r="J59" i="2"/>
  <c r="I59" i="2"/>
  <c r="H59" i="2"/>
  <c r="G59" i="2"/>
  <c r="F59" i="2"/>
  <c r="E59" i="2"/>
  <c r="D59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M58" i="2"/>
  <c r="K58" i="2"/>
  <c r="J58" i="2"/>
  <c r="I58" i="2"/>
  <c r="H58" i="2"/>
  <c r="G58" i="2"/>
  <c r="F58" i="2"/>
  <c r="E58" i="2"/>
  <c r="D58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M57" i="2"/>
  <c r="K57" i="2"/>
  <c r="J57" i="2"/>
  <c r="I57" i="2"/>
  <c r="H57" i="2"/>
  <c r="G57" i="2"/>
  <c r="F57" i="2"/>
  <c r="E57" i="2"/>
  <c r="D57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M56" i="2"/>
  <c r="K56" i="2"/>
  <c r="J56" i="2"/>
  <c r="I56" i="2"/>
  <c r="H56" i="2"/>
  <c r="G56" i="2"/>
  <c r="F56" i="2"/>
  <c r="E56" i="2"/>
  <c r="D56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M55" i="2"/>
  <c r="K55" i="2"/>
  <c r="J55" i="2"/>
  <c r="I55" i="2"/>
  <c r="H55" i="2"/>
  <c r="G55" i="2"/>
  <c r="F55" i="2"/>
  <c r="E55" i="2"/>
  <c r="D55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M54" i="2"/>
  <c r="K54" i="2"/>
  <c r="J54" i="2"/>
  <c r="I54" i="2"/>
  <c r="H54" i="2"/>
  <c r="G54" i="2"/>
  <c r="F54" i="2"/>
  <c r="E54" i="2"/>
  <c r="D54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M53" i="2"/>
  <c r="K53" i="2"/>
  <c r="J53" i="2"/>
  <c r="I53" i="2"/>
  <c r="H53" i="2"/>
  <c r="G53" i="2"/>
  <c r="F53" i="2"/>
  <c r="E53" i="2"/>
  <c r="D53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M52" i="2"/>
  <c r="K52" i="2"/>
  <c r="J52" i="2"/>
  <c r="I52" i="2"/>
  <c r="H52" i="2"/>
  <c r="G52" i="2"/>
  <c r="F52" i="2"/>
  <c r="E52" i="2"/>
  <c r="D52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M51" i="2"/>
  <c r="K51" i="2"/>
  <c r="J51" i="2"/>
  <c r="I51" i="2"/>
  <c r="H51" i="2"/>
  <c r="G51" i="2"/>
  <c r="F51" i="2"/>
  <c r="E51" i="2"/>
  <c r="D51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M50" i="2"/>
  <c r="K50" i="2"/>
  <c r="J50" i="2"/>
  <c r="I50" i="2"/>
  <c r="H50" i="2"/>
  <c r="G50" i="2"/>
  <c r="F50" i="2"/>
  <c r="E50" i="2"/>
  <c r="D50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M49" i="2"/>
  <c r="K49" i="2"/>
  <c r="J49" i="2"/>
  <c r="I49" i="2"/>
  <c r="H49" i="2"/>
  <c r="G49" i="2"/>
  <c r="F49" i="2"/>
  <c r="E49" i="2"/>
  <c r="D49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M48" i="2"/>
  <c r="K48" i="2"/>
  <c r="J48" i="2"/>
  <c r="I48" i="2"/>
  <c r="H48" i="2"/>
  <c r="G48" i="2"/>
  <c r="F48" i="2"/>
  <c r="E48" i="2"/>
  <c r="D48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M47" i="2"/>
  <c r="K47" i="2"/>
  <c r="J47" i="2"/>
  <c r="I47" i="2"/>
  <c r="H47" i="2"/>
  <c r="G47" i="2"/>
  <c r="F47" i="2"/>
  <c r="E47" i="2"/>
  <c r="D47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M46" i="2"/>
  <c r="K46" i="2"/>
  <c r="J46" i="2"/>
  <c r="I46" i="2"/>
  <c r="H46" i="2"/>
  <c r="G46" i="2"/>
  <c r="F46" i="2"/>
  <c r="E46" i="2"/>
  <c r="D46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M45" i="2"/>
  <c r="K45" i="2"/>
  <c r="J45" i="2"/>
  <c r="I45" i="2"/>
  <c r="H45" i="2"/>
  <c r="G45" i="2"/>
  <c r="F45" i="2"/>
  <c r="E45" i="2"/>
  <c r="D45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M44" i="2"/>
  <c r="K44" i="2"/>
  <c r="J44" i="2"/>
  <c r="I44" i="2"/>
  <c r="H44" i="2"/>
  <c r="G44" i="2"/>
  <c r="F44" i="2"/>
  <c r="E44" i="2"/>
  <c r="D44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M43" i="2"/>
  <c r="K43" i="2"/>
  <c r="J43" i="2"/>
  <c r="I43" i="2"/>
  <c r="H43" i="2"/>
  <c r="G43" i="2"/>
  <c r="F43" i="2"/>
  <c r="E43" i="2"/>
  <c r="D43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M42" i="2"/>
  <c r="K42" i="2"/>
  <c r="J42" i="2"/>
  <c r="I42" i="2"/>
  <c r="H42" i="2"/>
  <c r="G42" i="2"/>
  <c r="F42" i="2"/>
  <c r="E42" i="2"/>
  <c r="D42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M41" i="2"/>
  <c r="K41" i="2"/>
  <c r="J41" i="2"/>
  <c r="I41" i="2"/>
  <c r="H41" i="2"/>
  <c r="G41" i="2"/>
  <c r="F41" i="2"/>
  <c r="E41" i="2"/>
  <c r="D41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M40" i="2"/>
  <c r="K40" i="2"/>
  <c r="J40" i="2"/>
  <c r="I40" i="2"/>
  <c r="H40" i="2"/>
  <c r="G40" i="2"/>
  <c r="F40" i="2"/>
  <c r="E40" i="2"/>
  <c r="D40" i="2"/>
  <c r="AC39" i="2"/>
  <c r="AB39" i="2"/>
  <c r="AA39" i="2"/>
  <c r="Z39" i="2"/>
  <c r="Y39" i="2"/>
  <c r="X39" i="2"/>
  <c r="U39" i="2"/>
  <c r="T39" i="2"/>
  <c r="S39" i="2"/>
  <c r="R39" i="2"/>
  <c r="Q39" i="2"/>
  <c r="P39" i="2"/>
  <c r="H39" i="2"/>
  <c r="AL39" i="2" s="1"/>
  <c r="D39" i="2"/>
  <c r="AC38" i="2"/>
  <c r="AB38" i="2"/>
  <c r="AA38" i="2"/>
  <c r="Z38" i="2"/>
  <c r="Y38" i="2"/>
  <c r="X38" i="2"/>
  <c r="U38" i="2"/>
  <c r="T38" i="2"/>
  <c r="S38" i="2"/>
  <c r="R38" i="2"/>
  <c r="Q38" i="2"/>
  <c r="P38" i="2"/>
  <c r="H38" i="2"/>
  <c r="AL38" i="2" s="1"/>
  <c r="D38" i="2"/>
  <c r="AC37" i="2"/>
  <c r="AB37" i="2"/>
  <c r="AA37" i="2"/>
  <c r="Z37" i="2"/>
  <c r="Y37" i="2"/>
  <c r="X37" i="2"/>
  <c r="U37" i="2"/>
  <c r="T37" i="2"/>
  <c r="S37" i="2"/>
  <c r="R37" i="2"/>
  <c r="Q37" i="2"/>
  <c r="P37" i="2"/>
  <c r="H37" i="2"/>
  <c r="AL37" i="2" s="1"/>
  <c r="D37" i="2"/>
  <c r="AC36" i="2"/>
  <c r="AB36" i="2"/>
  <c r="AA36" i="2"/>
  <c r="Z36" i="2"/>
  <c r="Y36" i="2"/>
  <c r="X36" i="2"/>
  <c r="U36" i="2"/>
  <c r="T36" i="2"/>
  <c r="S36" i="2"/>
  <c r="R36" i="2"/>
  <c r="Q36" i="2"/>
  <c r="P36" i="2"/>
  <c r="H36" i="2"/>
  <c r="AL36" i="2" s="1"/>
  <c r="D36" i="2"/>
  <c r="AC35" i="2"/>
  <c r="AB35" i="2"/>
  <c r="AA35" i="2"/>
  <c r="Z35" i="2"/>
  <c r="Y35" i="2"/>
  <c r="X35" i="2"/>
  <c r="U35" i="2"/>
  <c r="T35" i="2"/>
  <c r="S35" i="2"/>
  <c r="R35" i="2"/>
  <c r="Q35" i="2"/>
  <c r="P35" i="2"/>
  <c r="H35" i="2"/>
  <c r="AL35" i="2" s="1"/>
  <c r="D35" i="2"/>
  <c r="AC34" i="2"/>
  <c r="AB34" i="2"/>
  <c r="U34" i="2"/>
  <c r="T34" i="2"/>
  <c r="S34" i="2"/>
  <c r="R34" i="2"/>
  <c r="Q34" i="2"/>
  <c r="P34" i="2"/>
  <c r="J34" i="2"/>
  <c r="I34" i="2"/>
  <c r="D34" i="2"/>
  <c r="AC33" i="2"/>
  <c r="AB33" i="2"/>
  <c r="AA33" i="2"/>
  <c r="Z33" i="2"/>
  <c r="Y33" i="2"/>
  <c r="X33" i="2"/>
  <c r="U33" i="2"/>
  <c r="T33" i="2"/>
  <c r="S33" i="2"/>
  <c r="R33" i="2"/>
  <c r="Q33" i="2"/>
  <c r="P33" i="2"/>
  <c r="H33" i="2"/>
  <c r="AL33" i="2" s="1"/>
  <c r="D33" i="2"/>
  <c r="AN33" i="2" s="1"/>
  <c r="AC32" i="2"/>
  <c r="AB32" i="2"/>
  <c r="AA32" i="2"/>
  <c r="Z32" i="2"/>
  <c r="Y32" i="2"/>
  <c r="X32" i="2"/>
  <c r="U32" i="2"/>
  <c r="T32" i="2"/>
  <c r="S32" i="2"/>
  <c r="R32" i="2"/>
  <c r="Q32" i="2"/>
  <c r="P32" i="2"/>
  <c r="H32" i="2"/>
  <c r="AL32" i="2" s="1"/>
  <c r="D32" i="2"/>
  <c r="AC31" i="2"/>
  <c r="AB31" i="2"/>
  <c r="AA31" i="2"/>
  <c r="Z31" i="2"/>
  <c r="Y31" i="2"/>
  <c r="X31" i="2"/>
  <c r="U31" i="2"/>
  <c r="T31" i="2"/>
  <c r="S31" i="2"/>
  <c r="R31" i="2"/>
  <c r="Q31" i="2"/>
  <c r="P31" i="2"/>
  <c r="H31" i="2"/>
  <c r="AL31" i="2" s="1"/>
  <c r="D31" i="2"/>
  <c r="AC30" i="2"/>
  <c r="AB30" i="2"/>
  <c r="AA30" i="2"/>
  <c r="Z30" i="2"/>
  <c r="Y30" i="2"/>
  <c r="X30" i="2"/>
  <c r="U30" i="2"/>
  <c r="T30" i="2"/>
  <c r="S30" i="2"/>
  <c r="R30" i="2"/>
  <c r="Q30" i="2"/>
  <c r="P30" i="2"/>
  <c r="H30" i="2"/>
  <c r="AL30" i="2" s="1"/>
  <c r="D30" i="2"/>
  <c r="AC29" i="2"/>
  <c r="AB29" i="2"/>
  <c r="AA29" i="2"/>
  <c r="Z29" i="2"/>
  <c r="Y29" i="2"/>
  <c r="X29" i="2"/>
  <c r="U29" i="2"/>
  <c r="T29" i="2"/>
  <c r="S29" i="2"/>
  <c r="R29" i="2"/>
  <c r="Q29" i="2"/>
  <c r="P29" i="2"/>
  <c r="H29" i="2"/>
  <c r="AL29" i="2" s="1"/>
  <c r="D29" i="2"/>
  <c r="AN29" i="2" s="1"/>
  <c r="AC28" i="2"/>
  <c r="AB28" i="2"/>
  <c r="AA28" i="2"/>
  <c r="Z28" i="2"/>
  <c r="Y28" i="2"/>
  <c r="X28" i="2"/>
  <c r="U28" i="2"/>
  <c r="T28" i="2"/>
  <c r="S28" i="2"/>
  <c r="R28" i="2"/>
  <c r="Q28" i="2"/>
  <c r="P28" i="2"/>
  <c r="H28" i="2"/>
  <c r="AL28" i="2" s="1"/>
  <c r="D28" i="2"/>
  <c r="AC27" i="2"/>
  <c r="AB27" i="2"/>
  <c r="AA27" i="2"/>
  <c r="Z27" i="2"/>
  <c r="Y27" i="2"/>
  <c r="X27" i="2"/>
  <c r="U27" i="2"/>
  <c r="T27" i="2"/>
  <c r="S27" i="2"/>
  <c r="R27" i="2"/>
  <c r="Q27" i="2"/>
  <c r="P27" i="2"/>
  <c r="H27" i="2"/>
  <c r="AL27" i="2" s="1"/>
  <c r="D27" i="2"/>
  <c r="AC26" i="2"/>
  <c r="AB26" i="2"/>
  <c r="AA26" i="2"/>
  <c r="Z26" i="2"/>
  <c r="Y26" i="2"/>
  <c r="X26" i="2"/>
  <c r="U26" i="2"/>
  <c r="T26" i="2"/>
  <c r="S26" i="2"/>
  <c r="R26" i="2"/>
  <c r="Q26" i="2"/>
  <c r="P26" i="2"/>
  <c r="H26" i="2"/>
  <c r="AL26" i="2" s="1"/>
  <c r="D26" i="2"/>
  <c r="AC25" i="2"/>
  <c r="AB25" i="2"/>
  <c r="AA25" i="2"/>
  <c r="Z25" i="2"/>
  <c r="Y25" i="2"/>
  <c r="X25" i="2"/>
  <c r="U25" i="2"/>
  <c r="T25" i="2"/>
  <c r="S25" i="2"/>
  <c r="R25" i="2"/>
  <c r="Q25" i="2"/>
  <c r="P25" i="2"/>
  <c r="H25" i="2"/>
  <c r="AL25" i="2" s="1"/>
  <c r="D25" i="2"/>
  <c r="AC24" i="2"/>
  <c r="AB24" i="2"/>
  <c r="AA24" i="2"/>
  <c r="Z24" i="2"/>
  <c r="Y24" i="2"/>
  <c r="X24" i="2"/>
  <c r="U24" i="2"/>
  <c r="T24" i="2"/>
  <c r="S24" i="2"/>
  <c r="R24" i="2"/>
  <c r="Q24" i="2"/>
  <c r="P24" i="2"/>
  <c r="H24" i="2"/>
  <c r="AL24" i="2" s="1"/>
  <c r="D24" i="2"/>
  <c r="AC23" i="2"/>
  <c r="AB23" i="2"/>
  <c r="AA23" i="2"/>
  <c r="Z23" i="2"/>
  <c r="Y23" i="2"/>
  <c r="X23" i="2"/>
  <c r="U23" i="2"/>
  <c r="T23" i="2"/>
  <c r="S23" i="2"/>
  <c r="R23" i="2"/>
  <c r="Q23" i="2"/>
  <c r="P23" i="2"/>
  <c r="H23" i="2"/>
  <c r="AL23" i="2" s="1"/>
  <c r="D23" i="2"/>
  <c r="AC22" i="2"/>
  <c r="AB22" i="2"/>
  <c r="AA22" i="2"/>
  <c r="Z22" i="2"/>
  <c r="Y22" i="2"/>
  <c r="X22" i="2"/>
  <c r="U22" i="2"/>
  <c r="T22" i="2"/>
  <c r="S22" i="2"/>
  <c r="R22" i="2"/>
  <c r="Q22" i="2"/>
  <c r="P22" i="2"/>
  <c r="H22" i="2"/>
  <c r="AL22" i="2" s="1"/>
  <c r="D22" i="2"/>
  <c r="AC21" i="2"/>
  <c r="AB21" i="2"/>
  <c r="AA21" i="2"/>
  <c r="Z21" i="2"/>
  <c r="Y21" i="2"/>
  <c r="X21" i="2"/>
  <c r="U21" i="2"/>
  <c r="T21" i="2"/>
  <c r="S21" i="2"/>
  <c r="R21" i="2"/>
  <c r="Q21" i="2"/>
  <c r="P21" i="2"/>
  <c r="H21" i="2"/>
  <c r="AL21" i="2" s="1"/>
  <c r="D21" i="2"/>
  <c r="AC20" i="2"/>
  <c r="AB20" i="2"/>
  <c r="AA20" i="2"/>
  <c r="Z20" i="2"/>
  <c r="Y20" i="2"/>
  <c r="X20" i="2"/>
  <c r="U20" i="2"/>
  <c r="T20" i="2"/>
  <c r="S20" i="2"/>
  <c r="R20" i="2"/>
  <c r="Q20" i="2"/>
  <c r="P20" i="2"/>
  <c r="H20" i="2"/>
  <c r="AL20" i="2" s="1"/>
  <c r="D20" i="2"/>
  <c r="AC19" i="2"/>
  <c r="AB19" i="2"/>
  <c r="AA19" i="2"/>
  <c r="Z19" i="2"/>
  <c r="Y19" i="2"/>
  <c r="X19" i="2"/>
  <c r="U19" i="2"/>
  <c r="T19" i="2"/>
  <c r="S19" i="2"/>
  <c r="R19" i="2"/>
  <c r="Q19" i="2"/>
  <c r="P19" i="2"/>
  <c r="H19" i="2"/>
  <c r="AL19" i="2" s="1"/>
  <c r="D19" i="2"/>
  <c r="AC18" i="2"/>
  <c r="AB18" i="2"/>
  <c r="AA18" i="2"/>
  <c r="Z18" i="2"/>
  <c r="Y18" i="2"/>
  <c r="X18" i="2"/>
  <c r="U18" i="2"/>
  <c r="T18" i="2"/>
  <c r="S18" i="2"/>
  <c r="R18" i="2"/>
  <c r="Q18" i="2"/>
  <c r="P18" i="2"/>
  <c r="H18" i="2"/>
  <c r="AL18" i="2" s="1"/>
  <c r="D18" i="2"/>
  <c r="AC17" i="2"/>
  <c r="AB17" i="2"/>
  <c r="AA17" i="2"/>
  <c r="Z17" i="2"/>
  <c r="Y17" i="2"/>
  <c r="X17" i="2"/>
  <c r="U17" i="2"/>
  <c r="T17" i="2"/>
  <c r="S17" i="2"/>
  <c r="R17" i="2"/>
  <c r="Q17" i="2"/>
  <c r="P17" i="2"/>
  <c r="H17" i="2"/>
  <c r="AL17" i="2" s="1"/>
  <c r="D17" i="2"/>
  <c r="AC16" i="2"/>
  <c r="AB16" i="2"/>
  <c r="AA16" i="2"/>
  <c r="Z16" i="2"/>
  <c r="Y16" i="2"/>
  <c r="X16" i="2"/>
  <c r="U16" i="2"/>
  <c r="T16" i="2"/>
  <c r="S16" i="2"/>
  <c r="R16" i="2"/>
  <c r="Q16" i="2"/>
  <c r="P16" i="2"/>
  <c r="H16" i="2"/>
  <c r="AL16" i="2" s="1"/>
  <c r="D16" i="2"/>
  <c r="AC15" i="2"/>
  <c r="AB15" i="2"/>
  <c r="AA15" i="2"/>
  <c r="Z15" i="2"/>
  <c r="Y15" i="2"/>
  <c r="X15" i="2"/>
  <c r="U15" i="2"/>
  <c r="T15" i="2"/>
  <c r="S15" i="2"/>
  <c r="R15" i="2"/>
  <c r="Q15" i="2"/>
  <c r="P15" i="2"/>
  <c r="H15" i="2"/>
  <c r="AL15" i="2" s="1"/>
  <c r="D15" i="2"/>
  <c r="AC14" i="2"/>
  <c r="AB14" i="2"/>
  <c r="AA14" i="2"/>
  <c r="Z14" i="2"/>
  <c r="Y14" i="2"/>
  <c r="X14" i="2"/>
  <c r="U14" i="2"/>
  <c r="T14" i="2"/>
  <c r="S14" i="2"/>
  <c r="R14" i="2"/>
  <c r="Q14" i="2"/>
  <c r="P14" i="2"/>
  <c r="H14" i="2"/>
  <c r="AL14" i="2" s="1"/>
  <c r="D14" i="2"/>
  <c r="AC13" i="2"/>
  <c r="AB13" i="2"/>
  <c r="AA13" i="2"/>
  <c r="Z13" i="2"/>
  <c r="Y13" i="2"/>
  <c r="X13" i="2"/>
  <c r="U13" i="2"/>
  <c r="T13" i="2"/>
  <c r="S13" i="2"/>
  <c r="R13" i="2"/>
  <c r="Q13" i="2"/>
  <c r="P13" i="2"/>
  <c r="H13" i="2"/>
  <c r="AL13" i="2" s="1"/>
  <c r="D13" i="2"/>
  <c r="AC12" i="2"/>
  <c r="AB12" i="2"/>
  <c r="AA12" i="2"/>
  <c r="Z12" i="2"/>
  <c r="Y12" i="2"/>
  <c r="X12" i="2"/>
  <c r="U12" i="2"/>
  <c r="T12" i="2"/>
  <c r="S12" i="2"/>
  <c r="R12" i="2"/>
  <c r="Q12" i="2"/>
  <c r="P12" i="2"/>
  <c r="H12" i="2"/>
  <c r="AL12" i="2" s="1"/>
  <c r="D12" i="2"/>
  <c r="AC11" i="2"/>
  <c r="AB11" i="2"/>
  <c r="AA11" i="2"/>
  <c r="Z11" i="2"/>
  <c r="Y11" i="2"/>
  <c r="X11" i="2"/>
  <c r="U11" i="2"/>
  <c r="T11" i="2"/>
  <c r="S11" i="2"/>
  <c r="R11" i="2"/>
  <c r="Q11" i="2"/>
  <c r="P11" i="2"/>
  <c r="H11" i="2"/>
  <c r="AL11" i="2" s="1"/>
  <c r="D11" i="2"/>
  <c r="AC10" i="2"/>
  <c r="AB10" i="2"/>
  <c r="AA10" i="2"/>
  <c r="Z10" i="2"/>
  <c r="Y10" i="2"/>
  <c r="X10" i="2"/>
  <c r="U10" i="2"/>
  <c r="T10" i="2"/>
  <c r="S10" i="2"/>
  <c r="R10" i="2"/>
  <c r="Q10" i="2"/>
  <c r="P10" i="2"/>
  <c r="H10" i="2"/>
  <c r="AL10" i="2" s="1"/>
  <c r="D10" i="2"/>
  <c r="AC9" i="2"/>
  <c r="AB9" i="2"/>
  <c r="AA9" i="2"/>
  <c r="Z9" i="2"/>
  <c r="Y9" i="2"/>
  <c r="X9" i="2"/>
  <c r="U9" i="2"/>
  <c r="T9" i="2"/>
  <c r="S9" i="2"/>
  <c r="R9" i="2"/>
  <c r="Q9" i="2"/>
  <c r="P9" i="2"/>
  <c r="H9" i="2"/>
  <c r="AL9" i="2" s="1"/>
  <c r="D9" i="2"/>
  <c r="AC8" i="2"/>
  <c r="AB8" i="2"/>
  <c r="AA8" i="2"/>
  <c r="Z8" i="2"/>
  <c r="Y8" i="2"/>
  <c r="X8" i="2"/>
  <c r="U8" i="2"/>
  <c r="T8" i="2"/>
  <c r="S8" i="2"/>
  <c r="R8" i="2"/>
  <c r="Q8" i="2"/>
  <c r="P8" i="2"/>
  <c r="H8" i="2"/>
  <c r="AL8" i="2" s="1"/>
  <c r="D8" i="2"/>
  <c r="AC7" i="2"/>
  <c r="AB7" i="2"/>
  <c r="AA7" i="2"/>
  <c r="Z7" i="2"/>
  <c r="Y7" i="2"/>
  <c r="X7" i="2"/>
  <c r="U7" i="2"/>
  <c r="T7" i="2"/>
  <c r="S7" i="2"/>
  <c r="R7" i="2"/>
  <c r="Q7" i="2"/>
  <c r="P7" i="2"/>
  <c r="H7" i="2"/>
  <c r="AL7" i="2" s="1"/>
  <c r="D7" i="2"/>
  <c r="AC6" i="2"/>
  <c r="AB6" i="2"/>
  <c r="AA6" i="2"/>
  <c r="Z6" i="2"/>
  <c r="Y6" i="2"/>
  <c r="X6" i="2"/>
  <c r="U6" i="2"/>
  <c r="T6" i="2"/>
  <c r="S6" i="2"/>
  <c r="R6" i="2"/>
  <c r="Q6" i="2"/>
  <c r="P6" i="2"/>
  <c r="H6" i="2"/>
  <c r="AL6" i="2" s="1"/>
  <c r="D6" i="2"/>
  <c r="AC5" i="2"/>
  <c r="AB5" i="2"/>
  <c r="AA5" i="2"/>
  <c r="Z5" i="2"/>
  <c r="Y5" i="2"/>
  <c r="X5" i="2"/>
  <c r="U5" i="2"/>
  <c r="T5" i="2"/>
  <c r="S5" i="2"/>
  <c r="R5" i="2"/>
  <c r="Q5" i="2"/>
  <c r="P5" i="2"/>
  <c r="H5" i="2"/>
  <c r="AL5" i="2" s="1"/>
  <c r="D5" i="2"/>
  <c r="AC4" i="2"/>
  <c r="AB4" i="2"/>
  <c r="AA4" i="2"/>
  <c r="Z4" i="2"/>
  <c r="Y4" i="2"/>
  <c r="X4" i="2"/>
  <c r="U4" i="2"/>
  <c r="T4" i="2"/>
  <c r="S4" i="2"/>
  <c r="R4" i="2"/>
  <c r="Q4" i="2"/>
  <c r="P4" i="2"/>
  <c r="H4" i="2"/>
  <c r="AL4" i="2" s="1"/>
  <c r="D4" i="2"/>
  <c r="AC3" i="2"/>
  <c r="AB3" i="2"/>
  <c r="AA3" i="2"/>
  <c r="Z3" i="2"/>
  <c r="Y3" i="2"/>
  <c r="X3" i="2"/>
  <c r="U3" i="2"/>
  <c r="T3" i="2"/>
  <c r="S3" i="2"/>
  <c r="R3" i="2"/>
  <c r="Q3" i="2"/>
  <c r="P3" i="2"/>
  <c r="H3" i="2"/>
  <c r="AL3" i="2" s="1"/>
  <c r="D3" i="2"/>
  <c r="AC2" i="2"/>
  <c r="AB2" i="2"/>
  <c r="AA2" i="2"/>
  <c r="Z2" i="2"/>
  <c r="Y2" i="2"/>
  <c r="X2" i="2"/>
  <c r="U2" i="2"/>
  <c r="T2" i="2"/>
  <c r="S2" i="2"/>
  <c r="R2" i="2"/>
  <c r="Q2" i="2"/>
  <c r="H2" i="2"/>
  <c r="AL2" i="2" s="1"/>
  <c r="AD14" i="1"/>
  <c r="AN5" i="2" l="1"/>
  <c r="AN9" i="2"/>
  <c r="AN13" i="2"/>
  <c r="AN17" i="2"/>
  <c r="AN21" i="2"/>
  <c r="AN25" i="2"/>
  <c r="L21" i="2"/>
  <c r="L25" i="2"/>
  <c r="L29" i="2"/>
  <c r="L33" i="2"/>
  <c r="AN38" i="2"/>
  <c r="L9" i="2"/>
  <c r="AN12" i="2"/>
  <c r="L13" i="2"/>
  <c r="AN16" i="2"/>
  <c r="L17" i="2"/>
  <c r="AN24" i="2"/>
  <c r="AN28" i="2"/>
  <c r="L6" i="2"/>
  <c r="L10" i="2"/>
  <c r="L14" i="2"/>
  <c r="L18" i="2"/>
  <c r="L22" i="2"/>
  <c r="L26" i="2"/>
  <c r="L30" i="2"/>
  <c r="AN4" i="2"/>
  <c r="L5" i="2"/>
  <c r="AN8" i="2"/>
  <c r="AN20" i="2"/>
  <c r="AN32" i="2"/>
  <c r="L35" i="2"/>
  <c r="L39" i="2"/>
  <c r="AN3" i="2"/>
  <c r="AN7" i="2"/>
  <c r="AN19" i="2"/>
  <c r="AN23" i="2"/>
  <c r="AN27" i="2"/>
  <c r="AN31" i="2"/>
  <c r="L2" i="2"/>
  <c r="M2" i="2"/>
  <c r="L34" i="2"/>
  <c r="L36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4" i="2"/>
  <c r="L8" i="2"/>
  <c r="L12" i="2"/>
  <c r="L16" i="2"/>
  <c r="L20" i="2"/>
  <c r="L24" i="2"/>
  <c r="L28" i="2"/>
  <c r="L32" i="2"/>
  <c r="AN37" i="2"/>
  <c r="L38" i="2"/>
  <c r="L3" i="2"/>
  <c r="L7" i="2"/>
  <c r="L11" i="2"/>
  <c r="L15" i="2"/>
  <c r="L19" i="2"/>
  <c r="L23" i="2"/>
  <c r="L27" i="2"/>
  <c r="L31" i="2"/>
  <c r="L37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AN35" i="2"/>
  <c r="AN39" i="2"/>
  <c r="AN11" i="2"/>
  <c r="AN15" i="2"/>
  <c r="AN6" i="2"/>
  <c r="AN10" i="2"/>
  <c r="AN14" i="2"/>
  <c r="AN18" i="2"/>
  <c r="AN22" i="2"/>
  <c r="AN26" i="2"/>
  <c r="AN30" i="2"/>
  <c r="AN36" i="2"/>
  <c r="AN2" i="2"/>
  <c r="AQ2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M7" i="2"/>
  <c r="AM23" i="2"/>
  <c r="AM27" i="2"/>
  <c r="AM37" i="2"/>
  <c r="AM6" i="2"/>
  <c r="AM10" i="2"/>
  <c r="AM14" i="2"/>
  <c r="AM18" i="2"/>
  <c r="AM22" i="2"/>
  <c r="AM26" i="2"/>
  <c r="AM30" i="2"/>
  <c r="AM19" i="2"/>
  <c r="AM36" i="2"/>
  <c r="AM2" i="2"/>
  <c r="AM15" i="2"/>
  <c r="AM13" i="2"/>
  <c r="AM25" i="2"/>
  <c r="AM3" i="2"/>
  <c r="AM11" i="2"/>
  <c r="AM31" i="2"/>
  <c r="AM39" i="2"/>
  <c r="Y34" i="2"/>
  <c r="AM9" i="2"/>
  <c r="AM17" i="2"/>
  <c r="AM29" i="2"/>
  <c r="AM35" i="2"/>
  <c r="AM4" i="2"/>
  <c r="AM8" i="2"/>
  <c r="AM12" i="2"/>
  <c r="AM16" i="2"/>
  <c r="AM20" i="2"/>
  <c r="AM24" i="2"/>
  <c r="AM28" i="2"/>
  <c r="AM32" i="2"/>
  <c r="AM5" i="2"/>
  <c r="AM21" i="2"/>
  <c r="AM33" i="2"/>
  <c r="AM38" i="2"/>
  <c r="AF164" i="2"/>
  <c r="AF165" i="2"/>
  <c r="AF166" i="2"/>
  <c r="AF167" i="2"/>
  <c r="AF168" i="2"/>
  <c r="AF169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J10" i="2"/>
  <c r="AK10" i="2"/>
  <c r="AI10" i="2"/>
  <c r="AH10" i="2"/>
  <c r="AF10" i="2"/>
  <c r="AK22" i="2"/>
  <c r="AJ22" i="2"/>
  <c r="AI22" i="2"/>
  <c r="AF22" i="2"/>
  <c r="AH22" i="2"/>
  <c r="AK3" i="2"/>
  <c r="AJ3" i="2"/>
  <c r="AF3" i="2"/>
  <c r="AH3" i="2"/>
  <c r="AI3" i="2"/>
  <c r="AK7" i="2"/>
  <c r="AJ7" i="2"/>
  <c r="AI7" i="2"/>
  <c r="AF7" i="2"/>
  <c r="AH7" i="2"/>
  <c r="AK11" i="2"/>
  <c r="AJ11" i="2"/>
  <c r="AF11" i="2"/>
  <c r="AH11" i="2"/>
  <c r="AI11" i="2"/>
  <c r="AK15" i="2"/>
  <c r="AJ15" i="2"/>
  <c r="AI15" i="2"/>
  <c r="AF15" i="2"/>
  <c r="AH15" i="2"/>
  <c r="AJ19" i="2"/>
  <c r="AK19" i="2"/>
  <c r="AF19" i="2"/>
  <c r="AI19" i="2"/>
  <c r="AH19" i="2"/>
  <c r="AK23" i="2"/>
  <c r="AJ23" i="2"/>
  <c r="AI23" i="2"/>
  <c r="AF23" i="2"/>
  <c r="AH23" i="2"/>
  <c r="AK27" i="2"/>
  <c r="AJ27" i="2"/>
  <c r="AF27" i="2"/>
  <c r="AH27" i="2"/>
  <c r="AI27" i="2"/>
  <c r="AK31" i="2"/>
  <c r="AJ31" i="2"/>
  <c r="AI31" i="2"/>
  <c r="AF31" i="2"/>
  <c r="AH31" i="2"/>
  <c r="AJ37" i="2"/>
  <c r="AF37" i="2"/>
  <c r="AK37" i="2"/>
  <c r="AH37" i="2"/>
  <c r="AI37" i="2"/>
  <c r="AK14" i="2"/>
  <c r="AJ14" i="2"/>
  <c r="AI14" i="2"/>
  <c r="AF14" i="2"/>
  <c r="AH14" i="2"/>
  <c r="AJ34" i="2"/>
  <c r="AK34" i="2"/>
  <c r="AJ5" i="2"/>
  <c r="AK5" i="2"/>
  <c r="AF5" i="2"/>
  <c r="AI5" i="2"/>
  <c r="AH5" i="2"/>
  <c r="AK9" i="2"/>
  <c r="AJ9" i="2"/>
  <c r="AI9" i="2"/>
  <c r="AF9" i="2"/>
  <c r="AH9" i="2"/>
  <c r="AJ13" i="2"/>
  <c r="AK13" i="2"/>
  <c r="AF13" i="2"/>
  <c r="AI13" i="2"/>
  <c r="AH13" i="2"/>
  <c r="AK17" i="2"/>
  <c r="AJ17" i="2"/>
  <c r="AI17" i="2"/>
  <c r="AF17" i="2"/>
  <c r="AH17" i="2"/>
  <c r="AJ21" i="2"/>
  <c r="AF21" i="2"/>
  <c r="AK21" i="2"/>
  <c r="AH21" i="2"/>
  <c r="AI21" i="2"/>
  <c r="AK25" i="2"/>
  <c r="AI25" i="2"/>
  <c r="AJ25" i="2"/>
  <c r="AH25" i="2"/>
  <c r="AF25" i="2"/>
  <c r="AJ29" i="2"/>
  <c r="AK29" i="2"/>
  <c r="AF29" i="2"/>
  <c r="AI29" i="2"/>
  <c r="AH29" i="2"/>
  <c r="AK33" i="2"/>
  <c r="AJ33" i="2"/>
  <c r="AI33" i="2"/>
  <c r="AH33" i="2"/>
  <c r="AF33" i="2"/>
  <c r="AK40" i="2"/>
  <c r="AH40" i="2"/>
  <c r="AK41" i="2"/>
  <c r="AH41" i="2"/>
  <c r="AK42" i="2"/>
  <c r="AH42" i="2"/>
  <c r="AK43" i="2"/>
  <c r="AH43" i="2"/>
  <c r="AK44" i="2"/>
  <c r="AH44" i="2"/>
  <c r="AK45" i="2"/>
  <c r="AH45" i="2"/>
  <c r="AK46" i="2"/>
  <c r="AH46" i="2"/>
  <c r="AK47" i="2"/>
  <c r="AH47" i="2"/>
  <c r="AK48" i="2"/>
  <c r="AH48" i="2"/>
  <c r="AK49" i="2"/>
  <c r="AH49" i="2"/>
  <c r="AK50" i="2"/>
  <c r="AH50" i="2"/>
  <c r="AK51" i="2"/>
  <c r="AH51" i="2"/>
  <c r="AK52" i="2"/>
  <c r="AH52" i="2"/>
  <c r="AK53" i="2"/>
  <c r="AH53" i="2"/>
  <c r="AK54" i="2"/>
  <c r="AH54" i="2"/>
  <c r="AK55" i="2"/>
  <c r="AH55" i="2"/>
  <c r="AK56" i="2"/>
  <c r="AH56" i="2"/>
  <c r="AK57" i="2"/>
  <c r="AH57" i="2"/>
  <c r="AK58" i="2"/>
  <c r="AH58" i="2"/>
  <c r="AK59" i="2"/>
  <c r="AH59" i="2"/>
  <c r="AK60" i="2"/>
  <c r="AH60" i="2"/>
  <c r="AK61" i="2"/>
  <c r="AH61" i="2"/>
  <c r="AK62" i="2"/>
  <c r="AH62" i="2"/>
  <c r="AK63" i="2"/>
  <c r="AH63" i="2"/>
  <c r="AK64" i="2"/>
  <c r="AH64" i="2"/>
  <c r="AK65" i="2"/>
  <c r="AH65" i="2"/>
  <c r="AK66" i="2"/>
  <c r="AH66" i="2"/>
  <c r="AK67" i="2"/>
  <c r="AH67" i="2"/>
  <c r="AK68" i="2"/>
  <c r="AH68" i="2"/>
  <c r="AK69" i="2"/>
  <c r="AH69" i="2"/>
  <c r="AK70" i="2"/>
  <c r="AH70" i="2"/>
  <c r="AK71" i="2"/>
  <c r="AH71" i="2"/>
  <c r="AK72" i="2"/>
  <c r="AH72" i="2"/>
  <c r="AK73" i="2"/>
  <c r="AH73" i="2"/>
  <c r="AK74" i="2"/>
  <c r="AH74" i="2"/>
  <c r="AK75" i="2"/>
  <c r="AH75" i="2"/>
  <c r="AK76" i="2"/>
  <c r="AH76" i="2"/>
  <c r="AK77" i="2"/>
  <c r="AH77" i="2"/>
  <c r="AK78" i="2"/>
  <c r="AH78" i="2"/>
  <c r="AK79" i="2"/>
  <c r="AH79" i="2"/>
  <c r="AK80" i="2"/>
  <c r="AH80" i="2"/>
  <c r="AK81" i="2"/>
  <c r="AH81" i="2"/>
  <c r="AK82" i="2"/>
  <c r="AH82" i="2"/>
  <c r="AK83" i="2"/>
  <c r="AH83" i="2"/>
  <c r="AK84" i="2"/>
  <c r="AH84" i="2"/>
  <c r="AK85" i="2"/>
  <c r="AH85" i="2"/>
  <c r="AK86" i="2"/>
  <c r="AH86" i="2"/>
  <c r="AK87" i="2"/>
  <c r="AH87" i="2"/>
  <c r="AK88" i="2"/>
  <c r="AH88" i="2"/>
  <c r="AK89" i="2"/>
  <c r="AH89" i="2"/>
  <c r="AK90" i="2"/>
  <c r="AH90" i="2"/>
  <c r="AK91" i="2"/>
  <c r="AH91" i="2"/>
  <c r="AK92" i="2"/>
  <c r="AH92" i="2"/>
  <c r="AK93" i="2"/>
  <c r="AH93" i="2"/>
  <c r="AK94" i="2"/>
  <c r="AH94" i="2"/>
  <c r="AK95" i="2"/>
  <c r="AH95" i="2"/>
  <c r="AK96" i="2"/>
  <c r="AH96" i="2"/>
  <c r="AK97" i="2"/>
  <c r="AH97" i="2"/>
  <c r="AK98" i="2"/>
  <c r="AH98" i="2"/>
  <c r="AK99" i="2"/>
  <c r="AH99" i="2"/>
  <c r="AK100" i="2"/>
  <c r="AH100" i="2"/>
  <c r="AK101" i="2"/>
  <c r="AH101" i="2"/>
  <c r="AJ26" i="2"/>
  <c r="AK26" i="2"/>
  <c r="AI26" i="2"/>
  <c r="AH26" i="2"/>
  <c r="AF26" i="2"/>
  <c r="AK30" i="2"/>
  <c r="AJ30" i="2"/>
  <c r="AI30" i="2"/>
  <c r="AF30" i="2"/>
  <c r="AH30" i="2"/>
  <c r="AJ35" i="2"/>
  <c r="AK35" i="2"/>
  <c r="AF35" i="2"/>
  <c r="AH35" i="2"/>
  <c r="AI35" i="2"/>
  <c r="AK39" i="2"/>
  <c r="AJ39" i="2"/>
  <c r="AI39" i="2"/>
  <c r="AF39" i="2"/>
  <c r="AH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K6" i="2"/>
  <c r="AJ6" i="2"/>
  <c r="AI6" i="2"/>
  <c r="AF6" i="2"/>
  <c r="AH6" i="2"/>
  <c r="AJ18" i="2"/>
  <c r="AK18" i="2"/>
  <c r="AI18" i="2"/>
  <c r="AH18" i="2"/>
  <c r="AF18" i="2"/>
  <c r="AK4" i="2"/>
  <c r="AJ4" i="2"/>
  <c r="AI4" i="2"/>
  <c r="AH4" i="2"/>
  <c r="AF4" i="2"/>
  <c r="AK12" i="2"/>
  <c r="AJ12" i="2"/>
  <c r="AI12" i="2"/>
  <c r="AF12" i="2"/>
  <c r="AH12" i="2"/>
  <c r="AK24" i="2"/>
  <c r="AJ24" i="2"/>
  <c r="AI24" i="2"/>
  <c r="AF24" i="2"/>
  <c r="AH24" i="2"/>
  <c r="AK32" i="2"/>
  <c r="AJ32" i="2"/>
  <c r="AI32" i="2"/>
  <c r="AF32" i="2"/>
  <c r="AH32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K36" i="2"/>
  <c r="AJ36" i="2"/>
  <c r="AI36" i="2"/>
  <c r="AH36" i="2"/>
  <c r="AF36" i="2"/>
  <c r="AK8" i="2"/>
  <c r="AI8" i="2"/>
  <c r="AF8" i="2"/>
  <c r="AH8" i="2"/>
  <c r="AJ8" i="2"/>
  <c r="AK16" i="2"/>
  <c r="AJ16" i="2"/>
  <c r="AI16" i="2"/>
  <c r="AF16" i="2"/>
  <c r="AH16" i="2"/>
  <c r="AK20" i="2"/>
  <c r="AJ20" i="2"/>
  <c r="AI20" i="2"/>
  <c r="AH20" i="2"/>
  <c r="AF20" i="2"/>
  <c r="AK28" i="2"/>
  <c r="AJ28" i="2"/>
  <c r="AI28" i="2"/>
  <c r="AF28" i="2"/>
  <c r="AH28" i="2"/>
  <c r="AK38" i="2"/>
  <c r="AJ38" i="2"/>
  <c r="AI38" i="2"/>
  <c r="AF38" i="2"/>
  <c r="AH38" i="2"/>
  <c r="AK2" i="2"/>
  <c r="AJ2" i="2"/>
  <c r="AI2" i="2"/>
  <c r="AH2" i="2"/>
  <c r="AF2" i="2"/>
  <c r="AG2" i="2"/>
  <c r="AK102" i="2"/>
  <c r="AH102" i="2"/>
  <c r="AK103" i="2"/>
  <c r="AH103" i="2"/>
  <c r="AK104" i="2"/>
  <c r="AH104" i="2"/>
  <c r="AK105" i="2"/>
  <c r="AH105" i="2"/>
  <c r="AK106" i="2"/>
  <c r="AH106" i="2"/>
  <c r="AK107" i="2"/>
  <c r="AH107" i="2"/>
  <c r="AK108" i="2"/>
  <c r="AH108" i="2"/>
  <c r="AK109" i="2"/>
  <c r="AH109" i="2"/>
  <c r="AK110" i="2"/>
  <c r="AH110" i="2"/>
  <c r="AK111" i="2"/>
  <c r="AH111" i="2"/>
  <c r="AK112" i="2"/>
  <c r="AH112" i="2"/>
  <c r="AK113" i="2"/>
  <c r="AH113" i="2"/>
  <c r="AK114" i="2"/>
  <c r="AH114" i="2"/>
  <c r="AK115" i="2"/>
  <c r="AH115" i="2"/>
  <c r="AK116" i="2"/>
  <c r="AH116" i="2"/>
  <c r="AK117" i="2"/>
  <c r="AH117" i="2"/>
  <c r="AK118" i="2"/>
  <c r="AH118" i="2"/>
  <c r="AK119" i="2"/>
  <c r="AH119" i="2"/>
  <c r="AK120" i="2"/>
  <c r="AH120" i="2"/>
  <c r="AK121" i="2"/>
  <c r="AH121" i="2"/>
  <c r="AH122" i="2"/>
  <c r="AK122" i="2"/>
  <c r="AK123" i="2"/>
  <c r="AH123" i="2"/>
  <c r="AK124" i="2"/>
  <c r="AH124" i="2"/>
  <c r="AK125" i="2"/>
  <c r="AH125" i="2"/>
  <c r="AK126" i="2"/>
  <c r="AH126" i="2"/>
  <c r="AK127" i="2"/>
  <c r="AH127" i="2"/>
  <c r="AK128" i="2"/>
  <c r="AH128" i="2"/>
  <c r="AK129" i="2"/>
  <c r="AH129" i="2"/>
  <c r="AK130" i="2"/>
  <c r="AH130" i="2"/>
  <c r="AK131" i="2"/>
  <c r="AH131" i="2"/>
  <c r="AK132" i="2"/>
  <c r="AH132" i="2"/>
  <c r="AK133" i="2"/>
  <c r="AH133" i="2"/>
  <c r="AK134" i="2"/>
  <c r="AH134" i="2"/>
  <c r="AK135" i="2"/>
  <c r="AH135" i="2"/>
  <c r="AK136" i="2"/>
  <c r="AH136" i="2"/>
  <c r="AK137" i="2"/>
  <c r="AH137" i="2"/>
  <c r="AK138" i="2"/>
  <c r="AH138" i="2"/>
  <c r="AK139" i="2"/>
  <c r="AH139" i="2"/>
  <c r="AK140" i="2"/>
  <c r="AH140" i="2"/>
  <c r="AK141" i="2"/>
  <c r="AH141" i="2"/>
  <c r="AK142" i="2"/>
  <c r="AH142" i="2"/>
  <c r="AK143" i="2"/>
  <c r="AH143" i="2"/>
  <c r="AK144" i="2"/>
  <c r="AH144" i="2"/>
  <c r="AK145" i="2"/>
  <c r="AH145" i="2"/>
  <c r="AK146" i="2"/>
  <c r="AH146" i="2"/>
  <c r="AK147" i="2"/>
  <c r="AH147" i="2"/>
  <c r="AK148" i="2"/>
  <c r="AH148" i="2"/>
  <c r="AK149" i="2"/>
  <c r="AH149" i="2"/>
  <c r="AK150" i="2"/>
  <c r="AH150" i="2"/>
  <c r="AK151" i="2"/>
  <c r="AH151" i="2"/>
  <c r="AK152" i="2"/>
  <c r="AH152" i="2"/>
  <c r="AK153" i="2"/>
  <c r="AH153" i="2"/>
  <c r="AK154" i="2"/>
  <c r="AH154" i="2"/>
  <c r="AK155" i="2"/>
  <c r="AH155" i="2"/>
  <c r="AK156" i="2"/>
  <c r="AH156" i="2"/>
  <c r="AK157" i="2"/>
  <c r="AH157" i="2"/>
  <c r="AK158" i="2"/>
  <c r="AH158" i="2"/>
  <c r="AK159" i="2"/>
  <c r="AH159" i="2"/>
  <c r="AK160" i="2"/>
  <c r="AH160" i="2"/>
  <c r="AK161" i="2"/>
  <c r="AH161" i="2"/>
  <c r="AK162" i="2"/>
  <c r="AH162" i="2"/>
  <c r="AH163" i="2"/>
  <c r="AK163" i="2"/>
  <c r="AK164" i="2"/>
  <c r="AH164" i="2"/>
  <c r="AK165" i="2"/>
  <c r="AH165" i="2"/>
  <c r="AK166" i="2"/>
  <c r="AH166" i="2"/>
  <c r="AK167" i="2"/>
  <c r="AH167" i="2"/>
  <c r="AK168" i="2"/>
  <c r="AH168" i="2"/>
  <c r="AK169" i="2"/>
  <c r="AH169" i="2"/>
  <c r="AK170" i="2"/>
  <c r="AH170" i="2"/>
  <c r="AK171" i="2"/>
  <c r="AH171" i="2"/>
  <c r="AK172" i="2"/>
  <c r="AH172" i="2"/>
  <c r="AK173" i="2"/>
  <c r="AH173" i="2"/>
  <c r="AK174" i="2"/>
  <c r="AH174" i="2"/>
  <c r="AK175" i="2"/>
  <c r="AH175" i="2"/>
  <c r="AK176" i="2"/>
  <c r="AH176" i="2"/>
  <c r="AK177" i="2"/>
  <c r="AH177" i="2"/>
  <c r="AK178" i="2"/>
  <c r="AH178" i="2"/>
  <c r="AK179" i="2"/>
  <c r="AH179" i="2"/>
  <c r="AK180" i="2"/>
  <c r="AH180" i="2"/>
  <c r="AK181" i="2"/>
  <c r="AH181" i="2"/>
  <c r="AK182" i="2"/>
  <c r="AH182" i="2"/>
  <c r="AK183" i="2"/>
  <c r="AH183" i="2"/>
  <c r="AK184" i="2"/>
  <c r="AH184" i="2"/>
  <c r="AK185" i="2"/>
  <c r="AH185" i="2"/>
  <c r="AK186" i="2"/>
  <c r="AH186" i="2"/>
  <c r="AK187" i="2"/>
  <c r="AH187" i="2"/>
  <c r="AK188" i="2"/>
  <c r="AH188" i="2"/>
  <c r="AK189" i="2"/>
  <c r="AH189" i="2"/>
  <c r="AK190" i="2"/>
  <c r="AH190" i="2"/>
  <c r="AK191" i="2"/>
  <c r="AH191" i="2"/>
  <c r="AK192" i="2"/>
  <c r="AH192" i="2"/>
  <c r="AK193" i="2"/>
  <c r="AH193" i="2"/>
  <c r="AK194" i="2"/>
  <c r="AH194" i="2"/>
  <c r="AK195" i="2"/>
  <c r="AH195" i="2"/>
  <c r="AK196" i="2"/>
  <c r="AH196" i="2"/>
  <c r="AK197" i="2"/>
  <c r="AH197" i="2"/>
  <c r="AK198" i="2"/>
  <c r="AH198" i="2"/>
  <c r="AK199" i="2"/>
  <c r="AH199" i="2"/>
  <c r="AK200" i="2"/>
  <c r="AH200" i="2"/>
  <c r="AK201" i="2"/>
  <c r="AH201" i="2"/>
  <c r="AK202" i="2"/>
  <c r="AH202" i="2"/>
  <c r="AK203" i="2"/>
  <c r="AH203" i="2"/>
  <c r="AK204" i="2"/>
  <c r="AH204" i="2"/>
  <c r="AK205" i="2"/>
  <c r="AH205" i="2"/>
  <c r="AK206" i="2"/>
  <c r="AH206" i="2"/>
  <c r="AK207" i="2"/>
  <c r="AH207" i="2"/>
  <c r="AK208" i="2"/>
  <c r="AH208" i="2"/>
  <c r="AK209" i="2"/>
  <c r="AH209" i="2"/>
  <c r="AK210" i="2"/>
  <c r="AH210" i="2"/>
  <c r="AK211" i="2"/>
  <c r="AH211" i="2"/>
  <c r="AK212" i="2"/>
  <c r="AH212" i="2"/>
  <c r="AH213" i="2"/>
  <c r="AK213" i="2"/>
  <c r="AK214" i="2"/>
  <c r="AH214" i="2"/>
  <c r="AK215" i="2"/>
  <c r="AH215" i="2"/>
  <c r="AK216" i="2"/>
  <c r="AH216" i="2"/>
  <c r="AK217" i="2"/>
  <c r="AH217" i="2"/>
  <c r="AK218" i="2"/>
  <c r="AH218" i="2"/>
  <c r="AK219" i="2"/>
  <c r="AH219" i="2"/>
  <c r="AK220" i="2"/>
  <c r="AH220" i="2"/>
  <c r="AK221" i="2"/>
  <c r="AH221" i="2"/>
  <c r="AK222" i="2"/>
  <c r="AH222" i="2"/>
  <c r="AK223" i="2"/>
  <c r="AH223" i="2"/>
  <c r="AK224" i="2"/>
  <c r="AH224" i="2"/>
  <c r="AK225" i="2"/>
  <c r="AH225" i="2"/>
  <c r="AK226" i="2"/>
  <c r="AH226" i="2"/>
  <c r="AK227" i="2"/>
  <c r="AH227" i="2"/>
  <c r="AK228" i="2"/>
  <c r="AH228" i="2"/>
  <c r="AK229" i="2"/>
  <c r="AH229" i="2"/>
  <c r="AK230" i="2"/>
  <c r="AH230" i="2"/>
  <c r="AK231" i="2"/>
  <c r="AH231" i="2"/>
  <c r="AK232" i="2"/>
  <c r="AH232" i="2"/>
  <c r="AK233" i="2"/>
  <c r="AH233" i="2"/>
  <c r="AK234" i="2"/>
  <c r="AH234" i="2"/>
  <c r="AK235" i="2"/>
  <c r="AH235" i="2"/>
  <c r="AK236" i="2"/>
  <c r="AH236" i="2"/>
  <c r="AK237" i="2"/>
  <c r="AH237" i="2"/>
  <c r="AK238" i="2"/>
  <c r="AH238" i="2"/>
  <c r="AK239" i="2"/>
  <c r="AH239" i="2"/>
  <c r="AK240" i="2"/>
  <c r="AH240" i="2"/>
  <c r="AK241" i="2"/>
  <c r="AH241" i="2"/>
  <c r="AK242" i="2"/>
  <c r="AH242" i="2"/>
  <c r="AK243" i="2"/>
  <c r="AH243" i="2"/>
  <c r="AK244" i="2"/>
  <c r="AH244" i="2"/>
  <c r="AK245" i="2"/>
  <c r="AH245" i="2"/>
  <c r="AK246" i="2"/>
  <c r="AH246" i="2"/>
  <c r="AK247" i="2"/>
  <c r="AH247" i="2"/>
  <c r="AK248" i="2"/>
  <c r="AH248" i="2"/>
  <c r="AK249" i="2"/>
  <c r="AH249" i="2"/>
  <c r="AK250" i="2"/>
  <c r="AH250" i="2"/>
  <c r="AK251" i="2"/>
  <c r="AH251" i="2"/>
  <c r="AK252" i="2"/>
  <c r="AH252" i="2"/>
  <c r="AK253" i="2"/>
  <c r="AH253" i="2"/>
  <c r="AK254" i="2"/>
  <c r="AH254" i="2"/>
  <c r="AK255" i="2"/>
  <c r="AH255" i="2"/>
  <c r="AK256" i="2"/>
  <c r="AH256" i="2"/>
  <c r="AK257" i="2"/>
  <c r="AH257" i="2"/>
  <c r="AK258" i="2"/>
  <c r="AH258" i="2"/>
  <c r="AK259" i="2"/>
  <c r="AH259" i="2"/>
  <c r="AK260" i="2"/>
  <c r="AH260" i="2"/>
  <c r="AK261" i="2"/>
  <c r="AH261" i="2"/>
  <c r="AK262" i="2"/>
  <c r="AH262" i="2"/>
  <c r="AK263" i="2"/>
  <c r="AH263" i="2"/>
  <c r="AK264" i="2"/>
  <c r="AH264" i="2"/>
  <c r="AK265" i="2"/>
  <c r="AH265" i="2"/>
  <c r="AK266" i="2"/>
  <c r="AH266" i="2"/>
  <c r="AK267" i="2"/>
  <c r="AH26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AL125" i="2" s="1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AG35" i="2"/>
  <c r="AP20" i="2"/>
  <c r="AP24" i="2"/>
  <c r="AP28" i="2"/>
  <c r="AP32" i="2"/>
  <c r="AO7" i="2"/>
  <c r="AO11" i="2"/>
  <c r="W19" i="2"/>
  <c r="V17" i="2"/>
  <c r="W25" i="2"/>
  <c r="W29" i="2"/>
  <c r="V35" i="2"/>
  <c r="V39" i="2"/>
  <c r="AQ10" i="2"/>
  <c r="AG14" i="2"/>
  <c r="W30" i="2"/>
  <c r="M21" i="2"/>
  <c r="V24" i="2"/>
  <c r="M25" i="2"/>
  <c r="M29" i="2"/>
  <c r="V32" i="2"/>
  <c r="V7" i="2"/>
  <c r="V8" i="2"/>
  <c r="V11" i="2"/>
  <c r="AQ15" i="2"/>
  <c r="V15" i="2"/>
  <c r="M16" i="2"/>
  <c r="V19" i="2"/>
  <c r="W20" i="2"/>
  <c r="W24" i="2"/>
  <c r="W28" i="2"/>
  <c r="M39" i="2"/>
  <c r="W5" i="2"/>
  <c r="M15" i="2"/>
  <c r="M4" i="2"/>
  <c r="V14" i="2"/>
  <c r="M28" i="2"/>
  <c r="AG27" i="2"/>
  <c r="AO250" i="2"/>
  <c r="AO258" i="2"/>
  <c r="W21" i="2"/>
  <c r="V25" i="2"/>
  <c r="M26" i="2"/>
  <c r="V29" i="2"/>
  <c r="V33" i="2"/>
  <c r="V20" i="2"/>
  <c r="V5" i="2"/>
  <c r="M6" i="2"/>
  <c r="M18" i="2"/>
  <c r="W23" i="2"/>
  <c r="M24" i="2"/>
  <c r="W38" i="2"/>
  <c r="W39" i="2"/>
  <c r="AO223" i="2"/>
  <c r="AO242" i="2"/>
  <c r="AO266" i="2"/>
  <c r="M20" i="2"/>
  <c r="M5" i="2"/>
  <c r="W9" i="2"/>
  <c r="W13" i="2"/>
  <c r="V22" i="2"/>
  <c r="M23" i="2"/>
  <c r="W31" i="2"/>
  <c r="W4" i="2"/>
  <c r="M9" i="2"/>
  <c r="M13" i="2"/>
  <c r="V16" i="2"/>
  <c r="V30" i="2"/>
  <c r="M31" i="2"/>
  <c r="W8" i="2"/>
  <c r="W16" i="2"/>
  <c r="V21" i="2"/>
  <c r="V36" i="2"/>
  <c r="M37" i="2"/>
  <c r="AG209" i="2"/>
  <c r="AG221" i="2"/>
  <c r="AG246" i="2"/>
  <c r="AG250" i="2"/>
  <c r="AG256" i="2"/>
  <c r="AG261" i="2"/>
  <c r="AG262" i="2"/>
  <c r="AG265" i="2"/>
  <c r="AG266" i="2"/>
  <c r="AG267" i="2"/>
  <c r="W12" i="2"/>
  <c r="W37" i="2"/>
  <c r="M8" i="2"/>
  <c r="V12" i="2"/>
  <c r="AO130" i="2"/>
  <c r="AO134" i="2"/>
  <c r="AO135" i="2"/>
  <c r="AO137" i="2"/>
  <c r="AO138" i="2"/>
  <c r="AO141" i="2"/>
  <c r="AO142" i="2"/>
  <c r="AO148" i="2"/>
  <c r="AO153" i="2"/>
  <c r="AO154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4" i="2"/>
  <c r="AO198" i="2"/>
  <c r="AO202" i="2"/>
  <c r="AO206" i="2"/>
  <c r="AO214" i="2"/>
  <c r="AO215" i="2"/>
  <c r="AO218" i="2"/>
  <c r="AO231" i="2"/>
  <c r="AO234" i="2"/>
  <c r="AO239" i="2"/>
  <c r="AO243" i="2"/>
  <c r="AO246" i="2"/>
  <c r="AO247" i="2"/>
  <c r="AO248" i="2"/>
  <c r="AO252" i="2"/>
  <c r="AO254" i="2"/>
  <c r="AO255" i="2"/>
  <c r="AO256" i="2"/>
  <c r="AO259" i="2"/>
  <c r="AO260" i="2"/>
  <c r="AO262" i="2"/>
  <c r="AO263" i="2"/>
  <c r="AO264" i="2"/>
  <c r="AO267" i="2"/>
  <c r="AP48" i="2"/>
  <c r="AP49" i="2"/>
  <c r="AP50" i="2"/>
  <c r="AP51" i="2"/>
  <c r="AP77" i="2"/>
  <c r="AP78" i="2"/>
  <c r="AP79" i="2"/>
  <c r="AP80" i="2"/>
  <c r="AP84" i="2"/>
  <c r="AP85" i="2"/>
  <c r="AP90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108" i="2"/>
  <c r="AP109" i="2"/>
  <c r="AP110" i="2"/>
  <c r="AP111" i="2"/>
  <c r="AP112" i="2"/>
  <c r="AP113" i="2"/>
  <c r="AP114" i="2"/>
  <c r="AP115" i="2"/>
  <c r="AP116" i="2"/>
  <c r="AP120" i="2"/>
  <c r="AP126" i="2"/>
  <c r="AP127" i="2"/>
  <c r="AP128" i="2"/>
  <c r="AP129" i="2"/>
  <c r="AP130" i="2"/>
  <c r="AP131" i="2"/>
  <c r="AP132" i="2"/>
  <c r="AP134" i="2"/>
  <c r="AP143" i="2"/>
  <c r="AP145" i="2"/>
  <c r="AP159" i="2"/>
  <c r="AP163" i="2"/>
  <c r="AP178" i="2"/>
  <c r="AP186" i="2"/>
  <c r="AP190" i="2"/>
  <c r="AP198" i="2"/>
  <c r="AP202" i="2"/>
  <c r="AP214" i="2"/>
  <c r="AP238" i="2"/>
  <c r="AP242" i="2"/>
  <c r="AP246" i="2"/>
  <c r="AP250" i="2"/>
  <c r="AP254" i="2"/>
  <c r="AP258" i="2"/>
  <c r="AP267" i="2"/>
  <c r="M12" i="2"/>
  <c r="M17" i="2"/>
  <c r="V9" i="2"/>
  <c r="M19" i="2"/>
  <c r="M22" i="2"/>
  <c r="V27" i="2"/>
  <c r="V28" i="2"/>
  <c r="M32" i="2"/>
  <c r="M33" i="2"/>
  <c r="M35" i="2"/>
  <c r="M36" i="2"/>
  <c r="V38" i="2"/>
  <c r="AQ154" i="2"/>
  <c r="AQ159" i="2"/>
  <c r="AQ164" i="2"/>
  <c r="AQ193" i="2"/>
  <c r="AQ217" i="2"/>
  <c r="AQ218" i="2"/>
  <c r="AQ241" i="2"/>
  <c r="AQ242" i="2"/>
  <c r="AQ249" i="2"/>
  <c r="AQ250" i="2"/>
  <c r="AQ257" i="2"/>
  <c r="AQ258" i="2"/>
  <c r="AQ265" i="2"/>
  <c r="AQ266" i="2"/>
  <c r="AQ267" i="2"/>
  <c r="V3" i="2"/>
  <c r="V4" i="2"/>
  <c r="M10" i="2"/>
  <c r="V13" i="2"/>
  <c r="V18" i="2"/>
  <c r="W14" i="2"/>
  <c r="W32" i="2"/>
  <c r="W35" i="2"/>
  <c r="AO10" i="2"/>
  <c r="AP10" i="2"/>
  <c r="AO25" i="2"/>
  <c r="AP25" i="2"/>
  <c r="AQ19" i="2"/>
  <c r="AQ28" i="2"/>
  <c r="AG28" i="2"/>
  <c r="AQ31" i="2"/>
  <c r="V31" i="2"/>
  <c r="AQ33" i="2"/>
  <c r="AG33" i="2"/>
  <c r="AG36" i="2"/>
  <c r="AQ37" i="2"/>
  <c r="AG37" i="2"/>
  <c r="V37" i="2"/>
  <c r="M38" i="2"/>
  <c r="AG166" i="2"/>
  <c r="AG170" i="2"/>
  <c r="AG171" i="2"/>
  <c r="AG175" i="2"/>
  <c r="AQ6" i="2"/>
  <c r="AO6" i="2"/>
  <c r="AP6" i="2"/>
  <c r="AO39" i="2"/>
  <c r="AP39" i="2"/>
  <c r="AQ21" i="2"/>
  <c r="AG21" i="2"/>
  <c r="AQ38" i="2"/>
  <c r="AG38" i="2"/>
  <c r="W26" i="2"/>
  <c r="AQ4" i="2"/>
  <c r="AG4" i="2"/>
  <c r="AQ8" i="2"/>
  <c r="AG8" i="2"/>
  <c r="AG15" i="2"/>
  <c r="AQ17" i="2"/>
  <c r="AG17" i="2"/>
  <c r="AO4" i="2"/>
  <c r="AP4" i="2"/>
  <c r="AO8" i="2"/>
  <c r="AP8" i="2"/>
  <c r="AO12" i="2"/>
  <c r="AP12" i="2"/>
  <c r="AO15" i="2"/>
  <c r="AP15" i="2"/>
  <c r="W15" i="2"/>
  <c r="AO17" i="2"/>
  <c r="AP17" i="2"/>
  <c r="AO18" i="2"/>
  <c r="AP18" i="2"/>
  <c r="W22" i="2"/>
  <c r="AO28" i="2"/>
  <c r="AO31" i="2"/>
  <c r="AP31" i="2"/>
  <c r="AO33" i="2"/>
  <c r="AP33" i="2"/>
  <c r="H34" i="2"/>
  <c r="AM34" i="2" s="1"/>
  <c r="X34" i="2"/>
  <c r="AO36" i="2"/>
  <c r="AP36" i="2"/>
  <c r="AP37" i="2"/>
  <c r="AG19" i="2"/>
  <c r="AO20" i="2"/>
  <c r="AQ32" i="2"/>
  <c r="AG32" i="2"/>
  <c r="W10" i="2"/>
  <c r="AO32" i="2"/>
  <c r="AO38" i="2"/>
  <c r="AP38" i="2"/>
  <c r="AQ9" i="2"/>
  <c r="AG9" i="2"/>
  <c r="AQ11" i="2"/>
  <c r="AG11" i="2"/>
  <c r="AQ13" i="2"/>
  <c r="AG13" i="2"/>
  <c r="AQ14" i="2"/>
  <c r="AQ24" i="2"/>
  <c r="AG24" i="2"/>
  <c r="AQ27" i="2"/>
  <c r="AQ29" i="2"/>
  <c r="AG29" i="2"/>
  <c r="AQ30" i="2"/>
  <c r="AG30" i="2"/>
  <c r="AA34" i="2"/>
  <c r="AO37" i="2"/>
  <c r="AG31" i="2"/>
  <c r="AP2" i="2"/>
  <c r="AO2" i="2"/>
  <c r="AO23" i="2"/>
  <c r="AP23" i="2"/>
  <c r="W6" i="2"/>
  <c r="AP16" i="2"/>
  <c r="AO22" i="2"/>
  <c r="AP22" i="2"/>
  <c r="AQ7" i="2"/>
  <c r="AG7" i="2"/>
  <c r="AP3" i="2"/>
  <c r="W3" i="2"/>
  <c r="AO5" i="2"/>
  <c r="AP5" i="2"/>
  <c r="AP7" i="2"/>
  <c r="W7" i="2"/>
  <c r="AO9" i="2"/>
  <c r="AP9" i="2"/>
  <c r="AP11" i="2"/>
  <c r="W11" i="2"/>
  <c r="AO13" i="2"/>
  <c r="AP13" i="2"/>
  <c r="AO14" i="2"/>
  <c r="AP14" i="2"/>
  <c r="W17" i="2"/>
  <c r="W18" i="2"/>
  <c r="AO24" i="2"/>
  <c r="AO27" i="2"/>
  <c r="AP27" i="2"/>
  <c r="W27" i="2"/>
  <c r="AO29" i="2"/>
  <c r="AP29" i="2"/>
  <c r="AO30" i="2"/>
  <c r="AP30" i="2"/>
  <c r="W33" i="2"/>
  <c r="M34" i="2"/>
  <c r="Z34" i="2"/>
  <c r="W36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108" i="2"/>
  <c r="AO128" i="2"/>
  <c r="AO129" i="2"/>
  <c r="AO131" i="2"/>
  <c r="AO132" i="2"/>
  <c r="AO133" i="2"/>
  <c r="AO136" i="2"/>
  <c r="AO139" i="2"/>
  <c r="AO140" i="2"/>
  <c r="AO143" i="2"/>
  <c r="AO144" i="2"/>
  <c r="AO145" i="2"/>
  <c r="AO146" i="2"/>
  <c r="AO147" i="2"/>
  <c r="AO149" i="2"/>
  <c r="AO150" i="2"/>
  <c r="AO151" i="2"/>
  <c r="AO152" i="2"/>
  <c r="AO155" i="2"/>
  <c r="AQ36" i="2"/>
  <c r="AO26" i="2"/>
  <c r="AP26" i="2"/>
  <c r="AQ16" i="2"/>
  <c r="AG16" i="2"/>
  <c r="AQ22" i="2"/>
  <c r="AG22" i="2"/>
  <c r="AQ35" i="2"/>
  <c r="W2" i="2"/>
  <c r="AO19" i="2"/>
  <c r="AP19" i="2"/>
  <c r="AO21" i="2"/>
  <c r="AP21" i="2"/>
  <c r="AO35" i="2"/>
  <c r="AP35" i="2"/>
  <c r="AQ12" i="2"/>
  <c r="AG12" i="2"/>
  <c r="AQ18" i="2"/>
  <c r="AG18" i="2"/>
  <c r="AQ3" i="2"/>
  <c r="AG3" i="2"/>
  <c r="AQ5" i="2"/>
  <c r="AG5" i="2"/>
  <c r="V2" i="2"/>
  <c r="M3" i="2"/>
  <c r="AG6" i="2"/>
  <c r="V6" i="2"/>
  <c r="M7" i="2"/>
  <c r="AG10" i="2"/>
  <c r="V10" i="2"/>
  <c r="M11" i="2"/>
  <c r="M14" i="2"/>
  <c r="AQ20" i="2"/>
  <c r="AG20" i="2"/>
  <c r="AQ23" i="2"/>
  <c r="V23" i="2"/>
  <c r="AQ25" i="2"/>
  <c r="AG25" i="2"/>
  <c r="AQ26" i="2"/>
  <c r="AG26" i="2"/>
  <c r="V26" i="2"/>
  <c r="M27" i="2"/>
  <c r="M30" i="2"/>
  <c r="AQ39" i="2"/>
  <c r="AG39" i="2"/>
  <c r="AP40" i="2"/>
  <c r="AP41" i="2"/>
  <c r="AP42" i="2"/>
  <c r="AP43" i="2"/>
  <c r="AP44" i="2"/>
  <c r="AP45" i="2"/>
  <c r="AP46" i="2"/>
  <c r="AP47" i="2"/>
  <c r="AP52" i="2"/>
  <c r="AP53" i="2"/>
  <c r="AP54" i="2"/>
  <c r="AP55" i="2"/>
  <c r="AP56" i="2"/>
  <c r="AP81" i="2"/>
  <c r="AP83" i="2"/>
  <c r="AP86" i="2"/>
  <c r="AP87" i="2"/>
  <c r="AP88" i="2"/>
  <c r="AP89" i="2"/>
  <c r="AP91" i="2"/>
  <c r="AP117" i="2"/>
  <c r="AP118" i="2"/>
  <c r="AP119" i="2"/>
  <c r="AP121" i="2"/>
  <c r="AP122" i="2"/>
  <c r="AP123" i="2"/>
  <c r="AP124" i="2"/>
  <c r="AP125" i="2"/>
  <c r="AP133" i="2"/>
  <c r="AP135" i="2"/>
  <c r="AP136" i="2"/>
  <c r="AP150" i="2"/>
  <c r="AP164" i="2"/>
  <c r="AP168" i="2"/>
  <c r="AP182" i="2"/>
  <c r="AG23" i="2"/>
  <c r="AO16" i="2"/>
  <c r="AO3" i="2"/>
  <c r="AQ209" i="2"/>
  <c r="AQ221" i="2"/>
  <c r="AG193" i="2"/>
  <c r="AG217" i="2"/>
  <c r="AG225" i="2"/>
  <c r="AG228" i="2"/>
  <c r="AG229" i="2"/>
  <c r="AG232" i="2"/>
  <c r="AG233" i="2"/>
  <c r="AG236" i="2"/>
  <c r="AG237" i="2"/>
  <c r="AG240" i="2"/>
  <c r="AG241" i="2"/>
  <c r="AG244" i="2"/>
  <c r="AG245" i="2"/>
  <c r="AG248" i="2"/>
  <c r="AG249" i="2"/>
  <c r="AG252" i="2"/>
  <c r="AG253" i="2"/>
  <c r="AG254" i="2"/>
  <c r="AG257" i="2"/>
  <c r="AG258" i="2"/>
  <c r="AG260" i="2"/>
  <c r="AG264" i="2"/>
  <c r="AQ229" i="2"/>
  <c r="AG205" i="2"/>
  <c r="AG189" i="2"/>
  <c r="AO210" i="2"/>
  <c r="AO219" i="2"/>
  <c r="AO222" i="2"/>
  <c r="AO226" i="2"/>
  <c r="AO227" i="2"/>
  <c r="AO230" i="2"/>
  <c r="AO235" i="2"/>
  <c r="AO238" i="2"/>
  <c r="AO244" i="2"/>
  <c r="AO251" i="2"/>
  <c r="AP194" i="2"/>
  <c r="AP206" i="2"/>
  <c r="AP210" i="2"/>
  <c r="AP218" i="2"/>
  <c r="AP222" i="2"/>
  <c r="AP226" i="2"/>
  <c r="AP230" i="2"/>
  <c r="AP234" i="2"/>
  <c r="AP262" i="2"/>
  <c r="AQ261" i="2"/>
  <c r="AQ253" i="2"/>
  <c r="AQ245" i="2"/>
  <c r="AG51" i="2"/>
  <c r="AG52" i="2"/>
  <c r="AG53" i="2"/>
  <c r="AG54" i="2"/>
  <c r="AG55" i="2"/>
  <c r="AG56" i="2"/>
  <c r="AG57" i="2"/>
  <c r="AG58" i="2"/>
  <c r="AG65" i="2"/>
  <c r="AG79" i="2"/>
  <c r="AG81" i="2"/>
  <c r="AG89" i="2"/>
  <c r="AG40" i="2"/>
  <c r="AG41" i="2"/>
  <c r="AG42" i="2"/>
  <c r="AG43" i="2"/>
  <c r="AG44" i="2"/>
  <c r="AG45" i="2"/>
  <c r="AG71" i="2"/>
  <c r="AG72" i="2"/>
  <c r="AG73" i="2"/>
  <c r="AG74" i="2"/>
  <c r="AG75" i="2"/>
  <c r="AG76" i="2"/>
  <c r="AG77" i="2"/>
  <c r="AG78" i="2"/>
  <c r="AG90" i="2"/>
  <c r="AQ40" i="2"/>
  <c r="AQ41" i="2"/>
  <c r="AQ42" i="2"/>
  <c r="AQ43" i="2"/>
  <c r="AQ44" i="2"/>
  <c r="AQ45" i="2"/>
  <c r="AQ46" i="2"/>
  <c r="AQ47" i="2"/>
  <c r="AQ48" i="2"/>
  <c r="AG46" i="2"/>
  <c r="AG47" i="2"/>
  <c r="AG48" i="2"/>
  <c r="AG49" i="2"/>
  <c r="AG50" i="2"/>
  <c r="AG66" i="2"/>
  <c r="AG67" i="2"/>
  <c r="AG80" i="2"/>
  <c r="AG82" i="2"/>
  <c r="AG83" i="2"/>
  <c r="AG84" i="2"/>
  <c r="AG85" i="2"/>
  <c r="AG86" i="2"/>
  <c r="AG87" i="2"/>
  <c r="AG88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35" i="2"/>
  <c r="AG125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AQ118" i="2"/>
  <c r="AQ119" i="2"/>
  <c r="AQ120" i="2"/>
  <c r="AQ121" i="2"/>
  <c r="AQ122" i="2"/>
  <c r="AQ123" i="2"/>
  <c r="AQ124" i="2"/>
  <c r="AQ125" i="2"/>
  <c r="AQ126" i="2"/>
  <c r="AQ128" i="2"/>
  <c r="AQ129" i="2"/>
  <c r="AQ130" i="2"/>
  <c r="AQ131" i="2"/>
  <c r="AQ132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6" i="2"/>
  <c r="AQ157" i="2"/>
  <c r="AQ158" i="2"/>
  <c r="AQ161" i="2"/>
  <c r="AQ162" i="2"/>
  <c r="AQ163" i="2"/>
  <c r="AQ165" i="2"/>
  <c r="AQ166" i="2"/>
  <c r="AQ167" i="2"/>
  <c r="AQ168" i="2"/>
  <c r="AQ169" i="2"/>
  <c r="AQ170" i="2"/>
  <c r="AQ171" i="2"/>
  <c r="AQ172" i="2"/>
  <c r="AQ173" i="2"/>
  <c r="AQ174" i="2"/>
  <c r="AQ175" i="2"/>
  <c r="AQ176" i="2"/>
  <c r="AQ177" i="2"/>
  <c r="AQ178" i="2"/>
  <c r="AQ179" i="2"/>
  <c r="AQ180" i="2"/>
  <c r="AQ182" i="2"/>
  <c r="AQ183" i="2"/>
  <c r="AQ184" i="2"/>
  <c r="AQ186" i="2"/>
  <c r="AQ187" i="2"/>
  <c r="AQ188" i="2"/>
  <c r="AQ190" i="2"/>
  <c r="AQ191" i="2"/>
  <c r="AQ192" i="2"/>
  <c r="AQ194" i="2"/>
  <c r="AQ195" i="2"/>
  <c r="AQ196" i="2"/>
  <c r="AQ198" i="2"/>
  <c r="AQ199" i="2"/>
  <c r="AQ200" i="2"/>
  <c r="AQ202" i="2"/>
  <c r="AQ203" i="2"/>
  <c r="AQ204" i="2"/>
  <c r="AQ206" i="2"/>
  <c r="AQ207" i="2"/>
  <c r="AQ208" i="2"/>
  <c r="AQ210" i="2"/>
  <c r="AQ211" i="2"/>
  <c r="AQ212" i="2"/>
  <c r="AQ215" i="2"/>
  <c r="AQ216" i="2"/>
  <c r="AQ219" i="2"/>
  <c r="AQ220" i="2"/>
  <c r="AQ223" i="2"/>
  <c r="AQ224" i="2"/>
  <c r="AQ227" i="2"/>
  <c r="AQ228" i="2"/>
  <c r="AQ231" i="2"/>
  <c r="AQ232" i="2"/>
  <c r="AQ235" i="2"/>
  <c r="AQ236" i="2"/>
  <c r="AQ239" i="2"/>
  <c r="AQ240" i="2"/>
  <c r="AQ244" i="2"/>
  <c r="AQ248" i="2"/>
  <c r="AQ252" i="2"/>
  <c r="AQ256" i="2"/>
  <c r="AQ260" i="2"/>
  <c r="AQ264" i="2"/>
  <c r="AP266" i="2"/>
  <c r="AQ225" i="2"/>
  <c r="AQ214" i="2"/>
  <c r="AQ205" i="2"/>
  <c r="AQ189" i="2"/>
  <c r="AQ160" i="2"/>
  <c r="AQ155" i="2"/>
  <c r="AG122" i="2"/>
  <c r="AG123" i="2"/>
  <c r="AG124" i="2"/>
  <c r="AG126" i="2"/>
  <c r="AG127" i="2"/>
  <c r="AG128" i="2"/>
  <c r="AG129" i="2"/>
  <c r="AG130" i="2"/>
  <c r="AG131" i="2"/>
  <c r="AG132" i="2"/>
  <c r="AG133" i="2"/>
  <c r="AG134" i="2"/>
  <c r="AG136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7" i="2"/>
  <c r="AG168" i="2"/>
  <c r="AG169" i="2"/>
  <c r="AG172" i="2"/>
  <c r="AG173" i="2"/>
  <c r="AG174" i="2"/>
  <c r="AG176" i="2"/>
  <c r="AG177" i="2"/>
  <c r="AG178" i="2"/>
  <c r="AG179" i="2"/>
  <c r="AG180" i="2"/>
  <c r="AG182" i="2"/>
  <c r="AG183" i="2"/>
  <c r="AG184" i="2"/>
  <c r="AG186" i="2"/>
  <c r="AG187" i="2"/>
  <c r="AG188" i="2"/>
  <c r="AG190" i="2"/>
  <c r="AG191" i="2"/>
  <c r="AG192" i="2"/>
  <c r="AG194" i="2"/>
  <c r="AG195" i="2"/>
  <c r="AG196" i="2"/>
  <c r="AG198" i="2"/>
  <c r="AG199" i="2"/>
  <c r="AG200" i="2"/>
  <c r="AG202" i="2"/>
  <c r="AG203" i="2"/>
  <c r="AG204" i="2"/>
  <c r="AG206" i="2"/>
  <c r="AG207" i="2"/>
  <c r="AG208" i="2"/>
  <c r="AG210" i="2"/>
  <c r="AG211" i="2"/>
  <c r="AG212" i="2"/>
  <c r="AG214" i="2"/>
  <c r="AG215" i="2"/>
  <c r="AG216" i="2"/>
  <c r="AG218" i="2"/>
  <c r="AG219" i="2"/>
  <c r="AG220" i="2"/>
  <c r="AG222" i="2"/>
  <c r="AG223" i="2"/>
  <c r="AG224" i="2"/>
  <c r="AG226" i="2"/>
  <c r="AG227" i="2"/>
  <c r="AG230" i="2"/>
  <c r="AG231" i="2"/>
  <c r="AG234" i="2"/>
  <c r="AG235" i="2"/>
  <c r="AG238" i="2"/>
  <c r="AG239" i="2"/>
  <c r="AG242" i="2"/>
  <c r="AG243" i="2"/>
  <c r="AG247" i="2"/>
  <c r="AG251" i="2"/>
  <c r="AG255" i="2"/>
  <c r="AG259" i="2"/>
  <c r="AG263" i="2"/>
  <c r="AQ259" i="2"/>
  <c r="AQ251" i="2"/>
  <c r="AQ243" i="2"/>
  <c r="AQ233" i="2"/>
  <c r="AQ222" i="2"/>
  <c r="AQ201" i="2"/>
  <c r="AQ185" i="2"/>
  <c r="AQ262" i="2"/>
  <c r="AQ254" i="2"/>
  <c r="AQ246" i="2"/>
  <c r="AQ237" i="2"/>
  <c r="AQ226" i="2"/>
  <c r="AG201" i="2"/>
  <c r="AG185" i="2"/>
  <c r="AQ230" i="2"/>
  <c r="AQ213" i="2"/>
  <c r="AQ197" i="2"/>
  <c r="AQ181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56" i="2"/>
  <c r="AO157" i="2"/>
  <c r="AO158" i="2"/>
  <c r="AO159" i="2"/>
  <c r="AO160" i="2"/>
  <c r="AO161" i="2"/>
  <c r="AO162" i="2"/>
  <c r="AO191" i="2"/>
  <c r="AO192" i="2"/>
  <c r="AO193" i="2"/>
  <c r="AO195" i="2"/>
  <c r="AO196" i="2"/>
  <c r="AO197" i="2"/>
  <c r="AO199" i="2"/>
  <c r="AO200" i="2"/>
  <c r="AO201" i="2"/>
  <c r="AO203" i="2"/>
  <c r="AO204" i="2"/>
  <c r="AO205" i="2"/>
  <c r="AO207" i="2"/>
  <c r="AO208" i="2"/>
  <c r="AO209" i="2"/>
  <c r="AO211" i="2"/>
  <c r="AO212" i="2"/>
  <c r="AO213" i="2"/>
  <c r="AO216" i="2"/>
  <c r="AO217" i="2"/>
  <c r="AO220" i="2"/>
  <c r="AO221" i="2"/>
  <c r="AO224" i="2"/>
  <c r="AO225" i="2"/>
  <c r="AO228" i="2"/>
  <c r="AO229" i="2"/>
  <c r="AO232" i="2"/>
  <c r="AO233" i="2"/>
  <c r="AO236" i="2"/>
  <c r="AO237" i="2"/>
  <c r="AO240" i="2"/>
  <c r="AO241" i="2"/>
  <c r="AO245" i="2"/>
  <c r="AO249" i="2"/>
  <c r="AO253" i="2"/>
  <c r="AO257" i="2"/>
  <c r="AO261" i="2"/>
  <c r="AO265" i="2"/>
  <c r="AQ234" i="2"/>
  <c r="AG213" i="2"/>
  <c r="AG197" i="2"/>
  <c r="AG181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82" i="2"/>
  <c r="AP137" i="2"/>
  <c r="AP138" i="2"/>
  <c r="AP139" i="2"/>
  <c r="AP140" i="2"/>
  <c r="AP141" i="2"/>
  <c r="AP142" i="2"/>
  <c r="AP144" i="2"/>
  <c r="AP146" i="2"/>
  <c r="AP147" i="2"/>
  <c r="AP148" i="2"/>
  <c r="AP149" i="2"/>
  <c r="AP151" i="2"/>
  <c r="AP152" i="2"/>
  <c r="AP153" i="2"/>
  <c r="AP154" i="2"/>
  <c r="AP155" i="2"/>
  <c r="AP156" i="2"/>
  <c r="AP157" i="2"/>
  <c r="AP158" i="2"/>
  <c r="AP160" i="2"/>
  <c r="AP161" i="2"/>
  <c r="AP162" i="2"/>
  <c r="AP165" i="2"/>
  <c r="AP166" i="2"/>
  <c r="AP167" i="2"/>
  <c r="AP169" i="2"/>
  <c r="AP170" i="2"/>
  <c r="AP171" i="2"/>
  <c r="AP172" i="2"/>
  <c r="AP173" i="2"/>
  <c r="AP174" i="2"/>
  <c r="AP175" i="2"/>
  <c r="AP176" i="2"/>
  <c r="AP177" i="2"/>
  <c r="AP179" i="2"/>
  <c r="AP180" i="2"/>
  <c r="AP181" i="2"/>
  <c r="AP183" i="2"/>
  <c r="AP184" i="2"/>
  <c r="AP185" i="2"/>
  <c r="AP187" i="2"/>
  <c r="AP188" i="2"/>
  <c r="AP189" i="2"/>
  <c r="AP191" i="2"/>
  <c r="AP192" i="2"/>
  <c r="AP193" i="2"/>
  <c r="AP195" i="2"/>
  <c r="AP196" i="2"/>
  <c r="AP197" i="2"/>
  <c r="AP199" i="2"/>
  <c r="AP200" i="2"/>
  <c r="AP201" i="2"/>
  <c r="AP203" i="2"/>
  <c r="AP204" i="2"/>
  <c r="AP205" i="2"/>
  <c r="AP207" i="2"/>
  <c r="AP208" i="2"/>
  <c r="AP209" i="2"/>
  <c r="AP211" i="2"/>
  <c r="AP212" i="2"/>
  <c r="AP213" i="2"/>
  <c r="AP215" i="2"/>
  <c r="AP216" i="2"/>
  <c r="AP217" i="2"/>
  <c r="AP219" i="2"/>
  <c r="AP220" i="2"/>
  <c r="AP221" i="2"/>
  <c r="AP223" i="2"/>
  <c r="AP224" i="2"/>
  <c r="AP225" i="2"/>
  <c r="AP227" i="2"/>
  <c r="AP228" i="2"/>
  <c r="AP229" i="2"/>
  <c r="AP231" i="2"/>
  <c r="AP232" i="2"/>
  <c r="AP233" i="2"/>
  <c r="AP235" i="2"/>
  <c r="AP236" i="2"/>
  <c r="AP237" i="2"/>
  <c r="AP239" i="2"/>
  <c r="AP240" i="2"/>
  <c r="AP241" i="2"/>
  <c r="AP243" i="2"/>
  <c r="AP244" i="2"/>
  <c r="AP245" i="2"/>
  <c r="AP247" i="2"/>
  <c r="AP248" i="2"/>
  <c r="AP249" i="2"/>
  <c r="AP251" i="2"/>
  <c r="AP252" i="2"/>
  <c r="AP253" i="2"/>
  <c r="AP255" i="2"/>
  <c r="AP256" i="2"/>
  <c r="AP257" i="2"/>
  <c r="AP259" i="2"/>
  <c r="AP260" i="2"/>
  <c r="AP261" i="2"/>
  <c r="AP263" i="2"/>
  <c r="AP264" i="2"/>
  <c r="AP265" i="2"/>
  <c r="AQ263" i="2"/>
  <c r="AQ255" i="2"/>
  <c r="AQ247" i="2"/>
  <c r="AQ238" i="2"/>
  <c r="AG137" i="2"/>
  <c r="AQ127" i="2"/>
  <c r="AE2" i="1"/>
  <c r="AD2" i="1"/>
  <c r="AJ3" i="1"/>
  <c r="AJ4" i="1"/>
  <c r="AJ5" i="1"/>
  <c r="AJ6" i="1"/>
  <c r="AJ7" i="1"/>
  <c r="AJ8" i="1"/>
  <c r="AJ9" i="1"/>
  <c r="AJ10" i="1"/>
  <c r="AJ11" i="1"/>
  <c r="AJ12" i="1"/>
  <c r="AJ13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8" i="1"/>
  <c r="AJ29" i="1"/>
  <c r="AJ30" i="1"/>
  <c r="AJ31" i="1"/>
  <c r="AJ32" i="1"/>
  <c r="AJ33" i="1"/>
  <c r="AJ34" i="1"/>
  <c r="AJ35" i="1"/>
  <c r="AJ36" i="1"/>
  <c r="AJ39" i="1"/>
  <c r="AJ40" i="1"/>
  <c r="AJ41" i="1"/>
  <c r="AJ42" i="1"/>
  <c r="AJ43" i="1"/>
  <c r="AJ44" i="1"/>
  <c r="AJ45" i="1"/>
  <c r="AJ46" i="1"/>
  <c r="AJ47" i="1"/>
  <c r="AJ48" i="1"/>
  <c r="AJ50" i="1"/>
  <c r="AJ51" i="1"/>
  <c r="AJ52" i="1"/>
  <c r="AJ53" i="1"/>
  <c r="AJ54" i="1"/>
  <c r="AJ55" i="1"/>
  <c r="AJ56" i="1"/>
  <c r="AJ57" i="1"/>
  <c r="AJ58" i="1"/>
  <c r="AJ65" i="1"/>
  <c r="AJ66" i="1"/>
  <c r="AJ67" i="1"/>
  <c r="AJ71" i="1"/>
  <c r="AJ72" i="1"/>
  <c r="AJ73" i="1"/>
  <c r="AJ74" i="1"/>
  <c r="AJ76" i="1"/>
  <c r="AJ77" i="1"/>
  <c r="AJ78" i="1"/>
  <c r="AJ79" i="1"/>
  <c r="AJ80" i="1"/>
  <c r="AJ81" i="1"/>
  <c r="AJ82" i="1"/>
  <c r="AJ83" i="1"/>
  <c r="AJ84" i="1"/>
  <c r="AJ85" i="1"/>
  <c r="AJ86" i="1"/>
  <c r="AJ88" i="1"/>
  <c r="AJ89" i="1"/>
  <c r="AJ90" i="1"/>
  <c r="AJ91" i="1"/>
  <c r="AJ92" i="1"/>
  <c r="AJ93" i="1"/>
  <c r="AJ94" i="1"/>
  <c r="AJ95" i="1"/>
  <c r="AJ96" i="1"/>
  <c r="AJ103" i="1"/>
  <c r="AJ104" i="1"/>
  <c r="AJ105" i="1"/>
  <c r="AJ109" i="1"/>
  <c r="AJ110" i="1"/>
  <c r="AJ111" i="1"/>
  <c r="AJ112" i="1"/>
  <c r="AJ115" i="1"/>
  <c r="AJ116" i="1"/>
  <c r="AJ117" i="1"/>
  <c r="AJ118" i="1"/>
  <c r="AJ119" i="1"/>
  <c r="AJ120" i="1"/>
  <c r="AJ121" i="1"/>
  <c r="AJ122" i="1"/>
  <c r="AJ123" i="1"/>
  <c r="AJ124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50" i="1"/>
  <c r="AJ153" i="1"/>
  <c r="AJ154" i="1"/>
  <c r="AJ155" i="1"/>
  <c r="AJ156" i="1"/>
  <c r="AJ157" i="1"/>
  <c r="AJ158" i="1"/>
  <c r="AJ159" i="1"/>
  <c r="AJ160" i="1"/>
  <c r="AJ161" i="1"/>
  <c r="AJ162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5" i="1"/>
  <c r="AJ186" i="1"/>
  <c r="AJ188" i="1"/>
  <c r="AJ190" i="1"/>
  <c r="AJ191" i="1"/>
  <c r="AJ193" i="1"/>
  <c r="AJ194" i="1"/>
  <c r="AJ195" i="1"/>
  <c r="AJ198" i="1"/>
  <c r="AJ200" i="1"/>
  <c r="AJ202" i="1"/>
  <c r="AJ203" i="1"/>
  <c r="AJ205" i="1"/>
  <c r="AJ206" i="1"/>
  <c r="AJ207" i="1"/>
  <c r="AJ208" i="1"/>
  <c r="AJ210" i="1"/>
  <c r="AJ211" i="1"/>
  <c r="AJ212" i="1"/>
  <c r="AJ213" i="1"/>
  <c r="AJ218" i="1"/>
  <c r="AJ219" i="1"/>
  <c r="AJ224" i="1"/>
  <c r="AJ225" i="1"/>
  <c r="AJ226" i="1"/>
  <c r="AJ228" i="1"/>
  <c r="AJ229" i="1"/>
  <c r="AJ232" i="1"/>
  <c r="AJ238" i="1"/>
  <c r="AJ240" i="1"/>
  <c r="AJ241" i="1"/>
  <c r="AJ242" i="1"/>
  <c r="AJ244" i="1"/>
  <c r="AJ247" i="1"/>
  <c r="AJ248" i="1"/>
  <c r="AJ249" i="1"/>
  <c r="AJ250" i="1"/>
  <c r="AJ251" i="1"/>
  <c r="AJ252" i="1"/>
  <c r="AJ253" i="1"/>
  <c r="AJ255" i="1"/>
  <c r="AJ256" i="1"/>
  <c r="AJ259" i="1"/>
  <c r="AJ262" i="1"/>
  <c r="AJ264" i="1"/>
  <c r="AJ266" i="1"/>
  <c r="AJ2" i="1"/>
  <c r="AI3" i="1"/>
  <c r="AI4" i="1"/>
  <c r="AI5" i="1"/>
  <c r="AI6" i="1"/>
  <c r="AI7" i="1"/>
  <c r="AI8" i="1"/>
  <c r="AI9" i="1"/>
  <c r="AI10" i="1"/>
  <c r="AI11" i="1"/>
  <c r="AI12" i="1"/>
  <c r="AI13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8" i="1"/>
  <c r="AI29" i="1"/>
  <c r="AI30" i="1"/>
  <c r="AI31" i="1"/>
  <c r="AI32" i="1"/>
  <c r="AI33" i="1"/>
  <c r="AI34" i="1"/>
  <c r="AI35" i="1"/>
  <c r="AI36" i="1"/>
  <c r="AI39" i="1"/>
  <c r="AI40" i="1"/>
  <c r="AI41" i="1"/>
  <c r="AI42" i="1"/>
  <c r="AI43" i="1"/>
  <c r="AI44" i="1"/>
  <c r="AI45" i="1"/>
  <c r="AI46" i="1"/>
  <c r="AI47" i="1"/>
  <c r="AI48" i="1"/>
  <c r="AI50" i="1"/>
  <c r="AI51" i="1"/>
  <c r="AI52" i="1"/>
  <c r="AI53" i="1"/>
  <c r="AI54" i="1"/>
  <c r="AI55" i="1"/>
  <c r="AI56" i="1"/>
  <c r="AI57" i="1"/>
  <c r="AI58" i="1"/>
  <c r="AI65" i="1"/>
  <c r="AI66" i="1"/>
  <c r="AI67" i="1"/>
  <c r="AI71" i="1"/>
  <c r="AI72" i="1"/>
  <c r="AI73" i="1"/>
  <c r="AI74" i="1"/>
  <c r="AI76" i="1"/>
  <c r="AI77" i="1"/>
  <c r="AI78" i="1"/>
  <c r="AI79" i="1"/>
  <c r="AI80" i="1"/>
  <c r="AI81" i="1"/>
  <c r="AI82" i="1"/>
  <c r="AI83" i="1"/>
  <c r="AI84" i="1"/>
  <c r="AI85" i="1"/>
  <c r="AI86" i="1"/>
  <c r="AI88" i="1"/>
  <c r="AI89" i="1"/>
  <c r="AI90" i="1"/>
  <c r="AI91" i="1"/>
  <c r="AI92" i="1"/>
  <c r="AI93" i="1"/>
  <c r="AI94" i="1"/>
  <c r="AI95" i="1"/>
  <c r="AI96" i="1"/>
  <c r="AI103" i="1"/>
  <c r="AI104" i="1"/>
  <c r="AI105" i="1"/>
  <c r="AI109" i="1"/>
  <c r="AI110" i="1"/>
  <c r="AI111" i="1"/>
  <c r="AI112" i="1"/>
  <c r="AI115" i="1"/>
  <c r="AI116" i="1"/>
  <c r="AI117" i="1"/>
  <c r="AI118" i="1"/>
  <c r="AI119" i="1"/>
  <c r="AI120" i="1"/>
  <c r="AI121" i="1"/>
  <c r="AI122" i="1"/>
  <c r="AI123" i="1"/>
  <c r="AI124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50" i="1"/>
  <c r="AI153" i="1"/>
  <c r="AI154" i="1"/>
  <c r="AI155" i="1"/>
  <c r="AI156" i="1"/>
  <c r="AI157" i="1"/>
  <c r="AI158" i="1"/>
  <c r="AI159" i="1"/>
  <c r="AI160" i="1"/>
  <c r="AI161" i="1"/>
  <c r="AI162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5" i="1"/>
  <c r="AI186" i="1"/>
  <c r="AI188" i="1"/>
  <c r="AI190" i="1"/>
  <c r="AI191" i="1"/>
  <c r="AI193" i="1"/>
  <c r="AI194" i="1"/>
  <c r="AI195" i="1"/>
  <c r="AI198" i="1"/>
  <c r="AI200" i="1"/>
  <c r="AI202" i="1"/>
  <c r="AI203" i="1"/>
  <c r="AI205" i="1"/>
  <c r="AI206" i="1"/>
  <c r="AI207" i="1"/>
  <c r="AI208" i="1"/>
  <c r="AI210" i="1"/>
  <c r="AI211" i="1"/>
  <c r="AI212" i="1"/>
  <c r="AI213" i="1"/>
  <c r="AI218" i="1"/>
  <c r="AI219" i="1"/>
  <c r="AI224" i="1"/>
  <c r="AI225" i="1"/>
  <c r="AI226" i="1"/>
  <c r="AI228" i="1"/>
  <c r="AI229" i="1"/>
  <c r="AI232" i="1"/>
  <c r="AI238" i="1"/>
  <c r="AI240" i="1"/>
  <c r="AI241" i="1"/>
  <c r="AI242" i="1"/>
  <c r="AI244" i="1"/>
  <c r="AI247" i="1"/>
  <c r="AI248" i="1"/>
  <c r="AI249" i="1"/>
  <c r="AI250" i="1"/>
  <c r="AI251" i="1"/>
  <c r="AI252" i="1"/>
  <c r="AI253" i="1"/>
  <c r="AI255" i="1"/>
  <c r="AI256" i="1"/>
  <c r="AI259" i="1"/>
  <c r="AI262" i="1"/>
  <c r="AI264" i="1"/>
  <c r="AI266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65" i="1"/>
  <c r="AH66" i="1"/>
  <c r="AH67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103" i="1"/>
  <c r="AH104" i="1"/>
  <c r="AH105" i="1"/>
  <c r="AH109" i="1"/>
  <c r="AH110" i="1"/>
  <c r="AH111" i="1"/>
  <c r="AH112" i="1"/>
  <c r="AH113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5" i="1"/>
  <c r="AH206" i="1"/>
  <c r="AH207" i="1"/>
  <c r="AH208" i="1"/>
  <c r="AH209" i="1"/>
  <c r="AH210" i="1"/>
  <c r="AH211" i="1"/>
  <c r="AH212" i="1"/>
  <c r="AH213" i="1"/>
  <c r="AH215" i="1"/>
  <c r="AH217" i="1"/>
  <c r="AH218" i="1"/>
  <c r="AH219" i="1"/>
  <c r="AH220" i="1"/>
  <c r="AH222" i="1"/>
  <c r="AH224" i="1"/>
  <c r="AH225" i="1"/>
  <c r="AH226" i="1"/>
  <c r="AH227" i="1"/>
  <c r="AH228" i="1"/>
  <c r="AH229" i="1"/>
  <c r="AH231" i="1"/>
  <c r="AH232" i="1"/>
  <c r="AH233" i="1"/>
  <c r="AH235" i="1"/>
  <c r="AH236" i="1"/>
  <c r="AH237" i="1"/>
  <c r="AH238" i="1"/>
  <c r="AH240" i="1"/>
  <c r="AH241" i="1"/>
  <c r="AH242" i="1"/>
  <c r="AH243" i="1"/>
  <c r="AH244" i="1"/>
  <c r="AH245" i="1"/>
  <c r="AH247" i="1"/>
  <c r="AH248" i="1"/>
  <c r="AH249" i="1"/>
  <c r="AH250" i="1"/>
  <c r="AH251" i="1"/>
  <c r="AH252" i="1"/>
  <c r="AH253" i="1"/>
  <c r="AH255" i="1"/>
  <c r="AH256" i="1"/>
  <c r="AH258" i="1"/>
  <c r="AH259" i="1"/>
  <c r="AH260" i="1"/>
  <c r="AH262" i="1"/>
  <c r="AH263" i="1"/>
  <c r="AH264" i="1"/>
  <c r="AH265" i="1"/>
  <c r="AH266" i="1"/>
  <c r="AH2" i="1"/>
  <c r="AF3" i="1"/>
  <c r="AG3" i="1"/>
  <c r="AF4" i="1"/>
  <c r="AG4" i="1"/>
  <c r="AF5" i="1"/>
  <c r="AG5" i="1"/>
  <c r="AF6" i="1"/>
  <c r="AG6" i="1"/>
  <c r="AF7" i="1"/>
  <c r="AG7" i="1"/>
  <c r="AF8" i="1"/>
  <c r="AG8" i="1"/>
  <c r="AF9" i="1"/>
  <c r="AG9" i="1"/>
  <c r="AF10" i="1"/>
  <c r="AG10" i="1"/>
  <c r="AF11" i="1"/>
  <c r="AG11" i="1"/>
  <c r="AF12" i="1"/>
  <c r="AG12" i="1"/>
  <c r="AF13" i="1"/>
  <c r="AF14" i="1"/>
  <c r="AG14" i="1"/>
  <c r="AF15" i="1"/>
  <c r="AF16" i="1"/>
  <c r="AG16" i="1"/>
  <c r="AF17" i="1"/>
  <c r="AG17" i="1"/>
  <c r="AF18" i="1"/>
  <c r="AF19" i="1"/>
  <c r="AG19" i="1"/>
  <c r="AF20" i="1"/>
  <c r="AG20" i="1"/>
  <c r="AF21" i="1"/>
  <c r="AG21" i="1"/>
  <c r="AF22" i="1"/>
  <c r="AG22" i="1"/>
  <c r="AF23" i="1"/>
  <c r="AG23" i="1"/>
  <c r="AF24" i="1"/>
  <c r="AG24" i="1"/>
  <c r="AF25" i="1"/>
  <c r="AG25" i="1"/>
  <c r="AF26" i="1"/>
  <c r="AG26" i="1"/>
  <c r="AF27" i="1"/>
  <c r="AG27" i="1"/>
  <c r="AF28" i="1"/>
  <c r="AG28" i="1"/>
  <c r="AF29" i="1"/>
  <c r="AG29" i="1"/>
  <c r="AF30" i="1"/>
  <c r="AG30" i="1"/>
  <c r="AF31" i="1"/>
  <c r="AG31" i="1"/>
  <c r="AF32" i="1"/>
  <c r="AG32" i="1"/>
  <c r="AF33" i="1"/>
  <c r="AG33" i="1"/>
  <c r="AF34" i="1"/>
  <c r="AG34" i="1"/>
  <c r="AF35" i="1"/>
  <c r="AG35" i="1"/>
  <c r="AF36" i="1"/>
  <c r="AF37" i="1"/>
  <c r="AG37" i="1"/>
  <c r="AF38" i="1"/>
  <c r="AG38" i="1"/>
  <c r="AF39" i="1"/>
  <c r="AG39" i="1"/>
  <c r="AF40" i="1"/>
  <c r="AG40" i="1"/>
  <c r="AF41" i="1"/>
  <c r="AG41" i="1"/>
  <c r="AF42" i="1"/>
  <c r="AG42" i="1"/>
  <c r="AF43" i="1"/>
  <c r="AG43" i="1"/>
  <c r="AF44" i="1"/>
  <c r="AG44" i="1"/>
  <c r="AF45" i="1"/>
  <c r="AG45" i="1"/>
  <c r="AF46" i="1"/>
  <c r="AG46" i="1"/>
  <c r="AF47" i="1"/>
  <c r="AG47" i="1"/>
  <c r="AF48" i="1"/>
  <c r="AG48" i="1"/>
  <c r="AF49" i="1"/>
  <c r="AG49" i="1"/>
  <c r="AF50" i="1"/>
  <c r="AG50" i="1"/>
  <c r="AF51" i="1"/>
  <c r="AG51" i="1"/>
  <c r="AF52" i="1"/>
  <c r="AG52" i="1"/>
  <c r="AF53" i="1"/>
  <c r="AG53" i="1"/>
  <c r="AF54" i="1"/>
  <c r="AG54" i="1"/>
  <c r="AF55" i="1"/>
  <c r="AG55" i="1"/>
  <c r="AF56" i="1"/>
  <c r="AG56" i="1"/>
  <c r="AF57" i="1"/>
  <c r="AG57" i="1"/>
  <c r="AF58" i="1"/>
  <c r="AG58" i="1"/>
  <c r="AF65" i="1"/>
  <c r="AG65" i="1"/>
  <c r="AF66" i="1"/>
  <c r="AG66" i="1"/>
  <c r="AF67" i="1"/>
  <c r="AG67" i="1"/>
  <c r="AF71" i="1"/>
  <c r="AG71" i="1"/>
  <c r="AF72" i="1"/>
  <c r="AG72" i="1"/>
  <c r="AF73" i="1"/>
  <c r="AG73" i="1"/>
  <c r="AF74" i="1"/>
  <c r="AG74" i="1"/>
  <c r="AF75" i="1"/>
  <c r="AG75" i="1"/>
  <c r="AF76" i="1"/>
  <c r="AG76" i="1"/>
  <c r="AF77" i="1"/>
  <c r="AG77" i="1"/>
  <c r="AF78" i="1"/>
  <c r="AG78" i="1"/>
  <c r="AF79" i="1"/>
  <c r="AG79" i="1"/>
  <c r="AF80" i="1"/>
  <c r="AG80" i="1"/>
  <c r="AF81" i="1"/>
  <c r="AG81" i="1"/>
  <c r="AF82" i="1"/>
  <c r="AG82" i="1"/>
  <c r="AF83" i="1"/>
  <c r="AG83" i="1"/>
  <c r="AF84" i="1"/>
  <c r="AG84" i="1"/>
  <c r="AF85" i="1"/>
  <c r="AG85" i="1"/>
  <c r="AF86" i="1"/>
  <c r="AG86" i="1"/>
  <c r="AF87" i="1"/>
  <c r="AG87" i="1"/>
  <c r="AF88" i="1"/>
  <c r="AG88" i="1"/>
  <c r="AF89" i="1"/>
  <c r="AG89" i="1"/>
  <c r="AF90" i="1"/>
  <c r="AG90" i="1"/>
  <c r="AF91" i="1"/>
  <c r="AG91" i="1"/>
  <c r="AF92" i="1"/>
  <c r="AG92" i="1"/>
  <c r="AF93" i="1"/>
  <c r="AG93" i="1"/>
  <c r="AF94" i="1"/>
  <c r="AG94" i="1"/>
  <c r="AF95" i="1"/>
  <c r="AG95" i="1"/>
  <c r="AF96" i="1"/>
  <c r="AG96" i="1"/>
  <c r="AF103" i="1"/>
  <c r="AG103" i="1"/>
  <c r="AF104" i="1"/>
  <c r="AG104" i="1"/>
  <c r="AF105" i="1"/>
  <c r="AF109" i="1"/>
  <c r="AG109" i="1"/>
  <c r="AF110" i="1"/>
  <c r="AG110" i="1"/>
  <c r="AF111" i="1"/>
  <c r="AG111" i="1"/>
  <c r="AF112" i="1"/>
  <c r="AG112" i="1"/>
  <c r="AF113" i="1"/>
  <c r="AG113" i="1"/>
  <c r="AF115" i="1"/>
  <c r="AG115" i="1"/>
  <c r="AF116" i="1"/>
  <c r="AG116" i="1"/>
  <c r="AF117" i="1"/>
  <c r="AG117" i="1"/>
  <c r="AF118" i="1"/>
  <c r="AG118" i="1"/>
  <c r="AF119" i="1"/>
  <c r="AG119" i="1"/>
  <c r="AF120" i="1"/>
  <c r="AG120" i="1"/>
  <c r="AF121" i="1"/>
  <c r="AG121" i="1"/>
  <c r="AF122" i="1"/>
  <c r="AG122" i="1"/>
  <c r="AF123" i="1"/>
  <c r="AG123" i="1"/>
  <c r="AF124" i="1"/>
  <c r="AG124" i="1"/>
  <c r="AF125" i="1"/>
  <c r="AG125" i="1"/>
  <c r="AF126" i="1"/>
  <c r="AG126" i="1"/>
  <c r="AF127" i="1"/>
  <c r="AG127" i="1"/>
  <c r="AF128" i="1"/>
  <c r="AG128" i="1"/>
  <c r="AF129" i="1"/>
  <c r="AG129" i="1"/>
  <c r="AF130" i="1"/>
  <c r="AG130" i="1"/>
  <c r="AF131" i="1"/>
  <c r="AG131" i="1"/>
  <c r="AF132" i="1"/>
  <c r="AG132" i="1"/>
  <c r="AF133" i="1"/>
  <c r="AG133" i="1"/>
  <c r="AF134" i="1"/>
  <c r="AG134" i="1"/>
  <c r="AF135" i="1"/>
  <c r="AG135" i="1"/>
  <c r="AF136" i="1"/>
  <c r="AG136" i="1"/>
  <c r="AF137" i="1"/>
  <c r="AG137" i="1"/>
  <c r="AF138" i="1"/>
  <c r="AG138" i="1"/>
  <c r="AF139" i="1"/>
  <c r="AG139" i="1"/>
  <c r="AF140" i="1"/>
  <c r="AG140" i="1"/>
  <c r="AF141" i="1"/>
  <c r="AG141" i="1"/>
  <c r="AF142" i="1"/>
  <c r="AG142" i="1"/>
  <c r="AF143" i="1"/>
  <c r="AG143" i="1"/>
  <c r="AF144" i="1"/>
  <c r="AG144" i="1"/>
  <c r="AF145" i="1"/>
  <c r="AG145" i="1"/>
  <c r="AF146" i="1"/>
  <c r="AG146" i="1"/>
  <c r="AF147" i="1"/>
  <c r="AG147" i="1"/>
  <c r="AF148" i="1"/>
  <c r="AG148" i="1"/>
  <c r="AF149" i="1"/>
  <c r="AG149" i="1"/>
  <c r="AF150" i="1"/>
  <c r="AG150" i="1"/>
  <c r="AF151" i="1"/>
  <c r="AG151" i="1"/>
  <c r="AF152" i="1"/>
  <c r="AG152" i="1"/>
  <c r="AF153" i="1"/>
  <c r="AG153" i="1"/>
  <c r="AF154" i="1"/>
  <c r="AG154" i="1"/>
  <c r="AF155" i="1"/>
  <c r="AG155" i="1"/>
  <c r="AF156" i="1"/>
  <c r="AG156" i="1"/>
  <c r="AF157" i="1"/>
  <c r="AG157" i="1"/>
  <c r="AF158" i="1"/>
  <c r="AG158" i="1"/>
  <c r="AF159" i="1"/>
  <c r="AG159" i="1"/>
  <c r="AF160" i="1"/>
  <c r="AG160" i="1"/>
  <c r="AF161" i="1"/>
  <c r="AG161" i="1"/>
  <c r="AF162" i="1"/>
  <c r="AG162" i="1"/>
  <c r="AF163" i="1"/>
  <c r="AG163" i="1"/>
  <c r="AF164" i="1"/>
  <c r="AG164" i="1"/>
  <c r="AF165" i="1"/>
  <c r="AG165" i="1"/>
  <c r="AF166" i="1"/>
  <c r="AG166" i="1"/>
  <c r="AF167" i="1"/>
  <c r="AG167" i="1"/>
  <c r="AF168" i="1"/>
  <c r="AG168" i="1"/>
  <c r="AF169" i="1"/>
  <c r="AG169" i="1"/>
  <c r="AF170" i="1"/>
  <c r="AG170" i="1"/>
  <c r="AF171" i="1"/>
  <c r="AG171" i="1"/>
  <c r="AF172" i="1"/>
  <c r="AG172" i="1"/>
  <c r="AF173" i="1"/>
  <c r="AG173" i="1"/>
  <c r="AF174" i="1"/>
  <c r="AG174" i="1"/>
  <c r="AF175" i="1"/>
  <c r="AG175" i="1"/>
  <c r="AF176" i="1"/>
  <c r="AG176" i="1"/>
  <c r="AF177" i="1"/>
  <c r="AG177" i="1"/>
  <c r="AF178" i="1"/>
  <c r="AG178" i="1"/>
  <c r="AF179" i="1"/>
  <c r="AG179" i="1"/>
  <c r="AF180" i="1"/>
  <c r="AG180" i="1"/>
  <c r="AF181" i="1"/>
  <c r="AG181" i="1"/>
  <c r="AF182" i="1"/>
  <c r="AG182" i="1"/>
  <c r="AF183" i="1"/>
  <c r="AG183" i="1"/>
  <c r="AF184" i="1"/>
  <c r="AG184" i="1"/>
  <c r="AF185" i="1"/>
  <c r="AG185" i="1"/>
  <c r="AF186" i="1"/>
  <c r="AG186" i="1"/>
  <c r="AF188" i="1"/>
  <c r="AG188" i="1"/>
  <c r="AF189" i="1"/>
  <c r="AG189" i="1"/>
  <c r="AF190" i="1"/>
  <c r="AG190" i="1"/>
  <c r="AF191" i="1"/>
  <c r="AG191" i="1"/>
  <c r="AF192" i="1"/>
  <c r="AG192" i="1"/>
  <c r="AF193" i="1"/>
  <c r="AG193" i="1"/>
  <c r="AF194" i="1"/>
  <c r="AG194" i="1"/>
  <c r="AF195" i="1"/>
  <c r="AG195" i="1"/>
  <c r="AF196" i="1"/>
  <c r="AG196" i="1"/>
  <c r="AF197" i="1"/>
  <c r="AG197" i="1"/>
  <c r="AF198" i="1"/>
  <c r="AG198" i="1"/>
  <c r="AF199" i="1"/>
  <c r="AG199" i="1"/>
  <c r="AF200" i="1"/>
  <c r="AF201" i="1"/>
  <c r="AG201" i="1"/>
  <c r="AF202" i="1"/>
  <c r="AG202" i="1"/>
  <c r="AF203" i="1"/>
  <c r="AG203" i="1"/>
  <c r="AF205" i="1"/>
  <c r="AG205" i="1"/>
  <c r="AF206" i="1"/>
  <c r="AG206" i="1"/>
  <c r="AF207" i="1"/>
  <c r="AG207" i="1"/>
  <c r="AF208" i="1"/>
  <c r="AG208" i="1"/>
  <c r="AF209" i="1"/>
  <c r="AG209" i="1"/>
  <c r="AF210" i="1"/>
  <c r="AG210" i="1"/>
  <c r="AF211" i="1"/>
  <c r="AF212" i="1"/>
  <c r="AG212" i="1"/>
  <c r="AF213" i="1"/>
  <c r="AG213" i="1"/>
  <c r="AF215" i="1"/>
  <c r="AG215" i="1"/>
  <c r="AF217" i="1"/>
  <c r="AG217" i="1"/>
  <c r="AF218" i="1"/>
  <c r="AF219" i="1"/>
  <c r="AG219" i="1"/>
  <c r="AF220" i="1"/>
  <c r="AG220" i="1"/>
  <c r="AF222" i="1"/>
  <c r="AG222" i="1"/>
  <c r="AF224" i="1"/>
  <c r="AG224" i="1"/>
  <c r="AF225" i="1"/>
  <c r="AG225" i="1"/>
  <c r="AF226" i="1"/>
  <c r="AG226" i="1"/>
  <c r="AF227" i="1"/>
  <c r="AG227" i="1"/>
  <c r="AF228" i="1"/>
  <c r="AG228" i="1"/>
  <c r="AF229" i="1"/>
  <c r="AG229" i="1"/>
  <c r="AF231" i="1"/>
  <c r="AG231" i="1"/>
  <c r="AF232" i="1"/>
  <c r="AG232" i="1"/>
  <c r="AF233" i="1"/>
  <c r="AG233" i="1"/>
  <c r="AF235" i="1"/>
  <c r="AG235" i="1"/>
  <c r="AF236" i="1"/>
  <c r="AG236" i="1"/>
  <c r="AF237" i="1"/>
  <c r="AG237" i="1"/>
  <c r="AF238" i="1"/>
  <c r="AG238" i="1"/>
  <c r="AF240" i="1"/>
  <c r="AF241" i="1"/>
  <c r="AG241" i="1"/>
  <c r="AF242" i="1"/>
  <c r="AG242" i="1"/>
  <c r="AF243" i="1"/>
  <c r="AG243" i="1"/>
  <c r="AF244" i="1"/>
  <c r="AG244" i="1"/>
  <c r="AF245" i="1"/>
  <c r="AG245" i="1"/>
  <c r="AF247" i="1"/>
  <c r="AG247" i="1"/>
  <c r="AF248" i="1"/>
  <c r="AG248" i="1"/>
  <c r="AF249" i="1"/>
  <c r="AG249" i="1"/>
  <c r="AF250" i="1"/>
  <c r="AG250" i="1"/>
  <c r="AF251" i="1"/>
  <c r="AG251" i="1"/>
  <c r="AF252" i="1"/>
  <c r="AG252" i="1"/>
  <c r="AF253" i="1"/>
  <c r="AG253" i="1"/>
  <c r="AF255" i="1"/>
  <c r="AF256" i="1"/>
  <c r="AF258" i="1"/>
  <c r="AG258" i="1"/>
  <c r="AF259" i="1"/>
  <c r="AG259" i="1"/>
  <c r="AF260" i="1"/>
  <c r="AG260" i="1"/>
  <c r="AF262" i="1"/>
  <c r="AG262" i="1"/>
  <c r="AF263" i="1"/>
  <c r="AG263" i="1"/>
  <c r="AF264" i="1"/>
  <c r="AG264" i="1"/>
  <c r="AF265" i="1"/>
  <c r="AG265" i="1"/>
  <c r="AF266" i="1"/>
  <c r="AG266" i="1"/>
  <c r="AG2" i="1"/>
  <c r="AF2" i="1"/>
  <c r="AK3" i="1"/>
  <c r="AL3" i="1"/>
  <c r="AK4" i="1"/>
  <c r="AL4" i="1"/>
  <c r="AK5" i="1"/>
  <c r="AL5" i="1"/>
  <c r="AK6" i="1"/>
  <c r="AL6" i="1"/>
  <c r="AK7" i="1"/>
  <c r="AL7" i="1"/>
  <c r="AK8" i="1"/>
  <c r="AL8" i="1"/>
  <c r="AK9" i="1"/>
  <c r="AL9" i="1"/>
  <c r="AK10" i="1"/>
  <c r="AL10" i="1"/>
  <c r="AK11" i="1"/>
  <c r="AL11" i="1"/>
  <c r="AK12" i="1"/>
  <c r="AL12" i="1"/>
  <c r="AK13" i="1"/>
  <c r="AL13" i="1"/>
  <c r="AK14" i="1"/>
  <c r="AL14" i="1"/>
  <c r="AK15" i="1"/>
  <c r="AL15" i="1"/>
  <c r="AK16" i="1"/>
  <c r="AL16" i="1"/>
  <c r="AK17" i="1"/>
  <c r="AL17" i="1"/>
  <c r="AK18" i="1"/>
  <c r="AL18" i="1"/>
  <c r="AK19" i="1"/>
  <c r="AL19" i="1"/>
  <c r="AK20" i="1"/>
  <c r="AL20" i="1"/>
  <c r="AK21" i="1"/>
  <c r="AL21" i="1"/>
  <c r="AK22" i="1"/>
  <c r="AL22" i="1"/>
  <c r="AK23" i="1"/>
  <c r="AL23" i="1"/>
  <c r="AK24" i="1"/>
  <c r="AL24" i="1"/>
  <c r="AK25" i="1"/>
  <c r="AL25" i="1"/>
  <c r="AK26" i="1"/>
  <c r="AL26" i="1"/>
  <c r="AK27" i="1"/>
  <c r="AL27" i="1"/>
  <c r="AK28" i="1"/>
  <c r="AL28" i="1"/>
  <c r="AK29" i="1"/>
  <c r="AL29" i="1"/>
  <c r="AK30" i="1"/>
  <c r="AL30" i="1"/>
  <c r="AK31" i="1"/>
  <c r="AL31" i="1"/>
  <c r="AK32" i="1"/>
  <c r="AL32" i="1"/>
  <c r="AK33" i="1"/>
  <c r="AL33" i="1"/>
  <c r="AK34" i="1"/>
  <c r="AL34" i="1"/>
  <c r="AK35" i="1"/>
  <c r="AL35" i="1"/>
  <c r="AK36" i="1"/>
  <c r="AL36" i="1"/>
  <c r="AK37" i="1"/>
  <c r="AL37" i="1"/>
  <c r="AK38" i="1"/>
  <c r="AL38" i="1"/>
  <c r="AK39" i="1"/>
  <c r="AL39" i="1"/>
  <c r="AK40" i="1"/>
  <c r="AL40" i="1"/>
  <c r="AK41" i="1"/>
  <c r="AL41" i="1"/>
  <c r="AK42" i="1"/>
  <c r="AL42" i="1"/>
  <c r="AK43" i="1"/>
  <c r="AL43" i="1"/>
  <c r="AK44" i="1"/>
  <c r="AL44" i="1"/>
  <c r="AK45" i="1"/>
  <c r="AL45" i="1"/>
  <c r="AK46" i="1"/>
  <c r="AL46" i="1"/>
  <c r="AK47" i="1"/>
  <c r="AL47" i="1"/>
  <c r="AK48" i="1"/>
  <c r="AL48" i="1"/>
  <c r="AK49" i="1"/>
  <c r="AL49" i="1"/>
  <c r="AK50" i="1"/>
  <c r="AL50" i="1"/>
  <c r="AK51" i="1"/>
  <c r="AL51" i="1"/>
  <c r="AK52" i="1"/>
  <c r="AL52" i="1"/>
  <c r="AK53" i="1"/>
  <c r="AL53" i="1"/>
  <c r="AK54" i="1"/>
  <c r="AL54" i="1"/>
  <c r="AK55" i="1"/>
  <c r="AL55" i="1"/>
  <c r="AK56" i="1"/>
  <c r="AL56" i="1"/>
  <c r="AK57" i="1"/>
  <c r="AL57" i="1"/>
  <c r="AK58" i="1"/>
  <c r="AL58" i="1"/>
  <c r="AK59" i="1"/>
  <c r="AL59" i="1"/>
  <c r="AK60" i="1"/>
  <c r="AL60" i="1"/>
  <c r="AK61" i="1"/>
  <c r="AL61" i="1"/>
  <c r="AK62" i="1"/>
  <c r="AL62" i="1"/>
  <c r="AK63" i="1"/>
  <c r="AL63" i="1"/>
  <c r="AK64" i="1"/>
  <c r="AL64" i="1"/>
  <c r="AK65" i="1"/>
  <c r="AL65" i="1"/>
  <c r="AK66" i="1"/>
  <c r="AL66" i="1"/>
  <c r="AK67" i="1"/>
  <c r="AL67" i="1"/>
  <c r="AK68" i="1"/>
  <c r="AL68" i="1"/>
  <c r="AK69" i="1"/>
  <c r="AL69" i="1"/>
  <c r="AK70" i="1"/>
  <c r="AL70" i="1"/>
  <c r="AK71" i="1"/>
  <c r="AL71" i="1"/>
  <c r="AK72" i="1"/>
  <c r="AL72" i="1"/>
  <c r="AK73" i="1"/>
  <c r="AL73" i="1"/>
  <c r="AK74" i="1"/>
  <c r="AL74" i="1"/>
  <c r="AK75" i="1"/>
  <c r="AL75" i="1"/>
  <c r="AK76" i="1"/>
  <c r="AL76" i="1"/>
  <c r="AK77" i="1"/>
  <c r="AL77" i="1"/>
  <c r="AK78" i="1"/>
  <c r="AL78" i="1"/>
  <c r="AK79" i="1"/>
  <c r="AL79" i="1"/>
  <c r="AK80" i="1"/>
  <c r="AL80" i="1"/>
  <c r="AK81" i="1"/>
  <c r="AL81" i="1"/>
  <c r="AK82" i="1"/>
  <c r="AL82" i="1"/>
  <c r="AK83" i="1"/>
  <c r="AL83" i="1"/>
  <c r="AK84" i="1"/>
  <c r="AL84" i="1"/>
  <c r="AK85" i="1"/>
  <c r="AL85" i="1"/>
  <c r="AK86" i="1"/>
  <c r="AL86" i="1"/>
  <c r="AK87" i="1"/>
  <c r="AL87" i="1"/>
  <c r="AK88" i="1"/>
  <c r="AL88" i="1"/>
  <c r="AK89" i="1"/>
  <c r="AL89" i="1"/>
  <c r="AK90" i="1"/>
  <c r="AL90" i="1"/>
  <c r="AK91" i="1"/>
  <c r="AL91" i="1"/>
  <c r="AK92" i="1"/>
  <c r="AL92" i="1"/>
  <c r="AK93" i="1"/>
  <c r="AL93" i="1"/>
  <c r="AK94" i="1"/>
  <c r="AL94" i="1"/>
  <c r="AK95" i="1"/>
  <c r="AL95" i="1"/>
  <c r="AK96" i="1"/>
  <c r="AL96" i="1"/>
  <c r="AK97" i="1"/>
  <c r="AL97" i="1"/>
  <c r="AK98" i="1"/>
  <c r="AL98" i="1"/>
  <c r="AK99" i="1"/>
  <c r="AL99" i="1"/>
  <c r="AK100" i="1"/>
  <c r="AL100" i="1"/>
  <c r="AK101" i="1"/>
  <c r="AL101" i="1"/>
  <c r="AK102" i="1"/>
  <c r="AL102" i="1"/>
  <c r="AK103" i="1"/>
  <c r="AL103" i="1"/>
  <c r="AK104" i="1"/>
  <c r="AL104" i="1"/>
  <c r="AK105" i="1"/>
  <c r="AL105" i="1"/>
  <c r="AK106" i="1"/>
  <c r="AL106" i="1"/>
  <c r="AK107" i="1"/>
  <c r="AL107" i="1"/>
  <c r="AK108" i="1"/>
  <c r="AL108" i="1"/>
  <c r="AK109" i="1"/>
  <c r="AL109" i="1"/>
  <c r="AK110" i="1"/>
  <c r="AL110" i="1"/>
  <c r="AK111" i="1"/>
  <c r="AL111" i="1"/>
  <c r="AK112" i="1"/>
  <c r="AL112" i="1"/>
  <c r="AK113" i="1"/>
  <c r="AL113" i="1"/>
  <c r="AK114" i="1"/>
  <c r="AL114" i="1"/>
  <c r="AK115" i="1"/>
  <c r="AL115" i="1"/>
  <c r="AK116" i="1"/>
  <c r="AL116" i="1"/>
  <c r="AK117" i="1"/>
  <c r="AL117" i="1"/>
  <c r="AK118" i="1"/>
  <c r="AL118" i="1"/>
  <c r="AK119" i="1"/>
  <c r="AL119" i="1"/>
  <c r="AK120" i="1"/>
  <c r="AL120" i="1"/>
  <c r="AK121" i="1"/>
  <c r="AL121" i="1"/>
  <c r="AK122" i="1"/>
  <c r="AL122" i="1"/>
  <c r="AK123" i="1"/>
  <c r="AL123" i="1"/>
  <c r="AK124" i="1"/>
  <c r="AL124" i="1"/>
  <c r="AK125" i="1"/>
  <c r="AL125" i="1"/>
  <c r="AK126" i="1"/>
  <c r="AL126" i="1"/>
  <c r="AK127" i="1"/>
  <c r="AL127" i="1"/>
  <c r="AK128" i="1"/>
  <c r="AL128" i="1"/>
  <c r="AK129" i="1"/>
  <c r="AL129" i="1"/>
  <c r="AK130" i="1"/>
  <c r="AL130" i="1"/>
  <c r="AK131" i="1"/>
  <c r="AL131" i="1"/>
  <c r="AK132" i="1"/>
  <c r="AL132" i="1"/>
  <c r="AK133" i="1"/>
  <c r="AL133" i="1"/>
  <c r="AK134" i="1"/>
  <c r="AL134" i="1"/>
  <c r="AK135" i="1"/>
  <c r="AL135" i="1"/>
  <c r="AK136" i="1"/>
  <c r="AL136" i="1"/>
  <c r="AK137" i="1"/>
  <c r="AL137" i="1"/>
  <c r="AK138" i="1"/>
  <c r="AL138" i="1"/>
  <c r="AK139" i="1"/>
  <c r="AL139" i="1"/>
  <c r="AK140" i="1"/>
  <c r="AL140" i="1"/>
  <c r="AK141" i="1"/>
  <c r="AL141" i="1"/>
  <c r="AK142" i="1"/>
  <c r="AL142" i="1"/>
  <c r="AK143" i="1"/>
  <c r="AL143" i="1"/>
  <c r="AK144" i="1"/>
  <c r="AL144" i="1"/>
  <c r="AK145" i="1"/>
  <c r="AL145" i="1"/>
  <c r="AK146" i="1"/>
  <c r="AL146" i="1"/>
  <c r="AK147" i="1"/>
  <c r="AL147" i="1"/>
  <c r="AK148" i="1"/>
  <c r="AL148" i="1"/>
  <c r="AK149" i="1"/>
  <c r="AL149" i="1"/>
  <c r="AK150" i="1"/>
  <c r="AL150" i="1"/>
  <c r="AK151" i="1"/>
  <c r="AL151" i="1"/>
  <c r="AK152" i="1"/>
  <c r="AL152" i="1"/>
  <c r="AK153" i="1"/>
  <c r="AL153" i="1"/>
  <c r="AK154" i="1"/>
  <c r="AL154" i="1"/>
  <c r="AK155" i="1"/>
  <c r="AL155" i="1"/>
  <c r="AK156" i="1"/>
  <c r="AL156" i="1"/>
  <c r="AK157" i="1"/>
  <c r="AL157" i="1"/>
  <c r="AK158" i="1"/>
  <c r="AL158" i="1"/>
  <c r="AK159" i="1"/>
  <c r="AL159" i="1"/>
  <c r="AK160" i="1"/>
  <c r="AL160" i="1"/>
  <c r="AK161" i="1"/>
  <c r="AL161" i="1"/>
  <c r="AK162" i="1"/>
  <c r="AL162" i="1"/>
  <c r="AK163" i="1"/>
  <c r="AL163" i="1"/>
  <c r="AK164" i="1"/>
  <c r="AL164" i="1"/>
  <c r="AK165" i="1"/>
  <c r="AL165" i="1"/>
  <c r="AK166" i="1"/>
  <c r="AL166" i="1"/>
  <c r="AK167" i="1"/>
  <c r="AL167" i="1"/>
  <c r="AK168" i="1"/>
  <c r="AL168" i="1"/>
  <c r="AK169" i="1"/>
  <c r="AL169" i="1"/>
  <c r="AK170" i="1"/>
  <c r="AL170" i="1"/>
  <c r="AK171" i="1"/>
  <c r="AL171" i="1"/>
  <c r="AK172" i="1"/>
  <c r="AL172" i="1"/>
  <c r="AK173" i="1"/>
  <c r="AL173" i="1"/>
  <c r="AK174" i="1"/>
  <c r="AL174" i="1"/>
  <c r="AK175" i="1"/>
  <c r="AL175" i="1"/>
  <c r="AK176" i="1"/>
  <c r="AL176" i="1"/>
  <c r="AK177" i="1"/>
  <c r="AL177" i="1"/>
  <c r="AK178" i="1"/>
  <c r="AL178" i="1"/>
  <c r="AK179" i="1"/>
  <c r="AL179" i="1"/>
  <c r="AK180" i="1"/>
  <c r="AL180" i="1"/>
  <c r="AK181" i="1"/>
  <c r="AL181" i="1"/>
  <c r="AK182" i="1"/>
  <c r="AL182" i="1"/>
  <c r="AK183" i="1"/>
  <c r="AL183" i="1"/>
  <c r="AK184" i="1"/>
  <c r="AL184" i="1"/>
  <c r="AK185" i="1"/>
  <c r="AL185" i="1"/>
  <c r="AK186" i="1"/>
  <c r="AL186" i="1"/>
  <c r="AK187" i="1"/>
  <c r="AL187" i="1"/>
  <c r="AK188" i="1"/>
  <c r="AL188" i="1"/>
  <c r="AK189" i="1"/>
  <c r="AL189" i="1"/>
  <c r="AK190" i="1"/>
  <c r="AL190" i="1"/>
  <c r="AK191" i="1"/>
  <c r="AL191" i="1"/>
  <c r="AK192" i="1"/>
  <c r="AL192" i="1"/>
  <c r="AK193" i="1"/>
  <c r="AL193" i="1"/>
  <c r="AK194" i="1"/>
  <c r="AL194" i="1"/>
  <c r="AK195" i="1"/>
  <c r="AL195" i="1"/>
  <c r="AK196" i="1"/>
  <c r="AL196" i="1"/>
  <c r="AK197" i="1"/>
  <c r="AL197" i="1"/>
  <c r="AK198" i="1"/>
  <c r="AL198" i="1"/>
  <c r="AK199" i="1"/>
  <c r="AL199" i="1"/>
  <c r="AK200" i="1"/>
  <c r="AL200" i="1"/>
  <c r="AK201" i="1"/>
  <c r="AL201" i="1"/>
  <c r="AK202" i="1"/>
  <c r="AL202" i="1"/>
  <c r="AK203" i="1"/>
  <c r="AL203" i="1"/>
  <c r="AK204" i="1"/>
  <c r="AL204" i="1"/>
  <c r="AK205" i="1"/>
  <c r="AL205" i="1"/>
  <c r="AK206" i="1"/>
  <c r="AL206" i="1"/>
  <c r="AK207" i="1"/>
  <c r="AL207" i="1"/>
  <c r="AK208" i="1"/>
  <c r="AL208" i="1"/>
  <c r="AK209" i="1"/>
  <c r="AL209" i="1"/>
  <c r="AK210" i="1"/>
  <c r="AL210" i="1"/>
  <c r="AK211" i="1"/>
  <c r="AL211" i="1"/>
  <c r="AK212" i="1"/>
  <c r="AL212" i="1"/>
  <c r="AK213" i="1"/>
  <c r="AL213" i="1"/>
  <c r="AK214" i="1"/>
  <c r="AL214" i="1"/>
  <c r="AK215" i="1"/>
  <c r="AL215" i="1"/>
  <c r="AK216" i="1"/>
  <c r="AL216" i="1"/>
  <c r="AK217" i="1"/>
  <c r="AL217" i="1"/>
  <c r="AK218" i="1"/>
  <c r="AL218" i="1"/>
  <c r="AK219" i="1"/>
  <c r="AL219" i="1"/>
  <c r="AK220" i="1"/>
  <c r="AL220" i="1"/>
  <c r="AK221" i="1"/>
  <c r="AL221" i="1"/>
  <c r="AK222" i="1"/>
  <c r="AL222" i="1"/>
  <c r="AK223" i="1"/>
  <c r="AL223" i="1"/>
  <c r="AK224" i="1"/>
  <c r="AL224" i="1"/>
  <c r="AK225" i="1"/>
  <c r="AL225" i="1"/>
  <c r="AK226" i="1"/>
  <c r="AL226" i="1"/>
  <c r="AK227" i="1"/>
  <c r="AL227" i="1"/>
  <c r="AK228" i="1"/>
  <c r="AL228" i="1"/>
  <c r="AK229" i="1"/>
  <c r="AL229" i="1"/>
  <c r="AK230" i="1"/>
  <c r="AL230" i="1"/>
  <c r="AK231" i="1"/>
  <c r="AL231" i="1"/>
  <c r="AK232" i="1"/>
  <c r="AL232" i="1"/>
  <c r="AK233" i="1"/>
  <c r="AL233" i="1"/>
  <c r="AK234" i="1"/>
  <c r="AL234" i="1"/>
  <c r="AK235" i="1"/>
  <c r="AL235" i="1"/>
  <c r="AK236" i="1"/>
  <c r="AL236" i="1"/>
  <c r="AK237" i="1"/>
  <c r="AL237" i="1"/>
  <c r="AK238" i="1"/>
  <c r="AL238" i="1"/>
  <c r="AK239" i="1"/>
  <c r="AL239" i="1"/>
  <c r="AK240" i="1"/>
  <c r="AL240" i="1"/>
  <c r="AK241" i="1"/>
  <c r="AL241" i="1"/>
  <c r="AK242" i="1"/>
  <c r="AL242" i="1"/>
  <c r="AK243" i="1"/>
  <c r="AL243" i="1"/>
  <c r="AK244" i="1"/>
  <c r="AL244" i="1"/>
  <c r="AK245" i="1"/>
  <c r="AL245" i="1"/>
  <c r="AK246" i="1"/>
  <c r="AL246" i="1"/>
  <c r="AK247" i="1"/>
  <c r="AL247" i="1"/>
  <c r="AK248" i="1"/>
  <c r="AL248" i="1"/>
  <c r="AK249" i="1"/>
  <c r="AL249" i="1"/>
  <c r="AK250" i="1"/>
  <c r="AL250" i="1"/>
  <c r="AK251" i="1"/>
  <c r="AL251" i="1"/>
  <c r="AK252" i="1"/>
  <c r="AL252" i="1"/>
  <c r="AK253" i="1"/>
  <c r="AL253" i="1"/>
  <c r="AK254" i="1"/>
  <c r="AL254" i="1"/>
  <c r="AK255" i="1"/>
  <c r="AL255" i="1"/>
  <c r="AK256" i="1"/>
  <c r="AL256" i="1"/>
  <c r="AK257" i="1"/>
  <c r="AL257" i="1"/>
  <c r="AK258" i="1"/>
  <c r="AL258" i="1"/>
  <c r="AK259" i="1"/>
  <c r="AL259" i="1"/>
  <c r="AK260" i="1"/>
  <c r="AL260" i="1"/>
  <c r="AK261" i="1"/>
  <c r="AL261" i="1"/>
  <c r="AK262" i="1"/>
  <c r="AL262" i="1"/>
  <c r="AK263" i="1"/>
  <c r="AL263" i="1"/>
  <c r="AK264" i="1"/>
  <c r="AL264" i="1"/>
  <c r="AK265" i="1"/>
  <c r="AL265" i="1"/>
  <c r="AK266" i="1"/>
  <c r="AL266" i="1"/>
  <c r="AK267" i="1"/>
  <c r="AL267" i="1"/>
  <c r="AL2" i="1"/>
  <c r="AK2" i="1"/>
  <c r="AD3" i="1"/>
  <c r="AD4" i="1"/>
  <c r="AD5" i="1"/>
  <c r="AD6" i="1"/>
  <c r="AD7" i="1"/>
  <c r="AD8" i="1"/>
  <c r="AD9" i="1"/>
  <c r="AD10" i="1"/>
  <c r="AD11" i="1"/>
  <c r="AD12" i="1"/>
  <c r="AD13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65" i="1"/>
  <c r="AD66" i="1"/>
  <c r="AD67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103" i="1"/>
  <c r="AD104" i="1"/>
  <c r="AD105" i="1"/>
  <c r="AD109" i="1"/>
  <c r="AD110" i="1"/>
  <c r="AD111" i="1"/>
  <c r="AD112" i="1"/>
  <c r="AD113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5" i="1"/>
  <c r="AD206" i="1"/>
  <c r="AD207" i="1"/>
  <c r="AD208" i="1"/>
  <c r="AD209" i="1"/>
  <c r="AD210" i="1"/>
  <c r="AD211" i="1"/>
  <c r="AD212" i="1"/>
  <c r="AD213" i="1"/>
  <c r="AD215" i="1"/>
  <c r="AD217" i="1"/>
  <c r="AD218" i="1"/>
  <c r="AD219" i="1"/>
  <c r="AD220" i="1"/>
  <c r="AD222" i="1"/>
  <c r="AD224" i="1"/>
  <c r="AD225" i="1"/>
  <c r="AD226" i="1"/>
  <c r="AD227" i="1"/>
  <c r="AD228" i="1"/>
  <c r="AD229" i="1"/>
  <c r="AD231" i="1"/>
  <c r="AD232" i="1"/>
  <c r="AD233" i="1"/>
  <c r="AD235" i="1"/>
  <c r="AD236" i="1"/>
  <c r="AD237" i="1"/>
  <c r="AD238" i="1"/>
  <c r="AD240" i="1"/>
  <c r="AD241" i="1"/>
  <c r="AD242" i="1"/>
  <c r="AD243" i="1"/>
  <c r="AD244" i="1"/>
  <c r="AD245" i="1"/>
  <c r="AD247" i="1"/>
  <c r="AD248" i="1"/>
  <c r="AD249" i="1"/>
  <c r="AD250" i="1"/>
  <c r="AD251" i="1"/>
  <c r="AD252" i="1"/>
  <c r="AD253" i="1"/>
  <c r="AD255" i="1"/>
  <c r="AD256" i="1"/>
  <c r="AD258" i="1"/>
  <c r="AD259" i="1"/>
  <c r="AD260" i="1"/>
  <c r="AD262" i="1"/>
  <c r="AD263" i="1"/>
  <c r="AD264" i="1"/>
  <c r="AD265" i="1"/>
  <c r="AD266" i="1"/>
  <c r="AE3" i="1"/>
  <c r="AE4" i="1"/>
  <c r="AE5" i="1"/>
  <c r="AE6" i="1"/>
  <c r="AE7" i="1"/>
  <c r="AE8" i="1"/>
  <c r="AE9" i="1"/>
  <c r="AE10" i="1"/>
  <c r="AE11" i="1"/>
  <c r="AE12" i="1"/>
  <c r="AE14" i="1"/>
  <c r="AE16" i="1"/>
  <c r="AE17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65" i="1"/>
  <c r="AE66" i="1"/>
  <c r="AE67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103" i="1"/>
  <c r="AE104" i="1"/>
  <c r="AE109" i="1"/>
  <c r="AE110" i="1"/>
  <c r="AE111" i="1"/>
  <c r="AE112" i="1"/>
  <c r="AE113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1" i="1"/>
  <c r="AE202" i="1"/>
  <c r="AE203" i="1"/>
  <c r="AE205" i="1"/>
  <c r="AE206" i="1"/>
  <c r="AE207" i="1"/>
  <c r="AE208" i="1"/>
  <c r="AE209" i="1"/>
  <c r="AE210" i="1"/>
  <c r="AE212" i="1"/>
  <c r="AE213" i="1"/>
  <c r="AE215" i="1"/>
  <c r="AE217" i="1"/>
  <c r="AE219" i="1"/>
  <c r="AE220" i="1"/>
  <c r="AE222" i="1"/>
  <c r="AE224" i="1"/>
  <c r="AE225" i="1"/>
  <c r="AE226" i="1"/>
  <c r="AE227" i="1"/>
  <c r="AE228" i="1"/>
  <c r="AE229" i="1"/>
  <c r="AE231" i="1"/>
  <c r="AE232" i="1"/>
  <c r="AE233" i="1"/>
  <c r="AE235" i="1"/>
  <c r="AE236" i="1"/>
  <c r="AE237" i="1"/>
  <c r="AE238" i="1"/>
  <c r="AE241" i="1"/>
  <c r="AE242" i="1"/>
  <c r="AE243" i="1"/>
  <c r="AE244" i="1"/>
  <c r="AE245" i="1"/>
  <c r="AE247" i="1"/>
  <c r="AE248" i="1"/>
  <c r="AE249" i="1"/>
  <c r="AE250" i="1"/>
  <c r="AE251" i="1"/>
  <c r="AE252" i="1"/>
  <c r="AE253" i="1"/>
  <c r="AE258" i="1"/>
  <c r="AE259" i="1"/>
  <c r="AE260" i="1"/>
  <c r="AE262" i="1"/>
  <c r="AE263" i="1"/>
  <c r="AE264" i="1"/>
  <c r="AE265" i="1"/>
  <c r="AE266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65" i="1"/>
  <c r="AC66" i="1"/>
  <c r="AC67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103" i="1"/>
  <c r="AC104" i="1"/>
  <c r="AC105" i="1"/>
  <c r="AC109" i="1"/>
  <c r="AC110" i="1"/>
  <c r="AC111" i="1"/>
  <c r="AC112" i="1"/>
  <c r="AC113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5" i="1"/>
  <c r="AC206" i="1"/>
  <c r="AC207" i="1"/>
  <c r="AC208" i="1"/>
  <c r="AC209" i="1"/>
  <c r="AC210" i="1"/>
  <c r="AC211" i="1"/>
  <c r="AC212" i="1"/>
  <c r="AC213" i="1"/>
  <c r="AC215" i="1"/>
  <c r="AC217" i="1"/>
  <c r="AC218" i="1"/>
  <c r="AC219" i="1"/>
  <c r="AC220" i="1"/>
  <c r="AC222" i="1"/>
  <c r="AC224" i="1"/>
  <c r="AC225" i="1"/>
  <c r="AC226" i="1"/>
  <c r="AC227" i="1"/>
  <c r="AC228" i="1"/>
  <c r="AC229" i="1"/>
  <c r="AC231" i="1"/>
  <c r="AC232" i="1"/>
  <c r="AC233" i="1"/>
  <c r="AC235" i="1"/>
  <c r="AC236" i="1"/>
  <c r="AC237" i="1"/>
  <c r="AC238" i="1"/>
  <c r="AC240" i="1"/>
  <c r="AC241" i="1"/>
  <c r="AC242" i="1"/>
  <c r="AC243" i="1"/>
  <c r="AC244" i="1"/>
  <c r="AC245" i="1"/>
  <c r="AC247" i="1"/>
  <c r="AC248" i="1"/>
  <c r="AC249" i="1"/>
  <c r="AC250" i="1"/>
  <c r="AC251" i="1"/>
  <c r="AC252" i="1"/>
  <c r="AC253" i="1"/>
  <c r="AC255" i="1"/>
  <c r="AC256" i="1"/>
  <c r="AC258" i="1"/>
  <c r="AC259" i="1"/>
  <c r="AC260" i="1"/>
  <c r="AC262" i="1"/>
  <c r="AC263" i="1"/>
  <c r="AC264" i="1"/>
  <c r="AC265" i="1"/>
  <c r="AC266" i="1"/>
  <c r="AC2" i="1"/>
  <c r="AN34" i="2" l="1"/>
  <c r="W34" i="2"/>
  <c r="AL265" i="2"/>
  <c r="AL101" i="2"/>
  <c r="AL257" i="2"/>
  <c r="AL93" i="2"/>
  <c r="AL233" i="2"/>
  <c r="AL69" i="2"/>
  <c r="AL225" i="2"/>
  <c r="AL61" i="2"/>
  <c r="AL201" i="2"/>
  <c r="AL165" i="2"/>
  <c r="AL193" i="2"/>
  <c r="AL157" i="2"/>
  <c r="AL133" i="2"/>
  <c r="AL263" i="2"/>
  <c r="AL231" i="2"/>
  <c r="AL199" i="2"/>
  <c r="AL159" i="2"/>
  <c r="AL127" i="2"/>
  <c r="AL95" i="2"/>
  <c r="AL63" i="2"/>
  <c r="AL255" i="2"/>
  <c r="AL223" i="2"/>
  <c r="AL191" i="2"/>
  <c r="AL151" i="2"/>
  <c r="AL119" i="2"/>
  <c r="AL87" i="2"/>
  <c r="AL47" i="2"/>
  <c r="AL249" i="2"/>
  <c r="AL217" i="2"/>
  <c r="AL185" i="2"/>
  <c r="AL181" i="2"/>
  <c r="AL149" i="2"/>
  <c r="AL117" i="2"/>
  <c r="AL85" i="2"/>
  <c r="AL247" i="2"/>
  <c r="AL215" i="2"/>
  <c r="AL183" i="2"/>
  <c r="AL175" i="2"/>
  <c r="AL143" i="2"/>
  <c r="AL111" i="2"/>
  <c r="AL79" i="2"/>
  <c r="AL241" i="2"/>
  <c r="AL209" i="2"/>
  <c r="AL173" i="2"/>
  <c r="AL141" i="2"/>
  <c r="AL109" i="2"/>
  <c r="AL77" i="2"/>
  <c r="AL239" i="2"/>
  <c r="AL207" i="2"/>
  <c r="AL167" i="2"/>
  <c r="AL135" i="2"/>
  <c r="AL103" i="2"/>
  <c r="AL71" i="2"/>
  <c r="AL264" i="2"/>
  <c r="AL256" i="2"/>
  <c r="AL248" i="2"/>
  <c r="AL240" i="2"/>
  <c r="AL232" i="2"/>
  <c r="AL224" i="2"/>
  <c r="AL216" i="2"/>
  <c r="AL208" i="2"/>
  <c r="AL200" i="2"/>
  <c r="AL192" i="2"/>
  <c r="AL184" i="2"/>
  <c r="AL182" i="2"/>
  <c r="AL174" i="2"/>
  <c r="AL166" i="2"/>
  <c r="AL158" i="2"/>
  <c r="AL150" i="2"/>
  <c r="AL142" i="2"/>
  <c r="AL134" i="2"/>
  <c r="AL126" i="2"/>
  <c r="AL118" i="2"/>
  <c r="AL110" i="2"/>
  <c r="AL102" i="2"/>
  <c r="AL94" i="2"/>
  <c r="AL86" i="2"/>
  <c r="AL78" i="2"/>
  <c r="AL70" i="2"/>
  <c r="AL62" i="2"/>
  <c r="AL54" i="2"/>
  <c r="AL46" i="2"/>
  <c r="AF34" i="2"/>
  <c r="AL34" i="2"/>
  <c r="AL45" i="2"/>
  <c r="AL262" i="2"/>
  <c r="AL254" i="2"/>
  <c r="AL246" i="2"/>
  <c r="AL238" i="2"/>
  <c r="AL230" i="2"/>
  <c r="AL222" i="2"/>
  <c r="AL214" i="2"/>
  <c r="AL206" i="2"/>
  <c r="AL198" i="2"/>
  <c r="AL190" i="2"/>
  <c r="AL180" i="2"/>
  <c r="AL172" i="2"/>
  <c r="AL164" i="2"/>
  <c r="AL156" i="2"/>
  <c r="AL148" i="2"/>
  <c r="AL140" i="2"/>
  <c r="AL132" i="2"/>
  <c r="AL124" i="2"/>
  <c r="AL116" i="2"/>
  <c r="AL108" i="2"/>
  <c r="AL100" i="2"/>
  <c r="AL92" i="2"/>
  <c r="AL84" i="2"/>
  <c r="AL76" i="2"/>
  <c r="AL68" i="2"/>
  <c r="AL60" i="2"/>
  <c r="AL52" i="2"/>
  <c r="AL44" i="2"/>
  <c r="AL53" i="2"/>
  <c r="AL261" i="2"/>
  <c r="AL253" i="2"/>
  <c r="AL245" i="2"/>
  <c r="AL237" i="2"/>
  <c r="AL229" i="2"/>
  <c r="AL221" i="2"/>
  <c r="AL213" i="2"/>
  <c r="AL205" i="2"/>
  <c r="AL197" i="2"/>
  <c r="AL189" i="2"/>
  <c r="AL179" i="2"/>
  <c r="AL171" i="2"/>
  <c r="AL163" i="2"/>
  <c r="AL155" i="2"/>
  <c r="AL147" i="2"/>
  <c r="AL139" i="2"/>
  <c r="AL131" i="2"/>
  <c r="AL123" i="2"/>
  <c r="AL115" i="2"/>
  <c r="AL107" i="2"/>
  <c r="AL99" i="2"/>
  <c r="AL91" i="2"/>
  <c r="AL83" i="2"/>
  <c r="AL75" i="2"/>
  <c r="AL67" i="2"/>
  <c r="AL59" i="2"/>
  <c r="AL51" i="2"/>
  <c r="AL43" i="2"/>
  <c r="AL260" i="2"/>
  <c r="AL252" i="2"/>
  <c r="AL244" i="2"/>
  <c r="AL236" i="2"/>
  <c r="AL228" i="2"/>
  <c r="AL220" i="2"/>
  <c r="AL212" i="2"/>
  <c r="AL204" i="2"/>
  <c r="AL196" i="2"/>
  <c r="AL188" i="2"/>
  <c r="AL178" i="2"/>
  <c r="AL170" i="2"/>
  <c r="AL162" i="2"/>
  <c r="AL154" i="2"/>
  <c r="AL146" i="2"/>
  <c r="AL138" i="2"/>
  <c r="AL130" i="2"/>
  <c r="AL122" i="2"/>
  <c r="AL114" i="2"/>
  <c r="AL106" i="2"/>
  <c r="AL98" i="2"/>
  <c r="AL90" i="2"/>
  <c r="AL82" i="2"/>
  <c r="AL74" i="2"/>
  <c r="AL66" i="2"/>
  <c r="AL58" i="2"/>
  <c r="AL50" i="2"/>
  <c r="AL42" i="2"/>
  <c r="AL55" i="2"/>
  <c r="AL267" i="2"/>
  <c r="AL259" i="2"/>
  <c r="AL251" i="2"/>
  <c r="AL243" i="2"/>
  <c r="AL235" i="2"/>
  <c r="AL227" i="2"/>
  <c r="AL219" i="2"/>
  <c r="AL211" i="2"/>
  <c r="AL203" i="2"/>
  <c r="AL195" i="2"/>
  <c r="AL187" i="2"/>
  <c r="AL177" i="2"/>
  <c r="AL169" i="2"/>
  <c r="AL161" i="2"/>
  <c r="AL153" i="2"/>
  <c r="AL145" i="2"/>
  <c r="AL137" i="2"/>
  <c r="AL129" i="2"/>
  <c r="AL121" i="2"/>
  <c r="AL113" i="2"/>
  <c r="AL105" i="2"/>
  <c r="AL97" i="2"/>
  <c r="AL89" i="2"/>
  <c r="AL81" i="2"/>
  <c r="AL73" i="2"/>
  <c r="AL65" i="2"/>
  <c r="AL57" i="2"/>
  <c r="AL49" i="2"/>
  <c r="AL41" i="2"/>
  <c r="AL266" i="2"/>
  <c r="AL258" i="2"/>
  <c r="AL250" i="2"/>
  <c r="AL242" i="2"/>
  <c r="AL234" i="2"/>
  <c r="AL226" i="2"/>
  <c r="AL218" i="2"/>
  <c r="AL210" i="2"/>
  <c r="AL202" i="2"/>
  <c r="AL194" i="2"/>
  <c r="AL186" i="2"/>
  <c r="AL176" i="2"/>
  <c r="AL168" i="2"/>
  <c r="AL160" i="2"/>
  <c r="AL152" i="2"/>
  <c r="AL144" i="2"/>
  <c r="AL136" i="2"/>
  <c r="AL128" i="2"/>
  <c r="AL120" i="2"/>
  <c r="AL112" i="2"/>
  <c r="AL104" i="2"/>
  <c r="AL96" i="2"/>
  <c r="AL88" i="2"/>
  <c r="AL80" i="2"/>
  <c r="AL72" i="2"/>
  <c r="AL64" i="2"/>
  <c r="AL56" i="2"/>
  <c r="AL48" i="2"/>
  <c r="AL40" i="2"/>
  <c r="AH34" i="2"/>
  <c r="AI34" i="2"/>
  <c r="AP34" i="2"/>
  <c r="V34" i="2"/>
  <c r="AO34" i="2"/>
  <c r="AG34" i="2"/>
  <c r="AQ34" i="2"/>
</calcChain>
</file>

<file path=xl/sharedStrings.xml><?xml version="1.0" encoding="utf-8"?>
<sst xmlns="http://schemas.openxmlformats.org/spreadsheetml/2006/main" count="1146" uniqueCount="94">
  <si>
    <t>Country</t>
  </si>
  <si>
    <t>Quarter</t>
  </si>
  <si>
    <t>ab_us</t>
  </si>
  <si>
    <t>health_us</t>
  </si>
  <si>
    <t>nhealth_us</t>
  </si>
  <si>
    <t>acc_us</t>
  </si>
  <si>
    <t>of_us</t>
  </si>
  <si>
    <t>be_us</t>
  </si>
  <si>
    <t>gu_us</t>
  </si>
  <si>
    <t>qf_us</t>
  </si>
  <si>
    <t>ab_per</t>
  </si>
  <si>
    <t>ab_ppp</t>
  </si>
  <si>
    <t>health_per</t>
  </si>
  <si>
    <t>health_ppp</t>
  </si>
  <si>
    <t>nhealth_per</t>
  </si>
  <si>
    <t>nhealth_ppp</t>
  </si>
  <si>
    <t>acc_per</t>
  </si>
  <si>
    <t>acc_ppp</t>
  </si>
  <si>
    <t>of_per</t>
  </si>
  <si>
    <t>of_ppp</t>
  </si>
  <si>
    <t>be_per</t>
  </si>
  <si>
    <t>be_ppp</t>
  </si>
  <si>
    <t>gu_per</t>
  </si>
  <si>
    <t>gu_ppp</t>
  </si>
  <si>
    <t>qf_per</t>
  </si>
  <si>
    <t>qf_ppp</t>
  </si>
  <si>
    <t>real_gdp_per</t>
  </si>
  <si>
    <t>real_gdp_ppp</t>
  </si>
  <si>
    <t>AUS</t>
  </si>
  <si>
    <t>CAN</t>
  </si>
  <si>
    <t>FRA</t>
  </si>
  <si>
    <t>DEU</t>
  </si>
  <si>
    <t>ITA</t>
  </si>
  <si>
    <t>JPN</t>
  </si>
  <si>
    <t>KOR</t>
  </si>
  <si>
    <t>ESP</t>
  </si>
  <si>
    <t>GBR</t>
  </si>
  <si>
    <t>USA</t>
  </si>
  <si>
    <t>MEX</t>
  </si>
  <si>
    <t>TUR</t>
  </si>
  <si>
    <t>AUT</t>
  </si>
  <si>
    <t>BEL</t>
  </si>
  <si>
    <t>CZE</t>
  </si>
  <si>
    <t>DNK</t>
  </si>
  <si>
    <t>EST</t>
  </si>
  <si>
    <t>FIN</t>
  </si>
  <si>
    <t>GRC</t>
  </si>
  <si>
    <t>ISL</t>
  </si>
  <si>
    <t>IRL</t>
  </si>
  <si>
    <t>ISR</t>
  </si>
  <si>
    <t>LVA</t>
  </si>
  <si>
    <t>LTU</t>
  </si>
  <si>
    <t>LUX</t>
  </si>
  <si>
    <t>NLD</t>
  </si>
  <si>
    <t>NZL</t>
  </si>
  <si>
    <t>NOR</t>
  </si>
  <si>
    <t>PRT</t>
  </si>
  <si>
    <t>SVK</t>
  </si>
  <si>
    <t>SVN</t>
  </si>
  <si>
    <t>SWE</t>
  </si>
  <si>
    <t>CHE</t>
  </si>
  <si>
    <t>CHL</t>
  </si>
  <si>
    <t>COL</t>
  </si>
  <si>
    <t>CRI</t>
  </si>
  <si>
    <t>HUN</t>
  </si>
  <si>
    <t>POL</t>
  </si>
  <si>
    <t>Q1.2020</t>
  </si>
  <si>
    <t>Q2.2020</t>
  </si>
  <si>
    <t>Q3.2020</t>
  </si>
  <si>
    <t>Q4.2020</t>
  </si>
  <si>
    <t>Q1.2021</t>
  </si>
  <si>
    <t>Q2.2021</t>
  </si>
  <si>
    <t>Q3.2021</t>
  </si>
  <si>
    <t>share_nhealth_ab</t>
  </si>
  <si>
    <t>share_ab_t</t>
  </si>
  <si>
    <t>share_nhealth_t</t>
  </si>
  <si>
    <t>total_spending_per</t>
  </si>
  <si>
    <t>total_spending_ppp</t>
  </si>
  <si>
    <t>share_health_ab</t>
  </si>
  <si>
    <t>share_health_t</t>
  </si>
  <si>
    <t>share_of_t</t>
  </si>
  <si>
    <t>share_be_of</t>
  </si>
  <si>
    <t>share_gu_of</t>
  </si>
  <si>
    <t>on_us</t>
  </si>
  <si>
    <t>share_nhealth_on</t>
  </si>
  <si>
    <t>share_on_t</t>
  </si>
  <si>
    <t>Total bedeutet on und of zusammen</t>
  </si>
  <si>
    <t>share_health_on</t>
  </si>
  <si>
    <t>share_be_t</t>
  </si>
  <si>
    <t>share_gu_t</t>
  </si>
  <si>
    <t>total_intensity_per</t>
  </si>
  <si>
    <t>on_per</t>
  </si>
  <si>
    <t>share_acc_t</t>
  </si>
  <si>
    <t>on_ppp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</si>
</sst>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_(* #,##0.00_);_(* \(#,##0.00\);_(* &quot;-&quot;??_);_(@_)"/>
    <numFmt numFmtId="166" formatCode="0.00000"/>
    <numFmt numFmtId="167" formatCode="0.00000000000"/>
    <numFmt numFmtId="168" formatCode="0.0000"/>
    <numFmt numFmtId="169" formatCode="_(* #,##0.000_);_(* \(#,##0.000\);_(* &quot;-&quot;??_);_(@_)"/>
    <numFmt numFmtId="170" formatCode="0.000000"/>
    <numFmt numFmtId="171" formatCode="0.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.5"/>
      <color theme="1"/>
      <name val="Arial"/>
      <family val="2"/>
    </font>
    <font>
      <sz val="8.5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165" fontId="5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2" borderId="1" xfId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" xfId="1" applyFont="1" applyBorder="1" applyAlignment="1">
      <alignment wrapText="1"/>
    </xf>
    <xf numFmtId="0" fontId="1" fillId="0" borderId="1" xfId="1" applyFont="1" applyBorder="1"/>
    <xf numFmtId="0" fontId="1" fillId="0" borderId="0" xfId="1" applyFont="1"/>
    <xf numFmtId="0" fontId="6" fillId="2" borderId="1" xfId="2" applyFont="1" applyFill="1" applyBorder="1" applyAlignment="1">
      <alignment horizontal="left" indent="1"/>
    </xf>
    <xf numFmtId="166" fontId="6" fillId="0" borderId="1" xfId="3" applyNumberFormat="1" applyFont="1" applyFill="1" applyBorder="1" applyAlignment="1">
      <alignment horizontal="right"/>
    </xf>
    <xf numFmtId="166" fontId="6" fillId="0" borderId="1" xfId="3" applyNumberFormat="1" applyFont="1" applyFill="1" applyBorder="1" applyAlignment="1"/>
    <xf numFmtId="167" fontId="7" fillId="0" borderId="0" xfId="2" applyNumberFormat="1" applyFont="1" applyAlignment="1">
      <alignment horizontal="center" vertical="center"/>
    </xf>
    <xf numFmtId="0" fontId="2" fillId="0" borderId="0" xfId="1"/>
    <xf numFmtId="168" fontId="6" fillId="0" borderId="1" xfId="3" applyNumberFormat="1" applyFont="1" applyFill="1" applyBorder="1" applyAlignment="1"/>
    <xf numFmtId="0" fontId="5" fillId="2" borderId="1" xfId="2" applyFill="1" applyBorder="1" applyAlignment="1">
      <alignment horizontal="left" indent="1"/>
    </xf>
    <xf numFmtId="169" fontId="6" fillId="0" borderId="1" xfId="3" applyNumberFormat="1" applyFont="1" applyFill="1" applyBorder="1"/>
    <xf numFmtId="170" fontId="6" fillId="0" borderId="1" xfId="3" applyNumberFormat="1" applyFont="1" applyFill="1" applyBorder="1" applyAlignment="1"/>
    <xf numFmtId="170" fontId="6" fillId="0" borderId="0" xfId="3" applyNumberFormat="1" applyFont="1" applyFill="1" applyAlignment="1"/>
    <xf numFmtId="0" fontId="5" fillId="0" borderId="1" xfId="2" applyBorder="1" applyAlignment="1">
      <alignment horizontal="left" indent="1"/>
    </xf>
    <xf numFmtId="167" fontId="5" fillId="0" borderId="0" xfId="2" applyNumberFormat="1" applyAlignment="1">
      <alignment horizontal="center"/>
    </xf>
    <xf numFmtId="0" fontId="6" fillId="0" borderId="0" xfId="2" applyFont="1"/>
    <xf numFmtId="0" fontId="6" fillId="2" borderId="1" xfId="1" applyFont="1" applyFill="1" applyBorder="1" applyAlignment="1">
      <alignment horizontal="left" indent="1"/>
    </xf>
    <xf numFmtId="0" fontId="6" fillId="0" borderId="1" xfId="1" applyFont="1" applyBorder="1" applyAlignment="1">
      <alignment horizontal="left" indent="1"/>
    </xf>
    <xf numFmtId="0" fontId="6" fillId="0" borderId="1" xfId="2" applyFont="1" applyBorder="1" applyAlignment="1">
      <alignment horizontal="left" indent="1"/>
    </xf>
    <xf numFmtId="171" fontId="6" fillId="0" borderId="1" xfId="3" applyNumberFormat="1" applyFont="1" applyFill="1" applyBorder="1" applyAlignment="1">
      <alignment horizontal="right"/>
    </xf>
    <xf numFmtId="166" fontId="6" fillId="2" borderId="1" xfId="2" applyNumberFormat="1" applyFont="1" applyFill="1" applyBorder="1" applyAlignment="1">
      <alignment horizontal="left" indent="1"/>
    </xf>
    <xf numFmtId="166" fontId="6" fillId="3" borderId="1" xfId="3" applyNumberFormat="1" applyFont="1" applyFill="1" applyBorder="1" applyAlignment="1">
      <alignment horizontal="right"/>
    </xf>
    <xf numFmtId="171" fontId="6" fillId="3" borderId="1" xfId="3" applyNumberFormat="1" applyFont="1" applyFill="1" applyBorder="1" applyAlignment="1">
      <alignment horizontal="right"/>
    </xf>
  </cellXfs>
  <cellStyles count="4">
    <cellStyle name="Komma 2" xfId="3" xr:uid="{78E80D19-85DD-421C-9518-C83BADA5A01B}"/>
    <cellStyle name="Standard" xfId="0" builtinId="0"/>
    <cellStyle name="Standard 2" xfId="1" xr:uid="{05ABF4B0-F9F8-4455-9687-B7DAF901BC55}"/>
    <cellStyle name="Standard 3" xfId="2" xr:uid="{1BB69CFF-32EA-401C-BD4B-A92D61E95E0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6dcfa39c5054bb9/Studium/Wirtschaftswissenschaften/Master-Thesis/New/Working/Policy%20Reactions/IMF/cleanonly.xlsx" TargetMode="External"/><Relationship Id="rId1" Type="http://schemas.openxmlformats.org/officeDocument/2006/relationships/externalLinkPath" Target="cleanon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iff"/>
      <sheetName val="Tabelle1"/>
    </sheetNames>
    <sheetDataSet>
      <sheetData sheetId="0">
        <row r="2">
          <cell r="C2">
            <v>110.0051</v>
          </cell>
          <cell r="D2">
            <v>2.1168</v>
          </cell>
          <cell r="E2">
            <v>107.8883</v>
          </cell>
          <cell r="F2">
            <v>0</v>
          </cell>
          <cell r="G2">
            <v>24.0029</v>
          </cell>
          <cell r="H2">
            <v>10.3255</v>
          </cell>
          <cell r="I2">
            <v>13.6774</v>
          </cell>
          <cell r="J2">
            <v>0</v>
          </cell>
          <cell r="K2">
            <v>7.3593163001337505</v>
          </cell>
          <cell r="M2">
            <v>0.14161344105067059</v>
          </cell>
          <cell r="N2">
            <v>0.1725864552969005</v>
          </cell>
          <cell r="O2">
            <v>7.2177028590830803</v>
          </cell>
          <cell r="P2">
            <v>8.7963242937493362</v>
          </cell>
          <cell r="Q2">
            <v>0</v>
          </cell>
          <cell r="R2">
            <v>0</v>
          </cell>
          <cell r="S2">
            <v>1.6057885790793376</v>
          </cell>
          <cell r="T2">
            <v>1.9569989738501388</v>
          </cell>
          <cell r="U2">
            <v>0.690773613741827</v>
          </cell>
          <cell r="V2">
            <v>0.84185631338253319</v>
          </cell>
          <cell r="W2">
            <v>0.91501496533751059</v>
          </cell>
          <cell r="X2">
            <v>1.1151426604676056</v>
          </cell>
          <cell r="Y2">
            <v>0</v>
          </cell>
          <cell r="Z2">
            <v>0</v>
          </cell>
        </row>
        <row r="3">
          <cell r="C3">
            <v>81</v>
          </cell>
          <cell r="D3">
            <v>2.4</v>
          </cell>
          <cell r="E3">
            <v>78.599999999999994</v>
          </cell>
          <cell r="F3">
            <v>63.75</v>
          </cell>
          <cell r="G3">
            <v>51.7</v>
          </cell>
          <cell r="H3">
            <v>3.7</v>
          </cell>
          <cell r="I3">
            <v>48</v>
          </cell>
          <cell r="J3">
            <v>0</v>
          </cell>
          <cell r="K3">
            <v>4.7742400680565593</v>
          </cell>
          <cell r="M3">
            <v>0.14145896497945359</v>
          </cell>
          <cell r="N3">
            <v>0.13925248029354564</v>
          </cell>
          <cell r="O3">
            <v>4.6327811030771056</v>
          </cell>
          <cell r="P3">
            <v>4.5605187296136194</v>
          </cell>
          <cell r="Q3">
            <v>3.7575037572667362</v>
          </cell>
          <cell r="R3">
            <v>3.6988940077973065</v>
          </cell>
          <cell r="S3">
            <v>3.0472618705990637</v>
          </cell>
          <cell r="T3">
            <v>2.999730512990129</v>
          </cell>
          <cell r="U3">
            <v>0.21808257100999098</v>
          </cell>
          <cell r="V3">
            <v>0.21468090711921622</v>
          </cell>
          <cell r="W3">
            <v>2.8291792995890725</v>
          </cell>
          <cell r="X3">
            <v>2.7850496058709129</v>
          </cell>
          <cell r="Y3">
            <v>0</v>
          </cell>
          <cell r="Z3">
            <v>0</v>
          </cell>
        </row>
        <row r="4">
          <cell r="C4">
            <v>16.5</v>
          </cell>
          <cell r="D4">
            <v>5.5</v>
          </cell>
          <cell r="E4">
            <v>11</v>
          </cell>
          <cell r="F4">
            <v>48.5</v>
          </cell>
          <cell r="G4">
            <v>348</v>
          </cell>
          <cell r="H4">
            <v>0</v>
          </cell>
          <cell r="I4">
            <v>348</v>
          </cell>
          <cell r="J4">
            <v>0</v>
          </cell>
          <cell r="K4">
            <v>0.630538110393977</v>
          </cell>
          <cell r="M4">
            <v>0.21017937013132568</v>
          </cell>
          <cell r="N4">
            <v>0.18919261279758812</v>
          </cell>
          <cell r="O4">
            <v>0.42035874026265135</v>
          </cell>
          <cell r="P4">
            <v>0.37838522559517623</v>
          </cell>
          <cell r="Q4">
            <v>1.8533999002489625</v>
          </cell>
          <cell r="R4">
            <v>1.6683348583060043</v>
          </cell>
          <cell r="S4">
            <v>13.298621964672968</v>
          </cell>
          <cell r="T4">
            <v>11.970732591556484</v>
          </cell>
          <cell r="U4">
            <v>0</v>
          </cell>
          <cell r="V4">
            <v>0</v>
          </cell>
          <cell r="W4">
            <v>13.298621964672968</v>
          </cell>
          <cell r="X4">
            <v>11.970732591556484</v>
          </cell>
          <cell r="Y4">
            <v>0</v>
          </cell>
          <cell r="Z4">
            <v>0</v>
          </cell>
        </row>
        <row r="5">
          <cell r="C5">
            <v>143</v>
          </cell>
          <cell r="D5">
            <v>11.2</v>
          </cell>
          <cell r="E5">
            <v>131.80000000000001</v>
          </cell>
          <cell r="F5">
            <v>0</v>
          </cell>
          <cell r="G5">
            <v>1072</v>
          </cell>
          <cell r="H5">
            <v>223</v>
          </cell>
          <cell r="I5">
            <v>849</v>
          </cell>
          <cell r="J5">
            <v>0</v>
          </cell>
          <cell r="K5">
            <v>3.9751844662002656</v>
          </cell>
          <cell r="M5">
            <v>0.3113431190310697</v>
          </cell>
          <cell r="N5">
            <v>0.26911531387317289</v>
          </cell>
          <cell r="O5">
            <v>3.6638413471691957</v>
          </cell>
          <cell r="P5">
            <v>3.1669105686146599</v>
          </cell>
          <cell r="Q5">
            <v>0</v>
          </cell>
          <cell r="R5">
            <v>0</v>
          </cell>
          <cell r="S5">
            <v>29.799984250116676</v>
          </cell>
          <cell r="T5">
            <v>25.758180042146549</v>
          </cell>
          <cell r="U5">
            <v>6.1990638878507633</v>
          </cell>
          <cell r="V5">
            <v>5.3582781244390683</v>
          </cell>
          <cell r="W5">
            <v>23.600920362265914</v>
          </cell>
          <cell r="X5">
            <v>20.399901917707481</v>
          </cell>
          <cell r="Y5">
            <v>0</v>
          </cell>
          <cell r="Z5">
            <v>0</v>
          </cell>
        </row>
        <row r="6">
          <cell r="C6">
            <v>22</v>
          </cell>
          <cell r="D6">
            <v>3.63</v>
          </cell>
          <cell r="E6">
            <v>18.37</v>
          </cell>
          <cell r="F6">
            <v>0</v>
          </cell>
          <cell r="G6">
            <v>591</v>
          </cell>
          <cell r="H6">
            <v>0</v>
          </cell>
          <cell r="I6">
            <v>591</v>
          </cell>
          <cell r="J6">
            <v>0</v>
          </cell>
          <cell r="K6">
            <v>1.1469339016069102</v>
          </cell>
          <cell r="M6">
            <v>0.18924409376514018</v>
          </cell>
          <cell r="N6">
            <v>0.15528350084886214</v>
          </cell>
          <cell r="O6">
            <v>0.95768980784176994</v>
          </cell>
          <cell r="P6">
            <v>0.78582862550787813</v>
          </cell>
          <cell r="Q6">
            <v>0</v>
          </cell>
          <cell r="R6">
            <v>0</v>
          </cell>
          <cell r="S6">
            <v>30.810815265894721</v>
          </cell>
          <cell r="T6">
            <v>25.281693939856066</v>
          </cell>
          <cell r="U6">
            <v>0</v>
          </cell>
          <cell r="V6">
            <v>0</v>
          </cell>
          <cell r="W6">
            <v>30.810815265894721</v>
          </cell>
          <cell r="X6">
            <v>25.281693939856066</v>
          </cell>
          <cell r="Y6">
            <v>0</v>
          </cell>
          <cell r="Z6">
            <v>0</v>
          </cell>
        </row>
        <row r="7">
          <cell r="C7">
            <v>497</v>
          </cell>
          <cell r="D7">
            <v>12.1906</v>
          </cell>
          <cell r="E7">
            <v>484.80939999999998</v>
          </cell>
          <cell r="F7">
            <v>0</v>
          </cell>
          <cell r="G7">
            <v>19</v>
          </cell>
          <cell r="H7">
            <v>0</v>
          </cell>
          <cell r="I7">
            <v>19</v>
          </cell>
          <cell r="J7">
            <v>0</v>
          </cell>
          <cell r="K7">
            <v>10.88877715515526</v>
          </cell>
          <cell r="M7">
            <v>0.26708395731918655</v>
          </cell>
          <cell r="N7">
            <v>0.22893780855301635</v>
          </cell>
          <cell r="O7">
            <v>10.621693197836073</v>
          </cell>
          <cell r="P7">
            <v>9.1046545372584387</v>
          </cell>
          <cell r="Q7">
            <v>0</v>
          </cell>
          <cell r="R7">
            <v>0</v>
          </cell>
          <cell r="S7">
            <v>0.41627115884899385</v>
          </cell>
          <cell r="T7">
            <v>0.35681741362257074</v>
          </cell>
          <cell r="U7">
            <v>0</v>
          </cell>
          <cell r="V7">
            <v>0</v>
          </cell>
          <cell r="W7">
            <v>0.41627115884899385</v>
          </cell>
          <cell r="X7">
            <v>0.35681741362257074</v>
          </cell>
          <cell r="Y7">
            <v>0</v>
          </cell>
          <cell r="Z7">
            <v>0</v>
          </cell>
        </row>
        <row r="8">
          <cell r="C8">
            <v>24</v>
          </cell>
          <cell r="D8">
            <v>2.5</v>
          </cell>
          <cell r="E8">
            <v>21.5</v>
          </cell>
          <cell r="F8">
            <v>14</v>
          </cell>
          <cell r="G8">
            <v>28.03087410667397</v>
          </cell>
          <cell r="H8">
            <v>0</v>
          </cell>
          <cell r="I8">
            <v>28.03087410667397</v>
          </cell>
          <cell r="J8">
            <v>120.83690597305201</v>
          </cell>
          <cell r="K8">
            <v>1.465070020161209</v>
          </cell>
          <cell r="M8">
            <v>0.15261146043345927</v>
          </cell>
          <cell r="N8">
            <v>0.11592646075775184</v>
          </cell>
          <cell r="O8">
            <v>1.3124585597277498</v>
          </cell>
          <cell r="P8">
            <v>0.99696756251666574</v>
          </cell>
          <cell r="Q8">
            <v>0.85462417842737204</v>
          </cell>
          <cell r="R8">
            <v>0.64918818024341018</v>
          </cell>
          <cell r="S8">
            <v>1.7111330538583811</v>
          </cell>
          <cell r="T8">
            <v>1.2998080108531287</v>
          </cell>
          <cell r="U8">
            <v>0</v>
          </cell>
          <cell r="V8">
            <v>0</v>
          </cell>
          <cell r="W8">
            <v>1.7111330538583811</v>
          </cell>
          <cell r="X8">
            <v>1.2998080108531287</v>
          </cell>
          <cell r="Y8">
            <v>7.3764386779232263</v>
          </cell>
          <cell r="Z8">
            <v>5.6032779353492641</v>
          </cell>
        </row>
        <row r="9">
          <cell r="C9">
            <v>14.892900000000001</v>
          </cell>
          <cell r="D9">
            <v>4.1786000000000003</v>
          </cell>
          <cell r="E9">
            <v>10.7143</v>
          </cell>
          <cell r="F9">
            <v>0</v>
          </cell>
          <cell r="G9">
            <v>114.77359536449615</v>
          </cell>
          <cell r="H9">
            <v>0.13551117673291363</v>
          </cell>
          <cell r="I9">
            <v>114.63808418776323</v>
          </cell>
          <cell r="J9">
            <v>10.928320704267227</v>
          </cell>
          <cell r="K9">
            <v>1.1249106429758049</v>
          </cell>
          <cell r="M9">
            <v>0.31562366045153722</v>
          </cell>
          <cell r="N9">
            <v>0.23259313009035992</v>
          </cell>
          <cell r="O9">
            <v>0.80928698252426767</v>
          </cell>
          <cell r="P9">
            <v>0.59638935857156539</v>
          </cell>
          <cell r="Q9">
            <v>0</v>
          </cell>
          <cell r="R9">
            <v>0</v>
          </cell>
          <cell r="S9">
            <v>8.6692342631804564</v>
          </cell>
          <cell r="T9">
            <v>6.3886349010559949</v>
          </cell>
          <cell r="U9">
            <v>1.023561327538826E-2</v>
          </cell>
          <cell r="V9">
            <v>7.5429494946959112E-3</v>
          </cell>
          <cell r="W9">
            <v>8.6589986499050688</v>
          </cell>
          <cell r="X9">
            <v>6.3810919515612987</v>
          </cell>
          <cell r="Y9">
            <v>0.8254526834990531</v>
          </cell>
          <cell r="Z9">
            <v>0.60830237860450886</v>
          </cell>
        </row>
        <row r="10">
          <cell r="C10">
            <v>83.000000005000004</v>
          </cell>
          <cell r="D10">
            <v>6.384615385</v>
          </cell>
          <cell r="E10">
            <v>76.61538462</v>
          </cell>
          <cell r="F10">
            <v>0</v>
          </cell>
          <cell r="G10">
            <v>423</v>
          </cell>
          <cell r="H10">
            <v>423</v>
          </cell>
          <cell r="I10">
            <v>0</v>
          </cell>
          <cell r="J10">
            <v>0</v>
          </cell>
          <cell r="K10">
            <v>2.628755024499684</v>
          </cell>
          <cell r="M10">
            <v>0.20221192496151416</v>
          </cell>
          <cell r="N10">
            <v>0.2170170189046427</v>
          </cell>
          <cell r="O10">
            <v>2.4265430995381698</v>
          </cell>
          <cell r="P10">
            <v>2.6042042268557122</v>
          </cell>
          <cell r="Q10">
            <v>0</v>
          </cell>
          <cell r="R10">
            <v>0</v>
          </cell>
          <cell r="S10">
            <v>13.397149099956392</v>
          </cell>
          <cell r="T10">
            <v>14.378031167286023</v>
          </cell>
          <cell r="U10">
            <v>13.397149099956392</v>
          </cell>
          <cell r="V10">
            <v>14.378031167286023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</row>
        <row r="11">
          <cell r="C11">
            <v>1395</v>
          </cell>
          <cell r="D11">
            <v>9.4499999999999993</v>
          </cell>
          <cell r="E11">
            <v>1385.55</v>
          </cell>
          <cell r="F11">
            <v>0</v>
          </cell>
          <cell r="G11">
            <v>510</v>
          </cell>
          <cell r="H11">
            <v>56</v>
          </cell>
          <cell r="I11">
            <v>454</v>
          </cell>
          <cell r="J11">
            <v>0</v>
          </cell>
          <cell r="K11">
            <v>6.9998581774039028</v>
          </cell>
          <cell r="M11">
            <v>4.7418394104994176E-2</v>
          </cell>
          <cell r="N11">
            <v>4.7310998337066652E-2</v>
          </cell>
          <cell r="O11">
            <v>6.9524397832989084</v>
          </cell>
          <cell r="P11">
            <v>6.9366935180870586</v>
          </cell>
          <cell r="Q11">
            <v>0</v>
          </cell>
          <cell r="R11">
            <v>0</v>
          </cell>
          <cell r="S11">
            <v>2.5590879358250826</v>
          </cell>
          <cell r="T11">
            <v>2.5532919737464543</v>
          </cell>
          <cell r="U11">
            <v>0.28099789099255812</v>
          </cell>
          <cell r="V11">
            <v>0.28036147162706165</v>
          </cell>
          <cell r="W11">
            <v>2.2780900448325245</v>
          </cell>
          <cell r="X11">
            <v>2.2729305021193928</v>
          </cell>
          <cell r="Y11">
            <v>0</v>
          </cell>
          <cell r="Z11">
            <v>0</v>
          </cell>
        </row>
        <row r="12">
          <cell r="C12">
            <v>1.8620000000000001</v>
          </cell>
          <cell r="D12">
            <v>1.8620000000000001</v>
          </cell>
          <cell r="E12">
            <v>0</v>
          </cell>
          <cell r="F12">
            <v>0</v>
          </cell>
          <cell r="G12">
            <v>3.3</v>
          </cell>
          <cell r="H12">
            <v>3.3</v>
          </cell>
          <cell r="I12">
            <v>0</v>
          </cell>
          <cell r="J12">
            <v>0</v>
          </cell>
          <cell r="K12">
            <v>0.14556526356530802</v>
          </cell>
          <cell r="M12">
            <v>0.14556526356530802</v>
          </cell>
          <cell r="N12">
            <v>7.8180516539544914E-2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0.25798354982036326</v>
          </cell>
          <cell r="T12">
            <v>0.1385583805480656</v>
          </cell>
          <cell r="U12">
            <v>0.25798354982036326</v>
          </cell>
          <cell r="V12">
            <v>0.1385583805480656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3.8</v>
          </cell>
          <cell r="H13">
            <v>0</v>
          </cell>
          <cell r="I13">
            <v>3.8</v>
          </cell>
          <cell r="J13">
            <v>0</v>
          </cell>
          <cell r="K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0.38112295919650652</v>
          </cell>
          <cell r="T13">
            <v>0.16282573564584751</v>
          </cell>
          <cell r="U13">
            <v>0</v>
          </cell>
          <cell r="V13">
            <v>0</v>
          </cell>
          <cell r="W13">
            <v>0.38112295919650652</v>
          </cell>
          <cell r="X13">
            <v>0.16282573564584751</v>
          </cell>
          <cell r="Y13">
            <v>0</v>
          </cell>
          <cell r="Z13">
            <v>0</v>
          </cell>
        </row>
        <row r="14">
          <cell r="C14">
            <v>31.764700000000001</v>
          </cell>
          <cell r="D14">
            <v>0</v>
          </cell>
          <cell r="E14">
            <v>31.764700000000001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7.6735681329126031</v>
          </cell>
          <cell r="M14">
            <v>0</v>
          </cell>
          <cell r="N14">
            <v>0</v>
          </cell>
          <cell r="O14">
            <v>7.6735681329126031</v>
          </cell>
          <cell r="P14">
            <v>6.7786506242927107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54</v>
          </cell>
          <cell r="H15">
            <v>0</v>
          </cell>
          <cell r="I15">
            <v>54</v>
          </cell>
          <cell r="J15">
            <v>0</v>
          </cell>
          <cell r="K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10.90562054178165</v>
          </cell>
          <cell r="T15">
            <v>9.7240885633744618</v>
          </cell>
          <cell r="U15">
            <v>0</v>
          </cell>
          <cell r="V15">
            <v>0</v>
          </cell>
          <cell r="W15">
            <v>10.90562054178165</v>
          </cell>
          <cell r="X15">
            <v>9.7240885633744618</v>
          </cell>
          <cell r="Y15">
            <v>0</v>
          </cell>
          <cell r="Z15">
            <v>0</v>
          </cell>
        </row>
        <row r="16">
          <cell r="C16">
            <v>9.0751215444483115</v>
          </cell>
          <cell r="D16">
            <v>2.2540984E-2</v>
          </cell>
          <cell r="E16">
            <v>9.0525805604483107</v>
          </cell>
          <cell r="F16">
            <v>0</v>
          </cell>
          <cell r="G16">
            <v>21.104230256601589</v>
          </cell>
          <cell r="H16">
            <v>0.80696442599999996</v>
          </cell>
          <cell r="I16">
            <v>20.297265830601589</v>
          </cell>
          <cell r="J16">
            <v>0</v>
          </cell>
          <cell r="K16">
            <v>4.2084524748499499</v>
          </cell>
          <cell r="M16">
            <v>1.0453045662885387E-2</v>
          </cell>
          <cell r="N16">
            <v>5.5329435545527564E-3</v>
          </cell>
          <cell r="O16">
            <v>4.1979994291870648</v>
          </cell>
          <cell r="P16">
            <v>2.2220599271088637</v>
          </cell>
          <cell r="Q16">
            <v>0</v>
          </cell>
          <cell r="R16">
            <v>0</v>
          </cell>
          <cell r="S16">
            <v>9.7867725096785385</v>
          </cell>
          <cell r="T16">
            <v>5.1802758376502558</v>
          </cell>
          <cell r="U16">
            <v>0.37421773571651062</v>
          </cell>
          <cell r="V16">
            <v>0.19807869166625844</v>
          </cell>
          <cell r="W16">
            <v>9.4125547739620288</v>
          </cell>
          <cell r="X16">
            <v>4.9821971459839975</v>
          </cell>
          <cell r="Y16">
            <v>0</v>
          </cell>
          <cell r="Z16">
            <v>0</v>
          </cell>
        </row>
        <row r="17">
          <cell r="C17">
            <v>9</v>
          </cell>
          <cell r="D17">
            <v>0</v>
          </cell>
          <cell r="E17">
            <v>9</v>
          </cell>
          <cell r="F17">
            <v>0</v>
          </cell>
          <cell r="G17">
            <v>9.6999999999999993</v>
          </cell>
          <cell r="H17">
            <v>0</v>
          </cell>
          <cell r="I17">
            <v>9.6999999999999993</v>
          </cell>
          <cell r="J17">
            <v>0</v>
          </cell>
          <cell r="K17">
            <v>2.7059324055091158</v>
          </cell>
          <cell r="M17">
            <v>0</v>
          </cell>
          <cell r="N17">
            <v>0</v>
          </cell>
          <cell r="O17">
            <v>2.7059324055091158</v>
          </cell>
          <cell r="P17">
            <v>2.8932995220407594</v>
          </cell>
          <cell r="Q17">
            <v>0</v>
          </cell>
          <cell r="R17">
            <v>0</v>
          </cell>
          <cell r="S17">
            <v>2.9163938148264918</v>
          </cell>
          <cell r="T17">
            <v>3.1183339293105963</v>
          </cell>
          <cell r="U17">
            <v>0</v>
          </cell>
          <cell r="V17">
            <v>0</v>
          </cell>
          <cell r="W17">
            <v>2.9163938148264918</v>
          </cell>
          <cell r="X17">
            <v>3.1183339293105963</v>
          </cell>
          <cell r="Y17">
            <v>0</v>
          </cell>
          <cell r="Z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0.34351350790000001</v>
          </cell>
          <cell r="H18">
            <v>0.166216216</v>
          </cell>
          <cell r="I18">
            <v>0.17729729189999999</v>
          </cell>
          <cell r="J18">
            <v>0</v>
          </cell>
          <cell r="K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1.2772080118792744</v>
          </cell>
          <cell r="T18">
            <v>0.74820679582493232</v>
          </cell>
          <cell r="U18">
            <v>0.61800388601095835</v>
          </cell>
          <cell r="V18">
            <v>0.36203555181215297</v>
          </cell>
          <cell r="W18">
            <v>0.659204125868316</v>
          </cell>
          <cell r="X18">
            <v>0.38617124401277941</v>
          </cell>
          <cell r="Y18">
            <v>0</v>
          </cell>
          <cell r="Z18">
            <v>0</v>
          </cell>
        </row>
        <row r="19">
          <cell r="C19">
            <v>4.352352529</v>
          </cell>
          <cell r="D19">
            <v>2.8823529000000001E-2</v>
          </cell>
          <cell r="E19">
            <v>4.3235289999999997</v>
          </cell>
          <cell r="F19">
            <v>4.5</v>
          </cell>
          <cell r="G19">
            <v>13.1</v>
          </cell>
          <cell r="H19">
            <v>1.1000000000000001</v>
          </cell>
          <cell r="I19">
            <v>12</v>
          </cell>
          <cell r="J19">
            <v>0</v>
          </cell>
          <cell r="K19">
            <v>1.7085190625524533</v>
          </cell>
          <cell r="M19">
            <v>1.1314696688378813E-2</v>
          </cell>
          <cell r="N19">
            <v>1.1351317663970748E-2</v>
          </cell>
          <cell r="O19">
            <v>1.6972043658640745</v>
          </cell>
          <cell r="P19">
            <v>1.7026975117581813</v>
          </cell>
          <cell r="Q19">
            <v>1.7664781816863806</v>
          </cell>
          <cell r="R19">
            <v>1.7721955381614918</v>
          </cell>
          <cell r="S19">
            <v>5.1424142622425748</v>
          </cell>
          <cell r="T19">
            <v>5.1590581222034544</v>
          </cell>
          <cell r="U19">
            <v>0.43180577774555973</v>
          </cell>
          <cell r="V19">
            <v>0.43320335377280911</v>
          </cell>
          <cell r="W19">
            <v>4.7106084844970146</v>
          </cell>
          <cell r="X19">
            <v>4.7258547684306453</v>
          </cell>
          <cell r="Y19">
            <v>0</v>
          </cell>
          <cell r="Z19">
            <v>0</v>
          </cell>
        </row>
        <row r="20">
          <cell r="C20">
            <v>6.3664610000000001</v>
          </cell>
          <cell r="D20">
            <v>5.4100000000000003E-4</v>
          </cell>
          <cell r="E20">
            <v>6.36592</v>
          </cell>
          <cell r="F20">
            <v>0</v>
          </cell>
          <cell r="G20">
            <v>2.2164000000000001</v>
          </cell>
          <cell r="H20">
            <v>1.1082000000000001</v>
          </cell>
          <cell r="I20">
            <v>1.1082000000000001</v>
          </cell>
          <cell r="J20">
            <v>0</v>
          </cell>
          <cell r="K20">
            <v>3.1222987126848292</v>
          </cell>
          <cell r="M20">
            <v>2.6532222589009696E-4</v>
          </cell>
          <cell r="N20">
            <v>1.7940952541769769E-4</v>
          </cell>
          <cell r="O20">
            <v>3.122033390458939</v>
          </cell>
          <cell r="P20">
            <v>2.1111029316950649</v>
          </cell>
          <cell r="Q20">
            <v>0</v>
          </cell>
          <cell r="R20">
            <v>0</v>
          </cell>
          <cell r="S20">
            <v>1.0869873964192438</v>
          </cell>
          <cell r="T20">
            <v>0.73501529045431646</v>
          </cell>
          <cell r="U20">
            <v>0.5434936982096219</v>
          </cell>
          <cell r="V20">
            <v>0.36750764522715823</v>
          </cell>
          <cell r="W20">
            <v>0.5434936982096219</v>
          </cell>
          <cell r="X20">
            <v>0.36750764522715823</v>
          </cell>
          <cell r="Y20">
            <v>0</v>
          </cell>
          <cell r="Z20">
            <v>0</v>
          </cell>
        </row>
        <row r="21">
          <cell r="C21">
            <v>0.88253820443329634</v>
          </cell>
          <cell r="D21">
            <v>2.1328006607137996E-2</v>
          </cell>
          <cell r="E21">
            <v>0.86121019782615837</v>
          </cell>
          <cell r="F21">
            <v>0</v>
          </cell>
          <cell r="G21">
            <v>0.91931062961801713</v>
          </cell>
          <cell r="H21">
            <v>0</v>
          </cell>
          <cell r="I21">
            <v>0.91931062961801713</v>
          </cell>
          <cell r="J21">
            <v>0</v>
          </cell>
          <cell r="K21">
            <v>4.2572996227017779</v>
          </cell>
          <cell r="M21">
            <v>0.10288474088195963</v>
          </cell>
          <cell r="N21">
            <v>0.11184564931503611</v>
          </cell>
          <cell r="O21">
            <v>4.1544148818198181</v>
          </cell>
          <cell r="P21">
            <v>4.5162501844105956</v>
          </cell>
          <cell r="Q21">
            <v>0</v>
          </cell>
          <cell r="R21">
            <v>0</v>
          </cell>
          <cell r="S21">
            <v>4.434687106981019</v>
          </cell>
          <cell r="T21">
            <v>4.8209331601308669</v>
          </cell>
          <cell r="U21">
            <v>0</v>
          </cell>
          <cell r="V21">
            <v>0</v>
          </cell>
          <cell r="W21">
            <v>4.434687106981019</v>
          </cell>
          <cell r="X21">
            <v>4.8209331601308669</v>
          </cell>
          <cell r="Y21">
            <v>0</v>
          </cell>
          <cell r="Z21">
            <v>0</v>
          </cell>
        </row>
        <row r="22">
          <cell r="C22">
            <v>23.434808652685703</v>
          </cell>
          <cell r="D22">
            <v>2.2863227953839709</v>
          </cell>
          <cell r="E22">
            <v>21.148485857301733</v>
          </cell>
          <cell r="F22">
            <v>2.8579034942299635</v>
          </cell>
          <cell r="G22">
            <v>6.8589683861519131</v>
          </cell>
          <cell r="H22">
            <v>4.5726455907679417</v>
          </cell>
          <cell r="I22">
            <v>2.2863227953839709</v>
          </cell>
          <cell r="J22">
            <v>0</v>
          </cell>
          <cell r="K22">
            <v>6.308725700048833</v>
          </cell>
          <cell r="M22">
            <v>0.61548543415110557</v>
          </cell>
          <cell r="N22">
            <v>0.54711015942821217</v>
          </cell>
          <cell r="O22">
            <v>5.6932402658977272</v>
          </cell>
          <cell r="P22">
            <v>5.060768974710963</v>
          </cell>
          <cell r="Q22">
            <v>0.76935679268888202</v>
          </cell>
          <cell r="R22">
            <v>0.68388769928526516</v>
          </cell>
          <cell r="S22">
            <v>1.8464563024533167</v>
          </cell>
          <cell r="T22">
            <v>1.6413304782846365</v>
          </cell>
          <cell r="U22">
            <v>1.2309708683022111</v>
          </cell>
          <cell r="V22">
            <v>1.0942203188564243</v>
          </cell>
          <cell r="W22">
            <v>0.61548543415110557</v>
          </cell>
          <cell r="X22">
            <v>0.54711015942821217</v>
          </cell>
          <cell r="Y22">
            <v>0</v>
          </cell>
          <cell r="Z22">
            <v>0</v>
          </cell>
        </row>
        <row r="23">
          <cell r="C23">
            <v>25.918306382883841</v>
          </cell>
          <cell r="D23">
            <v>4.0163261841927023</v>
          </cell>
          <cell r="E23">
            <v>21.901980198691138</v>
          </cell>
          <cell r="F23">
            <v>2.0803991745458603</v>
          </cell>
          <cell r="G23">
            <v>11.153251130204193</v>
          </cell>
          <cell r="H23">
            <v>0.9535162883335192</v>
          </cell>
          <cell r="I23">
            <v>10.199734841870674</v>
          </cell>
          <cell r="J23">
            <v>0</v>
          </cell>
          <cell r="K23">
            <v>7.2304547534162724</v>
          </cell>
          <cell r="M23">
            <v>1.1204383620121092</v>
          </cell>
          <cell r="N23">
            <v>1.1730037337064394</v>
          </cell>
          <cell r="O23">
            <v>6.1100163914041632</v>
          </cell>
          <cell r="P23">
            <v>6.3966678428020227</v>
          </cell>
          <cell r="Q23">
            <v>0.5803709501069918</v>
          </cell>
          <cell r="R23">
            <v>0.60759905630837163</v>
          </cell>
          <cell r="S23">
            <v>3.1114331491847054</v>
          </cell>
          <cell r="T23">
            <v>3.257406051875436</v>
          </cell>
          <cell r="U23">
            <v>0.2660033521323712</v>
          </cell>
          <cell r="V23">
            <v>0.27848290080800364</v>
          </cell>
          <cell r="W23">
            <v>2.8454297970523341</v>
          </cell>
          <cell r="X23">
            <v>2.9789231510674323</v>
          </cell>
          <cell r="Y23">
            <v>0</v>
          </cell>
          <cell r="Z23">
            <v>0</v>
          </cell>
        </row>
        <row r="24">
          <cell r="C24">
            <v>2.6412118346100706</v>
          </cell>
          <cell r="D24">
            <v>0.2311060355223796</v>
          </cell>
          <cell r="E24">
            <v>2.4101057990876908</v>
          </cell>
          <cell r="F24">
            <v>0</v>
          </cell>
          <cell r="G24">
            <v>1.0485610983298868</v>
          </cell>
          <cell r="H24">
            <v>0.2311060355223796</v>
          </cell>
          <cell r="I24">
            <v>0.81745506280750724</v>
          </cell>
          <cell r="J24">
            <v>0</v>
          </cell>
          <cell r="K24">
            <v>8.7573111594010662</v>
          </cell>
          <cell r="M24">
            <v>0.76626472642769428</v>
          </cell>
          <cell r="N24">
            <v>0.41698887873437651</v>
          </cell>
          <cell r="O24">
            <v>7.9910464329733726</v>
          </cell>
          <cell r="P24">
            <v>4.348598306925112</v>
          </cell>
          <cell r="Q24">
            <v>0</v>
          </cell>
          <cell r="R24">
            <v>0</v>
          </cell>
          <cell r="S24">
            <v>3.4766525302480353</v>
          </cell>
          <cell r="T24">
            <v>1.8919381126882124</v>
          </cell>
          <cell r="U24">
            <v>0.76626472642769428</v>
          </cell>
          <cell r="V24">
            <v>0.41698887873437651</v>
          </cell>
          <cell r="W24">
            <v>2.7103878038203408</v>
          </cell>
          <cell r="X24">
            <v>1.4749492339538359</v>
          </cell>
          <cell r="Y24">
            <v>0</v>
          </cell>
          <cell r="Z24">
            <v>0</v>
          </cell>
        </row>
        <row r="25">
          <cell r="C25">
            <v>2.5949763727608071</v>
          </cell>
          <cell r="D25">
            <v>0.57158069884599272</v>
          </cell>
          <cell r="E25">
            <v>2.0233956739148145</v>
          </cell>
          <cell r="F25">
            <v>2.503523460945448</v>
          </cell>
          <cell r="G25">
            <v>1.9662376040302147</v>
          </cell>
          <cell r="H25">
            <v>0.36581164726143534</v>
          </cell>
          <cell r="I25">
            <v>1.6004259567687795</v>
          </cell>
          <cell r="J25">
            <v>0</v>
          </cell>
          <cell r="K25">
            <v>5.3818960772623692</v>
          </cell>
          <cell r="M25">
            <v>1.1854396645952354</v>
          </cell>
          <cell r="N25">
            <v>0.5884329880166066</v>
          </cell>
          <cell r="O25">
            <v>4.1964564126671338</v>
          </cell>
          <cell r="P25">
            <v>2.0830527775787875</v>
          </cell>
          <cell r="Q25">
            <v>5.19222573092713</v>
          </cell>
          <cell r="R25">
            <v>2.5773364875127363</v>
          </cell>
          <cell r="S25">
            <v>4.0779124462076091</v>
          </cell>
          <cell r="T25">
            <v>2.0242094787771263</v>
          </cell>
          <cell r="U25">
            <v>0.75868138534095053</v>
          </cell>
          <cell r="V25">
            <v>0.3765971123306282</v>
          </cell>
          <cell r="W25">
            <v>3.3192310608666586</v>
          </cell>
          <cell r="X25">
            <v>1.6476123664464981</v>
          </cell>
          <cell r="Y25">
            <v>0</v>
          </cell>
          <cell r="Z25">
            <v>0</v>
          </cell>
        </row>
        <row r="26">
          <cell r="C26">
            <v>3.5438003328451551</v>
          </cell>
          <cell r="D26">
            <v>0.2286322795383971</v>
          </cell>
          <cell r="E26">
            <v>3.315168053306758</v>
          </cell>
          <cell r="F26">
            <v>5.2145883075488326</v>
          </cell>
          <cell r="G26">
            <v>2.8579034942299635</v>
          </cell>
          <cell r="H26">
            <v>0</v>
          </cell>
          <cell r="I26">
            <v>2.8579034942299635</v>
          </cell>
          <cell r="J26">
            <v>1.2574775374611842</v>
          </cell>
          <cell r="K26">
            <v>5.3244195640159759</v>
          </cell>
          <cell r="M26">
            <v>0.34351093961393397</v>
          </cell>
          <cell r="N26">
            <v>0.34461904039089231</v>
          </cell>
          <cell r="O26">
            <v>4.9809086244020424</v>
          </cell>
          <cell r="P26">
            <v>4.9969760856679386</v>
          </cell>
          <cell r="Q26">
            <v>7.8347122849077095</v>
          </cell>
          <cell r="R26">
            <v>7.8599855725063756</v>
          </cell>
          <cell r="S26">
            <v>4.2938867451741736</v>
          </cell>
          <cell r="T26">
            <v>4.3077380048861542</v>
          </cell>
          <cell r="U26">
            <v>0</v>
          </cell>
          <cell r="V26">
            <v>0</v>
          </cell>
          <cell r="W26">
            <v>4.2938867451741736</v>
          </cell>
          <cell r="X26">
            <v>4.3077380048861542</v>
          </cell>
          <cell r="Y26">
            <v>1.8893101678766371</v>
          </cell>
          <cell r="Z26">
            <v>1.8954047221499077</v>
          </cell>
        </row>
        <row r="27">
          <cell r="C27">
            <v>22</v>
          </cell>
          <cell r="D27">
            <v>0</v>
          </cell>
          <cell r="E27">
            <v>22</v>
          </cell>
          <cell r="F27">
            <v>45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2.6182670370692831</v>
          </cell>
          <cell r="M27">
            <v>0</v>
          </cell>
          <cell r="N27">
            <v>0</v>
          </cell>
          <cell r="O27">
            <v>2.6182670370692831</v>
          </cell>
          <cell r="P27">
            <v>2.3594000418604768</v>
          </cell>
          <cell r="Q27">
            <v>5.3555462121871695</v>
          </cell>
          <cell r="R27">
            <v>4.826045540169158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</row>
        <row r="28">
          <cell r="C28">
            <v>11.088515533797038</v>
          </cell>
          <cell r="D28">
            <v>0.31570903379703813</v>
          </cell>
          <cell r="E28">
            <v>10.7728065</v>
          </cell>
          <cell r="F28">
            <v>0</v>
          </cell>
          <cell r="G28">
            <v>6.6522016324629796</v>
          </cell>
          <cell r="H28">
            <v>2.7058387100000001</v>
          </cell>
          <cell r="I28">
            <v>3.9463629224629799</v>
          </cell>
          <cell r="J28"/>
          <cell r="K28">
            <v>5.4639624481968951</v>
          </cell>
          <cell r="M28">
            <v>0.15556837161527984</v>
          </cell>
          <cell r="N28">
            <v>0.16275859192999773</v>
          </cell>
          <cell r="O28">
            <v>5.3083940765816156</v>
          </cell>
          <cell r="P28">
            <v>5.5537429385106707</v>
          </cell>
          <cell r="Q28">
            <v>0</v>
          </cell>
          <cell r="R28">
            <v>0</v>
          </cell>
          <cell r="S28">
            <v>3.2779301978544808</v>
          </cell>
          <cell r="T28">
            <v>3.4294329747629302</v>
          </cell>
          <cell r="U28">
            <v>1.3333255526634809</v>
          </cell>
          <cell r="V28">
            <v>1.3949505756379568</v>
          </cell>
          <cell r="W28">
            <v>1.9446046451909997</v>
          </cell>
          <cell r="X28">
            <v>2.0344823991249732</v>
          </cell>
          <cell r="Y28">
            <v>0</v>
          </cell>
          <cell r="Z28">
            <v>0</v>
          </cell>
        </row>
        <row r="29">
          <cell r="C29">
            <v>8.1</v>
          </cell>
          <cell r="D29">
            <v>0</v>
          </cell>
          <cell r="E29">
            <v>8.1</v>
          </cell>
          <cell r="F29">
            <v>0</v>
          </cell>
          <cell r="G29">
            <v>10.6</v>
          </cell>
          <cell r="H29">
            <v>5.3</v>
          </cell>
          <cell r="I29">
            <v>5.3</v>
          </cell>
          <cell r="J29">
            <v>0</v>
          </cell>
          <cell r="K29">
            <v>1.9744090578931335</v>
          </cell>
          <cell r="M29">
            <v>0</v>
          </cell>
          <cell r="N29">
            <v>0</v>
          </cell>
          <cell r="O29">
            <v>1.9744090578931335</v>
          </cell>
          <cell r="P29">
            <v>2.4511712488266704</v>
          </cell>
          <cell r="Q29">
            <v>0</v>
          </cell>
          <cell r="R29">
            <v>0</v>
          </cell>
          <cell r="S29">
            <v>2.5837945695885449</v>
          </cell>
          <cell r="T29">
            <v>3.2077055848842844</v>
          </cell>
          <cell r="U29">
            <v>1.2918972847942725</v>
          </cell>
          <cell r="V29">
            <v>1.6038527924421422</v>
          </cell>
          <cell r="W29">
            <v>1.2918972847942725</v>
          </cell>
          <cell r="X29">
            <v>1.6038527924421422</v>
          </cell>
          <cell r="Y29">
            <v>0</v>
          </cell>
          <cell r="Z29">
            <v>0</v>
          </cell>
        </row>
        <row r="30">
          <cell r="C30">
            <v>7.2019168054595077</v>
          </cell>
          <cell r="D30">
            <v>1.8290582363071768</v>
          </cell>
          <cell r="E30">
            <v>5.3728585691523305</v>
          </cell>
          <cell r="F30">
            <v>9.0309750417666859</v>
          </cell>
          <cell r="G30">
            <v>14.861098169995811</v>
          </cell>
          <cell r="H30">
            <v>0</v>
          </cell>
          <cell r="I30">
            <v>14.861098169995811</v>
          </cell>
          <cell r="J30">
            <v>0</v>
          </cell>
          <cell r="K30">
            <v>3.2388197867879107</v>
          </cell>
          <cell r="M30">
            <v>0.82255740616835848</v>
          </cell>
          <cell r="N30">
            <v>0.53604128603875123</v>
          </cell>
          <cell r="O30">
            <v>2.4162623806195525</v>
          </cell>
          <cell r="P30">
            <v>1.5746212777388313</v>
          </cell>
          <cell r="Q30">
            <v>4.0613771929562708</v>
          </cell>
          <cell r="R30">
            <v>2.6467038498163342</v>
          </cell>
          <cell r="S30">
            <v>6.6832789251179126</v>
          </cell>
          <cell r="T30">
            <v>4.3553354490648539</v>
          </cell>
          <cell r="U30">
            <v>0</v>
          </cell>
          <cell r="V30">
            <v>0</v>
          </cell>
          <cell r="W30">
            <v>6.6832789251179126</v>
          </cell>
          <cell r="X30">
            <v>4.3553354490648539</v>
          </cell>
          <cell r="Y30">
            <v>0</v>
          </cell>
          <cell r="Z30">
            <v>0</v>
          </cell>
        </row>
        <row r="31">
          <cell r="C31">
            <v>2.5149550749223684</v>
          </cell>
          <cell r="D31">
            <v>0.18290582363071767</v>
          </cell>
          <cell r="E31">
            <v>2.3320492512916506</v>
          </cell>
          <cell r="F31">
            <v>1.4060885191611421</v>
          </cell>
          <cell r="G31">
            <v>4.5840772047448617</v>
          </cell>
          <cell r="H31">
            <v>0</v>
          </cell>
          <cell r="I31">
            <v>4.5840772047448617</v>
          </cell>
          <cell r="J31">
            <v>0</v>
          </cell>
          <cell r="K31">
            <v>2.52787094908023</v>
          </cell>
          <cell r="M31">
            <v>0.18384515993310763</v>
          </cell>
          <cell r="N31">
            <v>0.10065712862467636</v>
          </cell>
          <cell r="O31">
            <v>2.3440257891471226</v>
          </cell>
          <cell r="P31">
            <v>1.2833783899646238</v>
          </cell>
          <cell r="Q31">
            <v>1.4133096669857648</v>
          </cell>
          <cell r="R31">
            <v>0.77380167630219954</v>
          </cell>
          <cell r="S31">
            <v>4.6076193208235097</v>
          </cell>
          <cell r="T31">
            <v>2.5227192861559513</v>
          </cell>
          <cell r="U31">
            <v>0</v>
          </cell>
          <cell r="V31">
            <v>0</v>
          </cell>
          <cell r="W31">
            <v>4.6076193208235097</v>
          </cell>
          <cell r="X31">
            <v>2.5227192861559513</v>
          </cell>
          <cell r="Y31">
            <v>0</v>
          </cell>
          <cell r="Z31">
            <v>0</v>
          </cell>
        </row>
        <row r="32">
          <cell r="C32">
            <v>4.1153810316911672</v>
          </cell>
          <cell r="D32">
            <v>0.11431613976919908</v>
          </cell>
          <cell r="E32">
            <v>4.0010648919219678</v>
          </cell>
          <cell r="F32">
            <v>0</v>
          </cell>
          <cell r="G32">
            <v>3.3151680533067727</v>
          </cell>
          <cell r="H32">
            <v>0.68589683861519435</v>
          </cell>
          <cell r="I32">
            <v>2.6292712146915784</v>
          </cell>
          <cell r="J32">
            <v>0.11431613976919908</v>
          </cell>
          <cell r="K32">
            <v>8.1625269737342627</v>
          </cell>
          <cell r="M32">
            <v>0.22673686038150731</v>
          </cell>
          <cell r="N32">
            <v>0.1503420563721469</v>
          </cell>
          <cell r="O32">
            <v>7.9357901133527555</v>
          </cell>
          <cell r="P32">
            <v>5.2619719730251413</v>
          </cell>
          <cell r="Q32">
            <v>0</v>
          </cell>
          <cell r="R32">
            <v>0</v>
          </cell>
          <cell r="S32">
            <v>6.5753689510637106</v>
          </cell>
          <cell r="T32">
            <v>4.3599196347922593</v>
          </cell>
          <cell r="U32">
            <v>1.3604211622890434</v>
          </cell>
          <cell r="V32">
            <v>0.90205233823288122</v>
          </cell>
          <cell r="W32">
            <v>5.2149477887746674</v>
          </cell>
          <cell r="X32">
            <v>3.4578672965593782</v>
          </cell>
          <cell r="Y32">
            <v>0.22673686038150731</v>
          </cell>
          <cell r="Z32">
            <v>0.1503420563721469</v>
          </cell>
        </row>
        <row r="33">
          <cell r="C33">
            <v>11</v>
          </cell>
          <cell r="D33">
            <v>0</v>
          </cell>
          <cell r="E33">
            <v>11</v>
          </cell>
          <cell r="F33">
            <v>0</v>
          </cell>
          <cell r="G33">
            <v>25</v>
          </cell>
          <cell r="H33">
            <v>0</v>
          </cell>
          <cell r="I33">
            <v>25</v>
          </cell>
          <cell r="J33">
            <v>0</v>
          </cell>
          <cell r="K33">
            <v>2.0006500950731745</v>
          </cell>
          <cell r="M33">
            <v>0</v>
          </cell>
          <cell r="N33">
            <v>0</v>
          </cell>
          <cell r="O33">
            <v>2.0006500950731745</v>
          </cell>
          <cell r="P33">
            <v>2.111306177863205</v>
          </cell>
          <cell r="Q33">
            <v>0</v>
          </cell>
          <cell r="R33">
            <v>0</v>
          </cell>
          <cell r="S33">
            <v>4.5469320342572148</v>
          </cell>
          <cell r="T33">
            <v>4.7984231315072847</v>
          </cell>
          <cell r="U33">
            <v>0</v>
          </cell>
          <cell r="V33">
            <v>0</v>
          </cell>
          <cell r="W33">
            <v>4.5469320342572148</v>
          </cell>
          <cell r="X33">
            <v>4.7984231315072847</v>
          </cell>
          <cell r="Y33">
            <v>0</v>
          </cell>
          <cell r="Z33">
            <v>0</v>
          </cell>
        </row>
        <row r="34">
          <cell r="C34">
            <v>1.6825977000000001</v>
          </cell>
          <cell r="D34">
            <v>0</v>
          </cell>
          <cell r="E34">
            <v>1.6825977000000001</v>
          </cell>
          <cell r="F34">
            <v>0</v>
          </cell>
          <cell r="G34">
            <v>0.21161296000000002</v>
          </cell>
          <cell r="H34">
            <v>0.10838709000000001</v>
          </cell>
          <cell r="I34">
            <v>0.10322587</v>
          </cell>
          <cell r="J34">
            <v>0</v>
          </cell>
          <cell r="K34">
            <v>0.22521425078179022</v>
          </cell>
          <cell r="M34">
            <v>0</v>
          </cell>
          <cell r="N34">
            <v>0</v>
          </cell>
          <cell r="O34">
            <v>0.22521425078179022</v>
          </cell>
          <cell r="P34">
            <v>0.28479302795803385</v>
          </cell>
          <cell r="Q34">
            <v>0</v>
          </cell>
          <cell r="R34">
            <v>0</v>
          </cell>
          <cell r="S34">
            <v>2.8324212164391373E-2</v>
          </cell>
          <cell r="T34">
            <v>3.5817174618485631E-2</v>
          </cell>
          <cell r="U34">
            <v>1.4507518504731386E-2</v>
          </cell>
          <cell r="V34">
            <v>1.8345376053146827E-2</v>
          </cell>
          <cell r="W34">
            <v>1.3816693659659988E-2</v>
          </cell>
          <cell r="X34">
            <v>1.74717985653388E-2</v>
          </cell>
          <cell r="Y34">
            <v>0</v>
          </cell>
          <cell r="Z34">
            <v>0</v>
          </cell>
        </row>
        <row r="35">
          <cell r="C35">
            <v>4.5999999999999996</v>
          </cell>
          <cell r="D35">
            <v>1</v>
          </cell>
          <cell r="E35">
            <v>3.6</v>
          </cell>
          <cell r="F35">
            <v>4.7152702260000003</v>
          </cell>
          <cell r="G35">
            <v>2.4</v>
          </cell>
          <cell r="H35">
            <v>2.4</v>
          </cell>
          <cell r="I35">
            <v>0</v>
          </cell>
          <cell r="J35">
            <v>0</v>
          </cell>
          <cell r="K35">
            <v>1.7559969186421984</v>
          </cell>
          <cell r="M35">
            <v>0.38173846057439093</v>
          </cell>
          <cell r="N35">
            <v>0.2266090321035398</v>
          </cell>
          <cell r="O35">
            <v>1.3742584580678074</v>
          </cell>
          <cell r="P35">
            <v>0.81579251557274324</v>
          </cell>
          <cell r="Q35">
            <v>1.7999999972655005</v>
          </cell>
          <cell r="R35">
            <v>1.0685228220204994</v>
          </cell>
          <cell r="S35">
            <v>0.91617230537853822</v>
          </cell>
          <cell r="T35">
            <v>0.54386167704849553</v>
          </cell>
          <cell r="U35">
            <v>0.91617230537853822</v>
          </cell>
          <cell r="V35">
            <v>0.54386167704849553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0.1</v>
          </cell>
          <cell r="H36">
            <v>0.1</v>
          </cell>
          <cell r="I36">
            <v>0</v>
          </cell>
          <cell r="J36">
            <v>0</v>
          </cell>
          <cell r="K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3.111333402933561E-2</v>
          </cell>
          <cell r="T36">
            <v>1.4482906740415585E-2</v>
          </cell>
          <cell r="U36">
            <v>3.111333402933561E-2</v>
          </cell>
          <cell r="V36">
            <v>1.4482906740415585E-2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</row>
        <row r="37">
          <cell r="C37">
            <v>0.71743400000000002</v>
          </cell>
          <cell r="D37">
            <v>0.17</v>
          </cell>
          <cell r="E37">
            <v>0.54743399999999998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1.1143308580281421</v>
          </cell>
          <cell r="M37">
            <v>0.26404693095780818</v>
          </cell>
          <cell r="N37">
            <v>0.18633508802194609</v>
          </cell>
          <cell r="O37">
            <v>0.85028392707033384</v>
          </cell>
          <cell r="P37">
            <v>0.6000362504482708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</row>
        <row r="38">
          <cell r="C38">
            <v>4.4197489986439065</v>
          </cell>
          <cell r="D38">
            <v>0</v>
          </cell>
          <cell r="E38">
            <v>4.4197489986439065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2.998798899106466</v>
          </cell>
          <cell r="M38">
            <v>0</v>
          </cell>
          <cell r="N38">
            <v>0</v>
          </cell>
          <cell r="O38">
            <v>2.998798899106466</v>
          </cell>
          <cell r="P38">
            <v>1.4262400226188992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</row>
        <row r="39">
          <cell r="C39">
            <v>17</v>
          </cell>
          <cell r="D39">
            <v>8</v>
          </cell>
          <cell r="E39">
            <v>9</v>
          </cell>
          <cell r="F39">
            <v>0</v>
          </cell>
          <cell r="G39">
            <v>17</v>
          </cell>
          <cell r="H39">
            <v>0</v>
          </cell>
          <cell r="I39">
            <v>17</v>
          </cell>
          <cell r="J39">
            <v>0</v>
          </cell>
          <cell r="K39">
            <v>2.9746119470950942</v>
          </cell>
          <cell r="M39">
            <v>1.3998173868682795</v>
          </cell>
          <cell r="N39">
            <v>0.65820713136940245</v>
          </cell>
          <cell r="O39">
            <v>1.5747945602268145</v>
          </cell>
          <cell r="P39">
            <v>0.74048302279057776</v>
          </cell>
          <cell r="Q39">
            <v>0</v>
          </cell>
          <cell r="R39">
            <v>0</v>
          </cell>
          <cell r="S39">
            <v>2.9746119470950938</v>
          </cell>
          <cell r="T39">
            <v>1.3986901541599803</v>
          </cell>
          <cell r="U39">
            <v>0</v>
          </cell>
          <cell r="V39">
            <v>0</v>
          </cell>
          <cell r="W39">
            <v>2.9746119470950938</v>
          </cell>
          <cell r="X39">
            <v>1.3986901541599803</v>
          </cell>
          <cell r="Y39">
            <v>0</v>
          </cell>
          <cell r="Z39">
            <v>0</v>
          </cell>
        </row>
        <row r="40">
          <cell r="C40">
            <v>110.3718152195127</v>
          </cell>
          <cell r="D40">
            <v>3.2712452643601866</v>
          </cell>
          <cell r="E40">
            <v>107.10056995515251</v>
          </cell>
          <cell r="F40">
            <v>0</v>
          </cell>
          <cell r="G40">
            <v>22.898716850521307</v>
          </cell>
          <cell r="H40">
            <v>9.8137357930805607</v>
          </cell>
          <cell r="I40">
            <v>13.084981057440746</v>
          </cell>
          <cell r="J40">
            <v>0</v>
          </cell>
          <cell r="K40">
            <v>7.3838494653457909</v>
          </cell>
          <cell r="M40">
            <v>0.21884556803040281</v>
          </cell>
          <cell r="N40">
            <v>0.2667104235556958</v>
          </cell>
          <cell r="O40">
            <v>7.1650038973153878</v>
          </cell>
          <cell r="P40">
            <v>8.7320992672134814</v>
          </cell>
          <cell r="Q40">
            <v>0</v>
          </cell>
          <cell r="R40">
            <v>0</v>
          </cell>
          <cell r="S40">
            <v>1.5319189762128198</v>
          </cell>
          <cell r="T40">
            <v>1.8669729648898707</v>
          </cell>
          <cell r="U40">
            <v>0.65653670409120857</v>
          </cell>
          <cell r="V40">
            <v>0.80013127066708745</v>
          </cell>
          <cell r="W40">
            <v>0.87538227212161124</v>
          </cell>
          <cell r="X40">
            <v>1.0668416942227832</v>
          </cell>
          <cell r="Y40">
            <v>0</v>
          </cell>
          <cell r="Z40">
            <v>0</v>
          </cell>
        </row>
        <row r="41">
          <cell r="C41">
            <v>86.382126693131028</v>
          </cell>
          <cell r="D41">
            <v>2.8794042231043675</v>
          </cell>
          <cell r="E41">
            <v>83.502722470026654</v>
          </cell>
          <cell r="F41">
            <v>61.187339740967808</v>
          </cell>
          <cell r="G41">
            <v>50.389573904326426</v>
          </cell>
          <cell r="H41">
            <v>3.599255278880459</v>
          </cell>
          <cell r="I41">
            <v>46.79031862544597</v>
          </cell>
          <cell r="J41">
            <v>0</v>
          </cell>
          <cell r="K41">
            <v>5.0914692644726438</v>
          </cell>
          <cell r="M41">
            <v>0.16971564214908816</v>
          </cell>
          <cell r="N41">
            <v>0.16706840826458044</v>
          </cell>
          <cell r="O41">
            <v>4.9217536223235561</v>
          </cell>
          <cell r="P41">
            <v>4.8449838396728326</v>
          </cell>
          <cell r="Q41">
            <v>3.606457395668123</v>
          </cell>
          <cell r="R41">
            <v>3.5502036756223343</v>
          </cell>
          <cell r="S41">
            <v>2.9700237376090426</v>
          </cell>
          <cell r="T41">
            <v>2.9236971446301574</v>
          </cell>
          <cell r="U41">
            <v>0.21214455268636018</v>
          </cell>
          <cell r="V41">
            <v>0.2088355103307255</v>
          </cell>
          <cell r="W41">
            <v>2.7578791849226825</v>
          </cell>
          <cell r="X41">
            <v>2.7148616342994321</v>
          </cell>
          <cell r="Y41">
            <v>0</v>
          </cell>
          <cell r="Z41">
            <v>0</v>
          </cell>
        </row>
        <row r="42">
          <cell r="C42">
            <v>62.619277635451212</v>
          </cell>
          <cell r="D42">
            <v>8.7426565634137816</v>
          </cell>
          <cell r="E42">
            <v>53.87662107203743</v>
          </cell>
          <cell r="F42">
            <v>60.652179908683117</v>
          </cell>
          <cell r="G42">
            <v>380.30556050849952</v>
          </cell>
          <cell r="H42">
            <v>22.949473478961178</v>
          </cell>
          <cell r="I42">
            <v>357.35608702953834</v>
          </cell>
          <cell r="J42">
            <v>0</v>
          </cell>
          <cell r="K42">
            <v>2.3929600602723173</v>
          </cell>
          <cell r="M42">
            <v>0.33409564541323794</v>
          </cell>
          <cell r="N42">
            <v>0.30073564327713381</v>
          </cell>
          <cell r="O42">
            <v>2.0588644148590793</v>
          </cell>
          <cell r="P42">
            <v>1.853283401695337</v>
          </cell>
          <cell r="Q42">
            <v>2.3177885400543388</v>
          </cell>
          <cell r="R42">
            <v>2.0863535252351162</v>
          </cell>
          <cell r="S42">
            <v>14.533160575475851</v>
          </cell>
          <cell r="T42">
            <v>13.082000482555321</v>
          </cell>
          <cell r="U42">
            <v>0.87700106920974974</v>
          </cell>
          <cell r="V42">
            <v>0.78943106360247617</v>
          </cell>
          <cell r="W42">
            <v>13.656159506266102</v>
          </cell>
          <cell r="X42">
            <v>12.292569418952844</v>
          </cell>
          <cell r="Y42">
            <v>0</v>
          </cell>
          <cell r="Z42">
            <v>0</v>
          </cell>
        </row>
        <row r="43">
          <cell r="C43">
            <v>314.35497123588817</v>
          </cell>
          <cell r="D43">
            <v>25.135137619814568</v>
          </cell>
          <cell r="E43">
            <v>289.21983361607363</v>
          </cell>
          <cell r="F43">
            <v>0</v>
          </cell>
          <cell r="G43">
            <v>1054.3734000174297</v>
          </cell>
          <cell r="H43">
            <v>113.82634135997297</v>
          </cell>
          <cell r="I43">
            <v>940.54705865745666</v>
          </cell>
          <cell r="J43">
            <v>0</v>
          </cell>
          <cell r="K43">
            <v>8.7385943953128251</v>
          </cell>
          <cell r="M43">
            <v>0.69871894141323621</v>
          </cell>
          <cell r="N43">
            <v>0.60395093301801728</v>
          </cell>
          <cell r="O43">
            <v>8.0398754538995885</v>
          </cell>
          <cell r="P43">
            <v>6.9494184198157605</v>
          </cell>
          <cell r="Q43">
            <v>0</v>
          </cell>
          <cell r="R43">
            <v>0</v>
          </cell>
          <cell r="S43">
            <v>29.309991337930388</v>
          </cell>
          <cell r="T43">
            <v>25.334645400465632</v>
          </cell>
          <cell r="U43">
            <v>3.1642007274026107</v>
          </cell>
          <cell r="V43">
            <v>2.7350367484039335</v>
          </cell>
          <cell r="W43">
            <v>26.145790610527776</v>
          </cell>
          <cell r="X43">
            <v>22.599608652061701</v>
          </cell>
          <cell r="Y43">
            <v>0</v>
          </cell>
          <cell r="Z43">
            <v>0</v>
          </cell>
        </row>
        <row r="44">
          <cell r="C44">
            <v>60.105763873469748</v>
          </cell>
          <cell r="D44">
            <v>7.103408457773698</v>
          </cell>
          <cell r="E44">
            <v>53.002355415696051</v>
          </cell>
          <cell r="F44">
            <v>7.6498244929870598</v>
          </cell>
          <cell r="G44">
            <v>582.80734315857126</v>
          </cell>
          <cell r="H44">
            <v>3.6063458324081847</v>
          </cell>
          <cell r="I44">
            <v>579.20099732616302</v>
          </cell>
          <cell r="J44">
            <v>0</v>
          </cell>
          <cell r="K44">
            <v>3.1335153758391967</v>
          </cell>
          <cell r="M44">
            <v>0.37032454441735962</v>
          </cell>
          <cell r="N44">
            <v>0.30386835627617531</v>
          </cell>
          <cell r="O44">
            <v>2.763190831421837</v>
          </cell>
          <cell r="P44">
            <v>2.2673254275991543</v>
          </cell>
          <cell r="Q44">
            <v>0.39881104783407961</v>
          </cell>
          <cell r="R44">
            <v>0.32724284522049651</v>
          </cell>
          <cell r="S44">
            <v>30.38370454427352</v>
          </cell>
          <cell r="T44">
            <v>24.93122990801297</v>
          </cell>
          <cell r="U44">
            <v>0.18801092255035179</v>
          </cell>
          <cell r="V44">
            <v>0.15427162703251979</v>
          </cell>
          <cell r="W44">
            <v>30.195693621723169</v>
          </cell>
          <cell r="X44">
            <v>24.776958280980448</v>
          </cell>
          <cell r="Y44">
            <v>0</v>
          </cell>
          <cell r="Z44">
            <v>0</v>
          </cell>
        </row>
        <row r="45">
          <cell r="C45">
            <v>551.10682418759711</v>
          </cell>
          <cell r="D45">
            <v>38.427516652536532</v>
          </cell>
          <cell r="E45">
            <v>512.67930753506062</v>
          </cell>
          <cell r="F45">
            <v>243.68669096730486</v>
          </cell>
          <cell r="G45">
            <v>147.1492710841033</v>
          </cell>
          <cell r="H45">
            <v>0</v>
          </cell>
          <cell r="I45">
            <v>147.1492710841033</v>
          </cell>
          <cell r="J45">
            <v>1021.6095890552396</v>
          </cell>
          <cell r="K45">
            <v>12.074204018639987</v>
          </cell>
          <cell r="M45">
            <v>0.84190878361265209</v>
          </cell>
          <cell r="N45">
            <v>0.72166353178401854</v>
          </cell>
          <cell r="O45">
            <v>11.232295235027335</v>
          </cell>
          <cell r="P45">
            <v>9.6280476069721512</v>
          </cell>
          <cell r="Q45">
            <v>5.3389337497387706</v>
          </cell>
          <cell r="R45">
            <v>4.5764028844840201</v>
          </cell>
          <cell r="S45">
            <v>3.2238946104191797</v>
          </cell>
          <cell r="T45">
            <v>2.7634432802461197</v>
          </cell>
          <cell r="U45">
            <v>0</v>
          </cell>
          <cell r="V45">
            <v>0</v>
          </cell>
          <cell r="W45">
            <v>3.2238946104191797</v>
          </cell>
          <cell r="X45">
            <v>2.7634432802461197</v>
          </cell>
          <cell r="Y45">
            <v>22.382453027750998</v>
          </cell>
          <cell r="Z45">
            <v>19.185689015721469</v>
          </cell>
        </row>
        <row r="46">
          <cell r="C46">
            <v>47.759348551253893</v>
          </cell>
          <cell r="D46">
            <v>3.7812909352111514</v>
          </cell>
          <cell r="E46">
            <v>43.97805761604274</v>
          </cell>
          <cell r="F46">
            <v>27.126652361297392</v>
          </cell>
          <cell r="G46">
            <v>28.03087410667397</v>
          </cell>
          <cell r="H46">
            <v>0</v>
          </cell>
          <cell r="I46">
            <v>28.03087410667397</v>
          </cell>
          <cell r="J46">
            <v>120.83690597305201</v>
          </cell>
          <cell r="K46">
            <v>2.9154495727029901</v>
          </cell>
          <cell r="M46">
            <v>0.23082733277854997</v>
          </cell>
          <cell r="N46">
            <v>0.17534067008575929</v>
          </cell>
          <cell r="O46">
            <v>2.6846222399244399</v>
          </cell>
          <cell r="P46">
            <v>2.0392882281713312</v>
          </cell>
          <cell r="Q46">
            <v>1.6559352134113365</v>
          </cell>
          <cell r="R46">
            <v>1.2578787201804471</v>
          </cell>
          <cell r="S46">
            <v>1.7111330538583811</v>
          </cell>
          <cell r="T46">
            <v>1.2998080108531287</v>
          </cell>
          <cell r="U46">
            <v>0</v>
          </cell>
          <cell r="V46">
            <v>0</v>
          </cell>
          <cell r="W46">
            <v>1.7111330538583811</v>
          </cell>
          <cell r="X46">
            <v>1.2998080108531287</v>
          </cell>
          <cell r="Y46">
            <v>7.3764386779232263</v>
          </cell>
          <cell r="Z46">
            <v>5.6032779353492641</v>
          </cell>
        </row>
        <row r="47">
          <cell r="C47">
            <v>39.77908736353271</v>
          </cell>
          <cell r="D47">
            <v>4.6991779028349079</v>
          </cell>
          <cell r="E47">
            <v>35.079909460697799</v>
          </cell>
          <cell r="F47">
            <v>0</v>
          </cell>
          <cell r="G47">
            <v>114.77359536449615</v>
          </cell>
          <cell r="H47">
            <v>0.13551117673291363</v>
          </cell>
          <cell r="I47">
            <v>114.63808418776323</v>
          </cell>
          <cell r="J47">
            <v>10.928320704267227</v>
          </cell>
          <cell r="K47">
            <v>3.0046477679365537</v>
          </cell>
          <cell r="M47">
            <v>0.3549446539045929</v>
          </cell>
          <cell r="N47">
            <v>0.26157002279993885</v>
          </cell>
          <cell r="O47">
            <v>2.6497031140319609</v>
          </cell>
          <cell r="P47">
            <v>1.9526506353204736</v>
          </cell>
          <cell r="Q47">
            <v>0</v>
          </cell>
          <cell r="R47">
            <v>0</v>
          </cell>
          <cell r="S47">
            <v>8.6692342631804564</v>
          </cell>
          <cell r="T47">
            <v>6.3886349010559949</v>
          </cell>
          <cell r="U47">
            <v>1.023561327538826E-2</v>
          </cell>
          <cell r="V47">
            <v>7.5429494946959112E-3</v>
          </cell>
          <cell r="W47">
            <v>8.6589986499050688</v>
          </cell>
          <cell r="X47">
            <v>6.3810919515612987</v>
          </cell>
          <cell r="Y47">
            <v>0.8254526834990531</v>
          </cell>
          <cell r="Z47">
            <v>0.60830237860450886</v>
          </cell>
        </row>
        <row r="48">
          <cell r="C48">
            <v>154.61878438359881</v>
          </cell>
          <cell r="D48">
            <v>8.1966584492510197</v>
          </cell>
          <cell r="E48">
            <v>146.42212593434778</v>
          </cell>
          <cell r="F48">
            <v>0</v>
          </cell>
          <cell r="G48">
            <v>423.49401987796944</v>
          </cell>
          <cell r="H48">
            <v>1.2419179468562151</v>
          </cell>
          <cell r="I48">
            <v>422.2521019311132</v>
          </cell>
          <cell r="J48">
            <v>0</v>
          </cell>
          <cell r="K48">
            <v>4.8970470639269088</v>
          </cell>
          <cell r="M48">
            <v>0.25960249495516136</v>
          </cell>
          <cell r="N48">
            <v>0.27860948144427772</v>
          </cell>
          <cell r="O48">
            <v>4.6374445689717474</v>
          </cell>
          <cell r="P48">
            <v>4.9769784639818715</v>
          </cell>
          <cell r="Q48">
            <v>0</v>
          </cell>
          <cell r="R48">
            <v>0</v>
          </cell>
          <cell r="S48">
            <v>13.41279557268334</v>
          </cell>
          <cell r="T48">
            <v>14.394823207954351</v>
          </cell>
          <cell r="U48">
            <v>3.9333711356842639E-2</v>
          </cell>
          <cell r="V48">
            <v>4.221355779458754E-2</v>
          </cell>
          <cell r="W48">
            <v>13.373461861326497</v>
          </cell>
          <cell r="X48">
            <v>14.352609650159764</v>
          </cell>
          <cell r="Y48">
            <v>0</v>
          </cell>
          <cell r="Z48">
            <v>0</v>
          </cell>
        </row>
        <row r="49">
          <cell r="C49">
            <v>2443</v>
          </cell>
          <cell r="D49">
            <v>304</v>
          </cell>
          <cell r="E49">
            <v>2139</v>
          </cell>
          <cell r="F49">
            <v>0</v>
          </cell>
          <cell r="G49">
            <v>510</v>
          </cell>
          <cell r="H49">
            <v>56</v>
          </cell>
          <cell r="I49">
            <v>454</v>
          </cell>
          <cell r="J49">
            <v>0</v>
          </cell>
          <cell r="K49">
            <v>12.258532994550349</v>
          </cell>
          <cell r="M49">
            <v>1.5254171225310298</v>
          </cell>
          <cell r="N49">
            <v>1.5219622745469061</v>
          </cell>
          <cell r="O49">
            <v>10.733115872019319</v>
          </cell>
          <cell r="P49">
            <v>10.708806925183659</v>
          </cell>
          <cell r="Q49">
            <v>0</v>
          </cell>
          <cell r="R49">
            <v>0</v>
          </cell>
          <cell r="S49">
            <v>2.5590879358250826</v>
          </cell>
          <cell r="T49">
            <v>2.5532919737464543</v>
          </cell>
          <cell r="U49">
            <v>0.28099789099255812</v>
          </cell>
          <cell r="V49">
            <v>0.28036147162706165</v>
          </cell>
          <cell r="W49">
            <v>2.2780900448325245</v>
          </cell>
          <cell r="X49">
            <v>2.2729305021193928</v>
          </cell>
          <cell r="Y49">
            <v>0</v>
          </cell>
          <cell r="Z49">
            <v>0</v>
          </cell>
        </row>
        <row r="50">
          <cell r="C50">
            <v>6.8583816139161318</v>
          </cell>
          <cell r="D50">
            <v>1.8624254212942652</v>
          </cell>
          <cell r="E50">
            <v>4.9959561926218665</v>
          </cell>
          <cell r="F50">
            <v>2.1604134887013475</v>
          </cell>
          <cell r="G50">
            <v>1.7693041502295519</v>
          </cell>
          <cell r="H50">
            <v>1.7693041502295519</v>
          </cell>
          <cell r="I50">
            <v>0</v>
          </cell>
          <cell r="J50">
            <v>3.026441309603181</v>
          </cell>
          <cell r="K50">
            <v>0.53616655599418062</v>
          </cell>
          <cell r="M50">
            <v>0.14559852165490308</v>
          </cell>
          <cell r="N50">
            <v>7.8198378868509763E-2</v>
          </cell>
          <cell r="O50">
            <v>0.39056803433927756</v>
          </cell>
          <cell r="P50">
            <v>0.20976715131477744</v>
          </cell>
          <cell r="Q50">
            <v>0.16889428511968757</v>
          </cell>
          <cell r="R50">
            <v>9.0710119487471319E-2</v>
          </cell>
          <cell r="S50">
            <v>0.13831859557215792</v>
          </cell>
          <cell r="T50">
            <v>7.4288459925084274E-2</v>
          </cell>
          <cell r="U50">
            <v>0.13831859557215792</v>
          </cell>
          <cell r="V50">
            <v>7.4288459925084274E-2</v>
          </cell>
          <cell r="W50">
            <v>0</v>
          </cell>
          <cell r="X50">
            <v>0</v>
          </cell>
          <cell r="Y50">
            <v>0.23659759768921751</v>
          </cell>
          <cell r="Z50">
            <v>0.12707236566132835</v>
          </cell>
        </row>
        <row r="51">
          <cell r="C51">
            <v>1.6541353383458646</v>
          </cell>
          <cell r="D51">
            <v>0</v>
          </cell>
          <cell r="E51">
            <v>1.6541353383458646</v>
          </cell>
          <cell r="F51">
            <v>9.9097744360902258</v>
          </cell>
          <cell r="G51">
            <v>47.819548872180448</v>
          </cell>
          <cell r="H51">
            <v>3.007518796992481</v>
          </cell>
          <cell r="I51">
            <v>44.81203007518797</v>
          </cell>
          <cell r="J51">
            <v>15.473684210526315</v>
          </cell>
          <cell r="K51">
            <v>0.16590235659523436</v>
          </cell>
          <cell r="M51">
            <v>0</v>
          </cell>
          <cell r="N51">
            <v>0</v>
          </cell>
          <cell r="O51">
            <v>0.16590235659523436</v>
          </cell>
          <cell r="P51">
            <v>7.0877842979989017E-2</v>
          </cell>
          <cell r="Q51">
            <v>0.99390593632963131</v>
          </cell>
          <cell r="R51">
            <v>0.42462271385284334</v>
          </cell>
          <cell r="S51">
            <v>4.796086308844048</v>
          </cell>
          <cell r="T51">
            <v>2.0490140061487736</v>
          </cell>
          <cell r="U51">
            <v>0.30164064835497151</v>
          </cell>
          <cell r="V51">
            <v>0.12886880541816187</v>
          </cell>
          <cell r="W51">
            <v>4.4944456604890766</v>
          </cell>
          <cell r="X51">
            <v>1.9201452007306119</v>
          </cell>
          <cell r="Y51">
            <v>1.5519411357863286</v>
          </cell>
          <cell r="Z51">
            <v>0.66303000387644273</v>
          </cell>
        </row>
        <row r="52">
          <cell r="C52">
            <v>40.235288230000002</v>
          </cell>
          <cell r="D52">
            <v>0</v>
          </cell>
          <cell r="E52">
            <v>40.235288230000002</v>
          </cell>
          <cell r="F52">
            <v>0</v>
          </cell>
          <cell r="G52">
            <v>8.4705999999999992</v>
          </cell>
          <cell r="H52">
            <v>0</v>
          </cell>
          <cell r="I52">
            <v>8.4705999999999992</v>
          </cell>
          <cell r="J52">
            <v>0</v>
          </cell>
          <cell r="K52">
            <v>9.7198533460187413</v>
          </cell>
          <cell r="M52">
            <v>0</v>
          </cell>
          <cell r="N52">
            <v>0</v>
          </cell>
          <cell r="O52">
            <v>9.7198533460187413</v>
          </cell>
          <cell r="P52">
            <v>8.5862911243892324</v>
          </cell>
          <cell r="Q52">
            <v>0</v>
          </cell>
          <cell r="R52">
            <v>0</v>
          </cell>
          <cell r="S52">
            <v>2.0462880564478647</v>
          </cell>
          <cell r="T52">
            <v>1.8076430118381042</v>
          </cell>
          <cell r="U52">
            <v>0</v>
          </cell>
          <cell r="V52">
            <v>0</v>
          </cell>
          <cell r="W52">
            <v>2.0462880564478647</v>
          </cell>
          <cell r="X52">
            <v>1.8076430118381042</v>
          </cell>
          <cell r="Y52">
            <v>0</v>
          </cell>
          <cell r="Z52">
            <v>0</v>
          </cell>
        </row>
        <row r="53">
          <cell r="C53">
            <v>15.736781814144809</v>
          </cell>
          <cell r="D53">
            <v>2.2949473478961178</v>
          </cell>
          <cell r="E53">
            <v>13.441834466248691</v>
          </cell>
          <cell r="F53">
            <v>12.021152774693951</v>
          </cell>
          <cell r="G53">
            <v>56.827267662189584</v>
          </cell>
          <cell r="H53">
            <v>0</v>
          </cell>
          <cell r="I53">
            <v>56.827267662189584</v>
          </cell>
          <cell r="J53">
            <v>0</v>
          </cell>
          <cell r="K53">
            <v>3.1781365002569171</v>
          </cell>
          <cell r="M53">
            <v>0.46347823962080037</v>
          </cell>
          <cell r="N53">
            <v>0.41326428257820719</v>
          </cell>
          <cell r="O53">
            <v>2.7146582606361167</v>
          </cell>
          <cell r="P53">
            <v>2.4205479408152137</v>
          </cell>
          <cell r="Q53">
            <v>2.427743159918478</v>
          </cell>
          <cell r="R53">
            <v>2.164717670647752</v>
          </cell>
          <cell r="S53">
            <v>11.476604028705532</v>
          </cell>
          <cell r="T53">
            <v>10.233210806698464</v>
          </cell>
          <cell r="U53">
            <v>0</v>
          </cell>
          <cell r="V53">
            <v>0</v>
          </cell>
          <cell r="W53">
            <v>11.476604028705532</v>
          </cell>
          <cell r="X53">
            <v>10.233210806698464</v>
          </cell>
          <cell r="Y53">
            <v>0</v>
          </cell>
          <cell r="Z53">
            <v>0</v>
          </cell>
        </row>
        <row r="54">
          <cell r="C54">
            <v>10.96052354852486</v>
          </cell>
          <cell r="D54">
            <v>1.9079429880765493</v>
          </cell>
          <cell r="E54">
            <v>9.0525805604483107</v>
          </cell>
          <cell r="F54">
            <v>0</v>
          </cell>
          <cell r="G54">
            <v>20.329741455930552</v>
          </cell>
          <cell r="H54">
            <v>3.2475625328962539E-2</v>
          </cell>
          <cell r="I54">
            <v>20.297265830601589</v>
          </cell>
          <cell r="J54">
            <v>0</v>
          </cell>
          <cell r="K54">
            <v>5.0827795779394958</v>
          </cell>
          <cell r="M54">
            <v>0.88478014875243061</v>
          </cell>
          <cell r="N54">
            <v>0.46832653172249578</v>
          </cell>
          <cell r="O54">
            <v>4.1979994291870648</v>
          </cell>
          <cell r="P54">
            <v>2.2220599271088637</v>
          </cell>
          <cell r="Q54">
            <v>0</v>
          </cell>
          <cell r="R54">
            <v>0</v>
          </cell>
          <cell r="S54">
            <v>9.4276148616003681</v>
          </cell>
          <cell r="T54">
            <v>4.990168661417572</v>
          </cell>
          <cell r="U54">
            <v>1.5060087638339242E-2</v>
          </cell>
          <cell r="V54">
            <v>7.9715154335743971E-3</v>
          </cell>
          <cell r="W54">
            <v>9.4125547739620288</v>
          </cell>
          <cell r="X54">
            <v>4.9821971459839975</v>
          </cell>
          <cell r="Y54">
            <v>0</v>
          </cell>
          <cell r="Z54">
            <v>0</v>
          </cell>
        </row>
        <row r="55">
          <cell r="C55">
            <v>6.1376783961806218</v>
          </cell>
          <cell r="D55">
            <v>0.11675143395921074</v>
          </cell>
          <cell r="E55">
            <v>6.0209269622214112</v>
          </cell>
          <cell r="F55">
            <v>24.284298263515833</v>
          </cell>
          <cell r="G55">
            <v>30.866160352966336</v>
          </cell>
          <cell r="H55">
            <v>5.822977768715635</v>
          </cell>
          <cell r="I55">
            <v>25.043182584250701</v>
          </cell>
          <cell r="J55">
            <v>0</v>
          </cell>
          <cell r="K55">
            <v>1.845349207424263</v>
          </cell>
          <cell r="M55">
            <v>3.5102387615542872E-2</v>
          </cell>
          <cell r="N55">
            <v>3.7532985341306419E-2</v>
          </cell>
          <cell r="O55">
            <v>1.81024681980872</v>
          </cell>
          <cell r="P55">
            <v>1.9355939002263924</v>
          </cell>
          <cell r="Q55">
            <v>7.3012966240329176</v>
          </cell>
          <cell r="R55">
            <v>7.8068609509917337</v>
          </cell>
          <cell r="S55">
            <v>9.2801937258591458</v>
          </cell>
          <cell r="T55">
            <v>9.9227829996078825</v>
          </cell>
          <cell r="U55">
            <v>1.7507315823252003</v>
          </cell>
          <cell r="V55">
            <v>1.8719576438976573</v>
          </cell>
          <cell r="W55">
            <v>7.5294621435339453</v>
          </cell>
          <cell r="X55">
            <v>8.0508253557102254</v>
          </cell>
          <cell r="Y55">
            <v>0</v>
          </cell>
          <cell r="Z55">
            <v>0</v>
          </cell>
        </row>
        <row r="56">
          <cell r="C56">
            <v>1.2481951410000001</v>
          </cell>
          <cell r="D56">
            <v>0.33243433</v>
          </cell>
          <cell r="E56">
            <v>0.91576081099999995</v>
          </cell>
          <cell r="F56">
            <v>0</v>
          </cell>
          <cell r="G56">
            <v>1.0191756699000001</v>
          </cell>
          <cell r="H56">
            <v>0.78287837800000004</v>
          </cell>
          <cell r="I56">
            <v>0.23629729190000001</v>
          </cell>
          <cell r="J56">
            <v>0</v>
          </cell>
          <cell r="K56">
            <v>4.6408796097126643</v>
          </cell>
          <cell r="M56">
            <v>1.2360148289228849</v>
          </cell>
          <cell r="N56">
            <v>0.72407523765824</v>
          </cell>
          <cell r="O56">
            <v>3.4048647807897798</v>
          </cell>
          <cell r="P56">
            <v>1.9946186871341705</v>
          </cell>
          <cell r="Q56">
            <v>0</v>
          </cell>
          <cell r="R56">
            <v>0</v>
          </cell>
          <cell r="S56">
            <v>3.7893686890695535</v>
          </cell>
          <cell r="T56">
            <v>2.2198665986101331</v>
          </cell>
          <cell r="U56">
            <v>2.9107983054911801</v>
          </cell>
          <cell r="V56">
            <v>1.7051874504292246</v>
          </cell>
          <cell r="W56">
            <v>0.87857038357837325</v>
          </cell>
          <cell r="X56">
            <v>0.51467914818090843</v>
          </cell>
          <cell r="Y56">
            <v>0</v>
          </cell>
          <cell r="Z56">
            <v>0</v>
          </cell>
        </row>
        <row r="57">
          <cell r="C57">
            <v>7.6050183780995635</v>
          </cell>
          <cell r="D57">
            <v>1.5966276548934419</v>
          </cell>
          <cell r="E57">
            <v>6.008390723206122</v>
          </cell>
          <cell r="F57">
            <v>5.7373683697402944</v>
          </cell>
          <cell r="G57">
            <v>16.851470525980066</v>
          </cell>
          <cell r="H57">
            <v>2.6446536104326701</v>
          </cell>
          <cell r="I57">
            <v>14.206816915547396</v>
          </cell>
          <cell r="J57">
            <v>1.0928320704267227</v>
          </cell>
          <cell r="K57">
            <v>2.9853553413859615</v>
          </cell>
          <cell r="M57">
            <v>0.62675731481030161</v>
          </cell>
          <cell r="N57">
            <v>0.6287858680238676</v>
          </cell>
          <cell r="O57">
            <v>2.3585980265756596</v>
          </cell>
          <cell r="P57">
            <v>2.3662318291548421</v>
          </cell>
          <cell r="Q57">
            <v>2.2522080100986197</v>
          </cell>
          <cell r="R57">
            <v>2.2594974723650272</v>
          </cell>
          <cell r="S57">
            <v>6.6150566696610902</v>
          </cell>
          <cell r="T57">
            <v>6.6364668616892803</v>
          </cell>
          <cell r="U57">
            <v>1.0381606446549834</v>
          </cell>
          <cell r="V57">
            <v>1.0415207396425463</v>
          </cell>
          <cell r="W57">
            <v>5.576896025006107</v>
          </cell>
          <cell r="X57">
            <v>5.5949461220467338</v>
          </cell>
          <cell r="Y57">
            <v>0.42899200192354664</v>
          </cell>
          <cell r="Z57">
            <v>0.43038047092667181</v>
          </cell>
        </row>
        <row r="58">
          <cell r="C58">
            <v>10.391906905171339</v>
          </cell>
          <cell r="D58">
            <v>0.70761690517133902</v>
          </cell>
          <cell r="E58">
            <v>9.6842900000000007</v>
          </cell>
          <cell r="F58">
            <v>0</v>
          </cell>
          <cell r="G58">
            <v>8.9610143999999998</v>
          </cell>
          <cell r="H58">
            <v>6.4199944000000002</v>
          </cell>
          <cell r="I58">
            <v>2.5410200000000001</v>
          </cell>
          <cell r="J58">
            <v>0</v>
          </cell>
          <cell r="K58">
            <v>5.0964951410771313</v>
          </cell>
          <cell r="M58">
            <v>0.34703603023571405</v>
          </cell>
          <cell r="N58">
            <v>0.2346639799155821</v>
          </cell>
          <cell r="O58">
            <v>4.7494591108414177</v>
          </cell>
          <cell r="P58">
            <v>3.2115598390154454</v>
          </cell>
          <cell r="Q58">
            <v>0</v>
          </cell>
          <cell r="R58">
            <v>0</v>
          </cell>
          <cell r="S58">
            <v>4.394743598597433</v>
          </cell>
          <cell r="T58">
            <v>2.9717030328376248</v>
          </cell>
          <cell r="U58">
            <v>3.148553058059071</v>
          </cell>
          <cell r="V58">
            <v>2.1290353946178868</v>
          </cell>
          <cell r="W58">
            <v>1.2461905405383624</v>
          </cell>
          <cell r="X58">
            <v>0.84266763821973789</v>
          </cell>
          <cell r="Y58">
            <v>0</v>
          </cell>
          <cell r="Z58">
            <v>0</v>
          </cell>
        </row>
        <row r="59">
          <cell r="C59">
            <v>0.88253820443329634</v>
          </cell>
          <cell r="D59">
            <v>2.1328006607137996E-2</v>
          </cell>
          <cell r="E59">
            <v>0.86121019782615837</v>
          </cell>
          <cell r="F59">
            <v>0</v>
          </cell>
          <cell r="G59">
            <v>0.91931062961801713</v>
          </cell>
          <cell r="H59">
            <v>0</v>
          </cell>
          <cell r="I59">
            <v>0.91931062961801713</v>
          </cell>
          <cell r="J59">
            <v>0</v>
          </cell>
          <cell r="K59">
            <v>4.2572996227017779</v>
          </cell>
          <cell r="M59">
            <v>0.10288474088195963</v>
          </cell>
          <cell r="N59">
            <v>0.11184564931503611</v>
          </cell>
          <cell r="O59">
            <v>4.1544148818198181</v>
          </cell>
          <cell r="P59">
            <v>4.5162501844105956</v>
          </cell>
          <cell r="Q59">
            <v>0</v>
          </cell>
          <cell r="R59">
            <v>0</v>
          </cell>
          <cell r="S59">
            <v>4.434687106981019</v>
          </cell>
          <cell r="T59">
            <v>4.8209331601308669</v>
          </cell>
          <cell r="U59">
            <v>0</v>
          </cell>
          <cell r="V59">
            <v>0</v>
          </cell>
          <cell r="W59">
            <v>4.434687106981019</v>
          </cell>
          <cell r="X59">
            <v>4.8209331601308669</v>
          </cell>
          <cell r="Y59">
            <v>0</v>
          </cell>
          <cell r="Z59">
            <v>0</v>
          </cell>
        </row>
        <row r="60">
          <cell r="C60">
            <v>23.434808652685703</v>
          </cell>
          <cell r="D60">
            <v>2.2863227953839709</v>
          </cell>
          <cell r="E60">
            <v>21.148485857301733</v>
          </cell>
          <cell r="F60">
            <v>2.8579034942299635</v>
          </cell>
          <cell r="G60">
            <v>6.8589683861519131</v>
          </cell>
          <cell r="H60">
            <v>4.5726455907679417</v>
          </cell>
          <cell r="I60">
            <v>2.2863227953839709</v>
          </cell>
          <cell r="J60">
            <v>0</v>
          </cell>
          <cell r="K60">
            <v>6.308725700048833</v>
          </cell>
          <cell r="M60">
            <v>0.61548543415110557</v>
          </cell>
          <cell r="N60">
            <v>0.54711015942821217</v>
          </cell>
          <cell r="O60">
            <v>5.6932402658977272</v>
          </cell>
          <cell r="P60">
            <v>5.060768974710963</v>
          </cell>
          <cell r="Q60">
            <v>0.76935679268888202</v>
          </cell>
          <cell r="R60">
            <v>0.68388769928526516</v>
          </cell>
          <cell r="S60">
            <v>1.8464563024533167</v>
          </cell>
          <cell r="T60">
            <v>1.6413304782846365</v>
          </cell>
          <cell r="U60">
            <v>1.2309708683022111</v>
          </cell>
          <cell r="V60">
            <v>1.0942203188564243</v>
          </cell>
          <cell r="W60">
            <v>0.61548543415110557</v>
          </cell>
          <cell r="X60">
            <v>0.54711015942821217</v>
          </cell>
          <cell r="Y60">
            <v>0</v>
          </cell>
          <cell r="Z60">
            <v>0</v>
          </cell>
        </row>
        <row r="61">
          <cell r="C61">
            <v>25.918306382883841</v>
          </cell>
          <cell r="D61">
            <v>4.0163261841927023</v>
          </cell>
          <cell r="E61">
            <v>21.901980198691138</v>
          </cell>
          <cell r="F61">
            <v>2.0803991745458603</v>
          </cell>
          <cell r="G61">
            <v>11.153251130204193</v>
          </cell>
          <cell r="H61">
            <v>0.9535162883335192</v>
          </cell>
          <cell r="I61">
            <v>10.199734841870674</v>
          </cell>
          <cell r="J61">
            <v>0</v>
          </cell>
          <cell r="K61">
            <v>7.2304547534162724</v>
          </cell>
          <cell r="M61">
            <v>1.1204383620121092</v>
          </cell>
          <cell r="N61">
            <v>1.1730037337064394</v>
          </cell>
          <cell r="O61">
            <v>6.1100163914041632</v>
          </cell>
          <cell r="P61">
            <v>6.3966678428020227</v>
          </cell>
          <cell r="Q61">
            <v>0.5803709501069918</v>
          </cell>
          <cell r="R61">
            <v>0.60759905630837163</v>
          </cell>
          <cell r="S61">
            <v>3.1114331491847054</v>
          </cell>
          <cell r="T61">
            <v>3.257406051875436</v>
          </cell>
          <cell r="U61">
            <v>0.2660033521323712</v>
          </cell>
          <cell r="V61">
            <v>0.27848290080800364</v>
          </cell>
          <cell r="W61">
            <v>2.8454297970523341</v>
          </cell>
          <cell r="X61">
            <v>2.9789231510674323</v>
          </cell>
          <cell r="Y61">
            <v>0</v>
          </cell>
          <cell r="Z61">
            <v>0</v>
          </cell>
        </row>
        <row r="62">
          <cell r="C62">
            <v>2.6412118346100706</v>
          </cell>
          <cell r="D62">
            <v>0.2311060355223796</v>
          </cell>
          <cell r="E62">
            <v>2.4101057990876908</v>
          </cell>
          <cell r="F62">
            <v>0</v>
          </cell>
          <cell r="G62">
            <v>1.0485610983298868</v>
          </cell>
          <cell r="H62">
            <v>0.2311060355223796</v>
          </cell>
          <cell r="I62">
            <v>0.81745506280750724</v>
          </cell>
          <cell r="J62">
            <v>0</v>
          </cell>
          <cell r="K62">
            <v>8.7573111594010662</v>
          </cell>
          <cell r="M62">
            <v>0.76626472642769428</v>
          </cell>
          <cell r="N62">
            <v>0.41698887873437651</v>
          </cell>
          <cell r="O62">
            <v>7.9910464329733726</v>
          </cell>
          <cell r="P62">
            <v>4.348598306925112</v>
          </cell>
          <cell r="Q62">
            <v>0</v>
          </cell>
          <cell r="R62">
            <v>0</v>
          </cell>
          <cell r="S62">
            <v>3.4766525302480353</v>
          </cell>
          <cell r="T62">
            <v>1.8919381126882124</v>
          </cell>
          <cell r="U62">
            <v>0.76626472642769428</v>
          </cell>
          <cell r="V62">
            <v>0.41698887873437651</v>
          </cell>
          <cell r="W62">
            <v>2.7103878038203408</v>
          </cell>
          <cell r="X62">
            <v>1.4749492339538359</v>
          </cell>
          <cell r="Y62">
            <v>0</v>
          </cell>
          <cell r="Z62">
            <v>0</v>
          </cell>
        </row>
        <row r="63">
          <cell r="C63">
            <v>2.5949763727608071</v>
          </cell>
          <cell r="D63">
            <v>0.57158069884599272</v>
          </cell>
          <cell r="E63">
            <v>2.0233956739148145</v>
          </cell>
          <cell r="F63">
            <v>2.503523460945448</v>
          </cell>
          <cell r="G63">
            <v>1.9662376040302147</v>
          </cell>
          <cell r="H63">
            <v>0.36581164726143534</v>
          </cell>
          <cell r="I63">
            <v>1.6004259567687795</v>
          </cell>
          <cell r="J63">
            <v>0</v>
          </cell>
          <cell r="K63">
            <v>5.3818960772623692</v>
          </cell>
          <cell r="M63">
            <v>1.1854396645952354</v>
          </cell>
          <cell r="N63">
            <v>0.5884329880166066</v>
          </cell>
          <cell r="O63">
            <v>4.1964564126671338</v>
          </cell>
          <cell r="P63">
            <v>2.0830527775787875</v>
          </cell>
          <cell r="Q63">
            <v>5.19222573092713</v>
          </cell>
          <cell r="R63">
            <v>2.5773364875127363</v>
          </cell>
          <cell r="S63">
            <v>4.0779124462076091</v>
          </cell>
          <cell r="T63">
            <v>2.0242094787771263</v>
          </cell>
          <cell r="U63">
            <v>0.75868138534095053</v>
          </cell>
          <cell r="V63">
            <v>0.3765971123306282</v>
          </cell>
          <cell r="W63">
            <v>3.3192310608666586</v>
          </cell>
          <cell r="X63">
            <v>1.6476123664464981</v>
          </cell>
          <cell r="Y63">
            <v>0</v>
          </cell>
          <cell r="Z63">
            <v>0</v>
          </cell>
        </row>
        <row r="64">
          <cell r="C64">
            <v>3.5438003328451551</v>
          </cell>
          <cell r="D64">
            <v>0.2286322795383971</v>
          </cell>
          <cell r="E64">
            <v>3.315168053306758</v>
          </cell>
          <cell r="F64">
            <v>5.2145883075488326</v>
          </cell>
          <cell r="G64">
            <v>2.8579034942299635</v>
          </cell>
          <cell r="H64">
            <v>0</v>
          </cell>
          <cell r="I64">
            <v>2.8579034942299635</v>
          </cell>
          <cell r="J64">
            <v>1.2574775374611842</v>
          </cell>
          <cell r="K64">
            <v>5.3244195640159759</v>
          </cell>
          <cell r="M64">
            <v>0.34351093961393397</v>
          </cell>
          <cell r="N64">
            <v>0.34461904039089231</v>
          </cell>
          <cell r="O64">
            <v>4.9809086244020424</v>
          </cell>
          <cell r="P64">
            <v>4.9969760856679386</v>
          </cell>
          <cell r="Q64">
            <v>7.8347122849077095</v>
          </cell>
          <cell r="R64">
            <v>7.8599855725063756</v>
          </cell>
          <cell r="S64">
            <v>4.2938867451741736</v>
          </cell>
          <cell r="T64">
            <v>4.3077380048861542</v>
          </cell>
          <cell r="U64">
            <v>0</v>
          </cell>
          <cell r="V64">
            <v>0</v>
          </cell>
          <cell r="W64">
            <v>4.2938867451741736</v>
          </cell>
          <cell r="X64">
            <v>4.3077380048861542</v>
          </cell>
          <cell r="Y64">
            <v>1.8893101678766371</v>
          </cell>
          <cell r="Z64">
            <v>1.8954047221499077</v>
          </cell>
        </row>
        <row r="65">
          <cell r="C65">
            <v>33.987077390271075</v>
          </cell>
          <cell r="D65">
            <v>0.76498244929870585</v>
          </cell>
          <cell r="E65">
            <v>33.222094940972369</v>
          </cell>
          <cell r="F65">
            <v>34.970626253655126</v>
          </cell>
          <cell r="G65">
            <v>33.440661355057721</v>
          </cell>
          <cell r="H65">
            <v>0</v>
          </cell>
          <cell r="I65">
            <v>33.440661355057721</v>
          </cell>
          <cell r="J65">
            <v>0</v>
          </cell>
          <cell r="K65">
            <v>4.0448747462395209</v>
          </cell>
          <cell r="M65">
            <v>9.1042196860696603E-2</v>
          </cell>
          <cell r="N65">
            <v>8.2040891949904396E-2</v>
          </cell>
          <cell r="O65">
            <v>3.953832549378824</v>
          </cell>
          <cell r="P65">
            <v>3.5629187361101335</v>
          </cell>
          <cell r="Q65">
            <v>4.1619289993461308</v>
          </cell>
          <cell r="R65">
            <v>3.7504407748527728</v>
          </cell>
          <cell r="S65">
            <v>3.9798446056247383</v>
          </cell>
          <cell r="T65">
            <v>3.5863589909529647</v>
          </cell>
          <cell r="U65">
            <v>0</v>
          </cell>
          <cell r="V65">
            <v>0</v>
          </cell>
          <cell r="W65">
            <v>3.9798446056247383</v>
          </cell>
          <cell r="X65">
            <v>3.5863589909529647</v>
          </cell>
          <cell r="Y65">
            <v>0</v>
          </cell>
          <cell r="Z65">
            <v>0</v>
          </cell>
        </row>
        <row r="66">
          <cell r="C66">
            <v>39.21106199759214</v>
          </cell>
          <cell r="D66">
            <v>0.31570903379703813</v>
          </cell>
          <cell r="E66">
            <v>38.895352963795098</v>
          </cell>
          <cell r="F66">
            <v>0</v>
          </cell>
          <cell r="G66">
            <v>7.7980131347868449</v>
          </cell>
          <cell r="H66">
            <v>3.851650212323865</v>
          </cell>
          <cell r="I66">
            <v>3.9463629224629799</v>
          </cell>
          <cell r="J66">
            <v>0</v>
          </cell>
          <cell r="K66">
            <v>19.32159175461776</v>
          </cell>
          <cell r="M66">
            <v>0.15556837161527984</v>
          </cell>
          <cell r="N66">
            <v>0.16275859192999773</v>
          </cell>
          <cell r="O66">
            <v>19.166023383002479</v>
          </cell>
          <cell r="P66">
            <v>20.051858525775721</v>
          </cell>
          <cell r="Q66">
            <v>0</v>
          </cell>
          <cell r="R66">
            <v>0</v>
          </cell>
          <cell r="S66">
            <v>3.8425387788974139</v>
          </cell>
          <cell r="T66">
            <v>4.0201372206709456</v>
          </cell>
          <cell r="U66">
            <v>1.8979341337064142</v>
          </cell>
          <cell r="V66">
            <v>1.9856548215459722</v>
          </cell>
          <cell r="W66">
            <v>1.9446046451909997</v>
          </cell>
          <cell r="X66">
            <v>2.0344823991249732</v>
          </cell>
          <cell r="Y66">
            <v>0</v>
          </cell>
          <cell r="Z66">
            <v>0</v>
          </cell>
        </row>
        <row r="67">
          <cell r="C67">
            <v>8.1</v>
          </cell>
          <cell r="D67">
            <v>0</v>
          </cell>
          <cell r="E67">
            <v>8.1</v>
          </cell>
          <cell r="F67">
            <v>0</v>
          </cell>
          <cell r="G67">
            <v>17.74925151495945</v>
          </cell>
          <cell r="H67">
            <v>4.9413283727615402</v>
          </cell>
          <cell r="I67">
            <v>12.807923142197911</v>
          </cell>
          <cell r="J67">
            <v>0</v>
          </cell>
          <cell r="K67">
            <v>1.9744090578931335</v>
          </cell>
          <cell r="M67">
            <v>0</v>
          </cell>
          <cell r="N67">
            <v>0</v>
          </cell>
          <cell r="O67">
            <v>1.9744090578931335</v>
          </cell>
          <cell r="P67">
            <v>2.4511712488266704</v>
          </cell>
          <cell r="Q67">
            <v>0</v>
          </cell>
          <cell r="R67">
            <v>0</v>
          </cell>
          <cell r="S67">
            <v>4.3264546866616493</v>
          </cell>
          <cell r="T67">
            <v>5.3711672841557805</v>
          </cell>
          <cell r="U67">
            <v>1.2044695675561388</v>
          </cell>
          <cell r="V67">
            <v>1.4953138318919212</v>
          </cell>
          <cell r="W67">
            <v>3.1219851191055108</v>
          </cell>
          <cell r="X67">
            <v>3.8758534522638595</v>
          </cell>
          <cell r="Y67">
            <v>0</v>
          </cell>
          <cell r="Z67">
            <v>0</v>
          </cell>
        </row>
        <row r="68">
          <cell r="C68">
            <v>7.2019168054595077</v>
          </cell>
          <cell r="D68">
            <v>1.8290582363071768</v>
          </cell>
          <cell r="E68">
            <v>5.3728585691523305</v>
          </cell>
          <cell r="F68">
            <v>9.0309750417666859</v>
          </cell>
          <cell r="G68">
            <v>14.861098169995811</v>
          </cell>
          <cell r="H68">
            <v>0</v>
          </cell>
          <cell r="I68">
            <v>14.861098169995811</v>
          </cell>
          <cell r="J68">
            <v>0</v>
          </cell>
          <cell r="K68">
            <v>3.2388197867879107</v>
          </cell>
          <cell r="M68">
            <v>0.82255740616835848</v>
          </cell>
          <cell r="N68">
            <v>0.53604128603875123</v>
          </cell>
          <cell r="O68">
            <v>2.4162623806195525</v>
          </cell>
          <cell r="P68">
            <v>1.5746212777388313</v>
          </cell>
          <cell r="Q68">
            <v>4.0613771929562708</v>
          </cell>
          <cell r="R68">
            <v>2.6467038498163342</v>
          </cell>
          <cell r="S68">
            <v>6.6832789251179126</v>
          </cell>
          <cell r="T68">
            <v>4.3553354490648539</v>
          </cell>
          <cell r="U68">
            <v>0</v>
          </cell>
          <cell r="V68">
            <v>0</v>
          </cell>
          <cell r="W68">
            <v>6.6832789251179126</v>
          </cell>
          <cell r="X68">
            <v>4.3553354490648539</v>
          </cell>
          <cell r="Y68">
            <v>0</v>
          </cell>
          <cell r="Z68">
            <v>0</v>
          </cell>
        </row>
        <row r="69">
          <cell r="C69">
            <v>2.5149550749223684</v>
          </cell>
          <cell r="D69">
            <v>0.18290582363071767</v>
          </cell>
          <cell r="E69">
            <v>2.3320492512916506</v>
          </cell>
          <cell r="F69">
            <v>1.4060885191611421</v>
          </cell>
          <cell r="G69">
            <v>4.5840772047448617</v>
          </cell>
          <cell r="H69">
            <v>0</v>
          </cell>
          <cell r="I69">
            <v>4.5840772047448617</v>
          </cell>
          <cell r="J69">
            <v>0</v>
          </cell>
          <cell r="K69">
            <v>2.52787094908023</v>
          </cell>
          <cell r="M69">
            <v>0.18384515993310763</v>
          </cell>
          <cell r="N69">
            <v>0.10065712862467636</v>
          </cell>
          <cell r="O69">
            <v>2.3440257891471226</v>
          </cell>
          <cell r="P69">
            <v>1.2833783899646238</v>
          </cell>
          <cell r="Q69">
            <v>1.4133096669857648</v>
          </cell>
          <cell r="R69">
            <v>0.77380167630219954</v>
          </cell>
          <cell r="S69">
            <v>4.6076193208235097</v>
          </cell>
          <cell r="T69">
            <v>2.5227192861559513</v>
          </cell>
          <cell r="U69">
            <v>0</v>
          </cell>
          <cell r="V69">
            <v>0</v>
          </cell>
          <cell r="W69">
            <v>4.6076193208235097</v>
          </cell>
          <cell r="X69">
            <v>2.5227192861559513</v>
          </cell>
          <cell r="Y69">
            <v>0</v>
          </cell>
          <cell r="Z69">
            <v>0</v>
          </cell>
        </row>
        <row r="70">
          <cell r="C70">
            <v>4.1153810316911672</v>
          </cell>
          <cell r="D70">
            <v>0.11431613976919908</v>
          </cell>
          <cell r="E70">
            <v>4.0010648919219678</v>
          </cell>
          <cell r="F70">
            <v>0</v>
          </cell>
          <cell r="G70">
            <v>3.3151680533067727</v>
          </cell>
          <cell r="H70">
            <v>0.68589683861519435</v>
          </cell>
          <cell r="I70">
            <v>2.6292712146915784</v>
          </cell>
          <cell r="J70">
            <v>0.11431613976919908</v>
          </cell>
          <cell r="K70">
            <v>8.1625269737342627</v>
          </cell>
          <cell r="M70">
            <v>0.22673686038150731</v>
          </cell>
          <cell r="N70">
            <v>0.1503420563721469</v>
          </cell>
          <cell r="O70">
            <v>7.9357901133527555</v>
          </cell>
          <cell r="P70">
            <v>5.2619719730251413</v>
          </cell>
          <cell r="Q70">
            <v>0</v>
          </cell>
          <cell r="R70">
            <v>0</v>
          </cell>
          <cell r="S70">
            <v>6.5753689510637106</v>
          </cell>
          <cell r="T70">
            <v>4.3599196347922593</v>
          </cell>
          <cell r="U70">
            <v>1.3604211622890434</v>
          </cell>
          <cell r="V70">
            <v>0.90205233823288122</v>
          </cell>
          <cell r="W70">
            <v>5.2149477887746674</v>
          </cell>
          <cell r="X70">
            <v>3.4578672965593782</v>
          </cell>
          <cell r="Y70">
            <v>0.22673686038150731</v>
          </cell>
          <cell r="Z70">
            <v>0.1503420563721469</v>
          </cell>
        </row>
        <row r="71">
          <cell r="C71">
            <v>25.100437358322282</v>
          </cell>
          <cell r="D71">
            <v>0.8349841230760352</v>
          </cell>
          <cell r="E71">
            <v>24.265453235246245</v>
          </cell>
          <cell r="F71">
            <v>34.112156247618515</v>
          </cell>
          <cell r="G71">
            <v>23.420286378961965</v>
          </cell>
          <cell r="H71">
            <v>0</v>
          </cell>
          <cell r="I71">
            <v>23.420286378961965</v>
          </cell>
          <cell r="J71">
            <v>0</v>
          </cell>
          <cell r="K71">
            <v>4.5651993079368838</v>
          </cell>
          <cell r="M71">
            <v>0.15186464229242372</v>
          </cell>
          <cell r="N71">
            <v>0.16026428522437489</v>
          </cell>
          <cell r="O71">
            <v>4.4133346656444603</v>
          </cell>
          <cell r="P71">
            <v>4.657436484020554</v>
          </cell>
          <cell r="Q71">
            <v>6.2042262399953607</v>
          </cell>
          <cell r="R71">
            <v>6.5473823841665366</v>
          </cell>
          <cell r="S71">
            <v>4.2596180155192025</v>
          </cell>
          <cell r="T71">
            <v>4.4952177562934423</v>
          </cell>
          <cell r="U71">
            <v>0</v>
          </cell>
          <cell r="V71">
            <v>0</v>
          </cell>
          <cell r="W71">
            <v>4.2596180155192025</v>
          </cell>
          <cell r="X71">
            <v>4.4952177562934423</v>
          </cell>
          <cell r="Y71">
            <v>0</v>
          </cell>
          <cell r="Z71">
            <v>0</v>
          </cell>
        </row>
        <row r="72">
          <cell r="C72">
            <v>31.955418247635048</v>
          </cell>
          <cell r="D72">
            <v>2.6975353066185432</v>
          </cell>
          <cell r="E72">
            <v>29.257882941016504</v>
          </cell>
          <cell r="F72">
            <v>0</v>
          </cell>
          <cell r="G72">
            <v>42.953062190002953</v>
          </cell>
          <cell r="H72">
            <v>0</v>
          </cell>
          <cell r="I72">
            <v>42.953062190002953</v>
          </cell>
          <cell r="J72">
            <v>0</v>
          </cell>
          <cell r="K72">
            <v>4.2772051685675523</v>
          </cell>
          <cell r="M72">
            <v>0.3610627739699882</v>
          </cell>
          <cell r="N72">
            <v>0.45657928095087619</v>
          </cell>
          <cell r="O72">
            <v>3.9161423945975637</v>
          </cell>
          <cell r="P72">
            <v>4.9521291241595025</v>
          </cell>
          <cell r="Q72">
            <v>0</v>
          </cell>
          <cell r="R72">
            <v>0</v>
          </cell>
          <cell r="S72">
            <v>5.7492303239836575</v>
          </cell>
          <cell r="T72">
            <v>7.2701470120639504</v>
          </cell>
          <cell r="U72">
            <v>0</v>
          </cell>
          <cell r="V72">
            <v>0</v>
          </cell>
          <cell r="W72">
            <v>5.7492303239836575</v>
          </cell>
          <cell r="X72">
            <v>7.2701470120639504</v>
          </cell>
          <cell r="Y72">
            <v>0</v>
          </cell>
          <cell r="Z72">
            <v>0</v>
          </cell>
        </row>
        <row r="73">
          <cell r="C73">
            <v>18.197478788559124</v>
          </cell>
          <cell r="D73">
            <v>1.7213831286474848</v>
          </cell>
          <cell r="E73">
            <v>16.476095659911639</v>
          </cell>
          <cell r="F73">
            <v>3.8116340705765732</v>
          </cell>
          <cell r="G73">
            <v>5.5944951681043253</v>
          </cell>
          <cell r="H73">
            <v>2.582074692971227</v>
          </cell>
          <cell r="I73">
            <v>3.0124204751330983</v>
          </cell>
          <cell r="J73">
            <v>0</v>
          </cell>
          <cell r="K73">
            <v>6.9466775390796931</v>
          </cell>
          <cell r="M73">
            <v>0.65711814558861958</v>
          </cell>
          <cell r="N73">
            <v>0.39008096466216968</v>
          </cell>
          <cell r="O73">
            <v>6.2895593934910732</v>
          </cell>
          <cell r="P73">
            <v>3.7336320903379092</v>
          </cell>
          <cell r="Q73">
            <v>1.4550473223748004</v>
          </cell>
          <cell r="R73">
            <v>0.86375070746623273</v>
          </cell>
          <cell r="S73">
            <v>2.1356339731630136</v>
          </cell>
          <cell r="T73">
            <v>1.2677631351520513</v>
          </cell>
          <cell r="U73">
            <v>0.98567721838292932</v>
          </cell>
          <cell r="V73">
            <v>0.58512144699325441</v>
          </cell>
          <cell r="W73">
            <v>1.1499567547800842</v>
          </cell>
          <cell r="X73">
            <v>0.68264168815879689</v>
          </cell>
          <cell r="Y73">
            <v>0</v>
          </cell>
          <cell r="Z73">
            <v>0</v>
          </cell>
        </row>
        <row r="74">
          <cell r="C74">
            <v>3.824337949750285</v>
          </cell>
          <cell r="D74">
            <v>1.9136139057485111</v>
          </cell>
          <cell r="E74">
            <v>1.9107240440017739</v>
          </cell>
          <cell r="F74">
            <v>0.10508588169953384</v>
          </cell>
          <cell r="G74">
            <v>0.98649371445437384</v>
          </cell>
          <cell r="H74">
            <v>0.98649371445437384</v>
          </cell>
          <cell r="I74">
            <v>0</v>
          </cell>
          <cell r="J74">
            <v>0</v>
          </cell>
          <cell r="K74">
            <v>1.1898790407164512</v>
          </cell>
          <cell r="M74">
            <v>0.59538908652734979</v>
          </cell>
          <cell r="N74">
            <v>0.27714691734118102</v>
          </cell>
          <cell r="O74">
            <v>0.59448995418910144</v>
          </cell>
          <cell r="P74">
            <v>0.27672838135947414</v>
          </cell>
          <cell r="Q74">
            <v>3.2695721390848427E-2</v>
          </cell>
          <cell r="R74">
            <v>1.5219490243886932E-2</v>
          </cell>
          <cell r="S74">
            <v>0.30693108455658957</v>
          </cell>
          <cell r="T74">
            <v>0.14287296466448857</v>
          </cell>
          <cell r="U74">
            <v>0.30693108455658957</v>
          </cell>
          <cell r="V74">
            <v>0.14287296466448857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</row>
        <row r="75">
          <cell r="C75">
            <v>0.78793400000000002</v>
          </cell>
          <cell r="D75">
            <v>0.17</v>
          </cell>
          <cell r="E75">
            <v>0.61793399999999998</v>
          </cell>
          <cell r="F75">
            <v>0.40684985167435311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1.223832673513586</v>
          </cell>
          <cell r="M75">
            <v>0.26404693095780818</v>
          </cell>
          <cell r="N75">
            <v>0.18633508802194609</v>
          </cell>
          <cell r="O75">
            <v>0.95978574255577775</v>
          </cell>
          <cell r="P75">
            <v>0.67731050753972488</v>
          </cell>
          <cell r="Q75">
            <v>0.63192620408972</v>
          </cell>
          <cell r="R75">
            <v>0.4459435466085665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</row>
        <row r="76">
          <cell r="C76">
            <v>6.1891640315932381</v>
          </cell>
          <cell r="D76">
            <v>1.7694150329493317</v>
          </cell>
          <cell r="E76">
            <v>4.4197489986439065</v>
          </cell>
          <cell r="F76">
            <v>0</v>
          </cell>
          <cell r="G76">
            <v>6.6270225953158493</v>
          </cell>
          <cell r="H76">
            <v>0</v>
          </cell>
          <cell r="I76">
            <v>6.6270225953158493</v>
          </cell>
          <cell r="J76">
            <v>0</v>
          </cell>
          <cell r="K76">
            <v>4.1993466801001249</v>
          </cell>
          <cell r="M76">
            <v>1.2005477809936589</v>
          </cell>
          <cell r="N76">
            <v>0.57098503498505992</v>
          </cell>
          <cell r="O76">
            <v>2.998798899106466</v>
          </cell>
          <cell r="P76">
            <v>1.4262400226188992</v>
          </cell>
          <cell r="Q76">
            <v>0</v>
          </cell>
          <cell r="R76">
            <v>0</v>
          </cell>
          <cell r="S76">
            <v>4.4964336366803703</v>
          </cell>
          <cell r="T76">
            <v>2.1385207302811238</v>
          </cell>
          <cell r="U76">
            <v>0</v>
          </cell>
          <cell r="V76">
            <v>0</v>
          </cell>
          <cell r="W76">
            <v>4.4964336366803703</v>
          </cell>
          <cell r="X76">
            <v>2.1385207302811238</v>
          </cell>
          <cell r="Y76">
            <v>0</v>
          </cell>
          <cell r="Z76">
            <v>0</v>
          </cell>
        </row>
        <row r="77">
          <cell r="C77">
            <v>43.050977899376022</v>
          </cell>
          <cell r="D77">
            <v>2.2057463058752034</v>
          </cell>
          <cell r="E77">
            <v>40.84523159350082</v>
          </cell>
          <cell r="F77">
            <v>0</v>
          </cell>
          <cell r="G77">
            <v>19.202967839384122</v>
          </cell>
          <cell r="H77">
            <v>0</v>
          </cell>
          <cell r="I77">
            <v>19.202967839384122</v>
          </cell>
          <cell r="J77">
            <v>9.8869334416288517</v>
          </cell>
          <cell r="K77">
            <v>7.532938423153575</v>
          </cell>
          <cell r="M77">
            <v>0.38595525374807349</v>
          </cell>
          <cell r="N77">
            <v>0.18147974356484678</v>
          </cell>
          <cell r="O77">
            <v>7.1469831694055017</v>
          </cell>
          <cell r="P77">
            <v>3.3605778396596326</v>
          </cell>
          <cell r="Q77">
            <v>0</v>
          </cell>
          <cell r="R77">
            <v>0</v>
          </cell>
          <cell r="S77">
            <v>3.360081032630287</v>
          </cell>
          <cell r="T77">
            <v>1.5799412969174895</v>
          </cell>
          <cell r="U77">
            <v>0</v>
          </cell>
          <cell r="V77">
            <v>0</v>
          </cell>
          <cell r="W77">
            <v>3.360081032630287</v>
          </cell>
          <cell r="X77">
            <v>1.5799412969174895</v>
          </cell>
          <cell r="Y77">
            <v>1.7299876668001881</v>
          </cell>
          <cell r="Z77">
            <v>0.81345626233184243</v>
          </cell>
        </row>
        <row r="78">
          <cell r="C78">
            <v>156.53523326296911</v>
          </cell>
          <cell r="D78">
            <v>6.6083475783839196</v>
          </cell>
          <cell r="E78">
            <v>149.92688568458519</v>
          </cell>
          <cell r="F78">
            <v>0</v>
          </cell>
          <cell r="G78">
            <v>24.092933879524708</v>
          </cell>
          <cell r="H78">
            <v>10.325543091224874</v>
          </cell>
          <cell r="I78">
            <v>13.767390788299833</v>
          </cell>
          <cell r="J78">
            <v>0</v>
          </cell>
          <cell r="K78">
            <v>10.472171687470921</v>
          </cell>
          <cell r="M78">
            <v>0.44209695778241359</v>
          </cell>
          <cell r="N78">
            <v>0.53879028907933535</v>
          </cell>
          <cell r="O78">
            <v>10.030074729688508</v>
          </cell>
          <cell r="P78">
            <v>12.223804683487423</v>
          </cell>
          <cell r="Q78">
            <v>0</v>
          </cell>
          <cell r="R78">
            <v>0</v>
          </cell>
          <cell r="S78">
            <v>1.6118118252483828</v>
          </cell>
          <cell r="T78">
            <v>1.9643395956017438</v>
          </cell>
          <cell r="U78">
            <v>0.69077649653502127</v>
          </cell>
          <cell r="V78">
            <v>0.84185982668646153</v>
          </cell>
          <cell r="W78">
            <v>0.92103532871336169</v>
          </cell>
          <cell r="X78">
            <v>1.1224797689152821</v>
          </cell>
          <cell r="Y78">
            <v>0</v>
          </cell>
          <cell r="Z78">
            <v>0</v>
          </cell>
        </row>
        <row r="79">
          <cell r="C79">
            <v>199.62492503836216</v>
          </cell>
          <cell r="D79">
            <v>14.693581842972383</v>
          </cell>
          <cell r="E79">
            <v>184.93134319538979</v>
          </cell>
          <cell r="F79">
            <v>63.07850791175013</v>
          </cell>
          <cell r="G79">
            <v>68.050578535382201</v>
          </cell>
          <cell r="H79">
            <v>3.8589204840129492</v>
          </cell>
          <cell r="I79">
            <v>64.191658051369245</v>
          </cell>
          <cell r="J79">
            <v>0</v>
          </cell>
          <cell r="K79">
            <v>11.766139700011552</v>
          </cell>
          <cell r="M79">
            <v>0.86605786639490245</v>
          </cell>
          <cell r="N79">
            <v>0.85254904834587997</v>
          </cell>
          <cell r="O79">
            <v>10.90008183361665</v>
          </cell>
          <cell r="P79">
            <v>10.730061759989558</v>
          </cell>
          <cell r="Q79">
            <v>3.7179251840185201</v>
          </cell>
          <cell r="R79">
            <v>3.6599327833030202</v>
          </cell>
          <cell r="S79">
            <v>4.0109851691117449</v>
          </cell>
          <cell r="T79">
            <v>3.948421602692787</v>
          </cell>
          <cell r="U79">
            <v>0.22744954066936832</v>
          </cell>
          <cell r="V79">
            <v>0.22390177027265534</v>
          </cell>
          <cell r="W79">
            <v>3.7835356284423765</v>
          </cell>
          <cell r="X79">
            <v>3.7245198324201318</v>
          </cell>
          <cell r="Y79">
            <v>0</v>
          </cell>
          <cell r="Z79">
            <v>0</v>
          </cell>
        </row>
        <row r="80">
          <cell r="C80">
            <v>133.52125125042392</v>
          </cell>
          <cell r="D80">
            <v>16.004259567687797</v>
          </cell>
          <cell r="E80">
            <v>117.51699168273612</v>
          </cell>
          <cell r="F80">
            <v>64.588618969597178</v>
          </cell>
          <cell r="G80">
            <v>401.82123128873292</v>
          </cell>
          <cell r="H80">
            <v>24.006389351531695</v>
          </cell>
          <cell r="I80">
            <v>377.81484193720121</v>
          </cell>
          <cell r="J80">
            <v>0</v>
          </cell>
          <cell r="K80">
            <v>5.1024386339928318</v>
          </cell>
          <cell r="M80">
            <v>0.61159367188270242</v>
          </cell>
          <cell r="N80">
            <v>0.55052503336393677</v>
          </cell>
          <cell r="O80">
            <v>4.4908449621101294</v>
          </cell>
          <cell r="P80">
            <v>4.042426673558051</v>
          </cell>
          <cell r="Q80">
            <v>2.4682173186694776</v>
          </cell>
          <cell r="R80">
            <v>2.2217617417901732</v>
          </cell>
          <cell r="S80">
            <v>15.355369690483567</v>
          </cell>
          <cell r="T80">
            <v>13.8221106591017</v>
          </cell>
          <cell r="U80">
            <v>0.91739050782405374</v>
          </cell>
          <cell r="V80">
            <v>0.82578755004590509</v>
          </cell>
          <cell r="W80">
            <v>14.437979182659513</v>
          </cell>
          <cell r="X80">
            <v>12.996323109055794</v>
          </cell>
          <cell r="Y80">
            <v>0</v>
          </cell>
          <cell r="Z80">
            <v>0</v>
          </cell>
        </row>
        <row r="81">
          <cell r="C81">
            <v>315.51254576298942</v>
          </cell>
          <cell r="D81">
            <v>26.292712146915786</v>
          </cell>
          <cell r="E81">
            <v>289.21983361607363</v>
          </cell>
          <cell r="F81">
            <v>0</v>
          </cell>
          <cell r="G81">
            <v>1054.3734000174297</v>
          </cell>
          <cell r="H81">
            <v>113.82634135997297</v>
          </cell>
          <cell r="I81">
            <v>940.54705865745666</v>
          </cell>
          <cell r="J81">
            <v>0</v>
          </cell>
          <cell r="K81">
            <v>8.7707732224359152</v>
          </cell>
          <cell r="M81">
            <v>0.73089776853632626</v>
          </cell>
          <cell r="N81">
            <v>0.63176531089234178</v>
          </cell>
          <cell r="O81">
            <v>8.0398754538995885</v>
          </cell>
          <cell r="P81">
            <v>6.9494184198157605</v>
          </cell>
          <cell r="Q81">
            <v>0</v>
          </cell>
          <cell r="R81">
            <v>0</v>
          </cell>
          <cell r="S81">
            <v>29.309991337930388</v>
          </cell>
          <cell r="T81">
            <v>25.334645400465632</v>
          </cell>
          <cell r="U81">
            <v>3.1642007274026107</v>
          </cell>
          <cell r="V81">
            <v>2.7350367484039335</v>
          </cell>
          <cell r="W81">
            <v>26.145790610527776</v>
          </cell>
          <cell r="X81">
            <v>22.599608652061701</v>
          </cell>
          <cell r="Y81">
            <v>0</v>
          </cell>
          <cell r="Z81">
            <v>0</v>
          </cell>
        </row>
        <row r="82">
          <cell r="C82">
            <v>91.452911815358846</v>
          </cell>
          <cell r="D82">
            <v>7.4305490849979057</v>
          </cell>
          <cell r="E82">
            <v>84.022362730360939</v>
          </cell>
          <cell r="F82">
            <v>8.0021297838438983</v>
          </cell>
          <cell r="G82">
            <v>609.59081531925131</v>
          </cell>
          <cell r="H82">
            <v>3.7152745424989528</v>
          </cell>
          <cell r="I82">
            <v>605.87554077675236</v>
          </cell>
          <cell r="J82">
            <v>0</v>
          </cell>
          <cell r="K82">
            <v>4.7677474982591912</v>
          </cell>
          <cell r="M82">
            <v>0.38737948423355928</v>
          </cell>
          <cell r="N82">
            <v>0.3178627204263868</v>
          </cell>
          <cell r="O82">
            <v>4.380368014025632</v>
          </cell>
          <cell r="P82">
            <v>3.5942938386676047</v>
          </cell>
          <cell r="Q82">
            <v>0.41717790609767919</v>
          </cell>
          <cell r="R82">
            <v>0.34231369892072422</v>
          </cell>
          <cell r="S82">
            <v>31.780016918083923</v>
          </cell>
          <cell r="T82">
            <v>26.076968564210887</v>
          </cell>
          <cell r="U82">
            <v>0.19368974211677964</v>
          </cell>
          <cell r="V82">
            <v>0.1589313602131934</v>
          </cell>
          <cell r="W82">
            <v>31.586327175967142</v>
          </cell>
          <cell r="X82">
            <v>25.918037203997695</v>
          </cell>
          <cell r="Y82">
            <v>0</v>
          </cell>
          <cell r="Z82">
            <v>0</v>
          </cell>
        </row>
        <row r="83">
          <cell r="C83">
            <v>555.08784138136377</v>
          </cell>
          <cell r="D83">
            <v>47.578957832688324</v>
          </cell>
          <cell r="E83">
            <v>507.50888354867544</v>
          </cell>
          <cell r="F83">
            <v>242.55939287252869</v>
          </cell>
          <cell r="G83">
            <v>146.46855646533464</v>
          </cell>
          <cell r="H83">
            <v>0</v>
          </cell>
          <cell r="I83">
            <v>146.46855646533464</v>
          </cell>
          <cell r="J83">
            <v>1016.8836085809857</v>
          </cell>
          <cell r="K83">
            <v>12.161424157621409</v>
          </cell>
          <cell r="M83">
            <v>1.0424077849389779</v>
          </cell>
          <cell r="N83">
            <v>0.89352635140616843</v>
          </cell>
          <cell r="O83">
            <v>11.119016372682431</v>
          </cell>
          <cell r="P83">
            <v>9.5309477483324638</v>
          </cell>
          <cell r="Q83">
            <v>5.3142357663555728</v>
          </cell>
          <cell r="R83">
            <v>4.5552323797177214</v>
          </cell>
          <cell r="S83">
            <v>3.208980828145481</v>
          </cell>
          <cell r="T83">
            <v>2.7506595523680089</v>
          </cell>
          <cell r="U83">
            <v>0</v>
          </cell>
          <cell r="V83">
            <v>0</v>
          </cell>
          <cell r="W83">
            <v>3.208980828145481</v>
          </cell>
          <cell r="X83">
            <v>2.7506595523680089</v>
          </cell>
          <cell r="Y83">
            <v>22.278911482029134</v>
          </cell>
          <cell r="Z83">
            <v>19.096935745739678</v>
          </cell>
        </row>
        <row r="84">
          <cell r="C84">
            <v>55.370457900727885</v>
          </cell>
          <cell r="D84">
            <v>4.2592659923636838</v>
          </cell>
          <cell r="E84">
            <v>51.111191908364205</v>
          </cell>
          <cell r="F84">
            <v>27.559956421176778</v>
          </cell>
          <cell r="G84">
            <v>59.212148795801021</v>
          </cell>
          <cell r="H84">
            <v>0</v>
          </cell>
          <cell r="I84">
            <v>59.212148795801021</v>
          </cell>
          <cell r="J84">
            <v>104.39377432263932</v>
          </cell>
          <cell r="K84">
            <v>3.3800665780397825</v>
          </cell>
          <cell r="M84">
            <v>0.26000512138767562</v>
          </cell>
          <cell r="N84">
            <v>0.19750465276823018</v>
          </cell>
          <cell r="O84">
            <v>3.120061456652107</v>
          </cell>
          <cell r="P84">
            <v>2.3700558332187627</v>
          </cell>
          <cell r="Q84">
            <v>1.6823860795673127</v>
          </cell>
          <cell r="R84">
            <v>1.2779712826179601</v>
          </cell>
          <cell r="S84">
            <v>3.6145810012521964</v>
          </cell>
          <cell r="T84">
            <v>2.7457019375034357</v>
          </cell>
          <cell r="U84">
            <v>0</v>
          </cell>
          <cell r="V84">
            <v>0</v>
          </cell>
          <cell r="W84">
            <v>3.6145810012521964</v>
          </cell>
          <cell r="X84">
            <v>2.7457019375034357</v>
          </cell>
          <cell r="Y84">
            <v>6.3726745438155792</v>
          </cell>
          <cell r="Z84">
            <v>4.8408003129468193</v>
          </cell>
        </row>
        <row r="85">
          <cell r="C85">
            <v>43.554449252064643</v>
          </cell>
          <cell r="D85">
            <v>6.0587554077675225</v>
          </cell>
          <cell r="E85">
            <v>37.495693844297122</v>
          </cell>
          <cell r="F85">
            <v>0</v>
          </cell>
          <cell r="G85">
            <v>165.30113810626108</v>
          </cell>
          <cell r="H85">
            <v>0.68589683861519124</v>
          </cell>
          <cell r="I85">
            <v>164.6152412676459</v>
          </cell>
          <cell r="J85">
            <v>11.431613976919854</v>
          </cell>
          <cell r="K85">
            <v>3.2898135025815733</v>
          </cell>
          <cell r="M85">
            <v>0.45763809878431333</v>
          </cell>
          <cell r="N85">
            <v>0.33724809379805271</v>
          </cell>
          <cell r="O85">
            <v>2.83217540379726</v>
          </cell>
          <cell r="P85">
            <v>2.0871202785992695</v>
          </cell>
          <cell r="Q85">
            <v>0</v>
          </cell>
          <cell r="R85">
            <v>0</v>
          </cell>
          <cell r="S85">
            <v>12.48574888381353</v>
          </cell>
          <cell r="T85">
            <v>9.2011461062638542</v>
          </cell>
          <cell r="U85">
            <v>5.1808086654827917E-2</v>
          </cell>
          <cell r="V85">
            <v>3.8179029486572008E-2</v>
          </cell>
          <cell r="W85">
            <v>12.433940797158701</v>
          </cell>
          <cell r="X85">
            <v>9.1629670767772815</v>
          </cell>
          <cell r="Y85">
            <v>0.86346811091379871</v>
          </cell>
          <cell r="Z85">
            <v>0.63631715810953338</v>
          </cell>
        </row>
        <row r="86">
          <cell r="C86">
            <v>241.4414266835733</v>
          </cell>
          <cell r="D86">
            <v>40.752852274615869</v>
          </cell>
          <cell r="E86">
            <v>200.68857440895744</v>
          </cell>
          <cell r="F86">
            <v>5.126144940203254</v>
          </cell>
          <cell r="G86">
            <v>437.00385615232733</v>
          </cell>
          <cell r="H86">
            <v>1.2815362350508135</v>
          </cell>
          <cell r="I86">
            <v>435.72231991727654</v>
          </cell>
          <cell r="J86">
            <v>0</v>
          </cell>
          <cell r="K86">
            <v>7.6468718491395311</v>
          </cell>
          <cell r="M86">
            <v>1.2907140382305575</v>
          </cell>
          <cell r="N86">
            <v>1.3852146103078726</v>
          </cell>
          <cell r="O86">
            <v>6.3561578109089734</v>
          </cell>
          <cell r="P86">
            <v>6.8215285526482035</v>
          </cell>
          <cell r="Q86">
            <v>0.1623539670730261</v>
          </cell>
          <cell r="R86">
            <v>0.17424083148526701</v>
          </cell>
          <cell r="S86">
            <v>13.840675692975474</v>
          </cell>
          <cell r="T86">
            <v>14.854030884119007</v>
          </cell>
          <cell r="U86">
            <v>4.0588491768256525E-2</v>
          </cell>
          <cell r="V86">
            <v>4.3560207871316751E-2</v>
          </cell>
          <cell r="W86">
            <v>13.800087201207218</v>
          </cell>
          <cell r="X86">
            <v>14.810470676247691</v>
          </cell>
          <cell r="Y86">
            <v>0</v>
          </cell>
          <cell r="Z86">
            <v>0</v>
          </cell>
        </row>
        <row r="87">
          <cell r="C87">
            <v>2449</v>
          </cell>
          <cell r="D87">
            <v>304</v>
          </cell>
          <cell r="E87">
            <v>2145</v>
          </cell>
          <cell r="F87">
            <v>18</v>
          </cell>
          <cell r="G87">
            <v>510</v>
          </cell>
          <cell r="H87">
            <v>56</v>
          </cell>
          <cell r="I87">
            <v>454</v>
          </cell>
          <cell r="J87">
            <v>0</v>
          </cell>
          <cell r="K87">
            <v>12.288639911442406</v>
          </cell>
          <cell r="M87">
            <v>1.5254171225310298</v>
          </cell>
          <cell r="N87">
            <v>1.5219622745469061</v>
          </cell>
          <cell r="O87">
            <v>10.763222788911376</v>
          </cell>
          <cell r="P87">
            <v>10.738845654286559</v>
          </cell>
          <cell r="Q87">
            <v>9.0320750676179395E-2</v>
          </cell>
          <cell r="R87">
            <v>9.0116187308698387E-2</v>
          </cell>
          <cell r="S87">
            <v>2.5590879358250826</v>
          </cell>
          <cell r="T87">
            <v>2.5532919737464543</v>
          </cell>
          <cell r="U87">
            <v>0.28099789099255812</v>
          </cell>
          <cell r="V87">
            <v>0.28036147162706165</v>
          </cell>
          <cell r="W87">
            <v>2.2780900448325245</v>
          </cell>
          <cell r="X87">
            <v>2.2729305021193928</v>
          </cell>
          <cell r="Y87">
            <v>0</v>
          </cell>
          <cell r="Z87">
            <v>0</v>
          </cell>
        </row>
        <row r="88">
          <cell r="C88">
            <v>6.7455001538198225</v>
          </cell>
          <cell r="D88">
            <v>1.8317719358641744</v>
          </cell>
          <cell r="E88">
            <v>4.9137282179556481</v>
          </cell>
          <cell r="F88">
            <v>2.1248554456024422</v>
          </cell>
          <cell r="G88">
            <v>1.7401833390709658</v>
          </cell>
          <cell r="H88">
            <v>1.7401833390709658</v>
          </cell>
          <cell r="I88">
            <v>0</v>
          </cell>
          <cell r="J88">
            <v>2.9766293957792835</v>
          </cell>
          <cell r="K88">
            <v>0.52734184090795289</v>
          </cell>
          <cell r="M88">
            <v>0.14320212923501774</v>
          </cell>
          <cell r="N88">
            <v>7.6911319080828822E-2</v>
          </cell>
          <cell r="O88">
            <v>0.38413971167293515</v>
          </cell>
          <cell r="P88">
            <v>0.20631461343432334</v>
          </cell>
          <cell r="Q88">
            <v>0.16611446991262058</v>
          </cell>
          <cell r="R88">
            <v>8.9217130133761438E-2</v>
          </cell>
          <cell r="S88">
            <v>0.13604202277326685</v>
          </cell>
          <cell r="T88">
            <v>7.3065753126787383E-2</v>
          </cell>
          <cell r="U88">
            <v>0.13604202277326685</v>
          </cell>
          <cell r="V88">
            <v>7.3065753126787383E-2</v>
          </cell>
          <cell r="W88">
            <v>0</v>
          </cell>
          <cell r="X88">
            <v>0</v>
          </cell>
          <cell r="Y88">
            <v>0.23270346000690387</v>
          </cell>
          <cell r="Z88">
            <v>0.12498089350634684</v>
          </cell>
        </row>
        <row r="89">
          <cell r="C89">
            <v>4.9034694285941081</v>
          </cell>
          <cell r="D89">
            <v>1.9527090644843794</v>
          </cell>
          <cell r="E89">
            <v>2.9507603641097289</v>
          </cell>
          <cell r="F89">
            <v>9.6189002065341658</v>
          </cell>
          <cell r="G89">
            <v>69.096971859569479</v>
          </cell>
          <cell r="H89">
            <v>2.8929023177546362</v>
          </cell>
          <cell r="I89">
            <v>66.204069541814846</v>
          </cell>
          <cell r="J89">
            <v>15.3179177725108</v>
          </cell>
          <cell r="K89">
            <v>0.49179599446194466</v>
          </cell>
          <cell r="M89">
            <v>0.19584796239634963</v>
          </cell>
          <cell r="N89">
            <v>8.3671392086048374E-2</v>
          </cell>
          <cell r="O89">
            <v>0.295948032065595</v>
          </cell>
          <cell r="P89">
            <v>0.12643677026336197</v>
          </cell>
          <cell r="Q89">
            <v>0.96473255550794457</v>
          </cell>
          <cell r="R89">
            <v>0.41215907953497899</v>
          </cell>
          <cell r="S89">
            <v>6.9301164175360164</v>
          </cell>
          <cell r="T89">
            <v>2.9607277036670592</v>
          </cell>
          <cell r="U89">
            <v>0.29014512947607357</v>
          </cell>
          <cell r="V89">
            <v>0.12395761790525683</v>
          </cell>
          <cell r="W89">
            <v>6.6399712880599431</v>
          </cell>
          <cell r="X89">
            <v>2.8367700857618026</v>
          </cell>
          <cell r="Y89">
            <v>1.5363184605758096</v>
          </cell>
          <cell r="Z89">
            <v>0.65635558680833506</v>
          </cell>
        </row>
        <row r="90">
          <cell r="C90">
            <v>36.581164726143534</v>
          </cell>
          <cell r="D90">
            <v>2.0576905158455738</v>
          </cell>
          <cell r="E90">
            <v>34.523474210297962</v>
          </cell>
          <cell r="F90">
            <v>0</v>
          </cell>
          <cell r="G90">
            <v>10.288452579227869</v>
          </cell>
          <cell r="H90">
            <v>0</v>
          </cell>
          <cell r="I90">
            <v>10.288452579227869</v>
          </cell>
          <cell r="J90">
            <v>0</v>
          </cell>
          <cell r="K90">
            <v>8.8371072261775385</v>
          </cell>
          <cell r="M90">
            <v>0.49708728147248649</v>
          </cell>
          <cell r="N90">
            <v>0.43911527890513014</v>
          </cell>
          <cell r="O90">
            <v>8.3400199447050518</v>
          </cell>
          <cell r="P90">
            <v>7.3673785682971848</v>
          </cell>
          <cell r="Q90">
            <v>0</v>
          </cell>
          <cell r="R90">
            <v>0</v>
          </cell>
          <cell r="S90">
            <v>2.4854364073624322</v>
          </cell>
          <cell r="T90">
            <v>2.1955763945256508</v>
          </cell>
          <cell r="U90">
            <v>0</v>
          </cell>
          <cell r="V90">
            <v>0</v>
          </cell>
          <cell r="W90">
            <v>2.4854364073624322</v>
          </cell>
          <cell r="X90">
            <v>2.1955763945256508</v>
          </cell>
          <cell r="Y90">
            <v>0</v>
          </cell>
          <cell r="Z90">
            <v>0</v>
          </cell>
        </row>
        <row r="91">
          <cell r="C91">
            <v>19.891008319840545</v>
          </cell>
          <cell r="D91">
            <v>3.7724326123835521</v>
          </cell>
          <cell r="E91">
            <v>16.118575707456994</v>
          </cell>
          <cell r="F91">
            <v>18.404898502840968</v>
          </cell>
          <cell r="G91">
            <v>60.70187021744443</v>
          </cell>
          <cell r="H91">
            <v>1.2574775374611842</v>
          </cell>
          <cell r="I91">
            <v>59.444392679983245</v>
          </cell>
          <cell r="J91">
            <v>0</v>
          </cell>
          <cell r="K91">
            <v>4.0171072024000507</v>
          </cell>
          <cell r="M91">
            <v>0.76186515907587182</v>
          </cell>
          <cell r="N91">
            <v>0.67932349670703218</v>
          </cell>
          <cell r="O91">
            <v>3.2552420433241789</v>
          </cell>
          <cell r="P91">
            <v>2.9025640313845922</v>
          </cell>
          <cell r="Q91">
            <v>3.716978503370163</v>
          </cell>
          <cell r="R91">
            <v>3.3142752415100665</v>
          </cell>
          <cell r="S91">
            <v>12.259103014220845</v>
          </cell>
          <cell r="T91">
            <v>10.930932628831336</v>
          </cell>
          <cell r="U91">
            <v>0.25395505302529059</v>
          </cell>
          <cell r="V91">
            <v>0.22644116556901078</v>
          </cell>
          <cell r="W91">
            <v>12.005147961195554</v>
          </cell>
          <cell r="X91">
            <v>10.704491463262325</v>
          </cell>
          <cell r="Y91">
            <v>0</v>
          </cell>
          <cell r="Z91">
            <v>0</v>
          </cell>
        </row>
        <row r="92">
          <cell r="C92">
            <v>10.573339000389979</v>
          </cell>
          <cell r="D92">
            <v>2.5315222329475802</v>
          </cell>
          <cell r="E92">
            <v>8.0418167674423984</v>
          </cell>
          <cell r="F92">
            <v>1.5892575253152907</v>
          </cell>
          <cell r="G92">
            <v>37.38663194799085</v>
          </cell>
          <cell r="H92">
            <v>4.3422336757248381E-2</v>
          </cell>
          <cell r="I92">
            <v>37.343209611233604</v>
          </cell>
          <cell r="J92">
            <v>0</v>
          </cell>
          <cell r="K92">
            <v>4.9032285094671719</v>
          </cell>
          <cell r="M92">
            <v>1.1739557375849534</v>
          </cell>
          <cell r="N92">
            <v>0.62139122329328289</v>
          </cell>
          <cell r="O92">
            <v>3.7292727718822185</v>
          </cell>
          <cell r="P92">
            <v>1.9739563388321779</v>
          </cell>
          <cell r="Q92">
            <v>0.73699451107391589</v>
          </cell>
          <cell r="R92">
            <v>0.39010152268497694</v>
          </cell>
          <cell r="S92">
            <v>17.337493826083104</v>
          </cell>
          <cell r="T92">
            <v>9.1769784434908512</v>
          </cell>
          <cell r="U92">
            <v>2.0136462051199889E-2</v>
          </cell>
          <cell r="V92">
            <v>1.0658511548769862E-2</v>
          </cell>
          <cell r="W92">
            <v>17.317357364031906</v>
          </cell>
          <cell r="X92">
            <v>9.1663199319420805</v>
          </cell>
          <cell r="Y92">
            <v>0</v>
          </cell>
          <cell r="Z92">
            <v>0</v>
          </cell>
        </row>
        <row r="93">
          <cell r="C93">
            <v>6.142962952649353</v>
          </cell>
          <cell r="D93">
            <v>0.12203599042794176</v>
          </cell>
          <cell r="E93">
            <v>6.0209269622214112</v>
          </cell>
          <cell r="F93">
            <v>26.756390901326231</v>
          </cell>
          <cell r="G93">
            <v>30.692051592627351</v>
          </cell>
          <cell r="H93">
            <v>8.9848997952572116</v>
          </cell>
          <cell r="I93">
            <v>21.707151797370141</v>
          </cell>
          <cell r="J93">
            <v>0</v>
          </cell>
          <cell r="K93">
            <v>1.846938057712872</v>
          </cell>
          <cell r="M93">
            <v>3.6691237904151991E-2</v>
          </cell>
          <cell r="N93">
            <v>3.9231852530770508E-2</v>
          </cell>
          <cell r="O93">
            <v>1.81024681980872</v>
          </cell>
          <cell r="P93">
            <v>1.9355939002263924</v>
          </cell>
          <cell r="Q93">
            <v>8.044553910485325</v>
          </cell>
          <cell r="R93">
            <v>8.6015836673714343</v>
          </cell>
          <cell r="S93">
            <v>9.2278463328942255</v>
          </cell>
          <cell r="T93">
            <v>9.8668109114887841</v>
          </cell>
          <cell r="U93">
            <v>2.7013923906931905</v>
          </cell>
          <cell r="V93">
            <v>2.8884451425779787</v>
          </cell>
          <cell r="W93">
            <v>6.5264539422010355</v>
          </cell>
          <cell r="X93">
            <v>6.9783657689108045</v>
          </cell>
          <cell r="Y93">
            <v>0</v>
          </cell>
          <cell r="Z93">
            <v>0</v>
          </cell>
        </row>
        <row r="94">
          <cell r="C94">
            <v>1.0745717138304665</v>
          </cell>
          <cell r="D94">
            <v>0.2629271214691567</v>
          </cell>
          <cell r="E94">
            <v>0.8116445923613097</v>
          </cell>
          <cell r="F94">
            <v>0</v>
          </cell>
          <cell r="G94">
            <v>1.3260672213227032</v>
          </cell>
          <cell r="H94">
            <v>0.98311880201510748</v>
          </cell>
          <cell r="I94">
            <v>0.34294841930759562</v>
          </cell>
          <cell r="J94">
            <v>0</v>
          </cell>
          <cell r="K94">
            <v>3.9953351780351181</v>
          </cell>
          <cell r="M94">
            <v>0.97758201164689063</v>
          </cell>
          <cell r="N94">
            <v>0.5726815818467863</v>
          </cell>
          <cell r="O94">
            <v>3.0177531663882275</v>
          </cell>
          <cell r="P94">
            <v>1.7678431439618183</v>
          </cell>
          <cell r="Q94">
            <v>0</v>
          </cell>
          <cell r="R94">
            <v>0</v>
          </cell>
          <cell r="S94">
            <v>4.9304136239582306</v>
          </cell>
          <cell r="T94">
            <v>2.8883071084446614</v>
          </cell>
          <cell r="U94">
            <v>3.6553066522448954</v>
          </cell>
          <cell r="V94">
            <v>2.1413311321227662</v>
          </cell>
          <cell r="W94">
            <v>1.2751069717133354</v>
          </cell>
          <cell r="X94">
            <v>0.74697597632189505</v>
          </cell>
          <cell r="Y94">
            <v>0</v>
          </cell>
          <cell r="Z94">
            <v>0</v>
          </cell>
        </row>
        <row r="95">
          <cell r="C95">
            <v>6.8589683861519131</v>
          </cell>
          <cell r="D95">
            <v>1.4861098169995812</v>
          </cell>
          <cell r="E95">
            <v>5.3728585691523323</v>
          </cell>
          <cell r="F95">
            <v>4.9155940100755373</v>
          </cell>
          <cell r="G95">
            <v>17.513232612641218</v>
          </cell>
          <cell r="H95">
            <v>2.7664505824146048</v>
          </cell>
          <cell r="I95">
            <v>14.746782030226614</v>
          </cell>
          <cell r="J95">
            <v>1.1431613976919854</v>
          </cell>
          <cell r="K95">
            <v>2.6924928895586673</v>
          </cell>
          <cell r="M95">
            <v>0.58337345940437779</v>
          </cell>
          <cell r="N95">
            <v>0.58526159708992198</v>
          </cell>
          <cell r="O95">
            <v>2.1091194301542893</v>
          </cell>
          <cell r="P95">
            <v>2.1159457740943335</v>
          </cell>
          <cell r="Q95">
            <v>1.929619904183711</v>
          </cell>
          <cell r="R95">
            <v>1.9358652826820495</v>
          </cell>
          <cell r="S95">
            <v>6.87483184467313</v>
          </cell>
          <cell r="T95">
            <v>6.897082821090466</v>
          </cell>
          <cell r="U95">
            <v>1.0859721321219955</v>
          </cell>
          <cell r="V95">
            <v>1.0894869730443162</v>
          </cell>
          <cell r="W95">
            <v>5.7888597125511341</v>
          </cell>
          <cell r="X95">
            <v>5.8075958480461498</v>
          </cell>
          <cell r="Y95">
            <v>0.44874881492644442</v>
          </cell>
          <cell r="Z95">
            <v>0.45020122853070921</v>
          </cell>
        </row>
        <row r="96">
          <cell r="C96">
            <v>13.260672213227091</v>
          </cell>
          <cell r="D96">
            <v>0.34294841930759717</v>
          </cell>
          <cell r="E96">
            <v>12.917723793919494</v>
          </cell>
          <cell r="F96">
            <v>1.3717936772303887</v>
          </cell>
          <cell r="G96">
            <v>9.392214033999176</v>
          </cell>
          <cell r="H96">
            <v>6.4199944000000002</v>
          </cell>
          <cell r="I96">
            <v>2.9722196339991758</v>
          </cell>
          <cell r="J96">
            <v>0</v>
          </cell>
          <cell r="K96">
            <v>6.5034215682298893</v>
          </cell>
          <cell r="M96">
            <v>0.16819193710939367</v>
          </cell>
          <cell r="N96">
            <v>0.113730523383966</v>
          </cell>
          <cell r="O96">
            <v>6.3352296311204954</v>
          </cell>
          <cell r="P96">
            <v>4.2838497141293859</v>
          </cell>
          <cell r="Q96">
            <v>0.6727677484375747</v>
          </cell>
          <cell r="R96">
            <v>0.45492209353586399</v>
          </cell>
          <cell r="S96">
            <v>4.6062165130071495</v>
          </cell>
          <cell r="T96">
            <v>3.1146999306122587</v>
          </cell>
          <cell r="U96">
            <v>3.148553058059071</v>
          </cell>
          <cell r="V96">
            <v>2.1290353946178868</v>
          </cell>
          <cell r="W96">
            <v>1.4576634549480787</v>
          </cell>
          <cell r="X96">
            <v>0.98566453599437198</v>
          </cell>
          <cell r="Y96">
            <v>0</v>
          </cell>
          <cell r="Z96">
            <v>0</v>
          </cell>
        </row>
        <row r="97">
          <cell r="C97">
            <v>0.88253820443329634</v>
          </cell>
          <cell r="D97">
            <v>2.1328006607137996E-2</v>
          </cell>
          <cell r="E97">
            <v>0.86121019782615837</v>
          </cell>
          <cell r="F97">
            <v>0</v>
          </cell>
          <cell r="G97">
            <v>0.91931062961801713</v>
          </cell>
          <cell r="H97">
            <v>0</v>
          </cell>
          <cell r="I97">
            <v>0.91931062961801713</v>
          </cell>
          <cell r="J97">
            <v>0</v>
          </cell>
          <cell r="K97">
            <v>4.2572996227017779</v>
          </cell>
          <cell r="M97">
            <v>0.10288474088195963</v>
          </cell>
          <cell r="N97">
            <v>0.11184564931503611</v>
          </cell>
          <cell r="O97">
            <v>4.1544148818198181</v>
          </cell>
          <cell r="P97">
            <v>4.5162501844105956</v>
          </cell>
          <cell r="Q97">
            <v>0</v>
          </cell>
          <cell r="R97">
            <v>0</v>
          </cell>
          <cell r="S97">
            <v>4.434687106981019</v>
          </cell>
          <cell r="T97">
            <v>4.8209331601308669</v>
          </cell>
          <cell r="U97">
            <v>0</v>
          </cell>
          <cell r="V97">
            <v>0</v>
          </cell>
          <cell r="W97">
            <v>4.434687106981019</v>
          </cell>
          <cell r="X97">
            <v>4.8209331601308669</v>
          </cell>
          <cell r="Y97">
            <v>0</v>
          </cell>
          <cell r="Z97">
            <v>0</v>
          </cell>
        </row>
        <row r="98">
          <cell r="C98">
            <v>23.434808652685703</v>
          </cell>
          <cell r="D98">
            <v>2.2863227953839709</v>
          </cell>
          <cell r="E98">
            <v>21.148485857301733</v>
          </cell>
          <cell r="F98">
            <v>2.8579034942299635</v>
          </cell>
          <cell r="G98">
            <v>6.8589683861519131</v>
          </cell>
          <cell r="H98">
            <v>4.5726455907679417</v>
          </cell>
          <cell r="I98">
            <v>2.2863227953839709</v>
          </cell>
          <cell r="J98">
            <v>0</v>
          </cell>
          <cell r="K98">
            <v>6.308725700048833</v>
          </cell>
          <cell r="M98">
            <v>0.61548543415110557</v>
          </cell>
          <cell r="N98">
            <v>0.54711015942821217</v>
          </cell>
          <cell r="O98">
            <v>5.6932402658977272</v>
          </cell>
          <cell r="P98">
            <v>5.060768974710963</v>
          </cell>
          <cell r="Q98">
            <v>0.76935679268888202</v>
          </cell>
          <cell r="R98">
            <v>0.68388769928526516</v>
          </cell>
          <cell r="S98">
            <v>1.8464563024533167</v>
          </cell>
          <cell r="T98">
            <v>1.6413304782846365</v>
          </cell>
          <cell r="U98">
            <v>1.2309708683022111</v>
          </cell>
          <cell r="V98">
            <v>1.0942203188564243</v>
          </cell>
          <cell r="W98">
            <v>0.61548543415110557</v>
          </cell>
          <cell r="X98">
            <v>0.54711015942821217</v>
          </cell>
          <cell r="Y98">
            <v>0</v>
          </cell>
          <cell r="Z98">
            <v>0</v>
          </cell>
        </row>
        <row r="99">
          <cell r="C99">
            <v>25.918306382883841</v>
          </cell>
          <cell r="D99">
            <v>4.0163261841927023</v>
          </cell>
          <cell r="E99">
            <v>21.901980198691138</v>
          </cell>
          <cell r="F99">
            <v>2.0803991745458603</v>
          </cell>
          <cell r="G99">
            <v>11.153251130204193</v>
          </cell>
          <cell r="H99">
            <v>0.9535162883335192</v>
          </cell>
          <cell r="I99">
            <v>10.199734841870674</v>
          </cell>
          <cell r="J99">
            <v>0</v>
          </cell>
          <cell r="K99">
            <v>7.2304547534162724</v>
          </cell>
          <cell r="M99">
            <v>1.1204383620121092</v>
          </cell>
          <cell r="N99">
            <v>1.1730037337064394</v>
          </cell>
          <cell r="O99">
            <v>6.1100163914041632</v>
          </cell>
          <cell r="P99">
            <v>6.3966678428020227</v>
          </cell>
          <cell r="Q99">
            <v>0.5803709501069918</v>
          </cell>
          <cell r="R99">
            <v>0.60759905630837163</v>
          </cell>
          <cell r="S99">
            <v>3.1114331491847054</v>
          </cell>
          <cell r="T99">
            <v>3.257406051875436</v>
          </cell>
          <cell r="U99">
            <v>0.2660033521323712</v>
          </cell>
          <cell r="V99">
            <v>0.27848290080800364</v>
          </cell>
          <cell r="W99">
            <v>2.8454297970523341</v>
          </cell>
          <cell r="X99">
            <v>2.9789231510674323</v>
          </cell>
          <cell r="Y99">
            <v>0</v>
          </cell>
          <cell r="Z99">
            <v>0</v>
          </cell>
        </row>
        <row r="100">
          <cell r="C100">
            <v>2.6412118346100706</v>
          </cell>
          <cell r="D100">
            <v>0.2311060355223796</v>
          </cell>
          <cell r="E100">
            <v>2.4101057990876908</v>
          </cell>
          <cell r="F100">
            <v>0</v>
          </cell>
          <cell r="G100">
            <v>1.0485610983298868</v>
          </cell>
          <cell r="H100">
            <v>0.2311060355223796</v>
          </cell>
          <cell r="I100">
            <v>0.81745506280750724</v>
          </cell>
          <cell r="J100">
            <v>0</v>
          </cell>
          <cell r="K100">
            <v>8.7573111594010662</v>
          </cell>
          <cell r="M100">
            <v>0.76626472642769428</v>
          </cell>
          <cell r="N100">
            <v>0.41698887873437651</v>
          </cell>
          <cell r="O100">
            <v>7.9910464329733726</v>
          </cell>
          <cell r="P100">
            <v>4.348598306925112</v>
          </cell>
          <cell r="Q100">
            <v>0</v>
          </cell>
          <cell r="R100">
            <v>0</v>
          </cell>
          <cell r="S100">
            <v>3.4766525302480353</v>
          </cell>
          <cell r="T100">
            <v>1.8919381126882124</v>
          </cell>
          <cell r="U100">
            <v>0.76626472642769428</v>
          </cell>
          <cell r="V100">
            <v>0.41698887873437651</v>
          </cell>
          <cell r="W100">
            <v>2.7103878038203408</v>
          </cell>
          <cell r="X100">
            <v>1.4749492339538359</v>
          </cell>
          <cell r="Y100">
            <v>0</v>
          </cell>
          <cell r="Z100">
            <v>0</v>
          </cell>
        </row>
        <row r="101">
          <cell r="C101">
            <v>2.5949763727608071</v>
          </cell>
          <cell r="D101">
            <v>0.57158069884599272</v>
          </cell>
          <cell r="E101">
            <v>2.0233956739148145</v>
          </cell>
          <cell r="F101">
            <v>2.503523460945448</v>
          </cell>
          <cell r="G101">
            <v>1.9662376040302147</v>
          </cell>
          <cell r="H101">
            <v>0.36581164726143534</v>
          </cell>
          <cell r="I101">
            <v>1.6004259567687795</v>
          </cell>
          <cell r="J101">
            <v>0</v>
          </cell>
          <cell r="K101">
            <v>5.3818960772623692</v>
          </cell>
          <cell r="M101">
            <v>1.1854396645952354</v>
          </cell>
          <cell r="N101">
            <v>0.5884329880166066</v>
          </cell>
          <cell r="O101">
            <v>4.1964564126671338</v>
          </cell>
          <cell r="P101">
            <v>2.0830527775787875</v>
          </cell>
          <cell r="Q101">
            <v>5.19222573092713</v>
          </cell>
          <cell r="R101">
            <v>2.5773364875127363</v>
          </cell>
          <cell r="S101">
            <v>4.0779124462076091</v>
          </cell>
          <cell r="T101">
            <v>2.0242094787771263</v>
          </cell>
          <cell r="U101">
            <v>0.75868138534095053</v>
          </cell>
          <cell r="V101">
            <v>0.3765971123306282</v>
          </cell>
          <cell r="W101">
            <v>3.3192310608666586</v>
          </cell>
          <cell r="X101">
            <v>1.6476123664464981</v>
          </cell>
          <cell r="Y101">
            <v>0</v>
          </cell>
          <cell r="Z101">
            <v>0</v>
          </cell>
        </row>
        <row r="102">
          <cell r="C102">
            <v>3.5438003328451551</v>
          </cell>
          <cell r="D102">
            <v>0.2286322795383971</v>
          </cell>
          <cell r="E102">
            <v>3.315168053306758</v>
          </cell>
          <cell r="F102">
            <v>5.2145883075488326</v>
          </cell>
          <cell r="G102">
            <v>2.8579034942299635</v>
          </cell>
          <cell r="H102">
            <v>0</v>
          </cell>
          <cell r="I102">
            <v>2.8579034942299635</v>
          </cell>
          <cell r="J102">
            <v>1.2574775374611842</v>
          </cell>
          <cell r="K102">
            <v>5.3244195640159759</v>
          </cell>
          <cell r="M102">
            <v>0.34351093961393397</v>
          </cell>
          <cell r="N102">
            <v>0.34461904039089231</v>
          </cell>
          <cell r="O102">
            <v>4.9809086244020424</v>
          </cell>
          <cell r="P102">
            <v>4.9969760856679386</v>
          </cell>
          <cell r="Q102">
            <v>7.8347122849077095</v>
          </cell>
          <cell r="R102">
            <v>7.8599855725063756</v>
          </cell>
          <cell r="S102">
            <v>4.2938867451741736</v>
          </cell>
          <cell r="T102">
            <v>4.3077380048861542</v>
          </cell>
          <cell r="U102">
            <v>0</v>
          </cell>
          <cell r="V102">
            <v>0</v>
          </cell>
          <cell r="W102">
            <v>4.2938867451741736</v>
          </cell>
          <cell r="X102">
            <v>4.3077380048861542</v>
          </cell>
          <cell r="Y102">
            <v>1.8893101678766371</v>
          </cell>
          <cell r="Z102">
            <v>1.8954047221499077</v>
          </cell>
        </row>
        <row r="103">
          <cell r="C103">
            <v>40.696545757834684</v>
          </cell>
          <cell r="D103">
            <v>4.2296971714603462</v>
          </cell>
          <cell r="E103">
            <v>36.46684858637434</v>
          </cell>
          <cell r="F103">
            <v>30.86535773768361</v>
          </cell>
          <cell r="G103">
            <v>37.724326123835517</v>
          </cell>
          <cell r="H103">
            <v>0</v>
          </cell>
          <cell r="I103">
            <v>37.724326123835517</v>
          </cell>
          <cell r="J103">
            <v>0</v>
          </cell>
          <cell r="K103">
            <v>4.8433829218327409</v>
          </cell>
          <cell r="M103">
            <v>0.50338530367362755</v>
          </cell>
          <cell r="N103">
            <v>0.45361580379094008</v>
          </cell>
          <cell r="O103">
            <v>4.3399976181591136</v>
          </cell>
          <cell r="P103">
            <v>3.9109038218732408</v>
          </cell>
          <cell r="Q103">
            <v>3.6733522159967418</v>
          </cell>
          <cell r="R103">
            <v>3.3101693790149684</v>
          </cell>
          <cell r="S103">
            <v>4.4896527084404623</v>
          </cell>
          <cell r="T103">
            <v>4.0457625743516274</v>
          </cell>
          <cell r="U103">
            <v>0</v>
          </cell>
          <cell r="V103">
            <v>0</v>
          </cell>
          <cell r="W103">
            <v>4.4896527084404623</v>
          </cell>
          <cell r="X103">
            <v>4.0457625743516274</v>
          </cell>
          <cell r="Y103">
            <v>0</v>
          </cell>
          <cell r="Z103">
            <v>0</v>
          </cell>
        </row>
        <row r="104">
          <cell r="C104">
            <v>37.647910645019209</v>
          </cell>
          <cell r="D104">
            <v>0.51484322249598913</v>
          </cell>
          <cell r="E104">
            <v>37.133067422523219</v>
          </cell>
          <cell r="F104">
            <v>0</v>
          </cell>
          <cell r="G104">
            <v>7.9478922472818319</v>
          </cell>
          <cell r="H104">
            <v>3.9256795715319166</v>
          </cell>
          <cell r="I104">
            <v>4.0222126757499153</v>
          </cell>
          <cell r="J104">
            <v>0</v>
          </cell>
          <cell r="K104">
            <v>18.55133533343367</v>
          </cell>
          <cell r="M104">
            <v>0.25369347464524672</v>
          </cell>
          <cell r="N104">
            <v>0.26541894272185967</v>
          </cell>
          <cell r="O104">
            <v>18.297641858788424</v>
          </cell>
          <cell r="P104">
            <v>19.143341243814131</v>
          </cell>
          <cell r="Q104">
            <v>0</v>
          </cell>
          <cell r="R104">
            <v>0</v>
          </cell>
          <cell r="S104">
            <v>3.9163930148359967</v>
          </cell>
          <cell r="T104">
            <v>4.0974049282687082</v>
          </cell>
          <cell r="U104">
            <v>1.9344127441700061</v>
          </cell>
          <cell r="V104">
            <v>2.0238194382541796</v>
          </cell>
          <cell r="W104">
            <v>1.9819802706659906</v>
          </cell>
          <cell r="X104">
            <v>2.0735854900145285</v>
          </cell>
          <cell r="Y104">
            <v>0</v>
          </cell>
          <cell r="Z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19.124674418686535</v>
          </cell>
          <cell r="H105">
            <v>5.3242412078748709</v>
          </cell>
          <cell r="I105">
            <v>13.800433210811665</v>
          </cell>
          <cell r="J105">
            <v>0</v>
          </cell>
          <cell r="K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4.6617198026557771</v>
          </cell>
          <cell r="T105">
            <v>5.7873891454636235</v>
          </cell>
          <cell r="U105">
            <v>1.2978061811402497</v>
          </cell>
          <cell r="V105">
            <v>1.6111885148840825</v>
          </cell>
          <cell r="W105">
            <v>3.3639136215155276</v>
          </cell>
          <cell r="X105">
            <v>4.1762006305795412</v>
          </cell>
          <cell r="Y105">
            <v>0</v>
          </cell>
          <cell r="Z105">
            <v>0</v>
          </cell>
        </row>
        <row r="106">
          <cell r="C106">
            <v>7.2019168054595077</v>
          </cell>
          <cell r="D106">
            <v>1.8290582363071768</v>
          </cell>
          <cell r="E106">
            <v>5.3728585691523305</v>
          </cell>
          <cell r="F106">
            <v>9.0309750417666859</v>
          </cell>
          <cell r="G106">
            <v>14.861098169995811</v>
          </cell>
          <cell r="H106">
            <v>0</v>
          </cell>
          <cell r="I106">
            <v>14.861098169995811</v>
          </cell>
          <cell r="J106">
            <v>0</v>
          </cell>
          <cell r="K106">
            <v>3.2388197867879107</v>
          </cell>
          <cell r="M106">
            <v>0.82255740616835848</v>
          </cell>
          <cell r="N106">
            <v>0.53604128603875123</v>
          </cell>
          <cell r="O106">
            <v>2.4162623806195525</v>
          </cell>
          <cell r="P106">
            <v>1.5746212777388313</v>
          </cell>
          <cell r="Q106">
            <v>4.0613771929562708</v>
          </cell>
          <cell r="R106">
            <v>2.6467038498163342</v>
          </cell>
          <cell r="S106">
            <v>6.6832789251179126</v>
          </cell>
          <cell r="T106">
            <v>4.3553354490648539</v>
          </cell>
          <cell r="U106">
            <v>0</v>
          </cell>
          <cell r="V106">
            <v>0</v>
          </cell>
          <cell r="W106">
            <v>6.6832789251179126</v>
          </cell>
          <cell r="X106">
            <v>4.3553354490648539</v>
          </cell>
          <cell r="Y106">
            <v>0</v>
          </cell>
          <cell r="Z106">
            <v>0</v>
          </cell>
        </row>
        <row r="107">
          <cell r="C107">
            <v>2.5149550749223684</v>
          </cell>
          <cell r="D107">
            <v>0.18290582363071767</v>
          </cell>
          <cell r="E107">
            <v>2.3320492512916506</v>
          </cell>
          <cell r="F107">
            <v>1.4060885191611421</v>
          </cell>
          <cell r="G107">
            <v>4.5840772047448617</v>
          </cell>
          <cell r="H107">
            <v>0</v>
          </cell>
          <cell r="I107">
            <v>4.5840772047448617</v>
          </cell>
          <cell r="J107">
            <v>0</v>
          </cell>
          <cell r="K107">
            <v>2.52787094908023</v>
          </cell>
          <cell r="M107">
            <v>0.18384515993310763</v>
          </cell>
          <cell r="N107">
            <v>0.10065712862467636</v>
          </cell>
          <cell r="O107">
            <v>2.3440257891471226</v>
          </cell>
          <cell r="P107">
            <v>1.2833783899646238</v>
          </cell>
          <cell r="Q107">
            <v>1.4133096669857648</v>
          </cell>
          <cell r="R107">
            <v>0.77380167630219954</v>
          </cell>
          <cell r="S107">
            <v>4.6076193208235097</v>
          </cell>
          <cell r="T107">
            <v>2.5227192861559513</v>
          </cell>
          <cell r="U107">
            <v>0</v>
          </cell>
          <cell r="V107">
            <v>0</v>
          </cell>
          <cell r="W107">
            <v>4.6076193208235097</v>
          </cell>
          <cell r="X107">
            <v>2.5227192861559513</v>
          </cell>
          <cell r="Y107">
            <v>0</v>
          </cell>
          <cell r="Z107">
            <v>0</v>
          </cell>
        </row>
        <row r="108">
          <cell r="C108">
            <v>4.1153810316911672</v>
          </cell>
          <cell r="D108">
            <v>0.11431613976919908</v>
          </cell>
          <cell r="E108">
            <v>4.0010648919219678</v>
          </cell>
          <cell r="F108">
            <v>0</v>
          </cell>
          <cell r="G108">
            <v>3.3151680533067727</v>
          </cell>
          <cell r="H108">
            <v>0.68589683861519435</v>
          </cell>
          <cell r="I108">
            <v>2.6292712146915784</v>
          </cell>
          <cell r="J108">
            <v>0.11431613976919908</v>
          </cell>
          <cell r="K108">
            <v>8.1625269737342627</v>
          </cell>
          <cell r="M108">
            <v>0.22673686038150731</v>
          </cell>
          <cell r="N108">
            <v>0.1503420563721469</v>
          </cell>
          <cell r="O108">
            <v>7.9357901133527555</v>
          </cell>
          <cell r="P108">
            <v>5.2619719730251413</v>
          </cell>
          <cell r="Q108">
            <v>0</v>
          </cell>
          <cell r="R108">
            <v>0</v>
          </cell>
          <cell r="S108">
            <v>6.5753689510637106</v>
          </cell>
          <cell r="T108">
            <v>4.3599196347922593</v>
          </cell>
          <cell r="U108">
            <v>1.3604211622890434</v>
          </cell>
          <cell r="V108">
            <v>0.90205233823288122</v>
          </cell>
          <cell r="W108">
            <v>5.2149477887746674</v>
          </cell>
          <cell r="X108">
            <v>3.4578672965593782</v>
          </cell>
          <cell r="Y108">
            <v>0.22673686038150731</v>
          </cell>
          <cell r="Z108">
            <v>0.1503420563721469</v>
          </cell>
        </row>
        <row r="109">
          <cell r="C109">
            <v>27.74467105165445</v>
          </cell>
          <cell r="D109">
            <v>1.5449973683666396</v>
          </cell>
          <cell r="E109">
            <v>26.199673683287809</v>
          </cell>
          <cell r="F109">
            <v>34.272828946161376</v>
          </cell>
          <cell r="G109">
            <v>28.473648683207717</v>
          </cell>
          <cell r="H109">
            <v>1.272990789428851</v>
          </cell>
          <cell r="I109">
            <v>27.200657893778867</v>
          </cell>
          <cell r="J109">
            <v>0</v>
          </cell>
          <cell r="K109">
            <v>5.0461253433878568</v>
          </cell>
          <cell r="M109">
            <v>0.28099992108277472</v>
          </cell>
          <cell r="N109">
            <v>0.29654204441953458</v>
          </cell>
          <cell r="O109">
            <v>4.7651254223050818</v>
          </cell>
          <cell r="P109">
            <v>5.0286848095932344</v>
          </cell>
          <cell r="Q109">
            <v>6.2334489535967634</v>
          </cell>
          <cell r="R109">
            <v>6.5782214078981269</v>
          </cell>
          <cell r="S109">
            <v>5.1787098131945175</v>
          </cell>
          <cell r="T109">
            <v>5.4651445791966333</v>
          </cell>
          <cell r="U109">
            <v>0.23152810399073692</v>
          </cell>
          <cell r="V109">
            <v>0.24433393800764469</v>
          </cell>
          <cell r="W109">
            <v>4.9471817092037806</v>
          </cell>
          <cell r="X109">
            <v>5.2208106411889883</v>
          </cell>
          <cell r="Y109">
            <v>0</v>
          </cell>
          <cell r="Z109">
            <v>0</v>
          </cell>
        </row>
        <row r="110">
          <cell r="C110">
            <v>33.755844605203976</v>
          </cell>
          <cell r="D110">
            <v>2.7773796194155169</v>
          </cell>
          <cell r="E110">
            <v>30.978464985788456</v>
          </cell>
          <cell r="F110">
            <v>0</v>
          </cell>
          <cell r="G110">
            <v>45.212535535292979</v>
          </cell>
          <cell r="H110">
            <v>1.014811784017208</v>
          </cell>
          <cell r="I110">
            <v>44.197723751275774</v>
          </cell>
          <cell r="J110">
            <v>0</v>
          </cell>
          <cell r="K110">
            <v>4.5181906835291334</v>
          </cell>
          <cell r="M110">
            <v>0.37174986636632118</v>
          </cell>
          <cell r="N110">
            <v>0.47009356520710599</v>
          </cell>
          <cell r="O110">
            <v>4.1464408171628122</v>
          </cell>
          <cell r="P110">
            <v>5.243351304233105</v>
          </cell>
          <cell r="Q110">
            <v>0</v>
          </cell>
          <cell r="R110">
            <v>0</v>
          </cell>
          <cell r="S110">
            <v>6.0516588822902087</v>
          </cell>
          <cell r="T110">
            <v>7.6525808259195234</v>
          </cell>
          <cell r="U110">
            <v>0.13583168194154041</v>
          </cell>
          <cell r="V110">
            <v>0.17176495651798102</v>
          </cell>
          <cell r="W110">
            <v>5.9158272003486685</v>
          </cell>
          <cell r="X110">
            <v>7.4808158694015425</v>
          </cell>
          <cell r="Y110">
            <v>0</v>
          </cell>
          <cell r="Z110">
            <v>0</v>
          </cell>
        </row>
        <row r="111">
          <cell r="C111">
            <v>20.586692247925818</v>
          </cell>
          <cell r="D111">
            <v>1.746749645278554</v>
          </cell>
          <cell r="E111">
            <v>18.839942602647263</v>
          </cell>
          <cell r="F111">
            <v>5.6145524312524948</v>
          </cell>
          <cell r="G111">
            <v>0</v>
          </cell>
          <cell r="H111">
            <v>0</v>
          </cell>
          <cell r="I111">
            <v>0</v>
          </cell>
          <cell r="J111">
            <v>5.6145524312524948</v>
          </cell>
          <cell r="K111">
            <v>7.8587322070419496</v>
          </cell>
          <cell r="M111">
            <v>0.66680152059749864</v>
          </cell>
          <cell r="N111">
            <v>0.39582924644377454</v>
          </cell>
          <cell r="O111">
            <v>7.1919306864444508</v>
          </cell>
          <cell r="P111">
            <v>4.2693011580721407</v>
          </cell>
          <cell r="Q111">
            <v>2.1432906019205311</v>
          </cell>
          <cell r="R111">
            <v>1.2723082921407038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2.1432906019205311</v>
          </cell>
          <cell r="Z111">
            <v>1.2723082921407038</v>
          </cell>
        </row>
        <row r="112">
          <cell r="C112">
            <v>7.0502118032217247</v>
          </cell>
          <cell r="D112">
            <v>2.366534055873502</v>
          </cell>
          <cell r="E112">
            <v>4.6836777473482227</v>
          </cell>
          <cell r="F112">
            <v>0.10508588169953384</v>
          </cell>
          <cell r="G112">
            <v>6.9141255864208286</v>
          </cell>
          <cell r="H112">
            <v>0.92028960898366752</v>
          </cell>
          <cell r="I112">
            <v>5.9938359774371612</v>
          </cell>
          <cell r="J112">
            <v>0</v>
          </cell>
          <cell r="K112">
            <v>2.1935559481120208</v>
          </cell>
          <cell r="M112">
            <v>0.73630764572190655</v>
          </cell>
          <cell r="N112">
            <v>0.34274292029233372</v>
          </cell>
          <cell r="O112">
            <v>1.4572483023901142</v>
          </cell>
          <cell r="P112">
            <v>0.67833268017004056</v>
          </cell>
          <cell r="Q112">
            <v>3.2695721390848427E-2</v>
          </cell>
          <cell r="R112">
            <v>1.5219490243886932E-2</v>
          </cell>
          <cell r="S112">
            <v>2.1512149889108723</v>
          </cell>
          <cell r="T112">
            <v>1.0013663605965408</v>
          </cell>
          <cell r="U112">
            <v>0.28633278008035506</v>
          </cell>
          <cell r="V112">
            <v>0.1332846858108398</v>
          </cell>
          <cell r="W112">
            <v>1.864882208830517</v>
          </cell>
          <cell r="X112">
            <v>0.86808167478570097</v>
          </cell>
          <cell r="Y112">
            <v>0</v>
          </cell>
          <cell r="Z112">
            <v>0</v>
          </cell>
        </row>
        <row r="113">
          <cell r="C113">
            <v>0.85162638443699334</v>
          </cell>
          <cell r="D113">
            <v>0.19652916563930617</v>
          </cell>
          <cell r="E113">
            <v>0.65509721879768712</v>
          </cell>
          <cell r="F113">
            <v>0.40684985167435311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1.3227607831369561</v>
          </cell>
          <cell r="M113">
            <v>0.30525248841622071</v>
          </cell>
          <cell r="N113">
            <v>0.21541340810752788</v>
          </cell>
          <cell r="O113">
            <v>1.0175082947207355</v>
          </cell>
          <cell r="P113">
            <v>0.71804469369175949</v>
          </cell>
          <cell r="Q113">
            <v>0.63192620408972</v>
          </cell>
          <cell r="R113">
            <v>0.4459435466085665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</row>
        <row r="114">
          <cell r="C114">
            <v>6.1891640315932381</v>
          </cell>
          <cell r="D114">
            <v>1.7694150329493317</v>
          </cell>
          <cell r="E114">
            <v>4.4197489986439065</v>
          </cell>
          <cell r="F114">
            <v>0</v>
          </cell>
          <cell r="G114">
            <v>6.6270225953158493</v>
          </cell>
          <cell r="H114">
            <v>0</v>
          </cell>
          <cell r="I114">
            <v>6.6270225953158493</v>
          </cell>
          <cell r="J114">
            <v>0</v>
          </cell>
          <cell r="K114">
            <v>4.1993466801001249</v>
          </cell>
          <cell r="M114">
            <v>1.2005477809936589</v>
          </cell>
          <cell r="N114">
            <v>0.57098503498505992</v>
          </cell>
          <cell r="O114">
            <v>2.998798899106466</v>
          </cell>
          <cell r="P114">
            <v>1.4262400226188992</v>
          </cell>
          <cell r="Q114">
            <v>0</v>
          </cell>
          <cell r="R114">
            <v>0</v>
          </cell>
          <cell r="S114">
            <v>4.4964336366803703</v>
          </cell>
          <cell r="T114">
            <v>2.1385207302811238</v>
          </cell>
          <cell r="U114">
            <v>0</v>
          </cell>
          <cell r="V114">
            <v>0</v>
          </cell>
          <cell r="W114">
            <v>4.4964336366803703</v>
          </cell>
          <cell r="X114">
            <v>2.1385207302811238</v>
          </cell>
          <cell r="Y114">
            <v>0</v>
          </cell>
          <cell r="Z114">
            <v>0</v>
          </cell>
        </row>
        <row r="115">
          <cell r="C115">
            <v>38.720578300885037</v>
          </cell>
          <cell r="D115">
            <v>2.169577558058819</v>
          </cell>
          <cell r="E115">
            <v>36.551000742826218</v>
          </cell>
          <cell r="F115">
            <v>0</v>
          </cell>
          <cell r="G115">
            <v>29.097863719847695</v>
          </cell>
          <cell r="H115">
            <v>10.209776743806207</v>
          </cell>
          <cell r="I115">
            <v>18.888086976041485</v>
          </cell>
          <cell r="J115">
            <v>0</v>
          </cell>
          <cell r="K115">
            <v>6.7752173418966866</v>
          </cell>
          <cell r="M115">
            <v>0.37962654849124489</v>
          </cell>
          <cell r="N115">
            <v>0.17850392759666606</v>
          </cell>
          <cell r="O115">
            <v>6.3955907934054421</v>
          </cell>
          <cell r="P115">
            <v>3.0072661684520678</v>
          </cell>
          <cell r="Q115">
            <v>0</v>
          </cell>
          <cell r="R115">
            <v>0</v>
          </cell>
          <cell r="S115">
            <v>5.0914619444708142</v>
          </cell>
          <cell r="T115">
            <v>2.3940526760023451</v>
          </cell>
          <cell r="U115">
            <v>1.7864778752529171</v>
          </cell>
          <cell r="V115">
            <v>0.84001848280784031</v>
          </cell>
          <cell r="W115">
            <v>3.3049840692178969</v>
          </cell>
          <cell r="X115">
            <v>1.5540341931945045</v>
          </cell>
          <cell r="Y115">
            <v>0</v>
          </cell>
          <cell r="Z115">
            <v>0</v>
          </cell>
        </row>
        <row r="116">
          <cell r="C116">
            <v>218.44777903701456</v>
          </cell>
          <cell r="D116">
            <v>11.460913817997604</v>
          </cell>
          <cell r="E116">
            <v>206.98686521901695</v>
          </cell>
          <cell r="F116">
            <v>0</v>
          </cell>
          <cell r="G116">
            <v>24.16457732710338</v>
          </cell>
          <cell r="H116">
            <v>10.356247425901449</v>
          </cell>
          <cell r="I116">
            <v>13.808329901201931</v>
          </cell>
          <cell r="J116">
            <v>0</v>
          </cell>
          <cell r="K116">
            <v>14.614106991358739</v>
          </cell>
          <cell r="M116">
            <v>0.76673254126597679</v>
          </cell>
          <cell r="N116">
            <v>0.93442861409272149</v>
          </cell>
          <cell r="O116">
            <v>13.847374450092762</v>
          </cell>
          <cell r="P116">
            <v>16.876005934036016</v>
          </cell>
          <cell r="Q116">
            <v>0</v>
          </cell>
          <cell r="R116">
            <v>0</v>
          </cell>
          <cell r="S116">
            <v>1.6166047556812764</v>
          </cell>
          <cell r="T116">
            <v>1.9701808128460994</v>
          </cell>
          <cell r="U116">
            <v>0.69283060957768994</v>
          </cell>
          <cell r="V116">
            <v>0.84436320550547117</v>
          </cell>
          <cell r="W116">
            <v>0.92377414610358644</v>
          </cell>
          <cell r="X116">
            <v>1.1258176073406283</v>
          </cell>
          <cell r="Y116">
            <v>0</v>
          </cell>
          <cell r="Z116">
            <v>0</v>
          </cell>
        </row>
        <row r="117">
          <cell r="C117">
            <v>240.10443817674749</v>
          </cell>
          <cell r="D117">
            <v>39.211353864005552</v>
          </cell>
          <cell r="E117">
            <v>200.89308431274193</v>
          </cell>
          <cell r="F117">
            <v>63.244119135492831</v>
          </cell>
          <cell r="G117">
            <v>65.922693592996055</v>
          </cell>
          <cell r="H117">
            <v>3.8690519941713259</v>
          </cell>
          <cell r="I117">
            <v>62.053641598824733</v>
          </cell>
          <cell r="J117">
            <v>0</v>
          </cell>
          <cell r="K117">
            <v>14.152052213106629</v>
          </cell>
          <cell r="M117">
            <v>2.3111656387688853</v>
          </cell>
          <cell r="N117">
            <v>2.2751159505127827</v>
          </cell>
          <cell r="O117">
            <v>11.840886574337743</v>
          </cell>
          <cell r="P117">
            <v>11.656191776820709</v>
          </cell>
          <cell r="Q117">
            <v>3.7276865141433637</v>
          </cell>
          <cell r="R117">
            <v>3.6695418556657788</v>
          </cell>
          <cell r="S117">
            <v>3.8855650018011998</v>
          </cell>
          <cell r="T117">
            <v>3.8249577460233888</v>
          </cell>
          <cell r="U117">
            <v>0.22804670439465283</v>
          </cell>
          <cell r="V117">
            <v>0.22448961940543585</v>
          </cell>
          <cell r="W117">
            <v>3.657518297406547</v>
          </cell>
          <cell r="X117">
            <v>3.6004681266179528</v>
          </cell>
          <cell r="Y117">
            <v>0</v>
          </cell>
          <cell r="Z117">
            <v>0</v>
          </cell>
        </row>
        <row r="118">
          <cell r="C118">
            <v>198.05783396635229</v>
          </cell>
          <cell r="D118">
            <v>20.261088762075122</v>
          </cell>
          <cell r="E118">
            <v>177.79674520427716</v>
          </cell>
          <cell r="F118">
            <v>62.604487747984926</v>
          </cell>
          <cell r="G118">
            <v>404.65264353470258</v>
          </cell>
          <cell r="H118">
            <v>23.903531685594242</v>
          </cell>
          <cell r="I118">
            <v>380.74911184910832</v>
          </cell>
          <cell r="J118">
            <v>0</v>
          </cell>
          <cell r="K118">
            <v>7.568667416840472</v>
          </cell>
          <cell r="M118">
            <v>0.77426597712506007</v>
          </cell>
          <cell r="N118">
            <v>0.6969542401856077</v>
          </cell>
          <cell r="O118">
            <v>6.7944014397154122</v>
          </cell>
          <cell r="P118">
            <v>6.1159692312916798</v>
          </cell>
          <cell r="Q118">
            <v>2.3923948731392306</v>
          </cell>
          <cell r="R118">
            <v>2.1535102927083383</v>
          </cell>
          <cell r="S118">
            <v>15.463570498199934</v>
          </cell>
          <cell r="T118">
            <v>13.919507437414804</v>
          </cell>
          <cell r="U118">
            <v>0.91345986065316054</v>
          </cell>
          <cell r="V118">
            <v>0.82224938448863827</v>
          </cell>
          <cell r="W118">
            <v>14.550110637546773</v>
          </cell>
          <cell r="X118">
            <v>13.097258052926167</v>
          </cell>
          <cell r="Y118">
            <v>0</v>
          </cell>
          <cell r="Z118">
            <v>0</v>
          </cell>
        </row>
        <row r="119">
          <cell r="C119">
            <v>417.7426727911008</v>
          </cell>
          <cell r="D119">
            <v>45.530536543989193</v>
          </cell>
          <cell r="E119">
            <v>372.21213624711163</v>
          </cell>
          <cell r="F119">
            <v>0</v>
          </cell>
          <cell r="G119">
            <v>1054.3734000174297</v>
          </cell>
          <cell r="H119">
            <v>113.82634135997297</v>
          </cell>
          <cell r="I119">
            <v>940.54705865745666</v>
          </cell>
          <cell r="J119">
            <v>0</v>
          </cell>
          <cell r="K119">
            <v>11.612616669567583</v>
          </cell>
          <cell r="M119">
            <v>1.2656802909610445</v>
          </cell>
          <cell r="N119">
            <v>1.0940146993615734</v>
          </cell>
          <cell r="O119">
            <v>10.346936378606538</v>
          </cell>
          <cell r="P119">
            <v>8.9435701672808623</v>
          </cell>
          <cell r="Q119">
            <v>0</v>
          </cell>
          <cell r="R119">
            <v>0</v>
          </cell>
          <cell r="S119">
            <v>29.309991337930388</v>
          </cell>
          <cell r="T119">
            <v>25.334645400465632</v>
          </cell>
          <cell r="U119">
            <v>3.1642007274026107</v>
          </cell>
          <cell r="V119">
            <v>2.7350367484039335</v>
          </cell>
          <cell r="W119">
            <v>26.145790610527776</v>
          </cell>
          <cell r="X119">
            <v>22.599608652061701</v>
          </cell>
          <cell r="Y119">
            <v>0</v>
          </cell>
          <cell r="Z119">
            <v>0</v>
          </cell>
        </row>
        <row r="120">
          <cell r="C120">
            <v>127.4855023231693</v>
          </cell>
          <cell r="D120">
            <v>10.813502429197396</v>
          </cell>
          <cell r="E120">
            <v>116.6719998939719</v>
          </cell>
          <cell r="F120">
            <v>7.9678438951980812</v>
          </cell>
          <cell r="G120">
            <v>662.75387256844033</v>
          </cell>
          <cell r="H120">
            <v>3.6993560941991093</v>
          </cell>
          <cell r="I120">
            <v>659.05451647424127</v>
          </cell>
          <cell r="J120">
            <v>0</v>
          </cell>
          <cell r="K120">
            <v>6.6462474808104259</v>
          </cell>
          <cell r="M120">
            <v>0.56374420596159858</v>
          </cell>
          <cell r="N120">
            <v>0.46257810293207896</v>
          </cell>
          <cell r="O120">
            <v>6.0825032748488272</v>
          </cell>
          <cell r="P120">
            <v>4.9909742684776939</v>
          </cell>
          <cell r="Q120">
            <v>0.41539046755065162</v>
          </cell>
          <cell r="R120">
            <v>0.34084702321311078</v>
          </cell>
          <cell r="S120">
            <v>34.551585675909557</v>
          </cell>
          <cell r="T120">
            <v>28.351168466547676</v>
          </cell>
          <cell r="U120">
            <v>0.1928598599342311</v>
          </cell>
          <cell r="V120">
            <v>0.15825040363465859</v>
          </cell>
          <cell r="W120">
            <v>34.358725815975326</v>
          </cell>
          <cell r="X120">
            <v>28.192918062913019</v>
          </cell>
          <cell r="Y120">
            <v>0</v>
          </cell>
          <cell r="Z120">
            <v>0</v>
          </cell>
        </row>
        <row r="121">
          <cell r="C121">
            <v>782.33294838167296</v>
          </cell>
          <cell r="D121">
            <v>89.837276369187336</v>
          </cell>
          <cell r="E121">
            <v>692.49567201248567</v>
          </cell>
          <cell r="F121">
            <v>243.30929016654903</v>
          </cell>
          <cell r="G121">
            <v>146.92137906210846</v>
          </cell>
          <cell r="H121">
            <v>0</v>
          </cell>
          <cell r="I121">
            <v>146.92137906210846</v>
          </cell>
          <cell r="J121">
            <v>1281.1169932230987</v>
          </cell>
          <cell r="K121">
            <v>17.140139106767847</v>
          </cell>
          <cell r="M121">
            <v>1.9682456390546812</v>
          </cell>
          <cell r="N121">
            <v>1.6871318211026061</v>
          </cell>
          <cell r="O121">
            <v>15.171893467713165</v>
          </cell>
          <cell r="P121">
            <v>13.004974454332588</v>
          </cell>
          <cell r="Q121">
            <v>5.3306652724397612</v>
          </cell>
          <cell r="R121">
            <v>4.5693153488195577</v>
          </cell>
          <cell r="S121">
            <v>3.2189017222040093</v>
          </cell>
          <cell r="T121">
            <v>2.7591634990948872</v>
          </cell>
          <cell r="U121">
            <v>0</v>
          </cell>
          <cell r="V121">
            <v>0</v>
          </cell>
          <cell r="W121">
            <v>3.2189017222040093</v>
          </cell>
          <cell r="X121">
            <v>2.7591634990948872</v>
          </cell>
          <cell r="Y121">
            <v>28.068002915269364</v>
          </cell>
          <cell r="Z121">
            <v>24.059202740515293</v>
          </cell>
        </row>
        <row r="122">
          <cell r="C122">
            <v>56.080292033825813</v>
          </cell>
          <cell r="D122">
            <v>4.3138686179866008</v>
          </cell>
          <cell r="E122">
            <v>51.766423415839213</v>
          </cell>
          <cell r="F122">
            <v>27.913267528148594</v>
          </cell>
          <cell r="G122">
            <v>59.971232355931377</v>
          </cell>
          <cell r="H122">
            <v>0</v>
          </cell>
          <cell r="I122">
            <v>59.971232355931377</v>
          </cell>
          <cell r="J122">
            <v>105.73207397025983</v>
          </cell>
          <cell r="K122">
            <v>3.4233981075268196</v>
          </cell>
          <cell r="M122">
            <v>0.26333831596360152</v>
          </cell>
          <cell r="N122">
            <v>0.20003660842284832</v>
          </cell>
          <cell r="O122">
            <v>3.160059791563218</v>
          </cell>
          <cell r="P122">
            <v>2.4004393010741798</v>
          </cell>
          <cell r="Q122">
            <v>1.7039538091762452</v>
          </cell>
          <cell r="R122">
            <v>1.2943545250890187</v>
          </cell>
          <cell r="S122">
            <v>3.6609189415332062</v>
          </cell>
          <cell r="T122">
            <v>2.7809010857215584</v>
          </cell>
          <cell r="U122">
            <v>0</v>
          </cell>
          <cell r="V122">
            <v>0</v>
          </cell>
          <cell r="W122">
            <v>3.6609189415332062</v>
          </cell>
          <cell r="X122">
            <v>2.7809010857215584</v>
          </cell>
          <cell r="Y122">
            <v>6.4543704893039591</v>
          </cell>
          <cell r="Z122">
            <v>4.9028580495796161</v>
          </cell>
        </row>
        <row r="123">
          <cell r="C123">
            <v>52.473943366947367</v>
          </cell>
          <cell r="D123">
            <v>5.0083590198387942</v>
          </cell>
          <cell r="E123">
            <v>47.465584347108575</v>
          </cell>
          <cell r="F123">
            <v>0.614662243343852</v>
          </cell>
          <cell r="G123">
            <v>172.14982040940893</v>
          </cell>
          <cell r="H123">
            <v>0.72735032129022481</v>
          </cell>
          <cell r="I123">
            <v>171.4224700881187</v>
          </cell>
          <cell r="J123">
            <v>11.382634135997259</v>
          </cell>
          <cell r="K123">
            <v>3.9635327822243318</v>
          </cell>
          <cell r="M123">
            <v>0.37829813973507714</v>
          </cell>
          <cell r="N123">
            <v>0.27877995047159143</v>
          </cell>
          <cell r="O123">
            <v>3.5852346424892545</v>
          </cell>
          <cell r="P123">
            <v>2.6420736215148559</v>
          </cell>
          <cell r="Q123">
            <v>4.6427498967486741E-2</v>
          </cell>
          <cell r="R123">
            <v>3.4213903012422588E-2</v>
          </cell>
          <cell r="S123">
            <v>13.003052808043938</v>
          </cell>
          <cell r="T123">
            <v>9.5823638475847766</v>
          </cell>
          <cell r="U123">
            <v>5.4939207111525973E-2</v>
          </cell>
          <cell r="V123">
            <v>4.0486451898033397E-2</v>
          </cell>
          <cell r="W123">
            <v>12.948113600932412</v>
          </cell>
          <cell r="X123">
            <v>9.5418773956867433</v>
          </cell>
          <cell r="Y123">
            <v>0.85976849939790256</v>
          </cell>
          <cell r="Z123">
            <v>0.6335907965263442</v>
          </cell>
        </row>
        <row r="124">
          <cell r="C124">
            <v>440.54615742148212</v>
          </cell>
          <cell r="D124">
            <v>144.71429008321942</v>
          </cell>
          <cell r="E124">
            <v>295.83186733826267</v>
          </cell>
          <cell r="F124">
            <v>8.9646020405534159</v>
          </cell>
          <cell r="G124">
            <v>436.70418511838784</v>
          </cell>
          <cell r="H124">
            <v>1.2806574343647736</v>
          </cell>
          <cell r="I124">
            <v>435.42352768402304</v>
          </cell>
          <cell r="J124">
            <v>0</v>
          </cell>
          <cell r="K124">
            <v>13.95286656356609</v>
          </cell>
          <cell r="M124">
            <v>4.583354423497001</v>
          </cell>
          <cell r="N124">
            <v>4.9189280689555543</v>
          </cell>
          <cell r="O124">
            <v>9.3695121400690891</v>
          </cell>
          <cell r="P124">
            <v>10.055507822378168</v>
          </cell>
          <cell r="Q124">
            <v>0.28392461030512395</v>
          </cell>
          <cell r="R124">
            <v>0.30471235825388393</v>
          </cell>
          <cell r="S124">
            <v>13.83118458772104</v>
          </cell>
          <cell r="T124">
            <v>14.843844880653489</v>
          </cell>
          <cell r="U124">
            <v>4.056065861501771E-2</v>
          </cell>
          <cell r="V124">
            <v>4.3530336893411993E-2</v>
          </cell>
          <cell r="W124">
            <v>13.790623929106022</v>
          </cell>
          <cell r="X124">
            <v>14.800314543760077</v>
          </cell>
          <cell r="Y124">
            <v>0</v>
          </cell>
          <cell r="Z124">
            <v>0</v>
          </cell>
        </row>
        <row r="125">
          <cell r="C125">
            <v>3503.3</v>
          </cell>
          <cell r="D125">
            <v>483.8</v>
          </cell>
          <cell r="E125">
            <v>3019.5</v>
          </cell>
          <cell r="F125">
            <v>18</v>
          </cell>
          <cell r="G125">
            <v>510</v>
          </cell>
          <cell r="H125">
            <v>56</v>
          </cell>
          <cell r="I125">
            <v>454</v>
          </cell>
          <cell r="J125">
            <v>0</v>
          </cell>
          <cell r="K125">
            <v>17.578926991325513</v>
          </cell>
          <cell r="M125">
            <v>2.4276210653964214</v>
          </cell>
          <cell r="N125">
            <v>2.4221228566637936</v>
          </cell>
          <cell r="O125">
            <v>15.151305925929092</v>
          </cell>
          <cell r="P125">
            <v>15.116990421034155</v>
          </cell>
          <cell r="Q125">
            <v>9.0320750676179395E-2</v>
          </cell>
          <cell r="R125">
            <v>9.0116187308698387E-2</v>
          </cell>
          <cell r="S125">
            <v>2.5590879358250826</v>
          </cell>
          <cell r="T125">
            <v>2.5532919737464543</v>
          </cell>
          <cell r="U125">
            <v>0.28099789099255812</v>
          </cell>
          <cell r="V125">
            <v>0.28036147162706165</v>
          </cell>
          <cell r="W125">
            <v>2.2780900448325245</v>
          </cell>
          <cell r="X125">
            <v>2.2729305021193928</v>
          </cell>
          <cell r="Y125">
            <v>0</v>
          </cell>
          <cell r="Z125">
            <v>0</v>
          </cell>
        </row>
        <row r="126">
          <cell r="C126">
            <v>7.2279883115998169</v>
          </cell>
          <cell r="D126">
            <v>2.3467494518181224</v>
          </cell>
          <cell r="E126">
            <v>4.8812388597816945</v>
          </cell>
          <cell r="F126">
            <v>4.3180189913453448</v>
          </cell>
          <cell r="G126">
            <v>2.9950155203883604</v>
          </cell>
          <cell r="H126">
            <v>1.8445450691290441</v>
          </cell>
          <cell r="I126">
            <v>1.1504704512593162</v>
          </cell>
          <cell r="J126">
            <v>10.593227025507003</v>
          </cell>
          <cell r="K126">
            <v>0.56506123717776213</v>
          </cell>
          <cell r="M126">
            <v>0.18346144064213057</v>
          </cell>
          <cell r="N126">
            <v>9.8533879877569633E-2</v>
          </cell>
          <cell r="O126">
            <v>0.38159979653563153</v>
          </cell>
          <cell r="P126">
            <v>0.20495047014534479</v>
          </cell>
          <cell r="Q126">
            <v>0.33756905078152022</v>
          </cell>
          <cell r="R126">
            <v>0.18130233897472808</v>
          </cell>
          <cell r="S126">
            <v>0.23414082900511271</v>
          </cell>
          <cell r="T126">
            <v>0.12575287885494946</v>
          </cell>
          <cell r="U126">
            <v>0.14420069234471464</v>
          </cell>
          <cell r="V126">
            <v>7.7447629583769731E-2</v>
          </cell>
          <cell r="W126">
            <v>8.9940136660398073E-2</v>
          </cell>
          <cell r="X126">
            <v>4.8305249271179726E-2</v>
          </cell>
          <cell r="Y126">
            <v>0.82814494305857733</v>
          </cell>
          <cell r="Z126">
            <v>0.4447819337673492</v>
          </cell>
        </row>
        <row r="127">
          <cell r="C127">
            <v>7.6102084556631375</v>
          </cell>
          <cell r="D127">
            <v>2.0161373147465773</v>
          </cell>
          <cell r="E127">
            <v>5.5940711409165607</v>
          </cell>
          <cell r="F127">
            <v>9.86771432217515</v>
          </cell>
          <cell r="G127">
            <v>46.427950839586678</v>
          </cell>
          <cell r="H127">
            <v>2.9816115218083188</v>
          </cell>
          <cell r="I127">
            <v>43.44633931777836</v>
          </cell>
          <cell r="J127">
            <v>17.548913528357534</v>
          </cell>
          <cell r="K127">
            <v>0.76326978071700302</v>
          </cell>
          <cell r="M127">
            <v>0.20220953145860895</v>
          </cell>
          <cell r="N127">
            <v>8.6389221430698715E-2</v>
          </cell>
          <cell r="O127">
            <v>0.56106024925839404</v>
          </cell>
          <cell r="P127">
            <v>0.23969967073024859</v>
          </cell>
          <cell r="Q127">
            <v>0.98968749551924828</v>
          </cell>
          <cell r="R127">
            <v>0.42282048517137749</v>
          </cell>
          <cell r="S127">
            <v>4.6565152666876859</v>
          </cell>
          <cell r="T127">
            <v>1.9893855921013015</v>
          </cell>
          <cell r="U127">
            <v>0.2990422648331541</v>
          </cell>
          <cell r="V127">
            <v>0.12775870774962486</v>
          </cell>
          <cell r="W127">
            <v>4.3574730018545313</v>
          </cell>
          <cell r="X127">
            <v>1.8616268843516766</v>
          </cell>
          <cell r="Y127">
            <v>1.7600773301608501</v>
          </cell>
          <cell r="Z127">
            <v>0.75195125132636342</v>
          </cell>
        </row>
        <row r="128">
          <cell r="C128">
            <v>36.424429235191226</v>
          </cell>
          <cell r="D128">
            <v>2.0488741444795067</v>
          </cell>
          <cell r="E128">
            <v>34.375555090711721</v>
          </cell>
          <cell r="F128">
            <v>0</v>
          </cell>
          <cell r="G128">
            <v>10.244370722397534</v>
          </cell>
          <cell r="H128">
            <v>0</v>
          </cell>
          <cell r="I128">
            <v>10.244370722397534</v>
          </cell>
          <cell r="J128">
            <v>0</v>
          </cell>
          <cell r="K128">
            <v>8.7992437970040207</v>
          </cell>
          <cell r="M128">
            <v>0.49495746358147613</v>
          </cell>
          <cell r="N128">
            <v>0.43723384759097994</v>
          </cell>
          <cell r="O128">
            <v>8.3042863334225441</v>
          </cell>
          <cell r="P128">
            <v>7.3358123318042185</v>
          </cell>
          <cell r="Q128">
            <v>0</v>
          </cell>
          <cell r="R128">
            <v>0</v>
          </cell>
          <cell r="S128">
            <v>2.4747873179073809</v>
          </cell>
          <cell r="T128">
            <v>2.1861692379548998</v>
          </cell>
          <cell r="U128">
            <v>0</v>
          </cell>
          <cell r="V128">
            <v>0</v>
          </cell>
          <cell r="W128">
            <v>2.4747873179073809</v>
          </cell>
          <cell r="X128">
            <v>2.1861692379548998</v>
          </cell>
          <cell r="Y128">
            <v>0</v>
          </cell>
          <cell r="Z128">
            <v>0</v>
          </cell>
        </row>
        <row r="129">
          <cell r="C129">
            <v>36.538255576551201</v>
          </cell>
          <cell r="D129">
            <v>9.2199336501577793</v>
          </cell>
          <cell r="E129">
            <v>27.31832192639342</v>
          </cell>
          <cell r="F129">
            <v>15.708035107676219</v>
          </cell>
          <cell r="G129">
            <v>60.327960920785472</v>
          </cell>
          <cell r="H129">
            <v>1.1382634135997258</v>
          </cell>
          <cell r="I129">
            <v>59.189697507185748</v>
          </cell>
          <cell r="J129">
            <v>0</v>
          </cell>
          <cell r="K129">
            <v>7.3791176032686039</v>
          </cell>
          <cell r="M129">
            <v>1.8620203297967506</v>
          </cell>
          <cell r="N129">
            <v>1.6602861363439001</v>
          </cell>
          <cell r="O129">
            <v>5.5170972734718537</v>
          </cell>
          <cell r="P129">
            <v>4.9193663299078523</v>
          </cell>
          <cell r="Q129">
            <v>3.1723309322463167</v>
          </cell>
          <cell r="R129">
            <v>2.8286356396970151</v>
          </cell>
          <cell r="S129">
            <v>12.183589812250345</v>
          </cell>
          <cell r="T129">
            <v>10.863600645213173</v>
          </cell>
          <cell r="U129">
            <v>0.22987905306132722</v>
          </cell>
          <cell r="V129">
            <v>0.20497359707949384</v>
          </cell>
          <cell r="W129">
            <v>11.953710759189018</v>
          </cell>
          <cell r="X129">
            <v>10.658627048133679</v>
          </cell>
          <cell r="Y129">
            <v>0</v>
          </cell>
          <cell r="Z129">
            <v>0</v>
          </cell>
        </row>
        <row r="130">
          <cell r="C130">
            <v>13.066403598920733</v>
          </cell>
          <cell r="D130">
            <v>2.8588123511436292</v>
          </cell>
          <cell r="E130">
            <v>10.207591247777104</v>
          </cell>
          <cell r="F130">
            <v>1.5581815067044105</v>
          </cell>
          <cell r="G130">
            <v>37.130220476565157</v>
          </cell>
          <cell r="H130">
            <v>4.2925110377531973E-2</v>
          </cell>
          <cell r="I130">
            <v>37.087295366187625</v>
          </cell>
          <cell r="J130">
            <v>0</v>
          </cell>
          <cell r="K130">
            <v>6.0593500917798613</v>
          </cell>
          <cell r="M130">
            <v>1.3257316560858696</v>
          </cell>
          <cell r="N130">
            <v>0.70172834388844585</v>
          </cell>
          <cell r="O130">
            <v>4.7336184356939919</v>
          </cell>
          <cell r="P130">
            <v>2.5055705732233102</v>
          </cell>
          <cell r="Q130">
            <v>0.72258347020896485</v>
          </cell>
          <cell r="R130">
            <v>0.38247355680406281</v>
          </cell>
          <cell r="S130">
            <v>17.218586824538697</v>
          </cell>
          <cell r="T130">
            <v>9.1140393012538379</v>
          </cell>
          <cell r="U130">
            <v>1.9905880722010057E-2</v>
          </cell>
          <cell r="V130">
            <v>1.0536461619946634E-2</v>
          </cell>
          <cell r="W130">
            <v>17.198680943816687</v>
          </cell>
          <cell r="X130">
            <v>9.103502839633892</v>
          </cell>
          <cell r="Y130">
            <v>0</v>
          </cell>
          <cell r="Z130">
            <v>0</v>
          </cell>
        </row>
        <row r="131">
          <cell r="C131">
            <v>6.1428697867727307</v>
          </cell>
          <cell r="D131">
            <v>0.12194282455131972</v>
          </cell>
          <cell r="E131">
            <v>6.0209269622214112</v>
          </cell>
          <cell r="F131">
            <v>26.73596428287685</v>
          </cell>
          <cell r="G131">
            <v>14.784957762724758</v>
          </cell>
          <cell r="H131">
            <v>8.7010778173287289</v>
          </cell>
          <cell r="I131">
            <v>6.0838799453960295</v>
          </cell>
          <cell r="J131">
            <v>0</v>
          </cell>
          <cell r="K131">
            <v>1.8469100465390231</v>
          </cell>
          <cell r="M131">
            <v>3.6663226730303186E-2</v>
          </cell>
          <cell r="N131">
            <v>3.9201901776737061E-2</v>
          </cell>
          <cell r="O131">
            <v>1.81024681980872</v>
          </cell>
          <cell r="P131">
            <v>1.9355939002263924</v>
          </cell>
          <cell r="Q131">
            <v>8.0384124606189733</v>
          </cell>
          <cell r="R131">
            <v>8.5950169645496004</v>
          </cell>
          <cell r="S131">
            <v>4.4452329249156097</v>
          </cell>
          <cell r="T131">
            <v>4.7530345809204846</v>
          </cell>
          <cell r="U131">
            <v>2.6160587143073708</v>
          </cell>
          <cell r="V131">
            <v>2.7972026989018515</v>
          </cell>
          <cell r="W131">
            <v>1.8291742106082385</v>
          </cell>
          <cell r="X131">
            <v>1.9558318820186327</v>
          </cell>
          <cell r="Y131">
            <v>0</v>
          </cell>
          <cell r="Z131">
            <v>0</v>
          </cell>
        </row>
        <row r="132">
          <cell r="C132">
            <v>1.0676910819565428</v>
          </cell>
          <cell r="D132">
            <v>0.26180058512793697</v>
          </cell>
          <cell r="E132">
            <v>0.80589049682860592</v>
          </cell>
          <cell r="F132">
            <v>0</v>
          </cell>
          <cell r="G132">
            <v>1.3203855597756819</v>
          </cell>
          <cell r="H132">
            <v>0.97890653569576425</v>
          </cell>
          <cell r="I132">
            <v>0.34147902407991776</v>
          </cell>
          <cell r="J132">
            <v>0</v>
          </cell>
          <cell r="K132">
            <v>3.9697524921899801</v>
          </cell>
          <cell r="M132">
            <v>0.97339346823421702</v>
          </cell>
          <cell r="N132">
            <v>0.57022787296238997</v>
          </cell>
          <cell r="O132">
            <v>2.9963590239557631</v>
          </cell>
          <cell r="P132">
            <v>1.7553101480755309</v>
          </cell>
          <cell r="Q132">
            <v>0</v>
          </cell>
          <cell r="R132">
            <v>0</v>
          </cell>
          <cell r="S132">
            <v>4.909288796311702</v>
          </cell>
          <cell r="T132">
            <v>2.8759318810277064</v>
          </cell>
          <cell r="U132">
            <v>3.6396451420931584</v>
          </cell>
          <cell r="V132">
            <v>2.1321563945550235</v>
          </cell>
          <cell r="W132">
            <v>1.2696436542185436</v>
          </cell>
          <cell r="X132">
            <v>0.74377548647268266</v>
          </cell>
          <cell r="Y132">
            <v>0</v>
          </cell>
          <cell r="Z132">
            <v>0</v>
          </cell>
        </row>
        <row r="133">
          <cell r="C133">
            <v>7.910930724518094</v>
          </cell>
          <cell r="D133">
            <v>2.105787315159493</v>
          </cell>
          <cell r="E133">
            <v>5.8051434093586014</v>
          </cell>
          <cell r="F133">
            <v>4.8376195077988351</v>
          </cell>
          <cell r="G133">
            <v>17.438195496347802</v>
          </cell>
          <cell r="H133">
            <v>2.7545974609113366</v>
          </cell>
          <cell r="I133">
            <v>14.683598035436464</v>
          </cell>
          <cell r="J133">
            <v>1.1382634135997258</v>
          </cell>
          <cell r="K133">
            <v>3.1054414492652542</v>
          </cell>
          <cell r="M133">
            <v>0.82662829944470817</v>
          </cell>
          <cell r="N133">
            <v>0.82930375205393791</v>
          </cell>
          <cell r="O133">
            <v>2.2788131498205462</v>
          </cell>
          <cell r="P133">
            <v>2.2861887218784229</v>
          </cell>
          <cell r="Q133">
            <v>1.8990109581837888</v>
          </cell>
          <cell r="R133">
            <v>1.9051572682320197</v>
          </cell>
          <cell r="S133">
            <v>6.8453759716177993</v>
          </cell>
          <cell r="T133">
            <v>6.8675316116034208</v>
          </cell>
          <cell r="U133">
            <v>1.0813191808952398</v>
          </cell>
          <cell r="V133">
            <v>1.0848189621462323</v>
          </cell>
          <cell r="W133">
            <v>5.7640567907225595</v>
          </cell>
          <cell r="X133">
            <v>5.7827126494571885</v>
          </cell>
          <cell r="Y133">
            <v>0.44682610780795035</v>
          </cell>
          <cell r="Z133">
            <v>0.44827229840753402</v>
          </cell>
        </row>
        <row r="134">
          <cell r="C134">
            <v>21.213646056970173</v>
          </cell>
          <cell r="D134">
            <v>0.70761690517133902</v>
          </cell>
          <cell r="E134">
            <v>20.506029151798835</v>
          </cell>
          <cell r="F134">
            <v>1.7913339101833412</v>
          </cell>
          <cell r="G134">
            <v>9.3327696507573688</v>
          </cell>
          <cell r="H134">
            <v>6.41999440943819</v>
          </cell>
          <cell r="I134">
            <v>2.9127752413191792</v>
          </cell>
          <cell r="J134">
            <v>0</v>
          </cell>
          <cell r="K134">
            <v>10.40379258979668</v>
          </cell>
          <cell r="M134">
            <v>0.34703603023571405</v>
          </cell>
          <cell r="N134">
            <v>0.2346639799155821</v>
          </cell>
          <cell r="O134">
            <v>10.056756559560966</v>
          </cell>
          <cell r="P134">
            <v>6.8003270948719097</v>
          </cell>
          <cell r="Q134">
            <v>0.8785225515013958</v>
          </cell>
          <cell r="R134">
            <v>0.59405243380891304</v>
          </cell>
          <cell r="S134">
            <v>4.5770632485369456</v>
          </cell>
          <cell r="T134">
            <v>3.0949866430223141</v>
          </cell>
          <cell r="U134">
            <v>3.1485530626878351</v>
          </cell>
          <cell r="V134">
            <v>2.1290353977478338</v>
          </cell>
          <cell r="W134">
            <v>1.4285101858491107</v>
          </cell>
          <cell r="X134">
            <v>0.96595124527448017</v>
          </cell>
          <cell r="Y134">
            <v>0</v>
          </cell>
          <cell r="Z134">
            <v>0</v>
          </cell>
        </row>
        <row r="135">
          <cell r="C135">
            <v>0.90880495530115557</v>
          </cell>
          <cell r="D135">
            <v>5.0270792906436608E-2</v>
          </cell>
          <cell r="E135">
            <v>0.85853416239471891</v>
          </cell>
          <cell r="F135">
            <v>0</v>
          </cell>
          <cell r="G135">
            <v>0.91645405891835929</v>
          </cell>
          <cell r="H135">
            <v>0</v>
          </cell>
          <cell r="I135">
            <v>0.91645405891835929</v>
          </cell>
          <cell r="J135">
            <v>0</v>
          </cell>
          <cell r="K135">
            <v>4.3840085039690138</v>
          </cell>
          <cell r="M135">
            <v>0.24250262096122951</v>
          </cell>
          <cell r="N135">
            <v>0.26362376839851354</v>
          </cell>
          <cell r="O135">
            <v>4.1415058830077847</v>
          </cell>
          <cell r="P135">
            <v>4.5022168560300981</v>
          </cell>
          <cell r="Q135">
            <v>0</v>
          </cell>
          <cell r="R135">
            <v>0</v>
          </cell>
          <cell r="S135">
            <v>4.4209072192653549</v>
          </cell>
          <cell r="T135">
            <v>4.805953091407023</v>
          </cell>
          <cell r="U135">
            <v>0</v>
          </cell>
          <cell r="V135">
            <v>0</v>
          </cell>
          <cell r="W135">
            <v>4.4209072192653549</v>
          </cell>
          <cell r="X135">
            <v>4.805953091407023</v>
          </cell>
          <cell r="Y135">
            <v>0</v>
          </cell>
          <cell r="Z135">
            <v>0</v>
          </cell>
        </row>
        <row r="136">
          <cell r="C136">
            <v>22.385999999999996</v>
          </cell>
          <cell r="D136">
            <v>3.0750000000000006</v>
          </cell>
          <cell r="E136">
            <v>19.310999999999996</v>
          </cell>
          <cell r="F136">
            <v>2.46</v>
          </cell>
          <cell r="G136">
            <v>6.15</v>
          </cell>
          <cell r="H136">
            <v>3.69</v>
          </cell>
          <cell r="I136">
            <v>2.46</v>
          </cell>
          <cell r="J136">
            <v>0</v>
          </cell>
          <cell r="K136">
            <v>6.0263830447409301</v>
          </cell>
          <cell r="M136">
            <v>0.82779986878309497</v>
          </cell>
          <cell r="N136">
            <v>0.73583823930654202</v>
          </cell>
          <cell r="O136">
            <v>5.1985831759578351</v>
          </cell>
          <cell r="P136">
            <v>4.6210641428450829</v>
          </cell>
          <cell r="Q136">
            <v>0.66223989502647596</v>
          </cell>
          <cell r="R136">
            <v>0.58867059144523359</v>
          </cell>
          <cell r="S136">
            <v>1.6555997375661897</v>
          </cell>
          <cell r="T136">
            <v>1.4716764786130838</v>
          </cell>
          <cell r="U136">
            <v>0.99335984253971377</v>
          </cell>
          <cell r="V136">
            <v>0.88300588716785033</v>
          </cell>
          <cell r="W136">
            <v>0.66223989502647596</v>
          </cell>
          <cell r="X136">
            <v>0.58867059144523359</v>
          </cell>
          <cell r="Y136">
            <v>0</v>
          </cell>
          <cell r="Z136">
            <v>0</v>
          </cell>
        </row>
        <row r="137">
          <cell r="C137">
            <v>26.891847077879898</v>
          </cell>
          <cell r="D137">
            <v>4.4578519375602843</v>
          </cell>
          <cell r="E137">
            <v>22.433995140319613</v>
          </cell>
          <cell r="F137">
            <v>2.0841905162619514</v>
          </cell>
          <cell r="G137">
            <v>11.144629843900709</v>
          </cell>
          <cell r="H137">
            <v>0.92630689611642281</v>
          </cell>
          <cell r="I137">
            <v>10.218322947784287</v>
          </cell>
          <cell r="J137">
            <v>0</v>
          </cell>
          <cell r="K137">
            <v>7.5020443334525275</v>
          </cell>
          <cell r="M137">
            <v>1.2436112242752306</v>
          </cell>
          <cell r="N137">
            <v>1.3019552514556945</v>
          </cell>
          <cell r="O137">
            <v>6.2584331091772967</v>
          </cell>
          <cell r="P137">
            <v>6.5520475316763847</v>
          </cell>
          <cell r="Q137">
            <v>0.58142862433647158</v>
          </cell>
          <cell r="R137">
            <v>0.60870635132993511</v>
          </cell>
          <cell r="S137">
            <v>3.1090280606880762</v>
          </cell>
          <cell r="T137">
            <v>3.2548881286392355</v>
          </cell>
          <cell r="U137">
            <v>0.25841272192732068</v>
          </cell>
          <cell r="V137">
            <v>0.27053615614663779</v>
          </cell>
          <cell r="W137">
            <v>2.8506153387607558</v>
          </cell>
          <cell r="X137">
            <v>2.9843519724925978</v>
          </cell>
          <cell r="Y137">
            <v>0</v>
          </cell>
          <cell r="Z137">
            <v>0</v>
          </cell>
        </row>
        <row r="138">
          <cell r="C138">
            <v>2.6180058512793694</v>
          </cell>
          <cell r="D138">
            <v>0.23903531685594243</v>
          </cell>
          <cell r="E138">
            <v>2.3789705344234271</v>
          </cell>
          <cell r="F138">
            <v>0</v>
          </cell>
          <cell r="G138">
            <v>0.97890653569576436</v>
          </cell>
          <cell r="H138">
            <v>0.22765268271994518</v>
          </cell>
          <cell r="I138">
            <v>0.75125385297581915</v>
          </cell>
          <cell r="J138">
            <v>0</v>
          </cell>
          <cell r="K138">
            <v>8.6803684416213613</v>
          </cell>
          <cell r="M138">
            <v>0.79255537945238519</v>
          </cell>
          <cell r="N138">
            <v>0.43129582716598341</v>
          </cell>
          <cell r="O138">
            <v>7.8878130621689762</v>
          </cell>
          <cell r="P138">
            <v>4.2924203751281205</v>
          </cell>
          <cell r="Q138">
            <v>0</v>
          </cell>
          <cell r="R138">
            <v>0</v>
          </cell>
          <cell r="S138">
            <v>3.2457029825192922</v>
          </cell>
          <cell r="T138">
            <v>1.7662591017273606</v>
          </cell>
          <cell r="U138">
            <v>0.75481464709750967</v>
          </cell>
          <cell r="V138">
            <v>0.41075793063426985</v>
          </cell>
          <cell r="W138">
            <v>2.4908883354217823</v>
          </cell>
          <cell r="X138">
            <v>1.3555011710930907</v>
          </cell>
          <cell r="Y138">
            <v>0</v>
          </cell>
          <cell r="Z138">
            <v>0</v>
          </cell>
        </row>
        <row r="139">
          <cell r="C139">
            <v>2.5872727391121773</v>
          </cell>
          <cell r="D139">
            <v>0.56913170679986291</v>
          </cell>
          <cell r="E139">
            <v>2.0181410323123141</v>
          </cell>
          <cell r="F139">
            <v>2.4927968757833998</v>
          </cell>
          <cell r="G139">
            <v>1.9578130713915285</v>
          </cell>
          <cell r="H139">
            <v>0.3642442923519123</v>
          </cell>
          <cell r="I139">
            <v>1.5935687790396162</v>
          </cell>
          <cell r="J139">
            <v>0</v>
          </cell>
          <cell r="K139">
            <v>5.3659189931742706</v>
          </cell>
          <cell r="M139">
            <v>1.1803605352341113</v>
          </cell>
          <cell r="N139">
            <v>0.58591179072942978</v>
          </cell>
          <cell r="O139">
            <v>4.185558457940159</v>
          </cell>
          <cell r="P139">
            <v>2.0776432099265585</v>
          </cell>
          <cell r="Q139">
            <v>5.1699791443254073</v>
          </cell>
          <cell r="R139">
            <v>2.5662936433949031</v>
          </cell>
          <cell r="S139">
            <v>4.0604402412053426</v>
          </cell>
          <cell r="T139">
            <v>2.015536560109239</v>
          </cell>
          <cell r="U139">
            <v>0.75543074254983122</v>
          </cell>
          <cell r="V139">
            <v>0.37498354606683515</v>
          </cell>
          <cell r="W139">
            <v>3.3050094986555116</v>
          </cell>
          <cell r="X139">
            <v>1.6405530140424038</v>
          </cell>
          <cell r="Y139">
            <v>0</v>
          </cell>
          <cell r="Z139">
            <v>0</v>
          </cell>
        </row>
        <row r="140">
          <cell r="C140">
            <v>2.9594848753592875</v>
          </cell>
          <cell r="D140">
            <v>0.22765268271994518</v>
          </cell>
          <cell r="E140">
            <v>2.7318321926393425</v>
          </cell>
          <cell r="F140">
            <v>5.2360117025587387</v>
          </cell>
          <cell r="G140">
            <v>3.3009638994392052</v>
          </cell>
          <cell r="H140">
            <v>0.45530536543989036</v>
          </cell>
          <cell r="I140">
            <v>2.8456585339993148</v>
          </cell>
          <cell r="J140">
            <v>1.0244370722397533</v>
          </cell>
          <cell r="K140">
            <v>4.4465087447862421</v>
          </cell>
          <cell r="M140">
            <v>0.34203913421432619</v>
          </cell>
          <cell r="N140">
            <v>0.34314248722776741</v>
          </cell>
          <cell r="O140">
            <v>4.1044696105719156</v>
          </cell>
          <cell r="P140">
            <v>4.1177098467332103</v>
          </cell>
          <cell r="Q140">
            <v>7.8669000869295029</v>
          </cell>
          <cell r="R140">
            <v>7.8922772062386501</v>
          </cell>
          <cell r="S140">
            <v>4.9595674461077301</v>
          </cell>
          <cell r="T140">
            <v>4.975566064802627</v>
          </cell>
          <cell r="U140">
            <v>0.68407826842865238</v>
          </cell>
          <cell r="V140">
            <v>0.68628497445553482</v>
          </cell>
          <cell r="W140">
            <v>4.275489177679078</v>
          </cell>
          <cell r="X140">
            <v>4.2892810903470924</v>
          </cell>
          <cell r="Y140">
            <v>1.539176103964468</v>
          </cell>
          <cell r="Z140">
            <v>1.5441411925249535</v>
          </cell>
        </row>
        <row r="141">
          <cell r="C141">
            <v>40.522177524150244</v>
          </cell>
          <cell r="D141">
            <v>6.7157541402383831</v>
          </cell>
          <cell r="E141">
            <v>33.806423383911863</v>
          </cell>
          <cell r="F141">
            <v>14.342119011356546</v>
          </cell>
          <cell r="G141">
            <v>73.987121883982184</v>
          </cell>
          <cell r="H141">
            <v>0</v>
          </cell>
          <cell r="I141">
            <v>73.987121883982184</v>
          </cell>
          <cell r="J141">
            <v>0</v>
          </cell>
          <cell r="K141">
            <v>4.8226309855341976</v>
          </cell>
          <cell r="M141">
            <v>0.79925625883853268</v>
          </cell>
          <cell r="N141">
            <v>0.72023411816377791</v>
          </cell>
          <cell r="O141">
            <v>4.023374726695665</v>
          </cell>
          <cell r="P141">
            <v>3.6255853066888477</v>
          </cell>
          <cell r="Q141">
            <v>1.7068862476890698</v>
          </cell>
          <cell r="R141">
            <v>1.5381270998073899</v>
          </cell>
          <cell r="S141">
            <v>8.8053655634753607</v>
          </cell>
          <cell r="T141">
            <v>7.9347826577365348</v>
          </cell>
          <cell r="U141">
            <v>0</v>
          </cell>
          <cell r="V141">
            <v>0</v>
          </cell>
          <cell r="W141">
            <v>8.8053655634753607</v>
          </cell>
          <cell r="X141">
            <v>7.9347826577365348</v>
          </cell>
          <cell r="Y141">
            <v>0</v>
          </cell>
          <cell r="Z141">
            <v>0</v>
          </cell>
        </row>
        <row r="142">
          <cell r="C142">
            <v>39.908289467911899</v>
          </cell>
          <cell r="D142">
            <v>2.5266611838450714</v>
          </cell>
          <cell r="E142">
            <v>37.381628284066828</v>
          </cell>
          <cell r="F142">
            <v>0</v>
          </cell>
          <cell r="G142">
            <v>5.6687911176011223</v>
          </cell>
          <cell r="H142">
            <v>1.619654605028892</v>
          </cell>
          <cell r="I142">
            <v>4.0491365125722298</v>
          </cell>
          <cell r="J142">
            <v>0</v>
          </cell>
          <cell r="K142">
            <v>19.665156653279531</v>
          </cell>
          <cell r="M142">
            <v>1.2450342686329574</v>
          </cell>
          <cell r="N142">
            <v>1.3025785534891559</v>
          </cell>
          <cell r="O142">
            <v>18.420122384646575</v>
          </cell>
          <cell r="P142">
            <v>19.271482701621615</v>
          </cell>
          <cell r="Q142">
            <v>0</v>
          </cell>
          <cell r="R142">
            <v>0</v>
          </cell>
          <cell r="S142">
            <v>2.7933461155226609</v>
          </cell>
          <cell r="T142">
            <v>2.9224518828282346</v>
          </cell>
          <cell r="U142">
            <v>0.79809889014933166</v>
          </cell>
          <cell r="V142">
            <v>0.83498625223663836</v>
          </cell>
          <cell r="W142">
            <v>1.9952472253733291</v>
          </cell>
          <cell r="X142">
            <v>2.0874656305915962</v>
          </cell>
          <cell r="Y142">
            <v>0</v>
          </cell>
          <cell r="Z142">
            <v>0</v>
          </cell>
        </row>
        <row r="143">
          <cell r="C143">
            <v>13.348965621899447</v>
          </cell>
          <cell r="D143">
            <v>1.1414792455781</v>
          </cell>
          <cell r="E143">
            <v>12.207486376321347</v>
          </cell>
          <cell r="F143">
            <v>0</v>
          </cell>
          <cell r="G143">
            <v>13.740027956032684</v>
          </cell>
          <cell r="H143">
            <v>5.4960111824130733</v>
          </cell>
          <cell r="I143">
            <v>8.2440167736196095</v>
          </cell>
          <cell r="J143">
            <v>0</v>
          </cell>
          <cell r="K143">
            <v>3.2538664984422607</v>
          </cell>
          <cell r="M143">
            <v>0.27824036566252114</v>
          </cell>
          <cell r="N143">
            <v>0.34542729727078975</v>
          </cell>
          <cell r="O143">
            <v>2.9756261327797398</v>
          </cell>
          <cell r="P143">
            <v>3.6941530402570568</v>
          </cell>
          <cell r="Q143">
            <v>0</v>
          </cell>
          <cell r="R143">
            <v>0</v>
          </cell>
          <cell r="S143">
            <v>3.3491895866784946</v>
          </cell>
          <cell r="T143">
            <v>4.1579211708520978</v>
          </cell>
          <cell r="U143">
            <v>1.3396758346713979</v>
          </cell>
          <cell r="V143">
            <v>1.6631684683408392</v>
          </cell>
          <cell r="W143">
            <v>2.0095137520070967</v>
          </cell>
          <cell r="X143">
            <v>2.4947527025112586</v>
          </cell>
          <cell r="Y143">
            <v>0</v>
          </cell>
          <cell r="Z143">
            <v>0</v>
          </cell>
        </row>
        <row r="144">
          <cell r="C144">
            <v>10.813502429197396</v>
          </cell>
          <cell r="D144">
            <v>2.5041795099193971</v>
          </cell>
          <cell r="E144">
            <v>8.3093229192779994</v>
          </cell>
          <cell r="F144">
            <v>8.9922809674378357</v>
          </cell>
          <cell r="G144">
            <v>14.797424376796437</v>
          </cell>
          <cell r="H144">
            <v>0</v>
          </cell>
          <cell r="I144">
            <v>14.797424376796437</v>
          </cell>
          <cell r="J144">
            <v>0</v>
          </cell>
          <cell r="K144">
            <v>4.8630089152951665</v>
          </cell>
          <cell r="M144">
            <v>1.1261704856473016</v>
          </cell>
          <cell r="N144">
            <v>0.73389877824734639</v>
          </cell>
          <cell r="O144">
            <v>3.7368384296478645</v>
          </cell>
          <cell r="P144">
            <v>2.4352095823661952</v>
          </cell>
          <cell r="Q144">
            <v>4.0439758348244021</v>
          </cell>
          <cell r="R144">
            <v>2.6353637946154715</v>
          </cell>
          <cell r="S144">
            <v>6.6546437788249646</v>
          </cell>
          <cell r="T144">
            <v>4.3366745987343203</v>
          </cell>
          <cell r="U144">
            <v>0</v>
          </cell>
          <cell r="V144">
            <v>0</v>
          </cell>
          <cell r="W144">
            <v>6.6546437788249646</v>
          </cell>
          <cell r="X144">
            <v>4.3366745987343203</v>
          </cell>
          <cell r="Y144">
            <v>0</v>
          </cell>
          <cell r="Z144">
            <v>0</v>
          </cell>
        </row>
        <row r="145">
          <cell r="C145">
            <v>3.9671784617144987</v>
          </cell>
          <cell r="D145">
            <v>0.153665560835963</v>
          </cell>
          <cell r="E145">
            <v>3.8135129008785356</v>
          </cell>
          <cell r="F145">
            <v>0.54465904340746885</v>
          </cell>
          <cell r="G145">
            <v>4.5644362885349006</v>
          </cell>
          <cell r="H145">
            <v>0</v>
          </cell>
          <cell r="I145">
            <v>4.5644362885349006</v>
          </cell>
          <cell r="J145">
            <v>0</v>
          </cell>
          <cell r="K145">
            <v>3.9875524152233366</v>
          </cell>
          <cell r="M145">
            <v>0.15445473002071108</v>
          </cell>
          <cell r="N145">
            <v>8.4565563934569557E-2</v>
          </cell>
          <cell r="O145">
            <v>3.8330976852026257</v>
          </cell>
          <cell r="P145">
            <v>2.0986606711363756</v>
          </cell>
          <cell r="Q145">
            <v>0.54745620974007603</v>
          </cell>
          <cell r="R145">
            <v>0.29973794327919656</v>
          </cell>
          <cell r="S145">
            <v>4.5878775361707511</v>
          </cell>
          <cell r="T145">
            <v>2.5119104546490658</v>
          </cell>
          <cell r="U145">
            <v>0</v>
          </cell>
          <cell r="V145">
            <v>0</v>
          </cell>
          <cell r="W145">
            <v>4.5878775361707511</v>
          </cell>
          <cell r="X145">
            <v>2.5119104546490658</v>
          </cell>
          <cell r="Y145">
            <v>0</v>
          </cell>
          <cell r="Z145">
            <v>0</v>
          </cell>
        </row>
        <row r="146">
          <cell r="C146">
            <v>2.7659800950473437</v>
          </cell>
          <cell r="D146">
            <v>0.45530536543989192</v>
          </cell>
          <cell r="E146">
            <v>2.3106747296074519</v>
          </cell>
          <cell r="F146">
            <v>0.1</v>
          </cell>
          <cell r="G146">
            <v>3.5</v>
          </cell>
          <cell r="H146">
            <v>1</v>
          </cell>
          <cell r="I146">
            <v>2.5</v>
          </cell>
          <cell r="J146">
            <v>0</v>
          </cell>
          <cell r="K146">
            <v>5.4860988474153745</v>
          </cell>
          <cell r="M146">
            <v>0.90306153866919725</v>
          </cell>
          <cell r="N146">
            <v>0.59879160594214276</v>
          </cell>
          <cell r="O146">
            <v>4.5830373087461771</v>
          </cell>
          <cell r="P146">
            <v>3.0388674001563754</v>
          </cell>
          <cell r="Q146">
            <v>0.19834194964882682</v>
          </cell>
          <cell r="R146">
            <v>0.13151428720011285</v>
          </cell>
          <cell r="S146">
            <v>6.9419682377089371</v>
          </cell>
          <cell r="T146">
            <v>4.6030000520039493</v>
          </cell>
          <cell r="U146">
            <v>1.9834194964882681</v>
          </cell>
          <cell r="V146">
            <v>1.3151428720011284</v>
          </cell>
          <cell r="W146">
            <v>4.9585487412206692</v>
          </cell>
          <cell r="X146">
            <v>3.2878571800028213</v>
          </cell>
          <cell r="Y146">
            <v>0</v>
          </cell>
          <cell r="Z146">
            <v>0</v>
          </cell>
        </row>
        <row r="147">
          <cell r="C147">
            <v>22.325028541088955</v>
          </cell>
          <cell r="D147">
            <v>4.0762172736226612</v>
          </cell>
          <cell r="E147">
            <v>18.248811267466294</v>
          </cell>
          <cell r="F147">
            <v>36.259500442474554</v>
          </cell>
          <cell r="G147">
            <v>28.325705271031612</v>
          </cell>
          <cell r="H147">
            <v>1.2663765826177678</v>
          </cell>
          <cell r="I147">
            <v>27.059328688413846</v>
          </cell>
          <cell r="J147">
            <v>0</v>
          </cell>
          <cell r="K147">
            <v>4.0604154975673596</v>
          </cell>
          <cell r="M147">
            <v>0.7413713160010994</v>
          </cell>
          <cell r="N147">
            <v>0.78237661019202132</v>
          </cell>
          <cell r="O147">
            <v>3.3190441815662601</v>
          </cell>
          <cell r="P147">
            <v>3.5026207243328411</v>
          </cell>
          <cell r="Q147">
            <v>6.594779364322048</v>
          </cell>
          <cell r="R147">
            <v>6.9595370264027405</v>
          </cell>
          <cell r="S147">
            <v>5.1518022675912833</v>
          </cell>
          <cell r="T147">
            <v>5.4367487755510364</v>
          </cell>
          <cell r="U147">
            <v>0.23032513003751623</v>
          </cell>
          <cell r="V147">
            <v>0.24306442748928966</v>
          </cell>
          <cell r="W147">
            <v>4.9214771375537669</v>
          </cell>
          <cell r="X147">
            <v>5.1936843480617467</v>
          </cell>
          <cell r="Y147">
            <v>0</v>
          </cell>
          <cell r="Z147">
            <v>0</v>
          </cell>
        </row>
        <row r="148">
          <cell r="C148">
            <v>39.489616738061301</v>
          </cell>
          <cell r="D148">
            <v>3.1894478304486302</v>
          </cell>
          <cell r="E148">
            <v>36.300168907612672</v>
          </cell>
          <cell r="F148">
            <v>0</v>
          </cell>
          <cell r="G148">
            <v>44.864899481644059</v>
          </cell>
          <cell r="H148">
            <v>0.85051942145296811</v>
          </cell>
          <cell r="I148">
            <v>44.014380060191094</v>
          </cell>
          <cell r="J148">
            <v>0</v>
          </cell>
          <cell r="K148">
            <v>5.2856511377155213</v>
          </cell>
          <cell r="M148">
            <v>0.42690484097422365</v>
          </cell>
          <cell r="N148">
            <v>0.53983938356010286</v>
          </cell>
          <cell r="O148">
            <v>4.8587462967412973</v>
          </cell>
          <cell r="P148">
            <v>6.1440919707587174</v>
          </cell>
          <cell r="Q148">
            <v>0</v>
          </cell>
          <cell r="R148">
            <v>0</v>
          </cell>
          <cell r="S148">
            <v>6.0051280963707461</v>
          </cell>
          <cell r="T148">
            <v>7.5937406620787797</v>
          </cell>
          <cell r="U148">
            <v>0.11384129092645967</v>
          </cell>
          <cell r="V148">
            <v>0.14395716894936081</v>
          </cell>
          <cell r="W148">
            <v>5.8912868054442864</v>
          </cell>
          <cell r="X148">
            <v>7.4497834931294191</v>
          </cell>
          <cell r="Y148">
            <v>0</v>
          </cell>
          <cell r="Z148">
            <v>0</v>
          </cell>
        </row>
        <row r="149">
          <cell r="C149">
            <v>20.735557264419626</v>
          </cell>
          <cell r="D149">
            <v>2.21544520875785</v>
          </cell>
          <cell r="E149">
            <v>18.520112055661777</v>
          </cell>
          <cell r="F149">
            <v>3.04</v>
          </cell>
          <cell r="G149">
            <v>0</v>
          </cell>
          <cell r="H149">
            <v>0</v>
          </cell>
          <cell r="I149">
            <v>0</v>
          </cell>
          <cell r="J149">
            <v>4.5003203243428693</v>
          </cell>
          <cell r="K149">
            <v>7.9155597092716778</v>
          </cell>
          <cell r="M149">
            <v>0.84572064347813192</v>
          </cell>
          <cell r="N149">
            <v>0.50203989443504105</v>
          </cell>
          <cell r="O149">
            <v>7.0698390657935457</v>
          </cell>
          <cell r="P149">
            <v>4.1968246673826144</v>
          </cell>
          <cell r="Q149">
            <v>1.1604849201461482</v>
          </cell>
          <cell r="R149">
            <v>0.688891457594761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1.7179453527062905</v>
          </cell>
          <cell r="Z149">
            <v>1.0198132328552258</v>
          </cell>
        </row>
        <row r="150">
          <cell r="C150">
            <v>11.060053989571156</v>
          </cell>
          <cell r="D150">
            <v>2.9135225289071882</v>
          </cell>
          <cell r="E150">
            <v>8.1465314606639669</v>
          </cell>
          <cell r="F150">
            <v>0.10756165425876577</v>
          </cell>
          <cell r="G150">
            <v>15.41143382219596</v>
          </cell>
          <cell r="H150">
            <v>8.5363617861112981</v>
          </cell>
          <cell r="I150">
            <v>6.8750720360846609</v>
          </cell>
          <cell r="J150">
            <v>0</v>
          </cell>
          <cell r="K150">
            <v>3.4411515416001333</v>
          </cell>
          <cell r="M150">
            <v>0.90649399643883966</v>
          </cell>
          <cell r="N150">
            <v>0.42196275072262579</v>
          </cell>
          <cell r="O150">
            <v>2.5346575451612936</v>
          </cell>
          <cell r="P150">
            <v>1.1798545540265779</v>
          </cell>
          <cell r="Q150">
            <v>3.3466016777008889E-2</v>
          </cell>
          <cell r="R150">
            <v>1.5578054074745292E-2</v>
          </cell>
          <cell r="S150">
            <v>4.7950108838098338</v>
          </cell>
          <cell r="T150">
            <v>2.2320235878295058</v>
          </cell>
          <cell r="U150">
            <v>2.6559467564653678</v>
          </cell>
          <cell r="V150">
            <v>1.2363133165069735</v>
          </cell>
          <cell r="W150">
            <v>2.1390641273444655</v>
          </cell>
          <cell r="X150">
            <v>0.99571027132253231</v>
          </cell>
          <cell r="Y150">
            <v>0</v>
          </cell>
          <cell r="Z150">
            <v>0</v>
          </cell>
        </row>
        <row r="151">
          <cell r="C151">
            <v>0.84666152667042227</v>
          </cell>
          <cell r="D151">
            <v>0.1953834292316359</v>
          </cell>
          <cell r="E151">
            <v>0.6512780974387864</v>
          </cell>
          <cell r="F151">
            <v>0.40447797630408838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1.3150492804551615</v>
          </cell>
          <cell r="M151">
            <v>0.30347291087426803</v>
          </cell>
          <cell r="N151">
            <v>0.21415757931709736</v>
          </cell>
          <cell r="O151">
            <v>1.0115763695808935</v>
          </cell>
          <cell r="P151">
            <v>0.71385859772365789</v>
          </cell>
          <cell r="Q151">
            <v>0.62824216637129171</v>
          </cell>
          <cell r="R151">
            <v>0.44334376069153497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</row>
        <row r="152">
          <cell r="C152">
            <v>5.9975490460949956</v>
          </cell>
          <cell r="D152">
            <v>1.7694150329493317</v>
          </cell>
          <cell r="E152">
            <v>4.2281340131456639</v>
          </cell>
          <cell r="F152">
            <v>0</v>
          </cell>
          <cell r="G152">
            <v>6.6270225953158493</v>
          </cell>
          <cell r="H152">
            <v>0</v>
          </cell>
          <cell r="I152">
            <v>6.6270225953158493</v>
          </cell>
          <cell r="J152">
            <v>0</v>
          </cell>
          <cell r="K152">
            <v>4.0693359469700905</v>
          </cell>
          <cell r="M152">
            <v>1.2005477809936589</v>
          </cell>
          <cell r="N152">
            <v>0.57098503498505992</v>
          </cell>
          <cell r="O152">
            <v>2.8687881659764316</v>
          </cell>
          <cell r="P152">
            <v>1.3644064295042255</v>
          </cell>
          <cell r="Q152">
            <v>0</v>
          </cell>
          <cell r="R152">
            <v>0</v>
          </cell>
          <cell r="S152">
            <v>4.4964336366803703</v>
          </cell>
          <cell r="T152">
            <v>2.1385207302811238</v>
          </cell>
          <cell r="U152">
            <v>0</v>
          </cell>
          <cell r="V152">
            <v>0</v>
          </cell>
          <cell r="W152">
            <v>4.4964336366803703</v>
          </cell>
          <cell r="X152">
            <v>2.1385207302811238</v>
          </cell>
          <cell r="Y152">
            <v>0</v>
          </cell>
          <cell r="Z152">
            <v>0</v>
          </cell>
        </row>
        <row r="153">
          <cell r="C153">
            <v>44.709731424704025</v>
          </cell>
          <cell r="D153">
            <v>2.1654285875212778</v>
          </cell>
          <cell r="E153">
            <v>42.544302837182748</v>
          </cell>
          <cell r="F153">
            <v>0</v>
          </cell>
          <cell r="G153">
            <v>31.58978174736923</v>
          </cell>
          <cell r="H153">
            <v>12.737815220713399</v>
          </cell>
          <cell r="I153">
            <v>18.851966526655829</v>
          </cell>
          <cell r="J153">
            <v>0</v>
          </cell>
          <cell r="K153">
            <v>7.8231824263139735</v>
          </cell>
          <cell r="M153">
            <v>0.37890057335423805</v>
          </cell>
          <cell r="N153">
            <v>0.17816256734720967</v>
          </cell>
          <cell r="O153">
            <v>7.4442818529597359</v>
          </cell>
          <cell r="P153">
            <v>3.5003704408216487</v>
          </cell>
          <cell r="Q153">
            <v>0</v>
          </cell>
          <cell r="R153">
            <v>0</v>
          </cell>
          <cell r="S153">
            <v>5.5274907171677086</v>
          </cell>
          <cell r="T153">
            <v>2.5990774530651759</v>
          </cell>
          <cell r="U153">
            <v>2.2288269020837537</v>
          </cell>
          <cell r="V153">
            <v>1.0480151020424098</v>
          </cell>
          <cell r="W153">
            <v>3.2986638150839549</v>
          </cell>
          <cell r="X153">
            <v>1.5510623510227664</v>
          </cell>
          <cell r="Y153">
            <v>0</v>
          </cell>
          <cell r="Z153">
            <v>0</v>
          </cell>
        </row>
        <row r="154">
          <cell r="C154">
            <v>219.27816741903561</v>
          </cell>
          <cell r="D154">
            <v>11.461012528828688</v>
          </cell>
          <cell r="E154">
            <v>207.81715489020692</v>
          </cell>
          <cell r="F154">
            <v>0</v>
          </cell>
          <cell r="G154">
            <v>24.164785452349641</v>
          </cell>
          <cell r="H154">
            <v>10.356336622435562</v>
          </cell>
          <cell r="I154">
            <v>13.808448829914079</v>
          </cell>
          <cell r="J154">
            <v>0</v>
          </cell>
          <cell r="K154">
            <v>14.669659786231424</v>
          </cell>
          <cell r="M154">
            <v>0.76673914499824203</v>
          </cell>
          <cell r="N154">
            <v>0.93443666216171062</v>
          </cell>
          <cell r="O154">
            <v>13.902920641233182</v>
          </cell>
          <cell r="P154">
            <v>16.943700922329814</v>
          </cell>
          <cell r="Q154">
            <v>0</v>
          </cell>
          <cell r="R154">
            <v>0</v>
          </cell>
          <cell r="S154">
            <v>1.6166186792131607</v>
          </cell>
          <cell r="T154">
            <v>1.9701977816662573</v>
          </cell>
          <cell r="U154">
            <v>0.69283657680564037</v>
          </cell>
          <cell r="V154">
            <v>0.84437047785696751</v>
          </cell>
          <cell r="W154">
            <v>0.92378210240752023</v>
          </cell>
          <cell r="X154">
            <v>1.1258273038092899</v>
          </cell>
          <cell r="Y154">
            <v>0</v>
          </cell>
          <cell r="Z154">
            <v>0</v>
          </cell>
        </row>
        <row r="155">
          <cell r="C155">
            <v>240.61391867109978</v>
          </cell>
          <cell r="D155">
            <v>39.294556907241891</v>
          </cell>
          <cell r="E155">
            <v>201.3193617638579</v>
          </cell>
          <cell r="F155">
            <v>63.378317592325629</v>
          </cell>
          <cell r="G155">
            <v>66.062575749177071</v>
          </cell>
          <cell r="H155">
            <v>3.8772617821187447</v>
          </cell>
          <cell r="I155">
            <v>62.185313967058327</v>
          </cell>
          <cell r="J155">
            <v>0</v>
          </cell>
          <cell r="K155">
            <v>14.182081622860085</v>
          </cell>
          <cell r="M155">
            <v>2.3160697289269492</v>
          </cell>
          <cell r="N155">
            <v>2.2799435464038789</v>
          </cell>
          <cell r="O155">
            <v>11.866011893933136</v>
          </cell>
          <cell r="P155">
            <v>11.680925190304505</v>
          </cell>
          <cell r="Q155">
            <v>3.7355963369789498</v>
          </cell>
          <cell r="R155">
            <v>3.6773283006514177</v>
          </cell>
          <cell r="S155">
            <v>3.8938098288980587</v>
          </cell>
          <cell r="T155">
            <v>3.8330739698554779</v>
          </cell>
          <cell r="U155">
            <v>0.22853059943871226</v>
          </cell>
          <cell r="V155">
            <v>0.22496596662808674</v>
          </cell>
          <cell r="W155">
            <v>3.6652792294593466</v>
          </cell>
          <cell r="X155">
            <v>3.6081080032273913</v>
          </cell>
          <cell r="Y155">
            <v>0</v>
          </cell>
          <cell r="Z155">
            <v>0</v>
          </cell>
        </row>
        <row r="156">
          <cell r="C156">
            <v>198.58304352766777</v>
          </cell>
          <cell r="D156">
            <v>21.456098955862956</v>
          </cell>
          <cell r="E156">
            <v>177.12694457180481</v>
          </cell>
          <cell r="F156">
            <v>79.319089225131677</v>
          </cell>
          <cell r="G156">
            <v>405.7257010004937</v>
          </cell>
          <cell r="H156">
            <v>23.966919046442662</v>
          </cell>
          <cell r="I156">
            <v>381.75878195405102</v>
          </cell>
          <cell r="J156">
            <v>0</v>
          </cell>
          <cell r="K156">
            <v>7.5887380013466981</v>
          </cell>
          <cell r="M156">
            <v>0.81993261163975828</v>
          </cell>
          <cell r="N156">
            <v>0.73806098580060275</v>
          </cell>
          <cell r="O156">
            <v>6.76880538970694</v>
          </cell>
          <cell r="P156">
            <v>6.0929289891624219</v>
          </cell>
          <cell r="Q156">
            <v>3.0311338568597446</v>
          </cell>
          <cell r="R156">
            <v>2.7284701336777601</v>
          </cell>
          <cell r="S156">
            <v>15.504576778613515</v>
          </cell>
          <cell r="T156">
            <v>13.9564191729848</v>
          </cell>
          <cell r="U156">
            <v>0.91588217257632565</v>
          </cell>
          <cell r="V156">
            <v>0.82442982456450298</v>
          </cell>
          <cell r="W156">
            <v>14.588694606037189</v>
          </cell>
          <cell r="X156">
            <v>13.131989348420298</v>
          </cell>
          <cell r="Y156">
            <v>0</v>
          </cell>
          <cell r="Z156">
            <v>0</v>
          </cell>
        </row>
        <row r="157">
          <cell r="C157">
            <v>418.85044238306943</v>
          </cell>
          <cell r="D157">
            <v>45.651274374176502</v>
          </cell>
          <cell r="E157">
            <v>373.19916800889291</v>
          </cell>
          <cell r="F157">
            <v>0</v>
          </cell>
          <cell r="G157">
            <v>1057.1693863199921</v>
          </cell>
          <cell r="H157">
            <v>114.12818593544125</v>
          </cell>
          <cell r="I157">
            <v>943.04120038455096</v>
          </cell>
          <cell r="J157">
            <v>0</v>
          </cell>
          <cell r="K157">
            <v>11.643410994561446</v>
          </cell>
          <cell r="M157">
            <v>1.2690366206606483</v>
          </cell>
          <cell r="N157">
            <v>1.0969158064211468</v>
          </cell>
          <cell r="O157">
            <v>10.374374373900798</v>
          </cell>
          <cell r="P157">
            <v>8.9672867174928772</v>
          </cell>
          <cell r="Q157">
            <v>0</v>
          </cell>
          <cell r="R157">
            <v>0</v>
          </cell>
          <cell r="S157">
            <v>29.387715542948957</v>
          </cell>
          <cell r="T157">
            <v>25.401827787197707</v>
          </cell>
          <cell r="U157">
            <v>3.1725915516516197</v>
          </cell>
          <cell r="V157">
            <v>2.7422895160528671</v>
          </cell>
          <cell r="W157">
            <v>26.215123991297336</v>
          </cell>
          <cell r="X157">
            <v>22.659538271144839</v>
          </cell>
          <cell r="Y157">
            <v>0</v>
          </cell>
          <cell r="Z157">
            <v>0</v>
          </cell>
        </row>
        <row r="158">
          <cell r="C158">
            <v>159.77946030961775</v>
          </cell>
          <cell r="D158">
            <v>11.412818593544126</v>
          </cell>
          <cell r="E158">
            <v>148.36664171607362</v>
          </cell>
          <cell r="F158">
            <v>7.9889730154808873</v>
          </cell>
          <cell r="G158">
            <v>664.51136260910675</v>
          </cell>
          <cell r="H158">
            <v>3.7091660429018405</v>
          </cell>
          <cell r="I158">
            <v>660.80219656620488</v>
          </cell>
          <cell r="J158">
            <v>0</v>
          </cell>
          <cell r="K158">
            <v>8.3298399913434693</v>
          </cell>
          <cell r="M158">
            <v>0.59498857081024792</v>
          </cell>
          <cell r="N158">
            <v>0.48821554428609326</v>
          </cell>
          <cell r="O158">
            <v>7.7348514205332215</v>
          </cell>
          <cell r="P158">
            <v>6.3468020757192125</v>
          </cell>
          <cell r="Q158">
            <v>0.41649199956717348</v>
          </cell>
          <cell r="R158">
            <v>0.34175088100026529</v>
          </cell>
          <cell r="S158">
            <v>34.643209535426678</v>
          </cell>
          <cell r="T158">
            <v>28.426350066057783</v>
          </cell>
          <cell r="U158">
            <v>0.19337128551333052</v>
          </cell>
          <cell r="V158">
            <v>0.15867005189298031</v>
          </cell>
          <cell r="W158">
            <v>34.449838249913348</v>
          </cell>
          <cell r="X158">
            <v>28.267680014164803</v>
          </cell>
          <cell r="Y158">
            <v>0</v>
          </cell>
          <cell r="Z158">
            <v>0</v>
          </cell>
        </row>
        <row r="159">
          <cell r="C159">
            <v>800.7523718505679</v>
          </cell>
          <cell r="D159">
            <v>89.909038242870778</v>
          </cell>
          <cell r="E159">
            <v>710.8433336076971</v>
          </cell>
          <cell r="F159">
            <v>243.50364524110836</v>
          </cell>
          <cell r="G159">
            <v>147.0387396263616</v>
          </cell>
          <cell r="H159">
            <v>0</v>
          </cell>
          <cell r="I159">
            <v>147.0387396263616</v>
          </cell>
          <cell r="J159">
            <v>1282.1403474426052</v>
          </cell>
          <cell r="K159">
            <v>17.543690409542965</v>
          </cell>
          <cell r="M159">
            <v>1.969817870545175</v>
          </cell>
          <cell r="N159">
            <v>1.6884794993217871</v>
          </cell>
          <cell r="O159">
            <v>15.57387253899779</v>
          </cell>
          <cell r="P159">
            <v>13.349541041512877</v>
          </cell>
          <cell r="Q159">
            <v>5.3349233993931824</v>
          </cell>
          <cell r="R159">
            <v>4.5729653106631734</v>
          </cell>
          <cell r="S159">
            <v>3.2214729757874219</v>
          </cell>
          <cell r="T159">
            <v>2.7613675145158392</v>
          </cell>
          <cell r="U159">
            <v>0</v>
          </cell>
          <cell r="V159">
            <v>0</v>
          </cell>
          <cell r="W159">
            <v>3.2214729757874219</v>
          </cell>
          <cell r="X159">
            <v>2.7613675145158392</v>
          </cell>
          <cell r="Y159">
            <v>28.090423591420254</v>
          </cell>
          <cell r="Z159">
            <v>24.078421193453401</v>
          </cell>
        </row>
        <row r="160">
          <cell r="C160">
            <v>73.473615277217803</v>
          </cell>
          <cell r="D160">
            <v>8.4744654298982489</v>
          </cell>
          <cell r="E160">
            <v>64.999149847319558</v>
          </cell>
          <cell r="F160">
            <v>39.575753557624822</v>
          </cell>
          <cell r="G160">
            <v>60.08395989797858</v>
          </cell>
          <cell r="H160">
            <v>0</v>
          </cell>
          <cell r="I160">
            <v>60.08395989797858</v>
          </cell>
          <cell r="J160">
            <v>105.9308178737281</v>
          </cell>
          <cell r="K160">
            <v>4.4851662923129334</v>
          </cell>
          <cell r="M160">
            <v>0.51732021825985408</v>
          </cell>
          <cell r="N160">
            <v>0.39296591364080952</v>
          </cell>
          <cell r="O160">
            <v>3.9678460740530794</v>
          </cell>
          <cell r="P160">
            <v>3.0140485576250082</v>
          </cell>
          <cell r="Q160">
            <v>2.4158854192735184</v>
          </cell>
          <cell r="R160">
            <v>1.8351508167025805</v>
          </cell>
          <cell r="S160">
            <v>3.6678003474623648</v>
          </cell>
          <cell r="T160">
            <v>2.7861283277133393</v>
          </cell>
          <cell r="U160">
            <v>0</v>
          </cell>
          <cell r="V160">
            <v>0</v>
          </cell>
          <cell r="W160">
            <v>3.6678003474623648</v>
          </cell>
          <cell r="X160">
            <v>2.7861283277133393</v>
          </cell>
          <cell r="Y160">
            <v>6.4665027282481748</v>
          </cell>
          <cell r="Z160">
            <v>4.9120739205101192</v>
          </cell>
        </row>
        <row r="161">
          <cell r="C161">
            <v>97.00895804512507</v>
          </cell>
          <cell r="D161">
            <v>16.092074216897217</v>
          </cell>
          <cell r="E161">
            <v>80.916883828227853</v>
          </cell>
          <cell r="F161">
            <v>5.1357683670948562E-2</v>
          </cell>
          <cell r="G161">
            <v>172.60632712690199</v>
          </cell>
          <cell r="H161">
            <v>0.72927910812746966</v>
          </cell>
          <cell r="I161">
            <v>171.87704801877453</v>
          </cell>
          <cell r="J161">
            <v>11.412818593544126</v>
          </cell>
          <cell r="K161">
            <v>7.3274116773062694</v>
          </cell>
          <cell r="M161">
            <v>1.2154882900002164</v>
          </cell>
          <cell r="N161">
            <v>0.89573204225207037</v>
          </cell>
          <cell r="O161">
            <v>6.111923387306053</v>
          </cell>
          <cell r="P161">
            <v>4.5040710493384246</v>
          </cell>
          <cell r="Q161">
            <v>3.8792179468092008E-3</v>
          </cell>
          <cell r="R161">
            <v>2.8587192837832031E-3</v>
          </cell>
          <cell r="S161">
            <v>13.03753429016615</v>
          </cell>
          <cell r="T161">
            <v>9.6077743502241759</v>
          </cell>
          <cell r="U161">
            <v>5.508489484469066E-2</v>
          </cell>
          <cell r="V161">
            <v>4.0593813829721485E-2</v>
          </cell>
          <cell r="W161">
            <v>12.98244939532146</v>
          </cell>
          <cell r="X161">
            <v>9.5671805363944546</v>
          </cell>
          <cell r="Y161">
            <v>0.862048432624267</v>
          </cell>
          <cell r="Z161">
            <v>0.63527095195182293</v>
          </cell>
        </row>
        <row r="162">
          <cell r="C162">
            <v>440.05801796809027</v>
          </cell>
          <cell r="D162">
            <v>203.99190920386701</v>
          </cell>
          <cell r="E162">
            <v>236.06610876422326</v>
          </cell>
          <cell r="F162">
            <v>14.112647806556826</v>
          </cell>
          <cell r="G162">
            <v>437.4920820032616</v>
          </cell>
          <cell r="H162">
            <v>1.2829679824142568</v>
          </cell>
          <cell r="I162">
            <v>436.20911402084732</v>
          </cell>
          <cell r="J162">
            <v>0</v>
          </cell>
          <cell r="K162">
            <v>13.937406334160272</v>
          </cell>
          <cell r="M162">
            <v>6.4607801957186126</v>
          </cell>
          <cell r="N162">
            <v>6.9338109418614193</v>
          </cell>
          <cell r="O162">
            <v>7.4766261384416586</v>
          </cell>
          <cell r="P162">
            <v>8.0240327880660391</v>
          </cell>
          <cell r="Q162">
            <v>0.44697221479814264</v>
          </cell>
          <cell r="R162">
            <v>0.47969761233003494</v>
          </cell>
          <cell r="S162">
            <v>13.856138658742422</v>
          </cell>
          <cell r="T162">
            <v>14.870625982231083</v>
          </cell>
          <cell r="U162">
            <v>4.0633837708922059E-2</v>
          </cell>
          <cell r="V162">
            <v>4.3608873848184994E-2</v>
          </cell>
          <cell r="W162">
            <v>13.8155048210335</v>
          </cell>
          <cell r="X162">
            <v>14.827017108382897</v>
          </cell>
          <cell r="Y162">
            <v>0</v>
          </cell>
          <cell r="Z162">
            <v>0</v>
          </cell>
        </row>
        <row r="163">
          <cell r="C163">
            <v>5328.0279999999993</v>
          </cell>
          <cell r="D163">
            <v>690.4</v>
          </cell>
          <cell r="E163">
            <v>4637.6279999999997</v>
          </cell>
          <cell r="F163">
            <v>17.98</v>
          </cell>
          <cell r="G163">
            <v>510</v>
          </cell>
          <cell r="H163">
            <v>56</v>
          </cell>
          <cell r="I163">
            <v>454</v>
          </cell>
          <cell r="J163">
            <v>0</v>
          </cell>
          <cell r="K163">
            <v>26.735082699094594</v>
          </cell>
          <cell r="M163">
            <v>3.4643025703796808</v>
          </cell>
          <cell r="N163">
            <v>3.4564564287736315</v>
          </cell>
          <cell r="O163">
            <v>23.270780128714915</v>
          </cell>
          <cell r="P163">
            <v>23.218075195336905</v>
          </cell>
          <cell r="Q163">
            <v>9.0220394286539191E-2</v>
          </cell>
          <cell r="R163">
            <v>9.0016058211688718E-2</v>
          </cell>
          <cell r="S163">
            <v>2.5590879358250826</v>
          </cell>
          <cell r="T163">
            <v>2.5532919737464543</v>
          </cell>
          <cell r="U163">
            <v>0.28099789099255812</v>
          </cell>
          <cell r="V163">
            <v>0.28036147162706165</v>
          </cell>
          <cell r="W163">
            <v>2.2780900448325245</v>
          </cell>
          <cell r="X163">
            <v>2.2729305021193928</v>
          </cell>
          <cell r="Y163">
            <v>0</v>
          </cell>
          <cell r="Z163">
            <v>0</v>
          </cell>
        </row>
        <row r="164">
          <cell r="C164">
            <v>7.0279601888551095</v>
          </cell>
          <cell r="D164">
            <v>4.8032151754294521</v>
          </cell>
          <cell r="E164">
            <v>2.224745013425657</v>
          </cell>
          <cell r="F164">
            <v>4.2819360091037746</v>
          </cell>
          <cell r="G164">
            <v>1.0704840022759436</v>
          </cell>
          <cell r="H164">
            <v>0.89362142798687472</v>
          </cell>
          <cell r="I164">
            <v>0.17686257428906896</v>
          </cell>
          <cell r="J164">
            <v>11.789286859847676</v>
          </cell>
          <cell r="K164">
            <v>0.5494236719748582</v>
          </cell>
          <cell r="M164">
            <v>0.37550015197222092</v>
          </cell>
          <cell r="N164">
            <v>0.20167445943375686</v>
          </cell>
          <cell r="O164">
            <v>0.17392352000263722</v>
          </cell>
          <cell r="P164">
            <v>9.3411232179588952E-2</v>
          </cell>
          <cell r="Q164">
            <v>0.33474819749461554</v>
          </cell>
          <cell r="R164">
            <v>0.17978730879753521</v>
          </cell>
          <cell r="S164">
            <v>8.3687049373653885E-2</v>
          </cell>
          <cell r="T164">
            <v>4.4946827199383796E-2</v>
          </cell>
          <cell r="U164">
            <v>6.9860493390180634E-2</v>
          </cell>
          <cell r="V164">
            <v>3.7520829662094302E-2</v>
          </cell>
          <cell r="W164">
            <v>1.3826555983473252E-2</v>
          </cell>
          <cell r="X164">
            <v>7.4259975372894969E-3</v>
          </cell>
          <cell r="Y164">
            <v>0.92164911331941435</v>
          </cell>
          <cell r="Z164">
            <v>0.4950013621566921</v>
          </cell>
        </row>
        <row r="165">
          <cell r="C165">
            <v>13.522864278129838</v>
          </cell>
          <cell r="D165">
            <v>2.3964569606812369</v>
          </cell>
          <cell r="E165">
            <v>11.126407317448601</v>
          </cell>
          <cell r="F165">
            <v>10.042295835235661</v>
          </cell>
          <cell r="G165">
            <v>48.92766294724192</v>
          </cell>
          <cell r="H165">
            <v>2.995571200851546</v>
          </cell>
          <cell r="I165">
            <v>45.932091746390377</v>
          </cell>
          <cell r="J165">
            <v>18.47268907191787</v>
          </cell>
          <cell r="K165">
            <v>1.35628264486673</v>
          </cell>
          <cell r="M165">
            <v>0.24035388643207875</v>
          </cell>
          <cell r="N165">
            <v>0.10268549146487745</v>
          </cell>
          <cell r="O165">
            <v>1.1159287584346513</v>
          </cell>
          <cell r="P165">
            <v>0.47675406751550248</v>
          </cell>
          <cell r="Q165">
            <v>1.0071972383820444</v>
          </cell>
          <cell r="R165">
            <v>0.43030110709091507</v>
          </cell>
          <cell r="S165">
            <v>4.9072251813216079</v>
          </cell>
          <cell r="T165">
            <v>2.0964954507412479</v>
          </cell>
          <cell r="U165">
            <v>0.30044235804009845</v>
          </cell>
          <cell r="V165">
            <v>0.1283568643310968</v>
          </cell>
          <cell r="W165">
            <v>4.6067828232815096</v>
          </cell>
          <cell r="X165">
            <v>1.9681385864101513</v>
          </cell>
          <cell r="Y165">
            <v>1.8527278745806071</v>
          </cell>
          <cell r="Z165">
            <v>0.79153399670843039</v>
          </cell>
        </row>
        <row r="166">
          <cell r="C166">
            <v>50.216401811594153</v>
          </cell>
          <cell r="D166">
            <v>2.8532046483860314</v>
          </cell>
          <cell r="E166">
            <v>47.36319716320812</v>
          </cell>
          <cell r="F166">
            <v>0</v>
          </cell>
          <cell r="G166">
            <v>10.271536734189713</v>
          </cell>
          <cell r="H166">
            <v>0</v>
          </cell>
          <cell r="I166">
            <v>10.271536734189713</v>
          </cell>
          <cell r="J166">
            <v>0</v>
          </cell>
          <cell r="K166">
            <v>12.131044231205824</v>
          </cell>
          <cell r="M166">
            <v>0.68926387677305812</v>
          </cell>
          <cell r="N166">
            <v>0.60887958869489833</v>
          </cell>
          <cell r="O166">
            <v>11.441780354432765</v>
          </cell>
          <cell r="P166">
            <v>10.107401172335312</v>
          </cell>
          <cell r="Q166">
            <v>0</v>
          </cell>
          <cell r="R166">
            <v>0</v>
          </cell>
          <cell r="S166">
            <v>2.4813499563830095</v>
          </cell>
          <cell r="T166">
            <v>2.1919665193016336</v>
          </cell>
          <cell r="U166">
            <v>0</v>
          </cell>
          <cell r="V166">
            <v>0</v>
          </cell>
          <cell r="W166">
            <v>2.4813499563830095</v>
          </cell>
          <cell r="X166">
            <v>2.1919665193016336</v>
          </cell>
          <cell r="Y166">
            <v>0</v>
          </cell>
          <cell r="Z166">
            <v>0</v>
          </cell>
        </row>
        <row r="167">
          <cell r="C167">
            <v>41.200275122694293</v>
          </cell>
          <cell r="D167">
            <v>9.5867676185770652</v>
          </cell>
          <cell r="E167">
            <v>31.613507504117226</v>
          </cell>
          <cell r="F167">
            <v>15.52143328722001</v>
          </cell>
          <cell r="G167">
            <v>60.602066731719304</v>
          </cell>
          <cell r="H167">
            <v>1.2554100452898538</v>
          </cell>
          <cell r="I167">
            <v>59.346656686429448</v>
          </cell>
          <cell r="J167">
            <v>0</v>
          </cell>
          <cell r="K167">
            <v>8.32064012416871</v>
          </cell>
          <cell r="M167">
            <v>1.9361046272303923</v>
          </cell>
          <cell r="N167">
            <v>1.7263440251765527</v>
          </cell>
          <cell r="O167">
            <v>6.3845354969383177</v>
          </cell>
          <cell r="P167">
            <v>5.6928249401655373</v>
          </cell>
          <cell r="Q167">
            <v>3.1346455869444441</v>
          </cell>
          <cell r="R167">
            <v>2.7950331836191804</v>
          </cell>
          <cell r="S167">
            <v>12.238947107849265</v>
          </cell>
          <cell r="T167">
            <v>10.912960444866066</v>
          </cell>
          <cell r="U167">
            <v>0.25353751070874186</v>
          </cell>
          <cell r="V167">
            <v>0.22606886043978666</v>
          </cell>
          <cell r="W167">
            <v>11.985409597140523</v>
          </cell>
          <cell r="X167">
            <v>10.686891584426279</v>
          </cell>
          <cell r="Y167">
            <v>0</v>
          </cell>
          <cell r="Z167">
            <v>0</v>
          </cell>
        </row>
        <row r="168">
          <cell r="C168">
            <v>13.114895358731596</v>
          </cell>
          <cell r="D168">
            <v>2.8694219148867419</v>
          </cell>
          <cell r="E168">
            <v>10.245473443844855</v>
          </cell>
          <cell r="F168">
            <v>1.5639641968526836</v>
          </cell>
          <cell r="G168">
            <v>37.268017363018501</v>
          </cell>
          <cell r="H168">
            <v>4.3084413136437572E-2</v>
          </cell>
          <cell r="I168">
            <v>37.22493294988206</v>
          </cell>
          <cell r="J168">
            <v>0</v>
          </cell>
          <cell r="K168">
            <v>6.0818374232812999</v>
          </cell>
          <cell r="M168">
            <v>1.3306516832803368</v>
          </cell>
          <cell r="N168">
            <v>0.70433258322995251</v>
          </cell>
          <cell r="O168">
            <v>4.7511857400009632</v>
          </cell>
          <cell r="P168">
            <v>2.5148691935748158</v>
          </cell>
          <cell r="Q168">
            <v>0.7252651066527962</v>
          </cell>
          <cell r="R168">
            <v>0.38389298455326237</v>
          </cell>
          <cell r="S168">
            <v>17.282488078641009</v>
          </cell>
          <cell r="T168">
            <v>9.1478631305391716</v>
          </cell>
          <cell r="U168">
            <v>1.9979755004209263E-2</v>
          </cell>
          <cell r="V168">
            <v>1.057556431276205E-2</v>
          </cell>
          <cell r="W168">
            <v>17.262508323636801</v>
          </cell>
          <cell r="X168">
            <v>9.1372875662264104</v>
          </cell>
          <cell r="Y168">
            <v>0</v>
          </cell>
          <cell r="Z168">
            <v>0</v>
          </cell>
        </row>
        <row r="169">
          <cell r="C169">
            <v>12.274248212821655</v>
          </cell>
          <cell r="D169">
            <v>0.12228391743782471</v>
          </cell>
          <cell r="E169">
            <v>12.151964295383831</v>
          </cell>
          <cell r="F169">
            <v>48.730141098973149</v>
          </cell>
          <cell r="G169">
            <v>47.847404069968846</v>
          </cell>
          <cell r="H169">
            <v>33.826788661238261</v>
          </cell>
          <cell r="I169">
            <v>14.020615408730588</v>
          </cell>
          <cell r="J169">
            <v>0</v>
          </cell>
          <cell r="K169">
            <v>3.690365110259608</v>
          </cell>
          <cell r="M169">
            <v>3.6765779429734573E-2</v>
          </cell>
          <cell r="N169">
            <v>3.9311555541792213E-2</v>
          </cell>
          <cell r="O169">
            <v>3.6535993308298735</v>
          </cell>
          <cell r="P169">
            <v>3.9065858319656011</v>
          </cell>
          <cell r="Q169">
            <v>14.651163102749228</v>
          </cell>
          <cell r="R169">
            <v>15.665654883404198</v>
          </cell>
          <cell r="S169">
            <v>14.385760132490832</v>
          </cell>
          <cell r="T169">
            <v>15.381874591836883</v>
          </cell>
          <cell r="U169">
            <v>10.170333734750328</v>
          </cell>
          <cell r="V169">
            <v>10.874559051748271</v>
          </cell>
          <cell r="W169">
            <v>4.2154263977405044</v>
          </cell>
          <cell r="X169">
            <v>4.5073155400886131</v>
          </cell>
          <cell r="Y169">
            <v>0</v>
          </cell>
          <cell r="Z169">
            <v>0</v>
          </cell>
        </row>
        <row r="170">
          <cell r="C170">
            <v>0.97330000000000005</v>
          </cell>
          <cell r="D170">
            <v>0.22389999999999999</v>
          </cell>
          <cell r="E170">
            <v>0.74940000000000007</v>
          </cell>
          <cell r="F170">
            <v>0</v>
          </cell>
          <cell r="G170">
            <v>1.5502562191675586</v>
          </cell>
          <cell r="H170">
            <v>1.1471896021839934</v>
          </cell>
          <cell r="I170">
            <v>0.40306661698356522</v>
          </cell>
          <cell r="J170">
            <v>0</v>
          </cell>
          <cell r="K170">
            <v>3.6187996377830292</v>
          </cell>
          <cell r="M170">
            <v>0.83247635764884431</v>
          </cell>
          <cell r="N170">
            <v>0.48767660581769617</v>
          </cell>
          <cell r="O170">
            <v>2.7863232801341851</v>
          </cell>
          <cell r="P170">
            <v>1.6322681929423026</v>
          </cell>
          <cell r="Q170">
            <v>0</v>
          </cell>
          <cell r="R170">
            <v>0</v>
          </cell>
          <cell r="S170">
            <v>5.7639644964496544</v>
          </cell>
          <cell r="T170">
            <v>3.3766131804886532</v>
          </cell>
          <cell r="U170">
            <v>4.2653337273727443</v>
          </cell>
          <cell r="V170">
            <v>2.4986937535616036</v>
          </cell>
          <cell r="W170">
            <v>1.4986307690769103</v>
          </cell>
          <cell r="X170">
            <v>0.87791942692704983</v>
          </cell>
          <cell r="Y170">
            <v>0</v>
          </cell>
          <cell r="Z170">
            <v>0</v>
          </cell>
        </row>
        <row r="171">
          <cell r="C171">
            <v>6.8362783375329315</v>
          </cell>
          <cell r="D171">
            <v>2.1113714398056631</v>
          </cell>
          <cell r="E171">
            <v>4.7249068977272684</v>
          </cell>
          <cell r="F171">
            <v>2.3966919046442663</v>
          </cell>
          <cell r="G171">
            <v>15.749689659090892</v>
          </cell>
          <cell r="H171">
            <v>1.8260509749670601</v>
          </cell>
          <cell r="I171">
            <v>13.923638684123832</v>
          </cell>
          <cell r="J171">
            <v>4.56512743741765</v>
          </cell>
          <cell r="K171">
            <v>2.6835858949304816</v>
          </cell>
          <cell r="M171">
            <v>0.82882035152276967</v>
          </cell>
          <cell r="N171">
            <v>0.83150289889448914</v>
          </cell>
          <cell r="O171">
            <v>1.8547655434077117</v>
          </cell>
          <cell r="P171">
            <v>1.8607686494179381</v>
          </cell>
          <cell r="Q171">
            <v>0.94082310172854933</v>
          </cell>
          <cell r="R171">
            <v>0.94386815550185255</v>
          </cell>
          <cell r="S171">
            <v>6.1825518113590379</v>
          </cell>
          <cell r="T171">
            <v>6.2025621647264586</v>
          </cell>
          <cell r="U171">
            <v>0.71681760131699002</v>
          </cell>
          <cell r="V171">
            <v>0.71913764228712584</v>
          </cell>
          <cell r="W171">
            <v>5.4657342100420481</v>
          </cell>
          <cell r="X171">
            <v>5.483424522439333</v>
          </cell>
          <cell r="Y171">
            <v>1.7920440032924749</v>
          </cell>
          <cell r="Z171">
            <v>1.7978441057178143</v>
          </cell>
        </row>
        <row r="172">
          <cell r="C172">
            <v>25.336457277667957</v>
          </cell>
          <cell r="D172">
            <v>1.0613921291996038</v>
          </cell>
          <cell r="E172">
            <v>24.275065148468354</v>
          </cell>
          <cell r="F172">
            <v>0.84454857592226529</v>
          </cell>
          <cell r="G172">
            <v>7.2471398069005195</v>
          </cell>
          <cell r="H172">
            <v>3.8803583218050024</v>
          </cell>
          <cell r="I172">
            <v>3.3667814850955171</v>
          </cell>
          <cell r="J172">
            <v>0</v>
          </cell>
          <cell r="K172">
            <v>12.425739817153806</v>
          </cell>
          <cell r="M172">
            <v>0.5205377490969838</v>
          </cell>
          <cell r="N172">
            <v>0.35198495042842992</v>
          </cell>
          <cell r="O172">
            <v>11.905202068056822</v>
          </cell>
          <cell r="P172">
            <v>8.0502364468953793</v>
          </cell>
          <cell r="Q172">
            <v>0.41419132723846014</v>
          </cell>
          <cell r="R172">
            <v>0.28007404657746032</v>
          </cell>
          <cell r="S172">
            <v>3.5542093621138138</v>
          </cell>
          <cell r="T172">
            <v>2.4033381023876661</v>
          </cell>
          <cell r="U172">
            <v>1.90304123325779</v>
          </cell>
          <cell r="V172">
            <v>1.2868267004910339</v>
          </cell>
          <cell r="W172">
            <v>1.6511681288560238</v>
          </cell>
          <cell r="X172">
            <v>1.1165114018966324</v>
          </cell>
          <cell r="Y172">
            <v>0</v>
          </cell>
          <cell r="Z172">
            <v>0</v>
          </cell>
        </row>
        <row r="173">
          <cell r="C173">
            <v>2.0091211225997045</v>
          </cell>
          <cell r="D173">
            <v>0.10494830132939439</v>
          </cell>
          <cell r="E173">
            <v>1.90417282127031</v>
          </cell>
          <cell r="F173">
            <v>0</v>
          </cell>
          <cell r="G173">
            <v>0.33264401772525848</v>
          </cell>
          <cell r="H173">
            <v>0.1</v>
          </cell>
          <cell r="I173">
            <v>0.23264401772525847</v>
          </cell>
          <cell r="J173">
            <v>0</v>
          </cell>
          <cell r="K173">
            <v>9.6918530600024297</v>
          </cell>
          <cell r="M173">
            <v>0.50626291463464101</v>
          </cell>
          <cell r="N173">
            <v>0.55035667997063265</v>
          </cell>
          <cell r="O173">
            <v>9.1855901453677884</v>
          </cell>
          <cell r="P173">
            <v>9.9856235758922107</v>
          </cell>
          <cell r="Q173">
            <v>0</v>
          </cell>
          <cell r="R173">
            <v>0</v>
          </cell>
          <cell r="S173">
            <v>1.6046503641903045</v>
          </cell>
          <cell r="T173">
            <v>1.7444099131511113</v>
          </cell>
          <cell r="U173">
            <v>0.48239267165046013</v>
          </cell>
          <cell r="V173">
            <v>0.52440742060537404</v>
          </cell>
          <cell r="W173">
            <v>1.1222576925398444</v>
          </cell>
          <cell r="X173">
            <v>1.2200024925457371</v>
          </cell>
          <cell r="Y173">
            <v>0</v>
          </cell>
          <cell r="Z173">
            <v>0</v>
          </cell>
        </row>
        <row r="174">
          <cell r="C174">
            <v>36.545111825001776</v>
          </cell>
          <cell r="D174">
            <v>5.9326480235392491</v>
          </cell>
          <cell r="E174">
            <v>30.612463801462525</v>
          </cell>
          <cell r="F174">
            <v>2.3730592094156995</v>
          </cell>
          <cell r="G174">
            <v>7.8310953910718082</v>
          </cell>
          <cell r="H174">
            <v>5.4580361816561087</v>
          </cell>
          <cell r="I174">
            <v>2.3730592094156995</v>
          </cell>
          <cell r="J174">
            <v>0</v>
          </cell>
          <cell r="K174">
            <v>9.8380613897235776</v>
          </cell>
          <cell r="M174">
            <v>1.5970878879421391</v>
          </cell>
          <cell r="N174">
            <v>1.4196648052248966</v>
          </cell>
          <cell r="O174">
            <v>8.2409735017814381</v>
          </cell>
          <cell r="P174">
            <v>7.3254703949604663</v>
          </cell>
          <cell r="Q174">
            <v>0.63883515517685563</v>
          </cell>
          <cell r="R174">
            <v>0.56786592208995856</v>
          </cell>
          <cell r="S174">
            <v>2.1081560120836231</v>
          </cell>
          <cell r="T174">
            <v>1.8739575428968633</v>
          </cell>
          <cell r="U174">
            <v>1.4693208569067677</v>
          </cell>
          <cell r="V174">
            <v>1.3060916208069047</v>
          </cell>
          <cell r="W174">
            <v>0.63883515517685563</v>
          </cell>
          <cell r="X174">
            <v>0.56786592208995856</v>
          </cell>
          <cell r="Y174">
            <v>0</v>
          </cell>
          <cell r="Z174">
            <v>0</v>
          </cell>
        </row>
        <row r="175">
          <cell r="C175">
            <v>40.23348958694659</v>
          </cell>
          <cell r="D175">
            <v>5.0110302915150085</v>
          </cell>
          <cell r="E175">
            <v>35.222459295431584</v>
          </cell>
          <cell r="F175">
            <v>2.1002753047915084</v>
          </cell>
          <cell r="G175">
            <v>18.184956304280554</v>
          </cell>
          <cell r="H175">
            <v>3.5440330177671364</v>
          </cell>
          <cell r="I175">
            <v>14.640923286513416</v>
          </cell>
          <cell r="J175">
            <v>0</v>
          </cell>
          <cell r="K175">
            <v>11.223975121405827</v>
          </cell>
          <cell r="M175">
            <v>1.3979319194530724</v>
          </cell>
          <cell r="N175">
            <v>1.4635159028660083</v>
          </cell>
          <cell r="O175">
            <v>9.8260432019527553</v>
          </cell>
          <cell r="P175">
            <v>10.28703207086977</v>
          </cell>
          <cell r="Q175">
            <v>0.58591581319685304</v>
          </cell>
          <cell r="R175">
            <v>0.61340405667949227</v>
          </cell>
          <cell r="S175">
            <v>5.0730746758123093</v>
          </cell>
          <cell r="T175">
            <v>5.31107800112534</v>
          </cell>
          <cell r="U175">
            <v>0.98868228506246281</v>
          </cell>
          <cell r="V175">
            <v>1.0350663197081336</v>
          </cell>
          <cell r="W175">
            <v>4.0843923907498461</v>
          </cell>
          <cell r="X175">
            <v>4.2760116814172067</v>
          </cell>
          <cell r="Y175">
            <v>0</v>
          </cell>
          <cell r="Z175">
            <v>0</v>
          </cell>
        </row>
        <row r="176">
          <cell r="C176">
            <v>2.9126178965863909</v>
          </cell>
          <cell r="D176">
            <v>0.67911263411214207</v>
          </cell>
          <cell r="E176">
            <v>2.2335052624742486</v>
          </cell>
          <cell r="F176">
            <v>0</v>
          </cell>
          <cell r="G176">
            <v>1.0455461485605735</v>
          </cell>
          <cell r="H176">
            <v>0.2896249719004359</v>
          </cell>
          <cell r="I176">
            <v>0.75592117666013769</v>
          </cell>
          <cell r="J176">
            <v>0</v>
          </cell>
          <cell r="K176">
            <v>9.6571963197389223</v>
          </cell>
          <cell r="M176">
            <v>2.2516939274878407</v>
          </cell>
          <cell r="N176">
            <v>1.2253354404729446</v>
          </cell>
          <cell r="O176">
            <v>7.4055023922510825</v>
          </cell>
          <cell r="P176">
            <v>4.0299547043040231</v>
          </cell>
          <cell r="Q176">
            <v>0</v>
          </cell>
          <cell r="R176">
            <v>0</v>
          </cell>
          <cell r="S176">
            <v>3.4666560381401847</v>
          </cell>
          <cell r="T176">
            <v>1.8864981832596941</v>
          </cell>
          <cell r="U176">
            <v>0.96029253134077153</v>
          </cell>
          <cell r="V176">
            <v>0.52257567403315619</v>
          </cell>
          <cell r="W176">
            <v>2.5063635067994134</v>
          </cell>
          <cell r="X176">
            <v>1.3639225092265379</v>
          </cell>
          <cell r="Y176">
            <v>0</v>
          </cell>
          <cell r="Z176">
            <v>0</v>
          </cell>
        </row>
        <row r="177">
          <cell r="C177">
            <v>3.6064506755599437</v>
          </cell>
          <cell r="D177">
            <v>0.73042038998682401</v>
          </cell>
          <cell r="E177">
            <v>2.8760302855731195</v>
          </cell>
          <cell r="F177">
            <v>1.4950792357542804</v>
          </cell>
          <cell r="G177">
            <v>1.5635561473155453</v>
          </cell>
          <cell r="H177">
            <v>0.42227428796113264</v>
          </cell>
          <cell r="I177">
            <v>1.1412818593544125</v>
          </cell>
          <cell r="J177">
            <v>0</v>
          </cell>
          <cell r="K177">
            <v>7.479660681066771</v>
          </cell>
          <cell r="M177">
            <v>1.5148679860388399</v>
          </cell>
          <cell r="N177">
            <v>0.75195585410067978</v>
          </cell>
          <cell r="O177">
            <v>5.9647926950279313</v>
          </cell>
          <cell r="P177">
            <v>2.9608261755214267</v>
          </cell>
          <cell r="Q177">
            <v>3.1007454089232502</v>
          </cell>
          <cell r="R177">
            <v>1.5391596388623288</v>
          </cell>
          <cell r="S177">
            <v>3.2427642826143916</v>
          </cell>
          <cell r="T177">
            <v>1.6096555001842676</v>
          </cell>
          <cell r="U177">
            <v>0.87578305442870441</v>
          </cell>
          <cell r="V177">
            <v>0.43472447815195547</v>
          </cell>
          <cell r="W177">
            <v>2.3669812281856872</v>
          </cell>
          <cell r="X177">
            <v>1.1749310220323121</v>
          </cell>
          <cell r="Y177">
            <v>0</v>
          </cell>
          <cell r="Z177">
            <v>0</v>
          </cell>
        </row>
        <row r="178">
          <cell r="C178">
            <v>3.0814610202569139</v>
          </cell>
          <cell r="D178">
            <v>0.34238455780632376</v>
          </cell>
          <cell r="E178">
            <v>2.7390764624505901</v>
          </cell>
          <cell r="F178">
            <v>5.2384837344367536</v>
          </cell>
          <cell r="G178">
            <v>3.3097173921277965</v>
          </cell>
          <cell r="H178">
            <v>0.45651274374176504</v>
          </cell>
          <cell r="I178">
            <v>2.8532046483860314</v>
          </cell>
          <cell r="J178">
            <v>1.0157408548254272</v>
          </cell>
          <cell r="K178">
            <v>4.6297730687428773</v>
          </cell>
          <cell r="M178">
            <v>0.51441922986031974</v>
          </cell>
          <cell r="N178">
            <v>0.51607864818606852</v>
          </cell>
          <cell r="O178">
            <v>4.1153538388825579</v>
          </cell>
          <cell r="P178">
            <v>4.1286291854885482</v>
          </cell>
          <cell r="Q178">
            <v>7.870614216862891</v>
          </cell>
          <cell r="R178">
            <v>7.8960033172468469</v>
          </cell>
          <cell r="S178">
            <v>4.9727192219830911</v>
          </cell>
          <cell r="T178">
            <v>4.9887602657986614</v>
          </cell>
          <cell r="U178">
            <v>0.68589230648042632</v>
          </cell>
          <cell r="V178">
            <v>0.68810486424809125</v>
          </cell>
          <cell r="W178">
            <v>4.2868269155026644</v>
          </cell>
          <cell r="X178">
            <v>4.3006554015505705</v>
          </cell>
          <cell r="Y178">
            <v>1.5261103819189485</v>
          </cell>
          <cell r="Z178">
            <v>1.531033322952003</v>
          </cell>
        </row>
        <row r="179">
          <cell r="C179">
            <v>41.200275122694293</v>
          </cell>
          <cell r="D179">
            <v>6.8020398817522985</v>
          </cell>
          <cell r="E179">
            <v>34.398235240941993</v>
          </cell>
          <cell r="F179">
            <v>14.380151427865597</v>
          </cell>
          <cell r="G179">
            <v>74.183320858036808</v>
          </cell>
          <cell r="H179">
            <v>0</v>
          </cell>
          <cell r="I179">
            <v>74.183320858036808</v>
          </cell>
          <cell r="J179">
            <v>0</v>
          </cell>
          <cell r="K179">
            <v>4.9033328305425483</v>
          </cell>
          <cell r="M179">
            <v>0.80952530941921297</v>
          </cell>
          <cell r="N179">
            <v>0.72948787189740938</v>
          </cell>
          <cell r="O179">
            <v>4.0938075211233356</v>
          </cell>
          <cell r="P179">
            <v>3.6890544394275033</v>
          </cell>
          <cell r="Q179">
            <v>1.7114125668929669</v>
          </cell>
          <cell r="R179">
            <v>1.5422059036757312</v>
          </cell>
          <cell r="S179">
            <v>8.8287156228605426</v>
          </cell>
          <cell r="T179">
            <v>7.9558241062636927</v>
          </cell>
          <cell r="U179">
            <v>0</v>
          </cell>
          <cell r="V179">
            <v>0</v>
          </cell>
          <cell r="W179">
            <v>8.8287156228605426</v>
          </cell>
          <cell r="X179">
            <v>7.9558241062636927</v>
          </cell>
          <cell r="Y179">
            <v>0</v>
          </cell>
          <cell r="Z179">
            <v>0</v>
          </cell>
        </row>
        <row r="180">
          <cell r="C180">
            <v>40.366333649903929</v>
          </cell>
          <cell r="D180">
            <v>2.5350837557910677</v>
          </cell>
          <cell r="E180">
            <v>37.831249894112858</v>
          </cell>
          <cell r="F180">
            <v>0</v>
          </cell>
          <cell r="G180">
            <v>5.8176922088025798</v>
          </cell>
          <cell r="H180">
            <v>1.7550579847784318</v>
          </cell>
          <cell r="I180">
            <v>4.0626342240241478</v>
          </cell>
          <cell r="J180">
            <v>0</v>
          </cell>
          <cell r="K180">
            <v>19.890861906826892</v>
          </cell>
          <cell r="M180">
            <v>1.249184564196858</v>
          </cell>
          <cell r="N180">
            <v>1.3069206717170454</v>
          </cell>
          <cell r="O180">
            <v>18.641677342630032</v>
          </cell>
          <cell r="P180">
            <v>19.50327771639283</v>
          </cell>
          <cell r="Q180">
            <v>0</v>
          </cell>
          <cell r="R180">
            <v>0</v>
          </cell>
          <cell r="S180">
            <v>2.8667184229645848</v>
          </cell>
          <cell r="T180">
            <v>2.9992153876583481</v>
          </cell>
          <cell r="U180">
            <v>0.86482008290551715</v>
          </cell>
          <cell r="V180">
            <v>0.90479123426564689</v>
          </cell>
          <cell r="W180">
            <v>2.0018983400590677</v>
          </cell>
          <cell r="X180">
            <v>2.0944241533927013</v>
          </cell>
          <cell r="Y180">
            <v>0</v>
          </cell>
          <cell r="Z180">
            <v>0</v>
          </cell>
        </row>
        <row r="181">
          <cell r="C181">
            <v>13.413576422692262</v>
          </cell>
          <cell r="D181">
            <v>1.1470041596601461</v>
          </cell>
          <cell r="E181">
            <v>12.266572263032117</v>
          </cell>
          <cell r="F181">
            <v>0</v>
          </cell>
          <cell r="G181">
            <v>13.764049915921753</v>
          </cell>
          <cell r="H181">
            <v>5.4801309850429201</v>
          </cell>
          <cell r="I181">
            <v>8.2839189308788317</v>
          </cell>
          <cell r="J181">
            <v>0</v>
          </cell>
          <cell r="K181">
            <v>3.2696156528031333</v>
          </cell>
          <cell r="M181">
            <v>0.27958708670050547</v>
          </cell>
          <cell r="N181">
            <v>0.34709921215352418</v>
          </cell>
          <cell r="O181">
            <v>2.9900285661026276</v>
          </cell>
          <cell r="P181">
            <v>3.7120332410863002</v>
          </cell>
          <cell r="Q181">
            <v>0</v>
          </cell>
          <cell r="R181">
            <v>0</v>
          </cell>
          <cell r="S181">
            <v>3.3550450404060657</v>
          </cell>
          <cell r="T181">
            <v>4.1651905458422895</v>
          </cell>
          <cell r="U181">
            <v>1.3358049697913039</v>
          </cell>
          <cell r="V181">
            <v>1.658362902511282</v>
          </cell>
          <cell r="W181">
            <v>2.0192400706147615</v>
          </cell>
          <cell r="X181">
            <v>2.5068276433310075</v>
          </cell>
          <cell r="Y181">
            <v>0</v>
          </cell>
          <cell r="Z181">
            <v>0</v>
          </cell>
        </row>
        <row r="182">
          <cell r="C182">
            <v>12.554100452898536</v>
          </cell>
          <cell r="D182">
            <v>2.1684355327733837</v>
          </cell>
          <cell r="E182">
            <v>10.385664920125153</v>
          </cell>
          <cell r="F182">
            <v>1.2554100452898538</v>
          </cell>
          <cell r="G182">
            <v>13.124741382575744</v>
          </cell>
          <cell r="H182">
            <v>0</v>
          </cell>
          <cell r="I182">
            <v>13.124741382575744</v>
          </cell>
          <cell r="J182">
            <v>0</v>
          </cell>
          <cell r="K182">
            <v>5.6457843169401318</v>
          </cell>
          <cell r="M182">
            <v>0.97518092747147722</v>
          </cell>
          <cell r="N182">
            <v>0.63550243978385701</v>
          </cell>
          <cell r="O182">
            <v>4.6706033894686545</v>
          </cell>
          <cell r="P182">
            <v>3.0437222115963678</v>
          </cell>
          <cell r="Q182">
            <v>0.56457843169401312</v>
          </cell>
          <cell r="R182">
            <v>0.36792246513802251</v>
          </cell>
          <cell r="S182">
            <v>5.9024108768010466</v>
          </cell>
          <cell r="T182">
            <v>3.8464621355338715</v>
          </cell>
          <cell r="U182">
            <v>0</v>
          </cell>
          <cell r="V182">
            <v>0</v>
          </cell>
          <cell r="W182">
            <v>5.9024108768010466</v>
          </cell>
          <cell r="X182">
            <v>3.8464621355338715</v>
          </cell>
          <cell r="Y182">
            <v>0</v>
          </cell>
          <cell r="Z182">
            <v>0</v>
          </cell>
        </row>
        <row r="183">
          <cell r="C183">
            <v>4.6197248733241425</v>
          </cell>
          <cell r="D183">
            <v>0.28079327190109787</v>
          </cell>
          <cell r="E183">
            <v>4.3389316014230443</v>
          </cell>
          <cell r="F183">
            <v>0.6006120601465349</v>
          </cell>
          <cell r="G183">
            <v>4.5823680163275764</v>
          </cell>
          <cell r="H183">
            <v>0</v>
          </cell>
          <cell r="I183">
            <v>4.5823680163275764</v>
          </cell>
          <cell r="J183">
            <v>0</v>
          </cell>
          <cell r="K183">
            <v>4.6434500625741491</v>
          </cell>
          <cell r="M183">
            <v>0.28223532174143579</v>
          </cell>
          <cell r="N183">
            <v>0.15452676096173151</v>
          </cell>
          <cell r="O183">
            <v>4.3612147408327129</v>
          </cell>
          <cell r="P183">
            <v>2.3878102272997523</v>
          </cell>
          <cell r="Q183">
            <v>0.60369658036874452</v>
          </cell>
          <cell r="R183">
            <v>0.33053012851991281</v>
          </cell>
          <cell r="S183">
            <v>4.6059013546500216</v>
          </cell>
          <cell r="T183">
            <v>2.5217786818878785</v>
          </cell>
          <cell r="U183">
            <v>0</v>
          </cell>
          <cell r="V183">
            <v>0</v>
          </cell>
          <cell r="W183">
            <v>4.6059013546500216</v>
          </cell>
          <cell r="X183">
            <v>2.5217786818878785</v>
          </cell>
          <cell r="Y183">
            <v>0</v>
          </cell>
          <cell r="Z183">
            <v>0</v>
          </cell>
        </row>
        <row r="184">
          <cell r="C184">
            <v>3.8232942288372822</v>
          </cell>
          <cell r="D184">
            <v>0.45651274374176504</v>
          </cell>
          <cell r="E184">
            <v>3.3667814850955171</v>
          </cell>
          <cell r="F184">
            <v>0.1</v>
          </cell>
          <cell r="G184">
            <v>3.5</v>
          </cell>
          <cell r="H184">
            <v>1</v>
          </cell>
          <cell r="I184">
            <v>2.5</v>
          </cell>
          <cell r="J184">
            <v>0</v>
          </cell>
          <cell r="K184">
            <v>7.5831963142869423</v>
          </cell>
          <cell r="M184">
            <v>0.90545627633276926</v>
          </cell>
          <cell r="N184">
            <v>0.60037948090965998</v>
          </cell>
          <cell r="O184">
            <v>6.6777400379541731</v>
          </cell>
          <cell r="P184">
            <v>4.427798671708743</v>
          </cell>
          <cell r="Q184">
            <v>0.19834194964882682</v>
          </cell>
          <cell r="R184">
            <v>0.13151428720011285</v>
          </cell>
          <cell r="S184">
            <v>6.9419682377089371</v>
          </cell>
          <cell r="T184">
            <v>4.6030000520039493</v>
          </cell>
          <cell r="U184">
            <v>1.9834194964882681</v>
          </cell>
          <cell r="V184">
            <v>1.3151428720011284</v>
          </cell>
          <cell r="W184">
            <v>4.9585487412206692</v>
          </cell>
          <cell r="X184">
            <v>3.2878571800028213</v>
          </cell>
          <cell r="Y184">
            <v>0</v>
          </cell>
          <cell r="Z184">
            <v>0</v>
          </cell>
        </row>
        <row r="185">
          <cell r="C185">
            <v>22.474815922163589</v>
          </cell>
          <cell r="D185">
            <v>4.125811618561432</v>
          </cell>
          <cell r="E185">
            <v>18.349004303602158</v>
          </cell>
          <cell r="F185">
            <v>36.372286637317892</v>
          </cell>
          <cell r="G185">
            <v>28.413813173092809</v>
          </cell>
          <cell r="H185">
            <v>1.2703156825570725</v>
          </cell>
          <cell r="I185">
            <v>27.143497490535736</v>
          </cell>
          <cell r="J185">
            <v>0</v>
          </cell>
          <cell r="K185">
            <v>4.087658419220789</v>
          </cell>
          <cell r="M185">
            <v>0.75039140062990328</v>
          </cell>
          <cell r="N185">
            <v>0.79189559626986727</v>
          </cell>
          <cell r="O185">
            <v>3.3372670185908859</v>
          </cell>
          <cell r="P185">
            <v>3.5218514676212522</v>
          </cell>
          <cell r="Q185">
            <v>6.6152926108162537</v>
          </cell>
          <cell r="R185">
            <v>6.9811848618527783</v>
          </cell>
          <cell r="S185">
            <v>5.1678270932854131</v>
          </cell>
          <cell r="T185">
            <v>5.4536599353637971</v>
          </cell>
          <cell r="U185">
            <v>0.23104156282552288</v>
          </cell>
          <cell r="V185">
            <v>0.24382048621993282</v>
          </cell>
          <cell r="W185">
            <v>4.9367855304598907</v>
          </cell>
          <cell r="X185">
            <v>5.209839449143864</v>
          </cell>
          <cell r="Y185">
            <v>0</v>
          </cell>
          <cell r="Z185">
            <v>0</v>
          </cell>
        </row>
        <row r="186">
          <cell r="C186">
            <v>54.35111984988594</v>
          </cell>
          <cell r="D186">
            <v>4.7396136259453741</v>
          </cell>
          <cell r="E186">
            <v>49.611506223940566</v>
          </cell>
          <cell r="F186">
            <v>0</v>
          </cell>
          <cell r="G186">
            <v>46.623952017024436</v>
          </cell>
          <cell r="H186">
            <v>1.0650817136955897</v>
          </cell>
          <cell r="I186">
            <v>45.558870303328845</v>
          </cell>
          <cell r="J186">
            <v>0</v>
          </cell>
          <cell r="K186">
            <v>7.2748505101031276</v>
          </cell>
          <cell r="M186">
            <v>0.63439319557042761</v>
          </cell>
          <cell r="N186">
            <v>0.80221725958863432</v>
          </cell>
          <cell r="O186">
            <v>6.6404573145326999</v>
          </cell>
          <cell r="P186">
            <v>8.3971415621659737</v>
          </cell>
          <cell r="Q186">
            <v>0</v>
          </cell>
          <cell r="R186">
            <v>0</v>
          </cell>
          <cell r="S186">
            <v>6.2405757609203292</v>
          </cell>
          <cell r="T186">
            <v>7.8914742783129119</v>
          </cell>
          <cell r="U186">
            <v>0.14256026866751181</v>
          </cell>
          <cell r="V186">
            <v>0.18027354148059196</v>
          </cell>
          <cell r="W186">
            <v>6.0980154922528174</v>
          </cell>
          <cell r="X186">
            <v>7.7112007368323203</v>
          </cell>
          <cell r="Y186">
            <v>0</v>
          </cell>
          <cell r="Z186">
            <v>0</v>
          </cell>
        </row>
        <row r="187">
          <cell r="C187">
            <v>20.735557264419626</v>
          </cell>
          <cell r="D187">
            <v>2.21544520875785</v>
          </cell>
          <cell r="E187">
            <v>18.520112055661777</v>
          </cell>
          <cell r="F187">
            <v>3.0397675570876941</v>
          </cell>
          <cell r="G187">
            <v>0</v>
          </cell>
          <cell r="H187">
            <v>0</v>
          </cell>
          <cell r="I187">
            <v>0</v>
          </cell>
          <cell r="J187">
            <v>4.5003203243428693</v>
          </cell>
          <cell r="K187">
            <v>7.9155597092716778</v>
          </cell>
          <cell r="M187">
            <v>0.84572064347813192</v>
          </cell>
          <cell r="N187">
            <v>0.50203989443504105</v>
          </cell>
          <cell r="O187">
            <v>7.0698390657935457</v>
          </cell>
          <cell r="P187">
            <v>4.1968246673826144</v>
          </cell>
          <cell r="Q187">
            <v>1.1603961877466333</v>
          </cell>
          <cell r="R187">
            <v>0.68883878393138398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1.7179453527062905</v>
          </cell>
          <cell r="Z187">
            <v>1.0198132328552258</v>
          </cell>
        </row>
        <row r="188">
          <cell r="C188">
            <v>11.136482043605833</v>
          </cell>
          <cell r="D188">
            <v>2.9336557811933468</v>
          </cell>
          <cell r="E188">
            <v>8.2028262624124864</v>
          </cell>
          <cell r="F188">
            <v>0.10830493525282782</v>
          </cell>
          <cell r="G188">
            <v>15.517931123025171</v>
          </cell>
          <cell r="H188">
            <v>8.5953504240025485</v>
          </cell>
          <cell r="I188">
            <v>6.922580699022622</v>
          </cell>
          <cell r="J188">
            <v>0</v>
          </cell>
          <cell r="K188">
            <v>3.4649308573440631</v>
          </cell>
          <cell r="M188">
            <v>0.912758122473601</v>
          </cell>
          <cell r="N188">
            <v>0.42487863087504274</v>
          </cell>
          <cell r="O188">
            <v>2.5521727348704624</v>
          </cell>
          <cell r="P188">
            <v>1.1880076776635178</v>
          </cell>
          <cell r="Q188">
            <v>3.369727627546798E-2</v>
          </cell>
          <cell r="R188">
            <v>1.5685702767934535E-2</v>
          </cell>
          <cell r="S188">
            <v>4.8281457447490519</v>
          </cell>
          <cell r="T188">
            <v>2.2474474925896599</v>
          </cell>
          <cell r="U188">
            <v>2.6743000884118273</v>
          </cell>
          <cell r="V188">
            <v>1.2448565859202045</v>
          </cell>
          <cell r="W188">
            <v>2.1538456563372246</v>
          </cell>
          <cell r="X188">
            <v>1.0025909066694556</v>
          </cell>
          <cell r="Y188">
            <v>0</v>
          </cell>
          <cell r="Z188">
            <v>0</v>
          </cell>
        </row>
        <row r="189">
          <cell r="C189">
            <v>0.85479368304217118</v>
          </cell>
          <cell r="D189">
            <v>0.2</v>
          </cell>
          <cell r="E189">
            <v>0.65479368304217123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1.3276802859376868</v>
          </cell>
          <cell r="M189">
            <v>0.3106434481856567</v>
          </cell>
          <cell r="N189">
            <v>0.21921775061405427</v>
          </cell>
          <cell r="O189">
            <v>1.01703683775203</v>
          </cell>
          <cell r="P189">
            <v>0.7177119915639838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</row>
        <row r="190">
          <cell r="C190">
            <v>13.7</v>
          </cell>
          <cell r="D190">
            <v>4.2</v>
          </cell>
          <cell r="E190">
            <v>9.5</v>
          </cell>
          <cell r="F190">
            <v>2.9</v>
          </cell>
          <cell r="G190">
            <v>6.5</v>
          </cell>
          <cell r="H190">
            <v>0</v>
          </cell>
          <cell r="I190">
            <v>6.5</v>
          </cell>
          <cell r="J190">
            <v>0</v>
          </cell>
          <cell r="K190">
            <v>9.2954475311525808</v>
          </cell>
          <cell r="M190">
            <v>2.8496992431270685</v>
          </cell>
          <cell r="N190">
            <v>1.3553276660817906</v>
          </cell>
          <cell r="O190">
            <v>6.4457482880255119</v>
          </cell>
          <cell r="P190">
            <v>3.0656221018516687</v>
          </cell>
          <cell r="Q190">
            <v>1.9676494773972615</v>
          </cell>
          <cell r="R190">
            <v>0.93582148372314089</v>
          </cell>
          <cell r="S190">
            <v>4.410248828649034</v>
          </cell>
          <cell r="T190">
            <v>2.097530911793247</v>
          </cell>
          <cell r="U190">
            <v>0</v>
          </cell>
          <cell r="V190">
            <v>0</v>
          </cell>
          <cell r="W190">
            <v>4.410248828649034</v>
          </cell>
          <cell r="X190">
            <v>2.097530911793247</v>
          </cell>
          <cell r="Y190">
            <v>0</v>
          </cell>
          <cell r="Z190">
            <v>0</v>
          </cell>
        </row>
        <row r="191">
          <cell r="C191">
            <v>36.28630408349477</v>
          </cell>
          <cell r="D191">
            <v>2.1796874499152681</v>
          </cell>
          <cell r="E191">
            <v>34.106616633579499</v>
          </cell>
          <cell r="F191">
            <v>0</v>
          </cell>
          <cell r="G191">
            <v>31.797793386999206</v>
          </cell>
          <cell r="H191">
            <v>12.821690881854519</v>
          </cell>
          <cell r="I191">
            <v>18.976102505144688</v>
          </cell>
          <cell r="J191">
            <v>0</v>
          </cell>
          <cell r="K191">
            <v>6.3492749201581775</v>
          </cell>
          <cell r="M191">
            <v>0.38139554879124682</v>
          </cell>
          <cell r="N191">
            <v>0.1793357279613271</v>
          </cell>
          <cell r="O191">
            <v>5.9678793713669309</v>
          </cell>
          <cell r="P191">
            <v>2.8061522868880386</v>
          </cell>
          <cell r="Q191">
            <v>0</v>
          </cell>
          <cell r="R191">
            <v>0</v>
          </cell>
          <cell r="S191">
            <v>5.5638880058958371</v>
          </cell>
          <cell r="T191">
            <v>2.6161917961417132</v>
          </cell>
          <cell r="U191">
            <v>2.2435032281838052</v>
          </cell>
          <cell r="V191">
            <v>1.0549160468313359</v>
          </cell>
          <cell r="W191">
            <v>3.3203847777120314</v>
          </cell>
          <cell r="X191">
            <v>1.561275749310377</v>
          </cell>
          <cell r="Y191">
            <v>0</v>
          </cell>
          <cell r="Z191">
            <v>0</v>
          </cell>
        </row>
        <row r="192">
          <cell r="C192">
            <v>249.72579708899616</v>
          </cell>
          <cell r="D192">
            <v>13.808448829914081</v>
          </cell>
          <cell r="E192">
            <v>235.91734825908208</v>
          </cell>
          <cell r="F192">
            <v>0</v>
          </cell>
          <cell r="G192">
            <v>24.164785452349641</v>
          </cell>
          <cell r="H192">
            <v>10.356336622435562</v>
          </cell>
          <cell r="I192">
            <v>13.808448829914079</v>
          </cell>
          <cell r="J192">
            <v>0</v>
          </cell>
          <cell r="K192">
            <v>16.706599322040006</v>
          </cell>
          <cell r="M192">
            <v>0.92378210240752034</v>
          </cell>
          <cell r="N192">
            <v>1.1258273038092899</v>
          </cell>
          <cell r="O192">
            <v>15.782817219632486</v>
          </cell>
          <cell r="P192">
            <v>19.234759485581719</v>
          </cell>
          <cell r="Q192">
            <v>0</v>
          </cell>
          <cell r="R192">
            <v>0</v>
          </cell>
          <cell r="S192">
            <v>1.6166186792131607</v>
          </cell>
          <cell r="T192">
            <v>1.9701977816662573</v>
          </cell>
          <cell r="U192">
            <v>0.69283657680564037</v>
          </cell>
          <cell r="V192">
            <v>0.84437047785696751</v>
          </cell>
          <cell r="W192">
            <v>0.92378210240752023</v>
          </cell>
          <cell r="X192">
            <v>1.1258273038092899</v>
          </cell>
          <cell r="Y192">
            <v>0</v>
          </cell>
          <cell r="Z192">
            <v>0</v>
          </cell>
        </row>
        <row r="193">
          <cell r="C193">
            <v>261.11866848038159</v>
          </cell>
          <cell r="D193">
            <v>44.961324127261591</v>
          </cell>
          <cell r="E193">
            <v>216.15734435311998</v>
          </cell>
          <cell r="F193">
            <v>63.452880318904832</v>
          </cell>
          <cell r="G193">
            <v>64.944134850488979</v>
          </cell>
          <cell r="H193">
            <v>3.8772617821187447</v>
          </cell>
          <cell r="I193">
            <v>61.066873068370228</v>
          </cell>
          <cell r="J193">
            <v>0</v>
          </cell>
          <cell r="K193">
            <v>15.390656908353272</v>
          </cell>
          <cell r="M193">
            <v>2.6500759896450665</v>
          </cell>
          <cell r="N193">
            <v>2.6087399591680058</v>
          </cell>
          <cell r="O193">
            <v>12.740580918708206</v>
          </cell>
          <cell r="P193">
            <v>12.541852639515833</v>
          </cell>
          <cell r="Q193">
            <v>3.7399911561989247</v>
          </cell>
          <cell r="R193">
            <v>3.6816545692404188</v>
          </cell>
          <cell r="S193">
            <v>3.8278875405984296</v>
          </cell>
          <cell r="T193">
            <v>3.7681799410204526</v>
          </cell>
          <cell r="U193">
            <v>0.22853059943871226</v>
          </cell>
          <cell r="V193">
            <v>0.22496596662808674</v>
          </cell>
          <cell r="W193">
            <v>3.5993569411597175</v>
          </cell>
          <cell r="X193">
            <v>3.5432139743923661</v>
          </cell>
          <cell r="Y193">
            <v>0</v>
          </cell>
          <cell r="Z193">
            <v>0</v>
          </cell>
        </row>
        <row r="194">
          <cell r="C194">
            <v>251.88090635951886</v>
          </cell>
          <cell r="D194">
            <v>35.722122197793112</v>
          </cell>
          <cell r="E194">
            <v>216.15878416172575</v>
          </cell>
          <cell r="F194">
            <v>79.319089225131677</v>
          </cell>
          <cell r="G194">
            <v>399.79103533185071</v>
          </cell>
          <cell r="H194">
            <v>18.032253377799719</v>
          </cell>
          <cell r="I194">
            <v>381.75878195405102</v>
          </cell>
          <cell r="J194">
            <v>0</v>
          </cell>
          <cell r="K194">
            <v>9.6254854994092884</v>
          </cell>
          <cell r="M194">
            <v>1.3651005715066187</v>
          </cell>
          <cell r="N194">
            <v>1.2287930242318545</v>
          </cell>
          <cell r="O194">
            <v>8.2603849279026704</v>
          </cell>
          <cell r="P194">
            <v>7.435571846310328</v>
          </cell>
          <cell r="Q194">
            <v>3.0311338568597446</v>
          </cell>
          <cell r="R194">
            <v>2.7284701336777601</v>
          </cell>
          <cell r="S194">
            <v>15.277786907308901</v>
          </cell>
          <cell r="T194">
            <v>13.752274644997399</v>
          </cell>
          <cell r="U194">
            <v>0.68909230127171173</v>
          </cell>
          <cell r="V194">
            <v>0.6202852965771023</v>
          </cell>
          <cell r="W194">
            <v>14.588694606037189</v>
          </cell>
          <cell r="X194">
            <v>13.131989348420298</v>
          </cell>
          <cell r="Y194">
            <v>0</v>
          </cell>
          <cell r="Z194">
            <v>0</v>
          </cell>
        </row>
        <row r="195">
          <cell r="C195">
            <v>519.28324600625774</v>
          </cell>
          <cell r="D195">
            <v>69.618193420619164</v>
          </cell>
          <cell r="E195">
            <v>449.66505258563853</v>
          </cell>
          <cell r="F195">
            <v>0</v>
          </cell>
          <cell r="G195">
            <v>1057.9682836215404</v>
          </cell>
          <cell r="H195">
            <v>114.12818593544125</v>
          </cell>
          <cell r="I195">
            <v>943.84009768609917</v>
          </cell>
          <cell r="J195">
            <v>0</v>
          </cell>
          <cell r="K195">
            <v>14.435291560014873</v>
          </cell>
          <cell r="M195">
            <v>1.9352808465074884</v>
          </cell>
          <cell r="N195">
            <v>1.6727966047922489</v>
          </cell>
          <cell r="O195">
            <v>12.500010713507384</v>
          </cell>
          <cell r="P195">
            <v>10.804620693248298</v>
          </cell>
          <cell r="Q195">
            <v>0</v>
          </cell>
          <cell r="R195">
            <v>0</v>
          </cell>
          <cell r="S195">
            <v>29.409923683810518</v>
          </cell>
          <cell r="T195">
            <v>25.421023813810081</v>
          </cell>
          <cell r="U195">
            <v>3.1725915516516197</v>
          </cell>
          <cell r="V195">
            <v>2.7422895160528671</v>
          </cell>
          <cell r="W195">
            <v>26.237332132158897</v>
          </cell>
          <cell r="X195">
            <v>22.678734297757213</v>
          </cell>
          <cell r="Y195">
            <v>0</v>
          </cell>
          <cell r="Z195">
            <v>0</v>
          </cell>
        </row>
        <row r="196">
          <cell r="C196">
            <v>205.43073468379427</v>
          </cell>
          <cell r="D196">
            <v>22.825637187088251</v>
          </cell>
          <cell r="E196">
            <v>182.60509749670601</v>
          </cell>
          <cell r="F196">
            <v>7.9889730154808873</v>
          </cell>
          <cell r="G196">
            <v>664.51136260910675</v>
          </cell>
          <cell r="H196">
            <v>3.7091660429018405</v>
          </cell>
          <cell r="I196">
            <v>660.80219656620488</v>
          </cell>
          <cell r="J196">
            <v>0</v>
          </cell>
          <cell r="K196">
            <v>10.709794274584462</v>
          </cell>
          <cell r="M196">
            <v>1.1899771416204958</v>
          </cell>
          <cell r="N196">
            <v>0.97643108857218652</v>
          </cell>
          <cell r="O196">
            <v>9.5198171329639667</v>
          </cell>
          <cell r="P196">
            <v>7.8114487085774922</v>
          </cell>
          <cell r="Q196">
            <v>0.41649199956717348</v>
          </cell>
          <cell r="R196">
            <v>0.34175088100026529</v>
          </cell>
          <cell r="S196">
            <v>34.643209535426678</v>
          </cell>
          <cell r="T196">
            <v>28.426350066057783</v>
          </cell>
          <cell r="U196">
            <v>0.19337128551333052</v>
          </cell>
          <cell r="V196">
            <v>0.15867005189298031</v>
          </cell>
          <cell r="W196">
            <v>34.449838249913348</v>
          </cell>
          <cell r="X196">
            <v>28.267680014164803</v>
          </cell>
          <cell r="Y196">
            <v>0</v>
          </cell>
          <cell r="Z196">
            <v>0</v>
          </cell>
        </row>
        <row r="197">
          <cell r="C197">
            <v>830.72205126485824</v>
          </cell>
          <cell r="D197">
            <v>94.591800651353637</v>
          </cell>
          <cell r="E197">
            <v>736.13025061350459</v>
          </cell>
          <cell r="F197">
            <v>27.16002196920055</v>
          </cell>
          <cell r="G197">
            <v>147.0387396263616</v>
          </cell>
          <cell r="H197">
            <v>0</v>
          </cell>
          <cell r="I197">
            <v>147.0387396263616</v>
          </cell>
          <cell r="J197">
            <v>1282.1403474426052</v>
          </cell>
          <cell r="K197">
            <v>18.20029636639136</v>
          </cell>
          <cell r="M197">
            <v>2.0724125513027363</v>
          </cell>
          <cell r="N197">
            <v>1.7764211399114636</v>
          </cell>
          <cell r="O197">
            <v>16.127883815088623</v>
          </cell>
          <cell r="P197">
            <v>13.824425900697133</v>
          </cell>
          <cell r="Q197">
            <v>0.59504914839385492</v>
          </cell>
          <cell r="R197">
            <v>0.51006151542012323</v>
          </cell>
          <cell r="S197">
            <v>3.2214729757874219</v>
          </cell>
          <cell r="T197">
            <v>2.7613675145158392</v>
          </cell>
          <cell r="U197">
            <v>0</v>
          </cell>
          <cell r="V197">
            <v>0</v>
          </cell>
          <cell r="W197">
            <v>3.2214729757874219</v>
          </cell>
          <cell r="X197">
            <v>2.7613675145158392</v>
          </cell>
          <cell r="Y197">
            <v>28.090423591420254</v>
          </cell>
          <cell r="Z197">
            <v>24.078421193453401</v>
          </cell>
        </row>
        <row r="198">
          <cell r="C198">
            <v>73.474251908227828</v>
          </cell>
          <cell r="D198">
            <v>8.4745388590804875</v>
          </cell>
          <cell r="E198">
            <v>64.999713049147346</v>
          </cell>
          <cell r="F198">
            <v>39.576096471905878</v>
          </cell>
          <cell r="G198">
            <v>60.08448051088066</v>
          </cell>
          <cell r="H198">
            <v>0</v>
          </cell>
          <cell r="I198">
            <v>60.08448051088066</v>
          </cell>
          <cell r="J198">
            <v>105.93173573850609</v>
          </cell>
          <cell r="K198">
            <v>4.4852051551882131</v>
          </cell>
          <cell r="M198">
            <v>0.51732470071374992</v>
          </cell>
          <cell r="N198">
            <v>0.39296931859489487</v>
          </cell>
          <cell r="O198">
            <v>3.967880454474463</v>
          </cell>
          <cell r="P198">
            <v>3.0140746736228436</v>
          </cell>
          <cell r="Q198">
            <v>2.4159063523332125</v>
          </cell>
          <cell r="R198">
            <v>1.835166717838159</v>
          </cell>
          <cell r="S198">
            <v>3.6678321280604878</v>
          </cell>
          <cell r="T198">
            <v>2.7861524688378045</v>
          </cell>
          <cell r="U198">
            <v>0</v>
          </cell>
          <cell r="V198">
            <v>0</v>
          </cell>
          <cell r="W198">
            <v>3.6678321280604878</v>
          </cell>
          <cell r="X198">
            <v>2.7861524688378045</v>
          </cell>
          <cell r="Y198">
            <v>6.4665587589218756</v>
          </cell>
          <cell r="Z198">
            <v>4.9121164824361854</v>
          </cell>
        </row>
        <row r="199">
          <cell r="C199">
            <v>97.020370863718611</v>
          </cell>
          <cell r="D199">
            <v>16.092074216897217</v>
          </cell>
          <cell r="E199">
            <v>80.928296646821394</v>
          </cell>
          <cell r="F199">
            <v>5.1357683670948562E-2</v>
          </cell>
          <cell r="G199">
            <v>172.60632712690199</v>
          </cell>
          <cell r="H199">
            <v>0.72927910812746966</v>
          </cell>
          <cell r="I199">
            <v>171.87704801877453</v>
          </cell>
          <cell r="J199">
            <v>11.412818593544126</v>
          </cell>
          <cell r="K199">
            <v>7.3282737257388932</v>
          </cell>
          <cell r="M199">
            <v>1.2154882900002164</v>
          </cell>
          <cell r="N199">
            <v>0.89573204225207037</v>
          </cell>
          <cell r="O199">
            <v>6.1127854357386768</v>
          </cell>
          <cell r="P199">
            <v>4.5047063202903761</v>
          </cell>
          <cell r="Q199">
            <v>3.8792179468092008E-3</v>
          </cell>
          <cell r="R199">
            <v>2.8587192837832031E-3</v>
          </cell>
          <cell r="S199">
            <v>13.03753429016615</v>
          </cell>
          <cell r="T199">
            <v>9.6077743502241759</v>
          </cell>
          <cell r="U199">
            <v>5.508489484469066E-2</v>
          </cell>
          <cell r="V199">
            <v>4.0593813829721485E-2</v>
          </cell>
          <cell r="W199">
            <v>12.98244939532146</v>
          </cell>
          <cell r="X199">
            <v>9.5671805363944546</v>
          </cell>
          <cell r="Y199">
            <v>0.862048432624267</v>
          </cell>
          <cell r="Z199">
            <v>0.63527095195182293</v>
          </cell>
        </row>
        <row r="200">
          <cell r="C200">
            <v>440.0580179680901</v>
          </cell>
          <cell r="D200">
            <v>203.99190920386684</v>
          </cell>
          <cell r="E200">
            <v>236.06610876422326</v>
          </cell>
          <cell r="F200">
            <v>14.112647806556826</v>
          </cell>
          <cell r="G200">
            <v>452.8876977922327</v>
          </cell>
          <cell r="H200">
            <v>1.2829679824142568</v>
          </cell>
          <cell r="I200">
            <v>451.60472980981842</v>
          </cell>
          <cell r="J200">
            <v>0</v>
          </cell>
          <cell r="K200">
            <v>13.937406334160265</v>
          </cell>
          <cell r="M200">
            <v>6.4607801957186073</v>
          </cell>
          <cell r="N200">
            <v>6.933810941861414</v>
          </cell>
          <cell r="O200">
            <v>7.4766261384416586</v>
          </cell>
          <cell r="P200">
            <v>8.0240327880660391</v>
          </cell>
          <cell r="Q200">
            <v>0.44697221479814264</v>
          </cell>
          <cell r="R200">
            <v>0.47969761233003494</v>
          </cell>
          <cell r="S200">
            <v>14.343744711249487</v>
          </cell>
          <cell r="T200">
            <v>15.393932468409304</v>
          </cell>
          <cell r="U200">
            <v>4.0633837708922059E-2</v>
          </cell>
          <cell r="V200">
            <v>4.3608873848184994E-2</v>
          </cell>
          <cell r="W200">
            <v>14.303110873540565</v>
          </cell>
          <cell r="X200">
            <v>15.350323594561118</v>
          </cell>
          <cell r="Y200">
            <v>0</v>
          </cell>
          <cell r="Z200">
            <v>0</v>
          </cell>
        </row>
        <row r="201">
          <cell r="C201">
            <v>5328.3</v>
          </cell>
          <cell r="D201">
            <v>687.3</v>
          </cell>
          <cell r="E201">
            <v>4641</v>
          </cell>
          <cell r="F201">
            <v>17.98</v>
          </cell>
          <cell r="G201">
            <v>510</v>
          </cell>
          <cell r="H201">
            <v>56</v>
          </cell>
          <cell r="I201">
            <v>454</v>
          </cell>
          <cell r="J201">
            <v>0</v>
          </cell>
          <cell r="K201">
            <v>26.736447545993702</v>
          </cell>
          <cell r="M201">
            <v>3.4487473299854492</v>
          </cell>
          <cell r="N201">
            <v>3.4409364187371332</v>
          </cell>
          <cell r="O201">
            <v>23.287700216008254</v>
          </cell>
          <cell r="P201">
            <v>23.234956961092735</v>
          </cell>
          <cell r="Q201">
            <v>9.0220394286539191E-2</v>
          </cell>
          <cell r="R201">
            <v>9.0016058211688718E-2</v>
          </cell>
          <cell r="S201">
            <v>2.5590879358250826</v>
          </cell>
          <cell r="T201">
            <v>2.5532919737464543</v>
          </cell>
          <cell r="U201">
            <v>0.28099789099255812</v>
          </cell>
          <cell r="V201">
            <v>0.28036147162706165</v>
          </cell>
          <cell r="W201">
            <v>2.2780900448325245</v>
          </cell>
          <cell r="X201">
            <v>2.2729305021193928</v>
          </cell>
          <cell r="Y201">
            <v>0</v>
          </cell>
          <cell r="Z201">
            <v>0</v>
          </cell>
        </row>
        <row r="202">
          <cell r="C202">
            <v>7.0279601888550918</v>
          </cell>
          <cell r="D202">
            <v>4.8032151754294405</v>
          </cell>
          <cell r="E202">
            <v>2.2247450134256517</v>
          </cell>
          <cell r="F202">
            <v>4.2819360091037648</v>
          </cell>
          <cell r="G202">
            <v>1.0704840022759412</v>
          </cell>
          <cell r="H202">
            <v>0.89362142798687272</v>
          </cell>
          <cell r="I202">
            <v>0.17686257428906854</v>
          </cell>
          <cell r="J202">
            <v>11.78928685984765</v>
          </cell>
          <cell r="K202">
            <v>0.54942367197485686</v>
          </cell>
          <cell r="M202">
            <v>0.37550015197222009</v>
          </cell>
          <cell r="N202">
            <v>0.20167445943375639</v>
          </cell>
          <cell r="O202">
            <v>0.17392352000263681</v>
          </cell>
          <cell r="P202">
            <v>9.3411232179588716E-2</v>
          </cell>
          <cell r="Q202">
            <v>0.33474819749461476</v>
          </cell>
          <cell r="R202">
            <v>0.17978730879753479</v>
          </cell>
          <cell r="S202">
            <v>8.3687049373653705E-2</v>
          </cell>
          <cell r="T202">
            <v>4.4946827199383699E-2</v>
          </cell>
          <cell r="U202">
            <v>6.9860493390180481E-2</v>
          </cell>
          <cell r="V202">
            <v>3.7520829662094218E-2</v>
          </cell>
          <cell r="W202">
            <v>1.3826555983473219E-2</v>
          </cell>
          <cell r="X202">
            <v>7.4259975372894804E-3</v>
          </cell>
          <cell r="Y202">
            <v>0.92164911331941224</v>
          </cell>
          <cell r="Z202">
            <v>0.49500136215669094</v>
          </cell>
        </row>
        <row r="203">
          <cell r="C203">
            <v>20</v>
          </cell>
          <cell r="D203">
            <v>3</v>
          </cell>
          <cell r="E203">
            <v>17</v>
          </cell>
          <cell r="F203">
            <v>10</v>
          </cell>
          <cell r="G203">
            <v>49</v>
          </cell>
          <cell r="H203">
            <v>3</v>
          </cell>
          <cell r="I203">
            <v>46</v>
          </cell>
          <cell r="J203">
            <v>19</v>
          </cell>
          <cell r="K203">
            <v>2.005910311560561</v>
          </cell>
          <cell r="M203">
            <v>0.3008865467340841</v>
          </cell>
          <cell r="N203">
            <v>0.12854663340461647</v>
          </cell>
          <cell r="O203">
            <v>1.7050237648264768</v>
          </cell>
          <cell r="P203">
            <v>0.72843092262615994</v>
          </cell>
          <cell r="Q203">
            <v>1.0029551557802803</v>
          </cell>
          <cell r="R203">
            <v>0.42848877801538821</v>
          </cell>
          <cell r="S203">
            <v>4.914480263323374</v>
          </cell>
          <cell r="T203">
            <v>2.0995950122754024</v>
          </cell>
          <cell r="U203">
            <v>0.3008865467340841</v>
          </cell>
          <cell r="V203">
            <v>0.12854663340461647</v>
          </cell>
          <cell r="W203">
            <v>4.61359371658929</v>
          </cell>
          <cell r="X203">
            <v>1.9710483788707858</v>
          </cell>
          <cell r="Y203">
            <v>1.9056147959825329</v>
          </cell>
          <cell r="Z203">
            <v>0.81412867822923762</v>
          </cell>
        </row>
        <row r="204">
          <cell r="C204">
            <v>50.216401811594153</v>
          </cell>
          <cell r="D204">
            <v>2.8532046483860314</v>
          </cell>
          <cell r="E204">
            <v>47.36319716320812</v>
          </cell>
          <cell r="F204">
            <v>0</v>
          </cell>
          <cell r="G204">
            <v>10.271536734189713</v>
          </cell>
          <cell r="H204">
            <v>0</v>
          </cell>
          <cell r="I204">
            <v>10.271536734189713</v>
          </cell>
          <cell r="J204">
            <v>0</v>
          </cell>
          <cell r="K204">
            <v>12.131044231205824</v>
          </cell>
          <cell r="M204">
            <v>0.68926387677305812</v>
          </cell>
          <cell r="N204">
            <v>0.60887958869489833</v>
          </cell>
          <cell r="O204">
            <v>11.441780354432765</v>
          </cell>
          <cell r="P204">
            <v>10.107401172335312</v>
          </cell>
          <cell r="Q204">
            <v>0</v>
          </cell>
          <cell r="R204">
            <v>0</v>
          </cell>
          <cell r="S204">
            <v>2.4813499563830095</v>
          </cell>
          <cell r="T204">
            <v>2.1919665193016336</v>
          </cell>
          <cell r="U204">
            <v>0</v>
          </cell>
          <cell r="V204">
            <v>0</v>
          </cell>
          <cell r="W204">
            <v>2.4813499563830095</v>
          </cell>
          <cell r="X204">
            <v>2.1919665193016336</v>
          </cell>
          <cell r="Y204">
            <v>0</v>
          </cell>
          <cell r="Z204">
            <v>0</v>
          </cell>
        </row>
        <row r="205">
          <cell r="C205">
            <v>42.341556982048701</v>
          </cell>
          <cell r="D205">
            <v>10.499793106060594</v>
          </cell>
          <cell r="E205">
            <v>31.841763875988111</v>
          </cell>
          <cell r="F205">
            <v>15.064920543478244</v>
          </cell>
          <cell r="G205">
            <v>61.172707661396508</v>
          </cell>
          <cell r="H205">
            <v>1.8260509749670601</v>
          </cell>
          <cell r="I205">
            <v>59.346656686429448</v>
          </cell>
          <cell r="J205">
            <v>0</v>
          </cell>
          <cell r="K205">
            <v>8.5511287702675656</v>
          </cell>
          <cell r="M205">
            <v>2.120495544109477</v>
          </cell>
          <cell r="N205">
            <v>1.8907577418600336</v>
          </cell>
          <cell r="O205">
            <v>6.430633226158089</v>
          </cell>
          <cell r="P205">
            <v>5.7339283693364083</v>
          </cell>
          <cell r="Q205">
            <v>3.0424501285049019</v>
          </cell>
          <cell r="R205">
            <v>2.7128263252774403</v>
          </cell>
          <cell r="S205">
            <v>12.354191430898693</v>
          </cell>
          <cell r="T205">
            <v>11.015719017793241</v>
          </cell>
          <cell r="U205">
            <v>0.36878183375816997</v>
          </cell>
          <cell r="V205">
            <v>0.32882743336696246</v>
          </cell>
          <cell r="W205">
            <v>11.985409597140523</v>
          </cell>
          <cell r="X205">
            <v>10.686891584426279</v>
          </cell>
          <cell r="Y205">
            <v>0</v>
          </cell>
          <cell r="Z205">
            <v>0</v>
          </cell>
        </row>
        <row r="206">
          <cell r="C206">
            <v>23.390527891771956</v>
          </cell>
          <cell r="D206">
            <v>6.505746383602073</v>
          </cell>
          <cell r="E206">
            <v>16.884781508169883</v>
          </cell>
          <cell r="F206">
            <v>1.5639641968526836</v>
          </cell>
          <cell r="G206">
            <v>37.767796555401176</v>
          </cell>
          <cell r="H206">
            <v>4.3084413136437572E-2</v>
          </cell>
          <cell r="I206">
            <v>37.724712142264735</v>
          </cell>
          <cell r="J206">
            <v>0</v>
          </cell>
          <cell r="K206">
            <v>10.847008991785207</v>
          </cell>
          <cell r="M206">
            <v>3.0169430056355986</v>
          </cell>
          <cell r="N206">
            <v>1.5969102112270694</v>
          </cell>
          <cell r="O206">
            <v>7.8300659861496094</v>
          </cell>
          <cell r="P206">
            <v>4.1445636541714475</v>
          </cell>
          <cell r="Q206">
            <v>0.7252651066527962</v>
          </cell>
          <cell r="R206">
            <v>0.38389298455326237</v>
          </cell>
          <cell r="S206">
            <v>17.514253236689836</v>
          </cell>
          <cell r="T206">
            <v>9.2705396765672123</v>
          </cell>
          <cell r="U206">
            <v>1.9979755004209263E-2</v>
          </cell>
          <cell r="V206">
            <v>1.057556431276205E-2</v>
          </cell>
          <cell r="W206">
            <v>17.494273481685628</v>
          </cell>
          <cell r="X206">
            <v>9.2599641122544512</v>
          </cell>
          <cell r="Y206">
            <v>0</v>
          </cell>
          <cell r="Z206">
            <v>0</v>
          </cell>
        </row>
        <row r="207">
          <cell r="C207">
            <v>12.274248212821655</v>
          </cell>
          <cell r="D207">
            <v>0.12228391743782471</v>
          </cell>
          <cell r="E207">
            <v>12.151964295383831</v>
          </cell>
          <cell r="F207">
            <v>48.730141098973149</v>
          </cell>
          <cell r="G207">
            <v>55.669753413569694</v>
          </cell>
          <cell r="H207">
            <v>43.105080896833208</v>
          </cell>
          <cell r="I207">
            <v>12.56467251673649</v>
          </cell>
          <cell r="J207">
            <v>0</v>
          </cell>
          <cell r="K207">
            <v>3.690365110259608</v>
          </cell>
          <cell r="M207">
            <v>3.6765779429734573E-2</v>
          </cell>
          <cell r="N207">
            <v>3.9311555541792213E-2</v>
          </cell>
          <cell r="O207">
            <v>3.6535993308298735</v>
          </cell>
          <cell r="P207">
            <v>3.9065858319656011</v>
          </cell>
          <cell r="Q207">
            <v>14.651163102749228</v>
          </cell>
          <cell r="R207">
            <v>15.665654883404198</v>
          </cell>
          <cell r="S207">
            <v>16.737621085386667</v>
          </cell>
          <cell r="T207">
            <v>17.896585660400905</v>
          </cell>
          <cell r="U207">
            <v>12.959937248981438</v>
          </cell>
          <cell r="V207">
            <v>13.857323328481755</v>
          </cell>
          <cell r="W207">
            <v>3.7776838364052283</v>
          </cell>
          <cell r="X207">
            <v>4.0392623319191499</v>
          </cell>
          <cell r="Y207">
            <v>0</v>
          </cell>
          <cell r="Z207">
            <v>0</v>
          </cell>
        </row>
        <row r="208">
          <cell r="C208">
            <v>1.5871</v>
          </cell>
          <cell r="D208">
            <v>0.435</v>
          </cell>
          <cell r="E208">
            <v>1.1520999999999999</v>
          </cell>
          <cell r="F208">
            <v>0</v>
          </cell>
          <cell r="G208">
            <v>1.3769999999999998</v>
          </cell>
          <cell r="H208">
            <v>1.0269999999999999</v>
          </cell>
          <cell r="I208">
            <v>0.35</v>
          </cell>
          <cell r="J208">
            <v>0</v>
          </cell>
          <cell r="K208">
            <v>5.9009523324005393</v>
          </cell>
          <cell r="M208">
            <v>1.6173613915911</v>
          </cell>
          <cell r="N208">
            <v>0.94747353073112039</v>
          </cell>
          <cell r="O208">
            <v>4.2835909408094395</v>
          </cell>
          <cell r="P208">
            <v>2.5093890913915486</v>
          </cell>
          <cell r="Q208">
            <v>0</v>
          </cell>
          <cell r="R208">
            <v>0</v>
          </cell>
          <cell r="S208">
            <v>5.1197853706228607</v>
          </cell>
          <cell r="T208">
            <v>2.9992437972798909</v>
          </cell>
          <cell r="U208">
            <v>3.8184601130208264</v>
          </cell>
          <cell r="V208">
            <v>2.236908772553702</v>
          </cell>
          <cell r="W208">
            <v>1.3013252576020344</v>
          </cell>
          <cell r="X208">
            <v>0.76233502472618875</v>
          </cell>
          <cell r="Y208">
            <v>0</v>
          </cell>
          <cell r="Z208">
            <v>0</v>
          </cell>
        </row>
        <row r="209">
          <cell r="C209">
            <v>11.584010872447287</v>
          </cell>
          <cell r="D209">
            <v>4.1086146936758849</v>
          </cell>
          <cell r="E209">
            <v>7.4753961787714021</v>
          </cell>
          <cell r="F209">
            <v>2.3966919046442663</v>
          </cell>
          <cell r="G209">
            <v>15.749689659090892</v>
          </cell>
          <cell r="H209">
            <v>1.8260509749670601</v>
          </cell>
          <cell r="I209">
            <v>13.923638684123832</v>
          </cell>
          <cell r="J209">
            <v>4.56512743741765</v>
          </cell>
          <cell r="K209">
            <v>4.5473116583546549</v>
          </cell>
          <cell r="M209">
            <v>1.6128396029632273</v>
          </cell>
          <cell r="N209">
            <v>1.6180596951460329</v>
          </cell>
          <cell r="O209">
            <v>2.9344720553914279</v>
          </cell>
          <cell r="P209">
            <v>2.9439697231129212</v>
          </cell>
          <cell r="Q209">
            <v>0.94082310172854933</v>
          </cell>
          <cell r="R209">
            <v>0.94386815550185255</v>
          </cell>
          <cell r="S209">
            <v>6.1825518113590379</v>
          </cell>
          <cell r="T209">
            <v>6.2025621647264586</v>
          </cell>
          <cell r="U209">
            <v>0.71681760131699002</v>
          </cell>
          <cell r="V209">
            <v>0.71913764228712584</v>
          </cell>
          <cell r="W209">
            <v>5.4657342100420481</v>
          </cell>
          <cell r="X209">
            <v>5.483424522439333</v>
          </cell>
          <cell r="Y209">
            <v>1.7920440032924749</v>
          </cell>
          <cell r="Z209">
            <v>1.7978441057178143</v>
          </cell>
        </row>
        <row r="210">
          <cell r="C210">
            <v>38.894885766798382</v>
          </cell>
          <cell r="D210">
            <v>1.1070434035737802</v>
          </cell>
          <cell r="E210">
            <v>37.787842363224598</v>
          </cell>
          <cell r="F210">
            <v>1.7918125191864278</v>
          </cell>
          <cell r="G210">
            <v>12.942136285079037</v>
          </cell>
          <cell r="H210">
            <v>6.4710681425395187</v>
          </cell>
          <cell r="I210">
            <v>6.4710681425395187</v>
          </cell>
          <cell r="J210">
            <v>0</v>
          </cell>
          <cell r="K210">
            <v>19.075189773360435</v>
          </cell>
          <cell r="M210">
            <v>0.54292646948825185</v>
          </cell>
          <cell r="N210">
            <v>0.36712408808126562</v>
          </cell>
          <cell r="O210">
            <v>18.532263303872185</v>
          </cell>
          <cell r="P210">
            <v>12.531421192134745</v>
          </cell>
          <cell r="Q210">
            <v>0.87875727535727377</v>
          </cell>
          <cell r="R210">
            <v>0.59421115287380111</v>
          </cell>
          <cell r="S210">
            <v>6.3472022309245109</v>
          </cell>
          <cell r="T210">
            <v>4.2919455245789191</v>
          </cell>
          <cell r="U210">
            <v>3.1736011154622554</v>
          </cell>
          <cell r="V210">
            <v>2.1459727622894595</v>
          </cell>
          <cell r="W210">
            <v>3.1736011154622554</v>
          </cell>
          <cell r="X210">
            <v>2.1459727622894595</v>
          </cell>
          <cell r="Y210">
            <v>0</v>
          </cell>
          <cell r="Z210">
            <v>0</v>
          </cell>
        </row>
        <row r="211">
          <cell r="C211">
            <v>2.0091211225997041</v>
          </cell>
          <cell r="D211">
            <v>0.10494830132939439</v>
          </cell>
          <cell r="E211">
            <v>1.9041728212703097</v>
          </cell>
          <cell r="F211">
            <v>0</v>
          </cell>
          <cell r="G211">
            <v>0.32127031019202362</v>
          </cell>
          <cell r="H211">
            <v>8.862629246676515E-2</v>
          </cell>
          <cell r="I211">
            <v>0.23264401772525847</v>
          </cell>
          <cell r="J211">
            <v>0</v>
          </cell>
          <cell r="K211">
            <v>9.6918530600024297</v>
          </cell>
          <cell r="M211">
            <v>0.50626291463464101</v>
          </cell>
          <cell r="N211">
            <v>0.55035667997063265</v>
          </cell>
          <cell r="O211">
            <v>9.1855901453677884</v>
          </cell>
          <cell r="P211">
            <v>9.9856235758922089</v>
          </cell>
          <cell r="Q211">
            <v>0</v>
          </cell>
          <cell r="R211">
            <v>0</v>
          </cell>
          <cell r="S211">
            <v>1.5497844325550232</v>
          </cell>
          <cell r="T211">
            <v>1.684765346848875</v>
          </cell>
          <cell r="U211">
            <v>0.42752674001517887</v>
          </cell>
          <cell r="V211">
            <v>0.46476285430313802</v>
          </cell>
          <cell r="W211">
            <v>1.1222576925398444</v>
          </cell>
          <cell r="X211">
            <v>1.2200024925457371</v>
          </cell>
          <cell r="Y211">
            <v>0</v>
          </cell>
          <cell r="Z211">
            <v>0</v>
          </cell>
        </row>
        <row r="212">
          <cell r="C212">
            <v>43.140454283596789</v>
          </cell>
          <cell r="D212">
            <v>5.0216401811594151</v>
          </cell>
          <cell r="E212">
            <v>38.118814102437376</v>
          </cell>
          <cell r="F212">
            <v>2.8532046483860314</v>
          </cell>
          <cell r="G212">
            <v>13.695382312252949</v>
          </cell>
          <cell r="H212">
            <v>7.9889730154808873</v>
          </cell>
          <cell r="I212">
            <v>5.7064092967720628</v>
          </cell>
          <cell r="J212">
            <v>0</v>
          </cell>
          <cell r="K212">
            <v>11.613548746407977</v>
          </cell>
          <cell r="M212">
            <v>1.3518416530210342</v>
          </cell>
          <cell r="N212">
            <v>1.2016633721415702</v>
          </cell>
          <cell r="O212">
            <v>10.261707093386942</v>
          </cell>
          <cell r="P212">
            <v>9.1217174158019194</v>
          </cell>
          <cell r="Q212">
            <v>0.76809184830740596</v>
          </cell>
          <cell r="R212">
            <v>0.68276327962589223</v>
          </cell>
          <cell r="S212">
            <v>3.6868408718755483</v>
          </cell>
          <cell r="T212">
            <v>3.2772637422042825</v>
          </cell>
          <cell r="U212">
            <v>2.1506571752607364</v>
          </cell>
          <cell r="V212">
            <v>1.9117371829524981</v>
          </cell>
          <cell r="W212">
            <v>1.5361836966148119</v>
          </cell>
          <cell r="X212">
            <v>1.3655265592517845</v>
          </cell>
          <cell r="Y212">
            <v>0</v>
          </cell>
          <cell r="Z212">
            <v>0</v>
          </cell>
        </row>
        <row r="213">
          <cell r="C213">
            <v>41.4</v>
          </cell>
          <cell r="D213">
            <v>6.5</v>
          </cell>
          <cell r="E213">
            <v>34.9</v>
          </cell>
          <cell r="F213">
            <v>2.1</v>
          </cell>
          <cell r="G213">
            <v>17</v>
          </cell>
          <cell r="H213">
            <v>3.7</v>
          </cell>
          <cell r="I213">
            <v>13.3</v>
          </cell>
          <cell r="J213">
            <v>0</v>
          </cell>
          <cell r="K213">
            <v>11.54939764849431</v>
          </cell>
          <cell r="M213">
            <v>1.8133112250051451</v>
          </cell>
          <cell r="N213">
            <v>1.8983827307403862</v>
          </cell>
          <cell r="O213">
            <v>9.736086423489164</v>
          </cell>
          <cell r="P213">
            <v>10.192854969667611</v>
          </cell>
          <cell r="Q213">
            <v>0.5858390111555084</v>
          </cell>
          <cell r="R213">
            <v>0.61332365146997092</v>
          </cell>
          <cell r="S213">
            <v>4.7425062807826874</v>
          </cell>
          <cell r="T213">
            <v>4.9650009880902406</v>
          </cell>
          <cell r="U213">
            <v>1.0321925434644674</v>
          </cell>
          <cell r="V213">
            <v>1.0806178621137581</v>
          </cell>
          <cell r="W213">
            <v>3.71031373731822</v>
          </cell>
          <cell r="X213">
            <v>3.8843831259764823</v>
          </cell>
          <cell r="Y213">
            <v>0</v>
          </cell>
          <cell r="Z213">
            <v>0</v>
          </cell>
        </row>
        <row r="214">
          <cell r="C214">
            <v>2.9126178965863909</v>
          </cell>
          <cell r="D214">
            <v>0.67911263411214207</v>
          </cell>
          <cell r="E214">
            <v>2.2335052624742486</v>
          </cell>
          <cell r="F214">
            <v>0</v>
          </cell>
          <cell r="G214">
            <v>1.0455461485605735</v>
          </cell>
          <cell r="H214">
            <v>0.2896249719004359</v>
          </cell>
          <cell r="I214">
            <v>0.75592117666013769</v>
          </cell>
          <cell r="J214">
            <v>0</v>
          </cell>
          <cell r="K214">
            <v>9.6571963197389223</v>
          </cell>
          <cell r="M214">
            <v>2.2516939274878407</v>
          </cell>
          <cell r="N214">
            <v>1.2253354404729446</v>
          </cell>
          <cell r="O214">
            <v>7.4055023922510825</v>
          </cell>
          <cell r="P214">
            <v>4.0299547043040231</v>
          </cell>
          <cell r="Q214">
            <v>0</v>
          </cell>
          <cell r="R214">
            <v>0</v>
          </cell>
          <cell r="S214">
            <v>3.4666560381401847</v>
          </cell>
          <cell r="T214">
            <v>1.8864981832596941</v>
          </cell>
          <cell r="U214">
            <v>0.96029253134077153</v>
          </cell>
          <cell r="V214">
            <v>0.52257567403315619</v>
          </cell>
          <cell r="W214">
            <v>2.5063635067994134</v>
          </cell>
          <cell r="X214">
            <v>1.3639225092265379</v>
          </cell>
          <cell r="Y214">
            <v>0</v>
          </cell>
          <cell r="Z214">
            <v>0</v>
          </cell>
        </row>
        <row r="215">
          <cell r="C215">
            <v>4.1622029999999999</v>
          </cell>
          <cell r="D215">
            <v>1.086606</v>
          </cell>
          <cell r="E215">
            <v>3.0755970000000001</v>
          </cell>
          <cell r="F215">
            <v>1.5986199999999999</v>
          </cell>
          <cell r="G215">
            <v>1.5635561473155453</v>
          </cell>
          <cell r="H215">
            <v>0.42227428796113264</v>
          </cell>
          <cell r="I215">
            <v>1.1412818593544125</v>
          </cell>
          <cell r="J215">
            <v>0</v>
          </cell>
          <cell r="K215">
            <v>8.6322728151230237</v>
          </cell>
          <cell r="M215">
            <v>2.2535852851361566</v>
          </cell>
          <cell r="N215">
            <v>1.1186431184042691</v>
          </cell>
          <cell r="O215">
            <v>6.3786875299868662</v>
          </cell>
          <cell r="P215">
            <v>3.1662768464694797</v>
          </cell>
          <cell r="Q215">
            <v>3.3154855656276174</v>
          </cell>
          <cell r="R215">
            <v>1.6457531634681131</v>
          </cell>
          <cell r="S215">
            <v>3.2427642826143916</v>
          </cell>
          <cell r="T215">
            <v>1.6096555001842676</v>
          </cell>
          <cell r="U215">
            <v>0.87578305442870441</v>
          </cell>
          <cell r="V215">
            <v>0.43472447815195547</v>
          </cell>
          <cell r="W215">
            <v>2.3669812281856872</v>
          </cell>
          <cell r="X215">
            <v>1.1749310220323121</v>
          </cell>
          <cell r="Y215">
            <v>0</v>
          </cell>
          <cell r="Z215">
            <v>0</v>
          </cell>
        </row>
        <row r="216">
          <cell r="C216">
            <v>3.0814610202569139</v>
          </cell>
          <cell r="D216">
            <v>0.34238455780632376</v>
          </cell>
          <cell r="E216">
            <v>2.7390764624505901</v>
          </cell>
          <cell r="F216">
            <v>5.2384837344367536</v>
          </cell>
          <cell r="G216">
            <v>3.3097173921277965</v>
          </cell>
          <cell r="H216">
            <v>0.45651274374176504</v>
          </cell>
          <cell r="I216">
            <v>2.8532046483860314</v>
          </cell>
          <cell r="J216">
            <v>1.0157408548254272</v>
          </cell>
          <cell r="K216">
            <v>4.6297730687428773</v>
          </cell>
          <cell r="M216">
            <v>0.51441922986031974</v>
          </cell>
          <cell r="N216">
            <v>0.51607864818606852</v>
          </cell>
          <cell r="O216">
            <v>4.1153538388825579</v>
          </cell>
          <cell r="P216">
            <v>4.1286291854885482</v>
          </cell>
          <cell r="Q216">
            <v>7.870614216862891</v>
          </cell>
          <cell r="R216">
            <v>7.8960033172468469</v>
          </cell>
          <cell r="S216">
            <v>4.9727192219830911</v>
          </cell>
          <cell r="T216">
            <v>4.9887602657986614</v>
          </cell>
          <cell r="U216">
            <v>0.68589230648042632</v>
          </cell>
          <cell r="V216">
            <v>0.68810486424809125</v>
          </cell>
          <cell r="W216">
            <v>4.2868269155026644</v>
          </cell>
          <cell r="X216">
            <v>4.3006554015505705</v>
          </cell>
          <cell r="Y216">
            <v>1.5261103819189485</v>
          </cell>
          <cell r="Z216">
            <v>1.531033322952003</v>
          </cell>
        </row>
        <row r="217">
          <cell r="C217">
            <v>93.92749702486816</v>
          </cell>
          <cell r="D217">
            <v>18.94527886528325</v>
          </cell>
          <cell r="E217">
            <v>74.982218159584903</v>
          </cell>
          <cell r="F217">
            <v>14.380151427865597</v>
          </cell>
          <cell r="G217">
            <v>74.183320858036808</v>
          </cell>
          <cell r="H217">
            <v>0</v>
          </cell>
          <cell r="I217">
            <v>74.183320858036808</v>
          </cell>
          <cell r="J217">
            <v>0</v>
          </cell>
          <cell r="K217">
            <v>11.178512242483428</v>
          </cell>
          <cell r="M217">
            <v>2.2547181436843853</v>
          </cell>
          <cell r="N217">
            <v>2.0317950794458048</v>
          </cell>
          <cell r="O217">
            <v>8.9237940987990427</v>
          </cell>
          <cell r="P217">
            <v>8.0415022120234561</v>
          </cell>
          <cell r="Q217">
            <v>1.7114125668929669</v>
          </cell>
          <cell r="R217">
            <v>1.5422059036757312</v>
          </cell>
          <cell r="S217">
            <v>8.8287156228605426</v>
          </cell>
          <cell r="T217">
            <v>7.9558241062636927</v>
          </cell>
          <cell r="U217">
            <v>0</v>
          </cell>
          <cell r="V217">
            <v>0</v>
          </cell>
          <cell r="W217">
            <v>8.8287156228605426</v>
          </cell>
          <cell r="X217">
            <v>7.9558241062636927</v>
          </cell>
          <cell r="Y217">
            <v>0</v>
          </cell>
          <cell r="Z217">
            <v>0</v>
          </cell>
        </row>
        <row r="218">
          <cell r="C218">
            <v>40.366333649903929</v>
          </cell>
          <cell r="D218">
            <v>3.3151095268037039</v>
          </cell>
          <cell r="E218">
            <v>37.051224123100226</v>
          </cell>
          <cell r="F218">
            <v>0</v>
          </cell>
          <cell r="G218">
            <v>3.4451138219724768</v>
          </cell>
          <cell r="H218">
            <v>1.8200601323628178</v>
          </cell>
          <cell r="I218">
            <v>1.625053689609659</v>
          </cell>
          <cell r="J218">
            <v>0</v>
          </cell>
          <cell r="K218">
            <v>19.890861906826895</v>
          </cell>
          <cell r="M218">
            <v>1.6335490454881987</v>
          </cell>
          <cell r="N218">
            <v>1.7090501091684438</v>
          </cell>
          <cell r="O218">
            <v>18.257312861338697</v>
          </cell>
          <cell r="P218">
            <v>19.101148278941434</v>
          </cell>
          <cell r="Q218">
            <v>0</v>
          </cell>
          <cell r="R218">
            <v>0</v>
          </cell>
          <cell r="S218">
            <v>1.697609792370089</v>
          </cell>
          <cell r="T218">
            <v>1.7760716820770104</v>
          </cell>
          <cell r="U218">
            <v>0.8968504563464621</v>
          </cell>
          <cell r="V218">
            <v>0.93830202071992996</v>
          </cell>
          <cell r="W218">
            <v>0.80075933602362703</v>
          </cell>
          <cell r="X218">
            <v>0.83776966135708042</v>
          </cell>
          <cell r="Y218">
            <v>0</v>
          </cell>
          <cell r="Z218">
            <v>0</v>
          </cell>
        </row>
        <row r="219">
          <cell r="C219">
            <v>23.917160810691193</v>
          </cell>
          <cell r="D219">
            <v>2.6232409947782966</v>
          </cell>
          <cell r="E219">
            <v>21.293919815912897</v>
          </cell>
          <cell r="F219">
            <v>0</v>
          </cell>
          <cell r="G219">
            <v>14.603062217895378</v>
          </cell>
          <cell r="H219">
            <v>6.3191432870165452</v>
          </cell>
          <cell r="I219">
            <v>8.2839189308788317</v>
          </cell>
          <cell r="J219">
            <v>0</v>
          </cell>
          <cell r="K219">
            <v>5.8299085115697995</v>
          </cell>
          <cell r="M219">
            <v>0.63942602236134116</v>
          </cell>
          <cell r="N219">
            <v>0.79382875372148565</v>
          </cell>
          <cell r="O219">
            <v>5.190482489208458</v>
          </cell>
          <cell r="P219">
            <v>6.4438325959982956</v>
          </cell>
          <cell r="Q219">
            <v>0</v>
          </cell>
          <cell r="R219">
            <v>0</v>
          </cell>
          <cell r="S219">
            <v>3.5595578167888426</v>
          </cell>
          <cell r="T219">
            <v>4.419087191769405</v>
          </cell>
          <cell r="U219">
            <v>1.5403177461740809</v>
          </cell>
          <cell r="V219">
            <v>1.9122595484383971</v>
          </cell>
          <cell r="W219">
            <v>2.0192400706147615</v>
          </cell>
          <cell r="X219">
            <v>2.5068276433310075</v>
          </cell>
          <cell r="Y219">
            <v>0</v>
          </cell>
          <cell r="Z219">
            <v>0</v>
          </cell>
        </row>
        <row r="220">
          <cell r="C220">
            <v>13.010613196640302</v>
          </cell>
          <cell r="D220">
            <v>2.1684355327733837</v>
          </cell>
          <cell r="E220">
            <v>10.842177663866918</v>
          </cell>
          <cell r="F220">
            <v>1.2554100452898538</v>
          </cell>
          <cell r="G220">
            <v>13.124741382575744</v>
          </cell>
          <cell r="H220">
            <v>0</v>
          </cell>
          <cell r="I220">
            <v>13.124741382575744</v>
          </cell>
          <cell r="J220">
            <v>0</v>
          </cell>
          <cell r="K220">
            <v>5.8510855648288631</v>
          </cell>
          <cell r="M220">
            <v>0.97518092747147722</v>
          </cell>
          <cell r="N220">
            <v>0.63550243978385701</v>
          </cell>
          <cell r="O220">
            <v>4.8759046373573858</v>
          </cell>
          <cell r="P220">
            <v>3.1775121989192847</v>
          </cell>
          <cell r="Q220">
            <v>0.56457843169401312</v>
          </cell>
          <cell r="R220">
            <v>0.36792246513802251</v>
          </cell>
          <cell r="S220">
            <v>5.9024108768010466</v>
          </cell>
          <cell r="T220">
            <v>3.8464621355338715</v>
          </cell>
          <cell r="U220">
            <v>0</v>
          </cell>
          <cell r="V220">
            <v>0</v>
          </cell>
          <cell r="W220">
            <v>5.9024108768010466</v>
          </cell>
          <cell r="X220">
            <v>3.8464621355338715</v>
          </cell>
          <cell r="Y220">
            <v>0</v>
          </cell>
          <cell r="Z220">
            <v>0</v>
          </cell>
        </row>
        <row r="221">
          <cell r="C221">
            <v>4.6197248733241425</v>
          </cell>
          <cell r="D221">
            <v>0.28079327190109787</v>
          </cell>
          <cell r="E221">
            <v>4.3389316014230443</v>
          </cell>
          <cell r="F221">
            <v>0.6006120601465349</v>
          </cell>
          <cell r="G221">
            <v>4.5823680163275764</v>
          </cell>
          <cell r="H221">
            <v>0</v>
          </cell>
          <cell r="I221">
            <v>4.5823680163275764</v>
          </cell>
          <cell r="J221">
            <v>0</v>
          </cell>
          <cell r="K221">
            <v>4.6434500625741491</v>
          </cell>
          <cell r="M221">
            <v>0.28223532174143579</v>
          </cell>
          <cell r="N221">
            <v>0.15452676096173151</v>
          </cell>
          <cell r="O221">
            <v>4.3612147408327129</v>
          </cell>
          <cell r="P221">
            <v>2.3878102272997523</v>
          </cell>
          <cell r="Q221">
            <v>0.60369658036874452</v>
          </cell>
          <cell r="R221">
            <v>0.33053012851991281</v>
          </cell>
          <cell r="S221">
            <v>4.6059013546500216</v>
          </cell>
          <cell r="T221">
            <v>2.5217786818878785</v>
          </cell>
          <cell r="U221">
            <v>0</v>
          </cell>
          <cell r="V221">
            <v>0</v>
          </cell>
          <cell r="W221">
            <v>4.6059013546500216</v>
          </cell>
          <cell r="X221">
            <v>2.5217786818878785</v>
          </cell>
          <cell r="Y221">
            <v>0</v>
          </cell>
          <cell r="Z221">
            <v>0</v>
          </cell>
        </row>
        <row r="222">
          <cell r="C222">
            <v>4.1790000000000003</v>
          </cell>
          <cell r="D222">
            <v>0.41199999999999998</v>
          </cell>
          <cell r="E222">
            <v>3.7670000000000003</v>
          </cell>
          <cell r="F222">
            <v>0.47399999999999998</v>
          </cell>
          <cell r="G222">
            <v>3.5</v>
          </cell>
          <cell r="H222">
            <v>1</v>
          </cell>
          <cell r="I222">
            <v>2.5</v>
          </cell>
          <cell r="J222">
            <v>0</v>
          </cell>
          <cell r="K222">
            <v>8.2887100758244721</v>
          </cell>
          <cell r="M222">
            <v>0.81716883255316641</v>
          </cell>
          <cell r="N222">
            <v>0.54183886326446495</v>
          </cell>
          <cell r="O222">
            <v>7.4715412432713055</v>
          </cell>
          <cell r="P222">
            <v>4.9541431988282518</v>
          </cell>
          <cell r="Q222">
            <v>0.94014084133543885</v>
          </cell>
          <cell r="R222">
            <v>0.62337772132853486</v>
          </cell>
          <cell r="S222">
            <v>6.9419682377089371</v>
          </cell>
          <cell r="T222">
            <v>4.6030000520039493</v>
          </cell>
          <cell r="U222">
            <v>1.9834194964882681</v>
          </cell>
          <cell r="V222">
            <v>1.3151428720011284</v>
          </cell>
          <cell r="W222">
            <v>4.9585487412206692</v>
          </cell>
          <cell r="X222">
            <v>3.2878571800028213</v>
          </cell>
          <cell r="Y222">
            <v>0</v>
          </cell>
          <cell r="Z222">
            <v>0</v>
          </cell>
        </row>
        <row r="223">
          <cell r="C223">
            <v>22.474815922163589</v>
          </cell>
          <cell r="D223">
            <v>4.125811618561432</v>
          </cell>
          <cell r="E223">
            <v>18.349004303602158</v>
          </cell>
          <cell r="F223">
            <v>36.372286637317892</v>
          </cell>
          <cell r="G223">
            <v>28.413813173092809</v>
          </cell>
          <cell r="H223">
            <v>1.2703156825570725</v>
          </cell>
          <cell r="I223">
            <v>27.143497490535736</v>
          </cell>
          <cell r="J223">
            <v>0</v>
          </cell>
          <cell r="K223">
            <v>4.087658419220789</v>
          </cell>
          <cell r="M223">
            <v>0.75039140062990328</v>
          </cell>
          <cell r="N223">
            <v>0.79189559626986727</v>
          </cell>
          <cell r="O223">
            <v>3.3372670185908859</v>
          </cell>
          <cell r="P223">
            <v>3.5218514676212522</v>
          </cell>
          <cell r="Q223">
            <v>6.6152926108162537</v>
          </cell>
          <cell r="R223">
            <v>6.9811848618527783</v>
          </cell>
          <cell r="S223">
            <v>5.1678270932854131</v>
          </cell>
          <cell r="T223">
            <v>5.4536599353637971</v>
          </cell>
          <cell r="U223">
            <v>0.23104156282552288</v>
          </cell>
          <cell r="V223">
            <v>0.24382048621993282</v>
          </cell>
          <cell r="W223">
            <v>4.9367855304598907</v>
          </cell>
          <cell r="X223">
            <v>5.209839449143864</v>
          </cell>
          <cell r="Y223">
            <v>0</v>
          </cell>
          <cell r="Z223">
            <v>0</v>
          </cell>
        </row>
        <row r="224">
          <cell r="C224">
            <v>58.18339975679261</v>
          </cell>
          <cell r="D224">
            <v>7.0384605142862338</v>
          </cell>
          <cell r="E224">
            <v>51.144939242506375</v>
          </cell>
          <cell r="F224">
            <v>0</v>
          </cell>
          <cell r="G224">
            <v>46.626605480157366</v>
          </cell>
          <cell r="H224">
            <v>1.0651423296438005</v>
          </cell>
          <cell r="I224">
            <v>45.561463150513568</v>
          </cell>
          <cell r="J224">
            <v>0</v>
          </cell>
          <cell r="K224">
            <v>7.787797870021719</v>
          </cell>
          <cell r="M224">
            <v>0.94209186865178052</v>
          </cell>
          <cell r="N224">
            <v>1.1913153584048262</v>
          </cell>
          <cell r="O224">
            <v>6.8457060013699387</v>
          </cell>
          <cell r="P224">
            <v>8.6566872827670327</v>
          </cell>
          <cell r="Q224">
            <v>0</v>
          </cell>
          <cell r="R224">
            <v>0</v>
          </cell>
          <cell r="S224">
            <v>6.2409309246718658</v>
          </cell>
          <cell r="T224">
            <v>7.8919233980283412</v>
          </cell>
          <cell r="U224">
            <v>0.14256838205989414</v>
          </cell>
          <cell r="V224">
            <v>0.18028380121138413</v>
          </cell>
          <cell r="W224">
            <v>6.0983625426119721</v>
          </cell>
          <cell r="X224">
            <v>7.7116395968169567</v>
          </cell>
          <cell r="Y224">
            <v>0</v>
          </cell>
          <cell r="Z224">
            <v>0</v>
          </cell>
        </row>
        <row r="225">
          <cell r="C225">
            <v>35.638542855610027</v>
          </cell>
          <cell r="D225">
            <v>1.5165334699489497</v>
          </cell>
          <cell r="E225">
            <v>34.12200938566108</v>
          </cell>
          <cell r="F225">
            <v>3.2859281358385646</v>
          </cell>
          <cell r="G225">
            <v>3.2859281358385646</v>
          </cell>
          <cell r="H225">
            <v>3.2859281358385646</v>
          </cell>
          <cell r="I225">
            <v>0</v>
          </cell>
          <cell r="J225">
            <v>3.0330682022598419</v>
          </cell>
          <cell r="K225">
            <v>13.604602486815029</v>
          </cell>
          <cell r="M225">
            <v>0.5789191522278514</v>
          </cell>
          <cell r="N225">
            <v>0.34366018177775415</v>
          </cell>
          <cell r="O225">
            <v>13.025683334587178</v>
          </cell>
          <cell r="P225">
            <v>7.7323555203125576</v>
          </cell>
          <cell r="Q225">
            <v>1.2543651481330917</v>
          </cell>
          <cell r="R225">
            <v>0.74462099442416596</v>
          </cell>
          <cell r="S225">
            <v>1.2543651481330917</v>
          </cell>
          <cell r="T225">
            <v>0.74462099442416596</v>
          </cell>
          <cell r="U225">
            <v>1.2543651481330917</v>
          </cell>
          <cell r="V225">
            <v>0.74462099442416596</v>
          </cell>
          <cell r="W225">
            <v>0</v>
          </cell>
          <cell r="X225">
            <v>0</v>
          </cell>
          <cell r="Y225">
            <v>1.1578387863478075</v>
          </cell>
          <cell r="Z225">
            <v>0.68732064961812622</v>
          </cell>
        </row>
        <row r="226">
          <cell r="C226">
            <v>12.777545498790493</v>
          </cell>
          <cell r="D226">
            <v>3.8881471755765187</v>
          </cell>
          <cell r="E226">
            <v>8.8893983232139746</v>
          </cell>
          <cell r="F226">
            <v>0.4819569618750838</v>
          </cell>
          <cell r="G226">
            <v>15.583184846514998</v>
          </cell>
          <cell r="H226">
            <v>8.6584380487873194</v>
          </cell>
          <cell r="I226">
            <v>6.9247467977276784</v>
          </cell>
          <cell r="J226">
            <v>0</v>
          </cell>
          <cell r="K226">
            <v>3.9755204117890228</v>
          </cell>
          <cell r="M226">
            <v>1.2097322182893004</v>
          </cell>
          <cell r="N226">
            <v>0.56311672936884971</v>
          </cell>
          <cell r="O226">
            <v>2.7657881934997226</v>
          </cell>
          <cell r="P226">
            <v>1.2874432689351467</v>
          </cell>
          <cell r="Q226">
            <v>0.14995287942583252</v>
          </cell>
          <cell r="R226">
            <v>6.9801377317308677E-2</v>
          </cell>
          <cell r="S226">
            <v>4.8484483537050211</v>
          </cell>
          <cell r="T226">
            <v>2.2568981285073404</v>
          </cell>
          <cell r="U226">
            <v>2.6939287518422872</v>
          </cell>
          <cell r="V226">
            <v>1.2539935077825262</v>
          </cell>
          <cell r="W226">
            <v>2.1545196018627339</v>
          </cell>
          <cell r="X226">
            <v>1.0029046207248142</v>
          </cell>
          <cell r="Y226">
            <v>0</v>
          </cell>
          <cell r="Z226">
            <v>0</v>
          </cell>
        </row>
        <row r="227">
          <cell r="C227">
            <v>0.85465337395785701</v>
          </cell>
          <cell r="D227">
            <v>0.2</v>
          </cell>
          <cell r="E227">
            <v>0.65465337395785705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1.3274623554488709</v>
          </cell>
          <cell r="M227">
            <v>0.3106434481856567</v>
          </cell>
          <cell r="N227">
            <v>0.21921775061405427</v>
          </cell>
          <cell r="O227">
            <v>1.0168189072632143</v>
          </cell>
          <cell r="P227">
            <v>0.7175582003547134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</row>
        <row r="228">
          <cell r="C228">
            <v>16.289137328326046</v>
          </cell>
          <cell r="D228">
            <v>7.0357904306323586</v>
          </cell>
          <cell r="E228">
            <v>9.253346897693687</v>
          </cell>
          <cell r="F228">
            <v>0</v>
          </cell>
          <cell r="G228">
            <v>6.4935767703113596</v>
          </cell>
          <cell r="H228">
            <v>0</v>
          </cell>
          <cell r="I228">
            <v>6.4935767703113596</v>
          </cell>
          <cell r="J228">
            <v>0</v>
          </cell>
          <cell r="K228">
            <v>11.052176741838952</v>
          </cell>
          <cell r="M228">
            <v>4.7737825392794528</v>
          </cell>
          <cell r="N228">
            <v>2.2704289103308453</v>
          </cell>
          <cell r="O228">
            <v>6.2783942025595003</v>
          </cell>
          <cell r="P228">
            <v>2.9860278700705623</v>
          </cell>
          <cell r="Q228">
            <v>0</v>
          </cell>
          <cell r="R228">
            <v>0</v>
          </cell>
          <cell r="S228">
            <v>4.4058906684628081</v>
          </cell>
          <cell r="T228">
            <v>2.095458154435482</v>
          </cell>
          <cell r="U228">
            <v>0</v>
          </cell>
          <cell r="V228">
            <v>0</v>
          </cell>
          <cell r="W228">
            <v>4.4058906684628081</v>
          </cell>
          <cell r="X228">
            <v>2.095458154435482</v>
          </cell>
          <cell r="Y228">
            <v>0</v>
          </cell>
          <cell r="Z228">
            <v>0</v>
          </cell>
        </row>
        <row r="229">
          <cell r="C229">
            <v>38.516359409090974</v>
          </cell>
          <cell r="D229">
            <v>3.7695771192652283</v>
          </cell>
          <cell r="E229">
            <v>34.746782289825745</v>
          </cell>
          <cell r="F229">
            <v>0</v>
          </cell>
          <cell r="G229">
            <v>28.720587575354124</v>
          </cell>
          <cell r="H229">
            <v>9.7444850702094339</v>
          </cell>
          <cell r="I229">
            <v>18.976102505144688</v>
          </cell>
          <cell r="J229">
            <v>0</v>
          </cell>
          <cell r="K229">
            <v>6.7394836974641494</v>
          </cell>
          <cell r="M229">
            <v>0.65958994908603863</v>
          </cell>
          <cell r="N229">
            <v>0.3101453177684127</v>
          </cell>
          <cell r="O229">
            <v>6.0798937483781108</v>
          </cell>
          <cell r="P229">
            <v>2.8588224869129202</v>
          </cell>
          <cell r="Q229">
            <v>0</v>
          </cell>
          <cell r="R229">
            <v>0</v>
          </cell>
          <cell r="S229">
            <v>5.0254472311317233</v>
          </cell>
          <cell r="T229">
            <v>2.3630119449021922</v>
          </cell>
          <cell r="U229">
            <v>1.7050624534196916</v>
          </cell>
          <cell r="V229">
            <v>0.8017361955918153</v>
          </cell>
          <cell r="W229">
            <v>3.3203847777120314</v>
          </cell>
          <cell r="X229">
            <v>1.561275749310377</v>
          </cell>
          <cell r="Y229">
            <v>0</v>
          </cell>
          <cell r="Z229">
            <v>0</v>
          </cell>
        </row>
        <row r="230">
          <cell r="C230">
            <v>249.72579708899616</v>
          </cell>
          <cell r="D230">
            <v>13.808448829914081</v>
          </cell>
          <cell r="E230">
            <v>235.91734825908208</v>
          </cell>
          <cell r="F230">
            <v>0</v>
          </cell>
          <cell r="G230">
            <v>24.164785452349641</v>
          </cell>
          <cell r="H230">
            <v>10.356336622435562</v>
          </cell>
          <cell r="I230">
            <v>13.808448829914079</v>
          </cell>
          <cell r="J230">
            <v>0</v>
          </cell>
          <cell r="K230">
            <v>16.706599322040006</v>
          </cell>
          <cell r="M230">
            <v>0.92378210240752034</v>
          </cell>
          <cell r="N230">
            <v>1.1258273038092899</v>
          </cell>
          <cell r="O230">
            <v>15.782817219632486</v>
          </cell>
          <cell r="P230">
            <v>19.234759485581719</v>
          </cell>
          <cell r="Q230">
            <v>0</v>
          </cell>
          <cell r="R230">
            <v>0</v>
          </cell>
          <cell r="S230">
            <v>1.6166186792131607</v>
          </cell>
          <cell r="T230">
            <v>1.9701977816662573</v>
          </cell>
          <cell r="U230">
            <v>0.69283657680564037</v>
          </cell>
          <cell r="V230">
            <v>0.84437047785696751</v>
          </cell>
          <cell r="W230">
            <v>0.92378210240752023</v>
          </cell>
          <cell r="X230">
            <v>1.1258273038092899</v>
          </cell>
          <cell r="Y230">
            <v>0</v>
          </cell>
          <cell r="Z230">
            <v>0</v>
          </cell>
        </row>
        <row r="231">
          <cell r="C231">
            <v>261.78973301959445</v>
          </cell>
          <cell r="D231">
            <v>45.632388666474455</v>
          </cell>
          <cell r="E231">
            <v>216.15734435311998</v>
          </cell>
          <cell r="F231">
            <v>68.027303732528338</v>
          </cell>
          <cell r="G231">
            <v>64.944134850488979</v>
          </cell>
          <cell r="H231">
            <v>3.8772617821187447</v>
          </cell>
          <cell r="I231">
            <v>61.066873068370228</v>
          </cell>
          <cell r="J231">
            <v>0</v>
          </cell>
          <cell r="K231">
            <v>15.43021028133305</v>
          </cell>
          <cell r="M231">
            <v>2.689629362624844</v>
          </cell>
          <cell r="N231">
            <v>2.6476763764690205</v>
          </cell>
          <cell r="O231">
            <v>12.740580918708206</v>
          </cell>
          <cell r="P231">
            <v>12.541852639515833</v>
          </cell>
          <cell r="Q231">
            <v>4.0096133234776588</v>
          </cell>
          <cell r="R231">
            <v>3.9470711551820608</v>
          </cell>
          <cell r="S231">
            <v>3.8278875405984296</v>
          </cell>
          <cell r="T231">
            <v>3.7681799410204526</v>
          </cell>
          <cell r="U231">
            <v>0.22853059943871226</v>
          </cell>
          <cell r="V231">
            <v>0.22496596662808674</v>
          </cell>
          <cell r="W231">
            <v>3.5993569411597175</v>
          </cell>
          <cell r="X231">
            <v>3.5432139743923661</v>
          </cell>
          <cell r="Y231">
            <v>0</v>
          </cell>
          <cell r="Z231">
            <v>0</v>
          </cell>
        </row>
        <row r="232">
          <cell r="C232">
            <v>252.88463784604201</v>
          </cell>
          <cell r="D232">
            <v>38.633570180174964</v>
          </cell>
          <cell r="E232">
            <v>214.25106766586705</v>
          </cell>
          <cell r="F232">
            <v>79.204517036051911</v>
          </cell>
          <cell r="G232">
            <v>399.21355852847461</v>
          </cell>
          <cell r="H232">
            <v>18.006206750642018</v>
          </cell>
          <cell r="I232">
            <v>381.20735177783257</v>
          </cell>
          <cell r="J232">
            <v>0</v>
          </cell>
          <cell r="K232">
            <v>9.6638425269762749</v>
          </cell>
          <cell r="M232">
            <v>1.4763598993442799</v>
          </cell>
          <cell r="N232">
            <v>1.3289429243793252</v>
          </cell>
          <cell r="O232">
            <v>8.1874826276319954</v>
          </cell>
          <cell r="P232">
            <v>7.3699489611596798</v>
          </cell>
          <cell r="Q232">
            <v>3.0267555458533173</v>
          </cell>
          <cell r="R232">
            <v>2.7245290042584984</v>
          </cell>
          <cell r="S232">
            <v>15.25571895989089</v>
          </cell>
          <cell r="T232">
            <v>13.732410218586359</v>
          </cell>
          <cell r="U232">
            <v>0.68809694423715706</v>
          </cell>
          <cell r="V232">
            <v>0.61938932758682408</v>
          </cell>
          <cell r="W232">
            <v>14.567622015653733</v>
          </cell>
          <cell r="X232">
            <v>13.113020890999536</v>
          </cell>
          <cell r="Y232">
            <v>0</v>
          </cell>
          <cell r="Z232">
            <v>0</v>
          </cell>
        </row>
        <row r="233">
          <cell r="C233">
            <v>588.90143942687689</v>
          </cell>
          <cell r="D233">
            <v>69.618193420619164</v>
          </cell>
          <cell r="E233">
            <v>519.28324600625774</v>
          </cell>
          <cell r="F233">
            <v>0</v>
          </cell>
          <cell r="G233">
            <v>1057.9682836215404</v>
          </cell>
          <cell r="H233">
            <v>114.12818593544125</v>
          </cell>
          <cell r="I233">
            <v>943.84009768609917</v>
          </cell>
          <cell r="J233">
            <v>0</v>
          </cell>
          <cell r="K233">
            <v>16.37057240652236</v>
          </cell>
          <cell r="M233">
            <v>1.9352808465074884</v>
          </cell>
          <cell r="N233">
            <v>1.6727966047922489</v>
          </cell>
          <cell r="O233">
            <v>14.435291560014873</v>
          </cell>
          <cell r="P233">
            <v>12.477417298040546</v>
          </cell>
          <cell r="Q233">
            <v>0</v>
          </cell>
          <cell r="R233">
            <v>0</v>
          </cell>
          <cell r="S233">
            <v>29.409923683810518</v>
          </cell>
          <cell r="T233">
            <v>25.421023813810081</v>
          </cell>
          <cell r="U233">
            <v>3.1725915516516197</v>
          </cell>
          <cell r="V233">
            <v>2.7422895160528671</v>
          </cell>
          <cell r="W233">
            <v>26.237332132158897</v>
          </cell>
          <cell r="X233">
            <v>22.678734297757213</v>
          </cell>
          <cell r="Y233">
            <v>0</v>
          </cell>
          <cell r="Z233">
            <v>0</v>
          </cell>
        </row>
        <row r="234">
          <cell r="C234">
            <v>205.43073468379427</v>
          </cell>
          <cell r="D234">
            <v>22.825637187088251</v>
          </cell>
          <cell r="E234">
            <v>182.60509749670601</v>
          </cell>
          <cell r="F234">
            <v>7.9889730154808873</v>
          </cell>
          <cell r="G234">
            <v>664.51136260910675</v>
          </cell>
          <cell r="H234">
            <v>3.7091660429018405</v>
          </cell>
          <cell r="I234">
            <v>660.80219656620488</v>
          </cell>
          <cell r="J234">
            <v>0</v>
          </cell>
          <cell r="K234">
            <v>10.709794274584462</v>
          </cell>
          <cell r="M234">
            <v>1.1899771416204958</v>
          </cell>
          <cell r="N234">
            <v>0.97643108857218652</v>
          </cell>
          <cell r="O234">
            <v>9.5198171329639667</v>
          </cell>
          <cell r="P234">
            <v>7.8114487085774922</v>
          </cell>
          <cell r="Q234">
            <v>0.41649199956717348</v>
          </cell>
          <cell r="R234">
            <v>0.34175088100026529</v>
          </cell>
          <cell r="S234">
            <v>34.643209535426678</v>
          </cell>
          <cell r="T234">
            <v>28.426350066057783</v>
          </cell>
          <cell r="U234">
            <v>0.19337128551333052</v>
          </cell>
          <cell r="V234">
            <v>0.15867005189298031</v>
          </cell>
          <cell r="W234">
            <v>34.449838249913348</v>
          </cell>
          <cell r="X234">
            <v>28.267680014164803</v>
          </cell>
          <cell r="Y234">
            <v>0</v>
          </cell>
          <cell r="Z234">
            <v>0</v>
          </cell>
        </row>
        <row r="235">
          <cell r="C235">
            <v>843.83378600861022</v>
          </cell>
          <cell r="D235">
            <v>104.89387795001592</v>
          </cell>
          <cell r="E235">
            <v>738.93990805859426</v>
          </cell>
          <cell r="F235">
            <v>27.16002196920055</v>
          </cell>
          <cell r="G235">
            <v>147.0387396263616</v>
          </cell>
          <cell r="H235">
            <v>0</v>
          </cell>
          <cell r="I235">
            <v>147.0387396263616</v>
          </cell>
          <cell r="J235">
            <v>1282.1403474426052</v>
          </cell>
          <cell r="K235">
            <v>18.487561472512532</v>
          </cell>
          <cell r="M235">
            <v>2.2981208489693707</v>
          </cell>
          <cell r="N235">
            <v>1.9698927492087519</v>
          </cell>
          <cell r="O235">
            <v>16.18944062354316</v>
          </cell>
          <cell r="P235">
            <v>13.877190885050938</v>
          </cell>
          <cell r="Q235">
            <v>0.59504914839385492</v>
          </cell>
          <cell r="R235">
            <v>0.51006151542012323</v>
          </cell>
          <cell r="S235">
            <v>3.2214729757874219</v>
          </cell>
          <cell r="T235">
            <v>2.7613675145158392</v>
          </cell>
          <cell r="U235">
            <v>0</v>
          </cell>
          <cell r="V235">
            <v>0</v>
          </cell>
          <cell r="W235">
            <v>3.2214729757874219</v>
          </cell>
          <cell r="X235">
            <v>2.7613675145158392</v>
          </cell>
          <cell r="Y235">
            <v>28.090423591420254</v>
          </cell>
          <cell r="Z235">
            <v>24.078421193453401</v>
          </cell>
        </row>
        <row r="236">
          <cell r="C236">
            <v>104.83004568682563</v>
          </cell>
          <cell r="D236">
            <v>11.949099791303487</v>
          </cell>
          <cell r="E236">
            <v>92.880945895522146</v>
          </cell>
          <cell r="F236">
            <v>27.965978234965611</v>
          </cell>
          <cell r="G236">
            <v>60.08448051088066</v>
          </cell>
          <cell r="H236">
            <v>0</v>
          </cell>
          <cell r="I236">
            <v>60.08448051088066</v>
          </cell>
          <cell r="J236">
            <v>105.93173573850609</v>
          </cell>
          <cell r="K236">
            <v>6.3993065478290871</v>
          </cell>
          <cell r="M236">
            <v>0.72942782800638739</v>
          </cell>
          <cell r="N236">
            <v>0.55408673921880169</v>
          </cell>
          <cell r="O236">
            <v>5.6698787198226999</v>
          </cell>
          <cell r="P236">
            <v>4.3069437318000476</v>
          </cell>
          <cell r="Q236">
            <v>1.7071715123553752</v>
          </cell>
          <cell r="R236">
            <v>1.2967987513631529</v>
          </cell>
          <cell r="S236">
            <v>3.6678321280604878</v>
          </cell>
          <cell r="T236">
            <v>2.7861524688378045</v>
          </cell>
          <cell r="U236">
            <v>0</v>
          </cell>
          <cell r="V236">
            <v>0</v>
          </cell>
          <cell r="W236">
            <v>3.6678321280604878</v>
          </cell>
          <cell r="X236">
            <v>2.7861524688378045</v>
          </cell>
          <cell r="Y236">
            <v>6.4665587589218756</v>
          </cell>
          <cell r="Z236">
            <v>4.9121164824361854</v>
          </cell>
        </row>
        <row r="237">
          <cell r="C237">
            <v>107.45168705821794</v>
          </cell>
          <cell r="D237">
            <v>21.924024518198266</v>
          </cell>
          <cell r="E237">
            <v>85.527662540019676</v>
          </cell>
          <cell r="F237">
            <v>5.1357683670948562E-2</v>
          </cell>
          <cell r="G237">
            <v>172.60632712690199</v>
          </cell>
          <cell r="H237">
            <v>0.72927910812746966</v>
          </cell>
          <cell r="I237">
            <v>171.87704801877453</v>
          </cell>
          <cell r="J237">
            <v>11.412818593544126</v>
          </cell>
          <cell r="K237">
            <v>8.1161859931574725</v>
          </cell>
          <cell r="M237">
            <v>1.6559950390712168</v>
          </cell>
          <cell r="N237">
            <v>1.220355498699452</v>
          </cell>
          <cell r="O237">
            <v>6.4601909540862561</v>
          </cell>
          <cell r="P237">
            <v>4.7607205139269606</v>
          </cell>
          <cell r="Q237">
            <v>3.8792179468092008E-3</v>
          </cell>
          <cell r="R237">
            <v>2.8587192837832031E-3</v>
          </cell>
          <cell r="S237">
            <v>13.03753429016615</v>
          </cell>
          <cell r="T237">
            <v>9.6077743502241759</v>
          </cell>
          <cell r="U237">
            <v>5.508489484469066E-2</v>
          </cell>
          <cell r="V237">
            <v>4.0593813829721485E-2</v>
          </cell>
          <cell r="W237">
            <v>12.98244939532146</v>
          </cell>
          <cell r="X237">
            <v>9.5671805363944546</v>
          </cell>
          <cell r="Y237">
            <v>0.862048432624267</v>
          </cell>
          <cell r="Z237">
            <v>0.63527095195182293</v>
          </cell>
        </row>
        <row r="238">
          <cell r="C238">
            <v>522.16796884260248</v>
          </cell>
          <cell r="D238">
            <v>130.8627342062542</v>
          </cell>
          <cell r="E238">
            <v>391.30523463634825</v>
          </cell>
          <cell r="F238">
            <v>16.03709978017821</v>
          </cell>
          <cell r="G238">
            <v>452.92618683170508</v>
          </cell>
          <cell r="H238">
            <v>1.3214570218866846</v>
          </cell>
          <cell r="I238">
            <v>451.60472980981842</v>
          </cell>
          <cell r="J238">
            <v>0</v>
          </cell>
          <cell r="K238">
            <v>16.537971947531275</v>
          </cell>
          <cell r="M238">
            <v>4.1446514463100499</v>
          </cell>
          <cell r="N238">
            <v>4.4481051325148693</v>
          </cell>
          <cell r="O238">
            <v>12.393320501221226</v>
          </cell>
          <cell r="P238">
            <v>13.300706523696421</v>
          </cell>
          <cell r="Q238">
            <v>0.50792297136152575</v>
          </cell>
          <cell r="R238">
            <v>0.54511092310231246</v>
          </cell>
          <cell r="S238">
            <v>14.344963726380755</v>
          </cell>
          <cell r="T238">
            <v>15.395240734624748</v>
          </cell>
          <cell r="U238">
            <v>4.1852852840189719E-2</v>
          </cell>
          <cell r="V238">
            <v>4.4917140063630547E-2</v>
          </cell>
          <cell r="W238">
            <v>14.303110873540565</v>
          </cell>
          <cell r="X238">
            <v>15.350323594561118</v>
          </cell>
          <cell r="Y238">
            <v>0</v>
          </cell>
          <cell r="Z238">
            <v>0</v>
          </cell>
        </row>
        <row r="239">
          <cell r="C239">
            <v>5328.3</v>
          </cell>
          <cell r="D239">
            <v>687.3</v>
          </cell>
          <cell r="E239">
            <v>4641</v>
          </cell>
          <cell r="F239">
            <v>17.98</v>
          </cell>
          <cell r="G239">
            <v>510</v>
          </cell>
          <cell r="H239">
            <v>56</v>
          </cell>
          <cell r="I239">
            <v>454</v>
          </cell>
          <cell r="J239">
            <v>0</v>
          </cell>
          <cell r="K239">
            <v>26.736447545993702</v>
          </cell>
          <cell r="M239">
            <v>3.4487473299854492</v>
          </cell>
          <cell r="N239">
            <v>3.4409364187371332</v>
          </cell>
          <cell r="O239">
            <v>23.287700216008254</v>
          </cell>
          <cell r="P239">
            <v>23.234956961092735</v>
          </cell>
          <cell r="Q239">
            <v>9.0220394286539191E-2</v>
          </cell>
          <cell r="R239">
            <v>9.0016058211688718E-2</v>
          </cell>
          <cell r="S239">
            <v>2.5590879358250826</v>
          </cell>
          <cell r="T239">
            <v>2.5532919737464543</v>
          </cell>
          <cell r="U239">
            <v>0.28099789099255812</v>
          </cell>
          <cell r="V239">
            <v>0.28036147162706165</v>
          </cell>
          <cell r="W239">
            <v>2.2780900448325245</v>
          </cell>
          <cell r="X239">
            <v>2.2729305021193928</v>
          </cell>
          <cell r="Y239">
            <v>0</v>
          </cell>
          <cell r="Z239">
            <v>0</v>
          </cell>
        </row>
        <row r="240">
          <cell r="C240">
            <v>7.0279601888550918</v>
          </cell>
          <cell r="D240">
            <v>4.8032151754294405</v>
          </cell>
          <cell r="E240">
            <v>2.2247450134256517</v>
          </cell>
          <cell r="F240">
            <v>4.2819360091037648</v>
          </cell>
          <cell r="G240">
            <v>1.1728781242327704</v>
          </cell>
          <cell r="H240">
            <v>0.89362142798687272</v>
          </cell>
          <cell r="I240">
            <v>0.27925669624589772</v>
          </cell>
          <cell r="J240">
            <v>12.240751852111851</v>
          </cell>
          <cell r="K240">
            <v>0.54942367197485686</v>
          </cell>
          <cell r="M240">
            <v>0.37550015197222009</v>
          </cell>
          <cell r="N240">
            <v>0.20167445943375639</v>
          </cell>
          <cell r="O240">
            <v>0.17392352000263681</v>
          </cell>
          <cell r="P240">
            <v>9.3411232179588716E-2</v>
          </cell>
          <cell r="Q240">
            <v>0.33474819749461476</v>
          </cell>
          <cell r="R240">
            <v>0.17978730879753479</v>
          </cell>
          <cell r="S240">
            <v>9.169189757461188E-2</v>
          </cell>
          <cell r="T240">
            <v>4.9246088931498663E-2</v>
          </cell>
          <cell r="U240">
            <v>6.9860493390180481E-2</v>
          </cell>
          <cell r="V240">
            <v>3.7520829662094218E-2</v>
          </cell>
          <cell r="W240">
            <v>2.1831404184431399E-2</v>
          </cell>
          <cell r="X240">
            <v>1.1725259269404443E-2</v>
          </cell>
          <cell r="Y240">
            <v>0.95694321675090976</v>
          </cell>
          <cell r="Z240">
            <v>0.51395719797556139</v>
          </cell>
        </row>
        <row r="241">
          <cell r="C241">
            <v>25.234121210982785</v>
          </cell>
          <cell r="D241">
            <v>2.7673372045961901</v>
          </cell>
          <cell r="E241">
            <v>22.466784006386597</v>
          </cell>
          <cell r="F241">
            <v>10.01376658570374</v>
          </cell>
          <cell r="G241">
            <v>48.92766294724192</v>
          </cell>
          <cell r="H241">
            <v>2.995571200851546</v>
          </cell>
          <cell r="I241">
            <v>45.932091746390377</v>
          </cell>
          <cell r="J241">
            <v>20.426942664854352</v>
          </cell>
          <cell r="K241">
            <v>2.5308691970139723</v>
          </cell>
          <cell r="M241">
            <v>0.27755151171323378</v>
          </cell>
          <cell r="N241">
            <v>0.1185772937153942</v>
          </cell>
          <cell r="O241">
            <v>2.2533176853007384</v>
          </cell>
          <cell r="P241">
            <v>0.96267648248322613</v>
          </cell>
          <cell r="Q241">
            <v>1.0043358825911861</v>
          </cell>
          <cell r="R241">
            <v>0.42907866076395218</v>
          </cell>
          <cell r="S241">
            <v>4.9072251813216079</v>
          </cell>
          <cell r="T241">
            <v>2.0964954507412479</v>
          </cell>
          <cell r="U241">
            <v>0.30044235804009845</v>
          </cell>
          <cell r="V241">
            <v>0.1283568643310968</v>
          </cell>
          <cell r="W241">
            <v>4.6067828232815096</v>
          </cell>
          <cell r="X241">
            <v>1.9681385864101513</v>
          </cell>
          <cell r="Y241">
            <v>2.0487307462543853</v>
          </cell>
          <cell r="Z241">
            <v>0.87527157010538392</v>
          </cell>
        </row>
        <row r="242">
          <cell r="C242">
            <v>65.737835098814159</v>
          </cell>
          <cell r="D242">
            <v>7.6465884576745644</v>
          </cell>
          <cell r="E242">
            <v>58.091246641139598</v>
          </cell>
          <cell r="F242">
            <v>0</v>
          </cell>
          <cell r="G242">
            <v>12.211715895092214</v>
          </cell>
          <cell r="H242">
            <v>0</v>
          </cell>
          <cell r="I242">
            <v>12.211715895092214</v>
          </cell>
          <cell r="J242">
            <v>0</v>
          </cell>
          <cell r="K242">
            <v>15.880639720851256</v>
          </cell>
          <cell r="M242">
            <v>1.8472271897517958</v>
          </cell>
          <cell r="N242">
            <v>1.6317972977023274</v>
          </cell>
          <cell r="O242">
            <v>14.033412531099462</v>
          </cell>
          <cell r="P242">
            <v>12.396788425828129</v>
          </cell>
          <cell r="Q242">
            <v>0</v>
          </cell>
          <cell r="R242">
            <v>0</v>
          </cell>
          <cell r="S242">
            <v>2.9500493925886886</v>
          </cell>
          <cell r="T242">
            <v>2.6060046396141643</v>
          </cell>
          <cell r="U242">
            <v>0</v>
          </cell>
          <cell r="V242">
            <v>0</v>
          </cell>
          <cell r="W242">
            <v>2.9500493925886886</v>
          </cell>
          <cell r="X242">
            <v>2.6060046396141643</v>
          </cell>
          <cell r="Y242">
            <v>0</v>
          </cell>
          <cell r="Z242">
            <v>0</v>
          </cell>
        </row>
        <row r="243">
          <cell r="C243">
            <v>42.113300610177824</v>
          </cell>
          <cell r="D243">
            <v>10.95630584980236</v>
          </cell>
          <cell r="E243">
            <v>31.156994760375461</v>
          </cell>
          <cell r="F243">
            <v>14.722535985671922</v>
          </cell>
          <cell r="G243">
            <v>61.172707661396508</v>
          </cell>
          <cell r="H243">
            <v>1.8260509749670601</v>
          </cell>
          <cell r="I243">
            <v>59.346656686429448</v>
          </cell>
          <cell r="J243">
            <v>0</v>
          </cell>
          <cell r="K243">
            <v>8.5050310410477952</v>
          </cell>
          <cell r="M243">
            <v>2.2126910025490196</v>
          </cell>
          <cell r="N243">
            <v>1.9729646002017747</v>
          </cell>
          <cell r="O243">
            <v>6.2923400384987751</v>
          </cell>
          <cell r="P243">
            <v>5.6106180818237972</v>
          </cell>
          <cell r="Q243">
            <v>2.973303534675245</v>
          </cell>
          <cell r="R243">
            <v>2.6511711815211347</v>
          </cell>
          <cell r="S243">
            <v>12.354191430898693</v>
          </cell>
          <cell r="T243">
            <v>11.015719017793241</v>
          </cell>
          <cell r="U243">
            <v>0.36878183375816997</v>
          </cell>
          <cell r="V243">
            <v>0.32882743336696246</v>
          </cell>
          <cell r="W243">
            <v>11.985409597140523</v>
          </cell>
          <cell r="X243">
            <v>10.686891584426279</v>
          </cell>
          <cell r="Y243">
            <v>0</v>
          </cell>
          <cell r="Z243">
            <v>0</v>
          </cell>
        </row>
        <row r="244">
          <cell r="C244">
            <v>22.550381835611422</v>
          </cell>
          <cell r="D244">
            <v>6.3937269094473352</v>
          </cell>
          <cell r="E244">
            <v>16.156654926164087</v>
          </cell>
          <cell r="F244">
            <v>0.61610710785105727</v>
          </cell>
          <cell r="G244">
            <v>37.970293297142426</v>
          </cell>
          <cell r="H244">
            <v>3.8775971822793812E-2</v>
          </cell>
          <cell r="I244">
            <v>37.931517325319632</v>
          </cell>
          <cell r="J244">
            <v>0</v>
          </cell>
          <cell r="K244">
            <v>10.457403769203127</v>
          </cell>
          <cell r="M244">
            <v>2.9649956426246544</v>
          </cell>
          <cell r="N244">
            <v>1.5694137440138884</v>
          </cell>
          <cell r="O244">
            <v>7.4924081265784732</v>
          </cell>
          <cell r="P244">
            <v>3.9658366172857686</v>
          </cell>
          <cell r="Q244">
            <v>0.28571049656019243</v>
          </cell>
          <cell r="R244">
            <v>0.15123056967249734</v>
          </cell>
          <cell r="S244">
            <v>17.60815808520962</v>
          </cell>
          <cell r="T244">
            <v>9.3202448288371951</v>
          </cell>
          <cell r="U244">
            <v>1.7981779503788334E-2</v>
          </cell>
          <cell r="V244">
            <v>9.5180078814858463E-3</v>
          </cell>
          <cell r="W244">
            <v>17.590176305705832</v>
          </cell>
          <cell r="X244">
            <v>9.3107268209557095</v>
          </cell>
          <cell r="Y244">
            <v>0</v>
          </cell>
          <cell r="Z244">
            <v>0</v>
          </cell>
        </row>
        <row r="245">
          <cell r="C245">
            <v>12.274248212821655</v>
          </cell>
          <cell r="D245">
            <v>0.12228391743782471</v>
          </cell>
          <cell r="E245">
            <v>12.151964295383831</v>
          </cell>
          <cell r="F245">
            <v>48.730141098973149</v>
          </cell>
          <cell r="G245">
            <v>55.669753413569694</v>
          </cell>
          <cell r="H245">
            <v>43.105080896833208</v>
          </cell>
          <cell r="I245">
            <v>12.56467251673649</v>
          </cell>
          <cell r="J245">
            <v>0</v>
          </cell>
          <cell r="K245">
            <v>3.690365110259608</v>
          </cell>
          <cell r="M245">
            <v>3.6765779429734573E-2</v>
          </cell>
          <cell r="N245">
            <v>3.9311555541792213E-2</v>
          </cell>
          <cell r="O245">
            <v>3.6535993308298735</v>
          </cell>
          <cell r="P245">
            <v>3.9065858319656011</v>
          </cell>
          <cell r="Q245">
            <v>14.651163102749228</v>
          </cell>
          <cell r="R245">
            <v>15.665654883404198</v>
          </cell>
          <cell r="S245">
            <v>16.737621085386667</v>
          </cell>
          <cell r="T245">
            <v>17.896585660400905</v>
          </cell>
          <cell r="U245">
            <v>12.959937248981438</v>
          </cell>
          <cell r="V245">
            <v>13.857323328481755</v>
          </cell>
          <cell r="W245">
            <v>3.7776838364052283</v>
          </cell>
          <cell r="X245">
            <v>4.0392623319191499</v>
          </cell>
          <cell r="Y245">
            <v>0</v>
          </cell>
          <cell r="Z245">
            <v>0</v>
          </cell>
        </row>
        <row r="246">
          <cell r="C246">
            <v>1.5871</v>
          </cell>
          <cell r="D246">
            <v>0.435</v>
          </cell>
          <cell r="E246">
            <v>1.1520999999999999</v>
          </cell>
          <cell r="F246">
            <v>0</v>
          </cell>
          <cell r="G246">
            <v>1.3769999999999998</v>
          </cell>
          <cell r="H246">
            <v>1.0269999999999999</v>
          </cell>
          <cell r="I246">
            <v>0.35</v>
          </cell>
          <cell r="J246">
            <v>0</v>
          </cell>
          <cell r="K246">
            <v>5.9009523324005393</v>
          </cell>
          <cell r="M246">
            <v>1.6173613915911</v>
          </cell>
          <cell r="N246">
            <v>0.94747353073112039</v>
          </cell>
          <cell r="O246">
            <v>4.2835909408094395</v>
          </cell>
          <cell r="P246">
            <v>2.5093890913915486</v>
          </cell>
          <cell r="Q246">
            <v>0</v>
          </cell>
          <cell r="R246">
            <v>0</v>
          </cell>
          <cell r="S246">
            <v>5.1197853706228607</v>
          </cell>
          <cell r="T246">
            <v>2.9992437972798909</v>
          </cell>
          <cell r="U246">
            <v>3.8184601130208264</v>
          </cell>
          <cell r="V246">
            <v>2.236908772553702</v>
          </cell>
          <cell r="W246">
            <v>1.3013252576020344</v>
          </cell>
          <cell r="X246">
            <v>0.76233502472618875</v>
          </cell>
          <cell r="Y246">
            <v>0</v>
          </cell>
          <cell r="Z246">
            <v>0</v>
          </cell>
        </row>
        <row r="247">
          <cell r="C247">
            <v>12.896485010704861</v>
          </cell>
          <cell r="D247">
            <v>4.6792556233530913</v>
          </cell>
          <cell r="E247">
            <v>8.2172293873517699</v>
          </cell>
          <cell r="F247">
            <v>0.57064092967720625</v>
          </cell>
          <cell r="G247">
            <v>15.293176915349127</v>
          </cell>
          <cell r="H247">
            <v>1.3695382312252951</v>
          </cell>
          <cell r="I247">
            <v>13.923638684123832</v>
          </cell>
          <cell r="J247">
            <v>4.56512743741765</v>
          </cell>
          <cell r="K247">
            <v>5.0625243093012413</v>
          </cell>
          <cell r="M247">
            <v>1.8368451033747866</v>
          </cell>
          <cell r="N247">
            <v>1.8427902083607597</v>
          </cell>
          <cell r="O247">
            <v>3.2256792059264545</v>
          </cell>
          <cell r="P247">
            <v>3.2361193902920657</v>
          </cell>
          <cell r="Q247">
            <v>0.22400550041155937</v>
          </cell>
          <cell r="R247">
            <v>0.22473051321472678</v>
          </cell>
          <cell r="S247">
            <v>6.0033474110297904</v>
          </cell>
          <cell r="T247">
            <v>6.022777754154677</v>
          </cell>
          <cell r="U247">
            <v>0.53761320098774246</v>
          </cell>
          <cell r="V247">
            <v>0.53935323171534433</v>
          </cell>
          <cell r="W247">
            <v>5.4657342100420481</v>
          </cell>
          <cell r="X247">
            <v>5.483424522439333</v>
          </cell>
          <cell r="Y247">
            <v>1.7920440032924749</v>
          </cell>
          <cell r="Z247">
            <v>1.7978441057178143</v>
          </cell>
        </row>
        <row r="248">
          <cell r="C248">
            <v>33.097173921277964</v>
          </cell>
          <cell r="D248">
            <v>1.55</v>
          </cell>
          <cell r="E248">
            <v>31.547173921277963</v>
          </cell>
          <cell r="F248">
            <v>1.9401791609025012</v>
          </cell>
          <cell r="G248">
            <v>6.9618193420619159</v>
          </cell>
          <cell r="H248">
            <v>3.7662301358695611</v>
          </cell>
          <cell r="I248">
            <v>3.1955892061923548</v>
          </cell>
          <cell r="J248">
            <v>0</v>
          </cell>
          <cell r="K248">
            <v>16.231822283669384</v>
          </cell>
          <cell r="M248">
            <v>0.76016534219898391</v>
          </cell>
          <cell r="N248">
            <v>0.51401989722260888</v>
          </cell>
          <cell r="O248">
            <v>15.471656941470401</v>
          </cell>
          <cell r="P248">
            <v>10.461854901083269</v>
          </cell>
          <cell r="Q248">
            <v>0.95152061662889498</v>
          </cell>
          <cell r="R248">
            <v>0.64341335024551694</v>
          </cell>
          <cell r="S248">
            <v>3.4142798596683877</v>
          </cell>
          <cell r="T248">
            <v>2.3087184920574435</v>
          </cell>
          <cell r="U248">
            <v>1.8470694322796195</v>
          </cell>
          <cell r="V248">
            <v>1.2489788563589448</v>
          </cell>
          <cell r="W248">
            <v>1.5672104273887679</v>
          </cell>
          <cell r="X248">
            <v>1.0597396356984985</v>
          </cell>
          <cell r="Y248">
            <v>0</v>
          </cell>
          <cell r="Z248">
            <v>0</v>
          </cell>
        </row>
        <row r="249">
          <cell r="C249">
            <v>2.2042255736459442</v>
          </cell>
          <cell r="D249">
            <v>0.12491350018021706</v>
          </cell>
          <cell r="E249">
            <v>2.0793120734657271</v>
          </cell>
          <cell r="F249">
            <v>7.5320270858253366E-2</v>
          </cell>
          <cell r="G249">
            <v>0.23482202091102522</v>
          </cell>
          <cell r="H249">
            <v>0</v>
          </cell>
          <cell r="I249">
            <v>0.23482202091102522</v>
          </cell>
          <cell r="J249">
            <v>0</v>
          </cell>
          <cell r="K249">
            <v>10.633022633913349</v>
          </cell>
          <cell r="M249">
            <v>0.60257357077145135</v>
          </cell>
          <cell r="N249">
            <v>0.65505566428296547</v>
          </cell>
          <cell r="O249">
            <v>10.030449063141898</v>
          </cell>
          <cell r="P249">
            <v>10.904066810797739</v>
          </cell>
          <cell r="Q249">
            <v>0.3633394668874913</v>
          </cell>
          <cell r="R249">
            <v>0.39498508960074769</v>
          </cell>
          <cell r="S249">
            <v>1.1327642202962966</v>
          </cell>
          <cell r="T249">
            <v>1.2314241028729194</v>
          </cell>
          <cell r="U249">
            <v>0</v>
          </cell>
          <cell r="V249">
            <v>0</v>
          </cell>
          <cell r="W249">
            <v>1.1327642202962966</v>
          </cell>
          <cell r="X249">
            <v>1.2314241028729194</v>
          </cell>
          <cell r="Y249">
            <v>0</v>
          </cell>
          <cell r="Z249">
            <v>0</v>
          </cell>
        </row>
        <row r="250">
          <cell r="C250">
            <v>49.143596863801008</v>
          </cell>
          <cell r="D250">
            <v>5.1357683670948564</v>
          </cell>
          <cell r="E250">
            <v>44.007828496706153</v>
          </cell>
          <cell r="F250">
            <v>3.309717392127796</v>
          </cell>
          <cell r="G250">
            <v>11.412818593544126</v>
          </cell>
          <cell r="H250">
            <v>5.7064092967720628</v>
          </cell>
          <cell r="I250">
            <v>5.7064092967720628</v>
          </cell>
          <cell r="J250">
            <v>0</v>
          </cell>
          <cell r="K250">
            <v>13.229613995246758</v>
          </cell>
          <cell r="M250">
            <v>1.3825653269533307</v>
          </cell>
          <cell r="N250">
            <v>1.2289739033266058</v>
          </cell>
          <cell r="O250">
            <v>11.847048668293429</v>
          </cell>
          <cell r="P250">
            <v>10.530940824949763</v>
          </cell>
          <cell r="Q250">
            <v>0.89098654403659061</v>
          </cell>
          <cell r="R250">
            <v>0.79200540436603495</v>
          </cell>
          <cell r="S250">
            <v>3.0723673932296238</v>
          </cell>
          <cell r="T250">
            <v>2.7310531185035689</v>
          </cell>
          <cell r="U250">
            <v>1.5361836966148119</v>
          </cell>
          <cell r="V250">
            <v>1.3655265592517845</v>
          </cell>
          <cell r="W250">
            <v>1.5361836966148119</v>
          </cell>
          <cell r="X250">
            <v>1.3655265592517845</v>
          </cell>
          <cell r="Y250">
            <v>0</v>
          </cell>
          <cell r="Z250">
            <v>0</v>
          </cell>
        </row>
        <row r="251">
          <cell r="C251">
            <v>42.9</v>
          </cell>
          <cell r="D251">
            <v>9.4</v>
          </cell>
          <cell r="E251">
            <v>33.5</v>
          </cell>
          <cell r="F251">
            <v>2.1</v>
          </cell>
          <cell r="G251">
            <v>15.3</v>
          </cell>
          <cell r="H251">
            <v>2</v>
          </cell>
          <cell r="I251">
            <v>13.3</v>
          </cell>
          <cell r="J251">
            <v>0</v>
          </cell>
          <cell r="K251">
            <v>11.967854085033959</v>
          </cell>
          <cell r="M251">
            <v>2.6223270023151333</v>
          </cell>
          <cell r="N251">
            <v>2.7453534875322507</v>
          </cell>
          <cell r="O251">
            <v>9.3455270827188262</v>
          </cell>
          <cell r="P251">
            <v>9.7839725353542981</v>
          </cell>
          <cell r="Q251">
            <v>0.5858390111555084</v>
          </cell>
          <cell r="R251">
            <v>0.61332365146997092</v>
          </cell>
          <cell r="S251">
            <v>4.2682556527044184</v>
          </cell>
          <cell r="T251">
            <v>4.4685008892812164</v>
          </cell>
          <cell r="U251">
            <v>0.55794191538619853</v>
          </cell>
          <cell r="V251">
            <v>0.58411776330473419</v>
          </cell>
          <cell r="W251">
            <v>3.71031373731822</v>
          </cell>
          <cell r="X251">
            <v>3.8843831259764823</v>
          </cell>
          <cell r="Y251">
            <v>0</v>
          </cell>
          <cell r="Z251">
            <v>0</v>
          </cell>
        </row>
        <row r="252">
          <cell r="C252">
            <v>3.5487068625075562</v>
          </cell>
          <cell r="D252">
            <v>0.67911263411214207</v>
          </cell>
          <cell r="E252">
            <v>2.8695942283954139</v>
          </cell>
          <cell r="F252">
            <v>0</v>
          </cell>
          <cell r="G252">
            <v>0.66956733254859557</v>
          </cell>
          <cell r="H252">
            <v>0.26782693301943822</v>
          </cell>
          <cell r="I252">
            <v>0.4017403995291573</v>
          </cell>
          <cell r="J252">
            <v>0</v>
          </cell>
          <cell r="K252">
            <v>11.766239194164664</v>
          </cell>
          <cell r="M252">
            <v>2.2516939274878407</v>
          </cell>
          <cell r="N252">
            <v>1.2253354404729446</v>
          </cell>
          <cell r="O252">
            <v>9.5145452666768229</v>
          </cell>
          <cell r="P252">
            <v>5.1776617474162334</v>
          </cell>
          <cell r="Q252">
            <v>0</v>
          </cell>
          <cell r="R252">
            <v>0</v>
          </cell>
          <cell r="S252">
            <v>2.2200451309744649</v>
          </cell>
          <cell r="T252">
            <v>1.2081126769602224</v>
          </cell>
          <cell r="U252">
            <v>0.88801805238978604</v>
          </cell>
          <cell r="V252">
            <v>0.48324507078408896</v>
          </cell>
          <cell r="W252">
            <v>1.3320270785846788</v>
          </cell>
          <cell r="X252">
            <v>0.72486760617613333</v>
          </cell>
          <cell r="Y252">
            <v>0</v>
          </cell>
          <cell r="Z252">
            <v>0</v>
          </cell>
        </row>
        <row r="253">
          <cell r="C253">
            <v>4.4000000000000004</v>
          </cell>
          <cell r="D253">
            <v>1.1000000000000001</v>
          </cell>
          <cell r="E253">
            <v>3.3000000000000003</v>
          </cell>
          <cell r="F253">
            <v>1.6</v>
          </cell>
          <cell r="G253">
            <v>1.5749689659090893</v>
          </cell>
          <cell r="H253">
            <v>0.43368710655467674</v>
          </cell>
          <cell r="I253">
            <v>1.1412818593544125</v>
          </cell>
          <cell r="J253">
            <v>0</v>
          </cell>
          <cell r="K253">
            <v>9.1254560112856833</v>
          </cell>
          <cell r="M253">
            <v>2.2813640028214208</v>
          </cell>
          <cell r="N253">
            <v>1.1324320225037374</v>
          </cell>
          <cell r="O253">
            <v>6.8440920084642629</v>
          </cell>
          <cell r="P253">
            <v>3.397296067511212</v>
          </cell>
          <cell r="Q253">
            <v>3.3183476404675214</v>
          </cell>
          <cell r="R253">
            <v>1.6471738509145271</v>
          </cell>
          <cell r="S253">
            <v>3.2664340948962485</v>
          </cell>
          <cell r="T253">
            <v>1.6214048104045906</v>
          </cell>
          <cell r="U253">
            <v>0.89945286671056124</v>
          </cell>
          <cell r="V253">
            <v>0.44647378837227858</v>
          </cell>
          <cell r="W253">
            <v>2.3669812281856872</v>
          </cell>
          <cell r="X253">
            <v>1.1749310220323121</v>
          </cell>
          <cell r="Y253">
            <v>0</v>
          </cell>
          <cell r="Z253">
            <v>0</v>
          </cell>
        </row>
        <row r="254">
          <cell r="C254">
            <v>3.0814610202569139</v>
          </cell>
          <cell r="D254">
            <v>0.34238455780632376</v>
          </cell>
          <cell r="E254">
            <v>2.7390764624505901</v>
          </cell>
          <cell r="F254">
            <v>5.2384837344367536</v>
          </cell>
          <cell r="G254">
            <v>3.3097173921277965</v>
          </cell>
          <cell r="H254">
            <v>0.45651274374176504</v>
          </cell>
          <cell r="I254">
            <v>2.8532046483860314</v>
          </cell>
          <cell r="J254">
            <v>1.0157408548254272</v>
          </cell>
          <cell r="K254">
            <v>4.6297730687428773</v>
          </cell>
          <cell r="M254">
            <v>0.51441922986031974</v>
          </cell>
          <cell r="N254">
            <v>0.51607864818606852</v>
          </cell>
          <cell r="O254">
            <v>4.1153538388825579</v>
          </cell>
          <cell r="P254">
            <v>4.1286291854885482</v>
          </cell>
          <cell r="Q254">
            <v>7.870614216862891</v>
          </cell>
          <cell r="R254">
            <v>7.8960033172468469</v>
          </cell>
          <cell r="S254">
            <v>4.9727192219830911</v>
          </cell>
          <cell r="T254">
            <v>4.9887602657986614</v>
          </cell>
          <cell r="U254">
            <v>0.68589230648042632</v>
          </cell>
          <cell r="V254">
            <v>0.68810486424809125</v>
          </cell>
          <cell r="W254">
            <v>4.2868269155026644</v>
          </cell>
          <cell r="X254">
            <v>4.3006554015505705</v>
          </cell>
          <cell r="Y254">
            <v>1.5261103819189485</v>
          </cell>
          <cell r="Z254">
            <v>1.531033322952003</v>
          </cell>
        </row>
        <row r="255">
          <cell r="C255">
            <v>93.92749702486816</v>
          </cell>
          <cell r="D255">
            <v>18.94527886528325</v>
          </cell>
          <cell r="E255">
            <v>74.982218159584903</v>
          </cell>
          <cell r="F255">
            <v>13.124741382575744</v>
          </cell>
          <cell r="G255">
            <v>74.183320858036808</v>
          </cell>
          <cell r="H255">
            <v>0</v>
          </cell>
          <cell r="I255">
            <v>74.183320858036808</v>
          </cell>
          <cell r="J255">
            <v>0</v>
          </cell>
          <cell r="K255">
            <v>11.178512242483428</v>
          </cell>
          <cell r="M255">
            <v>2.2547181436843853</v>
          </cell>
          <cell r="N255">
            <v>2.0317950794458048</v>
          </cell>
          <cell r="O255">
            <v>8.9237940987990427</v>
          </cell>
          <cell r="P255">
            <v>8.0415022120234561</v>
          </cell>
          <cell r="Q255">
            <v>1.562003533275327</v>
          </cell>
          <cell r="R255">
            <v>1.4075688803389612</v>
          </cell>
          <cell r="S255">
            <v>8.8287156228605426</v>
          </cell>
          <cell r="T255">
            <v>7.9558241062636927</v>
          </cell>
          <cell r="U255">
            <v>0</v>
          </cell>
          <cell r="V255">
            <v>0</v>
          </cell>
          <cell r="W255">
            <v>8.8287156228605426</v>
          </cell>
          <cell r="X255">
            <v>7.9558241062636927</v>
          </cell>
          <cell r="Y255">
            <v>0</v>
          </cell>
          <cell r="Z255">
            <v>0</v>
          </cell>
        </row>
        <row r="256">
          <cell r="C256">
            <v>40.366333649903929</v>
          </cell>
          <cell r="D256">
            <v>3.3151095268037039</v>
          </cell>
          <cell r="E256">
            <v>37.051224123100226</v>
          </cell>
          <cell r="F256">
            <v>0</v>
          </cell>
          <cell r="G256">
            <v>4.0951352978163404</v>
          </cell>
          <cell r="H256">
            <v>2.2100730178691359</v>
          </cell>
          <cell r="I256">
            <v>1.8850622799472043</v>
          </cell>
          <cell r="J256">
            <v>0</v>
          </cell>
          <cell r="K256">
            <v>19.890861906826895</v>
          </cell>
          <cell r="M256">
            <v>1.6335490454881987</v>
          </cell>
          <cell r="N256">
            <v>1.7090501091684438</v>
          </cell>
          <cell r="O256">
            <v>18.257312861338697</v>
          </cell>
          <cell r="P256">
            <v>19.101148278941434</v>
          </cell>
          <cell r="Q256">
            <v>0</v>
          </cell>
          <cell r="R256">
            <v>0</v>
          </cell>
          <cell r="S256">
            <v>2.0179135267795401</v>
          </cell>
          <cell r="T256">
            <v>2.1111795466198426</v>
          </cell>
          <cell r="U256">
            <v>1.0890326969921327</v>
          </cell>
          <cell r="V256">
            <v>1.1393667394456293</v>
          </cell>
          <cell r="W256">
            <v>0.92888082978740716</v>
          </cell>
          <cell r="X256">
            <v>0.97181280717421326</v>
          </cell>
          <cell r="Y256">
            <v>0</v>
          </cell>
          <cell r="Z256">
            <v>0</v>
          </cell>
        </row>
        <row r="257">
          <cell r="C257">
            <v>23.917160810691193</v>
          </cell>
          <cell r="D257">
            <v>2.6232409947782966</v>
          </cell>
          <cell r="E257">
            <v>21.293919815912897</v>
          </cell>
          <cell r="F257">
            <v>0</v>
          </cell>
          <cell r="G257">
            <v>14.603062217895378</v>
          </cell>
          <cell r="H257">
            <v>6.3191432870165452</v>
          </cell>
          <cell r="I257">
            <v>8.2839189308788317</v>
          </cell>
          <cell r="J257">
            <v>0</v>
          </cell>
          <cell r="K257">
            <v>5.8299085115697995</v>
          </cell>
          <cell r="M257">
            <v>0.63942602236134116</v>
          </cell>
          <cell r="N257">
            <v>0.79382875372148565</v>
          </cell>
          <cell r="O257">
            <v>5.190482489208458</v>
          </cell>
          <cell r="P257">
            <v>6.4438325959982956</v>
          </cell>
          <cell r="Q257">
            <v>0</v>
          </cell>
          <cell r="R257">
            <v>0</v>
          </cell>
          <cell r="S257">
            <v>3.5595578167888426</v>
          </cell>
          <cell r="T257">
            <v>4.419087191769405</v>
          </cell>
          <cell r="U257">
            <v>1.5403177461740809</v>
          </cell>
          <cell r="V257">
            <v>1.9122595484383971</v>
          </cell>
          <cell r="W257">
            <v>2.0192400706147615</v>
          </cell>
          <cell r="X257">
            <v>2.5068276433310075</v>
          </cell>
          <cell r="Y257">
            <v>0</v>
          </cell>
          <cell r="Z257">
            <v>0</v>
          </cell>
        </row>
        <row r="258">
          <cell r="C258">
            <v>13.809510498188393</v>
          </cell>
          <cell r="D258">
            <v>2.5108200905797076</v>
          </cell>
          <cell r="E258">
            <v>11.298690407608685</v>
          </cell>
          <cell r="F258">
            <v>1.2554100452898538</v>
          </cell>
          <cell r="G258">
            <v>13.124741382575744</v>
          </cell>
          <cell r="H258">
            <v>0</v>
          </cell>
          <cell r="I258">
            <v>13.124741382575744</v>
          </cell>
          <cell r="J258">
            <v>0</v>
          </cell>
          <cell r="K258">
            <v>6.2103627486341448</v>
          </cell>
          <cell r="M258">
            <v>1.1291568633880262</v>
          </cell>
          <cell r="N258">
            <v>0.73584493027604503</v>
          </cell>
          <cell r="O258">
            <v>5.0812058852461188</v>
          </cell>
          <cell r="P258">
            <v>3.311302186242203</v>
          </cell>
          <cell r="Q258">
            <v>0.56457843169401312</v>
          </cell>
          <cell r="R258">
            <v>0.36792246513802251</v>
          </cell>
          <cell r="S258">
            <v>5.9024108768010466</v>
          </cell>
          <cell r="T258">
            <v>3.8464621355338715</v>
          </cell>
          <cell r="U258">
            <v>0</v>
          </cell>
          <cell r="V258">
            <v>0</v>
          </cell>
          <cell r="W258">
            <v>5.9024108768010466</v>
          </cell>
          <cell r="X258">
            <v>3.8464621355338715</v>
          </cell>
          <cell r="Y258">
            <v>0</v>
          </cell>
          <cell r="Z258">
            <v>0</v>
          </cell>
        </row>
        <row r="259">
          <cell r="C259">
            <v>6.3</v>
          </cell>
          <cell r="D259">
            <v>1.3</v>
          </cell>
          <cell r="E259">
            <v>5</v>
          </cell>
          <cell r="F259">
            <v>0.6006120601465349</v>
          </cell>
          <cell r="G259">
            <v>1.8</v>
          </cell>
          <cell r="H259">
            <v>0</v>
          </cell>
          <cell r="I259">
            <v>1.8</v>
          </cell>
          <cell r="J259">
            <v>0</v>
          </cell>
          <cell r="K259">
            <v>6.3323544575431603</v>
          </cell>
          <cell r="M259">
            <v>1.3066763166358901</v>
          </cell>
          <cell r="N259">
            <v>0.71541881288739506</v>
          </cell>
          <cell r="O259">
            <v>5.0256781409072699</v>
          </cell>
          <cell r="P259">
            <v>2.7516108187976727</v>
          </cell>
          <cell r="Q259">
            <v>0.60369658036874452</v>
          </cell>
          <cell r="R259">
            <v>0.33053012851991281</v>
          </cell>
          <cell r="S259">
            <v>1.8092441307266172</v>
          </cell>
          <cell r="T259">
            <v>0.99057989476716235</v>
          </cell>
          <cell r="U259">
            <v>0</v>
          </cell>
          <cell r="V259">
            <v>0</v>
          </cell>
          <cell r="W259">
            <v>1.8092441307266172</v>
          </cell>
          <cell r="X259">
            <v>0.99057989476716235</v>
          </cell>
          <cell r="Y259">
            <v>0</v>
          </cell>
          <cell r="Z259">
            <v>0</v>
          </cell>
        </row>
        <row r="260">
          <cell r="C260">
            <v>5.2</v>
          </cell>
          <cell r="D260">
            <v>0.4</v>
          </cell>
          <cell r="E260">
            <v>4.8</v>
          </cell>
          <cell r="F260">
            <v>0.47399999999999998</v>
          </cell>
          <cell r="G260">
            <v>3.5</v>
          </cell>
          <cell r="H260">
            <v>1</v>
          </cell>
          <cell r="I260">
            <v>2.5</v>
          </cell>
          <cell r="J260">
            <v>0</v>
          </cell>
          <cell r="K260">
            <v>10.313781381738993</v>
          </cell>
          <cell r="M260">
            <v>0.79336779859530726</v>
          </cell>
          <cell r="N260">
            <v>0.5260571488004514</v>
          </cell>
          <cell r="O260">
            <v>9.5204135831436858</v>
          </cell>
          <cell r="P260">
            <v>6.3126857856054164</v>
          </cell>
          <cell r="Q260">
            <v>0.94014084133543885</v>
          </cell>
          <cell r="R260">
            <v>0.62337772132853486</v>
          </cell>
          <cell r="S260">
            <v>6.9419682377089371</v>
          </cell>
          <cell r="T260">
            <v>4.6030000520039493</v>
          </cell>
          <cell r="U260">
            <v>1.9834194964882681</v>
          </cell>
          <cell r="V260">
            <v>1.3151428720011284</v>
          </cell>
          <cell r="W260">
            <v>4.9585487412206692</v>
          </cell>
          <cell r="X260">
            <v>3.2878571800028213</v>
          </cell>
          <cell r="Y260">
            <v>0</v>
          </cell>
          <cell r="Z260">
            <v>0</v>
          </cell>
        </row>
        <row r="261">
          <cell r="C261">
            <v>22.474815922163589</v>
          </cell>
          <cell r="D261">
            <v>4.125811618561432</v>
          </cell>
          <cell r="E261">
            <v>18.349004303602158</v>
          </cell>
          <cell r="F261">
            <v>36.372286637317892</v>
          </cell>
          <cell r="G261">
            <v>28.413813173092809</v>
          </cell>
          <cell r="H261">
            <v>1.2703156825570725</v>
          </cell>
          <cell r="I261">
            <v>27.143497490535736</v>
          </cell>
          <cell r="J261">
            <v>0</v>
          </cell>
          <cell r="K261">
            <v>4.087658419220789</v>
          </cell>
          <cell r="M261">
            <v>0.75039140062990328</v>
          </cell>
          <cell r="N261">
            <v>0.79189559626986727</v>
          </cell>
          <cell r="O261">
            <v>3.3372670185908859</v>
          </cell>
          <cell r="P261">
            <v>3.5218514676212522</v>
          </cell>
          <cell r="Q261">
            <v>6.6152926108162537</v>
          </cell>
          <cell r="R261">
            <v>6.9811848618527783</v>
          </cell>
          <cell r="S261">
            <v>5.1678270932854131</v>
          </cell>
          <cell r="T261">
            <v>5.4536599353637971</v>
          </cell>
          <cell r="U261">
            <v>0.23104156282552288</v>
          </cell>
          <cell r="V261">
            <v>0.24382048621993282</v>
          </cell>
          <cell r="W261">
            <v>4.9367855304598907</v>
          </cell>
          <cell r="X261">
            <v>5.209839449143864</v>
          </cell>
          <cell r="Y261">
            <v>0</v>
          </cell>
          <cell r="Z261">
            <v>0</v>
          </cell>
        </row>
        <row r="262">
          <cell r="C262">
            <v>59.481808256628398</v>
          </cell>
          <cell r="D262">
            <v>7.6892624776985965</v>
          </cell>
          <cell r="E262">
            <v>51.792545778929799</v>
          </cell>
          <cell r="F262">
            <v>0</v>
          </cell>
          <cell r="G262">
            <v>46.733119713121745</v>
          </cell>
          <cell r="H262">
            <v>1.1716565626081807</v>
          </cell>
          <cell r="I262">
            <v>45.561463150513568</v>
          </cell>
          <cell r="J262">
            <v>0</v>
          </cell>
          <cell r="K262">
            <v>7.96158872775273</v>
          </cell>
          <cell r="M262">
            <v>1.0292011500903759</v>
          </cell>
          <cell r="N262">
            <v>1.301468760944982</v>
          </cell>
          <cell r="O262">
            <v>6.9323875776623538</v>
          </cell>
          <cell r="P262">
            <v>8.7662998339035525</v>
          </cell>
          <cell r="Q262">
            <v>0</v>
          </cell>
          <cell r="R262">
            <v>0</v>
          </cell>
          <cell r="S262">
            <v>6.2551877628778554</v>
          </cell>
          <cell r="T262">
            <v>7.9099517781494795</v>
          </cell>
          <cell r="U262">
            <v>0.15682522026588358</v>
          </cell>
          <cell r="V262">
            <v>0.19831218133252257</v>
          </cell>
          <cell r="W262">
            <v>6.0983625426119721</v>
          </cell>
          <cell r="X262">
            <v>7.7116395968169567</v>
          </cell>
          <cell r="Y262">
            <v>0</v>
          </cell>
          <cell r="Z262">
            <v>0</v>
          </cell>
        </row>
        <row r="263">
          <cell r="C263">
            <v>32.063993334728977</v>
          </cell>
          <cell r="D263">
            <v>1.5165334699489497</v>
          </cell>
          <cell r="E263">
            <v>30.547459864780031</v>
          </cell>
          <cell r="F263">
            <v>4.0446076631681755</v>
          </cell>
          <cell r="G263">
            <v>3.2859281358385646</v>
          </cell>
          <cell r="H263">
            <v>3.2859281358385646</v>
          </cell>
          <cell r="I263">
            <v>0</v>
          </cell>
          <cell r="J263">
            <v>3.0330682022598419</v>
          </cell>
          <cell r="K263">
            <v>12.240059455466971</v>
          </cell>
          <cell r="M263">
            <v>0.5789191522278514</v>
          </cell>
          <cell r="N263">
            <v>0.34366018177775415</v>
          </cell>
          <cell r="O263">
            <v>11.661140303239121</v>
          </cell>
          <cell r="P263">
            <v>6.9223303131795308</v>
          </cell>
          <cell r="Q263">
            <v>1.543982302965204</v>
          </cell>
          <cell r="R263">
            <v>0.91654462778910029</v>
          </cell>
          <cell r="S263">
            <v>1.2543651481330917</v>
          </cell>
          <cell r="T263">
            <v>0.74462099442416596</v>
          </cell>
          <cell r="U263">
            <v>1.2543651481330917</v>
          </cell>
          <cell r="V263">
            <v>0.74462099442416596</v>
          </cell>
          <cell r="W263">
            <v>0</v>
          </cell>
          <cell r="X263">
            <v>0</v>
          </cell>
          <cell r="Y263">
            <v>1.1578387863478075</v>
          </cell>
          <cell r="Z263">
            <v>0.68732064961812622</v>
          </cell>
        </row>
        <row r="264">
          <cell r="C264">
            <v>12.537379304867349</v>
          </cell>
          <cell r="D264">
            <v>3.8751505833461795</v>
          </cell>
          <cell r="E264">
            <v>8.6622287215211689</v>
          </cell>
          <cell r="F264">
            <v>0.4819569618750838</v>
          </cell>
          <cell r="G264">
            <v>14.618458635750434</v>
          </cell>
          <cell r="H264">
            <v>7.6937118380227556</v>
          </cell>
          <cell r="I264">
            <v>6.9247467977276784</v>
          </cell>
          <cell r="J264">
            <v>0</v>
          </cell>
          <cell r="K264">
            <v>3.900796701648173</v>
          </cell>
          <cell r="M264">
            <v>1.2056885451362442</v>
          </cell>
          <cell r="N264">
            <v>0.56123444503669762</v>
          </cell>
          <cell r="O264">
            <v>2.695108156511929</v>
          </cell>
          <cell r="P264">
            <v>1.2545425073794041</v>
          </cell>
          <cell r="Q264">
            <v>0.14995287942583252</v>
          </cell>
          <cell r="R264">
            <v>6.9801377317308677E-2</v>
          </cell>
          <cell r="S264">
            <v>4.5482898652812906</v>
          </cell>
          <cell r="T264">
            <v>2.1171777311019637</v>
          </cell>
          <cell r="U264">
            <v>2.3937702634185563</v>
          </cell>
          <cell r="V264">
            <v>1.1142731103771495</v>
          </cell>
          <cell r="W264">
            <v>2.1545196018627339</v>
          </cell>
          <cell r="X264">
            <v>1.0029046207248142</v>
          </cell>
          <cell r="Y264">
            <v>0</v>
          </cell>
          <cell r="Z264">
            <v>0</v>
          </cell>
        </row>
        <row r="265">
          <cell r="C265">
            <v>1</v>
          </cell>
          <cell r="D265">
            <v>0.2</v>
          </cell>
          <cell r="E265">
            <v>0.8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1.5532172409282836</v>
          </cell>
          <cell r="M265">
            <v>0.3106434481856567</v>
          </cell>
          <cell r="N265">
            <v>0.21921775061405427</v>
          </cell>
          <cell r="O265">
            <v>1.2425737927426268</v>
          </cell>
          <cell r="P265">
            <v>0.87687100245621707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</row>
        <row r="266">
          <cell r="C266">
            <v>17.8</v>
          </cell>
          <cell r="D266">
            <v>7.7</v>
          </cell>
          <cell r="E266">
            <v>10.100000000000001</v>
          </cell>
          <cell r="F266">
            <v>0</v>
          </cell>
          <cell r="G266">
            <v>6.5</v>
          </cell>
          <cell r="H266">
            <v>0</v>
          </cell>
          <cell r="I266">
            <v>6.5</v>
          </cell>
          <cell r="J266">
            <v>0</v>
          </cell>
          <cell r="K266">
            <v>12.077296792300434</v>
          </cell>
          <cell r="M266">
            <v>5.224448612399625</v>
          </cell>
          <cell r="N266">
            <v>2.4847673878166159</v>
          </cell>
          <cell r="O266">
            <v>6.8528481799008087</v>
          </cell>
          <cell r="P266">
            <v>3.2592403398633536</v>
          </cell>
          <cell r="Q266">
            <v>0</v>
          </cell>
          <cell r="R266">
            <v>0</v>
          </cell>
          <cell r="S266">
            <v>4.410248828649034</v>
          </cell>
          <cell r="T266">
            <v>2.097530911793247</v>
          </cell>
          <cell r="U266">
            <v>0</v>
          </cell>
          <cell r="V266">
            <v>0</v>
          </cell>
          <cell r="W266">
            <v>4.410248828649034</v>
          </cell>
          <cell r="X266">
            <v>2.097530911793247</v>
          </cell>
          <cell r="Y266">
            <v>0</v>
          </cell>
          <cell r="Z266">
            <v>0</v>
          </cell>
        </row>
        <row r="267">
          <cell r="C267">
            <v>38.516359409090974</v>
          </cell>
          <cell r="D267">
            <v>3.7695771192652283</v>
          </cell>
          <cell r="E267">
            <v>34.746782289825745</v>
          </cell>
          <cell r="F267">
            <v>0</v>
          </cell>
          <cell r="G267">
            <v>28.720587575354124</v>
          </cell>
          <cell r="H267">
            <v>9.7444850702094339</v>
          </cell>
          <cell r="I267">
            <v>18.976102505144688</v>
          </cell>
          <cell r="J267">
            <v>0</v>
          </cell>
          <cell r="K267">
            <v>6.7394836974641494</v>
          </cell>
          <cell r="M267">
            <v>0.65958994908603863</v>
          </cell>
          <cell r="N267">
            <v>0.3101453177684127</v>
          </cell>
          <cell r="O267">
            <v>6.0798937483781108</v>
          </cell>
          <cell r="P267">
            <v>2.8588224869129202</v>
          </cell>
          <cell r="Q267">
            <v>0</v>
          </cell>
          <cell r="R267">
            <v>0</v>
          </cell>
          <cell r="S267">
            <v>5.0254472311317233</v>
          </cell>
          <cell r="T267">
            <v>2.3630119449021922</v>
          </cell>
          <cell r="U267">
            <v>1.7050624534196916</v>
          </cell>
          <cell r="V267">
            <v>0.8017361955918153</v>
          </cell>
          <cell r="W267">
            <v>3.3203847777120314</v>
          </cell>
          <cell r="X267">
            <v>1.561275749310377</v>
          </cell>
          <cell r="Y267">
            <v>0</v>
          </cell>
          <cell r="Z267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DD08-82B4-4C4B-BA2F-D060511341EC}">
  <dimension ref="A1:AV267"/>
  <sheetViews>
    <sheetView tabSelected="1" zoomScale="84" zoomScaleNormal="100" workbookViewId="0">
      <pane xSplit="1" topLeftCell="AJ1" activePane="topRight" state="frozen"/>
      <selection pane="topRight" activeCell="AF1" sqref="AF1:AQ2"/>
    </sheetView>
  </sheetViews>
  <sheetFormatPr baseColWidth="10" defaultRowHeight="14.5" x14ac:dyDescent="0.35"/>
  <cols>
    <col min="1" max="1" width="15.26953125" style="15" customWidth="1"/>
    <col min="2" max="3" width="10.90625" style="15"/>
    <col min="4" max="4" width="16" style="15" customWidth="1"/>
    <col min="5" max="5" width="14.6328125" style="15" customWidth="1"/>
    <col min="6" max="6" width="12" style="15" customWidth="1"/>
    <col min="7" max="7" width="11.6328125" style="15" customWidth="1"/>
    <col min="8" max="8" width="13.6328125" style="15" bestFit="1" customWidth="1"/>
    <col min="9" max="10" width="11" style="15" bestFit="1" customWidth="1"/>
    <col min="11" max="12" width="11.26953125" style="15" customWidth="1"/>
    <col min="13" max="17" width="10.90625" style="15"/>
    <col min="18" max="18" width="11.6328125" style="15" customWidth="1"/>
    <col min="19" max="21" width="14.1796875" style="15" customWidth="1"/>
    <col min="22" max="29" width="10.90625" style="15"/>
    <col min="30" max="30" width="39.6328125" style="15" customWidth="1"/>
    <col min="31" max="31" width="30.1796875" style="15" customWidth="1"/>
    <col min="32" max="32" width="32.6328125" style="15" customWidth="1"/>
    <col min="33" max="35" width="19.26953125" style="15" customWidth="1"/>
    <col min="36" max="36" width="25.7265625" style="15" customWidth="1"/>
    <col min="37" max="40" width="35.54296875" style="15" customWidth="1"/>
    <col min="41" max="41" width="19.1796875" style="15" customWidth="1"/>
    <col min="42" max="42" width="16.36328125" style="15" customWidth="1"/>
    <col min="43" max="43" width="27.26953125" style="15" customWidth="1"/>
    <col min="44" max="16384" width="10.90625" style="15"/>
  </cols>
  <sheetData>
    <row r="1" spans="1:48" s="10" customFormat="1" ht="61.5" customHeight="1" x14ac:dyDescent="0.35">
      <c r="A1" s="3" t="s">
        <v>0</v>
      </c>
      <c r="B1" s="3" t="s">
        <v>1</v>
      </c>
      <c r="C1" s="3" t="s">
        <v>2</v>
      </c>
      <c r="D1" s="4" t="s">
        <v>83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4" t="s">
        <v>91</v>
      </c>
      <c r="N1" s="4" t="s">
        <v>11</v>
      </c>
      <c r="O1" s="4" t="s">
        <v>93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7" t="s">
        <v>25</v>
      </c>
      <c r="AD1" s="8" t="s">
        <v>27</v>
      </c>
      <c r="AE1" s="9" t="s">
        <v>26</v>
      </c>
      <c r="AF1" s="1" t="s">
        <v>85</v>
      </c>
      <c r="AG1" s="1" t="s">
        <v>75</v>
      </c>
      <c r="AH1" s="2" t="s">
        <v>79</v>
      </c>
      <c r="AI1" s="1" t="s">
        <v>92</v>
      </c>
      <c r="AJ1" s="2" t="s">
        <v>84</v>
      </c>
      <c r="AK1" s="2" t="s">
        <v>87</v>
      </c>
      <c r="AL1" s="2" t="s">
        <v>80</v>
      </c>
      <c r="AM1" s="2" t="s">
        <v>88</v>
      </c>
      <c r="AN1" s="2" t="s">
        <v>89</v>
      </c>
      <c r="AO1" s="2" t="s">
        <v>81</v>
      </c>
      <c r="AP1" s="2" t="s">
        <v>82</v>
      </c>
      <c r="AQ1" s="2" t="s">
        <v>90</v>
      </c>
    </row>
    <row r="2" spans="1:48" x14ac:dyDescent="0.35">
      <c r="A2" s="11" t="s">
        <v>28</v>
      </c>
      <c r="B2" s="11" t="s">
        <v>66</v>
      </c>
      <c r="C2" s="28">
        <f>E2+F2+G2</f>
        <v>110.0051</v>
      </c>
      <c r="D2" s="12">
        <f>E2+F2</f>
        <v>110.0051</v>
      </c>
      <c r="E2" s="13">
        <v>2.1168</v>
      </c>
      <c r="F2" s="13">
        <v>107.8883</v>
      </c>
      <c r="G2" s="13">
        <v>0</v>
      </c>
      <c r="H2" s="13">
        <f>I2+J2</f>
        <v>24.0029</v>
      </c>
      <c r="I2" s="13">
        <v>10.3255</v>
      </c>
      <c r="J2" s="13">
        <v>13.6774</v>
      </c>
      <c r="K2" s="13">
        <v>0</v>
      </c>
      <c r="L2" s="13">
        <f>P2+R2+T2</f>
        <v>7.3593163001337505</v>
      </c>
      <c r="M2" s="13">
        <f>P2+R2</f>
        <v>7.3593163001337505</v>
      </c>
      <c r="N2" s="13">
        <f>Q2+S2+T2</f>
        <v>8.9689107490462359</v>
      </c>
      <c r="O2" s="13">
        <f>Q2+S2</f>
        <v>8.9689107490462359</v>
      </c>
      <c r="P2" s="13">
        <f>($E2/$AE2)*100</f>
        <v>0.14161344105067059</v>
      </c>
      <c r="Q2" s="13">
        <f>($E2/$AD2)*100</f>
        <v>0.1725864552969005</v>
      </c>
      <c r="R2" s="13">
        <f>($F2/$AE2)*100</f>
        <v>7.2177028590830803</v>
      </c>
      <c r="S2" s="13">
        <f>($F2/$AD2)*100</f>
        <v>8.7963242937493362</v>
      </c>
      <c r="T2" s="13">
        <f>($G2/$AE2)*100</f>
        <v>0</v>
      </c>
      <c r="U2" s="13">
        <f>($G2/$AD2)*100</f>
        <v>0</v>
      </c>
      <c r="V2" s="13">
        <f>X2+Z2</f>
        <v>1.6057885790793376</v>
      </c>
      <c r="W2" s="13">
        <f>Y2+AA2</f>
        <v>1.9569989738501388</v>
      </c>
      <c r="X2" s="13">
        <f>($I2/$AE2)*100</f>
        <v>0.690773613741827</v>
      </c>
      <c r="Y2" s="13">
        <f>($I2/AD2)*100</f>
        <v>0.84185631338253319</v>
      </c>
      <c r="Z2" s="13">
        <f>($J2/$AE2)*100</f>
        <v>0.91501496533751059</v>
      </c>
      <c r="AA2" s="13">
        <f>($J2/$AD2)*100</f>
        <v>1.1151426604676056</v>
      </c>
      <c r="AB2" s="13">
        <f>($K2/$AE2)*100</f>
        <v>0</v>
      </c>
      <c r="AC2" s="13">
        <f>($K2/$AD2)*100</f>
        <v>0</v>
      </c>
      <c r="AD2" s="14">
        <v>1226.51571721458</v>
      </c>
      <c r="AE2" s="15">
        <v>1494.77336635199</v>
      </c>
      <c r="AF2">
        <f>D2/(D2+H2)</f>
        <v>0.82088457405528026</v>
      </c>
      <c r="AG2">
        <f>(F2/(D2+H2))</f>
        <v>0.80508850217897432</v>
      </c>
      <c r="AH2">
        <f>(E2/(D2+H2))</f>
        <v>1.5796071876305891E-2</v>
      </c>
      <c r="AI2">
        <f>(G2/(D2+H2))</f>
        <v>0</v>
      </c>
      <c r="AJ2">
        <f>(F2/(D2))</f>
        <v>0.98075725579995843</v>
      </c>
      <c r="AK2">
        <f>E2/D2</f>
        <v>1.9242744200041635E-2</v>
      </c>
      <c r="AL2">
        <f>(H2/(C2+H2))</f>
        <v>0.17911542594471971</v>
      </c>
      <c r="AM2">
        <f>(I2/(D2+H2))</f>
        <v>7.7051370067458658E-2</v>
      </c>
      <c r="AN2">
        <f>(J2/(D2+H2))</f>
        <v>0.10206405587726106</v>
      </c>
      <c r="AO2">
        <f>(I2/H2)</f>
        <v>0.43017718692324675</v>
      </c>
      <c r="AP2">
        <f>J2/H2</f>
        <v>0.5698228130767532</v>
      </c>
      <c r="AQ2">
        <f>(D2+H2)/AD2</f>
        <v>0.10925909722896375</v>
      </c>
    </row>
    <row r="3" spans="1:48" x14ac:dyDescent="0.35">
      <c r="A3" s="11" t="s">
        <v>29</v>
      </c>
      <c r="B3" s="11" t="s">
        <v>66</v>
      </c>
      <c r="C3" s="28">
        <f t="shared" ref="C3:C66" si="0">E3+F3+G3</f>
        <v>144.75</v>
      </c>
      <c r="D3" s="12">
        <f t="shared" ref="D3:D39" si="1">E3+F3</f>
        <v>81</v>
      </c>
      <c r="E3" s="13">
        <v>2.4</v>
      </c>
      <c r="F3" s="13">
        <v>78.599999999999994</v>
      </c>
      <c r="G3" s="13">
        <v>63.75</v>
      </c>
      <c r="H3" s="13">
        <f t="shared" ref="H3:H39" si="2">I3+J3</f>
        <v>51.7</v>
      </c>
      <c r="I3" s="13">
        <v>3.7</v>
      </c>
      <c r="J3" s="13">
        <v>48</v>
      </c>
      <c r="K3" s="13">
        <v>0</v>
      </c>
      <c r="L3" s="13">
        <f t="shared" ref="L3:L66" si="3">P3+R3+T3</f>
        <v>8.5317438253232964</v>
      </c>
      <c r="M3" s="13">
        <f t="shared" ref="M3:N39" si="4">P3+R3</f>
        <v>4.7742400680565593</v>
      </c>
      <c r="N3" s="13">
        <f t="shared" ref="N3:N66" si="5">Q3+S3+T3</f>
        <v>8.4572749671739018</v>
      </c>
      <c r="O3" s="13">
        <f t="shared" ref="O3:O66" si="6">Q3+S3</f>
        <v>4.6997712099071647</v>
      </c>
      <c r="P3" s="13">
        <f>($E3/$AE3)*100</f>
        <v>0.14145896497945359</v>
      </c>
      <c r="Q3" s="13">
        <f>($E3/$AD3)*100</f>
        <v>0.13925248029354564</v>
      </c>
      <c r="R3" s="13">
        <f>($F3/$AE3)*100</f>
        <v>4.6327811030771056</v>
      </c>
      <c r="S3" s="13">
        <f>($F3/$AD3)*100</f>
        <v>4.5605187296136194</v>
      </c>
      <c r="T3" s="13">
        <f>($G3/$AE3)*100</f>
        <v>3.7575037572667362</v>
      </c>
      <c r="U3" s="13">
        <f>($G3/$AD3)*100</f>
        <v>3.6988940077973065</v>
      </c>
      <c r="V3" s="13">
        <f t="shared" ref="V3:W39" si="7">X3+Z3</f>
        <v>3.0472618705990637</v>
      </c>
      <c r="W3" s="13">
        <f t="shared" si="7"/>
        <v>2.999730512990129</v>
      </c>
      <c r="X3" s="13">
        <f>($I3/$AE3)*100</f>
        <v>0.21808257100999098</v>
      </c>
      <c r="Y3" s="13">
        <f>($I3/AD3)*100</f>
        <v>0.21468090711921622</v>
      </c>
      <c r="Z3" s="13">
        <f>($J3/$AE3)*100</f>
        <v>2.8291792995890725</v>
      </c>
      <c r="AA3" s="13">
        <f>($J3/$AD3)*100</f>
        <v>2.7850496058709129</v>
      </c>
      <c r="AB3" s="13">
        <f>($K3/$AE3)*100</f>
        <v>0</v>
      </c>
      <c r="AC3" s="13">
        <f>($K3/$AD3)*100</f>
        <v>0</v>
      </c>
      <c r="AD3" s="14">
        <v>1723.48815255626</v>
      </c>
      <c r="AE3" s="15">
        <v>1696.60508992738</v>
      </c>
      <c r="AF3">
        <f>D3/(D3+H3)</f>
        <v>0.6103993971363979</v>
      </c>
      <c r="AG3">
        <f>(F3/(D3+H3))</f>
        <v>0.59231348907309722</v>
      </c>
      <c r="AH3">
        <f>(E3/(D3+H3))</f>
        <v>1.8085908063300678E-2</v>
      </c>
      <c r="AI3">
        <f>(G3/(D3+H3))</f>
        <v>0.48040693293142428</v>
      </c>
      <c r="AJ3">
        <f>(F3/(D3))</f>
        <v>0.97037037037037033</v>
      </c>
      <c r="AK3">
        <f>E3/D3</f>
        <v>2.9629629629629627E-2</v>
      </c>
      <c r="AL3">
        <f>(H3/(C3+H3))</f>
        <v>0.26317129040468318</v>
      </c>
      <c r="AM3">
        <f>(I3/(D3+H3))</f>
        <v>2.7882441597588549E-2</v>
      </c>
      <c r="AN3">
        <f>(J3/(D3+H3))</f>
        <v>0.36171816126601358</v>
      </c>
      <c r="AO3">
        <f>(I3/H3)</f>
        <v>7.1566731141199227E-2</v>
      </c>
      <c r="AP3">
        <f>J3/H3</f>
        <v>0.92843326885880073</v>
      </c>
      <c r="AQ3">
        <f>(D3+H3)/AD3</f>
        <v>7.6995017228972937E-2</v>
      </c>
      <c r="AV3" s="15" t="s">
        <v>86</v>
      </c>
    </row>
    <row r="4" spans="1:48" x14ac:dyDescent="0.35">
      <c r="A4" s="11" t="s">
        <v>30</v>
      </c>
      <c r="B4" s="11" t="s">
        <v>66</v>
      </c>
      <c r="C4" s="28">
        <f t="shared" si="0"/>
        <v>65</v>
      </c>
      <c r="D4" s="12">
        <f t="shared" si="1"/>
        <v>16.5</v>
      </c>
      <c r="E4" s="16">
        <v>5.5</v>
      </c>
      <c r="F4" s="16">
        <v>11</v>
      </c>
      <c r="G4" s="16">
        <v>48.5</v>
      </c>
      <c r="H4" s="13">
        <f t="shared" si="2"/>
        <v>348</v>
      </c>
      <c r="I4" s="16">
        <v>0</v>
      </c>
      <c r="J4" s="16">
        <v>348</v>
      </c>
      <c r="K4" s="13">
        <v>0</v>
      </c>
      <c r="L4" s="13">
        <f t="shared" si="3"/>
        <v>2.4839380106429396</v>
      </c>
      <c r="M4" s="13">
        <f t="shared" si="4"/>
        <v>0.630538110393977</v>
      </c>
      <c r="N4" s="13">
        <f t="shared" si="5"/>
        <v>2.4209777386417271</v>
      </c>
      <c r="O4" s="13">
        <f t="shared" si="6"/>
        <v>0.56757783839276432</v>
      </c>
      <c r="P4" s="13">
        <f>($E4/$AE4)*100</f>
        <v>0.21017937013132568</v>
      </c>
      <c r="Q4" s="13">
        <f>($E4/$AD4)*100</f>
        <v>0.18919261279758812</v>
      </c>
      <c r="R4" s="13">
        <f>($F4/$AE4)*100</f>
        <v>0.42035874026265135</v>
      </c>
      <c r="S4" s="13">
        <f>($F4/$AD4)*100</f>
        <v>0.37838522559517623</v>
      </c>
      <c r="T4" s="13">
        <f>($G4/$AE4)*100</f>
        <v>1.8533999002489625</v>
      </c>
      <c r="U4" s="13">
        <f>($G4/$AD4)*100</f>
        <v>1.6683348583060043</v>
      </c>
      <c r="V4" s="13">
        <f t="shared" si="7"/>
        <v>13.298621964672968</v>
      </c>
      <c r="W4" s="13">
        <f t="shared" si="7"/>
        <v>11.970732591556484</v>
      </c>
      <c r="X4" s="13">
        <f>($I4/$AE4)*100</f>
        <v>0</v>
      </c>
      <c r="Y4" s="13">
        <f>($I4/AD4)*100</f>
        <v>0</v>
      </c>
      <c r="Z4" s="13">
        <f>($J4/$AE4)*100</f>
        <v>13.298621964672968</v>
      </c>
      <c r="AA4" s="13">
        <f>($J4/$AD4)*100</f>
        <v>11.970732591556484</v>
      </c>
      <c r="AB4" s="13">
        <f>($K4/$AE4)*100</f>
        <v>0</v>
      </c>
      <c r="AC4" s="13">
        <f>($K4/$AD4)*100</f>
        <v>0</v>
      </c>
      <c r="AD4" s="14">
        <v>2907.0902498102801</v>
      </c>
      <c r="AE4" s="15">
        <v>2616.8124857180101</v>
      </c>
      <c r="AF4">
        <f>D4/(D4+H4)</f>
        <v>4.5267489711934158E-2</v>
      </c>
      <c r="AG4">
        <f>(F4/(D4+H4))</f>
        <v>3.017832647462277E-2</v>
      </c>
      <c r="AH4">
        <f>(E4/(D4+H4))</f>
        <v>1.5089163237311385E-2</v>
      </c>
      <c r="AI4">
        <f>(G4/(D4+H4))</f>
        <v>0.13305898491083676</v>
      </c>
      <c r="AJ4">
        <f>(F4/(D4))</f>
        <v>0.66666666666666663</v>
      </c>
      <c r="AK4">
        <f>E4/D4</f>
        <v>0.33333333333333331</v>
      </c>
      <c r="AL4">
        <f>(H4/(C4+H4))</f>
        <v>0.84261501210653755</v>
      </c>
      <c r="AM4">
        <f>(I4/(D4+H4))</f>
        <v>0</v>
      </c>
      <c r="AN4">
        <f>(J4/(D4+H4))</f>
        <v>0.95473251028806583</v>
      </c>
      <c r="AO4">
        <f>(I4/H4)</f>
        <v>0</v>
      </c>
      <c r="AP4">
        <f>J4/H4</f>
        <v>1</v>
      </c>
      <c r="AQ4">
        <f>(D4+H4)/AD4</f>
        <v>0.12538310429949248</v>
      </c>
    </row>
    <row r="5" spans="1:48" x14ac:dyDescent="0.35">
      <c r="A5" s="11" t="s">
        <v>31</v>
      </c>
      <c r="B5" s="11" t="s">
        <v>66</v>
      </c>
      <c r="C5" s="28">
        <f t="shared" si="0"/>
        <v>143</v>
      </c>
      <c r="D5" s="12">
        <f t="shared" si="1"/>
        <v>143</v>
      </c>
      <c r="E5" s="13">
        <v>11.2</v>
      </c>
      <c r="F5" s="13">
        <v>131.80000000000001</v>
      </c>
      <c r="G5" s="13">
        <v>0</v>
      </c>
      <c r="H5" s="13">
        <f t="shared" si="2"/>
        <v>1072</v>
      </c>
      <c r="I5" s="13">
        <v>223</v>
      </c>
      <c r="J5" s="13">
        <v>849</v>
      </c>
      <c r="K5" s="13">
        <v>0</v>
      </c>
      <c r="L5" s="13">
        <f t="shared" si="3"/>
        <v>3.9751844662002656</v>
      </c>
      <c r="M5" s="13">
        <f t="shared" si="4"/>
        <v>3.9751844662002656</v>
      </c>
      <c r="N5" s="13">
        <f t="shared" si="5"/>
        <v>3.4360258824878329</v>
      </c>
      <c r="O5" s="13">
        <f t="shared" si="6"/>
        <v>3.4360258824878329</v>
      </c>
      <c r="P5" s="13">
        <f>($E5/$AE5)*100</f>
        <v>0.3113431190310697</v>
      </c>
      <c r="Q5" s="13">
        <f>($E5/$AD5)*100</f>
        <v>0.26911531387317289</v>
      </c>
      <c r="R5" s="13">
        <f>($F5/$AE5)*100</f>
        <v>3.6638413471691957</v>
      </c>
      <c r="S5" s="13">
        <f>($F5/$AD5)*100</f>
        <v>3.1669105686146599</v>
      </c>
      <c r="T5" s="13">
        <f>($G5/$AE5)*100</f>
        <v>0</v>
      </c>
      <c r="U5" s="13">
        <f>($G5/$AD5)*100</f>
        <v>0</v>
      </c>
      <c r="V5" s="13">
        <f t="shared" si="7"/>
        <v>29.799984250116676</v>
      </c>
      <c r="W5" s="13">
        <f t="shared" si="7"/>
        <v>25.758180042146549</v>
      </c>
      <c r="X5" s="13">
        <f>($I5/$AE5)*100</f>
        <v>6.1990638878507633</v>
      </c>
      <c r="Y5" s="13">
        <f>($I5/AD5)*100</f>
        <v>5.3582781244390683</v>
      </c>
      <c r="Z5" s="13">
        <f>($J5/$AE5)*100</f>
        <v>23.600920362265914</v>
      </c>
      <c r="AA5" s="13">
        <f>($J5/$AD5)*100</f>
        <v>20.399901917707481</v>
      </c>
      <c r="AB5" s="13">
        <f>($K5/$AE5)*100</f>
        <v>0</v>
      </c>
      <c r="AC5" s="13">
        <f>($K5/$AD5)*100</f>
        <v>0</v>
      </c>
      <c r="AD5" s="14">
        <v>4161.7847155581303</v>
      </c>
      <c r="AE5" s="15">
        <v>3597.3173374942398</v>
      </c>
      <c r="AF5">
        <f>D5/(D5+H5)</f>
        <v>0.1176954732510288</v>
      </c>
      <c r="AG5">
        <f>(F5/(D5+H5))</f>
        <v>0.10847736625514404</v>
      </c>
      <c r="AH5">
        <f>(E5/(D5+H5))</f>
        <v>9.2181069958847724E-3</v>
      </c>
      <c r="AI5">
        <f>(G5/(D5+H5))</f>
        <v>0</v>
      </c>
      <c r="AJ5">
        <f>(F5/(D5))</f>
        <v>0.92167832167832175</v>
      </c>
      <c r="AK5">
        <f>E5/D5</f>
        <v>7.8321678321678315E-2</v>
      </c>
      <c r="AL5">
        <f>(H5/(C5+H5))</f>
        <v>0.8823045267489712</v>
      </c>
      <c r="AM5">
        <f>(I5/(D5+H5))</f>
        <v>0.18353909465020576</v>
      </c>
      <c r="AN5">
        <f>(J5/(D5+H5))</f>
        <v>0.6987654320987654</v>
      </c>
      <c r="AO5">
        <f>(I5/H5)</f>
        <v>0.2080223880597015</v>
      </c>
      <c r="AP5">
        <f>J5/H5</f>
        <v>0.79197761194029848</v>
      </c>
      <c r="AQ5">
        <f>(D5+H5)/AD5</f>
        <v>0.29194205924634387</v>
      </c>
    </row>
    <row r="6" spans="1:48" x14ac:dyDescent="0.35">
      <c r="A6" s="11" t="s">
        <v>32</v>
      </c>
      <c r="B6" s="11" t="s">
        <v>66</v>
      </c>
      <c r="C6" s="28">
        <f t="shared" si="0"/>
        <v>22</v>
      </c>
      <c r="D6" s="12">
        <f t="shared" si="1"/>
        <v>22</v>
      </c>
      <c r="E6" s="13">
        <v>3.63</v>
      </c>
      <c r="F6" s="13">
        <v>18.37</v>
      </c>
      <c r="G6" s="13">
        <v>0</v>
      </c>
      <c r="H6" s="13">
        <f t="shared" si="2"/>
        <v>591</v>
      </c>
      <c r="I6" s="13">
        <v>0</v>
      </c>
      <c r="J6" s="13">
        <v>591</v>
      </c>
      <c r="K6" s="13">
        <v>0</v>
      </c>
      <c r="L6" s="13">
        <f t="shared" si="3"/>
        <v>1.1469339016069102</v>
      </c>
      <c r="M6" s="13">
        <f t="shared" si="4"/>
        <v>1.1469339016069102</v>
      </c>
      <c r="N6" s="13">
        <f t="shared" si="5"/>
        <v>0.94111212635674024</v>
      </c>
      <c r="O6" s="13">
        <f t="shared" si="6"/>
        <v>0.94111212635674024</v>
      </c>
      <c r="P6" s="13">
        <f>($E6/$AE6)*100</f>
        <v>0.18924409376514018</v>
      </c>
      <c r="Q6" s="13">
        <f>($E6/$AD6)*100</f>
        <v>0.15528350084886214</v>
      </c>
      <c r="R6" s="13">
        <f>($F6/$AE6)*100</f>
        <v>0.95768980784176994</v>
      </c>
      <c r="S6" s="13">
        <f>($F6/$AD6)*100</f>
        <v>0.78582862550787813</v>
      </c>
      <c r="T6" s="13">
        <f>($G6/$AE6)*100</f>
        <v>0</v>
      </c>
      <c r="U6" s="13">
        <f>($G6/$AD6)*100</f>
        <v>0</v>
      </c>
      <c r="V6" s="13">
        <f t="shared" si="7"/>
        <v>30.810815265894721</v>
      </c>
      <c r="W6" s="13">
        <f t="shared" si="7"/>
        <v>25.281693939856066</v>
      </c>
      <c r="X6" s="13">
        <f>($I6/$AE6)*100</f>
        <v>0</v>
      </c>
      <c r="Y6" s="13">
        <f>($I6/AD6)*100</f>
        <v>0</v>
      </c>
      <c r="Z6" s="13">
        <f>($J6/$AE6)*100</f>
        <v>30.810815265894721</v>
      </c>
      <c r="AA6" s="13">
        <f>($J6/$AD6)*100</f>
        <v>25.281693939856066</v>
      </c>
      <c r="AB6" s="13">
        <f>($K6/$AE6)*100</f>
        <v>0</v>
      </c>
      <c r="AC6" s="13">
        <f>($K6/$AD6)*100</f>
        <v>0</v>
      </c>
      <c r="AD6" s="14">
        <v>2337.6598158571201</v>
      </c>
      <c r="AE6" s="15">
        <v>1918.15761738117</v>
      </c>
      <c r="AF6">
        <f>D6/(D6+H6)</f>
        <v>3.588907014681892E-2</v>
      </c>
      <c r="AG6">
        <f>(F6/(D6+H6))</f>
        <v>2.9967373572593804E-2</v>
      </c>
      <c r="AH6">
        <f>(E6/(D6+H6))</f>
        <v>5.921696574225122E-3</v>
      </c>
      <c r="AI6">
        <f>(G6/(D6+H6))</f>
        <v>0</v>
      </c>
      <c r="AJ6">
        <f>(F6/(D6))</f>
        <v>0.83500000000000008</v>
      </c>
      <c r="AK6">
        <f>E6/D6</f>
        <v>0.16500000000000001</v>
      </c>
      <c r="AL6">
        <f>(H6/(C6+H6))</f>
        <v>0.96411092985318103</v>
      </c>
      <c r="AM6">
        <f>(I6/(D6+H6))</f>
        <v>0</v>
      </c>
      <c r="AN6">
        <f>(J6/(D6+H6))</f>
        <v>0.96411092985318103</v>
      </c>
      <c r="AO6">
        <f>(I6/H6)</f>
        <v>0</v>
      </c>
      <c r="AP6">
        <f>J6/H6</f>
        <v>1</v>
      </c>
      <c r="AQ6">
        <f>(D6+H6)/AD6</f>
        <v>0.26222806066212806</v>
      </c>
    </row>
    <row r="7" spans="1:48" x14ac:dyDescent="0.35">
      <c r="A7" s="11" t="s">
        <v>33</v>
      </c>
      <c r="B7" s="11" t="s">
        <v>66</v>
      </c>
      <c r="C7" s="28">
        <f t="shared" si="0"/>
        <v>497</v>
      </c>
      <c r="D7" s="12">
        <f t="shared" si="1"/>
        <v>497</v>
      </c>
      <c r="E7" s="13">
        <v>12.1906</v>
      </c>
      <c r="F7" s="13">
        <v>484.80939999999998</v>
      </c>
      <c r="G7" s="13">
        <v>0</v>
      </c>
      <c r="H7" s="13">
        <f t="shared" si="2"/>
        <v>19</v>
      </c>
      <c r="I7" s="13">
        <v>0</v>
      </c>
      <c r="J7" s="13">
        <v>19</v>
      </c>
      <c r="K7" s="13">
        <v>0</v>
      </c>
      <c r="L7" s="13">
        <f t="shared" si="3"/>
        <v>10.88877715515526</v>
      </c>
      <c r="M7" s="13">
        <f t="shared" si="4"/>
        <v>10.88877715515526</v>
      </c>
      <c r="N7" s="13">
        <f t="shared" si="5"/>
        <v>9.3335923458114554</v>
      </c>
      <c r="O7" s="13">
        <f t="shared" si="6"/>
        <v>9.3335923458114554</v>
      </c>
      <c r="P7" s="13">
        <f>($E7/$AE7)*100</f>
        <v>0.26708395731918655</v>
      </c>
      <c r="Q7" s="13">
        <f>($E7/$AD7)*100</f>
        <v>0.22893780855301635</v>
      </c>
      <c r="R7" s="13">
        <f>($F7/$AE7)*100</f>
        <v>10.621693197836073</v>
      </c>
      <c r="S7" s="13">
        <f>($F7/$AD7)*100</f>
        <v>9.1046545372584387</v>
      </c>
      <c r="T7" s="13">
        <f>($G7/$AE7)*100</f>
        <v>0</v>
      </c>
      <c r="U7" s="13">
        <f>($G7/$AD7)*100</f>
        <v>0</v>
      </c>
      <c r="V7" s="13">
        <f t="shared" si="7"/>
        <v>0.41627115884899385</v>
      </c>
      <c r="W7" s="13">
        <f t="shared" si="7"/>
        <v>0.35681741362257074</v>
      </c>
      <c r="X7" s="13">
        <f>($I7/$AE7)*100</f>
        <v>0</v>
      </c>
      <c r="Y7" s="13">
        <f>($I7/AD7)*100</f>
        <v>0</v>
      </c>
      <c r="Z7" s="13">
        <f>($J7/$AE7)*100</f>
        <v>0.41627115884899385</v>
      </c>
      <c r="AA7" s="13">
        <f>($J7/$AD7)*100</f>
        <v>0.35681741362257074</v>
      </c>
      <c r="AB7" s="13">
        <f>($K7/$AE7)*100</f>
        <v>0</v>
      </c>
      <c r="AC7" s="13">
        <f>($K7/$AD7)*100</f>
        <v>0</v>
      </c>
      <c r="AD7" s="14">
        <v>5324.8522282316499</v>
      </c>
      <c r="AE7" s="15">
        <v>4564.3325500944502</v>
      </c>
      <c r="AF7">
        <f>D7/(D7+H7)</f>
        <v>0.96317829457364346</v>
      </c>
      <c r="AG7">
        <f>(F7/(D7+H7))</f>
        <v>0.93955310077519372</v>
      </c>
      <c r="AH7">
        <f>(E7/(D7+H7))</f>
        <v>2.3625193798449611E-2</v>
      </c>
      <c r="AI7">
        <f>(G7/(D7+H7))</f>
        <v>0</v>
      </c>
      <c r="AJ7">
        <f>(F7/(D7))</f>
        <v>0.97547162977867197</v>
      </c>
      <c r="AK7">
        <f>E7/D7</f>
        <v>2.4528370221327967E-2</v>
      </c>
      <c r="AL7">
        <f>(H7/(C7+H7))</f>
        <v>3.6821705426356592E-2</v>
      </c>
      <c r="AM7">
        <f>(I7/(D7+H7))</f>
        <v>0</v>
      </c>
      <c r="AN7">
        <f>(J7/(D7+H7))</f>
        <v>3.6821705426356592E-2</v>
      </c>
      <c r="AO7">
        <f>(I7/H7)</f>
        <v>0</v>
      </c>
      <c r="AP7">
        <f>J7/H7</f>
        <v>1</v>
      </c>
      <c r="AQ7">
        <f>(D7+H7)/AD7</f>
        <v>9.6904097594340266E-2</v>
      </c>
    </row>
    <row r="8" spans="1:48" x14ac:dyDescent="0.35">
      <c r="A8" s="11" t="s">
        <v>34</v>
      </c>
      <c r="B8" s="11" t="s">
        <v>66</v>
      </c>
      <c r="C8" s="28">
        <f t="shared" si="0"/>
        <v>38</v>
      </c>
      <c r="D8" s="12">
        <f t="shared" si="1"/>
        <v>24</v>
      </c>
      <c r="E8" s="13">
        <v>2.5</v>
      </c>
      <c r="F8" s="13">
        <v>21.5</v>
      </c>
      <c r="G8" s="13">
        <v>14</v>
      </c>
      <c r="H8" s="13">
        <f t="shared" si="2"/>
        <v>215</v>
      </c>
      <c r="I8" s="13">
        <v>101</v>
      </c>
      <c r="J8" s="13">
        <v>114</v>
      </c>
      <c r="K8" s="13">
        <v>0</v>
      </c>
      <c r="L8" s="13">
        <f t="shared" si="3"/>
        <v>2.3196941985885813</v>
      </c>
      <c r="M8" s="13">
        <f t="shared" si="4"/>
        <v>1.465070020161209</v>
      </c>
      <c r="N8" s="13">
        <f t="shared" si="5"/>
        <v>1.9675182017017896</v>
      </c>
      <c r="O8" s="13">
        <f t="shared" si="6"/>
        <v>1.1128940232744176</v>
      </c>
      <c r="P8" s="13">
        <f>($E8/$AE8)*100</f>
        <v>0.15261146043345927</v>
      </c>
      <c r="Q8" s="13">
        <f>($E8/$AD8)*100</f>
        <v>0.11592646075775184</v>
      </c>
      <c r="R8" s="13">
        <f>($F8/$AE8)*100</f>
        <v>1.3124585597277498</v>
      </c>
      <c r="S8" s="13">
        <f>($F8/$AD8)*100</f>
        <v>0.99696756251666574</v>
      </c>
      <c r="T8" s="13">
        <f>($G8/$AE8)*100</f>
        <v>0.85462417842737204</v>
      </c>
      <c r="U8" s="13">
        <f>($G8/$AD8)*100</f>
        <v>0.64918818024341018</v>
      </c>
      <c r="V8" s="13">
        <f t="shared" si="7"/>
        <v>13.124585597277498</v>
      </c>
      <c r="W8" s="13">
        <f t="shared" si="7"/>
        <v>9.9696756251666585</v>
      </c>
      <c r="X8" s="13">
        <f>($I8/$AE8)*100</f>
        <v>6.1655030015117545</v>
      </c>
      <c r="Y8" s="13">
        <f>($I8/AD8)*100</f>
        <v>4.6834290146131741</v>
      </c>
      <c r="Z8" s="13">
        <f>($J8/$AE8)*100</f>
        <v>6.9590825957657438</v>
      </c>
      <c r="AA8" s="13">
        <f>($J8/$AD8)*100</f>
        <v>5.2862466105534835</v>
      </c>
      <c r="AB8" s="13">
        <f>($K8/$AE8)*100</f>
        <v>0</v>
      </c>
      <c r="AC8" s="13">
        <f>($K8/$AD8)*100</f>
        <v>0</v>
      </c>
      <c r="AD8" s="14">
        <v>2156.5395714307001</v>
      </c>
      <c r="AE8" s="15">
        <v>1638.14696019506</v>
      </c>
      <c r="AF8">
        <f>D8/(D8+H8)</f>
        <v>0.100418410041841</v>
      </c>
      <c r="AG8">
        <f>(F8/(D8+H8))</f>
        <v>8.9958158995815898E-2</v>
      </c>
      <c r="AH8">
        <f>(E8/(D8+H8))</f>
        <v>1.0460251046025104E-2</v>
      </c>
      <c r="AI8">
        <f>(G8/(D8+H8))</f>
        <v>5.8577405857740586E-2</v>
      </c>
      <c r="AJ8">
        <f>(F8/(D8))</f>
        <v>0.89583333333333337</v>
      </c>
      <c r="AK8">
        <f>E8/D8</f>
        <v>0.10416666666666667</v>
      </c>
      <c r="AL8">
        <f>(H8/(C8+H8))</f>
        <v>0.84980237154150196</v>
      </c>
      <c r="AM8">
        <f>(I8/(D8+H8))</f>
        <v>0.42259414225941422</v>
      </c>
      <c r="AN8">
        <f>(J8/(D8+H8))</f>
        <v>0.47698744769874479</v>
      </c>
      <c r="AO8">
        <f>(I8/H8)</f>
        <v>0.4697674418604651</v>
      </c>
      <c r="AP8">
        <f>J8/H8</f>
        <v>0.53023255813953485</v>
      </c>
      <c r="AQ8">
        <f>(D8+H8)/AD8</f>
        <v>0.11082569648441075</v>
      </c>
    </row>
    <row r="9" spans="1:48" x14ac:dyDescent="0.35">
      <c r="A9" s="11" t="s">
        <v>35</v>
      </c>
      <c r="B9" s="11" t="s">
        <v>66</v>
      </c>
      <c r="C9" s="28">
        <f t="shared" si="0"/>
        <v>14.892900000000001</v>
      </c>
      <c r="D9" s="12">
        <f t="shared" si="1"/>
        <v>14.892900000000001</v>
      </c>
      <c r="E9" s="13">
        <v>4.1786000000000003</v>
      </c>
      <c r="F9" s="13">
        <v>10.7143</v>
      </c>
      <c r="G9" s="13">
        <v>0</v>
      </c>
      <c r="H9" s="13">
        <f t="shared" si="2"/>
        <v>175.61519999999999</v>
      </c>
      <c r="I9" s="13">
        <v>11</v>
      </c>
      <c r="J9" s="13">
        <v>164.61519999999999</v>
      </c>
      <c r="K9" s="13">
        <v>11.4316</v>
      </c>
      <c r="L9" s="13">
        <f t="shared" si="3"/>
        <v>1.1249106429758049</v>
      </c>
      <c r="M9" s="13">
        <f t="shared" si="4"/>
        <v>1.1249106429758049</v>
      </c>
      <c r="N9" s="13">
        <f t="shared" si="5"/>
        <v>0.82898248866192525</v>
      </c>
      <c r="O9" s="13">
        <f t="shared" si="6"/>
        <v>0.82898248866192525</v>
      </c>
      <c r="P9" s="13">
        <f>($E9/$AE9)*100</f>
        <v>0.31562366045153722</v>
      </c>
      <c r="Q9" s="13">
        <f>($E9/$AD9)*100</f>
        <v>0.23259313009035992</v>
      </c>
      <c r="R9" s="13">
        <f>($F9/$AE9)*100</f>
        <v>0.80928698252426767</v>
      </c>
      <c r="S9" s="13">
        <f>($F9/$AD9)*100</f>
        <v>0.59638935857156539</v>
      </c>
      <c r="T9" s="13">
        <f>($G9/$AE9)*100</f>
        <v>0</v>
      </c>
      <c r="U9" s="13">
        <f>($G9/$AD9)*100</f>
        <v>0</v>
      </c>
      <c r="V9" s="13">
        <f t="shared" si="7"/>
        <v>13.264804540977552</v>
      </c>
      <c r="W9" s="13">
        <f t="shared" si="7"/>
        <v>9.7752570381095509</v>
      </c>
      <c r="X9" s="13">
        <f>($I9/$AE9)*100</f>
        <v>0.83086686090243378</v>
      </c>
      <c r="Y9" s="13">
        <f>($I9/AD9)*100</f>
        <v>0.61229225841046264</v>
      </c>
      <c r="Z9" s="13">
        <f>($J9/$AE9)*100</f>
        <v>12.433937680075118</v>
      </c>
      <c r="AA9" s="13">
        <f>($J9/$AD9)*100</f>
        <v>9.1629647796990881</v>
      </c>
      <c r="AB9" s="13">
        <f>($K9/$AE9)*100</f>
        <v>0.86346705519020561</v>
      </c>
      <c r="AC9" s="13">
        <f>($K9/$AD9)*100</f>
        <v>0.63631638011318581</v>
      </c>
      <c r="AD9" s="14">
        <v>1796.5276955414199</v>
      </c>
      <c r="AE9" s="15">
        <v>1323.9184901480501</v>
      </c>
      <c r="AF9">
        <f>D9/(D9+H9)</f>
        <v>7.8174628795311077E-2</v>
      </c>
      <c r="AG9">
        <f>(F9/(D9+H9))</f>
        <v>5.624065328455851E-2</v>
      </c>
      <c r="AH9">
        <f>(E9/(D9+H9))</f>
        <v>2.1933975510752563E-2</v>
      </c>
      <c r="AI9">
        <f>(G9/(D9+H9))</f>
        <v>0</v>
      </c>
      <c r="AJ9">
        <f>(F9/(D9))</f>
        <v>0.71942334938124874</v>
      </c>
      <c r="AK9">
        <f>E9/D9</f>
        <v>0.2805766506187512</v>
      </c>
      <c r="AL9">
        <f>(H9/(C9+H9))</f>
        <v>0.92182537120468899</v>
      </c>
      <c r="AM9">
        <f>(I9/(D9+H9))</f>
        <v>5.7740327051710665E-2</v>
      </c>
      <c r="AN9">
        <f>(J9/(D9+H9))</f>
        <v>0.86408504415297827</v>
      </c>
      <c r="AO9">
        <f>(I9/H9)</f>
        <v>6.2636947143527438E-2</v>
      </c>
      <c r="AP9">
        <f>J9/H9</f>
        <v>0.93736305285647259</v>
      </c>
      <c r="AQ9">
        <f>(D9+H9)/AD9</f>
        <v>0.10604239526771476</v>
      </c>
    </row>
    <row r="10" spans="1:48" x14ac:dyDescent="0.35">
      <c r="A10" s="11" t="s">
        <v>36</v>
      </c>
      <c r="B10" s="11" t="s">
        <v>66</v>
      </c>
      <c r="C10" s="28">
        <f t="shared" si="0"/>
        <v>83.000000005000004</v>
      </c>
      <c r="D10" s="12">
        <f t="shared" si="1"/>
        <v>83.000000005000004</v>
      </c>
      <c r="E10" s="13">
        <v>6.384615385</v>
      </c>
      <c r="F10" s="13">
        <v>76.61538462</v>
      </c>
      <c r="G10" s="13">
        <v>0</v>
      </c>
      <c r="H10" s="13">
        <f t="shared" si="2"/>
        <v>423</v>
      </c>
      <c r="I10" s="13">
        <v>423</v>
      </c>
      <c r="J10" s="13">
        <v>0</v>
      </c>
      <c r="K10" s="13">
        <v>0</v>
      </c>
      <c r="L10" s="13">
        <f t="shared" si="3"/>
        <v>2.628755024499684</v>
      </c>
      <c r="M10" s="13">
        <f t="shared" si="4"/>
        <v>2.628755024499684</v>
      </c>
      <c r="N10" s="13">
        <f t="shared" si="5"/>
        <v>2.8212212457603547</v>
      </c>
      <c r="O10" s="13">
        <f t="shared" si="6"/>
        <v>2.8212212457603547</v>
      </c>
      <c r="P10" s="13">
        <f>($E10/$AE10)*100</f>
        <v>0.20221192496151416</v>
      </c>
      <c r="Q10" s="13">
        <f>($E10/$AD10)*100</f>
        <v>0.2170170189046427</v>
      </c>
      <c r="R10" s="13">
        <f>($F10/$AE10)*100</f>
        <v>2.4265430995381698</v>
      </c>
      <c r="S10" s="13">
        <f>($F10/$AD10)*100</f>
        <v>2.6042042268557122</v>
      </c>
      <c r="T10" s="13">
        <f>($G10/$AE10)*100</f>
        <v>0</v>
      </c>
      <c r="U10" s="13">
        <f>($G10/$AD10)*100</f>
        <v>0</v>
      </c>
      <c r="V10" s="13">
        <f t="shared" si="7"/>
        <v>13.397149099956392</v>
      </c>
      <c r="W10" s="13">
        <f t="shared" si="7"/>
        <v>14.378031167286023</v>
      </c>
      <c r="X10" s="13">
        <f>($I10/$AE10)*100</f>
        <v>13.397149099956392</v>
      </c>
      <c r="Y10" s="13">
        <f>($I10/AD10)*100</f>
        <v>14.378031167286023</v>
      </c>
      <c r="Z10" s="13">
        <f>($J10/$AE10)*100</f>
        <v>0</v>
      </c>
      <c r="AA10" s="13">
        <f>($J10/$AD10)*100</f>
        <v>0</v>
      </c>
      <c r="AB10" s="13">
        <f>($K10/$AE10)*100</f>
        <v>0</v>
      </c>
      <c r="AC10" s="13">
        <f>($K10/$AD10)*100</f>
        <v>0</v>
      </c>
      <c r="AD10" s="14">
        <v>2941.9883367789698</v>
      </c>
      <c r="AE10" s="15">
        <v>3157.38816403392</v>
      </c>
      <c r="AF10">
        <f>D10/(D10+H10)</f>
        <v>0.16403162056162024</v>
      </c>
      <c r="AG10">
        <f>(F10/(D10+H10))</f>
        <v>0.15141380359534176</v>
      </c>
      <c r="AH10">
        <f>(E10/(D10+H10))</f>
        <v>1.261781696627848E-2</v>
      </c>
      <c r="AI10">
        <f>(G10/(D10+H10))</f>
        <v>0</v>
      </c>
      <c r="AJ10">
        <f>(F10/(D10))</f>
        <v>0.92307692307692302</v>
      </c>
      <c r="AK10">
        <f>E10/D10</f>
        <v>7.6923076923076913E-2</v>
      </c>
      <c r="AL10">
        <f>(H10/(C10+H10))</f>
        <v>0.83596837943837976</v>
      </c>
      <c r="AM10">
        <f>(I10/(D10+H10))</f>
        <v>0.83596837943837976</v>
      </c>
      <c r="AN10">
        <f>(J10/(D10+H10))</f>
        <v>0</v>
      </c>
      <c r="AO10">
        <f>(I10/H10)</f>
        <v>1</v>
      </c>
      <c r="AP10">
        <f>J10/H10</f>
        <v>0</v>
      </c>
      <c r="AQ10">
        <f>(D10+H10)/AD10</f>
        <v>0.17199252413046379</v>
      </c>
    </row>
    <row r="11" spans="1:48" x14ac:dyDescent="0.35">
      <c r="A11" s="11" t="s">
        <v>37</v>
      </c>
      <c r="B11" s="11" t="s">
        <v>66</v>
      </c>
      <c r="C11" s="28">
        <f t="shared" si="0"/>
        <v>1395</v>
      </c>
      <c r="D11" s="12">
        <f t="shared" si="1"/>
        <v>1395</v>
      </c>
      <c r="E11" s="13">
        <v>9.4499999999999993</v>
      </c>
      <c r="F11" s="13">
        <v>1385.55</v>
      </c>
      <c r="G11" s="13">
        <v>0</v>
      </c>
      <c r="H11" s="13">
        <f t="shared" si="2"/>
        <v>510</v>
      </c>
      <c r="I11" s="13">
        <v>56</v>
      </c>
      <c r="J11" s="13">
        <v>454</v>
      </c>
      <c r="K11" s="13">
        <v>0</v>
      </c>
      <c r="L11" s="13">
        <f t="shared" si="3"/>
        <v>6.9998581774039028</v>
      </c>
      <c r="M11" s="13">
        <f t="shared" si="4"/>
        <v>6.9998581774039028</v>
      </c>
      <c r="N11" s="13">
        <f t="shared" si="5"/>
        <v>6.9840045164241253</v>
      </c>
      <c r="O11" s="13">
        <f t="shared" si="6"/>
        <v>6.9840045164241253</v>
      </c>
      <c r="P11" s="13">
        <f>($E11/$AE11)*100</f>
        <v>4.7418394104994176E-2</v>
      </c>
      <c r="Q11" s="13">
        <f>($E11/$AD11)*100</f>
        <v>4.7310998337066652E-2</v>
      </c>
      <c r="R11" s="13">
        <f>($F11/$AE11)*100</f>
        <v>6.9524397832989084</v>
      </c>
      <c r="S11" s="13">
        <f>($F11/$AD11)*100</f>
        <v>6.9366935180870586</v>
      </c>
      <c r="T11" s="13">
        <f>($G11/$AE11)*100</f>
        <v>0</v>
      </c>
      <c r="U11" s="13">
        <f>($G11/$AD11)*100</f>
        <v>0</v>
      </c>
      <c r="V11" s="13">
        <f t="shared" si="7"/>
        <v>2.5590879358250826</v>
      </c>
      <c r="W11" s="13">
        <f t="shared" si="7"/>
        <v>2.5532919737464543</v>
      </c>
      <c r="X11" s="13">
        <f>($I11/$AE11)*100</f>
        <v>0.28099789099255812</v>
      </c>
      <c r="Y11" s="13">
        <f>($I11/AD11)*100</f>
        <v>0.28036147162706165</v>
      </c>
      <c r="Z11" s="13">
        <f>($J11/$AE11)*100</f>
        <v>2.2780900448325245</v>
      </c>
      <c r="AA11" s="13">
        <f>($J11/$AD11)*100</f>
        <v>2.2729305021193928</v>
      </c>
      <c r="AB11" s="13">
        <f>($K11/$AE11)*100</f>
        <v>0</v>
      </c>
      <c r="AC11" s="13">
        <f>($K11/$AD11)*100</f>
        <v>0</v>
      </c>
      <c r="AD11" s="14">
        <v>19974.2138871676</v>
      </c>
      <c r="AE11" s="15">
        <v>19928.975197</v>
      </c>
      <c r="AF11">
        <f>D11/(D11+H11)</f>
        <v>0.73228346456692917</v>
      </c>
      <c r="AG11">
        <f>(F11/(D11+H11))</f>
        <v>0.72732283464566927</v>
      </c>
      <c r="AH11">
        <f>(E11/(D11+H11))</f>
        <v>4.9606299212598421E-3</v>
      </c>
      <c r="AI11">
        <f>(G11/(D11+H11))</f>
        <v>0</v>
      </c>
      <c r="AJ11">
        <f>(F11/(D11))</f>
        <v>0.99322580645161285</v>
      </c>
      <c r="AK11">
        <f>E11/D11</f>
        <v>6.7741935483870966E-3</v>
      </c>
      <c r="AL11">
        <f>(H11/(C11+H11))</f>
        <v>0.26771653543307089</v>
      </c>
      <c r="AM11">
        <f>(I11/(D11+H11))</f>
        <v>2.9396325459317585E-2</v>
      </c>
      <c r="AN11">
        <f>(J11/(D11+H11))</f>
        <v>0.23832020997375328</v>
      </c>
      <c r="AO11">
        <f>(I11/H11)</f>
        <v>0.10980392156862745</v>
      </c>
      <c r="AP11">
        <f>J11/H11</f>
        <v>0.8901960784313725</v>
      </c>
      <c r="AQ11">
        <f>(D11+H11)/AD11</f>
        <v>9.5372964901705798E-2</v>
      </c>
    </row>
    <row r="12" spans="1:48" x14ac:dyDescent="0.35">
      <c r="A12" s="11" t="s">
        <v>38</v>
      </c>
      <c r="B12" s="11" t="s">
        <v>66</v>
      </c>
      <c r="C12" s="28">
        <f t="shared" si="0"/>
        <v>1.8620000000000001</v>
      </c>
      <c r="D12" s="12">
        <f t="shared" si="1"/>
        <v>1.8620000000000001</v>
      </c>
      <c r="E12" s="13">
        <v>1.8620000000000001</v>
      </c>
      <c r="F12" s="13">
        <v>0</v>
      </c>
      <c r="G12" s="13">
        <v>0</v>
      </c>
      <c r="H12" s="13">
        <f t="shared" si="2"/>
        <v>3.3</v>
      </c>
      <c r="I12" s="13">
        <v>3.3</v>
      </c>
      <c r="J12" s="13">
        <v>0</v>
      </c>
      <c r="K12" s="13">
        <v>0</v>
      </c>
      <c r="L12" s="13">
        <f t="shared" si="3"/>
        <v>0.14556526356530802</v>
      </c>
      <c r="M12" s="13">
        <f t="shared" si="4"/>
        <v>0.14556526356530802</v>
      </c>
      <c r="N12" s="13">
        <f t="shared" si="5"/>
        <v>7.8180516539544914E-2</v>
      </c>
      <c r="O12" s="13">
        <f t="shared" si="6"/>
        <v>7.8180516539544914E-2</v>
      </c>
      <c r="P12" s="13">
        <f>($E12/$AE12)*100</f>
        <v>0.14556526356530802</v>
      </c>
      <c r="Q12" s="13">
        <f>($E12/$AD12)*100</f>
        <v>7.8180516539544914E-2</v>
      </c>
      <c r="R12" s="13">
        <f>($F12/$AE12)*100</f>
        <v>0</v>
      </c>
      <c r="S12" s="13">
        <f>($F12/$AD12)*100</f>
        <v>0</v>
      </c>
      <c r="T12" s="13">
        <f>($G12/$AE12)*100</f>
        <v>0</v>
      </c>
      <c r="U12" s="13">
        <f>($G12/$AD12)*100</f>
        <v>0</v>
      </c>
      <c r="V12" s="13">
        <f t="shared" si="7"/>
        <v>0.25798354982036326</v>
      </c>
      <c r="W12" s="13">
        <f t="shared" si="7"/>
        <v>0.1385583805480656</v>
      </c>
      <c r="X12" s="13">
        <f>($I12/$AE12)*100</f>
        <v>0.25798354982036326</v>
      </c>
      <c r="Y12" s="13">
        <f>($I12/AD12)*100</f>
        <v>0.1385583805480656</v>
      </c>
      <c r="Z12" s="13">
        <f>($J12/$AE12)*100</f>
        <v>0</v>
      </c>
      <c r="AA12" s="13">
        <f>($J12/$AD12)*100</f>
        <v>0</v>
      </c>
      <c r="AB12" s="13">
        <f>($K12/$AE12)*100</f>
        <v>0</v>
      </c>
      <c r="AC12" s="13">
        <f>($K12/$AD12)*100</f>
        <v>0</v>
      </c>
      <c r="AD12" s="14">
        <v>2381.6675591522499</v>
      </c>
      <c r="AE12" s="15">
        <v>1279.1513266244399</v>
      </c>
      <c r="AF12">
        <f>D12/(D12+H12)</f>
        <v>0.36071290197597833</v>
      </c>
      <c r="AG12">
        <f>(F12/(D12+H12))</f>
        <v>0</v>
      </c>
      <c r="AH12">
        <f>(E12/(D12+H12))</f>
        <v>0.36071290197597833</v>
      </c>
      <c r="AI12">
        <f>(G12/(D12+H12))</f>
        <v>0</v>
      </c>
      <c r="AJ12">
        <f>(F12/(D12))</f>
        <v>0</v>
      </c>
      <c r="AK12">
        <f>E12/D12</f>
        <v>1</v>
      </c>
      <c r="AL12">
        <f>(H12/(C12+H12))</f>
        <v>0.63928709802402173</v>
      </c>
      <c r="AM12">
        <f>(I12/(D12+H12))</f>
        <v>0.63928709802402173</v>
      </c>
      <c r="AN12">
        <f>(J12/(D12+H12))</f>
        <v>0</v>
      </c>
      <c r="AO12">
        <f>(I12/H12)</f>
        <v>1</v>
      </c>
      <c r="AP12">
        <f>J12/H12</f>
        <v>0</v>
      </c>
      <c r="AQ12">
        <f>(D12+H12)/AD12</f>
        <v>2.1673889708761049E-3</v>
      </c>
    </row>
    <row r="13" spans="1:48" x14ac:dyDescent="0.35">
      <c r="A13" s="11" t="s">
        <v>39</v>
      </c>
      <c r="B13" s="11" t="s">
        <v>66</v>
      </c>
      <c r="C13" s="28">
        <f t="shared" si="0"/>
        <v>0</v>
      </c>
      <c r="D13" s="12">
        <f t="shared" si="1"/>
        <v>0</v>
      </c>
      <c r="E13" s="13">
        <v>0</v>
      </c>
      <c r="F13" s="13">
        <v>0</v>
      </c>
      <c r="G13" s="13">
        <v>0</v>
      </c>
      <c r="H13" s="13">
        <f t="shared" si="2"/>
        <v>3.8</v>
      </c>
      <c r="I13" s="13">
        <v>0</v>
      </c>
      <c r="J13" s="13">
        <v>3.8</v>
      </c>
      <c r="K13" s="13">
        <v>0</v>
      </c>
      <c r="L13" s="13">
        <f t="shared" si="3"/>
        <v>0</v>
      </c>
      <c r="M13" s="13">
        <f t="shared" si="4"/>
        <v>0</v>
      </c>
      <c r="N13" s="13">
        <f t="shared" si="5"/>
        <v>0</v>
      </c>
      <c r="O13" s="13">
        <f t="shared" si="6"/>
        <v>0</v>
      </c>
      <c r="P13" s="13">
        <f>($E13/$AE13)*100</f>
        <v>0</v>
      </c>
      <c r="Q13" s="13">
        <f>($E13/$AD13)*100</f>
        <v>0</v>
      </c>
      <c r="R13" s="13">
        <f>($F13/$AE13)*100</f>
        <v>0</v>
      </c>
      <c r="S13" s="13">
        <f>($F13/$AD13)*100</f>
        <v>0</v>
      </c>
      <c r="T13" s="13">
        <f>($G13/$AE13)*100</f>
        <v>0</v>
      </c>
      <c r="U13" s="13">
        <f>($G13/$AD13)*100</f>
        <v>0</v>
      </c>
      <c r="V13" s="13">
        <f t="shared" si="7"/>
        <v>0.38112295919650652</v>
      </c>
      <c r="W13" s="13">
        <f t="shared" si="7"/>
        <v>0.16282573564584751</v>
      </c>
      <c r="X13" s="13">
        <f>($I13/$AE13)*100</f>
        <v>0</v>
      </c>
      <c r="Y13" s="13">
        <f>($I13/AD13)*100</f>
        <v>0</v>
      </c>
      <c r="Z13" s="13">
        <f>($J13/$AE13)*100</f>
        <v>0.38112295919650652</v>
      </c>
      <c r="AA13" s="13">
        <f>($J13/$AD13)*100</f>
        <v>0.16282573564584751</v>
      </c>
      <c r="AB13" s="13">
        <f>($K13/$AE13)*100</f>
        <v>0</v>
      </c>
      <c r="AC13" s="13">
        <f>($K13/$AD13)*100</f>
        <v>0</v>
      </c>
      <c r="AD13" s="14">
        <v>2333.7834064911899</v>
      </c>
      <c r="AE13" s="15">
        <v>997.05355143423003</v>
      </c>
      <c r="AF13">
        <f>D13/(D13+H13)</f>
        <v>0</v>
      </c>
      <c r="AG13">
        <f>(F13/(D13+H13))</f>
        <v>0</v>
      </c>
      <c r="AH13">
        <f>(E13/(D13+H13))</f>
        <v>0</v>
      </c>
      <c r="AI13">
        <f>(G13/(D13+H13))</f>
        <v>0</v>
      </c>
      <c r="AJ13" t="e">
        <f>(F13/(D13))</f>
        <v>#DIV/0!</v>
      </c>
      <c r="AK13" t="e">
        <f>E13/D13</f>
        <v>#DIV/0!</v>
      </c>
      <c r="AL13">
        <f>(H13/(C13+H13))</f>
        <v>1</v>
      </c>
      <c r="AM13">
        <f>(I13/(D13+H13))</f>
        <v>0</v>
      </c>
      <c r="AN13">
        <f>(J13/(D13+H13))</f>
        <v>1</v>
      </c>
      <c r="AO13">
        <f>(I13/H13)</f>
        <v>0</v>
      </c>
      <c r="AP13">
        <f>J13/H13</f>
        <v>1</v>
      </c>
      <c r="AQ13">
        <f>(D13+H13)/AD13</f>
        <v>1.6282573564584751E-3</v>
      </c>
    </row>
    <row r="14" spans="1:48" x14ac:dyDescent="0.35">
      <c r="A14" s="17" t="s">
        <v>40</v>
      </c>
      <c r="B14" s="11" t="s">
        <v>66</v>
      </c>
      <c r="C14" s="28">
        <f t="shared" si="0"/>
        <v>31.764700000000001</v>
      </c>
      <c r="D14" s="12">
        <f t="shared" si="1"/>
        <v>31.764700000000001</v>
      </c>
      <c r="E14" s="13">
        <v>0</v>
      </c>
      <c r="F14" s="13">
        <v>31.764700000000001</v>
      </c>
      <c r="G14" s="13">
        <v>0</v>
      </c>
      <c r="H14" s="13">
        <f t="shared" si="2"/>
        <v>0</v>
      </c>
      <c r="I14" s="13">
        <v>0</v>
      </c>
      <c r="J14" s="13">
        <v>0</v>
      </c>
      <c r="K14" s="13">
        <v>0</v>
      </c>
      <c r="L14" s="13">
        <f t="shared" si="3"/>
        <v>7.6735681329126031</v>
      </c>
      <c r="M14" s="13">
        <f t="shared" si="4"/>
        <v>7.6735681329126031</v>
      </c>
      <c r="N14" s="13">
        <f t="shared" si="5"/>
        <v>6.7786506242927107</v>
      </c>
      <c r="O14" s="13">
        <f t="shared" si="6"/>
        <v>6.7786506242927107</v>
      </c>
      <c r="P14" s="13">
        <f>($E14/$AE14)*100</f>
        <v>0</v>
      </c>
      <c r="Q14" s="13">
        <f>($E14/$AD14)*100</f>
        <v>0</v>
      </c>
      <c r="R14" s="13">
        <f>($F14/$AE14)*100</f>
        <v>7.6735681329126031</v>
      </c>
      <c r="S14" s="13">
        <f>($F14/$AD14)*100</f>
        <v>6.7786506242927107</v>
      </c>
      <c r="T14" s="13">
        <f>($G14/$AE14)*100</f>
        <v>0</v>
      </c>
      <c r="U14" s="13">
        <f>($G14/$AD14)*100</f>
        <v>0</v>
      </c>
      <c r="V14" s="13">
        <f t="shared" si="7"/>
        <v>0</v>
      </c>
      <c r="W14" s="13">
        <f t="shared" si="7"/>
        <v>0</v>
      </c>
      <c r="X14" s="13">
        <f>($I14/$AE14)*100</f>
        <v>0</v>
      </c>
      <c r="Y14" s="13">
        <f>($I14/AD14)*100</f>
        <v>0</v>
      </c>
      <c r="Z14" s="13">
        <f>($J14/$AE14)*100</f>
        <v>0</v>
      </c>
      <c r="AA14" s="13">
        <f>($J14/$AD14)*100</f>
        <v>0</v>
      </c>
      <c r="AB14" s="13">
        <f>($K14/$AE14)*100</f>
        <v>0</v>
      </c>
      <c r="AC14" s="13">
        <f>($K14/$AD14)*100</f>
        <v>0</v>
      </c>
      <c r="AD14" s="14">
        <v>468.59916169988998</v>
      </c>
      <c r="AE14" s="15">
        <v>413.94954015926999</v>
      </c>
      <c r="AF14">
        <f>D14/(D14+H14)</f>
        <v>1</v>
      </c>
      <c r="AG14">
        <f>(F14/(D14+H14))</f>
        <v>1</v>
      </c>
      <c r="AH14">
        <f>(E14/(D14+H14))</f>
        <v>0</v>
      </c>
      <c r="AI14">
        <f>(G14/(D14+H14))</f>
        <v>0</v>
      </c>
      <c r="AJ14">
        <f>(F14/(D14))</f>
        <v>1</v>
      </c>
      <c r="AK14">
        <f>E14/D14</f>
        <v>0</v>
      </c>
      <c r="AL14">
        <f>(H14/(C14+H14))</f>
        <v>0</v>
      </c>
      <c r="AM14">
        <f>(I14/(D14+H14))</f>
        <v>0</v>
      </c>
      <c r="AN14">
        <f>(J14/(D14+H14))</f>
        <v>0</v>
      </c>
      <c r="AO14" t="e">
        <f>(I14/H14)</f>
        <v>#DIV/0!</v>
      </c>
      <c r="AP14" t="e">
        <f>J14/H14</f>
        <v>#DIV/0!</v>
      </c>
      <c r="AQ14">
        <f>(D14+H14)/AD14</f>
        <v>6.7786506242927105E-2</v>
      </c>
    </row>
    <row r="15" spans="1:48" x14ac:dyDescent="0.35">
      <c r="A15" s="11" t="s">
        <v>41</v>
      </c>
      <c r="B15" s="11" t="s">
        <v>66</v>
      </c>
      <c r="C15" s="28">
        <f t="shared" si="0"/>
        <v>0</v>
      </c>
      <c r="D15" s="12">
        <f t="shared" si="1"/>
        <v>0</v>
      </c>
      <c r="E15" s="13">
        <v>0</v>
      </c>
      <c r="F15" s="13">
        <v>0</v>
      </c>
      <c r="G15" s="13">
        <v>0</v>
      </c>
      <c r="H15" s="13">
        <f t="shared" si="2"/>
        <v>54</v>
      </c>
      <c r="I15" s="13">
        <v>0</v>
      </c>
      <c r="J15" s="13">
        <v>54</v>
      </c>
      <c r="K15" s="13">
        <v>0</v>
      </c>
      <c r="L15" s="13">
        <f t="shared" si="3"/>
        <v>0</v>
      </c>
      <c r="M15" s="13">
        <f t="shared" si="4"/>
        <v>0</v>
      </c>
      <c r="N15" s="13">
        <f t="shared" si="5"/>
        <v>0</v>
      </c>
      <c r="O15" s="13">
        <f t="shared" si="6"/>
        <v>0</v>
      </c>
      <c r="P15" s="13">
        <f>($E15/$AE15)*100</f>
        <v>0</v>
      </c>
      <c r="Q15" s="13">
        <f>($E15/$AD15)*100</f>
        <v>0</v>
      </c>
      <c r="R15" s="13">
        <f>($F15/$AE15)*100</f>
        <v>0</v>
      </c>
      <c r="S15" s="13">
        <f>($F15/$AD15)*100</f>
        <v>0</v>
      </c>
      <c r="T15" s="13">
        <f>($G15/$AE15)*100</f>
        <v>0</v>
      </c>
      <c r="U15" s="13">
        <f>($G15/$AD15)*100</f>
        <v>0</v>
      </c>
      <c r="V15" s="13">
        <f t="shared" si="7"/>
        <v>10.90562054178165</v>
      </c>
      <c r="W15" s="13">
        <f t="shared" si="7"/>
        <v>9.7240885633744618</v>
      </c>
      <c r="X15" s="13">
        <f>($I15/$AE15)*100</f>
        <v>0</v>
      </c>
      <c r="Y15" s="13">
        <f>($I15/AD15)*100</f>
        <v>0</v>
      </c>
      <c r="Z15" s="13">
        <f>($J15/$AE15)*100</f>
        <v>10.90562054178165</v>
      </c>
      <c r="AA15" s="13">
        <f>($J15/$AD15)*100</f>
        <v>9.7240885633744618</v>
      </c>
      <c r="AB15" s="13">
        <f>($K15/$AE15)*100</f>
        <v>0</v>
      </c>
      <c r="AC15" s="13">
        <f>($K15/$AD15)*100</f>
        <v>0</v>
      </c>
      <c r="AD15" s="14">
        <v>555.32196820367994</v>
      </c>
      <c r="AE15" s="15">
        <v>495.15751802582002</v>
      </c>
      <c r="AF15">
        <f>D15/(D15+H15)</f>
        <v>0</v>
      </c>
      <c r="AG15">
        <f>(F15/(D15+H15))</f>
        <v>0</v>
      </c>
      <c r="AH15">
        <f>(E15/(D15+H15))</f>
        <v>0</v>
      </c>
      <c r="AI15">
        <f>(G15/(D15+H15))</f>
        <v>0</v>
      </c>
      <c r="AJ15" t="e">
        <f>(F15/(D15))</f>
        <v>#DIV/0!</v>
      </c>
      <c r="AK15" t="e">
        <f>E15/D15</f>
        <v>#DIV/0!</v>
      </c>
      <c r="AL15">
        <f>(H15/(C15+H15))</f>
        <v>1</v>
      </c>
      <c r="AM15">
        <f>(I15/(D15+H15))</f>
        <v>0</v>
      </c>
      <c r="AN15">
        <f>(J15/(D15+H15))</f>
        <v>1</v>
      </c>
      <c r="AO15">
        <f>(I15/H15)</f>
        <v>0</v>
      </c>
      <c r="AP15">
        <f>J15/H15</f>
        <v>1</v>
      </c>
      <c r="AQ15">
        <f>(D15+H15)/AD15</f>
        <v>9.7240885633744611E-2</v>
      </c>
    </row>
    <row r="16" spans="1:48" x14ac:dyDescent="0.35">
      <c r="A16" s="17" t="s">
        <v>42</v>
      </c>
      <c r="B16" s="11" t="s">
        <v>66</v>
      </c>
      <c r="C16" s="28">
        <f t="shared" si="0"/>
        <v>9.0751215444483115</v>
      </c>
      <c r="D16" s="12">
        <f t="shared" si="1"/>
        <v>9.0751215444483115</v>
      </c>
      <c r="E16" s="13">
        <v>2.2540984E-2</v>
      </c>
      <c r="F16" s="18">
        <v>9.0525805604483107</v>
      </c>
      <c r="G16" s="13">
        <v>0</v>
      </c>
      <c r="H16" s="13">
        <f t="shared" si="2"/>
        <v>21.104230256601589</v>
      </c>
      <c r="I16" s="13">
        <v>0.80696442599999996</v>
      </c>
      <c r="J16" s="18">
        <v>20.297265830601589</v>
      </c>
      <c r="K16" s="13">
        <v>0</v>
      </c>
      <c r="L16" s="13">
        <f t="shared" si="3"/>
        <v>4.2084524748499499</v>
      </c>
      <c r="M16" s="13">
        <f t="shared" si="4"/>
        <v>4.2084524748499499</v>
      </c>
      <c r="N16" s="13">
        <f t="shared" si="5"/>
        <v>2.2275928706634165</v>
      </c>
      <c r="O16" s="13">
        <f t="shared" si="6"/>
        <v>2.2275928706634165</v>
      </c>
      <c r="P16" s="13">
        <f>($E16/$AE16)*100</f>
        <v>1.0453045662885387E-2</v>
      </c>
      <c r="Q16" s="13">
        <f>($E16/$AD16)*100</f>
        <v>5.5329435545527564E-3</v>
      </c>
      <c r="R16" s="13">
        <f>($F16/$AE16)*100</f>
        <v>4.1979994291870648</v>
      </c>
      <c r="S16" s="13">
        <f>($F16/$AD16)*100</f>
        <v>2.2220599271088637</v>
      </c>
      <c r="T16" s="13">
        <f>($G16/$AE16)*100</f>
        <v>0</v>
      </c>
      <c r="U16" s="13">
        <f>($G16/$AD16)*100</f>
        <v>0</v>
      </c>
      <c r="V16" s="13">
        <f t="shared" si="7"/>
        <v>9.7867725096785385</v>
      </c>
      <c r="W16" s="13">
        <f t="shared" si="7"/>
        <v>5.1802758376502558</v>
      </c>
      <c r="X16" s="13">
        <f>($I16/$AE16)*100</f>
        <v>0.37421773571651062</v>
      </c>
      <c r="Y16" s="13">
        <f>($I16/AD16)*100</f>
        <v>0.19807869166625844</v>
      </c>
      <c r="Z16" s="13">
        <f>($J16/$AE16)*100</f>
        <v>9.4125547739620288</v>
      </c>
      <c r="AA16" s="13">
        <f>($J16/$AD16)*100</f>
        <v>4.9821971459839975</v>
      </c>
      <c r="AB16" s="13">
        <f>($K16/$AE16)*100</f>
        <v>0</v>
      </c>
      <c r="AC16" s="13">
        <f>($K16/$AD16)*100</f>
        <v>0</v>
      </c>
      <c r="AD16" s="14">
        <v>407.39587848230002</v>
      </c>
      <c r="AE16" s="15">
        <v>215.64034757863999</v>
      </c>
      <c r="AF16">
        <f>D16/(D16+H16)</f>
        <v>0.30070631086690869</v>
      </c>
      <c r="AG16">
        <f>(F16/(D16+H16))</f>
        <v>0.29995941000076032</v>
      </c>
      <c r="AH16">
        <f>(E16/(D16+H16))</f>
        <v>7.4690086614835204E-4</v>
      </c>
      <c r="AI16">
        <f>(G16/(D16+H16))</f>
        <v>0</v>
      </c>
      <c r="AJ16">
        <f>(F16/(D16))</f>
        <v>0.99751617828041206</v>
      </c>
      <c r="AK16">
        <f>E16/D16</f>
        <v>2.4838217195878114E-3</v>
      </c>
      <c r="AL16">
        <f>(H16/(C16+H16))</f>
        <v>0.69929368913309131</v>
      </c>
      <c r="AM16">
        <f>(I16/(D16+H16))</f>
        <v>2.6738958189682745E-2</v>
      </c>
      <c r="AN16">
        <f>(J16/(D16+H16))</f>
        <v>0.67255473094340856</v>
      </c>
      <c r="AO16">
        <f>(I16/H16)</f>
        <v>3.8237093520507547E-2</v>
      </c>
      <c r="AP16">
        <f>J16/H16</f>
        <v>0.96176290647949247</v>
      </c>
      <c r="AQ16">
        <f>(D16+H16)/AD16</f>
        <v>7.4078687083136738E-2</v>
      </c>
    </row>
    <row r="17" spans="1:43" x14ac:dyDescent="0.35">
      <c r="A17" s="17" t="s">
        <v>43</v>
      </c>
      <c r="B17" s="11" t="s">
        <v>66</v>
      </c>
      <c r="C17" s="28">
        <f t="shared" si="0"/>
        <v>9</v>
      </c>
      <c r="D17" s="12">
        <f t="shared" si="1"/>
        <v>9</v>
      </c>
      <c r="E17" s="13">
        <v>0</v>
      </c>
      <c r="F17" s="13">
        <v>9</v>
      </c>
      <c r="G17" s="13">
        <v>0</v>
      </c>
      <c r="H17" s="13">
        <f t="shared" si="2"/>
        <v>9.6999999999999993</v>
      </c>
      <c r="I17" s="13">
        <v>0</v>
      </c>
      <c r="J17" s="13">
        <v>9.6999999999999993</v>
      </c>
      <c r="K17" s="13">
        <v>0</v>
      </c>
      <c r="L17" s="13">
        <f t="shared" si="3"/>
        <v>2.7059324055091158</v>
      </c>
      <c r="M17" s="13">
        <f t="shared" si="4"/>
        <v>2.7059324055091158</v>
      </c>
      <c r="N17" s="13">
        <f t="shared" si="5"/>
        <v>2.8932995220407594</v>
      </c>
      <c r="O17" s="13">
        <f t="shared" si="6"/>
        <v>2.8932995220407594</v>
      </c>
      <c r="P17" s="13">
        <f>($E17/$AE17)*100</f>
        <v>0</v>
      </c>
      <c r="Q17" s="13">
        <f>($E17/$AD17)*100</f>
        <v>0</v>
      </c>
      <c r="R17" s="13">
        <f>($F17/$AE17)*100</f>
        <v>2.7059324055091158</v>
      </c>
      <c r="S17" s="13">
        <f>($F17/$AD17)*100</f>
        <v>2.8932995220407594</v>
      </c>
      <c r="T17" s="13">
        <f>($G17/$AE17)*100</f>
        <v>0</v>
      </c>
      <c r="U17" s="13">
        <f>($G17/$AD17)*100</f>
        <v>0</v>
      </c>
      <c r="V17" s="13">
        <f t="shared" si="7"/>
        <v>2.9163938148264918</v>
      </c>
      <c r="W17" s="13">
        <f t="shared" si="7"/>
        <v>3.1183339293105963</v>
      </c>
      <c r="X17" s="13">
        <f>($I17/$AE17)*100</f>
        <v>0</v>
      </c>
      <c r="Y17" s="13">
        <f>($I17/AD17)*100</f>
        <v>0</v>
      </c>
      <c r="Z17" s="13">
        <f>($J17/$AE17)*100</f>
        <v>2.9163938148264918</v>
      </c>
      <c r="AA17" s="13">
        <f>($J17/$AD17)*100</f>
        <v>3.1183339293105963</v>
      </c>
      <c r="AB17" s="13">
        <f>($K17/$AE17)*100</f>
        <v>0</v>
      </c>
      <c r="AC17" s="13">
        <f>($K17/$AD17)*100</f>
        <v>0</v>
      </c>
      <c r="AD17" s="14">
        <v>311.06354290107998</v>
      </c>
      <c r="AE17" s="15">
        <v>332.60254327404999</v>
      </c>
      <c r="AF17">
        <f>D17/(D17+H17)</f>
        <v>0.48128342245989308</v>
      </c>
      <c r="AG17">
        <f>(F17/(D17+H17))</f>
        <v>0.48128342245989308</v>
      </c>
      <c r="AH17">
        <f>(E17/(D17+H17))</f>
        <v>0</v>
      </c>
      <c r="AI17">
        <f>(G17/(D17+H17))</f>
        <v>0</v>
      </c>
      <c r="AJ17">
        <f>(F17/(D17))</f>
        <v>1</v>
      </c>
      <c r="AK17">
        <f>E17/D17</f>
        <v>0</v>
      </c>
      <c r="AL17">
        <f>(H17/(C17+H17))</f>
        <v>0.51871657754010692</v>
      </c>
      <c r="AM17">
        <f>(I17/(D17+H17))</f>
        <v>0</v>
      </c>
      <c r="AN17">
        <f>(J17/(D17+H17))</f>
        <v>0.51871657754010692</v>
      </c>
      <c r="AO17">
        <f>(I17/H17)</f>
        <v>0</v>
      </c>
      <c r="AP17">
        <f>J17/H17</f>
        <v>1</v>
      </c>
      <c r="AQ17">
        <f>(D17+H17)/AD17</f>
        <v>6.0116334513513559E-2</v>
      </c>
    </row>
    <row r="18" spans="1:43" x14ac:dyDescent="0.35">
      <c r="A18" s="17" t="s">
        <v>44</v>
      </c>
      <c r="B18" s="11" t="s">
        <v>66</v>
      </c>
      <c r="C18" s="28">
        <f t="shared" si="0"/>
        <v>0</v>
      </c>
      <c r="D18" s="12">
        <f t="shared" si="1"/>
        <v>0</v>
      </c>
      <c r="E18" s="13">
        <v>0</v>
      </c>
      <c r="F18" s="13">
        <v>0</v>
      </c>
      <c r="G18" s="13">
        <v>0</v>
      </c>
      <c r="H18" s="13">
        <f t="shared" si="2"/>
        <v>0.34351350790000001</v>
      </c>
      <c r="I18" s="13">
        <v>0.166216216</v>
      </c>
      <c r="J18" s="13">
        <v>0.17729729189999999</v>
      </c>
      <c r="K18" s="13">
        <v>0</v>
      </c>
      <c r="L18" s="13">
        <f t="shared" si="3"/>
        <v>0</v>
      </c>
      <c r="M18" s="13">
        <f t="shared" si="4"/>
        <v>0</v>
      </c>
      <c r="N18" s="13">
        <f t="shared" si="5"/>
        <v>0</v>
      </c>
      <c r="O18" s="13">
        <f t="shared" si="6"/>
        <v>0</v>
      </c>
      <c r="P18" s="13">
        <f>($E18/$AE18)*100</f>
        <v>0</v>
      </c>
      <c r="Q18" s="13">
        <f>($E18/$AD18)*100</f>
        <v>0</v>
      </c>
      <c r="R18" s="13">
        <f>($F18/$AE18)*100</f>
        <v>0</v>
      </c>
      <c r="S18" s="13">
        <f>($F18/$AD18)*100</f>
        <v>0</v>
      </c>
      <c r="T18" s="13">
        <f>($G18/$AE18)*100</f>
        <v>0</v>
      </c>
      <c r="U18" s="13">
        <f>($G18/$AD18)*100</f>
        <v>0</v>
      </c>
      <c r="V18" s="13">
        <f t="shared" si="7"/>
        <v>1.2772080118792744</v>
      </c>
      <c r="W18" s="13">
        <f t="shared" si="7"/>
        <v>0.74820679582493232</v>
      </c>
      <c r="X18" s="13">
        <f>($I18/$AE18)*100</f>
        <v>0.61800388601095835</v>
      </c>
      <c r="Y18" s="13">
        <f>($I18/AD18)*100</f>
        <v>0.36203555181215297</v>
      </c>
      <c r="Z18" s="13">
        <f>($J18/$AE18)*100</f>
        <v>0.659204125868316</v>
      </c>
      <c r="AA18" s="13">
        <f>($J18/$AD18)*100</f>
        <v>0.38617124401277941</v>
      </c>
      <c r="AB18" s="13">
        <f>($K18/$AE18)*100</f>
        <v>0</v>
      </c>
      <c r="AC18" s="13">
        <f>($K18/$AD18)*100</f>
        <v>0</v>
      </c>
      <c r="AD18" s="14">
        <v>45.911572818750003</v>
      </c>
      <c r="AE18" s="15">
        <v>26.895658710639999</v>
      </c>
      <c r="AF18">
        <f>D18/(D18+H18)</f>
        <v>0</v>
      </c>
      <c r="AG18">
        <f>(F18/(D18+H18))</f>
        <v>0</v>
      </c>
      <c r="AH18">
        <f>(E18/(D18+H18))</f>
        <v>0</v>
      </c>
      <c r="AI18">
        <f>(G18/(D18+H18))</f>
        <v>0</v>
      </c>
      <c r="AJ18" t="e">
        <f>(F18/(D18))</f>
        <v>#DIV/0!</v>
      </c>
      <c r="AK18" t="e">
        <f>E18/D18</f>
        <v>#DIV/0!</v>
      </c>
      <c r="AL18">
        <f>(H18/(C18+H18))</f>
        <v>1</v>
      </c>
      <c r="AM18">
        <f>(I18/(D18+H18))</f>
        <v>0.48387097501966964</v>
      </c>
      <c r="AN18">
        <f>(J18/(D18+H18))</f>
        <v>0.51612902498033031</v>
      </c>
      <c r="AO18">
        <f>(I18/H18)</f>
        <v>0.48387097501966964</v>
      </c>
      <c r="AP18">
        <f>J18/H18</f>
        <v>0.51612902498033031</v>
      </c>
      <c r="AQ18">
        <f>(D18+H18)/AD18</f>
        <v>7.4820679582493247E-3</v>
      </c>
    </row>
    <row r="19" spans="1:43" x14ac:dyDescent="0.35">
      <c r="A19" s="17" t="s">
        <v>45</v>
      </c>
      <c r="B19" s="11" t="s">
        <v>66</v>
      </c>
      <c r="C19" s="28">
        <f t="shared" si="0"/>
        <v>8.8523525290000009</v>
      </c>
      <c r="D19" s="12">
        <f t="shared" si="1"/>
        <v>4.352352529</v>
      </c>
      <c r="E19" s="13">
        <v>2.8823529000000001E-2</v>
      </c>
      <c r="F19" s="13">
        <v>4.3235289999999997</v>
      </c>
      <c r="G19" s="13">
        <v>4.5</v>
      </c>
      <c r="H19" s="13">
        <f t="shared" si="2"/>
        <v>13.1</v>
      </c>
      <c r="I19" s="13">
        <v>1.1000000000000001</v>
      </c>
      <c r="J19" s="13">
        <v>12</v>
      </c>
      <c r="K19" s="13">
        <v>0</v>
      </c>
      <c r="L19" s="13">
        <f t="shared" si="3"/>
        <v>3.4749972442388337</v>
      </c>
      <c r="M19" s="13">
        <f t="shared" si="4"/>
        <v>1.7085190625524533</v>
      </c>
      <c r="N19" s="13">
        <f t="shared" si="5"/>
        <v>3.4805270111085327</v>
      </c>
      <c r="O19" s="13">
        <f t="shared" si="6"/>
        <v>1.7140488294221521</v>
      </c>
      <c r="P19" s="13">
        <f>($E19/$AE19)*100</f>
        <v>1.1314696688378813E-2</v>
      </c>
      <c r="Q19" s="13">
        <f>($E19/$AD19)*100</f>
        <v>1.1351317663970748E-2</v>
      </c>
      <c r="R19" s="13">
        <f>($F19/$AE19)*100</f>
        <v>1.6972043658640745</v>
      </c>
      <c r="S19" s="13">
        <f>($F19/$AD19)*100</f>
        <v>1.7026975117581813</v>
      </c>
      <c r="T19" s="13">
        <f>($G19/$AE19)*100</f>
        <v>1.7664781816863806</v>
      </c>
      <c r="U19" s="13">
        <f>($G19/$AD19)*100</f>
        <v>1.7721955381614918</v>
      </c>
      <c r="V19" s="13">
        <f t="shared" si="7"/>
        <v>5.1424142622425748</v>
      </c>
      <c r="W19" s="13">
        <f t="shared" si="7"/>
        <v>5.1590581222034544</v>
      </c>
      <c r="X19" s="13">
        <f>($I19/$AE19)*100</f>
        <v>0.43180577774555973</v>
      </c>
      <c r="Y19" s="13">
        <f>($I19/AD19)*100</f>
        <v>0.43320335377280911</v>
      </c>
      <c r="Z19" s="13">
        <f>($J19/$AE19)*100</f>
        <v>4.7106084844970146</v>
      </c>
      <c r="AA19" s="13">
        <f>($J19/$AD19)*100</f>
        <v>4.7258547684306453</v>
      </c>
      <c r="AB19" s="13">
        <f>($K19/$AE19)*100</f>
        <v>0</v>
      </c>
      <c r="AC19" s="13">
        <f>($K19/$AD19)*100</f>
        <v>0</v>
      </c>
      <c r="AD19" s="14">
        <v>253.92231856471</v>
      </c>
      <c r="AE19" s="15">
        <v>254.7441596875</v>
      </c>
      <c r="AF19">
        <f>D19/(D19+H19)</f>
        <v>0.24938486211345084</v>
      </c>
      <c r="AG19">
        <f>(F19/(D19+H19))</f>
        <v>0.24773330660240411</v>
      </c>
      <c r="AH19">
        <f>(E19/(D19+H19))</f>
        <v>1.6515555110467137E-3</v>
      </c>
      <c r="AI19">
        <f>(G19/(D19+H19))</f>
        <v>0.2578448946938528</v>
      </c>
      <c r="AJ19">
        <f>(F19/(D19))</f>
        <v>0.99337748291115036</v>
      </c>
      <c r="AK19">
        <f>E19/D19</f>
        <v>6.6225170888495367E-3</v>
      </c>
      <c r="AL19">
        <f>(H19/(C19+H19))</f>
        <v>0.59674697655726583</v>
      </c>
      <c r="AM19">
        <f>(I19/(D19+H19))</f>
        <v>6.3028752036275129E-2</v>
      </c>
      <c r="AN19">
        <f>(J19/(D19+H19))</f>
        <v>0.6875863858502741</v>
      </c>
      <c r="AO19">
        <f>(I19/H19)</f>
        <v>8.3969465648854977E-2</v>
      </c>
      <c r="AP19">
        <f>J19/H19</f>
        <v>0.91603053435114501</v>
      </c>
      <c r="AQ19">
        <f>(D19+H19)/AD19</f>
        <v>6.8731069516256058E-2</v>
      </c>
    </row>
    <row r="20" spans="1:43" x14ac:dyDescent="0.35">
      <c r="A20" s="17" t="s">
        <v>46</v>
      </c>
      <c r="B20" s="11" t="s">
        <v>66</v>
      </c>
      <c r="C20" s="28">
        <f t="shared" si="0"/>
        <v>6.3664610000000001</v>
      </c>
      <c r="D20" s="12">
        <f>E20+F20</f>
        <v>6.3664610000000001</v>
      </c>
      <c r="E20" s="13">
        <v>5.4100000000000003E-4</v>
      </c>
      <c r="F20" s="13">
        <v>6.36592</v>
      </c>
      <c r="G20" s="13">
        <v>0</v>
      </c>
      <c r="H20" s="13">
        <f>I20+J20</f>
        <v>2.2164000000000001</v>
      </c>
      <c r="I20" s="13">
        <v>1.1082000000000001</v>
      </c>
      <c r="J20" s="13">
        <v>1.1082000000000001</v>
      </c>
      <c r="K20" s="13">
        <v>0</v>
      </c>
      <c r="L20" s="13">
        <f t="shared" si="3"/>
        <v>3.1222987126848292</v>
      </c>
      <c r="M20" s="13">
        <f t="shared" si="4"/>
        <v>3.1222987126848292</v>
      </c>
      <c r="N20" s="13">
        <f t="shared" si="5"/>
        <v>2.1112823412204826</v>
      </c>
      <c r="O20" s="13">
        <f t="shared" si="6"/>
        <v>2.1112823412204826</v>
      </c>
      <c r="P20" s="13">
        <f>($E20/$AE20)*100</f>
        <v>2.6532222589009696E-4</v>
      </c>
      <c r="Q20" s="13">
        <f>($E20/$AD20)*100</f>
        <v>1.7940952541769769E-4</v>
      </c>
      <c r="R20" s="13">
        <f>($F20/$AE20)*100</f>
        <v>3.122033390458939</v>
      </c>
      <c r="S20" s="13">
        <f>($F20/$AD20)*100</f>
        <v>2.1111029316950649</v>
      </c>
      <c r="T20" s="13">
        <f>($G20/$AE20)*100</f>
        <v>0</v>
      </c>
      <c r="U20" s="13">
        <f>($G20/$AD20)*100</f>
        <v>0</v>
      </c>
      <c r="V20" s="13">
        <f t="shared" si="7"/>
        <v>1.0869873964192438</v>
      </c>
      <c r="W20" s="13">
        <f t="shared" si="7"/>
        <v>0.73501529045431646</v>
      </c>
      <c r="X20" s="13">
        <f>($I20/$AE20)*100</f>
        <v>0.5434936982096219</v>
      </c>
      <c r="Y20" s="13">
        <f>($I20/AD20)*100</f>
        <v>0.36750764522715823</v>
      </c>
      <c r="Z20" s="13">
        <f>($J20/$AE20)*100</f>
        <v>0.5434936982096219</v>
      </c>
      <c r="AA20" s="13">
        <f>($J20/$AD20)*100</f>
        <v>0.36750764522715823</v>
      </c>
      <c r="AB20" s="13">
        <f>($K20/$AE20)*100</f>
        <v>0</v>
      </c>
      <c r="AC20" s="13">
        <f>($K20/$AD20)*100</f>
        <v>0</v>
      </c>
      <c r="AD20" s="14">
        <v>301.54474727050001</v>
      </c>
      <c r="AE20" s="15">
        <v>203.90300819506001</v>
      </c>
      <c r="AF20">
        <f>D20/(D20+H20)</f>
        <v>0.74176443029894101</v>
      </c>
      <c r="AG20">
        <f>(F20/(D20+H20))</f>
        <v>0.74170139770409882</v>
      </c>
      <c r="AH20">
        <f>(E20/(D20+H20))</f>
        <v>6.3032594842209373E-5</v>
      </c>
      <c r="AI20">
        <f>(G20/(D20+H20))</f>
        <v>0</v>
      </c>
      <c r="AJ20">
        <f>(F20/(D20))</f>
        <v>0.99991502343295591</v>
      </c>
      <c r="AK20">
        <f>E20/D20</f>
        <v>8.4976567044076767E-5</v>
      </c>
      <c r="AL20">
        <f>(H20/(C20+H20))</f>
        <v>0.25823556970105888</v>
      </c>
      <c r="AM20">
        <f>(I20/(D20+H20))</f>
        <v>0.12911778485052944</v>
      </c>
      <c r="AN20">
        <f>(J20/(D20+H20))</f>
        <v>0.12911778485052944</v>
      </c>
      <c r="AO20">
        <f>(I20/H20)</f>
        <v>0.5</v>
      </c>
      <c r="AP20">
        <f>J20/H20</f>
        <v>0.5</v>
      </c>
      <c r="AQ20">
        <f>(D20+H20)/AD20</f>
        <v>2.8462976316747993E-2</v>
      </c>
    </row>
    <row r="21" spans="1:43" x14ac:dyDescent="0.35">
      <c r="A21" s="17" t="s">
        <v>47</v>
      </c>
      <c r="B21" s="11" t="s">
        <v>66</v>
      </c>
      <c r="C21" s="28">
        <f t="shared" si="0"/>
        <v>0.88253820443329634</v>
      </c>
      <c r="D21" s="12">
        <f t="shared" si="1"/>
        <v>0.88253820443329634</v>
      </c>
      <c r="E21" s="19">
        <v>2.1328006607137996E-2</v>
      </c>
      <c r="F21" s="19">
        <v>0.86121019782615837</v>
      </c>
      <c r="G21" s="13">
        <v>0</v>
      </c>
      <c r="H21" s="13">
        <f t="shared" si="2"/>
        <v>0.91931062961801713</v>
      </c>
      <c r="I21" s="13">
        <v>0</v>
      </c>
      <c r="J21" s="20">
        <v>0.91931062961801713</v>
      </c>
      <c r="K21" s="13">
        <v>0</v>
      </c>
      <c r="L21" s="13">
        <f t="shared" si="3"/>
        <v>4.2572996227017779</v>
      </c>
      <c r="M21" s="13">
        <f t="shared" si="4"/>
        <v>4.2572996227017779</v>
      </c>
      <c r="N21" s="13">
        <f t="shared" si="5"/>
        <v>4.6280958337256317</v>
      </c>
      <c r="O21" s="13">
        <f t="shared" si="6"/>
        <v>4.6280958337256317</v>
      </c>
      <c r="P21" s="13">
        <f>($E21/$AE21)*100</f>
        <v>0.10288474088195963</v>
      </c>
      <c r="Q21" s="13">
        <f>($E21/$AD21)*100</f>
        <v>0.11184564931503611</v>
      </c>
      <c r="R21" s="13">
        <f>($F21/$AE21)*100</f>
        <v>4.1544148818198181</v>
      </c>
      <c r="S21" s="13">
        <f>($F21/$AD21)*100</f>
        <v>4.5162501844105956</v>
      </c>
      <c r="T21" s="13">
        <f>($G21/$AE21)*100</f>
        <v>0</v>
      </c>
      <c r="U21" s="13">
        <f>($G21/$AD21)*100</f>
        <v>0</v>
      </c>
      <c r="V21" s="13">
        <f t="shared" si="7"/>
        <v>4.434687106981019</v>
      </c>
      <c r="W21" s="13">
        <f t="shared" si="7"/>
        <v>4.8209331601308669</v>
      </c>
      <c r="X21" s="13">
        <f>($I21/$AE21)*100</f>
        <v>0</v>
      </c>
      <c r="Y21" s="13">
        <f>($I21/AD21)*100</f>
        <v>0</v>
      </c>
      <c r="Z21" s="13">
        <f>($J21/$AE21)*100</f>
        <v>4.434687106981019</v>
      </c>
      <c r="AA21" s="13">
        <f>($J21/$AD21)*100</f>
        <v>4.8209331601308669</v>
      </c>
      <c r="AB21" s="13">
        <f>($K21/$AE21)*100</f>
        <v>0</v>
      </c>
      <c r="AC21" s="13">
        <f>($K21/$AD21)*100</f>
        <v>0</v>
      </c>
      <c r="AD21" s="14">
        <v>19.06914282116</v>
      </c>
      <c r="AE21" s="15">
        <v>20.729999827290001</v>
      </c>
      <c r="AF21">
        <f>D21/(D21+H21)</f>
        <v>0.48979591836734693</v>
      </c>
      <c r="AG21">
        <f>(F21/(D21+H21))</f>
        <v>0.4779591836734694</v>
      </c>
      <c r="AH21">
        <f>(E21/(D21+H21))</f>
        <v>1.1836734693877551E-2</v>
      </c>
      <c r="AI21">
        <f>(G21/(D21+H21))</f>
        <v>0</v>
      </c>
      <c r="AJ21">
        <f>(F21/(D21))</f>
        <v>0.97583333333333333</v>
      </c>
      <c r="AK21">
        <f>E21/D21</f>
        <v>2.416666666666667E-2</v>
      </c>
      <c r="AL21">
        <f>(H21/(C21+H21))</f>
        <v>0.51020408163265307</v>
      </c>
      <c r="AM21">
        <f>(I21/(D21+H21))</f>
        <v>0</v>
      </c>
      <c r="AN21">
        <f>(J21/(D21+H21))</f>
        <v>0.51020408163265307</v>
      </c>
      <c r="AO21">
        <f>(I21/H21)</f>
        <v>0</v>
      </c>
      <c r="AP21">
        <f>J21/H21</f>
        <v>1</v>
      </c>
      <c r="AQ21">
        <f>(D21+H21)/AD21</f>
        <v>9.4490289938564981E-2</v>
      </c>
    </row>
    <row r="22" spans="1:43" x14ac:dyDescent="0.35">
      <c r="A22" s="17" t="s">
        <v>48</v>
      </c>
      <c r="B22" s="11" t="s">
        <v>66</v>
      </c>
      <c r="C22" s="28">
        <f t="shared" si="0"/>
        <v>26.292712146915665</v>
      </c>
      <c r="D22" s="12">
        <f t="shared" si="1"/>
        <v>23.434808652685703</v>
      </c>
      <c r="E22" s="19">
        <v>2.2863227953839709</v>
      </c>
      <c r="F22" s="19">
        <v>21.148485857301733</v>
      </c>
      <c r="G22" s="19">
        <v>2.8579034942299635</v>
      </c>
      <c r="H22" s="13">
        <f t="shared" si="2"/>
        <v>6.8589683861519131</v>
      </c>
      <c r="I22" s="20">
        <v>4.5726455907679417</v>
      </c>
      <c r="J22" s="20">
        <v>2.2863227953839709</v>
      </c>
      <c r="K22" s="13">
        <v>0</v>
      </c>
      <c r="L22" s="13">
        <f t="shared" si="3"/>
        <v>7.0780824927377148</v>
      </c>
      <c r="M22" s="13">
        <f t="shared" si="4"/>
        <v>6.308725700048833</v>
      </c>
      <c r="N22" s="13">
        <f t="shared" si="5"/>
        <v>6.3772359268280567</v>
      </c>
      <c r="O22" s="13">
        <f t="shared" si="6"/>
        <v>5.6078791341391749</v>
      </c>
      <c r="P22" s="13">
        <f>($E22/$AE22)*100</f>
        <v>0.61548543415110557</v>
      </c>
      <c r="Q22" s="13">
        <f>($E22/$AD22)*100</f>
        <v>0.54711015942821217</v>
      </c>
      <c r="R22" s="13">
        <f>($F22/$AE22)*100</f>
        <v>5.6932402658977272</v>
      </c>
      <c r="S22" s="13">
        <f>($F22/$AD22)*100</f>
        <v>5.060768974710963</v>
      </c>
      <c r="T22" s="13">
        <f>($G22/$AE22)*100</f>
        <v>0.76935679268888202</v>
      </c>
      <c r="U22" s="13">
        <f>($G22/$AD22)*100</f>
        <v>0.68388769928526516</v>
      </c>
      <c r="V22" s="13">
        <f t="shared" si="7"/>
        <v>1.8464563024533167</v>
      </c>
      <c r="W22" s="13">
        <f t="shared" si="7"/>
        <v>1.6413304782846365</v>
      </c>
      <c r="X22" s="13">
        <f>($I22/$AE22)*100</f>
        <v>1.2309708683022111</v>
      </c>
      <c r="Y22" s="13">
        <f>($I22/AD22)*100</f>
        <v>1.0942203188564243</v>
      </c>
      <c r="Z22" s="13">
        <f>($J22/$AE22)*100</f>
        <v>0.61548543415110557</v>
      </c>
      <c r="AA22" s="13">
        <f>($J22/$AD22)*100</f>
        <v>0.54711015942821217</v>
      </c>
      <c r="AB22" s="13">
        <f>($K22/$AE22)*100</f>
        <v>0</v>
      </c>
      <c r="AC22" s="13">
        <f>($K22/$AD22)*100</f>
        <v>0</v>
      </c>
      <c r="AD22" s="14">
        <v>417.89075855828003</v>
      </c>
      <c r="AE22" s="15">
        <v>371.46659669328</v>
      </c>
      <c r="AF22">
        <f>D22/(D22+H22)</f>
        <v>0.7735849056603773</v>
      </c>
      <c r="AG22">
        <f>(F22/(D22+H22))</f>
        <v>0.69811320754716977</v>
      </c>
      <c r="AH22">
        <f>(E22/(D22+H22))</f>
        <v>7.5471698113207544E-2</v>
      </c>
      <c r="AI22">
        <f>(G22/(D22+H22))</f>
        <v>9.4339622641509413E-2</v>
      </c>
      <c r="AJ22">
        <f>(F22/(D22))</f>
        <v>0.90243902439024393</v>
      </c>
      <c r="AK22">
        <f>E22/D22</f>
        <v>9.7560975609756087E-2</v>
      </c>
      <c r="AL22">
        <f>(H22/(C22+H22))</f>
        <v>0.20689655172413796</v>
      </c>
      <c r="AM22">
        <f>(I22/(D22+H22))</f>
        <v>0.15094339622641509</v>
      </c>
      <c r="AN22">
        <f>(J22/(D22+H22))</f>
        <v>7.5471698113207544E-2</v>
      </c>
      <c r="AO22">
        <f>(I22/H22)</f>
        <v>0.66666666666666663</v>
      </c>
      <c r="AP22">
        <f>J22/H22</f>
        <v>0.33333333333333331</v>
      </c>
      <c r="AQ22">
        <f>(D22+H22)/AD22</f>
        <v>7.2492096124238112E-2</v>
      </c>
    </row>
    <row r="23" spans="1:43" x14ac:dyDescent="0.35">
      <c r="A23" s="17" t="s">
        <v>49</v>
      </c>
      <c r="B23" s="11" t="s">
        <v>66</v>
      </c>
      <c r="C23" s="28">
        <f t="shared" si="0"/>
        <v>27.998705557429702</v>
      </c>
      <c r="D23" s="12">
        <f t="shared" si="1"/>
        <v>25.918306382883841</v>
      </c>
      <c r="E23" s="19">
        <v>4.0163261841927023</v>
      </c>
      <c r="F23" s="19">
        <v>21.901980198691138</v>
      </c>
      <c r="G23" s="19">
        <v>2.0803991745458603</v>
      </c>
      <c r="H23" s="13">
        <f t="shared" si="2"/>
        <v>11.153251130204193</v>
      </c>
      <c r="I23" s="20">
        <v>0.9535162883335192</v>
      </c>
      <c r="J23" s="20">
        <v>10.199734841870674</v>
      </c>
      <c r="K23" s="13">
        <v>0</v>
      </c>
      <c r="L23" s="13">
        <f t="shared" si="3"/>
        <v>7.810825703523264</v>
      </c>
      <c r="M23" s="13">
        <f t="shared" si="4"/>
        <v>7.2304547534162724</v>
      </c>
      <c r="N23" s="13">
        <f t="shared" si="5"/>
        <v>8.1500425266154544</v>
      </c>
      <c r="O23" s="13">
        <f t="shared" si="6"/>
        <v>7.5696715765084619</v>
      </c>
      <c r="P23" s="13">
        <f>($E23/$AE23)*100</f>
        <v>1.1204383620121092</v>
      </c>
      <c r="Q23" s="13">
        <f>($E23/$AD23)*100</f>
        <v>1.1730037337064394</v>
      </c>
      <c r="R23" s="13">
        <f>($F23/$AE23)*100</f>
        <v>6.1100163914041632</v>
      </c>
      <c r="S23" s="13">
        <f>($F23/$AD23)*100</f>
        <v>6.3966678428020227</v>
      </c>
      <c r="T23" s="13">
        <f>($G23/$AE23)*100</f>
        <v>0.5803709501069918</v>
      </c>
      <c r="U23" s="13">
        <f>($G23/$AD23)*100</f>
        <v>0.60759905630837163</v>
      </c>
      <c r="V23" s="13">
        <f t="shared" si="7"/>
        <v>3.1114331491847054</v>
      </c>
      <c r="W23" s="13">
        <f t="shared" si="7"/>
        <v>3.257406051875436</v>
      </c>
      <c r="X23" s="13">
        <f>($I23/$AE23)*100</f>
        <v>0.2660033521323712</v>
      </c>
      <c r="Y23" s="13">
        <f>($I23/AD23)*100</f>
        <v>0.27848290080800364</v>
      </c>
      <c r="Z23" s="13">
        <f>($J23/$AE23)*100</f>
        <v>2.8454297970523341</v>
      </c>
      <c r="AA23" s="13">
        <f>($J23/$AD23)*100</f>
        <v>2.9789231510674323</v>
      </c>
      <c r="AB23" s="13">
        <f>($K23/$AE23)*100</f>
        <v>0</v>
      </c>
      <c r="AC23" s="13">
        <f>($K23/$AD23)*100</f>
        <v>0</v>
      </c>
      <c r="AD23" s="14">
        <v>342.39670930134002</v>
      </c>
      <c r="AE23" s="15">
        <v>358.46025273358998</v>
      </c>
      <c r="AF23">
        <f>D23/(D23+H23)</f>
        <v>0.69914263445050662</v>
      </c>
      <c r="AG23">
        <f>(F23/(D23+H23))</f>
        <v>0.59080280592361645</v>
      </c>
      <c r="AH23">
        <f>(E23/(D23+H23))</f>
        <v>0.1083398285268901</v>
      </c>
      <c r="AI23">
        <f>(G23/(D23+H23))</f>
        <v>5.6118472330475448E-2</v>
      </c>
      <c r="AJ23">
        <f>(F23/(D23))</f>
        <v>0.84503901895206235</v>
      </c>
      <c r="AK23">
        <f>E23/D23</f>
        <v>0.15496098104793757</v>
      </c>
      <c r="AL23">
        <f>(H23/(C23+H23))</f>
        <v>0.284870848708487</v>
      </c>
      <c r="AM23">
        <f>(I23/(D23+H23))</f>
        <v>2.5720966484801246E-2</v>
      </c>
      <c r="AN23">
        <f>(J23/(D23+H23))</f>
        <v>0.27513639906469206</v>
      </c>
      <c r="AO23">
        <f>(I23/H23)</f>
        <v>8.5492227979274624E-2</v>
      </c>
      <c r="AP23">
        <f>J23/H23</f>
        <v>0.91450777202072542</v>
      </c>
      <c r="AQ23">
        <f>(D23+H23)/AD23</f>
        <v>0.10827077628383899</v>
      </c>
    </row>
    <row r="24" spans="1:43" x14ac:dyDescent="0.35">
      <c r="A24" s="21" t="s">
        <v>50</v>
      </c>
      <c r="B24" s="11" t="s">
        <v>66</v>
      </c>
      <c r="C24" s="28">
        <f t="shared" si="0"/>
        <v>2.6412118346100706</v>
      </c>
      <c r="D24" s="12">
        <f t="shared" si="1"/>
        <v>2.6412118346100706</v>
      </c>
      <c r="E24" s="19">
        <v>0.2311060355223796</v>
      </c>
      <c r="F24" s="19">
        <v>2.4101057990876908</v>
      </c>
      <c r="G24" s="13">
        <v>0</v>
      </c>
      <c r="H24" s="13">
        <f t="shared" si="2"/>
        <v>1.0485610983298868</v>
      </c>
      <c r="I24" s="20">
        <v>0.2311060355223796</v>
      </c>
      <c r="J24" s="20">
        <v>0.81745506280750724</v>
      </c>
      <c r="K24" s="13">
        <v>0</v>
      </c>
      <c r="L24" s="13">
        <f t="shared" si="3"/>
        <v>8.7573111594010662</v>
      </c>
      <c r="M24" s="13">
        <f t="shared" si="4"/>
        <v>8.7573111594010662</v>
      </c>
      <c r="N24" s="13">
        <f t="shared" si="5"/>
        <v>4.7655871856594887</v>
      </c>
      <c r="O24" s="13">
        <f t="shared" si="6"/>
        <v>4.7655871856594887</v>
      </c>
      <c r="P24" s="13">
        <f>($E24/$AE24)*100</f>
        <v>0.76626472642769428</v>
      </c>
      <c r="Q24" s="13">
        <f>($E24/$AD24)*100</f>
        <v>0.41698887873437651</v>
      </c>
      <c r="R24" s="13">
        <f>($F24/$AE24)*100</f>
        <v>7.9910464329733726</v>
      </c>
      <c r="S24" s="13">
        <f>($F24/$AD24)*100</f>
        <v>4.348598306925112</v>
      </c>
      <c r="T24" s="13">
        <f>($G24/$AE24)*100</f>
        <v>0</v>
      </c>
      <c r="U24" s="13">
        <f>($G24/$AD24)*100</f>
        <v>0</v>
      </c>
      <c r="V24" s="13">
        <f t="shared" si="7"/>
        <v>3.4766525302480353</v>
      </c>
      <c r="W24" s="13">
        <f t="shared" si="7"/>
        <v>1.8919381126882124</v>
      </c>
      <c r="X24" s="13">
        <f>($I24/$AE24)*100</f>
        <v>0.76626472642769428</v>
      </c>
      <c r="Y24" s="13">
        <f>($I24/AD24)*100</f>
        <v>0.41698887873437651</v>
      </c>
      <c r="Z24" s="13">
        <f>($J24/$AE24)*100</f>
        <v>2.7103878038203408</v>
      </c>
      <c r="AA24" s="13">
        <f>($J24/$AD24)*100</f>
        <v>1.4749492339538359</v>
      </c>
      <c r="AB24" s="13">
        <f>($K24/$AE24)*100</f>
        <v>0</v>
      </c>
      <c r="AC24" s="13">
        <f>($K24/$AD24)*100</f>
        <v>0</v>
      </c>
      <c r="AD24" s="22">
        <v>55.422589739999999</v>
      </c>
      <c r="AE24" s="15">
        <v>30.160077523049999</v>
      </c>
      <c r="AF24">
        <f>D24/(D24+H24)</f>
        <v>0.71581961345940914</v>
      </c>
      <c r="AG24">
        <f>(F24/(D24+H24))</f>
        <v>0.65318539728333735</v>
      </c>
      <c r="AH24">
        <f>(E24/(D24+H24))</f>
        <v>6.2634216176071761E-2</v>
      </c>
      <c r="AI24">
        <f>(G24/(D24+H24))</f>
        <v>0</v>
      </c>
      <c r="AJ24">
        <f>(F24/(D24))</f>
        <v>0.91250000000227227</v>
      </c>
      <c r="AK24">
        <f>E24/D24</f>
        <v>8.7499999997727715E-2</v>
      </c>
      <c r="AL24">
        <f>(H24/(C24+H24))</f>
        <v>0.28418038654059086</v>
      </c>
      <c r="AM24">
        <f>(I24/(D24+H24))</f>
        <v>6.2634216176071761E-2</v>
      </c>
      <c r="AN24">
        <f>(J24/(D24+H24))</f>
        <v>0.22154617036451915</v>
      </c>
      <c r="AO24">
        <f>(I24/H24)</f>
        <v>0.22040302266646894</v>
      </c>
      <c r="AP24">
        <f>J24/H24</f>
        <v>0.77959697733353117</v>
      </c>
      <c r="AQ24">
        <f>(D24+H24)/AD24</f>
        <v>6.657525298347701E-2</v>
      </c>
    </row>
    <row r="25" spans="1:43" x14ac:dyDescent="0.35">
      <c r="A25" s="17" t="s">
        <v>51</v>
      </c>
      <c r="B25" s="11" t="s">
        <v>66</v>
      </c>
      <c r="C25" s="28">
        <f t="shared" si="0"/>
        <v>5.0984998337062546</v>
      </c>
      <c r="D25" s="12">
        <f t="shared" si="1"/>
        <v>2.5949763727608071</v>
      </c>
      <c r="E25" s="19">
        <v>0.57158069884599272</v>
      </c>
      <c r="F25" s="19">
        <v>2.0233956739148145</v>
      </c>
      <c r="G25" s="19">
        <v>2.503523460945448</v>
      </c>
      <c r="H25" s="13">
        <f t="shared" si="2"/>
        <v>1.9662376040302147</v>
      </c>
      <c r="I25" s="20">
        <v>0.36581164726143534</v>
      </c>
      <c r="J25" s="20">
        <v>1.6004259567687795</v>
      </c>
      <c r="K25" s="13">
        <v>0</v>
      </c>
      <c r="L25" s="13">
        <f t="shared" si="3"/>
        <v>10.574121808189499</v>
      </c>
      <c r="M25" s="13">
        <f t="shared" si="4"/>
        <v>5.3818960772623692</v>
      </c>
      <c r="N25" s="13">
        <f t="shared" si="5"/>
        <v>7.8637114965225239</v>
      </c>
      <c r="O25" s="13">
        <f t="shared" si="6"/>
        <v>2.6714857655953939</v>
      </c>
      <c r="P25" s="13">
        <f>($E25/$AE25)*100</f>
        <v>1.1854396645952354</v>
      </c>
      <c r="Q25" s="13">
        <f>($E25/$AD25)*100</f>
        <v>0.5884329880166066</v>
      </c>
      <c r="R25" s="13">
        <f>($F25/$AE25)*100</f>
        <v>4.1964564126671338</v>
      </c>
      <c r="S25" s="13">
        <f>($F25/$AD25)*100</f>
        <v>2.0830527775787875</v>
      </c>
      <c r="T25" s="13">
        <f>($G25/$AE25)*100</f>
        <v>5.19222573092713</v>
      </c>
      <c r="U25" s="13">
        <f>($G25/$AD25)*100</f>
        <v>2.5773364875127363</v>
      </c>
      <c r="V25" s="13">
        <f t="shared" si="7"/>
        <v>4.0779124462076091</v>
      </c>
      <c r="W25" s="13">
        <f t="shared" si="7"/>
        <v>2.0242094787771263</v>
      </c>
      <c r="X25" s="13">
        <f>($I25/$AE25)*100</f>
        <v>0.75868138534095053</v>
      </c>
      <c r="Y25" s="13">
        <f>($I25/AD25)*100</f>
        <v>0.3765971123306282</v>
      </c>
      <c r="Z25" s="13">
        <f>($J25/$AE25)*100</f>
        <v>3.3192310608666586</v>
      </c>
      <c r="AA25" s="13">
        <f>($J25/$AD25)*100</f>
        <v>1.6476123664464981</v>
      </c>
      <c r="AB25" s="13">
        <f>($K25/$AE25)*100</f>
        <v>0</v>
      </c>
      <c r="AC25" s="13">
        <f>($K25/$AD25)*100</f>
        <v>0</v>
      </c>
      <c r="AD25" s="14">
        <v>97.136073348400004</v>
      </c>
      <c r="AE25" s="15">
        <v>48.216768505140003</v>
      </c>
      <c r="AF25">
        <f>D25/(D25+H25)</f>
        <v>0.56892230576441105</v>
      </c>
      <c r="AG25">
        <f>(F25/(D25+H25))</f>
        <v>0.44360902255639101</v>
      </c>
      <c r="AH25">
        <f>(E25/(D25+H25))</f>
        <v>0.12531328320802004</v>
      </c>
      <c r="AI25">
        <f>(G25/(D25+H25))</f>
        <v>0.54887218045112784</v>
      </c>
      <c r="AJ25">
        <f>(F25/(D25))</f>
        <v>0.77973568281938332</v>
      </c>
      <c r="AK25">
        <f>E25/D25</f>
        <v>0.22026431718061673</v>
      </c>
      <c r="AL25">
        <f>(H25/(C25+H25))</f>
        <v>0.27831715210355989</v>
      </c>
      <c r="AM25">
        <f>(I25/(D25+H25))</f>
        <v>8.0200501253132828E-2</v>
      </c>
      <c r="AN25">
        <f>(J25/(D25+H25))</f>
        <v>0.35087719298245612</v>
      </c>
      <c r="AO25">
        <f>(I25/H25)</f>
        <v>0.186046511627907</v>
      </c>
      <c r="AP25">
        <f>J25/H25</f>
        <v>0.81395348837209303</v>
      </c>
      <c r="AQ25">
        <f>(D25+H25)/AD25</f>
        <v>4.6956952443725199E-2</v>
      </c>
    </row>
    <row r="26" spans="1:43" x14ac:dyDescent="0.35">
      <c r="A26" s="17" t="s">
        <v>52</v>
      </c>
      <c r="B26" s="11" t="s">
        <v>66</v>
      </c>
      <c r="C26" s="28">
        <f t="shared" si="0"/>
        <v>8.7583886403939886</v>
      </c>
      <c r="D26" s="12">
        <f t="shared" si="1"/>
        <v>3.5438003328451551</v>
      </c>
      <c r="E26" s="19">
        <v>0.2286322795383971</v>
      </c>
      <c r="F26" s="19">
        <v>3.315168053306758</v>
      </c>
      <c r="G26" s="19">
        <v>5.2145883075488326</v>
      </c>
      <c r="H26" s="13">
        <f t="shared" si="2"/>
        <v>2.8579034942299635</v>
      </c>
      <c r="I26" s="20">
        <v>0</v>
      </c>
      <c r="J26" s="20">
        <v>2.8579034942299635</v>
      </c>
      <c r="K26" s="20">
        <v>1.2574775374611842</v>
      </c>
      <c r="L26" s="13">
        <f t="shared" si="3"/>
        <v>13.159131848923685</v>
      </c>
      <c r="M26" s="13">
        <f t="shared" si="4"/>
        <v>5.3244195640159759</v>
      </c>
      <c r="N26" s="13">
        <f t="shared" si="5"/>
        <v>13.17630741096654</v>
      </c>
      <c r="O26" s="13">
        <f t="shared" si="6"/>
        <v>5.3415951260588308</v>
      </c>
      <c r="P26" s="13">
        <f>($E26/$AE26)*100</f>
        <v>0.34351093961393397</v>
      </c>
      <c r="Q26" s="13">
        <f>($E26/$AD26)*100</f>
        <v>0.34461904039089231</v>
      </c>
      <c r="R26" s="13">
        <f>($F26/$AE26)*100</f>
        <v>4.9809086244020424</v>
      </c>
      <c r="S26" s="13">
        <f>($F26/$AD26)*100</f>
        <v>4.9969760856679386</v>
      </c>
      <c r="T26" s="13">
        <f>($G26/$AE26)*100</f>
        <v>7.8347122849077095</v>
      </c>
      <c r="U26" s="13">
        <f>($G26/$AD26)*100</f>
        <v>7.8599855725063756</v>
      </c>
      <c r="V26" s="13">
        <f t="shared" si="7"/>
        <v>4.2938867451741736</v>
      </c>
      <c r="W26" s="13">
        <f t="shared" si="7"/>
        <v>4.3077380048861542</v>
      </c>
      <c r="X26" s="13">
        <f>($I26/$AE26)*100</f>
        <v>0</v>
      </c>
      <c r="Y26" s="13">
        <f>($I26/AD26)*100</f>
        <v>0</v>
      </c>
      <c r="Z26" s="13">
        <f>($J26/$AE26)*100</f>
        <v>4.2938867451741736</v>
      </c>
      <c r="AA26" s="13">
        <f>($J26/$AD26)*100</f>
        <v>4.3077380048861542</v>
      </c>
      <c r="AB26" s="13">
        <f>($K26/$AE26)*100</f>
        <v>1.8893101678766371</v>
      </c>
      <c r="AC26" s="13">
        <f>($K26/$AD26)*100</f>
        <v>1.8954047221499077</v>
      </c>
      <c r="AD26" s="14">
        <v>66.343484468840003</v>
      </c>
      <c r="AE26" s="15">
        <v>66.557495896739994</v>
      </c>
      <c r="AF26">
        <f>D26/(D26+H26)</f>
        <v>0.5535714285714286</v>
      </c>
      <c r="AG26">
        <f>(F26/(D26+H26))</f>
        <v>0.5178571428571429</v>
      </c>
      <c r="AH26">
        <f>(E26/(D26+H26))</f>
        <v>3.5714285714285712E-2</v>
      </c>
      <c r="AI26">
        <f>(G26/(D26+H26))</f>
        <v>0.81456256777991731</v>
      </c>
      <c r="AJ26">
        <f>(F26/(D26))</f>
        <v>0.93548387096774199</v>
      </c>
      <c r="AK26">
        <f>E26/D26</f>
        <v>6.4516129032258063E-2</v>
      </c>
      <c r="AL26">
        <f>(H26/(C26+H26))</f>
        <v>0.24602544952460262</v>
      </c>
      <c r="AM26">
        <f>(I26/(D26+H26))</f>
        <v>0</v>
      </c>
      <c r="AN26">
        <f>(J26/(D26+H26))</f>
        <v>0.4464285714285714</v>
      </c>
      <c r="AO26">
        <f>(I26/H26)</f>
        <v>0</v>
      </c>
      <c r="AP26">
        <f>J26/H26</f>
        <v>1</v>
      </c>
      <c r="AQ26">
        <f>(D26+H26)/AD26</f>
        <v>9.6493331309449856E-2</v>
      </c>
    </row>
    <row r="27" spans="1:43" x14ac:dyDescent="0.35">
      <c r="A27" s="17" t="s">
        <v>53</v>
      </c>
      <c r="B27" s="11" t="s">
        <v>66</v>
      </c>
      <c r="C27" s="28">
        <f t="shared" si="0"/>
        <v>67</v>
      </c>
      <c r="D27" s="12">
        <f t="shared" si="1"/>
        <v>22</v>
      </c>
      <c r="E27" s="13">
        <v>0</v>
      </c>
      <c r="F27" s="13">
        <v>22</v>
      </c>
      <c r="G27" s="13">
        <v>45</v>
      </c>
      <c r="H27" s="13">
        <f t="shared" si="2"/>
        <v>0</v>
      </c>
      <c r="I27" s="13">
        <v>0</v>
      </c>
      <c r="J27" s="13">
        <v>0</v>
      </c>
      <c r="K27" s="13">
        <v>0</v>
      </c>
      <c r="L27" s="13">
        <f t="shared" si="3"/>
        <v>7.9738132492564526</v>
      </c>
      <c r="M27" s="13">
        <f t="shared" si="4"/>
        <v>2.6182670370692831</v>
      </c>
      <c r="N27" s="13">
        <f t="shared" si="5"/>
        <v>7.7149462540476463</v>
      </c>
      <c r="O27" s="13">
        <f t="shared" si="6"/>
        <v>2.3594000418604768</v>
      </c>
      <c r="P27" s="13">
        <f>($E27/$AE27)*100</f>
        <v>0</v>
      </c>
      <c r="Q27" s="13">
        <f>($E27/$AD27)*100</f>
        <v>0</v>
      </c>
      <c r="R27" s="13">
        <f>($F27/$AE27)*100</f>
        <v>2.6182670370692831</v>
      </c>
      <c r="S27" s="13">
        <f>($F27/$AD27)*100</f>
        <v>2.3594000418604768</v>
      </c>
      <c r="T27" s="13">
        <f>($G27/$AE27)*100</f>
        <v>5.3555462121871695</v>
      </c>
      <c r="U27" s="13">
        <f>($G27/$AD27)*100</f>
        <v>4.826045540169158</v>
      </c>
      <c r="V27" s="13">
        <f t="shared" si="7"/>
        <v>0</v>
      </c>
      <c r="W27" s="13">
        <f t="shared" si="7"/>
        <v>0</v>
      </c>
      <c r="X27" s="13">
        <f>($I27/$AE27)*100</f>
        <v>0</v>
      </c>
      <c r="Y27" s="13">
        <f>($I27/AD27)*100</f>
        <v>0</v>
      </c>
      <c r="Z27" s="13">
        <f>($J27/$AE27)*100</f>
        <v>0</v>
      </c>
      <c r="AA27" s="13">
        <f>($J27/$AD27)*100</f>
        <v>0</v>
      </c>
      <c r="AB27" s="13">
        <f>($K27/$AE27)*100</f>
        <v>0</v>
      </c>
      <c r="AC27" s="13">
        <f>($K27/$AD27)*100</f>
        <v>0</v>
      </c>
      <c r="AD27" s="14">
        <v>932.44043441874999</v>
      </c>
      <c r="AE27" s="15">
        <v>840.25042856688003</v>
      </c>
      <c r="AF27">
        <f>D27/(D27+H27)</f>
        <v>1</v>
      </c>
      <c r="AG27">
        <f>(F27/(D27+H27))</f>
        <v>1</v>
      </c>
      <c r="AH27">
        <f>(E27/(D27+H27))</f>
        <v>0</v>
      </c>
      <c r="AI27">
        <f>(G27/(D27+H27))</f>
        <v>2.0454545454545454</v>
      </c>
      <c r="AJ27">
        <f>(F27/(D27))</f>
        <v>1</v>
      </c>
      <c r="AK27">
        <f>E27/D27</f>
        <v>0</v>
      </c>
      <c r="AL27">
        <f>(H27/(C27+H27))</f>
        <v>0</v>
      </c>
      <c r="AM27">
        <f>(I27/(D27+H27))</f>
        <v>0</v>
      </c>
      <c r="AN27">
        <f>(J27/(D27+H27))</f>
        <v>0</v>
      </c>
      <c r="AO27" t="e">
        <f>(I27/H27)</f>
        <v>#DIV/0!</v>
      </c>
      <c r="AP27" t="e">
        <f>J27/H27</f>
        <v>#DIV/0!</v>
      </c>
      <c r="AQ27">
        <f>(D27+H27)/AD27</f>
        <v>2.3594000418604769E-2</v>
      </c>
    </row>
    <row r="28" spans="1:43" x14ac:dyDescent="0.35">
      <c r="A28" s="17" t="s">
        <v>54</v>
      </c>
      <c r="B28" s="11" t="s">
        <v>66</v>
      </c>
      <c r="C28" s="28">
        <f t="shared" si="0"/>
        <v>11.088515533797038</v>
      </c>
      <c r="D28" s="12">
        <f t="shared" si="1"/>
        <v>11.088515533797038</v>
      </c>
      <c r="E28" s="18">
        <v>0.31570903379703813</v>
      </c>
      <c r="F28" s="13">
        <v>10.7728065</v>
      </c>
      <c r="G28" s="13">
        <v>0</v>
      </c>
      <c r="H28" s="13">
        <f t="shared" si="2"/>
        <v>6.6522016324629796</v>
      </c>
      <c r="I28" s="23">
        <v>2.7058387100000001</v>
      </c>
      <c r="J28" s="13">
        <v>3.9463629224629799</v>
      </c>
      <c r="K28" s="13"/>
      <c r="L28" s="13">
        <f t="shared" si="3"/>
        <v>5.4639624481968951</v>
      </c>
      <c r="M28" s="13">
        <f t="shared" si="4"/>
        <v>5.4639624481968951</v>
      </c>
      <c r="N28" s="13">
        <f t="shared" si="5"/>
        <v>5.7165015304406683</v>
      </c>
      <c r="O28" s="13">
        <f t="shared" si="6"/>
        <v>5.7165015304406683</v>
      </c>
      <c r="P28" s="13">
        <f>($E28/$AE28)*100</f>
        <v>0.15556837161527984</v>
      </c>
      <c r="Q28" s="13">
        <f>($E28/$AD28)*100</f>
        <v>0.16275859192999773</v>
      </c>
      <c r="R28" s="13">
        <f>($F28/$AE28)*100</f>
        <v>5.3083940765816156</v>
      </c>
      <c r="S28" s="13">
        <f>($F28/$AD28)*100</f>
        <v>5.5537429385106707</v>
      </c>
      <c r="T28" s="13">
        <f>($G28/$AE28)*100</f>
        <v>0</v>
      </c>
      <c r="U28" s="13">
        <f>($G28/$AD28)*100</f>
        <v>0</v>
      </c>
      <c r="V28" s="13">
        <f t="shared" si="7"/>
        <v>3.2779301978544808</v>
      </c>
      <c r="W28" s="13">
        <f t="shared" si="7"/>
        <v>3.4294329747629302</v>
      </c>
      <c r="X28" s="13">
        <f>($I28/$AE28)*100</f>
        <v>1.3333255526634809</v>
      </c>
      <c r="Y28" s="13">
        <f>($I28/AD28)*100</f>
        <v>1.3949505756379568</v>
      </c>
      <c r="Z28" s="13">
        <f>($J28/$AE28)*100</f>
        <v>1.9446046451909997</v>
      </c>
      <c r="AA28" s="13">
        <f>($J28/$AD28)*100</f>
        <v>2.0344823991249732</v>
      </c>
      <c r="AB28" s="13">
        <f>($K28/$AE28)*100</f>
        <v>0</v>
      </c>
      <c r="AC28" s="13">
        <f>($K28/$AD28)*100</f>
        <v>0</v>
      </c>
      <c r="AD28" s="14">
        <v>193.97380504054999</v>
      </c>
      <c r="AE28" s="15">
        <v>202.93908750153</v>
      </c>
      <c r="AF28">
        <f>D28/(D28+H28)</f>
        <v>0.62503197756207984</v>
      </c>
      <c r="AG28">
        <f>(F28/(D28+H28))</f>
        <v>0.60723624637273055</v>
      </c>
      <c r="AH28">
        <f>(E28/(D28+H28))</f>
        <v>1.7795731189349309E-2</v>
      </c>
      <c r="AI28">
        <f>(G28/(D28+H28))</f>
        <v>0</v>
      </c>
      <c r="AJ28">
        <f>(F28/(D28))</f>
        <v>0.97152828682660197</v>
      </c>
      <c r="AK28">
        <f>E28/D28</f>
        <v>2.8471713173398059E-2</v>
      </c>
      <c r="AL28">
        <f>(H28/(C28+H28))</f>
        <v>0.37496802243791999</v>
      </c>
      <c r="AM28">
        <f>(I28/(D28+H28))</f>
        <v>0.15252138257105347</v>
      </c>
      <c r="AN28">
        <f>(J28/(D28+H28))</f>
        <v>0.22244663986686655</v>
      </c>
      <c r="AO28">
        <f>(I28/H28)</f>
        <v>0.40675837256577002</v>
      </c>
      <c r="AP28">
        <f>J28/H28</f>
        <v>0.59324162743423003</v>
      </c>
      <c r="AQ28">
        <f>(D28+H28)/AD28</f>
        <v>9.1459345052035984E-2</v>
      </c>
    </row>
    <row r="29" spans="1:43" x14ac:dyDescent="0.35">
      <c r="A29" s="17" t="s">
        <v>55</v>
      </c>
      <c r="B29" s="11" t="s">
        <v>66</v>
      </c>
      <c r="C29" s="28">
        <f t="shared" si="0"/>
        <v>8.1</v>
      </c>
      <c r="D29" s="12">
        <f t="shared" si="1"/>
        <v>8.1</v>
      </c>
      <c r="E29" s="13">
        <v>0</v>
      </c>
      <c r="F29" s="13">
        <v>8.1</v>
      </c>
      <c r="G29" s="13">
        <v>0</v>
      </c>
      <c r="H29" s="13">
        <f t="shared" si="2"/>
        <v>10.6</v>
      </c>
      <c r="I29" s="13">
        <v>5.3</v>
      </c>
      <c r="J29" s="13">
        <v>5.3</v>
      </c>
      <c r="K29" s="13">
        <v>0</v>
      </c>
      <c r="L29" s="13">
        <f t="shared" si="3"/>
        <v>1.9744090578931335</v>
      </c>
      <c r="M29" s="13">
        <f t="shared" si="4"/>
        <v>1.9744090578931335</v>
      </c>
      <c r="N29" s="13">
        <f t="shared" si="5"/>
        <v>2.4511712488266704</v>
      </c>
      <c r="O29" s="13">
        <f t="shared" si="6"/>
        <v>2.4511712488266704</v>
      </c>
      <c r="P29" s="13">
        <f>($E29/$AE29)*100</f>
        <v>0</v>
      </c>
      <c r="Q29" s="13">
        <f>($E29/$AD29)*100</f>
        <v>0</v>
      </c>
      <c r="R29" s="13">
        <f>($F29/$AE29)*100</f>
        <v>1.9744090578931335</v>
      </c>
      <c r="S29" s="13">
        <f>($F29/$AD29)*100</f>
        <v>2.4511712488266704</v>
      </c>
      <c r="T29" s="13">
        <f>($G29/$AE29)*100</f>
        <v>0</v>
      </c>
      <c r="U29" s="13">
        <f>($G29/$AD29)*100</f>
        <v>0</v>
      </c>
      <c r="V29" s="13">
        <f t="shared" si="7"/>
        <v>2.5837945695885449</v>
      </c>
      <c r="W29" s="13">
        <f t="shared" si="7"/>
        <v>3.2077055848842844</v>
      </c>
      <c r="X29" s="13">
        <f>($I29/$AE29)*100</f>
        <v>1.2918972847942725</v>
      </c>
      <c r="Y29" s="13">
        <f>($I29/AD29)*100</f>
        <v>1.6038527924421422</v>
      </c>
      <c r="Z29" s="13">
        <f>($J29/$AE29)*100</f>
        <v>1.2918972847942725</v>
      </c>
      <c r="AA29" s="13">
        <f>($J29/$AD29)*100</f>
        <v>1.6038527924421422</v>
      </c>
      <c r="AB29" s="13">
        <f>($K29/$AE29)*100</f>
        <v>0</v>
      </c>
      <c r="AC29" s="13">
        <f>($K29/$AD29)*100</f>
        <v>0</v>
      </c>
      <c r="AD29" s="14">
        <v>330.45426768437</v>
      </c>
      <c r="AE29" s="15">
        <v>410.24933347112</v>
      </c>
      <c r="AF29">
        <f>D29/(D29+H29)</f>
        <v>0.43315508021390375</v>
      </c>
      <c r="AG29">
        <f>(F29/(D29+H29))</f>
        <v>0.43315508021390375</v>
      </c>
      <c r="AH29">
        <f>(E29/(D29+H29))</f>
        <v>0</v>
      </c>
      <c r="AI29">
        <f>(G29/(D29+H29))</f>
        <v>0</v>
      </c>
      <c r="AJ29">
        <f>(F29/(D29))</f>
        <v>1</v>
      </c>
      <c r="AK29">
        <f>E29/D29</f>
        <v>0</v>
      </c>
      <c r="AL29">
        <f>(H29/(C29+H29))</f>
        <v>0.5668449197860963</v>
      </c>
      <c r="AM29">
        <f>(I29/(D29+H29))</f>
        <v>0.28342245989304815</v>
      </c>
      <c r="AN29">
        <f>(J29/(D29+H29))</f>
        <v>0.28342245989304815</v>
      </c>
      <c r="AO29">
        <f>(I29/H29)</f>
        <v>0.5</v>
      </c>
      <c r="AP29">
        <f>J29/H29</f>
        <v>0.5</v>
      </c>
      <c r="AQ29">
        <f>(D29+H29)/AD29</f>
        <v>5.6588768337109546E-2</v>
      </c>
    </row>
    <row r="30" spans="1:43" x14ac:dyDescent="0.35">
      <c r="A30" s="17" t="s">
        <v>56</v>
      </c>
      <c r="B30" s="11" t="s">
        <v>66</v>
      </c>
      <c r="C30" s="28">
        <f t="shared" si="0"/>
        <v>16.232891847226192</v>
      </c>
      <c r="D30" s="12">
        <f t="shared" si="1"/>
        <v>7.2019168054595077</v>
      </c>
      <c r="E30" s="19">
        <v>1.8290582363071768</v>
      </c>
      <c r="F30" s="19">
        <v>5.3728585691523305</v>
      </c>
      <c r="G30" s="19">
        <v>9.0309750417666859</v>
      </c>
      <c r="H30" s="13">
        <f t="shared" si="2"/>
        <v>14.861098169995811</v>
      </c>
      <c r="I30" s="19">
        <v>0</v>
      </c>
      <c r="J30" s="19">
        <v>14.861098169995811</v>
      </c>
      <c r="K30" s="19">
        <v>0</v>
      </c>
      <c r="L30" s="13">
        <f t="shared" si="3"/>
        <v>7.3001969797441815</v>
      </c>
      <c r="M30" s="13">
        <f t="shared" si="4"/>
        <v>3.2388197867879107</v>
      </c>
      <c r="N30" s="13">
        <f t="shared" si="5"/>
        <v>6.1720397567338532</v>
      </c>
      <c r="O30" s="13">
        <f t="shared" si="6"/>
        <v>2.1106625637775824</v>
      </c>
      <c r="P30" s="13">
        <f>($E30/$AE30)*100</f>
        <v>0.82255740616835848</v>
      </c>
      <c r="Q30" s="13">
        <f>($E30/$AD30)*100</f>
        <v>0.53604128603875123</v>
      </c>
      <c r="R30" s="13">
        <f>($F30/$AE30)*100</f>
        <v>2.4162623806195525</v>
      </c>
      <c r="S30" s="13">
        <f>($F30/$AD30)*100</f>
        <v>1.5746212777388313</v>
      </c>
      <c r="T30" s="13">
        <f>($G30/$AE30)*100</f>
        <v>4.0613771929562708</v>
      </c>
      <c r="U30" s="13">
        <f>($G30/$AD30)*100</f>
        <v>2.6467038498163342</v>
      </c>
      <c r="V30" s="13">
        <f t="shared" si="7"/>
        <v>6.6832789251179126</v>
      </c>
      <c r="W30" s="13">
        <f t="shared" si="7"/>
        <v>4.3553354490648539</v>
      </c>
      <c r="X30" s="13">
        <f>($I30/$AE30)*100</f>
        <v>0</v>
      </c>
      <c r="Y30" s="13">
        <f>($I30/AD30)*100</f>
        <v>0</v>
      </c>
      <c r="Z30" s="13">
        <f>($J30/$AE30)*100</f>
        <v>6.6832789251179126</v>
      </c>
      <c r="AA30" s="13">
        <f>($J30/$AD30)*100</f>
        <v>4.3553354490648539</v>
      </c>
      <c r="AB30" s="13">
        <f>($K30/$AE30)*100</f>
        <v>0</v>
      </c>
      <c r="AC30" s="13">
        <f>($K30/$AD30)*100</f>
        <v>0</v>
      </c>
      <c r="AD30" s="14">
        <v>341.21592570296002</v>
      </c>
      <c r="AE30" s="15">
        <v>222.36238134761999</v>
      </c>
      <c r="AF30">
        <f>D30/(D30+H30)</f>
        <v>0.32642487046632124</v>
      </c>
      <c r="AG30">
        <f>(F30/(D30+H30))</f>
        <v>0.24352331606217614</v>
      </c>
      <c r="AH30">
        <f>(E30/(D30+H30))</f>
        <v>8.2901554404145095E-2</v>
      </c>
      <c r="AI30">
        <f>(G30/(D30+H30))</f>
        <v>0.40932642487046639</v>
      </c>
      <c r="AJ30">
        <f>(F30/(D30))</f>
        <v>0.74603174603174593</v>
      </c>
      <c r="AK30">
        <f>E30/D30</f>
        <v>0.25396825396825401</v>
      </c>
      <c r="AL30">
        <f>(H30/(C30+H30))</f>
        <v>0.47794117647058826</v>
      </c>
      <c r="AM30">
        <f>(I30/(D30+H30))</f>
        <v>0</v>
      </c>
      <c r="AN30">
        <f>(J30/(D30+H30))</f>
        <v>0.67357512953367882</v>
      </c>
      <c r="AO30">
        <f>(I30/H30)</f>
        <v>0</v>
      </c>
      <c r="AP30">
        <f>J30/H30</f>
        <v>1</v>
      </c>
      <c r="AQ30">
        <f>(D30+H30)/AD30</f>
        <v>6.465998012842436E-2</v>
      </c>
    </row>
    <row r="31" spans="1:43" x14ac:dyDescent="0.35">
      <c r="A31" s="17" t="s">
        <v>57</v>
      </c>
      <c r="B31" s="11" t="s">
        <v>66</v>
      </c>
      <c r="C31" s="28">
        <f t="shared" si="0"/>
        <v>3.9210435940835104</v>
      </c>
      <c r="D31" s="12">
        <f t="shared" si="1"/>
        <v>2.5149550749223684</v>
      </c>
      <c r="E31" s="19">
        <v>0.18290582363071767</v>
      </c>
      <c r="F31" s="19">
        <v>2.3320492512916506</v>
      </c>
      <c r="G31" s="19">
        <v>1.4060885191611421</v>
      </c>
      <c r="H31" s="13">
        <f t="shared" si="2"/>
        <v>4.5840772047448617</v>
      </c>
      <c r="I31" s="19">
        <v>0</v>
      </c>
      <c r="J31" s="19">
        <v>4.5840772047448617</v>
      </c>
      <c r="K31" s="19">
        <v>0</v>
      </c>
      <c r="L31" s="13">
        <f t="shared" si="3"/>
        <v>3.9411806160659948</v>
      </c>
      <c r="M31" s="13">
        <f t="shared" si="4"/>
        <v>2.52787094908023</v>
      </c>
      <c r="N31" s="13">
        <f t="shared" si="5"/>
        <v>2.7973451855750651</v>
      </c>
      <c r="O31" s="13">
        <f t="shared" si="6"/>
        <v>1.3840355185893003</v>
      </c>
      <c r="P31" s="13">
        <f>($E31/$AE31)*100</f>
        <v>0.18384515993310763</v>
      </c>
      <c r="Q31" s="13">
        <f>($E31/$AD31)*100</f>
        <v>0.10065712862467636</v>
      </c>
      <c r="R31" s="13">
        <f>($F31/$AE31)*100</f>
        <v>2.3440257891471226</v>
      </c>
      <c r="S31" s="13">
        <f>($F31/$AD31)*100</f>
        <v>1.2833783899646238</v>
      </c>
      <c r="T31" s="13">
        <f>($G31/$AE31)*100</f>
        <v>1.4133096669857648</v>
      </c>
      <c r="U31" s="13">
        <f>($G31/$AD31)*100</f>
        <v>0.77380167630219954</v>
      </c>
      <c r="V31" s="13">
        <f t="shared" si="7"/>
        <v>4.6076193208235097</v>
      </c>
      <c r="W31" s="13">
        <f t="shared" si="7"/>
        <v>2.5227192861559513</v>
      </c>
      <c r="X31" s="13">
        <f>($I31/$AE31)*100</f>
        <v>0</v>
      </c>
      <c r="Y31" s="13">
        <f>($I31/AD31)*100</f>
        <v>0</v>
      </c>
      <c r="Z31" s="13">
        <f>($J31/$AE31)*100</f>
        <v>4.6076193208235097</v>
      </c>
      <c r="AA31" s="13">
        <f>($J31/$AD31)*100</f>
        <v>2.5227192861559513</v>
      </c>
      <c r="AB31" s="13">
        <f>($K31/$AE31)*100</f>
        <v>0</v>
      </c>
      <c r="AC31" s="13">
        <f>($K31/$AD31)*100</f>
        <v>0</v>
      </c>
      <c r="AD31" s="14">
        <v>181.71174374815001</v>
      </c>
      <c r="AE31" s="15">
        <v>99.489061173690004</v>
      </c>
      <c r="AF31">
        <f>D31/(D31+H31)</f>
        <v>0.35426731078904994</v>
      </c>
      <c r="AG31">
        <f>(F31/(D31+H31))</f>
        <v>0.32850241545893721</v>
      </c>
      <c r="AH31">
        <f>(E31/(D31+H31))</f>
        <v>2.5764895330112718E-2</v>
      </c>
      <c r="AI31">
        <f>(G31/(D31+H31))</f>
        <v>0.19806763285024154</v>
      </c>
      <c r="AJ31">
        <f>(F31/(D31))</f>
        <v>0.92727272727272725</v>
      </c>
      <c r="AK31">
        <f>E31/D31</f>
        <v>7.272727272727271E-2</v>
      </c>
      <c r="AL31">
        <f>(H31/(C31+H31))</f>
        <v>0.53897849462365588</v>
      </c>
      <c r="AM31">
        <f>(I31/(D31+H31))</f>
        <v>0</v>
      </c>
      <c r="AN31">
        <f>(J31/(D31+H31))</f>
        <v>0.64573268921095006</v>
      </c>
      <c r="AO31">
        <f>(I31/H31)</f>
        <v>0</v>
      </c>
      <c r="AP31">
        <f>J31/H31</f>
        <v>1</v>
      </c>
      <c r="AQ31">
        <f>(D31+H31)/AD31</f>
        <v>3.9067548047452515E-2</v>
      </c>
    </row>
    <row r="32" spans="1:43" x14ac:dyDescent="0.35">
      <c r="A32" s="17" t="s">
        <v>58</v>
      </c>
      <c r="B32" s="11" t="s">
        <v>66</v>
      </c>
      <c r="C32" s="28">
        <f t="shared" si="0"/>
        <v>4.1153810316911672</v>
      </c>
      <c r="D32" s="12">
        <f t="shared" si="1"/>
        <v>4.1153810316911672</v>
      </c>
      <c r="E32" s="19">
        <v>0.11431613976919908</v>
      </c>
      <c r="F32" s="19">
        <v>4.0010648919219678</v>
      </c>
      <c r="G32" s="19">
        <v>0</v>
      </c>
      <c r="H32" s="13">
        <f t="shared" si="2"/>
        <v>3.3151680533067727</v>
      </c>
      <c r="I32" s="19">
        <v>0.68589683861519435</v>
      </c>
      <c r="J32" s="19">
        <v>2.6292712146915784</v>
      </c>
      <c r="K32" s="19">
        <v>0.11431613976919908</v>
      </c>
      <c r="L32" s="13">
        <f t="shared" si="3"/>
        <v>8.1625269737342627</v>
      </c>
      <c r="M32" s="13">
        <f t="shared" si="4"/>
        <v>8.1625269737342627</v>
      </c>
      <c r="N32" s="13">
        <f t="shared" si="5"/>
        <v>5.4123140293972885</v>
      </c>
      <c r="O32" s="13">
        <f t="shared" si="6"/>
        <v>5.4123140293972885</v>
      </c>
      <c r="P32" s="13">
        <f>($E32/$AE32)*100</f>
        <v>0.22673686038150731</v>
      </c>
      <c r="Q32" s="13">
        <f>($E32/$AD32)*100</f>
        <v>0.1503420563721469</v>
      </c>
      <c r="R32" s="13">
        <f>($F32/$AE32)*100</f>
        <v>7.9357901133527555</v>
      </c>
      <c r="S32" s="13">
        <f>($F32/$AD32)*100</f>
        <v>5.2619719730251413</v>
      </c>
      <c r="T32" s="13">
        <f>($G32/$AE32)*100</f>
        <v>0</v>
      </c>
      <c r="U32" s="13">
        <f>($G32/$AD32)*100</f>
        <v>0</v>
      </c>
      <c r="V32" s="13">
        <f t="shared" si="7"/>
        <v>6.5753689510637106</v>
      </c>
      <c r="W32" s="13">
        <f t="shared" si="7"/>
        <v>4.3599196347922593</v>
      </c>
      <c r="X32" s="13">
        <f>($I32/$AE32)*100</f>
        <v>1.3604211622890434</v>
      </c>
      <c r="Y32" s="13">
        <f>($I32/AD32)*100</f>
        <v>0.90205233823288122</v>
      </c>
      <c r="Z32" s="13">
        <f>($J32/$AE32)*100</f>
        <v>5.2149477887746674</v>
      </c>
      <c r="AA32" s="13">
        <f>($J32/$AD32)*100</f>
        <v>3.4578672965593782</v>
      </c>
      <c r="AB32" s="13">
        <f>($K32/$AE32)*100</f>
        <v>0.22673686038150731</v>
      </c>
      <c r="AC32" s="13">
        <f>($K32/$AD32)*100</f>
        <v>0.1503420563721469</v>
      </c>
      <c r="AD32" s="14">
        <v>76.037366075549997</v>
      </c>
      <c r="AE32" s="15">
        <v>50.417977728389999</v>
      </c>
      <c r="AF32">
        <f>D32/(D32+H32)</f>
        <v>0.55384615384615388</v>
      </c>
      <c r="AG32">
        <f>(F32/(D32+H32))</f>
        <v>0.53846153846153844</v>
      </c>
      <c r="AH32">
        <f>(E32/(D32+H32))</f>
        <v>1.5384615384615384E-2</v>
      </c>
      <c r="AI32">
        <f>(G32/(D32+H32))</f>
        <v>0</v>
      </c>
      <c r="AJ32">
        <f>(F32/(D32))</f>
        <v>0.9722222222222221</v>
      </c>
      <c r="AK32">
        <f>E32/D32</f>
        <v>2.7777777777777776E-2</v>
      </c>
      <c r="AL32">
        <f>(H32/(C32+H32))</f>
        <v>0.44615384615384607</v>
      </c>
      <c r="AM32">
        <f>(I32/(D32+H32))</f>
        <v>9.2307692307692285E-2</v>
      </c>
      <c r="AN32">
        <f>(J32/(D32+H32))</f>
        <v>0.35384615384615381</v>
      </c>
      <c r="AO32">
        <f>(I32/H32)</f>
        <v>0.20689655172413793</v>
      </c>
      <c r="AP32">
        <f>J32/H32</f>
        <v>0.7931034482758621</v>
      </c>
      <c r="AQ32">
        <f>(D32+H32)/AD32</f>
        <v>9.7722336641895488E-2</v>
      </c>
    </row>
    <row r="33" spans="1:43" x14ac:dyDescent="0.35">
      <c r="A33" s="17" t="s">
        <v>59</v>
      </c>
      <c r="B33" s="11" t="s">
        <v>66</v>
      </c>
      <c r="C33" s="28">
        <f t="shared" si="0"/>
        <v>11</v>
      </c>
      <c r="D33" s="12">
        <f t="shared" si="1"/>
        <v>11</v>
      </c>
      <c r="E33" s="13">
        <v>0</v>
      </c>
      <c r="F33" s="13">
        <v>11</v>
      </c>
      <c r="G33" s="13">
        <v>0</v>
      </c>
      <c r="H33" s="13">
        <f t="shared" si="2"/>
        <v>25</v>
      </c>
      <c r="I33" s="13">
        <v>0</v>
      </c>
      <c r="J33" s="13">
        <v>25</v>
      </c>
      <c r="K33" s="13">
        <v>0</v>
      </c>
      <c r="L33" s="13">
        <f t="shared" si="3"/>
        <v>2.0006500950731745</v>
      </c>
      <c r="M33" s="13">
        <f t="shared" si="4"/>
        <v>2.0006500950731745</v>
      </c>
      <c r="N33" s="13">
        <f t="shared" si="5"/>
        <v>2.111306177863205</v>
      </c>
      <c r="O33" s="13">
        <f t="shared" si="6"/>
        <v>2.111306177863205</v>
      </c>
      <c r="P33" s="13">
        <f>($E33/$AE33)*100</f>
        <v>0</v>
      </c>
      <c r="Q33" s="13">
        <f>($E33/$AD33)*100</f>
        <v>0</v>
      </c>
      <c r="R33" s="13">
        <f>($F33/$AE33)*100</f>
        <v>2.0006500950731745</v>
      </c>
      <c r="S33" s="13">
        <f>($F33/$AD33)*100</f>
        <v>2.111306177863205</v>
      </c>
      <c r="T33" s="13">
        <f>($G33/$AE33)*100</f>
        <v>0</v>
      </c>
      <c r="U33" s="13">
        <f>($G33/$AD33)*100</f>
        <v>0</v>
      </c>
      <c r="V33" s="13">
        <f t="shared" si="7"/>
        <v>4.5469320342572148</v>
      </c>
      <c r="W33" s="13">
        <f t="shared" si="7"/>
        <v>4.7984231315072847</v>
      </c>
      <c r="X33" s="13">
        <f>($I33/$AE33)*100</f>
        <v>0</v>
      </c>
      <c r="Y33" s="13">
        <f>($I33/AD33)*100</f>
        <v>0</v>
      </c>
      <c r="Z33" s="13">
        <f>($J33/$AE33)*100</f>
        <v>4.5469320342572148</v>
      </c>
      <c r="AA33" s="13">
        <f>($J33/$AD33)*100</f>
        <v>4.7984231315072847</v>
      </c>
      <c r="AB33" s="13">
        <f>($K33/$AE33)*100</f>
        <v>0</v>
      </c>
      <c r="AC33" s="13">
        <f>($K33/$AD33)*100</f>
        <v>0</v>
      </c>
      <c r="AD33" s="14">
        <v>521.00449074291998</v>
      </c>
      <c r="AE33" s="15">
        <v>549.82128194673999</v>
      </c>
      <c r="AF33">
        <f>D33/(D33+H33)</f>
        <v>0.30555555555555558</v>
      </c>
      <c r="AG33">
        <f>(F33/(D33+H33))</f>
        <v>0.30555555555555558</v>
      </c>
      <c r="AH33">
        <f>(E33/(D33+H33))</f>
        <v>0</v>
      </c>
      <c r="AI33">
        <f>(G33/(D33+H33))</f>
        <v>0</v>
      </c>
      <c r="AJ33">
        <f>(F33/(D33))</f>
        <v>1</v>
      </c>
      <c r="AK33">
        <f>E33/D33</f>
        <v>0</v>
      </c>
      <c r="AL33">
        <f>(H33/(C33+H33))</f>
        <v>0.69444444444444442</v>
      </c>
      <c r="AM33">
        <f>(I33/(D33+H33))</f>
        <v>0</v>
      </c>
      <c r="AN33">
        <f>(J33/(D33+H33))</f>
        <v>0.69444444444444442</v>
      </c>
      <c r="AO33">
        <f>(I33/H33)</f>
        <v>0</v>
      </c>
      <c r="AP33">
        <f>J33/H33</f>
        <v>1</v>
      </c>
      <c r="AQ33">
        <f>(D33+H33)/AD33</f>
        <v>6.9097293093704895E-2</v>
      </c>
    </row>
    <row r="34" spans="1:43" x14ac:dyDescent="0.35">
      <c r="A34" s="17" t="s">
        <v>60</v>
      </c>
      <c r="B34" s="11" t="s">
        <v>66</v>
      </c>
      <c r="C34" s="28">
        <f t="shared" si="0"/>
        <v>1.6825977000000001</v>
      </c>
      <c r="D34" s="12">
        <f t="shared" si="1"/>
        <v>1.6825977000000001</v>
      </c>
      <c r="E34" s="13">
        <v>0</v>
      </c>
      <c r="F34" s="13">
        <v>1.6825977000000001</v>
      </c>
      <c r="G34" s="13">
        <v>0</v>
      </c>
      <c r="H34" s="13">
        <f t="shared" si="2"/>
        <v>0.21161296000000002</v>
      </c>
      <c r="I34" s="23">
        <f>0.0516129+0.05677419</f>
        <v>0.10838709000000001</v>
      </c>
      <c r="J34" s="23">
        <f>0.10322587</f>
        <v>0.10322587</v>
      </c>
      <c r="K34" s="13">
        <v>0</v>
      </c>
      <c r="L34" s="13">
        <f t="shared" si="3"/>
        <v>0.22521425078179022</v>
      </c>
      <c r="M34" s="13">
        <f t="shared" si="4"/>
        <v>0.22521425078179022</v>
      </c>
      <c r="N34" s="13">
        <f t="shared" si="5"/>
        <v>0.28479302795803385</v>
      </c>
      <c r="O34" s="13">
        <f t="shared" si="6"/>
        <v>0.28479302795803385</v>
      </c>
      <c r="P34" s="13">
        <f>($E34/$AE34)*100</f>
        <v>0</v>
      </c>
      <c r="Q34" s="13">
        <f>($E34/$AD34)*100</f>
        <v>0</v>
      </c>
      <c r="R34" s="13">
        <f>($F34/$AE34)*100</f>
        <v>0.22521425078179022</v>
      </c>
      <c r="S34" s="13">
        <f>($F34/$AD34)*100</f>
        <v>0.28479302795803385</v>
      </c>
      <c r="T34" s="13">
        <f>($G34/$AE34)*100</f>
        <v>0</v>
      </c>
      <c r="U34" s="13">
        <f>($G34/$AD34)*100</f>
        <v>0</v>
      </c>
      <c r="V34" s="13">
        <f t="shared" si="7"/>
        <v>2.8324212164391373E-2</v>
      </c>
      <c r="W34" s="13">
        <f t="shared" si="7"/>
        <v>3.5817174618485631E-2</v>
      </c>
      <c r="X34" s="13">
        <f>($I34/$AE34)*100</f>
        <v>1.4507518504731386E-2</v>
      </c>
      <c r="Y34" s="13">
        <f>($I34/AD34)*100</f>
        <v>1.8345376053146827E-2</v>
      </c>
      <c r="Z34" s="13">
        <f>($J34/$AE34)*100</f>
        <v>1.3816693659659988E-2</v>
      </c>
      <c r="AA34" s="13">
        <f>($J34/$AD34)*100</f>
        <v>1.74717985653388E-2</v>
      </c>
      <c r="AB34" s="13">
        <f>($K34/$AE34)*100</f>
        <v>0</v>
      </c>
      <c r="AC34" s="13">
        <f>($K34/$AD34)*100</f>
        <v>0</v>
      </c>
      <c r="AD34" s="14">
        <v>590.81421763174001</v>
      </c>
      <c r="AE34" s="15">
        <v>747.10978286638999</v>
      </c>
      <c r="AF34">
        <f>D34/(D34+H34)</f>
        <v>0.88828435798159844</v>
      </c>
      <c r="AG34">
        <f>(F34/(D34+H34))</f>
        <v>0.88828435798159844</v>
      </c>
      <c r="AH34">
        <f>(E34/(D34+H34))</f>
        <v>0</v>
      </c>
      <c r="AI34">
        <f>(G34/(D34+H34))</f>
        <v>0</v>
      </c>
      <c r="AJ34">
        <f>(F34/(D34))</f>
        <v>1</v>
      </c>
      <c r="AK34">
        <f>E34/D34</f>
        <v>0</v>
      </c>
      <c r="AL34">
        <f>(H34/(C34+H34))</f>
        <v>0.11171564201840148</v>
      </c>
      <c r="AM34">
        <f>(I34/(D34+H34))</f>
        <v>5.7220187959453252E-2</v>
      </c>
      <c r="AN34">
        <f>(J34/(D34+H34))</f>
        <v>5.449545405894822E-2</v>
      </c>
      <c r="AO34">
        <f>(I34/H34)</f>
        <v>0.51219495252086633</v>
      </c>
      <c r="AP34">
        <f>J34/H34</f>
        <v>0.48780504747913356</v>
      </c>
      <c r="AQ34">
        <f>(D34+H34)/AD34</f>
        <v>3.2061020257651944E-3</v>
      </c>
    </row>
    <row r="35" spans="1:43" x14ac:dyDescent="0.35">
      <c r="A35" s="11" t="s">
        <v>61</v>
      </c>
      <c r="B35" s="11" t="s">
        <v>66</v>
      </c>
      <c r="C35" s="28">
        <f t="shared" si="0"/>
        <v>9.3152702259999991</v>
      </c>
      <c r="D35" s="12">
        <f t="shared" si="1"/>
        <v>4.5999999999999996</v>
      </c>
      <c r="E35" s="13">
        <v>1</v>
      </c>
      <c r="F35" s="13">
        <v>3.6</v>
      </c>
      <c r="G35" s="13">
        <v>4.7152702260000003</v>
      </c>
      <c r="H35" s="13">
        <f t="shared" si="2"/>
        <v>2.4</v>
      </c>
      <c r="I35" s="13">
        <v>2.4</v>
      </c>
      <c r="J35" s="13">
        <v>0</v>
      </c>
      <c r="K35" s="13">
        <v>0</v>
      </c>
      <c r="L35" s="13">
        <f t="shared" si="3"/>
        <v>3.555996915907699</v>
      </c>
      <c r="M35" s="13">
        <f t="shared" si="4"/>
        <v>1.7559969186421984</v>
      </c>
      <c r="N35" s="13">
        <f t="shared" si="5"/>
        <v>2.8424015449417839</v>
      </c>
      <c r="O35" s="13">
        <f t="shared" si="6"/>
        <v>1.0424015476762831</v>
      </c>
      <c r="P35" s="13">
        <f>($E35/$AE35)*100</f>
        <v>0.38173846057439093</v>
      </c>
      <c r="Q35" s="13">
        <f>($E35/$AD35)*100</f>
        <v>0.2266090321035398</v>
      </c>
      <c r="R35" s="13">
        <f>($F35/$AE35)*100</f>
        <v>1.3742584580678074</v>
      </c>
      <c r="S35" s="13">
        <f>($F35/$AD35)*100</f>
        <v>0.81579251557274324</v>
      </c>
      <c r="T35" s="13">
        <f>($G35/$AE35)*100</f>
        <v>1.7999999972655005</v>
      </c>
      <c r="U35" s="13">
        <f>($G35/$AD35)*100</f>
        <v>1.0685228220204994</v>
      </c>
      <c r="V35" s="13">
        <f t="shared" si="7"/>
        <v>0.91617230537853822</v>
      </c>
      <c r="W35" s="13">
        <f t="shared" si="7"/>
        <v>0.54386167704849553</v>
      </c>
      <c r="X35" s="13">
        <f>($I35/$AE35)*100</f>
        <v>0.91617230537853822</v>
      </c>
      <c r="Y35" s="13">
        <f>($I35/AD35)*100</f>
        <v>0.54386167704849553</v>
      </c>
      <c r="Z35" s="13">
        <f>($J35/$AE35)*100</f>
        <v>0</v>
      </c>
      <c r="AA35" s="13">
        <f>($J35/$AD35)*100</f>
        <v>0</v>
      </c>
      <c r="AB35" s="13">
        <f>($K35/$AE35)*100</f>
        <v>0</v>
      </c>
      <c r="AC35" s="13">
        <f>($K35/$AD35)*100</f>
        <v>0</v>
      </c>
      <c r="AD35" s="14">
        <v>441.28867711817003</v>
      </c>
      <c r="AE35" s="15">
        <v>261.95945739796002</v>
      </c>
      <c r="AF35">
        <f>D35/(D35+H35)</f>
        <v>0.65714285714285714</v>
      </c>
      <c r="AG35">
        <f>(F35/(D35+H35))</f>
        <v>0.51428571428571435</v>
      </c>
      <c r="AH35">
        <f>(E35/(D35+H35))</f>
        <v>0.14285714285714285</v>
      </c>
      <c r="AI35">
        <f>(G35/(D35+H35))</f>
        <v>0.67361003228571437</v>
      </c>
      <c r="AJ35">
        <f>(F35/(D35))</f>
        <v>0.78260869565217395</v>
      </c>
      <c r="AK35">
        <f>E35/D35</f>
        <v>0.21739130434782611</v>
      </c>
      <c r="AL35">
        <f>(H35/(C35+H35))</f>
        <v>0.20486083152171927</v>
      </c>
      <c r="AM35">
        <f>(I35/(D35+H35))</f>
        <v>0.34285714285714286</v>
      </c>
      <c r="AN35">
        <f>(J35/(D35+H35))</f>
        <v>0</v>
      </c>
      <c r="AO35">
        <f>(I35/H35)</f>
        <v>1</v>
      </c>
      <c r="AP35">
        <f>J35/H35</f>
        <v>0</v>
      </c>
      <c r="AQ35">
        <f>(D35+H35)/AD35</f>
        <v>1.5862632247247786E-2</v>
      </c>
    </row>
    <row r="36" spans="1:43" x14ac:dyDescent="0.35">
      <c r="A36" s="11" t="s">
        <v>62</v>
      </c>
      <c r="B36" s="11" t="s">
        <v>66</v>
      </c>
      <c r="C36" s="28">
        <f t="shared" si="0"/>
        <v>0</v>
      </c>
      <c r="D36" s="12">
        <f t="shared" si="1"/>
        <v>0</v>
      </c>
      <c r="E36" s="13">
        <v>0</v>
      </c>
      <c r="F36" s="13">
        <v>0</v>
      </c>
      <c r="G36" s="13">
        <v>0</v>
      </c>
      <c r="H36" s="13">
        <f t="shared" si="2"/>
        <v>0.1</v>
      </c>
      <c r="I36" s="13">
        <v>0.1</v>
      </c>
      <c r="J36" s="13">
        <v>0</v>
      </c>
      <c r="K36" s="13">
        <v>0</v>
      </c>
      <c r="L36" s="13">
        <f t="shared" si="3"/>
        <v>0</v>
      </c>
      <c r="M36" s="13">
        <f t="shared" si="4"/>
        <v>0</v>
      </c>
      <c r="N36" s="13">
        <f t="shared" si="5"/>
        <v>0</v>
      </c>
      <c r="O36" s="13">
        <f t="shared" si="6"/>
        <v>0</v>
      </c>
      <c r="P36" s="13">
        <f>($E36/$AE36)*100</f>
        <v>0</v>
      </c>
      <c r="Q36" s="13">
        <f>($E36/$AD36)*100</f>
        <v>0</v>
      </c>
      <c r="R36" s="13">
        <f>($F36/$AE36)*100</f>
        <v>0</v>
      </c>
      <c r="S36" s="13">
        <f>($F36/$AD36)*100</f>
        <v>0</v>
      </c>
      <c r="T36" s="13">
        <f>($G36/$AE36)*100</f>
        <v>0</v>
      </c>
      <c r="U36" s="13">
        <f>($G36/$AD36)*100</f>
        <v>0</v>
      </c>
      <c r="V36" s="13">
        <f t="shared" si="7"/>
        <v>3.111333402933561E-2</v>
      </c>
      <c r="W36" s="13">
        <f t="shared" si="7"/>
        <v>1.4482906740415585E-2</v>
      </c>
      <c r="X36" s="13">
        <f>($I36/$AE36)*100</f>
        <v>3.111333402933561E-2</v>
      </c>
      <c r="Y36" s="13">
        <f>($I36/AD36)*100</f>
        <v>1.4482906740415585E-2</v>
      </c>
      <c r="Z36" s="13">
        <f>($J36/$AE36)*100</f>
        <v>0</v>
      </c>
      <c r="AA36" s="13">
        <f>($J36/$AD36)*100</f>
        <v>0</v>
      </c>
      <c r="AB36" s="13">
        <f>($K36/$AE36)*100</f>
        <v>0</v>
      </c>
      <c r="AC36" s="13">
        <f>($K36/$AD36)*100</f>
        <v>0</v>
      </c>
      <c r="AD36" s="14">
        <v>690.46912883131995</v>
      </c>
      <c r="AE36" s="15">
        <v>321.40560669490998</v>
      </c>
      <c r="AF36">
        <f>D36/(D36+H36)</f>
        <v>0</v>
      </c>
      <c r="AG36">
        <f>(F36/(D36+H36))</f>
        <v>0</v>
      </c>
      <c r="AH36">
        <f>(E36/(D36+H36))</f>
        <v>0</v>
      </c>
      <c r="AI36">
        <f>(G36/(D36+H36))</f>
        <v>0</v>
      </c>
      <c r="AJ36" t="e">
        <f>(F36/(D36))</f>
        <v>#DIV/0!</v>
      </c>
      <c r="AK36" t="e">
        <f>E36/D36</f>
        <v>#DIV/0!</v>
      </c>
      <c r="AL36">
        <f>(H36/(C36+H36))</f>
        <v>1</v>
      </c>
      <c r="AM36">
        <f>(I36/(D36+H36))</f>
        <v>1</v>
      </c>
      <c r="AN36">
        <f>(J36/(D36+H36))</f>
        <v>0</v>
      </c>
      <c r="AO36">
        <f>(I36/H36)</f>
        <v>1</v>
      </c>
      <c r="AP36">
        <f>J36/H36</f>
        <v>0</v>
      </c>
      <c r="AQ36">
        <f>(D36+H36)/AD36</f>
        <v>1.4482906740415584E-4</v>
      </c>
    </row>
    <row r="37" spans="1:43" x14ac:dyDescent="0.35">
      <c r="A37" s="11" t="s">
        <v>63</v>
      </c>
      <c r="B37" s="11" t="s">
        <v>66</v>
      </c>
      <c r="C37" s="28">
        <f t="shared" si="0"/>
        <v>0.71743400000000002</v>
      </c>
      <c r="D37" s="12">
        <f t="shared" si="1"/>
        <v>0.71743400000000002</v>
      </c>
      <c r="E37" s="13">
        <v>0.17</v>
      </c>
      <c r="F37" s="13">
        <v>0.54743399999999998</v>
      </c>
      <c r="G37" s="13">
        <v>0</v>
      </c>
      <c r="H37" s="13">
        <f t="shared" si="2"/>
        <v>0</v>
      </c>
      <c r="I37" s="13">
        <v>0</v>
      </c>
      <c r="J37" s="13">
        <v>0</v>
      </c>
      <c r="K37" s="13">
        <v>0</v>
      </c>
      <c r="L37" s="13">
        <f t="shared" si="3"/>
        <v>1.1143308580281421</v>
      </c>
      <c r="M37" s="13">
        <f t="shared" si="4"/>
        <v>1.1143308580281421</v>
      </c>
      <c r="N37" s="13">
        <f t="shared" si="5"/>
        <v>0.7863713384702169</v>
      </c>
      <c r="O37" s="13">
        <f t="shared" si="6"/>
        <v>0.7863713384702169</v>
      </c>
      <c r="P37" s="13">
        <f>($E37/$AE37)*100</f>
        <v>0.26404693095780818</v>
      </c>
      <c r="Q37" s="13">
        <f>($E37/$AD37)*100</f>
        <v>0.18633508802194609</v>
      </c>
      <c r="R37" s="13">
        <f>($F37/$AE37)*100</f>
        <v>0.85028392707033384</v>
      </c>
      <c r="S37" s="13">
        <f>($F37/$AD37)*100</f>
        <v>0.6000362504482708</v>
      </c>
      <c r="T37" s="13">
        <f>($G37/$AE37)*100</f>
        <v>0</v>
      </c>
      <c r="U37" s="13">
        <f>($G37/$AD37)*100</f>
        <v>0</v>
      </c>
      <c r="V37" s="13">
        <f t="shared" si="7"/>
        <v>0</v>
      </c>
      <c r="W37" s="13">
        <f t="shared" si="7"/>
        <v>0</v>
      </c>
      <c r="X37" s="13">
        <f>($I37/$AE37)*100</f>
        <v>0</v>
      </c>
      <c r="Y37" s="13">
        <f>($I37/AD37)*100</f>
        <v>0</v>
      </c>
      <c r="Z37" s="13">
        <f>($J37/$AE37)*100</f>
        <v>0</v>
      </c>
      <c r="AA37" s="13">
        <f>($J37/$AD37)*100</f>
        <v>0</v>
      </c>
      <c r="AB37" s="13">
        <f>($K37/$AE37)*100</f>
        <v>0</v>
      </c>
      <c r="AC37" s="13">
        <f>($K37/$AD37)*100</f>
        <v>0</v>
      </c>
      <c r="AD37" s="14">
        <v>91.233487908610002</v>
      </c>
      <c r="AE37" s="15">
        <v>64.38249419652</v>
      </c>
      <c r="AF37">
        <f>D37/(D37+H37)</f>
        <v>1</v>
      </c>
      <c r="AG37">
        <f>(F37/(D37+H37))</f>
        <v>0.76304440547841335</v>
      </c>
      <c r="AH37">
        <f>(E37/(D37+H37))</f>
        <v>0.23695559452158665</v>
      </c>
      <c r="AI37">
        <f>(G37/(D37+H37))</f>
        <v>0</v>
      </c>
      <c r="AJ37">
        <f>(F37/(D37))</f>
        <v>0.76304440547841335</v>
      </c>
      <c r="AK37">
        <f>E37/D37</f>
        <v>0.23695559452158665</v>
      </c>
      <c r="AL37">
        <f>(H37/(C37+H37))</f>
        <v>0</v>
      </c>
      <c r="AM37">
        <f>(I37/(D37+H37))</f>
        <v>0</v>
      </c>
      <c r="AN37">
        <f>(J37/(D37+H37))</f>
        <v>0</v>
      </c>
      <c r="AO37" t="e">
        <f>(I37/H37)</f>
        <v>#DIV/0!</v>
      </c>
      <c r="AP37" t="e">
        <f>J37/H37</f>
        <v>#DIV/0!</v>
      </c>
      <c r="AQ37">
        <f>(D37+H37)/AD37</f>
        <v>7.863713384702169E-3</v>
      </c>
    </row>
    <row r="38" spans="1:43" x14ac:dyDescent="0.35">
      <c r="A38" s="11" t="s">
        <v>64</v>
      </c>
      <c r="B38" s="11" t="s">
        <v>66</v>
      </c>
      <c r="C38" s="28">
        <f t="shared" si="0"/>
        <v>4.4197489986439065</v>
      </c>
      <c r="D38" s="12">
        <f t="shared" si="1"/>
        <v>4.4197489986439065</v>
      </c>
      <c r="E38" s="13">
        <v>0</v>
      </c>
      <c r="F38" s="20">
        <v>4.4197489986439065</v>
      </c>
      <c r="G38" s="13">
        <v>0</v>
      </c>
      <c r="H38" s="13">
        <f t="shared" si="2"/>
        <v>0</v>
      </c>
      <c r="I38" s="13">
        <v>0</v>
      </c>
      <c r="J38" s="13">
        <v>0</v>
      </c>
      <c r="K38" s="13">
        <v>0</v>
      </c>
      <c r="L38" s="13">
        <f t="shared" si="3"/>
        <v>2.998798899106466</v>
      </c>
      <c r="M38" s="13">
        <f t="shared" si="4"/>
        <v>2.998798899106466</v>
      </c>
      <c r="N38" s="13">
        <f t="shared" si="5"/>
        <v>1.4262400226188992</v>
      </c>
      <c r="O38" s="13">
        <f t="shared" si="6"/>
        <v>1.4262400226188992</v>
      </c>
      <c r="P38" s="13">
        <f>($E38/$AE38)*100</f>
        <v>0</v>
      </c>
      <c r="Q38" s="13">
        <f>($E38/$AD38)*100</f>
        <v>0</v>
      </c>
      <c r="R38" s="13">
        <f>($F38/$AE38)*100</f>
        <v>2.998798899106466</v>
      </c>
      <c r="S38" s="13">
        <f>($F38/$AD38)*100</f>
        <v>1.4262400226188992</v>
      </c>
      <c r="T38" s="13">
        <f>($G38/$AE38)*100</f>
        <v>0</v>
      </c>
      <c r="U38" s="13">
        <f>($G38/$AD38)*100</f>
        <v>0</v>
      </c>
      <c r="V38" s="13">
        <f t="shared" si="7"/>
        <v>0</v>
      </c>
      <c r="W38" s="13">
        <f t="shared" si="7"/>
        <v>0</v>
      </c>
      <c r="X38" s="13">
        <f>($I38/$AE38)*100</f>
        <v>0</v>
      </c>
      <c r="Y38" s="13">
        <f>($I38/AD38)*100</f>
        <v>0</v>
      </c>
      <c r="Z38" s="13">
        <f>($J38/$AE38)*100</f>
        <v>0</v>
      </c>
      <c r="AA38" s="13">
        <f>($J38/$AD38)*100</f>
        <v>0</v>
      </c>
      <c r="AB38" s="13">
        <f>($K38/$AE38)*100</f>
        <v>0</v>
      </c>
      <c r="AC38" s="13">
        <f>($K38/$AD38)*100</f>
        <v>0</v>
      </c>
      <c r="AD38" s="14">
        <v>309.88816247970999</v>
      </c>
      <c r="AE38" s="15">
        <v>147.38397429586999</v>
      </c>
      <c r="AF38">
        <f>D38/(D38+H38)</f>
        <v>1</v>
      </c>
      <c r="AG38">
        <f>(F38/(D38+H38))</f>
        <v>1</v>
      </c>
      <c r="AH38">
        <f>(E38/(D38+H38))</f>
        <v>0</v>
      </c>
      <c r="AI38">
        <f>(G38/(D38+H38))</f>
        <v>0</v>
      </c>
      <c r="AJ38">
        <f>(F38/(D38))</f>
        <v>1</v>
      </c>
      <c r="AK38">
        <f>E38/D38</f>
        <v>0</v>
      </c>
      <c r="AL38">
        <f>(H38/(C38+H38))</f>
        <v>0</v>
      </c>
      <c r="AM38">
        <f>(I38/(D38+H38))</f>
        <v>0</v>
      </c>
      <c r="AN38">
        <f>(J38/(D38+H38))</f>
        <v>0</v>
      </c>
      <c r="AO38" t="e">
        <f>(I38/H38)</f>
        <v>#DIV/0!</v>
      </c>
      <c r="AP38" t="e">
        <f>J38/H38</f>
        <v>#DIV/0!</v>
      </c>
      <c r="AQ38">
        <f>(D38+H38)/AD38</f>
        <v>1.4262400226188991E-2</v>
      </c>
    </row>
    <row r="39" spans="1:43" x14ac:dyDescent="0.35">
      <c r="A39" s="11" t="s">
        <v>65</v>
      </c>
      <c r="B39" s="11" t="s">
        <v>66</v>
      </c>
      <c r="C39" s="28">
        <f t="shared" si="0"/>
        <v>17</v>
      </c>
      <c r="D39" s="12">
        <f t="shared" si="1"/>
        <v>17</v>
      </c>
      <c r="E39" s="13">
        <v>8</v>
      </c>
      <c r="F39" s="13">
        <v>9</v>
      </c>
      <c r="G39" s="13">
        <v>0</v>
      </c>
      <c r="H39" s="13">
        <f t="shared" si="2"/>
        <v>17</v>
      </c>
      <c r="I39" s="13">
        <v>0</v>
      </c>
      <c r="J39" s="13">
        <v>17</v>
      </c>
      <c r="K39" s="13">
        <v>0</v>
      </c>
      <c r="L39" s="13">
        <f t="shared" si="3"/>
        <v>2.9746119470950942</v>
      </c>
      <c r="M39" s="13">
        <f t="shared" si="4"/>
        <v>2.9746119470950942</v>
      </c>
      <c r="N39" s="13">
        <f t="shared" si="5"/>
        <v>1.3986901541599801</v>
      </c>
      <c r="O39" s="13">
        <f t="shared" si="6"/>
        <v>1.3986901541599801</v>
      </c>
      <c r="P39" s="13">
        <f>($E39/$AE39)*100</f>
        <v>1.3998173868682795</v>
      </c>
      <c r="Q39" s="13">
        <f>($E39/$AD39)*100</f>
        <v>0.65820713136940245</v>
      </c>
      <c r="R39" s="13">
        <f>($F39/$AE39)*100</f>
        <v>1.5747945602268145</v>
      </c>
      <c r="S39" s="13">
        <f>($F39/$AD39)*100</f>
        <v>0.74048302279057776</v>
      </c>
      <c r="T39" s="13">
        <f>($G39/$AE39)*100</f>
        <v>0</v>
      </c>
      <c r="U39" s="13">
        <f>($G39/$AD39)*100</f>
        <v>0</v>
      </c>
      <c r="V39" s="13">
        <f t="shared" si="7"/>
        <v>2.9746119470950938</v>
      </c>
      <c r="W39" s="13">
        <f t="shared" si="7"/>
        <v>1.3986901541599803</v>
      </c>
      <c r="X39" s="13">
        <f>($I39/$AE39)*100</f>
        <v>0</v>
      </c>
      <c r="Y39" s="13">
        <f>($I39/AD39)*100</f>
        <v>0</v>
      </c>
      <c r="Z39" s="13">
        <f>($J39/$AE39)*100</f>
        <v>2.9746119470950938</v>
      </c>
      <c r="AA39" s="13">
        <f>($J39/$AD39)*100</f>
        <v>1.3986901541599803</v>
      </c>
      <c r="AB39" s="13">
        <f>($K39/$AE39)*100</f>
        <v>0</v>
      </c>
      <c r="AC39" s="13">
        <f>($K39/$AD39)*100</f>
        <v>0</v>
      </c>
      <c r="AD39" s="14">
        <v>1215.4228689920101</v>
      </c>
      <c r="AE39" s="15">
        <v>571.50311712429004</v>
      </c>
      <c r="AF39">
        <f>D39/(D39+H39)</f>
        <v>0.5</v>
      </c>
      <c r="AG39">
        <f>(F39/(D39+H39))</f>
        <v>0.26470588235294118</v>
      </c>
      <c r="AH39">
        <f>(E39/(D39+H39))</f>
        <v>0.23529411764705882</v>
      </c>
      <c r="AI39">
        <f>(G39/(D39+H39))</f>
        <v>0</v>
      </c>
      <c r="AJ39">
        <f>(F39/(D39))</f>
        <v>0.52941176470588236</v>
      </c>
      <c r="AK39">
        <f>E39/D39</f>
        <v>0.47058823529411764</v>
      </c>
      <c r="AL39">
        <f>(H39/(C39+H39))</f>
        <v>0.5</v>
      </c>
      <c r="AM39">
        <f>(I39/(D39+H39))</f>
        <v>0</v>
      </c>
      <c r="AN39">
        <f>(J39/(D39+H39))</f>
        <v>0.5</v>
      </c>
      <c r="AO39">
        <f>(I39/H39)</f>
        <v>0</v>
      </c>
      <c r="AP39">
        <f>J39/H39</f>
        <v>1</v>
      </c>
      <c r="AQ39">
        <f>(D39+H39)/AD39</f>
        <v>2.7973803083199605E-2</v>
      </c>
    </row>
    <row r="40" spans="1:43" x14ac:dyDescent="0.35">
      <c r="A40" s="11" t="s">
        <v>28</v>
      </c>
      <c r="B40" s="24" t="s">
        <v>67</v>
      </c>
      <c r="C40" s="28">
        <f t="shared" si="0"/>
        <v>0.36671521951269392</v>
      </c>
      <c r="D40" s="12">
        <f>[1]data!C40-[1]data!C2</f>
        <v>0.36671521951269881</v>
      </c>
      <c r="E40" s="12">
        <f>[1]data!D40-[1]data!D2</f>
        <v>1.1544452643601866</v>
      </c>
      <c r="F40" s="12">
        <f>[1]data!E40-[1]data!E2</f>
        <v>-0.78773004484749265</v>
      </c>
      <c r="G40" s="12">
        <f>[1]data!F40-[1]data!F2</f>
        <v>0</v>
      </c>
      <c r="H40" s="12">
        <f>[1]data!G40-[1]data!G2</f>
        <v>-1.1041831494786933</v>
      </c>
      <c r="I40" s="12">
        <f>[1]data!H40-[1]data!H2</f>
        <v>-0.51176420691943925</v>
      </c>
      <c r="J40" s="12">
        <f>[1]data!I40-[1]data!I2</f>
        <v>-0.59241894255925409</v>
      </c>
      <c r="K40" s="12">
        <f>[1]data!J40-[1]data!J2</f>
        <v>0</v>
      </c>
      <c r="L40" s="13">
        <f t="shared" si="3"/>
        <v>2.4533165212039715E-2</v>
      </c>
      <c r="M40" s="12">
        <f>[1]data!K40-[1]data!K2</f>
        <v>2.4533165212040409E-2</v>
      </c>
      <c r="N40" s="13">
        <f t="shared" si="5"/>
        <v>2.989894172294047E-2</v>
      </c>
      <c r="O40" s="13">
        <f t="shared" si="6"/>
        <v>2.989894172294047E-2</v>
      </c>
      <c r="P40" s="12">
        <f>[1]data!M40-[1]data!M2</f>
        <v>7.7232126979732224E-2</v>
      </c>
      <c r="Q40" s="12">
        <f>[1]data!N40-[1]data!N2</f>
        <v>9.4123968258795293E-2</v>
      </c>
      <c r="R40" s="12">
        <f>[1]data!O40-[1]data!O2</f>
        <v>-5.2698961767692509E-2</v>
      </c>
      <c r="S40" s="12">
        <f>[1]data!P40-[1]data!P2</f>
        <v>-6.4225026535854823E-2</v>
      </c>
      <c r="T40" s="12">
        <f>[1]data!Q40-[1]data!Q2</f>
        <v>0</v>
      </c>
      <c r="U40" s="12">
        <f>[1]data!R40-[1]data!R2</f>
        <v>0</v>
      </c>
      <c r="V40" s="12">
        <f>[1]data!S40-[1]data!S2</f>
        <v>-7.3869602866517781E-2</v>
      </c>
      <c r="W40" s="12">
        <f>[1]data!T40-[1]data!T2</f>
        <v>-9.0026008960268022E-2</v>
      </c>
      <c r="X40" s="12">
        <f>[1]data!U40-[1]data!U2</f>
        <v>-3.423690965061843E-2</v>
      </c>
      <c r="Y40" s="12">
        <f>[1]data!V40-[1]data!V2</f>
        <v>-4.1725042715445748E-2</v>
      </c>
      <c r="Z40" s="12">
        <f>[1]data!W40-[1]data!W2</f>
        <v>-3.9632693215899351E-2</v>
      </c>
      <c r="AA40" s="12">
        <f>[1]data!X40-[1]data!X2</f>
        <v>-4.8300966244822385E-2</v>
      </c>
      <c r="AB40" s="12">
        <f>[1]data!Y40-[1]data!Y2</f>
        <v>0</v>
      </c>
      <c r="AC40" s="12">
        <f>[1]data!Z40-[1]data!Z2</f>
        <v>0</v>
      </c>
      <c r="AD40" s="14">
        <v>1226.51571721458</v>
      </c>
      <c r="AE40" s="15">
        <v>1494.77336635199</v>
      </c>
      <c r="AF40">
        <f>D40/(D40+H40)</f>
        <v>-0.49726259897106095</v>
      </c>
      <c r="AG40">
        <f>(F40/(D40+H40))</f>
        <v>1.0681549838835918</v>
      </c>
      <c r="AH40">
        <f>(E40/(D40+H40))</f>
        <v>-1.5654175828546462</v>
      </c>
      <c r="AI40">
        <f>(G40/(D40+H40))</f>
        <v>0</v>
      </c>
      <c r="AJ40">
        <f>(F40/(D40))</f>
        <v>-2.1480702270667953</v>
      </c>
      <c r="AK40">
        <f>E40/D40</f>
        <v>3.148070227066782</v>
      </c>
      <c r="AL40">
        <f>(H40/(C40+H40))</f>
        <v>1.4972625989710511</v>
      </c>
      <c r="AM40">
        <f>(I40/(D40+H40))</f>
        <v>0.69394774487758037</v>
      </c>
      <c r="AN40">
        <f>(J40/(D40+H40))</f>
        <v>0.80331485409348069</v>
      </c>
      <c r="AO40">
        <f>(I40/H40)</f>
        <v>0.46347764604183034</v>
      </c>
      <c r="AP40">
        <f>J40/H40</f>
        <v>0.53652235395816972</v>
      </c>
      <c r="AQ40">
        <f>(D40+H40)/AD40</f>
        <v>-6.0127067237327044E-4</v>
      </c>
    </row>
    <row r="41" spans="1:43" x14ac:dyDescent="0.35">
      <c r="A41" s="11" t="s">
        <v>29</v>
      </c>
      <c r="B41" s="24" t="s">
        <v>67</v>
      </c>
      <c r="C41" s="28">
        <f t="shared" si="0"/>
        <v>2.8194664340988354</v>
      </c>
      <c r="D41" s="12">
        <f>[1]data!C41-[1]data!C3</f>
        <v>5.3821266931310277</v>
      </c>
      <c r="E41" s="12">
        <f>[1]data!D41-[1]data!D3</f>
        <v>0.47940422310436759</v>
      </c>
      <c r="F41" s="12">
        <f>[1]data!E41-[1]data!E3</f>
        <v>4.9027224700266601</v>
      </c>
      <c r="G41" s="12">
        <f>[1]data!F41-[1]data!F3</f>
        <v>-2.5626602590321923</v>
      </c>
      <c r="H41" s="12">
        <f>[1]data!G41-[1]data!G3</f>
        <v>-1.3104260956735772</v>
      </c>
      <c r="I41" s="12">
        <f>[1]data!H41-[1]data!H3</f>
        <v>-0.10074472111954114</v>
      </c>
      <c r="J41" s="12">
        <f>[1]data!I41-[1]data!I3</f>
        <v>-1.2096813745540302</v>
      </c>
      <c r="K41" s="12">
        <f>[1]data!J41-[1]data!J3</f>
        <v>0</v>
      </c>
      <c r="L41" s="13">
        <f t="shared" si="3"/>
        <v>0.16618283481747176</v>
      </c>
      <c r="M41" s="12">
        <f>[1]data!K41-[1]data!K3</f>
        <v>0.31722919641608449</v>
      </c>
      <c r="N41" s="13">
        <f t="shared" si="5"/>
        <v>0.1612346764316348</v>
      </c>
      <c r="O41" s="13">
        <f t="shared" si="6"/>
        <v>0.31228103803024809</v>
      </c>
      <c r="P41" s="12">
        <f>[1]data!M41-[1]data!M3</f>
        <v>2.8256677169634564E-2</v>
      </c>
      <c r="Q41" s="12">
        <f>[1]data!N41-[1]data!N3</f>
        <v>2.7815927971034798E-2</v>
      </c>
      <c r="R41" s="12">
        <f>[1]data!O41-[1]data!O3</f>
        <v>0.28897251924645051</v>
      </c>
      <c r="S41" s="12">
        <f>[1]data!P41-[1]data!P3</f>
        <v>0.28446511005921327</v>
      </c>
      <c r="T41" s="12">
        <f>[1]data!Q41-[1]data!Q3</f>
        <v>-0.15104636159861329</v>
      </c>
      <c r="U41" s="12">
        <f>[1]data!R41-[1]data!R3</f>
        <v>-0.14869033217497218</v>
      </c>
      <c r="V41" s="12">
        <f>[1]data!S41-[1]data!S3</f>
        <v>-7.7238132990021136E-2</v>
      </c>
      <c r="W41" s="12">
        <f>[1]data!T41-[1]data!T3</f>
        <v>-7.6033368359971654E-2</v>
      </c>
      <c r="X41" s="12">
        <f>[1]data!U41-[1]data!U3</f>
        <v>-5.938018323630806E-3</v>
      </c>
      <c r="Y41" s="12">
        <f>[1]data!V41-[1]data!V3</f>
        <v>-5.8453967884907199E-3</v>
      </c>
      <c r="Z41" s="12">
        <f>[1]data!W41-[1]data!W3</f>
        <v>-7.130011466639008E-2</v>
      </c>
      <c r="AA41" s="12">
        <f>[1]data!X41-[1]data!X3</f>
        <v>-7.0187971571480823E-2</v>
      </c>
      <c r="AB41" s="12">
        <f>[1]data!Y41-[1]data!Y3</f>
        <v>0</v>
      </c>
      <c r="AC41" s="12">
        <f>[1]data!Z41-[1]data!Z3</f>
        <v>0</v>
      </c>
      <c r="AD41" s="14">
        <v>1723.48815255626</v>
      </c>
      <c r="AE41" s="15">
        <v>1696.60508992738</v>
      </c>
      <c r="AF41">
        <f>D41/(D41+H41)</f>
        <v>1.3218375379790608</v>
      </c>
      <c r="AG41">
        <f>(F41/(D41+H41))</f>
        <v>1.2040969989512824</v>
      </c>
      <c r="AH41">
        <f>(E41/(D41+H41))</f>
        <v>0.1177405390277784</v>
      </c>
      <c r="AI41">
        <f>(G41/(D41+H41))</f>
        <v>-0.62938327553662232</v>
      </c>
      <c r="AJ41">
        <f>(F41/(D41))</f>
        <v>0.91092661870702329</v>
      </c>
      <c r="AK41">
        <f>E41/D41</f>
        <v>8.907338129297665E-2</v>
      </c>
      <c r="AL41">
        <f>(H41/(C41+H41))</f>
        <v>-0.86838374184288358</v>
      </c>
      <c r="AM41">
        <f>(I41/(D41+H41))</f>
        <v>-2.4742664326166463E-2</v>
      </c>
      <c r="AN41">
        <f>(J41/(D41+H41))</f>
        <v>-0.297094873652893</v>
      </c>
      <c r="AO41">
        <f>(I41/H41)</f>
        <v>7.6879361188054607E-2</v>
      </c>
      <c r="AP41">
        <f>J41/H41</f>
        <v>0.92312063881194095</v>
      </c>
      <c r="AQ41">
        <f>(D41+H41)/AD41</f>
        <v>2.3624766967027568E-3</v>
      </c>
    </row>
    <row r="42" spans="1:43" x14ac:dyDescent="0.35">
      <c r="A42" s="11" t="s">
        <v>30</v>
      </c>
      <c r="B42" s="24" t="s">
        <v>67</v>
      </c>
      <c r="C42" s="28">
        <f t="shared" si="0"/>
        <v>58.271457544134329</v>
      </c>
      <c r="D42" s="12">
        <f>[1]data!C42-[1]data!C4</f>
        <v>46.119277635451212</v>
      </c>
      <c r="E42" s="12">
        <f>[1]data!D42-[1]data!D4</f>
        <v>3.2426565634137816</v>
      </c>
      <c r="F42" s="12">
        <f>[1]data!E42-[1]data!E4</f>
        <v>42.87662107203743</v>
      </c>
      <c r="G42" s="12">
        <f>[1]data!F42-[1]data!F4</f>
        <v>12.152179908683117</v>
      </c>
      <c r="H42" s="12">
        <f>[1]data!G42-[1]data!G4</f>
        <v>32.305560508499525</v>
      </c>
      <c r="I42" s="12">
        <f>[1]data!H42-[1]data!H4</f>
        <v>22.949473478961178</v>
      </c>
      <c r="J42" s="12">
        <f>[1]data!I42-[1]data!I4</f>
        <v>9.3560870295383438</v>
      </c>
      <c r="K42" s="12">
        <f>[1]data!J42-[1]data!J4</f>
        <v>0</v>
      </c>
      <c r="L42" s="13">
        <f t="shared" si="3"/>
        <v>2.2268105896837165</v>
      </c>
      <c r="M42" s="12">
        <f>[1]data!K42-[1]data!K4</f>
        <v>1.7624219498783402</v>
      </c>
      <c r="N42" s="13">
        <f t="shared" si="5"/>
        <v>2.0508298463850827</v>
      </c>
      <c r="O42" s="13">
        <f t="shared" si="6"/>
        <v>1.5864412065797064</v>
      </c>
      <c r="P42" s="12">
        <f>[1]data!M42-[1]data!M4</f>
        <v>0.12391627528191226</v>
      </c>
      <c r="Q42" s="12">
        <f>[1]data!N42-[1]data!N4</f>
        <v>0.1115430304795457</v>
      </c>
      <c r="R42" s="12">
        <f>[1]data!O42-[1]data!O4</f>
        <v>1.6385056745964279</v>
      </c>
      <c r="S42" s="12">
        <f>[1]data!P42-[1]data!P4</f>
        <v>1.4748981761001607</v>
      </c>
      <c r="T42" s="12">
        <f>[1]data!Q42-[1]data!Q4</f>
        <v>0.46438863980537626</v>
      </c>
      <c r="U42" s="12">
        <f>[1]data!R42-[1]data!R4</f>
        <v>0.41801866692911194</v>
      </c>
      <c r="V42" s="12">
        <f>[1]data!S42-[1]data!S4</f>
        <v>1.2345386108028826</v>
      </c>
      <c r="W42" s="12">
        <f>[1]data!T42-[1]data!T4</f>
        <v>1.1112678909988372</v>
      </c>
      <c r="X42" s="12">
        <f>[1]data!U42-[1]data!U4</f>
        <v>0.87700106920974974</v>
      </c>
      <c r="Y42" s="12">
        <f>[1]data!V42-[1]data!V4</f>
        <v>0.78943106360247617</v>
      </c>
      <c r="Z42" s="12">
        <f>[1]data!W42-[1]data!W4</f>
        <v>0.35753754159313367</v>
      </c>
      <c r="AA42" s="12">
        <f>[1]data!X42-[1]data!X4</f>
        <v>0.32183682739636055</v>
      </c>
      <c r="AB42" s="12">
        <f>[1]data!Y42-[1]data!Y4</f>
        <v>0</v>
      </c>
      <c r="AC42" s="12">
        <f>[1]data!Z42-[1]data!Z4</f>
        <v>0</v>
      </c>
      <c r="AD42" s="14">
        <v>2907.0902498102801</v>
      </c>
      <c r="AE42" s="15">
        <v>2616.8124857180101</v>
      </c>
      <c r="AF42">
        <f>D42/(D42+H42)</f>
        <v>0.58806978410077348</v>
      </c>
      <c r="AG42">
        <f>(F42/(D42+H42))</f>
        <v>0.54672246812083092</v>
      </c>
      <c r="AH42">
        <f>(E42/(D42+H42))</f>
        <v>4.1347315979942539E-2</v>
      </c>
      <c r="AI42">
        <f>(G42/(D42+H42))</f>
        <v>0.15495320355494377</v>
      </c>
      <c r="AJ42">
        <f>(F42/(D42))</f>
        <v>0.92968977985636969</v>
      </c>
      <c r="AK42">
        <f>E42/D42</f>
        <v>7.0310220143630336E-2</v>
      </c>
      <c r="AL42">
        <f>(H42/(C42+H42))</f>
        <v>0.35666398831684792</v>
      </c>
      <c r="AM42">
        <f>(I42/(D42+H42))</f>
        <v>0.29263016694834421</v>
      </c>
      <c r="AN42">
        <f>(J42/(D42+H42))</f>
        <v>0.1193000489508823</v>
      </c>
      <c r="AO42">
        <f>(I42/H42)</f>
        <v>0.71038772018591723</v>
      </c>
      <c r="AP42">
        <f>J42/H42</f>
        <v>0.28961227981408266</v>
      </c>
      <c r="AQ42">
        <f>(D42+H42)/AD42</f>
        <v>2.6977090975785437E-2</v>
      </c>
    </row>
    <row r="43" spans="1:43" x14ac:dyDescent="0.35">
      <c r="A43" s="11" t="s">
        <v>31</v>
      </c>
      <c r="B43" s="24" t="s">
        <v>67</v>
      </c>
      <c r="C43" s="28">
        <f t="shared" si="0"/>
        <v>171.35497123588817</v>
      </c>
      <c r="D43" s="12">
        <f>[1]data!C43-[1]data!C5</f>
        <v>171.35497123588817</v>
      </c>
      <c r="E43" s="12">
        <f>[1]data!D43-[1]data!D5</f>
        <v>13.935137619814569</v>
      </c>
      <c r="F43" s="12">
        <f>[1]data!E43-[1]data!E5</f>
        <v>157.41983361607362</v>
      </c>
      <c r="G43" s="12">
        <f>[1]data!F43-[1]data!F5</f>
        <v>0</v>
      </c>
      <c r="H43" s="12">
        <f>[1]data!G43-[1]data!G5</f>
        <v>-17.626599982570269</v>
      </c>
      <c r="I43" s="12">
        <f>[1]data!H43-[1]data!H5</f>
        <v>-109.17365864002703</v>
      </c>
      <c r="J43" s="12">
        <f>[1]data!I43-[1]data!I5</f>
        <v>91.54705865745666</v>
      </c>
      <c r="K43" s="12">
        <f>[1]data!J43-[1]data!J5</f>
        <v>0</v>
      </c>
      <c r="L43" s="13">
        <f t="shared" si="3"/>
        <v>4.7634099291125587</v>
      </c>
      <c r="M43" s="12">
        <f>[1]data!K43-[1]data!K5</f>
        <v>4.7634099291125596</v>
      </c>
      <c r="N43" s="13">
        <f t="shared" si="5"/>
        <v>4.1173434703459453</v>
      </c>
      <c r="O43" s="13">
        <f t="shared" si="6"/>
        <v>4.1173434703459453</v>
      </c>
      <c r="P43" s="12">
        <f>[1]data!M43-[1]data!M5</f>
        <v>0.3873758223821665</v>
      </c>
      <c r="Q43" s="12">
        <f>[1]data!N43-[1]data!N5</f>
        <v>0.33483561914484439</v>
      </c>
      <c r="R43" s="12">
        <f>[1]data!O43-[1]data!O5</f>
        <v>4.3760341067303923</v>
      </c>
      <c r="S43" s="12">
        <f>[1]data!P43-[1]data!P5</f>
        <v>3.7825078512011006</v>
      </c>
      <c r="T43" s="12">
        <f>[1]data!Q43-[1]data!Q5</f>
        <v>0</v>
      </c>
      <c r="U43" s="12">
        <f>[1]data!R43-[1]data!R5</f>
        <v>0</v>
      </c>
      <c r="V43" s="12">
        <f>[1]data!S43-[1]data!S5</f>
        <v>-0.48999291218628827</v>
      </c>
      <c r="W43" s="12">
        <f>[1]data!T43-[1]data!T5</f>
        <v>-0.42353464168091648</v>
      </c>
      <c r="X43" s="12">
        <f>[1]data!U43-[1]data!U5</f>
        <v>-3.0348631604481526</v>
      </c>
      <c r="Y43" s="12">
        <f>[1]data!V43-[1]data!V5</f>
        <v>-2.6232413760351347</v>
      </c>
      <c r="Z43" s="12">
        <f>[1]data!W43-[1]data!W5</f>
        <v>2.5448702482618621</v>
      </c>
      <c r="AA43" s="12">
        <f>[1]data!X43-[1]data!X5</f>
        <v>2.1997067343542192</v>
      </c>
      <c r="AB43" s="12">
        <f>[1]data!Y43-[1]data!Y5</f>
        <v>0</v>
      </c>
      <c r="AC43" s="12">
        <f>[1]data!Z43-[1]data!Z5</f>
        <v>0</v>
      </c>
      <c r="AD43" s="14">
        <v>4161.7847155581303</v>
      </c>
      <c r="AE43" s="15">
        <v>3597.3173374942398</v>
      </c>
      <c r="AF43">
        <f>D43/(D43+H43)</f>
        <v>1.1146606825979095</v>
      </c>
      <c r="AG43">
        <f>(F43/(D43+H43))</f>
        <v>1.0240128893102811</v>
      </c>
      <c r="AH43">
        <f>(E43/(D43+H43))</f>
        <v>9.0647793287628481E-2</v>
      </c>
      <c r="AI43">
        <f>(G43/(D43+H43))</f>
        <v>0</v>
      </c>
      <c r="AJ43">
        <f>(F43/(D43))</f>
        <v>0.9186767823582348</v>
      </c>
      <c r="AK43">
        <f>E43/D43</f>
        <v>8.1323217641765311E-2</v>
      </c>
      <c r="AL43">
        <f>(H43/(C43+H43))</f>
        <v>-0.11466068259790943</v>
      </c>
      <c r="AM43">
        <f>(I43/(D43+H43))</f>
        <v>-0.71017247987443788</v>
      </c>
      <c r="AN43">
        <f>(J43/(D43+H43))</f>
        <v>0.59551179727652781</v>
      </c>
      <c r="AO43">
        <f>(I43/H43)</f>
        <v>6.1936878778653481</v>
      </c>
      <c r="AP43">
        <f>J43/H43</f>
        <v>-5.1936878778653419</v>
      </c>
      <c r="AQ43">
        <f>(D43+H43)/AD43</f>
        <v>3.6938088286650274E-2</v>
      </c>
    </row>
    <row r="44" spans="1:43" x14ac:dyDescent="0.35">
      <c r="A44" s="11" t="s">
        <v>32</v>
      </c>
      <c r="B44" s="24" t="s">
        <v>67</v>
      </c>
      <c r="C44" s="28">
        <f t="shared" si="0"/>
        <v>45.755588366456813</v>
      </c>
      <c r="D44" s="12">
        <f>[1]data!C44-[1]data!C6</f>
        <v>38.105763873469748</v>
      </c>
      <c r="E44" s="12">
        <f>[1]data!D44-[1]data!D6</f>
        <v>3.4734084577736981</v>
      </c>
      <c r="F44" s="12">
        <f>[1]data!E44-[1]data!E6</f>
        <v>34.632355415696054</v>
      </c>
      <c r="G44" s="12">
        <f>[1]data!F44-[1]data!F6</f>
        <v>7.6498244929870598</v>
      </c>
      <c r="H44" s="12">
        <f>[1]data!G44-[1]data!G6</f>
        <v>-8.1926568414287431</v>
      </c>
      <c r="I44" s="12">
        <f>[1]data!H44-[1]data!H6</f>
        <v>3.6063458324081847</v>
      </c>
      <c r="J44" s="12">
        <f>[1]data!I44-[1]data!I6</f>
        <v>-11.799002673836981</v>
      </c>
      <c r="K44" s="12">
        <f>[1]data!J44-[1]data!J6</f>
        <v>0</v>
      </c>
      <c r="L44" s="13">
        <f t="shared" si="3"/>
        <v>2.3853925220663661</v>
      </c>
      <c r="M44" s="12">
        <f>[1]data!K44-[1]data!K6</f>
        <v>1.9865814742322865</v>
      </c>
      <c r="N44" s="13">
        <f t="shared" si="5"/>
        <v>2.0288927053526691</v>
      </c>
      <c r="O44" s="13">
        <f t="shared" si="6"/>
        <v>1.6300816575185895</v>
      </c>
      <c r="P44" s="12">
        <f>[1]data!M44-[1]data!M6</f>
        <v>0.18108045065221945</v>
      </c>
      <c r="Q44" s="12">
        <f>[1]data!N44-[1]data!N6</f>
        <v>0.14858485542731317</v>
      </c>
      <c r="R44" s="12">
        <f>[1]data!O44-[1]data!O6</f>
        <v>1.805501023580067</v>
      </c>
      <c r="S44" s="12">
        <f>[1]data!P44-[1]data!P6</f>
        <v>1.4814968020912762</v>
      </c>
      <c r="T44" s="12">
        <f>[1]data!Q44-[1]data!Q6</f>
        <v>0.39881104783407961</v>
      </c>
      <c r="U44" s="12">
        <f>[1]data!R44-[1]data!R6</f>
        <v>0.32724284522049651</v>
      </c>
      <c r="V44" s="12">
        <f>[1]data!S44-[1]data!S6</f>
        <v>-0.4271107216212009</v>
      </c>
      <c r="W44" s="12">
        <f>[1]data!T44-[1]data!T6</f>
        <v>-0.35046403184309582</v>
      </c>
      <c r="X44" s="12">
        <f>[1]data!U44-[1]data!U6</f>
        <v>0.18801092255035179</v>
      </c>
      <c r="Y44" s="12">
        <f>[1]data!V44-[1]data!V6</f>
        <v>0.15427162703251979</v>
      </c>
      <c r="Z44" s="12">
        <f>[1]data!W44-[1]data!W6</f>
        <v>-0.61512164417155191</v>
      </c>
      <c r="AA44" s="12">
        <f>[1]data!X44-[1]data!X6</f>
        <v>-0.50473565887561733</v>
      </c>
      <c r="AB44" s="12">
        <f>[1]data!Y44-[1]data!Y6</f>
        <v>0</v>
      </c>
      <c r="AC44" s="12">
        <f>[1]data!Z44-[1]data!Z6</f>
        <v>0</v>
      </c>
      <c r="AD44" s="14">
        <v>2337.6598158571201</v>
      </c>
      <c r="AE44" s="15">
        <v>1918.15761738117</v>
      </c>
      <c r="AF44">
        <f>D44/(D44+H44)</f>
        <v>1.2738818415838011</v>
      </c>
      <c r="AG44">
        <f>(F44/(D44+H44))</f>
        <v>1.1577652357744079</v>
      </c>
      <c r="AH44">
        <f>(E44/(D44+H44))</f>
        <v>0.11611660580939337</v>
      </c>
      <c r="AI44">
        <f>(G44/(D44+H44))</f>
        <v>0.25573486849069399</v>
      </c>
      <c r="AJ44">
        <f>(F44/(D44))</f>
        <v>0.9088482133750907</v>
      </c>
      <c r="AK44">
        <f>E44/D44</f>
        <v>9.115178662490947E-2</v>
      </c>
      <c r="AL44">
        <f>(H44/(C44+H44))</f>
        <v>-0.21810483124752925</v>
      </c>
      <c r="AM44">
        <f>(I44/(D44+H44))</f>
        <v>0.12056072371704143</v>
      </c>
      <c r="AN44">
        <f>(J44/(D44+H44))</f>
        <v>-0.39444256530084437</v>
      </c>
      <c r="AO44">
        <f>(I44/H44)</f>
        <v>-0.44019246774398801</v>
      </c>
      <c r="AP44">
        <f>J44/H44</f>
        <v>1.4401924677439946</v>
      </c>
      <c r="AQ44">
        <f>(D44+H44)/AD44</f>
        <v>1.279617625675494E-2</v>
      </c>
    </row>
    <row r="45" spans="1:43" x14ac:dyDescent="0.35">
      <c r="A45" s="11" t="s">
        <v>33</v>
      </c>
      <c r="B45" s="24" t="s">
        <v>67</v>
      </c>
      <c r="C45" s="28">
        <f t="shared" si="0"/>
        <v>297.79351515490202</v>
      </c>
      <c r="D45" s="12">
        <f>[1]data!C45-[1]data!C7</f>
        <v>54.106824187597113</v>
      </c>
      <c r="E45" s="12">
        <f>[1]data!D45-[1]data!D7</f>
        <v>26.236916652536532</v>
      </c>
      <c r="F45" s="12">
        <f>[1]data!E45-[1]data!E7</f>
        <v>27.869907535060634</v>
      </c>
      <c r="G45" s="12">
        <f>[1]data!F45-[1]data!F7</f>
        <v>243.68669096730486</v>
      </c>
      <c r="H45" s="12">
        <f>[1]data!G45-[1]data!G7</f>
        <v>128.1492710841033</v>
      </c>
      <c r="I45" s="12">
        <f>[1]data!H45-[1]data!H7</f>
        <v>0</v>
      </c>
      <c r="J45" s="12">
        <f>[1]data!I45-[1]data!I7</f>
        <v>128.1492710841033</v>
      </c>
      <c r="K45" s="12">
        <f>[1]data!J45-[1]data!J7</f>
        <v>1021.6095890552396</v>
      </c>
      <c r="L45" s="13">
        <f t="shared" si="3"/>
        <v>6.5243606132234984</v>
      </c>
      <c r="M45" s="12">
        <f>[1]data!K45-[1]data!K7</f>
        <v>1.1854268634847269</v>
      </c>
      <c r="N45" s="13">
        <f t="shared" si="5"/>
        <v>6.3550525426834854</v>
      </c>
      <c r="O45" s="13">
        <f t="shared" si="6"/>
        <v>1.0161187929447149</v>
      </c>
      <c r="P45" s="12">
        <f>[1]data!M45-[1]data!M7</f>
        <v>0.57482482629346554</v>
      </c>
      <c r="Q45" s="12">
        <f>[1]data!N45-[1]data!N7</f>
        <v>0.49272572323100217</v>
      </c>
      <c r="R45" s="12">
        <f>[1]data!O45-[1]data!O7</f>
        <v>0.61060203719126172</v>
      </c>
      <c r="S45" s="12">
        <f>[1]data!P45-[1]data!P7</f>
        <v>0.52339306971371258</v>
      </c>
      <c r="T45" s="12">
        <f>[1]data!Q45-[1]data!Q7</f>
        <v>5.3389337497387706</v>
      </c>
      <c r="U45" s="12">
        <f>[1]data!R45-[1]data!R7</f>
        <v>4.5764028844840201</v>
      </c>
      <c r="V45" s="12">
        <f>[1]data!S45-[1]data!S7</f>
        <v>2.8076234515701857</v>
      </c>
      <c r="W45" s="12">
        <f>[1]data!T45-[1]data!T7</f>
        <v>2.4066258666235489</v>
      </c>
      <c r="X45" s="12">
        <f>[1]data!U45-[1]data!U7</f>
        <v>0</v>
      </c>
      <c r="Y45" s="12">
        <f>[1]data!V45-[1]data!V7</f>
        <v>0</v>
      </c>
      <c r="Z45" s="12">
        <f>[1]data!W45-[1]data!W7</f>
        <v>2.8076234515701857</v>
      </c>
      <c r="AA45" s="12">
        <f>[1]data!X45-[1]data!X7</f>
        <v>2.4066258666235489</v>
      </c>
      <c r="AB45" s="12">
        <f>[1]data!Y45-[1]data!Y7</f>
        <v>22.382453027750998</v>
      </c>
      <c r="AC45" s="12">
        <f>[1]data!Z45-[1]data!Z7</f>
        <v>19.185689015721469</v>
      </c>
      <c r="AD45" s="14">
        <v>5324.8522282316499</v>
      </c>
      <c r="AE45" s="15">
        <v>4564.3325500944502</v>
      </c>
      <c r="AF45">
        <f>D45/(D45+H45)</f>
        <v>0.29687250847186608</v>
      </c>
      <c r="AG45">
        <f>(F45/(D45+H45))</f>
        <v>0.15291618913218372</v>
      </c>
      <c r="AH45">
        <f>(E45/(D45+H45))</f>
        <v>0.14395631933968267</v>
      </c>
      <c r="AI45">
        <f>(G45/(D45+H45))</f>
        <v>1.337056467735831</v>
      </c>
      <c r="AJ45">
        <f>(F45/(D45))</f>
        <v>0.51509043366565288</v>
      </c>
      <c r="AK45">
        <f>E45/D45</f>
        <v>0.48490956633434812</v>
      </c>
      <c r="AL45">
        <f>(H45/(C45+H45))</f>
        <v>0.30086029209612225</v>
      </c>
      <c r="AM45">
        <f>(I45/(D45+H45))</f>
        <v>0</v>
      </c>
      <c r="AN45">
        <f>(J45/(D45+H45))</f>
        <v>0.70312749152813392</v>
      </c>
      <c r="AO45">
        <f>(I45/H45)</f>
        <v>0</v>
      </c>
      <c r="AP45">
        <f>J45/H45</f>
        <v>1</v>
      </c>
      <c r="AQ45">
        <f>(D45+H45)/AD45</f>
        <v>3.4227446595682623E-2</v>
      </c>
    </row>
    <row r="46" spans="1:43" x14ac:dyDescent="0.35">
      <c r="A46" s="11" t="s">
        <v>34</v>
      </c>
      <c r="B46" s="24" t="s">
        <v>67</v>
      </c>
      <c r="C46" s="28">
        <f t="shared" si="0"/>
        <v>36.886000912551282</v>
      </c>
      <c r="D46" s="12">
        <f>[1]data!C46-[1]data!C8</f>
        <v>23.759348551253893</v>
      </c>
      <c r="E46" s="12">
        <f>[1]data!D46-[1]data!D8</f>
        <v>1.2812909352111514</v>
      </c>
      <c r="F46" s="12">
        <f>[1]data!E46-[1]data!E8</f>
        <v>22.47805761604274</v>
      </c>
      <c r="G46" s="12">
        <f>[1]data!F46-[1]data!F8</f>
        <v>13.126652361297392</v>
      </c>
      <c r="H46" s="12">
        <f>[1]data!G46-[1]data!G8</f>
        <v>0</v>
      </c>
      <c r="I46" s="12">
        <f>[1]data!H46-[1]data!H8</f>
        <v>0</v>
      </c>
      <c r="J46" s="12">
        <f>[1]data!I46-[1]data!I8</f>
        <v>0</v>
      </c>
      <c r="K46" s="12">
        <f>[1]data!J46-[1]data!J8</f>
        <v>0</v>
      </c>
      <c r="L46" s="13">
        <f t="shared" si="3"/>
        <v>2.2516905875257454</v>
      </c>
      <c r="M46" s="12">
        <f>[1]data!K46-[1]data!K8</f>
        <v>1.4503795525417811</v>
      </c>
      <c r="N46" s="13">
        <f t="shared" si="5"/>
        <v>1.9030459099666373</v>
      </c>
      <c r="O46" s="13">
        <f t="shared" si="6"/>
        <v>1.1017348749826728</v>
      </c>
      <c r="P46" s="12">
        <f>[1]data!M46-[1]data!M8</f>
        <v>7.8215872345090698E-2</v>
      </c>
      <c r="Q46" s="12">
        <f>[1]data!N46-[1]data!N8</f>
        <v>5.941420932800745E-2</v>
      </c>
      <c r="R46" s="12">
        <f>[1]data!O46-[1]data!O8</f>
        <v>1.3721636801966901</v>
      </c>
      <c r="S46" s="12">
        <f>[1]data!P46-[1]data!P8</f>
        <v>1.0423206656546653</v>
      </c>
      <c r="T46" s="12">
        <f>[1]data!Q46-[1]data!Q8</f>
        <v>0.8013110349839645</v>
      </c>
      <c r="U46" s="12">
        <f>[1]data!R46-[1]data!R8</f>
        <v>0.60869053993703692</v>
      </c>
      <c r="V46" s="12">
        <f>[1]data!S46-[1]data!S8</f>
        <v>0</v>
      </c>
      <c r="W46" s="12">
        <f>[1]data!T46-[1]data!T8</f>
        <v>0</v>
      </c>
      <c r="X46" s="12">
        <f>[1]data!U46-[1]data!U8</f>
        <v>0</v>
      </c>
      <c r="Y46" s="12">
        <f>[1]data!V46-[1]data!V8</f>
        <v>0</v>
      </c>
      <c r="Z46" s="12">
        <f>[1]data!W46-[1]data!W8</f>
        <v>0</v>
      </c>
      <c r="AA46" s="12">
        <f>[1]data!X46-[1]data!X8</f>
        <v>0</v>
      </c>
      <c r="AB46" s="12">
        <f>[1]data!Y46-[1]data!Y8</f>
        <v>0</v>
      </c>
      <c r="AC46" s="12">
        <f>[1]data!Z46-[1]data!Z8</f>
        <v>0</v>
      </c>
      <c r="AD46" s="14">
        <v>2156.5395714307001</v>
      </c>
      <c r="AE46" s="15">
        <v>1638.14696019506</v>
      </c>
      <c r="AF46">
        <f>D46/(D46+H46)</f>
        <v>1</v>
      </c>
      <c r="AG46">
        <f>(F46/(D46+H46))</f>
        <v>0.9460721352503777</v>
      </c>
      <c r="AH46">
        <f>(E46/(D46+H46))</f>
        <v>5.3927864749622169E-2</v>
      </c>
      <c r="AI46">
        <f>(G46/(D46+H46))</f>
        <v>0.55248368165400041</v>
      </c>
      <c r="AJ46">
        <f>(F46/(D46))</f>
        <v>0.9460721352503777</v>
      </c>
      <c r="AK46">
        <f>E46/D46</f>
        <v>5.3927864749622169E-2</v>
      </c>
      <c r="AL46">
        <f>(H46/(C46+H46))</f>
        <v>0</v>
      </c>
      <c r="AM46">
        <f>(I46/(D46+H46))</f>
        <v>0</v>
      </c>
      <c r="AN46">
        <f>(J46/(D46+H46))</f>
        <v>0</v>
      </c>
      <c r="AO46" t="e">
        <f>(I46/H46)</f>
        <v>#DIV/0!</v>
      </c>
      <c r="AP46" t="e">
        <f>J46/H46</f>
        <v>#DIV/0!</v>
      </c>
      <c r="AQ46">
        <f>(D46+H46)/AD46</f>
        <v>1.1017348749826728E-2</v>
      </c>
    </row>
    <row r="47" spans="1:43" x14ac:dyDescent="0.35">
      <c r="A47" s="11" t="s">
        <v>35</v>
      </c>
      <c r="B47" s="24" t="s">
        <v>67</v>
      </c>
      <c r="C47" s="28">
        <f t="shared" si="0"/>
        <v>24.886187363532706</v>
      </c>
      <c r="D47" s="12">
        <f>[1]data!C47-[1]data!C9</f>
        <v>24.886187363532709</v>
      </c>
      <c r="E47" s="12">
        <f>[1]data!D47-[1]data!D9</f>
        <v>0.52057790283490757</v>
      </c>
      <c r="F47" s="12">
        <f>[1]data!E47-[1]data!E9</f>
        <v>24.365609460697797</v>
      </c>
      <c r="G47" s="12">
        <f>[1]data!F47-[1]data!F9</f>
        <v>0</v>
      </c>
      <c r="H47" s="12">
        <f>[1]data!G47-[1]data!G9</f>
        <v>0</v>
      </c>
      <c r="I47" s="12">
        <f>[1]data!H47-[1]data!H9</f>
        <v>0</v>
      </c>
      <c r="J47" s="12">
        <f>[1]data!I47-[1]data!I9</f>
        <v>0</v>
      </c>
      <c r="K47" s="12">
        <f>[1]data!J47-[1]data!J9</f>
        <v>0</v>
      </c>
      <c r="L47" s="13">
        <f t="shared" si="3"/>
        <v>1.8797371249607489</v>
      </c>
      <c r="M47" s="12">
        <f>[1]data!K47-[1]data!K9</f>
        <v>1.8797371249607489</v>
      </c>
      <c r="N47" s="13">
        <f t="shared" si="5"/>
        <v>1.385238169458487</v>
      </c>
      <c r="O47" s="13">
        <f t="shared" si="6"/>
        <v>1.385238169458487</v>
      </c>
      <c r="P47" s="12">
        <f>[1]data!M47-[1]data!M9</f>
        <v>3.9320993453055675E-2</v>
      </c>
      <c r="Q47" s="12">
        <f>[1]data!N47-[1]data!N9</f>
        <v>2.8976892709578927E-2</v>
      </c>
      <c r="R47" s="12">
        <f>[1]data!O47-[1]data!O9</f>
        <v>1.8404161315076932</v>
      </c>
      <c r="S47" s="12">
        <f>[1]data!P47-[1]data!P9</f>
        <v>1.3562612767489082</v>
      </c>
      <c r="T47" s="12">
        <f>[1]data!Q47-[1]data!Q9</f>
        <v>0</v>
      </c>
      <c r="U47" s="12">
        <f>[1]data!R47-[1]data!R9</f>
        <v>0</v>
      </c>
      <c r="V47" s="12">
        <f>[1]data!S47-[1]data!S9</f>
        <v>0</v>
      </c>
      <c r="W47" s="12">
        <f>[1]data!T47-[1]data!T9</f>
        <v>0</v>
      </c>
      <c r="X47" s="12">
        <f>[1]data!U47-[1]data!U9</f>
        <v>0</v>
      </c>
      <c r="Y47" s="12">
        <f>[1]data!V47-[1]data!V9</f>
        <v>0</v>
      </c>
      <c r="Z47" s="12">
        <f>[1]data!W47-[1]data!W9</f>
        <v>0</v>
      </c>
      <c r="AA47" s="12">
        <f>[1]data!X47-[1]data!X9</f>
        <v>0</v>
      </c>
      <c r="AB47" s="12">
        <f>[1]data!Y47-[1]data!Y9</f>
        <v>0</v>
      </c>
      <c r="AC47" s="12">
        <f>[1]data!Z47-[1]data!Z9</f>
        <v>0</v>
      </c>
      <c r="AD47" s="14">
        <v>1796.5276955414199</v>
      </c>
      <c r="AE47" s="15">
        <v>1323.9184901480501</v>
      </c>
      <c r="AF47">
        <f>D47/(D47+H47)</f>
        <v>1</v>
      </c>
      <c r="AG47">
        <f>(F47/(D47+H47))</f>
        <v>0.97908165299768868</v>
      </c>
      <c r="AH47">
        <f>(E47/(D47+H47))</f>
        <v>2.0918347002311131E-2</v>
      </c>
      <c r="AI47">
        <f>(G47/(D47+H47))</f>
        <v>0</v>
      </c>
      <c r="AJ47">
        <f>(F47/(D47))</f>
        <v>0.97908165299768868</v>
      </c>
      <c r="AK47">
        <f>E47/D47</f>
        <v>2.0918347002311131E-2</v>
      </c>
      <c r="AL47">
        <f>(H47/(C47+H47))</f>
        <v>0</v>
      </c>
      <c r="AM47">
        <f>(I47/(D47+H47))</f>
        <v>0</v>
      </c>
      <c r="AN47">
        <f>(J47/(D47+H47))</f>
        <v>0</v>
      </c>
      <c r="AO47" t="e">
        <f>(I47/H47)</f>
        <v>#DIV/0!</v>
      </c>
      <c r="AP47" t="e">
        <f>J47/H47</f>
        <v>#DIV/0!</v>
      </c>
      <c r="AQ47">
        <f>(D47+H47)/AD47</f>
        <v>1.3852381694584873E-2</v>
      </c>
    </row>
    <row r="48" spans="1:43" x14ac:dyDescent="0.35">
      <c r="A48" s="11" t="s">
        <v>36</v>
      </c>
      <c r="B48" s="24" t="s">
        <v>67</v>
      </c>
      <c r="C48" s="28">
        <f t="shared" si="0"/>
        <v>71.618784378598789</v>
      </c>
      <c r="D48" s="12">
        <f>[1]data!C48-[1]data!C10</f>
        <v>71.618784378598804</v>
      </c>
      <c r="E48" s="12">
        <f>[1]data!D48-[1]data!D10</f>
        <v>1.8120430642510197</v>
      </c>
      <c r="F48" s="12">
        <f>[1]data!E48-[1]data!E10</f>
        <v>69.806741314347775</v>
      </c>
      <c r="G48" s="12">
        <f>[1]data!F48-[1]data!F10</f>
        <v>0</v>
      </c>
      <c r="H48" s="12">
        <f>[1]data!G48-[1]data!G10</f>
        <v>0.49401987796943558</v>
      </c>
      <c r="I48" s="12">
        <f>[1]data!H48-[1]data!H10</f>
        <v>-421.75808205314377</v>
      </c>
      <c r="J48" s="12">
        <f>[1]data!I48-[1]data!I10</f>
        <v>422.2521019311132</v>
      </c>
      <c r="K48" s="12">
        <f>[1]data!J48-[1]data!J10</f>
        <v>0</v>
      </c>
      <c r="L48" s="13">
        <f t="shared" si="3"/>
        <v>2.2682920394272248</v>
      </c>
      <c r="M48" s="12">
        <f>[1]data!K48-[1]data!K10</f>
        <v>2.2682920394272248</v>
      </c>
      <c r="N48" s="13">
        <f t="shared" si="5"/>
        <v>2.4343666996657944</v>
      </c>
      <c r="O48" s="13">
        <f t="shared" si="6"/>
        <v>2.4343666996657944</v>
      </c>
      <c r="P48" s="12">
        <f>[1]data!M48-[1]data!M10</f>
        <v>5.7390569993647195E-2</v>
      </c>
      <c r="Q48" s="12">
        <f>[1]data!N48-[1]data!N10</f>
        <v>6.1592462539635018E-2</v>
      </c>
      <c r="R48" s="12">
        <f>[1]data!O48-[1]data!O10</f>
        <v>2.2109014694335776</v>
      </c>
      <c r="S48" s="12">
        <f>[1]data!P48-[1]data!P10</f>
        <v>2.3727742371261593</v>
      </c>
      <c r="T48" s="12">
        <f>[1]data!Q48-[1]data!Q10</f>
        <v>0</v>
      </c>
      <c r="U48" s="12">
        <f>[1]data!R48-[1]data!R10</f>
        <v>0</v>
      </c>
      <c r="V48" s="12">
        <f>[1]data!S48-[1]data!S10</f>
        <v>1.5646472726947636E-2</v>
      </c>
      <c r="W48" s="12">
        <f>[1]data!T48-[1]data!T10</f>
        <v>1.6792040668327957E-2</v>
      </c>
      <c r="X48" s="12">
        <f>[1]data!U48-[1]data!U10</f>
        <v>-13.357815388599549</v>
      </c>
      <c r="Y48" s="12">
        <f>[1]data!V48-[1]data!V10</f>
        <v>-14.335817609491436</v>
      </c>
      <c r="Z48" s="12">
        <f>[1]data!W48-[1]data!W10</f>
        <v>13.373461861326497</v>
      </c>
      <c r="AA48" s="12">
        <f>[1]data!X48-[1]data!X10</f>
        <v>14.352609650159764</v>
      </c>
      <c r="AB48" s="12">
        <f>[1]data!Y48-[1]data!Y10</f>
        <v>0</v>
      </c>
      <c r="AC48" s="12">
        <f>[1]data!Z48-[1]data!Z10</f>
        <v>0</v>
      </c>
      <c r="AD48" s="14">
        <v>2941.9883367789698</v>
      </c>
      <c r="AE48" s="15">
        <v>3157.38816403392</v>
      </c>
      <c r="AF48">
        <f>D48/(D48+H48)</f>
        <v>0.99314934590240345</v>
      </c>
      <c r="AG48">
        <f>(F48/(D48+H48))</f>
        <v>0.9680214496441466</v>
      </c>
      <c r="AH48">
        <f>(E48/(D48+H48))</f>
        <v>2.5127896258256711E-2</v>
      </c>
      <c r="AI48">
        <f>(G48/(D48+H48))</f>
        <v>0</v>
      </c>
      <c r="AJ48">
        <f>(F48/(D48))</f>
        <v>0.97469877379275227</v>
      </c>
      <c r="AK48">
        <f>E48/D48</f>
        <v>2.5301226207247608E-2</v>
      </c>
      <c r="AL48">
        <f>(H48/(C48+H48))</f>
        <v>6.8506540975965301E-3</v>
      </c>
      <c r="AM48">
        <f>(I48/(D48+H48))</f>
        <v>-5.8485880059882547</v>
      </c>
      <c r="AN48">
        <f>(J48/(D48+H48))</f>
        <v>5.8554386600858512</v>
      </c>
      <c r="AO48">
        <f>(I48/H48)</f>
        <v>-853.72694675099171</v>
      </c>
      <c r="AP48">
        <f>J48/H48</f>
        <v>854.72694675099171</v>
      </c>
      <c r="AQ48">
        <f>(D48+H48)/AD48</f>
        <v>2.451158740334124E-2</v>
      </c>
    </row>
    <row r="49" spans="1:43" x14ac:dyDescent="0.35">
      <c r="A49" s="11" t="s">
        <v>37</v>
      </c>
      <c r="B49" s="24" t="s">
        <v>67</v>
      </c>
      <c r="C49" s="28">
        <f t="shared" si="0"/>
        <v>1048</v>
      </c>
      <c r="D49" s="12">
        <f>[1]data!C49-[1]data!C11</f>
        <v>1048</v>
      </c>
      <c r="E49" s="12">
        <f>[1]data!D49-[1]data!D11</f>
        <v>294.55</v>
      </c>
      <c r="F49" s="12">
        <f>[1]data!E49-[1]data!E11</f>
        <v>753.45</v>
      </c>
      <c r="G49" s="12">
        <f>[1]data!F49-[1]data!F11</f>
        <v>0</v>
      </c>
      <c r="H49" s="12">
        <f>[1]data!G49-[1]data!G11</f>
        <v>0</v>
      </c>
      <c r="I49" s="12">
        <f>[1]data!H49-[1]data!H11</f>
        <v>0</v>
      </c>
      <c r="J49" s="12">
        <f>[1]data!I49-[1]data!I11</f>
        <v>0</v>
      </c>
      <c r="K49" s="12">
        <f>[1]data!J49-[1]data!J11</f>
        <v>0</v>
      </c>
      <c r="L49" s="13">
        <f t="shared" si="3"/>
        <v>5.2586748171464457</v>
      </c>
      <c r="M49" s="12">
        <f>[1]data!K49-[1]data!K11</f>
        <v>5.2586748171464457</v>
      </c>
      <c r="N49" s="13">
        <f t="shared" si="5"/>
        <v>5.2467646833064396</v>
      </c>
      <c r="O49" s="13">
        <f t="shared" si="6"/>
        <v>5.2467646833064396</v>
      </c>
      <c r="P49" s="12">
        <f>[1]data!M49-[1]data!M11</f>
        <v>1.4779987284260356</v>
      </c>
      <c r="Q49" s="12">
        <f>[1]data!N49-[1]data!N11</f>
        <v>1.4746512762098394</v>
      </c>
      <c r="R49" s="12">
        <f>[1]data!O49-[1]data!O11</f>
        <v>3.7806760887204103</v>
      </c>
      <c r="S49" s="12">
        <f>[1]data!P49-[1]data!P11</f>
        <v>3.7721134070966</v>
      </c>
      <c r="T49" s="12">
        <f>[1]data!Q49-[1]data!Q11</f>
        <v>0</v>
      </c>
      <c r="U49" s="12">
        <f>[1]data!R49-[1]data!R11</f>
        <v>0</v>
      </c>
      <c r="V49" s="12">
        <f>[1]data!S49-[1]data!S11</f>
        <v>0</v>
      </c>
      <c r="W49" s="12">
        <f>[1]data!T49-[1]data!T11</f>
        <v>0</v>
      </c>
      <c r="X49" s="12">
        <f>[1]data!U49-[1]data!U11</f>
        <v>0</v>
      </c>
      <c r="Y49" s="12">
        <f>[1]data!V49-[1]data!V11</f>
        <v>0</v>
      </c>
      <c r="Z49" s="12">
        <f>[1]data!W49-[1]data!W11</f>
        <v>0</v>
      </c>
      <c r="AA49" s="12">
        <f>[1]data!X49-[1]data!X11</f>
        <v>0</v>
      </c>
      <c r="AB49" s="12">
        <f>[1]data!Y49-[1]data!Y11</f>
        <v>0</v>
      </c>
      <c r="AC49" s="12">
        <f>[1]data!Z49-[1]data!Z11</f>
        <v>0</v>
      </c>
      <c r="AD49" s="14">
        <v>19974.2138871676</v>
      </c>
      <c r="AE49" s="15">
        <v>19928.975197</v>
      </c>
      <c r="AF49">
        <f>D49/(D49+H49)</f>
        <v>1</v>
      </c>
      <c r="AG49">
        <f>(F49/(D49+H49))</f>
        <v>0.7189408396946565</v>
      </c>
      <c r="AH49">
        <f>(E49/(D49+H49))</f>
        <v>0.2810591603053435</v>
      </c>
      <c r="AI49">
        <f>(G49/(D49+H49))</f>
        <v>0</v>
      </c>
      <c r="AJ49">
        <f>(F49/(D49))</f>
        <v>0.7189408396946565</v>
      </c>
      <c r="AK49">
        <f>E49/D49</f>
        <v>0.2810591603053435</v>
      </c>
      <c r="AL49">
        <f>(H49/(C49+H49))</f>
        <v>0</v>
      </c>
      <c r="AM49">
        <f>(I49/(D49+H49))</f>
        <v>0</v>
      </c>
      <c r="AN49">
        <f>(J49/(D49+H49))</f>
        <v>0</v>
      </c>
      <c r="AO49" t="e">
        <f>(I49/H49)</f>
        <v>#DIV/0!</v>
      </c>
      <c r="AP49" t="e">
        <f>J49/H49</f>
        <v>#DIV/0!</v>
      </c>
      <c r="AQ49">
        <f>(D49+H49)/AD49</f>
        <v>5.2467646833064395E-2</v>
      </c>
    </row>
    <row r="50" spans="1:43" x14ac:dyDescent="0.35">
      <c r="A50" s="11" t="s">
        <v>38</v>
      </c>
      <c r="B50" s="24" t="s">
        <v>67</v>
      </c>
      <c r="C50" s="28">
        <f t="shared" si="0"/>
        <v>7.1567951026174796</v>
      </c>
      <c r="D50" s="12">
        <f>[1]data!C50-[1]data!C12</f>
        <v>4.9963816139161317</v>
      </c>
      <c r="E50" s="12">
        <f>[1]data!D50-[1]data!D12</f>
        <v>4.2542129426514919E-4</v>
      </c>
      <c r="F50" s="12">
        <f>[1]data!E50-[1]data!E12</f>
        <v>4.9959561926218665</v>
      </c>
      <c r="G50" s="12">
        <f>[1]data!F50-[1]data!F12</f>
        <v>2.1604134887013475</v>
      </c>
      <c r="H50" s="12">
        <f>[1]data!G50-[1]data!G12</f>
        <v>-1.5306958497704479</v>
      </c>
      <c r="I50" s="12">
        <f>[1]data!H50-[1]data!H12</f>
        <v>-1.5306958497704479</v>
      </c>
      <c r="J50" s="12">
        <f>[1]data!I50-[1]data!I12</f>
        <v>0</v>
      </c>
      <c r="K50" s="12">
        <f>[1]data!J50-[1]data!J12</f>
        <v>3.026441309603181</v>
      </c>
      <c r="L50" s="13">
        <f t="shared" si="3"/>
        <v>0.55949557754856016</v>
      </c>
      <c r="M50" s="12">
        <f>[1]data!K50-[1]data!K12</f>
        <v>0.39060129242887259</v>
      </c>
      <c r="N50" s="13">
        <f t="shared" si="5"/>
        <v>0.37867929876342987</v>
      </c>
      <c r="O50" s="13">
        <f t="shared" si="6"/>
        <v>0.2097850136437423</v>
      </c>
      <c r="P50" s="12">
        <f>[1]data!M50-[1]data!M12</f>
        <v>3.3258089595061824E-5</v>
      </c>
      <c r="Q50" s="12">
        <f>[1]data!N50-[1]data!N12</f>
        <v>1.786232896484885E-5</v>
      </c>
      <c r="R50" s="12">
        <f>[1]data!O50-[1]data!O12</f>
        <v>0.39056803433927756</v>
      </c>
      <c r="S50" s="12">
        <f>[1]data!P50-[1]data!P12</f>
        <v>0.20976715131477744</v>
      </c>
      <c r="T50" s="12">
        <f>[1]data!Q50-[1]data!Q12</f>
        <v>0.16889428511968757</v>
      </c>
      <c r="U50" s="12">
        <f>[1]data!R50-[1]data!R12</f>
        <v>9.0710119487471319E-2</v>
      </c>
      <c r="V50" s="12">
        <f>[1]data!S50-[1]data!S12</f>
        <v>-0.11966495424820534</v>
      </c>
      <c r="W50" s="12">
        <f>[1]data!T50-[1]data!T12</f>
        <v>-6.4269920622981327E-2</v>
      </c>
      <c r="X50" s="12">
        <f>[1]data!U50-[1]data!U12</f>
        <v>-0.11966495424820534</v>
      </c>
      <c r="Y50" s="12">
        <f>[1]data!V50-[1]data!V12</f>
        <v>-6.4269920622981327E-2</v>
      </c>
      <c r="Z50" s="12">
        <f>[1]data!W50-[1]data!W12</f>
        <v>0</v>
      </c>
      <c r="AA50" s="12">
        <f>[1]data!X50-[1]data!X12</f>
        <v>0</v>
      </c>
      <c r="AB50" s="12">
        <f>[1]data!Y50-[1]data!Y12</f>
        <v>0.23659759768921751</v>
      </c>
      <c r="AC50" s="12">
        <f>[1]data!Z50-[1]data!Z12</f>
        <v>0.12707236566132835</v>
      </c>
      <c r="AD50" s="14">
        <v>2381.6675591522499</v>
      </c>
      <c r="AE50" s="15">
        <v>1279.1513266244399</v>
      </c>
      <c r="AF50">
        <f>D50/(D50+H50)</f>
        <v>1.4416718519625438</v>
      </c>
      <c r="AG50">
        <f>(F50/(D50+H50))</f>
        <v>1.4415490995483848</v>
      </c>
      <c r="AH50">
        <f>(E50/(D50+H50))</f>
        <v>1.2275241415893879E-4</v>
      </c>
      <c r="AI50">
        <f>(G50/(D50+H50))</f>
        <v>0.62337258358849068</v>
      </c>
      <c r="AJ50">
        <f>(F50/(D50))</f>
        <v>0.99991485412301573</v>
      </c>
      <c r="AK50">
        <f>E50/D50</f>
        <v>8.5145876984305595E-5</v>
      </c>
      <c r="AL50">
        <f>(H50/(C50+H50))</f>
        <v>-0.27207053785904228</v>
      </c>
      <c r="AM50">
        <f>(I50/(D50+H50))</f>
        <v>-0.44167185196254383</v>
      </c>
      <c r="AN50">
        <f>(J50/(D50+H50))</f>
        <v>0</v>
      </c>
      <c r="AO50">
        <f>(I50/H50)</f>
        <v>1</v>
      </c>
      <c r="AP50">
        <f>J50/H50</f>
        <v>0</v>
      </c>
      <c r="AQ50">
        <f>(D50+H50)/AD50</f>
        <v>1.4551509302076098E-3</v>
      </c>
    </row>
    <row r="51" spans="1:43" x14ac:dyDescent="0.35">
      <c r="A51" s="11" t="s">
        <v>39</v>
      </c>
      <c r="B51" s="24" t="s">
        <v>67</v>
      </c>
      <c r="C51" s="28">
        <f t="shared" si="0"/>
        <v>11.563909774436091</v>
      </c>
      <c r="D51" s="12">
        <f>[1]data!C51-[1]data!C13</f>
        <v>1.6541353383458646</v>
      </c>
      <c r="E51" s="12">
        <f>[1]data!D51-[1]data!D13</f>
        <v>0</v>
      </c>
      <c r="F51" s="12">
        <f>[1]data!E51-[1]data!E13</f>
        <v>1.6541353383458646</v>
      </c>
      <c r="G51" s="12">
        <f>[1]data!F51-[1]data!F13</f>
        <v>9.9097744360902258</v>
      </c>
      <c r="H51" s="12">
        <f>[1]data!G51-[1]data!G13</f>
        <v>44.019548872180451</v>
      </c>
      <c r="I51" s="12">
        <f>[1]data!H51-[1]data!H13</f>
        <v>3.007518796992481</v>
      </c>
      <c r="J51" s="12">
        <f>[1]data!I51-[1]data!I13</f>
        <v>41.012030075187972</v>
      </c>
      <c r="K51" s="12">
        <f>[1]data!J51-[1]data!J13</f>
        <v>15.473684210526315</v>
      </c>
      <c r="L51" s="13">
        <f t="shared" si="3"/>
        <v>1.1598082929248656</v>
      </c>
      <c r="M51" s="12">
        <f>[1]data!K51-[1]data!K13</f>
        <v>0.16590235659523436</v>
      </c>
      <c r="N51" s="13">
        <f t="shared" si="5"/>
        <v>1.0647837793096204</v>
      </c>
      <c r="O51" s="13">
        <f t="shared" si="6"/>
        <v>7.0877842979989017E-2</v>
      </c>
      <c r="P51" s="12">
        <f>[1]data!M51-[1]data!M13</f>
        <v>0</v>
      </c>
      <c r="Q51" s="12">
        <f>[1]data!N51-[1]data!N13</f>
        <v>0</v>
      </c>
      <c r="R51" s="12">
        <f>[1]data!O51-[1]data!O13</f>
        <v>0.16590235659523436</v>
      </c>
      <c r="S51" s="12">
        <f>[1]data!P51-[1]data!P13</f>
        <v>7.0877842979989017E-2</v>
      </c>
      <c r="T51" s="12">
        <f>[1]data!Q51-[1]data!Q13</f>
        <v>0.99390593632963131</v>
      </c>
      <c r="U51" s="12">
        <f>[1]data!R51-[1]data!R13</f>
        <v>0.42462271385284334</v>
      </c>
      <c r="V51" s="12">
        <f>[1]data!S51-[1]data!S13</f>
        <v>4.4149633496475413</v>
      </c>
      <c r="W51" s="12">
        <f>[1]data!T51-[1]data!T13</f>
        <v>1.886188270502926</v>
      </c>
      <c r="X51" s="12">
        <f>[1]data!U51-[1]data!U13</f>
        <v>0.30164064835497151</v>
      </c>
      <c r="Y51" s="12">
        <f>[1]data!V51-[1]data!V13</f>
        <v>0.12886880541816187</v>
      </c>
      <c r="Z51" s="12">
        <f>[1]data!W51-[1]data!W13</f>
        <v>4.1133227012925699</v>
      </c>
      <c r="AA51" s="12">
        <f>[1]data!X51-[1]data!X13</f>
        <v>1.7573194650847643</v>
      </c>
      <c r="AB51" s="12">
        <f>[1]data!Y51-[1]data!Y13</f>
        <v>1.5519411357863286</v>
      </c>
      <c r="AC51" s="12">
        <f>[1]data!Z51-[1]data!Z13</f>
        <v>0.66303000387644273</v>
      </c>
      <c r="AD51" s="14">
        <v>2333.7834064911899</v>
      </c>
      <c r="AE51" s="15">
        <v>997.05355143423003</v>
      </c>
      <c r="AF51">
        <f>D51/(D51+H51)</f>
        <v>3.6216376386922593E-2</v>
      </c>
      <c r="AG51">
        <f>(F51/(D51+H51))</f>
        <v>3.6216376386922593E-2</v>
      </c>
      <c r="AH51">
        <f>(E51/(D51+H51))</f>
        <v>0</v>
      </c>
      <c r="AI51">
        <f>(G51/(D51+H51))</f>
        <v>0.2169690185361999</v>
      </c>
      <c r="AJ51">
        <f>(F51/(D51))</f>
        <v>1</v>
      </c>
      <c r="AK51">
        <f>E51/D51</f>
        <v>0</v>
      </c>
      <c r="AL51">
        <f>(H51/(C51+H51))</f>
        <v>0.79195411627844059</v>
      </c>
      <c r="AM51">
        <f>(I51/(D51+H51))</f>
        <v>6.5847957067131979E-2</v>
      </c>
      <c r="AN51">
        <f>(J51/(D51+H51))</f>
        <v>0.89793566654594548</v>
      </c>
      <c r="AO51">
        <f>(I51/H51)</f>
        <v>6.8322344822874317E-2</v>
      </c>
      <c r="AP51">
        <f>J51/H51</f>
        <v>0.93167765517712575</v>
      </c>
      <c r="AQ51">
        <f>(D51+H51)/AD51</f>
        <v>1.9570661134829154E-2</v>
      </c>
    </row>
    <row r="52" spans="1:43" x14ac:dyDescent="0.35">
      <c r="A52" s="17" t="s">
        <v>40</v>
      </c>
      <c r="B52" s="24" t="s">
        <v>67</v>
      </c>
      <c r="C52" s="28">
        <f t="shared" si="0"/>
        <v>8.4705882300000006</v>
      </c>
      <c r="D52" s="12">
        <f>[1]data!C52-[1]data!C14</f>
        <v>8.4705882300000006</v>
      </c>
      <c r="E52" s="12">
        <f>[1]data!D52-[1]data!D14</f>
        <v>0</v>
      </c>
      <c r="F52" s="12">
        <f>[1]data!E52-[1]data!E14</f>
        <v>8.4705882300000006</v>
      </c>
      <c r="G52" s="12">
        <f>[1]data!F52-[1]data!F14</f>
        <v>0</v>
      </c>
      <c r="H52" s="12">
        <f>[1]data!G52-[1]data!G14</f>
        <v>8.4705999999999992</v>
      </c>
      <c r="I52" s="12">
        <f>[1]data!H52-[1]data!H14</f>
        <v>0</v>
      </c>
      <c r="J52" s="12">
        <f>[1]data!I52-[1]data!I14</f>
        <v>8.4705999999999992</v>
      </c>
      <c r="K52" s="12">
        <f>[1]data!J52-[1]data!J14</f>
        <v>0</v>
      </c>
      <c r="L52" s="13">
        <f t="shared" si="3"/>
        <v>2.0462852131061382</v>
      </c>
      <c r="M52" s="12">
        <f>[1]data!K52-[1]data!K14</f>
        <v>2.0462852131061382</v>
      </c>
      <c r="N52" s="13">
        <f t="shared" si="5"/>
        <v>1.8076405000965217</v>
      </c>
      <c r="O52" s="13">
        <f t="shared" si="6"/>
        <v>1.8076405000965217</v>
      </c>
      <c r="P52" s="12">
        <f>[1]data!M52-[1]data!M14</f>
        <v>0</v>
      </c>
      <c r="Q52" s="12">
        <f>[1]data!N52-[1]data!N14</f>
        <v>0</v>
      </c>
      <c r="R52" s="12">
        <f>[1]data!O52-[1]data!O14</f>
        <v>2.0462852131061382</v>
      </c>
      <c r="S52" s="12">
        <f>[1]data!P52-[1]data!P14</f>
        <v>1.8076405000965217</v>
      </c>
      <c r="T52" s="12">
        <f>[1]data!Q52-[1]data!Q14</f>
        <v>0</v>
      </c>
      <c r="U52" s="12">
        <f>[1]data!R52-[1]data!R14</f>
        <v>0</v>
      </c>
      <c r="V52" s="12">
        <f>[1]data!S52-[1]data!S14</f>
        <v>2.0462880564478647</v>
      </c>
      <c r="W52" s="12">
        <f>[1]data!T52-[1]data!T14</f>
        <v>1.8076430118381042</v>
      </c>
      <c r="X52" s="12">
        <f>[1]data!U52-[1]data!U14</f>
        <v>0</v>
      </c>
      <c r="Y52" s="12">
        <f>[1]data!V52-[1]data!V14</f>
        <v>0</v>
      </c>
      <c r="Z52" s="12">
        <f>[1]data!W52-[1]data!W14</f>
        <v>2.0462880564478647</v>
      </c>
      <c r="AA52" s="12">
        <f>[1]data!X52-[1]data!X14</f>
        <v>1.8076430118381042</v>
      </c>
      <c r="AB52" s="12">
        <f>[1]data!Y52-[1]data!Y14</f>
        <v>0</v>
      </c>
      <c r="AC52" s="12">
        <f>[1]data!Z52-[1]data!Z14</f>
        <v>0</v>
      </c>
      <c r="AD52" s="14">
        <v>468.59916169988998</v>
      </c>
      <c r="AE52" s="15">
        <v>413.94954015926999</v>
      </c>
      <c r="AF52">
        <f>D52/(D52+H52)</f>
        <v>0.49999965262176888</v>
      </c>
      <c r="AG52">
        <f>(F52/(D52+H52))</f>
        <v>0.49999965262176888</v>
      </c>
      <c r="AH52">
        <f>(E52/(D52+H52))</f>
        <v>0</v>
      </c>
      <c r="AI52">
        <f>(G52/(D52+H52))</f>
        <v>0</v>
      </c>
      <c r="AJ52">
        <f>(F52/(D52))</f>
        <v>1</v>
      </c>
      <c r="AK52">
        <f>E52/D52</f>
        <v>0</v>
      </c>
      <c r="AL52">
        <f>(H52/(C52+H52))</f>
        <v>0.50000034737823096</v>
      </c>
      <c r="AM52">
        <f>(I52/(D52+H52))</f>
        <v>0</v>
      </c>
      <c r="AN52">
        <f>(J52/(D52+H52))</f>
        <v>0.50000034737823096</v>
      </c>
      <c r="AO52">
        <f>(I52/H52)</f>
        <v>0</v>
      </c>
      <c r="AP52">
        <f>J52/H52</f>
        <v>1</v>
      </c>
      <c r="AQ52">
        <f>(D52+H52)/AD52</f>
        <v>3.6152835119346263E-2</v>
      </c>
    </row>
    <row r="53" spans="1:43" x14ac:dyDescent="0.35">
      <c r="A53" s="11" t="s">
        <v>41</v>
      </c>
      <c r="B53" s="24" t="s">
        <v>67</v>
      </c>
      <c r="C53" s="28">
        <f t="shared" si="0"/>
        <v>27.757934588838758</v>
      </c>
      <c r="D53" s="12">
        <f>[1]data!C53-[1]data!C15</f>
        <v>15.736781814144809</v>
      </c>
      <c r="E53" s="12">
        <f>[1]data!D53-[1]data!D15</f>
        <v>2.2949473478961178</v>
      </c>
      <c r="F53" s="12">
        <f>[1]data!E53-[1]data!E15</f>
        <v>13.441834466248691</v>
      </c>
      <c r="G53" s="12">
        <f>[1]data!F53-[1]data!F15</f>
        <v>12.021152774693951</v>
      </c>
      <c r="H53" s="12">
        <f>[1]data!G53-[1]data!G15</f>
        <v>2.827267662189584</v>
      </c>
      <c r="I53" s="12">
        <f>[1]data!H53-[1]data!H15</f>
        <v>0</v>
      </c>
      <c r="J53" s="12">
        <f>[1]data!I53-[1]data!I15</f>
        <v>2.827267662189584</v>
      </c>
      <c r="K53" s="12">
        <f>[1]data!J53-[1]data!J15</f>
        <v>0</v>
      </c>
      <c r="L53" s="13">
        <f t="shared" si="3"/>
        <v>5.6058796601753951</v>
      </c>
      <c r="M53" s="12">
        <f>[1]data!K53-[1]data!K15</f>
        <v>3.1781365002569171</v>
      </c>
      <c r="N53" s="13">
        <f t="shared" si="5"/>
        <v>5.2615553833118991</v>
      </c>
      <c r="O53" s="13">
        <f t="shared" si="6"/>
        <v>2.8338122233934211</v>
      </c>
      <c r="P53" s="12">
        <f>[1]data!M53-[1]data!M15</f>
        <v>0.46347823962080037</v>
      </c>
      <c r="Q53" s="12">
        <f>[1]data!N53-[1]data!N15</f>
        <v>0.41326428257820719</v>
      </c>
      <c r="R53" s="12">
        <f>[1]data!O53-[1]data!O15</f>
        <v>2.7146582606361167</v>
      </c>
      <c r="S53" s="12">
        <f>[1]data!P53-[1]data!P15</f>
        <v>2.4205479408152137</v>
      </c>
      <c r="T53" s="12">
        <f>[1]data!Q53-[1]data!Q15</f>
        <v>2.427743159918478</v>
      </c>
      <c r="U53" s="12">
        <f>[1]data!R53-[1]data!R15</f>
        <v>2.164717670647752</v>
      </c>
      <c r="V53" s="12">
        <f>[1]data!S53-[1]data!S15</f>
        <v>0.57098348692388257</v>
      </c>
      <c r="W53" s="12">
        <f>[1]data!T53-[1]data!T15</f>
        <v>0.50912224332400235</v>
      </c>
      <c r="X53" s="12">
        <f>[1]data!U53-[1]data!U15</f>
        <v>0</v>
      </c>
      <c r="Y53" s="12">
        <f>[1]data!V53-[1]data!V15</f>
        <v>0</v>
      </c>
      <c r="Z53" s="12">
        <f>[1]data!W53-[1]data!W15</f>
        <v>0.57098348692388257</v>
      </c>
      <c r="AA53" s="12">
        <f>[1]data!X53-[1]data!X15</f>
        <v>0.50912224332400235</v>
      </c>
      <c r="AB53" s="12">
        <f>[1]data!Y53-[1]data!Y15</f>
        <v>0</v>
      </c>
      <c r="AC53" s="12">
        <f>[1]data!Z53-[1]data!Z15</f>
        <v>0</v>
      </c>
      <c r="AD53" s="14">
        <v>555.32196820367994</v>
      </c>
      <c r="AE53" s="15">
        <v>495.15751802582002</v>
      </c>
      <c r="AF53">
        <f>D53/(D53+H53)</f>
        <v>0.84770199703497839</v>
      </c>
      <c r="AG53">
        <f>(F53/(D53+H53))</f>
        <v>0.724078789134044</v>
      </c>
      <c r="AH53">
        <f>(E53/(D53+H53))</f>
        <v>0.12362320790093433</v>
      </c>
      <c r="AI53">
        <f>(G53/(D53+H53))</f>
        <v>0.64755013662394179</v>
      </c>
      <c r="AJ53">
        <f>(F53/(D53))</f>
        <v>0.85416666666666663</v>
      </c>
      <c r="AK53">
        <f>E53/D53</f>
        <v>0.14583333333333331</v>
      </c>
      <c r="AL53">
        <f>(H53/(C53+H53))</f>
        <v>9.243907033815757E-2</v>
      </c>
      <c r="AM53">
        <f>(I53/(D53+H53))</f>
        <v>0</v>
      </c>
      <c r="AN53">
        <f>(J53/(D53+H53))</f>
        <v>0.15229800296502166</v>
      </c>
      <c r="AO53">
        <f>(I53/H53)</f>
        <v>0</v>
      </c>
      <c r="AP53">
        <f>J53/H53</f>
        <v>1</v>
      </c>
      <c r="AQ53">
        <f>(D53+H53)/AD53</f>
        <v>3.3429344667174246E-2</v>
      </c>
    </row>
    <row r="54" spans="1:43" x14ac:dyDescent="0.35">
      <c r="A54" s="21" t="s">
        <v>42</v>
      </c>
      <c r="B54" s="25" t="s">
        <v>67</v>
      </c>
      <c r="C54" s="28">
        <f t="shared" si="0"/>
        <v>1.8854020040765493</v>
      </c>
      <c r="D54" s="12">
        <f>[1]data!C54-[1]data!C16</f>
        <v>1.885402004076548</v>
      </c>
      <c r="E54" s="12">
        <f>[1]data!D54-[1]data!D16</f>
        <v>1.8854020040765493</v>
      </c>
      <c r="F54" s="12">
        <f>[1]data!E54-[1]data!E16</f>
        <v>0</v>
      </c>
      <c r="G54" s="12">
        <f>[1]data!F54-[1]data!F16</f>
        <v>0</v>
      </c>
      <c r="H54" s="12">
        <f>[1]data!G54-[1]data!G16</f>
        <v>-0.77448880067103687</v>
      </c>
      <c r="I54" s="12">
        <f>[1]data!H54-[1]data!H16</f>
        <v>-0.77448880067103743</v>
      </c>
      <c r="J54" s="12">
        <f>[1]data!I54-[1]data!I16</f>
        <v>0</v>
      </c>
      <c r="K54" s="12">
        <f>[1]data!J54-[1]data!J16</f>
        <v>0</v>
      </c>
      <c r="L54" s="13">
        <f t="shared" si="3"/>
        <v>0.8743271030895452</v>
      </c>
      <c r="M54" s="12">
        <f>[1]data!K54-[1]data!K16</f>
        <v>0.87432710308954587</v>
      </c>
      <c r="N54" s="13">
        <f t="shared" si="5"/>
        <v>0.46279358816794303</v>
      </c>
      <c r="O54" s="13">
        <f t="shared" si="6"/>
        <v>0.46279358816794303</v>
      </c>
      <c r="P54" s="12">
        <f>[1]data!M54-[1]data!M16</f>
        <v>0.8743271030895452</v>
      </c>
      <c r="Q54" s="12">
        <f>[1]data!N54-[1]data!N16</f>
        <v>0.46279358816794303</v>
      </c>
      <c r="R54" s="12">
        <f>[1]data!O54-[1]data!O16</f>
        <v>0</v>
      </c>
      <c r="S54" s="12">
        <f>[1]data!P54-[1]data!P16</f>
        <v>0</v>
      </c>
      <c r="T54" s="12">
        <f>[1]data!Q54-[1]data!Q16</f>
        <v>0</v>
      </c>
      <c r="U54" s="12">
        <f>[1]data!R54-[1]data!R16</f>
        <v>0</v>
      </c>
      <c r="V54" s="12">
        <f>[1]data!S54-[1]data!S16</f>
        <v>-0.35915764807817041</v>
      </c>
      <c r="W54" s="12">
        <f>[1]data!T54-[1]data!T16</f>
        <v>-0.19010717623268381</v>
      </c>
      <c r="X54" s="12">
        <f>[1]data!U54-[1]data!U16</f>
        <v>-0.35915764807817141</v>
      </c>
      <c r="Y54" s="12">
        <f>[1]data!V54-[1]data!V16</f>
        <v>-0.19010717623268403</v>
      </c>
      <c r="Z54" s="12">
        <f>[1]data!W54-[1]data!W16</f>
        <v>0</v>
      </c>
      <c r="AA54" s="12">
        <f>[1]data!X54-[1]data!X16</f>
        <v>0</v>
      </c>
      <c r="AB54" s="12">
        <f>[1]data!Y54-[1]data!Y16</f>
        <v>0</v>
      </c>
      <c r="AC54" s="12">
        <f>[1]data!Z54-[1]data!Z16</f>
        <v>0</v>
      </c>
      <c r="AD54" s="14">
        <v>407.39587848230002</v>
      </c>
      <c r="AE54" s="15">
        <v>215.64034757863999</v>
      </c>
      <c r="AF54">
        <f>D54/(D54+H54)</f>
        <v>1.6971640973361706</v>
      </c>
      <c r="AG54">
        <f>(F54/(D54+H54))</f>
        <v>0</v>
      </c>
      <c r="AH54">
        <f>(E54/(D54+H54))</f>
        <v>1.6971640973361719</v>
      </c>
      <c r="AI54">
        <f>(G54/(D54+H54))</f>
        <v>0</v>
      </c>
      <c r="AJ54">
        <f>(F54/(D54))</f>
        <v>0</v>
      </c>
      <c r="AK54">
        <f>E54/D54</f>
        <v>1.0000000000000007</v>
      </c>
      <c r="AL54">
        <f>(H54/(C54+H54))</f>
        <v>-0.6971640973361698</v>
      </c>
      <c r="AM54">
        <f>(I54/(D54+H54))</f>
        <v>-0.69716409733617113</v>
      </c>
      <c r="AN54">
        <f>(J54/(D54+H54))</f>
        <v>0</v>
      </c>
      <c r="AO54">
        <f>(I54/H54)</f>
        <v>1.0000000000000007</v>
      </c>
      <c r="AP54">
        <f>J54/H54</f>
        <v>0</v>
      </c>
      <c r="AQ54">
        <f>(D54+H54)/AD54</f>
        <v>2.7268641193525884E-3</v>
      </c>
    </row>
    <row r="55" spans="1:43" x14ac:dyDescent="0.35">
      <c r="A55" s="17" t="s">
        <v>43</v>
      </c>
      <c r="B55" s="24" t="s">
        <v>67</v>
      </c>
      <c r="C55" s="28">
        <f t="shared" si="0"/>
        <v>21.421976659696455</v>
      </c>
      <c r="D55" s="12">
        <f>[1]data!C55-[1]data!C17</f>
        <v>-2.8623216038193782</v>
      </c>
      <c r="E55" s="12">
        <f>[1]data!D55-[1]data!D17</f>
        <v>0.11675143395921074</v>
      </c>
      <c r="F55" s="12">
        <f>[1]data!E55-[1]data!E17</f>
        <v>-2.9790730377785888</v>
      </c>
      <c r="G55" s="12">
        <f>[1]data!F55-[1]data!F17</f>
        <v>24.284298263515833</v>
      </c>
      <c r="H55" s="12">
        <f>[1]data!G55-[1]data!G17</f>
        <v>21.166160352966337</v>
      </c>
      <c r="I55" s="12">
        <f>[1]data!H55-[1]data!H17</f>
        <v>5.822977768715635</v>
      </c>
      <c r="J55" s="12">
        <f>[1]data!I55-[1]data!I17</f>
        <v>15.343182584250702</v>
      </c>
      <c r="K55" s="12">
        <f>[1]data!J55-[1]data!J17</f>
        <v>0</v>
      </c>
      <c r="L55" s="13">
        <f t="shared" si="3"/>
        <v>6.440713425948065</v>
      </c>
      <c r="M55" s="12">
        <f>[1]data!K55-[1]data!K17</f>
        <v>-0.86058319808485284</v>
      </c>
      <c r="N55" s="13">
        <f t="shared" si="5"/>
        <v>6.3811239875598567</v>
      </c>
      <c r="O55" s="13">
        <f t="shared" si="6"/>
        <v>-0.92017263647306047</v>
      </c>
      <c r="P55" s="12">
        <f>[1]data!M55-[1]data!M17</f>
        <v>3.5102387615542872E-2</v>
      </c>
      <c r="Q55" s="12">
        <f>[1]data!N55-[1]data!N17</f>
        <v>3.7532985341306419E-2</v>
      </c>
      <c r="R55" s="12">
        <f>[1]data!O55-[1]data!O17</f>
        <v>-0.8956855857003958</v>
      </c>
      <c r="S55" s="12">
        <f>[1]data!P55-[1]data!P17</f>
        <v>-0.95770562181436691</v>
      </c>
      <c r="T55" s="12">
        <f>[1]data!Q55-[1]data!Q17</f>
        <v>7.3012966240329176</v>
      </c>
      <c r="U55" s="12">
        <f>[1]data!R55-[1]data!R17</f>
        <v>7.8068609509917337</v>
      </c>
      <c r="V55" s="12">
        <f>[1]data!S55-[1]data!S17</f>
        <v>6.363799911032654</v>
      </c>
      <c r="W55" s="12">
        <f>[1]data!T55-[1]data!T17</f>
        <v>6.8044490702972862</v>
      </c>
      <c r="X55" s="12">
        <f>[1]data!U55-[1]data!U17</f>
        <v>1.7507315823252003</v>
      </c>
      <c r="Y55" s="12">
        <f>[1]data!V55-[1]data!V17</f>
        <v>1.8719576438976573</v>
      </c>
      <c r="Z55" s="12">
        <f>[1]data!W55-[1]data!W17</f>
        <v>4.6130683287074534</v>
      </c>
      <c r="AA55" s="12">
        <f>[1]data!X55-[1]data!X17</f>
        <v>4.9324914263996291</v>
      </c>
      <c r="AB55" s="12">
        <f>[1]data!Y55-[1]data!Y17</f>
        <v>0</v>
      </c>
      <c r="AC55" s="12">
        <f>[1]data!Z55-[1]data!Z17</f>
        <v>0</v>
      </c>
      <c r="AD55" s="14">
        <v>311.06354290107998</v>
      </c>
      <c r="AE55" s="15">
        <v>332.60254327404999</v>
      </c>
      <c r="AF55">
        <f>D55/(D55+H55)</f>
        <v>-0.15637821350195052</v>
      </c>
      <c r="AG55">
        <f>(F55/(D55+H55))</f>
        <v>-0.16275673527321841</v>
      </c>
      <c r="AH55">
        <f>(E55/(D55+H55))</f>
        <v>6.3785217712678923E-3</v>
      </c>
      <c r="AI55">
        <f>(G55/(D55+H55))</f>
        <v>1.3267325284237215</v>
      </c>
      <c r="AJ55">
        <f>(F55/(D55))</f>
        <v>1.0407890691959358</v>
      </c>
      <c r="AK55">
        <f>E55/D55</f>
        <v>-4.0789069195935862E-2</v>
      </c>
      <c r="AL55">
        <f>(H55/(C55+H55))</f>
        <v>0.49699662482707269</v>
      </c>
      <c r="AM55">
        <f>(I55/(D55+H55))</f>
        <v>0.31812877334198608</v>
      </c>
      <c r="AN55">
        <f>(J55/(D55+H55))</f>
        <v>0.83824944015996439</v>
      </c>
      <c r="AO55">
        <f>(I55/H55)</f>
        <v>0.27510789258003387</v>
      </c>
      <c r="AP55">
        <f>J55/H55</f>
        <v>0.72489210741996613</v>
      </c>
      <c r="AQ55">
        <f>(D55+H55)/AD55</f>
        <v>5.8842764338242252E-2</v>
      </c>
    </row>
    <row r="56" spans="1:43" x14ac:dyDescent="0.35">
      <c r="A56" s="17" t="s">
        <v>44</v>
      </c>
      <c r="B56" s="24" t="s">
        <v>67</v>
      </c>
      <c r="C56" s="28">
        <f t="shared" si="0"/>
        <v>1.2481951410000001</v>
      </c>
      <c r="D56" s="12">
        <f>[1]data!C56-[1]data!C18</f>
        <v>1.2481951410000001</v>
      </c>
      <c r="E56" s="12">
        <f>[1]data!D56-[1]data!D18</f>
        <v>0.33243433</v>
      </c>
      <c r="F56" s="12">
        <f>[1]data!E56-[1]data!E18</f>
        <v>0.91576081099999995</v>
      </c>
      <c r="G56" s="12">
        <f>[1]data!F56-[1]data!F18</f>
        <v>0</v>
      </c>
      <c r="H56" s="12">
        <f>[1]data!G56-[1]data!G18</f>
        <v>0.67566216200000007</v>
      </c>
      <c r="I56" s="12">
        <f>[1]data!H56-[1]data!H18</f>
        <v>0.61666216200000001</v>
      </c>
      <c r="J56" s="12">
        <f>[1]data!I56-[1]data!I18</f>
        <v>5.9000000000000025E-2</v>
      </c>
      <c r="K56" s="12">
        <f>[1]data!J56-[1]data!J18</f>
        <v>0</v>
      </c>
      <c r="L56" s="13">
        <f t="shared" si="3"/>
        <v>4.6408796097126643</v>
      </c>
      <c r="M56" s="12">
        <f>[1]data!K56-[1]data!K18</f>
        <v>4.6408796097126643</v>
      </c>
      <c r="N56" s="13">
        <f t="shared" si="5"/>
        <v>2.7186939247924107</v>
      </c>
      <c r="O56" s="13">
        <f t="shared" si="6"/>
        <v>2.7186939247924107</v>
      </c>
      <c r="P56" s="12">
        <f>[1]data!M56-[1]data!M18</f>
        <v>1.2360148289228849</v>
      </c>
      <c r="Q56" s="12">
        <f>[1]data!N56-[1]data!N18</f>
        <v>0.72407523765824</v>
      </c>
      <c r="R56" s="12">
        <f>[1]data!O56-[1]data!O18</f>
        <v>3.4048647807897798</v>
      </c>
      <c r="S56" s="12">
        <f>[1]data!P56-[1]data!P18</f>
        <v>1.9946186871341705</v>
      </c>
      <c r="T56" s="12">
        <f>[1]data!Q56-[1]data!Q18</f>
        <v>0</v>
      </c>
      <c r="U56" s="12">
        <f>[1]data!R56-[1]data!R18</f>
        <v>0</v>
      </c>
      <c r="V56" s="12">
        <f>[1]data!S56-[1]data!S18</f>
        <v>2.5121606771902791</v>
      </c>
      <c r="W56" s="12">
        <f>[1]data!T56-[1]data!T18</f>
        <v>1.4716598027852008</v>
      </c>
      <c r="X56" s="12">
        <f>[1]data!U56-[1]data!U18</f>
        <v>2.2927944194802219</v>
      </c>
      <c r="Y56" s="12">
        <f>[1]data!V56-[1]data!V18</f>
        <v>1.3431518986170716</v>
      </c>
      <c r="Z56" s="12">
        <f>[1]data!W56-[1]data!W18</f>
        <v>0.21936625771005724</v>
      </c>
      <c r="AA56" s="12">
        <f>[1]data!X56-[1]data!X18</f>
        <v>0.12850790416812902</v>
      </c>
      <c r="AB56" s="12">
        <f>[1]data!Y56-[1]data!Y18</f>
        <v>0</v>
      </c>
      <c r="AC56" s="12">
        <f>[1]data!Z56-[1]data!Z18</f>
        <v>0</v>
      </c>
      <c r="AD56" s="14">
        <v>45.911572818750003</v>
      </c>
      <c r="AE56" s="15">
        <v>26.895658710639999</v>
      </c>
      <c r="AF56">
        <f>D56/(D56+H56)</f>
        <v>0.64879819259651195</v>
      </c>
      <c r="AG56">
        <f>(F56/(D56+H56))</f>
        <v>0.47600246108273858</v>
      </c>
      <c r="AH56">
        <f>(E56/(D56+H56))</f>
        <v>0.17279573151377328</v>
      </c>
      <c r="AI56">
        <f>(G56/(D56+H56))</f>
        <v>0</v>
      </c>
      <c r="AJ56">
        <f>(F56/(D56))</f>
        <v>0.73366798260913912</v>
      </c>
      <c r="AK56">
        <f>E56/D56</f>
        <v>0.26633201739086082</v>
      </c>
      <c r="AL56">
        <f>(H56/(C56+H56))</f>
        <v>0.35120180740348811</v>
      </c>
      <c r="AM56">
        <f>(I56/(D56+H56))</f>
        <v>0.32053425222255166</v>
      </c>
      <c r="AN56">
        <f>(J56/(D56+H56))</f>
        <v>3.0667555180936421E-2</v>
      </c>
      <c r="AO56">
        <f>(I56/H56)</f>
        <v>0.91267825354411358</v>
      </c>
      <c r="AP56">
        <f>J56/H56</f>
        <v>8.7321746455886362E-2</v>
      </c>
      <c r="AQ56">
        <f>(D56+H56)/AD56</f>
        <v>4.1903537275776115E-2</v>
      </c>
    </row>
    <row r="57" spans="1:43" x14ac:dyDescent="0.35">
      <c r="A57" s="17" t="s">
        <v>45</v>
      </c>
      <c r="B57" s="24" t="s">
        <v>67</v>
      </c>
      <c r="C57" s="28">
        <f t="shared" si="0"/>
        <v>4.4900342188398588</v>
      </c>
      <c r="D57" s="12">
        <f>[1]data!C57-[1]data!C19</f>
        <v>3.2526658490995635</v>
      </c>
      <c r="E57" s="12">
        <f>[1]data!D57-[1]data!D19</f>
        <v>1.5678041258934419</v>
      </c>
      <c r="F57" s="12">
        <f>[1]data!E57-[1]data!E19</f>
        <v>1.6848617232061223</v>
      </c>
      <c r="G57" s="12">
        <f>[1]data!F57-[1]data!F19</f>
        <v>1.2373683697402944</v>
      </c>
      <c r="H57" s="12">
        <f>[1]data!G57-[1]data!G19</f>
        <v>3.751470525980066</v>
      </c>
      <c r="I57" s="12">
        <f>[1]data!H57-[1]data!H19</f>
        <v>1.54465361043267</v>
      </c>
      <c r="J57" s="12">
        <f>[1]data!I57-[1]data!I19</f>
        <v>2.206816915547396</v>
      </c>
      <c r="K57" s="12">
        <f>[1]data!J57-[1]data!J19</f>
        <v>1.0928320704267227</v>
      </c>
      <c r="L57" s="13">
        <f t="shared" si="3"/>
        <v>1.762566107245747</v>
      </c>
      <c r="M57" s="12">
        <f>[1]data!K57-[1]data!K19</f>
        <v>1.2768362788335081</v>
      </c>
      <c r="N57" s="13">
        <f t="shared" si="5"/>
        <v>1.7666986961687967</v>
      </c>
      <c r="O57" s="13">
        <f t="shared" si="6"/>
        <v>1.2809688677565576</v>
      </c>
      <c r="P57" s="12">
        <f>[1]data!M57-[1]data!M19</f>
        <v>0.6154426181219228</v>
      </c>
      <c r="Q57" s="12">
        <f>[1]data!N57-[1]data!N19</f>
        <v>0.61743455035989681</v>
      </c>
      <c r="R57" s="12">
        <f>[1]data!O57-[1]data!O19</f>
        <v>0.66139366071158512</v>
      </c>
      <c r="S57" s="12">
        <f>[1]data!P57-[1]data!P19</f>
        <v>0.6635343173966608</v>
      </c>
      <c r="T57" s="12">
        <f>[1]data!Q57-[1]data!Q19</f>
        <v>0.48572982841223911</v>
      </c>
      <c r="U57" s="12">
        <f>[1]data!R57-[1]data!R19</f>
        <v>0.4873019342035354</v>
      </c>
      <c r="V57" s="12">
        <f>[1]data!S57-[1]data!S19</f>
        <v>1.4726424074185154</v>
      </c>
      <c r="W57" s="12">
        <f>[1]data!T57-[1]data!T19</f>
        <v>1.477408739485826</v>
      </c>
      <c r="X57" s="12">
        <f>[1]data!U57-[1]data!U19</f>
        <v>0.60635486690942364</v>
      </c>
      <c r="Y57" s="12">
        <f>[1]data!V57-[1]data!V19</f>
        <v>0.60831738586973727</v>
      </c>
      <c r="Z57" s="12">
        <f>[1]data!W57-[1]data!W19</f>
        <v>0.8662875405090924</v>
      </c>
      <c r="AA57" s="12">
        <f>[1]data!X57-[1]data!X19</f>
        <v>0.86909135361608847</v>
      </c>
      <c r="AB57" s="12">
        <f>[1]data!Y57-[1]data!Y19</f>
        <v>0.42899200192354664</v>
      </c>
      <c r="AC57" s="12">
        <f>[1]data!Z57-[1]data!Z19</f>
        <v>0.43038047092667181</v>
      </c>
      <c r="AD57" s="14">
        <v>253.92231856471</v>
      </c>
      <c r="AE57" s="15">
        <v>254.7441596875</v>
      </c>
      <c r="AF57">
        <f>D57/(D57+H57)</f>
        <v>0.46439213557754067</v>
      </c>
      <c r="AG57">
        <f>(F57/(D57+H57))</f>
        <v>0.2405523869010856</v>
      </c>
      <c r="AH57">
        <f>(E57/(D57+H57))</f>
        <v>0.22383974867645515</v>
      </c>
      <c r="AI57">
        <f>(G57/(D57+H57))</f>
        <v>0.1766625181860807</v>
      </c>
      <c r="AJ57">
        <f>(F57/(D57))</f>
        <v>0.51799410126082979</v>
      </c>
      <c r="AK57">
        <f>E57/D57</f>
        <v>0.48200589873917038</v>
      </c>
      <c r="AL57">
        <f>(H57/(C57+H57))</f>
        <v>0.45519242445840941</v>
      </c>
      <c r="AM57">
        <f>(I57/(D57+H57))</f>
        <v>0.22053448529764086</v>
      </c>
      <c r="AN57">
        <f>(J57/(D57+H57))</f>
        <v>0.31507337912481848</v>
      </c>
      <c r="AO57">
        <f>(I57/H57)</f>
        <v>0.41174616719909629</v>
      </c>
      <c r="AP57">
        <f>J57/H57</f>
        <v>0.58825383280090371</v>
      </c>
      <c r="AQ57">
        <f>(D57+H57)/AD57</f>
        <v>2.7583776072423832E-2</v>
      </c>
    </row>
    <row r="58" spans="1:43" x14ac:dyDescent="0.35">
      <c r="A58" s="17" t="s">
        <v>46</v>
      </c>
      <c r="B58" s="24" t="s">
        <v>67</v>
      </c>
      <c r="C58" s="28">
        <f t="shared" si="0"/>
        <v>4.02544590517134</v>
      </c>
      <c r="D58" s="12">
        <f>[1]data!C58-[1]data!C20</f>
        <v>4.0254459051713392</v>
      </c>
      <c r="E58" s="12">
        <f>[1]data!D58-[1]data!D20</f>
        <v>0.707075905171339</v>
      </c>
      <c r="F58" s="12">
        <f>[1]data!E58-[1]data!E20</f>
        <v>3.3183700000000007</v>
      </c>
      <c r="G58" s="12">
        <f>[1]data!F58-[1]data!F20</f>
        <v>0</v>
      </c>
      <c r="H58" s="12">
        <f>[1]data!G58-[1]data!G20</f>
        <v>6.7446143999999997</v>
      </c>
      <c r="I58" s="12">
        <f>[1]data!H58-[1]data!H20</f>
        <v>5.3117944000000001</v>
      </c>
      <c r="J58" s="12">
        <f>[1]data!I58-[1]data!I20</f>
        <v>1.43282</v>
      </c>
      <c r="K58" s="12">
        <f>[1]data!J58-[1]data!J20</f>
        <v>0</v>
      </c>
      <c r="L58" s="13">
        <f t="shared" si="3"/>
        <v>1.9741964283923026</v>
      </c>
      <c r="M58" s="12">
        <f>[1]data!K58-[1]data!K20</f>
        <v>1.9741964283923021</v>
      </c>
      <c r="N58" s="13">
        <f t="shared" si="5"/>
        <v>1.3349414777105448</v>
      </c>
      <c r="O58" s="13">
        <f t="shared" si="6"/>
        <v>1.3349414777105448</v>
      </c>
      <c r="P58" s="12">
        <f>[1]data!M58-[1]data!M20</f>
        <v>0.34677070800982396</v>
      </c>
      <c r="Q58" s="12">
        <f>[1]data!N58-[1]data!N20</f>
        <v>0.2344845703901644</v>
      </c>
      <c r="R58" s="12">
        <f>[1]data!O58-[1]data!O20</f>
        <v>1.6274257203824787</v>
      </c>
      <c r="S58" s="12">
        <f>[1]data!P58-[1]data!P20</f>
        <v>1.1004569073203805</v>
      </c>
      <c r="T58" s="12">
        <f>[1]data!Q58-[1]data!Q20</f>
        <v>0</v>
      </c>
      <c r="U58" s="12">
        <f>[1]data!R58-[1]data!R20</f>
        <v>0</v>
      </c>
      <c r="V58" s="12">
        <f>[1]data!S58-[1]data!S20</f>
        <v>3.3077562021781892</v>
      </c>
      <c r="W58" s="12">
        <f>[1]data!T58-[1]data!T20</f>
        <v>2.2366877423833085</v>
      </c>
      <c r="X58" s="12">
        <f>[1]data!U58-[1]data!U20</f>
        <v>2.6050593598494491</v>
      </c>
      <c r="Y58" s="12">
        <f>[1]data!V58-[1]data!V20</f>
        <v>1.7615277493907286</v>
      </c>
      <c r="Z58" s="12">
        <f>[1]data!W58-[1]data!W20</f>
        <v>0.70269684232874052</v>
      </c>
      <c r="AA58" s="12">
        <f>[1]data!X58-[1]data!X20</f>
        <v>0.47515999299257966</v>
      </c>
      <c r="AB58" s="12">
        <f>[1]data!Y58-[1]data!Y20</f>
        <v>0</v>
      </c>
      <c r="AC58" s="12">
        <f>[1]data!Z58-[1]data!Z20</f>
        <v>0</v>
      </c>
      <c r="AD58" s="14">
        <v>301.54474727050001</v>
      </c>
      <c r="AE58" s="15">
        <v>203.90300819506001</v>
      </c>
      <c r="AF58">
        <f>D58/(D58+H58)</f>
        <v>0.37376261516739012</v>
      </c>
      <c r="AG58">
        <f>(F58/(D58+H58))</f>
        <v>0.30811062389378235</v>
      </c>
      <c r="AH58">
        <f>(E58/(D58+H58))</f>
        <v>6.5651991273607851E-2</v>
      </c>
      <c r="AI58">
        <f>(G58/(D58+H58))</f>
        <v>0</v>
      </c>
      <c r="AJ58">
        <f>(F58/(D58))</f>
        <v>0.82434842702444855</v>
      </c>
      <c r="AK58">
        <f>E58/D58</f>
        <v>0.17565157297555165</v>
      </c>
      <c r="AL58">
        <f>(H58/(C58+H58))</f>
        <v>0.62623738483260982</v>
      </c>
      <c r="AM58">
        <f>(I58/(D58+H58))</f>
        <v>0.49320006104789366</v>
      </c>
      <c r="AN58">
        <f>(J58/(D58+H58))</f>
        <v>0.13303732378471633</v>
      </c>
      <c r="AO58">
        <f>(I58/H58)</f>
        <v>0.78756087227166027</v>
      </c>
      <c r="AP58">
        <f>J58/H58</f>
        <v>0.21243912772833981</v>
      </c>
      <c r="AQ58">
        <f>(D58+H58)/AD58</f>
        <v>3.5716292200938526E-2</v>
      </c>
    </row>
    <row r="59" spans="1:43" x14ac:dyDescent="0.35">
      <c r="A59" s="17" t="s">
        <v>47</v>
      </c>
      <c r="B59" s="24" t="s">
        <v>67</v>
      </c>
      <c r="C59" s="28">
        <f t="shared" si="0"/>
        <v>0</v>
      </c>
      <c r="D59" s="12">
        <f>[1]data!C59-[1]data!C21</f>
        <v>0</v>
      </c>
      <c r="E59" s="12">
        <f>[1]data!D59-[1]data!D21</f>
        <v>0</v>
      </c>
      <c r="F59" s="12">
        <f>[1]data!E59-[1]data!E21</f>
        <v>0</v>
      </c>
      <c r="G59" s="12">
        <f>[1]data!F59-[1]data!F21</f>
        <v>0</v>
      </c>
      <c r="H59" s="12">
        <f>[1]data!G59-[1]data!G21</f>
        <v>0</v>
      </c>
      <c r="I59" s="12">
        <f>[1]data!H59-[1]data!H21</f>
        <v>0</v>
      </c>
      <c r="J59" s="12">
        <f>[1]data!I59-[1]data!I21</f>
        <v>0</v>
      </c>
      <c r="K59" s="12">
        <f>[1]data!J59-[1]data!J21</f>
        <v>0</v>
      </c>
      <c r="L59" s="13">
        <f t="shared" si="3"/>
        <v>0</v>
      </c>
      <c r="M59" s="12">
        <f>[1]data!K59-[1]data!K21</f>
        <v>0</v>
      </c>
      <c r="N59" s="13">
        <f t="shared" si="5"/>
        <v>0</v>
      </c>
      <c r="O59" s="13">
        <f t="shared" si="6"/>
        <v>0</v>
      </c>
      <c r="P59" s="12">
        <f>[1]data!M59-[1]data!M21</f>
        <v>0</v>
      </c>
      <c r="Q59" s="12">
        <f>[1]data!N59-[1]data!N21</f>
        <v>0</v>
      </c>
      <c r="R59" s="12">
        <f>[1]data!O59-[1]data!O21</f>
        <v>0</v>
      </c>
      <c r="S59" s="12">
        <f>[1]data!P59-[1]data!P21</f>
        <v>0</v>
      </c>
      <c r="T59" s="12">
        <f>[1]data!Q59-[1]data!Q21</f>
        <v>0</v>
      </c>
      <c r="U59" s="12">
        <f>[1]data!R59-[1]data!R21</f>
        <v>0</v>
      </c>
      <c r="V59" s="12">
        <f>[1]data!S59-[1]data!S21</f>
        <v>0</v>
      </c>
      <c r="W59" s="12">
        <f>[1]data!T59-[1]data!T21</f>
        <v>0</v>
      </c>
      <c r="X59" s="12">
        <f>[1]data!U59-[1]data!U21</f>
        <v>0</v>
      </c>
      <c r="Y59" s="12">
        <f>[1]data!V59-[1]data!V21</f>
        <v>0</v>
      </c>
      <c r="Z59" s="12">
        <f>[1]data!W59-[1]data!W21</f>
        <v>0</v>
      </c>
      <c r="AA59" s="12">
        <f>[1]data!X59-[1]data!X21</f>
        <v>0</v>
      </c>
      <c r="AB59" s="12">
        <f>[1]data!Y59-[1]data!Y21</f>
        <v>0</v>
      </c>
      <c r="AC59" s="12">
        <f>[1]data!Z59-[1]data!Z21</f>
        <v>0</v>
      </c>
      <c r="AD59" s="14">
        <v>19.06914282116</v>
      </c>
      <c r="AE59" s="15">
        <v>20.729999827290001</v>
      </c>
      <c r="AF59" t="e">
        <f>D59/(D59+H59)</f>
        <v>#DIV/0!</v>
      </c>
      <c r="AG59">
        <v>0</v>
      </c>
      <c r="AH59" t="e">
        <f>(E59/(D59+H59))</f>
        <v>#DIV/0!</v>
      </c>
      <c r="AI59" t="e">
        <f>(G59/(D59+H59))</f>
        <v>#DIV/0!</v>
      </c>
      <c r="AJ59" t="e">
        <f>(F59/(D59))</f>
        <v>#DIV/0!</v>
      </c>
      <c r="AK59" t="e">
        <f>E59/D59</f>
        <v>#DIV/0!</v>
      </c>
      <c r="AL59" t="e">
        <f>(H59/(C59+H59))</f>
        <v>#DIV/0!</v>
      </c>
      <c r="AM59" t="e">
        <f>(I59/(D59+H59))</f>
        <v>#DIV/0!</v>
      </c>
      <c r="AN59" t="e">
        <f>(J59/(D59+H59))</f>
        <v>#DIV/0!</v>
      </c>
      <c r="AO59" t="e">
        <f>(I59/H59)</f>
        <v>#DIV/0!</v>
      </c>
      <c r="AP59" t="e">
        <f>J59/H59</f>
        <v>#DIV/0!</v>
      </c>
      <c r="AQ59">
        <f>(D59+H59)/AD59</f>
        <v>0</v>
      </c>
    </row>
    <row r="60" spans="1:43" x14ac:dyDescent="0.35">
      <c r="A60" s="17" t="s">
        <v>48</v>
      </c>
      <c r="B60" s="24" t="s">
        <v>67</v>
      </c>
      <c r="C60" s="28">
        <f t="shared" si="0"/>
        <v>0</v>
      </c>
      <c r="D60" s="12">
        <f>[1]data!C60-[1]data!C22</f>
        <v>0</v>
      </c>
      <c r="E60" s="12">
        <f>[1]data!D60-[1]data!D22</f>
        <v>0</v>
      </c>
      <c r="F60" s="12">
        <f>[1]data!E60-[1]data!E22</f>
        <v>0</v>
      </c>
      <c r="G60" s="12">
        <f>[1]data!F60-[1]data!F22</f>
        <v>0</v>
      </c>
      <c r="H60" s="12">
        <f>[1]data!G60-[1]data!G22</f>
        <v>0</v>
      </c>
      <c r="I60" s="12">
        <f>[1]data!H60-[1]data!H22</f>
        <v>0</v>
      </c>
      <c r="J60" s="12">
        <f>[1]data!I60-[1]data!I22</f>
        <v>0</v>
      </c>
      <c r="K60" s="12">
        <f>[1]data!J60-[1]data!J22</f>
        <v>0</v>
      </c>
      <c r="L60" s="13">
        <f t="shared" si="3"/>
        <v>0</v>
      </c>
      <c r="M60" s="12">
        <f>[1]data!K60-[1]data!K22</f>
        <v>0</v>
      </c>
      <c r="N60" s="13">
        <f t="shared" si="5"/>
        <v>0</v>
      </c>
      <c r="O60" s="13">
        <f t="shared" si="6"/>
        <v>0</v>
      </c>
      <c r="P60" s="12">
        <f>[1]data!M60-[1]data!M22</f>
        <v>0</v>
      </c>
      <c r="Q60" s="12">
        <f>[1]data!N60-[1]data!N22</f>
        <v>0</v>
      </c>
      <c r="R60" s="12">
        <f>[1]data!O60-[1]data!O22</f>
        <v>0</v>
      </c>
      <c r="S60" s="12">
        <f>[1]data!P60-[1]data!P22</f>
        <v>0</v>
      </c>
      <c r="T60" s="12">
        <f>[1]data!Q60-[1]data!Q22</f>
        <v>0</v>
      </c>
      <c r="U60" s="12">
        <f>[1]data!R60-[1]data!R22</f>
        <v>0</v>
      </c>
      <c r="V60" s="12">
        <f>[1]data!S60-[1]data!S22</f>
        <v>0</v>
      </c>
      <c r="W60" s="12">
        <f>[1]data!T60-[1]data!T22</f>
        <v>0</v>
      </c>
      <c r="X60" s="12">
        <f>[1]data!U60-[1]data!U22</f>
        <v>0</v>
      </c>
      <c r="Y60" s="12">
        <f>[1]data!V60-[1]data!V22</f>
        <v>0</v>
      </c>
      <c r="Z60" s="12">
        <f>[1]data!W60-[1]data!W22</f>
        <v>0</v>
      </c>
      <c r="AA60" s="12">
        <f>[1]data!X60-[1]data!X22</f>
        <v>0</v>
      </c>
      <c r="AB60" s="12">
        <f>[1]data!Y60-[1]data!Y22</f>
        <v>0</v>
      </c>
      <c r="AC60" s="12">
        <f>[1]data!Z60-[1]data!Z22</f>
        <v>0</v>
      </c>
      <c r="AD60" s="14">
        <v>417.89075855828003</v>
      </c>
      <c r="AE60" s="15">
        <v>371.46659669328</v>
      </c>
      <c r="AF60" t="e">
        <f>D60/(D60+H60)</f>
        <v>#DIV/0!</v>
      </c>
      <c r="AG60">
        <v>0</v>
      </c>
      <c r="AH60" t="e">
        <f>(E60/(D60+H60))</f>
        <v>#DIV/0!</v>
      </c>
      <c r="AI60" t="e">
        <f>(G60/(D60+H60))</f>
        <v>#DIV/0!</v>
      </c>
      <c r="AJ60" t="e">
        <f>(F60/(D60))</f>
        <v>#DIV/0!</v>
      </c>
      <c r="AK60" t="e">
        <f>E60/D60</f>
        <v>#DIV/0!</v>
      </c>
      <c r="AL60" t="e">
        <f>(H60/(C60+H60))</f>
        <v>#DIV/0!</v>
      </c>
      <c r="AM60" t="e">
        <f>(I60/(D60+H60))</f>
        <v>#DIV/0!</v>
      </c>
      <c r="AN60" t="e">
        <f>(J60/(D60+H60))</f>
        <v>#DIV/0!</v>
      </c>
      <c r="AO60" t="e">
        <f>(I60/H60)</f>
        <v>#DIV/0!</v>
      </c>
      <c r="AP60" t="e">
        <f>J60/H60</f>
        <v>#DIV/0!</v>
      </c>
      <c r="AQ60">
        <f>(D60+H60)/AD60</f>
        <v>0</v>
      </c>
    </row>
    <row r="61" spans="1:43" x14ac:dyDescent="0.35">
      <c r="A61" s="17" t="s">
        <v>49</v>
      </c>
      <c r="B61" s="24" t="s">
        <v>67</v>
      </c>
      <c r="C61" s="28">
        <f t="shared" si="0"/>
        <v>0</v>
      </c>
      <c r="D61" s="12">
        <f>[1]data!C61-[1]data!C23</f>
        <v>0</v>
      </c>
      <c r="E61" s="12">
        <f>[1]data!D61-[1]data!D23</f>
        <v>0</v>
      </c>
      <c r="F61" s="12">
        <f>[1]data!E61-[1]data!E23</f>
        <v>0</v>
      </c>
      <c r="G61" s="12">
        <f>[1]data!F61-[1]data!F23</f>
        <v>0</v>
      </c>
      <c r="H61" s="12">
        <f>[1]data!G61-[1]data!G23</f>
        <v>0</v>
      </c>
      <c r="I61" s="12">
        <f>[1]data!H61-[1]data!H23</f>
        <v>0</v>
      </c>
      <c r="J61" s="12">
        <f>[1]data!I61-[1]data!I23</f>
        <v>0</v>
      </c>
      <c r="K61" s="12">
        <f>[1]data!J61-[1]data!J23</f>
        <v>0</v>
      </c>
      <c r="L61" s="13">
        <f t="shared" si="3"/>
        <v>0</v>
      </c>
      <c r="M61" s="12">
        <f>[1]data!K61-[1]data!K23</f>
        <v>0</v>
      </c>
      <c r="N61" s="13">
        <f t="shared" si="5"/>
        <v>0</v>
      </c>
      <c r="O61" s="13">
        <f t="shared" si="6"/>
        <v>0</v>
      </c>
      <c r="P61" s="12">
        <f>[1]data!M61-[1]data!M23</f>
        <v>0</v>
      </c>
      <c r="Q61" s="12">
        <f>[1]data!N61-[1]data!N23</f>
        <v>0</v>
      </c>
      <c r="R61" s="12">
        <f>[1]data!O61-[1]data!O23</f>
        <v>0</v>
      </c>
      <c r="S61" s="12">
        <f>[1]data!P61-[1]data!P23</f>
        <v>0</v>
      </c>
      <c r="T61" s="12">
        <f>[1]data!Q61-[1]data!Q23</f>
        <v>0</v>
      </c>
      <c r="U61" s="12">
        <f>[1]data!R61-[1]data!R23</f>
        <v>0</v>
      </c>
      <c r="V61" s="12">
        <f>[1]data!S61-[1]data!S23</f>
        <v>0</v>
      </c>
      <c r="W61" s="12">
        <f>[1]data!T61-[1]data!T23</f>
        <v>0</v>
      </c>
      <c r="X61" s="12">
        <f>[1]data!U61-[1]data!U23</f>
        <v>0</v>
      </c>
      <c r="Y61" s="12">
        <f>[1]data!V61-[1]data!V23</f>
        <v>0</v>
      </c>
      <c r="Z61" s="12">
        <f>[1]data!W61-[1]data!W23</f>
        <v>0</v>
      </c>
      <c r="AA61" s="12">
        <f>[1]data!X61-[1]data!X23</f>
        <v>0</v>
      </c>
      <c r="AB61" s="12">
        <f>[1]data!Y61-[1]data!Y23</f>
        <v>0</v>
      </c>
      <c r="AC61" s="12">
        <f>[1]data!Z61-[1]data!Z23</f>
        <v>0</v>
      </c>
      <c r="AD61" s="14">
        <v>342.39670930134002</v>
      </c>
      <c r="AE61" s="15">
        <v>358.46025273358998</v>
      </c>
      <c r="AF61" t="e">
        <f>D61/(D61+H61)</f>
        <v>#DIV/0!</v>
      </c>
      <c r="AG61">
        <v>0</v>
      </c>
      <c r="AH61" t="e">
        <f>(E61/(D61+H61))</f>
        <v>#DIV/0!</v>
      </c>
      <c r="AI61" t="e">
        <f>(G61/(D61+H61))</f>
        <v>#DIV/0!</v>
      </c>
      <c r="AJ61" t="e">
        <f>(F61/(D61))</f>
        <v>#DIV/0!</v>
      </c>
      <c r="AK61" t="e">
        <f>E61/D61</f>
        <v>#DIV/0!</v>
      </c>
      <c r="AL61" t="e">
        <f>(H61/(C61+H61))</f>
        <v>#DIV/0!</v>
      </c>
      <c r="AM61" t="e">
        <f>(I61/(D61+H61))</f>
        <v>#DIV/0!</v>
      </c>
      <c r="AN61" t="e">
        <f>(J61/(D61+H61))</f>
        <v>#DIV/0!</v>
      </c>
      <c r="AO61" t="e">
        <f>(I61/H61)</f>
        <v>#DIV/0!</v>
      </c>
      <c r="AP61" t="e">
        <f>J61/H61</f>
        <v>#DIV/0!</v>
      </c>
      <c r="AQ61">
        <f>(D61+H61)/AD61</f>
        <v>0</v>
      </c>
    </row>
    <row r="62" spans="1:43" x14ac:dyDescent="0.35">
      <c r="A62" s="21" t="s">
        <v>50</v>
      </c>
      <c r="B62" s="24" t="s">
        <v>67</v>
      </c>
      <c r="C62" s="28">
        <f t="shared" si="0"/>
        <v>0</v>
      </c>
      <c r="D62" s="12">
        <f>[1]data!C62-[1]data!C24</f>
        <v>0</v>
      </c>
      <c r="E62" s="12">
        <f>[1]data!D62-[1]data!D24</f>
        <v>0</v>
      </c>
      <c r="F62" s="12">
        <f>[1]data!E62-[1]data!E24</f>
        <v>0</v>
      </c>
      <c r="G62" s="12">
        <f>[1]data!F62-[1]data!F24</f>
        <v>0</v>
      </c>
      <c r="H62" s="12">
        <f>[1]data!G62-[1]data!G24</f>
        <v>0</v>
      </c>
      <c r="I62" s="12">
        <f>[1]data!H62-[1]data!H24</f>
        <v>0</v>
      </c>
      <c r="J62" s="12">
        <f>[1]data!I62-[1]data!I24</f>
        <v>0</v>
      </c>
      <c r="K62" s="12">
        <f>[1]data!J62-[1]data!J24</f>
        <v>0</v>
      </c>
      <c r="L62" s="13">
        <f t="shared" si="3"/>
        <v>0</v>
      </c>
      <c r="M62" s="12">
        <f>[1]data!K62-[1]data!K24</f>
        <v>0</v>
      </c>
      <c r="N62" s="13">
        <f t="shared" si="5"/>
        <v>0</v>
      </c>
      <c r="O62" s="13">
        <f t="shared" si="6"/>
        <v>0</v>
      </c>
      <c r="P62" s="12">
        <f>[1]data!M62-[1]data!M24</f>
        <v>0</v>
      </c>
      <c r="Q62" s="12">
        <f>[1]data!N62-[1]data!N24</f>
        <v>0</v>
      </c>
      <c r="R62" s="12">
        <f>[1]data!O62-[1]data!O24</f>
        <v>0</v>
      </c>
      <c r="S62" s="12">
        <f>[1]data!P62-[1]data!P24</f>
        <v>0</v>
      </c>
      <c r="T62" s="12">
        <f>[1]data!Q62-[1]data!Q24</f>
        <v>0</v>
      </c>
      <c r="U62" s="12">
        <f>[1]data!R62-[1]data!R24</f>
        <v>0</v>
      </c>
      <c r="V62" s="12">
        <f>[1]data!S62-[1]data!S24</f>
        <v>0</v>
      </c>
      <c r="W62" s="12">
        <f>[1]data!T62-[1]data!T24</f>
        <v>0</v>
      </c>
      <c r="X62" s="12">
        <f>[1]data!U62-[1]data!U24</f>
        <v>0</v>
      </c>
      <c r="Y62" s="12">
        <f>[1]data!V62-[1]data!V24</f>
        <v>0</v>
      </c>
      <c r="Z62" s="12">
        <f>[1]data!W62-[1]data!W24</f>
        <v>0</v>
      </c>
      <c r="AA62" s="12">
        <f>[1]data!X62-[1]data!X24</f>
        <v>0</v>
      </c>
      <c r="AB62" s="12">
        <f>[1]data!Y62-[1]data!Y24</f>
        <v>0</v>
      </c>
      <c r="AC62" s="12">
        <f>[1]data!Z62-[1]data!Z24</f>
        <v>0</v>
      </c>
      <c r="AD62" s="22">
        <v>55.422589739999999</v>
      </c>
      <c r="AE62" s="15">
        <v>30.160077523049999</v>
      </c>
      <c r="AF62" t="e">
        <f>D62/(D62+H62)</f>
        <v>#DIV/0!</v>
      </c>
      <c r="AG62">
        <v>0</v>
      </c>
      <c r="AH62" t="e">
        <f>(E62/(D62+H62))</f>
        <v>#DIV/0!</v>
      </c>
      <c r="AI62" t="e">
        <f>(G62/(D62+H62))</f>
        <v>#DIV/0!</v>
      </c>
      <c r="AJ62" t="e">
        <f>(F62/(D62))</f>
        <v>#DIV/0!</v>
      </c>
      <c r="AK62" t="e">
        <f>E62/D62</f>
        <v>#DIV/0!</v>
      </c>
      <c r="AL62" t="e">
        <f>(H62/(C62+H62))</f>
        <v>#DIV/0!</v>
      </c>
      <c r="AM62" t="e">
        <f>(I62/(D62+H62))</f>
        <v>#DIV/0!</v>
      </c>
      <c r="AN62" t="e">
        <f>(J62/(D62+H62))</f>
        <v>#DIV/0!</v>
      </c>
      <c r="AO62" t="e">
        <f>(I62/H62)</f>
        <v>#DIV/0!</v>
      </c>
      <c r="AP62" t="e">
        <f>J62/H62</f>
        <v>#DIV/0!</v>
      </c>
      <c r="AQ62">
        <f>(D62+H62)/AD62</f>
        <v>0</v>
      </c>
    </row>
    <row r="63" spans="1:43" x14ac:dyDescent="0.35">
      <c r="A63" s="17" t="s">
        <v>51</v>
      </c>
      <c r="B63" s="24" t="s">
        <v>67</v>
      </c>
      <c r="C63" s="28">
        <f t="shared" si="0"/>
        <v>0</v>
      </c>
      <c r="D63" s="12">
        <f>[1]data!C63-[1]data!C25</f>
        <v>0</v>
      </c>
      <c r="E63" s="12">
        <f>[1]data!D63-[1]data!D25</f>
        <v>0</v>
      </c>
      <c r="F63" s="12">
        <f>[1]data!E63-[1]data!E25</f>
        <v>0</v>
      </c>
      <c r="G63" s="12">
        <f>[1]data!F63-[1]data!F25</f>
        <v>0</v>
      </c>
      <c r="H63" s="12">
        <f>[1]data!G63-[1]data!G25</f>
        <v>0</v>
      </c>
      <c r="I63" s="12">
        <f>[1]data!H63-[1]data!H25</f>
        <v>0</v>
      </c>
      <c r="J63" s="12">
        <f>[1]data!I63-[1]data!I25</f>
        <v>0</v>
      </c>
      <c r="K63" s="12">
        <f>[1]data!J63-[1]data!J25</f>
        <v>0</v>
      </c>
      <c r="L63" s="13">
        <f t="shared" si="3"/>
        <v>0</v>
      </c>
      <c r="M63" s="12">
        <f>[1]data!K63-[1]data!K25</f>
        <v>0</v>
      </c>
      <c r="N63" s="13">
        <f t="shared" si="5"/>
        <v>0</v>
      </c>
      <c r="O63" s="13">
        <f t="shared" si="6"/>
        <v>0</v>
      </c>
      <c r="P63" s="12">
        <f>[1]data!M63-[1]data!M25</f>
        <v>0</v>
      </c>
      <c r="Q63" s="12">
        <f>[1]data!N63-[1]data!N25</f>
        <v>0</v>
      </c>
      <c r="R63" s="12">
        <f>[1]data!O63-[1]data!O25</f>
        <v>0</v>
      </c>
      <c r="S63" s="12">
        <f>[1]data!P63-[1]data!P25</f>
        <v>0</v>
      </c>
      <c r="T63" s="12">
        <f>[1]data!Q63-[1]data!Q25</f>
        <v>0</v>
      </c>
      <c r="U63" s="12">
        <f>[1]data!R63-[1]data!R25</f>
        <v>0</v>
      </c>
      <c r="V63" s="12">
        <f>[1]data!S63-[1]data!S25</f>
        <v>0</v>
      </c>
      <c r="W63" s="12">
        <f>[1]data!T63-[1]data!T25</f>
        <v>0</v>
      </c>
      <c r="X63" s="12">
        <f>[1]data!U63-[1]data!U25</f>
        <v>0</v>
      </c>
      <c r="Y63" s="12">
        <f>[1]data!V63-[1]data!V25</f>
        <v>0</v>
      </c>
      <c r="Z63" s="12">
        <f>[1]data!W63-[1]data!W25</f>
        <v>0</v>
      </c>
      <c r="AA63" s="12">
        <f>[1]data!X63-[1]data!X25</f>
        <v>0</v>
      </c>
      <c r="AB63" s="12">
        <f>[1]data!Y63-[1]data!Y25</f>
        <v>0</v>
      </c>
      <c r="AC63" s="12">
        <f>[1]data!Z63-[1]data!Z25</f>
        <v>0</v>
      </c>
      <c r="AD63" s="14">
        <v>97.136073348400004</v>
      </c>
      <c r="AE63" s="15">
        <v>48.216768505140003</v>
      </c>
      <c r="AF63" t="e">
        <f>D63/(D63+H63)</f>
        <v>#DIV/0!</v>
      </c>
      <c r="AG63">
        <v>0</v>
      </c>
      <c r="AH63" t="e">
        <f>(E63/(D63+H63))</f>
        <v>#DIV/0!</v>
      </c>
      <c r="AI63" t="e">
        <f>(G63/(D63+H63))</f>
        <v>#DIV/0!</v>
      </c>
      <c r="AJ63" t="e">
        <f>(F63/(D63))</f>
        <v>#DIV/0!</v>
      </c>
      <c r="AK63" t="e">
        <f>E63/D63</f>
        <v>#DIV/0!</v>
      </c>
      <c r="AL63" t="e">
        <f>(H63/(C63+H63))</f>
        <v>#DIV/0!</v>
      </c>
      <c r="AM63" t="e">
        <f>(I63/(D63+H63))</f>
        <v>#DIV/0!</v>
      </c>
      <c r="AN63" t="e">
        <f>(J63/(D63+H63))</f>
        <v>#DIV/0!</v>
      </c>
      <c r="AO63" t="e">
        <f>(I63/H63)</f>
        <v>#DIV/0!</v>
      </c>
      <c r="AP63" t="e">
        <f>J63/H63</f>
        <v>#DIV/0!</v>
      </c>
      <c r="AQ63">
        <f>(D63+H63)/AD63</f>
        <v>0</v>
      </c>
    </row>
    <row r="64" spans="1:43" x14ac:dyDescent="0.35">
      <c r="A64" s="17" t="s">
        <v>52</v>
      </c>
      <c r="B64" s="24" t="s">
        <v>67</v>
      </c>
      <c r="C64" s="28">
        <f t="shared" si="0"/>
        <v>0</v>
      </c>
      <c r="D64" s="12">
        <f>[1]data!C64-[1]data!C26</f>
        <v>0</v>
      </c>
      <c r="E64" s="12">
        <f>[1]data!D64-[1]data!D26</f>
        <v>0</v>
      </c>
      <c r="F64" s="12">
        <f>[1]data!E64-[1]data!E26</f>
        <v>0</v>
      </c>
      <c r="G64" s="12">
        <f>[1]data!F64-[1]data!F26</f>
        <v>0</v>
      </c>
      <c r="H64" s="12">
        <f>[1]data!G64-[1]data!G26</f>
        <v>0</v>
      </c>
      <c r="I64" s="12">
        <f>[1]data!H64-[1]data!H26</f>
        <v>0</v>
      </c>
      <c r="J64" s="12">
        <f>[1]data!I64-[1]data!I26</f>
        <v>0</v>
      </c>
      <c r="K64" s="12">
        <f>[1]data!J64-[1]data!J26</f>
        <v>0</v>
      </c>
      <c r="L64" s="13">
        <f t="shared" si="3"/>
        <v>0</v>
      </c>
      <c r="M64" s="12">
        <f>[1]data!K64-[1]data!K26</f>
        <v>0</v>
      </c>
      <c r="N64" s="13">
        <f t="shared" si="5"/>
        <v>0</v>
      </c>
      <c r="O64" s="13">
        <f t="shared" si="6"/>
        <v>0</v>
      </c>
      <c r="P64" s="12">
        <f>[1]data!M64-[1]data!M26</f>
        <v>0</v>
      </c>
      <c r="Q64" s="12">
        <f>[1]data!N64-[1]data!N26</f>
        <v>0</v>
      </c>
      <c r="R64" s="12">
        <f>[1]data!O64-[1]data!O26</f>
        <v>0</v>
      </c>
      <c r="S64" s="12">
        <f>[1]data!P64-[1]data!P26</f>
        <v>0</v>
      </c>
      <c r="T64" s="12">
        <f>[1]data!Q64-[1]data!Q26</f>
        <v>0</v>
      </c>
      <c r="U64" s="12">
        <f>[1]data!R64-[1]data!R26</f>
        <v>0</v>
      </c>
      <c r="V64" s="12">
        <f>[1]data!S64-[1]data!S26</f>
        <v>0</v>
      </c>
      <c r="W64" s="12">
        <f>[1]data!T64-[1]data!T26</f>
        <v>0</v>
      </c>
      <c r="X64" s="12">
        <f>[1]data!U64-[1]data!U26</f>
        <v>0</v>
      </c>
      <c r="Y64" s="12">
        <f>[1]data!V64-[1]data!V26</f>
        <v>0</v>
      </c>
      <c r="Z64" s="12">
        <f>[1]data!W64-[1]data!W26</f>
        <v>0</v>
      </c>
      <c r="AA64" s="12">
        <f>[1]data!X64-[1]data!X26</f>
        <v>0</v>
      </c>
      <c r="AB64" s="12">
        <f>[1]data!Y64-[1]data!Y26</f>
        <v>0</v>
      </c>
      <c r="AC64" s="12">
        <f>[1]data!Z64-[1]data!Z26</f>
        <v>0</v>
      </c>
      <c r="AD64" s="14">
        <v>66.343484468840003</v>
      </c>
      <c r="AE64" s="15">
        <v>66.557495896739994</v>
      </c>
      <c r="AF64" t="e">
        <f>D64/(D64+H64)</f>
        <v>#DIV/0!</v>
      </c>
      <c r="AG64">
        <v>0</v>
      </c>
      <c r="AH64" t="e">
        <f>(E64/(D64+H64))</f>
        <v>#DIV/0!</v>
      </c>
      <c r="AI64" t="e">
        <f>(G64/(D64+H64))</f>
        <v>#DIV/0!</v>
      </c>
      <c r="AJ64" t="e">
        <f>(F64/(D64))</f>
        <v>#DIV/0!</v>
      </c>
      <c r="AK64" t="e">
        <f>E64/D64</f>
        <v>#DIV/0!</v>
      </c>
      <c r="AL64" t="e">
        <f>(H64/(C64+H64))</f>
        <v>#DIV/0!</v>
      </c>
      <c r="AM64" t="e">
        <f>(I64/(D64+H64))</f>
        <v>#DIV/0!</v>
      </c>
      <c r="AN64" t="e">
        <f>(J64/(D64+H64))</f>
        <v>#DIV/0!</v>
      </c>
      <c r="AO64" t="e">
        <f>(I64/H64)</f>
        <v>#DIV/0!</v>
      </c>
      <c r="AP64" t="e">
        <f>J64/H64</f>
        <v>#DIV/0!</v>
      </c>
      <c r="AQ64">
        <f>(D64+H64)/AD64</f>
        <v>0</v>
      </c>
    </row>
    <row r="65" spans="1:43" x14ac:dyDescent="0.35">
      <c r="A65" s="17" t="s">
        <v>53</v>
      </c>
      <c r="B65" s="24" t="s">
        <v>67</v>
      </c>
      <c r="C65" s="28">
        <f t="shared" si="0"/>
        <v>1.9577036439262017</v>
      </c>
      <c r="D65" s="12">
        <f>[1]data!C65-[1]data!C27</f>
        <v>11.987077390271075</v>
      </c>
      <c r="E65" s="12">
        <f>[1]data!D65-[1]data!D27</f>
        <v>0.76498244929870585</v>
      </c>
      <c r="F65" s="12">
        <f>[1]data!E65-[1]data!E27</f>
        <v>11.222094940972369</v>
      </c>
      <c r="G65" s="12">
        <f>[1]data!F65-[1]data!F27</f>
        <v>-10.029373746344874</v>
      </c>
      <c r="H65" s="12">
        <f>[1]data!G65-[1]data!G27</f>
        <v>33.440661355057721</v>
      </c>
      <c r="I65" s="12">
        <f>[1]data!H65-[1]data!H27</f>
        <v>0</v>
      </c>
      <c r="J65" s="12">
        <f>[1]data!I65-[1]data!I27</f>
        <v>33.440661355057721</v>
      </c>
      <c r="K65" s="12">
        <f>[1]data!J65-[1]data!J27</f>
        <v>0</v>
      </c>
      <c r="L65" s="13">
        <f t="shared" si="3"/>
        <v>0.23299049632919888</v>
      </c>
      <c r="M65" s="12">
        <f>[1]data!K65-[1]data!K27</f>
        <v>1.4266077091702378</v>
      </c>
      <c r="N65" s="13">
        <f t="shared" si="5"/>
        <v>9.1942373358522511E-2</v>
      </c>
      <c r="O65" s="13">
        <f t="shared" si="6"/>
        <v>1.2855595861995612</v>
      </c>
      <c r="P65" s="12">
        <f>[1]data!M65-[1]data!M27</f>
        <v>9.1042196860696603E-2</v>
      </c>
      <c r="Q65" s="12">
        <f>[1]data!N65-[1]data!N27</f>
        <v>8.2040891949904396E-2</v>
      </c>
      <c r="R65" s="12">
        <f>[1]data!O65-[1]data!O27</f>
        <v>1.3355655123095409</v>
      </c>
      <c r="S65" s="12">
        <f>[1]data!P65-[1]data!P27</f>
        <v>1.2035186942496567</v>
      </c>
      <c r="T65" s="12">
        <f>[1]data!Q65-[1]data!Q27</f>
        <v>-1.1936172128410387</v>
      </c>
      <c r="U65" s="12">
        <f>[1]data!R65-[1]data!R27</f>
        <v>-1.0756047653163852</v>
      </c>
      <c r="V65" s="12">
        <f>[1]data!S65-[1]data!S27</f>
        <v>3.9798446056247383</v>
      </c>
      <c r="W65" s="12">
        <f>[1]data!T65-[1]data!T27</f>
        <v>3.5863589909529647</v>
      </c>
      <c r="X65" s="12">
        <f>[1]data!U65-[1]data!U27</f>
        <v>0</v>
      </c>
      <c r="Y65" s="12">
        <f>[1]data!V65-[1]data!V27</f>
        <v>0</v>
      </c>
      <c r="Z65" s="12">
        <f>[1]data!W65-[1]data!W27</f>
        <v>3.9798446056247383</v>
      </c>
      <c r="AA65" s="12">
        <f>[1]data!X65-[1]data!X27</f>
        <v>3.5863589909529647</v>
      </c>
      <c r="AB65" s="12">
        <f>[1]data!Y65-[1]data!Y27</f>
        <v>0</v>
      </c>
      <c r="AC65" s="12">
        <f>[1]data!Z65-[1]data!Z27</f>
        <v>0</v>
      </c>
      <c r="AD65" s="14">
        <v>932.44043441874999</v>
      </c>
      <c r="AE65" s="15">
        <v>840.25042856688003</v>
      </c>
      <c r="AF65">
        <f>D65/(D65+H65)</f>
        <v>0.2638713200644105</v>
      </c>
      <c r="AG65">
        <f>(F65/(D65+H65))</f>
        <v>0.24703177509856364</v>
      </c>
      <c r="AH65">
        <f>(E65/(D65+H65))</f>
        <v>1.6839544965846814E-2</v>
      </c>
      <c r="AI65">
        <f>(G65/(D65+H65))</f>
        <v>-0.22077642478685261</v>
      </c>
      <c r="AJ65">
        <f>(F65/(D65))</f>
        <v>0.93618273876169522</v>
      </c>
      <c r="AK65">
        <f>E65/D65</f>
        <v>6.3817261238304779E-2</v>
      </c>
      <c r="AL65">
        <f>(H65/(C65+H65))</f>
        <v>0.9446950828383629</v>
      </c>
      <c r="AM65">
        <f>(I65/(D65+H65))</f>
        <v>0</v>
      </c>
      <c r="AN65">
        <f>(J65/(D65+H65))</f>
        <v>0.7361286799355895</v>
      </c>
      <c r="AO65">
        <f>(I65/H65)</f>
        <v>0</v>
      </c>
      <c r="AP65">
        <f>J65/H65</f>
        <v>1</v>
      </c>
      <c r="AQ65">
        <f>(D65+H65)/AD65</f>
        <v>4.8719185771525259E-2</v>
      </c>
    </row>
    <row r="66" spans="1:43" x14ac:dyDescent="0.35">
      <c r="A66" s="21" t="s">
        <v>54</v>
      </c>
      <c r="B66" s="25" t="s">
        <v>67</v>
      </c>
      <c r="C66" s="28">
        <f t="shared" si="0"/>
        <v>28.122546463795096</v>
      </c>
      <c r="D66" s="12">
        <f>[1]data!C66-[1]data!C28</f>
        <v>28.122546463795103</v>
      </c>
      <c r="E66" s="12">
        <f>[1]data!D66-[1]data!D28</f>
        <v>0</v>
      </c>
      <c r="F66" s="12">
        <f>[1]data!E66-[1]data!E28</f>
        <v>28.122546463795096</v>
      </c>
      <c r="G66" s="12">
        <f>[1]data!F66-[1]data!F28</f>
        <v>0</v>
      </c>
      <c r="H66" s="12">
        <f>[1]data!G66-[1]data!G28</f>
        <v>1.1458115023238653</v>
      </c>
      <c r="I66" s="12">
        <f>[1]data!H66-[1]data!H28</f>
        <v>1.1458115023238649</v>
      </c>
      <c r="J66" s="12">
        <f>[1]data!I66-[1]data!I28</f>
        <v>0</v>
      </c>
      <c r="K66" s="12">
        <f>[1]data!J66-[1]data!J28</f>
        <v>0</v>
      </c>
      <c r="L66" s="13">
        <f t="shared" si="3"/>
        <v>13.857629306420863</v>
      </c>
      <c r="M66" s="12">
        <f>[1]data!K66-[1]data!K28</f>
        <v>13.857629306420865</v>
      </c>
      <c r="N66" s="13">
        <f t="shared" si="5"/>
        <v>14.498115587265051</v>
      </c>
      <c r="O66" s="13">
        <f t="shared" si="6"/>
        <v>14.498115587265051</v>
      </c>
      <c r="P66" s="12">
        <f>[1]data!M66-[1]data!M28</f>
        <v>0</v>
      </c>
      <c r="Q66" s="12">
        <f>[1]data!N66-[1]data!N28</f>
        <v>0</v>
      </c>
      <c r="R66" s="12">
        <f>[1]data!O66-[1]data!O28</f>
        <v>13.857629306420863</v>
      </c>
      <c r="S66" s="12">
        <f>[1]data!P66-[1]data!P28</f>
        <v>14.498115587265051</v>
      </c>
      <c r="T66" s="12">
        <f>[1]data!Q66-[1]data!Q28</f>
        <v>0</v>
      </c>
      <c r="U66" s="12">
        <f>[1]data!R66-[1]data!R28</f>
        <v>0</v>
      </c>
      <c r="V66" s="12">
        <f>[1]data!S66-[1]data!S28</f>
        <v>0.5646085810429331</v>
      </c>
      <c r="W66" s="12">
        <f>[1]data!T66-[1]data!T28</f>
        <v>0.5907042459080154</v>
      </c>
      <c r="X66" s="12">
        <f>[1]data!U66-[1]data!U28</f>
        <v>0.56460858104293332</v>
      </c>
      <c r="Y66" s="12">
        <f>[1]data!V66-[1]data!V28</f>
        <v>0.5907042459080154</v>
      </c>
      <c r="Z66" s="12">
        <f>[1]data!W66-[1]data!W28</f>
        <v>0</v>
      </c>
      <c r="AA66" s="12">
        <f>[1]data!X66-[1]data!X28</f>
        <v>0</v>
      </c>
      <c r="AB66" s="12">
        <f>[1]data!Y66-[1]data!Y28</f>
        <v>0</v>
      </c>
      <c r="AC66" s="12">
        <f>[1]data!Z66-[1]data!Z28</f>
        <v>0</v>
      </c>
      <c r="AD66" s="14">
        <v>193.97380504054999</v>
      </c>
      <c r="AE66" s="15">
        <v>202.93908750153</v>
      </c>
      <c r="AF66">
        <f>D66/(D66+H66)</f>
        <v>0.96085152765829029</v>
      </c>
      <c r="AG66">
        <f>(F66/(D66+H66))</f>
        <v>0.96085152765829007</v>
      </c>
      <c r="AH66">
        <f>(E66/(D66+H66))</f>
        <v>0</v>
      </c>
      <c r="AI66">
        <f>(G66/(D66+H66))</f>
        <v>0</v>
      </c>
      <c r="AJ66">
        <f>(F66/(D66))</f>
        <v>0.99999999999999978</v>
      </c>
      <c r="AK66">
        <f>E66/D66</f>
        <v>0</v>
      </c>
      <c r="AL66">
        <f>(H66/(C66+H66))</f>
        <v>3.9148472341709643E-2</v>
      </c>
      <c r="AM66">
        <f>(I66/(D66+H66))</f>
        <v>3.9148472341709616E-2</v>
      </c>
      <c r="AN66">
        <f>(J66/(D66+H66))</f>
        <v>0</v>
      </c>
      <c r="AO66">
        <f>(I66/H66)</f>
        <v>0.99999999999999967</v>
      </c>
      <c r="AP66">
        <f>J66/H66</f>
        <v>0</v>
      </c>
      <c r="AQ66">
        <f>(D66+H66)/AD66</f>
        <v>0.1508881983317307</v>
      </c>
    </row>
    <row r="67" spans="1:43" x14ac:dyDescent="0.35">
      <c r="A67" s="17" t="s">
        <v>55</v>
      </c>
      <c r="B67" s="24" t="s">
        <v>67</v>
      </c>
      <c r="C67" s="28">
        <f t="shared" ref="C67:C130" si="8">E67+F67+G67</f>
        <v>0</v>
      </c>
      <c r="D67" s="12">
        <f>[1]data!C67-[1]data!C29</f>
        <v>0</v>
      </c>
      <c r="E67" s="12">
        <f>[1]data!D67-[1]data!D29</f>
        <v>0</v>
      </c>
      <c r="F67" s="29">
        <f>[1]data!E67-[1]data!E29</f>
        <v>0</v>
      </c>
      <c r="G67" s="12">
        <f>[1]data!F67-[1]data!F29</f>
        <v>0</v>
      </c>
      <c r="H67" s="12">
        <f>[1]data!G67-[1]data!G29</f>
        <v>7.1492515149594507</v>
      </c>
      <c r="I67" s="12">
        <f>[1]data!H67-[1]data!H29</f>
        <v>-0.35867162723845958</v>
      </c>
      <c r="J67" s="12">
        <f>[1]data!I67-[1]data!I29</f>
        <v>7.5079231421979111</v>
      </c>
      <c r="K67" s="12">
        <f>[1]data!J67-[1]data!J29</f>
        <v>0</v>
      </c>
      <c r="L67" s="13">
        <f t="shared" ref="L67:L130" si="9">P67+R67+T67</f>
        <v>0</v>
      </c>
      <c r="M67" s="12">
        <f>[1]data!K67-[1]data!K29</f>
        <v>0</v>
      </c>
      <c r="N67" s="13">
        <f t="shared" ref="N67:N130" si="10">Q67+S67+T67</f>
        <v>0</v>
      </c>
      <c r="O67" s="13">
        <f t="shared" ref="O67:O130" si="11">Q67+S67</f>
        <v>0</v>
      </c>
      <c r="P67" s="12">
        <f>[1]data!M67-[1]data!M29</f>
        <v>0</v>
      </c>
      <c r="Q67" s="12">
        <f>[1]data!N67-[1]data!N29</f>
        <v>0</v>
      </c>
      <c r="R67" s="12">
        <f>[1]data!O67-[1]data!O29</f>
        <v>0</v>
      </c>
      <c r="S67" s="12">
        <f>[1]data!P67-[1]data!P29</f>
        <v>0</v>
      </c>
      <c r="T67" s="12">
        <f>[1]data!Q67-[1]data!Q29</f>
        <v>0</v>
      </c>
      <c r="U67" s="12">
        <f>[1]data!R67-[1]data!R29</f>
        <v>0</v>
      </c>
      <c r="V67" s="12">
        <f>[1]data!S67-[1]data!S29</f>
        <v>1.7426601170731044</v>
      </c>
      <c r="W67" s="12">
        <f>[1]data!T67-[1]data!T29</f>
        <v>2.1634616992714961</v>
      </c>
      <c r="X67" s="12">
        <f>[1]data!U67-[1]data!U29</f>
        <v>-8.7427717238133695E-2</v>
      </c>
      <c r="Y67" s="12">
        <f>[1]data!V67-[1]data!V29</f>
        <v>-0.10853896055022094</v>
      </c>
      <c r="Z67" s="12">
        <f>[1]data!W67-[1]data!W29</f>
        <v>1.8300878343112383</v>
      </c>
      <c r="AA67" s="12">
        <f>[1]data!X67-[1]data!X29</f>
        <v>2.2720006598217175</v>
      </c>
      <c r="AB67" s="12">
        <f>[1]data!Y67-[1]data!Y29</f>
        <v>0</v>
      </c>
      <c r="AC67" s="12">
        <f>[1]data!Z67-[1]data!Z29</f>
        <v>0</v>
      </c>
      <c r="AD67" s="14">
        <v>330.45426768437</v>
      </c>
      <c r="AE67" s="15">
        <v>410.24933347112</v>
      </c>
      <c r="AF67">
        <f>D67/(D67+H67)</f>
        <v>0</v>
      </c>
      <c r="AG67">
        <f>(F67/(D67+H67))</f>
        <v>0</v>
      </c>
      <c r="AH67">
        <f>(E67/(D67+H67))</f>
        <v>0</v>
      </c>
      <c r="AI67">
        <f>(G67/(D67+H67))</f>
        <v>0</v>
      </c>
      <c r="AJ67" t="e">
        <f>(F67/(D67))</f>
        <v>#DIV/0!</v>
      </c>
      <c r="AK67" t="e">
        <f>E67/D67</f>
        <v>#DIV/0!</v>
      </c>
      <c r="AL67">
        <f>(H67/(C67+H67))</f>
        <v>1</v>
      </c>
      <c r="AM67">
        <f>(I67/(D67+H67))</f>
        <v>-5.0169115814146022E-2</v>
      </c>
      <c r="AN67">
        <f>(J67/(D67+H67))</f>
        <v>1.0501691158141462</v>
      </c>
      <c r="AO67">
        <f>(I67/H67)</f>
        <v>-5.0169115814146022E-2</v>
      </c>
      <c r="AP67">
        <f>J67/H67</f>
        <v>1.0501691158141462</v>
      </c>
      <c r="AQ67">
        <f>(D67+H67)/AD67</f>
        <v>2.1634616992714965E-2</v>
      </c>
    </row>
    <row r="68" spans="1:43" x14ac:dyDescent="0.35">
      <c r="A68" s="17" t="s">
        <v>56</v>
      </c>
      <c r="B68" s="24" t="s">
        <v>67</v>
      </c>
      <c r="C68" s="28">
        <f t="shared" si="8"/>
        <v>0</v>
      </c>
      <c r="D68" s="12">
        <f>[1]data!C68-[1]data!C30</f>
        <v>0</v>
      </c>
      <c r="E68" s="12">
        <f>[1]data!D68-[1]data!D30</f>
        <v>0</v>
      </c>
      <c r="F68" s="12">
        <f>[1]data!E68-[1]data!E30</f>
        <v>0</v>
      </c>
      <c r="G68" s="12">
        <f>[1]data!F68-[1]data!F30</f>
        <v>0</v>
      </c>
      <c r="H68" s="12">
        <f>[1]data!G68-[1]data!G30</f>
        <v>0</v>
      </c>
      <c r="I68" s="12">
        <f>[1]data!H68-[1]data!H30</f>
        <v>0</v>
      </c>
      <c r="J68" s="12">
        <f>[1]data!I68-[1]data!I30</f>
        <v>0</v>
      </c>
      <c r="K68" s="12">
        <f>[1]data!J68-[1]data!J30</f>
        <v>0</v>
      </c>
      <c r="L68" s="13">
        <f t="shared" si="9"/>
        <v>0</v>
      </c>
      <c r="M68" s="12">
        <f>[1]data!K68-[1]data!K30</f>
        <v>0</v>
      </c>
      <c r="N68" s="13">
        <f t="shared" si="10"/>
        <v>0</v>
      </c>
      <c r="O68" s="13">
        <f t="shared" si="11"/>
        <v>0</v>
      </c>
      <c r="P68" s="12">
        <f>[1]data!M68-[1]data!M30</f>
        <v>0</v>
      </c>
      <c r="Q68" s="12">
        <f>[1]data!N68-[1]data!N30</f>
        <v>0</v>
      </c>
      <c r="R68" s="12">
        <f>[1]data!O68-[1]data!O30</f>
        <v>0</v>
      </c>
      <c r="S68" s="12">
        <f>[1]data!P68-[1]data!P30</f>
        <v>0</v>
      </c>
      <c r="T68" s="12">
        <f>[1]data!Q68-[1]data!Q30</f>
        <v>0</v>
      </c>
      <c r="U68" s="12">
        <f>[1]data!R68-[1]data!R30</f>
        <v>0</v>
      </c>
      <c r="V68" s="12">
        <f>[1]data!S68-[1]data!S30</f>
        <v>0</v>
      </c>
      <c r="W68" s="12">
        <f>[1]data!T68-[1]data!T30</f>
        <v>0</v>
      </c>
      <c r="X68" s="12">
        <f>[1]data!U68-[1]data!U30</f>
        <v>0</v>
      </c>
      <c r="Y68" s="12">
        <f>[1]data!V68-[1]data!V30</f>
        <v>0</v>
      </c>
      <c r="Z68" s="12">
        <f>[1]data!W68-[1]data!W30</f>
        <v>0</v>
      </c>
      <c r="AA68" s="12">
        <f>[1]data!X68-[1]data!X30</f>
        <v>0</v>
      </c>
      <c r="AB68" s="12">
        <f>[1]data!Y68-[1]data!Y30</f>
        <v>0</v>
      </c>
      <c r="AC68" s="12">
        <f>[1]data!Z68-[1]data!Z30</f>
        <v>0</v>
      </c>
      <c r="AD68" s="14">
        <v>341.21592570296002</v>
      </c>
      <c r="AE68" s="15">
        <v>222.36238134761999</v>
      </c>
      <c r="AF68" t="e">
        <f>D68/(D68+H68)</f>
        <v>#DIV/0!</v>
      </c>
      <c r="AG68">
        <v>0</v>
      </c>
      <c r="AH68" t="e">
        <f>(E68/(D68+H68))</f>
        <v>#DIV/0!</v>
      </c>
      <c r="AI68" t="e">
        <f>(G68/(D68+H68))</f>
        <v>#DIV/0!</v>
      </c>
      <c r="AJ68" t="e">
        <f>(F68/(D68))</f>
        <v>#DIV/0!</v>
      </c>
      <c r="AK68" t="e">
        <f>E68/D68</f>
        <v>#DIV/0!</v>
      </c>
      <c r="AL68" t="e">
        <f>(H68/(C68+H68))</f>
        <v>#DIV/0!</v>
      </c>
      <c r="AM68" t="e">
        <f>(I68/(D68+H68))</f>
        <v>#DIV/0!</v>
      </c>
      <c r="AN68" t="e">
        <f>(J68/(D68+H68))</f>
        <v>#DIV/0!</v>
      </c>
      <c r="AO68" t="e">
        <f>(I68/H68)</f>
        <v>#DIV/0!</v>
      </c>
      <c r="AP68" t="e">
        <f>J68/H68</f>
        <v>#DIV/0!</v>
      </c>
      <c r="AQ68">
        <f>(D68+H68)/AD68</f>
        <v>0</v>
      </c>
    </row>
    <row r="69" spans="1:43" x14ac:dyDescent="0.35">
      <c r="A69" s="17" t="s">
        <v>57</v>
      </c>
      <c r="B69" s="24" t="s">
        <v>67</v>
      </c>
      <c r="C69" s="28">
        <f t="shared" si="8"/>
        <v>0</v>
      </c>
      <c r="D69" s="12">
        <f>[1]data!C69-[1]data!C31</f>
        <v>0</v>
      </c>
      <c r="E69" s="12">
        <f>[1]data!D69-[1]data!D31</f>
        <v>0</v>
      </c>
      <c r="F69" s="12">
        <f>[1]data!E69-[1]data!E31</f>
        <v>0</v>
      </c>
      <c r="G69" s="12">
        <f>[1]data!F69-[1]data!F31</f>
        <v>0</v>
      </c>
      <c r="H69" s="12">
        <f>[1]data!G69-[1]data!G31</f>
        <v>0</v>
      </c>
      <c r="I69" s="12">
        <f>[1]data!H69-[1]data!H31</f>
        <v>0</v>
      </c>
      <c r="J69" s="12">
        <f>[1]data!I69-[1]data!I31</f>
        <v>0</v>
      </c>
      <c r="K69" s="12">
        <f>[1]data!J69-[1]data!J31</f>
        <v>0</v>
      </c>
      <c r="L69" s="13">
        <f t="shared" si="9"/>
        <v>0</v>
      </c>
      <c r="M69" s="12">
        <f>[1]data!K69-[1]data!K31</f>
        <v>0</v>
      </c>
      <c r="N69" s="13">
        <f t="shared" si="10"/>
        <v>0</v>
      </c>
      <c r="O69" s="13">
        <f t="shared" si="11"/>
        <v>0</v>
      </c>
      <c r="P69" s="12">
        <f>[1]data!M69-[1]data!M31</f>
        <v>0</v>
      </c>
      <c r="Q69" s="12">
        <f>[1]data!N69-[1]data!N31</f>
        <v>0</v>
      </c>
      <c r="R69" s="12">
        <f>[1]data!O69-[1]data!O31</f>
        <v>0</v>
      </c>
      <c r="S69" s="12">
        <f>[1]data!P69-[1]data!P31</f>
        <v>0</v>
      </c>
      <c r="T69" s="12">
        <f>[1]data!Q69-[1]data!Q31</f>
        <v>0</v>
      </c>
      <c r="U69" s="12">
        <f>[1]data!R69-[1]data!R31</f>
        <v>0</v>
      </c>
      <c r="V69" s="12">
        <f>[1]data!S69-[1]data!S31</f>
        <v>0</v>
      </c>
      <c r="W69" s="12">
        <f>[1]data!T69-[1]data!T31</f>
        <v>0</v>
      </c>
      <c r="X69" s="12">
        <f>[1]data!U69-[1]data!U31</f>
        <v>0</v>
      </c>
      <c r="Y69" s="12">
        <f>[1]data!V69-[1]data!V31</f>
        <v>0</v>
      </c>
      <c r="Z69" s="12">
        <f>[1]data!W69-[1]data!W31</f>
        <v>0</v>
      </c>
      <c r="AA69" s="12">
        <f>[1]data!X69-[1]data!X31</f>
        <v>0</v>
      </c>
      <c r="AB69" s="12">
        <f>[1]data!Y69-[1]data!Y31</f>
        <v>0</v>
      </c>
      <c r="AC69" s="12">
        <f>[1]data!Z69-[1]data!Z31</f>
        <v>0</v>
      </c>
      <c r="AD69" s="14">
        <v>181.71174374815001</v>
      </c>
      <c r="AE69" s="15">
        <v>99.489061173690004</v>
      </c>
      <c r="AF69" t="e">
        <f>D69/(D69+H69)</f>
        <v>#DIV/0!</v>
      </c>
      <c r="AG69">
        <v>0</v>
      </c>
      <c r="AH69" t="e">
        <f>(E69/(D69+H69))</f>
        <v>#DIV/0!</v>
      </c>
      <c r="AI69" t="e">
        <f>(G69/(D69+H69))</f>
        <v>#DIV/0!</v>
      </c>
      <c r="AJ69" t="e">
        <f>(F69/(D69))</f>
        <v>#DIV/0!</v>
      </c>
      <c r="AK69" t="e">
        <f>E69/D69</f>
        <v>#DIV/0!</v>
      </c>
      <c r="AL69" t="e">
        <f>(H69/(C69+H69))</f>
        <v>#DIV/0!</v>
      </c>
      <c r="AM69" t="e">
        <f>(I69/(D69+H69))</f>
        <v>#DIV/0!</v>
      </c>
      <c r="AN69" t="e">
        <f>(J69/(D69+H69))</f>
        <v>#DIV/0!</v>
      </c>
      <c r="AO69" t="e">
        <f>(I69/H69)</f>
        <v>#DIV/0!</v>
      </c>
      <c r="AP69" t="e">
        <f>J69/H69</f>
        <v>#DIV/0!</v>
      </c>
      <c r="AQ69">
        <f>(D69+H69)/AD69</f>
        <v>0</v>
      </c>
    </row>
    <row r="70" spans="1:43" x14ac:dyDescent="0.35">
      <c r="A70" s="17" t="s">
        <v>58</v>
      </c>
      <c r="B70" s="24" t="s">
        <v>67</v>
      </c>
      <c r="C70" s="28">
        <f t="shared" si="8"/>
        <v>0</v>
      </c>
      <c r="D70" s="12">
        <f>[1]data!C70-[1]data!C32</f>
        <v>0</v>
      </c>
      <c r="E70" s="12">
        <f>[1]data!D70-[1]data!D32</f>
        <v>0</v>
      </c>
      <c r="F70" s="12">
        <f>[1]data!E70-[1]data!E32</f>
        <v>0</v>
      </c>
      <c r="G70" s="12">
        <f>[1]data!F70-[1]data!F32</f>
        <v>0</v>
      </c>
      <c r="H70" s="12">
        <f>[1]data!G70-[1]data!G32</f>
        <v>0</v>
      </c>
      <c r="I70" s="12">
        <f>[1]data!H70-[1]data!H32</f>
        <v>0</v>
      </c>
      <c r="J70" s="12">
        <f>[1]data!I70-[1]data!I32</f>
        <v>0</v>
      </c>
      <c r="K70" s="12">
        <f>[1]data!J70-[1]data!J32</f>
        <v>0</v>
      </c>
      <c r="L70" s="13">
        <f t="shared" si="9"/>
        <v>0</v>
      </c>
      <c r="M70" s="12">
        <f>[1]data!K70-[1]data!K32</f>
        <v>0</v>
      </c>
      <c r="N70" s="13">
        <f t="shared" si="10"/>
        <v>0</v>
      </c>
      <c r="O70" s="13">
        <f t="shared" si="11"/>
        <v>0</v>
      </c>
      <c r="P70" s="12">
        <f>[1]data!M70-[1]data!M32</f>
        <v>0</v>
      </c>
      <c r="Q70" s="12">
        <f>[1]data!N70-[1]data!N32</f>
        <v>0</v>
      </c>
      <c r="R70" s="12">
        <f>[1]data!O70-[1]data!O32</f>
        <v>0</v>
      </c>
      <c r="S70" s="12">
        <f>[1]data!P70-[1]data!P32</f>
        <v>0</v>
      </c>
      <c r="T70" s="12">
        <f>[1]data!Q70-[1]data!Q32</f>
        <v>0</v>
      </c>
      <c r="U70" s="12">
        <f>[1]data!R70-[1]data!R32</f>
        <v>0</v>
      </c>
      <c r="V70" s="12">
        <f>[1]data!S70-[1]data!S32</f>
        <v>0</v>
      </c>
      <c r="W70" s="12">
        <f>[1]data!T70-[1]data!T32</f>
        <v>0</v>
      </c>
      <c r="X70" s="12">
        <f>[1]data!U70-[1]data!U32</f>
        <v>0</v>
      </c>
      <c r="Y70" s="12">
        <f>[1]data!V70-[1]data!V32</f>
        <v>0</v>
      </c>
      <c r="Z70" s="12">
        <f>[1]data!W70-[1]data!W32</f>
        <v>0</v>
      </c>
      <c r="AA70" s="12">
        <f>[1]data!X70-[1]data!X32</f>
        <v>0</v>
      </c>
      <c r="AB70" s="12">
        <f>[1]data!Y70-[1]data!Y32</f>
        <v>0</v>
      </c>
      <c r="AC70" s="12">
        <f>[1]data!Z70-[1]data!Z32</f>
        <v>0</v>
      </c>
      <c r="AD70" s="14">
        <v>76.037366075549997</v>
      </c>
      <c r="AE70" s="15">
        <v>50.417977728389999</v>
      </c>
      <c r="AF70" t="e">
        <f>D70/(D70+H70)</f>
        <v>#DIV/0!</v>
      </c>
      <c r="AG70">
        <v>0</v>
      </c>
      <c r="AH70" t="e">
        <f>(E70/(D70+H70))</f>
        <v>#DIV/0!</v>
      </c>
      <c r="AI70" t="e">
        <f>(G70/(D70+H70))</f>
        <v>#DIV/0!</v>
      </c>
      <c r="AJ70" t="e">
        <f>(F70/(D70))</f>
        <v>#DIV/0!</v>
      </c>
      <c r="AK70" t="e">
        <f>E70/D70</f>
        <v>#DIV/0!</v>
      </c>
      <c r="AL70" t="e">
        <f>(H70/(C70+H70))</f>
        <v>#DIV/0!</v>
      </c>
      <c r="AM70" t="e">
        <f>(I70/(D70+H70))</f>
        <v>#DIV/0!</v>
      </c>
      <c r="AN70" t="e">
        <f>(J70/(D70+H70))</f>
        <v>#DIV/0!</v>
      </c>
      <c r="AO70" t="e">
        <f>(I70/H70)</f>
        <v>#DIV/0!</v>
      </c>
      <c r="AP70" t="e">
        <f>J70/H70</f>
        <v>#DIV/0!</v>
      </c>
      <c r="AQ70">
        <f>(D70+H70)/AD70</f>
        <v>0</v>
      </c>
    </row>
    <row r="71" spans="1:43" x14ac:dyDescent="0.35">
      <c r="A71" s="17" t="s">
        <v>59</v>
      </c>
      <c r="B71" s="24" t="s">
        <v>67</v>
      </c>
      <c r="C71" s="28">
        <f t="shared" si="8"/>
        <v>48.212593605940796</v>
      </c>
      <c r="D71" s="12">
        <f>[1]data!C71-[1]data!C33</f>
        <v>14.100437358322282</v>
      </c>
      <c r="E71" s="12">
        <f>[1]data!D71-[1]data!D33</f>
        <v>0.8349841230760352</v>
      </c>
      <c r="F71" s="12">
        <f>[1]data!E71-[1]data!E33</f>
        <v>13.265453235246245</v>
      </c>
      <c r="G71" s="12">
        <f>[1]data!F71-[1]data!F33</f>
        <v>34.112156247618515</v>
      </c>
      <c r="H71" s="12">
        <f>[1]data!G71-[1]data!G33</f>
        <v>-1.5797136210380351</v>
      </c>
      <c r="I71" s="12">
        <f>[1]data!H71-[1]data!H33</f>
        <v>0</v>
      </c>
      <c r="J71" s="12">
        <f>[1]data!I71-[1]data!I33</f>
        <v>-1.5797136210380351</v>
      </c>
      <c r="K71" s="12">
        <f>[1]data!J71-[1]data!J33</f>
        <v>0</v>
      </c>
      <c r="L71" s="13">
        <f t="shared" si="9"/>
        <v>8.7687754528590709</v>
      </c>
      <c r="M71" s="12">
        <f>[1]data!K71-[1]data!K33</f>
        <v>2.5645492128637093</v>
      </c>
      <c r="N71" s="13">
        <f t="shared" si="10"/>
        <v>8.9106208313770843</v>
      </c>
      <c r="O71" s="13">
        <f t="shared" si="11"/>
        <v>2.706394591381724</v>
      </c>
      <c r="P71" s="12">
        <f>[1]data!M71-[1]data!M33</f>
        <v>0.15186464229242372</v>
      </c>
      <c r="Q71" s="12">
        <f>[1]data!N71-[1]data!N33</f>
        <v>0.16026428522437489</v>
      </c>
      <c r="R71" s="12">
        <f>[1]data!O71-[1]data!O33</f>
        <v>2.4126845705712858</v>
      </c>
      <c r="S71" s="12">
        <f>[1]data!P71-[1]data!P33</f>
        <v>2.546130306157349</v>
      </c>
      <c r="T71" s="12">
        <f>[1]data!Q71-[1]data!Q33</f>
        <v>6.2042262399953607</v>
      </c>
      <c r="U71" s="12">
        <f>[1]data!R71-[1]data!R33</f>
        <v>6.5473823841665366</v>
      </c>
      <c r="V71" s="12">
        <f>[1]data!S71-[1]data!S33</f>
        <v>-0.28731401873801232</v>
      </c>
      <c r="W71" s="12">
        <f>[1]data!T71-[1]data!T33</f>
        <v>-0.30320537521384239</v>
      </c>
      <c r="X71" s="12">
        <f>[1]data!U71-[1]data!U33</f>
        <v>0</v>
      </c>
      <c r="Y71" s="12">
        <f>[1]data!V71-[1]data!V33</f>
        <v>0</v>
      </c>
      <c r="Z71" s="12">
        <f>[1]data!W71-[1]data!W33</f>
        <v>-0.28731401873801232</v>
      </c>
      <c r="AA71" s="12">
        <f>[1]data!X71-[1]data!X33</f>
        <v>-0.30320537521384239</v>
      </c>
      <c r="AB71" s="12">
        <f>[1]data!Y71-[1]data!Y33</f>
        <v>0</v>
      </c>
      <c r="AC71" s="12">
        <f>[1]data!Z71-[1]data!Z33</f>
        <v>0</v>
      </c>
      <c r="AD71" s="14">
        <v>521.00449074291998</v>
      </c>
      <c r="AE71" s="15">
        <v>549.82128194673999</v>
      </c>
      <c r="AF71">
        <f>D71/(D71+H71)</f>
        <v>1.1261679160234133</v>
      </c>
      <c r="AG71">
        <f>(F71/(D71+H71))</f>
        <v>1.0594797484225564</v>
      </c>
      <c r="AH71">
        <f>(E71/(D71+H71))</f>
        <v>6.6688167600856579E-2</v>
      </c>
      <c r="AI71">
        <f>(G71/(D71+H71))</f>
        <v>2.7244556275959702</v>
      </c>
      <c r="AJ71">
        <f>(F71/(D71))</f>
        <v>0.94078310467559945</v>
      </c>
      <c r="AK71">
        <f>E71/D71</f>
        <v>5.921689532440038E-2</v>
      </c>
      <c r="AL71">
        <f>(H71/(C71+H71))</f>
        <v>-3.3875532061272265E-2</v>
      </c>
      <c r="AM71">
        <f>(I71/(D71+H71))</f>
        <v>0</v>
      </c>
      <c r="AN71">
        <f>(J71/(D71+H71))</f>
        <v>-0.12616791602341321</v>
      </c>
      <c r="AO71">
        <f>(I71/H71)</f>
        <v>0</v>
      </c>
      <c r="AP71">
        <f>J71/H71</f>
        <v>1</v>
      </c>
      <c r="AQ71">
        <f>(D71+H71)/AD71</f>
        <v>2.4031892161678826E-2</v>
      </c>
    </row>
    <row r="72" spans="1:43" x14ac:dyDescent="0.35">
      <c r="A72" s="21" t="s">
        <v>60</v>
      </c>
      <c r="B72" s="25" t="s">
        <v>67</v>
      </c>
      <c r="C72" s="28">
        <f t="shared" si="8"/>
        <v>30.27282054763505</v>
      </c>
      <c r="D72" s="12">
        <f>[1]data!C72-[1]data!C34</f>
        <v>30.27282054763505</v>
      </c>
      <c r="E72" s="12">
        <f>[1]data!D72-[1]data!D34</f>
        <v>2.6975353066185432</v>
      </c>
      <c r="F72" s="12">
        <f>[1]data!E72-[1]data!E34</f>
        <v>27.575285241016505</v>
      </c>
      <c r="G72" s="12">
        <f>[1]data!F72-[1]data!F34</f>
        <v>0</v>
      </c>
      <c r="H72" s="12">
        <f>[1]data!G72-[1]data!G34</f>
        <v>42.741449230002956</v>
      </c>
      <c r="I72" s="12">
        <f>[1]data!H72-[1]data!H34</f>
        <v>-0.10838709000000001</v>
      </c>
      <c r="J72" s="12">
        <f>[1]data!I72-[1]data!I34</f>
        <v>42.84983632000295</v>
      </c>
      <c r="K72" s="12">
        <f>[1]data!J72-[1]data!J34</f>
        <v>0</v>
      </c>
      <c r="L72" s="13">
        <f t="shared" si="9"/>
        <v>4.051990917785762</v>
      </c>
      <c r="M72" s="12">
        <f>[1]data!K72-[1]data!K34</f>
        <v>4.051990917785762</v>
      </c>
      <c r="N72" s="13">
        <f t="shared" si="10"/>
        <v>5.1239153771523451</v>
      </c>
      <c r="O72" s="13">
        <f t="shared" si="11"/>
        <v>5.1239153771523451</v>
      </c>
      <c r="P72" s="12">
        <f>[1]data!M72-[1]data!M34</f>
        <v>0.3610627739699882</v>
      </c>
      <c r="Q72" s="12">
        <f>[1]data!N72-[1]data!N34</f>
        <v>0.45657928095087619</v>
      </c>
      <c r="R72" s="12">
        <f>[1]data!O72-[1]data!O34</f>
        <v>3.6909281438157735</v>
      </c>
      <c r="S72" s="12">
        <f>[1]data!P72-[1]data!P34</f>
        <v>4.6673360962014687</v>
      </c>
      <c r="T72" s="12">
        <f>[1]data!Q72-[1]data!Q34</f>
        <v>0</v>
      </c>
      <c r="U72" s="12">
        <f>[1]data!R72-[1]data!R34</f>
        <v>0</v>
      </c>
      <c r="V72" s="12">
        <f>[1]data!S72-[1]data!S34</f>
        <v>5.7209061118192661</v>
      </c>
      <c r="W72" s="12">
        <f>[1]data!T72-[1]data!T34</f>
        <v>7.2343298374454648</v>
      </c>
      <c r="X72" s="12">
        <f>[1]data!U72-[1]data!U34</f>
        <v>-1.4507518504731386E-2</v>
      </c>
      <c r="Y72" s="12">
        <f>[1]data!V72-[1]data!V34</f>
        <v>-1.8345376053146827E-2</v>
      </c>
      <c r="Z72" s="12">
        <f>[1]data!W72-[1]data!W34</f>
        <v>5.7354136303239978</v>
      </c>
      <c r="AA72" s="12">
        <f>[1]data!X72-[1]data!X34</f>
        <v>7.2526752134986117</v>
      </c>
      <c r="AB72" s="12">
        <f>[1]data!Y72-[1]data!Y34</f>
        <v>0</v>
      </c>
      <c r="AC72" s="12">
        <f>[1]data!Z72-[1]data!Z34</f>
        <v>0</v>
      </c>
      <c r="AD72" s="14">
        <v>590.81421763174001</v>
      </c>
      <c r="AE72" s="15">
        <v>747.10978286638999</v>
      </c>
      <c r="AF72">
        <f>D72/(D72+H72)</f>
        <v>0.4146151244110185</v>
      </c>
      <c r="AG72">
        <f>(F72/(D72+H72))</f>
        <v>0.37766980790187887</v>
      </c>
      <c r="AH72">
        <f>(E72/(D72+H72))</f>
        <v>3.6945316509139618E-2</v>
      </c>
      <c r="AI72">
        <f>(G72/(D72+H72))</f>
        <v>0</v>
      </c>
      <c r="AJ72">
        <f>(F72/(D72))</f>
        <v>0.91089250166254232</v>
      </c>
      <c r="AK72">
        <f>E72/D72</f>
        <v>8.9107498337457625E-2</v>
      </c>
      <c r="AL72">
        <f>(H72/(C72+H72))</f>
        <v>0.58538487558898156</v>
      </c>
      <c r="AM72">
        <f>(I72/(D72+H72))</f>
        <v>-1.4844644797529097E-3</v>
      </c>
      <c r="AN72">
        <f>(J72/(D72+H72))</f>
        <v>0.58686934006873437</v>
      </c>
      <c r="AO72">
        <f>(I72/H72)</f>
        <v>-2.5358777475405813E-3</v>
      </c>
      <c r="AP72">
        <f>J72/H72</f>
        <v>1.0025358777475404</v>
      </c>
      <c r="AQ72">
        <f>(D72+H72)/AD72</f>
        <v>0.12358245214597811</v>
      </c>
    </row>
    <row r="73" spans="1:43" x14ac:dyDescent="0.35">
      <c r="A73" s="11" t="s">
        <v>61</v>
      </c>
      <c r="B73" s="24" t="s">
        <v>67</v>
      </c>
      <c r="C73" s="28">
        <f t="shared" si="8"/>
        <v>12.693842633135697</v>
      </c>
      <c r="D73" s="12">
        <f>[1]data!C73-[1]data!C35</f>
        <v>13.597478788559124</v>
      </c>
      <c r="E73" s="12">
        <f>[1]data!D73-[1]data!D35</f>
        <v>0.72138312864748477</v>
      </c>
      <c r="F73" s="12">
        <f>[1]data!E73-[1]data!E35</f>
        <v>12.876095659911639</v>
      </c>
      <c r="G73" s="12">
        <f>[1]data!F73-[1]data!F35</f>
        <v>-0.90363615542342712</v>
      </c>
      <c r="H73" s="12">
        <f>[1]data!G73-[1]data!G35</f>
        <v>3.1944951681043254</v>
      </c>
      <c r="I73" s="12">
        <f>[1]data!H73-[1]data!H35</f>
        <v>0.18207469297122714</v>
      </c>
      <c r="J73" s="12">
        <f>[1]data!I73-[1]data!I35</f>
        <v>3.0124204751330983</v>
      </c>
      <c r="K73" s="12">
        <f>[1]data!J73-[1]data!J35</f>
        <v>0</v>
      </c>
      <c r="L73" s="13">
        <f t="shared" si="9"/>
        <v>4.8457279455467948</v>
      </c>
      <c r="M73" s="12">
        <f>[1]data!K73-[1]data!K35</f>
        <v>5.1906806204374947</v>
      </c>
      <c r="N73" s="13">
        <f t="shared" si="10"/>
        <v>2.7363588324330959</v>
      </c>
      <c r="O73" s="13">
        <f t="shared" si="11"/>
        <v>3.0813115073237958</v>
      </c>
      <c r="P73" s="12">
        <f>[1]data!M73-[1]data!M35</f>
        <v>0.27537968501422866</v>
      </c>
      <c r="Q73" s="12">
        <f>[1]data!N73-[1]data!N35</f>
        <v>0.16347193255862988</v>
      </c>
      <c r="R73" s="12">
        <f>[1]data!O73-[1]data!O35</f>
        <v>4.9153009354232662</v>
      </c>
      <c r="S73" s="12">
        <f>[1]data!P73-[1]data!P35</f>
        <v>2.917839574765166</v>
      </c>
      <c r="T73" s="12">
        <f>[1]data!Q73-[1]data!Q35</f>
        <v>-0.34495267489070014</v>
      </c>
      <c r="U73" s="12">
        <f>[1]data!R73-[1]data!R35</f>
        <v>-0.20477211455426669</v>
      </c>
      <c r="V73" s="12">
        <f>[1]data!S73-[1]data!S35</f>
        <v>1.2194616677844754</v>
      </c>
      <c r="W73" s="12">
        <f>[1]data!T73-[1]data!T35</f>
        <v>0.72390145810355577</v>
      </c>
      <c r="X73" s="12">
        <f>[1]data!U73-[1]data!U35</f>
        <v>6.95049130043911E-2</v>
      </c>
      <c r="Y73" s="12">
        <f>[1]data!V73-[1]data!V35</f>
        <v>4.1259769944758884E-2</v>
      </c>
      <c r="Z73" s="12">
        <f>[1]data!W73-[1]data!W35</f>
        <v>1.1499567547800842</v>
      </c>
      <c r="AA73" s="12">
        <f>[1]data!X73-[1]data!X35</f>
        <v>0.68264168815879689</v>
      </c>
      <c r="AB73" s="12">
        <f>[1]data!Y73-[1]data!Y35</f>
        <v>0</v>
      </c>
      <c r="AC73" s="12">
        <f>[1]data!Z73-[1]data!Z35</f>
        <v>0</v>
      </c>
      <c r="AD73" s="14">
        <v>441.28867711817003</v>
      </c>
      <c r="AE73" s="15">
        <v>261.95945739796002</v>
      </c>
      <c r="AF73">
        <f>D73/(D73+H73)</f>
        <v>0.80976059298634895</v>
      </c>
      <c r="AG73">
        <f>(F73/(D73+H73))</f>
        <v>0.76680059730572059</v>
      </c>
      <c r="AH73">
        <f>(E73/(D73+H73))</f>
        <v>4.2959995680628298E-2</v>
      </c>
      <c r="AI73">
        <f>(G73/(D73+H73))</f>
        <v>-5.3813575328041943E-2</v>
      </c>
      <c r="AJ73">
        <f>(F73/(D73))</f>
        <v>0.94694728781232196</v>
      </c>
      <c r="AK73">
        <f>E73/D73</f>
        <v>5.3052712187678076E-2</v>
      </c>
      <c r="AL73">
        <f>(H73/(C73+H73))</f>
        <v>0.20105911694897421</v>
      </c>
      <c r="AM73">
        <f>(I73/(D73+H73))</f>
        <v>1.0842959466297625E-2</v>
      </c>
      <c r="AN73">
        <f>(J73/(D73+H73))</f>
        <v>0.17939644754735334</v>
      </c>
      <c r="AO73">
        <f>(I73/H73)</f>
        <v>5.699639016179002E-2</v>
      </c>
      <c r="AP73">
        <f>J73/H73</f>
        <v>0.94300360983820997</v>
      </c>
      <c r="AQ73">
        <f>(D73+H73)/AD73</f>
        <v>3.8052129654273521E-2</v>
      </c>
    </row>
    <row r="74" spans="1:43" x14ac:dyDescent="0.35">
      <c r="A74" s="11" t="s">
        <v>62</v>
      </c>
      <c r="B74" s="24" t="s">
        <v>67</v>
      </c>
      <c r="C74" s="28">
        <f t="shared" si="8"/>
        <v>3.9294238314498187</v>
      </c>
      <c r="D74" s="12">
        <f>[1]data!C74-[1]data!C36</f>
        <v>3.824337949750285</v>
      </c>
      <c r="E74" s="12">
        <f>[1]data!D74-[1]data!D36</f>
        <v>1.9136139057485111</v>
      </c>
      <c r="F74" s="12">
        <f>[1]data!E74-[1]data!E36</f>
        <v>1.9107240440017739</v>
      </c>
      <c r="G74" s="12">
        <f>[1]data!F74-[1]data!F36</f>
        <v>0.10508588169953384</v>
      </c>
      <c r="H74" s="12">
        <f>[1]data!G74-[1]data!G36</f>
        <v>0.88649371445437386</v>
      </c>
      <c r="I74" s="12">
        <f>[1]data!H74-[1]data!H36</f>
        <v>0.88649371445437386</v>
      </c>
      <c r="J74" s="12">
        <f>[1]data!I74-[1]data!I36</f>
        <v>0</v>
      </c>
      <c r="K74" s="12">
        <f>[1]data!J74-[1]data!J36</f>
        <v>0</v>
      </c>
      <c r="L74" s="13">
        <f t="shared" si="9"/>
        <v>1.2225747621072998</v>
      </c>
      <c r="M74" s="12">
        <f>[1]data!K74-[1]data!K36</f>
        <v>1.1898790407164512</v>
      </c>
      <c r="N74" s="13">
        <f t="shared" si="10"/>
        <v>0.58657102009150364</v>
      </c>
      <c r="O74" s="13">
        <f t="shared" si="11"/>
        <v>0.55387529870065522</v>
      </c>
      <c r="P74" s="12">
        <f>[1]data!M74-[1]data!M36</f>
        <v>0.59538908652734979</v>
      </c>
      <c r="Q74" s="12">
        <f>[1]data!N74-[1]data!N36</f>
        <v>0.27714691734118102</v>
      </c>
      <c r="R74" s="12">
        <f>[1]data!O74-[1]data!O36</f>
        <v>0.59448995418910144</v>
      </c>
      <c r="S74" s="12">
        <f>[1]data!P74-[1]data!P36</f>
        <v>0.27672838135947414</v>
      </c>
      <c r="T74" s="12">
        <f>[1]data!Q74-[1]data!Q36</f>
        <v>3.2695721390848427E-2</v>
      </c>
      <c r="U74" s="12">
        <f>[1]data!R74-[1]data!R36</f>
        <v>1.5219490243886932E-2</v>
      </c>
      <c r="V74" s="12">
        <f>[1]data!S74-[1]data!S36</f>
        <v>0.27581775052725399</v>
      </c>
      <c r="W74" s="12">
        <f>[1]data!T74-[1]data!T36</f>
        <v>0.12839005792407299</v>
      </c>
      <c r="X74" s="12">
        <f>[1]data!U74-[1]data!U36</f>
        <v>0.27581775052725399</v>
      </c>
      <c r="Y74" s="12">
        <f>[1]data!V74-[1]data!V36</f>
        <v>0.12839005792407299</v>
      </c>
      <c r="Z74" s="12">
        <f>[1]data!W74-[1]data!W36</f>
        <v>0</v>
      </c>
      <c r="AA74" s="12">
        <f>[1]data!X74-[1]data!X36</f>
        <v>0</v>
      </c>
      <c r="AB74" s="12">
        <f>[1]data!Y74-[1]data!Y36</f>
        <v>0</v>
      </c>
      <c r="AC74" s="12">
        <f>[1]data!Z74-[1]data!Z36</f>
        <v>0</v>
      </c>
      <c r="AD74" s="14">
        <v>690.46912883131995</v>
      </c>
      <c r="AE74" s="15">
        <v>321.40560669490998</v>
      </c>
      <c r="AF74">
        <f>D74/(D74+H74)</f>
        <v>0.81181800207585153</v>
      </c>
      <c r="AG74">
        <f>(F74/(D74+H74))</f>
        <v>0.4056022758190333</v>
      </c>
      <c r="AH74">
        <f>(E74/(D74+H74))</f>
        <v>0.40621572625681818</v>
      </c>
      <c r="AI74">
        <f>(G74/(D74+H74))</f>
        <v>2.2307288646722583E-2</v>
      </c>
      <c r="AJ74">
        <f>(F74/(D74))</f>
        <v>0.49962217489867417</v>
      </c>
      <c r="AK74">
        <f>E74/D74</f>
        <v>0.50037782510132578</v>
      </c>
      <c r="AL74">
        <f>(H74/(C74+H74))</f>
        <v>0.18407576666430112</v>
      </c>
      <c r="AM74">
        <f>(I74/(D74+H74))</f>
        <v>0.18818199792414844</v>
      </c>
      <c r="AN74">
        <f>(J74/(D74+H74))</f>
        <v>0</v>
      </c>
      <c r="AO74">
        <f>(I74/H74)</f>
        <v>1</v>
      </c>
      <c r="AP74">
        <f>J74/H74</f>
        <v>0</v>
      </c>
      <c r="AQ74">
        <f>(D74+H74)/AD74</f>
        <v>6.8226535662472823E-3</v>
      </c>
    </row>
    <row r="75" spans="1:43" x14ac:dyDescent="0.35">
      <c r="A75" s="11" t="s">
        <v>63</v>
      </c>
      <c r="B75" s="24" t="s">
        <v>67</v>
      </c>
      <c r="C75" s="28">
        <f t="shared" si="8"/>
        <v>0.47734985167435312</v>
      </c>
      <c r="D75" s="12">
        <f>[1]data!C75-[1]data!C37</f>
        <v>7.0500000000000007E-2</v>
      </c>
      <c r="E75" s="12">
        <f>[1]data!D75-[1]data!D37</f>
        <v>0</v>
      </c>
      <c r="F75" s="12">
        <f>[1]data!E75-[1]data!E37</f>
        <v>7.0500000000000007E-2</v>
      </c>
      <c r="G75" s="12">
        <f>[1]data!F75-[1]data!F37</f>
        <v>0.40684985167435311</v>
      </c>
      <c r="H75" s="12">
        <f>[1]data!G75-[1]data!G37</f>
        <v>0</v>
      </c>
      <c r="I75" s="12">
        <f>[1]data!H75-[1]data!H37</f>
        <v>0</v>
      </c>
      <c r="J75" s="12">
        <f>[1]data!I75-[1]data!I37</f>
        <v>0</v>
      </c>
      <c r="K75" s="12">
        <f>[1]data!J75-[1]data!J37</f>
        <v>0</v>
      </c>
      <c r="L75" s="13">
        <f t="shared" si="9"/>
        <v>0.74142801957516391</v>
      </c>
      <c r="M75" s="12">
        <f>[1]data!K75-[1]data!K37</f>
        <v>0.10950181548544391</v>
      </c>
      <c r="N75" s="13">
        <f t="shared" si="10"/>
        <v>0.70920046118117408</v>
      </c>
      <c r="O75" s="13">
        <f t="shared" si="11"/>
        <v>7.7274257091454079E-2</v>
      </c>
      <c r="P75" s="12">
        <f>[1]data!M75-[1]data!M37</f>
        <v>0</v>
      </c>
      <c r="Q75" s="12">
        <f>[1]data!N75-[1]data!N37</f>
        <v>0</v>
      </c>
      <c r="R75" s="12">
        <f>[1]data!O75-[1]data!O37</f>
        <v>0.10950181548544391</v>
      </c>
      <c r="S75" s="12">
        <f>[1]data!P75-[1]data!P37</f>
        <v>7.7274257091454079E-2</v>
      </c>
      <c r="T75" s="12">
        <f>[1]data!Q75-[1]data!Q37</f>
        <v>0.63192620408972</v>
      </c>
      <c r="U75" s="12">
        <f>[1]data!R75-[1]data!R37</f>
        <v>0.4459435466085665</v>
      </c>
      <c r="V75" s="12">
        <f>[1]data!S75-[1]data!S37</f>
        <v>0</v>
      </c>
      <c r="W75" s="12">
        <f>[1]data!T75-[1]data!T37</f>
        <v>0</v>
      </c>
      <c r="X75" s="12">
        <f>[1]data!U75-[1]data!U37</f>
        <v>0</v>
      </c>
      <c r="Y75" s="12">
        <f>[1]data!V75-[1]data!V37</f>
        <v>0</v>
      </c>
      <c r="Z75" s="12">
        <f>[1]data!W75-[1]data!W37</f>
        <v>0</v>
      </c>
      <c r="AA75" s="12">
        <f>[1]data!X75-[1]data!X37</f>
        <v>0</v>
      </c>
      <c r="AB75" s="12">
        <f>[1]data!Y75-[1]data!Y37</f>
        <v>0</v>
      </c>
      <c r="AC75" s="12">
        <f>[1]data!Z75-[1]data!Z37</f>
        <v>0</v>
      </c>
      <c r="AD75" s="14">
        <v>91.233487908610002</v>
      </c>
      <c r="AE75" s="15">
        <v>64.38249419652</v>
      </c>
      <c r="AF75">
        <f>D75/(D75+H75)</f>
        <v>1</v>
      </c>
      <c r="AG75">
        <f>(F75/(D75+H75))</f>
        <v>1</v>
      </c>
      <c r="AH75">
        <f>(E75/(D75+H75))</f>
        <v>0</v>
      </c>
      <c r="AI75">
        <f>(G75/(D75+H75))</f>
        <v>5.7709198819057175</v>
      </c>
      <c r="AJ75">
        <f>(F75/(D75))</f>
        <v>1</v>
      </c>
      <c r="AK75">
        <f>E75/D75</f>
        <v>0</v>
      </c>
      <c r="AL75">
        <f>(H75/(C75+H75))</f>
        <v>0</v>
      </c>
      <c r="AM75">
        <f>(I75/(D75+H75))</f>
        <v>0</v>
      </c>
      <c r="AN75">
        <f>(J75/(D75+H75))</f>
        <v>0</v>
      </c>
      <c r="AO75" t="e">
        <f>(I75/H75)</f>
        <v>#DIV/0!</v>
      </c>
      <c r="AP75" t="e">
        <f>J75/H75</f>
        <v>#DIV/0!</v>
      </c>
      <c r="AQ75">
        <f>(D75+H75)/AD75</f>
        <v>7.7274257091454121E-4</v>
      </c>
    </row>
    <row r="76" spans="1:43" x14ac:dyDescent="0.35">
      <c r="A76" s="11" t="s">
        <v>64</v>
      </c>
      <c r="B76" s="24" t="s">
        <v>67</v>
      </c>
      <c r="C76" s="28">
        <f t="shared" si="8"/>
        <v>1.7694150329493317</v>
      </c>
      <c r="D76" s="12">
        <f>[1]data!C76-[1]data!C38</f>
        <v>1.7694150329493317</v>
      </c>
      <c r="E76" s="12">
        <f>[1]data!D76-[1]data!D38</f>
        <v>1.7694150329493317</v>
      </c>
      <c r="F76" s="12">
        <f>[1]data!E76-[1]data!E38</f>
        <v>0</v>
      </c>
      <c r="G76" s="12">
        <f>[1]data!F76-[1]data!F38</f>
        <v>0</v>
      </c>
      <c r="H76" s="12">
        <f>[1]data!G76-[1]data!G38</f>
        <v>6.6270225953158493</v>
      </c>
      <c r="I76" s="12">
        <f>[1]data!H76-[1]data!H38</f>
        <v>0</v>
      </c>
      <c r="J76" s="12">
        <f>[1]data!I76-[1]data!I38</f>
        <v>6.6270225953158493</v>
      </c>
      <c r="K76" s="12">
        <f>[1]data!J76-[1]data!J38</f>
        <v>0</v>
      </c>
      <c r="L76" s="13">
        <f t="shared" si="9"/>
        <v>1.2005477809936589</v>
      </c>
      <c r="M76" s="12">
        <f>[1]data!K76-[1]data!K38</f>
        <v>1.2005477809936589</v>
      </c>
      <c r="N76" s="13">
        <f t="shared" si="10"/>
        <v>0.57098503498505992</v>
      </c>
      <c r="O76" s="13">
        <f t="shared" si="11"/>
        <v>0.57098503498505992</v>
      </c>
      <c r="P76" s="12">
        <f>[1]data!M76-[1]data!M38</f>
        <v>1.2005477809936589</v>
      </c>
      <c r="Q76" s="12">
        <f>[1]data!N76-[1]data!N38</f>
        <v>0.57098503498505992</v>
      </c>
      <c r="R76" s="12">
        <f>[1]data!O76-[1]data!O38</f>
        <v>0</v>
      </c>
      <c r="S76" s="12">
        <f>[1]data!P76-[1]data!P38</f>
        <v>0</v>
      </c>
      <c r="T76" s="12">
        <f>[1]data!Q76-[1]data!Q38</f>
        <v>0</v>
      </c>
      <c r="U76" s="12">
        <f>[1]data!R76-[1]data!R38</f>
        <v>0</v>
      </c>
      <c r="V76" s="12">
        <f>[1]data!S76-[1]data!S38</f>
        <v>4.4964336366803703</v>
      </c>
      <c r="W76" s="12">
        <f>[1]data!T76-[1]data!T38</f>
        <v>2.1385207302811238</v>
      </c>
      <c r="X76" s="12">
        <f>[1]data!U76-[1]data!U38</f>
        <v>0</v>
      </c>
      <c r="Y76" s="12">
        <f>[1]data!V76-[1]data!V38</f>
        <v>0</v>
      </c>
      <c r="Z76" s="12">
        <f>[1]data!W76-[1]data!W38</f>
        <v>4.4964336366803703</v>
      </c>
      <c r="AA76" s="12">
        <f>[1]data!X76-[1]data!X38</f>
        <v>2.1385207302811238</v>
      </c>
      <c r="AB76" s="12">
        <f>[1]data!Y76-[1]data!Y38</f>
        <v>0</v>
      </c>
      <c r="AC76" s="12">
        <f>[1]data!Z76-[1]data!Z38</f>
        <v>0</v>
      </c>
      <c r="AD76" s="14">
        <v>309.88816247970999</v>
      </c>
      <c r="AE76" s="15">
        <v>147.38397429586999</v>
      </c>
      <c r="AF76">
        <f>D76/(D76+H76)</f>
        <v>0.21073401736385161</v>
      </c>
      <c r="AG76">
        <f>(F76/(D76+H76))</f>
        <v>0</v>
      </c>
      <c r="AH76">
        <f>(E76/(D76+H76))</f>
        <v>0.21073401736385161</v>
      </c>
      <c r="AI76">
        <f>(G76/(D76+H76))</f>
        <v>0</v>
      </c>
      <c r="AJ76">
        <f>(F76/(D76))</f>
        <v>0</v>
      </c>
      <c r="AK76">
        <f>E76/D76</f>
        <v>1</v>
      </c>
      <c r="AL76">
        <f>(H76/(C76+H76))</f>
        <v>0.78926598263614844</v>
      </c>
      <c r="AM76">
        <f>(I76/(D76+H76))</f>
        <v>0</v>
      </c>
      <c r="AN76">
        <f>(J76/(D76+H76))</f>
        <v>0.78926598263614844</v>
      </c>
      <c r="AO76">
        <f>(I76/H76)</f>
        <v>0</v>
      </c>
      <c r="AP76">
        <f>J76/H76</f>
        <v>1</v>
      </c>
      <c r="AQ76">
        <f>(D76+H76)/AD76</f>
        <v>2.7095057652661837E-2</v>
      </c>
    </row>
    <row r="77" spans="1:43" x14ac:dyDescent="0.35">
      <c r="A77" s="11" t="s">
        <v>65</v>
      </c>
      <c r="B77" s="24" t="s">
        <v>67</v>
      </c>
      <c r="C77" s="28">
        <f t="shared" si="8"/>
        <v>26.050977899376022</v>
      </c>
      <c r="D77" s="12">
        <f>[1]data!C77-[1]data!C39</f>
        <v>26.050977899376022</v>
      </c>
      <c r="E77" s="12">
        <f>[1]data!D77-[1]data!D39</f>
        <v>-5.7942536941247962</v>
      </c>
      <c r="F77" s="12">
        <f>[1]data!E77-[1]data!E39</f>
        <v>31.84523159350082</v>
      </c>
      <c r="G77" s="12">
        <f>[1]data!F77-[1]data!F39</f>
        <v>0</v>
      </c>
      <c r="H77" s="12">
        <f>[1]data!G77-[1]data!G39</f>
        <v>2.2029678393841223</v>
      </c>
      <c r="I77" s="12">
        <f>[1]data!H77-[1]data!H39</f>
        <v>0</v>
      </c>
      <c r="J77" s="12">
        <f>[1]data!I77-[1]data!I39</f>
        <v>2.2029678393841223</v>
      </c>
      <c r="K77" s="12">
        <f>[1]data!J77-[1]data!J39</f>
        <v>9.8869334416288517</v>
      </c>
      <c r="L77" s="13">
        <f t="shared" si="9"/>
        <v>4.5583264760584807</v>
      </c>
      <c r="M77" s="12">
        <f>[1]data!K77-[1]data!K39</f>
        <v>4.5583264760584807</v>
      </c>
      <c r="N77" s="13">
        <f t="shared" si="10"/>
        <v>2.1433674290644991</v>
      </c>
      <c r="O77" s="13">
        <f t="shared" si="11"/>
        <v>2.1433674290644991</v>
      </c>
      <c r="P77" s="12">
        <f>[1]data!M77-[1]data!M39</f>
        <v>-1.013862133120206</v>
      </c>
      <c r="Q77" s="12">
        <f>[1]data!N77-[1]data!N39</f>
        <v>-0.4767273878045557</v>
      </c>
      <c r="R77" s="12">
        <f>[1]data!O77-[1]data!O39</f>
        <v>5.5721886091786867</v>
      </c>
      <c r="S77" s="12">
        <f>[1]data!P77-[1]data!P39</f>
        <v>2.620094816869055</v>
      </c>
      <c r="T77" s="12">
        <f>[1]data!Q77-[1]data!Q39</f>
        <v>0</v>
      </c>
      <c r="U77" s="12">
        <f>[1]data!R77-[1]data!R39</f>
        <v>0</v>
      </c>
      <c r="V77" s="12">
        <f>[1]data!S77-[1]data!S39</f>
        <v>0.38546908553519321</v>
      </c>
      <c r="W77" s="12">
        <f>[1]data!T77-[1]data!T39</f>
        <v>0.1812511427575092</v>
      </c>
      <c r="X77" s="12">
        <f>[1]data!U77-[1]data!U39</f>
        <v>0</v>
      </c>
      <c r="Y77" s="12">
        <f>[1]data!V77-[1]data!V39</f>
        <v>0</v>
      </c>
      <c r="Z77" s="12">
        <f>[1]data!W77-[1]data!W39</f>
        <v>0.38546908553519321</v>
      </c>
      <c r="AA77" s="12">
        <f>[1]data!X77-[1]data!X39</f>
        <v>0.1812511427575092</v>
      </c>
      <c r="AB77" s="12">
        <f>[1]data!Y77-[1]data!Y39</f>
        <v>1.7299876668001881</v>
      </c>
      <c r="AC77" s="12">
        <f>[1]data!Z77-[1]data!Z39</f>
        <v>0.81345626233184243</v>
      </c>
      <c r="AD77" s="14">
        <v>1215.4228689920101</v>
      </c>
      <c r="AE77" s="15">
        <v>571.50311712429004</v>
      </c>
      <c r="AF77">
        <f>D77/(D77+H77)</f>
        <v>0.92202972782091874</v>
      </c>
      <c r="AG77">
        <f>(F77/(D77+H77))</f>
        <v>1.1271074096321341</v>
      </c>
      <c r="AH77">
        <f>(E77/(D77+H77))</f>
        <v>-0.20507768181121533</v>
      </c>
      <c r="AI77">
        <f>(G77/(D77+H77))</f>
        <v>0</v>
      </c>
      <c r="AJ77">
        <f>(F77/(D77))</f>
        <v>1.2224198153522514</v>
      </c>
      <c r="AK77">
        <f>E77/D77</f>
        <v>-0.22241981535225136</v>
      </c>
      <c r="AL77">
        <f>(H77/(C77+H77))</f>
        <v>7.7970272179081285E-2</v>
      </c>
      <c r="AM77">
        <f>(I77/(D77+H77))</f>
        <v>0</v>
      </c>
      <c r="AN77">
        <f>(J77/(D77+H77))</f>
        <v>7.7970272179081285E-2</v>
      </c>
      <c r="AO77">
        <f>(I77/H77)</f>
        <v>0</v>
      </c>
      <c r="AP77">
        <f>J77/H77</f>
        <v>1</v>
      </c>
      <c r="AQ77">
        <f>(D77+H77)/AD77</f>
        <v>2.3246185718220083E-2</v>
      </c>
    </row>
    <row r="78" spans="1:43" x14ac:dyDescent="0.35">
      <c r="A78" s="11" t="s">
        <v>28</v>
      </c>
      <c r="B78" s="24" t="s">
        <v>68</v>
      </c>
      <c r="C78" s="28">
        <f t="shared" si="8"/>
        <v>46.16341804345641</v>
      </c>
      <c r="D78" s="12">
        <f>[1]data!C78-[1]data!C40</f>
        <v>46.163418043456417</v>
      </c>
      <c r="E78" s="12">
        <f>[1]data!D78-[1]data!D40</f>
        <v>3.337102314023733</v>
      </c>
      <c r="F78" s="12">
        <f>[1]data!E78-[1]data!E40</f>
        <v>42.826315729432679</v>
      </c>
      <c r="G78" s="12">
        <f>[1]data!F78-[1]data!F40</f>
        <v>0</v>
      </c>
      <c r="H78" s="12">
        <f>[1]data!G78-[1]data!G40</f>
        <v>1.1942170290034007</v>
      </c>
      <c r="I78" s="12">
        <f>[1]data!H78-[1]data!H40</f>
        <v>0.5118072981443138</v>
      </c>
      <c r="J78" s="12">
        <f>[1]data!I78-[1]data!I40</f>
        <v>0.68240973085908685</v>
      </c>
      <c r="K78" s="12">
        <f>[1]data!J78-[1]data!J40</f>
        <v>0</v>
      </c>
      <c r="L78" s="13">
        <f t="shared" si="9"/>
        <v>3.088322222125131</v>
      </c>
      <c r="M78" s="12">
        <f>[1]data!K78-[1]data!K40</f>
        <v>3.0883222221251296</v>
      </c>
      <c r="N78" s="13">
        <f t="shared" si="10"/>
        <v>3.7637852817975808</v>
      </c>
      <c r="O78" s="13">
        <f t="shared" si="11"/>
        <v>3.7637852817975808</v>
      </c>
      <c r="P78" s="12">
        <f>[1]data!M78-[1]data!M40</f>
        <v>0.22325138975201078</v>
      </c>
      <c r="Q78" s="12">
        <f>[1]data!N78-[1]data!N40</f>
        <v>0.27207986552363955</v>
      </c>
      <c r="R78" s="12">
        <f>[1]data!O78-[1]data!O40</f>
        <v>2.86507083237312</v>
      </c>
      <c r="S78" s="12">
        <f>[1]data!P78-[1]data!P40</f>
        <v>3.4917054162739412</v>
      </c>
      <c r="T78" s="12">
        <f>[1]data!Q78-[1]data!Q40</f>
        <v>0</v>
      </c>
      <c r="U78" s="12">
        <f>[1]data!R78-[1]data!R40</f>
        <v>0</v>
      </c>
      <c r="V78" s="12">
        <f>[1]data!S78-[1]data!S40</f>
        <v>7.9892849035563041E-2</v>
      </c>
      <c r="W78" s="12">
        <f>[1]data!T78-[1]data!T40</f>
        <v>9.7366630711873015E-2</v>
      </c>
      <c r="X78" s="12">
        <f>[1]data!U78-[1]data!U40</f>
        <v>3.42397924438127E-2</v>
      </c>
      <c r="Y78" s="12">
        <f>[1]data!V78-[1]data!V40</f>
        <v>4.1728556019374086E-2</v>
      </c>
      <c r="Z78" s="12">
        <f>[1]data!W78-[1]data!W40</f>
        <v>4.5653056591750452E-2</v>
      </c>
      <c r="AA78" s="12">
        <f>[1]data!X78-[1]data!X40</f>
        <v>5.5638074692498929E-2</v>
      </c>
      <c r="AB78" s="12">
        <f>[1]data!Y78-[1]data!Y40</f>
        <v>0</v>
      </c>
      <c r="AC78" s="12">
        <f>[1]data!Z78-[1]data!Z40</f>
        <v>0</v>
      </c>
      <c r="AD78" s="14">
        <v>1226.51571721458</v>
      </c>
      <c r="AE78" s="15">
        <v>1494.77336635199</v>
      </c>
      <c r="AF78">
        <f>D78/(D78+H78)</f>
        <v>0.97478300959969433</v>
      </c>
      <c r="AG78">
        <f>(F78/(D78+H78))</f>
        <v>0.90431702647114953</v>
      </c>
      <c r="AH78">
        <f>(E78/(D78+H78))</f>
        <v>7.0465983128544768E-2</v>
      </c>
      <c r="AI78">
        <f>(G78/(D78+H78))</f>
        <v>0</v>
      </c>
      <c r="AJ78">
        <f>(F78/(D78))</f>
        <v>0.92771110859073902</v>
      </c>
      <c r="AK78">
        <f>E78/D78</f>
        <v>7.2288891409260828E-2</v>
      </c>
      <c r="AL78">
        <f>(H78/(C78+H78))</f>
        <v>2.5216990400305721E-2</v>
      </c>
      <c r="AM78">
        <f>(I78/(D78+H78))</f>
        <v>1.0807281600131008E-2</v>
      </c>
      <c r="AN78">
        <f>(J78/(D78+H78))</f>
        <v>1.4409708800174713E-2</v>
      </c>
      <c r="AO78">
        <f>(I78/H78)</f>
        <v>0.42857142857142794</v>
      </c>
      <c r="AP78">
        <f>J78/H78</f>
        <v>0.57142857142857206</v>
      </c>
      <c r="AQ78">
        <f>(D78+H78)/AD78</f>
        <v>3.861151912509455E-2</v>
      </c>
    </row>
    <row r="79" spans="1:43" x14ac:dyDescent="0.35">
      <c r="A79" s="11" t="s">
        <v>29</v>
      </c>
      <c r="B79" s="24" t="s">
        <v>68</v>
      </c>
      <c r="C79" s="28">
        <f t="shared" si="8"/>
        <v>115.13396651601347</v>
      </c>
      <c r="D79" s="12">
        <f>[1]data!C79-[1]data!C41</f>
        <v>113.24279834523114</v>
      </c>
      <c r="E79" s="12">
        <f>[1]data!D79-[1]data!D41</f>
        <v>11.814177619868016</v>
      </c>
      <c r="F79" s="12">
        <f>[1]data!E79-[1]data!E41</f>
        <v>101.42862072536313</v>
      </c>
      <c r="G79" s="12">
        <f>[1]data!F79-[1]data!F41</f>
        <v>1.891168170782322</v>
      </c>
      <c r="H79" s="12">
        <f>[1]data!G79-[1]data!G41</f>
        <v>17.661004631055775</v>
      </c>
      <c r="I79" s="12">
        <f>[1]data!H79-[1]data!H41</f>
        <v>0.25966520513249014</v>
      </c>
      <c r="J79" s="12">
        <f>[1]data!I79-[1]data!I41</f>
        <v>17.401339425923275</v>
      </c>
      <c r="K79" s="12">
        <f>[1]data!J79-[1]data!J41</f>
        <v>0</v>
      </c>
      <c r="L79" s="13">
        <f t="shared" si="9"/>
        <v>6.7861382238893047</v>
      </c>
      <c r="M79" s="12">
        <f>[1]data!K79-[1]data!K41</f>
        <v>6.6746704355389079</v>
      </c>
      <c r="N79" s="13">
        <f t="shared" si="10"/>
        <v>6.6820263487484226</v>
      </c>
      <c r="O79" s="13">
        <f t="shared" si="11"/>
        <v>6.570558560398025</v>
      </c>
      <c r="P79" s="12">
        <f>[1]data!M79-[1]data!M41</f>
        <v>0.69634222424581427</v>
      </c>
      <c r="Q79" s="12">
        <f>[1]data!N79-[1]data!N41</f>
        <v>0.6854806400812995</v>
      </c>
      <c r="R79" s="12">
        <f>[1]data!O79-[1]data!O41</f>
        <v>5.9783282112930936</v>
      </c>
      <c r="S79" s="12">
        <f>[1]data!P79-[1]data!P41</f>
        <v>5.8850779203167258</v>
      </c>
      <c r="T79" s="12">
        <f>[1]data!Q79-[1]data!Q41</f>
        <v>0.11146778835039717</v>
      </c>
      <c r="U79" s="12">
        <f>[1]data!R79-[1]data!R41</f>
        <v>0.10972910768068589</v>
      </c>
      <c r="V79" s="12">
        <f>[1]data!S79-[1]data!S41</f>
        <v>1.0409614315027023</v>
      </c>
      <c r="W79" s="12">
        <f>[1]data!T79-[1]data!T41</f>
        <v>1.0247244580626296</v>
      </c>
      <c r="X79" s="12">
        <f>[1]data!U79-[1]data!U41</f>
        <v>1.5304987983008139E-2</v>
      </c>
      <c r="Y79" s="12">
        <f>[1]data!V79-[1]data!V41</f>
        <v>1.5066259941929838E-2</v>
      </c>
      <c r="Z79" s="12">
        <f>[1]data!W79-[1]data!W41</f>
        <v>1.025656443519694</v>
      </c>
      <c r="AA79" s="12">
        <f>[1]data!X79-[1]data!X41</f>
        <v>1.0096581981206998</v>
      </c>
      <c r="AB79" s="12">
        <f>[1]data!Y79-[1]data!Y41</f>
        <v>0</v>
      </c>
      <c r="AC79" s="12">
        <f>[1]data!Z79-[1]data!Z41</f>
        <v>0</v>
      </c>
      <c r="AD79" s="14">
        <v>1723.48815255626</v>
      </c>
      <c r="AE79" s="15">
        <v>1696.60508992738</v>
      </c>
      <c r="AF79">
        <f>D79/(D79+H79)</f>
        <v>0.86508409817356469</v>
      </c>
      <c r="AG79">
        <f>(F79/(D79+H79))</f>
        <v>0.7748332624357509</v>
      </c>
      <c r="AH79">
        <f>(E79/(D79+H79))</f>
        <v>9.0250835737813839E-2</v>
      </c>
      <c r="AI79">
        <f>(G79/(D79+H79))</f>
        <v>1.4447007098219335E-2</v>
      </c>
      <c r="AJ79">
        <f>(F79/(D79))</f>
        <v>0.89567391664190965</v>
      </c>
      <c r="AK79">
        <f>E79/D79</f>
        <v>0.10432608335809049</v>
      </c>
      <c r="AL79">
        <f>(H79/(C79+H79))</f>
        <v>0.13299452892305966</v>
      </c>
      <c r="AM79">
        <f>(I79/(D79+H79))</f>
        <v>1.9836337770838351E-3</v>
      </c>
      <c r="AN79">
        <f>(J79/(D79+H79))</f>
        <v>0.13293226804935157</v>
      </c>
      <c r="AO79">
        <f>(I79/H79)</f>
        <v>1.4702742599131936E-2</v>
      </c>
      <c r="AP79">
        <f>J79/H79</f>
        <v>0.98529725740086749</v>
      </c>
      <c r="AQ79">
        <f>(D79+H79)/AD79</f>
        <v>7.5952830184606551E-2</v>
      </c>
    </row>
    <row r="80" spans="1:43" x14ac:dyDescent="0.35">
      <c r="A80" s="11" t="s">
        <v>30</v>
      </c>
      <c r="B80" s="24" t="s">
        <v>68</v>
      </c>
      <c r="C80" s="28">
        <f t="shared" si="8"/>
        <v>74.838412675886758</v>
      </c>
      <c r="D80" s="12">
        <f>[1]data!C80-[1]data!C42</f>
        <v>70.901973614972704</v>
      </c>
      <c r="E80" s="12">
        <f>[1]data!D80-[1]data!D42</f>
        <v>7.2616030042740149</v>
      </c>
      <c r="F80" s="12">
        <f>[1]data!E80-[1]data!E42</f>
        <v>63.640370610698689</v>
      </c>
      <c r="G80" s="12">
        <f>[1]data!F80-[1]data!F42</f>
        <v>3.9364390609140614</v>
      </c>
      <c r="H80" s="12">
        <f>[1]data!G80-[1]data!G42</f>
        <v>21.515670780233393</v>
      </c>
      <c r="I80" s="12">
        <f>[1]data!H80-[1]data!H42</f>
        <v>1.0569158725705172</v>
      </c>
      <c r="J80" s="12">
        <f>[1]data!I80-[1]data!I42</f>
        <v>20.458754907662865</v>
      </c>
      <c r="K80" s="12">
        <f>[1]data!J80-[1]data!J42</f>
        <v>0</v>
      </c>
      <c r="L80" s="13">
        <f t="shared" si="9"/>
        <v>2.8599073523356533</v>
      </c>
      <c r="M80" s="12">
        <f>[1]data!K80-[1]data!K42</f>
        <v>2.7094785737205145</v>
      </c>
      <c r="N80" s="13">
        <f t="shared" si="10"/>
        <v>2.5893614405646561</v>
      </c>
      <c r="O80" s="13">
        <f t="shared" si="11"/>
        <v>2.4389326619495173</v>
      </c>
      <c r="P80" s="12">
        <f>[1]data!M80-[1]data!M42</f>
        <v>0.27749802646946448</v>
      </c>
      <c r="Q80" s="12">
        <f>[1]data!N80-[1]data!N42</f>
        <v>0.24978939008680295</v>
      </c>
      <c r="R80" s="12">
        <f>[1]data!O80-[1]data!O42</f>
        <v>2.4319805472510501</v>
      </c>
      <c r="S80" s="12">
        <f>[1]data!P80-[1]data!P42</f>
        <v>2.1891432718627142</v>
      </c>
      <c r="T80" s="12">
        <f>[1]data!Q80-[1]data!Q42</f>
        <v>0.15042877861513881</v>
      </c>
      <c r="U80" s="12">
        <f>[1]data!R80-[1]data!R42</f>
        <v>0.13540821655505697</v>
      </c>
      <c r="V80" s="12">
        <f>[1]data!S80-[1]data!S42</f>
        <v>0.82220911500771621</v>
      </c>
      <c r="W80" s="12">
        <f>[1]data!T80-[1]data!T42</f>
        <v>0.7401101765463789</v>
      </c>
      <c r="X80" s="12">
        <f>[1]data!U80-[1]data!U42</f>
        <v>4.0389438614303996E-2</v>
      </c>
      <c r="Y80" s="12">
        <f>[1]data!V80-[1]data!V42</f>
        <v>3.6356486443428926E-2</v>
      </c>
      <c r="Z80" s="12">
        <f>[1]data!W80-[1]data!W42</f>
        <v>0.7818196763934111</v>
      </c>
      <c r="AA80" s="12">
        <f>[1]data!X80-[1]data!X42</f>
        <v>0.70375369010294975</v>
      </c>
      <c r="AB80" s="12">
        <f>[1]data!Y80-[1]data!Y42</f>
        <v>0</v>
      </c>
      <c r="AC80" s="12">
        <f>[1]data!Z80-[1]data!Z42</f>
        <v>0</v>
      </c>
      <c r="AD80" s="14">
        <v>2907.0902498102801</v>
      </c>
      <c r="AE80" s="15">
        <v>2616.8124857180101</v>
      </c>
      <c r="AF80">
        <f>D80/(D80+H80)</f>
        <v>0.7671908765795219</v>
      </c>
      <c r="AG80">
        <f>(F80/(D80+H80))</f>
        <v>0.68861710366207785</v>
      </c>
      <c r="AH80">
        <f>(E80/(D80+H80))</f>
        <v>7.8573772917443996E-2</v>
      </c>
      <c r="AI80">
        <f>(G80/(D80+H80))</f>
        <v>4.2594020727044768E-2</v>
      </c>
      <c r="AJ80">
        <f>(F80/(D80))</f>
        <v>0.89758249828548431</v>
      </c>
      <c r="AK80">
        <f>E80/D80</f>
        <v>0.10241750171451572</v>
      </c>
      <c r="AL80">
        <f>(H80/(C80+H80))</f>
        <v>0.22329796525989137</v>
      </c>
      <c r="AM80">
        <f>(I80/(D80+H80))</f>
        <v>1.143629963181946E-2</v>
      </c>
      <c r="AN80">
        <f>(J80/(D80+H80))</f>
        <v>0.22137282378865852</v>
      </c>
      <c r="AO80">
        <f>(I80/H80)</f>
        <v>4.9123073287657561E-2</v>
      </c>
      <c r="AP80">
        <f>J80/H80</f>
        <v>0.95087692671234192</v>
      </c>
      <c r="AQ80">
        <f>(D80+H80)/AD80</f>
        <v>3.1790428384958935E-2</v>
      </c>
    </row>
    <row r="81" spans="1:43" x14ac:dyDescent="0.35">
      <c r="A81" s="11" t="s">
        <v>31</v>
      </c>
      <c r="B81" s="24" t="s">
        <v>68</v>
      </c>
      <c r="C81" s="28">
        <f t="shared" si="8"/>
        <v>1.1575745271012181</v>
      </c>
      <c r="D81" s="12">
        <f>[1]data!C81-[1]data!C43</f>
        <v>1.1575745271012465</v>
      </c>
      <c r="E81" s="12">
        <f>[1]data!D81-[1]data!D43</f>
        <v>1.1575745271012181</v>
      </c>
      <c r="F81" s="12">
        <f>[1]data!E81-[1]data!E43</f>
        <v>0</v>
      </c>
      <c r="G81" s="12">
        <f>[1]data!F81-[1]data!F43</f>
        <v>0</v>
      </c>
      <c r="H81" s="12">
        <f>[1]data!G81-[1]data!G43</f>
        <v>0</v>
      </c>
      <c r="I81" s="12">
        <f>[1]data!H81-[1]data!H43</f>
        <v>0</v>
      </c>
      <c r="J81" s="12">
        <f>[1]data!I81-[1]data!I43</f>
        <v>0</v>
      </c>
      <c r="K81" s="12">
        <f>[1]data!J81-[1]data!J43</f>
        <v>0</v>
      </c>
      <c r="L81" s="13">
        <f t="shared" si="9"/>
        <v>3.2178827123090059E-2</v>
      </c>
      <c r="M81" s="12">
        <f>[1]data!K81-[1]data!K43</f>
        <v>3.2178827123090059E-2</v>
      </c>
      <c r="N81" s="13">
        <f t="shared" si="10"/>
        <v>2.7814377874324503E-2</v>
      </c>
      <c r="O81" s="13">
        <f t="shared" si="11"/>
        <v>2.7814377874324503E-2</v>
      </c>
      <c r="P81" s="12">
        <f>[1]data!M81-[1]data!M43</f>
        <v>3.2178827123090059E-2</v>
      </c>
      <c r="Q81" s="12">
        <f>[1]data!N81-[1]data!N43</f>
        <v>2.7814377874324503E-2</v>
      </c>
      <c r="R81" s="12">
        <f>[1]data!O81-[1]data!O43</f>
        <v>0</v>
      </c>
      <c r="S81" s="12">
        <f>[1]data!P81-[1]data!P43</f>
        <v>0</v>
      </c>
      <c r="T81" s="12">
        <f>[1]data!Q81-[1]data!Q43</f>
        <v>0</v>
      </c>
      <c r="U81" s="12">
        <f>[1]data!R81-[1]data!R43</f>
        <v>0</v>
      </c>
      <c r="V81" s="12">
        <f>[1]data!S81-[1]data!S43</f>
        <v>0</v>
      </c>
      <c r="W81" s="12">
        <f>[1]data!T81-[1]data!T43</f>
        <v>0</v>
      </c>
      <c r="X81" s="12">
        <f>[1]data!U81-[1]data!U43</f>
        <v>0</v>
      </c>
      <c r="Y81" s="12">
        <f>[1]data!V81-[1]data!V43</f>
        <v>0</v>
      </c>
      <c r="Z81" s="12">
        <f>[1]data!W81-[1]data!W43</f>
        <v>0</v>
      </c>
      <c r="AA81" s="12">
        <f>[1]data!X81-[1]data!X43</f>
        <v>0</v>
      </c>
      <c r="AB81" s="12">
        <f>[1]data!Y81-[1]data!Y43</f>
        <v>0</v>
      </c>
      <c r="AC81" s="12">
        <f>[1]data!Z81-[1]data!Z43</f>
        <v>0</v>
      </c>
      <c r="AD81" s="14">
        <v>4161.7847155581303</v>
      </c>
      <c r="AE81" s="15">
        <v>3597.3173374942398</v>
      </c>
      <c r="AF81">
        <f>D81/(D81+H81)</f>
        <v>1</v>
      </c>
      <c r="AG81">
        <f>(F81/(D81+H81))</f>
        <v>0</v>
      </c>
      <c r="AH81">
        <f>(E81/(D81+H81))</f>
        <v>0.99999999999997546</v>
      </c>
      <c r="AI81">
        <f>(G81/(D81+H81))</f>
        <v>0</v>
      </c>
      <c r="AJ81">
        <f>(F81/(D81))</f>
        <v>0</v>
      </c>
      <c r="AK81">
        <f>E81/D81</f>
        <v>0.99999999999997546</v>
      </c>
      <c r="AL81">
        <f>(H81/(C81+H81))</f>
        <v>0</v>
      </c>
      <c r="AM81">
        <f>(I81/(D81+H81))</f>
        <v>0</v>
      </c>
      <c r="AN81">
        <f>(J81/(D81+H81))</f>
        <v>0</v>
      </c>
      <c r="AO81" t="e">
        <f>(I81/H81)</f>
        <v>#DIV/0!</v>
      </c>
      <c r="AP81" t="e">
        <f>J81/H81</f>
        <v>#DIV/0!</v>
      </c>
      <c r="AQ81">
        <f>(D81+H81)/AD81</f>
        <v>2.7814377874325153E-4</v>
      </c>
    </row>
    <row r="82" spans="1:43" x14ac:dyDescent="0.35">
      <c r="A82" s="11" t="s">
        <v>32</v>
      </c>
      <c r="B82" s="24" t="s">
        <v>68</v>
      </c>
      <c r="C82" s="28">
        <f t="shared" si="8"/>
        <v>31.699453232745931</v>
      </c>
      <c r="D82" s="12">
        <f>[1]data!C82-[1]data!C44</f>
        <v>31.347147941889098</v>
      </c>
      <c r="E82" s="12">
        <f>[1]data!D82-[1]data!D44</f>
        <v>0.32714062722420767</v>
      </c>
      <c r="F82" s="12">
        <f>[1]data!E82-[1]data!E44</f>
        <v>31.020007314664888</v>
      </c>
      <c r="G82" s="12">
        <f>[1]data!F82-[1]data!F44</f>
        <v>0.35230529085683848</v>
      </c>
      <c r="H82" s="12">
        <f>[1]data!G82-[1]data!G44</f>
        <v>26.783472160680049</v>
      </c>
      <c r="I82" s="12">
        <f>[1]data!H82-[1]data!H44</f>
        <v>0.1089287100907681</v>
      </c>
      <c r="J82" s="12">
        <f>[1]data!I82-[1]data!I44</f>
        <v>26.67454345058934</v>
      </c>
      <c r="K82" s="12">
        <f>[1]data!J82-[1]data!J44</f>
        <v>0</v>
      </c>
      <c r="L82" s="13">
        <f t="shared" si="9"/>
        <v>1.6525989806835943</v>
      </c>
      <c r="M82" s="12">
        <f>[1]data!K82-[1]data!K44</f>
        <v>1.6342321224199945</v>
      </c>
      <c r="N82" s="13">
        <f t="shared" si="10"/>
        <v>1.3593296334822615</v>
      </c>
      <c r="O82" s="13">
        <f t="shared" si="11"/>
        <v>1.3409627752186619</v>
      </c>
      <c r="P82" s="12">
        <f>[1]data!M82-[1]data!M44</f>
        <v>1.7054939816199655E-2</v>
      </c>
      <c r="Q82" s="12">
        <f>[1]data!N82-[1]data!N44</f>
        <v>1.3994364150211491E-2</v>
      </c>
      <c r="R82" s="12">
        <f>[1]data!O82-[1]data!O44</f>
        <v>1.6171771826037951</v>
      </c>
      <c r="S82" s="12">
        <f>[1]data!P82-[1]data!P44</f>
        <v>1.3269684110684503</v>
      </c>
      <c r="T82" s="12">
        <f>[1]data!Q82-[1]data!Q44</f>
        <v>1.8366858263599573E-2</v>
      </c>
      <c r="U82" s="12">
        <f>[1]data!R82-[1]data!R44</f>
        <v>1.5070853700227704E-2</v>
      </c>
      <c r="V82" s="12">
        <f>[1]data!S82-[1]data!S44</f>
        <v>1.3963123738104031</v>
      </c>
      <c r="W82" s="12">
        <f>[1]data!T82-[1]data!T44</f>
        <v>1.145738656197917</v>
      </c>
      <c r="X82" s="12">
        <f>[1]data!U82-[1]data!U44</f>
        <v>5.6788195664278507E-3</v>
      </c>
      <c r="Y82" s="12">
        <f>[1]data!V82-[1]data!V44</f>
        <v>4.6597331806736142E-3</v>
      </c>
      <c r="Z82" s="12">
        <f>[1]data!W82-[1]data!W44</f>
        <v>1.3906335542439727</v>
      </c>
      <c r="AA82" s="12">
        <f>[1]data!X82-[1]data!X44</f>
        <v>1.1410789230172469</v>
      </c>
      <c r="AB82" s="12">
        <f>[1]data!Y82-[1]data!Y44</f>
        <v>0</v>
      </c>
      <c r="AC82" s="12">
        <f>[1]data!Z82-[1]data!Z44</f>
        <v>0</v>
      </c>
      <c r="AD82" s="14">
        <v>2337.6598158571201</v>
      </c>
      <c r="AE82" s="15">
        <v>1918.15761738117</v>
      </c>
      <c r="AF82">
        <f>D82/(D82+H82)</f>
        <v>0.53925363064385534</v>
      </c>
      <c r="AG82">
        <f>(F82/(D82+H82))</f>
        <v>0.53362594893932547</v>
      </c>
      <c r="AH82">
        <f>(E82/(D82+H82))</f>
        <v>5.6276817045299221E-3</v>
      </c>
      <c r="AI82">
        <f>(G82/(D82+H82))</f>
        <v>6.0605802971860599E-3</v>
      </c>
      <c r="AJ82">
        <f>(F82/(D82))</f>
        <v>0.98956394285596061</v>
      </c>
      <c r="AK82">
        <f>E82/D82</f>
        <v>1.0436057144039272E-2</v>
      </c>
      <c r="AL82">
        <f>(H82/(C82+H82))</f>
        <v>0.45797080054567102</v>
      </c>
      <c r="AM82">
        <f>(I82/(D82+H82))</f>
        <v>1.8738611406272248E-3</v>
      </c>
      <c r="AN82">
        <f>(J82/(D82+H82))</f>
        <v>0.45887250821551839</v>
      </c>
      <c r="AO82">
        <f>(I82/H82)</f>
        <v>4.0670122767235096E-3</v>
      </c>
      <c r="AP82">
        <f>J82/H82</f>
        <v>0.99593298772327876</v>
      </c>
      <c r="AQ82">
        <f>(D82+H82)/AD82</f>
        <v>2.486701431416578E-2</v>
      </c>
    </row>
    <row r="83" spans="1:43" x14ac:dyDescent="0.35">
      <c r="A83" s="11" t="s">
        <v>33</v>
      </c>
      <c r="B83" s="24" t="s">
        <v>68</v>
      </c>
      <c r="C83" s="28">
        <f t="shared" si="8"/>
        <v>2.8537190989904531</v>
      </c>
      <c r="D83" s="12">
        <f>[1]data!C83-[1]data!C45</f>
        <v>3.981017193766661</v>
      </c>
      <c r="E83" s="12">
        <f>[1]data!D83-[1]data!D45</f>
        <v>9.1514411801517923</v>
      </c>
      <c r="F83" s="12">
        <f>[1]data!E83-[1]data!E45</f>
        <v>-5.170423986385174</v>
      </c>
      <c r="G83" s="12">
        <f>[1]data!F83-[1]data!F45</f>
        <v>-1.1272980947761653</v>
      </c>
      <c r="H83" s="12">
        <f>[1]data!G83-[1]data!G45</f>
        <v>-0.68071461876866124</v>
      </c>
      <c r="I83" s="12">
        <f>[1]data!H83-[1]data!H45</f>
        <v>0</v>
      </c>
      <c r="J83" s="12">
        <f>[1]data!I83-[1]data!I45</f>
        <v>-0.68071461876866124</v>
      </c>
      <c r="K83" s="12">
        <f>[1]data!J83-[1]data!J45</f>
        <v>-4.7259804742539018</v>
      </c>
      <c r="L83" s="13">
        <f t="shared" si="9"/>
        <v>6.2522155598223939E-2</v>
      </c>
      <c r="M83" s="12">
        <f>[1]data!K83-[1]data!K45</f>
        <v>8.7220138981422224E-2</v>
      </c>
      <c r="N83" s="13">
        <f t="shared" si="10"/>
        <v>5.0064977599264759E-2</v>
      </c>
      <c r="O83" s="13">
        <f t="shared" si="11"/>
        <v>7.476296098246249E-2</v>
      </c>
      <c r="P83" s="12">
        <f>[1]data!M83-[1]data!M45</f>
        <v>0.20049900132632581</v>
      </c>
      <c r="Q83" s="12">
        <f>[1]data!N83-[1]data!N45</f>
        <v>0.17186281962214989</v>
      </c>
      <c r="R83" s="12">
        <f>[1]data!O83-[1]data!O45</f>
        <v>-0.11327886234490414</v>
      </c>
      <c r="S83" s="12">
        <f>[1]data!P83-[1]data!P45</f>
        <v>-9.7099858639687397E-2</v>
      </c>
      <c r="T83" s="12">
        <f>[1]data!Q83-[1]data!Q45</f>
        <v>-2.469798338319773E-2</v>
      </c>
      <c r="U83" s="12">
        <f>[1]data!R83-[1]data!R45</f>
        <v>-2.117050476629867E-2</v>
      </c>
      <c r="V83" s="12">
        <f>[1]data!S83-[1]data!S45</f>
        <v>-1.4913782273698661E-2</v>
      </c>
      <c r="W83" s="12">
        <f>[1]data!T83-[1]data!T45</f>
        <v>-1.2783727878110884E-2</v>
      </c>
      <c r="X83" s="12">
        <f>[1]data!U83-[1]data!U45</f>
        <v>0</v>
      </c>
      <c r="Y83" s="12">
        <f>[1]data!V83-[1]data!V45</f>
        <v>0</v>
      </c>
      <c r="Z83" s="12">
        <f>[1]data!W83-[1]data!W45</f>
        <v>-1.4913782273698661E-2</v>
      </c>
      <c r="AA83" s="12">
        <f>[1]data!X83-[1]data!X45</f>
        <v>-1.2783727878110884E-2</v>
      </c>
      <c r="AB83" s="12">
        <f>[1]data!Y83-[1]data!Y45</f>
        <v>-0.10354154572186403</v>
      </c>
      <c r="AC83" s="12">
        <f>[1]data!Z83-[1]data!Z45</f>
        <v>-8.8753269981790339E-2</v>
      </c>
      <c r="AD83" s="14">
        <v>5324.8522282316499</v>
      </c>
      <c r="AE83" s="15">
        <v>4564.3325500944502</v>
      </c>
      <c r="AF83">
        <f>D83/(D83+H83)</f>
        <v>1.2062582455092239</v>
      </c>
      <c r="AG83">
        <f>(F83/(D83+H83))</f>
        <v>-1.5666515020636578</v>
      </c>
      <c r="AH83">
        <f>(E83/(D83+H83))</f>
        <v>2.7729097475728688</v>
      </c>
      <c r="AI83">
        <f>(G83/(D83+H83))</f>
        <v>-0.34157416453757988</v>
      </c>
      <c r="AJ83">
        <f>(F83/(D83))</f>
        <v>-1.2987695693655494</v>
      </c>
      <c r="AK83">
        <f>E83/D83</f>
        <v>2.2987695693655388</v>
      </c>
      <c r="AL83">
        <f>(H83/(C83+H83))</f>
        <v>-0.31325964808833839</v>
      </c>
      <c r="AM83">
        <f>(I83/(D83+H83))</f>
        <v>0</v>
      </c>
      <c r="AN83">
        <f>(J83/(D83+H83))</f>
        <v>-0.20625824550922389</v>
      </c>
      <c r="AO83">
        <f>(I83/H83)</f>
        <v>0</v>
      </c>
      <c r="AP83">
        <f>J83/H83</f>
        <v>1</v>
      </c>
      <c r="AQ83">
        <f>(D83+H83)/AD83</f>
        <v>6.1979233104352449E-4</v>
      </c>
    </row>
    <row r="84" spans="1:43" x14ac:dyDescent="0.35">
      <c r="A84" s="11" t="s">
        <v>34</v>
      </c>
      <c r="B84" s="24" t="s">
        <v>68</v>
      </c>
      <c r="C84" s="28">
        <f t="shared" si="8"/>
        <v>8.0444134093533837</v>
      </c>
      <c r="D84" s="12">
        <f>[1]data!C84-[1]data!C46</f>
        <v>7.6111093494739919</v>
      </c>
      <c r="E84" s="12">
        <f>[1]data!D84-[1]data!D46</f>
        <v>0.4779750571525323</v>
      </c>
      <c r="F84" s="12">
        <f>[1]data!E84-[1]data!E46</f>
        <v>7.1331342923214649</v>
      </c>
      <c r="G84" s="12">
        <f>[1]data!F84-[1]data!F46</f>
        <v>0.43330405987938647</v>
      </c>
      <c r="H84" s="12">
        <f>[1]data!G84-[1]data!G46</f>
        <v>31.181274689127051</v>
      </c>
      <c r="I84" s="12">
        <f>[1]data!H84-[1]data!H46</f>
        <v>0</v>
      </c>
      <c r="J84" s="12">
        <f>[1]data!I84-[1]data!I46</f>
        <v>31.181274689127051</v>
      </c>
      <c r="K84" s="12">
        <f>[1]data!J84-[1]data!J46</f>
        <v>-16.443131650412695</v>
      </c>
      <c r="L84" s="13">
        <f t="shared" si="9"/>
        <v>0.49106787149276887</v>
      </c>
      <c r="M84" s="12">
        <f>[1]data!K84-[1]data!K46</f>
        <v>0.4646170053367924</v>
      </c>
      <c r="N84" s="13">
        <f t="shared" si="10"/>
        <v>0.37938245388587855</v>
      </c>
      <c r="O84" s="13">
        <f t="shared" si="11"/>
        <v>0.35293158772990241</v>
      </c>
      <c r="P84" s="12">
        <f>[1]data!M84-[1]data!M46</f>
        <v>2.9177788609125649E-2</v>
      </c>
      <c r="Q84" s="12">
        <f>[1]data!N84-[1]data!N46</f>
        <v>2.2163982682470884E-2</v>
      </c>
      <c r="R84" s="12">
        <f>[1]data!O84-[1]data!O46</f>
        <v>0.43543921672766706</v>
      </c>
      <c r="S84" s="12">
        <f>[1]data!P84-[1]data!P46</f>
        <v>0.33076760504743152</v>
      </c>
      <c r="T84" s="12">
        <f>[1]data!Q84-[1]data!Q46</f>
        <v>2.6450866155976138E-2</v>
      </c>
      <c r="U84" s="12">
        <f>[1]data!R84-[1]data!R46</f>
        <v>2.0092562437513006E-2</v>
      </c>
      <c r="V84" s="12">
        <f>[1]data!S84-[1]data!S46</f>
        <v>1.9034479473938153</v>
      </c>
      <c r="W84" s="12">
        <f>[1]data!T84-[1]data!T46</f>
        <v>1.445893926650307</v>
      </c>
      <c r="X84" s="12">
        <f>[1]data!U84-[1]data!U46</f>
        <v>0</v>
      </c>
      <c r="Y84" s="12">
        <f>[1]data!V84-[1]data!V46</f>
        <v>0</v>
      </c>
      <c r="Z84" s="12">
        <f>[1]data!W84-[1]data!W46</f>
        <v>1.9034479473938153</v>
      </c>
      <c r="AA84" s="12">
        <f>[1]data!X84-[1]data!X46</f>
        <v>1.445893926650307</v>
      </c>
      <c r="AB84" s="12">
        <f>[1]data!Y84-[1]data!Y46</f>
        <v>-1.0037641341076471</v>
      </c>
      <c r="AC84" s="12">
        <f>[1]data!Z84-[1]data!Z46</f>
        <v>-0.76247762240244477</v>
      </c>
      <c r="AD84" s="14">
        <v>2156.5395714307001</v>
      </c>
      <c r="AE84" s="15">
        <v>1638.14696019506</v>
      </c>
      <c r="AF84">
        <f>D84/(D84+H84)</f>
        <v>0.19620112396032233</v>
      </c>
      <c r="AG84">
        <f>(F84/(D84+H84))</f>
        <v>0.18387976065671846</v>
      </c>
      <c r="AH84">
        <f>(E84/(D84+H84))</f>
        <v>1.2321363303603996E-2</v>
      </c>
      <c r="AI84">
        <f>(G84/(D84+H84))</f>
        <v>1.1169822907718681E-2</v>
      </c>
      <c r="AJ84">
        <f>(F84/(D84))</f>
        <v>0.93720034291905685</v>
      </c>
      <c r="AK84">
        <f>E84/D84</f>
        <v>6.2799657080943844E-2</v>
      </c>
      <c r="AL84">
        <f>(H84/(C84+H84))</f>
        <v>0.79491976306044676</v>
      </c>
      <c r="AM84">
        <f>(I84/(D84+H84))</f>
        <v>0</v>
      </c>
      <c r="AN84">
        <f>(J84/(D84+H84))</f>
        <v>0.8037988760396777</v>
      </c>
      <c r="AO84">
        <f>(I84/H84)</f>
        <v>0</v>
      </c>
      <c r="AP84">
        <f>J84/H84</f>
        <v>1</v>
      </c>
      <c r="AQ84">
        <f>(D84+H84)/AD84</f>
        <v>1.798825514380209E-2</v>
      </c>
    </row>
    <row r="85" spans="1:43" x14ac:dyDescent="0.35">
      <c r="A85" s="11" t="s">
        <v>35</v>
      </c>
      <c r="B85" s="24" t="s">
        <v>68</v>
      </c>
      <c r="C85" s="28">
        <f t="shared" si="8"/>
        <v>3.775361888531938</v>
      </c>
      <c r="D85" s="12">
        <f>[1]data!C85-[1]data!C47</f>
        <v>3.7753618885319327</v>
      </c>
      <c r="E85" s="12">
        <f>[1]data!D85-[1]data!D47</f>
        <v>1.3595775049326146</v>
      </c>
      <c r="F85" s="12">
        <f>[1]data!E85-[1]data!E47</f>
        <v>2.4157843835993233</v>
      </c>
      <c r="G85" s="12">
        <f>[1]data!F85-[1]data!F47</f>
        <v>0</v>
      </c>
      <c r="H85" s="12">
        <f>[1]data!G85-[1]data!G47</f>
        <v>50.527542741764933</v>
      </c>
      <c r="I85" s="12">
        <f>[1]data!H85-[1]data!H47</f>
        <v>0.55038566188227755</v>
      </c>
      <c r="J85" s="12">
        <f>[1]data!I85-[1]data!I47</f>
        <v>49.977157079882673</v>
      </c>
      <c r="K85" s="12">
        <f>[1]data!J85-[1]data!J47</f>
        <v>0.50329327265262691</v>
      </c>
      <c r="L85" s="13">
        <f t="shared" si="9"/>
        <v>0.28516573464501949</v>
      </c>
      <c r="M85" s="12">
        <f>[1]data!K85-[1]data!K47</f>
        <v>0.2851657346450196</v>
      </c>
      <c r="N85" s="13">
        <f t="shared" si="10"/>
        <v>0.21014771427690981</v>
      </c>
      <c r="O85" s="13">
        <f t="shared" si="11"/>
        <v>0.21014771427690981</v>
      </c>
      <c r="P85" s="12">
        <f>[1]data!M85-[1]data!M47</f>
        <v>0.10269344487972043</v>
      </c>
      <c r="Q85" s="12">
        <f>[1]data!N85-[1]data!N47</f>
        <v>7.5678070998113856E-2</v>
      </c>
      <c r="R85" s="12">
        <f>[1]data!O85-[1]data!O47</f>
        <v>0.18247228976529906</v>
      </c>
      <c r="S85" s="12">
        <f>[1]data!P85-[1]data!P47</f>
        <v>0.13446964327879596</v>
      </c>
      <c r="T85" s="12">
        <f>[1]data!Q85-[1]data!Q47</f>
        <v>0</v>
      </c>
      <c r="U85" s="12">
        <f>[1]data!R85-[1]data!R47</f>
        <v>0</v>
      </c>
      <c r="V85" s="12">
        <f>[1]data!S85-[1]data!S47</f>
        <v>3.8165146206330736</v>
      </c>
      <c r="W85" s="12">
        <f>[1]data!T85-[1]data!T47</f>
        <v>2.8125112052078594</v>
      </c>
      <c r="X85" s="12">
        <f>[1]data!U85-[1]data!U47</f>
        <v>4.1572473379439659E-2</v>
      </c>
      <c r="Y85" s="12">
        <f>[1]data!V85-[1]data!V47</f>
        <v>3.0636079991876099E-2</v>
      </c>
      <c r="Z85" s="12">
        <f>[1]data!W85-[1]data!W47</f>
        <v>3.7749421472536326</v>
      </c>
      <c r="AA85" s="12">
        <f>[1]data!X85-[1]data!X47</f>
        <v>2.7818751252159828</v>
      </c>
      <c r="AB85" s="12">
        <f>[1]data!Y85-[1]data!Y47</f>
        <v>3.8015427414745617E-2</v>
      </c>
      <c r="AC85" s="12">
        <f>[1]data!Z85-[1]data!Z47</f>
        <v>2.8014779505024512E-2</v>
      </c>
      <c r="AD85" s="14">
        <v>1796.5276955414199</v>
      </c>
      <c r="AE85" s="15">
        <v>1323.9184901480501</v>
      </c>
      <c r="AF85">
        <f>D85/(D85+H85)</f>
        <v>6.9524124247776792E-2</v>
      </c>
      <c r="AG85">
        <f>(F85/(D85+H85))</f>
        <v>4.4487203770155241E-2</v>
      </c>
      <c r="AH85">
        <f>(E85/(D85+H85))</f>
        <v>2.5036920477621641E-2</v>
      </c>
      <c r="AI85">
        <f>(G85/(D85+H85))</f>
        <v>0</v>
      </c>
      <c r="AJ85">
        <f>(F85/(D85))</f>
        <v>0.63988154114113616</v>
      </c>
      <c r="AK85">
        <f>E85/D85</f>
        <v>0.36011845885886529</v>
      </c>
      <c r="AL85">
        <f>(H85/(C85+H85))</f>
        <v>0.93047587575222312</v>
      </c>
      <c r="AM85">
        <f>(I85/(D85+H85))</f>
        <v>1.0135473703099198E-2</v>
      </c>
      <c r="AN85">
        <f>(J85/(D85+H85))</f>
        <v>0.92034040204912437</v>
      </c>
      <c r="AO85">
        <f>(I85/H85)</f>
        <v>1.0892785043895299E-2</v>
      </c>
      <c r="AP85">
        <f>J85/H85</f>
        <v>0.9891072149561051</v>
      </c>
      <c r="AQ85">
        <f>(D85+H85)/AD85</f>
        <v>3.0226589194847667E-2</v>
      </c>
    </row>
    <row r="86" spans="1:43" x14ac:dyDescent="0.35">
      <c r="A86" s="11" t="s">
        <v>36</v>
      </c>
      <c r="B86" s="24" t="s">
        <v>68</v>
      </c>
      <c r="C86" s="28">
        <f t="shared" si="8"/>
        <v>91.948787240177779</v>
      </c>
      <c r="D86" s="12">
        <f>[1]data!C86-[1]data!C48</f>
        <v>86.82264229997449</v>
      </c>
      <c r="E86" s="12">
        <f>[1]data!D86-[1]data!D48</f>
        <v>32.556193825364851</v>
      </c>
      <c r="F86" s="12">
        <f>[1]data!E86-[1]data!E48</f>
        <v>54.26644847460966</v>
      </c>
      <c r="G86" s="12">
        <f>[1]data!F86-[1]data!F48</f>
        <v>5.126144940203254</v>
      </c>
      <c r="H86" s="12">
        <f>[1]data!G86-[1]data!G48</f>
        <v>13.509836274357895</v>
      </c>
      <c r="I86" s="12">
        <f>[1]data!H86-[1]data!H48</f>
        <v>3.9618288194598339E-2</v>
      </c>
      <c r="J86" s="12">
        <f>[1]data!I86-[1]data!I48</f>
        <v>13.470217986163334</v>
      </c>
      <c r="K86" s="12">
        <f>[1]data!J86-[1]data!J48</f>
        <v>0</v>
      </c>
      <c r="L86" s="13">
        <f t="shared" si="9"/>
        <v>2.9121787522856484</v>
      </c>
      <c r="M86" s="12">
        <f>[1]data!K86-[1]data!K48</f>
        <v>2.7498247852126223</v>
      </c>
      <c r="N86" s="13">
        <f t="shared" si="10"/>
        <v>3.113509184602953</v>
      </c>
      <c r="O86" s="13">
        <f t="shared" si="11"/>
        <v>2.9511552175299269</v>
      </c>
      <c r="P86" s="12">
        <f>[1]data!M86-[1]data!M48</f>
        <v>1.0311115432753961</v>
      </c>
      <c r="Q86" s="12">
        <f>[1]data!N86-[1]data!N48</f>
        <v>1.106605128863595</v>
      </c>
      <c r="R86" s="12">
        <f>[1]data!O86-[1]data!O48</f>
        <v>1.718713241937226</v>
      </c>
      <c r="S86" s="12">
        <f>[1]data!P86-[1]data!P48</f>
        <v>1.844550088666332</v>
      </c>
      <c r="T86" s="12">
        <f>[1]data!Q86-[1]data!Q48</f>
        <v>0.1623539670730261</v>
      </c>
      <c r="U86" s="12">
        <f>[1]data!R86-[1]data!R48</f>
        <v>0.17424083148526701</v>
      </c>
      <c r="V86" s="12">
        <f>[1]data!S86-[1]data!S48</f>
        <v>0.42788012029213363</v>
      </c>
      <c r="W86" s="12">
        <f>[1]data!T86-[1]data!T48</f>
        <v>0.45920767616465596</v>
      </c>
      <c r="X86" s="12">
        <f>[1]data!U86-[1]data!U48</f>
        <v>1.2547804114138861E-3</v>
      </c>
      <c r="Y86" s="12">
        <f>[1]data!V86-[1]data!V48</f>
        <v>1.3466500767292111E-3</v>
      </c>
      <c r="Z86" s="12">
        <f>[1]data!W86-[1]data!W48</f>
        <v>0.42662533988072049</v>
      </c>
      <c r="AA86" s="12">
        <f>[1]data!X86-[1]data!X48</f>
        <v>0.45786102608792767</v>
      </c>
      <c r="AB86" s="12">
        <f>[1]data!Y86-[1]data!Y48</f>
        <v>0</v>
      </c>
      <c r="AC86" s="12">
        <f>[1]data!Z86-[1]data!Z48</f>
        <v>0</v>
      </c>
      <c r="AD86" s="14">
        <v>2941.9883367789698</v>
      </c>
      <c r="AE86" s="15">
        <v>3157.38816403392</v>
      </c>
      <c r="AF86">
        <f>D86/(D86+H86)</f>
        <v>0.86534932191125935</v>
      </c>
      <c r="AG86">
        <f>(F86/(D86+H86))</f>
        <v>0.54086622044730792</v>
      </c>
      <c r="AH86">
        <f>(E86/(D86+H86))</f>
        <v>0.32448310146395165</v>
      </c>
      <c r="AI86">
        <f>(G86/(D86+H86))</f>
        <v>5.1091580842443703E-2</v>
      </c>
      <c r="AJ86">
        <f>(F86/(D86))</f>
        <v>0.62502645665997669</v>
      </c>
      <c r="AK86">
        <f>E86/D86</f>
        <v>0.37497354334002359</v>
      </c>
      <c r="AL86">
        <f>(H86/(C86+H86))</f>
        <v>0.12810556239145104</v>
      </c>
      <c r="AM86">
        <f>(I86/(D86+H86))</f>
        <v>3.9487002372065101E-4</v>
      </c>
      <c r="AN86">
        <f>(J86/(D86+H86))</f>
        <v>0.13425580806502033</v>
      </c>
      <c r="AO86">
        <f>(I86/H86)</f>
        <v>2.9325513196481242E-3</v>
      </c>
      <c r="AP86">
        <f>J86/H86</f>
        <v>0.99706744868035468</v>
      </c>
      <c r="AQ86">
        <f>(D86+H86)/AD86</f>
        <v>3.4103628936945823E-2</v>
      </c>
    </row>
    <row r="87" spans="1:43" x14ac:dyDescent="0.35">
      <c r="A87" s="11" t="s">
        <v>37</v>
      </c>
      <c r="B87" s="24" t="s">
        <v>68</v>
      </c>
      <c r="C87" s="28">
        <f t="shared" si="8"/>
        <v>24</v>
      </c>
      <c r="D87" s="12">
        <f>[1]data!C87-[1]data!C49</f>
        <v>6</v>
      </c>
      <c r="E87" s="12">
        <f>[1]data!D87-[1]data!D49</f>
        <v>0</v>
      </c>
      <c r="F87" s="12">
        <f>[1]data!E87-[1]data!E49</f>
        <v>6</v>
      </c>
      <c r="G87" s="12">
        <f>[1]data!F87-[1]data!F49</f>
        <v>18</v>
      </c>
      <c r="H87" s="12">
        <f>[1]data!G87-[1]data!G49</f>
        <v>0</v>
      </c>
      <c r="I87" s="12">
        <f>[1]data!H87-[1]data!H49</f>
        <v>0</v>
      </c>
      <c r="J87" s="12">
        <f>[1]data!I87-[1]data!I49</f>
        <v>0</v>
      </c>
      <c r="K87" s="12">
        <f>[1]data!J87-[1]data!J49</f>
        <v>0</v>
      </c>
      <c r="L87" s="13">
        <f t="shared" si="9"/>
        <v>0.12042766756823675</v>
      </c>
      <c r="M87" s="12">
        <f>[1]data!K87-[1]data!K49</f>
        <v>3.0106916892057356E-2</v>
      </c>
      <c r="N87" s="13">
        <f t="shared" si="10"/>
        <v>0.12035947977907946</v>
      </c>
      <c r="O87" s="13">
        <f t="shared" si="11"/>
        <v>3.0038729102900064E-2</v>
      </c>
      <c r="P87" s="12">
        <f>[1]data!M87-[1]data!M49</f>
        <v>0</v>
      </c>
      <c r="Q87" s="12">
        <f>[1]data!N87-[1]data!N49</f>
        <v>0</v>
      </c>
      <c r="R87" s="12">
        <f>[1]data!O87-[1]data!O49</f>
        <v>3.0106916892057356E-2</v>
      </c>
      <c r="S87" s="12">
        <f>[1]data!P87-[1]data!P49</f>
        <v>3.0038729102900064E-2</v>
      </c>
      <c r="T87" s="12">
        <f>[1]data!Q87-[1]data!Q49</f>
        <v>9.0320750676179395E-2</v>
      </c>
      <c r="U87" s="12">
        <f>[1]data!R87-[1]data!R49</f>
        <v>9.0116187308698387E-2</v>
      </c>
      <c r="V87" s="12">
        <f>[1]data!S87-[1]data!S49</f>
        <v>0</v>
      </c>
      <c r="W87" s="12">
        <f>[1]data!T87-[1]data!T49</f>
        <v>0</v>
      </c>
      <c r="X87" s="12">
        <f>[1]data!U87-[1]data!U49</f>
        <v>0</v>
      </c>
      <c r="Y87" s="12">
        <f>[1]data!V87-[1]data!V49</f>
        <v>0</v>
      </c>
      <c r="Z87" s="12">
        <f>[1]data!W87-[1]data!W49</f>
        <v>0</v>
      </c>
      <c r="AA87" s="12">
        <f>[1]data!X87-[1]data!X49</f>
        <v>0</v>
      </c>
      <c r="AB87" s="12">
        <f>[1]data!Y87-[1]data!Y49</f>
        <v>0</v>
      </c>
      <c r="AC87" s="12">
        <f>[1]data!Z87-[1]data!Z49</f>
        <v>0</v>
      </c>
      <c r="AD87" s="14">
        <v>19974.2138871676</v>
      </c>
      <c r="AE87" s="15">
        <v>19928.975197</v>
      </c>
      <c r="AF87">
        <f>D87/(D87+H87)</f>
        <v>1</v>
      </c>
      <c r="AG87">
        <f>(F87/(D87+H87))</f>
        <v>1</v>
      </c>
      <c r="AH87">
        <f>(E87/(D87+H87))</f>
        <v>0</v>
      </c>
      <c r="AI87">
        <f>(G87/(D87+H87))</f>
        <v>3</v>
      </c>
      <c r="AJ87">
        <f>(F87/(D87))</f>
        <v>1</v>
      </c>
      <c r="AK87">
        <f>E87/D87</f>
        <v>0</v>
      </c>
      <c r="AL87">
        <f>(H87/(C87+H87))</f>
        <v>0</v>
      </c>
      <c r="AM87">
        <f>(I87/(D87+H87))</f>
        <v>0</v>
      </c>
      <c r="AN87">
        <f>(J87/(D87+H87))</f>
        <v>0</v>
      </c>
      <c r="AO87" t="e">
        <f>(I87/H87)</f>
        <v>#DIV/0!</v>
      </c>
      <c r="AP87" t="e">
        <f>J87/H87</f>
        <v>#DIV/0!</v>
      </c>
      <c r="AQ87">
        <f>(D87+H87)/AD87</f>
        <v>3.0038729102899463E-4</v>
      </c>
    </row>
    <row r="88" spans="1:43" x14ac:dyDescent="0.35">
      <c r="A88" s="11" t="s">
        <v>38</v>
      </c>
      <c r="B88" s="24" t="s">
        <v>68</v>
      </c>
      <c r="C88" s="28">
        <f t="shared" si="8"/>
        <v>-0.14843950319521459</v>
      </c>
      <c r="D88" s="12">
        <f>[1]data!C88-[1]data!C50</f>
        <v>-0.11288146009630928</v>
      </c>
      <c r="E88" s="12">
        <f>[1]data!D88-[1]data!D50</f>
        <v>-3.0653485430090832E-2</v>
      </c>
      <c r="F88" s="12">
        <f>[1]data!E88-[1]data!E50</f>
        <v>-8.2227974666218451E-2</v>
      </c>
      <c r="G88" s="12">
        <f>[1]data!F88-[1]data!F50</f>
        <v>-3.5558043098905312E-2</v>
      </c>
      <c r="H88" s="12">
        <f>[1]data!G88-[1]data!G50</f>
        <v>-2.9120811158586113E-2</v>
      </c>
      <c r="I88" s="12">
        <f>[1]data!H88-[1]data!H50</f>
        <v>-2.9120811158586113E-2</v>
      </c>
      <c r="J88" s="12">
        <f>[1]data!I88-[1]data!I50</f>
        <v>0</v>
      </c>
      <c r="K88" s="12">
        <f>[1]data!J88-[1]data!J50</f>
        <v>-4.9811913823897491E-2</v>
      </c>
      <c r="L88" s="13">
        <f t="shared" si="9"/>
        <v>-1.1604530293294751E-2</v>
      </c>
      <c r="M88" s="12">
        <f>[1]data!K88-[1]data!K50</f>
        <v>-8.8247150862277302E-3</v>
      </c>
      <c r="N88" s="13">
        <f t="shared" si="10"/>
        <v>-7.5194128752020389E-3</v>
      </c>
      <c r="O88" s="13">
        <f t="shared" si="11"/>
        <v>-4.7395976681350455E-3</v>
      </c>
      <c r="P88" s="12">
        <f>[1]data!M88-[1]data!M50</f>
        <v>-2.3963924198853459E-3</v>
      </c>
      <c r="Q88" s="12">
        <f>[1]data!N88-[1]data!N50</f>
        <v>-1.2870597876809414E-3</v>
      </c>
      <c r="R88" s="12">
        <f>[1]data!O88-[1]data!O50</f>
        <v>-6.428322666342412E-3</v>
      </c>
      <c r="S88" s="12">
        <f>[1]data!P88-[1]data!P50</f>
        <v>-3.452537880454104E-3</v>
      </c>
      <c r="T88" s="12">
        <f>[1]data!Q88-[1]data!Q50</f>
        <v>-2.7798152070669935E-3</v>
      </c>
      <c r="U88" s="12">
        <f>[1]data!R88-[1]data!R50</f>
        <v>-1.492989353709881E-3</v>
      </c>
      <c r="V88" s="12">
        <f>[1]data!S88-[1]data!S50</f>
        <v>-2.2765727988910689E-3</v>
      </c>
      <c r="W88" s="12">
        <f>[1]data!T88-[1]data!T50</f>
        <v>-1.2227067982968909E-3</v>
      </c>
      <c r="X88" s="12">
        <f>[1]data!U88-[1]data!U50</f>
        <v>-2.2765727988910689E-3</v>
      </c>
      <c r="Y88" s="12">
        <f>[1]data!V88-[1]data!V50</f>
        <v>-1.2227067982968909E-3</v>
      </c>
      <c r="Z88" s="12">
        <f>[1]data!W88-[1]data!W50</f>
        <v>0</v>
      </c>
      <c r="AA88" s="12">
        <f>[1]data!X88-[1]data!X50</f>
        <v>0</v>
      </c>
      <c r="AB88" s="12">
        <f>[1]data!Y88-[1]data!Y50</f>
        <v>-3.894137682313642E-3</v>
      </c>
      <c r="AC88" s="12">
        <f>[1]data!Z88-[1]data!Z50</f>
        <v>-2.0914721549815107E-3</v>
      </c>
      <c r="AD88" s="14">
        <v>2381.6675591522499</v>
      </c>
      <c r="AE88" s="15">
        <v>1279.1513266244399</v>
      </c>
      <c r="AF88">
        <f>D88/(D88+H88)</f>
        <v>0.7949271451699953</v>
      </c>
      <c r="AG88">
        <f>(F88/(D88+H88))</f>
        <v>0.57906098219104163</v>
      </c>
      <c r="AH88">
        <f>(E88/(D88+H88))</f>
        <v>0.21586616297895364</v>
      </c>
      <c r="AI88">
        <f>(G88/(D88+H88))</f>
        <v>0.25040474905558585</v>
      </c>
      <c r="AJ88">
        <f>(F88/(D88))</f>
        <v>0.72844534962661189</v>
      </c>
      <c r="AK88">
        <f>E88/D88</f>
        <v>0.27155465037338816</v>
      </c>
      <c r="AL88">
        <f>(H88/(C88+H88))</f>
        <v>0.16400517911091869</v>
      </c>
      <c r="AM88">
        <f>(I88/(D88+H88))</f>
        <v>0.2050728548300047</v>
      </c>
      <c r="AN88">
        <f>(J88/(D88+H88))</f>
        <v>0</v>
      </c>
      <c r="AO88">
        <f>(I88/H88)</f>
        <v>1</v>
      </c>
      <c r="AP88">
        <f>J88/H88</f>
        <v>0</v>
      </c>
      <c r="AQ88">
        <f>(D88+H88)/AD88</f>
        <v>-5.9623044664319499E-5</v>
      </c>
    </row>
    <row r="89" spans="1:43" x14ac:dyDescent="0.35">
      <c r="A89" s="11" t="s">
        <v>39</v>
      </c>
      <c r="B89" s="24" t="s">
        <v>68</v>
      </c>
      <c r="C89" s="28">
        <f t="shared" si="8"/>
        <v>2.9584598606921837</v>
      </c>
      <c r="D89" s="12">
        <f>[1]data!C89-[1]data!C51</f>
        <v>3.2493340902482437</v>
      </c>
      <c r="E89" s="12">
        <f>[1]data!D89-[1]data!D51</f>
        <v>1.9527090644843794</v>
      </c>
      <c r="F89" s="12">
        <f>[1]data!E89-[1]data!E51</f>
        <v>1.2966250257638643</v>
      </c>
      <c r="G89" s="12">
        <f>[1]data!F89-[1]data!F51</f>
        <v>-0.29087422955606002</v>
      </c>
      <c r="H89" s="12">
        <f>[1]data!G89-[1]data!G51</f>
        <v>21.277422987389031</v>
      </c>
      <c r="I89" s="12">
        <f>[1]data!H89-[1]data!H51</f>
        <v>-0.11461647923784479</v>
      </c>
      <c r="J89" s="12">
        <f>[1]data!I89-[1]data!I51</f>
        <v>21.392039466626876</v>
      </c>
      <c r="K89" s="12">
        <f>[1]data!J89-[1]data!J51</f>
        <v>-0.15576643801551526</v>
      </c>
      <c r="L89" s="13">
        <f t="shared" si="9"/>
        <v>0.29672025704502353</v>
      </c>
      <c r="M89" s="12">
        <f>[1]data!K89-[1]data!K51</f>
        <v>0.32589363786671033</v>
      </c>
      <c r="N89" s="13">
        <f t="shared" si="10"/>
        <v>0.11005693854773457</v>
      </c>
      <c r="O89" s="13">
        <f t="shared" si="11"/>
        <v>0.13923031936942132</v>
      </c>
      <c r="P89" s="12">
        <f>[1]data!M89-[1]data!M51</f>
        <v>0.19584796239634963</v>
      </c>
      <c r="Q89" s="12">
        <f>[1]data!N89-[1]data!N51</f>
        <v>8.3671392086048374E-2</v>
      </c>
      <c r="R89" s="12">
        <f>[1]data!O89-[1]data!O51</f>
        <v>0.13004567547036064</v>
      </c>
      <c r="S89" s="12">
        <f>[1]data!P89-[1]data!P51</f>
        <v>5.5558927283372958E-2</v>
      </c>
      <c r="T89" s="12">
        <f>[1]data!Q89-[1]data!Q51</f>
        <v>-2.9173380821686745E-2</v>
      </c>
      <c r="U89" s="12">
        <f>[1]data!R89-[1]data!R51</f>
        <v>-1.2463634317864347E-2</v>
      </c>
      <c r="V89" s="12">
        <f>[1]data!S89-[1]data!S51</f>
        <v>2.1340301086919684</v>
      </c>
      <c r="W89" s="12">
        <f>[1]data!T89-[1]data!T51</f>
        <v>0.91171369751828557</v>
      </c>
      <c r="X89" s="12">
        <f>[1]data!U89-[1]data!U51</f>
        <v>-1.1495518878897937E-2</v>
      </c>
      <c r="Y89" s="12">
        <f>[1]data!V89-[1]data!V51</f>
        <v>-4.9111875129050353E-3</v>
      </c>
      <c r="Z89" s="12">
        <f>[1]data!W89-[1]data!W51</f>
        <v>2.1455256275708665</v>
      </c>
      <c r="AA89" s="12">
        <f>[1]data!X89-[1]data!X51</f>
        <v>0.91662488503119066</v>
      </c>
      <c r="AB89" s="12">
        <f>[1]data!Y89-[1]data!Y51</f>
        <v>-1.5622675210519077E-2</v>
      </c>
      <c r="AC89" s="12">
        <f>[1]data!Z89-[1]data!Z51</f>
        <v>-6.6744170681076742E-3</v>
      </c>
      <c r="AD89" s="14">
        <v>2333.7834064911899</v>
      </c>
      <c r="AE89" s="15">
        <v>997.05355143423003</v>
      </c>
      <c r="AF89">
        <f>D89/(D89+H89)</f>
        <v>0.13248119512754031</v>
      </c>
      <c r="AG89">
        <f>(F89/(D89+H89))</f>
        <v>5.2865734416478821E-2</v>
      </c>
      <c r="AH89">
        <f>(E89/(D89+H89))</f>
        <v>7.9615460711061473E-2</v>
      </c>
      <c r="AI89">
        <f>(G89/(D89+H89))</f>
        <v>-1.1859465506806442E-2</v>
      </c>
      <c r="AJ89">
        <f>(F89/(D89))</f>
        <v>0.39904330849057268</v>
      </c>
      <c r="AK89">
        <f>E89/D89</f>
        <v>0.60095669150942732</v>
      </c>
      <c r="AL89">
        <f>(H89/(C89+H89))</f>
        <v>0.87793059245100247</v>
      </c>
      <c r="AM89">
        <f>(I89/(D89+H89))</f>
        <v>-4.6731200082846865E-3</v>
      </c>
      <c r="AN89">
        <f>(J89/(D89+H89))</f>
        <v>0.87219192488074437</v>
      </c>
      <c r="AO89">
        <f>(I89/H89)</f>
        <v>-5.3867650845582718E-3</v>
      </c>
      <c r="AP89">
        <f>J89/H89</f>
        <v>1.0053867650845583</v>
      </c>
      <c r="AQ89">
        <f>(D89+H89)/AD89</f>
        <v>1.050944016887707E-2</v>
      </c>
    </row>
    <row r="90" spans="1:43" x14ac:dyDescent="0.35">
      <c r="A90" s="17" t="s">
        <v>40</v>
      </c>
      <c r="B90" s="24" t="s">
        <v>68</v>
      </c>
      <c r="C90" s="28">
        <f t="shared" si="8"/>
        <v>-3.6541235038564657</v>
      </c>
      <c r="D90" s="12">
        <f>[1]data!C90-[1]data!C52</f>
        <v>-3.6541235038564679</v>
      </c>
      <c r="E90" s="12">
        <f>[1]data!D90-[1]data!D52</f>
        <v>2.0576905158455738</v>
      </c>
      <c r="F90" s="12">
        <f>[1]data!E90-[1]data!E52</f>
        <v>-5.7118140197020395</v>
      </c>
      <c r="G90" s="12">
        <f>[1]data!F90-[1]data!F52</f>
        <v>0</v>
      </c>
      <c r="H90" s="12">
        <f>[1]data!G90-[1]data!G52</f>
        <v>1.8178525792278695</v>
      </c>
      <c r="I90" s="12">
        <f>[1]data!H90-[1]data!H52</f>
        <v>0</v>
      </c>
      <c r="J90" s="12">
        <f>[1]data!I90-[1]data!I52</f>
        <v>1.8178525792278695</v>
      </c>
      <c r="K90" s="12">
        <f>[1]data!J90-[1]data!J52</f>
        <v>0</v>
      </c>
      <c r="L90" s="13">
        <f t="shared" si="9"/>
        <v>-0.88274611984120299</v>
      </c>
      <c r="M90" s="12">
        <f>[1]data!K90-[1]data!K52</f>
        <v>-0.88274611984120277</v>
      </c>
      <c r="N90" s="13">
        <f t="shared" si="10"/>
        <v>-0.77979727718691738</v>
      </c>
      <c r="O90" s="13">
        <f t="shared" si="11"/>
        <v>-0.77979727718691738</v>
      </c>
      <c r="P90" s="12">
        <f>[1]data!M90-[1]data!M52</f>
        <v>0.49708728147248649</v>
      </c>
      <c r="Q90" s="12">
        <f>[1]data!N90-[1]data!N52</f>
        <v>0.43911527890513014</v>
      </c>
      <c r="R90" s="12">
        <f>[1]data!O90-[1]data!O52</f>
        <v>-1.3798334013136895</v>
      </c>
      <c r="S90" s="12">
        <f>[1]data!P90-[1]data!P52</f>
        <v>-1.2189125560920475</v>
      </c>
      <c r="T90" s="12">
        <f>[1]data!Q90-[1]data!Q52</f>
        <v>0</v>
      </c>
      <c r="U90" s="12">
        <f>[1]data!R90-[1]data!R52</f>
        <v>0</v>
      </c>
      <c r="V90" s="12">
        <f>[1]data!S90-[1]data!S52</f>
        <v>0.4391483509145675</v>
      </c>
      <c r="W90" s="12">
        <f>[1]data!T90-[1]data!T52</f>
        <v>0.38793338268754662</v>
      </c>
      <c r="X90" s="12">
        <f>[1]data!U90-[1]data!U52</f>
        <v>0</v>
      </c>
      <c r="Y90" s="12">
        <f>[1]data!V90-[1]data!V52</f>
        <v>0</v>
      </c>
      <c r="Z90" s="12">
        <f>[1]data!W90-[1]data!W52</f>
        <v>0.4391483509145675</v>
      </c>
      <c r="AA90" s="12">
        <f>[1]data!X90-[1]data!X52</f>
        <v>0.38793338268754662</v>
      </c>
      <c r="AB90" s="12">
        <f>[1]data!Y90-[1]data!Y52</f>
        <v>0</v>
      </c>
      <c r="AC90" s="12">
        <f>[1]data!Z90-[1]data!Z52</f>
        <v>0</v>
      </c>
      <c r="AD90" s="14">
        <v>468.59916169988998</v>
      </c>
      <c r="AE90" s="15">
        <v>413.94954015926999</v>
      </c>
      <c r="AF90">
        <f>D90/(D90+H90)</f>
        <v>1.989969701554549</v>
      </c>
      <c r="AG90">
        <f>(F90/(D90+H90))</f>
        <v>3.1105508142036844</v>
      </c>
      <c r="AH90">
        <f>(E90/(D90+H90))</f>
        <v>-1.1205811126491367</v>
      </c>
      <c r="AI90">
        <f>(G90/(D90+H90))</f>
        <v>0</v>
      </c>
      <c r="AJ90">
        <f>(F90/(D90))</f>
        <v>1.563114660375857</v>
      </c>
      <c r="AK90">
        <f>E90/D90</f>
        <v>-0.56311466037585767</v>
      </c>
      <c r="AL90">
        <f>(H90/(C90+H90))</f>
        <v>-0.98996970155455033</v>
      </c>
      <c r="AM90">
        <f>(I90/(D90+H90))</f>
        <v>0</v>
      </c>
      <c r="AN90">
        <f>(J90/(D90+H90))</f>
        <v>-0.98996970155454911</v>
      </c>
      <c r="AO90">
        <f>(I90/H90)</f>
        <v>0</v>
      </c>
      <c r="AP90">
        <f>J90/H90</f>
        <v>1</v>
      </c>
      <c r="AQ90">
        <f>(D90+H90)/AD90</f>
        <v>-3.9186389449937199E-3</v>
      </c>
    </row>
    <row r="91" spans="1:43" x14ac:dyDescent="0.35">
      <c r="A91" s="11" t="s">
        <v>41</v>
      </c>
      <c r="B91" s="24" t="s">
        <v>68</v>
      </c>
      <c r="C91" s="28">
        <f t="shared" si="8"/>
        <v>10.537972233842755</v>
      </c>
      <c r="D91" s="12">
        <f>[1]data!C91-[1]data!C53</f>
        <v>4.1542265056957355</v>
      </c>
      <c r="E91" s="12">
        <f>[1]data!D91-[1]data!D53</f>
        <v>1.4774852644874343</v>
      </c>
      <c r="F91" s="12">
        <f>[1]data!E91-[1]data!E53</f>
        <v>2.6767412412083029</v>
      </c>
      <c r="G91" s="12">
        <f>[1]data!F91-[1]data!F53</f>
        <v>6.3837457281470176</v>
      </c>
      <c r="H91" s="12">
        <f>[1]data!G91-[1]data!G53</f>
        <v>3.874602555254846</v>
      </c>
      <c r="I91" s="12">
        <f>[1]data!H91-[1]data!H53</f>
        <v>1.2574775374611842</v>
      </c>
      <c r="J91" s="12">
        <f>[1]data!I91-[1]data!I53</f>
        <v>2.6171250177936614</v>
      </c>
      <c r="K91" s="12">
        <f>[1]data!J91-[1]data!J53</f>
        <v>0</v>
      </c>
      <c r="L91" s="13">
        <f t="shared" si="9"/>
        <v>2.1282060455948186</v>
      </c>
      <c r="M91" s="12">
        <f>[1]data!K91-[1]data!K53</f>
        <v>0.83897070214313363</v>
      </c>
      <c r="N91" s="13">
        <f t="shared" si="10"/>
        <v>2.0373106481498882</v>
      </c>
      <c r="O91" s="13">
        <f t="shared" si="11"/>
        <v>0.74807530469820338</v>
      </c>
      <c r="P91" s="12">
        <f>[1]data!M91-[1]data!M53</f>
        <v>0.29838691945507145</v>
      </c>
      <c r="Q91" s="12">
        <f>[1]data!N91-[1]data!N53</f>
        <v>0.26605921412882499</v>
      </c>
      <c r="R91" s="12">
        <f>[1]data!O91-[1]data!O53</f>
        <v>0.54058378268806218</v>
      </c>
      <c r="S91" s="12">
        <f>[1]data!P91-[1]data!P53</f>
        <v>0.48201609056937844</v>
      </c>
      <c r="T91" s="12">
        <f>[1]data!Q91-[1]data!Q53</f>
        <v>1.289235343451685</v>
      </c>
      <c r="U91" s="12">
        <f>[1]data!R91-[1]data!R53</f>
        <v>1.1495575708623145</v>
      </c>
      <c r="V91" s="12">
        <f>[1]data!S91-[1]data!S53</f>
        <v>0.78249898551531238</v>
      </c>
      <c r="W91" s="12">
        <f>[1]data!T91-[1]data!T53</f>
        <v>0.69772182213287159</v>
      </c>
      <c r="X91" s="12">
        <f>[1]data!U91-[1]data!U53</f>
        <v>0.25395505302529059</v>
      </c>
      <c r="Y91" s="12">
        <f>[1]data!V91-[1]data!V53</f>
        <v>0.22644116556901078</v>
      </c>
      <c r="Z91" s="12">
        <f>[1]data!W91-[1]data!W53</f>
        <v>0.52854393249002207</v>
      </c>
      <c r="AA91" s="12">
        <f>[1]data!X91-[1]data!X53</f>
        <v>0.4712806565638612</v>
      </c>
      <c r="AB91" s="12">
        <f>[1]data!Y91-[1]data!Y53</f>
        <v>0</v>
      </c>
      <c r="AC91" s="12">
        <f>[1]data!Z91-[1]data!Z53</f>
        <v>0</v>
      </c>
      <c r="AD91" s="14">
        <v>555.32196820367994</v>
      </c>
      <c r="AE91" s="15">
        <v>495.15751802582002</v>
      </c>
      <c r="AF91">
        <f>D91/(D91+H91)</f>
        <v>0.51741374416606289</v>
      </c>
      <c r="AG91">
        <f>(F91/(D91+H91))</f>
        <v>0.33339123561952971</v>
      </c>
      <c r="AH91">
        <f>(E91/(D91+H91))</f>
        <v>0.18402250854653343</v>
      </c>
      <c r="AI91">
        <f>(G91/(D91+H91))</f>
        <v>0.79510295706696832</v>
      </c>
      <c r="AJ91">
        <f>(F91/(D91))</f>
        <v>0.64434166927063397</v>
      </c>
      <c r="AK91">
        <f>E91/D91</f>
        <v>0.35565833072936648</v>
      </c>
      <c r="AL91">
        <f>(H91/(C91+H91))</f>
        <v>0.26883486205294777</v>
      </c>
      <c r="AM91">
        <f>(I91/(D91+H91))</f>
        <v>0.15662029019612778</v>
      </c>
      <c r="AN91">
        <f>(J91/(D91+H91))</f>
        <v>0.32596596563780922</v>
      </c>
      <c r="AO91">
        <f>(I91/H91)</f>
        <v>0.32454361951415056</v>
      </c>
      <c r="AP91">
        <f>J91/H91</f>
        <v>0.67545638048584933</v>
      </c>
      <c r="AQ91">
        <f>(D91+H91)/AD91</f>
        <v>1.4457971268310752E-2</v>
      </c>
    </row>
    <row r="92" spans="1:43" x14ac:dyDescent="0.35">
      <c r="A92" s="17" t="s">
        <v>42</v>
      </c>
      <c r="B92" s="24" t="s">
        <v>68</v>
      </c>
      <c r="C92" s="28">
        <f t="shared" si="8"/>
        <v>1.2020729771804093</v>
      </c>
      <c r="D92" s="12">
        <f>[1]data!C92-[1]data!C54</f>
        <v>-0.38718454813488101</v>
      </c>
      <c r="E92" s="12">
        <f>[1]data!D92-[1]data!D54</f>
        <v>0.62357924487103089</v>
      </c>
      <c r="F92" s="12">
        <f>[1]data!E92-[1]data!E54</f>
        <v>-1.0107637930059123</v>
      </c>
      <c r="G92" s="12">
        <f>[1]data!F92-[1]data!F54</f>
        <v>1.5892575253152907</v>
      </c>
      <c r="H92" s="12">
        <f>[1]data!G92-[1]data!G54</f>
        <v>17.056890492060298</v>
      </c>
      <c r="I92" s="12">
        <f>[1]data!H92-[1]data!H54</f>
        <v>1.0946711428285842E-2</v>
      </c>
      <c r="J92" s="12">
        <f>[1]data!I92-[1]data!I54</f>
        <v>17.045943780632015</v>
      </c>
      <c r="K92" s="12">
        <f>[1]data!J92-[1]data!J54</f>
        <v>0</v>
      </c>
      <c r="L92" s="13">
        <f t="shared" si="9"/>
        <v>0.5574434426015924</v>
      </c>
      <c r="M92" s="12">
        <f>[1]data!K92-[1]data!K54</f>
        <v>-0.17955106847232383</v>
      </c>
      <c r="N92" s="13">
        <f t="shared" si="10"/>
        <v>0.64195561436801718</v>
      </c>
      <c r="O92" s="13">
        <f t="shared" si="11"/>
        <v>-9.5038896705898657E-2</v>
      </c>
      <c r="P92" s="12">
        <f>[1]data!M92-[1]data!M54</f>
        <v>0.28917558883252281</v>
      </c>
      <c r="Q92" s="12">
        <f>[1]data!N92-[1]data!N54</f>
        <v>0.15306469157078711</v>
      </c>
      <c r="R92" s="12">
        <f>[1]data!O92-[1]data!O54</f>
        <v>-0.46872665730484631</v>
      </c>
      <c r="S92" s="12">
        <f>[1]data!P92-[1]data!P54</f>
        <v>-0.24810358827668577</v>
      </c>
      <c r="T92" s="12">
        <f>[1]data!Q92-[1]data!Q54</f>
        <v>0.73699451107391589</v>
      </c>
      <c r="U92" s="12">
        <f>[1]data!R92-[1]data!R54</f>
        <v>0.39010152268497694</v>
      </c>
      <c r="V92" s="12">
        <f>[1]data!S92-[1]data!S54</f>
        <v>7.9098789644827363</v>
      </c>
      <c r="W92" s="12">
        <f>[1]data!T92-[1]data!T54</f>
        <v>4.1868097820732793</v>
      </c>
      <c r="X92" s="12">
        <f>[1]data!U92-[1]data!U54</f>
        <v>5.0763744128606465E-3</v>
      </c>
      <c r="Y92" s="12">
        <f>[1]data!V92-[1]data!V54</f>
        <v>2.6869961151954648E-3</v>
      </c>
      <c r="Z92" s="12">
        <f>[1]data!W92-[1]data!W54</f>
        <v>7.9048025900698775</v>
      </c>
      <c r="AA92" s="12">
        <f>[1]data!X92-[1]data!X54</f>
        <v>4.184122785958083</v>
      </c>
      <c r="AB92" s="12">
        <f>[1]data!Y92-[1]data!Y54</f>
        <v>0</v>
      </c>
      <c r="AC92" s="12">
        <f>[1]data!Z92-[1]data!Z54</f>
        <v>0</v>
      </c>
      <c r="AD92" s="14">
        <v>407.39587848230002</v>
      </c>
      <c r="AE92" s="15">
        <v>215.64034757863999</v>
      </c>
      <c r="AF92">
        <f>D92/(D92+H92)</f>
        <v>-2.3226837320185267E-2</v>
      </c>
      <c r="AG92">
        <f>(F92/(D92+H92))</f>
        <v>-6.0634770427623733E-2</v>
      </c>
      <c r="AH92">
        <f>(E92/(D92+H92))</f>
        <v>3.7407933107438444E-2</v>
      </c>
      <c r="AI92">
        <f>(G92/(D92+H92))</f>
        <v>9.5338065989966067E-2</v>
      </c>
      <c r="AJ92">
        <f>(F92/(D92))</f>
        <v>2.6105478585725974</v>
      </c>
      <c r="AK92">
        <f>E92/D92</f>
        <v>-1.6105478585725961</v>
      </c>
      <c r="AL92">
        <f>(H92/(C92+H92))</f>
        <v>0.9341653221878975</v>
      </c>
      <c r="AM92">
        <f>(I92/(D92+H92))</f>
        <v>6.5668293520647965E-4</v>
      </c>
      <c r="AN92">
        <f>(J92/(D92+H92))</f>
        <v>1.0225701543849792</v>
      </c>
      <c r="AO92">
        <f>(I92/H92)</f>
        <v>6.4177649691667755E-4</v>
      </c>
      <c r="AP92">
        <f>J92/H92</f>
        <v>0.99935822350308356</v>
      </c>
      <c r="AQ92">
        <f>(D92+H92)/AD92</f>
        <v>4.0917708853673782E-2</v>
      </c>
    </row>
    <row r="93" spans="1:43" x14ac:dyDescent="0.35">
      <c r="A93" s="17" t="s">
        <v>43</v>
      </c>
      <c r="B93" s="24" t="s">
        <v>68</v>
      </c>
      <c r="C93" s="28">
        <f t="shared" si="8"/>
        <v>2.4773771942791294</v>
      </c>
      <c r="D93" s="12">
        <f>[1]data!C93-[1]data!C55</f>
        <v>5.2845564687311608E-3</v>
      </c>
      <c r="E93" s="12">
        <f>[1]data!D93-[1]data!D55</f>
        <v>5.284556468731022E-3</v>
      </c>
      <c r="F93" s="12">
        <f>[1]data!E93-[1]data!E55</f>
        <v>0</v>
      </c>
      <c r="G93" s="12">
        <f>[1]data!F93-[1]data!F55</f>
        <v>2.4720926378103982</v>
      </c>
      <c r="H93" s="12">
        <f>[1]data!G93-[1]data!G55</f>
        <v>-0.17410876033898504</v>
      </c>
      <c r="I93" s="12">
        <f>[1]data!H93-[1]data!H55</f>
        <v>3.1619220265415766</v>
      </c>
      <c r="J93" s="12">
        <f>[1]data!I93-[1]data!I55</f>
        <v>-3.3360307868805599</v>
      </c>
      <c r="K93" s="12">
        <f>[1]data!J93-[1]data!J55</f>
        <v>0</v>
      </c>
      <c r="L93" s="13">
        <f t="shared" si="9"/>
        <v>0.74484613674101652</v>
      </c>
      <c r="M93" s="12">
        <f>[1]data!K93-[1]data!K55</f>
        <v>1.5888502886090006E-3</v>
      </c>
      <c r="N93" s="13">
        <f t="shared" si="10"/>
        <v>0.74495615364187151</v>
      </c>
      <c r="O93" s="13">
        <f t="shared" si="11"/>
        <v>1.69886718946409E-3</v>
      </c>
      <c r="P93" s="12">
        <f>[1]data!M93-[1]data!M55</f>
        <v>1.5888502886091185E-3</v>
      </c>
      <c r="Q93" s="12">
        <f>[1]data!N93-[1]data!N55</f>
        <v>1.69886718946409E-3</v>
      </c>
      <c r="R93" s="12">
        <f>[1]data!O93-[1]data!O55</f>
        <v>0</v>
      </c>
      <c r="S93" s="12">
        <f>[1]data!P93-[1]data!P55</f>
        <v>0</v>
      </c>
      <c r="T93" s="12">
        <f>[1]data!Q93-[1]data!Q55</f>
        <v>0.74325728645240741</v>
      </c>
      <c r="U93" s="12">
        <f>[1]data!R93-[1]data!R55</f>
        <v>0.7947227163797006</v>
      </c>
      <c r="V93" s="12">
        <f>[1]data!S93-[1]data!S55</f>
        <v>-5.2347392964920303E-2</v>
      </c>
      <c r="W93" s="12">
        <f>[1]data!T93-[1]data!T55</f>
        <v>-5.5972088119098373E-2</v>
      </c>
      <c r="X93" s="12">
        <f>[1]data!U93-[1]data!U55</f>
        <v>0.95066080836799016</v>
      </c>
      <c r="Y93" s="12">
        <f>[1]data!V93-[1]data!V55</f>
        <v>1.0164874986803214</v>
      </c>
      <c r="Z93" s="12">
        <f>[1]data!W93-[1]data!W55</f>
        <v>-1.0030082013329098</v>
      </c>
      <c r="AA93" s="12">
        <f>[1]data!X93-[1]data!X55</f>
        <v>-1.0724595867994209</v>
      </c>
      <c r="AB93" s="12">
        <f>[1]data!Y93-[1]data!Y55</f>
        <v>0</v>
      </c>
      <c r="AC93" s="12">
        <f>[1]data!Z93-[1]data!Z55</f>
        <v>0</v>
      </c>
      <c r="AD93" s="14">
        <v>311.06354290107998</v>
      </c>
      <c r="AE93" s="15">
        <v>332.60254327404999</v>
      </c>
      <c r="AF93">
        <f>D93/(D93+H93)</f>
        <v>-3.1302125806513446E-2</v>
      </c>
      <c r="AG93">
        <f>(F93/(D93+H93))</f>
        <v>0</v>
      </c>
      <c r="AH93">
        <f>(E93/(D93+H93))</f>
        <v>-3.1302125806512621E-2</v>
      </c>
      <c r="AI93">
        <f>(G93/(D93+H93))</f>
        <v>-14.642998936990519</v>
      </c>
      <c r="AJ93">
        <f>(F93/(D93))</f>
        <v>0</v>
      </c>
      <c r="AK93">
        <f>E93/D93</f>
        <v>0.99999999999997369</v>
      </c>
      <c r="AL93">
        <f>(H93/(C93+H93))</f>
        <v>-7.5592040325556623E-2</v>
      </c>
      <c r="AM93">
        <f>(I93/(D93+H93))</f>
        <v>-18.729080037431139</v>
      </c>
      <c r="AN93">
        <f>(J93/(D93+H93))</f>
        <v>19.76038216323764</v>
      </c>
      <c r="AO93">
        <f>(I93/H93)</f>
        <v>-18.160614206806137</v>
      </c>
      <c r="AP93">
        <f>J93/H93</f>
        <v>19.160614206806127</v>
      </c>
      <c r="AQ93">
        <f>(D93+H93)/AD93</f>
        <v>-5.4273220929635247E-4</v>
      </c>
    </row>
    <row r="94" spans="1:43" x14ac:dyDescent="0.35">
      <c r="A94" s="21" t="s">
        <v>44</v>
      </c>
      <c r="B94" s="25" t="s">
        <v>68</v>
      </c>
      <c r="C94" s="28">
        <f t="shared" si="8"/>
        <v>-0.17362342716953355</v>
      </c>
      <c r="D94" s="12">
        <f>[1]data!C94-[1]data!C56</f>
        <v>-0.17362342716953361</v>
      </c>
      <c r="E94" s="12">
        <f>[1]data!D94-[1]data!D56</f>
        <v>-6.9507208530843301E-2</v>
      </c>
      <c r="F94" s="12">
        <f>[1]data!E94-[1]data!E56</f>
        <v>-0.10411621863869025</v>
      </c>
      <c r="G94" s="12">
        <f>[1]data!F94-[1]data!F56</f>
        <v>0</v>
      </c>
      <c r="H94" s="12">
        <f>[1]data!G94-[1]data!G56</f>
        <v>0.30689155142270308</v>
      </c>
      <c r="I94" s="12">
        <f>[1]data!H94-[1]data!H56</f>
        <v>0.20024042401510744</v>
      </c>
      <c r="J94" s="12">
        <f>[1]data!I94-[1]data!I56</f>
        <v>0.10665112740759561</v>
      </c>
      <c r="K94" s="12">
        <f>[1]data!J94-[1]data!J56</f>
        <v>0</v>
      </c>
      <c r="L94" s="13">
        <f t="shared" si="9"/>
        <v>-0.6455444316775466</v>
      </c>
      <c r="M94" s="12">
        <f>[1]data!K94-[1]data!K56</f>
        <v>-0.64554443167754627</v>
      </c>
      <c r="N94" s="13">
        <f t="shared" si="10"/>
        <v>-0.37816919898380585</v>
      </c>
      <c r="O94" s="13">
        <f t="shared" si="11"/>
        <v>-0.37816919898380585</v>
      </c>
      <c r="P94" s="12">
        <f>[1]data!M94-[1]data!M56</f>
        <v>-0.25843281727599432</v>
      </c>
      <c r="Q94" s="12">
        <f>[1]data!N94-[1]data!N56</f>
        <v>-0.1513936558114537</v>
      </c>
      <c r="R94" s="12">
        <f>[1]data!O94-[1]data!O56</f>
        <v>-0.38711161440155228</v>
      </c>
      <c r="S94" s="12">
        <f>[1]data!P94-[1]data!P56</f>
        <v>-0.22677554317235216</v>
      </c>
      <c r="T94" s="12">
        <f>[1]data!Q94-[1]data!Q56</f>
        <v>0</v>
      </c>
      <c r="U94" s="12">
        <f>[1]data!R94-[1]data!R56</f>
        <v>0</v>
      </c>
      <c r="V94" s="12">
        <f>[1]data!S94-[1]data!S56</f>
        <v>1.1410449348886771</v>
      </c>
      <c r="W94" s="12">
        <f>[1]data!T94-[1]data!T56</f>
        <v>0.6684405098345283</v>
      </c>
      <c r="X94" s="12">
        <f>[1]data!U94-[1]data!U56</f>
        <v>0.74450834675371524</v>
      </c>
      <c r="Y94" s="12">
        <f>[1]data!V94-[1]data!V56</f>
        <v>0.43614368169354156</v>
      </c>
      <c r="Z94" s="12">
        <f>[1]data!W94-[1]data!W56</f>
        <v>0.39653658813496218</v>
      </c>
      <c r="AA94" s="12">
        <f>[1]data!X94-[1]data!X56</f>
        <v>0.23229682814098662</v>
      </c>
      <c r="AB94" s="12">
        <f>[1]data!Y94-[1]data!Y56</f>
        <v>0</v>
      </c>
      <c r="AC94" s="12">
        <f>[1]data!Z94-[1]data!Z56</f>
        <v>0</v>
      </c>
      <c r="AD94" s="14">
        <v>45.911572818750003</v>
      </c>
      <c r="AE94" s="15">
        <v>26.895658710639999</v>
      </c>
      <c r="AF94">
        <f>D94/(D94+H94)</f>
        <v>-1.3028128679871052</v>
      </c>
      <c r="AG94">
        <f>(F94/(D94+H94))</f>
        <v>-0.78125372606656229</v>
      </c>
      <c r="AH94">
        <f>(E94/(D94+H94))</f>
        <v>-0.52155914192054242</v>
      </c>
      <c r="AI94">
        <f>(G94/(D94+H94))</f>
        <v>0</v>
      </c>
      <c r="AJ94">
        <f>(F94/(D94))</f>
        <v>0.5996668786927386</v>
      </c>
      <c r="AK94">
        <f>E94/D94</f>
        <v>0.40033312130726106</v>
      </c>
      <c r="AL94">
        <f>(H94/(C94+H94))</f>
        <v>2.3028128679871043</v>
      </c>
      <c r="AM94">
        <f>(I94/(D94+H94))</f>
        <v>1.5025380235314987</v>
      </c>
      <c r="AN94">
        <f>(J94/(D94+H94))</f>
        <v>0.80027484445560626</v>
      </c>
      <c r="AO94">
        <f>(I94/H94)</f>
        <v>0.65247942827628502</v>
      </c>
      <c r="AP94">
        <f>J94/H94</f>
        <v>0.34752057172371487</v>
      </c>
      <c r="AQ94">
        <f>(D94+H94)/AD94</f>
        <v>2.9027131085072213E-3</v>
      </c>
    </row>
    <row r="95" spans="1:43" x14ac:dyDescent="0.35">
      <c r="A95" s="17" t="s">
        <v>45</v>
      </c>
      <c r="B95" s="24" t="s">
        <v>68</v>
      </c>
      <c r="C95" s="28">
        <f t="shared" si="8"/>
        <v>-1.5678243516124075</v>
      </c>
      <c r="D95" s="12">
        <f>[1]data!C95-[1]data!C57</f>
        <v>-0.74604999194765043</v>
      </c>
      <c r="E95" s="12">
        <f>[1]data!D95-[1]data!D57</f>
        <v>-0.11051783789386072</v>
      </c>
      <c r="F95" s="12">
        <f>[1]data!E95-[1]data!E57</f>
        <v>-0.63553215405378971</v>
      </c>
      <c r="G95" s="12">
        <f>[1]data!F95-[1]data!F57</f>
        <v>-0.82177435966475709</v>
      </c>
      <c r="H95" s="12">
        <f>[1]data!G95-[1]data!G57</f>
        <v>0.66176208666115244</v>
      </c>
      <c r="I95" s="12">
        <f>[1]data!H95-[1]data!H57</f>
        <v>0.12179697198193473</v>
      </c>
      <c r="J95" s="12">
        <f>[1]data!I95-[1]data!I57</f>
        <v>0.53996511467921771</v>
      </c>
      <c r="K95" s="12">
        <f>[1]data!J95-[1]data!J57</f>
        <v>5.0329327265262735E-2</v>
      </c>
      <c r="L95" s="13">
        <f t="shared" si="9"/>
        <v>-0.61545055774220292</v>
      </c>
      <c r="M95" s="12">
        <f>[1]data!K95-[1]data!K57</f>
        <v>-0.2928624518272942</v>
      </c>
      <c r="N95" s="13">
        <f t="shared" si="10"/>
        <v>-0.61639843190936294</v>
      </c>
      <c r="O95" s="13">
        <f t="shared" si="11"/>
        <v>-0.29381032599445422</v>
      </c>
      <c r="P95" s="12">
        <f>[1]data!M95-[1]data!M57</f>
        <v>-4.3383855405923821E-2</v>
      </c>
      <c r="Q95" s="12">
        <f>[1]data!N95-[1]data!N57</f>
        <v>-4.3524270933945619E-2</v>
      </c>
      <c r="R95" s="12">
        <f>[1]data!O95-[1]data!O57</f>
        <v>-0.24947859642137038</v>
      </c>
      <c r="S95" s="12">
        <f>[1]data!P95-[1]data!P57</f>
        <v>-0.25028605506050861</v>
      </c>
      <c r="T95" s="12">
        <f>[1]data!Q95-[1]data!Q57</f>
        <v>-0.32258810591490872</v>
      </c>
      <c r="U95" s="12">
        <f>[1]data!R95-[1]data!R57</f>
        <v>-0.32363218968297769</v>
      </c>
      <c r="V95" s="12">
        <f>[1]data!S95-[1]data!S57</f>
        <v>0.25977517501203984</v>
      </c>
      <c r="W95" s="12">
        <f>[1]data!T95-[1]data!T57</f>
        <v>0.26061595940118565</v>
      </c>
      <c r="X95" s="12">
        <f>[1]data!U95-[1]data!U57</f>
        <v>4.7811487467012137E-2</v>
      </c>
      <c r="Y95" s="12">
        <f>[1]data!V95-[1]data!V57</f>
        <v>4.7966233401769864E-2</v>
      </c>
      <c r="Z95" s="12">
        <f>[1]data!W95-[1]data!W57</f>
        <v>0.21196368754502704</v>
      </c>
      <c r="AA95" s="12">
        <f>[1]data!X95-[1]data!X57</f>
        <v>0.21264972599941601</v>
      </c>
      <c r="AB95" s="12">
        <f>[1]data!Y95-[1]data!Y57</f>
        <v>1.9756813002897777E-2</v>
      </c>
      <c r="AC95" s="12">
        <f>[1]data!Z95-[1]data!Z57</f>
        <v>1.9820757604037398E-2</v>
      </c>
      <c r="AD95" s="14">
        <v>253.92231856471</v>
      </c>
      <c r="AE95" s="15">
        <v>254.7441596875</v>
      </c>
      <c r="AF95">
        <f>D95/(D95+H95)</f>
        <v>8.8512104958807125</v>
      </c>
      <c r="AG95">
        <f>(F95/(D95+H95))</f>
        <v>7.5400159951014363</v>
      </c>
      <c r="AH95">
        <f>(E95/(D95+H95))</f>
        <v>1.3111945007792771</v>
      </c>
      <c r="AI95">
        <f>(G95/(D95+H95))</f>
        <v>9.7496118437338417</v>
      </c>
      <c r="AJ95">
        <f>(F95/(D95))</f>
        <v>0.85186269139238102</v>
      </c>
      <c r="AK95">
        <f>E95/D95</f>
        <v>0.14813730860761895</v>
      </c>
      <c r="AL95">
        <f>(H95/(C95+H95))</f>
        <v>-0.73037153434124569</v>
      </c>
      <c r="AM95">
        <f>(I95/(D95+H95))</f>
        <v>-1.4450112571660421</v>
      </c>
      <c r="AN95">
        <f>(J95/(D95+H95))</f>
        <v>-6.4061992387146711</v>
      </c>
      <c r="AO95">
        <f>(I95/H95)</f>
        <v>0.18404948611735664</v>
      </c>
      <c r="AP95">
        <f>J95/H95</f>
        <v>0.81595051388264339</v>
      </c>
      <c r="AQ95">
        <f>(D95+H95)/AD95</f>
        <v>-3.3194366593268922E-4</v>
      </c>
    </row>
    <row r="96" spans="1:43" x14ac:dyDescent="0.35">
      <c r="A96" s="21" t="s">
        <v>46</v>
      </c>
      <c r="B96" s="25" t="s">
        <v>68</v>
      </c>
      <c r="C96" s="28">
        <f t="shared" si="8"/>
        <v>4.2405589852861407</v>
      </c>
      <c r="D96" s="12">
        <f>[1]data!C96-[1]data!C58</f>
        <v>2.8687653080557514</v>
      </c>
      <c r="E96" s="12">
        <f>[1]data!D96-[1]data!D58</f>
        <v>-0.36466848586374184</v>
      </c>
      <c r="F96" s="12">
        <f>[1]data!E96-[1]data!E58</f>
        <v>3.2334337939194935</v>
      </c>
      <c r="G96" s="12">
        <f>[1]data!F96-[1]data!F58</f>
        <v>1.3717936772303887</v>
      </c>
      <c r="H96" s="12">
        <f>[1]data!G96-[1]data!G58</f>
        <v>0.43119963399917616</v>
      </c>
      <c r="I96" s="12">
        <f>[1]data!H96-[1]data!H58</f>
        <v>0</v>
      </c>
      <c r="J96" s="12">
        <f>[1]data!I96-[1]data!I58</f>
        <v>0.43119963399917571</v>
      </c>
      <c r="K96" s="12">
        <f>[1]data!J96-[1]data!J58</f>
        <v>0</v>
      </c>
      <c r="L96" s="13">
        <f t="shared" si="9"/>
        <v>2.079694175590332</v>
      </c>
      <c r="M96" s="12">
        <f>[1]data!K96-[1]data!K58</f>
        <v>1.406926427152758</v>
      </c>
      <c r="N96" s="13">
        <f t="shared" si="10"/>
        <v>1.6241241670198989</v>
      </c>
      <c r="O96" s="13">
        <f t="shared" si="11"/>
        <v>0.95135641858232434</v>
      </c>
      <c r="P96" s="12">
        <f>[1]data!M96-[1]data!M58</f>
        <v>-0.17884409312632038</v>
      </c>
      <c r="Q96" s="12">
        <f>[1]data!N96-[1]data!N58</f>
        <v>-0.12093345653161611</v>
      </c>
      <c r="R96" s="12">
        <f>[1]data!O96-[1]data!O58</f>
        <v>1.5857705202790777</v>
      </c>
      <c r="S96" s="12">
        <f>[1]data!P96-[1]data!P58</f>
        <v>1.0722898751139405</v>
      </c>
      <c r="T96" s="12">
        <f>[1]data!Q96-[1]data!Q58</f>
        <v>0.6727677484375747</v>
      </c>
      <c r="U96" s="12">
        <f>[1]data!R96-[1]data!R58</f>
        <v>0.45492209353586399</v>
      </c>
      <c r="V96" s="12">
        <f>[1]data!S96-[1]data!S58</f>
        <v>0.21147291440971649</v>
      </c>
      <c r="W96" s="12">
        <f>[1]data!T96-[1]data!T58</f>
        <v>0.14299689777463387</v>
      </c>
      <c r="X96" s="12">
        <f>[1]data!U96-[1]data!U58</f>
        <v>0</v>
      </c>
      <c r="Y96" s="12">
        <f>[1]data!V96-[1]data!V58</f>
        <v>0</v>
      </c>
      <c r="Z96" s="12">
        <f>[1]data!W96-[1]data!W58</f>
        <v>0.21147291440971627</v>
      </c>
      <c r="AA96" s="12">
        <f>[1]data!X96-[1]data!X58</f>
        <v>0.14299689777463409</v>
      </c>
      <c r="AB96" s="12">
        <f>[1]data!Y96-[1]data!Y58</f>
        <v>0</v>
      </c>
      <c r="AC96" s="12">
        <f>[1]data!Z96-[1]data!Z58</f>
        <v>0</v>
      </c>
      <c r="AD96" s="14">
        <v>301.54474727050001</v>
      </c>
      <c r="AE96" s="15">
        <v>203.90300819506001</v>
      </c>
      <c r="AF96">
        <f>D96/(D96+H96)</f>
        <v>0.86933205607612818</v>
      </c>
      <c r="AG96">
        <f>(F96/(D96+H96))</f>
        <v>0.97983883183498177</v>
      </c>
      <c r="AH96">
        <f>(E96/(D96+H96))</f>
        <v>-0.1105067757588535</v>
      </c>
      <c r="AI96">
        <f>(G96/(D96+H96))</f>
        <v>0.41569946993926438</v>
      </c>
      <c r="AJ96">
        <f>(F96/(D96))</f>
        <v>1.1271168766715494</v>
      </c>
      <c r="AK96">
        <f>E96/D96</f>
        <v>-0.12711687667154922</v>
      </c>
      <c r="AL96">
        <f>(H96/(C96+H96))</f>
        <v>9.2299210883703756E-2</v>
      </c>
      <c r="AM96">
        <f>(I96/(D96+H96))</f>
        <v>0</v>
      </c>
      <c r="AN96">
        <f>(J96/(D96+H96))</f>
        <v>0.13066794392387168</v>
      </c>
      <c r="AO96">
        <f>(I96/H96)</f>
        <v>0</v>
      </c>
      <c r="AP96">
        <f>J96/H96</f>
        <v>0.999999999999999</v>
      </c>
      <c r="AQ96">
        <f>(D96+H96)/AD96</f>
        <v>1.094353316356959E-2</v>
      </c>
    </row>
    <row r="97" spans="1:43" x14ac:dyDescent="0.35">
      <c r="A97" s="21" t="s">
        <v>47</v>
      </c>
      <c r="B97" s="25" t="s">
        <v>68</v>
      </c>
      <c r="C97" s="28">
        <f t="shared" si="8"/>
        <v>0</v>
      </c>
      <c r="D97" s="12">
        <f>[1]data!C97-[1]data!C59</f>
        <v>0</v>
      </c>
      <c r="E97" s="12">
        <f>[1]data!D97-[1]data!D59</f>
        <v>0</v>
      </c>
      <c r="F97" s="12">
        <f>[1]data!E97-[1]data!E59</f>
        <v>0</v>
      </c>
      <c r="G97" s="12">
        <f>[1]data!F97-[1]data!F59</f>
        <v>0</v>
      </c>
      <c r="H97" s="12">
        <f>[1]data!G97-[1]data!G59</f>
        <v>0</v>
      </c>
      <c r="I97" s="12">
        <f>[1]data!H97-[1]data!H59</f>
        <v>0</v>
      </c>
      <c r="J97" s="12">
        <f>[1]data!I97-[1]data!I59</f>
        <v>0</v>
      </c>
      <c r="K97" s="12">
        <f>[1]data!J97-[1]data!J59</f>
        <v>0</v>
      </c>
      <c r="L97" s="13">
        <f t="shared" si="9"/>
        <v>0</v>
      </c>
      <c r="M97" s="12">
        <f>[1]data!K97-[1]data!K59</f>
        <v>0</v>
      </c>
      <c r="N97" s="13">
        <f t="shared" si="10"/>
        <v>0</v>
      </c>
      <c r="O97" s="13">
        <f t="shared" si="11"/>
        <v>0</v>
      </c>
      <c r="P97" s="12">
        <f>[1]data!M97-[1]data!M59</f>
        <v>0</v>
      </c>
      <c r="Q97" s="12">
        <f>[1]data!N97-[1]data!N59</f>
        <v>0</v>
      </c>
      <c r="R97" s="12">
        <f>[1]data!O97-[1]data!O59</f>
        <v>0</v>
      </c>
      <c r="S97" s="12">
        <f>[1]data!P97-[1]data!P59</f>
        <v>0</v>
      </c>
      <c r="T97" s="12">
        <f>[1]data!Q97-[1]data!Q59</f>
        <v>0</v>
      </c>
      <c r="U97" s="12">
        <f>[1]data!R97-[1]data!R59</f>
        <v>0</v>
      </c>
      <c r="V97" s="12">
        <f>[1]data!S97-[1]data!S59</f>
        <v>0</v>
      </c>
      <c r="W97" s="12">
        <f>[1]data!T97-[1]data!T59</f>
        <v>0</v>
      </c>
      <c r="X97" s="12">
        <f>[1]data!U97-[1]data!U59</f>
        <v>0</v>
      </c>
      <c r="Y97" s="12">
        <f>[1]data!V97-[1]data!V59</f>
        <v>0</v>
      </c>
      <c r="Z97" s="12">
        <f>[1]data!W97-[1]data!W59</f>
        <v>0</v>
      </c>
      <c r="AA97" s="12">
        <f>[1]data!X97-[1]data!X59</f>
        <v>0</v>
      </c>
      <c r="AB97" s="12">
        <f>[1]data!Y97-[1]data!Y59</f>
        <v>0</v>
      </c>
      <c r="AC97" s="12">
        <f>[1]data!Z97-[1]data!Z59</f>
        <v>0</v>
      </c>
      <c r="AD97" s="14">
        <v>19.06914282116</v>
      </c>
      <c r="AE97" s="15">
        <v>20.729999827290001</v>
      </c>
      <c r="AF97" t="e">
        <f>D97/(D97+H97)</f>
        <v>#DIV/0!</v>
      </c>
      <c r="AG97" t="e">
        <f>(F97/(D97+H97))</f>
        <v>#DIV/0!</v>
      </c>
      <c r="AH97" t="e">
        <f>(E97/(D97+H97))</f>
        <v>#DIV/0!</v>
      </c>
      <c r="AI97" t="e">
        <f>(G97/(D97+H97))</f>
        <v>#DIV/0!</v>
      </c>
      <c r="AJ97" t="e">
        <f>(F97/(D97))</f>
        <v>#DIV/0!</v>
      </c>
      <c r="AK97" t="e">
        <f>E97/D97</f>
        <v>#DIV/0!</v>
      </c>
      <c r="AL97" t="e">
        <f>(H97/(C97+H97))</f>
        <v>#DIV/0!</v>
      </c>
      <c r="AM97" t="e">
        <f>(I97/(D97+H97))</f>
        <v>#DIV/0!</v>
      </c>
      <c r="AN97" t="e">
        <f>(J97/(D97+H97))</f>
        <v>#DIV/0!</v>
      </c>
      <c r="AO97" t="e">
        <f>(I97/H97)</f>
        <v>#DIV/0!</v>
      </c>
      <c r="AP97" t="e">
        <f>J97/H97</f>
        <v>#DIV/0!</v>
      </c>
      <c r="AQ97">
        <f>(D97+H97)/AD97</f>
        <v>0</v>
      </c>
    </row>
    <row r="98" spans="1:43" x14ac:dyDescent="0.35">
      <c r="A98" s="21" t="s">
        <v>48</v>
      </c>
      <c r="B98" s="25" t="s">
        <v>68</v>
      </c>
      <c r="C98" s="28">
        <f t="shared" si="8"/>
        <v>0</v>
      </c>
      <c r="D98" s="12">
        <f>[1]data!C98-[1]data!C60</f>
        <v>0</v>
      </c>
      <c r="E98" s="12">
        <f>[1]data!D98-[1]data!D60</f>
        <v>0</v>
      </c>
      <c r="F98" s="12">
        <f>[1]data!E98-[1]data!E60</f>
        <v>0</v>
      </c>
      <c r="G98" s="12">
        <f>[1]data!F98-[1]data!F60</f>
        <v>0</v>
      </c>
      <c r="H98" s="12">
        <f>[1]data!G98-[1]data!G60</f>
        <v>0</v>
      </c>
      <c r="I98" s="12">
        <f>[1]data!H98-[1]data!H60</f>
        <v>0</v>
      </c>
      <c r="J98" s="12">
        <f>[1]data!I98-[1]data!I60</f>
        <v>0</v>
      </c>
      <c r="K98" s="12">
        <f>[1]data!J98-[1]data!J60</f>
        <v>0</v>
      </c>
      <c r="L98" s="13">
        <f t="shared" si="9"/>
        <v>0</v>
      </c>
      <c r="M98" s="12">
        <f>[1]data!K98-[1]data!K60</f>
        <v>0</v>
      </c>
      <c r="N98" s="13">
        <f t="shared" si="10"/>
        <v>0</v>
      </c>
      <c r="O98" s="13">
        <f t="shared" si="11"/>
        <v>0</v>
      </c>
      <c r="P98" s="12">
        <f>[1]data!M98-[1]data!M60</f>
        <v>0</v>
      </c>
      <c r="Q98" s="12">
        <f>[1]data!N98-[1]data!N60</f>
        <v>0</v>
      </c>
      <c r="R98" s="12">
        <f>[1]data!O98-[1]data!O60</f>
        <v>0</v>
      </c>
      <c r="S98" s="12">
        <f>[1]data!P98-[1]data!P60</f>
        <v>0</v>
      </c>
      <c r="T98" s="12">
        <f>[1]data!Q98-[1]data!Q60</f>
        <v>0</v>
      </c>
      <c r="U98" s="12">
        <f>[1]data!R98-[1]data!R60</f>
        <v>0</v>
      </c>
      <c r="V98" s="12">
        <f>[1]data!S98-[1]data!S60</f>
        <v>0</v>
      </c>
      <c r="W98" s="12">
        <f>[1]data!T98-[1]data!T60</f>
        <v>0</v>
      </c>
      <c r="X98" s="12">
        <f>[1]data!U98-[1]data!U60</f>
        <v>0</v>
      </c>
      <c r="Y98" s="12">
        <f>[1]data!V98-[1]data!V60</f>
        <v>0</v>
      </c>
      <c r="Z98" s="12">
        <f>[1]data!W98-[1]data!W60</f>
        <v>0</v>
      </c>
      <c r="AA98" s="12">
        <f>[1]data!X98-[1]data!X60</f>
        <v>0</v>
      </c>
      <c r="AB98" s="12">
        <f>[1]data!Y98-[1]data!Y60</f>
        <v>0</v>
      </c>
      <c r="AC98" s="12">
        <f>[1]data!Z98-[1]data!Z60</f>
        <v>0</v>
      </c>
      <c r="AD98" s="14">
        <v>417.89075855828003</v>
      </c>
      <c r="AE98" s="15">
        <v>371.46659669328</v>
      </c>
      <c r="AF98" t="e">
        <f>D98/(D98+H98)</f>
        <v>#DIV/0!</v>
      </c>
      <c r="AG98" t="e">
        <f>(F98/(D98+H98))</f>
        <v>#DIV/0!</v>
      </c>
      <c r="AH98" t="e">
        <f>(E98/(D98+H98))</f>
        <v>#DIV/0!</v>
      </c>
      <c r="AI98" t="e">
        <f>(G98/(D98+H98))</f>
        <v>#DIV/0!</v>
      </c>
      <c r="AJ98" t="e">
        <f>(F98/(D98))</f>
        <v>#DIV/0!</v>
      </c>
      <c r="AK98" t="e">
        <f>E98/D98</f>
        <v>#DIV/0!</v>
      </c>
      <c r="AL98" t="e">
        <f>(H98/(C98+H98))</f>
        <v>#DIV/0!</v>
      </c>
      <c r="AM98" t="e">
        <f>(I98/(D98+H98))</f>
        <v>#DIV/0!</v>
      </c>
      <c r="AN98" t="e">
        <f>(J98/(D98+H98))</f>
        <v>#DIV/0!</v>
      </c>
      <c r="AO98" t="e">
        <f>(I98/H98)</f>
        <v>#DIV/0!</v>
      </c>
      <c r="AP98" t="e">
        <f>J98/H98</f>
        <v>#DIV/0!</v>
      </c>
      <c r="AQ98">
        <f>(D98+H98)/AD98</f>
        <v>0</v>
      </c>
    </row>
    <row r="99" spans="1:43" x14ac:dyDescent="0.35">
      <c r="A99" s="21" t="s">
        <v>49</v>
      </c>
      <c r="B99" s="25" t="s">
        <v>68</v>
      </c>
      <c r="C99" s="28">
        <f t="shared" si="8"/>
        <v>0</v>
      </c>
      <c r="D99" s="12">
        <f>[1]data!C99-[1]data!C61</f>
        <v>0</v>
      </c>
      <c r="E99" s="12">
        <f>[1]data!D99-[1]data!D61</f>
        <v>0</v>
      </c>
      <c r="F99" s="12">
        <f>[1]data!E99-[1]data!E61</f>
        <v>0</v>
      </c>
      <c r="G99" s="12">
        <f>[1]data!F99-[1]data!F61</f>
        <v>0</v>
      </c>
      <c r="H99" s="12">
        <f>[1]data!G99-[1]data!G61</f>
        <v>0</v>
      </c>
      <c r="I99" s="12">
        <f>[1]data!H99-[1]data!H61</f>
        <v>0</v>
      </c>
      <c r="J99" s="12">
        <f>[1]data!I99-[1]data!I61</f>
        <v>0</v>
      </c>
      <c r="K99" s="12">
        <f>[1]data!J99-[1]data!J61</f>
        <v>0</v>
      </c>
      <c r="L99" s="13">
        <f t="shared" si="9"/>
        <v>0</v>
      </c>
      <c r="M99" s="12">
        <f>[1]data!K99-[1]data!K61</f>
        <v>0</v>
      </c>
      <c r="N99" s="13">
        <f t="shared" si="10"/>
        <v>0</v>
      </c>
      <c r="O99" s="13">
        <f t="shared" si="11"/>
        <v>0</v>
      </c>
      <c r="P99" s="12">
        <f>[1]data!M99-[1]data!M61</f>
        <v>0</v>
      </c>
      <c r="Q99" s="12">
        <f>[1]data!N99-[1]data!N61</f>
        <v>0</v>
      </c>
      <c r="R99" s="12">
        <f>[1]data!O99-[1]data!O61</f>
        <v>0</v>
      </c>
      <c r="S99" s="12">
        <f>[1]data!P99-[1]data!P61</f>
        <v>0</v>
      </c>
      <c r="T99" s="12">
        <f>[1]data!Q99-[1]data!Q61</f>
        <v>0</v>
      </c>
      <c r="U99" s="12">
        <f>[1]data!R99-[1]data!R61</f>
        <v>0</v>
      </c>
      <c r="V99" s="12">
        <f>[1]data!S99-[1]data!S61</f>
        <v>0</v>
      </c>
      <c r="W99" s="12">
        <f>[1]data!T99-[1]data!T61</f>
        <v>0</v>
      </c>
      <c r="X99" s="12">
        <f>[1]data!U99-[1]data!U61</f>
        <v>0</v>
      </c>
      <c r="Y99" s="12">
        <f>[1]data!V99-[1]data!V61</f>
        <v>0</v>
      </c>
      <c r="Z99" s="12">
        <f>[1]data!W99-[1]data!W61</f>
        <v>0</v>
      </c>
      <c r="AA99" s="12">
        <f>[1]data!X99-[1]data!X61</f>
        <v>0</v>
      </c>
      <c r="AB99" s="12">
        <f>[1]data!Y99-[1]data!Y61</f>
        <v>0</v>
      </c>
      <c r="AC99" s="12">
        <f>[1]data!Z99-[1]data!Z61</f>
        <v>0</v>
      </c>
      <c r="AD99" s="14">
        <v>342.39670930134002</v>
      </c>
      <c r="AE99" s="15">
        <v>358.46025273358998</v>
      </c>
      <c r="AF99" t="e">
        <f>D99/(D99+H99)</f>
        <v>#DIV/0!</v>
      </c>
      <c r="AG99" t="e">
        <f>(F99/(D99+H99))</f>
        <v>#DIV/0!</v>
      </c>
      <c r="AH99" t="e">
        <f>(E99/(D99+H99))</f>
        <v>#DIV/0!</v>
      </c>
      <c r="AI99" t="e">
        <f>(G99/(D99+H99))</f>
        <v>#DIV/0!</v>
      </c>
      <c r="AJ99" t="e">
        <f>(F99/(D99))</f>
        <v>#DIV/0!</v>
      </c>
      <c r="AK99" t="e">
        <f>E99/D99</f>
        <v>#DIV/0!</v>
      </c>
      <c r="AL99" t="e">
        <f>(H99/(C99+H99))</f>
        <v>#DIV/0!</v>
      </c>
      <c r="AM99" t="e">
        <f>(I99/(D99+H99))</f>
        <v>#DIV/0!</v>
      </c>
      <c r="AN99" t="e">
        <f>(J99/(D99+H99))</f>
        <v>#DIV/0!</v>
      </c>
      <c r="AO99" t="e">
        <f>(I99/H99)</f>
        <v>#DIV/0!</v>
      </c>
      <c r="AP99" t="e">
        <f>J99/H99</f>
        <v>#DIV/0!</v>
      </c>
      <c r="AQ99">
        <f>(D99+H99)/AD99</f>
        <v>0</v>
      </c>
    </row>
    <row r="100" spans="1:43" x14ac:dyDescent="0.35">
      <c r="A100" s="21" t="s">
        <v>50</v>
      </c>
      <c r="B100" s="25" t="s">
        <v>68</v>
      </c>
      <c r="C100" s="28">
        <f t="shared" si="8"/>
        <v>0</v>
      </c>
      <c r="D100" s="12">
        <f>[1]data!C100-[1]data!C62</f>
        <v>0</v>
      </c>
      <c r="E100" s="12">
        <f>[1]data!D100-[1]data!D62</f>
        <v>0</v>
      </c>
      <c r="F100" s="12">
        <f>[1]data!E100-[1]data!E62</f>
        <v>0</v>
      </c>
      <c r="G100" s="12">
        <f>[1]data!F100-[1]data!F62</f>
        <v>0</v>
      </c>
      <c r="H100" s="12">
        <f>[1]data!G100-[1]data!G62</f>
        <v>0</v>
      </c>
      <c r="I100" s="12">
        <f>[1]data!H100-[1]data!H62</f>
        <v>0</v>
      </c>
      <c r="J100" s="12">
        <f>[1]data!I100-[1]data!I62</f>
        <v>0</v>
      </c>
      <c r="K100" s="12">
        <f>[1]data!J100-[1]data!J62</f>
        <v>0</v>
      </c>
      <c r="L100" s="13">
        <f t="shared" si="9"/>
        <v>0</v>
      </c>
      <c r="M100" s="12">
        <f>[1]data!K100-[1]data!K62</f>
        <v>0</v>
      </c>
      <c r="N100" s="13">
        <f t="shared" si="10"/>
        <v>0</v>
      </c>
      <c r="O100" s="13">
        <f t="shared" si="11"/>
        <v>0</v>
      </c>
      <c r="P100" s="12">
        <f>[1]data!M100-[1]data!M62</f>
        <v>0</v>
      </c>
      <c r="Q100" s="12">
        <f>[1]data!N100-[1]data!N62</f>
        <v>0</v>
      </c>
      <c r="R100" s="12">
        <f>[1]data!O100-[1]data!O62</f>
        <v>0</v>
      </c>
      <c r="S100" s="12">
        <f>[1]data!P100-[1]data!P62</f>
        <v>0</v>
      </c>
      <c r="T100" s="12">
        <f>[1]data!Q100-[1]data!Q62</f>
        <v>0</v>
      </c>
      <c r="U100" s="12">
        <f>[1]data!R100-[1]data!R62</f>
        <v>0</v>
      </c>
      <c r="V100" s="12">
        <f>[1]data!S100-[1]data!S62</f>
        <v>0</v>
      </c>
      <c r="W100" s="12">
        <f>[1]data!T100-[1]data!T62</f>
        <v>0</v>
      </c>
      <c r="X100" s="12">
        <f>[1]data!U100-[1]data!U62</f>
        <v>0</v>
      </c>
      <c r="Y100" s="12">
        <f>[1]data!V100-[1]data!V62</f>
        <v>0</v>
      </c>
      <c r="Z100" s="12">
        <f>[1]data!W100-[1]data!W62</f>
        <v>0</v>
      </c>
      <c r="AA100" s="12">
        <f>[1]data!X100-[1]data!X62</f>
        <v>0</v>
      </c>
      <c r="AB100" s="12">
        <f>[1]data!Y100-[1]data!Y62</f>
        <v>0</v>
      </c>
      <c r="AC100" s="12">
        <f>[1]data!Z100-[1]data!Z62</f>
        <v>0</v>
      </c>
      <c r="AD100" s="22">
        <v>55.422589739999999</v>
      </c>
      <c r="AE100" s="15">
        <v>30.160077523049999</v>
      </c>
      <c r="AF100" t="e">
        <f>D100/(D100+H100)</f>
        <v>#DIV/0!</v>
      </c>
      <c r="AG100" t="e">
        <f>(F100/(D100+H100))</f>
        <v>#DIV/0!</v>
      </c>
      <c r="AH100" t="e">
        <f>(E100/(D100+H100))</f>
        <v>#DIV/0!</v>
      </c>
      <c r="AI100" t="e">
        <f>(G100/(D100+H100))</f>
        <v>#DIV/0!</v>
      </c>
      <c r="AJ100" t="e">
        <f>(F100/(D100))</f>
        <v>#DIV/0!</v>
      </c>
      <c r="AK100" t="e">
        <f>E100/D100</f>
        <v>#DIV/0!</v>
      </c>
      <c r="AL100" t="e">
        <f>(H100/(C100+H100))</f>
        <v>#DIV/0!</v>
      </c>
      <c r="AM100" t="e">
        <f>(I100/(D100+H100))</f>
        <v>#DIV/0!</v>
      </c>
      <c r="AN100" t="e">
        <f>(J100/(D100+H100))</f>
        <v>#DIV/0!</v>
      </c>
      <c r="AO100" t="e">
        <f>(I100/H100)</f>
        <v>#DIV/0!</v>
      </c>
      <c r="AP100" t="e">
        <f>J100/H100</f>
        <v>#DIV/0!</v>
      </c>
      <c r="AQ100">
        <f>(D100+H100)/AD100</f>
        <v>0</v>
      </c>
    </row>
    <row r="101" spans="1:43" x14ac:dyDescent="0.35">
      <c r="A101" s="21" t="s">
        <v>51</v>
      </c>
      <c r="B101" s="25" t="s">
        <v>68</v>
      </c>
      <c r="C101" s="28">
        <f t="shared" si="8"/>
        <v>0</v>
      </c>
      <c r="D101" s="12">
        <f>[1]data!C101-[1]data!C63</f>
        <v>0</v>
      </c>
      <c r="E101" s="12">
        <f>[1]data!D101-[1]data!D63</f>
        <v>0</v>
      </c>
      <c r="F101" s="12">
        <f>[1]data!E101-[1]data!E63</f>
        <v>0</v>
      </c>
      <c r="G101" s="12">
        <f>[1]data!F101-[1]data!F63</f>
        <v>0</v>
      </c>
      <c r="H101" s="12">
        <f>[1]data!G101-[1]data!G63</f>
        <v>0</v>
      </c>
      <c r="I101" s="12">
        <f>[1]data!H101-[1]data!H63</f>
        <v>0</v>
      </c>
      <c r="J101" s="12">
        <f>[1]data!I101-[1]data!I63</f>
        <v>0</v>
      </c>
      <c r="K101" s="12">
        <f>[1]data!J101-[1]data!J63</f>
        <v>0</v>
      </c>
      <c r="L101" s="13">
        <f t="shared" si="9"/>
        <v>0</v>
      </c>
      <c r="M101" s="12">
        <f>[1]data!K101-[1]data!K63</f>
        <v>0</v>
      </c>
      <c r="N101" s="13">
        <f t="shared" si="10"/>
        <v>0</v>
      </c>
      <c r="O101" s="13">
        <f t="shared" si="11"/>
        <v>0</v>
      </c>
      <c r="P101" s="12">
        <f>[1]data!M101-[1]data!M63</f>
        <v>0</v>
      </c>
      <c r="Q101" s="12">
        <f>[1]data!N101-[1]data!N63</f>
        <v>0</v>
      </c>
      <c r="R101" s="12">
        <f>[1]data!O101-[1]data!O63</f>
        <v>0</v>
      </c>
      <c r="S101" s="12">
        <f>[1]data!P101-[1]data!P63</f>
        <v>0</v>
      </c>
      <c r="T101" s="12">
        <f>[1]data!Q101-[1]data!Q63</f>
        <v>0</v>
      </c>
      <c r="U101" s="12">
        <f>[1]data!R101-[1]data!R63</f>
        <v>0</v>
      </c>
      <c r="V101" s="12">
        <f>[1]data!S101-[1]data!S63</f>
        <v>0</v>
      </c>
      <c r="W101" s="12">
        <f>[1]data!T101-[1]data!T63</f>
        <v>0</v>
      </c>
      <c r="X101" s="12">
        <f>[1]data!U101-[1]data!U63</f>
        <v>0</v>
      </c>
      <c r="Y101" s="12">
        <f>[1]data!V101-[1]data!V63</f>
        <v>0</v>
      </c>
      <c r="Z101" s="12">
        <f>[1]data!W101-[1]data!W63</f>
        <v>0</v>
      </c>
      <c r="AA101" s="12">
        <f>[1]data!X101-[1]data!X63</f>
        <v>0</v>
      </c>
      <c r="AB101" s="12">
        <f>[1]data!Y101-[1]data!Y63</f>
        <v>0</v>
      </c>
      <c r="AC101" s="12">
        <f>[1]data!Z101-[1]data!Z63</f>
        <v>0</v>
      </c>
      <c r="AD101" s="14">
        <v>97.136073348400004</v>
      </c>
      <c r="AE101" s="15">
        <v>48.216768505140003</v>
      </c>
      <c r="AF101" t="e">
        <f>D101/(D101+H101)</f>
        <v>#DIV/0!</v>
      </c>
      <c r="AG101" t="e">
        <f>(F101/(D101+H101))</f>
        <v>#DIV/0!</v>
      </c>
      <c r="AH101" t="e">
        <f>(E101/(D101+H101))</f>
        <v>#DIV/0!</v>
      </c>
      <c r="AI101" t="e">
        <f>(G101/(D101+H101))</f>
        <v>#DIV/0!</v>
      </c>
      <c r="AJ101" t="e">
        <f>(F101/(D101))</f>
        <v>#DIV/0!</v>
      </c>
      <c r="AK101" t="e">
        <f>E101/D101</f>
        <v>#DIV/0!</v>
      </c>
      <c r="AL101" t="e">
        <f>(H101/(C101+H101))</f>
        <v>#DIV/0!</v>
      </c>
      <c r="AM101" t="e">
        <f>(I101/(D101+H101))</f>
        <v>#DIV/0!</v>
      </c>
      <c r="AN101" t="e">
        <f>(J101/(D101+H101))</f>
        <v>#DIV/0!</v>
      </c>
      <c r="AO101" t="e">
        <f>(I101/H101)</f>
        <v>#DIV/0!</v>
      </c>
      <c r="AP101" t="e">
        <f>J101/H101</f>
        <v>#DIV/0!</v>
      </c>
      <c r="AQ101">
        <f>(D101+H101)/AD101</f>
        <v>0</v>
      </c>
    </row>
    <row r="102" spans="1:43" x14ac:dyDescent="0.35">
      <c r="A102" s="21" t="s">
        <v>52</v>
      </c>
      <c r="B102" s="25" t="s">
        <v>68</v>
      </c>
      <c r="C102" s="28">
        <f t="shared" si="8"/>
        <v>0</v>
      </c>
      <c r="D102" s="12">
        <f>[1]data!C102-[1]data!C64</f>
        <v>0</v>
      </c>
      <c r="E102" s="12">
        <f>[1]data!D102-[1]data!D64</f>
        <v>0</v>
      </c>
      <c r="F102" s="12">
        <f>[1]data!E102-[1]data!E64</f>
        <v>0</v>
      </c>
      <c r="G102" s="12">
        <f>[1]data!F102-[1]data!F64</f>
        <v>0</v>
      </c>
      <c r="H102" s="12">
        <f>[1]data!G102-[1]data!G64</f>
        <v>0</v>
      </c>
      <c r="I102" s="12">
        <f>[1]data!H102-[1]data!H64</f>
        <v>0</v>
      </c>
      <c r="J102" s="12">
        <f>[1]data!I102-[1]data!I64</f>
        <v>0</v>
      </c>
      <c r="K102" s="12">
        <f>[1]data!J102-[1]data!J64</f>
        <v>0</v>
      </c>
      <c r="L102" s="13">
        <f t="shared" si="9"/>
        <v>0</v>
      </c>
      <c r="M102" s="12">
        <f>[1]data!K102-[1]data!K64</f>
        <v>0</v>
      </c>
      <c r="N102" s="13">
        <f t="shared" si="10"/>
        <v>0</v>
      </c>
      <c r="O102" s="13">
        <f t="shared" si="11"/>
        <v>0</v>
      </c>
      <c r="P102" s="12">
        <f>[1]data!M102-[1]data!M64</f>
        <v>0</v>
      </c>
      <c r="Q102" s="12">
        <f>[1]data!N102-[1]data!N64</f>
        <v>0</v>
      </c>
      <c r="R102" s="12">
        <f>[1]data!O102-[1]data!O64</f>
        <v>0</v>
      </c>
      <c r="S102" s="12">
        <f>[1]data!P102-[1]data!P64</f>
        <v>0</v>
      </c>
      <c r="T102" s="12">
        <f>[1]data!Q102-[1]data!Q64</f>
        <v>0</v>
      </c>
      <c r="U102" s="12">
        <f>[1]data!R102-[1]data!R64</f>
        <v>0</v>
      </c>
      <c r="V102" s="12">
        <f>[1]data!S102-[1]data!S64</f>
        <v>0</v>
      </c>
      <c r="W102" s="12">
        <f>[1]data!T102-[1]data!T64</f>
        <v>0</v>
      </c>
      <c r="X102" s="12">
        <f>[1]data!U102-[1]data!U64</f>
        <v>0</v>
      </c>
      <c r="Y102" s="12">
        <f>[1]data!V102-[1]data!V64</f>
        <v>0</v>
      </c>
      <c r="Z102" s="12">
        <f>[1]data!W102-[1]data!W64</f>
        <v>0</v>
      </c>
      <c r="AA102" s="12">
        <f>[1]data!X102-[1]data!X64</f>
        <v>0</v>
      </c>
      <c r="AB102" s="12">
        <f>[1]data!Y102-[1]data!Y64</f>
        <v>0</v>
      </c>
      <c r="AC102" s="12">
        <f>[1]data!Z102-[1]data!Z64</f>
        <v>0</v>
      </c>
      <c r="AD102" s="14">
        <v>66.343484468840003</v>
      </c>
      <c r="AE102" s="15">
        <v>66.557495896739994</v>
      </c>
      <c r="AF102" t="e">
        <f>D102/(D102+H102)</f>
        <v>#DIV/0!</v>
      </c>
      <c r="AG102" t="e">
        <f>(F102/(D102+H102))</f>
        <v>#DIV/0!</v>
      </c>
      <c r="AH102" t="e">
        <f>(E102/(D102+H102))</f>
        <v>#DIV/0!</v>
      </c>
      <c r="AI102" t="e">
        <f>(G102/(D102+H102))</f>
        <v>#DIV/0!</v>
      </c>
      <c r="AJ102" t="e">
        <f>(F102/(D102))</f>
        <v>#DIV/0!</v>
      </c>
      <c r="AK102" t="e">
        <f>E102/D102</f>
        <v>#DIV/0!</v>
      </c>
      <c r="AL102" t="e">
        <f>(H102/(C102+H102))</f>
        <v>#DIV/0!</v>
      </c>
      <c r="AM102" t="e">
        <f>(I102/(D102+H102))</f>
        <v>#DIV/0!</v>
      </c>
      <c r="AN102" t="e">
        <f>(J102/(D102+H102))</f>
        <v>#DIV/0!</v>
      </c>
      <c r="AO102" t="e">
        <f>(I102/H102)</f>
        <v>#DIV/0!</v>
      </c>
      <c r="AP102" t="e">
        <f>J102/H102</f>
        <v>#DIV/0!</v>
      </c>
      <c r="AQ102">
        <f>(D102+H102)/AD102</f>
        <v>0</v>
      </c>
    </row>
    <row r="103" spans="1:43" x14ac:dyDescent="0.35">
      <c r="A103" s="21" t="s">
        <v>53</v>
      </c>
      <c r="B103" s="25" t="s">
        <v>68</v>
      </c>
      <c r="C103" s="28">
        <f t="shared" si="8"/>
        <v>2.604199851592095</v>
      </c>
      <c r="D103" s="12">
        <f>[1]data!C103-[1]data!C65</f>
        <v>6.7094683675636091</v>
      </c>
      <c r="E103" s="12">
        <f>[1]data!D103-[1]data!D65</f>
        <v>3.4647147221616406</v>
      </c>
      <c r="F103" s="12">
        <f>[1]data!E103-[1]data!E65</f>
        <v>3.2447536454019712</v>
      </c>
      <c r="G103" s="12">
        <f>[1]data!F103-[1]data!F65</f>
        <v>-4.1052685159715168</v>
      </c>
      <c r="H103" s="12">
        <f>[1]data!G103-[1]data!G65</f>
        <v>4.2836647687777969</v>
      </c>
      <c r="I103" s="12">
        <f>[1]data!H103-[1]data!H65</f>
        <v>0</v>
      </c>
      <c r="J103" s="12">
        <f>[1]data!I103-[1]data!I65</f>
        <v>4.2836647687777969</v>
      </c>
      <c r="K103" s="12">
        <f>[1]data!J103-[1]data!J65</f>
        <v>0</v>
      </c>
      <c r="L103" s="13">
        <f t="shared" si="9"/>
        <v>0.30993139224383148</v>
      </c>
      <c r="M103" s="12">
        <f>[1]data!K103-[1]data!K65</f>
        <v>0.79850817559321996</v>
      </c>
      <c r="N103" s="13">
        <f t="shared" si="10"/>
        <v>0.23098321425475388</v>
      </c>
      <c r="O103" s="13">
        <f t="shared" si="11"/>
        <v>0.71955999760414291</v>
      </c>
      <c r="P103" s="12">
        <f>[1]data!M103-[1]data!M65</f>
        <v>0.41234310681293096</v>
      </c>
      <c r="Q103" s="12">
        <f>[1]data!N103-[1]data!N65</f>
        <v>0.37157491184103569</v>
      </c>
      <c r="R103" s="12">
        <f>[1]data!O103-[1]data!O65</f>
        <v>0.38616506878028956</v>
      </c>
      <c r="S103" s="12">
        <f>[1]data!P103-[1]data!P65</f>
        <v>0.34798508576310727</v>
      </c>
      <c r="T103" s="12">
        <f>[1]data!Q103-[1]data!Q65</f>
        <v>-0.48857678334938903</v>
      </c>
      <c r="U103" s="12">
        <f>[1]data!R103-[1]data!R65</f>
        <v>-0.44027139583780439</v>
      </c>
      <c r="V103" s="12">
        <f>[1]data!S103-[1]data!S65</f>
        <v>0.50980810281572397</v>
      </c>
      <c r="W103" s="12">
        <f>[1]data!T103-[1]data!T65</f>
        <v>0.45940358339866272</v>
      </c>
      <c r="X103" s="12">
        <f>[1]data!U103-[1]data!U65</f>
        <v>0</v>
      </c>
      <c r="Y103" s="12">
        <f>[1]data!V103-[1]data!V65</f>
        <v>0</v>
      </c>
      <c r="Z103" s="12">
        <f>[1]data!W103-[1]data!W65</f>
        <v>0.50980810281572397</v>
      </c>
      <c r="AA103" s="12">
        <f>[1]data!X103-[1]data!X65</f>
        <v>0.45940358339866272</v>
      </c>
      <c r="AB103" s="12">
        <f>[1]data!Y103-[1]data!Y65</f>
        <v>0</v>
      </c>
      <c r="AC103" s="12">
        <f>[1]data!Z103-[1]data!Z65</f>
        <v>0</v>
      </c>
      <c r="AD103" s="14">
        <v>932.44043441874999</v>
      </c>
      <c r="AE103" s="15">
        <v>840.25042856688003</v>
      </c>
      <c r="AF103">
        <f>D103/(D103+H103)</f>
        <v>0.61033267625798704</v>
      </c>
      <c r="AG103">
        <f>(F103/(D103+H103))</f>
        <v>0.29516186196957572</v>
      </c>
      <c r="AH103">
        <f>(E103/(D103+H103))</f>
        <v>0.31517081428841154</v>
      </c>
      <c r="AI103">
        <f>(G103/(D103+H103))</f>
        <v>-0.37343935209883028</v>
      </c>
      <c r="AJ103">
        <f>(F103/(D103))</f>
        <v>0.48360815904408677</v>
      </c>
      <c r="AK103">
        <f>E103/D103</f>
        <v>0.51639184095591362</v>
      </c>
      <c r="AL103">
        <f>(H103/(C103+H103))</f>
        <v>0.62191477400840023</v>
      </c>
      <c r="AM103">
        <f>(I103/(D103+H103))</f>
        <v>0</v>
      </c>
      <c r="AN103">
        <f>(J103/(D103+H103))</f>
        <v>0.38966732374201296</v>
      </c>
      <c r="AO103">
        <f>(I103/H103)</f>
        <v>0</v>
      </c>
      <c r="AP103">
        <f>J103/H103</f>
        <v>1</v>
      </c>
      <c r="AQ103">
        <f>(D103+H103)/AD103</f>
        <v>1.178963581002805E-2</v>
      </c>
    </row>
    <row r="104" spans="1:43" x14ac:dyDescent="0.35">
      <c r="A104" s="21" t="s">
        <v>54</v>
      </c>
      <c r="B104" s="25" t="s">
        <v>68</v>
      </c>
      <c r="C104" s="28">
        <f t="shared" si="8"/>
        <v>-1.5631513525729281</v>
      </c>
      <c r="D104" s="12">
        <f>[1]data!C104-[1]data!C66</f>
        <v>-1.5631513525729304</v>
      </c>
      <c r="E104" s="12">
        <f>[1]data!D104-[1]data!D66</f>
        <v>0.199134188698951</v>
      </c>
      <c r="F104" s="12">
        <f>[1]data!E104-[1]data!E66</f>
        <v>-1.7622855412718792</v>
      </c>
      <c r="G104" s="12">
        <f>[1]data!F104-[1]data!F66</f>
        <v>0</v>
      </c>
      <c r="H104" s="12">
        <f>[1]data!G104-[1]data!G66</f>
        <v>0.14987911249498698</v>
      </c>
      <c r="I104" s="12">
        <f>[1]data!H104-[1]data!H66</f>
        <v>7.4029359208051648E-2</v>
      </c>
      <c r="J104" s="12">
        <f>[1]data!I104-[1]data!I66</f>
        <v>7.5849753286935329E-2</v>
      </c>
      <c r="K104" s="12">
        <f>[1]data!J104-[1]data!J66</f>
        <v>0</v>
      </c>
      <c r="L104" s="13">
        <f t="shared" si="9"/>
        <v>-0.77025642118408777</v>
      </c>
      <c r="M104" s="12">
        <f>[1]data!K104-[1]data!K66</f>
        <v>-0.7702564211840901</v>
      </c>
      <c r="N104" s="13">
        <f t="shared" si="10"/>
        <v>-0.8058569311697279</v>
      </c>
      <c r="O104" s="13">
        <f t="shared" si="11"/>
        <v>-0.8058569311697279</v>
      </c>
      <c r="P104" s="12">
        <f>[1]data!M104-[1]data!M66</f>
        <v>9.8125103029966881E-2</v>
      </c>
      <c r="Q104" s="12">
        <f>[1]data!N104-[1]data!N66</f>
        <v>0.10266035079186195</v>
      </c>
      <c r="R104" s="12">
        <f>[1]data!O104-[1]data!O66</f>
        <v>-0.86838152421405468</v>
      </c>
      <c r="S104" s="12">
        <f>[1]data!P104-[1]data!P66</f>
        <v>-0.90851728196158987</v>
      </c>
      <c r="T104" s="12">
        <f>[1]data!Q104-[1]data!Q66</f>
        <v>0</v>
      </c>
      <c r="U104" s="12">
        <f>[1]data!R104-[1]data!R66</f>
        <v>0</v>
      </c>
      <c r="V104" s="12">
        <f>[1]data!S104-[1]data!S66</f>
        <v>7.3854235938582757E-2</v>
      </c>
      <c r="W104" s="12">
        <f>[1]data!T104-[1]data!T66</f>
        <v>7.726770759776258E-2</v>
      </c>
      <c r="X104" s="12">
        <f>[1]data!U104-[1]data!U66</f>
        <v>3.647861046359191E-2</v>
      </c>
      <c r="Y104" s="12">
        <f>[1]data!V104-[1]data!V66</f>
        <v>3.8164616708207477E-2</v>
      </c>
      <c r="Z104" s="12">
        <f>[1]data!W104-[1]data!W66</f>
        <v>3.7375625474990848E-2</v>
      </c>
      <c r="AA104" s="12">
        <f>[1]data!X104-[1]data!X66</f>
        <v>3.9103090889555325E-2</v>
      </c>
      <c r="AB104" s="12">
        <f>[1]data!Y104-[1]data!Y66</f>
        <v>0</v>
      </c>
      <c r="AC104" s="12">
        <f>[1]data!Z104-[1]data!Z66</f>
        <v>0</v>
      </c>
      <c r="AD104" s="14">
        <v>193.97380504054999</v>
      </c>
      <c r="AE104" s="15">
        <v>202.93908750153</v>
      </c>
      <c r="AF104">
        <f>D104/(D104+H104)</f>
        <v>1.1060511260638084</v>
      </c>
      <c r="AG104">
        <f>(F104/(D104+H104))</f>
        <v>1.2469540484108621</v>
      </c>
      <c r="AH104">
        <f>(E104/(D104+H104))</f>
        <v>-0.14090292234705504</v>
      </c>
      <c r="AI104">
        <f>(G104/(D104+H104))</f>
        <v>0</v>
      </c>
      <c r="AJ104">
        <f>(F104/(D104))</f>
        <v>1.1273927750957551</v>
      </c>
      <c r="AK104">
        <f>E104/D104</f>
        <v>-0.12739277509575656</v>
      </c>
      <c r="AL104">
        <f>(H104/(C104+H104))</f>
        <v>-0.10605112606380865</v>
      </c>
      <c r="AM104">
        <f>(I104/(D104+H104))</f>
        <v>-5.2381527853380079E-2</v>
      </c>
      <c r="AN104">
        <f>(J104/(D104+H104))</f>
        <v>-5.3669598210428403E-2</v>
      </c>
      <c r="AO104">
        <f>(I104/H104)</f>
        <v>0.4939271255060822</v>
      </c>
      <c r="AP104">
        <f>J104/H104</f>
        <v>0.5060728744939178</v>
      </c>
      <c r="AQ104">
        <f>(D104+H104)/AD104</f>
        <v>-7.2858922357196664E-3</v>
      </c>
    </row>
    <row r="105" spans="1:43" x14ac:dyDescent="0.35">
      <c r="A105" s="21" t="s">
        <v>55</v>
      </c>
      <c r="B105" s="25" t="s">
        <v>68</v>
      </c>
      <c r="C105" s="28">
        <f t="shared" si="8"/>
        <v>0</v>
      </c>
      <c r="D105" s="12">
        <f>[1]data!C105-[1]data!C67</f>
        <v>-8.1</v>
      </c>
      <c r="E105" s="12">
        <f>[1]data!D105-[1]data!D67</f>
        <v>0</v>
      </c>
      <c r="F105" s="12">
        <v>0</v>
      </c>
      <c r="G105" s="12">
        <f>[1]data!F105-[1]data!F67</f>
        <v>0</v>
      </c>
      <c r="H105" s="12">
        <f>[1]data!G105-[1]data!G67</f>
        <v>1.3754229037270846</v>
      </c>
      <c r="I105" s="12">
        <f>[1]data!H105-[1]data!H67</f>
        <v>0.38291283511333063</v>
      </c>
      <c r="J105" s="12">
        <f>[1]data!I105-[1]data!I67</f>
        <v>0.99251006861375402</v>
      </c>
      <c r="K105" s="12">
        <f>[1]data!J105-[1]data!J67</f>
        <v>0</v>
      </c>
      <c r="L105" s="13">
        <f t="shared" si="9"/>
        <v>-1.9744090578931335</v>
      </c>
      <c r="M105" s="12">
        <f>[1]data!K105-[1]data!K67</f>
        <v>-1.9744090578931335</v>
      </c>
      <c r="N105" s="13">
        <f t="shared" si="10"/>
        <v>-2.4511712488266704</v>
      </c>
      <c r="O105" s="13">
        <f t="shared" si="11"/>
        <v>-2.4511712488266704</v>
      </c>
      <c r="P105" s="12">
        <f>[1]data!M105-[1]data!M67</f>
        <v>0</v>
      </c>
      <c r="Q105" s="12">
        <f>[1]data!N105-[1]data!N67</f>
        <v>0</v>
      </c>
      <c r="R105" s="12">
        <f>[1]data!O105-[1]data!O67</f>
        <v>-1.9744090578931335</v>
      </c>
      <c r="S105" s="12">
        <f>[1]data!P105-[1]data!P67</f>
        <v>-2.4511712488266704</v>
      </c>
      <c r="T105" s="12">
        <f>[1]data!Q105-[1]data!Q67</f>
        <v>0</v>
      </c>
      <c r="U105" s="12">
        <f>[1]data!R105-[1]data!R67</f>
        <v>0</v>
      </c>
      <c r="V105" s="12">
        <f>[1]data!S105-[1]data!S67</f>
        <v>0.33526511599412778</v>
      </c>
      <c r="W105" s="12">
        <f>[1]data!T105-[1]data!T67</f>
        <v>0.416221861307843</v>
      </c>
      <c r="X105" s="12">
        <f>[1]data!U105-[1]data!U67</f>
        <v>9.3336613584110939E-2</v>
      </c>
      <c r="Y105" s="12">
        <f>[1]data!V105-[1]data!V67</f>
        <v>0.1158746829921613</v>
      </c>
      <c r="Z105" s="12">
        <f>[1]data!W105-[1]data!W67</f>
        <v>0.24192850241001684</v>
      </c>
      <c r="AA105" s="12">
        <f>[1]data!X105-[1]data!X67</f>
        <v>0.3003471783156817</v>
      </c>
      <c r="AB105" s="12">
        <f>[1]data!Y105-[1]data!Y67</f>
        <v>0</v>
      </c>
      <c r="AC105" s="12">
        <f>[1]data!Z105-[1]data!Z67</f>
        <v>0</v>
      </c>
      <c r="AD105" s="14">
        <v>330.45426768437</v>
      </c>
      <c r="AE105" s="15">
        <v>410.24933347112</v>
      </c>
      <c r="AF105">
        <f>D105/(D105+H105)</f>
        <v>1.2045367142105352</v>
      </c>
      <c r="AG105">
        <f>(F105/(D105+H105))</f>
        <v>0</v>
      </c>
      <c r="AH105">
        <f>(E105/(D105+H105))</f>
        <v>0</v>
      </c>
      <c r="AI105">
        <f>(G105/(D105+H105))</f>
        <v>0</v>
      </c>
      <c r="AJ105">
        <f>(F105/(D105))</f>
        <v>0</v>
      </c>
      <c r="AK105">
        <f>E105/D105</f>
        <v>0</v>
      </c>
      <c r="AL105">
        <f>(H105/(C105+H105))</f>
        <v>1</v>
      </c>
      <c r="AM105">
        <f>(I105/(D105+H105))</f>
        <v>-5.6942292374870591E-2</v>
      </c>
      <c r="AN105">
        <f>(J105/(D105+H105))</f>
        <v>-0.14759442183566474</v>
      </c>
      <c r="AO105">
        <f>(I105/H105)</f>
        <v>0.27839643652561225</v>
      </c>
      <c r="AP105">
        <f>J105/H105</f>
        <v>0.7216035634743877</v>
      </c>
      <c r="AQ105">
        <f>(D105+H105)/AD105</f>
        <v>-2.0349493875188279E-2</v>
      </c>
    </row>
    <row r="106" spans="1:43" x14ac:dyDescent="0.35">
      <c r="A106" s="21" t="s">
        <v>56</v>
      </c>
      <c r="B106" s="25" t="s">
        <v>68</v>
      </c>
      <c r="C106" s="28">
        <f t="shared" si="8"/>
        <v>0</v>
      </c>
      <c r="D106" s="12">
        <f>[1]data!C106-[1]data!C68</f>
        <v>0</v>
      </c>
      <c r="E106" s="12">
        <f>[1]data!D106-[1]data!D68</f>
        <v>0</v>
      </c>
      <c r="F106" s="12">
        <f>[1]data!E106-[1]data!E68</f>
        <v>0</v>
      </c>
      <c r="G106" s="12">
        <f>[1]data!F106-[1]data!F68</f>
        <v>0</v>
      </c>
      <c r="H106" s="12">
        <f>[1]data!G106-[1]data!G68</f>
        <v>0</v>
      </c>
      <c r="I106" s="12">
        <f>[1]data!H106-[1]data!H68</f>
        <v>0</v>
      </c>
      <c r="J106" s="12">
        <f>[1]data!I106-[1]data!I68</f>
        <v>0</v>
      </c>
      <c r="K106" s="12">
        <f>[1]data!J106-[1]data!J68</f>
        <v>0</v>
      </c>
      <c r="L106" s="13">
        <f t="shared" si="9"/>
        <v>0</v>
      </c>
      <c r="M106" s="12">
        <f>[1]data!K106-[1]data!K68</f>
        <v>0</v>
      </c>
      <c r="N106" s="13">
        <f t="shared" si="10"/>
        <v>0</v>
      </c>
      <c r="O106" s="13">
        <f t="shared" si="11"/>
        <v>0</v>
      </c>
      <c r="P106" s="12">
        <f>[1]data!M106-[1]data!M68</f>
        <v>0</v>
      </c>
      <c r="Q106" s="12">
        <f>[1]data!N106-[1]data!N68</f>
        <v>0</v>
      </c>
      <c r="R106" s="12">
        <f>[1]data!O106-[1]data!O68</f>
        <v>0</v>
      </c>
      <c r="S106" s="12">
        <f>[1]data!P106-[1]data!P68</f>
        <v>0</v>
      </c>
      <c r="T106" s="12">
        <f>[1]data!Q106-[1]data!Q68</f>
        <v>0</v>
      </c>
      <c r="U106" s="12">
        <f>[1]data!R106-[1]data!R68</f>
        <v>0</v>
      </c>
      <c r="V106" s="12">
        <f>[1]data!S106-[1]data!S68</f>
        <v>0</v>
      </c>
      <c r="W106" s="12">
        <f>[1]data!T106-[1]data!T68</f>
        <v>0</v>
      </c>
      <c r="X106" s="12">
        <f>[1]data!U106-[1]data!U68</f>
        <v>0</v>
      </c>
      <c r="Y106" s="12">
        <f>[1]data!V106-[1]data!V68</f>
        <v>0</v>
      </c>
      <c r="Z106" s="12">
        <f>[1]data!W106-[1]data!W68</f>
        <v>0</v>
      </c>
      <c r="AA106" s="12">
        <f>[1]data!X106-[1]data!X68</f>
        <v>0</v>
      </c>
      <c r="AB106" s="12">
        <f>[1]data!Y106-[1]data!Y68</f>
        <v>0</v>
      </c>
      <c r="AC106" s="12">
        <f>[1]data!Z106-[1]data!Z68</f>
        <v>0</v>
      </c>
      <c r="AD106" s="14">
        <v>341.21592570296002</v>
      </c>
      <c r="AE106" s="15">
        <v>222.36238134761999</v>
      </c>
      <c r="AF106" t="e">
        <f>D106/(D106+H106)</f>
        <v>#DIV/0!</v>
      </c>
      <c r="AG106" t="e">
        <f>(F106/(D106+H106))</f>
        <v>#DIV/0!</v>
      </c>
      <c r="AH106" t="e">
        <f>(E106/(D106+H106))</f>
        <v>#DIV/0!</v>
      </c>
      <c r="AI106" t="e">
        <f>(G106/(D106+H106))</f>
        <v>#DIV/0!</v>
      </c>
      <c r="AJ106" t="e">
        <f>(F106/(D106))</f>
        <v>#DIV/0!</v>
      </c>
      <c r="AK106" t="e">
        <f>E106/D106</f>
        <v>#DIV/0!</v>
      </c>
      <c r="AL106" t="e">
        <f>(H106/(C106+H106))</f>
        <v>#DIV/0!</v>
      </c>
      <c r="AM106" t="e">
        <f>(I106/(D106+H106))</f>
        <v>#DIV/0!</v>
      </c>
      <c r="AN106" t="e">
        <f>(J106/(D106+H106))</f>
        <v>#DIV/0!</v>
      </c>
      <c r="AO106" t="e">
        <f>(I106/H106)</f>
        <v>#DIV/0!</v>
      </c>
      <c r="AP106" t="e">
        <f>J106/H106</f>
        <v>#DIV/0!</v>
      </c>
      <c r="AQ106">
        <f>(D106+H106)/AD106</f>
        <v>0</v>
      </c>
    </row>
    <row r="107" spans="1:43" x14ac:dyDescent="0.35">
      <c r="A107" s="21" t="s">
        <v>57</v>
      </c>
      <c r="B107" s="25" t="s">
        <v>68</v>
      </c>
      <c r="C107" s="28">
        <f t="shared" si="8"/>
        <v>0</v>
      </c>
      <c r="D107" s="12">
        <f>[1]data!C107-[1]data!C69</f>
        <v>0</v>
      </c>
      <c r="E107" s="12">
        <f>[1]data!D107-[1]data!D69</f>
        <v>0</v>
      </c>
      <c r="F107" s="12">
        <f>[1]data!E107-[1]data!E69</f>
        <v>0</v>
      </c>
      <c r="G107" s="12">
        <f>[1]data!F107-[1]data!F69</f>
        <v>0</v>
      </c>
      <c r="H107" s="12">
        <f>[1]data!G107-[1]data!G69</f>
        <v>0</v>
      </c>
      <c r="I107" s="12">
        <f>[1]data!H107-[1]data!H69</f>
        <v>0</v>
      </c>
      <c r="J107" s="12">
        <f>[1]data!I107-[1]data!I69</f>
        <v>0</v>
      </c>
      <c r="K107" s="12">
        <f>[1]data!J107-[1]data!J69</f>
        <v>0</v>
      </c>
      <c r="L107" s="13">
        <f t="shared" si="9"/>
        <v>0</v>
      </c>
      <c r="M107" s="12">
        <f>[1]data!K107-[1]data!K69</f>
        <v>0</v>
      </c>
      <c r="N107" s="13">
        <f t="shared" si="10"/>
        <v>0</v>
      </c>
      <c r="O107" s="13">
        <f t="shared" si="11"/>
        <v>0</v>
      </c>
      <c r="P107" s="12">
        <f>[1]data!M107-[1]data!M69</f>
        <v>0</v>
      </c>
      <c r="Q107" s="12">
        <f>[1]data!N107-[1]data!N69</f>
        <v>0</v>
      </c>
      <c r="R107" s="12">
        <f>[1]data!O107-[1]data!O69</f>
        <v>0</v>
      </c>
      <c r="S107" s="12">
        <f>[1]data!P107-[1]data!P69</f>
        <v>0</v>
      </c>
      <c r="T107" s="12">
        <f>[1]data!Q107-[1]data!Q69</f>
        <v>0</v>
      </c>
      <c r="U107" s="12">
        <f>[1]data!R107-[1]data!R69</f>
        <v>0</v>
      </c>
      <c r="V107" s="12">
        <f>[1]data!S107-[1]data!S69</f>
        <v>0</v>
      </c>
      <c r="W107" s="12">
        <f>[1]data!T107-[1]data!T69</f>
        <v>0</v>
      </c>
      <c r="X107" s="12">
        <f>[1]data!U107-[1]data!U69</f>
        <v>0</v>
      </c>
      <c r="Y107" s="12">
        <f>[1]data!V107-[1]data!V69</f>
        <v>0</v>
      </c>
      <c r="Z107" s="12">
        <f>[1]data!W107-[1]data!W69</f>
        <v>0</v>
      </c>
      <c r="AA107" s="12">
        <f>[1]data!X107-[1]data!X69</f>
        <v>0</v>
      </c>
      <c r="AB107" s="12">
        <f>[1]data!Y107-[1]data!Y69</f>
        <v>0</v>
      </c>
      <c r="AC107" s="12">
        <f>[1]data!Z107-[1]data!Z69</f>
        <v>0</v>
      </c>
      <c r="AD107" s="14">
        <v>181.71174374815001</v>
      </c>
      <c r="AE107" s="15">
        <v>99.489061173690004</v>
      </c>
      <c r="AF107" t="e">
        <f>D107/(D107+H107)</f>
        <v>#DIV/0!</v>
      </c>
      <c r="AG107" t="e">
        <f>(F107/(D107+H107))</f>
        <v>#DIV/0!</v>
      </c>
      <c r="AH107" t="e">
        <f>(E107/(D107+H107))</f>
        <v>#DIV/0!</v>
      </c>
      <c r="AI107" t="e">
        <f>(G107/(D107+H107))</f>
        <v>#DIV/0!</v>
      </c>
      <c r="AJ107" t="e">
        <f>(F107/(D107))</f>
        <v>#DIV/0!</v>
      </c>
      <c r="AK107" t="e">
        <f>E107/D107</f>
        <v>#DIV/0!</v>
      </c>
      <c r="AL107" t="e">
        <f>(H107/(C107+H107))</f>
        <v>#DIV/0!</v>
      </c>
      <c r="AM107" t="e">
        <f>(I107/(D107+H107))</f>
        <v>#DIV/0!</v>
      </c>
      <c r="AN107" t="e">
        <f>(J107/(D107+H107))</f>
        <v>#DIV/0!</v>
      </c>
      <c r="AO107" t="e">
        <f>(I107/H107)</f>
        <v>#DIV/0!</v>
      </c>
      <c r="AP107" t="e">
        <f>J107/H107</f>
        <v>#DIV/0!</v>
      </c>
      <c r="AQ107">
        <f>(D107+H107)/AD107</f>
        <v>0</v>
      </c>
    </row>
    <row r="108" spans="1:43" x14ac:dyDescent="0.35">
      <c r="A108" s="21" t="s">
        <v>58</v>
      </c>
      <c r="B108" s="25" t="s">
        <v>68</v>
      </c>
      <c r="C108" s="28">
        <f t="shared" si="8"/>
        <v>0</v>
      </c>
      <c r="D108" s="12">
        <f>[1]data!C108-[1]data!C70</f>
        <v>0</v>
      </c>
      <c r="E108" s="12">
        <f>[1]data!D108-[1]data!D70</f>
        <v>0</v>
      </c>
      <c r="F108" s="12">
        <f>[1]data!E108-[1]data!E70</f>
        <v>0</v>
      </c>
      <c r="G108" s="12">
        <f>[1]data!F108-[1]data!F70</f>
        <v>0</v>
      </c>
      <c r="H108" s="12">
        <f>[1]data!G108-[1]data!G70</f>
        <v>0</v>
      </c>
      <c r="I108" s="12">
        <f>[1]data!H108-[1]data!H70</f>
        <v>0</v>
      </c>
      <c r="J108" s="12">
        <f>[1]data!I108-[1]data!I70</f>
        <v>0</v>
      </c>
      <c r="K108" s="12">
        <f>[1]data!J108-[1]data!J70</f>
        <v>0</v>
      </c>
      <c r="L108" s="13">
        <f t="shared" si="9"/>
        <v>0</v>
      </c>
      <c r="M108" s="12">
        <f>[1]data!K108-[1]data!K70</f>
        <v>0</v>
      </c>
      <c r="N108" s="13">
        <f t="shared" si="10"/>
        <v>0</v>
      </c>
      <c r="O108" s="13">
        <f t="shared" si="11"/>
        <v>0</v>
      </c>
      <c r="P108" s="12">
        <f>[1]data!M108-[1]data!M70</f>
        <v>0</v>
      </c>
      <c r="Q108" s="12">
        <f>[1]data!N108-[1]data!N70</f>
        <v>0</v>
      </c>
      <c r="R108" s="12">
        <f>[1]data!O108-[1]data!O70</f>
        <v>0</v>
      </c>
      <c r="S108" s="12">
        <f>[1]data!P108-[1]data!P70</f>
        <v>0</v>
      </c>
      <c r="T108" s="12">
        <f>[1]data!Q108-[1]data!Q70</f>
        <v>0</v>
      </c>
      <c r="U108" s="12">
        <f>[1]data!R108-[1]data!R70</f>
        <v>0</v>
      </c>
      <c r="V108" s="12">
        <f>[1]data!S108-[1]data!S70</f>
        <v>0</v>
      </c>
      <c r="W108" s="12">
        <f>[1]data!T108-[1]data!T70</f>
        <v>0</v>
      </c>
      <c r="X108" s="12">
        <f>[1]data!U108-[1]data!U70</f>
        <v>0</v>
      </c>
      <c r="Y108" s="12">
        <f>[1]data!V108-[1]data!V70</f>
        <v>0</v>
      </c>
      <c r="Z108" s="12">
        <f>[1]data!W108-[1]data!W70</f>
        <v>0</v>
      </c>
      <c r="AA108" s="12">
        <f>[1]data!X108-[1]data!X70</f>
        <v>0</v>
      </c>
      <c r="AB108" s="12">
        <f>[1]data!Y108-[1]data!Y70</f>
        <v>0</v>
      </c>
      <c r="AC108" s="12">
        <f>[1]data!Z108-[1]data!Z70</f>
        <v>0</v>
      </c>
      <c r="AD108" s="14">
        <v>76.037366075549997</v>
      </c>
      <c r="AE108" s="15">
        <v>50.417977728389999</v>
      </c>
      <c r="AF108" t="e">
        <f>D108/(D108+H108)</f>
        <v>#DIV/0!</v>
      </c>
      <c r="AG108" t="e">
        <f>(F108/(D108+H108))</f>
        <v>#DIV/0!</v>
      </c>
      <c r="AH108" t="e">
        <f>(E108/(D108+H108))</f>
        <v>#DIV/0!</v>
      </c>
      <c r="AI108" t="e">
        <f>(G108/(D108+H108))</f>
        <v>#DIV/0!</v>
      </c>
      <c r="AJ108" t="e">
        <f>(F108/(D108))</f>
        <v>#DIV/0!</v>
      </c>
      <c r="AK108" t="e">
        <f>E108/D108</f>
        <v>#DIV/0!</v>
      </c>
      <c r="AL108" t="e">
        <f>(H108/(C108+H108))</f>
        <v>#DIV/0!</v>
      </c>
      <c r="AM108" t="e">
        <f>(I108/(D108+H108))</f>
        <v>#DIV/0!</v>
      </c>
      <c r="AN108" t="e">
        <f>(J108/(D108+H108))</f>
        <v>#DIV/0!</v>
      </c>
      <c r="AO108" t="e">
        <f>(I108/H108)</f>
        <v>#DIV/0!</v>
      </c>
      <c r="AP108" t="e">
        <f>J108/H108</f>
        <v>#DIV/0!</v>
      </c>
      <c r="AQ108">
        <f>(D108+H108)/AD108</f>
        <v>0</v>
      </c>
    </row>
    <row r="109" spans="1:43" x14ac:dyDescent="0.35">
      <c r="A109" s="17" t="s">
        <v>59</v>
      </c>
      <c r="B109" s="24" t="s">
        <v>68</v>
      </c>
      <c r="C109" s="28">
        <f t="shared" si="8"/>
        <v>2.8049063918750297</v>
      </c>
      <c r="D109" s="12">
        <f>[1]data!C109-[1]data!C71</f>
        <v>2.6442336933321684</v>
      </c>
      <c r="E109" s="12">
        <f>[1]data!D109-[1]data!D71</f>
        <v>0.71001324529060439</v>
      </c>
      <c r="F109" s="12">
        <f>[1]data!E109-[1]data!E71</f>
        <v>1.9342204480415646</v>
      </c>
      <c r="G109" s="12">
        <f>[1]data!F109-[1]data!F71</f>
        <v>0.16067269854286081</v>
      </c>
      <c r="H109" s="12">
        <f>[1]data!G109-[1]data!G71</f>
        <v>5.0533623042457521</v>
      </c>
      <c r="I109" s="12">
        <f>[1]data!H109-[1]data!H71</f>
        <v>1.272990789428851</v>
      </c>
      <c r="J109" s="12">
        <f>[1]data!I109-[1]data!I71</f>
        <v>3.7803715148169026</v>
      </c>
      <c r="K109" s="12">
        <f>[1]data!J109-[1]data!J71</f>
        <v>0</v>
      </c>
      <c r="L109" s="13">
        <f t="shared" si="9"/>
        <v>0.51014874905237528</v>
      </c>
      <c r="M109" s="12">
        <f>[1]data!K109-[1]data!K71</f>
        <v>0.48092603545097301</v>
      </c>
      <c r="N109" s="13">
        <f t="shared" si="10"/>
        <v>0.53674879836924283</v>
      </c>
      <c r="O109" s="13">
        <f t="shared" si="11"/>
        <v>0.50752608476784011</v>
      </c>
      <c r="P109" s="12">
        <f>[1]data!M109-[1]data!M71</f>
        <v>0.129135278790351</v>
      </c>
      <c r="Q109" s="12">
        <f>[1]data!N109-[1]data!N71</f>
        <v>0.13627775919515969</v>
      </c>
      <c r="R109" s="12">
        <f>[1]data!O109-[1]data!O71</f>
        <v>0.35179075666062154</v>
      </c>
      <c r="S109" s="12">
        <f>[1]data!P109-[1]data!P71</f>
        <v>0.37124832557268039</v>
      </c>
      <c r="T109" s="12">
        <f>[1]data!Q109-[1]data!Q71</f>
        <v>2.9222713601402717E-2</v>
      </c>
      <c r="U109" s="12">
        <f>[1]data!R109-[1]data!R71</f>
        <v>3.0839023731590309E-2</v>
      </c>
      <c r="V109" s="12">
        <f>[1]data!S109-[1]data!S71</f>
        <v>0.91909179767531501</v>
      </c>
      <c r="W109" s="12">
        <f>[1]data!T109-[1]data!T71</f>
        <v>0.96992682290319099</v>
      </c>
      <c r="X109" s="12">
        <f>[1]data!U109-[1]data!U71</f>
        <v>0.23152810399073692</v>
      </c>
      <c r="Y109" s="12">
        <f>[1]data!V109-[1]data!V71</f>
        <v>0.24433393800764469</v>
      </c>
      <c r="Z109" s="12">
        <f>[1]data!W109-[1]data!W71</f>
        <v>0.68756369368457815</v>
      </c>
      <c r="AA109" s="12">
        <f>[1]data!X109-[1]data!X71</f>
        <v>0.72559288489554596</v>
      </c>
      <c r="AB109" s="12">
        <f>[1]data!Y109-[1]data!Y71</f>
        <v>0</v>
      </c>
      <c r="AC109" s="12">
        <f>[1]data!Z109-[1]data!Z71</f>
        <v>0</v>
      </c>
      <c r="AD109" s="14">
        <v>521.00449074291998</v>
      </c>
      <c r="AE109" s="15">
        <v>549.82128194673999</v>
      </c>
      <c r="AF109">
        <f>D109/(D109+H109)</f>
        <v>0.34351422108463309</v>
      </c>
      <c r="AG109">
        <f>(F109/(D109+H109))</f>
        <v>0.25127591116111769</v>
      </c>
      <c r="AH109">
        <f>(E109/(D109+H109))</f>
        <v>9.2238309923515463E-2</v>
      </c>
      <c r="AI109">
        <f>(G109/(D109+H109))</f>
        <v>2.0873100977684089E-2</v>
      </c>
      <c r="AJ109">
        <f>(F109/(D109))</f>
        <v>0.73148619689666283</v>
      </c>
      <c r="AK109">
        <f>E109/D109</f>
        <v>0.26851380310333733</v>
      </c>
      <c r="AL109">
        <f>(H109/(C109+H109))</f>
        <v>0.64306305875495628</v>
      </c>
      <c r="AM109">
        <f>(I109/(D109+H109))</f>
        <v>0.16537511059678928</v>
      </c>
      <c r="AN109">
        <f>(J109/(D109+H109))</f>
        <v>0.49111066831857786</v>
      </c>
      <c r="AO109">
        <f>(I109/H109)</f>
        <v>0.25190966188181385</v>
      </c>
      <c r="AP109">
        <f>J109/H109</f>
        <v>0.74809033811818648</v>
      </c>
      <c r="AQ109">
        <f>(D109+H109)/AD109</f>
        <v>1.4774529076710313E-2</v>
      </c>
    </row>
    <row r="110" spans="1:43" x14ac:dyDescent="0.35">
      <c r="A110" s="17" t="s">
        <v>60</v>
      </c>
      <c r="B110" s="24" t="s">
        <v>68</v>
      </c>
      <c r="C110" s="28">
        <f t="shared" si="8"/>
        <v>1.8004263575689254</v>
      </c>
      <c r="D110" s="12">
        <f>[1]data!C110-[1]data!C72</f>
        <v>1.8004263575689272</v>
      </c>
      <c r="E110" s="12">
        <f>[1]data!D110-[1]data!D72</f>
        <v>7.9844312796973682E-2</v>
      </c>
      <c r="F110" s="12">
        <f>[1]data!E110-[1]data!E72</f>
        <v>1.7205820447719518</v>
      </c>
      <c r="G110" s="12">
        <f>[1]data!F110-[1]data!F72</f>
        <v>0</v>
      </c>
      <c r="H110" s="12">
        <f>[1]data!G110-[1]data!G72</f>
        <v>2.2594733452900257</v>
      </c>
      <c r="I110" s="12">
        <f>[1]data!H110-[1]data!H72</f>
        <v>1.014811784017208</v>
      </c>
      <c r="J110" s="12">
        <f>[1]data!I110-[1]data!I72</f>
        <v>1.2446615612728209</v>
      </c>
      <c r="K110" s="12">
        <f>[1]data!J110-[1]data!J72</f>
        <v>0</v>
      </c>
      <c r="L110" s="13">
        <f t="shared" si="9"/>
        <v>0.24098551496158144</v>
      </c>
      <c r="M110" s="12">
        <f>[1]data!K110-[1]data!K72</f>
        <v>0.24098551496158116</v>
      </c>
      <c r="N110" s="13">
        <f t="shared" si="10"/>
        <v>0.30473646432983237</v>
      </c>
      <c r="O110" s="13">
        <f t="shared" si="11"/>
        <v>0.30473646432983237</v>
      </c>
      <c r="P110" s="12">
        <f>[1]data!M110-[1]data!M72</f>
        <v>1.0687092396332976E-2</v>
      </c>
      <c r="Q110" s="12">
        <f>[1]data!N110-[1]data!N72</f>
        <v>1.3514284256229803E-2</v>
      </c>
      <c r="R110" s="12">
        <f>[1]data!O110-[1]data!O72</f>
        <v>0.23029842256524846</v>
      </c>
      <c r="S110" s="12">
        <f>[1]data!P110-[1]data!P72</f>
        <v>0.29122218007360257</v>
      </c>
      <c r="T110" s="12">
        <f>[1]data!Q110-[1]data!Q72</f>
        <v>0</v>
      </c>
      <c r="U110" s="12">
        <f>[1]data!R110-[1]data!R72</f>
        <v>0</v>
      </c>
      <c r="V110" s="12">
        <f>[1]data!S110-[1]data!S72</f>
        <v>0.30242855830655113</v>
      </c>
      <c r="W110" s="12">
        <f>[1]data!T110-[1]data!T72</f>
        <v>0.38243381385557296</v>
      </c>
      <c r="X110" s="12">
        <f>[1]data!U110-[1]data!U72</f>
        <v>0.13583168194154041</v>
      </c>
      <c r="Y110" s="12">
        <f>[1]data!V110-[1]data!V72</f>
        <v>0.17176495651798102</v>
      </c>
      <c r="Z110" s="12">
        <f>[1]data!W110-[1]data!W72</f>
        <v>0.16659687636501097</v>
      </c>
      <c r="AA110" s="12">
        <f>[1]data!X110-[1]data!X72</f>
        <v>0.21066885733759211</v>
      </c>
      <c r="AB110" s="12">
        <f>[1]data!Y110-[1]data!Y72</f>
        <v>0</v>
      </c>
      <c r="AC110" s="12">
        <f>[1]data!Z110-[1]data!Z72</f>
        <v>0</v>
      </c>
      <c r="AD110" s="14">
        <v>590.81421763174001</v>
      </c>
      <c r="AE110" s="15">
        <v>747.10978286638999</v>
      </c>
      <c r="AF110">
        <f>D110/(D110+H110)</f>
        <v>0.44346572313130778</v>
      </c>
      <c r="AG110">
        <f>(F110/(D110+H110))</f>
        <v>0.42379915039781152</v>
      </c>
      <c r="AH110">
        <f>(E110/(D110+H110))</f>
        <v>1.9666572733495823E-2</v>
      </c>
      <c r="AI110">
        <f>(G110/(D110+H110))</f>
        <v>0</v>
      </c>
      <c r="AJ110">
        <f>(F110/(D110))</f>
        <v>0.95565255281821837</v>
      </c>
      <c r="AK110">
        <f>E110/D110</f>
        <v>4.434744718178063E-2</v>
      </c>
      <c r="AL110">
        <f>(H110/(C110+H110))</f>
        <v>0.5565342768686925</v>
      </c>
      <c r="AM110">
        <f>(I110/(D110+H110))</f>
        <v>0.24995981632319256</v>
      </c>
      <c r="AN110">
        <f>(J110/(D110+H110))</f>
        <v>0.30657446054550042</v>
      </c>
      <c r="AO110">
        <f>(I110/H110)</f>
        <v>0.44913642647417329</v>
      </c>
      <c r="AP110">
        <f>J110/H110</f>
        <v>0.55086357352582815</v>
      </c>
      <c r="AQ110">
        <f>(D110+H110)/AD110</f>
        <v>6.8717027818540515E-3</v>
      </c>
    </row>
    <row r="111" spans="1:43" x14ac:dyDescent="0.35">
      <c r="A111" s="11" t="s">
        <v>61</v>
      </c>
      <c r="B111" s="24" t="s">
        <v>68</v>
      </c>
      <c r="C111" s="28">
        <f t="shared" si="8"/>
        <v>4.192131820042615</v>
      </c>
      <c r="D111" s="12">
        <f>[1]data!C111-[1]data!C73</f>
        <v>2.3892134593666938</v>
      </c>
      <c r="E111" s="12">
        <f>[1]data!D111-[1]data!D73</f>
        <v>2.5366516631069258E-2</v>
      </c>
      <c r="F111" s="12">
        <f>[1]data!E111-[1]data!E73</f>
        <v>2.3638469427356235</v>
      </c>
      <c r="G111" s="12">
        <f>[1]data!F111-[1]data!F73</f>
        <v>1.8029183606759216</v>
      </c>
      <c r="H111" s="12">
        <f>[1]data!G111-[1]data!G73</f>
        <v>-5.5944951681043253</v>
      </c>
      <c r="I111" s="12">
        <f>[1]data!H111-[1]data!H73</f>
        <v>-2.582074692971227</v>
      </c>
      <c r="J111" s="12">
        <f>[1]data!I111-[1]data!I73</f>
        <v>-3.0124204751330983</v>
      </c>
      <c r="K111" s="12">
        <f>[1]data!J111-[1]data!J73</f>
        <v>5.6145524312524948</v>
      </c>
      <c r="L111" s="13">
        <f t="shared" si="9"/>
        <v>1.6002979475079875</v>
      </c>
      <c r="M111" s="12">
        <f>[1]data!K111-[1]data!K73</f>
        <v>0.91205466796225654</v>
      </c>
      <c r="N111" s="13">
        <f t="shared" si="10"/>
        <v>1.229660629061567</v>
      </c>
      <c r="O111" s="13">
        <f t="shared" si="11"/>
        <v>0.54141734951583631</v>
      </c>
      <c r="P111" s="12">
        <f>[1]data!M111-[1]data!M73</f>
        <v>9.6833750088790582E-3</v>
      </c>
      <c r="Q111" s="12">
        <f>[1]data!N111-[1]data!N73</f>
        <v>5.7482817816048581E-3</v>
      </c>
      <c r="R111" s="12">
        <f>[1]data!O111-[1]data!O73</f>
        <v>0.90237129295337759</v>
      </c>
      <c r="S111" s="12">
        <f>[1]data!P111-[1]data!P73</f>
        <v>0.53566906773423151</v>
      </c>
      <c r="T111" s="12">
        <f>[1]data!Q111-[1]data!Q73</f>
        <v>0.68824327954573072</v>
      </c>
      <c r="U111" s="12">
        <f>[1]data!R111-[1]data!R73</f>
        <v>0.40855758467447112</v>
      </c>
      <c r="V111" s="12">
        <f>[1]data!S111-[1]data!S73</f>
        <v>-2.1356339731630136</v>
      </c>
      <c r="W111" s="12">
        <f>[1]data!T111-[1]data!T73</f>
        <v>-1.2677631351520513</v>
      </c>
      <c r="X111" s="12">
        <f>[1]data!U111-[1]data!U73</f>
        <v>-0.98567721838292932</v>
      </c>
      <c r="Y111" s="12">
        <f>[1]data!V111-[1]data!V73</f>
        <v>-0.58512144699325441</v>
      </c>
      <c r="Z111" s="12">
        <f>[1]data!W111-[1]data!W73</f>
        <v>-1.1499567547800842</v>
      </c>
      <c r="AA111" s="12">
        <f>[1]data!X111-[1]data!X73</f>
        <v>-0.68264168815879689</v>
      </c>
      <c r="AB111" s="12">
        <f>[1]data!Y111-[1]data!Y73</f>
        <v>2.1432906019205311</v>
      </c>
      <c r="AC111" s="12">
        <f>[1]data!Z111-[1]data!Z73</f>
        <v>1.2723082921407038</v>
      </c>
      <c r="AD111" s="14">
        <v>441.28867711817003</v>
      </c>
      <c r="AE111" s="15">
        <v>261.95945739796002</v>
      </c>
      <c r="AF111">
        <f>D111/(D111+H111)</f>
        <v>-0.74539889983887309</v>
      </c>
      <c r="AG111">
        <f>(F111/(D111+H111))</f>
        <v>-0.73748492567494206</v>
      </c>
      <c r="AH111">
        <f>(E111/(D111+H111))</f>
        <v>-7.9139741639306978E-3</v>
      </c>
      <c r="AI111">
        <f>(G111/(D111+H111))</f>
        <v>-0.5624835894333865</v>
      </c>
      <c r="AJ111">
        <f>(F111/(D111))</f>
        <v>0.98938290066480949</v>
      </c>
      <c r="AK111">
        <f>E111/D111</f>
        <v>1.0617099335190056E-2</v>
      </c>
      <c r="AL111">
        <f>(H111/(C111+H111))</f>
        <v>3.9893335602622595</v>
      </c>
      <c r="AM111">
        <f>(I111/(D111+H111))</f>
        <v>0.80556872300255677</v>
      </c>
      <c r="AN111">
        <f>(J111/(D111+H111))</f>
        <v>0.93983017683631631</v>
      </c>
      <c r="AO111">
        <f>(I111/H111)</f>
        <v>0.46153846153846151</v>
      </c>
      <c r="AP111">
        <f>J111/H111</f>
        <v>0.53846153846153844</v>
      </c>
      <c r="AQ111">
        <f>(D111+H111)/AD111</f>
        <v>-7.2634578563621488E-3</v>
      </c>
    </row>
    <row r="112" spans="1:43" x14ac:dyDescent="0.35">
      <c r="A112" s="11" t="s">
        <v>62</v>
      </c>
      <c r="B112" s="24" t="s">
        <v>68</v>
      </c>
      <c r="C112" s="28">
        <f t="shared" si="8"/>
        <v>3.2258738534714397</v>
      </c>
      <c r="D112" s="12">
        <f>[1]data!C112-[1]data!C74</f>
        <v>3.2258738534714397</v>
      </c>
      <c r="E112" s="12">
        <f>[1]data!D112-[1]data!D74</f>
        <v>0.45292015012499087</v>
      </c>
      <c r="F112" s="12">
        <f>[1]data!E112-[1]data!E74</f>
        <v>2.7729537033464489</v>
      </c>
      <c r="G112" s="12">
        <f>[1]data!F112-[1]data!F74</f>
        <v>0</v>
      </c>
      <c r="H112" s="12">
        <f>[1]data!G112-[1]data!G74</f>
        <v>5.9276318719664545</v>
      </c>
      <c r="I112" s="12">
        <f>[1]data!H112-[1]data!H74</f>
        <v>-6.620410547070632E-2</v>
      </c>
      <c r="J112" s="12">
        <f>[1]data!I112-[1]data!I74</f>
        <v>5.9938359774371612</v>
      </c>
      <c r="K112" s="12">
        <f>[1]data!J112-[1]data!J74</f>
        <v>0</v>
      </c>
      <c r="L112" s="13">
        <f t="shared" si="9"/>
        <v>1.0036769073955694</v>
      </c>
      <c r="M112" s="12">
        <f>[1]data!K112-[1]data!K74</f>
        <v>1.0036769073955696</v>
      </c>
      <c r="N112" s="13">
        <f t="shared" si="10"/>
        <v>0.46720030176171912</v>
      </c>
      <c r="O112" s="13">
        <f t="shared" si="11"/>
        <v>0.46720030176171912</v>
      </c>
      <c r="P112" s="12">
        <f>[1]data!M112-[1]data!M74</f>
        <v>0.14091855919455676</v>
      </c>
      <c r="Q112" s="12">
        <f>[1]data!N112-[1]data!N74</f>
        <v>6.5596002951152699E-2</v>
      </c>
      <c r="R112" s="12">
        <f>[1]data!O112-[1]data!O74</f>
        <v>0.86275834820101271</v>
      </c>
      <c r="S112" s="12">
        <f>[1]data!P112-[1]data!P74</f>
        <v>0.40160429881056642</v>
      </c>
      <c r="T112" s="12">
        <f>[1]data!Q112-[1]data!Q74</f>
        <v>0</v>
      </c>
      <c r="U112" s="12">
        <f>[1]data!R112-[1]data!R74</f>
        <v>0</v>
      </c>
      <c r="V112" s="12">
        <f>[1]data!S112-[1]data!S74</f>
        <v>1.8442839043542827</v>
      </c>
      <c r="W112" s="12">
        <f>[1]data!T112-[1]data!T74</f>
        <v>0.85849339593205221</v>
      </c>
      <c r="X112" s="12">
        <f>[1]data!U112-[1]data!U74</f>
        <v>-2.0598304476234508E-2</v>
      </c>
      <c r="Y112" s="12">
        <f>[1]data!V112-[1]data!V74</f>
        <v>-9.5882788536487684E-3</v>
      </c>
      <c r="Z112" s="12">
        <f>[1]data!W112-[1]data!W74</f>
        <v>1.864882208830517</v>
      </c>
      <c r="AA112" s="12">
        <f>[1]data!X112-[1]data!X74</f>
        <v>0.86808167478570097</v>
      </c>
      <c r="AB112" s="12">
        <f>[1]data!Y112-[1]data!Y74</f>
        <v>0</v>
      </c>
      <c r="AC112" s="12">
        <f>[1]data!Z112-[1]data!Z74</f>
        <v>0</v>
      </c>
      <c r="AD112" s="14">
        <v>690.46912883131995</v>
      </c>
      <c r="AE112" s="15">
        <v>321.40560669490998</v>
      </c>
      <c r="AF112">
        <f>D112/(D112+H112)</f>
        <v>0.35241949371448256</v>
      </c>
      <c r="AG112">
        <f>(F112/(D112+H112))</f>
        <v>0.30293898168876643</v>
      </c>
      <c r="AH112">
        <f>(E112/(D112+H112))</f>
        <v>4.94805120257161E-2</v>
      </c>
      <c r="AI112">
        <f>(G112/(D112+H112))</f>
        <v>0</v>
      </c>
      <c r="AJ112">
        <f>(F112/(D112))</f>
        <v>0.85959768710807072</v>
      </c>
      <c r="AK112">
        <f>E112/D112</f>
        <v>0.14040231289192934</v>
      </c>
      <c r="AL112">
        <f>(H112/(C112+H112))</f>
        <v>0.64758050628551755</v>
      </c>
      <c r="AM112">
        <f>(I112/(D112+H112))</f>
        <v>-7.2326502496986404E-3</v>
      </c>
      <c r="AN112">
        <f>(J112/(D112+H112))</f>
        <v>0.65481315653521621</v>
      </c>
      <c r="AO112">
        <f>(I112/H112)</f>
        <v>-1.1168727562824094E-2</v>
      </c>
      <c r="AP112">
        <f>J112/H112</f>
        <v>1.0111687275628243</v>
      </c>
      <c r="AQ112">
        <f>(D112+H112)/AD112</f>
        <v>1.3256936976937712E-2</v>
      </c>
    </row>
    <row r="113" spans="1:43" x14ac:dyDescent="0.35">
      <c r="A113" s="26" t="s">
        <v>63</v>
      </c>
      <c r="B113" s="25" t="s">
        <v>68</v>
      </c>
      <c r="C113" s="28">
        <f t="shared" si="8"/>
        <v>6.3692384436993293E-2</v>
      </c>
      <c r="D113" s="12">
        <f>[1]data!C113-[1]data!C75</f>
        <v>6.3692384436993321E-2</v>
      </c>
      <c r="E113" s="12">
        <f>[1]data!D113-[1]data!D75</f>
        <v>2.6529165639306157E-2</v>
      </c>
      <c r="F113" s="12">
        <f>[1]data!E113-[1]data!E75</f>
        <v>3.7163218797687136E-2</v>
      </c>
      <c r="G113" s="12">
        <f>[1]data!F113-[1]data!F75</f>
        <v>0</v>
      </c>
      <c r="H113" s="12">
        <f>[1]data!G113-[1]data!G75</f>
        <v>0</v>
      </c>
      <c r="I113" s="12">
        <f>[1]data!H113-[1]data!H75</f>
        <v>0</v>
      </c>
      <c r="J113" s="12">
        <f>[1]data!I113-[1]data!I75</f>
        <v>0</v>
      </c>
      <c r="K113" s="12">
        <f>[1]data!J113-[1]data!J75</f>
        <v>0</v>
      </c>
      <c r="L113" s="13">
        <f t="shared" si="9"/>
        <v>9.8928109623370231E-2</v>
      </c>
      <c r="M113" s="12">
        <f>[1]data!K113-[1]data!K75</f>
        <v>9.8928109623370064E-2</v>
      </c>
      <c r="N113" s="13">
        <f t="shared" si="10"/>
        <v>6.9812506237616395E-2</v>
      </c>
      <c r="O113" s="13">
        <f t="shared" si="11"/>
        <v>6.9812506237616395E-2</v>
      </c>
      <c r="P113" s="12">
        <f>[1]data!M113-[1]data!M75</f>
        <v>4.1205557458412534E-2</v>
      </c>
      <c r="Q113" s="12">
        <f>[1]data!N113-[1]data!N75</f>
        <v>2.9078320085581782E-2</v>
      </c>
      <c r="R113" s="12">
        <f>[1]data!O113-[1]data!O75</f>
        <v>5.7722552164957697E-2</v>
      </c>
      <c r="S113" s="12">
        <f>[1]data!P113-[1]data!P75</f>
        <v>4.0734186152034613E-2</v>
      </c>
      <c r="T113" s="12">
        <f>[1]data!Q113-[1]data!Q75</f>
        <v>0</v>
      </c>
      <c r="U113" s="12">
        <f>[1]data!R113-[1]data!R75</f>
        <v>0</v>
      </c>
      <c r="V113" s="12">
        <f>[1]data!S113-[1]data!S75</f>
        <v>0</v>
      </c>
      <c r="W113" s="12">
        <f>[1]data!T113-[1]data!T75</f>
        <v>0</v>
      </c>
      <c r="X113" s="12">
        <f>[1]data!U113-[1]data!U75</f>
        <v>0</v>
      </c>
      <c r="Y113" s="12">
        <f>[1]data!V113-[1]data!V75</f>
        <v>0</v>
      </c>
      <c r="Z113" s="12">
        <f>[1]data!W113-[1]data!W75</f>
        <v>0</v>
      </c>
      <c r="AA113" s="12">
        <f>[1]data!X113-[1]data!X75</f>
        <v>0</v>
      </c>
      <c r="AB113" s="12">
        <f>[1]data!Y113-[1]data!Y75</f>
        <v>0</v>
      </c>
      <c r="AC113" s="12">
        <f>[1]data!Z113-[1]data!Z75</f>
        <v>0</v>
      </c>
      <c r="AD113" s="14">
        <v>91.233487908610002</v>
      </c>
      <c r="AE113" s="15">
        <v>64.38249419652</v>
      </c>
      <c r="AF113">
        <f>D113/(D113+H113)</f>
        <v>1</v>
      </c>
      <c r="AG113">
        <f>(F113/(D113+H113))</f>
        <v>0.58347978531798039</v>
      </c>
      <c r="AH113">
        <f>(E113/(D113+H113))</f>
        <v>0.41652021468201922</v>
      </c>
      <c r="AI113">
        <f>(G113/(D113+H113))</f>
        <v>0</v>
      </c>
      <c r="AJ113">
        <f>(F113/(D113))</f>
        <v>0.58347978531798039</v>
      </c>
      <c r="AK113">
        <f>E113/D113</f>
        <v>0.41652021468201922</v>
      </c>
      <c r="AL113">
        <f>(H113/(C113+H113))</f>
        <v>0</v>
      </c>
      <c r="AM113">
        <f>(I113/(D113+H113))</f>
        <v>0</v>
      </c>
      <c r="AN113">
        <f>(J113/(D113+H113))</f>
        <v>0</v>
      </c>
      <c r="AO113" t="e">
        <f>(I113/H113)</f>
        <v>#DIV/0!</v>
      </c>
      <c r="AP113" t="e">
        <f>J113/H113</f>
        <v>#DIV/0!</v>
      </c>
      <c r="AQ113">
        <f>(D113+H113)/AD113</f>
        <v>6.9812506237616355E-4</v>
      </c>
    </row>
    <row r="114" spans="1:43" x14ac:dyDescent="0.35">
      <c r="A114" s="26" t="s">
        <v>64</v>
      </c>
      <c r="B114" s="25" t="s">
        <v>68</v>
      </c>
      <c r="C114" s="28">
        <f t="shared" si="8"/>
        <v>0</v>
      </c>
      <c r="D114" s="12">
        <f>[1]data!C114-[1]data!C76</f>
        <v>0</v>
      </c>
      <c r="E114" s="12">
        <f>[1]data!D114-[1]data!D76</f>
        <v>0</v>
      </c>
      <c r="F114" s="12">
        <f>[1]data!E114-[1]data!E76</f>
        <v>0</v>
      </c>
      <c r="G114" s="12">
        <f>[1]data!F114-[1]data!F76</f>
        <v>0</v>
      </c>
      <c r="H114" s="12">
        <f>[1]data!G114-[1]data!G76</f>
        <v>0</v>
      </c>
      <c r="I114" s="12">
        <f>[1]data!H114-[1]data!H76</f>
        <v>0</v>
      </c>
      <c r="J114" s="12">
        <f>[1]data!I114-[1]data!I76</f>
        <v>0</v>
      </c>
      <c r="K114" s="12">
        <f>[1]data!J114-[1]data!J76</f>
        <v>0</v>
      </c>
      <c r="L114" s="13">
        <f t="shared" si="9"/>
        <v>0</v>
      </c>
      <c r="M114" s="12">
        <f>[1]data!K114-[1]data!K76</f>
        <v>0</v>
      </c>
      <c r="N114" s="13">
        <f t="shared" si="10"/>
        <v>0</v>
      </c>
      <c r="O114" s="13">
        <f t="shared" si="11"/>
        <v>0</v>
      </c>
      <c r="P114" s="12">
        <f>[1]data!M114-[1]data!M76</f>
        <v>0</v>
      </c>
      <c r="Q114" s="12">
        <f>[1]data!N114-[1]data!N76</f>
        <v>0</v>
      </c>
      <c r="R114" s="12">
        <f>[1]data!O114-[1]data!O76</f>
        <v>0</v>
      </c>
      <c r="S114" s="12">
        <f>[1]data!P114-[1]data!P76</f>
        <v>0</v>
      </c>
      <c r="T114" s="12">
        <f>[1]data!Q114-[1]data!Q76</f>
        <v>0</v>
      </c>
      <c r="U114" s="12">
        <f>[1]data!R114-[1]data!R76</f>
        <v>0</v>
      </c>
      <c r="V114" s="12">
        <f>[1]data!S114-[1]data!S76</f>
        <v>0</v>
      </c>
      <c r="W114" s="12">
        <f>[1]data!T114-[1]data!T76</f>
        <v>0</v>
      </c>
      <c r="X114" s="12">
        <f>[1]data!U114-[1]data!U76</f>
        <v>0</v>
      </c>
      <c r="Y114" s="12">
        <f>[1]data!V114-[1]data!V76</f>
        <v>0</v>
      </c>
      <c r="Z114" s="12">
        <f>[1]data!W114-[1]data!W76</f>
        <v>0</v>
      </c>
      <c r="AA114" s="12">
        <f>[1]data!X114-[1]data!X76</f>
        <v>0</v>
      </c>
      <c r="AB114" s="12">
        <f>[1]data!Y114-[1]data!Y76</f>
        <v>0</v>
      </c>
      <c r="AC114" s="12">
        <f>[1]data!Z114-[1]data!Z76</f>
        <v>0</v>
      </c>
      <c r="AD114" s="14">
        <v>309.88816247970999</v>
      </c>
      <c r="AE114" s="15">
        <v>147.38397429586999</v>
      </c>
      <c r="AF114" t="e">
        <f>D114/(D114+H114)</f>
        <v>#DIV/0!</v>
      </c>
      <c r="AG114" t="e">
        <f>(F114/(D114+H114))</f>
        <v>#DIV/0!</v>
      </c>
      <c r="AH114" t="e">
        <f>(E114/(D114+H114))</f>
        <v>#DIV/0!</v>
      </c>
      <c r="AI114" t="e">
        <f>(G114/(D114+H114))</f>
        <v>#DIV/0!</v>
      </c>
      <c r="AJ114" t="e">
        <f>(F114/(D114))</f>
        <v>#DIV/0!</v>
      </c>
      <c r="AK114" t="e">
        <f>E114/D114</f>
        <v>#DIV/0!</v>
      </c>
      <c r="AL114" t="e">
        <f>(H114/(C114+H114))</f>
        <v>#DIV/0!</v>
      </c>
      <c r="AM114" t="e">
        <f>(I114/(D114+H114))</f>
        <v>#DIV/0!</v>
      </c>
      <c r="AN114" t="e">
        <f>(J114/(D114+H114))</f>
        <v>#DIV/0!</v>
      </c>
      <c r="AO114" t="e">
        <f>(I114/H114)</f>
        <v>#DIV/0!</v>
      </c>
      <c r="AP114" t="e">
        <f>J114/H114</f>
        <v>#DIV/0!</v>
      </c>
      <c r="AQ114">
        <f>(D114+H114)/AD114</f>
        <v>0</v>
      </c>
    </row>
    <row r="115" spans="1:43" x14ac:dyDescent="0.35">
      <c r="A115" s="11" t="s">
        <v>65</v>
      </c>
      <c r="B115" s="24" t="s">
        <v>68</v>
      </c>
      <c r="C115" s="28">
        <f t="shared" si="8"/>
        <v>-4.3303995984909864</v>
      </c>
      <c r="D115" s="12">
        <f>[1]data!C115-[1]data!C77</f>
        <v>-4.3303995984909847</v>
      </c>
      <c r="E115" s="12">
        <f>[1]data!D115-[1]data!D77</f>
        <v>-3.616874781638435E-2</v>
      </c>
      <c r="F115" s="12">
        <f>[1]data!E115-[1]data!E77</f>
        <v>-4.2942308506746016</v>
      </c>
      <c r="G115" s="12">
        <f>[1]data!F115-[1]data!F77</f>
        <v>0</v>
      </c>
      <c r="H115" s="12">
        <f>[1]data!G115-[1]data!G77</f>
        <v>9.8948958804635723</v>
      </c>
      <c r="I115" s="12">
        <f>[1]data!H115-[1]data!H77</f>
        <v>10.209776743806207</v>
      </c>
      <c r="J115" s="12">
        <f>[1]data!I115-[1]data!I77</f>
        <v>-0.31488086334263699</v>
      </c>
      <c r="K115" s="12">
        <f>[1]data!J115-[1]data!J77</f>
        <v>-9.8869334416288517</v>
      </c>
      <c r="L115" s="13">
        <f t="shared" si="9"/>
        <v>-0.7577210812568882</v>
      </c>
      <c r="M115" s="12">
        <f>[1]data!K115-[1]data!K77</f>
        <v>-0.75772108125688842</v>
      </c>
      <c r="N115" s="13">
        <f t="shared" si="10"/>
        <v>-0.35628748717574554</v>
      </c>
      <c r="O115" s="13">
        <f t="shared" si="11"/>
        <v>-0.35628748717574554</v>
      </c>
      <c r="P115" s="12">
        <f>[1]data!M115-[1]data!M77</f>
        <v>-6.328705256828604E-3</v>
      </c>
      <c r="Q115" s="12">
        <f>[1]data!N115-[1]data!N77</f>
        <v>-2.9758159681807228E-3</v>
      </c>
      <c r="R115" s="12">
        <f>[1]data!O115-[1]data!O77</f>
        <v>-0.75139237600005959</v>
      </c>
      <c r="S115" s="12">
        <f>[1]data!P115-[1]data!P77</f>
        <v>-0.35331167120756479</v>
      </c>
      <c r="T115" s="12">
        <f>[1]data!Q115-[1]data!Q77</f>
        <v>0</v>
      </c>
      <c r="U115" s="12">
        <f>[1]data!R115-[1]data!R77</f>
        <v>0</v>
      </c>
      <c r="V115" s="12">
        <f>[1]data!S115-[1]data!S77</f>
        <v>1.7313809118405272</v>
      </c>
      <c r="W115" s="12">
        <f>[1]data!T115-[1]data!T77</f>
        <v>0.81411137908485554</v>
      </c>
      <c r="X115" s="12">
        <f>[1]data!U115-[1]data!U77</f>
        <v>1.7864778752529171</v>
      </c>
      <c r="Y115" s="12">
        <f>[1]data!V115-[1]data!V77</f>
        <v>0.84001848280784031</v>
      </c>
      <c r="Z115" s="12">
        <f>[1]data!W115-[1]data!W77</f>
        <v>-5.5096963412390121E-2</v>
      </c>
      <c r="AA115" s="12">
        <f>[1]data!X115-[1]data!X77</f>
        <v>-2.5907103722984992E-2</v>
      </c>
      <c r="AB115" s="12">
        <f>[1]data!Y115-[1]data!Y77</f>
        <v>-1.7299876668001881</v>
      </c>
      <c r="AC115" s="12">
        <f>[1]data!Z115-[1]data!Z77</f>
        <v>-0.81345626233184243</v>
      </c>
      <c r="AD115" s="14">
        <v>1215.4228689920101</v>
      </c>
      <c r="AE115" s="15">
        <v>571.50311712429004</v>
      </c>
      <c r="AF115">
        <f>D115/(D115+H115)</f>
        <v>-0.77821951512848864</v>
      </c>
      <c r="AG115">
        <f>(F115/(D115+H115))</f>
        <v>-0.77171960103319848</v>
      </c>
      <c r="AH115">
        <f>(E115/(D115+H115))</f>
        <v>-6.4999140952903467E-3</v>
      </c>
      <c r="AI115">
        <f>(G115/(D115+H115))</f>
        <v>0</v>
      </c>
      <c r="AJ115">
        <f>(F115/(D115))</f>
        <v>0.99164771125764317</v>
      </c>
      <c r="AK115">
        <f>E115/D115</f>
        <v>8.3522887423571907E-3</v>
      </c>
      <c r="AL115">
        <f>(H115/(C115+H115))</f>
        <v>1.7782195151284892</v>
      </c>
      <c r="AM115">
        <f>(I115/(D115+H115))</f>
        <v>1.8348070025463095</v>
      </c>
      <c r="AN115">
        <f>(J115/(D115+H115))</f>
        <v>-5.6587487417821263E-2</v>
      </c>
      <c r="AO115">
        <f>(I115/H115)</f>
        <v>1.0318225544913853</v>
      </c>
      <c r="AP115">
        <f>J115/H115</f>
        <v>-3.1822554491385407E-2</v>
      </c>
      <c r="AQ115">
        <f>(D115+H115)/AD115</f>
        <v>4.5782389190911028E-3</v>
      </c>
    </row>
    <row r="116" spans="1:43" x14ac:dyDescent="0.35">
      <c r="A116" s="11" t="s">
        <v>28</v>
      </c>
      <c r="B116" s="24" t="s">
        <v>69</v>
      </c>
      <c r="C116" s="28">
        <f t="shared" si="8"/>
        <v>61.912545774045448</v>
      </c>
      <c r="D116" s="27">
        <f>[1]data!C116-[1]data!C78</f>
        <v>61.912545774045441</v>
      </c>
      <c r="E116" s="27">
        <f>[1]data!D116-[1]data!D78</f>
        <v>4.8525662396136839</v>
      </c>
      <c r="F116" s="27">
        <f>[1]data!E116-[1]data!E78</f>
        <v>57.059979534431761</v>
      </c>
      <c r="G116" s="27">
        <f>[1]data!F116-[1]data!F78</f>
        <v>0</v>
      </c>
      <c r="H116" s="27">
        <f>[1]data!G116-[1]data!G78</f>
        <v>7.1643447578672692E-2</v>
      </c>
      <c r="I116" s="27">
        <f>[1]data!H116-[1]data!H78</f>
        <v>3.0704334676574518E-2</v>
      </c>
      <c r="J116" s="27">
        <f>[1]data!I116-[1]data!I78</f>
        <v>4.0939112902098174E-2</v>
      </c>
      <c r="K116" s="27">
        <f>[1]data!J116-[1]data!J78</f>
        <v>0</v>
      </c>
      <c r="L116" s="13">
        <f t="shared" si="9"/>
        <v>4.1419353038878173</v>
      </c>
      <c r="M116" s="27">
        <f>[1]data!K116-[1]data!K78</f>
        <v>4.1419353038878182</v>
      </c>
      <c r="N116" s="13">
        <f t="shared" si="10"/>
        <v>5.0478395755619792</v>
      </c>
      <c r="O116" s="13">
        <f t="shared" si="11"/>
        <v>5.0478395755619792</v>
      </c>
      <c r="P116" s="27">
        <f>[1]data!M116-[1]data!M78</f>
        <v>0.32463558348356319</v>
      </c>
      <c r="Q116" s="27">
        <f>[1]data!N116-[1]data!N78</f>
        <v>0.39563832501338614</v>
      </c>
      <c r="R116" s="27">
        <f>[1]data!O116-[1]data!O78</f>
        <v>3.8172997204042538</v>
      </c>
      <c r="S116" s="27">
        <f>[1]data!P116-[1]data!P78</f>
        <v>4.6522012505485932</v>
      </c>
      <c r="T116" s="27">
        <f>[1]data!Q116-[1]data!Q78</f>
        <v>0</v>
      </c>
      <c r="U116" s="27">
        <f>[1]data!R116-[1]data!R78</f>
        <v>0</v>
      </c>
      <c r="V116" s="27">
        <f>[1]data!S116-[1]data!S78</f>
        <v>4.7929304328935274E-3</v>
      </c>
      <c r="W116" s="27">
        <f>[1]data!T116-[1]data!T78</f>
        <v>5.841217244355601E-3</v>
      </c>
      <c r="X116" s="27">
        <f>[1]data!U116-[1]data!U78</f>
        <v>2.0541130426686705E-3</v>
      </c>
      <c r="Y116" s="27">
        <f>[1]data!V116-[1]data!V78</f>
        <v>2.5033788190096384E-3</v>
      </c>
      <c r="Z116" s="27">
        <f>[1]data!W116-[1]data!W78</f>
        <v>2.7388173902247459E-3</v>
      </c>
      <c r="AA116" s="27">
        <f>[1]data!X116-[1]data!X78</f>
        <v>3.3378384253461846E-3</v>
      </c>
      <c r="AB116" s="27">
        <f>[1]data!Y116-[1]data!Y78</f>
        <v>0</v>
      </c>
      <c r="AC116" s="27">
        <f>[1]data!Z116-[1]data!Z78</f>
        <v>0</v>
      </c>
      <c r="AD116" s="14">
        <v>1226.51571721458</v>
      </c>
      <c r="AE116" s="15">
        <v>1494.77336635199</v>
      </c>
      <c r="AF116">
        <f>D116/(D116+H116)</f>
        <v>0.99884416577068524</v>
      </c>
      <c r="AG116">
        <f>(F116/(D116+H116))</f>
        <v>0.92055700414849551</v>
      </c>
      <c r="AH116">
        <f>(E116/(D116+H116))</f>
        <v>7.8287161622189835E-2</v>
      </c>
      <c r="AI116">
        <f>(G116/(D116+H116))</f>
        <v>0</v>
      </c>
      <c r="AJ116">
        <f>(F116/(D116))</f>
        <v>0.92162224668771509</v>
      </c>
      <c r="AK116">
        <f>E116/D116</f>
        <v>7.8377753312284956E-2</v>
      </c>
      <c r="AL116">
        <f>(H116/(C116+H116))</f>
        <v>1.1558342293147038E-3</v>
      </c>
      <c r="AM116">
        <f>(I116/(D116+H116))</f>
        <v>4.9535752684916703E-4</v>
      </c>
      <c r="AN116">
        <f>(J116/(D116+H116))</f>
        <v>6.6047670246553703E-4</v>
      </c>
      <c r="AO116">
        <f>(I116/H116)</f>
        <v>0.42857142857143565</v>
      </c>
      <c r="AP116">
        <f>J116/H116</f>
        <v>0.57142857142856429</v>
      </c>
      <c r="AQ116">
        <f>(D116+H116)/AD116</f>
        <v>5.0536807928063365E-2</v>
      </c>
    </row>
    <row r="117" spans="1:43" x14ac:dyDescent="0.35">
      <c r="A117" s="11" t="s">
        <v>29</v>
      </c>
      <c r="B117" s="24" t="s">
        <v>69</v>
      </c>
      <c r="C117" s="28">
        <f t="shared" si="8"/>
        <v>40.645124362128016</v>
      </c>
      <c r="D117" s="27">
        <f>[1]data!C117-[1]data!C79</f>
        <v>40.479513138385329</v>
      </c>
      <c r="E117" s="27">
        <f>[1]data!D117-[1]data!D79</f>
        <v>24.517772021033167</v>
      </c>
      <c r="F117" s="27">
        <f>[1]data!E117-[1]data!E79</f>
        <v>15.961741117352148</v>
      </c>
      <c r="G117" s="27">
        <f>[1]data!F117-[1]data!F79</f>
        <v>0.16561122374270099</v>
      </c>
      <c r="H117" s="27">
        <f>[1]data!G117-[1]data!G79</f>
        <v>-2.1278849423861459</v>
      </c>
      <c r="I117" s="27">
        <f>[1]data!H117-[1]data!H79</f>
        <v>1.0131510158376766E-2</v>
      </c>
      <c r="J117" s="27">
        <f>[1]data!I117-[1]data!I79</f>
        <v>-2.1380164525445124</v>
      </c>
      <c r="K117" s="27">
        <f>[1]data!J117-[1]data!J79</f>
        <v>0</v>
      </c>
      <c r="L117" s="13">
        <f t="shared" si="9"/>
        <v>2.3956738432199196</v>
      </c>
      <c r="M117" s="27">
        <f>[1]data!K117-[1]data!K79</f>
        <v>2.3859125130950769</v>
      </c>
      <c r="N117" s="13">
        <f t="shared" si="10"/>
        <v>2.3584582491228967</v>
      </c>
      <c r="O117" s="13">
        <f t="shared" si="11"/>
        <v>2.3486969189980531</v>
      </c>
      <c r="P117" s="27">
        <f>[1]data!M117-[1]data!M79</f>
        <v>1.4451077723739827</v>
      </c>
      <c r="Q117" s="27">
        <f>[1]data!N117-[1]data!N79</f>
        <v>1.4225669021669027</v>
      </c>
      <c r="R117" s="27">
        <f>[1]data!O117-[1]data!O79</f>
        <v>0.94080474072109332</v>
      </c>
      <c r="S117" s="27">
        <f>[1]data!P117-[1]data!P79</f>
        <v>0.92613001683115037</v>
      </c>
      <c r="T117" s="27">
        <f>[1]data!Q117-[1]data!Q79</f>
        <v>9.7613301248435924E-3</v>
      </c>
      <c r="U117" s="27">
        <f>[1]data!R117-[1]data!R79</f>
        <v>9.6090723627586527E-3</v>
      </c>
      <c r="V117" s="27">
        <f>[1]data!S117-[1]data!S79</f>
        <v>-0.12542016731054506</v>
      </c>
      <c r="W117" s="27">
        <f>[1]data!T117-[1]data!T79</f>
        <v>-0.12346385666939819</v>
      </c>
      <c r="X117" s="27">
        <f>[1]data!U117-[1]data!U79</f>
        <v>5.9716372528451078E-4</v>
      </c>
      <c r="Y117" s="27">
        <f>[1]data!V117-[1]data!V79</f>
        <v>5.8784913278051021E-4</v>
      </c>
      <c r="Z117" s="27">
        <f>[1]data!W117-[1]data!W79</f>
        <v>-0.12601733103582946</v>
      </c>
      <c r="AA117" s="27">
        <f>[1]data!X117-[1]data!X79</f>
        <v>-0.12405170580217906</v>
      </c>
      <c r="AB117" s="27">
        <f>[1]data!Y117-[1]data!Y79</f>
        <v>0</v>
      </c>
      <c r="AC117" s="27">
        <f>[1]data!Z117-[1]data!Z79</f>
        <v>0</v>
      </c>
      <c r="AD117" s="14">
        <v>1723.48815255626</v>
      </c>
      <c r="AE117" s="15">
        <v>1696.60508992738</v>
      </c>
      <c r="AF117">
        <f>D117/(D117+H117)</f>
        <v>1.0554835620410015</v>
      </c>
      <c r="AG117">
        <f>(F117/(D117+H117))</f>
        <v>0.4161946146270073</v>
      </c>
      <c r="AH117">
        <f>(E117/(D117+H117))</f>
        <v>0.63928894741399389</v>
      </c>
      <c r="AI117">
        <f>(G117/(D117+H117))</f>
        <v>4.3182318856537479E-3</v>
      </c>
      <c r="AJ117">
        <f>(F117/(D117))</f>
        <v>0.39431652902505337</v>
      </c>
      <c r="AK117">
        <f>E117/D117</f>
        <v>0.60568347097494624</v>
      </c>
      <c r="AL117">
        <f>(H117/(C117+H117))</f>
        <v>-5.5245001314801034E-2</v>
      </c>
      <c r="AM117">
        <f>(I117/(D117+H117))</f>
        <v>2.6417418594587019E-4</v>
      </c>
      <c r="AN117">
        <f>(J117/(D117+H117))</f>
        <v>-5.5747736226947175E-2</v>
      </c>
      <c r="AO117">
        <f>(I117/H117)</f>
        <v>-4.761305443054452E-3</v>
      </c>
      <c r="AP117">
        <f>J117/H117</f>
        <v>1.0047613054430498</v>
      </c>
      <c r="AQ117">
        <f>(D117+H117)/AD117</f>
        <v>2.2252330623286524E-2</v>
      </c>
    </row>
    <row r="118" spans="1:43" x14ac:dyDescent="0.35">
      <c r="A118" s="11" t="s">
        <v>30</v>
      </c>
      <c r="B118" s="24" t="s">
        <v>69</v>
      </c>
      <c r="C118" s="28">
        <f t="shared" si="8"/>
        <v>62.552451494316109</v>
      </c>
      <c r="D118" s="27">
        <f>[1]data!C118-[1]data!C80</f>
        <v>64.536582715928375</v>
      </c>
      <c r="E118" s="27">
        <f>[1]data!D118-[1]data!D80</f>
        <v>4.2568291943873255</v>
      </c>
      <c r="F118" s="27">
        <f>[1]data!E118-[1]data!E80</f>
        <v>60.279753521541039</v>
      </c>
      <c r="G118" s="27">
        <f>[1]data!F118-[1]data!F80</f>
        <v>-1.9841312216122517</v>
      </c>
      <c r="H118" s="27">
        <f>[1]data!G118-[1]data!G80</f>
        <v>2.8314122459696591</v>
      </c>
      <c r="I118" s="27">
        <f>[1]data!H118-[1]data!H80</f>
        <v>-0.10285766593745294</v>
      </c>
      <c r="J118" s="27">
        <f>[1]data!I118-[1]data!I80</f>
        <v>2.9342699119071085</v>
      </c>
      <c r="K118" s="27">
        <f>[1]data!J118-[1]data!J80</f>
        <v>0</v>
      </c>
      <c r="L118" s="13">
        <f t="shared" si="9"/>
        <v>2.3904063373173936</v>
      </c>
      <c r="M118" s="27">
        <f>[1]data!K118-[1]data!K80</f>
        <v>2.4662287828476401</v>
      </c>
      <c r="N118" s="13">
        <f t="shared" si="10"/>
        <v>2.1441493190250527</v>
      </c>
      <c r="O118" s="13">
        <f t="shared" si="11"/>
        <v>2.2199717645552997</v>
      </c>
      <c r="P118" s="27">
        <f>[1]data!M118-[1]data!M80</f>
        <v>0.16267230524235765</v>
      </c>
      <c r="Q118" s="27">
        <f>[1]data!N118-[1]data!N80</f>
        <v>0.14642920682167093</v>
      </c>
      <c r="R118" s="27">
        <f>[1]data!O118-[1]data!O80</f>
        <v>2.3035564776052828</v>
      </c>
      <c r="S118" s="27">
        <f>[1]data!P118-[1]data!P80</f>
        <v>2.0735425577336288</v>
      </c>
      <c r="T118" s="27">
        <f>[1]data!Q118-[1]data!Q80</f>
        <v>-7.5822445530246974E-2</v>
      </c>
      <c r="U118" s="27">
        <f>[1]data!R118-[1]data!R80</f>
        <v>-6.8251449081834892E-2</v>
      </c>
      <c r="V118" s="27">
        <f>[1]data!S118-[1]data!S80</f>
        <v>0.10820080771636675</v>
      </c>
      <c r="W118" s="27">
        <f>[1]data!T118-[1]data!T80</f>
        <v>9.7396778313104448E-2</v>
      </c>
      <c r="X118" s="27">
        <f>[1]data!U118-[1]data!U80</f>
        <v>-3.9306471708931978E-3</v>
      </c>
      <c r="Y118" s="27">
        <f>[1]data!V118-[1]data!V80</f>
        <v>-3.5381655572668258E-3</v>
      </c>
      <c r="Z118" s="27">
        <f>[1]data!W118-[1]data!W80</f>
        <v>0.11213145488726006</v>
      </c>
      <c r="AA118" s="27">
        <f>[1]data!X118-[1]data!X80</f>
        <v>0.10093494387037261</v>
      </c>
      <c r="AB118" s="27">
        <f>[1]data!Y118-[1]data!Y80</f>
        <v>0</v>
      </c>
      <c r="AC118" s="27">
        <f>[1]data!Z118-[1]data!Z80</f>
        <v>0</v>
      </c>
      <c r="AD118" s="14">
        <v>2907.0902498102801</v>
      </c>
      <c r="AE118" s="15">
        <v>2616.8124857180101</v>
      </c>
      <c r="AF118">
        <f>D118/(D118+H118)</f>
        <v>0.95797095864926585</v>
      </c>
      <c r="AG118">
        <f>(F118/(D118+H118))</f>
        <v>0.8947832506464537</v>
      </c>
      <c r="AH118">
        <f>(E118/(D118+H118))</f>
        <v>6.3187708002812037E-2</v>
      </c>
      <c r="AI118">
        <f>(G118/(D118+H118))</f>
        <v>-2.9452134099202981E-2</v>
      </c>
      <c r="AJ118">
        <f>(F118/(D118))</f>
        <v>0.93404005890543218</v>
      </c>
      <c r="AK118">
        <f>E118/D118</f>
        <v>6.5959941094567612E-2</v>
      </c>
      <c r="AL118">
        <f>(H118/(C118+H118))</f>
        <v>4.3304449813740611E-2</v>
      </c>
      <c r="AM118">
        <f>(I118/(D118+H118))</f>
        <v>-1.526803135459607E-3</v>
      </c>
      <c r="AN118">
        <f>(J118/(D118+H118))</f>
        <v>4.3555844486193658E-2</v>
      </c>
      <c r="AO118">
        <f>(I118/H118)</f>
        <v>-3.632733667937775E-2</v>
      </c>
      <c r="AP118">
        <f>J118/H118</f>
        <v>1.0363273366793766</v>
      </c>
      <c r="AQ118">
        <f>(D118+H118)/AD118</f>
        <v>2.3173685428684074E-2</v>
      </c>
    </row>
    <row r="119" spans="1:43" x14ac:dyDescent="0.35">
      <c r="A119" s="11" t="s">
        <v>31</v>
      </c>
      <c r="B119" s="24" t="s">
        <v>69</v>
      </c>
      <c r="C119" s="28">
        <f t="shared" si="8"/>
        <v>102.23012702811141</v>
      </c>
      <c r="D119" s="27">
        <f>[1]data!C119-[1]data!C81</f>
        <v>102.23012702811138</v>
      </c>
      <c r="E119" s="27">
        <f>[1]data!D119-[1]data!D81</f>
        <v>19.237824397073407</v>
      </c>
      <c r="F119" s="27">
        <f>[1]data!E119-[1]data!E81</f>
        <v>82.992302631038001</v>
      </c>
      <c r="G119" s="27">
        <f>[1]data!F119-[1]data!F81</f>
        <v>0</v>
      </c>
      <c r="H119" s="27">
        <f>[1]data!G119-[1]data!G81</f>
        <v>0</v>
      </c>
      <c r="I119" s="27">
        <f>[1]data!H119-[1]data!H81</f>
        <v>0</v>
      </c>
      <c r="J119" s="27">
        <f>[1]data!I119-[1]data!I81</f>
        <v>0</v>
      </c>
      <c r="K119" s="27">
        <f>[1]data!J119-[1]data!J81</f>
        <v>0</v>
      </c>
      <c r="L119" s="13">
        <f t="shared" si="9"/>
        <v>2.8418434471316676</v>
      </c>
      <c r="M119" s="27">
        <f>[1]data!K119-[1]data!K81</f>
        <v>2.8418434471316676</v>
      </c>
      <c r="N119" s="13">
        <f t="shared" si="10"/>
        <v>2.4564011359343336</v>
      </c>
      <c r="O119" s="13">
        <f t="shared" si="11"/>
        <v>2.4564011359343336</v>
      </c>
      <c r="P119" s="27">
        <f>[1]data!M119-[1]data!M81</f>
        <v>0.53478252242471824</v>
      </c>
      <c r="Q119" s="27">
        <f>[1]data!N119-[1]data!N81</f>
        <v>0.46224938846923158</v>
      </c>
      <c r="R119" s="27">
        <f>[1]data!O119-[1]data!O81</f>
        <v>2.3070609247069491</v>
      </c>
      <c r="S119" s="27">
        <f>[1]data!P119-[1]data!P81</f>
        <v>1.9941517474651018</v>
      </c>
      <c r="T119" s="27">
        <f>[1]data!Q119-[1]data!Q81</f>
        <v>0</v>
      </c>
      <c r="U119" s="27">
        <f>[1]data!R119-[1]data!R81</f>
        <v>0</v>
      </c>
      <c r="V119" s="27">
        <f>[1]data!S119-[1]data!S81</f>
        <v>0</v>
      </c>
      <c r="W119" s="27">
        <f>[1]data!T119-[1]data!T81</f>
        <v>0</v>
      </c>
      <c r="X119" s="27">
        <f>[1]data!U119-[1]data!U81</f>
        <v>0</v>
      </c>
      <c r="Y119" s="27">
        <f>[1]data!V119-[1]data!V81</f>
        <v>0</v>
      </c>
      <c r="Z119" s="27">
        <f>[1]data!W119-[1]data!W81</f>
        <v>0</v>
      </c>
      <c r="AA119" s="27">
        <f>[1]data!X119-[1]data!X81</f>
        <v>0</v>
      </c>
      <c r="AB119" s="27">
        <f>[1]data!Y119-[1]data!Y81</f>
        <v>0</v>
      </c>
      <c r="AC119" s="27">
        <f>[1]data!Z119-[1]data!Z81</f>
        <v>0</v>
      </c>
      <c r="AD119" s="14">
        <v>4161.7847155581303</v>
      </c>
      <c r="AE119" s="15">
        <v>3597.3173374942398</v>
      </c>
      <c r="AF119">
        <f>D119/(D119+H119)</f>
        <v>1</v>
      </c>
      <c r="AG119">
        <f>(F119/(D119+H119))</f>
        <v>0.81181844377652645</v>
      </c>
      <c r="AH119">
        <f>(E119/(D119+H119))</f>
        <v>0.18818155622347377</v>
      </c>
      <c r="AI119">
        <f>(G119/(D119+H119))</f>
        <v>0</v>
      </c>
      <c r="AJ119">
        <f>(F119/(D119))</f>
        <v>0.81181844377652645</v>
      </c>
      <c r="AK119">
        <f>E119/D119</f>
        <v>0.18818155622347377</v>
      </c>
      <c r="AL119">
        <f>(H119/(C119+H119))</f>
        <v>0</v>
      </c>
      <c r="AM119">
        <f>(I119/(D119+H119))</f>
        <v>0</v>
      </c>
      <c r="AN119">
        <f>(J119/(D119+H119))</f>
        <v>0</v>
      </c>
      <c r="AO119" t="e">
        <f>(I119/H119)</f>
        <v>#DIV/0!</v>
      </c>
      <c r="AP119" t="e">
        <f>J119/H119</f>
        <v>#DIV/0!</v>
      </c>
      <c r="AQ119">
        <f>(D119+H119)/AD119</f>
        <v>2.4564011359343337E-2</v>
      </c>
    </row>
    <row r="120" spans="1:43" x14ac:dyDescent="0.35">
      <c r="A120" s="11" t="s">
        <v>32</v>
      </c>
      <c r="B120" s="24" t="s">
        <v>69</v>
      </c>
      <c r="C120" s="28">
        <f t="shared" si="8"/>
        <v>35.998304619164635</v>
      </c>
      <c r="D120" s="27">
        <f>[1]data!C120-[1]data!C82</f>
        <v>36.032590507810454</v>
      </c>
      <c r="E120" s="27">
        <f>[1]data!D120-[1]data!D82</f>
        <v>3.3829533441994899</v>
      </c>
      <c r="F120" s="27">
        <f>[1]data!E120-[1]data!E82</f>
        <v>32.649637163610961</v>
      </c>
      <c r="G120" s="27">
        <f>[1]data!F120-[1]data!F82</f>
        <v>-3.4285888645817053E-2</v>
      </c>
      <c r="H120" s="27">
        <f>[1]data!G120-[1]data!G82</f>
        <v>53.163057249189023</v>
      </c>
      <c r="I120" s="27">
        <f>[1]data!H120-[1]data!H82</f>
        <v>-1.5918448299843568E-2</v>
      </c>
      <c r="J120" s="27">
        <f>[1]data!I120-[1]data!I82</f>
        <v>53.178975697488909</v>
      </c>
      <c r="K120" s="27">
        <f>[1]data!J120-[1]data!J82</f>
        <v>0</v>
      </c>
      <c r="L120" s="13">
        <f t="shared" si="9"/>
        <v>1.876712544004207</v>
      </c>
      <c r="M120" s="27">
        <f>[1]data!K120-[1]data!K82</f>
        <v>1.8784999825512347</v>
      </c>
      <c r="N120" s="13">
        <f t="shared" si="10"/>
        <v>1.5396083737687538</v>
      </c>
      <c r="O120" s="13">
        <f t="shared" si="11"/>
        <v>1.5413958123157814</v>
      </c>
      <c r="P120" s="27">
        <f>[1]data!M120-[1]data!M82</f>
        <v>0.1763647217280393</v>
      </c>
      <c r="Q120" s="27">
        <f>[1]data!N120-[1]data!N82</f>
        <v>0.14471538250569216</v>
      </c>
      <c r="R120" s="27">
        <f>[1]data!O120-[1]data!O82</f>
        <v>1.7021352608231952</v>
      </c>
      <c r="S120" s="27">
        <f>[1]data!P120-[1]data!P82</f>
        <v>1.3966804298100892</v>
      </c>
      <c r="T120" s="27">
        <f>[1]data!Q120-[1]data!Q82</f>
        <v>-1.7874385470275644E-3</v>
      </c>
      <c r="U120" s="27">
        <f>[1]data!R120-[1]data!R82</f>
        <v>-1.4666757076134407E-3</v>
      </c>
      <c r="V120" s="27">
        <f>[1]data!S120-[1]data!S82</f>
        <v>2.7715687578256336</v>
      </c>
      <c r="W120" s="27">
        <f>[1]data!T120-[1]data!T82</f>
        <v>2.2741999023367896</v>
      </c>
      <c r="X120" s="27">
        <f>[1]data!U120-[1]data!U82</f>
        <v>-8.2988218254853585E-4</v>
      </c>
      <c r="Y120" s="27">
        <f>[1]data!V120-[1]data!V82</f>
        <v>-6.8095657853481373E-4</v>
      </c>
      <c r="Z120" s="27">
        <f>[1]data!W120-[1]data!W82</f>
        <v>2.7723986400081841</v>
      </c>
      <c r="AA120" s="27">
        <f>[1]data!X120-[1]data!X82</f>
        <v>2.2748808589153242</v>
      </c>
      <c r="AB120" s="27">
        <f>[1]data!Y120-[1]data!Y82</f>
        <v>0</v>
      </c>
      <c r="AC120" s="27">
        <f>[1]data!Z120-[1]data!Z82</f>
        <v>0</v>
      </c>
      <c r="AD120" s="14">
        <v>2337.6598158571201</v>
      </c>
      <c r="AE120" s="15">
        <v>1918.15761738117</v>
      </c>
      <c r="AF120">
        <f>D120/(D120+H120)</f>
        <v>0.40397251899527642</v>
      </c>
      <c r="AG120">
        <f>(F120/(D120+H120))</f>
        <v>0.36604518252460178</v>
      </c>
      <c r="AH120">
        <f>(E120/(D120+H120))</f>
        <v>3.7927336470674582E-2</v>
      </c>
      <c r="AI120">
        <f>(G120/(D120+H120))</f>
        <v>-3.8438970407192908E-4</v>
      </c>
      <c r="AJ120">
        <f>(F120/(D120))</f>
        <v>0.90611406794451255</v>
      </c>
      <c r="AK120">
        <f>E120/D120</f>
        <v>9.3885932055487328E-2</v>
      </c>
      <c r="AL120">
        <f>(H120/(C120+H120))</f>
        <v>0.5962566759319361</v>
      </c>
      <c r="AM120">
        <f>(I120/(D120+H120))</f>
        <v>-1.7846664831910921E-4</v>
      </c>
      <c r="AN120">
        <f>(J120/(D120+H120))</f>
        <v>0.59620594765304313</v>
      </c>
      <c r="AO120">
        <f>(I120/H120)</f>
        <v>-2.994268788047624E-4</v>
      </c>
      <c r="AP120">
        <f>J120/H120</f>
        <v>1.0002994268788055</v>
      </c>
      <c r="AQ120">
        <f>(D120+H120)/AD120</f>
        <v>3.8155957146525719E-2</v>
      </c>
    </row>
    <row r="121" spans="1:43" x14ac:dyDescent="0.35">
      <c r="A121" s="11" t="s">
        <v>33</v>
      </c>
      <c r="B121" s="24" t="s">
        <v>69</v>
      </c>
      <c r="C121" s="28">
        <f t="shared" si="8"/>
        <v>227.99500429432959</v>
      </c>
      <c r="D121" s="27">
        <f>[1]data!C121-[1]data!C83</f>
        <v>227.24510700030919</v>
      </c>
      <c r="E121" s="27">
        <f>[1]data!D121-[1]data!D83</f>
        <v>42.258318536499011</v>
      </c>
      <c r="F121" s="27">
        <f>[1]data!E121-[1]data!E83</f>
        <v>184.98678846381023</v>
      </c>
      <c r="G121" s="27">
        <f>[1]data!F121-[1]data!F83</f>
        <v>0.749897294020343</v>
      </c>
      <c r="H121" s="27">
        <f>[1]data!G121-[1]data!G83</f>
        <v>0.45282259677381376</v>
      </c>
      <c r="I121" s="27">
        <f>[1]data!H121-[1]data!H83</f>
        <v>0</v>
      </c>
      <c r="J121" s="27">
        <f>[1]data!I121-[1]data!I83</f>
        <v>0.45282259677381376</v>
      </c>
      <c r="K121" s="27">
        <f>[1]data!J121-[1]data!J83</f>
        <v>264.23338464211304</v>
      </c>
      <c r="L121" s="13">
        <f t="shared" si="9"/>
        <v>4.9951444552306254</v>
      </c>
      <c r="M121" s="27">
        <f>[1]data!K121-[1]data!K83</f>
        <v>4.978714949146438</v>
      </c>
      <c r="N121" s="13">
        <f t="shared" si="10"/>
        <v>4.2840616817807504</v>
      </c>
      <c r="O121" s="13">
        <f t="shared" si="11"/>
        <v>4.2676321756965621</v>
      </c>
      <c r="P121" s="27">
        <f>[1]data!M121-[1]data!M83</f>
        <v>0.9258378541157033</v>
      </c>
      <c r="Q121" s="27">
        <f>[1]data!N121-[1]data!N83</f>
        <v>0.79360546969643764</v>
      </c>
      <c r="R121" s="27">
        <f>[1]data!O121-[1]data!O83</f>
        <v>4.052877095030734</v>
      </c>
      <c r="S121" s="27">
        <f>[1]data!P121-[1]data!P83</f>
        <v>3.4740267060001244</v>
      </c>
      <c r="T121" s="27">
        <f>[1]data!Q121-[1]data!Q83</f>
        <v>1.6429506084188361E-2</v>
      </c>
      <c r="U121" s="27">
        <f>[1]data!R121-[1]data!R83</f>
        <v>1.4082969101836262E-2</v>
      </c>
      <c r="V121" s="27">
        <f>[1]data!S121-[1]data!S83</f>
        <v>9.9208940585282512E-3</v>
      </c>
      <c r="W121" s="27">
        <f>[1]data!T121-[1]data!T83</f>
        <v>8.5039467268783753E-3</v>
      </c>
      <c r="X121" s="27">
        <f>[1]data!U121-[1]data!U83</f>
        <v>0</v>
      </c>
      <c r="Y121" s="27">
        <f>[1]data!V121-[1]data!V83</f>
        <v>0</v>
      </c>
      <c r="Z121" s="27">
        <f>[1]data!W121-[1]data!W83</f>
        <v>9.9208940585282512E-3</v>
      </c>
      <c r="AA121" s="27">
        <f>[1]data!X121-[1]data!X83</f>
        <v>8.5039467268783753E-3</v>
      </c>
      <c r="AB121" s="27">
        <f>[1]data!Y121-[1]data!Y83</f>
        <v>5.7890914332402303</v>
      </c>
      <c r="AC121" s="27">
        <f>[1]data!Z121-[1]data!Z83</f>
        <v>4.9622669947756144</v>
      </c>
      <c r="AD121" s="14">
        <v>5324.8522282316499</v>
      </c>
      <c r="AE121" s="15">
        <v>4564.3325500944502</v>
      </c>
      <c r="AF121">
        <f>D121/(D121+H121)</f>
        <v>0.99801130121132375</v>
      </c>
      <c r="AG121">
        <f>(F121/(D121+H121))</f>
        <v>0.81242191701588518</v>
      </c>
      <c r="AH121">
        <f>(E121/(D121+H121))</f>
        <v>0.1855893841954388</v>
      </c>
      <c r="AI121">
        <f>(G121/(D121+H121))</f>
        <v>3.2933865290180916E-3</v>
      </c>
      <c r="AJ121">
        <f>(F121/(D121))</f>
        <v>0.81404079896672332</v>
      </c>
      <c r="AK121">
        <f>E121/D121</f>
        <v>0.18595920103327687</v>
      </c>
      <c r="AL121">
        <f>(H121/(C121+H121))</f>
        <v>1.9821707342817727E-3</v>
      </c>
      <c r="AM121">
        <f>(I121/(D121+H121))</f>
        <v>0</v>
      </c>
      <c r="AN121">
        <f>(J121/(D121+H121))</f>
        <v>1.9886987886762707E-3</v>
      </c>
      <c r="AO121">
        <f>(I121/H121)</f>
        <v>0</v>
      </c>
      <c r="AP121">
        <f>J121/H121</f>
        <v>1</v>
      </c>
      <c r="AQ121">
        <f>(D121+H121)/AD121</f>
        <v>4.27613612242344E-2</v>
      </c>
    </row>
    <row r="122" spans="1:43" x14ac:dyDescent="0.35">
      <c r="A122" s="11" t="s">
        <v>34</v>
      </c>
      <c r="B122" s="24" t="s">
        <v>69</v>
      </c>
      <c r="C122" s="28">
        <f t="shared" si="8"/>
        <v>1.0631452400697414</v>
      </c>
      <c r="D122" s="27">
        <f>[1]data!C122-[1]data!C84</f>
        <v>0.70983413309792809</v>
      </c>
      <c r="E122" s="27">
        <f>[1]data!D122-[1]data!D84</f>
        <v>5.4602625622917067E-2</v>
      </c>
      <c r="F122" s="27">
        <f>[1]data!E122-[1]data!E84</f>
        <v>0.65523150747500836</v>
      </c>
      <c r="G122" s="27">
        <f>[1]data!F122-[1]data!F84</f>
        <v>0.353311106971816</v>
      </c>
      <c r="H122" s="27">
        <f>[1]data!G122-[1]data!G84</f>
        <v>0.75908356013035672</v>
      </c>
      <c r="I122" s="27">
        <f>[1]data!H122-[1]data!H84</f>
        <v>0</v>
      </c>
      <c r="J122" s="27">
        <f>[1]data!I122-[1]data!I84</f>
        <v>0.75908356013035672</v>
      </c>
      <c r="K122" s="27">
        <f>[1]data!J122-[1]data!J84</f>
        <v>1.3382996476205165</v>
      </c>
      <c r="L122" s="13">
        <f t="shared" si="9"/>
        <v>6.4899259095969442E-2</v>
      </c>
      <c r="M122" s="27">
        <f>[1]data!K122-[1]data!K84</f>
        <v>4.3331529487037113E-2</v>
      </c>
      <c r="N122" s="13">
        <f t="shared" si="10"/>
        <v>5.4483153118967759E-2</v>
      </c>
      <c r="O122" s="13">
        <f t="shared" si="11"/>
        <v>3.2915423510035263E-2</v>
      </c>
      <c r="P122" s="27">
        <f>[1]data!M122-[1]data!M84</f>
        <v>3.3331945759259018E-3</v>
      </c>
      <c r="Q122" s="27">
        <f>[1]data!N122-[1]data!N84</f>
        <v>2.5319556546181399E-3</v>
      </c>
      <c r="R122" s="27">
        <f>[1]data!O122-[1]data!O84</f>
        <v>3.9998334911111044E-2</v>
      </c>
      <c r="S122" s="27">
        <f>[1]data!P122-[1]data!P84</f>
        <v>3.0383467855417123E-2</v>
      </c>
      <c r="T122" s="27">
        <f>[1]data!Q122-[1]data!Q84</f>
        <v>2.1567729608932495E-2</v>
      </c>
      <c r="U122" s="27">
        <f>[1]data!R122-[1]data!R84</f>
        <v>1.6383242471058601E-2</v>
      </c>
      <c r="V122" s="27">
        <f>[1]data!S122-[1]data!S84</f>
        <v>4.6337940281009793E-2</v>
      </c>
      <c r="W122" s="27">
        <f>[1]data!T122-[1]data!T84</f>
        <v>3.5199148218122644E-2</v>
      </c>
      <c r="X122" s="27">
        <f>[1]data!U122-[1]data!U84</f>
        <v>0</v>
      </c>
      <c r="Y122" s="27">
        <f>[1]data!V122-[1]data!V84</f>
        <v>0</v>
      </c>
      <c r="Z122" s="27">
        <f>[1]data!W122-[1]data!W84</f>
        <v>4.6337940281009793E-2</v>
      </c>
      <c r="AA122" s="27">
        <f>[1]data!X122-[1]data!X84</f>
        <v>3.5199148218122644E-2</v>
      </c>
      <c r="AB122" s="27">
        <f>[1]data!Y122-[1]data!Y84</f>
        <v>8.1695945488379884E-2</v>
      </c>
      <c r="AC122" s="27">
        <f>[1]data!Z122-[1]data!Z84</f>
        <v>6.2057736632796789E-2</v>
      </c>
      <c r="AD122" s="14">
        <v>2156.5395714307001</v>
      </c>
      <c r="AE122" s="15">
        <v>1638.14696019506</v>
      </c>
      <c r="AF122">
        <f>D122/(D122+H122)</f>
        <v>0.48323615160350081</v>
      </c>
      <c r="AG122">
        <f>(F122/(D122+H122))</f>
        <v>0.44606413994169153</v>
      </c>
      <c r="AH122">
        <f>(E122/(D122+H122))</f>
        <v>3.7172011661807426E-2</v>
      </c>
      <c r="AI122">
        <f>(G122/(D122+H122))</f>
        <v>0.24052478134110666</v>
      </c>
      <c r="AJ122">
        <f>(F122/(D122))</f>
        <v>0.92307692307692002</v>
      </c>
      <c r="AK122">
        <f>E122/D122</f>
        <v>7.6923076923076247E-2</v>
      </c>
      <c r="AL122">
        <f>(H122/(C122+H122))</f>
        <v>0.41656874265569838</v>
      </c>
      <c r="AM122">
        <f>(I122/(D122+H122))</f>
        <v>0</v>
      </c>
      <c r="AN122">
        <f>(J122/(D122+H122))</f>
        <v>0.51676384839649925</v>
      </c>
      <c r="AO122">
        <f>(I122/H122)</f>
        <v>0</v>
      </c>
      <c r="AP122">
        <f>J122/H122</f>
        <v>1</v>
      </c>
      <c r="AQ122">
        <f>(D122+H122)/AD122</f>
        <v>6.8114571728158436E-4</v>
      </c>
    </row>
    <row r="123" spans="1:43" x14ac:dyDescent="0.35">
      <c r="A123" s="11" t="s">
        <v>35</v>
      </c>
      <c r="B123" s="24" t="s">
        <v>69</v>
      </c>
      <c r="C123" s="28">
        <f t="shared" si="8"/>
        <v>9.5341563582265767</v>
      </c>
      <c r="D123" s="27">
        <f>[1]data!C123-[1]data!C85</f>
        <v>8.919494114882724</v>
      </c>
      <c r="E123" s="27">
        <f>[1]data!D123-[1]data!D85</f>
        <v>-1.0503963879287284</v>
      </c>
      <c r="F123" s="27">
        <f>[1]data!E123-[1]data!E85</f>
        <v>9.9698905028114524</v>
      </c>
      <c r="G123" s="27">
        <f>[1]data!F123-[1]data!F85</f>
        <v>0.614662243343852</v>
      </c>
      <c r="H123" s="27">
        <f>[1]data!G123-[1]data!G85</f>
        <v>6.8486823031478536</v>
      </c>
      <c r="I123" s="27">
        <f>[1]data!H123-[1]data!H85</f>
        <v>4.1453482675033571E-2</v>
      </c>
      <c r="J123" s="27">
        <f>[1]data!I123-[1]data!I85</f>
        <v>6.8072288204728011</v>
      </c>
      <c r="K123" s="27">
        <f>[1]data!J123-[1]data!J85</f>
        <v>-4.8979840922594775E-2</v>
      </c>
      <c r="L123" s="13">
        <f t="shared" si="9"/>
        <v>0.72014677861024512</v>
      </c>
      <c r="M123" s="27">
        <f>[1]data!K123-[1]data!K85</f>
        <v>0.67371927964275846</v>
      </c>
      <c r="N123" s="13">
        <f t="shared" si="10"/>
        <v>0.54291269855661184</v>
      </c>
      <c r="O123" s="13">
        <f t="shared" si="11"/>
        <v>0.49648519958912513</v>
      </c>
      <c r="P123" s="27">
        <f>[1]data!M123-[1]data!M85</f>
        <v>-7.9339959049236186E-2</v>
      </c>
      <c r="Q123" s="27">
        <f>[1]data!N123-[1]data!N85</f>
        <v>-5.8468143326461275E-2</v>
      </c>
      <c r="R123" s="27">
        <f>[1]data!O123-[1]data!O85</f>
        <v>0.75305923869199454</v>
      </c>
      <c r="S123" s="27">
        <f>[1]data!P123-[1]data!P85</f>
        <v>0.5549533429155864</v>
      </c>
      <c r="T123" s="27">
        <f>[1]data!Q123-[1]data!Q85</f>
        <v>4.6427498967486741E-2</v>
      </c>
      <c r="U123" s="27">
        <f>[1]data!R123-[1]data!R85</f>
        <v>3.4213903012422588E-2</v>
      </c>
      <c r="V123" s="27">
        <f>[1]data!S123-[1]data!S85</f>
        <v>0.51730392423040783</v>
      </c>
      <c r="W123" s="27">
        <f>[1]data!T123-[1]data!T85</f>
        <v>0.38121774132092234</v>
      </c>
      <c r="X123" s="27">
        <f>[1]data!U123-[1]data!U85</f>
        <v>3.1311204566980555E-3</v>
      </c>
      <c r="Y123" s="27">
        <f>[1]data!V123-[1]data!V85</f>
        <v>2.3074224114613892E-3</v>
      </c>
      <c r="Z123" s="27">
        <f>[1]data!W123-[1]data!W85</f>
        <v>0.514172803773711</v>
      </c>
      <c r="AA123" s="27">
        <f>[1]data!X123-[1]data!X85</f>
        <v>0.37891031890946181</v>
      </c>
      <c r="AB123" s="27">
        <f>[1]data!Y123-[1]data!Y85</f>
        <v>-3.6996115158961507E-3</v>
      </c>
      <c r="AC123" s="27">
        <f>[1]data!Z123-[1]data!Z85</f>
        <v>-2.7263615831891741E-3</v>
      </c>
      <c r="AD123" s="14">
        <v>1796.5276955414199</v>
      </c>
      <c r="AE123" s="15">
        <v>1323.9184901480501</v>
      </c>
      <c r="AF123">
        <f>D123/(D123+H123)</f>
        <v>0.56566427711218847</v>
      </c>
      <c r="AG123">
        <f>(F123/(D123+H123))</f>
        <v>0.63227923372363415</v>
      </c>
      <c r="AH123">
        <f>(E123/(D123+H123))</f>
        <v>-6.6614956611445716E-2</v>
      </c>
      <c r="AI123">
        <f>(G123/(D123+H123))</f>
        <v>3.8981187617928896E-2</v>
      </c>
      <c r="AJ123">
        <f>(F123/(D123))</f>
        <v>1.1177641214176124</v>
      </c>
      <c r="AK123">
        <f>E123/D123</f>
        <v>-0.1177641214176124</v>
      </c>
      <c r="AL123">
        <f>(H123/(C123+H123))</f>
        <v>0.4180400261949041</v>
      </c>
      <c r="AM123">
        <f>(I123/(D123+H123))</f>
        <v>2.6289332118096032E-3</v>
      </c>
      <c r="AN123">
        <f>(J123/(D123+H123))</f>
        <v>0.43170678967600074</v>
      </c>
      <c r="AO123">
        <f>(I123/H123)</f>
        <v>6.0527676478700646E-3</v>
      </c>
      <c r="AP123">
        <f>J123/H123</f>
        <v>0.99394723235212712</v>
      </c>
      <c r="AQ123">
        <f>(D123+H123)/AD123</f>
        <v>8.7770294091004918E-3</v>
      </c>
    </row>
    <row r="124" spans="1:43" x14ac:dyDescent="0.35">
      <c r="A124" s="11" t="s">
        <v>36</v>
      </c>
      <c r="B124" s="24" t="s">
        <v>69</v>
      </c>
      <c r="C124" s="28">
        <f t="shared" si="8"/>
        <v>202.94318783825895</v>
      </c>
      <c r="D124" s="27">
        <f>[1]data!C124-[1]data!C86</f>
        <v>199.10473073790882</v>
      </c>
      <c r="E124" s="27">
        <f>[1]data!D124-[1]data!D86</f>
        <v>103.96143780860356</v>
      </c>
      <c r="F124" s="27">
        <f>[1]data!E124-[1]data!E86</f>
        <v>95.143292929305233</v>
      </c>
      <c r="G124" s="27">
        <f>[1]data!F124-[1]data!F86</f>
        <v>3.838457100350162</v>
      </c>
      <c r="H124" s="27">
        <f>[1]data!G124-[1]data!G86</f>
        <v>-0.29967103393948946</v>
      </c>
      <c r="I124" s="27">
        <f>[1]data!H124-[1]data!H86</f>
        <v>-8.7880068603984896E-4</v>
      </c>
      <c r="J124" s="27">
        <f>[1]data!I124-[1]data!I86</f>
        <v>-0.29879223325349358</v>
      </c>
      <c r="K124" s="27">
        <f>[1]data!J124-[1]data!J86</f>
        <v>0</v>
      </c>
      <c r="L124" s="13">
        <f t="shared" si="9"/>
        <v>6.4275653576586569</v>
      </c>
      <c r="M124" s="27">
        <f>[1]data!K124-[1]data!K86</f>
        <v>6.3059947144265589</v>
      </c>
      <c r="N124" s="13">
        <f t="shared" si="10"/>
        <v>6.8892633716097444</v>
      </c>
      <c r="O124" s="13">
        <f t="shared" si="11"/>
        <v>6.7676927283776465</v>
      </c>
      <c r="P124" s="27">
        <f>[1]data!M124-[1]data!M86</f>
        <v>3.2926403852664432</v>
      </c>
      <c r="Q124" s="27">
        <f>[1]data!N124-[1]data!N86</f>
        <v>3.5337134586476817</v>
      </c>
      <c r="R124" s="27">
        <f>[1]data!O124-[1]data!O86</f>
        <v>3.0133543291601157</v>
      </c>
      <c r="S124" s="27">
        <f>[1]data!P124-[1]data!P86</f>
        <v>3.2339792697299643</v>
      </c>
      <c r="T124" s="27">
        <f>[1]data!Q124-[1]data!Q86</f>
        <v>0.12157064323209785</v>
      </c>
      <c r="U124" s="27">
        <f>[1]data!R124-[1]data!R86</f>
        <v>0.13047152676861692</v>
      </c>
      <c r="V124" s="27">
        <f>[1]data!S124-[1]data!S86</f>
        <v>-9.4911052544333074E-3</v>
      </c>
      <c r="W124" s="27">
        <f>[1]data!T124-[1]data!T86</f>
        <v>-1.0186003465518567E-2</v>
      </c>
      <c r="X124" s="27">
        <f>[1]data!U124-[1]data!U86</f>
        <v>-2.7833153238815411E-5</v>
      </c>
      <c r="Y124" s="27">
        <f>[1]data!V124-[1]data!V86</f>
        <v>-2.9870977904758456E-5</v>
      </c>
      <c r="Z124" s="27">
        <f>[1]data!W124-[1]data!W86</f>
        <v>-9.4632721011951304E-3</v>
      </c>
      <c r="AA124" s="27">
        <f>[1]data!X124-[1]data!X86</f>
        <v>-1.0156132487614045E-2</v>
      </c>
      <c r="AB124" s="27">
        <f>[1]data!Y124-[1]data!Y86</f>
        <v>0</v>
      </c>
      <c r="AC124" s="27">
        <f>[1]data!Z124-[1]data!Z86</f>
        <v>0</v>
      </c>
      <c r="AD124" s="14">
        <v>2941.9883367789698</v>
      </c>
      <c r="AE124" s="15">
        <v>3157.38816403392</v>
      </c>
      <c r="AF124">
        <f>D124/(D124+H124)</f>
        <v>1.0015073612029075</v>
      </c>
      <c r="AG124">
        <f>(F124/(D124+H124))</f>
        <v>0.47857581226040397</v>
      </c>
      <c r="AH124">
        <f>(E124/(D124+H124))</f>
        <v>0.52293154894250349</v>
      </c>
      <c r="AI124">
        <f>(G124/(D124+H124))</f>
        <v>1.9307642904389941E-2</v>
      </c>
      <c r="AJ124">
        <f>(F124/(D124))</f>
        <v>0.47785551140192117</v>
      </c>
      <c r="AK124">
        <f>E124/D124</f>
        <v>0.52214448859807872</v>
      </c>
      <c r="AL124">
        <f>(H124/(C124+H124))</f>
        <v>-1.4788088889557893E-3</v>
      </c>
      <c r="AM124">
        <f>(I124/(D124+H124))</f>
        <v>-4.420414084774437E-6</v>
      </c>
      <c r="AN124">
        <f>(J124/(D124+H124))</f>
        <v>-1.5029407888230318E-3</v>
      </c>
      <c r="AO124">
        <f>(I124/H124)</f>
        <v>2.9325513196490631E-3</v>
      </c>
      <c r="AP124">
        <f>J124/H124</f>
        <v>0.99706744868049768</v>
      </c>
      <c r="AQ124">
        <f>(D124+H124)/AD124</f>
        <v>6.7575067249121268E-2</v>
      </c>
    </row>
    <row r="125" spans="1:43" x14ac:dyDescent="0.35">
      <c r="A125" s="11" t="s">
        <v>37</v>
      </c>
      <c r="B125" s="24" t="s">
        <v>69</v>
      </c>
      <c r="C125" s="28">
        <f t="shared" si="8"/>
        <v>1054.3</v>
      </c>
      <c r="D125" s="27">
        <f>[1]data!C125-[1]data!C87</f>
        <v>1054.3000000000002</v>
      </c>
      <c r="E125" s="27">
        <f>[1]data!D125-[1]data!D87</f>
        <v>179.8</v>
      </c>
      <c r="F125" s="27">
        <f>[1]data!E125-[1]data!E87</f>
        <v>874.5</v>
      </c>
      <c r="G125" s="27">
        <f>[1]data!F125-[1]data!F87</f>
        <v>0</v>
      </c>
      <c r="H125" s="27">
        <f>[1]data!G125-[1]data!G87</f>
        <v>0</v>
      </c>
      <c r="I125" s="27">
        <f>[1]data!H125-[1]data!H87</f>
        <v>0</v>
      </c>
      <c r="J125" s="27">
        <f>[1]data!I125-[1]data!I87</f>
        <v>0</v>
      </c>
      <c r="K125" s="27">
        <f>[1]data!J125-[1]data!J87</f>
        <v>0</v>
      </c>
      <c r="L125" s="13">
        <f t="shared" si="9"/>
        <v>5.2902870798831074</v>
      </c>
      <c r="M125" s="27">
        <f>[1]data!K125-[1]data!K87</f>
        <v>5.2902870798831074</v>
      </c>
      <c r="N125" s="13">
        <f t="shared" si="10"/>
        <v>5.2783053488644835</v>
      </c>
      <c r="O125" s="13">
        <f t="shared" si="11"/>
        <v>5.2783053488644835</v>
      </c>
      <c r="P125" s="27">
        <f>[1]data!M125-[1]data!M87</f>
        <v>0.90220394286539163</v>
      </c>
      <c r="Q125" s="27">
        <f>[1]data!N125-[1]data!N87</f>
        <v>0.90016058211688743</v>
      </c>
      <c r="R125" s="27">
        <f>[1]data!O125-[1]data!O87</f>
        <v>4.3880831370177162</v>
      </c>
      <c r="S125" s="27">
        <f>[1]data!P125-[1]data!P87</f>
        <v>4.3781447667475959</v>
      </c>
      <c r="T125" s="27">
        <f>[1]data!Q125-[1]data!Q87</f>
        <v>0</v>
      </c>
      <c r="U125" s="27">
        <f>[1]data!R125-[1]data!R87</f>
        <v>0</v>
      </c>
      <c r="V125" s="27">
        <f>[1]data!S125-[1]data!S87</f>
        <v>0</v>
      </c>
      <c r="W125" s="27">
        <f>[1]data!T125-[1]data!T87</f>
        <v>0</v>
      </c>
      <c r="X125" s="27">
        <f>[1]data!U125-[1]data!U87</f>
        <v>0</v>
      </c>
      <c r="Y125" s="27">
        <f>[1]data!V125-[1]data!V87</f>
        <v>0</v>
      </c>
      <c r="Z125" s="27">
        <f>[1]data!W125-[1]data!W87</f>
        <v>0</v>
      </c>
      <c r="AA125" s="27">
        <f>[1]data!X125-[1]data!X87</f>
        <v>0</v>
      </c>
      <c r="AB125" s="27">
        <f>[1]data!Y125-[1]data!Y87</f>
        <v>0</v>
      </c>
      <c r="AC125" s="27">
        <f>[1]data!Z125-[1]data!Z87</f>
        <v>0</v>
      </c>
      <c r="AD125" s="14">
        <v>19974.2138871676</v>
      </c>
      <c r="AE125" s="15">
        <v>19928.975197</v>
      </c>
      <c r="AF125">
        <f>D125/(D125+H125)</f>
        <v>1</v>
      </c>
      <c r="AG125">
        <f>(F125/(D125+H125))</f>
        <v>0.82946030541591564</v>
      </c>
      <c r="AH125">
        <f>(E125/(D125+H125))</f>
        <v>0.17053969458408422</v>
      </c>
      <c r="AI125">
        <f>(G125/(D125+H125))</f>
        <v>0</v>
      </c>
      <c r="AJ125">
        <f>(F125/(D125))</f>
        <v>0.82946030541591564</v>
      </c>
      <c r="AK125">
        <f>E125/D125</f>
        <v>0.17053969458408422</v>
      </c>
      <c r="AL125">
        <f>(H125/(C125+H125))</f>
        <v>0</v>
      </c>
      <c r="AM125">
        <f>(I125/(D125+H125))</f>
        <v>0</v>
      </c>
      <c r="AN125">
        <f>(J125/(D125+H125))</f>
        <v>0</v>
      </c>
      <c r="AO125" t="e">
        <f>(I125/H125)</f>
        <v>#DIV/0!</v>
      </c>
      <c r="AP125" t="e">
        <f>J125/H125</f>
        <v>#DIV/0!</v>
      </c>
      <c r="AQ125">
        <f>(D125+H125)/AD125</f>
        <v>5.278305348864485E-2</v>
      </c>
    </row>
    <row r="126" spans="1:43" x14ac:dyDescent="0.35">
      <c r="A126" s="11" t="s">
        <v>38</v>
      </c>
      <c r="B126" s="24" t="s">
        <v>69</v>
      </c>
      <c r="C126" s="28">
        <f t="shared" si="8"/>
        <v>2.6756517035228971</v>
      </c>
      <c r="D126" s="27">
        <f>[1]data!C126-[1]data!C88</f>
        <v>0.48248815777999443</v>
      </c>
      <c r="E126" s="27">
        <f>[1]data!D126-[1]data!D88</f>
        <v>0.51497751595394803</v>
      </c>
      <c r="F126" s="27">
        <f>[1]data!E126-[1]data!E88</f>
        <v>-3.2489358173953597E-2</v>
      </c>
      <c r="G126" s="27">
        <f>[1]data!F126-[1]data!F88</f>
        <v>2.1931635457429026</v>
      </c>
      <c r="H126" s="27">
        <f>[1]data!G126-[1]data!G88</f>
        <v>1.2548321813173946</v>
      </c>
      <c r="I126" s="27">
        <f>[1]data!H126-[1]data!H88</f>
        <v>0.10436173005807836</v>
      </c>
      <c r="J126" s="27">
        <f>[1]data!I126-[1]data!I88</f>
        <v>1.1504704512593162</v>
      </c>
      <c r="K126" s="27">
        <f>[1]data!J126-[1]data!J88</f>
        <v>7.6165976297277194</v>
      </c>
      <c r="L126" s="13">
        <f t="shared" si="9"/>
        <v>0.20917397713870886</v>
      </c>
      <c r="M126" s="27">
        <f>[1]data!K126-[1]data!K88</f>
        <v>3.7719396269809247E-2</v>
      </c>
      <c r="N126" s="13">
        <f t="shared" si="10"/>
        <v>0.19171299837666189</v>
      </c>
      <c r="O126" s="13">
        <f t="shared" si="11"/>
        <v>2.0258417507762264E-2</v>
      </c>
      <c r="P126" s="27">
        <f>[1]data!M126-[1]data!M88</f>
        <v>4.0259311407112836E-2</v>
      </c>
      <c r="Q126" s="27">
        <f>[1]data!N126-[1]data!N88</f>
        <v>2.1622560796740811E-2</v>
      </c>
      <c r="R126" s="27">
        <f>[1]data!O126-[1]data!O88</f>
        <v>-2.5399151373036166E-3</v>
      </c>
      <c r="S126" s="27">
        <f>[1]data!P126-[1]data!P88</f>
        <v>-1.3641432889785476E-3</v>
      </c>
      <c r="T126" s="27">
        <f>[1]data!Q126-[1]data!Q88</f>
        <v>0.17145458086889964</v>
      </c>
      <c r="U126" s="27">
        <f>[1]data!R126-[1]data!R88</f>
        <v>9.2085208840966645E-2</v>
      </c>
      <c r="V126" s="27">
        <f>[1]data!S126-[1]data!S88</f>
        <v>9.8098806231845859E-2</v>
      </c>
      <c r="W126" s="27">
        <f>[1]data!T126-[1]data!T88</f>
        <v>5.2687125728162074E-2</v>
      </c>
      <c r="X126" s="27">
        <f>[1]data!U126-[1]data!U88</f>
        <v>8.1586695714477853E-3</v>
      </c>
      <c r="Y126" s="27">
        <f>[1]data!V126-[1]data!V88</f>
        <v>4.3818764569823476E-3</v>
      </c>
      <c r="Z126" s="27">
        <f>[1]data!W126-[1]data!W88</f>
        <v>8.9940136660398073E-2</v>
      </c>
      <c r="AA126" s="27">
        <f>[1]data!X126-[1]data!X88</f>
        <v>4.8305249271179726E-2</v>
      </c>
      <c r="AB126" s="27">
        <f>[1]data!Y126-[1]data!Y88</f>
        <v>0.59544148305167344</v>
      </c>
      <c r="AC126" s="27">
        <f>[1]data!Z126-[1]data!Z88</f>
        <v>0.31980104026100237</v>
      </c>
      <c r="AD126" s="14">
        <v>2381.6675591522499</v>
      </c>
      <c r="AE126" s="15">
        <v>1279.1513266244399</v>
      </c>
      <c r="AF126">
        <f>D126/(D126+H126)</f>
        <v>0.27771974282570555</v>
      </c>
      <c r="AG126">
        <f>(F126/(D126+H126))</f>
        <v>-1.8700844883237356E-2</v>
      </c>
      <c r="AH126">
        <f>(E126/(D126+H126))</f>
        <v>0.29642058770894292</v>
      </c>
      <c r="AI126">
        <f>(G126/(D126+H126))</f>
        <v>1.262382933295044</v>
      </c>
      <c r="AJ126">
        <f>(F126/(D126))</f>
        <v>-6.7337110041088583E-2</v>
      </c>
      <c r="AK126">
        <f>E126/D126</f>
        <v>1.0673371100410887</v>
      </c>
      <c r="AL126">
        <f>(H126/(C126+H126))</f>
        <v>0.31925641169964564</v>
      </c>
      <c r="AM126">
        <f>(I126/(D126+H126))</f>
        <v>6.007051647843982E-2</v>
      </c>
      <c r="AN126">
        <f>(J126/(D126+H126))</f>
        <v>0.66220974069585459</v>
      </c>
      <c r="AO126">
        <f>(I126/H126)</f>
        <v>8.3167878232540585E-2</v>
      </c>
      <c r="AP126">
        <f>J126/H126</f>
        <v>0.91683212176745943</v>
      </c>
      <c r="AQ126">
        <f>(D126+H126)/AD126</f>
        <v>7.2945543235924373E-4</v>
      </c>
    </row>
    <row r="127" spans="1:43" x14ac:dyDescent="0.35">
      <c r="A127" s="11" t="s">
        <v>39</v>
      </c>
      <c r="B127" s="24" t="s">
        <v>69</v>
      </c>
      <c r="C127" s="28">
        <f t="shared" si="8"/>
        <v>2.9555531427100137</v>
      </c>
      <c r="D127" s="27">
        <f>[1]data!C127-[1]data!C89</f>
        <v>2.7067390270690295</v>
      </c>
      <c r="E127" s="27">
        <f>[1]data!D127-[1]data!D89</f>
        <v>6.3428250262197894E-2</v>
      </c>
      <c r="F127" s="27">
        <f>[1]data!E127-[1]data!E89</f>
        <v>2.6433107768068318</v>
      </c>
      <c r="G127" s="27">
        <f>[1]data!F127-[1]data!F89</f>
        <v>0.24881411564098421</v>
      </c>
      <c r="H127" s="27">
        <f>[1]data!G127-[1]data!G89</f>
        <v>-22.6690210199828</v>
      </c>
      <c r="I127" s="27">
        <f>[1]data!H127-[1]data!H89</f>
        <v>8.8709204053682544E-2</v>
      </c>
      <c r="J127" s="27">
        <f>[1]data!I127-[1]data!I89</f>
        <v>-22.757730224036486</v>
      </c>
      <c r="K127" s="27">
        <f>[1]data!J127-[1]data!J89</f>
        <v>2.2309957558467346</v>
      </c>
      <c r="L127" s="13">
        <f t="shared" si="9"/>
        <v>0.29642872626636207</v>
      </c>
      <c r="M127" s="27">
        <f>[1]data!K127-[1]data!K89</f>
        <v>0.27147378625505836</v>
      </c>
      <c r="N127" s="13">
        <f t="shared" si="10"/>
        <v>0.14093566982284067</v>
      </c>
      <c r="O127" s="13">
        <f t="shared" si="11"/>
        <v>0.11598072981153695</v>
      </c>
      <c r="P127" s="27">
        <f>[1]data!M127-[1]data!M89</f>
        <v>6.3615690622593202E-3</v>
      </c>
      <c r="Q127" s="27">
        <f>[1]data!N127-[1]data!N89</f>
        <v>2.717829344650341E-3</v>
      </c>
      <c r="R127" s="27">
        <f>[1]data!O127-[1]data!O89</f>
        <v>0.26511221719279904</v>
      </c>
      <c r="S127" s="27">
        <f>[1]data!P127-[1]data!P89</f>
        <v>0.11326290046688661</v>
      </c>
      <c r="T127" s="27">
        <f>[1]data!Q127-[1]data!Q89</f>
        <v>2.4954940011303717E-2</v>
      </c>
      <c r="U127" s="27">
        <f>[1]data!R127-[1]data!R89</f>
        <v>1.0661405636398502E-2</v>
      </c>
      <c r="V127" s="27">
        <f>[1]data!S127-[1]data!S89</f>
        <v>-2.2736011508483305</v>
      </c>
      <c r="W127" s="27">
        <f>[1]data!T127-[1]data!T89</f>
        <v>-0.97134211156575767</v>
      </c>
      <c r="X127" s="27">
        <f>[1]data!U127-[1]data!U89</f>
        <v>8.8971353570805323E-3</v>
      </c>
      <c r="Y127" s="27">
        <f>[1]data!V127-[1]data!V89</f>
        <v>3.8010898443680274E-3</v>
      </c>
      <c r="Z127" s="27">
        <f>[1]data!W127-[1]data!W89</f>
        <v>-2.2824982862054117</v>
      </c>
      <c r="AA127" s="27">
        <f>[1]data!X127-[1]data!X89</f>
        <v>-0.975143201410126</v>
      </c>
      <c r="AB127" s="27">
        <f>[1]data!Y127-[1]data!Y89</f>
        <v>0.22375886958504054</v>
      </c>
      <c r="AC127" s="27">
        <f>[1]data!Z127-[1]data!Z89</f>
        <v>9.5595664518028367E-2</v>
      </c>
      <c r="AD127" s="14">
        <v>2333.7834064911899</v>
      </c>
      <c r="AE127" s="15">
        <v>997.05355143423003</v>
      </c>
      <c r="AF127">
        <f>D127/(D127+H127)</f>
        <v>-0.13559266560956659</v>
      </c>
      <c r="AG127">
        <f>(F127/(D127+H127))</f>
        <v>-0.1324152608276527</v>
      </c>
      <c r="AH127">
        <f>(E127/(D127+H127))</f>
        <v>-3.1774047819138973E-3</v>
      </c>
      <c r="AI127">
        <f>(G127/(D127+H127))</f>
        <v>-1.2464212043959127E-2</v>
      </c>
      <c r="AJ127">
        <f>(F127/(D127))</f>
        <v>0.9765665438640827</v>
      </c>
      <c r="AK127">
        <f>E127/D127</f>
        <v>2.3433456135917418E-2</v>
      </c>
      <c r="AL127">
        <f>(H127/(C127+H127))</f>
        <v>1.1499255818971053</v>
      </c>
      <c r="AM127">
        <f>(I127/(D127+H127))</f>
        <v>-4.4438408437057755E-3</v>
      </c>
      <c r="AN127">
        <f>(J127/(D127+H127))</f>
        <v>1.1400365064532725</v>
      </c>
      <c r="AO127">
        <f>(I127/H127)</f>
        <v>-3.9132348933588771E-3</v>
      </c>
      <c r="AP127">
        <f>J127/H127</f>
        <v>1.003913234893359</v>
      </c>
      <c r="AQ127">
        <f>(D127+H127)/AD127</f>
        <v>-8.5536138175422091E-3</v>
      </c>
    </row>
    <row r="128" spans="1:43" x14ac:dyDescent="0.35">
      <c r="A128" s="17" t="s">
        <v>40</v>
      </c>
      <c r="B128" s="24" t="s">
        <v>69</v>
      </c>
      <c r="C128" s="28">
        <f t="shared" si="8"/>
        <v>-0.15673549095230843</v>
      </c>
      <c r="D128" s="27">
        <f>[1]data!C128-[1]data!C90</f>
        <v>-0.15673549095230754</v>
      </c>
      <c r="E128" s="27">
        <f>[1]data!D128-[1]data!D90</f>
        <v>-8.8163713660671661E-3</v>
      </c>
      <c r="F128" s="27">
        <f>[1]data!E128-[1]data!E90</f>
        <v>-0.14791911958624127</v>
      </c>
      <c r="G128" s="27">
        <f>[1]data!F128-[1]data!F90</f>
        <v>0</v>
      </c>
      <c r="H128" s="27">
        <f>[1]data!G128-[1]data!G90</f>
        <v>-4.4081856830334942E-2</v>
      </c>
      <c r="I128" s="27">
        <f>[1]data!H128-[1]data!H90</f>
        <v>0</v>
      </c>
      <c r="J128" s="27">
        <f>[1]data!I128-[1]data!I90</f>
        <v>-4.4081856830334942E-2</v>
      </c>
      <c r="K128" s="27">
        <f>[1]data!J128-[1]data!J90</f>
        <v>0</v>
      </c>
      <c r="L128" s="13">
        <f t="shared" si="9"/>
        <v>-3.7863429173518093E-2</v>
      </c>
      <c r="M128" s="27">
        <f>[1]data!K128-[1]data!K90</f>
        <v>-3.7863429173517815E-2</v>
      </c>
      <c r="N128" s="13">
        <f t="shared" si="10"/>
        <v>-3.3447667807116499E-2</v>
      </c>
      <c r="O128" s="13">
        <f t="shared" si="11"/>
        <v>-3.3447667807116499E-2</v>
      </c>
      <c r="P128" s="27">
        <f>[1]data!M128-[1]data!M90</f>
        <v>-2.1298178910103549E-3</v>
      </c>
      <c r="Q128" s="27">
        <f>[1]data!N128-[1]data!N90</f>
        <v>-1.8814313141501948E-3</v>
      </c>
      <c r="R128" s="27">
        <f>[1]data!O128-[1]data!O90</f>
        <v>-3.5733611282507738E-2</v>
      </c>
      <c r="S128" s="27">
        <f>[1]data!P128-[1]data!P90</f>
        <v>-3.1566236492966304E-2</v>
      </c>
      <c r="T128" s="27">
        <f>[1]data!Q128-[1]data!Q90</f>
        <v>0</v>
      </c>
      <c r="U128" s="27">
        <f>[1]data!R128-[1]data!R90</f>
        <v>0</v>
      </c>
      <c r="V128" s="27">
        <f>[1]data!S128-[1]data!S90</f>
        <v>-1.0649089455051275E-2</v>
      </c>
      <c r="W128" s="27">
        <f>[1]data!T128-[1]data!T90</f>
        <v>-9.4071565707509741E-3</v>
      </c>
      <c r="X128" s="27">
        <f>[1]data!U128-[1]data!U90</f>
        <v>0</v>
      </c>
      <c r="Y128" s="27">
        <f>[1]data!V128-[1]data!V90</f>
        <v>0</v>
      </c>
      <c r="Z128" s="27">
        <f>[1]data!W128-[1]data!W90</f>
        <v>-1.0649089455051275E-2</v>
      </c>
      <c r="AA128" s="27">
        <f>[1]data!X128-[1]data!X90</f>
        <v>-9.4071565707509741E-3</v>
      </c>
      <c r="AB128" s="27">
        <f>[1]data!Y128-[1]data!Y90</f>
        <v>0</v>
      </c>
      <c r="AC128" s="27">
        <f>[1]data!Z128-[1]data!Z90</f>
        <v>0</v>
      </c>
      <c r="AD128" s="14">
        <v>468.59916169988998</v>
      </c>
      <c r="AE128" s="15">
        <v>413.94954015926999</v>
      </c>
      <c r="AF128">
        <f>D128/(D128+H128)</f>
        <v>0.7804878048780548</v>
      </c>
      <c r="AG128">
        <f>(F128/(D128+H128))</f>
        <v>0.73658536585366929</v>
      </c>
      <c r="AH128">
        <f>(E128/(D128+H128))</f>
        <v>4.3902439024389922E-2</v>
      </c>
      <c r="AI128">
        <f>(G128/(D128+H128))</f>
        <v>0</v>
      </c>
      <c r="AJ128">
        <f>(F128/(D128))</f>
        <v>0.94375000000000653</v>
      </c>
      <c r="AK128">
        <f>E128/D128</f>
        <v>5.6249999999999148E-2</v>
      </c>
      <c r="AL128">
        <f>(H128/(C128+H128))</f>
        <v>0.2195121951219442</v>
      </c>
      <c r="AM128">
        <f>(I128/(D128+H128))</f>
        <v>0</v>
      </c>
      <c r="AN128">
        <f>(J128/(D128+H128))</f>
        <v>0.21951219512194517</v>
      </c>
      <c r="AO128">
        <f>(I128/H128)</f>
        <v>0</v>
      </c>
      <c r="AP128">
        <f>J128/H128</f>
        <v>1</v>
      </c>
      <c r="AQ128">
        <f>(D128+H128)/AD128</f>
        <v>-4.2854824377866496E-4</v>
      </c>
    </row>
    <row r="129" spans="1:43" x14ac:dyDescent="0.35">
      <c r="A129" s="11" t="s">
        <v>41</v>
      </c>
      <c r="B129" s="24" t="s">
        <v>69</v>
      </c>
      <c r="C129" s="28">
        <f t="shared" si="8"/>
        <v>13.950383861545903</v>
      </c>
      <c r="D129" s="27">
        <f>[1]data!C129-[1]data!C91</f>
        <v>16.647247256710656</v>
      </c>
      <c r="E129" s="27">
        <f>[1]data!D129-[1]data!D91</f>
        <v>5.4475010377742272</v>
      </c>
      <c r="F129" s="27">
        <f>[1]data!E129-[1]data!E91</f>
        <v>11.199746218936426</v>
      </c>
      <c r="G129" s="27">
        <f>[1]data!F129-[1]data!F91</f>
        <v>-2.6968633951647494</v>
      </c>
      <c r="H129" s="27">
        <f>[1]data!G129-[1]data!G91</f>
        <v>-0.37390929665895811</v>
      </c>
      <c r="I129" s="27">
        <f>[1]data!H129-[1]data!H91</f>
        <v>-0.11921412386145835</v>
      </c>
      <c r="J129" s="27">
        <f>[1]data!I129-[1]data!I91</f>
        <v>-0.25469517279749709</v>
      </c>
      <c r="K129" s="27">
        <f>[1]data!J129-[1]data!J91</f>
        <v>0</v>
      </c>
      <c r="L129" s="13">
        <f t="shared" si="9"/>
        <v>2.8173628297447073</v>
      </c>
      <c r="M129" s="27">
        <f>[1]data!K129-[1]data!K91</f>
        <v>3.3620104008685532</v>
      </c>
      <c r="N129" s="13">
        <f t="shared" si="10"/>
        <v>2.4531173670362816</v>
      </c>
      <c r="O129" s="13">
        <f t="shared" si="11"/>
        <v>2.9977649381601279</v>
      </c>
      <c r="P129" s="27">
        <f>[1]data!M129-[1]data!M91</f>
        <v>1.1001551707208788</v>
      </c>
      <c r="Q129" s="27">
        <f>[1]data!N129-[1]data!N91</f>
        <v>0.98096263963686792</v>
      </c>
      <c r="R129" s="27">
        <f>[1]data!O129-[1]data!O91</f>
        <v>2.2618552301476749</v>
      </c>
      <c r="S129" s="27">
        <f>[1]data!P129-[1]data!P91</f>
        <v>2.0168022985232601</v>
      </c>
      <c r="T129" s="27">
        <f>[1]data!Q129-[1]data!Q91</f>
        <v>-0.54464757112384632</v>
      </c>
      <c r="U129" s="27">
        <f>[1]data!R129-[1]data!R91</f>
        <v>-0.48563960181305132</v>
      </c>
      <c r="V129" s="27">
        <f>[1]data!S129-[1]data!S91</f>
        <v>-7.5513201970499821E-2</v>
      </c>
      <c r="W129" s="27">
        <f>[1]data!T129-[1]data!T91</f>
        <v>-6.7331983618162283E-2</v>
      </c>
      <c r="X129" s="27">
        <f>[1]data!U129-[1]data!U91</f>
        <v>-2.4075999963963368E-2</v>
      </c>
      <c r="Y129" s="27">
        <f>[1]data!V129-[1]data!V91</f>
        <v>-2.1467568489516947E-2</v>
      </c>
      <c r="Z129" s="27">
        <f>[1]data!W129-[1]data!W91</f>
        <v>-5.1437202006535898E-2</v>
      </c>
      <c r="AA129" s="27">
        <f>[1]data!X129-[1]data!X91</f>
        <v>-4.586441512864603E-2</v>
      </c>
      <c r="AB129" s="27">
        <f>[1]data!Y129-[1]data!Y91</f>
        <v>0</v>
      </c>
      <c r="AC129" s="27">
        <f>[1]data!Z129-[1]data!Z91</f>
        <v>0</v>
      </c>
      <c r="AD129" s="14">
        <v>555.32196820367994</v>
      </c>
      <c r="AE129" s="15">
        <v>495.15751802582002</v>
      </c>
      <c r="AF129">
        <f>D129/(D129+H129)</f>
        <v>1.0229768039953968</v>
      </c>
      <c r="AG129">
        <f>(F129/(D129+H129))</f>
        <v>0.68822673298065307</v>
      </c>
      <c r="AH129">
        <f>(E129/(D129+H129))</f>
        <v>0.33475007101474352</v>
      </c>
      <c r="AI129">
        <f>(G129/(D129+H129))</f>
        <v>-0.16572281616624041</v>
      </c>
      <c r="AJ129">
        <f>(F129/(D129))</f>
        <v>0.67276865936028596</v>
      </c>
      <c r="AK129">
        <f>E129/D129</f>
        <v>0.32723134063971387</v>
      </c>
      <c r="AL129">
        <f>(H129/(C129+H129))</f>
        <v>-2.7540971322997633E-2</v>
      </c>
      <c r="AM129">
        <f>(I129/(D129+H129))</f>
        <v>-7.325732689513911E-3</v>
      </c>
      <c r="AN129">
        <f>(J129/(D129+H129))</f>
        <v>-1.5651071305882714E-2</v>
      </c>
      <c r="AO129">
        <f>(I129/H129)</f>
        <v>0.31883166566514476</v>
      </c>
      <c r="AP129">
        <f>J129/H129</f>
        <v>0.68116833433484814</v>
      </c>
      <c r="AQ129">
        <f>(D129+H129)/AD129</f>
        <v>2.9304329545419665E-2</v>
      </c>
    </row>
    <row r="130" spans="1:43" x14ac:dyDescent="0.35">
      <c r="A130" s="17" t="s">
        <v>42</v>
      </c>
      <c r="B130" s="24" t="s">
        <v>69</v>
      </c>
      <c r="C130" s="28">
        <f t="shared" si="8"/>
        <v>2.4619885799198746</v>
      </c>
      <c r="D130" s="27">
        <f>[1]data!C130-[1]data!C92</f>
        <v>2.4930645985307542</v>
      </c>
      <c r="E130" s="27">
        <f>[1]data!D130-[1]data!D92</f>
        <v>0.32729011819604903</v>
      </c>
      <c r="F130" s="27">
        <f>[1]data!E130-[1]data!E92</f>
        <v>2.1657744803347061</v>
      </c>
      <c r="G130" s="27">
        <f>[1]data!F130-[1]data!F92</f>
        <v>-3.1076018610880274E-2</v>
      </c>
      <c r="H130" s="27">
        <f>[1]data!G130-[1]data!G92</f>
        <v>-0.25641147142569309</v>
      </c>
      <c r="I130" s="27">
        <f>[1]data!H130-[1]data!H92</f>
        <v>-4.9722637971640754E-4</v>
      </c>
      <c r="J130" s="27">
        <f>[1]data!I130-[1]data!I92</f>
        <v>-0.25591424504597882</v>
      </c>
      <c r="K130" s="27">
        <f>[1]data!J130-[1]data!J92</f>
        <v>0</v>
      </c>
      <c r="L130" s="13">
        <f t="shared" si="9"/>
        <v>1.1417105414477384</v>
      </c>
      <c r="M130" s="27">
        <f>[1]data!K130-[1]data!K92</f>
        <v>1.1561215823126894</v>
      </c>
      <c r="N130" s="13">
        <f t="shared" si="10"/>
        <v>0.59754031412134423</v>
      </c>
      <c r="O130" s="13">
        <f t="shared" si="11"/>
        <v>0.61195135498629527</v>
      </c>
      <c r="P130" s="27">
        <f>[1]data!M130-[1]data!M92</f>
        <v>0.15177591850091621</v>
      </c>
      <c r="Q130" s="27">
        <f>[1]data!N130-[1]data!N92</f>
        <v>8.0337120595162959E-2</v>
      </c>
      <c r="R130" s="27">
        <f>[1]data!O130-[1]data!O92</f>
        <v>1.0043456638117734</v>
      </c>
      <c r="S130" s="27">
        <f>[1]data!P130-[1]data!P92</f>
        <v>0.53161423439113231</v>
      </c>
      <c r="T130" s="27">
        <f>[1]data!Q130-[1]data!Q92</f>
        <v>-1.4411040864951041E-2</v>
      </c>
      <c r="U130" s="27">
        <f>[1]data!R130-[1]data!R92</f>
        <v>-7.6279658809141337E-3</v>
      </c>
      <c r="V130" s="27">
        <f>[1]data!S130-[1]data!S92</f>
        <v>-0.11890700154440736</v>
      </c>
      <c r="W130" s="27">
        <f>[1]data!T130-[1]data!T92</f>
        <v>-6.2939142237013357E-2</v>
      </c>
      <c r="X130" s="27">
        <f>[1]data!U130-[1]data!U92</f>
        <v>-2.3058132918983218E-4</v>
      </c>
      <c r="Y130" s="27">
        <f>[1]data!V130-[1]data!V92</f>
        <v>-1.2204992882322747E-4</v>
      </c>
      <c r="Z130" s="27">
        <f>[1]data!W130-[1]data!W92</f>
        <v>-0.11867642021521974</v>
      </c>
      <c r="AA130" s="27">
        <f>[1]data!X130-[1]data!X92</f>
        <v>-6.2817092308188549E-2</v>
      </c>
      <c r="AB130" s="27">
        <f>[1]data!Y130-[1]data!Y92</f>
        <v>0</v>
      </c>
      <c r="AC130" s="27">
        <f>[1]data!Z130-[1]data!Z92</f>
        <v>0</v>
      </c>
      <c r="AD130" s="14">
        <v>407.39587848230002</v>
      </c>
      <c r="AE130" s="15">
        <v>215.64034757863999</v>
      </c>
      <c r="AF130">
        <f>D130/(D130+H130)</f>
        <v>1.1146406961000568</v>
      </c>
      <c r="AG130">
        <f>(F130/(D130+H130))</f>
        <v>0.96831039828598975</v>
      </c>
      <c r="AH130">
        <f>(E130/(D130+H130))</f>
        <v>0.14633029781406753</v>
      </c>
      <c r="AI130">
        <f>(G130/(D130+H130))</f>
        <v>-1.3893982144250729E-2</v>
      </c>
      <c r="AJ130">
        <f>(F130/(D130))</f>
        <v>0.86871976025453534</v>
      </c>
      <c r="AK130">
        <f>E130/D130</f>
        <v>0.13128023974546507</v>
      </c>
      <c r="AL130">
        <f>(H130/(C130+H130))</f>
        <v>-0.11625595425260532</v>
      </c>
      <c r="AM130">
        <f>(I130/(D130+H130))</f>
        <v>-2.2230822191010737E-4</v>
      </c>
      <c r="AN130">
        <f>(J130/(D130+H130))</f>
        <v>-0.11441838787814768</v>
      </c>
      <c r="AO130">
        <f>(I130/H130)</f>
        <v>1.9391736920027056E-3</v>
      </c>
      <c r="AP130">
        <f>J130/H130</f>
        <v>0.99806082630800563</v>
      </c>
      <c r="AQ130">
        <f>(D130+H130)/AD130</f>
        <v>5.4901221274928445E-3</v>
      </c>
    </row>
    <row r="131" spans="1:43" x14ac:dyDescent="0.35">
      <c r="A131" s="17" t="s">
        <v>43</v>
      </c>
      <c r="B131" s="24" t="s">
        <v>69</v>
      </c>
      <c r="C131" s="28">
        <f t="shared" ref="C131:C194" si="12">E131+F131+G131</f>
        <v>-2.051978432600314E-2</v>
      </c>
      <c r="D131" s="27">
        <f>[1]data!C131-[1]data!C93</f>
        <v>-9.3165876622336441E-5</v>
      </c>
      <c r="E131" s="27">
        <f>[1]data!D131-[1]data!D93</f>
        <v>-9.3165876622045007E-5</v>
      </c>
      <c r="F131" s="27">
        <f>[1]data!E131-[1]data!E93</f>
        <v>0</v>
      </c>
      <c r="G131" s="27">
        <f>[1]data!F131-[1]data!F93</f>
        <v>-2.0426618449381095E-2</v>
      </c>
      <c r="H131" s="27">
        <f>[1]data!G131-[1]data!G93</f>
        <v>-15.907093829902593</v>
      </c>
      <c r="I131" s="27">
        <f>[1]data!H131-[1]data!H93</f>
        <v>-0.28382197792848274</v>
      </c>
      <c r="J131" s="27">
        <f>[1]data!I131-[1]data!I93</f>
        <v>-15.623271851974112</v>
      </c>
      <c r="K131" s="27">
        <f>[1]data!J131-[1]data!J93</f>
        <v>0</v>
      </c>
      <c r="L131" s="13">
        <f t="shared" ref="L131:L194" si="13">P131+R131+T131</f>
        <v>-6.1694610402004829E-3</v>
      </c>
      <c r="M131" s="27">
        <f>[1]data!K131-[1]data!K93</f>
        <v>-2.8011173848874193E-5</v>
      </c>
      <c r="N131" s="13">
        <f t="shared" ref="N131:N194" si="14">Q131+S131+T131</f>
        <v>-6.1714006203851257E-3</v>
      </c>
      <c r="O131" s="13">
        <f t="shared" ref="O131:O194" si="15">Q131+S131</f>
        <v>-2.9950754033447602E-5</v>
      </c>
      <c r="P131" s="27">
        <f>[1]data!M131-[1]data!M93</f>
        <v>-2.8011173848804805E-5</v>
      </c>
      <c r="Q131" s="27">
        <f>[1]data!N131-[1]data!N93</f>
        <v>-2.9950754033447602E-5</v>
      </c>
      <c r="R131" s="27">
        <f>[1]data!O131-[1]data!O93</f>
        <v>0</v>
      </c>
      <c r="S131" s="27">
        <f>[1]data!P131-[1]data!P93</f>
        <v>0</v>
      </c>
      <c r="T131" s="27">
        <f>[1]data!Q131-[1]data!Q93</f>
        <v>-6.1414498663516781E-3</v>
      </c>
      <c r="U131" s="27">
        <f>[1]data!R131-[1]data!R93</f>
        <v>-6.5667028218339141E-3</v>
      </c>
      <c r="V131" s="27">
        <f>[1]data!S131-[1]data!S93</f>
        <v>-4.7826134079786158</v>
      </c>
      <c r="W131" s="27">
        <f>[1]data!T131-[1]data!T93</f>
        <v>-5.1137763305682995</v>
      </c>
      <c r="X131" s="27">
        <f>[1]data!U131-[1]data!U93</f>
        <v>-8.5333676385819679E-2</v>
      </c>
      <c r="Y131" s="27">
        <f>[1]data!V131-[1]data!V93</f>
        <v>-9.1242443676127216E-2</v>
      </c>
      <c r="Z131" s="27">
        <f>[1]data!W131-[1]data!W93</f>
        <v>-4.697279731592797</v>
      </c>
      <c r="AA131" s="27">
        <f>[1]data!X131-[1]data!X93</f>
        <v>-5.0225338868921714</v>
      </c>
      <c r="AB131" s="27">
        <f>[1]data!Y131-[1]data!Y93</f>
        <v>0</v>
      </c>
      <c r="AC131" s="27">
        <f>[1]data!Z131-[1]data!Z93</f>
        <v>0</v>
      </c>
      <c r="AD131" s="14">
        <v>311.06354290107998</v>
      </c>
      <c r="AE131" s="15">
        <v>332.60254327404999</v>
      </c>
      <c r="AF131">
        <f>D131/(D131+H131)</f>
        <v>5.8568417311657248E-6</v>
      </c>
      <c r="AG131">
        <f>(F131/(D131+H131))</f>
        <v>0</v>
      </c>
      <c r="AH131">
        <f>(E131/(D131+H131))</f>
        <v>5.8568417311474035E-6</v>
      </c>
      <c r="AI131">
        <f>(G131/(D131+H131))</f>
        <v>1.2841125495539254E-3</v>
      </c>
      <c r="AJ131">
        <f>(F131/(D131))</f>
        <v>0</v>
      </c>
      <c r="AK131">
        <f>E131/D131</f>
        <v>0.99999999999687184</v>
      </c>
      <c r="AL131">
        <f>(H131/(C131+H131))</f>
        <v>0.9987116849502381</v>
      </c>
      <c r="AM131">
        <f>(I131/(D131+H131))</f>
        <v>1.7842373890732004E-2</v>
      </c>
      <c r="AN131">
        <f>(J131/(D131+H131))</f>
        <v>0.98215176926753689</v>
      </c>
      <c r="AO131">
        <f>(I131/H131)</f>
        <v>1.7842478391304033E-2</v>
      </c>
      <c r="AP131">
        <f>J131/H131</f>
        <v>0.98215752160869607</v>
      </c>
      <c r="AQ131">
        <f>(D131+H131)/AD131</f>
        <v>-5.113806281322332E-2</v>
      </c>
    </row>
    <row r="132" spans="1:43" x14ac:dyDescent="0.35">
      <c r="A132" s="17" t="s">
        <v>44</v>
      </c>
      <c r="B132" s="24" t="s">
        <v>69</v>
      </c>
      <c r="C132" s="28">
        <f t="shared" si="12"/>
        <v>-6.8806318739235151E-3</v>
      </c>
      <c r="D132" s="27">
        <f>[1]data!C132-[1]data!C94</f>
        <v>-6.8806318739236261E-3</v>
      </c>
      <c r="E132" s="27">
        <f>[1]data!D132-[1]data!D94</f>
        <v>-1.1265363412197305E-3</v>
      </c>
      <c r="F132" s="27">
        <f>[1]data!E132-[1]data!E94</f>
        <v>-5.7540955327037846E-3</v>
      </c>
      <c r="G132" s="27">
        <f>[1]data!F132-[1]data!F94</f>
        <v>0</v>
      </c>
      <c r="H132" s="27">
        <f>[1]data!G132-[1]data!G94</f>
        <v>-5.6816615470212106E-3</v>
      </c>
      <c r="I132" s="27">
        <f>[1]data!H132-[1]data!H94</f>
        <v>-4.2122663193432386E-3</v>
      </c>
      <c r="J132" s="27">
        <f>[1]data!I132-[1]data!I94</f>
        <v>-1.469395227677861E-3</v>
      </c>
      <c r="K132" s="27">
        <f>[1]data!J132-[1]data!J94</f>
        <v>0</v>
      </c>
      <c r="L132" s="13">
        <f t="shared" si="13"/>
        <v>-2.5582685845138009E-2</v>
      </c>
      <c r="M132" s="27">
        <f>[1]data!K132-[1]data!K94</f>
        <v>-2.5582685845138009E-2</v>
      </c>
      <c r="N132" s="13">
        <f t="shared" si="14"/>
        <v>-1.4986704770683756E-2</v>
      </c>
      <c r="O132" s="13">
        <f t="shared" si="15"/>
        <v>-1.4986704770683756E-2</v>
      </c>
      <c r="P132" s="27">
        <f>[1]data!M132-[1]data!M94</f>
        <v>-4.1885434126736065E-3</v>
      </c>
      <c r="Q132" s="27">
        <f>[1]data!N132-[1]data!N94</f>
        <v>-2.4537088843963328E-3</v>
      </c>
      <c r="R132" s="27">
        <f>[1]data!O132-[1]data!O94</f>
        <v>-2.1394142432464403E-2</v>
      </c>
      <c r="S132" s="27">
        <f>[1]data!P132-[1]data!P94</f>
        <v>-1.2532995886287424E-2</v>
      </c>
      <c r="T132" s="27">
        <f>[1]data!Q132-[1]data!Q94</f>
        <v>0</v>
      </c>
      <c r="U132" s="27">
        <f>[1]data!R132-[1]data!R94</f>
        <v>0</v>
      </c>
      <c r="V132" s="27">
        <f>[1]data!S132-[1]data!S94</f>
        <v>-2.1124827646528566E-2</v>
      </c>
      <c r="W132" s="27">
        <f>[1]data!T132-[1]data!T94</f>
        <v>-1.237522741695507E-2</v>
      </c>
      <c r="X132" s="27">
        <f>[1]data!U132-[1]data!U94</f>
        <v>-1.5661510151737001E-2</v>
      </c>
      <c r="Y132" s="27">
        <f>[1]data!V132-[1]data!V94</f>
        <v>-9.1747375677426746E-3</v>
      </c>
      <c r="Z132" s="27">
        <f>[1]data!W132-[1]data!W94</f>
        <v>-5.4633174947917862E-3</v>
      </c>
      <c r="AA132" s="27">
        <f>[1]data!X132-[1]data!X94</f>
        <v>-3.2004898492123957E-3</v>
      </c>
      <c r="AB132" s="27">
        <f>[1]data!Y132-[1]data!Y94</f>
        <v>0</v>
      </c>
      <c r="AC132" s="27">
        <f>[1]data!Z132-[1]data!Z94</f>
        <v>0</v>
      </c>
      <c r="AD132" s="14">
        <v>45.911572818750003</v>
      </c>
      <c r="AE132" s="15">
        <v>26.895658710639999</v>
      </c>
      <c r="AF132">
        <f>D132/(D132+H132)</f>
        <v>0.54772099674504493</v>
      </c>
      <c r="AG132">
        <f>(F132/(D132+H132))</f>
        <v>0.45804498747896677</v>
      </c>
      <c r="AH132">
        <f>(E132/(D132+H132))</f>
        <v>8.9676009266069293E-2</v>
      </c>
      <c r="AI132">
        <f>(G132/(D132+H132))</f>
        <v>0</v>
      </c>
      <c r="AJ132">
        <f>(F132/(D132))</f>
        <v>0.83627428964929595</v>
      </c>
      <c r="AK132">
        <f>E132/D132</f>
        <v>0.16372571035068789</v>
      </c>
      <c r="AL132">
        <f>(H132/(C132+H132))</f>
        <v>0.45227900325495907</v>
      </c>
      <c r="AM132">
        <f>(I132/(D132+H132))</f>
        <v>0.33531029551659886</v>
      </c>
      <c r="AN132">
        <f>(J132/(D132+H132))</f>
        <v>0.1169687077383474</v>
      </c>
      <c r="AO132">
        <f>(I132/H132)</f>
        <v>0.74137931034481475</v>
      </c>
      <c r="AP132">
        <f>J132/H132</f>
        <v>0.25862068965516566</v>
      </c>
      <c r="AQ132">
        <f>(D132+H132)/AD132</f>
        <v>-2.7361932187638916E-4</v>
      </c>
    </row>
    <row r="133" spans="1:43" x14ac:dyDescent="0.35">
      <c r="A133" s="17" t="s">
        <v>45</v>
      </c>
      <c r="B133" s="24" t="s">
        <v>69</v>
      </c>
      <c r="C133" s="28">
        <f t="shared" si="12"/>
        <v>0.9739878360894787</v>
      </c>
      <c r="D133" s="27">
        <f>[1]data!C133-[1]data!C95</f>
        <v>1.0519623383661809</v>
      </c>
      <c r="E133" s="27">
        <f>[1]data!D133-[1]data!D95</f>
        <v>0.6196774981599118</v>
      </c>
      <c r="F133" s="27">
        <f>[1]data!E133-[1]data!E95</f>
        <v>0.43228484020626912</v>
      </c>
      <c r="G133" s="27">
        <f>[1]data!F133-[1]data!F95</f>
        <v>-7.7974502276702218E-2</v>
      </c>
      <c r="H133" s="27">
        <f>[1]data!G133-[1]data!G95</f>
        <v>-7.5037116293415806E-2</v>
      </c>
      <c r="I133" s="27">
        <f>[1]data!H133-[1]data!H95</f>
        <v>-1.1853121503268227E-2</v>
      </c>
      <c r="J133" s="27">
        <f>[1]data!I133-[1]data!I95</f>
        <v>-6.3183994790149356E-2</v>
      </c>
      <c r="K133" s="27">
        <f>[1]data!J133-[1]data!J95</f>
        <v>-4.8979840922596107E-3</v>
      </c>
      <c r="L133" s="13">
        <f t="shared" si="13"/>
        <v>0.38233961370666514</v>
      </c>
      <c r="M133" s="27">
        <f>[1]data!K133-[1]data!K95</f>
        <v>0.41294855970658695</v>
      </c>
      <c r="N133" s="13">
        <f t="shared" si="14"/>
        <v>0.38367615674818323</v>
      </c>
      <c r="O133" s="13">
        <f t="shared" si="15"/>
        <v>0.41428510274810537</v>
      </c>
      <c r="P133" s="27">
        <f>[1]data!M133-[1]data!M95</f>
        <v>0.24325484004033038</v>
      </c>
      <c r="Q133" s="27">
        <f>[1]data!N133-[1]data!N95</f>
        <v>0.24404215496401593</v>
      </c>
      <c r="R133" s="27">
        <f>[1]data!O133-[1]data!O95</f>
        <v>0.1696937196662569</v>
      </c>
      <c r="S133" s="27">
        <f>[1]data!P133-[1]data!P95</f>
        <v>0.17024294778408944</v>
      </c>
      <c r="T133" s="27">
        <f>[1]data!Q133-[1]data!Q95</f>
        <v>-3.0608945999922144E-2</v>
      </c>
      <c r="U133" s="27">
        <f>[1]data!R133-[1]data!R95</f>
        <v>-3.0708014450029797E-2</v>
      </c>
      <c r="V133" s="27">
        <f>[1]data!S133-[1]data!S95</f>
        <v>-2.9455873055330706E-2</v>
      </c>
      <c r="W133" s="27">
        <f>[1]data!T133-[1]data!T95</f>
        <v>-2.9551209487045149E-2</v>
      </c>
      <c r="X133" s="27">
        <f>[1]data!U133-[1]data!U95</f>
        <v>-4.6529512267556861E-3</v>
      </c>
      <c r="Y133" s="27">
        <f>[1]data!V133-[1]data!V95</f>
        <v>-4.6680108980838853E-3</v>
      </c>
      <c r="Z133" s="27">
        <f>[1]data!W133-[1]data!W95</f>
        <v>-2.4802921828574576E-2</v>
      </c>
      <c r="AA133" s="27">
        <f>[1]data!X133-[1]data!X95</f>
        <v>-2.4883198588961264E-2</v>
      </c>
      <c r="AB133" s="27">
        <f>[1]data!Y133-[1]data!Y95</f>
        <v>-1.9227071184940714E-3</v>
      </c>
      <c r="AC133" s="27">
        <f>[1]data!Z133-[1]data!Z95</f>
        <v>-1.9289301231751876E-3</v>
      </c>
      <c r="AD133" s="14">
        <v>253.92231856471</v>
      </c>
      <c r="AE133" s="15">
        <v>254.7441596875</v>
      </c>
      <c r="AF133">
        <f>D133/(D133+H133)</f>
        <v>1.0768094779395785</v>
      </c>
      <c r="AG133">
        <f>(F133/(D133+H133))</f>
        <v>0.44249532148333753</v>
      </c>
      <c r="AH133">
        <f>(E133/(D133+H133))</f>
        <v>0.6343141564562409</v>
      </c>
      <c r="AI133">
        <f>(G133/(D133+H133))</f>
        <v>-7.9816244391010691E-2</v>
      </c>
      <c r="AJ133">
        <f>(F133/(D133))</f>
        <v>0.41093185985884001</v>
      </c>
      <c r="AK133">
        <f>E133/D133</f>
        <v>0.58906814014115993</v>
      </c>
      <c r="AL133">
        <f>(H133/(C133+H133))</f>
        <v>-8.3471890773321608E-2</v>
      </c>
      <c r="AM133">
        <f>(I133/(D133+H133))</f>
        <v>-1.213308985729653E-2</v>
      </c>
      <c r="AN133">
        <f>(J133/(D133+H133))</f>
        <v>-6.4676388082283709E-2</v>
      </c>
      <c r="AO133">
        <f>(I133/H133)</f>
        <v>0.15796344647519842</v>
      </c>
      <c r="AP133">
        <f>J133/H133</f>
        <v>0.8420365535248252</v>
      </c>
      <c r="AQ133">
        <f>(D133+H133)/AD133</f>
        <v>3.8473389326106199E-3</v>
      </c>
    </row>
    <row r="134" spans="1:43" x14ac:dyDescent="0.35">
      <c r="A134" s="21" t="s">
        <v>46</v>
      </c>
      <c r="B134" s="25" t="s">
        <v>69</v>
      </c>
      <c r="C134" s="28">
        <f t="shared" si="12"/>
        <v>8.3725140766960351</v>
      </c>
      <c r="D134" s="27">
        <f>[1]data!C134-[1]data!C96</f>
        <v>7.9529738437430826</v>
      </c>
      <c r="E134" s="27">
        <f>[1]data!D134-[1]data!D96</f>
        <v>0.36466848586374184</v>
      </c>
      <c r="F134" s="27">
        <f>[1]data!E134-[1]data!E96</f>
        <v>7.5883053578793405</v>
      </c>
      <c r="G134" s="27">
        <f>[1]data!F134-[1]data!F96</f>
        <v>0.41954023295295251</v>
      </c>
      <c r="H134" s="27">
        <f>[1]data!G134-[1]data!G96</f>
        <v>-5.944438324180723E-2</v>
      </c>
      <c r="I134" s="27">
        <f>[1]data!H134-[1]data!H96</f>
        <v>9.4381897852713337E-9</v>
      </c>
      <c r="J134" s="27">
        <f>[1]data!I134-[1]data!I96</f>
        <v>-5.9444392679996572E-2</v>
      </c>
      <c r="K134" s="27">
        <f>[1]data!J134-[1]data!J96</f>
        <v>0</v>
      </c>
      <c r="L134" s="13">
        <f t="shared" si="13"/>
        <v>4.1061258246306123</v>
      </c>
      <c r="M134" s="27">
        <f>[1]data!K134-[1]data!K96</f>
        <v>3.9003710215667908</v>
      </c>
      <c r="N134" s="13">
        <f t="shared" si="14"/>
        <v>2.8431656403379608</v>
      </c>
      <c r="O134" s="13">
        <f t="shared" si="15"/>
        <v>2.6374108372741398</v>
      </c>
      <c r="P134" s="27">
        <f>[1]data!M134-[1]data!M96</f>
        <v>0.17884409312632038</v>
      </c>
      <c r="Q134" s="27">
        <f>[1]data!N134-[1]data!N96</f>
        <v>0.12093345653161611</v>
      </c>
      <c r="R134" s="27">
        <f>[1]data!O134-[1]data!O96</f>
        <v>3.7215269284404711</v>
      </c>
      <c r="S134" s="27">
        <f>[1]data!P134-[1]data!P96</f>
        <v>2.5164773807425238</v>
      </c>
      <c r="T134" s="27">
        <f>[1]data!Q134-[1]data!Q96</f>
        <v>0.2057548030638211</v>
      </c>
      <c r="U134" s="27">
        <f>[1]data!R134-[1]data!R96</f>
        <v>0.13913034027304905</v>
      </c>
      <c r="V134" s="27">
        <f>[1]data!S134-[1]data!S96</f>
        <v>-2.9153264470203943E-2</v>
      </c>
      <c r="W134" s="27">
        <f>[1]data!T134-[1]data!T96</f>
        <v>-1.9713287589944617E-2</v>
      </c>
      <c r="X134" s="27">
        <f>[1]data!U134-[1]data!U96</f>
        <v>4.6287640387276952E-9</v>
      </c>
      <c r="Y134" s="27">
        <f>[1]data!V134-[1]data!V96</f>
        <v>3.1299469682721792E-9</v>
      </c>
      <c r="Z134" s="27">
        <f>[1]data!W134-[1]data!W96</f>
        <v>-2.9153269098967982E-2</v>
      </c>
      <c r="AA134" s="27">
        <f>[1]data!X134-[1]data!X96</f>
        <v>-1.9713290719891807E-2</v>
      </c>
      <c r="AB134" s="27">
        <f>[1]data!Y134-[1]data!Y96</f>
        <v>0</v>
      </c>
      <c r="AC134" s="27">
        <f>[1]data!Z134-[1]data!Z96</f>
        <v>0</v>
      </c>
      <c r="AD134" s="14">
        <v>301.54474727050001</v>
      </c>
      <c r="AE134" s="15">
        <v>203.90300819506001</v>
      </c>
      <c r="AF134">
        <f>D134/(D134+H134)</f>
        <v>1.0075307735961794</v>
      </c>
      <c r="AG134">
        <f>(F134/(D134+H134))</f>
        <v>0.96133236669993349</v>
      </c>
      <c r="AH134">
        <f>(E134/(D134+H134))</f>
        <v>4.6198406896245846E-2</v>
      </c>
      <c r="AI134">
        <f>(G134/(D134+H134))</f>
        <v>5.3149891319504844E-2</v>
      </c>
      <c r="AJ134">
        <f>(F134/(D134))</f>
        <v>0.95414690240045974</v>
      </c>
      <c r="AK134">
        <f>E134/D134</f>
        <v>4.5853097599540191E-2</v>
      </c>
      <c r="AL134">
        <f>(H134/(C134+H134))</f>
        <v>-7.1507139280468411E-3</v>
      </c>
      <c r="AM134">
        <f>(I134/(D134+H134))</f>
        <v>1.1956869018478289E-9</v>
      </c>
      <c r="AN134">
        <f>(J134/(D134+H134))</f>
        <v>-7.5307747918662458E-3</v>
      </c>
      <c r="AO134">
        <f>(I134/H134)</f>
        <v>-1.5877344957687198E-7</v>
      </c>
      <c r="AP134">
        <f>J134/H134</f>
        <v>1.0000001587734422</v>
      </c>
      <c r="AQ134">
        <f>(D134+H134)/AD134</f>
        <v>2.6176975496841944E-2</v>
      </c>
    </row>
    <row r="135" spans="1:43" x14ac:dyDescent="0.35">
      <c r="A135" s="17" t="s">
        <v>47</v>
      </c>
      <c r="B135" s="24" t="s">
        <v>69</v>
      </c>
      <c r="C135" s="28">
        <f t="shared" si="12"/>
        <v>2.6266750867859151E-2</v>
      </c>
      <c r="D135" s="27">
        <f>[1]data!C135-[1]data!C97</f>
        <v>2.6266750867859234E-2</v>
      </c>
      <c r="E135" s="27">
        <f>[1]data!D135-[1]data!D97</f>
        <v>2.8942786299298612E-2</v>
      </c>
      <c r="F135" s="27">
        <f>[1]data!E135-[1]data!E97</f>
        <v>-2.6760354314394608E-3</v>
      </c>
      <c r="G135" s="27">
        <f>[1]data!F135-[1]data!F97</f>
        <v>0</v>
      </c>
      <c r="H135" s="27">
        <f>[1]data!G135-[1]data!G97</f>
        <v>-2.8565706996578344E-3</v>
      </c>
      <c r="I135" s="27">
        <f>[1]data!H135-[1]data!H97</f>
        <v>0</v>
      </c>
      <c r="J135" s="27">
        <f>[1]data!I135-[1]data!I97</f>
        <v>-2.8565706996578344E-3</v>
      </c>
      <c r="K135" s="27">
        <f>[1]data!J135-[1]data!J97</f>
        <v>0</v>
      </c>
      <c r="L135" s="13">
        <f t="shared" si="13"/>
        <v>0.12670888126723645</v>
      </c>
      <c r="M135" s="27">
        <f>[1]data!K135-[1]data!K97</f>
        <v>0.1267088812672359</v>
      </c>
      <c r="N135" s="13">
        <f t="shared" si="14"/>
        <v>0.13774479070298001</v>
      </c>
      <c r="O135" s="13">
        <f t="shared" si="15"/>
        <v>0.13774479070298001</v>
      </c>
      <c r="P135" s="27">
        <f>[1]data!M135-[1]data!M97</f>
        <v>0.1396178800792699</v>
      </c>
      <c r="Q135" s="27">
        <f>[1]data!N135-[1]data!N97</f>
        <v>0.15177811908347744</v>
      </c>
      <c r="R135" s="27">
        <f>[1]data!O135-[1]data!O97</f>
        <v>-1.2908998812033445E-2</v>
      </c>
      <c r="S135" s="27">
        <f>[1]data!P135-[1]data!P97</f>
        <v>-1.4033328380497423E-2</v>
      </c>
      <c r="T135" s="27">
        <f>[1]data!Q135-[1]data!Q97</f>
        <v>0</v>
      </c>
      <c r="U135" s="27">
        <f>[1]data!R135-[1]data!R97</f>
        <v>0</v>
      </c>
      <c r="V135" s="27">
        <f>[1]data!S135-[1]data!S97</f>
        <v>-1.3779887715664074E-2</v>
      </c>
      <c r="W135" s="27">
        <f>[1]data!T135-[1]data!T97</f>
        <v>-1.4980068723843942E-2</v>
      </c>
      <c r="X135" s="27">
        <f>[1]data!U135-[1]data!U97</f>
        <v>0</v>
      </c>
      <c r="Y135" s="27">
        <f>[1]data!V135-[1]data!V97</f>
        <v>0</v>
      </c>
      <c r="Z135" s="27">
        <f>[1]data!W135-[1]data!W97</f>
        <v>-1.3779887715664074E-2</v>
      </c>
      <c r="AA135" s="27">
        <f>[1]data!X135-[1]data!X97</f>
        <v>-1.4980068723843942E-2</v>
      </c>
      <c r="AB135" s="27">
        <f>[1]data!Y135-[1]data!Y97</f>
        <v>0</v>
      </c>
      <c r="AC135" s="27">
        <f>[1]data!Z135-[1]data!Z97</f>
        <v>0</v>
      </c>
      <c r="AD135" s="14">
        <v>19.06914282116</v>
      </c>
      <c r="AE135" s="15">
        <v>20.729999827290001</v>
      </c>
      <c r="AF135">
        <f>D135/(D135+H135)</f>
        <v>1.1220225850093193</v>
      </c>
      <c r="AG135">
        <f>(F135/(D135+H135))</f>
        <v>-0.11431075763673032</v>
      </c>
      <c r="AH135">
        <f>(E135/(D135+H135))</f>
        <v>1.2363333426460459</v>
      </c>
      <c r="AI135">
        <f>(G135/(D135+H135))</f>
        <v>0</v>
      </c>
      <c r="AJ135">
        <f>(F135/(D135))</f>
        <v>-0.10187919491458443</v>
      </c>
      <c r="AK135">
        <f>E135/D135</f>
        <v>1.1018791949145812</v>
      </c>
      <c r="AL135">
        <f>(H135/(C135+H135))</f>
        <v>-0.12202258500931966</v>
      </c>
      <c r="AM135">
        <f>(I135/(D135+H135))</f>
        <v>0</v>
      </c>
      <c r="AN135">
        <f>(J135/(D135+H135))</f>
        <v>-0.12202258500931923</v>
      </c>
      <c r="AO135">
        <f>(I135/H135)</f>
        <v>0</v>
      </c>
      <c r="AP135">
        <f>J135/H135</f>
        <v>1</v>
      </c>
      <c r="AQ135">
        <f>(D135+H135)/AD135</f>
        <v>1.2276472197913575E-3</v>
      </c>
    </row>
    <row r="136" spans="1:43" x14ac:dyDescent="0.35">
      <c r="A136" s="17" t="s">
        <v>48</v>
      </c>
      <c r="B136" s="24" t="s">
        <v>69</v>
      </c>
      <c r="C136" s="28">
        <f t="shared" si="12"/>
        <v>-1.4467121469156701</v>
      </c>
      <c r="D136" s="27">
        <f>[1]data!C136-[1]data!C98</f>
        <v>-1.0488086526857074</v>
      </c>
      <c r="E136" s="27">
        <f>[1]data!D136-[1]data!D98</f>
        <v>0.78867720461602975</v>
      </c>
      <c r="F136" s="27">
        <f>[1]data!E136-[1]data!E98</f>
        <v>-1.8374858573017363</v>
      </c>
      <c r="G136" s="27">
        <f>[1]data!F136-[1]data!F98</f>
        <v>-0.39790349422996352</v>
      </c>
      <c r="H136" s="27">
        <f>[1]data!G136-[1]data!G98</f>
        <v>-0.70896838615191271</v>
      </c>
      <c r="I136" s="27">
        <f>[1]data!H136-[1]data!H98</f>
        <v>-0.8826455907679418</v>
      </c>
      <c r="J136" s="27">
        <f>[1]data!I136-[1]data!I98</f>
        <v>0.17367720461602909</v>
      </c>
      <c r="K136" s="27">
        <f>[1]data!J136-[1]data!J98</f>
        <v>0</v>
      </c>
      <c r="L136" s="13">
        <f t="shared" si="13"/>
        <v>-0.38945955297030876</v>
      </c>
      <c r="M136" s="27">
        <f>[1]data!K136-[1]data!K98</f>
        <v>-0.28234265530790292</v>
      </c>
      <c r="N136" s="13">
        <f t="shared" si="14"/>
        <v>-0.35809364964995627</v>
      </c>
      <c r="O136" s="13">
        <f t="shared" si="15"/>
        <v>-0.25097675198755021</v>
      </c>
      <c r="P136" s="27">
        <f>[1]data!M136-[1]data!M98</f>
        <v>0.2123144346319894</v>
      </c>
      <c r="Q136" s="27">
        <f>[1]data!N136-[1]data!N98</f>
        <v>0.18872807987832985</v>
      </c>
      <c r="R136" s="27">
        <f>[1]data!O136-[1]data!O98</f>
        <v>-0.4946570899398921</v>
      </c>
      <c r="S136" s="27">
        <f>[1]data!P136-[1]data!P98</f>
        <v>-0.43970483186588005</v>
      </c>
      <c r="T136" s="27">
        <f>[1]data!Q136-[1]data!Q98</f>
        <v>-0.10711689766240606</v>
      </c>
      <c r="U136" s="27">
        <f>[1]data!R136-[1]data!R98</f>
        <v>-9.5217107840031567E-2</v>
      </c>
      <c r="V136" s="27">
        <f>[1]data!S136-[1]data!S98</f>
        <v>-0.19085656488712699</v>
      </c>
      <c r="W136" s="27">
        <f>[1]data!T136-[1]data!T98</f>
        <v>-0.1696539996715527</v>
      </c>
      <c r="X136" s="27">
        <f>[1]data!U136-[1]data!U98</f>
        <v>-0.23761102576249737</v>
      </c>
      <c r="Y136" s="27">
        <f>[1]data!V136-[1]data!V98</f>
        <v>-0.21121443168857401</v>
      </c>
      <c r="Z136" s="27">
        <f>[1]data!W136-[1]data!W98</f>
        <v>4.6754460875370385E-2</v>
      </c>
      <c r="AA136" s="27">
        <f>[1]data!X136-[1]data!X98</f>
        <v>4.156043201702142E-2</v>
      </c>
      <c r="AB136" s="27">
        <f>[1]data!Y136-[1]data!Y98</f>
        <v>0</v>
      </c>
      <c r="AC136" s="27">
        <f>[1]data!Z136-[1]data!Z98</f>
        <v>0</v>
      </c>
      <c r="AD136" s="14">
        <v>417.89075855828003</v>
      </c>
      <c r="AE136" s="15">
        <v>371.46659669328</v>
      </c>
      <c r="AF136">
        <f>D136/(D136+H136)</f>
        <v>0.59666762593466449</v>
      </c>
      <c r="AG136">
        <f>(F136/(D136+H136))</f>
        <v>1.0453463759640562</v>
      </c>
      <c r="AH136">
        <f>(E136/(D136+H136))</f>
        <v>-0.44867875002939217</v>
      </c>
      <c r="AI136">
        <f>(G136/(D136+H136))</f>
        <v>0.22636744333234007</v>
      </c>
      <c r="AJ136">
        <f>(F136/(D136))</f>
        <v>1.7519743497504963</v>
      </c>
      <c r="AK136">
        <f>E136/D136</f>
        <v>-0.75197434975049704</v>
      </c>
      <c r="AL136">
        <f>(H136/(C136+H136))</f>
        <v>0.32888379111678223</v>
      </c>
      <c r="AM136">
        <f>(I136/(D136+H136))</f>
        <v>0.50213739926402512</v>
      </c>
      <c r="AN136">
        <f>(J136/(D136+H136))</f>
        <v>-9.8805025198689625E-2</v>
      </c>
      <c r="AO136">
        <f>(I136/H136)</f>
        <v>1.2449717194848442</v>
      </c>
      <c r="AP136">
        <f>J136/H136</f>
        <v>-0.24497171948484425</v>
      </c>
      <c r="AQ136">
        <f>(D136+H136)/AD136</f>
        <v>-4.2063075165910289E-3</v>
      </c>
    </row>
    <row r="137" spans="1:43" x14ac:dyDescent="0.35">
      <c r="A137" s="17" t="s">
        <v>49</v>
      </c>
      <c r="B137" s="24" t="s">
        <v>69</v>
      </c>
      <c r="C137" s="28">
        <f t="shared" si="12"/>
        <v>0.97733203671214808</v>
      </c>
      <c r="D137" s="27">
        <f>[1]data!C137-[1]data!C99</f>
        <v>0.973540694996057</v>
      </c>
      <c r="E137" s="27">
        <f>[1]data!D137-[1]data!D99</f>
        <v>0.44152575336758204</v>
      </c>
      <c r="F137" s="27">
        <f>[1]data!E137-[1]data!E99</f>
        <v>0.53201494162847496</v>
      </c>
      <c r="G137" s="27">
        <f>[1]data!F137-[1]data!F99</f>
        <v>3.791341716091079E-3</v>
      </c>
      <c r="H137" s="27">
        <f>[1]data!G137-[1]data!G99</f>
        <v>-8.6212863034837994E-3</v>
      </c>
      <c r="I137" s="27">
        <f>[1]data!H137-[1]data!H99</f>
        <v>-2.7209392217096395E-2</v>
      </c>
      <c r="J137" s="27">
        <f>[1]data!I137-[1]data!I99</f>
        <v>1.8588105913613262E-2</v>
      </c>
      <c r="K137" s="27">
        <f>[1]data!J137-[1]data!J99</f>
        <v>0</v>
      </c>
      <c r="L137" s="13">
        <f t="shared" si="13"/>
        <v>0.27264725426573466</v>
      </c>
      <c r="M137" s="27">
        <f>[1]data!K137-[1]data!K99</f>
        <v>0.27158958003625511</v>
      </c>
      <c r="N137" s="13">
        <f t="shared" si="14"/>
        <v>0.28538888085309677</v>
      </c>
      <c r="O137" s="13">
        <f t="shared" si="15"/>
        <v>0.28433120662361699</v>
      </c>
      <c r="P137" s="27">
        <f>[1]data!M137-[1]data!M99</f>
        <v>0.12317286226312141</v>
      </c>
      <c r="Q137" s="27">
        <f>[1]data!N137-[1]data!N99</f>
        <v>0.12895151774925506</v>
      </c>
      <c r="R137" s="27">
        <f>[1]data!O137-[1]data!O99</f>
        <v>0.14841671777313348</v>
      </c>
      <c r="S137" s="27">
        <f>[1]data!P137-[1]data!P99</f>
        <v>0.15537968887436193</v>
      </c>
      <c r="T137" s="27">
        <f>[1]data!Q137-[1]data!Q99</f>
        <v>1.057674229479777E-3</v>
      </c>
      <c r="U137" s="27">
        <f>[1]data!R137-[1]data!R99</f>
        <v>1.1072950215634814E-3</v>
      </c>
      <c r="V137" s="27">
        <f>[1]data!S137-[1]data!S99</f>
        <v>-2.4050884966291264E-3</v>
      </c>
      <c r="W137" s="27">
        <f>[1]data!T137-[1]data!T99</f>
        <v>-2.5179232362004811E-3</v>
      </c>
      <c r="X137" s="27">
        <f>[1]data!U137-[1]data!U99</f>
        <v>-7.5906302050505192E-3</v>
      </c>
      <c r="Y137" s="27">
        <f>[1]data!V137-[1]data!V99</f>
        <v>-7.9467446613658566E-3</v>
      </c>
      <c r="Z137" s="27">
        <f>[1]data!W137-[1]data!W99</f>
        <v>5.1855417084216704E-3</v>
      </c>
      <c r="AA137" s="27">
        <f>[1]data!X137-[1]data!X99</f>
        <v>5.428821425165431E-3</v>
      </c>
      <c r="AB137" s="27">
        <f>[1]data!Y137-[1]data!Y99</f>
        <v>0</v>
      </c>
      <c r="AC137" s="27">
        <f>[1]data!Z137-[1]data!Z99</f>
        <v>0</v>
      </c>
      <c r="AD137" s="14">
        <v>342.39670930134002</v>
      </c>
      <c r="AE137" s="15">
        <v>358.46025273358998</v>
      </c>
      <c r="AF137">
        <f>D137/(D137+H137)</f>
        <v>1.00893472162112</v>
      </c>
      <c r="AG137">
        <f>(F137/(D137+H137))</f>
        <v>0.55135686652767579</v>
      </c>
      <c r="AH137">
        <f>(E137/(D137+H137))</f>
        <v>0.45757785509344412</v>
      </c>
      <c r="AI137">
        <f>(G137/(D137+H137))</f>
        <v>3.9291796619866873E-3</v>
      </c>
      <c r="AJ137">
        <f>(F137/(D137))</f>
        <v>0.54647427104280388</v>
      </c>
      <c r="AK137">
        <f>E137/D137</f>
        <v>0.45352572895719606</v>
      </c>
      <c r="AL137">
        <f>(H137/(C137+H137))</f>
        <v>-8.8997528930558362E-3</v>
      </c>
      <c r="AM137">
        <f>(I137/(D137+H137))</f>
        <v>-2.8198616352804035E-2</v>
      </c>
      <c r="AN137">
        <f>(J137/(D137+H137))</f>
        <v>1.9263894731684789E-2</v>
      </c>
      <c r="AO137">
        <f>(I137/H137)</f>
        <v>3.1560710617047105</v>
      </c>
      <c r="AP137">
        <f>J137/H137</f>
        <v>-2.1560710617047878</v>
      </c>
      <c r="AQ137">
        <f>(D137+H137)/AD137</f>
        <v>2.8181328338741625E-3</v>
      </c>
    </row>
    <row r="138" spans="1:43" x14ac:dyDescent="0.35">
      <c r="A138" s="21" t="s">
        <v>50</v>
      </c>
      <c r="B138" s="24" t="s">
        <v>69</v>
      </c>
      <c r="C138" s="28">
        <f t="shared" si="12"/>
        <v>-2.3205983330700924E-2</v>
      </c>
      <c r="D138" s="27">
        <f>[1]data!C138-[1]data!C100</f>
        <v>-2.320598333070123E-2</v>
      </c>
      <c r="E138" s="27">
        <f>[1]data!D138-[1]data!D100</f>
        <v>7.9292813335628265E-3</v>
      </c>
      <c r="F138" s="27">
        <f>[1]data!E138-[1]data!E100</f>
        <v>-3.1135264664263751E-2</v>
      </c>
      <c r="G138" s="27">
        <f>[1]data!F138-[1]data!F100</f>
        <v>0</v>
      </c>
      <c r="H138" s="27">
        <f>[1]data!G138-[1]data!G100</f>
        <v>-6.9654562634122397E-2</v>
      </c>
      <c r="I138" s="27">
        <f>[1]data!H138-[1]data!H100</f>
        <v>-3.4533528024344173E-3</v>
      </c>
      <c r="J138" s="27">
        <f>[1]data!I138-[1]data!I100</f>
        <v>-6.620120983168809E-2</v>
      </c>
      <c r="K138" s="27">
        <f>[1]data!J138-[1]data!J100</f>
        <v>0</v>
      </c>
      <c r="L138" s="13">
        <f t="shared" si="13"/>
        <v>-7.6942717779705516E-2</v>
      </c>
      <c r="M138" s="27">
        <f>[1]data!K138-[1]data!K100</f>
        <v>-7.694271777970485E-2</v>
      </c>
      <c r="N138" s="13">
        <f t="shared" si="14"/>
        <v>-4.1870983365384584E-2</v>
      </c>
      <c r="O138" s="13">
        <f t="shared" si="15"/>
        <v>-4.1870983365384584E-2</v>
      </c>
      <c r="P138" s="27">
        <f>[1]data!M138-[1]data!M100</f>
        <v>2.6290653024690913E-2</v>
      </c>
      <c r="Q138" s="27">
        <f>[1]data!N138-[1]data!N100</f>
        <v>1.4306948431606903E-2</v>
      </c>
      <c r="R138" s="27">
        <f>[1]data!O138-[1]data!O100</f>
        <v>-0.10323337080439643</v>
      </c>
      <c r="S138" s="27">
        <f>[1]data!P138-[1]data!P100</f>
        <v>-5.6177931796991487E-2</v>
      </c>
      <c r="T138" s="27">
        <f>[1]data!Q138-[1]data!Q100</f>
        <v>0</v>
      </c>
      <c r="U138" s="27">
        <f>[1]data!R138-[1]data!R100</f>
        <v>0</v>
      </c>
      <c r="V138" s="27">
        <f>[1]data!S138-[1]data!S100</f>
        <v>-0.2309495477287431</v>
      </c>
      <c r="W138" s="27">
        <f>[1]data!T138-[1]data!T100</f>
        <v>-0.12567901096085188</v>
      </c>
      <c r="X138" s="27">
        <f>[1]data!U138-[1]data!U100</f>
        <v>-1.1450079330184604E-2</v>
      </c>
      <c r="Y138" s="27">
        <f>[1]data!V138-[1]data!V100</f>
        <v>-6.2309481001066591E-3</v>
      </c>
      <c r="Z138" s="27">
        <f>[1]data!W138-[1]data!W100</f>
        <v>-0.21949946839855849</v>
      </c>
      <c r="AA138" s="27">
        <f>[1]data!X138-[1]data!X100</f>
        <v>-0.11944806286074527</v>
      </c>
      <c r="AB138" s="27">
        <f>[1]data!Y138-[1]data!Y100</f>
        <v>0</v>
      </c>
      <c r="AC138" s="27">
        <f>[1]data!Z138-[1]data!Z100</f>
        <v>0</v>
      </c>
      <c r="AD138" s="22">
        <v>55.422589739999999</v>
      </c>
      <c r="AE138" s="15">
        <v>30.160077523049999</v>
      </c>
      <c r="AF138">
        <f>D138/(D138+H138)</f>
        <v>0.24990143111469382</v>
      </c>
      <c r="AG138">
        <f>(F138/(D138+H138))</f>
        <v>0.33529056221635889</v>
      </c>
      <c r="AH138">
        <f>(E138/(D138+H138))</f>
        <v>-8.5389131101668375E-2</v>
      </c>
      <c r="AI138">
        <f>(G138/(D138+H138))</f>
        <v>0</v>
      </c>
      <c r="AJ138">
        <f>(F138/(D138))</f>
        <v>1.3416912449071778</v>
      </c>
      <c r="AK138">
        <f>E138/D138</f>
        <v>-0.34169124490719105</v>
      </c>
      <c r="AL138">
        <f>(H138/(C138+H138))</f>
        <v>0.75009856888530868</v>
      </c>
      <c r="AM138">
        <f>(I138/(D138+H138))</f>
        <v>3.7188590337844635E-2</v>
      </c>
      <c r="AN138">
        <f>(J138/(D138+H138))</f>
        <v>0.71290997854746274</v>
      </c>
      <c r="AO138">
        <f>(I138/H138)</f>
        <v>4.9578271283878365E-2</v>
      </c>
      <c r="AP138">
        <f>J138/H138</f>
        <v>0.95042172871612318</v>
      </c>
      <c r="AQ138">
        <f>(D138+H138)/AD138</f>
        <v>-1.6754999432623703E-3</v>
      </c>
    </row>
    <row r="139" spans="1:43" x14ac:dyDescent="0.35">
      <c r="A139" s="17" t="s">
        <v>51</v>
      </c>
      <c r="B139" s="24" t="s">
        <v>69</v>
      </c>
      <c r="C139" s="28">
        <f t="shared" si="12"/>
        <v>-1.84302188106783E-2</v>
      </c>
      <c r="D139" s="27">
        <f>[1]data!C139-[1]data!C101</f>
        <v>-7.703633648629804E-3</v>
      </c>
      <c r="E139" s="27">
        <f>[1]data!D139-[1]data!D101</f>
        <v>-2.4489920461298054E-3</v>
      </c>
      <c r="F139" s="27">
        <f>[1]data!E139-[1]data!E101</f>
        <v>-5.2546416025003317E-3</v>
      </c>
      <c r="G139" s="27">
        <f>[1]data!F139-[1]data!F101</f>
        <v>-1.0726585162048163E-2</v>
      </c>
      <c r="H139" s="27">
        <f>[1]data!G139-[1]data!G101</f>
        <v>-8.4245326386862551E-3</v>
      </c>
      <c r="I139" s="27">
        <f>[1]data!H139-[1]data!H101</f>
        <v>-1.5673549095230332E-3</v>
      </c>
      <c r="J139" s="27">
        <f>[1]data!I139-[1]data!I101</f>
        <v>-6.8571777291632774E-3</v>
      </c>
      <c r="K139" s="27">
        <f>[1]data!J139-[1]data!J101</f>
        <v>0</v>
      </c>
      <c r="L139" s="13">
        <f t="shared" si="13"/>
        <v>-3.8223670689821576E-2</v>
      </c>
      <c r="M139" s="27">
        <f>[1]data!K139-[1]data!K101</f>
        <v>-1.5977084088098614E-2</v>
      </c>
      <c r="N139" s="13">
        <f t="shared" si="14"/>
        <v>-3.017735154112855E-2</v>
      </c>
      <c r="O139" s="13">
        <f t="shared" si="15"/>
        <v>-7.93076493940581E-3</v>
      </c>
      <c r="P139" s="27">
        <f>[1]data!M139-[1]data!M101</f>
        <v>-5.0791293611240906E-3</v>
      </c>
      <c r="Q139" s="27">
        <f>[1]data!N139-[1]data!N101</f>
        <v>-2.5211972871768129E-3</v>
      </c>
      <c r="R139" s="27">
        <f>[1]data!O139-[1]data!O101</f>
        <v>-1.0897954726974746E-2</v>
      </c>
      <c r="S139" s="27">
        <f>[1]data!P139-[1]data!P101</f>
        <v>-5.409567652228997E-3</v>
      </c>
      <c r="T139" s="27">
        <f>[1]data!Q139-[1]data!Q101</f>
        <v>-2.224658660172274E-2</v>
      </c>
      <c r="U139" s="27">
        <f>[1]data!R139-[1]data!R101</f>
        <v>-1.1042844117833184E-2</v>
      </c>
      <c r="V139" s="27">
        <f>[1]data!S139-[1]data!S101</f>
        <v>-1.7472205002266428E-2</v>
      </c>
      <c r="W139" s="27">
        <f>[1]data!T139-[1]data!T101</f>
        <v>-8.6729186678873305E-3</v>
      </c>
      <c r="X139" s="27">
        <f>[1]data!U139-[1]data!U101</f>
        <v>-3.250642791119307E-3</v>
      </c>
      <c r="Y139" s="27">
        <f>[1]data!V139-[1]data!V101</f>
        <v>-1.6135662637930537E-3</v>
      </c>
      <c r="Z139" s="27">
        <f>[1]data!W139-[1]data!W101</f>
        <v>-1.422156221114701E-2</v>
      </c>
      <c r="AA139" s="27">
        <f>[1]data!X139-[1]data!X101</f>
        <v>-7.0593524040942768E-3</v>
      </c>
      <c r="AB139" s="27">
        <f>[1]data!Y139-[1]data!Y101</f>
        <v>0</v>
      </c>
      <c r="AC139" s="27">
        <f>[1]data!Z139-[1]data!Z101</f>
        <v>0</v>
      </c>
      <c r="AD139" s="14">
        <v>97.136073348400004</v>
      </c>
      <c r="AE139" s="15">
        <v>48.216768505140003</v>
      </c>
      <c r="AF139">
        <f>D139/(D139+H139)</f>
        <v>0.47765093138258996</v>
      </c>
      <c r="AG139">
        <f>(F139/(D139+H139))</f>
        <v>0.32580527190080044</v>
      </c>
      <c r="AH139">
        <f>(E139/(D139+H139))</f>
        <v>0.1518456594818102</v>
      </c>
      <c r="AI139">
        <f>(G139/(D139+H139))</f>
        <v>0.66508398853030481</v>
      </c>
      <c r="AJ139">
        <f>(F139/(D139))</f>
        <v>0.68209910312063471</v>
      </c>
      <c r="AK139">
        <f>E139/D139</f>
        <v>0.31790089687940859</v>
      </c>
      <c r="AL139">
        <f>(H139/(C139+H139))</f>
        <v>0.31370733981921095</v>
      </c>
      <c r="AM139">
        <f>(I139/(D139+H139))</f>
        <v>9.7181222068355916E-2</v>
      </c>
      <c r="AN139">
        <f>(J139/(D139+H139))</f>
        <v>0.42516784654905754</v>
      </c>
      <c r="AO139">
        <f>(I139/H139)</f>
        <v>0.18604651162790806</v>
      </c>
      <c r="AP139">
        <f>J139/H139</f>
        <v>0.81395348837209858</v>
      </c>
      <c r="AQ139">
        <f>(D139+H139)/AD139</f>
        <v>-1.6603683607292654E-4</v>
      </c>
    </row>
    <row r="140" spans="1:43" x14ac:dyDescent="0.35">
      <c r="A140" s="17" t="s">
        <v>52</v>
      </c>
      <c r="B140" s="24" t="s">
        <v>69</v>
      </c>
      <c r="C140" s="28">
        <f t="shared" si="12"/>
        <v>-0.56289206247596135</v>
      </c>
      <c r="D140" s="27">
        <f>[1]data!C140-[1]data!C102</f>
        <v>-0.58431545748586755</v>
      </c>
      <c r="E140" s="27">
        <f>[1]data!D140-[1]data!D102</f>
        <v>-9.795968184519166E-4</v>
      </c>
      <c r="F140" s="27">
        <f>[1]data!E140-[1]data!E102</f>
        <v>-0.5833358606674155</v>
      </c>
      <c r="G140" s="27">
        <f>[1]data!F140-[1]data!F102</f>
        <v>2.1423395009906088E-2</v>
      </c>
      <c r="H140" s="27">
        <f>[1]data!G140-[1]data!G102</f>
        <v>0.44306040520924173</v>
      </c>
      <c r="I140" s="27">
        <f>[1]data!H140-[1]data!H102</f>
        <v>0.45530536543989036</v>
      </c>
      <c r="J140" s="27">
        <f>[1]data!I140-[1]data!I102</f>
        <v>-1.2244960230648694E-2</v>
      </c>
      <c r="K140" s="27">
        <f>[1]data!J140-[1]data!J102</f>
        <v>-0.23304046522143085</v>
      </c>
      <c r="L140" s="13">
        <f t="shared" si="13"/>
        <v>-0.84572301720794119</v>
      </c>
      <c r="M140" s="27">
        <f>[1]data!K140-[1]data!K102</f>
        <v>-0.8779108192297338</v>
      </c>
      <c r="N140" s="13">
        <f t="shared" si="14"/>
        <v>-0.84855499007605983</v>
      </c>
      <c r="O140" s="13">
        <f t="shared" si="15"/>
        <v>-0.88074279209785322</v>
      </c>
      <c r="P140" s="27">
        <f>[1]data!M140-[1]data!M102</f>
        <v>-1.471805399607784E-3</v>
      </c>
      <c r="Q140" s="27">
        <f>[1]data!N140-[1]data!N102</f>
        <v>-1.476553163124894E-3</v>
      </c>
      <c r="R140" s="27">
        <f>[1]data!O140-[1]data!O102</f>
        <v>-0.87643901383012679</v>
      </c>
      <c r="S140" s="27">
        <f>[1]data!P140-[1]data!P102</f>
        <v>-0.87926623893472833</v>
      </c>
      <c r="T140" s="27">
        <f>[1]data!Q140-[1]data!Q102</f>
        <v>3.2187802021793388E-2</v>
      </c>
      <c r="U140" s="27">
        <f>[1]data!R140-[1]data!R102</f>
        <v>3.2291633732274505E-2</v>
      </c>
      <c r="V140" s="27">
        <f>[1]data!S140-[1]data!S102</f>
        <v>0.66568070093355658</v>
      </c>
      <c r="W140" s="27">
        <f>[1]data!T140-[1]data!T102</f>
        <v>0.66782805991647276</v>
      </c>
      <c r="X140" s="27">
        <f>[1]data!U140-[1]data!U102</f>
        <v>0.68407826842865238</v>
      </c>
      <c r="Y140" s="27">
        <f>[1]data!V140-[1]data!V102</f>
        <v>0.68628497445553482</v>
      </c>
      <c r="Z140" s="27">
        <f>[1]data!W140-[1]data!W102</f>
        <v>-1.8397567495095579E-2</v>
      </c>
      <c r="AA140" s="27">
        <f>[1]data!X140-[1]data!X102</f>
        <v>-1.8456914539061842E-2</v>
      </c>
      <c r="AB140" s="27">
        <f>[1]data!Y140-[1]data!Y102</f>
        <v>-0.35013406391216906</v>
      </c>
      <c r="AC140" s="27">
        <f>[1]data!Z140-[1]data!Z102</f>
        <v>-0.35126352962495422</v>
      </c>
      <c r="AD140" s="14">
        <v>66.343484468840003</v>
      </c>
      <c r="AE140" s="15">
        <v>66.557495896739994</v>
      </c>
      <c r="AF140">
        <f>D140/(D140+H140)</f>
        <v>4.1365986424441479</v>
      </c>
      <c r="AG140">
        <f>(F140/(D140+H140))</f>
        <v>4.1296636917810474</v>
      </c>
      <c r="AH140">
        <f>(E140/(D140+H140))</f>
        <v>6.9349506630993285E-3</v>
      </c>
      <c r="AI140">
        <f>(G140/(D140+H140))</f>
        <v>-0.1516646283769853</v>
      </c>
      <c r="AJ140">
        <f>(F140/(D140))</f>
        <v>0.99832351376999851</v>
      </c>
      <c r="AK140">
        <f>E140/D140</f>
        <v>1.6764862300012139E-3</v>
      </c>
      <c r="AL140">
        <f>(H140/(C140+H140))</f>
        <v>-3.6973569031352382</v>
      </c>
      <c r="AM140">
        <f>(I140/(D140+H140))</f>
        <v>-3.2232855257328872</v>
      </c>
      <c r="AN140">
        <f>(J140/(D140+H140))</f>
        <v>8.6686883288739747E-2</v>
      </c>
      <c r="AO140">
        <f>(I140/H140)</f>
        <v>1.0276372252782682</v>
      </c>
      <c r="AP140">
        <f>J140/H140</f>
        <v>-2.7637225278268396E-2</v>
      </c>
      <c r="AQ140">
        <f>(D140+H140)/AD140</f>
        <v>-2.1291473218137953E-3</v>
      </c>
    </row>
    <row r="141" spans="1:43" x14ac:dyDescent="0.35">
      <c r="A141" s="17" t="s">
        <v>53</v>
      </c>
      <c r="B141" s="24" t="s">
        <v>69</v>
      </c>
      <c r="C141" s="28">
        <f t="shared" si="12"/>
        <v>-16.697606960011505</v>
      </c>
      <c r="D141" s="27">
        <f>[1]data!C141-[1]data!C103</f>
        <v>-0.1743682336844401</v>
      </c>
      <c r="E141" s="27">
        <f>[1]data!D141-[1]data!D103</f>
        <v>2.4860569687780369</v>
      </c>
      <c r="F141" s="27">
        <f>[1]data!E141-[1]data!E103</f>
        <v>-2.660425202462477</v>
      </c>
      <c r="G141" s="27">
        <f>[1]data!F141-[1]data!F103</f>
        <v>-16.523238726327065</v>
      </c>
      <c r="H141" s="27">
        <f>[1]data!G141-[1]data!G103</f>
        <v>36.262795760146666</v>
      </c>
      <c r="I141" s="27">
        <f>[1]data!H141-[1]data!H103</f>
        <v>0</v>
      </c>
      <c r="J141" s="27">
        <f>[1]data!I141-[1]data!I103</f>
        <v>36.262795760146666</v>
      </c>
      <c r="K141" s="27">
        <f>[1]data!J141-[1]data!J103</f>
        <v>0</v>
      </c>
      <c r="L141" s="13">
        <f t="shared" si="13"/>
        <v>-1.9872179046062155</v>
      </c>
      <c r="M141" s="27">
        <f>[1]data!K141-[1]data!K103</f>
        <v>-2.0751936298543328E-2</v>
      </c>
      <c r="N141" s="13">
        <f t="shared" si="14"/>
        <v>-1.9851661691192273</v>
      </c>
      <c r="O141" s="13">
        <f t="shared" si="15"/>
        <v>-1.8700200811555268E-2</v>
      </c>
      <c r="P141" s="27">
        <f>[1]data!M141-[1]data!M103</f>
        <v>0.29587095516490514</v>
      </c>
      <c r="Q141" s="27">
        <f>[1]data!N141-[1]data!N103</f>
        <v>0.26661831437283784</v>
      </c>
      <c r="R141" s="27">
        <f>[1]data!O141-[1]data!O103</f>
        <v>-0.31662289146344857</v>
      </c>
      <c r="S141" s="27">
        <f>[1]data!P141-[1]data!P103</f>
        <v>-0.28531851518439311</v>
      </c>
      <c r="T141" s="27">
        <f>[1]data!Q141-[1]data!Q103</f>
        <v>-1.966465968307672</v>
      </c>
      <c r="U141" s="27">
        <f>[1]data!R141-[1]data!R103</f>
        <v>-1.7720422792075785</v>
      </c>
      <c r="V141" s="27">
        <f>[1]data!S141-[1]data!S103</f>
        <v>4.3157128550348984</v>
      </c>
      <c r="W141" s="27">
        <f>[1]data!T141-[1]data!T103</f>
        <v>3.8890200833849073</v>
      </c>
      <c r="X141" s="27">
        <f>[1]data!U141-[1]data!U103</f>
        <v>0</v>
      </c>
      <c r="Y141" s="27">
        <f>[1]data!V141-[1]data!V103</f>
        <v>0</v>
      </c>
      <c r="Z141" s="27">
        <f>[1]data!W141-[1]data!W103</f>
        <v>4.3157128550348984</v>
      </c>
      <c r="AA141" s="27">
        <f>[1]data!X141-[1]data!X103</f>
        <v>3.8890200833849073</v>
      </c>
      <c r="AB141" s="27">
        <f>[1]data!Y141-[1]data!Y103</f>
        <v>0</v>
      </c>
      <c r="AC141" s="27">
        <f>[1]data!Z141-[1]data!Z103</f>
        <v>0</v>
      </c>
      <c r="AD141" s="14">
        <v>932.44043441874999</v>
      </c>
      <c r="AE141" s="15">
        <v>840.25042856688003</v>
      </c>
      <c r="AF141">
        <f>D141/(D141+H141)</f>
        <v>-4.8316938596613202E-3</v>
      </c>
      <c r="AG141">
        <f>(F141/(D141+H141))</f>
        <v>-7.3719621075528763E-2</v>
      </c>
      <c r="AH141">
        <f>(E141/(D141+H141))</f>
        <v>6.8887927215867437E-2</v>
      </c>
      <c r="AI141">
        <f>(G141/(D141+H141))</f>
        <v>-0.45785421695670236</v>
      </c>
      <c r="AJ141">
        <f>(F141/(D141))</f>
        <v>15.257510764702335</v>
      </c>
      <c r="AK141">
        <f>E141/D141</f>
        <v>-14.257510764702335</v>
      </c>
      <c r="AL141">
        <f>(H141/(C141+H141))</f>
        <v>1.8534344917691852</v>
      </c>
      <c r="AM141">
        <f>(I141/(D141+H141))</f>
        <v>0</v>
      </c>
      <c r="AN141">
        <f>(J141/(D141+H141))</f>
        <v>1.0048316938596613</v>
      </c>
      <c r="AO141">
        <f>(I141/H141)</f>
        <v>0</v>
      </c>
      <c r="AP141">
        <f>J141/H141</f>
        <v>1</v>
      </c>
      <c r="AQ141">
        <f>(D141+H141)/AD141</f>
        <v>3.8703198825733531E-2</v>
      </c>
    </row>
    <row r="142" spans="1:43" x14ac:dyDescent="0.35">
      <c r="A142" s="17" t="s">
        <v>54</v>
      </c>
      <c r="B142" s="24" t="s">
        <v>69</v>
      </c>
      <c r="C142" s="28">
        <f t="shared" si="12"/>
        <v>2.2603788228926915</v>
      </c>
      <c r="D142" s="27">
        <f>[1]data!C142-[1]data!C104</f>
        <v>2.2603788228926902</v>
      </c>
      <c r="E142" s="27">
        <f>[1]data!D142-[1]data!D104</f>
        <v>2.0118179613490823</v>
      </c>
      <c r="F142" s="27">
        <f>[1]data!E142-[1]data!E104</f>
        <v>0.24856086154360924</v>
      </c>
      <c r="G142" s="27">
        <f>[1]data!F142-[1]data!F104</f>
        <v>0</v>
      </c>
      <c r="H142" s="27">
        <f>[1]data!G142-[1]data!G104</f>
        <v>-2.2791011296807095</v>
      </c>
      <c r="I142" s="27">
        <f>[1]data!H142-[1]data!H104</f>
        <v>-2.3060249665030246</v>
      </c>
      <c r="J142" s="27">
        <f>[1]data!I142-[1]data!I104</f>
        <v>2.6923836822314584E-2</v>
      </c>
      <c r="K142" s="27">
        <f>[1]data!J142-[1]data!J104</f>
        <v>0</v>
      </c>
      <c r="L142" s="13">
        <f t="shared" si="13"/>
        <v>1.113821319845862</v>
      </c>
      <c r="M142" s="27">
        <f>[1]data!K142-[1]data!K104</f>
        <v>1.1138213198458615</v>
      </c>
      <c r="N142" s="13">
        <f t="shared" si="14"/>
        <v>1.16530106857478</v>
      </c>
      <c r="O142" s="13">
        <f t="shared" si="15"/>
        <v>1.16530106857478</v>
      </c>
      <c r="P142" s="27">
        <f>[1]data!M142-[1]data!M104</f>
        <v>0.99134079398771069</v>
      </c>
      <c r="Q142" s="27">
        <f>[1]data!N142-[1]data!N104</f>
        <v>1.0371596107672962</v>
      </c>
      <c r="R142" s="27">
        <f>[1]data!O142-[1]data!O104</f>
        <v>0.12248052585815117</v>
      </c>
      <c r="S142" s="27">
        <f>[1]data!P142-[1]data!P104</f>
        <v>0.12814145780748376</v>
      </c>
      <c r="T142" s="27">
        <f>[1]data!Q142-[1]data!Q104</f>
        <v>0</v>
      </c>
      <c r="U142" s="27">
        <f>[1]data!R142-[1]data!R104</f>
        <v>0</v>
      </c>
      <c r="V142" s="27">
        <f>[1]data!S142-[1]data!S104</f>
        <v>-1.1230468993133358</v>
      </c>
      <c r="W142" s="27">
        <f>[1]data!T142-[1]data!T104</f>
        <v>-1.1749530454404735</v>
      </c>
      <c r="X142" s="27">
        <f>[1]data!U142-[1]data!U104</f>
        <v>-1.1363138540206745</v>
      </c>
      <c r="Y142" s="27">
        <f>[1]data!V142-[1]data!V104</f>
        <v>-1.1888331860175412</v>
      </c>
      <c r="Z142" s="27">
        <f>[1]data!W142-[1]data!W104</f>
        <v>1.3266954707338519E-2</v>
      </c>
      <c r="AA142" s="27">
        <f>[1]data!X142-[1]data!X104</f>
        <v>1.3880140577067657E-2</v>
      </c>
      <c r="AB142" s="27">
        <f>[1]data!Y142-[1]data!Y104</f>
        <v>0</v>
      </c>
      <c r="AC142" s="27">
        <f>[1]data!Z142-[1]data!Z104</f>
        <v>0</v>
      </c>
      <c r="AD142" s="14">
        <v>193.97380504054999</v>
      </c>
      <c r="AE142" s="15">
        <v>202.93908750153</v>
      </c>
      <c r="AF142">
        <f>D142/(D142+H142)</f>
        <v>-120.7318547060204</v>
      </c>
      <c r="AG142">
        <f>(F142/(D142+H142))</f>
        <v>-13.276187830800142</v>
      </c>
      <c r="AH142">
        <f>(E142/(D142+H142))</f>
        <v>-107.45566687522033</v>
      </c>
      <c r="AI142">
        <f>(G142/(D142+H142))</f>
        <v>0</v>
      </c>
      <c r="AJ142">
        <f>(F142/(D142))</f>
        <v>0.10996424980902834</v>
      </c>
      <c r="AK142">
        <f>E142/D142</f>
        <v>0.89003575019097225</v>
      </c>
      <c r="AL142">
        <f>(H142/(C142+H142))</f>
        <v>121.73185470602905</v>
      </c>
      <c r="AM142">
        <f>(I142/(D142+H142))</f>
        <v>123.16991664609843</v>
      </c>
      <c r="AN142">
        <f>(J142/(D142+H142))</f>
        <v>-1.4380619400779993</v>
      </c>
      <c r="AO142">
        <f>(I142/H142)</f>
        <v>1.0118133576749562</v>
      </c>
      <c r="AP142">
        <f>J142/H142</f>
        <v>-1.1813357674956037E-2</v>
      </c>
      <c r="AQ142">
        <f>(D142+H142)/AD142</f>
        <v>-9.6519768656935209E-5</v>
      </c>
    </row>
    <row r="143" spans="1:43" x14ac:dyDescent="0.35">
      <c r="A143" s="17" t="s">
        <v>55</v>
      </c>
      <c r="B143" s="24" t="s">
        <v>69</v>
      </c>
      <c r="C143" s="28">
        <f t="shared" si="12"/>
        <v>13.348965621899447</v>
      </c>
      <c r="D143" s="27">
        <f>[1]data!C143-[1]data!C105</f>
        <v>13.348965621899447</v>
      </c>
      <c r="E143" s="27">
        <f>[1]data!D143-[1]data!D105</f>
        <v>1.1414792455781</v>
      </c>
      <c r="F143" s="27">
        <f>[1]data!E143-[1]data!E105</f>
        <v>12.207486376321347</v>
      </c>
      <c r="G143" s="27">
        <f>[1]data!F143-[1]data!F105</f>
        <v>0</v>
      </c>
      <c r="H143" s="27">
        <f>[1]data!G143-[1]data!G105</f>
        <v>-5.3846464626538513</v>
      </c>
      <c r="I143" s="27">
        <f>[1]data!H143-[1]data!H105</f>
        <v>0.17176997453820242</v>
      </c>
      <c r="J143" s="27">
        <f>[1]data!I143-[1]data!I105</f>
        <v>-5.5564164371920555</v>
      </c>
      <c r="K143" s="27">
        <f>[1]data!J143-[1]data!J105</f>
        <v>0</v>
      </c>
      <c r="L143" s="13">
        <f t="shared" si="13"/>
        <v>3.2538664984422607</v>
      </c>
      <c r="M143" s="27">
        <f>[1]data!K143-[1]data!K105</f>
        <v>3.2538664984422607</v>
      </c>
      <c r="N143" s="13">
        <f t="shared" si="14"/>
        <v>4.0395803375278465</v>
      </c>
      <c r="O143" s="13">
        <f t="shared" si="15"/>
        <v>4.0395803375278465</v>
      </c>
      <c r="P143" s="27">
        <f>[1]data!M143-[1]data!M105</f>
        <v>0.27824036566252114</v>
      </c>
      <c r="Q143" s="27">
        <f>[1]data!N143-[1]data!N105</f>
        <v>0.34542729727078975</v>
      </c>
      <c r="R143" s="27">
        <f>[1]data!O143-[1]data!O105</f>
        <v>2.9756261327797398</v>
      </c>
      <c r="S143" s="27">
        <f>[1]data!P143-[1]data!P105</f>
        <v>3.6941530402570568</v>
      </c>
      <c r="T143" s="27">
        <f>[1]data!Q143-[1]data!Q105</f>
        <v>0</v>
      </c>
      <c r="U143" s="27">
        <f>[1]data!R143-[1]data!R105</f>
        <v>0</v>
      </c>
      <c r="V143" s="27">
        <f>[1]data!S143-[1]data!S105</f>
        <v>-1.3125302159772825</v>
      </c>
      <c r="W143" s="27">
        <f>[1]data!T143-[1]data!T105</f>
        <v>-1.6294679746115257</v>
      </c>
      <c r="X143" s="27">
        <f>[1]data!U143-[1]data!U105</f>
        <v>4.1869653531148243E-2</v>
      </c>
      <c r="Y143" s="27">
        <f>[1]data!V143-[1]data!V105</f>
        <v>5.1979953456756656E-2</v>
      </c>
      <c r="Z143" s="27">
        <f>[1]data!W143-[1]data!W105</f>
        <v>-1.3543998695084309</v>
      </c>
      <c r="AA143" s="27">
        <f>[1]data!X143-[1]data!X105</f>
        <v>-1.6814479280682826</v>
      </c>
      <c r="AB143" s="27">
        <f>[1]data!Y143-[1]data!Y105</f>
        <v>0</v>
      </c>
      <c r="AC143" s="27">
        <f>[1]data!Z143-[1]data!Z105</f>
        <v>0</v>
      </c>
      <c r="AD143" s="14">
        <v>330.45426768437</v>
      </c>
      <c r="AE143" s="15">
        <v>410.24933347112</v>
      </c>
      <c r="AF143">
        <f>D143/(D143+H143)</f>
        <v>1.6760962682419549</v>
      </c>
      <c r="AG143">
        <f>(F143/(D143+H143))</f>
        <v>1.5327721217889612</v>
      </c>
      <c r="AH143">
        <f>(E143/(D143+H143))</f>
        <v>0.14332414645299377</v>
      </c>
      <c r="AI143">
        <f>(G143/(D143+H143))</f>
        <v>0</v>
      </c>
      <c r="AJ143">
        <f>(F143/(D143))</f>
        <v>0.91448931116389542</v>
      </c>
      <c r="AK143">
        <f>E143/D143</f>
        <v>8.5510688836104506E-2</v>
      </c>
      <c r="AL143">
        <f>(H143/(C143+H143))</f>
        <v>-0.6760962682419549</v>
      </c>
      <c r="AM143">
        <f>(I143/(D143+H143))</f>
        <v>2.156743986569129E-2</v>
      </c>
      <c r="AN143">
        <f>(J143/(D143+H143))</f>
        <v>-0.69766370810764644</v>
      </c>
      <c r="AO143">
        <f>(I143/H143)</f>
        <v>-3.1899954013609406E-2</v>
      </c>
      <c r="AP143">
        <f>J143/H143</f>
        <v>1.0318999540136098</v>
      </c>
      <c r="AQ143">
        <f>(D143+H143)/AD143</f>
        <v>2.4101123629163217E-2</v>
      </c>
    </row>
    <row r="144" spans="1:43" x14ac:dyDescent="0.35">
      <c r="A144" s="17" t="s">
        <v>56</v>
      </c>
      <c r="B144" s="24" t="s">
        <v>69</v>
      </c>
      <c r="C144" s="28">
        <f t="shared" si="12"/>
        <v>3.572891549409039</v>
      </c>
      <c r="D144" s="27">
        <f>[1]data!C144-[1]data!C106</f>
        <v>3.6115856237378878</v>
      </c>
      <c r="E144" s="27">
        <f>[1]data!D144-[1]data!D106</f>
        <v>0.6751212736122203</v>
      </c>
      <c r="F144" s="27">
        <f>[1]data!E144-[1]data!E106</f>
        <v>2.9364643501256689</v>
      </c>
      <c r="G144" s="27">
        <f>[1]data!F144-[1]data!F106</f>
        <v>-3.8694074328850192E-2</v>
      </c>
      <c r="H144" s="27">
        <f>[1]data!G144-[1]data!G106</f>
        <v>-6.3673793199374273E-2</v>
      </c>
      <c r="I144" s="27">
        <f>[1]data!H144-[1]data!H106</f>
        <v>0</v>
      </c>
      <c r="J144" s="27">
        <f>[1]data!I144-[1]data!I106</f>
        <v>-6.3673793199374273E-2</v>
      </c>
      <c r="K144" s="27">
        <f>[1]data!J144-[1]data!J106</f>
        <v>0</v>
      </c>
      <c r="L144" s="13">
        <f t="shared" si="13"/>
        <v>1.6067877703753866</v>
      </c>
      <c r="M144" s="27">
        <f>[1]data!K144-[1]data!K106</f>
        <v>1.6241891285072558</v>
      </c>
      <c r="N144" s="13">
        <f t="shared" si="14"/>
        <v>1.0410444387040905</v>
      </c>
      <c r="O144" s="13">
        <f t="shared" si="15"/>
        <v>1.0584457968359591</v>
      </c>
      <c r="P144" s="27">
        <f>[1]data!M144-[1]data!M106</f>
        <v>0.30361307947894312</v>
      </c>
      <c r="Q144" s="27">
        <f>[1]data!N144-[1]data!N106</f>
        <v>0.19785749220859516</v>
      </c>
      <c r="R144" s="27">
        <f>[1]data!O144-[1]data!O106</f>
        <v>1.320576049028312</v>
      </c>
      <c r="S144" s="27">
        <f>[1]data!P144-[1]data!P106</f>
        <v>0.86058830462736391</v>
      </c>
      <c r="T144" s="27">
        <f>[1]data!Q144-[1]data!Q106</f>
        <v>-1.7401358131868605E-2</v>
      </c>
      <c r="U144" s="27">
        <f>[1]data!R144-[1]data!R106</f>
        <v>-1.1340055200862675E-2</v>
      </c>
      <c r="V144" s="27">
        <f>[1]data!S144-[1]data!S106</f>
        <v>-2.8635146292947944E-2</v>
      </c>
      <c r="W144" s="27">
        <f>[1]data!T144-[1]data!T106</f>
        <v>-1.8660850330533663E-2</v>
      </c>
      <c r="X144" s="27">
        <f>[1]data!U144-[1]data!U106</f>
        <v>0</v>
      </c>
      <c r="Y144" s="27">
        <f>[1]data!V144-[1]data!V106</f>
        <v>0</v>
      </c>
      <c r="Z144" s="27">
        <f>[1]data!W144-[1]data!W106</f>
        <v>-2.8635146292947944E-2</v>
      </c>
      <c r="AA144" s="27">
        <f>[1]data!X144-[1]data!X106</f>
        <v>-1.8660850330533663E-2</v>
      </c>
      <c r="AB144" s="27">
        <f>[1]data!Y144-[1]data!Y106</f>
        <v>0</v>
      </c>
      <c r="AC144" s="27">
        <f>[1]data!Z144-[1]data!Z106</f>
        <v>0</v>
      </c>
      <c r="AD144" s="14">
        <v>341.21592570296002</v>
      </c>
      <c r="AE144" s="15">
        <v>222.36238134761999</v>
      </c>
      <c r="AF144">
        <f>D144/(D144+H144)</f>
        <v>1.017946836404249</v>
      </c>
      <c r="AG144">
        <f>(F144/(D144+H144))</f>
        <v>0.82765989978955112</v>
      </c>
      <c r="AH144">
        <f>(E144/(D144+H144))</f>
        <v>0.19028693661469828</v>
      </c>
      <c r="AI144">
        <f>(G144/(D144+H144))</f>
        <v>-1.0906154430274295E-2</v>
      </c>
      <c r="AJ144">
        <f>(F144/(D144))</f>
        <v>0.81306790314623978</v>
      </c>
      <c r="AK144">
        <f>E144/D144</f>
        <v>0.18693209685376061</v>
      </c>
      <c r="AL144">
        <f>(H144/(C144+H144))</f>
        <v>-1.814472558355822E-2</v>
      </c>
      <c r="AM144">
        <f>(I144/(D144+H144))</f>
        <v>0</v>
      </c>
      <c r="AN144">
        <f>(J144/(D144+H144))</f>
        <v>-1.7946836404248993E-2</v>
      </c>
      <c r="AO144">
        <f>(I144/H144)</f>
        <v>0</v>
      </c>
      <c r="AP144">
        <f>J144/H144</f>
        <v>1</v>
      </c>
      <c r="AQ144">
        <f>(D144+H144)/AD144</f>
        <v>1.0397849465054249E-2</v>
      </c>
    </row>
    <row r="145" spans="1:43" x14ac:dyDescent="0.35">
      <c r="A145" s="17" t="s">
        <v>57</v>
      </c>
      <c r="B145" s="24" t="s">
        <v>69</v>
      </c>
      <c r="C145" s="28">
        <f t="shared" si="12"/>
        <v>0.59079391103845713</v>
      </c>
      <c r="D145" s="27">
        <f>[1]data!C145-[1]data!C107</f>
        <v>1.4522233867921304</v>
      </c>
      <c r="E145" s="27">
        <f>[1]data!D145-[1]data!D107</f>
        <v>-2.9240262794754668E-2</v>
      </c>
      <c r="F145" s="27">
        <f>[1]data!E145-[1]data!E107</f>
        <v>1.4814636495868849</v>
      </c>
      <c r="G145" s="27">
        <f>[1]data!F145-[1]data!F107</f>
        <v>-0.86142947575367323</v>
      </c>
      <c r="H145" s="27">
        <f>[1]data!G145-[1]data!G107</f>
        <v>-1.9640916209961112E-2</v>
      </c>
      <c r="I145" s="27">
        <f>[1]data!H145-[1]data!H107</f>
        <v>0</v>
      </c>
      <c r="J145" s="27">
        <f>[1]data!I145-[1]data!I107</f>
        <v>-1.9640916209961112E-2</v>
      </c>
      <c r="K145" s="27">
        <f>[1]data!J145-[1]data!J107</f>
        <v>0</v>
      </c>
      <c r="L145" s="13">
        <f t="shared" si="13"/>
        <v>0.59382800889741783</v>
      </c>
      <c r="M145" s="27">
        <f>[1]data!K145-[1]data!K107</f>
        <v>1.4596814661431066</v>
      </c>
      <c r="N145" s="13">
        <f t="shared" si="14"/>
        <v>-6.6662740764043771E-2</v>
      </c>
      <c r="O145" s="13">
        <f t="shared" si="15"/>
        <v>0.79919071648164497</v>
      </c>
      <c r="P145" s="27">
        <f>[1]data!M145-[1]data!M107</f>
        <v>-2.9390429912396543E-2</v>
      </c>
      <c r="Q145" s="27">
        <f>[1]data!N145-[1]data!N107</f>
        <v>-1.6091564690106808E-2</v>
      </c>
      <c r="R145" s="27">
        <f>[1]data!O145-[1]data!O107</f>
        <v>1.4890718960555032</v>
      </c>
      <c r="S145" s="27">
        <f>[1]data!P145-[1]data!P107</f>
        <v>0.81528228117175172</v>
      </c>
      <c r="T145" s="27">
        <f>[1]data!Q145-[1]data!Q107</f>
        <v>-0.86585345724568874</v>
      </c>
      <c r="U145" s="27">
        <f>[1]data!R145-[1]data!R107</f>
        <v>-0.47406373302300298</v>
      </c>
      <c r="V145" s="27">
        <f>[1]data!S145-[1]data!S107</f>
        <v>-1.9741784652758554E-2</v>
      </c>
      <c r="W145" s="27">
        <f>[1]data!T145-[1]data!T107</f>
        <v>-1.0808831506885497E-2</v>
      </c>
      <c r="X145" s="27">
        <f>[1]data!U145-[1]data!U107</f>
        <v>0</v>
      </c>
      <c r="Y145" s="27">
        <f>[1]data!V145-[1]data!V107</f>
        <v>0</v>
      </c>
      <c r="Z145" s="27">
        <f>[1]data!W145-[1]data!W107</f>
        <v>-1.9741784652758554E-2</v>
      </c>
      <c r="AA145" s="27">
        <f>[1]data!X145-[1]data!X107</f>
        <v>-1.0808831506885497E-2</v>
      </c>
      <c r="AB145" s="27">
        <f>[1]data!Y145-[1]data!Y107</f>
        <v>0</v>
      </c>
      <c r="AC145" s="27">
        <f>[1]data!Z145-[1]data!Z107</f>
        <v>0</v>
      </c>
      <c r="AD145" s="14">
        <v>181.71174374815001</v>
      </c>
      <c r="AE145" s="15">
        <v>99.489061173690004</v>
      </c>
      <c r="AF145">
        <f>D145/(D145+H145)</f>
        <v>1.0137101469641601</v>
      </c>
      <c r="AG145">
        <f>(F145/(D145+H145))</f>
        <v>1.0341210227044391</v>
      </c>
      <c r="AH145">
        <f>(E145/(D145+H145))</f>
        <v>-2.041087574027908E-2</v>
      </c>
      <c r="AI145">
        <f>(G145/(D145+H145))</f>
        <v>-0.60131231076952074</v>
      </c>
      <c r="AJ145">
        <f>(F145/(D145))</f>
        <v>1.020134824339487</v>
      </c>
      <c r="AK145">
        <f>E145/D145</f>
        <v>-2.0134824339487163E-2</v>
      </c>
      <c r="AL145">
        <f>(H145/(C145+H145))</f>
        <v>-3.4388187382014559E-2</v>
      </c>
      <c r="AM145">
        <f>(I145/(D145+H145))</f>
        <v>0</v>
      </c>
      <c r="AN145">
        <f>(J145/(D145+H145))</f>
        <v>-1.3710146964160105E-2</v>
      </c>
      <c r="AO145">
        <f>(I145/H145)</f>
        <v>0</v>
      </c>
      <c r="AP145">
        <f>J145/H145</f>
        <v>1</v>
      </c>
      <c r="AQ145">
        <f>(D145+H145)/AD145</f>
        <v>7.8838188497475925E-3</v>
      </c>
    </row>
    <row r="146" spans="1:43" x14ac:dyDescent="0.35">
      <c r="A146" s="21" t="s">
        <v>58</v>
      </c>
      <c r="B146" s="25" t="s">
        <v>69</v>
      </c>
      <c r="C146" s="28">
        <f t="shared" si="12"/>
        <v>-1.249400936643823</v>
      </c>
      <c r="D146" s="27">
        <f>[1]data!C146-[1]data!C108</f>
        <v>-1.3494009366438235</v>
      </c>
      <c r="E146" s="27">
        <f>[1]data!D146-[1]data!D108</f>
        <v>0.34098922567069284</v>
      </c>
      <c r="F146" s="27">
        <f>[1]data!E146-[1]data!E108</f>
        <v>-1.6903901623145159</v>
      </c>
      <c r="G146" s="27">
        <f>[1]data!F146-[1]data!F108</f>
        <v>0.1</v>
      </c>
      <c r="H146" s="27">
        <f>[1]data!G146-[1]data!G108</f>
        <v>0.18483194669322733</v>
      </c>
      <c r="I146" s="27">
        <f>[1]data!H146-[1]data!H108</f>
        <v>0.31410316138480565</v>
      </c>
      <c r="J146" s="27">
        <f>[1]data!I146-[1]data!I108</f>
        <v>-0.12927121469157843</v>
      </c>
      <c r="K146" s="27">
        <f>[1]data!J146-[1]data!J108</f>
        <v>-0.11431613976919908</v>
      </c>
      <c r="L146" s="13">
        <f t="shared" si="13"/>
        <v>-2.4780861766700615</v>
      </c>
      <c r="M146" s="27">
        <f>[1]data!K146-[1]data!K108</f>
        <v>-2.6764281263188883</v>
      </c>
      <c r="N146" s="13">
        <f t="shared" si="14"/>
        <v>-1.5763130736499433</v>
      </c>
      <c r="O146" s="13">
        <f t="shared" si="15"/>
        <v>-1.7746550232987701</v>
      </c>
      <c r="P146" s="27">
        <f>[1]data!M146-[1]data!M108</f>
        <v>0.67632467828768994</v>
      </c>
      <c r="Q146" s="27">
        <f>[1]data!N146-[1]data!N108</f>
        <v>0.44844954956999583</v>
      </c>
      <c r="R146" s="27">
        <f>[1]data!O146-[1]data!O108</f>
        <v>-3.3527528046065784</v>
      </c>
      <c r="S146" s="27">
        <f>[1]data!P146-[1]data!P108</f>
        <v>-2.2231045728687659</v>
      </c>
      <c r="T146" s="27">
        <f>[1]data!Q146-[1]data!Q108</f>
        <v>0.19834194964882682</v>
      </c>
      <c r="U146" s="27">
        <f>[1]data!R146-[1]data!R108</f>
        <v>0.13151428720011285</v>
      </c>
      <c r="V146" s="27">
        <f>[1]data!S146-[1]data!S108</f>
        <v>0.36659928664522656</v>
      </c>
      <c r="W146" s="27">
        <f>[1]data!T146-[1]data!T108</f>
        <v>0.24308041721169005</v>
      </c>
      <c r="X146" s="27">
        <f>[1]data!U146-[1]data!U108</f>
        <v>0.62299833419922468</v>
      </c>
      <c r="Y146" s="27">
        <f>[1]data!V146-[1]data!V108</f>
        <v>0.41309053376824723</v>
      </c>
      <c r="Z146" s="27">
        <f>[1]data!W146-[1]data!W108</f>
        <v>-0.25639904755399812</v>
      </c>
      <c r="AA146" s="27">
        <f>[1]data!X146-[1]data!X108</f>
        <v>-0.17001011655655685</v>
      </c>
      <c r="AB146" s="27">
        <f>[1]data!Y146-[1]data!Y108</f>
        <v>-0.22673686038150731</v>
      </c>
      <c r="AC146" s="27">
        <f>[1]data!Z146-[1]data!Z108</f>
        <v>-0.1503420563721469</v>
      </c>
      <c r="AD146" s="14">
        <v>76.037366075549997</v>
      </c>
      <c r="AE146" s="15">
        <v>50.417977728389999</v>
      </c>
      <c r="AF146">
        <f>D146/(D146+H146)</f>
        <v>1.1587127497711134</v>
      </c>
      <c r="AG146">
        <f>(F146/(D146+H146))</f>
        <v>1.4515156911281197</v>
      </c>
      <c r="AH146">
        <f>(E146/(D146+H146))</f>
        <v>-0.29280294135700663</v>
      </c>
      <c r="AI146">
        <f>(G146/(D146+H146))</f>
        <v>-8.5868678337590154E-2</v>
      </c>
      <c r="AJ146">
        <f>(F146/(D146))</f>
        <v>1.2526967459491967</v>
      </c>
      <c r="AK146">
        <f>E146/D146</f>
        <v>-0.25269674594919705</v>
      </c>
      <c r="AL146">
        <f>(H146/(C146+H146))</f>
        <v>-0.17362138897339568</v>
      </c>
      <c r="AM146">
        <f>(I146/(D146+H146))</f>
        <v>-0.26971623329772043</v>
      </c>
      <c r="AN146">
        <f>(J146/(D146+H146))</f>
        <v>0.11100348352660706</v>
      </c>
      <c r="AO146">
        <f>(I146/H146)</f>
        <v>1.6993986537734989</v>
      </c>
      <c r="AP146">
        <f>J146/H146</f>
        <v>-0.69939865377349952</v>
      </c>
      <c r="AQ146">
        <f>(D146+H146)/AD146</f>
        <v>-1.5315746060870805E-2</v>
      </c>
    </row>
    <row r="147" spans="1:43" x14ac:dyDescent="0.35">
      <c r="A147" s="17" t="s">
        <v>59</v>
      </c>
      <c r="B147" s="24" t="s">
        <v>69</v>
      </c>
      <c r="C147" s="28">
        <f t="shared" si="12"/>
        <v>4.5178914015691998</v>
      </c>
      <c r="D147" s="27">
        <f>[1]data!C147-[1]data!C109</f>
        <v>-5.4196425105654953</v>
      </c>
      <c r="E147" s="27">
        <f>[1]data!D147-[1]data!D109</f>
        <v>2.5312199052560214</v>
      </c>
      <c r="F147" s="30">
        <v>0</v>
      </c>
      <c r="G147" s="27">
        <f>[1]data!F147-[1]data!F109</f>
        <v>1.9866714963131784</v>
      </c>
      <c r="H147" s="27">
        <f>[1]data!G147-[1]data!G109</f>
        <v>-0.14794341217610452</v>
      </c>
      <c r="I147" s="27">
        <f>[1]data!H147-[1]data!H109</f>
        <v>-6.6142068110832675E-3</v>
      </c>
      <c r="J147" s="27">
        <f>[1]data!I147-[1]data!I109</f>
        <v>-0.14132920536502169</v>
      </c>
      <c r="K147" s="27">
        <f>[1]data!J147-[1]data!J109</f>
        <v>0</v>
      </c>
      <c r="L147" s="13">
        <f t="shared" si="13"/>
        <v>-0.62437943509521243</v>
      </c>
      <c r="M147" s="27">
        <f>[1]data!K147-[1]data!K109</f>
        <v>-0.98570984582049714</v>
      </c>
      <c r="N147" s="13">
        <f t="shared" si="14"/>
        <v>-0.67889910876262194</v>
      </c>
      <c r="O147" s="13">
        <f t="shared" si="15"/>
        <v>-1.0402295194879065</v>
      </c>
      <c r="P147" s="27">
        <f>[1]data!M147-[1]data!M109</f>
        <v>0.46037139491832468</v>
      </c>
      <c r="Q147" s="27">
        <f>[1]data!N147-[1]data!N109</f>
        <v>0.48583456577248674</v>
      </c>
      <c r="R147" s="27">
        <f>[1]data!O147-[1]data!O109</f>
        <v>-1.4460812407388217</v>
      </c>
      <c r="S147" s="27">
        <f>[1]data!P147-[1]data!P109</f>
        <v>-1.5260640852603933</v>
      </c>
      <c r="T147" s="27">
        <f>[1]data!Q147-[1]data!Q109</f>
        <v>0.3613304107252846</v>
      </c>
      <c r="U147" s="27">
        <f>[1]data!R147-[1]data!R109</f>
        <v>0.3813156185046136</v>
      </c>
      <c r="V147" s="27">
        <f>[1]data!S147-[1]data!S109</f>
        <v>-2.6907545603234162E-2</v>
      </c>
      <c r="W147" s="27">
        <f>[1]data!T147-[1]data!T109</f>
        <v>-2.8395803645596907E-2</v>
      </c>
      <c r="X147" s="27">
        <f>[1]data!U147-[1]data!U109</f>
        <v>-1.2029739532206929E-3</v>
      </c>
      <c r="Y147" s="27">
        <f>[1]data!V147-[1]data!V109</f>
        <v>-1.269510518355027E-3</v>
      </c>
      <c r="Z147" s="27">
        <f>[1]data!W147-[1]data!W109</f>
        <v>-2.5704571650013719E-2</v>
      </c>
      <c r="AA147" s="27">
        <f>[1]data!X147-[1]data!X109</f>
        <v>-2.7126293127241574E-2</v>
      </c>
      <c r="AB147" s="27">
        <f>[1]data!Y147-[1]data!Y109</f>
        <v>0</v>
      </c>
      <c r="AC147" s="27">
        <f>[1]data!Z147-[1]data!Z109</f>
        <v>0</v>
      </c>
      <c r="AD147" s="14">
        <v>521.00449074291998</v>
      </c>
      <c r="AE147" s="15">
        <v>549.82128194673999</v>
      </c>
      <c r="AF147">
        <f>D147/(D147+H147)</f>
        <v>0.97342772716415416</v>
      </c>
      <c r="AG147">
        <f>(F147/(D147+H147))</f>
        <v>0</v>
      </c>
      <c r="AH147">
        <f>(E147/(D147+H147))</f>
        <v>-0.45463508608226272</v>
      </c>
      <c r="AI147">
        <f>(G147/(D147+H147))</f>
        <v>-0.35682817003296435</v>
      </c>
      <c r="AJ147">
        <f>(F147/(D147))</f>
        <v>0</v>
      </c>
      <c r="AK147">
        <f>E147/D147</f>
        <v>-0.4670455478053126</v>
      </c>
      <c r="AL147">
        <f>(H147/(C147+H147))</f>
        <v>-3.3854730659311834E-2</v>
      </c>
      <c r="AM147">
        <f>(I147/(D147+H147))</f>
        <v>1.1879846854390868E-3</v>
      </c>
      <c r="AN147">
        <f>(J147/(D147+H147))</f>
        <v>2.5384288150406869E-2</v>
      </c>
      <c r="AO147">
        <f>(I147/H147)</f>
        <v>4.4707680550250137E-2</v>
      </c>
      <c r="AP147">
        <f>J147/H147</f>
        <v>0.9552923194497529</v>
      </c>
      <c r="AQ147">
        <f>(D147+H147)/AD147</f>
        <v>-1.0686253231335048E-2</v>
      </c>
    </row>
    <row r="148" spans="1:43" x14ac:dyDescent="0.35">
      <c r="A148" s="17" t="s">
        <v>60</v>
      </c>
      <c r="B148" s="24" t="s">
        <v>69</v>
      </c>
      <c r="C148" s="28">
        <f t="shared" si="12"/>
        <v>5.7337721328573297</v>
      </c>
      <c r="D148" s="27">
        <f>[1]data!C148-[1]data!C110</f>
        <v>5.7337721328573252</v>
      </c>
      <c r="E148" s="27">
        <f>[1]data!D148-[1]data!D110</f>
        <v>0.41206821103311331</v>
      </c>
      <c r="F148" s="27">
        <f>[1]data!E148-[1]data!E110</f>
        <v>5.3217039218242164</v>
      </c>
      <c r="G148" s="27">
        <f>[1]data!F148-[1]data!F110</f>
        <v>0</v>
      </c>
      <c r="H148" s="27">
        <f>[1]data!G148-[1]data!G110</f>
        <v>-0.34763605364891959</v>
      </c>
      <c r="I148" s="27">
        <f>[1]data!H148-[1]data!H110</f>
        <v>-0.16429236256423985</v>
      </c>
      <c r="J148" s="27">
        <f>[1]data!I148-[1]data!I110</f>
        <v>-0.18334369108467996</v>
      </c>
      <c r="K148" s="27">
        <f>[1]data!J148-[1]data!J110</f>
        <v>0</v>
      </c>
      <c r="L148" s="13">
        <f t="shared" si="13"/>
        <v>0.76746045418638764</v>
      </c>
      <c r="M148" s="27">
        <f>[1]data!K148-[1]data!K110</f>
        <v>0.76746045418638786</v>
      </c>
      <c r="N148" s="13">
        <f t="shared" si="14"/>
        <v>0.97048648487860922</v>
      </c>
      <c r="O148" s="13">
        <f t="shared" si="15"/>
        <v>0.97048648487860922</v>
      </c>
      <c r="P148" s="27">
        <f>[1]data!M148-[1]data!M110</f>
        <v>5.5154974607902474E-2</v>
      </c>
      <c r="Q148" s="27">
        <f>[1]data!N148-[1]data!N110</f>
        <v>6.9745818352996869E-2</v>
      </c>
      <c r="R148" s="27">
        <f>[1]data!O148-[1]data!O110</f>
        <v>0.71230547957848511</v>
      </c>
      <c r="S148" s="27">
        <f>[1]data!P148-[1]data!P110</f>
        <v>0.90074066652561235</v>
      </c>
      <c r="T148" s="27">
        <f>[1]data!Q148-[1]data!Q110</f>
        <v>0</v>
      </c>
      <c r="U148" s="27">
        <f>[1]data!R148-[1]data!R110</f>
        <v>0</v>
      </c>
      <c r="V148" s="27">
        <f>[1]data!S148-[1]data!S110</f>
        <v>-4.6530785919462581E-2</v>
      </c>
      <c r="W148" s="27">
        <f>[1]data!T148-[1]data!T110</f>
        <v>-5.8840163840743642E-2</v>
      </c>
      <c r="X148" s="27">
        <f>[1]data!U148-[1]data!U110</f>
        <v>-2.199039101508074E-2</v>
      </c>
      <c r="Y148" s="27">
        <f>[1]data!V148-[1]data!V110</f>
        <v>-2.7807787568620207E-2</v>
      </c>
      <c r="Z148" s="27">
        <f>[1]data!W148-[1]data!W110</f>
        <v>-2.454039490438209E-2</v>
      </c>
      <c r="AA148" s="27">
        <f>[1]data!X148-[1]data!X110</f>
        <v>-3.1032376272123408E-2</v>
      </c>
      <c r="AB148" s="27">
        <f>[1]data!Y148-[1]data!Y110</f>
        <v>0</v>
      </c>
      <c r="AC148" s="27">
        <f>[1]data!Z148-[1]data!Z110</f>
        <v>0</v>
      </c>
      <c r="AD148" s="14">
        <v>590.81421763174001</v>
      </c>
      <c r="AE148" s="15">
        <v>747.10978286638999</v>
      </c>
      <c r="AF148">
        <f>D148/(D148+H148)</f>
        <v>1.0645427535689018</v>
      </c>
      <c r="AG148">
        <f>(F148/(D148+H148))</f>
        <v>0.98803740632678949</v>
      </c>
      <c r="AH148">
        <f>(E148/(D148+H148))</f>
        <v>7.650534724211322E-2</v>
      </c>
      <c r="AI148">
        <f>(G148/(D148+H148))</f>
        <v>0</v>
      </c>
      <c r="AJ148">
        <f>(F148/(D148))</f>
        <v>0.92813313792646968</v>
      </c>
      <c r="AK148">
        <f>E148/D148</f>
        <v>7.1866862073531046E-2</v>
      </c>
      <c r="AL148">
        <f>(H148/(C148+H148))</f>
        <v>-6.4542753568901837E-2</v>
      </c>
      <c r="AM148">
        <f>(I148/(D148+H148))</f>
        <v>-3.0502824315642933E-2</v>
      </c>
      <c r="AN148">
        <f>(J148/(D148+H148))</f>
        <v>-3.4039929253259001E-2</v>
      </c>
      <c r="AO148">
        <f>(I148/H148)</f>
        <v>0.47259874469222923</v>
      </c>
      <c r="AP148">
        <f>J148/H148</f>
        <v>0.52740125530777138</v>
      </c>
      <c r="AQ148">
        <f>(D148+H148)/AD148</f>
        <v>9.1164632103786555E-3</v>
      </c>
    </row>
    <row r="149" spans="1:43" x14ac:dyDescent="0.35">
      <c r="A149" s="11" t="s">
        <v>61</v>
      </c>
      <c r="B149" s="24" t="s">
        <v>69</v>
      </c>
      <c r="C149" s="28">
        <f t="shared" si="12"/>
        <v>-2.4256874147586847</v>
      </c>
      <c r="D149" s="27">
        <f>[1]data!C149-[1]data!C111</f>
        <v>0.1488650164938079</v>
      </c>
      <c r="E149" s="27">
        <f>[1]data!D149-[1]data!D111</f>
        <v>0.46869556347929597</v>
      </c>
      <c r="F149" s="27">
        <f>[1]data!E149-[1]data!E111</f>
        <v>-0.31983054698548585</v>
      </c>
      <c r="G149" s="27">
        <f>[1]data!F149-[1]data!F111</f>
        <v>-2.5745524312524948</v>
      </c>
      <c r="H149" s="27">
        <f>[1]data!G149-[1]data!G111</f>
        <v>0</v>
      </c>
      <c r="I149" s="27">
        <f>[1]data!H149-[1]data!H111</f>
        <v>0</v>
      </c>
      <c r="J149" s="27">
        <f>[1]data!I149-[1]data!I111</f>
        <v>0</v>
      </c>
      <c r="K149" s="27">
        <f>[1]data!J149-[1]data!J111</f>
        <v>-1.1142321069096255</v>
      </c>
      <c r="L149" s="13">
        <f t="shared" si="13"/>
        <v>-0.92597817954465467</v>
      </c>
      <c r="M149" s="27">
        <f>[1]data!K149-[1]data!K111</f>
        <v>5.6827502229728211E-2</v>
      </c>
      <c r="N149" s="13">
        <f t="shared" si="14"/>
        <v>-0.94907152447264265</v>
      </c>
      <c r="O149" s="13">
        <f t="shared" si="15"/>
        <v>3.3734157301740175E-2</v>
      </c>
      <c r="P149" s="27">
        <f>[1]data!M149-[1]data!M111</f>
        <v>0.17891912288063327</v>
      </c>
      <c r="Q149" s="27">
        <f>[1]data!N149-[1]data!N111</f>
        <v>0.1062106479912665</v>
      </c>
      <c r="R149" s="27">
        <f>[1]data!O149-[1]data!O111</f>
        <v>-0.12209162065090506</v>
      </c>
      <c r="S149" s="27">
        <f>[1]data!P149-[1]data!P111</f>
        <v>-7.2476490689526329E-2</v>
      </c>
      <c r="T149" s="27">
        <f>[1]data!Q149-[1]data!Q111</f>
        <v>-0.98280568177438288</v>
      </c>
      <c r="U149" s="27">
        <f>[1]data!R149-[1]data!R111</f>
        <v>-0.58341683454594284</v>
      </c>
      <c r="V149" s="27">
        <f>[1]data!S149-[1]data!S111</f>
        <v>0</v>
      </c>
      <c r="W149" s="27">
        <f>[1]data!T149-[1]data!T111</f>
        <v>0</v>
      </c>
      <c r="X149" s="27">
        <f>[1]data!U149-[1]data!U111</f>
        <v>0</v>
      </c>
      <c r="Y149" s="27">
        <f>[1]data!V149-[1]data!V111</f>
        <v>0</v>
      </c>
      <c r="Z149" s="27">
        <f>[1]data!W149-[1]data!W111</f>
        <v>0</v>
      </c>
      <c r="AA149" s="27">
        <f>[1]data!X149-[1]data!X111</f>
        <v>0</v>
      </c>
      <c r="AB149" s="27">
        <f>[1]data!Y149-[1]data!Y111</f>
        <v>-0.42534524921424066</v>
      </c>
      <c r="AC149" s="27">
        <f>[1]data!Z149-[1]data!Z111</f>
        <v>-0.252495059285478</v>
      </c>
      <c r="AD149" s="14">
        <v>441.28867711817003</v>
      </c>
      <c r="AE149" s="15">
        <v>261.95945739796002</v>
      </c>
      <c r="AF149">
        <f>D149/(D149+H149)</f>
        <v>1</v>
      </c>
      <c r="AG149">
        <f>(F149/(D149+H149))</f>
        <v>-2.148460091688428</v>
      </c>
      <c r="AH149">
        <f>(E149/(D149+H149))</f>
        <v>3.1484600916884427</v>
      </c>
      <c r="AI149">
        <f>(G149/(D149+H149))</f>
        <v>-17.294543015481306</v>
      </c>
      <c r="AJ149">
        <f>(F149/(D149))</f>
        <v>-2.148460091688428</v>
      </c>
      <c r="AK149">
        <f>E149/D149</f>
        <v>3.1484600916884427</v>
      </c>
      <c r="AL149">
        <f>(H149/(C149+H149))</f>
        <v>0</v>
      </c>
      <c r="AM149">
        <f>(I149/(D149+H149))</f>
        <v>0</v>
      </c>
      <c r="AN149">
        <f>(J149/(D149+H149))</f>
        <v>0</v>
      </c>
      <c r="AO149" t="e">
        <f>(I149/H149)</f>
        <v>#DIV/0!</v>
      </c>
      <c r="AP149" t="e">
        <f>J149/H149</f>
        <v>#DIV/0!</v>
      </c>
      <c r="AQ149">
        <f>(D149+H149)/AD149</f>
        <v>3.3734157301739298E-4</v>
      </c>
    </row>
    <row r="150" spans="1:43" x14ac:dyDescent="0.35">
      <c r="A150" s="11" t="s">
        <v>62</v>
      </c>
      <c r="B150" s="24" t="s">
        <v>69</v>
      </c>
      <c r="C150" s="28">
        <f t="shared" si="12"/>
        <v>4.0123179589086631</v>
      </c>
      <c r="D150" s="27">
        <f>[1]data!C150-[1]data!C112</f>
        <v>4.0098421863494309</v>
      </c>
      <c r="E150" s="27">
        <f>[1]data!D150-[1]data!D112</f>
        <v>0.54698847303368625</v>
      </c>
      <c r="F150" s="27">
        <f>[1]data!E150-[1]data!E112</f>
        <v>3.4628537133157442</v>
      </c>
      <c r="G150" s="27">
        <f>[1]data!F150-[1]data!F112</f>
        <v>2.4757725592319257E-3</v>
      </c>
      <c r="H150" s="27">
        <f>[1]data!G150-[1]data!G112</f>
        <v>8.4973082357751313</v>
      </c>
      <c r="I150" s="27">
        <f>[1]data!H150-[1]data!H112</f>
        <v>7.6160721771276307</v>
      </c>
      <c r="J150" s="27">
        <f>[1]data!I150-[1]data!I112</f>
        <v>0.88123605864749965</v>
      </c>
      <c r="K150" s="27">
        <f>[1]data!J150-[1]data!J112</f>
        <v>0</v>
      </c>
      <c r="L150" s="13">
        <f t="shared" si="13"/>
        <v>1.2483658888742728</v>
      </c>
      <c r="M150" s="27">
        <f>[1]data!K150-[1]data!K112</f>
        <v>1.2475955934881124</v>
      </c>
      <c r="N150" s="13">
        <f t="shared" si="14"/>
        <v>0.58151199967298994</v>
      </c>
      <c r="O150" s="13">
        <f t="shared" si="15"/>
        <v>0.58074170428682947</v>
      </c>
      <c r="P150" s="27">
        <f>[1]data!M150-[1]data!M112</f>
        <v>0.17018635071693311</v>
      </c>
      <c r="Q150" s="27">
        <f>[1]data!N150-[1]data!N112</f>
        <v>7.9219830430292071E-2</v>
      </c>
      <c r="R150" s="27">
        <f>[1]data!O150-[1]data!O112</f>
        <v>1.0774092427711794</v>
      </c>
      <c r="S150" s="27">
        <f>[1]data!P150-[1]data!P112</f>
        <v>0.50152187385653735</v>
      </c>
      <c r="T150" s="27">
        <f>[1]data!Q150-[1]data!Q112</f>
        <v>7.7029538616046195E-4</v>
      </c>
      <c r="U150" s="27">
        <f>[1]data!R150-[1]data!R112</f>
        <v>3.5856383085836052E-4</v>
      </c>
      <c r="V150" s="27">
        <f>[1]data!S150-[1]data!S112</f>
        <v>2.6437958948989615</v>
      </c>
      <c r="W150" s="27">
        <f>[1]data!T150-[1]data!T112</f>
        <v>1.230657227232965</v>
      </c>
      <c r="X150" s="27">
        <f>[1]data!U150-[1]data!U112</f>
        <v>2.3696139763850126</v>
      </c>
      <c r="Y150" s="27">
        <f>[1]data!V150-[1]data!V112</f>
        <v>1.1030286306961337</v>
      </c>
      <c r="Z150" s="27">
        <f>[1]data!W150-[1]data!W112</f>
        <v>0.27418191851394846</v>
      </c>
      <c r="AA150" s="27">
        <f>[1]data!X150-[1]data!X112</f>
        <v>0.12762859653683134</v>
      </c>
      <c r="AB150" s="27">
        <f>[1]data!Y150-[1]data!Y112</f>
        <v>0</v>
      </c>
      <c r="AC150" s="27">
        <f>[1]data!Z150-[1]data!Z112</f>
        <v>0</v>
      </c>
      <c r="AD150" s="14">
        <v>690.46912883131995</v>
      </c>
      <c r="AE150" s="15">
        <v>321.40560669490998</v>
      </c>
      <c r="AF150">
        <f>D150/(D150+H150)</f>
        <v>0.32060397860540707</v>
      </c>
      <c r="AG150">
        <f>(F150/(D150+H150))</f>
        <v>0.27686991812220618</v>
      </c>
      <c r="AH150">
        <f>(E150/(D150+H150))</f>
        <v>4.3734060483200818E-2</v>
      </c>
      <c r="AI150">
        <f>(G150/(D150+H150))</f>
        <v>1.9794857147095634E-4</v>
      </c>
      <c r="AJ150">
        <f>(F150/(D150))</f>
        <v>0.86358852852219947</v>
      </c>
      <c r="AK150">
        <f>E150/D150</f>
        <v>0.13641147147780042</v>
      </c>
      <c r="AL150">
        <f>(H150/(C150+H150))</f>
        <v>0.67926156253863335</v>
      </c>
      <c r="AM150">
        <f>(I150/(D150+H150))</f>
        <v>0.60893744138993933</v>
      </c>
      <c r="AN150">
        <f>(J150/(D150+H150))</f>
        <v>7.0458580004653534E-2</v>
      </c>
      <c r="AO150">
        <f>(I150/H150)</f>
        <v>0.89629232761766309</v>
      </c>
      <c r="AP150">
        <f>J150/H150</f>
        <v>0.1037076723823368</v>
      </c>
      <c r="AQ150">
        <f>(D150+H150)/AD150</f>
        <v>1.8113989315197945E-2</v>
      </c>
    </row>
    <row r="151" spans="1:43" x14ac:dyDescent="0.35">
      <c r="A151" s="11" t="s">
        <v>63</v>
      </c>
      <c r="B151" s="24" t="s">
        <v>69</v>
      </c>
      <c r="C151" s="28">
        <f t="shared" si="12"/>
        <v>-7.3367331368357214E-3</v>
      </c>
      <c r="D151" s="27">
        <f>[1]data!C151-[1]data!C113</f>
        <v>-4.9648577665710736E-3</v>
      </c>
      <c r="E151" s="27">
        <f>[1]data!D151-[1]data!D113</f>
        <v>-1.145736407670267E-3</v>
      </c>
      <c r="F151" s="27">
        <f>[1]data!E151-[1]data!E113</f>
        <v>-3.8191213589007234E-3</v>
      </c>
      <c r="G151" s="27">
        <f>[1]data!F151-[1]data!F113</f>
        <v>-2.3718753702647311E-3</v>
      </c>
      <c r="H151" s="27">
        <f>[1]data!G151-[1]data!G113</f>
        <v>0</v>
      </c>
      <c r="I151" s="27">
        <f>[1]data!H151-[1]data!H113</f>
        <v>0</v>
      </c>
      <c r="J151" s="27">
        <f>[1]data!I151-[1]data!I113</f>
        <v>0</v>
      </c>
      <c r="K151" s="27">
        <f>[1]data!J151-[1]data!J113</f>
        <v>0</v>
      </c>
      <c r="L151" s="13">
        <f t="shared" si="13"/>
        <v>-1.1395540400222948E-2</v>
      </c>
      <c r="M151" s="27">
        <f>[1]data!K151-[1]data!K113</f>
        <v>-7.7115026817946575E-3</v>
      </c>
      <c r="N151" s="13">
        <f t="shared" si="14"/>
        <v>-9.1259624769604031E-3</v>
      </c>
      <c r="O151" s="13">
        <f t="shared" si="15"/>
        <v>-5.4419247585321129E-3</v>
      </c>
      <c r="P151" s="27">
        <f>[1]data!M151-[1]data!M113</f>
        <v>-1.7795775419526816E-3</v>
      </c>
      <c r="Q151" s="27">
        <f>[1]data!N151-[1]data!N113</f>
        <v>-1.2558287904305132E-3</v>
      </c>
      <c r="R151" s="27">
        <f>[1]data!O151-[1]data!O113</f>
        <v>-5.9319251398419759E-3</v>
      </c>
      <c r="S151" s="27">
        <f>[1]data!P151-[1]data!P113</f>
        <v>-4.1860959681015997E-3</v>
      </c>
      <c r="T151" s="27">
        <f>[1]data!Q151-[1]data!Q113</f>
        <v>-3.6840377184282902E-3</v>
      </c>
      <c r="U151" s="27">
        <f>[1]data!R151-[1]data!R113</f>
        <v>-2.5997859170315274E-3</v>
      </c>
      <c r="V151" s="27">
        <f>[1]data!S151-[1]data!S113</f>
        <v>0</v>
      </c>
      <c r="W151" s="27">
        <f>[1]data!T151-[1]data!T113</f>
        <v>0</v>
      </c>
      <c r="X151" s="27">
        <f>[1]data!U151-[1]data!U113</f>
        <v>0</v>
      </c>
      <c r="Y151" s="27">
        <f>[1]data!V151-[1]data!V113</f>
        <v>0</v>
      </c>
      <c r="Z151" s="27">
        <f>[1]data!W151-[1]data!W113</f>
        <v>0</v>
      </c>
      <c r="AA151" s="27">
        <f>[1]data!X151-[1]data!X113</f>
        <v>0</v>
      </c>
      <c r="AB151" s="27">
        <f>[1]data!Y151-[1]data!Y113</f>
        <v>0</v>
      </c>
      <c r="AC151" s="27">
        <f>[1]data!Z151-[1]data!Z113</f>
        <v>0</v>
      </c>
      <c r="AD151" s="14">
        <v>91.233487908610002</v>
      </c>
      <c r="AE151" s="15">
        <v>64.38249419652</v>
      </c>
      <c r="AF151">
        <f>D151/(D151+H151)</f>
        <v>1</v>
      </c>
      <c r="AG151">
        <f>(F151/(D151+H151))</f>
        <v>0.76923076923074862</v>
      </c>
      <c r="AH151">
        <f>(E151/(D151+H151))</f>
        <v>0.23076923076923464</v>
      </c>
      <c r="AI151">
        <f>(G151/(D151+H151))</f>
        <v>0.47773279352226877</v>
      </c>
      <c r="AJ151">
        <f>(F151/(D151))</f>
        <v>0.76923076923074862</v>
      </c>
      <c r="AK151">
        <f>E151/D151</f>
        <v>0.23076923076923464</v>
      </c>
      <c r="AL151">
        <f>(H151/(C151+H151))</f>
        <v>0</v>
      </c>
      <c r="AM151">
        <f>(I151/(D151+H151))</f>
        <v>0</v>
      </c>
      <c r="AN151">
        <f>(J151/(D151+H151))</f>
        <v>0</v>
      </c>
      <c r="AO151" t="e">
        <f>(I151/H151)</f>
        <v>#DIV/0!</v>
      </c>
      <c r="AP151" t="e">
        <f>J151/H151</f>
        <v>#DIV/0!</v>
      </c>
      <c r="AQ151">
        <f>(D151+H151)/AD151</f>
        <v>-5.4419247585321394E-5</v>
      </c>
    </row>
    <row r="152" spans="1:43" x14ac:dyDescent="0.35">
      <c r="A152" s="11" t="s">
        <v>64</v>
      </c>
      <c r="B152" s="24" t="s">
        <v>69</v>
      </c>
      <c r="C152" s="28">
        <f t="shared" si="12"/>
        <v>-0.19161498549824252</v>
      </c>
      <c r="D152" s="27">
        <f>[1]data!C152-[1]data!C114</f>
        <v>-0.19161498549824252</v>
      </c>
      <c r="E152" s="27">
        <f>[1]data!D152-[1]data!D114</f>
        <v>0</v>
      </c>
      <c r="F152" s="27">
        <f>[1]data!E152-[1]data!E114</f>
        <v>-0.19161498549824252</v>
      </c>
      <c r="G152" s="27">
        <f>[1]data!F152-[1]data!F114</f>
        <v>0</v>
      </c>
      <c r="H152" s="27">
        <f>[1]data!G152-[1]data!G114</f>
        <v>0</v>
      </c>
      <c r="I152" s="27">
        <f>[1]data!H152-[1]data!H114</f>
        <v>0</v>
      </c>
      <c r="J152" s="27">
        <f>[1]data!I152-[1]data!I114</f>
        <v>0</v>
      </c>
      <c r="K152" s="27">
        <f>[1]data!J152-[1]data!J114</f>
        <v>0</v>
      </c>
      <c r="L152" s="13">
        <f t="shared" si="13"/>
        <v>-0.13001073313003442</v>
      </c>
      <c r="M152" s="27">
        <f>[1]data!K152-[1]data!K114</f>
        <v>-0.13001073313003442</v>
      </c>
      <c r="N152" s="13">
        <f t="shared" si="14"/>
        <v>-6.1833593114673624E-2</v>
      </c>
      <c r="O152" s="13">
        <f t="shared" si="15"/>
        <v>-6.1833593114673624E-2</v>
      </c>
      <c r="P152" s="27">
        <f>[1]data!M152-[1]data!M114</f>
        <v>0</v>
      </c>
      <c r="Q152" s="27">
        <f>[1]data!N152-[1]data!N114</f>
        <v>0</v>
      </c>
      <c r="R152" s="27">
        <f>[1]data!O152-[1]data!O114</f>
        <v>-0.13001073313003442</v>
      </c>
      <c r="S152" s="27">
        <f>[1]data!P152-[1]data!P114</f>
        <v>-6.1833593114673624E-2</v>
      </c>
      <c r="T152" s="27">
        <f>[1]data!Q152-[1]data!Q114</f>
        <v>0</v>
      </c>
      <c r="U152" s="27">
        <f>[1]data!R152-[1]data!R114</f>
        <v>0</v>
      </c>
      <c r="V152" s="27">
        <f>[1]data!S152-[1]data!S114</f>
        <v>0</v>
      </c>
      <c r="W152" s="27">
        <f>[1]data!T152-[1]data!T114</f>
        <v>0</v>
      </c>
      <c r="X152" s="27">
        <f>[1]data!U152-[1]data!U114</f>
        <v>0</v>
      </c>
      <c r="Y152" s="27">
        <f>[1]data!V152-[1]data!V114</f>
        <v>0</v>
      </c>
      <c r="Z152" s="27">
        <f>[1]data!W152-[1]data!W114</f>
        <v>0</v>
      </c>
      <c r="AA152" s="27">
        <f>[1]data!X152-[1]data!X114</f>
        <v>0</v>
      </c>
      <c r="AB152" s="27">
        <f>[1]data!Y152-[1]data!Y114</f>
        <v>0</v>
      </c>
      <c r="AC152" s="27">
        <f>[1]data!Z152-[1]data!Z114</f>
        <v>0</v>
      </c>
      <c r="AD152" s="14">
        <v>309.88816247970999</v>
      </c>
      <c r="AE152" s="15">
        <v>147.38397429586999</v>
      </c>
      <c r="AF152">
        <f>D152/(D152+H152)</f>
        <v>1</v>
      </c>
      <c r="AG152">
        <f>(F152/(D152+H152))</f>
        <v>1</v>
      </c>
      <c r="AH152">
        <f>(E152/(D152+H152))</f>
        <v>0</v>
      </c>
      <c r="AI152">
        <f>(G152/(D152+H152))</f>
        <v>0</v>
      </c>
      <c r="AJ152">
        <f>(F152/(D152))</f>
        <v>1</v>
      </c>
      <c r="AK152">
        <f>E152/D152</f>
        <v>0</v>
      </c>
      <c r="AL152">
        <f>(H152/(C152+H152))</f>
        <v>0</v>
      </c>
      <c r="AM152">
        <f>(I152/(D152+H152))</f>
        <v>0</v>
      </c>
      <c r="AN152">
        <f>(J152/(D152+H152))</f>
        <v>0</v>
      </c>
      <c r="AO152" t="e">
        <f>(I152/H152)</f>
        <v>#DIV/0!</v>
      </c>
      <c r="AP152" t="e">
        <f>J152/H152</f>
        <v>#DIV/0!</v>
      </c>
      <c r="AQ152">
        <f>(D152+H152)/AD152</f>
        <v>-6.1833593114673613E-4</v>
      </c>
    </row>
    <row r="153" spans="1:43" x14ac:dyDescent="0.35">
      <c r="A153" s="11" t="s">
        <v>65</v>
      </c>
      <c r="B153" s="24" t="s">
        <v>69</v>
      </c>
      <c r="C153" s="28">
        <f t="shared" si="12"/>
        <v>5.9891531238189888</v>
      </c>
      <c r="D153" s="27">
        <f>[1]data!C153-[1]data!C115</f>
        <v>5.989153123818987</v>
      </c>
      <c r="E153" s="27">
        <f>[1]data!D153-[1]data!D115</f>
        <v>-4.1489705375412633E-3</v>
      </c>
      <c r="F153" s="27">
        <f>[1]data!E153-[1]data!E115</f>
        <v>5.9933020943565296</v>
      </c>
      <c r="G153" s="27">
        <f>[1]data!F153-[1]data!F115</f>
        <v>0</v>
      </c>
      <c r="H153" s="27">
        <f>[1]data!G153-[1]data!G115</f>
        <v>2.4919180275215354</v>
      </c>
      <c r="I153" s="27">
        <f>[1]data!H153-[1]data!H115</f>
        <v>2.5280384769071915</v>
      </c>
      <c r="J153" s="27">
        <f>[1]data!I153-[1]data!I115</f>
        <v>-3.6120449385656173E-2</v>
      </c>
      <c r="K153" s="27">
        <f>[1]data!J153-[1]data!J115</f>
        <v>0</v>
      </c>
      <c r="L153" s="13">
        <f t="shared" si="13"/>
        <v>1.047965084417287</v>
      </c>
      <c r="M153" s="27">
        <f>[1]data!K153-[1]data!K115</f>
        <v>1.047965084417287</v>
      </c>
      <c r="N153" s="13">
        <f t="shared" si="14"/>
        <v>0.49276291212012446</v>
      </c>
      <c r="O153" s="13">
        <f t="shared" si="15"/>
        <v>0.49276291212012446</v>
      </c>
      <c r="P153" s="27">
        <f>[1]data!M153-[1]data!M115</f>
        <v>-7.2597513700684013E-4</v>
      </c>
      <c r="Q153" s="27">
        <f>[1]data!N153-[1]data!N115</f>
        <v>-3.4136024945638499E-4</v>
      </c>
      <c r="R153" s="27">
        <f>[1]data!O153-[1]data!O115</f>
        <v>1.0486910595542938</v>
      </c>
      <c r="S153" s="27">
        <f>[1]data!P153-[1]data!P115</f>
        <v>0.49310427236958088</v>
      </c>
      <c r="T153" s="27">
        <f>[1]data!Q153-[1]data!Q115</f>
        <v>0</v>
      </c>
      <c r="U153" s="27">
        <f>[1]data!R153-[1]data!R115</f>
        <v>0</v>
      </c>
      <c r="V153" s="27">
        <f>[1]data!S153-[1]data!S115</f>
        <v>0.43602877269689433</v>
      </c>
      <c r="W153" s="27">
        <f>[1]data!T153-[1]data!T115</f>
        <v>0.20502477706283084</v>
      </c>
      <c r="X153" s="27">
        <f>[1]data!U153-[1]data!U115</f>
        <v>0.44234902683083654</v>
      </c>
      <c r="Y153" s="27">
        <f>[1]data!V153-[1]data!V115</f>
        <v>0.20799661923456947</v>
      </c>
      <c r="Z153" s="27">
        <f>[1]data!W153-[1]data!W115</f>
        <v>-6.3202541339419938E-3</v>
      </c>
      <c r="AA153" s="27">
        <f>[1]data!X153-[1]data!X115</f>
        <v>-2.9718421717381815E-3</v>
      </c>
      <c r="AB153" s="27">
        <f>[1]data!Y153-[1]data!Y115</f>
        <v>0</v>
      </c>
      <c r="AC153" s="27">
        <f>[1]data!Z153-[1]data!Z115</f>
        <v>0</v>
      </c>
      <c r="AD153" s="14">
        <v>1215.4228689920101</v>
      </c>
      <c r="AE153" s="15">
        <v>571.50311712429004</v>
      </c>
      <c r="AF153">
        <f>D153/(D153+H153)</f>
        <v>0.70617885606022046</v>
      </c>
      <c r="AG153">
        <f>(F153/(D153+H153))</f>
        <v>0.70666805966003776</v>
      </c>
      <c r="AH153">
        <f>(E153/(D153+H153))</f>
        <v>-4.8920359981716166E-4</v>
      </c>
      <c r="AI153">
        <f>(G153/(D153+H153))</f>
        <v>0</v>
      </c>
      <c r="AJ153">
        <f>(F153/(D153))</f>
        <v>1.0006927474472211</v>
      </c>
      <c r="AK153">
        <f>E153/D153</f>
        <v>-6.9274744722099706E-4</v>
      </c>
      <c r="AL153">
        <f>(H153/(C153+H153))</f>
        <v>0.29382114393977948</v>
      </c>
      <c r="AM153">
        <f>(I153/(D153+H153))</f>
        <v>0.2980800929264234</v>
      </c>
      <c r="AN153">
        <f>(J153/(D153+H153))</f>
        <v>-4.258948986643858E-3</v>
      </c>
      <c r="AO153">
        <f>(I153/H153)</f>
        <v>1.0144950391572798</v>
      </c>
      <c r="AP153">
        <f>J153/H153</f>
        <v>-1.4495039157279831E-2</v>
      </c>
      <c r="AQ153">
        <f>(D153+H153)/AD153</f>
        <v>6.9778768918295504E-3</v>
      </c>
    </row>
    <row r="154" spans="1:43" x14ac:dyDescent="0.35">
      <c r="A154" s="11" t="s">
        <v>28</v>
      </c>
      <c r="B154" s="24" t="s">
        <v>70</v>
      </c>
      <c r="C154" s="28">
        <f t="shared" si="12"/>
        <v>0.83038838202105758</v>
      </c>
      <c r="D154" s="27">
        <f>[1]data!C154-[1]data!C116</f>
        <v>0.8303883820210558</v>
      </c>
      <c r="E154" s="27">
        <f>[1]data!D154-[1]data!D116</f>
        <v>9.8710831084147799E-5</v>
      </c>
      <c r="F154" s="27">
        <f>[1]data!E154-[1]data!E116</f>
        <v>0.83028967118997343</v>
      </c>
      <c r="G154" s="27">
        <f>[1]data!F154-[1]data!F116</f>
        <v>0</v>
      </c>
      <c r="H154" s="27">
        <f>[1]data!G154-[1]data!G116</f>
        <v>2.0812524626023787E-4</v>
      </c>
      <c r="I154" s="27">
        <f>[1]data!H154-[1]data!H116</f>
        <v>8.9196534112545578E-5</v>
      </c>
      <c r="J154" s="27">
        <f>[1]data!I154-[1]data!I116</f>
        <v>1.1892871214769229E-4</v>
      </c>
      <c r="K154" s="27">
        <f>[1]data!J154-[1]data!J116</f>
        <v>0</v>
      </c>
      <c r="L154" s="13">
        <f t="shared" si="13"/>
        <v>5.5552794872685718E-2</v>
      </c>
      <c r="M154" s="27">
        <f>[1]data!K154-[1]data!K116</f>
        <v>5.5552794872685496E-2</v>
      </c>
      <c r="N154" s="13">
        <f t="shared" si="14"/>
        <v>6.7703036362787405E-2</v>
      </c>
      <c r="O154" s="13">
        <f t="shared" si="15"/>
        <v>6.7703036362787405E-2</v>
      </c>
      <c r="P154" s="27">
        <f>[1]data!M154-[1]data!M116</f>
        <v>6.6037322652423569E-6</v>
      </c>
      <c r="Q154" s="27">
        <f>[1]data!N154-[1]data!N116</f>
        <v>8.0480689891304635E-6</v>
      </c>
      <c r="R154" s="27">
        <f>[1]data!O154-[1]data!O116</f>
        <v>5.5546191140420476E-2</v>
      </c>
      <c r="S154" s="27">
        <f>[1]data!P154-[1]data!P116</f>
        <v>6.7694988293798275E-2</v>
      </c>
      <c r="T154" s="27">
        <f>[1]data!Q154-[1]data!Q116</f>
        <v>0</v>
      </c>
      <c r="U154" s="27">
        <f>[1]data!R154-[1]data!R116</f>
        <v>0</v>
      </c>
      <c r="V154" s="27">
        <f>[1]data!S154-[1]data!S116</f>
        <v>1.3923531884341145E-5</v>
      </c>
      <c r="W154" s="27">
        <f>[1]data!T154-[1]data!T116</f>
        <v>1.6968820157892139E-5</v>
      </c>
      <c r="X154" s="27">
        <f>[1]data!U154-[1]data!U116</f>
        <v>5.9672279504319192E-6</v>
      </c>
      <c r="Y154" s="27">
        <f>[1]data!V154-[1]data!V116</f>
        <v>7.2723514963346503E-6</v>
      </c>
      <c r="Z154" s="27">
        <f>[1]data!W154-[1]data!W116</f>
        <v>7.9563039337982033E-6</v>
      </c>
      <c r="AA154" s="27">
        <f>[1]data!X154-[1]data!X116</f>
        <v>9.6964686615574891E-6</v>
      </c>
      <c r="AB154" s="27">
        <f>[1]data!Y154-[1]data!Y116</f>
        <v>0</v>
      </c>
      <c r="AC154" s="27">
        <f>[1]data!Z154-[1]data!Z116</f>
        <v>0</v>
      </c>
      <c r="AD154" s="14">
        <v>1226.51571721458</v>
      </c>
      <c r="AE154" s="15">
        <v>1494.77336635199</v>
      </c>
      <c r="AF154">
        <f>D154/(D154+H154)</f>
        <v>0.9997494267740844</v>
      </c>
      <c r="AG154">
        <f>(F154/(D154+H154))</f>
        <v>0.99963058347265132</v>
      </c>
      <c r="AH154">
        <f>(E154/(D154+H154))</f>
        <v>1.1884330143514446E-4</v>
      </c>
      <c r="AI154">
        <f>(G154/(D154+H154))</f>
        <v>0</v>
      </c>
      <c r="AJ154">
        <f>(F154/(D154))</f>
        <v>0.99988112691215392</v>
      </c>
      <c r="AK154">
        <f>E154/D154</f>
        <v>1.1887308784824114E-4</v>
      </c>
      <c r="AL154">
        <f>(H154/(C154+H154))</f>
        <v>2.5057322591564326E-4</v>
      </c>
      <c r="AM154">
        <f>(I154/(D154+H154))</f>
        <v>1.0738852539364086E-4</v>
      </c>
      <c r="AN154">
        <f>(J154/(D154+H154))</f>
        <v>1.4318470052200296E-4</v>
      </c>
      <c r="AO154">
        <f>(I154/H154)</f>
        <v>0.42857142857630576</v>
      </c>
      <c r="AP154">
        <f>J154/H154</f>
        <v>0.5714285714236943</v>
      </c>
      <c r="AQ154">
        <f>(D154+H154)/AD154</f>
        <v>6.7720005182942344E-4</v>
      </c>
    </row>
    <row r="155" spans="1:43" x14ac:dyDescent="0.35">
      <c r="A155" s="11" t="s">
        <v>29</v>
      </c>
      <c r="B155" s="24" t="s">
        <v>70</v>
      </c>
      <c r="C155" s="28">
        <f t="shared" si="12"/>
        <v>0.64367895118510177</v>
      </c>
      <c r="D155" s="27">
        <f>[1]data!C155-[1]data!C117</f>
        <v>0.50948049435228882</v>
      </c>
      <c r="E155" s="27">
        <f>[1]data!D155-[1]data!D117</f>
        <v>8.3203043236338203E-2</v>
      </c>
      <c r="F155" s="27">
        <f>[1]data!E155-[1]data!E117</f>
        <v>0.42627745111596482</v>
      </c>
      <c r="G155" s="27">
        <f>[1]data!F155-[1]data!F117</f>
        <v>0.13419845683279874</v>
      </c>
      <c r="H155" s="27">
        <f>[1]data!G155-[1]data!G117</f>
        <v>0.13988215618101663</v>
      </c>
      <c r="I155" s="27">
        <f>[1]data!H155-[1]data!H117</f>
        <v>8.2097879474187785E-3</v>
      </c>
      <c r="J155" s="27">
        <f>[1]data!I155-[1]data!I117</f>
        <v>0.13167236823359474</v>
      </c>
      <c r="K155" s="27">
        <f>[1]data!J155-[1]data!J117</f>
        <v>0</v>
      </c>
      <c r="L155" s="13">
        <f t="shared" si="13"/>
        <v>3.7939232589042859E-2</v>
      </c>
      <c r="M155" s="27">
        <f>[1]data!K155-[1]data!K117</f>
        <v>3.0029409753456804E-2</v>
      </c>
      <c r="N155" s="13">
        <f t="shared" si="14"/>
        <v>3.74708322104782E-2</v>
      </c>
      <c r="O155" s="13">
        <f t="shared" si="15"/>
        <v>2.9561009374892144E-2</v>
      </c>
      <c r="P155" s="27">
        <f>[1]data!M155-[1]data!M117</f>
        <v>4.9040901580639229E-3</v>
      </c>
      <c r="Q155" s="27">
        <f>[1]data!N155-[1]data!N117</f>
        <v>4.8275958910961592E-3</v>
      </c>
      <c r="R155" s="27">
        <f>[1]data!O155-[1]data!O117</f>
        <v>2.5125319595392881E-2</v>
      </c>
      <c r="S155" s="27">
        <f>[1]data!P155-[1]data!P117</f>
        <v>2.4733413483795985E-2</v>
      </c>
      <c r="T155" s="27">
        <f>[1]data!Q155-[1]data!Q117</f>
        <v>7.9098228355860556E-3</v>
      </c>
      <c r="U155" s="27">
        <f>[1]data!R155-[1]data!R117</f>
        <v>7.7864449856388518E-3</v>
      </c>
      <c r="V155" s="27">
        <f>[1]data!S155-[1]data!S117</f>
        <v>8.2448270968589199E-3</v>
      </c>
      <c r="W155" s="27">
        <f>[1]data!T155-[1]data!T117</f>
        <v>8.1162238320890978E-3</v>
      </c>
      <c r="X155" s="27">
        <f>[1]data!U155-[1]data!U117</f>
        <v>4.8389504405943473E-4</v>
      </c>
      <c r="Y155" s="27">
        <f>[1]data!V155-[1]data!V117</f>
        <v>4.763472226508858E-4</v>
      </c>
      <c r="Z155" s="27">
        <f>[1]data!W155-[1]data!W117</f>
        <v>7.7609320527995962E-3</v>
      </c>
      <c r="AA155" s="27">
        <f>[1]data!X155-[1]data!X117</f>
        <v>7.6398766094385451E-3</v>
      </c>
      <c r="AB155" s="27">
        <f>[1]data!Y155-[1]data!Y117</f>
        <v>0</v>
      </c>
      <c r="AC155" s="27">
        <f>[1]data!Z155-[1]data!Z117</f>
        <v>0</v>
      </c>
      <c r="AD155" s="14">
        <v>1723.48815255626</v>
      </c>
      <c r="AE155" s="15">
        <v>1696.60508992738</v>
      </c>
      <c r="AF155">
        <f>D155/(D155+H155)</f>
        <v>0.7845854607342525</v>
      </c>
      <c r="AG155">
        <f>(F155/(D155+H155))</f>
        <v>0.656455142231962</v>
      </c>
      <c r="AH155">
        <f>(E155/(D155+H155))</f>
        <v>0.12813031850231241</v>
      </c>
      <c r="AI155">
        <f>(G155/(D155+H155))</f>
        <v>0.20666180403598031</v>
      </c>
      <c r="AJ155">
        <f>(F155/(D155))</f>
        <v>0.83669042454294262</v>
      </c>
      <c r="AK155">
        <f>E155/D155</f>
        <v>0.16330957545708524</v>
      </c>
      <c r="AL155">
        <f>(H155/(C155+H155))</f>
        <v>0.1785210558130175</v>
      </c>
      <c r="AM155">
        <f>(I155/(D155+H155))</f>
        <v>1.2642839776319571E-2</v>
      </c>
      <c r="AN155">
        <f>(J155/(D155+H155))</f>
        <v>0.2027716994894232</v>
      </c>
      <c r="AO155">
        <f>(I155/H155)</f>
        <v>5.8690744920994624E-2</v>
      </c>
      <c r="AP155">
        <f>J155/H155</f>
        <v>0.94130925507898311</v>
      </c>
      <c r="AQ155">
        <f>(D155+H155)/AD155</f>
        <v>3.7677233206980703E-4</v>
      </c>
    </row>
    <row r="156" spans="1:43" x14ac:dyDescent="0.35">
      <c r="A156" s="11" t="s">
        <v>30</v>
      </c>
      <c r="B156" s="24" t="s">
        <v>70</v>
      </c>
      <c r="C156" s="28">
        <f t="shared" si="12"/>
        <v>17.239811038462239</v>
      </c>
      <c r="D156" s="27">
        <f>[1]data!C156-[1]data!C118</f>
        <v>0.52520956131547791</v>
      </c>
      <c r="E156" s="27">
        <f>[1]data!D156-[1]data!D118</f>
        <v>1.1950101937878337</v>
      </c>
      <c r="F156" s="27">
        <f>[1]data!E156-[1]data!E118</f>
        <v>-0.66980063247234511</v>
      </c>
      <c r="G156" s="27">
        <f>[1]data!F156-[1]data!F118</f>
        <v>16.714601477146751</v>
      </c>
      <c r="H156" s="27">
        <f>[1]data!G156-[1]data!G118</f>
        <v>1.0730574657911234</v>
      </c>
      <c r="I156" s="27">
        <f>[1]data!H156-[1]data!H118</f>
        <v>6.3387360848420116E-2</v>
      </c>
      <c r="J156" s="27">
        <f>[1]data!I156-[1]data!I118</f>
        <v>1.0096701049426997</v>
      </c>
      <c r="K156" s="27">
        <f>[1]data!J156-[1]data!J118</f>
        <v>0</v>
      </c>
      <c r="L156" s="13">
        <f t="shared" si="13"/>
        <v>0.65880956822673997</v>
      </c>
      <c r="M156" s="27">
        <f>[1]data!K156-[1]data!K118</f>
        <v>2.0070584506226119E-2</v>
      </c>
      <c r="N156" s="13">
        <f t="shared" si="14"/>
        <v>0.65680548720625109</v>
      </c>
      <c r="O156" s="13">
        <f t="shared" si="15"/>
        <v>1.8066503485737129E-2</v>
      </c>
      <c r="P156" s="27">
        <f>[1]data!M156-[1]data!M118</f>
        <v>4.5666634514698212E-2</v>
      </c>
      <c r="Q156" s="27">
        <f>[1]data!N156-[1]data!N118</f>
        <v>4.1106745614995055E-2</v>
      </c>
      <c r="R156" s="27">
        <f>[1]data!O156-[1]data!O118</f>
        <v>-2.5596050008472204E-2</v>
      </c>
      <c r="S156" s="27">
        <f>[1]data!P156-[1]data!P118</f>
        <v>-2.3040242129257926E-2</v>
      </c>
      <c r="T156" s="27">
        <f>[1]data!Q156-[1]data!Q118</f>
        <v>0.63873898372051396</v>
      </c>
      <c r="U156" s="27">
        <f>[1]data!R156-[1]data!R118</f>
        <v>0.57495984096942188</v>
      </c>
      <c r="V156" s="27">
        <f>[1]data!S156-[1]data!S118</f>
        <v>4.1006280413581564E-2</v>
      </c>
      <c r="W156" s="27">
        <f>[1]data!T156-[1]data!T118</f>
        <v>3.691173556999594E-2</v>
      </c>
      <c r="X156" s="27">
        <f>[1]data!U156-[1]data!U118</f>
        <v>2.4223119231651102E-3</v>
      </c>
      <c r="Y156" s="27">
        <f>[1]data!V156-[1]data!V118</f>
        <v>2.1804400758647091E-3</v>
      </c>
      <c r="Z156" s="27">
        <f>[1]data!W156-[1]data!W118</f>
        <v>3.8583968490415899E-2</v>
      </c>
      <c r="AA156" s="27">
        <f>[1]data!X156-[1]data!X118</f>
        <v>3.4731295494131231E-2</v>
      </c>
      <c r="AB156" s="27">
        <f>[1]data!Y156-[1]data!Y118</f>
        <v>0</v>
      </c>
      <c r="AC156" s="27">
        <f>[1]data!Z156-[1]data!Z118</f>
        <v>0</v>
      </c>
      <c r="AD156" s="14">
        <v>2907.0902498102801</v>
      </c>
      <c r="AE156" s="15">
        <v>2616.8124857180101</v>
      </c>
      <c r="AF156">
        <f>D156/(D156+H156)</f>
        <v>0.32861189801699353</v>
      </c>
      <c r="AG156">
        <f>(F156/(D156+H156))</f>
        <v>-0.41907930346589745</v>
      </c>
      <c r="AH156">
        <f>(E156/(D156+H156))</f>
        <v>0.74769120148289769</v>
      </c>
      <c r="AI156">
        <f>(G156/(D156+H156))</f>
        <v>10.457953016402884</v>
      </c>
      <c r="AJ156">
        <f>(F156/(D156))</f>
        <v>-1.2753016734781331</v>
      </c>
      <c r="AK156">
        <f>E156/D156</f>
        <v>2.2753016734781535</v>
      </c>
      <c r="AL156">
        <f>(H156/(C156+H156))</f>
        <v>5.8595815589561742E-2</v>
      </c>
      <c r="AM156">
        <f>(I156/(D156+H156))</f>
        <v>3.9660056657223587E-2</v>
      </c>
      <c r="AN156">
        <f>(J156/(D156+H156))</f>
        <v>0.63172804532578064</v>
      </c>
      <c r="AO156">
        <f>(I156/H156)</f>
        <v>5.9071729957805276E-2</v>
      </c>
      <c r="AP156">
        <f>J156/H156</f>
        <v>0.94092827004219137</v>
      </c>
      <c r="AQ156">
        <f>(D156+H156)/AD156</f>
        <v>5.4978239055732993E-4</v>
      </c>
    </row>
    <row r="157" spans="1:43" x14ac:dyDescent="0.35">
      <c r="A157" s="11" t="s">
        <v>31</v>
      </c>
      <c r="B157" s="24" t="s">
        <v>70</v>
      </c>
      <c r="C157" s="28">
        <f t="shared" si="12"/>
        <v>1.1077695919685908</v>
      </c>
      <c r="D157" s="27">
        <f>[1]data!C157-[1]data!C119</f>
        <v>1.1077695919686334</v>
      </c>
      <c r="E157" s="27">
        <f>[1]data!D157-[1]data!D119</f>
        <v>0.12073783018730921</v>
      </c>
      <c r="F157" s="27">
        <f>[1]data!E157-[1]data!E119</f>
        <v>0.9870317617812816</v>
      </c>
      <c r="G157" s="27">
        <f>[1]data!F157-[1]data!F119</f>
        <v>0</v>
      </c>
      <c r="H157" s="27">
        <f>[1]data!G157-[1]data!G119</f>
        <v>2.795986302562369</v>
      </c>
      <c r="I157" s="27">
        <f>[1]data!H157-[1]data!H119</f>
        <v>0.30184457546828014</v>
      </c>
      <c r="J157" s="27">
        <f>[1]data!I157-[1]data!I119</f>
        <v>2.494141727094302</v>
      </c>
      <c r="K157" s="27">
        <f>[1]data!J157-[1]data!J119</f>
        <v>0</v>
      </c>
      <c r="L157" s="13">
        <f t="shared" si="13"/>
        <v>3.0794324993864031E-2</v>
      </c>
      <c r="M157" s="27">
        <f>[1]data!K157-[1]data!K119</f>
        <v>3.0794324993863142E-2</v>
      </c>
      <c r="N157" s="13">
        <f t="shared" si="14"/>
        <v>2.661765727158838E-2</v>
      </c>
      <c r="O157" s="13">
        <f t="shared" si="15"/>
        <v>2.661765727158838E-2</v>
      </c>
      <c r="P157" s="27">
        <f>[1]data!M157-[1]data!M119</f>
        <v>3.356329699603755E-3</v>
      </c>
      <c r="Q157" s="27">
        <f>[1]data!N157-[1]data!N119</f>
        <v>2.9011070595734711E-3</v>
      </c>
      <c r="R157" s="27">
        <f>[1]data!O157-[1]data!O119</f>
        <v>2.7437995294260276E-2</v>
      </c>
      <c r="S157" s="27">
        <f>[1]data!P157-[1]data!P119</f>
        <v>2.3716550212014909E-2</v>
      </c>
      <c r="T157" s="27">
        <f>[1]data!Q157-[1]data!Q119</f>
        <v>0</v>
      </c>
      <c r="U157" s="27">
        <f>[1]data!R157-[1]data!R119</f>
        <v>0</v>
      </c>
      <c r="V157" s="27">
        <f>[1]data!S157-[1]data!S119</f>
        <v>7.7724205018569137E-2</v>
      </c>
      <c r="W157" s="27">
        <f>[1]data!T157-[1]data!T119</f>
        <v>6.7182386732074661E-2</v>
      </c>
      <c r="X157" s="27">
        <f>[1]data!U157-[1]data!U119</f>
        <v>8.3908242490089435E-3</v>
      </c>
      <c r="Y157" s="27">
        <f>[1]data!V157-[1]data!V119</f>
        <v>7.2527676489335668E-3</v>
      </c>
      <c r="Z157" s="27">
        <f>[1]data!W157-[1]data!W119</f>
        <v>6.9333380769560193E-2</v>
      </c>
      <c r="AA157" s="27">
        <f>[1]data!X157-[1]data!X119</f>
        <v>5.9929619083138874E-2</v>
      </c>
      <c r="AB157" s="27">
        <f>[1]data!Y157-[1]data!Y119</f>
        <v>0</v>
      </c>
      <c r="AC157" s="27">
        <f>[1]data!Z157-[1]data!Z119</f>
        <v>0</v>
      </c>
      <c r="AD157" s="14">
        <v>4161.7847155581303</v>
      </c>
      <c r="AE157" s="15">
        <v>3597.3173374942398</v>
      </c>
      <c r="AF157">
        <f>D157/(D157+H157)</f>
        <v>0.28377020026292421</v>
      </c>
      <c r="AG157">
        <f>(F157/(D157+H157))</f>
        <v>0.25284156808167013</v>
      </c>
      <c r="AH157">
        <f>(E157/(D157+H157))</f>
        <v>3.0928632181243153E-2</v>
      </c>
      <c r="AI157">
        <f>(G157/(D157+H157))</f>
        <v>0</v>
      </c>
      <c r="AJ157">
        <f>(F157/(D157))</f>
        <v>0.89100817438688951</v>
      </c>
      <c r="AK157">
        <f>E157/D157</f>
        <v>0.108991825613072</v>
      </c>
      <c r="AL157">
        <f>(H157/(C157+H157))</f>
        <v>0.71622979973708356</v>
      </c>
      <c r="AM157">
        <f>(I157/(D157+H157))</f>
        <v>7.7321580453109703E-2</v>
      </c>
      <c r="AN157">
        <f>(J157/(D157+H157))</f>
        <v>0.63890821928402064</v>
      </c>
      <c r="AO157">
        <f>(I157/H157)</f>
        <v>0.1079563856202214</v>
      </c>
      <c r="AP157">
        <f>J157/H157</f>
        <v>0.8920436143798548</v>
      </c>
      <c r="AQ157">
        <f>(D157+H157)/AD157</f>
        <v>9.3800044003657123E-4</v>
      </c>
    </row>
    <row r="158" spans="1:43" x14ac:dyDescent="0.35">
      <c r="A158" s="11" t="s">
        <v>32</v>
      </c>
      <c r="B158" s="24" t="s">
        <v>70</v>
      </c>
      <c r="C158" s="28">
        <f t="shared" si="12"/>
        <v>32.315087106731255</v>
      </c>
      <c r="D158" s="27">
        <f>[1]data!C158-[1]data!C120</f>
        <v>32.293957986448447</v>
      </c>
      <c r="E158" s="27">
        <f>[1]data!D158-[1]data!D120</f>
        <v>0.59931616434672996</v>
      </c>
      <c r="F158" s="27">
        <f>[1]data!E158-[1]data!E120</f>
        <v>31.694641822101715</v>
      </c>
      <c r="G158" s="27">
        <f>[1]data!F158-[1]data!F120</f>
        <v>2.1129120282806113E-2</v>
      </c>
      <c r="H158" s="27">
        <f>[1]data!G158-[1]data!G120</f>
        <v>1.7574900406664256</v>
      </c>
      <c r="I158" s="27">
        <f>[1]data!H158-[1]data!H120</f>
        <v>9.8099487027312193E-3</v>
      </c>
      <c r="J158" s="27">
        <f>[1]data!I158-[1]data!I120</f>
        <v>1.7476800919636162</v>
      </c>
      <c r="K158" s="27">
        <f>[1]data!J158-[1]data!J120</f>
        <v>0</v>
      </c>
      <c r="L158" s="13">
        <f t="shared" si="13"/>
        <v>1.6846940425495656</v>
      </c>
      <c r="M158" s="27">
        <f>[1]data!K158-[1]data!K120</f>
        <v>1.6835925105330434</v>
      </c>
      <c r="N158" s="13">
        <f t="shared" si="14"/>
        <v>1.3825667806120547</v>
      </c>
      <c r="O158" s="13">
        <f t="shared" si="15"/>
        <v>1.381465248595533</v>
      </c>
      <c r="P158" s="27">
        <f>[1]data!M158-[1]data!M120</f>
        <v>3.1244364848649342E-2</v>
      </c>
      <c r="Q158" s="27">
        <f>[1]data!N158-[1]data!N120</f>
        <v>2.5637441354014301E-2</v>
      </c>
      <c r="R158" s="27">
        <f>[1]data!O158-[1]data!O120</f>
        <v>1.6523481456843943</v>
      </c>
      <c r="S158" s="27">
        <f>[1]data!P158-[1]data!P120</f>
        <v>1.3558278072415186</v>
      </c>
      <c r="T158" s="27">
        <f>[1]data!Q158-[1]data!Q120</f>
        <v>1.1015320165218556E-3</v>
      </c>
      <c r="U158" s="27">
        <f>[1]data!R158-[1]data!R120</f>
        <v>9.0385778715451615E-4</v>
      </c>
      <c r="V158" s="27">
        <f>[1]data!S158-[1]data!S120</f>
        <v>9.162385951712082E-2</v>
      </c>
      <c r="W158" s="27">
        <f>[1]data!T158-[1]data!T120</f>
        <v>7.5181599510106167E-2</v>
      </c>
      <c r="X158" s="27">
        <f>[1]data!U158-[1]data!U120</f>
        <v>5.114255790994171E-4</v>
      </c>
      <c r="Y158" s="27">
        <f>[1]data!V158-[1]data!V120</f>
        <v>4.1964825832171981E-4</v>
      </c>
      <c r="Z158" s="27">
        <f>[1]data!W158-[1]data!W120</f>
        <v>9.1112433938022264E-2</v>
      </c>
      <c r="AA158" s="27">
        <f>[1]data!X158-[1]data!X120</f>
        <v>7.4761951251783643E-2</v>
      </c>
      <c r="AB158" s="27">
        <f>[1]data!Y158-[1]data!Y120</f>
        <v>0</v>
      </c>
      <c r="AC158" s="27">
        <f>[1]data!Z158-[1]data!Z120</f>
        <v>0</v>
      </c>
      <c r="AD158" s="14">
        <v>2337.6598158571201</v>
      </c>
      <c r="AE158" s="15">
        <v>1918.15761738117</v>
      </c>
      <c r="AF158">
        <f>D158/(D158+H158)</f>
        <v>0.94838721574286788</v>
      </c>
      <c r="AG158">
        <f>(F158/(D158+H158))</f>
        <v>0.93078690212714443</v>
      </c>
      <c r="AH158">
        <f>(E158/(D158+H158))</f>
        <v>1.7600313615723468E-2</v>
      </c>
      <c r="AI158">
        <f>(G158/(D158+H158))</f>
        <v>6.2050577896074132E-4</v>
      </c>
      <c r="AJ158">
        <f>(F158/(D158))</f>
        <v>0.98144184851549554</v>
      </c>
      <c r="AK158">
        <f>E158/D158</f>
        <v>1.8558151484504369E-2</v>
      </c>
      <c r="AL158">
        <f>(H158/(C158+H158))</f>
        <v>5.1580778086246268E-2</v>
      </c>
      <c r="AM158">
        <f>(I158/(D158+H158))</f>
        <v>2.8809196880319574E-4</v>
      </c>
      <c r="AN158">
        <f>(J158/(D158+H158))</f>
        <v>5.1324692288326583E-2</v>
      </c>
      <c r="AO158">
        <f>(I158/H158)</f>
        <v>5.5817947616996844E-3</v>
      </c>
      <c r="AP158">
        <f>J158/H158</f>
        <v>0.99441820523825586</v>
      </c>
      <c r="AQ158">
        <f>(D158+H158)/AD158</f>
        <v>1.4566468481056411E-2</v>
      </c>
    </row>
    <row r="159" spans="1:43" x14ac:dyDescent="0.35">
      <c r="A159" s="11" t="s">
        <v>33</v>
      </c>
      <c r="B159" s="24" t="s">
        <v>70</v>
      </c>
      <c r="C159" s="28">
        <f t="shared" si="12"/>
        <v>18.613778543454202</v>
      </c>
      <c r="D159" s="27">
        <f>[1]data!C159-[1]data!C121</f>
        <v>18.419423468894934</v>
      </c>
      <c r="E159" s="27">
        <f>[1]data!D159-[1]data!D121</f>
        <v>7.1761873683442445E-2</v>
      </c>
      <c r="F159" s="27">
        <f>[1]data!E159-[1]data!E121</f>
        <v>18.347661595211434</v>
      </c>
      <c r="G159" s="27">
        <f>[1]data!F159-[1]data!F121</f>
        <v>0.19435507455932566</v>
      </c>
      <c r="H159" s="27">
        <f>[1]data!G159-[1]data!G121</f>
        <v>0.117360564253147</v>
      </c>
      <c r="I159" s="27">
        <f>[1]data!H159-[1]data!H121</f>
        <v>0</v>
      </c>
      <c r="J159" s="27">
        <f>[1]data!I159-[1]data!I121</f>
        <v>0.117360564253147</v>
      </c>
      <c r="K159" s="27">
        <f>[1]data!J159-[1]data!J121</f>
        <v>1.0233542195064729</v>
      </c>
      <c r="L159" s="13">
        <f t="shared" si="13"/>
        <v>0.40780942972854017</v>
      </c>
      <c r="M159" s="27">
        <f>[1]data!K159-[1]data!K121</f>
        <v>0.40355130277511719</v>
      </c>
      <c r="N159" s="13">
        <f t="shared" si="14"/>
        <v>0.35017239235289099</v>
      </c>
      <c r="O159" s="13">
        <f t="shared" si="15"/>
        <v>0.34591426539946979</v>
      </c>
      <c r="P159" s="27">
        <f>[1]data!M159-[1]data!M121</f>
        <v>1.5722314904937917E-3</v>
      </c>
      <c r="Q159" s="27">
        <f>[1]data!N159-[1]data!N121</f>
        <v>1.3476782191810255E-3</v>
      </c>
      <c r="R159" s="27">
        <f>[1]data!O159-[1]data!O121</f>
        <v>0.40197907128462518</v>
      </c>
      <c r="S159" s="27">
        <f>[1]data!P159-[1]data!P121</f>
        <v>0.34456658718028876</v>
      </c>
      <c r="T159" s="27">
        <f>[1]data!Q159-[1]data!Q121</f>
        <v>4.2581269534212041E-3</v>
      </c>
      <c r="U159" s="27">
        <f>[1]data!R159-[1]data!R121</f>
        <v>3.6499618436156567E-3</v>
      </c>
      <c r="V159" s="27">
        <f>[1]data!S159-[1]data!S121</f>
        <v>2.5712535834125916E-3</v>
      </c>
      <c r="W159" s="27">
        <f>[1]data!T159-[1]data!T121</f>
        <v>2.2040154209519436E-3</v>
      </c>
      <c r="X159" s="27">
        <f>[1]data!U159-[1]data!U121</f>
        <v>0</v>
      </c>
      <c r="Y159" s="27">
        <f>[1]data!V159-[1]data!V121</f>
        <v>0</v>
      </c>
      <c r="Z159" s="27">
        <f>[1]data!W159-[1]data!W121</f>
        <v>2.5712535834125916E-3</v>
      </c>
      <c r="AA159" s="27">
        <f>[1]data!X159-[1]data!X121</f>
        <v>2.2040154209519436E-3</v>
      </c>
      <c r="AB159" s="27">
        <f>[1]data!Y159-[1]data!Y121</f>
        <v>2.2420676150890273E-2</v>
      </c>
      <c r="AC159" s="27">
        <f>[1]data!Z159-[1]data!Z121</f>
        <v>1.9218452938108754E-2</v>
      </c>
      <c r="AD159" s="14">
        <v>5324.8522282316499</v>
      </c>
      <c r="AE159" s="15">
        <v>4564.3325500944502</v>
      </c>
      <c r="AF159">
        <f>D159/(D159+H159)</f>
        <v>0.99366877425753686</v>
      </c>
      <c r="AG159">
        <f>(F159/(D159+H159))</f>
        <v>0.98979745151055054</v>
      </c>
      <c r="AH159">
        <f>(E159/(D159+H159))</f>
        <v>3.8713227469832699E-3</v>
      </c>
      <c r="AI159">
        <f>(G159/(D159+H159))</f>
        <v>1.0484832439746484E-2</v>
      </c>
      <c r="AJ159">
        <f>(F159/(D159))</f>
        <v>0.99610401086631817</v>
      </c>
      <c r="AK159">
        <f>E159/D159</f>
        <v>3.8959891336787737E-3</v>
      </c>
      <c r="AL159">
        <f>(H159/(C159+H159))</f>
        <v>6.2655326821451215E-3</v>
      </c>
      <c r="AM159">
        <f>(I159/(D159+H159))</f>
        <v>0</v>
      </c>
      <c r="AN159">
        <f>(J159/(D159+H159))</f>
        <v>6.3312257424631493E-3</v>
      </c>
      <c r="AO159">
        <f>(I159/H159)</f>
        <v>0</v>
      </c>
      <c r="AP159">
        <f>J159/H159</f>
        <v>1</v>
      </c>
      <c r="AQ159">
        <f>(D159+H159)/AD159</f>
        <v>3.4811828082042437E-3</v>
      </c>
    </row>
    <row r="160" spans="1:43" x14ac:dyDescent="0.35">
      <c r="A160" s="11" t="s">
        <v>34</v>
      </c>
      <c r="B160" s="24" t="s">
        <v>70</v>
      </c>
      <c r="C160" s="28">
        <f t="shared" si="12"/>
        <v>29.05580927286822</v>
      </c>
      <c r="D160" s="27">
        <f>[1]data!C160-[1]data!C122</f>
        <v>17.39332324339199</v>
      </c>
      <c r="E160" s="27">
        <f>[1]data!D160-[1]data!D122</f>
        <v>4.1605968119116481</v>
      </c>
      <c r="F160" s="27">
        <f>[1]data!E160-[1]data!E122</f>
        <v>13.232726431480344</v>
      </c>
      <c r="G160" s="27">
        <f>[1]data!F160-[1]data!F122</f>
        <v>11.662486029476227</v>
      </c>
      <c r="H160" s="27">
        <f>[1]data!G160-[1]data!G122</f>
        <v>0.11272754204720314</v>
      </c>
      <c r="I160" s="27">
        <f>[1]data!H160-[1]data!H122</f>
        <v>0</v>
      </c>
      <c r="J160" s="27">
        <f>[1]data!I160-[1]data!I122</f>
        <v>0.11272754204720314</v>
      </c>
      <c r="K160" s="27">
        <f>[1]data!J160-[1]data!J122</f>
        <v>0.19874390346826942</v>
      </c>
      <c r="L160" s="13">
        <f t="shared" si="13"/>
        <v>1.7736997948833872</v>
      </c>
      <c r="M160" s="27">
        <f>[1]data!K160-[1]data!K122</f>
        <v>1.0617681847861138</v>
      </c>
      <c r="N160" s="13">
        <f t="shared" si="14"/>
        <v>1.5184701718660629</v>
      </c>
      <c r="O160" s="13">
        <f t="shared" si="15"/>
        <v>0.80653856176878969</v>
      </c>
      <c r="P160" s="27">
        <f>[1]data!M160-[1]data!M122</f>
        <v>0.25398190229625256</v>
      </c>
      <c r="Q160" s="27">
        <f>[1]data!N160-[1]data!N122</f>
        <v>0.1929293052179612</v>
      </c>
      <c r="R160" s="27">
        <f>[1]data!O160-[1]data!O122</f>
        <v>0.8077862824898614</v>
      </c>
      <c r="S160" s="27">
        <f>[1]data!P160-[1]data!P122</f>
        <v>0.61360925655082843</v>
      </c>
      <c r="T160" s="27">
        <f>[1]data!Q160-[1]data!Q122</f>
        <v>0.71193161009727324</v>
      </c>
      <c r="U160" s="27">
        <f>[1]data!R160-[1]data!R122</f>
        <v>0.5407962916135618</v>
      </c>
      <c r="V160" s="27">
        <f>[1]data!S160-[1]data!S122</f>
        <v>6.881405929158646E-3</v>
      </c>
      <c r="W160" s="27">
        <f>[1]data!T160-[1]data!T122</f>
        <v>5.2272419917809287E-3</v>
      </c>
      <c r="X160" s="27">
        <f>[1]data!U160-[1]data!U122</f>
        <v>0</v>
      </c>
      <c r="Y160" s="27">
        <f>[1]data!V160-[1]data!V122</f>
        <v>0</v>
      </c>
      <c r="Z160" s="27">
        <f>[1]data!W160-[1]data!W122</f>
        <v>6.881405929158646E-3</v>
      </c>
      <c r="AA160" s="27">
        <f>[1]data!X160-[1]data!X122</f>
        <v>5.2272419917809287E-3</v>
      </c>
      <c r="AB160" s="27">
        <f>[1]data!Y160-[1]data!Y122</f>
        <v>1.2132238944215779E-2</v>
      </c>
      <c r="AC160" s="27">
        <f>[1]data!Z160-[1]data!Z122</f>
        <v>9.2158709305030229E-3</v>
      </c>
      <c r="AD160" s="14">
        <v>2156.5395714307001</v>
      </c>
      <c r="AE160" s="15">
        <v>1638.14696019506</v>
      </c>
      <c r="AF160">
        <f>D160/(D160+H160)</f>
        <v>0.99356065263211935</v>
      </c>
      <c r="AG160">
        <f>(F160/(D160+H160))</f>
        <v>0.75589443865242167</v>
      </c>
      <c r="AH160">
        <f>(E160/(D160+H160))</f>
        <v>0.23766621397969781</v>
      </c>
      <c r="AI160">
        <f>(G160/(D160+H160))</f>
        <v>0.66619742924409886</v>
      </c>
      <c r="AJ160">
        <f>(F160/(D160))</f>
        <v>0.76079345196483228</v>
      </c>
      <c r="AK160">
        <f>E160/D160</f>
        <v>0.23920654803516789</v>
      </c>
      <c r="AL160">
        <f>(H160/(C160+H160))</f>
        <v>3.8646964968623164E-3</v>
      </c>
      <c r="AM160">
        <f>(I160/(D160+H160))</f>
        <v>0</v>
      </c>
      <c r="AN160">
        <f>(J160/(D160+H160))</f>
        <v>6.4393473678806667E-3</v>
      </c>
      <c r="AO160">
        <f>(I160/H160)</f>
        <v>0</v>
      </c>
      <c r="AP160">
        <f>J160/H160</f>
        <v>1</v>
      </c>
      <c r="AQ160">
        <f>(D160+H160)/AD160</f>
        <v>8.1176580376057083E-3</v>
      </c>
    </row>
    <row r="161" spans="1:43" x14ac:dyDescent="0.35">
      <c r="A161" s="11" t="s">
        <v>35</v>
      </c>
      <c r="B161" s="24" t="s">
        <v>70</v>
      </c>
      <c r="C161" s="28">
        <f t="shared" si="12"/>
        <v>43.971710118504802</v>
      </c>
      <c r="D161" s="27">
        <f>[1]data!C161-[1]data!C123</f>
        <v>44.535014678177703</v>
      </c>
      <c r="E161" s="27">
        <f>[1]data!D161-[1]data!D123</f>
        <v>11.083715197058423</v>
      </c>
      <c r="F161" s="27">
        <f>[1]data!E161-[1]data!E123</f>
        <v>33.451299481119278</v>
      </c>
      <c r="G161" s="27">
        <f>[1]data!F161-[1]data!F123</f>
        <v>-0.56330455967290338</v>
      </c>
      <c r="H161" s="27">
        <f>[1]data!G161-[1]data!G123</f>
        <v>0.45650671749305616</v>
      </c>
      <c r="I161" s="27">
        <f>[1]data!H161-[1]data!H123</f>
        <v>1.9287868372448447E-3</v>
      </c>
      <c r="J161" s="27">
        <f>[1]data!I161-[1]data!I123</f>
        <v>0.45457793065583019</v>
      </c>
      <c r="K161" s="27">
        <f>[1]data!J161-[1]data!J123</f>
        <v>3.0184457546866383E-2</v>
      </c>
      <c r="L161" s="13">
        <f t="shared" si="13"/>
        <v>3.3213306140612606</v>
      </c>
      <c r="M161" s="27">
        <f>[1]data!K161-[1]data!K123</f>
        <v>3.3638788950819376</v>
      </c>
      <c r="N161" s="13">
        <f t="shared" si="14"/>
        <v>2.4364012385833704</v>
      </c>
      <c r="O161" s="13">
        <f t="shared" si="15"/>
        <v>2.4789495196040479</v>
      </c>
      <c r="P161" s="27">
        <f>[1]data!M161-[1]data!M123</f>
        <v>0.83719015026513932</v>
      </c>
      <c r="Q161" s="27">
        <f>[1]data!N161-[1]data!N123</f>
        <v>0.61695209178047894</v>
      </c>
      <c r="R161" s="27">
        <f>[1]data!O161-[1]data!O123</f>
        <v>2.5266887448167985</v>
      </c>
      <c r="S161" s="27">
        <f>[1]data!P161-[1]data!P123</f>
        <v>1.8619974278235687</v>
      </c>
      <c r="T161" s="27">
        <f>[1]data!Q161-[1]data!Q123</f>
        <v>-4.2548281020677543E-2</v>
      </c>
      <c r="U161" s="27">
        <f>[1]data!R161-[1]data!R123</f>
        <v>-3.1355183728639387E-2</v>
      </c>
      <c r="V161" s="27">
        <f>[1]data!S161-[1]data!S123</f>
        <v>3.4481482122211915E-2</v>
      </c>
      <c r="W161" s="27">
        <f>[1]data!T161-[1]data!T123</f>
        <v>2.5410502639399368E-2</v>
      </c>
      <c r="X161" s="27">
        <f>[1]data!U161-[1]data!U123</f>
        <v>1.4568773316468719E-4</v>
      </c>
      <c r="Y161" s="27">
        <f>[1]data!V161-[1]data!V123</f>
        <v>1.0736193168808805E-4</v>
      </c>
      <c r="Z161" s="27">
        <f>[1]data!W161-[1]data!W123</f>
        <v>3.4335794389047436E-2</v>
      </c>
      <c r="AA161" s="27">
        <f>[1]data!X161-[1]data!X123</f>
        <v>2.5303140707711336E-2</v>
      </c>
      <c r="AB161" s="27">
        <f>[1]data!Y161-[1]data!Y123</f>
        <v>2.279933226364439E-3</v>
      </c>
      <c r="AC161" s="27">
        <f>[1]data!Z161-[1]data!Z123</f>
        <v>1.6801554254787243E-3</v>
      </c>
      <c r="AD161" s="14">
        <v>1796.5276955414199</v>
      </c>
      <c r="AE161" s="15">
        <v>1323.9184901480501</v>
      </c>
      <c r="AF161">
        <f>D161/(D161+H161)</f>
        <v>0.98985349454004057</v>
      </c>
      <c r="AG161">
        <f>(F161/(D161+H161))</f>
        <v>0.74350229650909472</v>
      </c>
      <c r="AH161">
        <f>(E161/(D161+H161))</f>
        <v>0.24635119803094582</v>
      </c>
      <c r="AI161">
        <f>(G161/(D161+H161))</f>
        <v>-1.2520238084838502E-2</v>
      </c>
      <c r="AJ161">
        <f>(F161/(D161))</f>
        <v>0.75112357597381729</v>
      </c>
      <c r="AK161">
        <f>E161/D161</f>
        <v>0.24887642402618265</v>
      </c>
      <c r="AL161">
        <f>(H161/(C161+H161))</f>
        <v>1.0275152819619189E-2</v>
      </c>
      <c r="AM161">
        <f>(I161/(D161+H161))</f>
        <v>4.2870007001595621E-5</v>
      </c>
      <c r="AN161">
        <f>(J161/(D161+H161))</f>
        <v>1.0103635452958282E-2</v>
      </c>
      <c r="AO161">
        <f>(I161/H161)</f>
        <v>4.2251006684785163E-3</v>
      </c>
      <c r="AP161">
        <f>J161/H161</f>
        <v>0.99577489933156282</v>
      </c>
      <c r="AQ161">
        <f>(D161+H161)/AD161</f>
        <v>2.5043600222434452E-2</v>
      </c>
    </row>
    <row r="162" spans="1:43" x14ac:dyDescent="0.35">
      <c r="A162" s="11" t="s">
        <v>36</v>
      </c>
      <c r="B162" s="24" t="s">
        <v>70</v>
      </c>
      <c r="C162" s="28">
        <f t="shared" si="12"/>
        <v>4.6599063126115858</v>
      </c>
      <c r="D162" s="27">
        <f>[1]data!C162-[1]data!C124</f>
        <v>-0.48813945339185238</v>
      </c>
      <c r="E162" s="27">
        <f>[1]data!D162-[1]data!D124</f>
        <v>59.277619120647586</v>
      </c>
      <c r="F162" s="27">
        <f>[1]data!E162-[1]data!E124</f>
        <v>-59.76575857403941</v>
      </c>
      <c r="G162" s="27">
        <f>[1]data!F162-[1]data!F124</f>
        <v>5.1480457660034098</v>
      </c>
      <c r="H162" s="27">
        <f>[1]data!G162-[1]data!G124</f>
        <v>0.78789688487375997</v>
      </c>
      <c r="I162" s="27">
        <f>[1]data!H162-[1]data!H124</f>
        <v>2.3105480494831632E-3</v>
      </c>
      <c r="J162" s="27">
        <f>[1]data!I162-[1]data!I124</f>
        <v>0.78558633682428081</v>
      </c>
      <c r="K162" s="27">
        <f>[1]data!J162-[1]data!J124</f>
        <v>0</v>
      </c>
      <c r="L162" s="13">
        <f t="shared" si="13"/>
        <v>0.14758737508719988</v>
      </c>
      <c r="M162" s="27">
        <f>[1]data!K162-[1]data!K124</f>
        <v>-1.5460229405817927E-2</v>
      </c>
      <c r="N162" s="13">
        <f t="shared" si="14"/>
        <v>0.14645544308675507</v>
      </c>
      <c r="O162" s="13">
        <f t="shared" si="15"/>
        <v>-1.6592161406263628E-2</v>
      </c>
      <c r="P162" s="27">
        <f>[1]data!M162-[1]data!M124</f>
        <v>1.8774257722216117</v>
      </c>
      <c r="Q162" s="27">
        <f>[1]data!N162-[1]data!N124</f>
        <v>2.014882872905865</v>
      </c>
      <c r="R162" s="27">
        <f>[1]data!O162-[1]data!O124</f>
        <v>-1.8928860016274305</v>
      </c>
      <c r="S162" s="27">
        <f>[1]data!P162-[1]data!P124</f>
        <v>-2.0314750343121286</v>
      </c>
      <c r="T162" s="27">
        <f>[1]data!Q162-[1]data!Q124</f>
        <v>0.16304760449301869</v>
      </c>
      <c r="U162" s="27">
        <f>[1]data!R162-[1]data!R124</f>
        <v>0.17498525407615101</v>
      </c>
      <c r="V162" s="27">
        <f>[1]data!S162-[1]data!S124</f>
        <v>2.4954071021381807E-2</v>
      </c>
      <c r="W162" s="27">
        <f>[1]data!T162-[1]data!T124</f>
        <v>2.6781101577594058E-2</v>
      </c>
      <c r="X162" s="27">
        <f>[1]data!U162-[1]data!U124</f>
        <v>7.3179093904349179E-5</v>
      </c>
      <c r="Y162" s="27">
        <f>[1]data!V162-[1]data!V124</f>
        <v>7.8536954773000822E-5</v>
      </c>
      <c r="Z162" s="27">
        <f>[1]data!W162-[1]data!W124</f>
        <v>2.4880891927477222E-2</v>
      </c>
      <c r="AA162" s="27">
        <f>[1]data!X162-[1]data!X124</f>
        <v>2.6702564622819835E-2</v>
      </c>
      <c r="AB162" s="27">
        <f>[1]data!Y162-[1]data!Y124</f>
        <v>0</v>
      </c>
      <c r="AC162" s="27">
        <f>[1]data!Z162-[1]data!Z124</f>
        <v>0</v>
      </c>
      <c r="AD162" s="14">
        <v>2941.9883367789698</v>
      </c>
      <c r="AE162" s="15">
        <v>3157.38816403392</v>
      </c>
      <c r="AF162">
        <f>D162/(D162+H162)</f>
        <v>-1.628448212204924</v>
      </c>
      <c r="AG162">
        <f>(F162/(D162+H162))</f>
        <v>-199.38040661269372</v>
      </c>
      <c r="AH162">
        <f>(E162/(D162+H162))</f>
        <v>197.75195840048889</v>
      </c>
      <c r="AI162">
        <f>(G162/(D162+H162))</f>
        <v>17.174038823835229</v>
      </c>
      <c r="AJ162">
        <f>(F162/(D162))</f>
        <v>122.43582885742005</v>
      </c>
      <c r="AK162">
        <f>E162/D162</f>
        <v>-121.43582885742011</v>
      </c>
      <c r="AL162">
        <f>(H162/(C162+H162))</f>
        <v>0.14462653225752459</v>
      </c>
      <c r="AM162">
        <f>(I162/(D162+H162))</f>
        <v>7.7080592733282096E-3</v>
      </c>
      <c r="AN162">
        <f>(J162/(D162+H162))</f>
        <v>2.6207401529316092</v>
      </c>
      <c r="AO162">
        <f>(I162/H162)</f>
        <v>2.9325513196480891E-3</v>
      </c>
      <c r="AP162">
        <f>J162/H162</f>
        <v>0.99706744868035702</v>
      </c>
      <c r="AQ162">
        <f>(D162+H162)/AD162</f>
        <v>1.0188940171329722E-4</v>
      </c>
    </row>
    <row r="163" spans="1:43" x14ac:dyDescent="0.35">
      <c r="A163" s="11" t="s">
        <v>37</v>
      </c>
      <c r="B163" s="24" t="s">
        <v>70</v>
      </c>
      <c r="C163" s="28">
        <f t="shared" si="12"/>
        <v>1824.7079999999996</v>
      </c>
      <c r="D163" s="27">
        <f>[1]data!C163-[1]data!C125</f>
        <v>1824.7279999999992</v>
      </c>
      <c r="E163" s="27">
        <f>[1]data!D163-[1]data!D125</f>
        <v>206.59999999999997</v>
      </c>
      <c r="F163" s="27">
        <f>[1]data!E163-[1]data!E125</f>
        <v>1618.1279999999997</v>
      </c>
      <c r="G163" s="27">
        <f>[1]data!F163-[1]data!F125</f>
        <v>-1.9999999999999574E-2</v>
      </c>
      <c r="H163" s="27">
        <f>[1]data!G163-[1]data!G125</f>
        <v>0</v>
      </c>
      <c r="I163" s="27">
        <f>[1]data!H163-[1]data!H125</f>
        <v>0</v>
      </c>
      <c r="J163" s="27">
        <f>[1]data!I163-[1]data!I125</f>
        <v>0</v>
      </c>
      <c r="K163" s="27">
        <f>[1]data!J163-[1]data!J125</f>
        <v>0</v>
      </c>
      <c r="L163" s="13">
        <f t="shared" si="13"/>
        <v>9.1560553513794414</v>
      </c>
      <c r="M163" s="27">
        <f>[1]data!K163-[1]data!K125</f>
        <v>9.1561557077690807</v>
      </c>
      <c r="N163" s="13">
        <f t="shared" si="14"/>
        <v>9.1353179900229495</v>
      </c>
      <c r="O163" s="13">
        <f t="shared" si="15"/>
        <v>9.1354183464125889</v>
      </c>
      <c r="P163" s="27">
        <f>[1]data!M163-[1]data!M125</f>
        <v>1.0366815049832594</v>
      </c>
      <c r="Q163" s="27">
        <f>[1]data!N163-[1]data!N125</f>
        <v>1.0343335721098379</v>
      </c>
      <c r="R163" s="27">
        <f>[1]data!O163-[1]data!O125</f>
        <v>8.1194742027858222</v>
      </c>
      <c r="S163" s="27">
        <f>[1]data!P163-[1]data!P125</f>
        <v>8.1010847743027501</v>
      </c>
      <c r="T163" s="27">
        <f>[1]data!Q163-[1]data!Q125</f>
        <v>-1.0035638964020488E-4</v>
      </c>
      <c r="U163" s="27">
        <f>[1]data!R163-[1]data!R125</f>
        <v>-1.0012909700966854E-4</v>
      </c>
      <c r="V163" s="27">
        <f>[1]data!S163-[1]data!S125</f>
        <v>0</v>
      </c>
      <c r="W163" s="27">
        <f>[1]data!T163-[1]data!T125</f>
        <v>0</v>
      </c>
      <c r="X163" s="27">
        <f>[1]data!U163-[1]data!U125</f>
        <v>0</v>
      </c>
      <c r="Y163" s="27">
        <f>[1]data!V163-[1]data!V125</f>
        <v>0</v>
      </c>
      <c r="Z163" s="27">
        <f>[1]data!W163-[1]data!W125</f>
        <v>0</v>
      </c>
      <c r="AA163" s="27">
        <f>[1]data!X163-[1]data!X125</f>
        <v>0</v>
      </c>
      <c r="AB163" s="27">
        <f>[1]data!Y163-[1]data!Y125</f>
        <v>0</v>
      </c>
      <c r="AC163" s="27">
        <f>[1]data!Z163-[1]data!Z125</f>
        <v>0</v>
      </c>
      <c r="AD163" s="14">
        <v>19974.2138871676</v>
      </c>
      <c r="AE163" s="15">
        <v>19928.975197</v>
      </c>
      <c r="AF163">
        <f>D163/(D163+H163)</f>
        <v>1</v>
      </c>
      <c r="AG163">
        <f>(F163/(D163+H163))</f>
        <v>0.88677764576419082</v>
      </c>
      <c r="AH163">
        <f>(E163/(D163+H163))</f>
        <v>0.11322235423580942</v>
      </c>
      <c r="AI163">
        <f>(G163/(D163+H163))</f>
        <v>-1.0960537680136209E-5</v>
      </c>
      <c r="AJ163">
        <f>(F163/(D163))</f>
        <v>0.88677764576419082</v>
      </c>
      <c r="AK163">
        <f>E163/D163</f>
        <v>0.11322235423580942</v>
      </c>
      <c r="AL163">
        <f>(H163/(C163+H163))</f>
        <v>0</v>
      </c>
      <c r="AM163">
        <f>(I163/(D163+H163))</f>
        <v>0</v>
      </c>
      <c r="AN163">
        <f>(J163/(D163+H163))</f>
        <v>0</v>
      </c>
      <c r="AO163" t="e">
        <f>(I163/H163)</f>
        <v>#DIV/0!</v>
      </c>
      <c r="AP163" t="e">
        <f>J163/H163</f>
        <v>#DIV/0!</v>
      </c>
      <c r="AQ163">
        <f>(D163+H163)/AD163</f>
        <v>9.135418346412584E-2</v>
      </c>
    </row>
    <row r="164" spans="1:43" x14ac:dyDescent="0.35">
      <c r="A164" s="11" t="s">
        <v>38</v>
      </c>
      <c r="B164" s="24" t="s">
        <v>70</v>
      </c>
      <c r="C164" s="28">
        <f t="shared" si="12"/>
        <v>-0.23611110498627808</v>
      </c>
      <c r="D164" s="27">
        <f>[1]data!C164-[1]data!C126</f>
        <v>-0.20002812274470738</v>
      </c>
      <c r="E164" s="27">
        <f>[1]data!D164-[1]data!D126</f>
        <v>2.4564657236113296</v>
      </c>
      <c r="F164" s="27">
        <f>[1]data!E164-[1]data!E126</f>
        <v>-2.6564938463560375</v>
      </c>
      <c r="G164" s="27">
        <f>[1]data!F164-[1]data!F126</f>
        <v>-3.6082982241570249E-2</v>
      </c>
      <c r="H164" s="27">
        <f>[1]data!G164-[1]data!G126</f>
        <v>-1.9245315181124167</v>
      </c>
      <c r="I164" s="27">
        <f>[1]data!H164-[1]data!H126</f>
        <v>-0.95092364114216943</v>
      </c>
      <c r="J164" s="27">
        <f>[1]data!I164-[1]data!I126</f>
        <v>-0.97360787697024731</v>
      </c>
      <c r="K164" s="27">
        <f>[1]data!J164-[1]data!J126</f>
        <v>1.196059834340673</v>
      </c>
      <c r="L164" s="13">
        <f t="shared" si="13"/>
        <v>-1.8458418489808642E-2</v>
      </c>
      <c r="M164" s="27">
        <f>[1]data!K164-[1]data!K126</f>
        <v>-1.5637565202903936E-2</v>
      </c>
      <c r="N164" s="13">
        <f t="shared" si="14"/>
        <v>-1.1219511696473283E-2</v>
      </c>
      <c r="O164" s="13">
        <f t="shared" si="15"/>
        <v>-8.3986584095686045E-3</v>
      </c>
      <c r="P164" s="27">
        <f>[1]data!M164-[1]data!M126</f>
        <v>0.19203871133009034</v>
      </c>
      <c r="Q164" s="27">
        <f>[1]data!N164-[1]data!N126</f>
        <v>0.10314057955618723</v>
      </c>
      <c r="R164" s="27">
        <f>[1]data!O164-[1]data!O126</f>
        <v>-0.20767627653299431</v>
      </c>
      <c r="S164" s="27">
        <f>[1]data!P164-[1]data!P126</f>
        <v>-0.11153923796575584</v>
      </c>
      <c r="T164" s="27">
        <f>[1]data!Q164-[1]data!Q126</f>
        <v>-2.8208532869046787E-3</v>
      </c>
      <c r="U164" s="27">
        <f>[1]data!R164-[1]data!R126</f>
        <v>-1.515030177192872E-3</v>
      </c>
      <c r="V164" s="27">
        <f>[1]data!S164-[1]data!S126</f>
        <v>-0.15045377963145884</v>
      </c>
      <c r="W164" s="27">
        <f>[1]data!T164-[1]data!T126</f>
        <v>-8.0806051655565661E-2</v>
      </c>
      <c r="X164" s="27">
        <f>[1]data!U164-[1]data!U126</f>
        <v>-7.4340198954534004E-2</v>
      </c>
      <c r="Y164" s="27">
        <f>[1]data!V164-[1]data!V126</f>
        <v>-3.9926799921675429E-2</v>
      </c>
      <c r="Z164" s="27">
        <f>[1]data!W164-[1]data!W126</f>
        <v>-7.6113580676924822E-2</v>
      </c>
      <c r="AA164" s="27">
        <f>[1]data!X164-[1]data!X126</f>
        <v>-4.0879251733890232E-2</v>
      </c>
      <c r="AB164" s="27">
        <f>[1]data!Y164-[1]data!Y126</f>
        <v>9.3504170260837016E-2</v>
      </c>
      <c r="AC164" s="27">
        <f>[1]data!Z164-[1]data!Z126</f>
        <v>5.0219428389342902E-2</v>
      </c>
      <c r="AD164" s="14">
        <v>2381.6675591522499</v>
      </c>
      <c r="AE164" s="15">
        <v>1279.1513266244399</v>
      </c>
      <c r="AF164">
        <f>D164/(D164+H164)</f>
        <v>9.4150391873211337E-2</v>
      </c>
      <c r="AG164">
        <f>(F164/(D164+H164))</f>
        <v>1.2503738634912183</v>
      </c>
      <c r="AH164">
        <f>(E164/(D164+H164))</f>
        <v>-1.1562234716180066</v>
      </c>
      <c r="AI164">
        <f>(G164/(D164+H164))</f>
        <v>1.6983746442162981E-2</v>
      </c>
      <c r="AJ164">
        <f>(F164/(D164))</f>
        <v>13.280601796910712</v>
      </c>
      <c r="AK164">
        <f>E164/D164</f>
        <v>-12.280601796910711</v>
      </c>
      <c r="AL164">
        <f>(H164/(C164+H164))</f>
        <v>0.890721814675831</v>
      </c>
      <c r="AM164">
        <f>(I164/(D164+H164))</f>
        <v>0.4475862305087055</v>
      </c>
      <c r="AN164">
        <f>(J164/(D164+H164))</f>
        <v>0.45826337761808306</v>
      </c>
      <c r="AO164">
        <f>(I164/H164)</f>
        <v>0.49410655642305962</v>
      </c>
      <c r="AP164">
        <f>J164/H164</f>
        <v>0.50589344357694033</v>
      </c>
      <c r="AQ164">
        <f>(D164+H164)/AD164</f>
        <v>-8.9204710065134249E-4</v>
      </c>
    </row>
    <row r="165" spans="1:43" x14ac:dyDescent="0.35">
      <c r="A165" s="11" t="s">
        <v>39</v>
      </c>
      <c r="B165" s="24" t="s">
        <v>70</v>
      </c>
      <c r="C165" s="28">
        <f t="shared" si="12"/>
        <v>6.0872373355272114</v>
      </c>
      <c r="D165" s="27">
        <f>[1]data!C165-[1]data!C127</f>
        <v>5.9126558224667001</v>
      </c>
      <c r="E165" s="27">
        <f>[1]data!D165-[1]data!D127</f>
        <v>0.38031964593465961</v>
      </c>
      <c r="F165" s="27">
        <f>[1]data!E165-[1]data!E127</f>
        <v>5.5323361765320405</v>
      </c>
      <c r="G165" s="27">
        <f>[1]data!F165-[1]data!F127</f>
        <v>0.17458151306051128</v>
      </c>
      <c r="H165" s="27">
        <f>[1]data!G165-[1]data!G127</f>
        <v>2.4997121076552418</v>
      </c>
      <c r="I165" s="27">
        <f>[1]data!H165-[1]data!H127</f>
        <v>1.3959679043227258E-2</v>
      </c>
      <c r="J165" s="27">
        <f>[1]data!I165-[1]data!I127</f>
        <v>2.4857524286120167</v>
      </c>
      <c r="K165" s="27">
        <f>[1]data!J165-[1]data!J127</f>
        <v>0.92377554356033542</v>
      </c>
      <c r="L165" s="13">
        <f t="shared" si="13"/>
        <v>0.61052260701252326</v>
      </c>
      <c r="M165" s="27">
        <f>[1]data!K165-[1]data!K127</f>
        <v>0.59301286414972698</v>
      </c>
      <c r="N165" s="13">
        <f t="shared" si="14"/>
        <v>0.2708604096822288</v>
      </c>
      <c r="O165" s="13">
        <f t="shared" si="15"/>
        <v>0.25335066681943264</v>
      </c>
      <c r="P165" s="27">
        <f>[1]data!M165-[1]data!M127</f>
        <v>3.8144354973469796E-2</v>
      </c>
      <c r="Q165" s="27">
        <f>[1]data!N165-[1]data!N127</f>
        <v>1.6296270034178731E-2</v>
      </c>
      <c r="R165" s="27">
        <f>[1]data!O165-[1]data!O127</f>
        <v>0.5548685091762573</v>
      </c>
      <c r="S165" s="27">
        <f>[1]data!P165-[1]data!P127</f>
        <v>0.23705439678525389</v>
      </c>
      <c r="T165" s="27">
        <f>[1]data!Q165-[1]data!Q127</f>
        <v>1.7509742862796163E-2</v>
      </c>
      <c r="U165" s="27">
        <f>[1]data!R165-[1]data!R127</f>
        <v>7.4806219195375778E-3</v>
      </c>
      <c r="V165" s="27">
        <f>[1]data!S165-[1]data!S127</f>
        <v>0.250709914633922</v>
      </c>
      <c r="W165" s="27">
        <f>[1]data!T165-[1]data!T127</f>
        <v>0.10710985863994638</v>
      </c>
      <c r="X165" s="27">
        <f>[1]data!U165-[1]data!U127</f>
        <v>1.4000932069443417E-3</v>
      </c>
      <c r="Y165" s="27">
        <f>[1]data!V165-[1]data!V127</f>
        <v>5.9815658147194251E-4</v>
      </c>
      <c r="Z165" s="27">
        <f>[1]data!W165-[1]data!W127</f>
        <v>0.24930982142697822</v>
      </c>
      <c r="AA165" s="27">
        <f>[1]data!X165-[1]data!X127</f>
        <v>0.10651170205847471</v>
      </c>
      <c r="AB165" s="27">
        <f>[1]data!Y165-[1]data!Y127</f>
        <v>9.2650544419756953E-2</v>
      </c>
      <c r="AC165" s="27">
        <f>[1]data!Z165-[1]data!Z127</f>
        <v>3.9582745382066964E-2</v>
      </c>
      <c r="AD165" s="14">
        <v>2333.7834064911899</v>
      </c>
      <c r="AE165" s="15">
        <v>997.05355143423003</v>
      </c>
      <c r="AF165">
        <f>D165/(D165+H165)</f>
        <v>0.70285273677764504</v>
      </c>
      <c r="AG165">
        <f>(F165/(D165+H165))</f>
        <v>0.6576431538048344</v>
      </c>
      <c r="AH165">
        <f>(E165/(D165+H165))</f>
        <v>4.5209582972810684E-2</v>
      </c>
      <c r="AI165">
        <f>(G165/(D165+H165))</f>
        <v>2.0752957373083018E-2</v>
      </c>
      <c r="AJ165">
        <f>(F165/(D165))</f>
        <v>0.93567701937096781</v>
      </c>
      <c r="AK165">
        <f>E165/D165</f>
        <v>6.4322980629032134E-2</v>
      </c>
      <c r="AL165">
        <f>(H165/(C165+H165))</f>
        <v>0.29110595377266024</v>
      </c>
      <c r="AM165">
        <f>(I165/(D165+H165))</f>
        <v>1.6594232633646714E-3</v>
      </c>
      <c r="AN165">
        <f>(J165/(D165+H165))</f>
        <v>0.29548783995899053</v>
      </c>
      <c r="AO165">
        <f>(I165/H165)</f>
        <v>5.584514712904917E-3</v>
      </c>
      <c r="AP165">
        <f>J165/H165</f>
        <v>0.994415485287096</v>
      </c>
      <c r="AQ165">
        <f>(D165+H165)/AD165</f>
        <v>3.6046052545937917E-3</v>
      </c>
    </row>
    <row r="166" spans="1:43" x14ac:dyDescent="0.35">
      <c r="A166" s="17" t="s">
        <v>40</v>
      </c>
      <c r="B166" s="24" t="s">
        <v>70</v>
      </c>
      <c r="C166" s="28">
        <f t="shared" si="12"/>
        <v>13.791972576402923</v>
      </c>
      <c r="D166" s="27">
        <f>[1]data!C166-[1]data!C128</f>
        <v>13.791972576402927</v>
      </c>
      <c r="E166" s="27">
        <f>[1]data!D166-[1]data!D128</f>
        <v>0.80433050390652472</v>
      </c>
      <c r="F166" s="27">
        <f>[1]data!E166-[1]data!E128</f>
        <v>12.987642072496399</v>
      </c>
      <c r="G166" s="27">
        <f>[1]data!F166-[1]data!F128</f>
        <v>0</v>
      </c>
      <c r="H166" s="27">
        <f>[1]data!G166-[1]data!G128</f>
        <v>2.7166011792179035E-2</v>
      </c>
      <c r="I166" s="27">
        <f>[1]data!H166-[1]data!H128</f>
        <v>0</v>
      </c>
      <c r="J166" s="27">
        <f>[1]data!I166-[1]data!I128</f>
        <v>2.7166011792179035E-2</v>
      </c>
      <c r="K166" s="27">
        <f>[1]data!J166-[1]data!J128</f>
        <v>0</v>
      </c>
      <c r="L166" s="13">
        <f t="shared" si="13"/>
        <v>3.3318004342018033</v>
      </c>
      <c r="M166" s="27">
        <f>[1]data!K166-[1]data!K128</f>
        <v>3.3318004342018028</v>
      </c>
      <c r="N166" s="13">
        <f t="shared" si="14"/>
        <v>2.9432345816350116</v>
      </c>
      <c r="O166" s="13">
        <f t="shared" si="15"/>
        <v>2.9432345816350116</v>
      </c>
      <c r="P166" s="27">
        <f>[1]data!M166-[1]data!M128</f>
        <v>0.19430641319158198</v>
      </c>
      <c r="Q166" s="27">
        <f>[1]data!N166-[1]data!N128</f>
        <v>0.17164574110391839</v>
      </c>
      <c r="R166" s="27">
        <f>[1]data!O166-[1]data!O128</f>
        <v>3.1374940210102213</v>
      </c>
      <c r="S166" s="27">
        <f>[1]data!P166-[1]data!P128</f>
        <v>2.7715888405310931</v>
      </c>
      <c r="T166" s="27">
        <f>[1]data!Q166-[1]data!Q128</f>
        <v>0</v>
      </c>
      <c r="U166" s="27">
        <f>[1]data!R166-[1]data!R128</f>
        <v>0</v>
      </c>
      <c r="V166" s="27">
        <f>[1]data!S166-[1]data!S128</f>
        <v>6.5626384756285461E-3</v>
      </c>
      <c r="W166" s="27">
        <f>[1]data!T166-[1]data!T128</f>
        <v>5.7972813467337403E-3</v>
      </c>
      <c r="X166" s="27">
        <f>[1]data!U166-[1]data!U128</f>
        <v>0</v>
      </c>
      <c r="Y166" s="27">
        <f>[1]data!V166-[1]data!V128</f>
        <v>0</v>
      </c>
      <c r="Z166" s="27">
        <f>[1]data!W166-[1]data!W128</f>
        <v>6.5626384756285461E-3</v>
      </c>
      <c r="AA166" s="27">
        <f>[1]data!X166-[1]data!X128</f>
        <v>5.7972813467337403E-3</v>
      </c>
      <c r="AB166" s="27">
        <f>[1]data!Y166-[1]data!Y128</f>
        <v>0</v>
      </c>
      <c r="AC166" s="27">
        <f>[1]data!Z166-[1]data!Z128</f>
        <v>0</v>
      </c>
      <c r="AD166" s="14">
        <v>468.59916169988998</v>
      </c>
      <c r="AE166" s="15">
        <v>413.94954015926999</v>
      </c>
      <c r="AF166">
        <f>D166/(D166+H166)</f>
        <v>0.99803417473391687</v>
      </c>
      <c r="AG166">
        <f>(F166/(D166+H166))</f>
        <v>0.93983007620974246</v>
      </c>
      <c r="AH166">
        <f>(E166/(D166+H166))</f>
        <v>5.8204098524174144E-2</v>
      </c>
      <c r="AI166">
        <f>(G166/(D166+H166))</f>
        <v>0</v>
      </c>
      <c r="AJ166">
        <f>(F166/(D166))</f>
        <v>0.94168125701738425</v>
      </c>
      <c r="AK166">
        <f>E166/D166</f>
        <v>5.8318742982615579E-2</v>
      </c>
      <c r="AL166">
        <f>(H166/(C166+H166))</f>
        <v>1.9658252660831842E-3</v>
      </c>
      <c r="AM166">
        <f>(I166/(D166+H166))</f>
        <v>0</v>
      </c>
      <c r="AN166">
        <f>(J166/(D166+H166))</f>
        <v>1.9658252660831837E-3</v>
      </c>
      <c r="AO166">
        <f>(I166/H166)</f>
        <v>0</v>
      </c>
      <c r="AP166">
        <f>J166/H166</f>
        <v>1</v>
      </c>
      <c r="AQ166">
        <f>(D166+H166)/AD166</f>
        <v>2.949031862981745E-2</v>
      </c>
    </row>
    <row r="167" spans="1:43" x14ac:dyDescent="0.35">
      <c r="A167" s="11" t="s">
        <v>41</v>
      </c>
      <c r="B167" s="24" t="s">
        <v>70</v>
      </c>
      <c r="C167" s="28">
        <f t="shared" si="12"/>
        <v>4.4754177256868832</v>
      </c>
      <c r="D167" s="27">
        <f>[1]data!C167-[1]data!C129</f>
        <v>4.6620195461430924</v>
      </c>
      <c r="E167" s="27">
        <f>[1]data!D167-[1]data!D129</f>
        <v>0.36683396841928584</v>
      </c>
      <c r="F167" s="27">
        <f>[1]data!E167-[1]data!E129</f>
        <v>4.2951855777238066</v>
      </c>
      <c r="G167" s="27">
        <f>[1]data!F167-[1]data!F129</f>
        <v>-0.18660182045620921</v>
      </c>
      <c r="H167" s="27">
        <f>[1]data!G167-[1]data!G129</f>
        <v>0.27410581093383257</v>
      </c>
      <c r="I167" s="27">
        <f>[1]data!H167-[1]data!H129</f>
        <v>0.11714663169012796</v>
      </c>
      <c r="J167" s="27">
        <f>[1]data!I167-[1]data!I129</f>
        <v>0.15695917924369951</v>
      </c>
      <c r="K167" s="27">
        <f>[1]data!J167-[1]data!J129</f>
        <v>0</v>
      </c>
      <c r="L167" s="13">
        <f t="shared" si="13"/>
        <v>0.90383717559823307</v>
      </c>
      <c r="M167" s="27">
        <f>[1]data!K167-[1]data!K129</f>
        <v>0.94152252090010613</v>
      </c>
      <c r="N167" s="13">
        <f t="shared" si="14"/>
        <v>0.80183115378846503</v>
      </c>
      <c r="O167" s="13">
        <f t="shared" si="15"/>
        <v>0.83951649909033765</v>
      </c>
      <c r="P167" s="27">
        <f>[1]data!M167-[1]data!M129</f>
        <v>7.4084297433641755E-2</v>
      </c>
      <c r="Q167" s="27">
        <f>[1]data!N167-[1]data!N129</f>
        <v>6.6057888832652623E-2</v>
      </c>
      <c r="R167" s="27">
        <f>[1]data!O167-[1]data!O129</f>
        <v>0.86743822346646393</v>
      </c>
      <c r="S167" s="27">
        <f>[1]data!P167-[1]data!P129</f>
        <v>0.77345861025768503</v>
      </c>
      <c r="T167" s="27">
        <f>[1]data!Q167-[1]data!Q129</f>
        <v>-3.7685345301872619E-2</v>
      </c>
      <c r="U167" s="27">
        <f>[1]data!R167-[1]data!R129</f>
        <v>-3.3602456077834741E-2</v>
      </c>
      <c r="V167" s="27">
        <f>[1]data!S167-[1]data!S129</f>
        <v>5.5357295598920331E-2</v>
      </c>
      <c r="W167" s="27">
        <f>[1]data!T167-[1]data!T129</f>
        <v>4.9359799652892278E-2</v>
      </c>
      <c r="X167" s="27">
        <f>[1]data!U167-[1]data!U129</f>
        <v>2.3658457647414644E-2</v>
      </c>
      <c r="Y167" s="27">
        <f>[1]data!V167-[1]data!V129</f>
        <v>2.1095263360292826E-2</v>
      </c>
      <c r="Z167" s="27">
        <f>[1]data!W167-[1]data!W129</f>
        <v>3.1698837951504188E-2</v>
      </c>
      <c r="AA167" s="27">
        <f>[1]data!X167-[1]data!X129</f>
        <v>2.8264536292599729E-2</v>
      </c>
      <c r="AB167" s="27">
        <f>[1]data!Y167-[1]data!Y129</f>
        <v>0</v>
      </c>
      <c r="AC167" s="27">
        <f>[1]data!Z167-[1]data!Z129</f>
        <v>0</v>
      </c>
      <c r="AD167" s="14">
        <v>555.32196820367994</v>
      </c>
      <c r="AE167" s="15">
        <v>495.15751802582002</v>
      </c>
      <c r="AF167">
        <f>D167/(D167+H167)</f>
        <v>0.94446943886041168</v>
      </c>
      <c r="AG167">
        <f>(F167/(D167+H167))</f>
        <v>0.87015326131573978</v>
      </c>
      <c r="AH167">
        <f>(E167/(D167+H167))</f>
        <v>7.4316177544671916E-2</v>
      </c>
      <c r="AI167">
        <f>(G167/(D167+H167))</f>
        <v>-3.7803298530228388E-2</v>
      </c>
      <c r="AJ167">
        <f>(F167/(D167))</f>
        <v>0.92131436498957431</v>
      </c>
      <c r="AK167">
        <f>E167/D167</f>
        <v>7.8685635010425692E-2</v>
      </c>
      <c r="AL167">
        <f>(H167/(C167+H167))</f>
        <v>5.7712275519926942E-2</v>
      </c>
      <c r="AM167">
        <f>(I167/(D167+H167))</f>
        <v>2.3732507425520459E-2</v>
      </c>
      <c r="AN167">
        <f>(J167/(D167+H167))</f>
        <v>3.1798053714066861E-2</v>
      </c>
      <c r="AO167">
        <f>(I167/H167)</f>
        <v>0.4273774105372995</v>
      </c>
      <c r="AP167">
        <f>J167/H167</f>
        <v>0.57262258946268185</v>
      </c>
      <c r="AQ167">
        <f>(D167+H167)/AD167</f>
        <v>8.8887629874322971E-3</v>
      </c>
    </row>
    <row r="168" spans="1:43" x14ac:dyDescent="0.35">
      <c r="A168" s="17" t="s">
        <v>42</v>
      </c>
      <c r="B168" s="24" t="s">
        <v>70</v>
      </c>
      <c r="C168" s="28">
        <f t="shared" si="12"/>
        <v>5.4274449959136106E-2</v>
      </c>
      <c r="D168" s="27">
        <f>[1]data!C168-[1]data!C130</f>
        <v>4.84917598108634E-2</v>
      </c>
      <c r="E168" s="27">
        <f>[1]data!D168-[1]data!D130</f>
        <v>1.0609563743112727E-2</v>
      </c>
      <c r="F168" s="27">
        <f>[1]data!E168-[1]data!E130</f>
        <v>3.7882196067750229E-2</v>
      </c>
      <c r="G168" s="27">
        <f>[1]data!F168-[1]data!F130</f>
        <v>5.7826901482731508E-3</v>
      </c>
      <c r="H168" s="27">
        <f>[1]data!G168-[1]data!G130</f>
        <v>0.13779688645334431</v>
      </c>
      <c r="I168" s="27">
        <f>[1]data!H168-[1]data!H130</f>
        <v>1.5930275890559814E-4</v>
      </c>
      <c r="J168" s="27">
        <f>[1]data!I168-[1]data!I130</f>
        <v>0.1376375836944348</v>
      </c>
      <c r="K168" s="27">
        <f>[1]data!J168-[1]data!J130</f>
        <v>0</v>
      </c>
      <c r="L168" s="13">
        <f t="shared" si="13"/>
        <v>2.5168967945269793E-2</v>
      </c>
      <c r="M168" s="27">
        <f>[1]data!K168-[1]data!K130</f>
        <v>2.2487331501438668E-2</v>
      </c>
      <c r="N168" s="13">
        <f t="shared" si="14"/>
        <v>1.4584496136843539E-2</v>
      </c>
      <c r="O168" s="13">
        <f t="shared" si="15"/>
        <v>1.1902859693012191E-2</v>
      </c>
      <c r="P168" s="27">
        <f>[1]data!M168-[1]data!M130</f>
        <v>4.9200271944671581E-3</v>
      </c>
      <c r="Q168" s="27">
        <f>[1]data!N168-[1]data!N130</f>
        <v>2.6042393415066645E-3</v>
      </c>
      <c r="R168" s="27">
        <f>[1]data!O168-[1]data!O130</f>
        <v>1.7567304306971288E-2</v>
      </c>
      <c r="S168" s="27">
        <f>[1]data!P168-[1]data!P130</f>
        <v>9.2986203515055266E-3</v>
      </c>
      <c r="T168" s="27">
        <f>[1]data!Q168-[1]data!Q130</f>
        <v>2.6816364438313478E-3</v>
      </c>
      <c r="U168" s="27">
        <f>[1]data!R168-[1]data!R130</f>
        <v>1.4194277491995644E-3</v>
      </c>
      <c r="V168" s="27">
        <f>[1]data!S168-[1]data!S130</f>
        <v>6.3901254102312066E-2</v>
      </c>
      <c r="W168" s="27">
        <f>[1]data!T168-[1]data!T130</f>
        <v>3.3823829285333673E-2</v>
      </c>
      <c r="X168" s="27">
        <f>[1]data!U168-[1]data!U130</f>
        <v>7.3874282199206526E-5</v>
      </c>
      <c r="Y168" s="27">
        <f>[1]data!V168-[1]data!V130</f>
        <v>3.9102692815415341E-5</v>
      </c>
      <c r="Z168" s="27">
        <f>[1]data!W168-[1]data!W130</f>
        <v>6.3827379820114771E-2</v>
      </c>
      <c r="AA168" s="27">
        <f>[1]data!X168-[1]data!X130</f>
        <v>3.378472659251841E-2</v>
      </c>
      <c r="AB168" s="27">
        <f>[1]data!Y168-[1]data!Y130</f>
        <v>0</v>
      </c>
      <c r="AC168" s="27">
        <f>[1]data!Z168-[1]data!Z130</f>
        <v>0</v>
      </c>
      <c r="AD168" s="14">
        <v>407.39587848230002</v>
      </c>
      <c r="AE168" s="15">
        <v>215.64034757863999</v>
      </c>
      <c r="AF168">
        <f>D168/(D168+H168)</f>
        <v>0.26030442962202305</v>
      </c>
      <c r="AG168">
        <f>(F168/(D168+H168))</f>
        <v>0.20335214639985641</v>
      </c>
      <c r="AH168">
        <f>(E168/(D168+H168))</f>
        <v>5.6952283222164245E-2</v>
      </c>
      <c r="AI168">
        <f>(G168/(D168+H168))</f>
        <v>3.1041559774242663E-2</v>
      </c>
      <c r="AJ168">
        <f>(F168/(D168))</f>
        <v>0.78120893561102822</v>
      </c>
      <c r="AK168">
        <f>E168/D168</f>
        <v>0.21879106438896267</v>
      </c>
      <c r="AL168">
        <f>(H168/(C168+H168))</f>
        <v>0.71742556191424789</v>
      </c>
      <c r="AM168">
        <f>(I168/(D168+H168))</f>
        <v>8.5513938772019263E-4</v>
      </c>
      <c r="AN168">
        <f>(J168/(D168+H168))</f>
        <v>0.73884043099023577</v>
      </c>
      <c r="AO168">
        <f>(I168/H168)</f>
        <v>1.1560693641618335E-3</v>
      </c>
      <c r="AP168">
        <f>J168/H168</f>
        <v>0.99884393063580967</v>
      </c>
      <c r="AQ168">
        <f>(D168+H168)/AD168</f>
        <v>4.5726688978347467E-4</v>
      </c>
    </row>
    <row r="169" spans="1:43" x14ac:dyDescent="0.35">
      <c r="A169" s="17" t="s">
        <v>43</v>
      </c>
      <c r="B169" s="24" t="s">
        <v>70</v>
      </c>
      <c r="C169" s="28">
        <f t="shared" si="12"/>
        <v>28.125555242145225</v>
      </c>
      <c r="D169" s="27">
        <f>[1]data!C169-[1]data!C131</f>
        <v>6.1313784260489248</v>
      </c>
      <c r="E169" s="27">
        <f>[1]data!D169-[1]data!D131</f>
        <v>3.4109288650499558E-4</v>
      </c>
      <c r="F169" s="27">
        <f>[1]data!E169-[1]data!E131</f>
        <v>6.1310373331624195</v>
      </c>
      <c r="G169" s="27">
        <f>[1]data!F169-[1]data!F131</f>
        <v>21.994176816096299</v>
      </c>
      <c r="H169" s="27">
        <f>[1]data!G169-[1]data!G131</f>
        <v>33.062446307244088</v>
      </c>
      <c r="I169" s="27">
        <f>[1]data!H169-[1]data!H131</f>
        <v>25.12571084390953</v>
      </c>
      <c r="J169" s="27">
        <f>[1]data!I169-[1]data!I131</f>
        <v>7.9367354633345588</v>
      </c>
      <c r="K169" s="27">
        <f>[1]data!J169-[1]data!J131</f>
        <v>0</v>
      </c>
      <c r="L169" s="13">
        <f t="shared" si="13"/>
        <v>8.4562057058508397</v>
      </c>
      <c r="M169" s="27">
        <f>[1]data!K169-[1]data!K131</f>
        <v>1.8434550637205849</v>
      </c>
      <c r="N169" s="13">
        <f t="shared" si="14"/>
        <v>8.5838522276345195</v>
      </c>
      <c r="O169" s="13">
        <f t="shared" si="15"/>
        <v>1.9711015855042637</v>
      </c>
      <c r="P169" s="27">
        <f>[1]data!M169-[1]data!M131</f>
        <v>1.0255269943138662E-4</v>
      </c>
      <c r="Q169" s="27">
        <f>[1]data!N169-[1]data!N131</f>
        <v>1.096537650551524E-4</v>
      </c>
      <c r="R169" s="27">
        <f>[1]data!O169-[1]data!O131</f>
        <v>1.8433525110211535</v>
      </c>
      <c r="S169" s="27">
        <f>[1]data!P169-[1]data!P131</f>
        <v>1.9709919317392086</v>
      </c>
      <c r="T169" s="27">
        <f>[1]data!Q169-[1]data!Q131</f>
        <v>6.6127506421302549</v>
      </c>
      <c r="U169" s="27">
        <f>[1]data!R169-[1]data!R131</f>
        <v>7.0706379188545974</v>
      </c>
      <c r="V169" s="27">
        <f>[1]data!S169-[1]data!S131</f>
        <v>9.9405272075752222</v>
      </c>
      <c r="W169" s="27">
        <f>[1]data!T169-[1]data!T131</f>
        <v>10.628840010916399</v>
      </c>
      <c r="X169" s="27">
        <f>[1]data!U169-[1]data!U131</f>
        <v>7.5542750204429563</v>
      </c>
      <c r="Y169" s="27">
        <f>[1]data!V169-[1]data!V131</f>
        <v>8.0773563528464187</v>
      </c>
      <c r="Z169" s="27">
        <f>[1]data!W169-[1]data!W131</f>
        <v>2.3862521871322659</v>
      </c>
      <c r="AA169" s="27">
        <f>[1]data!X169-[1]data!X131</f>
        <v>2.5514836580699805</v>
      </c>
      <c r="AB169" s="27">
        <f>[1]data!Y169-[1]data!Y131</f>
        <v>0</v>
      </c>
      <c r="AC169" s="27">
        <f>[1]data!Z169-[1]data!Z131</f>
        <v>0</v>
      </c>
      <c r="AD169" s="14">
        <v>311.06354290107998</v>
      </c>
      <c r="AE169" s="15">
        <v>332.60254327404999</v>
      </c>
      <c r="AF169">
        <f>D169/(D169+H169)</f>
        <v>0.15643735888936233</v>
      </c>
      <c r="AG169">
        <f>(F169/(D169+H169))</f>
        <v>0.15642865616925714</v>
      </c>
      <c r="AH169">
        <f>(E169/(D169+H169))</f>
        <v>8.7027201051714616E-6</v>
      </c>
      <c r="AI169">
        <f>(G169/(D169+H169))</f>
        <v>0.5611643407032294</v>
      </c>
      <c r="AJ169">
        <f>(F169/(D169))</f>
        <v>0.99994436929792885</v>
      </c>
      <c r="AK169">
        <f>E169/D169</f>
        <v>5.5630702071148573E-5</v>
      </c>
      <c r="AL169">
        <f>(H169/(C169+H169))</f>
        <v>0.54034198650133991</v>
      </c>
      <c r="AM169">
        <f>(I169/(D169+H169))</f>
        <v>0.64106299946191803</v>
      </c>
      <c r="AN169">
        <f>(J169/(D169+H169))</f>
        <v>0.20249964164871961</v>
      </c>
      <c r="AO169">
        <f>(I169/H169)</f>
        <v>0.75994711977511498</v>
      </c>
      <c r="AP169">
        <f>J169/H169</f>
        <v>0.24005288022488508</v>
      </c>
      <c r="AQ169">
        <f>(D169+H169)/AD169</f>
        <v>0.12599941596420663</v>
      </c>
    </row>
    <row r="170" spans="1:43" x14ac:dyDescent="0.35">
      <c r="A170" s="17" t="s">
        <v>44</v>
      </c>
      <c r="B170" s="24" t="s">
        <v>70</v>
      </c>
      <c r="C170" s="28">
        <f t="shared" si="12"/>
        <v>-9.4391081956542833E-2</v>
      </c>
      <c r="D170" s="27">
        <f>[1]data!C170-[1]data!C132</f>
        <v>-9.4391081956542777E-2</v>
      </c>
      <c r="E170" s="27">
        <f>[1]data!D170-[1]data!D132</f>
        <v>-3.7900585127936981E-2</v>
      </c>
      <c r="F170" s="27">
        <f>[1]data!E170-[1]data!E132</f>
        <v>-5.6490496828605852E-2</v>
      </c>
      <c r="G170" s="27">
        <f>[1]data!F170-[1]data!F132</f>
        <v>0</v>
      </c>
      <c r="H170" s="27">
        <f>[1]data!G170-[1]data!G132</f>
        <v>0.22987065939187667</v>
      </c>
      <c r="I170" s="27">
        <f>[1]data!H170-[1]data!H132</f>
        <v>0.1682830664882291</v>
      </c>
      <c r="J170" s="27">
        <f>[1]data!I170-[1]data!I132</f>
        <v>6.1587592903647459E-2</v>
      </c>
      <c r="K170" s="27">
        <f>[1]data!J170-[1]data!J132</f>
        <v>0</v>
      </c>
      <c r="L170" s="13">
        <f t="shared" si="13"/>
        <v>-0.35095285440695079</v>
      </c>
      <c r="M170" s="27">
        <f>[1]data!K170-[1]data!K132</f>
        <v>-0.3509528544069509</v>
      </c>
      <c r="N170" s="13">
        <f t="shared" si="14"/>
        <v>-0.20559322227792204</v>
      </c>
      <c r="O170" s="13">
        <f t="shared" si="15"/>
        <v>-0.20559322227792204</v>
      </c>
      <c r="P170" s="27">
        <f>[1]data!M170-[1]data!M132</f>
        <v>-0.14091711058537271</v>
      </c>
      <c r="Q170" s="27">
        <f>[1]data!N170-[1]data!N132</f>
        <v>-8.2551267144693796E-2</v>
      </c>
      <c r="R170" s="27">
        <f>[1]data!O170-[1]data!O132</f>
        <v>-0.21003574382157808</v>
      </c>
      <c r="S170" s="27">
        <f>[1]data!P170-[1]data!P132</f>
        <v>-0.12304195513322824</v>
      </c>
      <c r="T170" s="27">
        <f>[1]data!Q170-[1]data!Q132</f>
        <v>0</v>
      </c>
      <c r="U170" s="27">
        <f>[1]data!R170-[1]data!R132</f>
        <v>0</v>
      </c>
      <c r="V170" s="27">
        <f>[1]data!S170-[1]data!S132</f>
        <v>0.85467570013795235</v>
      </c>
      <c r="W170" s="27">
        <f>[1]data!T170-[1]data!T132</f>
        <v>0.50068129946094686</v>
      </c>
      <c r="X170" s="27">
        <f>[1]data!U170-[1]data!U132</f>
        <v>0.62568858527958593</v>
      </c>
      <c r="Y170" s="27">
        <f>[1]data!V170-[1]data!V132</f>
        <v>0.36653735900658013</v>
      </c>
      <c r="Z170" s="27">
        <f>[1]data!W170-[1]data!W132</f>
        <v>0.22898711485836665</v>
      </c>
      <c r="AA170" s="27">
        <f>[1]data!X170-[1]data!X132</f>
        <v>0.13414394045436717</v>
      </c>
      <c r="AB170" s="27">
        <f>[1]data!Y170-[1]data!Y132</f>
        <v>0</v>
      </c>
      <c r="AC170" s="27">
        <f>[1]data!Z170-[1]data!Z132</f>
        <v>0</v>
      </c>
      <c r="AD170" s="14">
        <v>45.911572818750003</v>
      </c>
      <c r="AE170" s="15">
        <v>26.895658710639999</v>
      </c>
      <c r="AF170">
        <f>D170/(D170+H170)</f>
        <v>-0.6967181603559166</v>
      </c>
      <c r="AG170">
        <f>(F170/(D170+H170))</f>
        <v>-0.41696688089811523</v>
      </c>
      <c r="AH170">
        <f>(E170/(D170+H170))</f>
        <v>-0.2797512794578017</v>
      </c>
      <c r="AI170">
        <f>(G170/(D170+H170))</f>
        <v>0</v>
      </c>
      <c r="AJ170">
        <f>(F170/(D170))</f>
        <v>0.59847281816955777</v>
      </c>
      <c r="AK170">
        <f>E170/D170</f>
        <v>0.40152718183044278</v>
      </c>
      <c r="AL170">
        <f>(H170/(C170+H170))</f>
        <v>1.6967181603559172</v>
      </c>
      <c r="AM170">
        <f>(I170/(D170+H170))</f>
        <v>1.2421286637726097</v>
      </c>
      <c r="AN170">
        <f>(J170/(D170+H170))</f>
        <v>0.454589496583306</v>
      </c>
      <c r="AO170">
        <f>(I170/H170)</f>
        <v>0.7320771904227461</v>
      </c>
      <c r="AP170">
        <f>J170/H170</f>
        <v>0.26792280957725345</v>
      </c>
      <c r="AQ170">
        <f>(D170+H170)/AD170</f>
        <v>2.9508807718302537E-3</v>
      </c>
    </row>
    <row r="171" spans="1:43" x14ac:dyDescent="0.35">
      <c r="A171" s="17" t="s">
        <v>45</v>
      </c>
      <c r="B171" s="24" t="s">
        <v>70</v>
      </c>
      <c r="C171" s="28">
        <f t="shared" si="12"/>
        <v>-3.5155799901397318</v>
      </c>
      <c r="D171" s="27">
        <f>[1]data!C171-[1]data!C133</f>
        <v>-1.0746523869851625</v>
      </c>
      <c r="E171" s="27">
        <f>[1]data!D171-[1]data!D133</f>
        <v>5.5841246461700855E-3</v>
      </c>
      <c r="F171" s="27">
        <f>[1]data!E171-[1]data!E133</f>
        <v>-1.0802365116313331</v>
      </c>
      <c r="G171" s="27">
        <f>[1]data!F171-[1]data!F133</f>
        <v>-2.4409276031545688</v>
      </c>
      <c r="H171" s="27">
        <f>[1]data!G171-[1]data!G133</f>
        <v>-1.6885058372569102</v>
      </c>
      <c r="I171" s="27">
        <f>[1]data!H171-[1]data!H133</f>
        <v>-0.92854648594427647</v>
      </c>
      <c r="J171" s="27">
        <f>[1]data!I171-[1]data!I133</f>
        <v>-0.75995935131263259</v>
      </c>
      <c r="K171" s="27">
        <f>[1]data!J171-[1]data!J133</f>
        <v>3.4268640238179242</v>
      </c>
      <c r="L171" s="13">
        <f t="shared" si="13"/>
        <v>-1.3800434107900124</v>
      </c>
      <c r="M171" s="27">
        <f>[1]data!K171-[1]data!K133</f>
        <v>-0.42185555433477262</v>
      </c>
      <c r="N171" s="13">
        <f t="shared" si="14"/>
        <v>-1.381408782075173</v>
      </c>
      <c r="O171" s="13">
        <f t="shared" si="15"/>
        <v>-0.42322092561993363</v>
      </c>
      <c r="P171" s="27">
        <f>[1]data!M171-[1]data!M133</f>
        <v>2.1920520780615016E-3</v>
      </c>
      <c r="Q171" s="27">
        <f>[1]data!N171-[1]data!N133</f>
        <v>2.1991468405512249E-3</v>
      </c>
      <c r="R171" s="27">
        <f>[1]data!O171-[1]data!O133</f>
        <v>-0.42404760641283445</v>
      </c>
      <c r="S171" s="27">
        <f>[1]data!P171-[1]data!P133</f>
        <v>-0.42542007246048485</v>
      </c>
      <c r="T171" s="27">
        <f>[1]data!Q171-[1]data!Q133</f>
        <v>-0.95818785645523952</v>
      </c>
      <c r="U171" s="27">
        <f>[1]data!R171-[1]data!R133</f>
        <v>-0.96128911273016715</v>
      </c>
      <c r="V171" s="27">
        <f>[1]data!S171-[1]data!S133</f>
        <v>-0.66282416025876145</v>
      </c>
      <c r="W171" s="27">
        <f>[1]data!T171-[1]data!T133</f>
        <v>-0.66496944687696224</v>
      </c>
      <c r="X171" s="27">
        <f>[1]data!U171-[1]data!U133</f>
        <v>-0.3645015795782498</v>
      </c>
      <c r="Y171" s="27">
        <f>[1]data!V171-[1]data!V133</f>
        <v>-0.36568131985910646</v>
      </c>
      <c r="Z171" s="27">
        <f>[1]data!W171-[1]data!W133</f>
        <v>-0.29832258068051143</v>
      </c>
      <c r="AA171" s="27">
        <f>[1]data!X171-[1]data!X133</f>
        <v>-0.29928812701785557</v>
      </c>
      <c r="AB171" s="27">
        <f>[1]data!Y171-[1]data!Y133</f>
        <v>1.3452178954845246</v>
      </c>
      <c r="AC171" s="27">
        <f>[1]data!Z171-[1]data!Z133</f>
        <v>1.3495718073102803</v>
      </c>
      <c r="AD171" s="14">
        <v>253.92231856471</v>
      </c>
      <c r="AE171" s="15">
        <v>254.7441596875</v>
      </c>
      <c r="AF171">
        <f>D171/(D171+H171)</f>
        <v>0.38892176986351801</v>
      </c>
      <c r="AG171">
        <f>(F171/(D171+H171))</f>
        <v>0.39094269092304301</v>
      </c>
      <c r="AH171">
        <f>(E171/(D171+H171))</f>
        <v>-2.0209210595248475E-3</v>
      </c>
      <c r="AI171">
        <f>(G171/(D171+H171))</f>
        <v>0.88338321770339778</v>
      </c>
      <c r="AJ171">
        <f>(F171/(D171))</f>
        <v>1.0051962148075029</v>
      </c>
      <c r="AK171">
        <f>E171/D171</f>
        <v>-5.1962148075023855E-3</v>
      </c>
      <c r="AL171">
        <f>(H171/(C171+H171))</f>
        <v>0.32445772288532565</v>
      </c>
      <c r="AM171">
        <f>(I171/(D171+H171))</f>
        <v>0.33604535483992215</v>
      </c>
      <c r="AN171">
        <f>(J171/(D171+H171))</f>
        <v>0.27503287529655945</v>
      </c>
      <c r="AO171">
        <f>(I171/H171)</f>
        <v>0.54992198750864962</v>
      </c>
      <c r="AP171">
        <f>J171/H171</f>
        <v>0.45007801249134977</v>
      </c>
      <c r="AQ171">
        <f>(D171+H171)/AD171</f>
        <v>-1.088190372496896E-2</v>
      </c>
    </row>
    <row r="172" spans="1:43" x14ac:dyDescent="0.35">
      <c r="A172" s="17" t="s">
        <v>46</v>
      </c>
      <c r="B172" s="24" t="s">
        <v>70</v>
      </c>
      <c r="C172" s="28">
        <f t="shared" si="12"/>
        <v>3.1760258864367081</v>
      </c>
      <c r="D172" s="27">
        <f>[1]data!C172-[1]data!C134</f>
        <v>4.1228112206977841</v>
      </c>
      <c r="E172" s="27">
        <f>[1]data!D172-[1]data!D134</f>
        <v>0.35377522402826478</v>
      </c>
      <c r="F172" s="27">
        <f>[1]data!E172-[1]data!E134</f>
        <v>3.7690359966695191</v>
      </c>
      <c r="G172" s="27">
        <f>[1]data!F172-[1]data!F134</f>
        <v>-0.94678533426107592</v>
      </c>
      <c r="H172" s="27">
        <f>[1]data!G172-[1]data!G134</f>
        <v>-2.0856298438568492</v>
      </c>
      <c r="I172" s="27">
        <f>[1]data!H172-[1]data!H134</f>
        <v>-2.5396360876331876</v>
      </c>
      <c r="J172" s="27">
        <f>[1]data!I172-[1]data!I134</f>
        <v>0.45400624377633791</v>
      </c>
      <c r="K172" s="27">
        <f>[1]data!J172-[1]data!J134</f>
        <v>0</v>
      </c>
      <c r="L172" s="13">
        <f t="shared" si="13"/>
        <v>1.5576160030941895</v>
      </c>
      <c r="M172" s="27">
        <f>[1]data!K172-[1]data!K134</f>
        <v>2.021947227357126</v>
      </c>
      <c r="N172" s="13">
        <f t="shared" si="14"/>
        <v>0.90289909827338177</v>
      </c>
      <c r="O172" s="13">
        <f t="shared" si="15"/>
        <v>1.3672303225363174</v>
      </c>
      <c r="P172" s="27">
        <f>[1]data!M172-[1]data!M134</f>
        <v>0.17350171886126975</v>
      </c>
      <c r="Q172" s="27">
        <f>[1]data!N172-[1]data!N134</f>
        <v>0.11732097051284782</v>
      </c>
      <c r="R172" s="27">
        <f>[1]data!O172-[1]data!O134</f>
        <v>1.8484455084958551</v>
      </c>
      <c r="S172" s="27">
        <f>[1]data!P172-[1]data!P134</f>
        <v>1.2499093520234696</v>
      </c>
      <c r="T172" s="27">
        <f>[1]data!Q172-[1]data!Q134</f>
        <v>-0.46433122426293566</v>
      </c>
      <c r="U172" s="27">
        <f>[1]data!R172-[1]data!R134</f>
        <v>-0.31397838723145272</v>
      </c>
      <c r="V172" s="27">
        <f>[1]data!S172-[1]data!S134</f>
        <v>-1.0228538864231318</v>
      </c>
      <c r="W172" s="27">
        <f>[1]data!T172-[1]data!T134</f>
        <v>-0.69164854063464798</v>
      </c>
      <c r="X172" s="27">
        <f>[1]data!U172-[1]data!U134</f>
        <v>-1.2455118294300451</v>
      </c>
      <c r="Y172" s="27">
        <f>[1]data!V172-[1]data!V134</f>
        <v>-0.84220869725679992</v>
      </c>
      <c r="Z172" s="27">
        <f>[1]data!W172-[1]data!W134</f>
        <v>0.22265794300691311</v>
      </c>
      <c r="AA172" s="27">
        <f>[1]data!X172-[1]data!X134</f>
        <v>0.15056015662215227</v>
      </c>
      <c r="AB172" s="27">
        <f>[1]data!Y172-[1]data!Y134</f>
        <v>0</v>
      </c>
      <c r="AC172" s="27">
        <f>[1]data!Z172-[1]data!Z134</f>
        <v>0</v>
      </c>
      <c r="AD172" s="14">
        <v>301.54474727050001</v>
      </c>
      <c r="AE172" s="15">
        <v>203.90300819506001</v>
      </c>
      <c r="AF172">
        <f>D172/(D172+H172)</f>
        <v>2.0237821077527438</v>
      </c>
      <c r="AG172">
        <f>(F172/(D172+H172))</f>
        <v>1.8501229392319392</v>
      </c>
      <c r="AH172">
        <f>(E172/(D172+H172))</f>
        <v>0.17365916852080468</v>
      </c>
      <c r="AI172">
        <f>(G172/(D172+H172))</f>
        <v>-0.46475259641792899</v>
      </c>
      <c r="AJ172">
        <f>(F172/(D172))</f>
        <v>0.91419077782358693</v>
      </c>
      <c r="AK172">
        <f>E172/D172</f>
        <v>8.5809222176413028E-2</v>
      </c>
      <c r="AL172">
        <f>(H172/(C172+H172))</f>
        <v>-1.9127269014314137</v>
      </c>
      <c r="AM172">
        <f>(I172/(D172+H172))</f>
        <v>-1.2466421088000574</v>
      </c>
      <c r="AN172">
        <f>(J172/(D172+H172))</f>
        <v>0.22286000104731332</v>
      </c>
      <c r="AO172">
        <f>(I172/H172)</f>
        <v>1.2176830395449116</v>
      </c>
      <c r="AP172">
        <f>J172/H172</f>
        <v>-0.21768303954491142</v>
      </c>
      <c r="AQ172">
        <f>(D172+H172)/AD172</f>
        <v>6.7558178190167111E-3</v>
      </c>
    </row>
    <row r="173" spans="1:43" x14ac:dyDescent="0.35">
      <c r="A173" s="17" t="s">
        <v>47</v>
      </c>
      <c r="B173" s="24" t="s">
        <v>70</v>
      </c>
      <c r="C173" s="28">
        <f t="shared" si="12"/>
        <v>1.1003161672985489</v>
      </c>
      <c r="D173" s="27">
        <f>[1]data!C173-[1]data!C135</f>
        <v>1.1003161672985491</v>
      </c>
      <c r="E173" s="27">
        <f>[1]data!D173-[1]data!D135</f>
        <v>5.4677508422957787E-2</v>
      </c>
      <c r="F173" s="27">
        <f>[1]data!E173-[1]data!E135</f>
        <v>1.045638658875591</v>
      </c>
      <c r="G173" s="27">
        <f>[1]data!F173-[1]data!F135</f>
        <v>0</v>
      </c>
      <c r="H173" s="27">
        <f>[1]data!G173-[1]data!G135</f>
        <v>-0.58381004119310087</v>
      </c>
      <c r="I173" s="27">
        <f>[1]data!H173-[1]data!H135</f>
        <v>0.1</v>
      </c>
      <c r="J173" s="27">
        <f>[1]data!I173-[1]data!I135</f>
        <v>-0.68381004119310085</v>
      </c>
      <c r="K173" s="27">
        <f>[1]data!J173-[1]data!J135</f>
        <v>0</v>
      </c>
      <c r="L173" s="13">
        <f t="shared" si="13"/>
        <v>5.3078445560334151</v>
      </c>
      <c r="M173" s="27">
        <f>[1]data!K173-[1]data!K135</f>
        <v>5.307844556033416</v>
      </c>
      <c r="N173" s="13">
        <f t="shared" si="14"/>
        <v>5.7701396314342315</v>
      </c>
      <c r="O173" s="13">
        <f t="shared" si="15"/>
        <v>5.7701396314342315</v>
      </c>
      <c r="P173" s="27">
        <f>[1]data!M173-[1]data!M135</f>
        <v>0.26376029367341147</v>
      </c>
      <c r="Q173" s="27">
        <f>[1]data!N173-[1]data!N135</f>
        <v>0.28673291157211911</v>
      </c>
      <c r="R173" s="27">
        <f>[1]data!O173-[1]data!O135</f>
        <v>5.0440842623600037</v>
      </c>
      <c r="S173" s="27">
        <f>[1]data!P173-[1]data!P135</f>
        <v>5.4834067198621126</v>
      </c>
      <c r="T173" s="27">
        <f>[1]data!Q173-[1]data!Q135</f>
        <v>0</v>
      </c>
      <c r="U173" s="27">
        <f>[1]data!R173-[1]data!R135</f>
        <v>0</v>
      </c>
      <c r="V173" s="27">
        <f>[1]data!S173-[1]data!S135</f>
        <v>-2.8162568550750504</v>
      </c>
      <c r="W173" s="27">
        <f>[1]data!T173-[1]data!T135</f>
        <v>-3.0615431782559117</v>
      </c>
      <c r="X173" s="27">
        <f>[1]data!U173-[1]data!U135</f>
        <v>0.48239267165046013</v>
      </c>
      <c r="Y173" s="27">
        <f>[1]data!V173-[1]data!V135</f>
        <v>0.52440742060537404</v>
      </c>
      <c r="Z173" s="27">
        <f>[1]data!W173-[1]data!W135</f>
        <v>-3.2986495267255105</v>
      </c>
      <c r="AA173" s="27">
        <f>[1]data!X173-[1]data!X135</f>
        <v>-3.5859505988612859</v>
      </c>
      <c r="AB173" s="27">
        <f>[1]data!Y173-[1]data!Y135</f>
        <v>0</v>
      </c>
      <c r="AC173" s="27">
        <f>[1]data!Z173-[1]data!Z135</f>
        <v>0</v>
      </c>
      <c r="AD173" s="14">
        <v>19.06914282116</v>
      </c>
      <c r="AE173" s="15">
        <v>20.729999827290001</v>
      </c>
      <c r="AF173">
        <f>D173/(D173+H173)</f>
        <v>2.130306131304069</v>
      </c>
      <c r="AG173">
        <f>(F173/(D173+H173))</f>
        <v>2.0244458023371381</v>
      </c>
      <c r="AH173">
        <f>(E173/(D173+H173))</f>
        <v>0.10586032896693079</v>
      </c>
      <c r="AI173">
        <f>(G173/(D173+H173))</f>
        <v>0</v>
      </c>
      <c r="AJ173">
        <f>(F173/(D173))</f>
        <v>0.95030745703100949</v>
      </c>
      <c r="AK173">
        <f>E173/D173</f>
        <v>4.9692542968990221E-2</v>
      </c>
      <c r="AL173">
        <f>(H173/(C173+H173))</f>
        <v>-1.1303061313040697</v>
      </c>
      <c r="AM173">
        <f>(I173/(D173+H173))</f>
        <v>0.19360854585408022</v>
      </c>
      <c r="AN173">
        <f>(J173/(D173+H173))</f>
        <v>-1.3239146771581494</v>
      </c>
      <c r="AO173">
        <f>(I173/H173)</f>
        <v>-0.17128859208319788</v>
      </c>
      <c r="AP173">
        <f>J173/H173</f>
        <v>1.1712885920831979</v>
      </c>
      <c r="AQ173">
        <f>(D173+H173)/AD173</f>
        <v>2.7085964531783212E-2</v>
      </c>
    </row>
    <row r="174" spans="1:43" x14ac:dyDescent="0.35">
      <c r="A174" s="17" t="s">
        <v>48</v>
      </c>
      <c r="B174" s="24" t="s">
        <v>70</v>
      </c>
      <c r="C174" s="28">
        <f t="shared" si="12"/>
        <v>14.072171034417476</v>
      </c>
      <c r="D174" s="27">
        <f>[1]data!C174-[1]data!C136</f>
        <v>14.15911182500178</v>
      </c>
      <c r="E174" s="27">
        <f>[1]data!D174-[1]data!D136</f>
        <v>2.8576480235392485</v>
      </c>
      <c r="F174" s="27">
        <f>[1]data!E174-[1]data!E136</f>
        <v>11.301463801462528</v>
      </c>
      <c r="G174" s="27">
        <f>[1]data!F174-[1]data!F136</f>
        <v>-8.6940790584300487E-2</v>
      </c>
      <c r="H174" s="27">
        <f>[1]data!G174-[1]data!G136</f>
        <v>1.6810953910718078</v>
      </c>
      <c r="I174" s="27">
        <f>[1]data!H174-[1]data!H136</f>
        <v>1.7680361816561088</v>
      </c>
      <c r="J174" s="27">
        <f>[1]data!I174-[1]data!I136</f>
        <v>-8.6940790584300487E-2</v>
      </c>
      <c r="K174" s="27">
        <f>[1]data!J174-[1]data!J136</f>
        <v>0</v>
      </c>
      <c r="L174" s="13">
        <f t="shared" si="13"/>
        <v>3.7882736051330266</v>
      </c>
      <c r="M174" s="27">
        <f>[1]data!K174-[1]data!K136</f>
        <v>3.8116783449826475</v>
      </c>
      <c r="N174" s="13">
        <f t="shared" si="14"/>
        <v>3.3648280781841176</v>
      </c>
      <c r="O174" s="13">
        <f t="shared" si="15"/>
        <v>3.388232818033738</v>
      </c>
      <c r="P174" s="27">
        <f>[1]data!M174-[1]data!M136</f>
        <v>0.7692880191590441</v>
      </c>
      <c r="Q174" s="27">
        <f>[1]data!N174-[1]data!N136</f>
        <v>0.68382656591835456</v>
      </c>
      <c r="R174" s="27">
        <f>[1]data!O174-[1]data!O136</f>
        <v>3.0423903258236029</v>
      </c>
      <c r="S174" s="27">
        <f>[1]data!P174-[1]data!P136</f>
        <v>2.7044062521153833</v>
      </c>
      <c r="T174" s="27">
        <f>[1]data!Q174-[1]data!Q136</f>
        <v>-2.3404739849620326E-2</v>
      </c>
      <c r="U174" s="27">
        <f>[1]data!R174-[1]data!R136</f>
        <v>-2.0804669355275029E-2</v>
      </c>
      <c r="V174" s="27">
        <f>[1]data!S174-[1]data!S136</f>
        <v>0.45255627451743341</v>
      </c>
      <c r="W174" s="27">
        <f>[1]data!T174-[1]data!T136</f>
        <v>0.40228106428377952</v>
      </c>
      <c r="X174" s="27">
        <f>[1]data!U174-[1]data!U136</f>
        <v>0.47596101436705396</v>
      </c>
      <c r="Y174" s="27">
        <f>[1]data!V174-[1]data!V136</f>
        <v>0.42308573363905433</v>
      </c>
      <c r="Z174" s="27">
        <f>[1]data!W174-[1]data!W136</f>
        <v>-2.3404739849620326E-2</v>
      </c>
      <c r="AA174" s="27">
        <f>[1]data!X174-[1]data!X136</f>
        <v>-2.0804669355275029E-2</v>
      </c>
      <c r="AB174" s="27">
        <f>[1]data!Y174-[1]data!Y136</f>
        <v>0</v>
      </c>
      <c r="AC174" s="27">
        <f>[1]data!Z174-[1]data!Z136</f>
        <v>0</v>
      </c>
      <c r="AD174" s="14">
        <v>417.89075855828003</v>
      </c>
      <c r="AE174" s="15">
        <v>371.46659669328</v>
      </c>
      <c r="AF174">
        <f>D174/(D174+H174)</f>
        <v>0.89387162881518722</v>
      </c>
      <c r="AG174">
        <f>(F174/(D174+H174))</f>
        <v>0.71346691664453454</v>
      </c>
      <c r="AH174">
        <f>(E174/(D174+H174))</f>
        <v>0.18040471217065251</v>
      </c>
      <c r="AI174">
        <f>(G174/(D174+H174))</f>
        <v>-5.4886144731792876E-3</v>
      </c>
      <c r="AJ174">
        <f>(F174/(D174))</f>
        <v>0.79817603965149186</v>
      </c>
      <c r="AK174">
        <f>E174/D174</f>
        <v>0.20182396034850789</v>
      </c>
      <c r="AL174">
        <f>(H174/(C174+H174))</f>
        <v>0.1067140836488198</v>
      </c>
      <c r="AM174">
        <f>(I174/(D174+H174))</f>
        <v>0.11161698565799212</v>
      </c>
      <c r="AN174">
        <f>(J174/(D174+H174))</f>
        <v>-5.4886144731792876E-3</v>
      </c>
      <c r="AO174">
        <f>(I174/H174)</f>
        <v>1.0517167503081848</v>
      </c>
      <c r="AP174">
        <f>J174/H174</f>
        <v>-5.1716750308184518E-2</v>
      </c>
      <c r="AQ174">
        <f>(D174+H174)/AD174</f>
        <v>3.7905138823175186E-2</v>
      </c>
    </row>
    <row r="175" spans="1:43" x14ac:dyDescent="0.35">
      <c r="A175" s="17" t="s">
        <v>49</v>
      </c>
      <c r="B175" s="24" t="s">
        <v>70</v>
      </c>
      <c r="C175" s="28">
        <f t="shared" si="12"/>
        <v>13.357727297596252</v>
      </c>
      <c r="D175" s="27">
        <f>[1]data!C175-[1]data!C137</f>
        <v>13.341642509066691</v>
      </c>
      <c r="E175" s="27">
        <f>[1]data!D175-[1]data!D137</f>
        <v>0.55317835395472414</v>
      </c>
      <c r="F175" s="27">
        <f>[1]data!E175-[1]data!E137</f>
        <v>12.788464155111971</v>
      </c>
      <c r="G175" s="27">
        <f>[1]data!F175-[1]data!F137</f>
        <v>1.608478852955697E-2</v>
      </c>
      <c r="H175" s="27">
        <f>[1]data!G175-[1]data!G137</f>
        <v>7.0403264603798448</v>
      </c>
      <c r="I175" s="27">
        <f>[1]data!H175-[1]data!H137</f>
        <v>2.6177261216507137</v>
      </c>
      <c r="J175" s="27">
        <f>[1]data!I175-[1]data!I137</f>
        <v>4.4226003387291293</v>
      </c>
      <c r="K175" s="27">
        <f>[1]data!J175-[1]data!J137</f>
        <v>0</v>
      </c>
      <c r="L175" s="13">
        <f t="shared" si="13"/>
        <v>3.726417976813682</v>
      </c>
      <c r="M175" s="27">
        <f>[1]data!K175-[1]data!K137</f>
        <v>3.7219307879532995</v>
      </c>
      <c r="N175" s="13">
        <f t="shared" si="14"/>
        <v>3.9010323794640813</v>
      </c>
      <c r="O175" s="13">
        <f t="shared" si="15"/>
        <v>3.8965451906036996</v>
      </c>
      <c r="P175" s="27">
        <f>[1]data!M175-[1]data!M137</f>
        <v>0.15432069517784175</v>
      </c>
      <c r="Q175" s="27">
        <f>[1]data!N175-[1]data!N137</f>
        <v>0.16156065141031384</v>
      </c>
      <c r="R175" s="27">
        <f>[1]data!O175-[1]data!O137</f>
        <v>3.5676100927754586</v>
      </c>
      <c r="S175" s="27">
        <f>[1]data!P175-[1]data!P137</f>
        <v>3.7349845391933858</v>
      </c>
      <c r="T175" s="27">
        <f>[1]data!Q175-[1]data!Q137</f>
        <v>4.4871888603814636E-3</v>
      </c>
      <c r="U175" s="27">
        <f>[1]data!R175-[1]data!R137</f>
        <v>4.6977053495571575E-3</v>
      </c>
      <c r="V175" s="27">
        <f>[1]data!S175-[1]data!S137</f>
        <v>1.9640466151242331</v>
      </c>
      <c r="W175" s="27">
        <f>[1]data!T175-[1]data!T137</f>
        <v>2.0561898724861045</v>
      </c>
      <c r="X175" s="27">
        <f>[1]data!U175-[1]data!U137</f>
        <v>0.73026956313514213</v>
      </c>
      <c r="Y175" s="27">
        <f>[1]data!V175-[1]data!V137</f>
        <v>0.76453016356149583</v>
      </c>
      <c r="Z175" s="27">
        <f>[1]data!W175-[1]data!W137</f>
        <v>1.2337770519890903</v>
      </c>
      <c r="AA175" s="27">
        <f>[1]data!X175-[1]data!X137</f>
        <v>1.2916597089246089</v>
      </c>
      <c r="AB175" s="27">
        <f>[1]data!Y175-[1]data!Y137</f>
        <v>0</v>
      </c>
      <c r="AC175" s="27">
        <f>[1]data!Z175-[1]data!Z137</f>
        <v>0</v>
      </c>
      <c r="AD175" s="14">
        <v>342.39670930134002</v>
      </c>
      <c r="AE175" s="15">
        <v>358.46025273358998</v>
      </c>
      <c r="AF175">
        <f>D175/(D175+H175)</f>
        <v>0.65458065062636483</v>
      </c>
      <c r="AG175">
        <f>(F175/(D175+H175))</f>
        <v>0.62744007579848826</v>
      </c>
      <c r="AH175">
        <f>(E175/(D175+H175))</f>
        <v>2.7140574827876674E-2</v>
      </c>
      <c r="AI175">
        <f>(G175/(D175+H175))</f>
        <v>7.89167550675245E-4</v>
      </c>
      <c r="AJ175">
        <f>(F175/(D175))</f>
        <v>0.95853746241673077</v>
      </c>
      <c r="AK175">
        <f>E175/D175</f>
        <v>4.1462537583269538E-2</v>
      </c>
      <c r="AL175">
        <f>(H175/(C175+H175))</f>
        <v>0.34514697058423621</v>
      </c>
      <c r="AM175">
        <f>(I175/(D175+H175))</f>
        <v>0.12843342689682238</v>
      </c>
      <c r="AN175">
        <f>(J175/(D175+H175))</f>
        <v>0.21698592247681275</v>
      </c>
      <c r="AO175">
        <f>(I175/H175)</f>
        <v>0.37181885476223786</v>
      </c>
      <c r="AP175">
        <f>J175/H175</f>
        <v>0.62818114523776192</v>
      </c>
      <c r="AQ175">
        <f>(D175+H175)/AD175</f>
        <v>5.9527350630898042E-2</v>
      </c>
    </row>
    <row r="176" spans="1:43" x14ac:dyDescent="0.35">
      <c r="A176" s="21" t="s">
        <v>50</v>
      </c>
      <c r="B176" s="24" t="s">
        <v>70</v>
      </c>
      <c r="C176" s="28">
        <f t="shared" si="12"/>
        <v>0.29461204530702118</v>
      </c>
      <c r="D176" s="27">
        <f>[1]data!C176-[1]data!C138</f>
        <v>0.29461204530702156</v>
      </c>
      <c r="E176" s="27">
        <f>[1]data!D176-[1]data!D138</f>
        <v>0.44007731725619964</v>
      </c>
      <c r="F176" s="27">
        <f>[1]data!E176-[1]data!E138</f>
        <v>-0.14546527194917847</v>
      </c>
      <c r="G176" s="27">
        <f>[1]data!F176-[1]data!F138</f>
        <v>0</v>
      </c>
      <c r="H176" s="27">
        <f>[1]data!G176-[1]data!G138</f>
        <v>6.6639612864809128E-2</v>
      </c>
      <c r="I176" s="27">
        <f>[1]data!H176-[1]data!H138</f>
        <v>6.1972289180490719E-2</v>
      </c>
      <c r="J176" s="27">
        <f>[1]data!I176-[1]data!I138</f>
        <v>4.6673236843185473E-3</v>
      </c>
      <c r="K176" s="27">
        <f>[1]data!J176-[1]data!J138</f>
        <v>0</v>
      </c>
      <c r="L176" s="13">
        <f t="shared" si="13"/>
        <v>0.97682787811756189</v>
      </c>
      <c r="M176" s="27">
        <f>[1]data!K176-[1]data!K138</f>
        <v>0.976827878117561</v>
      </c>
      <c r="N176" s="13">
        <f t="shared" si="14"/>
        <v>0.53157394248286383</v>
      </c>
      <c r="O176" s="13">
        <f t="shared" si="15"/>
        <v>0.53157394248286383</v>
      </c>
      <c r="P176" s="27">
        <f>[1]data!M176-[1]data!M138</f>
        <v>1.4591385480354555</v>
      </c>
      <c r="Q176" s="27">
        <f>[1]data!N176-[1]data!N138</f>
        <v>0.79403961330696116</v>
      </c>
      <c r="R176" s="27">
        <f>[1]data!O176-[1]data!O138</f>
        <v>-0.48231066991789362</v>
      </c>
      <c r="S176" s="27">
        <f>[1]data!P176-[1]data!P138</f>
        <v>-0.26246567082409733</v>
      </c>
      <c r="T176" s="27">
        <f>[1]data!Q176-[1]data!Q138</f>
        <v>0</v>
      </c>
      <c r="U176" s="27">
        <f>[1]data!R176-[1]data!R138</f>
        <v>0</v>
      </c>
      <c r="V176" s="27">
        <f>[1]data!S176-[1]data!S138</f>
        <v>0.22095305562089251</v>
      </c>
      <c r="W176" s="27">
        <f>[1]data!T176-[1]data!T138</f>
        <v>0.12023908153233354</v>
      </c>
      <c r="X176" s="27">
        <f>[1]data!U176-[1]data!U138</f>
        <v>0.20547788424326185</v>
      </c>
      <c r="Y176" s="27">
        <f>[1]data!V176-[1]data!V138</f>
        <v>0.11181774339888634</v>
      </c>
      <c r="Z176" s="27">
        <f>[1]data!W176-[1]data!W138</f>
        <v>1.5475171377631103E-2</v>
      </c>
      <c r="AA176" s="27">
        <f>[1]data!X176-[1]data!X138</f>
        <v>8.4213381334472537E-3</v>
      </c>
      <c r="AB176" s="27">
        <f>[1]data!Y176-[1]data!Y138</f>
        <v>0</v>
      </c>
      <c r="AC176" s="27">
        <f>[1]data!Z176-[1]data!Z138</f>
        <v>0</v>
      </c>
      <c r="AD176" s="22">
        <v>55.422589739999999</v>
      </c>
      <c r="AE176" s="15">
        <v>30.160077523049999</v>
      </c>
      <c r="AF176">
        <f>D176/(D176+H176)</f>
        <v>0.81553133014793877</v>
      </c>
      <c r="AG176">
        <f>(F176/(D176+H176))</f>
        <v>-0.40267018478289551</v>
      </c>
      <c r="AH176">
        <f>(E176/(D176+H176))</f>
        <v>1.2182015149308332</v>
      </c>
      <c r="AI176">
        <f>(G176/(D176+H176))</f>
        <v>0</v>
      </c>
      <c r="AJ176">
        <f>(F176/(D176))</f>
        <v>-0.49375195028969698</v>
      </c>
      <c r="AK176">
        <f>E176/D176</f>
        <v>1.4937519502896957</v>
      </c>
      <c r="AL176">
        <f>(H176/(C176+H176))</f>
        <v>0.18446866985206148</v>
      </c>
      <c r="AM176">
        <f>(I176/(D176+H176))</f>
        <v>0.17154880200165992</v>
      </c>
      <c r="AN176">
        <f>(J176/(D176+H176))</f>
        <v>1.2919867850401721E-2</v>
      </c>
      <c r="AO176">
        <f>(I176/H176)</f>
        <v>0.92996172271008015</v>
      </c>
      <c r="AP176">
        <f>J176/H176</f>
        <v>7.0038277289921888E-2</v>
      </c>
      <c r="AQ176">
        <f>(D176+H176)/AD176</f>
        <v>6.5181302401519769E-3</v>
      </c>
    </row>
    <row r="177" spans="1:43" x14ac:dyDescent="0.35">
      <c r="A177" s="17" t="s">
        <v>51</v>
      </c>
      <c r="B177" s="24" t="s">
        <v>70</v>
      </c>
      <c r="C177" s="28">
        <f t="shared" si="12"/>
        <v>2.1460296418646996E-2</v>
      </c>
      <c r="D177" s="27">
        <f>[1]data!C177-[1]data!C139</f>
        <v>1.0191779364477664</v>
      </c>
      <c r="E177" s="27">
        <f>[1]data!D177-[1]data!D139</f>
        <v>0.1612886831869611</v>
      </c>
      <c r="F177" s="27">
        <f>[1]data!E177-[1]data!E139</f>
        <v>0.85788925326080534</v>
      </c>
      <c r="G177" s="27">
        <f>[1]data!F177-[1]data!F139</f>
        <v>-0.99771764002911945</v>
      </c>
      <c r="H177" s="27">
        <f>[1]data!G177-[1]data!G139</f>
        <v>-0.39425692407598323</v>
      </c>
      <c r="I177" s="27">
        <f>[1]data!H177-[1]data!H139</f>
        <v>5.8029995609220342E-2</v>
      </c>
      <c r="J177" s="27">
        <f>[1]data!I177-[1]data!I139</f>
        <v>-0.45228691968520374</v>
      </c>
      <c r="K177" s="27">
        <f>[1]data!J177-[1]data!J139</f>
        <v>0</v>
      </c>
      <c r="L177" s="13">
        <f t="shared" si="13"/>
        <v>4.4507952490343783E-2</v>
      </c>
      <c r="M177" s="27">
        <f>[1]data!K177-[1]data!K139</f>
        <v>2.1137416878925004</v>
      </c>
      <c r="N177" s="13">
        <f t="shared" si="14"/>
        <v>-1.020006706436039</v>
      </c>
      <c r="O177" s="13">
        <f t="shared" si="15"/>
        <v>1.0492270289661181</v>
      </c>
      <c r="P177" s="27">
        <f>[1]data!M177-[1]data!M139</f>
        <v>0.33450745080472855</v>
      </c>
      <c r="Q177" s="27">
        <f>[1]data!N177-[1]data!N139</f>
        <v>0.16604406337124999</v>
      </c>
      <c r="R177" s="27">
        <f>[1]data!O177-[1]data!O139</f>
        <v>1.7792342370877723</v>
      </c>
      <c r="S177" s="27">
        <f>[1]data!P177-[1]data!P139</f>
        <v>0.8831829655948682</v>
      </c>
      <c r="T177" s="27">
        <f>[1]data!Q177-[1]data!Q139</f>
        <v>-2.069233735402157</v>
      </c>
      <c r="U177" s="27">
        <f>[1]data!R177-[1]data!R139</f>
        <v>-1.0271340045325743</v>
      </c>
      <c r="V177" s="27">
        <f>[1]data!S177-[1]data!S139</f>
        <v>-0.81767595859095099</v>
      </c>
      <c r="W177" s="27">
        <f>[1]data!T177-[1]data!T139</f>
        <v>-0.40588105992497137</v>
      </c>
      <c r="X177" s="27">
        <f>[1]data!U177-[1]data!U139</f>
        <v>0.12035231187887319</v>
      </c>
      <c r="Y177" s="27">
        <f>[1]data!V177-[1]data!V139</f>
        <v>5.9740932085120324E-2</v>
      </c>
      <c r="Z177" s="27">
        <f>[1]data!W177-[1]data!W139</f>
        <v>-0.9380282704698244</v>
      </c>
      <c r="AA177" s="27">
        <f>[1]data!X177-[1]data!X139</f>
        <v>-0.46562199201009169</v>
      </c>
      <c r="AB177" s="27">
        <f>[1]data!Y177-[1]data!Y139</f>
        <v>0</v>
      </c>
      <c r="AC177" s="27">
        <f>[1]data!Z177-[1]data!Z139</f>
        <v>0</v>
      </c>
      <c r="AD177" s="14">
        <v>97.136073348400004</v>
      </c>
      <c r="AE177" s="15">
        <v>48.216768505140003</v>
      </c>
      <c r="AF177">
        <f>D177/(D177+H177)</f>
        <v>1.630890810631646</v>
      </c>
      <c r="AG177">
        <f>(F177/(D177+H177))</f>
        <v>1.3727962994952436</v>
      </c>
      <c r="AH177">
        <f>(E177/(D177+H177))</f>
        <v>0.25809451113640247</v>
      </c>
      <c r="AI177">
        <f>(G177/(D177+H177))</f>
        <v>-1.5965499963626586</v>
      </c>
      <c r="AJ177">
        <f>(F177/(D177))</f>
        <v>0.84174629628549924</v>
      </c>
      <c r="AK177">
        <f>E177/D177</f>
        <v>0.15825370371450076</v>
      </c>
      <c r="AL177">
        <f>(H177/(C177+H177))</f>
        <v>1.0575656935351161</v>
      </c>
      <c r="AM177">
        <f>(I177/(D177+H177))</f>
        <v>9.285972860630369E-2</v>
      </c>
      <c r="AN177">
        <f>(J177/(D177+H177))</f>
        <v>-0.72375053923795007</v>
      </c>
      <c r="AO177">
        <f>(I177/H177)</f>
        <v>-0.14718827258449493</v>
      </c>
      <c r="AP177">
        <f>J177/H177</f>
        <v>1.1471882725844953</v>
      </c>
      <c r="AQ177">
        <f>(D177+H177)/AD177</f>
        <v>6.4334596904114692E-3</v>
      </c>
    </row>
    <row r="178" spans="1:43" x14ac:dyDescent="0.35">
      <c r="A178" s="17" t="s">
        <v>52</v>
      </c>
      <c r="B178" s="24" t="s">
        <v>70</v>
      </c>
      <c r="C178" s="28">
        <f t="shared" si="12"/>
        <v>0.1244481767756411</v>
      </c>
      <c r="D178" s="27">
        <f>[1]data!C178-[1]data!C140</f>
        <v>0.12197614489762643</v>
      </c>
      <c r="E178" s="27">
        <f>[1]data!D178-[1]data!D140</f>
        <v>0.11473187508637858</v>
      </c>
      <c r="F178" s="27">
        <f>[1]data!E178-[1]data!E140</f>
        <v>7.2442698112475945E-3</v>
      </c>
      <c r="G178" s="27">
        <f>[1]data!F178-[1]data!F140</f>
        <v>2.4720318780149242E-3</v>
      </c>
      <c r="H178" s="27">
        <f>[1]data!G178-[1]data!G140</f>
        <v>8.7534926885912689E-3</v>
      </c>
      <c r="I178" s="27">
        <f>[1]data!H178-[1]data!H140</f>
        <v>1.2073783018746731E-3</v>
      </c>
      <c r="J178" s="27">
        <f>[1]data!I178-[1]data!I140</f>
        <v>7.5461143867165958E-3</v>
      </c>
      <c r="K178" s="27">
        <f>[1]data!J178-[1]data!J140</f>
        <v>-8.696217414326135E-3</v>
      </c>
      <c r="L178" s="13">
        <f t="shared" si="13"/>
        <v>0.18697845389002388</v>
      </c>
      <c r="M178" s="27">
        <f>[1]data!K178-[1]data!K140</f>
        <v>0.18326432395663517</v>
      </c>
      <c r="N178" s="13">
        <f t="shared" si="14"/>
        <v>0.18756962964702706</v>
      </c>
      <c r="O178" s="13">
        <f t="shared" si="15"/>
        <v>0.18385549971363901</v>
      </c>
      <c r="P178" s="27">
        <f>[1]data!M178-[1]data!M140</f>
        <v>0.17238009564599355</v>
      </c>
      <c r="Q178" s="27">
        <f>[1]data!N178-[1]data!N140</f>
        <v>0.17293616095830111</v>
      </c>
      <c r="R178" s="27">
        <f>[1]data!O178-[1]data!O140</f>
        <v>1.0884228310642285E-2</v>
      </c>
      <c r="S178" s="27">
        <f>[1]data!P178-[1]data!P140</f>
        <v>1.0919338755337904E-2</v>
      </c>
      <c r="T178" s="27">
        <f>[1]data!Q178-[1]data!Q140</f>
        <v>3.714129933388044E-3</v>
      </c>
      <c r="U178" s="27">
        <f>[1]data!R178-[1]data!R140</f>
        <v>3.726111008196753E-3</v>
      </c>
      <c r="V178" s="27">
        <f>[1]data!S178-[1]data!S140</f>
        <v>1.3151775875360983E-2</v>
      </c>
      <c r="W178" s="27">
        <f>[1]data!T178-[1]data!T140</f>
        <v>1.3194200996034411E-2</v>
      </c>
      <c r="X178" s="27">
        <f>[1]data!U178-[1]data!U140</f>
        <v>1.8140380517739363E-3</v>
      </c>
      <c r="Y178" s="27">
        <f>[1]data!V178-[1]data!V140</f>
        <v>1.8198897925564284E-3</v>
      </c>
      <c r="Z178" s="27">
        <f>[1]data!W178-[1]data!W140</f>
        <v>1.133773782358638E-2</v>
      </c>
      <c r="AA178" s="27">
        <f>[1]data!X178-[1]data!X140</f>
        <v>1.1374311203478094E-2</v>
      </c>
      <c r="AB178" s="27">
        <f>[1]data!Y178-[1]data!Y140</f>
        <v>-1.3065722045519479E-2</v>
      </c>
      <c r="AC178" s="27">
        <f>[1]data!Z178-[1]data!Z140</f>
        <v>-1.3107869572950515E-2</v>
      </c>
      <c r="AD178" s="14">
        <v>66.343484468840003</v>
      </c>
      <c r="AE178" s="15">
        <v>66.557495896739994</v>
      </c>
      <c r="AF178">
        <f>D178/(D178+H178)</f>
        <v>0.93304125330556176</v>
      </c>
      <c r="AG178">
        <f>(F178/(D178+H178))</f>
        <v>5.5414135195394509E-2</v>
      </c>
      <c r="AH178">
        <f>(E178/(D178+H178))</f>
        <v>0.87762711811016525</v>
      </c>
      <c r="AI178">
        <f>(G178/(D178+H178))</f>
        <v>1.8909498440126789E-2</v>
      </c>
      <c r="AJ178">
        <f>(F178/(D178))</f>
        <v>5.9390873660810077E-2</v>
      </c>
      <c r="AK178">
        <f>E178/D178</f>
        <v>0.94060912633918792</v>
      </c>
      <c r="AL178">
        <f>(H178/(C178+H178))</f>
        <v>6.5716088422914085E-2</v>
      </c>
      <c r="AM178">
        <f>(I178/(D178+H178))</f>
        <v>9.2356891992329843E-3</v>
      </c>
      <c r="AN178">
        <f>(J178/(D178+H178))</f>
        <v>5.7723057495205302E-2</v>
      </c>
      <c r="AO178">
        <f>(I178/H178)</f>
        <v>0.13793103448276037</v>
      </c>
      <c r="AP178">
        <f>J178/H178</f>
        <v>0.86206896551723966</v>
      </c>
      <c r="AQ178">
        <f>(D178+H178)/AD178</f>
        <v>1.9704970070967311E-3</v>
      </c>
    </row>
    <row r="179" spans="1:43" x14ac:dyDescent="0.35">
      <c r="A179" s="17" t="s">
        <v>53</v>
      </c>
      <c r="B179" s="24" t="s">
        <v>70</v>
      </c>
      <c r="C179" s="28">
        <f t="shared" si="12"/>
        <v>0.71613001505309626</v>
      </c>
      <c r="D179" s="27">
        <f>[1]data!C179-[1]data!C141</f>
        <v>0.67809759854404916</v>
      </c>
      <c r="E179" s="27">
        <f>[1]data!D179-[1]data!D141</f>
        <v>8.6285741513915326E-2</v>
      </c>
      <c r="F179" s="27">
        <f>[1]data!E179-[1]data!E141</f>
        <v>0.59181185703013028</v>
      </c>
      <c r="G179" s="27">
        <f>[1]data!F179-[1]data!F141</f>
        <v>3.8032416509050648E-2</v>
      </c>
      <c r="H179" s="27">
        <f>[1]data!G179-[1]data!G141</f>
        <v>0.19619897405462439</v>
      </c>
      <c r="I179" s="27">
        <f>[1]data!H179-[1]data!H141</f>
        <v>0</v>
      </c>
      <c r="J179" s="27">
        <f>[1]data!I179-[1]data!I141</f>
        <v>0.19619897405462439</v>
      </c>
      <c r="K179" s="27">
        <f>[1]data!J179-[1]data!J141</f>
        <v>0</v>
      </c>
      <c r="L179" s="13">
        <f t="shared" si="13"/>
        <v>8.5228164212247992E-2</v>
      </c>
      <c r="M179" s="27">
        <f>[1]data!K179-[1]data!K141</f>
        <v>8.0701845008350759E-2</v>
      </c>
      <c r="N179" s="13">
        <f t="shared" si="14"/>
        <v>7.7249205676184207E-2</v>
      </c>
      <c r="O179" s="13">
        <f t="shared" si="15"/>
        <v>7.2722886472287085E-2</v>
      </c>
      <c r="P179" s="27">
        <f>[1]data!M179-[1]data!M141</f>
        <v>1.0269050580680283E-2</v>
      </c>
      <c r="Q179" s="27">
        <f>[1]data!N179-[1]data!N141</f>
        <v>9.2537537336314646E-3</v>
      </c>
      <c r="R179" s="27">
        <f>[1]data!O179-[1]data!O141</f>
        <v>7.0432794427670586E-2</v>
      </c>
      <c r="S179" s="27">
        <f>[1]data!P179-[1]data!P141</f>
        <v>6.346913273865562E-2</v>
      </c>
      <c r="T179" s="27">
        <f>[1]data!Q179-[1]data!Q141</f>
        <v>4.5263192038971223E-3</v>
      </c>
      <c r="U179" s="27">
        <f>[1]data!R179-[1]data!R141</f>
        <v>4.078803868341252E-3</v>
      </c>
      <c r="V179" s="27">
        <f>[1]data!S179-[1]data!S141</f>
        <v>2.3350059385181865E-2</v>
      </c>
      <c r="W179" s="27">
        <f>[1]data!T179-[1]data!T141</f>
        <v>2.1041448527157947E-2</v>
      </c>
      <c r="X179" s="27">
        <f>[1]data!U179-[1]data!U141</f>
        <v>0</v>
      </c>
      <c r="Y179" s="27">
        <f>[1]data!V179-[1]data!V141</f>
        <v>0</v>
      </c>
      <c r="Z179" s="27">
        <f>[1]data!W179-[1]data!W141</f>
        <v>2.3350059385181865E-2</v>
      </c>
      <c r="AA179" s="27">
        <f>[1]data!X179-[1]data!X141</f>
        <v>2.1041448527157947E-2</v>
      </c>
      <c r="AB179" s="27">
        <f>[1]data!Y179-[1]data!Y141</f>
        <v>0</v>
      </c>
      <c r="AC179" s="27">
        <f>[1]data!Z179-[1]data!Z141</f>
        <v>0</v>
      </c>
      <c r="AD179" s="14">
        <v>932.44043441874999</v>
      </c>
      <c r="AE179" s="15">
        <v>840.25042856688003</v>
      </c>
      <c r="AF179">
        <f>D179/(D179+H179)</f>
        <v>0.77559219582496841</v>
      </c>
      <c r="AG179">
        <f>(F179/(D179+H179))</f>
        <v>0.67690057993832309</v>
      </c>
      <c r="AH179">
        <f>(E179/(D179+H179))</f>
        <v>9.869161588664134E-2</v>
      </c>
      <c r="AI179">
        <f>(G179/(D179+H179))</f>
        <v>4.3500589732391168E-2</v>
      </c>
      <c r="AJ179">
        <f>(F179/(D179))</f>
        <v>0.87275321178074672</v>
      </c>
      <c r="AK179">
        <f>E179/D179</f>
        <v>0.12724678821924806</v>
      </c>
      <c r="AL179">
        <f>(H179/(C179+H179))</f>
        <v>0.21505287719346902</v>
      </c>
      <c r="AM179">
        <f>(I179/(D179+H179))</f>
        <v>0</v>
      </c>
      <c r="AN179">
        <f>(J179/(D179+H179))</f>
        <v>0.22440780417503156</v>
      </c>
      <c r="AO179">
        <f>(I179/H179)</f>
        <v>0</v>
      </c>
      <c r="AP179">
        <f>J179/H179</f>
        <v>1</v>
      </c>
      <c r="AQ179">
        <f>(D179+H179)/AD179</f>
        <v>9.3764334999444634E-4</v>
      </c>
    </row>
    <row r="180" spans="1:43" x14ac:dyDescent="0.35">
      <c r="A180" s="17" t="s">
        <v>54</v>
      </c>
      <c r="B180" s="24" t="s">
        <v>70</v>
      </c>
      <c r="C180" s="28">
        <f t="shared" si="12"/>
        <v>0.45804418199202646</v>
      </c>
      <c r="D180" s="27">
        <f>[1]data!C180-[1]data!C142</f>
        <v>0.45804418199202956</v>
      </c>
      <c r="E180" s="27">
        <f>[1]data!D180-[1]data!D142</f>
        <v>8.4225719459962711E-3</v>
      </c>
      <c r="F180" s="27">
        <f>[1]data!E180-[1]data!E142</f>
        <v>0.44962161004603018</v>
      </c>
      <c r="G180" s="27">
        <f>[1]data!F180-[1]data!F142</f>
        <v>0</v>
      </c>
      <c r="H180" s="27">
        <f>[1]data!G180-[1]data!G142</f>
        <v>0.14890109120145745</v>
      </c>
      <c r="I180" s="27">
        <f>[1]data!H180-[1]data!H142</f>
        <v>0.13540337974953975</v>
      </c>
      <c r="J180" s="27">
        <f>[1]data!I180-[1]data!I142</f>
        <v>1.3497711451917915E-2</v>
      </c>
      <c r="K180" s="27">
        <f>[1]data!J180-[1]data!J142</f>
        <v>0</v>
      </c>
      <c r="L180" s="13">
        <f t="shared" si="13"/>
        <v>0.22570525354735782</v>
      </c>
      <c r="M180" s="27">
        <f>[1]data!K180-[1]data!K142</f>
        <v>0.22570525354736048</v>
      </c>
      <c r="N180" s="13">
        <f t="shared" si="14"/>
        <v>0.23613713299910488</v>
      </c>
      <c r="O180" s="13">
        <f t="shared" si="15"/>
        <v>0.23613713299910488</v>
      </c>
      <c r="P180" s="27">
        <f>[1]data!M180-[1]data!M142</f>
        <v>4.1502955639005634E-3</v>
      </c>
      <c r="Q180" s="27">
        <f>[1]data!N180-[1]data!N142</f>
        <v>4.3421182278895465E-3</v>
      </c>
      <c r="R180" s="27">
        <f>[1]data!O180-[1]data!O142</f>
        <v>0.22155495798345726</v>
      </c>
      <c r="S180" s="27">
        <f>[1]data!P180-[1]data!P142</f>
        <v>0.23179501477121534</v>
      </c>
      <c r="T180" s="27">
        <f>[1]data!Q180-[1]data!Q142</f>
        <v>0</v>
      </c>
      <c r="U180" s="27">
        <f>[1]data!R180-[1]data!R142</f>
        <v>0</v>
      </c>
      <c r="V180" s="27">
        <f>[1]data!S180-[1]data!S142</f>
        <v>7.3372307441923912E-2</v>
      </c>
      <c r="W180" s="27">
        <f>[1]data!T180-[1]data!T142</f>
        <v>7.6763504830113405E-2</v>
      </c>
      <c r="X180" s="27">
        <f>[1]data!U180-[1]data!U142</f>
        <v>6.6721192756185488E-2</v>
      </c>
      <c r="Y180" s="27">
        <f>[1]data!V180-[1]data!V142</f>
        <v>6.9804982029008533E-2</v>
      </c>
      <c r="Z180" s="27">
        <f>[1]data!W180-[1]data!W142</f>
        <v>6.6511146857386461E-3</v>
      </c>
      <c r="AA180" s="27">
        <f>[1]data!X180-[1]data!X142</f>
        <v>6.9585228011050937E-3</v>
      </c>
      <c r="AB180" s="27">
        <f>[1]data!Y180-[1]data!Y142</f>
        <v>0</v>
      </c>
      <c r="AC180" s="27">
        <f>[1]data!Z180-[1]data!Z142</f>
        <v>0</v>
      </c>
      <c r="AD180" s="14">
        <v>193.97380504054999</v>
      </c>
      <c r="AE180" s="15">
        <v>202.93908750153</v>
      </c>
      <c r="AF180">
        <f>D180/(D180+H180)</f>
        <v>0.75467130600094556</v>
      </c>
      <c r="AG180">
        <f>(F180/(D180+H180))</f>
        <v>0.74079431853931932</v>
      </c>
      <c r="AH180">
        <f>(E180/(D180+H180))</f>
        <v>1.3876987461621196E-2</v>
      </c>
      <c r="AI180">
        <f>(G180/(D180+H180))</f>
        <v>0</v>
      </c>
      <c r="AJ180">
        <f>(F180/(D180))</f>
        <v>0.98161187877254619</v>
      </c>
      <c r="AK180">
        <f>E180/D180</f>
        <v>1.8388121227447079E-2</v>
      </c>
      <c r="AL180">
        <f>(H180/(C180+H180))</f>
        <v>0.24532869399905566</v>
      </c>
      <c r="AM180">
        <f>(I180/(D180+H180))</f>
        <v>0.22308993204132715</v>
      </c>
      <c r="AN180">
        <f>(J180/(D180+H180))</f>
        <v>2.2238761957727619E-2</v>
      </c>
      <c r="AO180">
        <f>(I180/H180)</f>
        <v>0.90935115825540991</v>
      </c>
      <c r="AP180">
        <f>J180/H180</f>
        <v>9.0648841744591591E-2</v>
      </c>
      <c r="AQ180">
        <f>(D180+H180)/AD180</f>
        <v>3.1290063782921916E-3</v>
      </c>
    </row>
    <row r="181" spans="1:43" x14ac:dyDescent="0.35">
      <c r="A181" s="17" t="s">
        <v>55</v>
      </c>
      <c r="B181" s="24" t="s">
        <v>70</v>
      </c>
      <c r="C181" s="28">
        <f t="shared" si="12"/>
        <v>6.4610800792816336E-2</v>
      </c>
      <c r="D181" s="27">
        <f>[1]data!C181-[1]data!C143</f>
        <v>6.4610800792815226E-2</v>
      </c>
      <c r="E181" s="27">
        <f>[1]data!D181-[1]data!D143</f>
        <v>5.5249140820461395E-3</v>
      </c>
      <c r="F181" s="27">
        <f>[1]data!E181-[1]data!E143</f>
        <v>5.9085886710770197E-2</v>
      </c>
      <c r="G181" s="27">
        <f>[1]data!F181-[1]data!F143</f>
        <v>0</v>
      </c>
      <c r="H181" s="27">
        <f>[1]data!G181-[1]data!G143</f>
        <v>2.4021959889068967E-2</v>
      </c>
      <c r="I181" s="27">
        <f>[1]data!H181-[1]data!H143</f>
        <v>-1.5880197370153226E-2</v>
      </c>
      <c r="J181" s="27">
        <f>[1]data!I181-[1]data!I143</f>
        <v>3.9902157259222193E-2</v>
      </c>
      <c r="K181" s="27">
        <f>[1]data!J181-[1]data!J143</f>
        <v>0</v>
      </c>
      <c r="L181" s="13">
        <f t="shared" si="13"/>
        <v>1.5749154360872153E-2</v>
      </c>
      <c r="M181" s="27">
        <f>[1]data!K181-[1]data!K143</f>
        <v>1.5749154360872542E-2</v>
      </c>
      <c r="N181" s="13">
        <f t="shared" si="14"/>
        <v>1.9552115711977791E-2</v>
      </c>
      <c r="O181" s="13">
        <f t="shared" si="15"/>
        <v>1.9552115711977791E-2</v>
      </c>
      <c r="P181" s="27">
        <f>[1]data!M181-[1]data!M143</f>
        <v>1.3467210379843331E-3</v>
      </c>
      <c r="Q181" s="27">
        <f>[1]data!N181-[1]data!N143</f>
        <v>1.6719148827344377E-3</v>
      </c>
      <c r="R181" s="27">
        <f>[1]data!O181-[1]data!O143</f>
        <v>1.440243332288782E-2</v>
      </c>
      <c r="S181" s="27">
        <f>[1]data!P181-[1]data!P143</f>
        <v>1.7880200829243353E-2</v>
      </c>
      <c r="T181" s="27">
        <f>[1]data!Q181-[1]data!Q143</f>
        <v>0</v>
      </c>
      <c r="U181" s="27">
        <f>[1]data!R181-[1]data!R143</f>
        <v>0</v>
      </c>
      <c r="V181" s="27">
        <f>[1]data!S181-[1]data!S143</f>
        <v>5.8554537275710139E-3</v>
      </c>
      <c r="W181" s="27">
        <f>[1]data!T181-[1]data!T143</f>
        <v>7.269374990191757E-3</v>
      </c>
      <c r="X181" s="27">
        <f>[1]data!U181-[1]data!U143</f>
        <v>-3.8708648800940271E-3</v>
      </c>
      <c r="Y181" s="27">
        <f>[1]data!V181-[1]data!V143</f>
        <v>-4.8055658295571568E-3</v>
      </c>
      <c r="Z181" s="27">
        <f>[1]data!W181-[1]data!W143</f>
        <v>9.7263186076648189E-3</v>
      </c>
      <c r="AA181" s="27">
        <f>[1]data!X181-[1]data!X143</f>
        <v>1.2074940819748914E-2</v>
      </c>
      <c r="AB181" s="27">
        <f>[1]data!Y181-[1]data!Y143</f>
        <v>0</v>
      </c>
      <c r="AC181" s="27">
        <f>[1]data!Z181-[1]data!Z143</f>
        <v>0</v>
      </c>
      <c r="AD181" s="14">
        <v>330.45426768437</v>
      </c>
      <c r="AE181" s="15">
        <v>410.24933347112</v>
      </c>
      <c r="AF181">
        <f>D181/(D181+H181)</f>
        <v>0.72897199969560622</v>
      </c>
      <c r="AG181">
        <f>(F181/(D181+H181))</f>
        <v>0.66663710185941283</v>
      </c>
      <c r="AH181">
        <f>(E181/(D181+H181))</f>
        <v>6.233489783620591E-2</v>
      </c>
      <c r="AI181">
        <f>(G181/(D181+H181))</f>
        <v>0</v>
      </c>
      <c r="AJ181">
        <f>(F181/(D181))</f>
        <v>0.91448931116390986</v>
      </c>
      <c r="AK181">
        <f>E181/D181</f>
        <v>8.5510688836107324E-2</v>
      </c>
      <c r="AL181">
        <f>(H181/(C181+H181))</f>
        <v>0.27102800030439034</v>
      </c>
      <c r="AM181">
        <f>(I181/(D181+H181))</f>
        <v>-0.17916848406820535</v>
      </c>
      <c r="AN181">
        <f>(J181/(D181+H181))</f>
        <v>0.45019648437259913</v>
      </c>
      <c r="AO181">
        <f>(I181/H181)</f>
        <v>-0.66107001441541013</v>
      </c>
      <c r="AP181">
        <f>J181/H181</f>
        <v>1.6610700144154102</v>
      </c>
      <c r="AQ181">
        <f>(D181+H181)/AD181</f>
        <v>2.6821490702169074E-4</v>
      </c>
    </row>
    <row r="182" spans="1:43" x14ac:dyDescent="0.35">
      <c r="A182" s="17" t="s">
        <v>56</v>
      </c>
      <c r="B182" s="24" t="s">
        <v>70</v>
      </c>
      <c r="C182" s="28">
        <f t="shared" si="12"/>
        <v>-5.9962728984468416</v>
      </c>
      <c r="D182" s="27">
        <f>[1]data!C182-[1]data!C144</f>
        <v>1.7405980237011409</v>
      </c>
      <c r="E182" s="27">
        <f>[1]data!D182-[1]data!D144</f>
        <v>-0.33574397714601334</v>
      </c>
      <c r="F182" s="27">
        <f>[1]data!E182-[1]data!E144</f>
        <v>2.0763420008471538</v>
      </c>
      <c r="G182" s="27">
        <f>[1]data!F182-[1]data!F144</f>
        <v>-7.7368709221479817</v>
      </c>
      <c r="H182" s="27">
        <f>[1]data!G182-[1]data!G144</f>
        <v>-1.6726829942206933</v>
      </c>
      <c r="I182" s="27">
        <f>[1]data!H182-[1]data!H144</f>
        <v>0</v>
      </c>
      <c r="J182" s="27">
        <f>[1]data!I182-[1]data!I144</f>
        <v>-1.6726829942206933</v>
      </c>
      <c r="K182" s="27">
        <f>[1]data!J182-[1]data!J144</f>
        <v>0</v>
      </c>
      <c r="L182" s="13">
        <f t="shared" si="13"/>
        <v>-2.6966220014854234</v>
      </c>
      <c r="M182" s="27">
        <f>[1]data!K182-[1]data!K144</f>
        <v>0.78277540164496529</v>
      </c>
      <c r="N182" s="13">
        <f t="shared" si="14"/>
        <v>-2.969281112363706</v>
      </c>
      <c r="O182" s="13">
        <f t="shared" si="15"/>
        <v>0.51011629076668319</v>
      </c>
      <c r="P182" s="27">
        <f>[1]data!M182-[1]data!M144</f>
        <v>-0.15098955817582438</v>
      </c>
      <c r="Q182" s="27">
        <f>[1]data!N182-[1]data!N144</f>
        <v>-9.8396338463489386E-2</v>
      </c>
      <c r="R182" s="27">
        <f>[1]data!O182-[1]data!O144</f>
        <v>0.93376495982079</v>
      </c>
      <c r="S182" s="27">
        <f>[1]data!P182-[1]data!P144</f>
        <v>0.60851262923017257</v>
      </c>
      <c r="T182" s="27">
        <f>[1]data!Q182-[1]data!Q144</f>
        <v>-3.4793974031303891</v>
      </c>
      <c r="U182" s="27">
        <f>[1]data!R182-[1]data!R144</f>
        <v>-2.2674413294774491</v>
      </c>
      <c r="V182" s="27">
        <f>[1]data!S182-[1]data!S144</f>
        <v>-0.75223290202391802</v>
      </c>
      <c r="W182" s="27">
        <f>[1]data!T182-[1]data!T144</f>
        <v>-0.49021246320044876</v>
      </c>
      <c r="X182" s="27">
        <f>[1]data!U182-[1]data!U144</f>
        <v>0</v>
      </c>
      <c r="Y182" s="27">
        <f>[1]data!V182-[1]data!V144</f>
        <v>0</v>
      </c>
      <c r="Z182" s="27">
        <f>[1]data!W182-[1]data!W144</f>
        <v>-0.75223290202391802</v>
      </c>
      <c r="AA182" s="27">
        <f>[1]data!X182-[1]data!X144</f>
        <v>-0.49021246320044876</v>
      </c>
      <c r="AB182" s="27">
        <f>[1]data!Y182-[1]data!Y144</f>
        <v>0</v>
      </c>
      <c r="AC182" s="27">
        <f>[1]data!Z182-[1]data!Z144</f>
        <v>0</v>
      </c>
      <c r="AD182" s="14">
        <v>341.21592570296002</v>
      </c>
      <c r="AE182" s="15">
        <v>222.36238134761999</v>
      </c>
      <c r="AF182">
        <f>D182/(D182+H182)</f>
        <v>25.629054967902956</v>
      </c>
      <c r="AG182">
        <f>(F182/(D182+H182))</f>
        <v>30.57264373926132</v>
      </c>
      <c r="AH182">
        <f>(E182/(D182+H182))</f>
        <v>-4.9435887713583693</v>
      </c>
      <c r="AI182">
        <f>(G182/(D182+H182))</f>
        <v>-113.91986400264156</v>
      </c>
      <c r="AJ182">
        <f>(F182/(D182))</f>
        <v>1.1928900139919152</v>
      </c>
      <c r="AK182">
        <f>E182/D182</f>
        <v>-0.19289001399191538</v>
      </c>
      <c r="AL182">
        <f>(H182/(C182+H182))</f>
        <v>0.21811091596184351</v>
      </c>
      <c r="AM182">
        <f>(I182/(D182+H182))</f>
        <v>0</v>
      </c>
      <c r="AN182">
        <f>(J182/(D182+H182))</f>
        <v>-24.629054967902956</v>
      </c>
      <c r="AO182">
        <f>(I182/H182)</f>
        <v>0</v>
      </c>
      <c r="AP182">
        <f>J182/H182</f>
        <v>1</v>
      </c>
      <c r="AQ182">
        <f>(D182+H182)/AD182</f>
        <v>1.9903827566234382E-4</v>
      </c>
    </row>
    <row r="183" spans="1:43" x14ac:dyDescent="0.35">
      <c r="A183" s="17" t="s">
        <v>57</v>
      </c>
      <c r="B183" s="24" t="s">
        <v>70</v>
      </c>
      <c r="C183" s="28">
        <f t="shared" si="12"/>
        <v>0.70849942834870971</v>
      </c>
      <c r="D183" s="27">
        <f>[1]data!C183-[1]data!C145</f>
        <v>0.65254641160964377</v>
      </c>
      <c r="E183" s="27">
        <f>[1]data!D183-[1]data!D145</f>
        <v>0.12712771106513487</v>
      </c>
      <c r="F183" s="27">
        <f>[1]data!E183-[1]data!E145</f>
        <v>0.52541870054450879</v>
      </c>
      <c r="G183" s="27">
        <f>[1]data!F183-[1]data!F145</f>
        <v>5.5953016739066053E-2</v>
      </c>
      <c r="H183" s="27">
        <f>[1]data!G183-[1]data!G145</f>
        <v>1.7931727792675822E-2</v>
      </c>
      <c r="I183" s="27">
        <f>[1]data!H183-[1]data!H145</f>
        <v>0</v>
      </c>
      <c r="J183" s="27">
        <f>[1]data!I183-[1]data!I145</f>
        <v>1.7931727792675822E-2</v>
      </c>
      <c r="K183" s="27">
        <f>[1]data!J183-[1]data!J145</f>
        <v>0</v>
      </c>
      <c r="L183" s="13">
        <f t="shared" si="13"/>
        <v>0.71213801797948029</v>
      </c>
      <c r="M183" s="27">
        <f>[1]data!K183-[1]data!K145</f>
        <v>0.65589764735081246</v>
      </c>
      <c r="N183" s="13">
        <f t="shared" si="14"/>
        <v>0.41535112381920725</v>
      </c>
      <c r="O183" s="13">
        <f t="shared" si="15"/>
        <v>0.35911075319053876</v>
      </c>
      <c r="P183" s="27">
        <f>[1]data!M183-[1]data!M145</f>
        <v>0.1277805917207247</v>
      </c>
      <c r="Q183" s="27">
        <f>[1]data!N183-[1]data!N145</f>
        <v>6.9961197027161956E-2</v>
      </c>
      <c r="R183" s="27">
        <f>[1]data!O183-[1]data!O145</f>
        <v>0.52811705563008715</v>
      </c>
      <c r="S183" s="27">
        <f>[1]data!P183-[1]data!P145</f>
        <v>0.28914955616337679</v>
      </c>
      <c r="T183" s="27">
        <f>[1]data!Q183-[1]data!Q145</f>
        <v>5.624037062866849E-2</v>
      </c>
      <c r="U183" s="27">
        <f>[1]data!R183-[1]data!R145</f>
        <v>3.0792185240716252E-2</v>
      </c>
      <c r="V183" s="27">
        <f>[1]data!S183-[1]data!S145</f>
        <v>1.8023818479270481E-2</v>
      </c>
      <c r="W183" s="27">
        <f>[1]data!T183-[1]data!T145</f>
        <v>9.8682272388126435E-3</v>
      </c>
      <c r="X183" s="27">
        <f>[1]data!U183-[1]data!U145</f>
        <v>0</v>
      </c>
      <c r="Y183" s="27">
        <f>[1]data!V183-[1]data!V145</f>
        <v>0</v>
      </c>
      <c r="Z183" s="27">
        <f>[1]data!W183-[1]data!W145</f>
        <v>1.8023818479270481E-2</v>
      </c>
      <c r="AA183" s="27">
        <f>[1]data!X183-[1]data!X145</f>
        <v>9.8682272388126435E-3</v>
      </c>
      <c r="AB183" s="27">
        <f>[1]data!Y183-[1]data!Y145</f>
        <v>0</v>
      </c>
      <c r="AC183" s="27">
        <f>[1]data!Z183-[1]data!Z145</f>
        <v>0</v>
      </c>
      <c r="AD183" s="14">
        <v>181.71174374815001</v>
      </c>
      <c r="AE183" s="15">
        <v>99.489061173690004</v>
      </c>
      <c r="AF183">
        <f>D183/(D183+H183)</f>
        <v>0.97325531327738646</v>
      </c>
      <c r="AG183">
        <f>(F183/(D183+H183))</f>
        <v>0.78364777263712093</v>
      </c>
      <c r="AH183">
        <f>(E183/(D183+H183))</f>
        <v>0.18960754064026544</v>
      </c>
      <c r="AI183">
        <f>(G183/(D183+H183))</f>
        <v>8.3452410229129803E-2</v>
      </c>
      <c r="AJ183">
        <f>(F183/(D183))</f>
        <v>0.80518211608650547</v>
      </c>
      <c r="AK183">
        <f>E183/D183</f>
        <v>0.19481788391349433</v>
      </c>
      <c r="AL183">
        <f>(H183/(C183+H183))</f>
        <v>2.4684689858189071E-2</v>
      </c>
      <c r="AM183">
        <f>(I183/(D183+H183))</f>
        <v>0</v>
      </c>
      <c r="AN183">
        <f>(J183/(D183+H183))</f>
        <v>2.6744686722613504E-2</v>
      </c>
      <c r="AO183">
        <f>(I183/H183)</f>
        <v>0</v>
      </c>
      <c r="AP183">
        <f>J183/H183</f>
        <v>1</v>
      </c>
      <c r="AQ183">
        <f>(D183+H183)/AD183</f>
        <v>3.6897898042935139E-3</v>
      </c>
    </row>
    <row r="184" spans="1:43" x14ac:dyDescent="0.35">
      <c r="A184" s="17" t="s">
        <v>58</v>
      </c>
      <c r="B184" s="24" t="s">
        <v>70</v>
      </c>
      <c r="C184" s="28">
        <f t="shared" si="12"/>
        <v>1.0573141337899383</v>
      </c>
      <c r="D184" s="27">
        <f>[1]data!C184-[1]data!C146</f>
        <v>1.0573141337899385</v>
      </c>
      <c r="E184" s="27">
        <f>[1]data!D184-[1]data!D146</f>
        <v>1.2073783018731188E-3</v>
      </c>
      <c r="F184" s="27">
        <f>[1]data!E184-[1]data!E146</f>
        <v>1.0561067554880652</v>
      </c>
      <c r="G184" s="27">
        <f>[1]data!F184-[1]data!F146</f>
        <v>0</v>
      </c>
      <c r="H184" s="27">
        <f>[1]data!G184-[1]data!G146</f>
        <v>0</v>
      </c>
      <c r="I184" s="27">
        <f>[1]data!H184-[1]data!H146</f>
        <v>0</v>
      </c>
      <c r="J184" s="27">
        <f>[1]data!I184-[1]data!I146</f>
        <v>0</v>
      </c>
      <c r="K184" s="27">
        <f>[1]data!J184-[1]data!J146</f>
        <v>0</v>
      </c>
      <c r="L184" s="13">
        <f t="shared" si="13"/>
        <v>2.0970974668715678</v>
      </c>
      <c r="M184" s="27">
        <f>[1]data!K184-[1]data!K146</f>
        <v>2.0970974668715678</v>
      </c>
      <c r="N184" s="13">
        <f t="shared" si="14"/>
        <v>1.390519146519885</v>
      </c>
      <c r="O184" s="13">
        <f t="shared" si="15"/>
        <v>1.390519146519885</v>
      </c>
      <c r="P184" s="27">
        <f>[1]data!M184-[1]data!M146</f>
        <v>2.3947376635720108E-3</v>
      </c>
      <c r="Q184" s="27">
        <f>[1]data!N184-[1]data!N146</f>
        <v>1.5878749675172221E-3</v>
      </c>
      <c r="R184" s="27">
        <f>[1]data!O184-[1]data!O146</f>
        <v>2.0947027292079961</v>
      </c>
      <c r="S184" s="27">
        <f>[1]data!P184-[1]data!P146</f>
        <v>1.3889312715523676</v>
      </c>
      <c r="T184" s="27">
        <f>[1]data!Q184-[1]data!Q146</f>
        <v>0</v>
      </c>
      <c r="U184" s="27">
        <f>[1]data!R184-[1]data!R146</f>
        <v>0</v>
      </c>
      <c r="V184" s="27">
        <f>[1]data!S184-[1]data!S146</f>
        <v>0</v>
      </c>
      <c r="W184" s="27">
        <f>[1]data!T184-[1]data!T146</f>
        <v>0</v>
      </c>
      <c r="X184" s="27">
        <f>[1]data!U184-[1]data!U146</f>
        <v>0</v>
      </c>
      <c r="Y184" s="27">
        <f>[1]data!V184-[1]data!V146</f>
        <v>0</v>
      </c>
      <c r="Z184" s="27">
        <f>[1]data!W184-[1]data!W146</f>
        <v>0</v>
      </c>
      <c r="AA184" s="27">
        <f>[1]data!X184-[1]data!X146</f>
        <v>0</v>
      </c>
      <c r="AB184" s="27">
        <f>[1]data!Y184-[1]data!Y146</f>
        <v>0</v>
      </c>
      <c r="AC184" s="27">
        <f>[1]data!Z184-[1]data!Z146</f>
        <v>0</v>
      </c>
      <c r="AD184" s="14">
        <v>76.037366075549997</v>
      </c>
      <c r="AE184" s="15">
        <v>50.417977728389999</v>
      </c>
      <c r="AF184">
        <f>D184/(D184+H184)</f>
        <v>1</v>
      </c>
      <c r="AG184">
        <f>(F184/(D184+H184))</f>
        <v>0.99885807040378294</v>
      </c>
      <c r="AH184">
        <f>(E184/(D184+H184))</f>
        <v>1.1419295962168555E-3</v>
      </c>
      <c r="AI184">
        <f>(G184/(D184+H184))</f>
        <v>0</v>
      </c>
      <c r="AJ184">
        <f>(F184/(D184))</f>
        <v>0.99885807040378294</v>
      </c>
      <c r="AK184">
        <f>E184/D184</f>
        <v>1.1419295962168555E-3</v>
      </c>
      <c r="AL184">
        <f>(H184/(C184+H184))</f>
        <v>0</v>
      </c>
      <c r="AM184">
        <f>(I184/(D184+H184))</f>
        <v>0</v>
      </c>
      <c r="AN184">
        <f>(J184/(D184+H184))</f>
        <v>0</v>
      </c>
      <c r="AO184" t="e">
        <f>(I184/H184)</f>
        <v>#DIV/0!</v>
      </c>
      <c r="AP184" t="e">
        <f>J184/H184</f>
        <v>#DIV/0!</v>
      </c>
      <c r="AQ184">
        <f>(D184+H184)/AD184</f>
        <v>1.3905191465198852E-2</v>
      </c>
    </row>
    <row r="185" spans="1:43" x14ac:dyDescent="0.35">
      <c r="A185" s="17" t="s">
        <v>59</v>
      </c>
      <c r="B185" s="24" t="s">
        <v>70</v>
      </c>
      <c r="C185" s="28">
        <f t="shared" si="12"/>
        <v>0.2625735759179717</v>
      </c>
      <c r="D185" s="27">
        <f>[1]data!C185-[1]data!C147</f>
        <v>0.14978738107463485</v>
      </c>
      <c r="E185" s="27">
        <f>[1]data!D185-[1]data!D147</f>
        <v>4.9594344938770796E-2</v>
      </c>
      <c r="F185" s="27">
        <f>[1]data!E185-[1]data!E147</f>
        <v>0.10019303613586317</v>
      </c>
      <c r="G185" s="27">
        <f>[1]data!F185-[1]data!F147</f>
        <v>0.11278619484333774</v>
      </c>
      <c r="H185" s="27">
        <f>[1]data!G185-[1]data!G147</f>
        <v>8.8107902061196341E-2</v>
      </c>
      <c r="I185" s="27">
        <f>[1]data!H185-[1]data!H147</f>
        <v>3.9390999393047466E-3</v>
      </c>
      <c r="J185" s="27">
        <f>[1]data!I185-[1]data!I147</f>
        <v>8.4168802121890707E-2</v>
      </c>
      <c r="K185" s="27">
        <f>[1]data!J185-[1]data!J147</f>
        <v>0</v>
      </c>
      <c r="L185" s="13">
        <f t="shared" si="13"/>
        <v>4.7756168147635392E-2</v>
      </c>
      <c r="M185" s="27">
        <f>[1]data!K185-[1]data!K147</f>
        <v>2.7242921653429342E-2</v>
      </c>
      <c r="N185" s="13">
        <f t="shared" si="14"/>
        <v>4.9262975860462799E-2</v>
      </c>
      <c r="O185" s="13">
        <f t="shared" si="15"/>
        <v>2.8749729366257082E-2</v>
      </c>
      <c r="P185" s="27">
        <f>[1]data!M185-[1]data!M147</f>
        <v>9.0200846288038816E-3</v>
      </c>
      <c r="Q185" s="27">
        <f>[1]data!N185-[1]data!N147</f>
        <v>9.518986077845959E-3</v>
      </c>
      <c r="R185" s="27">
        <f>[1]data!O185-[1]data!O147</f>
        <v>1.8222837024625793E-2</v>
      </c>
      <c r="S185" s="27">
        <f>[1]data!P185-[1]data!P147</f>
        <v>1.9230743288411123E-2</v>
      </c>
      <c r="T185" s="27">
        <f>[1]data!Q185-[1]data!Q147</f>
        <v>2.0513246494205717E-2</v>
      </c>
      <c r="U185" s="27">
        <f>[1]data!R185-[1]data!R147</f>
        <v>2.1647835450037789E-2</v>
      </c>
      <c r="V185" s="27">
        <f>[1]data!S185-[1]data!S147</f>
        <v>1.6024825694129774E-2</v>
      </c>
      <c r="W185" s="27">
        <f>[1]data!T185-[1]data!T147</f>
        <v>1.6911159812760701E-2</v>
      </c>
      <c r="X185" s="27">
        <f>[1]data!U185-[1]data!U147</f>
        <v>7.16432788006649E-4</v>
      </c>
      <c r="Y185" s="27">
        <f>[1]data!V185-[1]data!V147</f>
        <v>7.5605873064316098E-4</v>
      </c>
      <c r="Z185" s="27">
        <f>[1]data!W185-[1]data!W147</f>
        <v>1.5308392906123736E-2</v>
      </c>
      <c r="AA185" s="27">
        <f>[1]data!X185-[1]data!X147</f>
        <v>1.6155101082117262E-2</v>
      </c>
      <c r="AB185" s="27">
        <f>[1]data!Y185-[1]data!Y147</f>
        <v>0</v>
      </c>
      <c r="AC185" s="27">
        <f>[1]data!Z185-[1]data!Z147</f>
        <v>0</v>
      </c>
      <c r="AD185" s="14">
        <v>521.00449074291998</v>
      </c>
      <c r="AE185" s="15">
        <v>549.82128194673999</v>
      </c>
      <c r="AF185">
        <f>D185/(D185+H185)</f>
        <v>0.62963577545634086</v>
      </c>
      <c r="AG185">
        <f>(F185/(D185+H185))</f>
        <v>0.42116445023693849</v>
      </c>
      <c r="AH185">
        <f>(E185/(D185+H185))</f>
        <v>0.20847132521939868</v>
      </c>
      <c r="AI185">
        <f>(G185/(D185+H185))</f>
        <v>0.4741001728014092</v>
      </c>
      <c r="AJ185">
        <f>(F185/(D185))</f>
        <v>0.6689017153316793</v>
      </c>
      <c r="AK185">
        <f>E185/D185</f>
        <v>0.33109828466831476</v>
      </c>
      <c r="AL185">
        <f>(H185/(C185+H185))</f>
        <v>0.25124766374581758</v>
      </c>
      <c r="AM185">
        <f>(I185/(D185+H185))</f>
        <v>1.6558125438139254E-2</v>
      </c>
      <c r="AN185">
        <f>(J185/(D185+H185))</f>
        <v>0.35380609910551614</v>
      </c>
      <c r="AO185">
        <f>(I185/H185)</f>
        <v>4.4707680550250761E-2</v>
      </c>
      <c r="AP185">
        <f>J185/H185</f>
        <v>0.95529231944973914</v>
      </c>
      <c r="AQ185">
        <f>(D185+H185)/AD185</f>
        <v>4.5660889179017887E-4</v>
      </c>
    </row>
    <row r="186" spans="1:43" x14ac:dyDescent="0.35">
      <c r="A186" s="17" t="s">
        <v>60</v>
      </c>
      <c r="B186" s="24" t="s">
        <v>70</v>
      </c>
      <c r="C186" s="28">
        <f t="shared" si="12"/>
        <v>14.861503111824637</v>
      </c>
      <c r="D186" s="27">
        <f>[1]data!C186-[1]data!C148</f>
        <v>14.861503111824639</v>
      </c>
      <c r="E186" s="27">
        <f>[1]data!D186-[1]data!D148</f>
        <v>1.5501657954967438</v>
      </c>
      <c r="F186" s="27">
        <f>[1]data!E186-[1]data!E148</f>
        <v>13.311337316327894</v>
      </c>
      <c r="G186" s="27">
        <f>[1]data!F186-[1]data!F148</f>
        <v>0</v>
      </c>
      <c r="H186" s="27">
        <f>[1]data!G186-[1]data!G148</f>
        <v>1.759052535380377</v>
      </c>
      <c r="I186" s="27">
        <f>[1]data!H186-[1]data!H148</f>
        <v>0.21456229224262158</v>
      </c>
      <c r="J186" s="27">
        <f>[1]data!I186-[1]data!I148</f>
        <v>1.5444902431377514</v>
      </c>
      <c r="K186" s="27">
        <f>[1]data!J186-[1]data!J148</f>
        <v>0</v>
      </c>
      <c r="L186" s="13">
        <f t="shared" si="13"/>
        <v>1.9891993723876067</v>
      </c>
      <c r="M186" s="27">
        <f>[1]data!K186-[1]data!K148</f>
        <v>1.9891993723876062</v>
      </c>
      <c r="N186" s="13">
        <f t="shared" si="14"/>
        <v>2.5154274674357877</v>
      </c>
      <c r="O186" s="13">
        <f t="shared" si="15"/>
        <v>2.5154274674357877</v>
      </c>
      <c r="P186" s="27">
        <f>[1]data!M186-[1]data!M148</f>
        <v>0.20748835459620396</v>
      </c>
      <c r="Q186" s="27">
        <f>[1]data!N186-[1]data!N148</f>
        <v>0.26237787602853146</v>
      </c>
      <c r="R186" s="27">
        <f>[1]data!O186-[1]data!O148</f>
        <v>1.7817110177914026</v>
      </c>
      <c r="S186" s="27">
        <f>[1]data!P186-[1]data!P148</f>
        <v>2.2530495914072564</v>
      </c>
      <c r="T186" s="27">
        <f>[1]data!Q186-[1]data!Q148</f>
        <v>0</v>
      </c>
      <c r="U186" s="27">
        <f>[1]data!R186-[1]data!R148</f>
        <v>0</v>
      </c>
      <c r="V186" s="27">
        <f>[1]data!S186-[1]data!S148</f>
        <v>0.2354476645495831</v>
      </c>
      <c r="W186" s="27">
        <f>[1]data!T186-[1]data!T148</f>
        <v>0.29773361623413219</v>
      </c>
      <c r="X186" s="27">
        <f>[1]data!U186-[1]data!U148</f>
        <v>2.8718977741052143E-2</v>
      </c>
      <c r="Y186" s="27">
        <f>[1]data!V186-[1]data!V148</f>
        <v>3.6316372531231156E-2</v>
      </c>
      <c r="Z186" s="27">
        <f>[1]data!W186-[1]data!W148</f>
        <v>0.20672868680853096</v>
      </c>
      <c r="AA186" s="27">
        <f>[1]data!X186-[1]data!X148</f>
        <v>0.2614172437029012</v>
      </c>
      <c r="AB186" s="27">
        <f>[1]data!Y186-[1]data!Y148</f>
        <v>0</v>
      </c>
      <c r="AC186" s="27">
        <f>[1]data!Z186-[1]data!Z148</f>
        <v>0</v>
      </c>
      <c r="AD186" s="14">
        <v>590.81421763174001</v>
      </c>
      <c r="AE186" s="15">
        <v>747.10978286638999</v>
      </c>
      <c r="AF186">
        <f>D186/(D186+H186)</f>
        <v>0.89416403562439339</v>
      </c>
      <c r="AG186">
        <f>(F186/(D186+H186))</f>
        <v>0.8008960469721953</v>
      </c>
      <c r="AH186">
        <f>(E186/(D186+H186))</f>
        <v>9.3267988652198056E-2</v>
      </c>
      <c r="AI186">
        <f>(G186/(D186+H186))</f>
        <v>0</v>
      </c>
      <c r="AJ186">
        <f>(F186/(D186))</f>
        <v>0.89569252962956702</v>
      </c>
      <c r="AK186">
        <f>E186/D186</f>
        <v>0.10430747037043282</v>
      </c>
      <c r="AL186">
        <f>(H186/(C186+H186))</f>
        <v>0.10583596437560659</v>
      </c>
      <c r="AM186">
        <f>(I186/(D186+H186))</f>
        <v>1.2909453618580032E-2</v>
      </c>
      <c r="AN186">
        <f>(J186/(D186+H186))</f>
        <v>9.292651075702632E-2</v>
      </c>
      <c r="AO186">
        <f>(I186/H186)</f>
        <v>0.12197605695512936</v>
      </c>
      <c r="AP186">
        <f>J186/H186</f>
        <v>0.87802394304486842</v>
      </c>
      <c r="AQ186">
        <f>(D186+H186)/AD186</f>
        <v>2.8131610836699197E-2</v>
      </c>
    </row>
    <row r="187" spans="1:43" x14ac:dyDescent="0.35">
      <c r="A187" s="11" t="s">
        <v>61</v>
      </c>
      <c r="B187" s="24" t="s">
        <v>70</v>
      </c>
      <c r="C187" s="28">
        <f t="shared" si="12"/>
        <v>-2.3244291230595238E-4</v>
      </c>
      <c r="D187" s="27">
        <f>[1]data!C187-[1]data!C149</f>
        <v>0</v>
      </c>
      <c r="E187" s="27">
        <f>[1]data!D187-[1]data!D149</f>
        <v>0</v>
      </c>
      <c r="F187" s="27">
        <f>[1]data!E187-[1]data!E149</f>
        <v>0</v>
      </c>
      <c r="G187" s="27">
        <f>[1]data!F187-[1]data!F149</f>
        <v>-2.3244291230595238E-4</v>
      </c>
      <c r="H187" s="27">
        <f>[1]data!G187-[1]data!G149</f>
        <v>0</v>
      </c>
      <c r="I187" s="27">
        <f>[1]data!H187-[1]data!H149</f>
        <v>0</v>
      </c>
      <c r="J187" s="27">
        <f>[1]data!I187-[1]data!I149</f>
        <v>0</v>
      </c>
      <c r="K187" s="27">
        <f>[1]data!J187-[1]data!J149</f>
        <v>0</v>
      </c>
      <c r="L187" s="13">
        <f t="shared" si="13"/>
        <v>-8.8732399514901417E-5</v>
      </c>
      <c r="M187" s="27">
        <f>[1]data!K187-[1]data!K149</f>
        <v>0</v>
      </c>
      <c r="N187" s="13">
        <f t="shared" si="14"/>
        <v>-8.8732399514901417E-5</v>
      </c>
      <c r="O187" s="13">
        <f t="shared" si="15"/>
        <v>0</v>
      </c>
      <c r="P187" s="27">
        <f>[1]data!M187-[1]data!M149</f>
        <v>0</v>
      </c>
      <c r="Q187" s="27">
        <f>[1]data!N187-[1]data!N149</f>
        <v>0</v>
      </c>
      <c r="R187" s="27">
        <f>[1]data!O187-[1]data!O149</f>
        <v>0</v>
      </c>
      <c r="S187" s="27">
        <f>[1]data!P187-[1]data!P149</f>
        <v>0</v>
      </c>
      <c r="T187" s="27">
        <f>[1]data!Q187-[1]data!Q149</f>
        <v>-8.8732399514901417E-5</v>
      </c>
      <c r="U187" s="27">
        <f>[1]data!R187-[1]data!R149</f>
        <v>-5.2673663377023061E-5</v>
      </c>
      <c r="V187" s="27">
        <f>[1]data!S187-[1]data!S149</f>
        <v>0</v>
      </c>
      <c r="W187" s="27">
        <f>[1]data!T187-[1]data!T149</f>
        <v>0</v>
      </c>
      <c r="X187" s="27">
        <f>[1]data!U187-[1]data!U149</f>
        <v>0</v>
      </c>
      <c r="Y187" s="27">
        <f>[1]data!V187-[1]data!V149</f>
        <v>0</v>
      </c>
      <c r="Z187" s="27">
        <f>[1]data!W187-[1]data!W149</f>
        <v>0</v>
      </c>
      <c r="AA187" s="27">
        <f>[1]data!X187-[1]data!X149</f>
        <v>0</v>
      </c>
      <c r="AB187" s="27">
        <f>[1]data!Y187-[1]data!Y149</f>
        <v>0</v>
      </c>
      <c r="AC187" s="27">
        <f>[1]data!Z187-[1]data!Z149</f>
        <v>0</v>
      </c>
      <c r="AD187" s="14">
        <v>441.28867711817003</v>
      </c>
      <c r="AE187" s="15">
        <v>261.95945739796002</v>
      </c>
      <c r="AF187" t="e">
        <f>D187/(D187+H187)</f>
        <v>#DIV/0!</v>
      </c>
      <c r="AG187" t="e">
        <f>(F187/(D187+H187))</f>
        <v>#DIV/0!</v>
      </c>
      <c r="AH187" t="e">
        <f>(E187/(D187+H187))</f>
        <v>#DIV/0!</v>
      </c>
      <c r="AI187" t="e">
        <f>(G187/(D187+H187))</f>
        <v>#DIV/0!</v>
      </c>
      <c r="AJ187" t="e">
        <f>(F187/(D187))</f>
        <v>#DIV/0!</v>
      </c>
      <c r="AK187" t="e">
        <f>E187/D187</f>
        <v>#DIV/0!</v>
      </c>
      <c r="AL187">
        <f>(H187/(C187+H187))</f>
        <v>0</v>
      </c>
      <c r="AM187" t="e">
        <f>(I187/(D187+H187))</f>
        <v>#DIV/0!</v>
      </c>
      <c r="AN187" t="e">
        <f>(J187/(D187+H187))</f>
        <v>#DIV/0!</v>
      </c>
      <c r="AO187" t="e">
        <f>(I187/H187)</f>
        <v>#DIV/0!</v>
      </c>
      <c r="AP187" t="e">
        <f>J187/H187</f>
        <v>#DIV/0!</v>
      </c>
      <c r="AQ187">
        <f>(D187+H187)/AD187</f>
        <v>0</v>
      </c>
    </row>
    <row r="188" spans="1:43" x14ac:dyDescent="0.35">
      <c r="A188" s="11" t="s">
        <v>62</v>
      </c>
      <c r="B188" s="24" t="s">
        <v>70</v>
      </c>
      <c r="C188" s="28">
        <f t="shared" si="12"/>
        <v>7.717133502874006E-2</v>
      </c>
      <c r="D188" s="27">
        <f>[1]data!C188-[1]data!C150</f>
        <v>7.6428054034677118E-2</v>
      </c>
      <c r="E188" s="27">
        <f>[1]data!D188-[1]data!D150</f>
        <v>2.0133252286158587E-2</v>
      </c>
      <c r="F188" s="27">
        <f>[1]data!E188-[1]data!E150</f>
        <v>5.6294801748519419E-2</v>
      </c>
      <c r="G188" s="27">
        <f>[1]data!F188-[1]data!F150</f>
        <v>7.4328099406205383E-4</v>
      </c>
      <c r="H188" s="27">
        <f>[1]data!G188-[1]data!G150</f>
        <v>0.10649730082921138</v>
      </c>
      <c r="I188" s="27">
        <f>[1]data!H188-[1]data!H150</f>
        <v>5.8988637891250306E-2</v>
      </c>
      <c r="J188" s="27">
        <f>[1]data!I188-[1]data!I150</f>
        <v>4.7508662937961077E-2</v>
      </c>
      <c r="K188" s="27">
        <f>[1]data!J188-[1]data!J150</f>
        <v>0</v>
      </c>
      <c r="L188" s="13">
        <f t="shared" si="13"/>
        <v>2.4010575242389198E-2</v>
      </c>
      <c r="M188" s="27">
        <f>[1]data!K188-[1]data!K150</f>
        <v>2.3779315743929885E-2</v>
      </c>
      <c r="N188" s="13">
        <f t="shared" si="14"/>
        <v>1.1300263287815915E-2</v>
      </c>
      <c r="O188" s="13">
        <f t="shared" si="15"/>
        <v>1.1069003789356824E-2</v>
      </c>
      <c r="P188" s="27">
        <f>[1]data!M188-[1]data!M150</f>
        <v>6.2641260347613414E-3</v>
      </c>
      <c r="Q188" s="27">
        <f>[1]data!N188-[1]data!N150</f>
        <v>2.9158801524169498E-3</v>
      </c>
      <c r="R188" s="27">
        <f>[1]data!O188-[1]data!O150</f>
        <v>1.7515189709168766E-2</v>
      </c>
      <c r="S188" s="27">
        <f>[1]data!P188-[1]data!P150</f>
        <v>8.1531236369398741E-3</v>
      </c>
      <c r="T188" s="27">
        <f>[1]data!Q188-[1]data!Q150</f>
        <v>2.31259498459091E-4</v>
      </c>
      <c r="U188" s="27">
        <f>[1]data!R188-[1]data!R150</f>
        <v>1.0764869318924224E-4</v>
      </c>
      <c r="V188" s="27">
        <f>[1]data!S188-[1]data!S150</f>
        <v>3.3134860939218136E-2</v>
      </c>
      <c r="W188" s="27">
        <f>[1]data!T188-[1]data!T150</f>
        <v>1.5423904760154095E-2</v>
      </c>
      <c r="X188" s="27">
        <f>[1]data!U188-[1]data!U150</f>
        <v>1.8353331946459495E-2</v>
      </c>
      <c r="Y188" s="27">
        <f>[1]data!V188-[1]data!V150</f>
        <v>8.543269413231025E-3</v>
      </c>
      <c r="Z188" s="27">
        <f>[1]data!W188-[1]data!W150</f>
        <v>1.4781528992759085E-2</v>
      </c>
      <c r="AA188" s="27">
        <f>[1]data!X188-[1]data!X150</f>
        <v>6.8806353469232917E-3</v>
      </c>
      <c r="AB188" s="27">
        <f>[1]data!Y188-[1]data!Y150</f>
        <v>0</v>
      </c>
      <c r="AC188" s="27">
        <f>[1]data!Z188-[1]data!Z150</f>
        <v>0</v>
      </c>
      <c r="AD188" s="14">
        <v>690.46912883131995</v>
      </c>
      <c r="AE188" s="15">
        <v>321.40560669490998</v>
      </c>
      <c r="AF188">
        <f>D188/(D188+H188)</f>
        <v>0.41781006297101825</v>
      </c>
      <c r="AG188">
        <f>(F188/(D188+H188))</f>
        <v>0.30774739669307943</v>
      </c>
      <c r="AH188">
        <f>(E188/(D188+H188))</f>
        <v>0.11006266627794371</v>
      </c>
      <c r="AI188">
        <f>(G188/(D188+H188))</f>
        <v>4.063302184736042E-3</v>
      </c>
      <c r="AJ188">
        <f>(F188/(D188))</f>
        <v>0.73657248584370871</v>
      </c>
      <c r="AK188">
        <f>E188/D188</f>
        <v>0.26342751415630289</v>
      </c>
      <c r="AL188">
        <f>(H188/(C188+H188))</f>
        <v>0.57983389668977525</v>
      </c>
      <c r="AM188">
        <f>(I188/(D188+H188))</f>
        <v>0.32247381963611715</v>
      </c>
      <c r="AN188">
        <f>(J188/(D188+H188))</f>
        <v>0.2597161173928646</v>
      </c>
      <c r="AO188">
        <f>(I188/H188)</f>
        <v>0.55389796203238773</v>
      </c>
      <c r="AP188">
        <f>J188/H188</f>
        <v>0.44610203796761222</v>
      </c>
      <c r="AQ188">
        <f>(D188+H188)/AD188</f>
        <v>2.6492908549511236E-4</v>
      </c>
    </row>
    <row r="189" spans="1:43" x14ac:dyDescent="0.35">
      <c r="A189" s="11" t="s">
        <v>63</v>
      </c>
      <c r="B189" s="24" t="s">
        <v>70</v>
      </c>
      <c r="C189" s="28">
        <f t="shared" si="12"/>
        <v>-0.39634581993233942</v>
      </c>
      <c r="D189" s="27">
        <f>[1]data!C189-[1]data!C151</f>
        <v>8.1321563717489109E-3</v>
      </c>
      <c r="E189" s="27">
        <f>[1]data!D189-[1]data!D151</f>
        <v>4.6165707683641088E-3</v>
      </c>
      <c r="F189" s="27">
        <f>[1]data!E189-[1]data!E151</f>
        <v>3.5155856033848298E-3</v>
      </c>
      <c r="G189" s="27">
        <f>[1]data!F189-[1]data!F151</f>
        <v>-0.40447797630408838</v>
      </c>
      <c r="H189" s="27">
        <f>[1]data!G189-[1]data!G151</f>
        <v>0</v>
      </c>
      <c r="I189" s="27">
        <f>[1]data!H189-[1]data!H151</f>
        <v>0</v>
      </c>
      <c r="J189" s="27">
        <f>[1]data!I189-[1]data!I151</f>
        <v>0</v>
      </c>
      <c r="K189" s="27">
        <f>[1]data!J189-[1]data!J151</f>
        <v>0</v>
      </c>
      <c r="L189" s="13">
        <f t="shared" si="13"/>
        <v>-0.61561116088876644</v>
      </c>
      <c r="M189" s="27">
        <f>[1]data!K189-[1]data!K151</f>
        <v>1.2631005482525381E-2</v>
      </c>
      <c r="N189" s="13">
        <f t="shared" si="14"/>
        <v>-0.6193286012340089</v>
      </c>
      <c r="O189" s="13">
        <f t="shared" si="15"/>
        <v>8.9135651372828084E-3</v>
      </c>
      <c r="P189" s="27">
        <f>[1]data!M189-[1]data!M151</f>
        <v>7.1705373113886695E-3</v>
      </c>
      <c r="Q189" s="27">
        <f>[1]data!N189-[1]data!N151</f>
        <v>5.0601712969569057E-3</v>
      </c>
      <c r="R189" s="27">
        <f>[1]data!O189-[1]data!O151</f>
        <v>5.4604681711365455E-3</v>
      </c>
      <c r="S189" s="27">
        <f>[1]data!P189-[1]data!P151</f>
        <v>3.8533938403259027E-3</v>
      </c>
      <c r="T189" s="27">
        <f>[1]data!Q189-[1]data!Q151</f>
        <v>-0.62824216637129171</v>
      </c>
      <c r="U189" s="27">
        <f>[1]data!R189-[1]data!R151</f>
        <v>-0.44334376069153497</v>
      </c>
      <c r="V189" s="27">
        <f>[1]data!S189-[1]data!S151</f>
        <v>0</v>
      </c>
      <c r="W189" s="27">
        <f>[1]data!T189-[1]data!T151</f>
        <v>0</v>
      </c>
      <c r="X189" s="27">
        <f>[1]data!U189-[1]data!U151</f>
        <v>0</v>
      </c>
      <c r="Y189" s="27">
        <f>[1]data!V189-[1]data!V151</f>
        <v>0</v>
      </c>
      <c r="Z189" s="27">
        <f>[1]data!W189-[1]data!W151</f>
        <v>0</v>
      </c>
      <c r="AA189" s="27">
        <f>[1]data!X189-[1]data!X151</f>
        <v>0</v>
      </c>
      <c r="AB189" s="27">
        <f>[1]data!Y189-[1]data!Y151</f>
        <v>0</v>
      </c>
      <c r="AC189" s="27">
        <f>[1]data!Z189-[1]data!Z151</f>
        <v>0</v>
      </c>
      <c r="AD189" s="14">
        <v>91.233487908610002</v>
      </c>
      <c r="AE189" s="15">
        <v>64.38249419652</v>
      </c>
      <c r="AF189">
        <f>D189/(D189+H189)</f>
        <v>1</v>
      </c>
      <c r="AG189">
        <f>(F189/(D189+H189))</f>
        <v>0.43230668996946059</v>
      </c>
      <c r="AH189">
        <f>(E189/(D189+H189))</f>
        <v>0.5676933100305428</v>
      </c>
      <c r="AI189">
        <f>(G189/(D189+H189))</f>
        <v>-49.738096245817871</v>
      </c>
      <c r="AJ189">
        <f>(F189/(D189))</f>
        <v>0.43230668996946059</v>
      </c>
      <c r="AK189">
        <f>E189/D189</f>
        <v>0.5676933100305428</v>
      </c>
      <c r="AL189">
        <f>(H189/(C189+H189))</f>
        <v>0</v>
      </c>
      <c r="AM189">
        <f>(I189/(D189+H189))</f>
        <v>0</v>
      </c>
      <c r="AN189">
        <f>(J189/(D189+H189))</f>
        <v>0</v>
      </c>
      <c r="AO189" t="e">
        <f>(I189/H189)</f>
        <v>#DIV/0!</v>
      </c>
      <c r="AP189" t="e">
        <f>J189/H189</f>
        <v>#DIV/0!</v>
      </c>
      <c r="AQ189">
        <f>(D189+H189)/AD189</f>
        <v>8.9135651372827251E-5</v>
      </c>
    </row>
    <row r="190" spans="1:43" x14ac:dyDescent="0.35">
      <c r="A190" s="11" t="s">
        <v>64</v>
      </c>
      <c r="B190" s="24" t="s">
        <v>70</v>
      </c>
      <c r="C190" s="28">
        <f t="shared" si="12"/>
        <v>10.602450953905004</v>
      </c>
      <c r="D190" s="27">
        <f>[1]data!C190-[1]data!C152</f>
        <v>7.7024509539050037</v>
      </c>
      <c r="E190" s="27">
        <f>[1]data!D190-[1]data!D152</f>
        <v>2.4305849670506685</v>
      </c>
      <c r="F190" s="27">
        <f>[1]data!E190-[1]data!E152</f>
        <v>5.2718659868543361</v>
      </c>
      <c r="G190" s="27">
        <f>[1]data!F190-[1]data!F152</f>
        <v>2.9</v>
      </c>
      <c r="H190" s="27">
        <f>[1]data!G190-[1]data!G152</f>
        <v>-0.12702259531584925</v>
      </c>
      <c r="I190" s="27">
        <f>[1]data!H190-[1]data!H152</f>
        <v>0</v>
      </c>
      <c r="J190" s="27">
        <f>[1]data!I190-[1]data!I152</f>
        <v>-0.12702259531584925</v>
      </c>
      <c r="K190" s="27">
        <f>[1]data!J190-[1]data!J152</f>
        <v>0</v>
      </c>
      <c r="L190" s="13">
        <f t="shared" si="13"/>
        <v>7.1937610615797514</v>
      </c>
      <c r="M190" s="27">
        <f>[1]data!K190-[1]data!K152</f>
        <v>5.2261115841824903</v>
      </c>
      <c r="N190" s="13">
        <f t="shared" si="14"/>
        <v>4.453207780841435</v>
      </c>
      <c r="O190" s="13">
        <f t="shared" si="15"/>
        <v>2.4855583034441739</v>
      </c>
      <c r="P190" s="27">
        <f>[1]data!M190-[1]data!M152</f>
        <v>1.6491514621334096</v>
      </c>
      <c r="Q190" s="27">
        <f>[1]data!N190-[1]data!N152</f>
        <v>0.78434263109673064</v>
      </c>
      <c r="R190" s="27">
        <f>[1]data!O190-[1]data!O152</f>
        <v>3.5769601220490803</v>
      </c>
      <c r="S190" s="27">
        <f>[1]data!P190-[1]data!P152</f>
        <v>1.7012156723474432</v>
      </c>
      <c r="T190" s="27">
        <f>[1]data!Q190-[1]data!Q152</f>
        <v>1.9676494773972615</v>
      </c>
      <c r="U190" s="27">
        <f>[1]data!R190-[1]data!R152</f>
        <v>0.93582148372314089</v>
      </c>
      <c r="V190" s="27">
        <f>[1]data!S190-[1]data!S152</f>
        <v>-8.6184808031336324E-2</v>
      </c>
      <c r="W190" s="27">
        <f>[1]data!T190-[1]data!T152</f>
        <v>-4.098981848787675E-2</v>
      </c>
      <c r="X190" s="27">
        <f>[1]data!U190-[1]data!U152</f>
        <v>0</v>
      </c>
      <c r="Y190" s="27">
        <f>[1]data!V190-[1]data!V152</f>
        <v>0</v>
      </c>
      <c r="Z190" s="27">
        <f>[1]data!W190-[1]data!W152</f>
        <v>-8.6184808031336324E-2</v>
      </c>
      <c r="AA190" s="27">
        <f>[1]data!X190-[1]data!X152</f>
        <v>-4.098981848787675E-2</v>
      </c>
      <c r="AB190" s="27">
        <f>[1]data!Y190-[1]data!Y152</f>
        <v>0</v>
      </c>
      <c r="AC190" s="27">
        <f>[1]data!Z190-[1]data!Z152</f>
        <v>0</v>
      </c>
      <c r="AD190" s="14">
        <v>309.88816247970999</v>
      </c>
      <c r="AE190" s="15">
        <v>147.38397429586999</v>
      </c>
      <c r="AF190">
        <f>D190/(D190+H190)</f>
        <v>1.0167677112505233</v>
      </c>
      <c r="AG190">
        <f>(F190/(D190+H190))</f>
        <v>0.69591655247811846</v>
      </c>
      <c r="AH190">
        <f>(E190/(D190+H190))</f>
        <v>0.32085115877240505</v>
      </c>
      <c r="AI190">
        <f>(G190/(D190+H190))</f>
        <v>0.38281663593477572</v>
      </c>
      <c r="AJ190">
        <f>(F190/(D190))</f>
        <v>0.68444005919720852</v>
      </c>
      <c r="AK190">
        <f>E190/D190</f>
        <v>0.31555994080279159</v>
      </c>
      <c r="AL190">
        <f>(H190/(C190+H190))</f>
        <v>-1.2125766218590876E-2</v>
      </c>
      <c r="AM190">
        <f>(I190/(D190+H190))</f>
        <v>0</v>
      </c>
      <c r="AN190">
        <f>(J190/(D190+H190))</f>
        <v>-1.6767711250523384E-2</v>
      </c>
      <c r="AO190">
        <f>(I190/H190)</f>
        <v>0</v>
      </c>
      <c r="AP190">
        <f>J190/H190</f>
        <v>1</v>
      </c>
      <c r="AQ190">
        <f>(D190+H190)/AD190</f>
        <v>2.4445684849562971E-2</v>
      </c>
    </row>
    <row r="191" spans="1:43" x14ac:dyDescent="0.35">
      <c r="A191" s="11" t="s">
        <v>65</v>
      </c>
      <c r="B191" s="24" t="s">
        <v>70</v>
      </c>
      <c r="C191" s="28">
        <f t="shared" si="12"/>
        <v>-8.4234273412092584</v>
      </c>
      <c r="D191" s="27">
        <f>[1]data!C191-[1]data!C153</f>
        <v>-8.4234273412092548</v>
      </c>
      <c r="E191" s="27">
        <f>[1]data!D191-[1]data!D153</f>
        <v>1.4258862393990324E-2</v>
      </c>
      <c r="F191" s="27">
        <f>[1]data!E191-[1]data!E153</f>
        <v>-8.4376862036032492</v>
      </c>
      <c r="G191" s="27">
        <f>[1]data!F191-[1]data!F153</f>
        <v>0</v>
      </c>
      <c r="H191" s="27">
        <f>[1]data!G191-[1]data!G153</f>
        <v>0.20801163962997649</v>
      </c>
      <c r="I191" s="27">
        <f>[1]data!H191-[1]data!H153</f>
        <v>8.3875661141119551E-2</v>
      </c>
      <c r="J191" s="27">
        <f>[1]data!I191-[1]data!I153</f>
        <v>0.12413597848885871</v>
      </c>
      <c r="K191" s="27">
        <f>[1]data!J191-[1]data!J153</f>
        <v>0</v>
      </c>
      <c r="L191" s="13">
        <f t="shared" si="13"/>
        <v>-1.4739075061557962</v>
      </c>
      <c r="M191" s="27">
        <f>[1]data!K191-[1]data!K153</f>
        <v>-1.473907506155796</v>
      </c>
      <c r="N191" s="13">
        <f t="shared" si="14"/>
        <v>-0.69304499331949265</v>
      </c>
      <c r="O191" s="13">
        <f t="shared" si="15"/>
        <v>-0.69304499331949265</v>
      </c>
      <c r="P191" s="27">
        <f>[1]data!M191-[1]data!M153</f>
        <v>2.4949754370087729E-3</v>
      </c>
      <c r="Q191" s="27">
        <f>[1]data!N191-[1]data!N153</f>
        <v>1.17316061411743E-3</v>
      </c>
      <c r="R191" s="27">
        <f>[1]data!O191-[1]data!O153</f>
        <v>-1.476402481592805</v>
      </c>
      <c r="S191" s="27">
        <f>[1]data!P191-[1]data!P153</f>
        <v>-0.69421815393361008</v>
      </c>
      <c r="T191" s="27">
        <f>[1]data!Q191-[1]data!Q153</f>
        <v>0</v>
      </c>
      <c r="U191" s="27">
        <f>[1]data!R191-[1]data!R153</f>
        <v>0</v>
      </c>
      <c r="V191" s="27">
        <f>[1]data!S191-[1]data!S153</f>
        <v>3.639728872812853E-2</v>
      </c>
      <c r="W191" s="27">
        <f>[1]data!T191-[1]data!T153</f>
        <v>1.7114343076537253E-2</v>
      </c>
      <c r="X191" s="27">
        <f>[1]data!U191-[1]data!U153</f>
        <v>1.467632610005154E-2</v>
      </c>
      <c r="Y191" s="27">
        <f>[1]data!V191-[1]data!V153</f>
        <v>6.9009447889261111E-3</v>
      </c>
      <c r="Z191" s="27">
        <f>[1]data!W191-[1]data!W153</f>
        <v>2.1720962628076546E-2</v>
      </c>
      <c r="AA191" s="27">
        <f>[1]data!X191-[1]data!X153</f>
        <v>1.0213398287610698E-2</v>
      </c>
      <c r="AB191" s="27">
        <f>[1]data!Y191-[1]data!Y153</f>
        <v>0</v>
      </c>
      <c r="AC191" s="27">
        <f>[1]data!Z191-[1]data!Z153</f>
        <v>0</v>
      </c>
      <c r="AD191" s="14">
        <v>1215.4228689920101</v>
      </c>
      <c r="AE191" s="15">
        <v>571.50311712429004</v>
      </c>
      <c r="AF191">
        <f>D191/(D191+H191)</f>
        <v>1.025319673061704</v>
      </c>
      <c r="AG191">
        <f>(F191/(D191+H191))</f>
        <v>1.0270552958119019</v>
      </c>
      <c r="AH191">
        <f>(E191/(D191+H191))</f>
        <v>-1.735622750197448E-3</v>
      </c>
      <c r="AI191">
        <f>(G191/(D191+H191))</f>
        <v>0</v>
      </c>
      <c r="AJ191">
        <f>(F191/(D191))</f>
        <v>1.0016927625557162</v>
      </c>
      <c r="AK191">
        <f>E191/D191</f>
        <v>-1.6927625557156337E-3</v>
      </c>
      <c r="AL191">
        <f>(H191/(C191+H191))</f>
        <v>-2.5319673061703935E-2</v>
      </c>
      <c r="AM191">
        <f>(I191/(D191+H191))</f>
        <v>-1.0209545589396752E-2</v>
      </c>
      <c r="AN191">
        <f>(J191/(D191+H191))</f>
        <v>-1.5110127472307411E-2</v>
      </c>
      <c r="AO191">
        <f>(I191/H191)</f>
        <v>0.40322580645161288</v>
      </c>
      <c r="AP191">
        <f>J191/H191</f>
        <v>0.59677419354839567</v>
      </c>
      <c r="AQ191">
        <f>(D191+H191)/AD191</f>
        <v>-6.7593065024295542E-3</v>
      </c>
    </row>
    <row r="192" spans="1:43" x14ac:dyDescent="0.35">
      <c r="A192" s="11" t="s">
        <v>28</v>
      </c>
      <c r="B192" s="24" t="s">
        <v>71</v>
      </c>
      <c r="C192" s="28">
        <f t="shared" si="12"/>
        <v>30.447629669960548</v>
      </c>
      <c r="D192" s="27">
        <f>[1]data!C192-[1]data!C154</f>
        <v>30.447629669960548</v>
      </c>
      <c r="E192" s="27">
        <f>[1]data!D192-[1]data!D154</f>
        <v>2.3474363010853931</v>
      </c>
      <c r="F192" s="27">
        <f>[1]data!E192-[1]data!E154</f>
        <v>28.100193368875154</v>
      </c>
      <c r="G192" s="27">
        <f>[1]data!F192-[1]data!F154</f>
        <v>0</v>
      </c>
      <c r="H192" s="27">
        <f>[1]data!G192-[1]data!G154</f>
        <v>0</v>
      </c>
      <c r="I192" s="27">
        <f>[1]data!H192-[1]data!H154</f>
        <v>0</v>
      </c>
      <c r="J192" s="27">
        <f>[1]data!I192-[1]data!I154</f>
        <v>0</v>
      </c>
      <c r="K192" s="27">
        <f>[1]data!J192-[1]data!J154</f>
        <v>0</v>
      </c>
      <c r="L192" s="13">
        <f t="shared" si="13"/>
        <v>2.0369395358085822</v>
      </c>
      <c r="M192" s="27">
        <f>[1]data!K192-[1]data!K154</f>
        <v>2.0369395358085818</v>
      </c>
      <c r="N192" s="13">
        <f t="shared" si="14"/>
        <v>2.4824492048994844</v>
      </c>
      <c r="O192" s="13">
        <f t="shared" si="15"/>
        <v>2.4824492048994844</v>
      </c>
      <c r="P192" s="27">
        <f>[1]data!M192-[1]data!M154</f>
        <v>0.15704295740927832</v>
      </c>
      <c r="Q192" s="27">
        <f>[1]data!N192-[1]data!N154</f>
        <v>0.19139064164757924</v>
      </c>
      <c r="R192" s="27">
        <f>[1]data!O192-[1]data!O154</f>
        <v>1.879896578399304</v>
      </c>
      <c r="S192" s="27">
        <f>[1]data!P192-[1]data!P154</f>
        <v>2.2910585632519052</v>
      </c>
      <c r="T192" s="27">
        <f>[1]data!Q192-[1]data!Q154</f>
        <v>0</v>
      </c>
      <c r="U192" s="27">
        <f>[1]data!R192-[1]data!R154</f>
        <v>0</v>
      </c>
      <c r="V192" s="27">
        <f>[1]data!S192-[1]data!S154</f>
        <v>0</v>
      </c>
      <c r="W192" s="27">
        <f>[1]data!T192-[1]data!T154</f>
        <v>0</v>
      </c>
      <c r="X192" s="27">
        <f>[1]data!U192-[1]data!U154</f>
        <v>0</v>
      </c>
      <c r="Y192" s="27">
        <f>[1]data!V192-[1]data!V154</f>
        <v>0</v>
      </c>
      <c r="Z192" s="27">
        <f>[1]data!W192-[1]data!W154</f>
        <v>0</v>
      </c>
      <c r="AA192" s="27">
        <f>[1]data!X192-[1]data!X154</f>
        <v>0</v>
      </c>
      <c r="AB192" s="27">
        <f>[1]data!Y192-[1]data!Y154</f>
        <v>0</v>
      </c>
      <c r="AC192" s="27">
        <f>[1]data!Z192-[1]data!Z154</f>
        <v>0</v>
      </c>
      <c r="AD192" s="14">
        <v>1226.51571721458</v>
      </c>
      <c r="AE192" s="15">
        <v>1494.77336635199</v>
      </c>
      <c r="AF192">
        <f>D192/(D192+H192)</f>
        <v>1</v>
      </c>
      <c r="AG192">
        <f>(F192/(D192+H192))</f>
        <v>0.92290249433106575</v>
      </c>
      <c r="AH192">
        <f>(E192/(D192+H192))</f>
        <v>7.7097505668934224E-2</v>
      </c>
      <c r="AI192">
        <f>(G192/(D192+H192))</f>
        <v>0</v>
      </c>
      <c r="AJ192">
        <f>(F192/(D192))</f>
        <v>0.92290249433106575</v>
      </c>
      <c r="AK192">
        <f>E192/D192</f>
        <v>7.7097505668934224E-2</v>
      </c>
      <c r="AL192">
        <f>(H192/(C192+H192))</f>
        <v>0</v>
      </c>
      <c r="AM192">
        <f>(I192/(D192+H192))</f>
        <v>0</v>
      </c>
      <c r="AN192">
        <f>(J192/(D192+H192))</f>
        <v>0</v>
      </c>
      <c r="AO192" t="e">
        <f>(I192/H192)</f>
        <v>#DIV/0!</v>
      </c>
      <c r="AP192" t="e">
        <f>J192/H192</f>
        <v>#DIV/0!</v>
      </c>
      <c r="AQ192">
        <f>(D192+H192)/AD192</f>
        <v>2.4824492048994843E-2</v>
      </c>
    </row>
    <row r="193" spans="1:43" x14ac:dyDescent="0.35">
      <c r="A193" s="11" t="s">
        <v>29</v>
      </c>
      <c r="B193" s="24" t="s">
        <v>71</v>
      </c>
      <c r="C193" s="28">
        <f t="shared" si="12"/>
        <v>20.579312535860986</v>
      </c>
      <c r="D193" s="27">
        <f>[1]data!C193-[1]data!C155</f>
        <v>20.504749809281805</v>
      </c>
      <c r="E193" s="27">
        <f>[1]data!D193-[1]data!D155</f>
        <v>5.6667672200197003</v>
      </c>
      <c r="F193" s="27">
        <f>[1]data!E193-[1]data!E155</f>
        <v>14.837982589262083</v>
      </c>
      <c r="G193" s="27">
        <f>[1]data!F193-[1]data!F155</f>
        <v>7.4562726579202376E-2</v>
      </c>
      <c r="H193" s="27">
        <f>[1]data!G193-[1]data!G155</f>
        <v>-1.1184408986880925</v>
      </c>
      <c r="I193" s="27">
        <f>[1]data!H193-[1]data!H155</f>
        <v>0</v>
      </c>
      <c r="J193" s="27">
        <f>[1]data!I193-[1]data!I155</f>
        <v>-1.1184408986880996</v>
      </c>
      <c r="K193" s="27">
        <f>[1]data!J193-[1]data!J155</f>
        <v>0</v>
      </c>
      <c r="L193" s="13">
        <f t="shared" si="13"/>
        <v>1.2129701047131625</v>
      </c>
      <c r="M193" s="27">
        <f>[1]data!K193-[1]data!K155</f>
        <v>1.2085752854931862</v>
      </c>
      <c r="N193" s="13">
        <f t="shared" si="14"/>
        <v>1.1941186811954299</v>
      </c>
      <c r="O193" s="13">
        <f t="shared" si="15"/>
        <v>1.1897238619754549</v>
      </c>
      <c r="P193" s="27">
        <f>[1]data!M193-[1]data!M155</f>
        <v>0.33400626071811734</v>
      </c>
      <c r="Q193" s="27">
        <f>[1]data!N193-[1]data!N155</f>
        <v>0.32879641276412697</v>
      </c>
      <c r="R193" s="27">
        <f>[1]data!O193-[1]data!O155</f>
        <v>0.87456902477507015</v>
      </c>
      <c r="S193" s="27">
        <f>[1]data!P193-[1]data!P155</f>
        <v>0.86092744921132791</v>
      </c>
      <c r="T193" s="27">
        <f>[1]data!Q193-[1]data!Q155</f>
        <v>4.3948192199749769E-3</v>
      </c>
      <c r="U193" s="27">
        <f>[1]data!R193-[1]data!R155</f>
        <v>4.3262685890010921E-3</v>
      </c>
      <c r="V193" s="27">
        <f>[1]data!S193-[1]data!S155</f>
        <v>-6.5922288299629095E-2</v>
      </c>
      <c r="W193" s="27">
        <f>[1]data!T193-[1]data!T155</f>
        <v>-6.4894028835025264E-2</v>
      </c>
      <c r="X193" s="27">
        <f>[1]data!U193-[1]data!U155</f>
        <v>0</v>
      </c>
      <c r="Y193" s="27">
        <f>[1]data!V193-[1]data!V155</f>
        <v>0</v>
      </c>
      <c r="Z193" s="27">
        <f>[1]data!W193-[1]data!W155</f>
        <v>-6.5922288299629095E-2</v>
      </c>
      <c r="AA193" s="27">
        <f>[1]data!X193-[1]data!X155</f>
        <v>-6.4894028835025264E-2</v>
      </c>
      <c r="AB193" s="27">
        <f>[1]data!Y193-[1]data!Y155</f>
        <v>0</v>
      </c>
      <c r="AC193" s="27">
        <f>[1]data!Z193-[1]data!Z155</f>
        <v>0</v>
      </c>
      <c r="AD193" s="14">
        <v>1723.48815255626</v>
      </c>
      <c r="AE193" s="15">
        <v>1696.60508992738</v>
      </c>
      <c r="AF193">
        <f>D193/(D193+H193)</f>
        <v>1.0576923076923073</v>
      </c>
      <c r="AG193">
        <f>(F193/(D193+H193))</f>
        <v>0.765384615384614</v>
      </c>
      <c r="AH193">
        <f>(E193/(D193+H193))</f>
        <v>0.29230769230769232</v>
      </c>
      <c r="AI193">
        <f>(G193/(D193+H193))</f>
        <v>3.8461538461536291E-3</v>
      </c>
      <c r="AJ193">
        <f>(F193/(D193))</f>
        <v>0.72363636363636252</v>
      </c>
      <c r="AK193">
        <f>E193/D193</f>
        <v>0.27636363636363642</v>
      </c>
      <c r="AL193">
        <f>(H193/(C193+H193))</f>
        <v>-5.7471264367815841E-2</v>
      </c>
      <c r="AM193">
        <f>(I193/(D193+H193))</f>
        <v>0</v>
      </c>
      <c r="AN193">
        <f>(J193/(D193+H193))</f>
        <v>-5.7692307692307737E-2</v>
      </c>
      <c r="AO193">
        <f>(I193/H193)</f>
        <v>0</v>
      </c>
      <c r="AP193">
        <f>J193/H193</f>
        <v>1.0000000000000064</v>
      </c>
      <c r="AQ193">
        <f>(D193+H193)/AD193</f>
        <v>1.124829833140433E-2</v>
      </c>
    </row>
    <row r="194" spans="1:43" x14ac:dyDescent="0.35">
      <c r="A194" s="11" t="s">
        <v>30</v>
      </c>
      <c r="B194" s="24" t="s">
        <v>71</v>
      </c>
      <c r="C194" s="28">
        <f t="shared" si="12"/>
        <v>53.297862831851091</v>
      </c>
      <c r="D194" s="27">
        <f>[1]data!C194-[1]data!C156</f>
        <v>53.297862831851091</v>
      </c>
      <c r="E194" s="27">
        <f>[1]data!D194-[1]data!D156</f>
        <v>14.266023241930156</v>
      </c>
      <c r="F194" s="27">
        <f>[1]data!E194-[1]data!E156</f>
        <v>39.031839589920935</v>
      </c>
      <c r="G194" s="27">
        <f>[1]data!F194-[1]data!F156</f>
        <v>0</v>
      </c>
      <c r="H194" s="27">
        <f>[1]data!G194-[1]data!G156</f>
        <v>-5.9346656686429924</v>
      </c>
      <c r="I194" s="27">
        <f>[1]data!H194-[1]data!H156</f>
        <v>-5.9346656686429426</v>
      </c>
      <c r="J194" s="27">
        <f>[1]data!I194-[1]data!I156</f>
        <v>0</v>
      </c>
      <c r="K194" s="27">
        <f>[1]data!J194-[1]data!J156</f>
        <v>0</v>
      </c>
      <c r="L194" s="13">
        <f t="shared" si="13"/>
        <v>2.0367474980625908</v>
      </c>
      <c r="M194" s="27">
        <f>[1]data!K194-[1]data!K156</f>
        <v>2.0367474980625904</v>
      </c>
      <c r="N194" s="13">
        <f t="shared" si="14"/>
        <v>1.833374895579158</v>
      </c>
      <c r="O194" s="13">
        <f t="shared" si="15"/>
        <v>1.833374895579158</v>
      </c>
      <c r="P194" s="27">
        <f>[1]data!M194-[1]data!M156</f>
        <v>0.5451679598668604</v>
      </c>
      <c r="Q194" s="27">
        <f>[1]data!N194-[1]data!N156</f>
        <v>0.49073203843125179</v>
      </c>
      <c r="R194" s="27">
        <f>[1]data!O194-[1]data!O156</f>
        <v>1.4915795381957304</v>
      </c>
      <c r="S194" s="27">
        <f>[1]data!P194-[1]data!P156</f>
        <v>1.3426428571479061</v>
      </c>
      <c r="T194" s="27">
        <f>[1]data!Q194-[1]data!Q156</f>
        <v>0</v>
      </c>
      <c r="U194" s="27">
        <f>[1]data!R194-[1]data!R156</f>
        <v>0</v>
      </c>
      <c r="V194" s="27">
        <f>[1]data!S194-[1]data!S156</f>
        <v>-0.22678987130461437</v>
      </c>
      <c r="W194" s="27">
        <f>[1]data!T194-[1]data!T156</f>
        <v>-0.20414452798740079</v>
      </c>
      <c r="X194" s="27">
        <f>[1]data!U194-[1]data!U156</f>
        <v>-0.22678987130461392</v>
      </c>
      <c r="Y194" s="27">
        <f>[1]data!V194-[1]data!V156</f>
        <v>-0.20414452798740068</v>
      </c>
      <c r="Z194" s="27">
        <f>[1]data!W194-[1]data!W156</f>
        <v>0</v>
      </c>
      <c r="AA194" s="27">
        <f>[1]data!X194-[1]data!X156</f>
        <v>0</v>
      </c>
      <c r="AB194" s="27">
        <f>[1]data!Y194-[1]data!Y156</f>
        <v>0</v>
      </c>
      <c r="AC194" s="27">
        <f>[1]data!Z194-[1]data!Z156</f>
        <v>0</v>
      </c>
      <c r="AD194" s="14">
        <v>2907.0902498102801</v>
      </c>
      <c r="AE194" s="15">
        <v>2616.8124857180101</v>
      </c>
      <c r="AF194">
        <f>D194/(D194+H194)</f>
        <v>1.1253012048192781</v>
      </c>
      <c r="AG194">
        <f>(F194/(D194+H194))</f>
        <v>0.82409638554216957</v>
      </c>
      <c r="AH194">
        <f>(E194/(D194+H194))</f>
        <v>0.30120481927710857</v>
      </c>
      <c r="AI194">
        <f>(G194/(D194+H194))</f>
        <v>0</v>
      </c>
      <c r="AJ194">
        <f>(F194/(D194))</f>
        <v>0.7323340471092078</v>
      </c>
      <c r="AK194">
        <f>E194/D194</f>
        <v>0.26766595289079215</v>
      </c>
      <c r="AL194">
        <f>(H194/(C194+H194))</f>
        <v>-0.12530120481927817</v>
      </c>
      <c r="AM194">
        <f>(I194/(D194+H194))</f>
        <v>-0.12530120481927712</v>
      </c>
      <c r="AN194">
        <f>(J194/(D194+H194))</f>
        <v>0</v>
      </c>
      <c r="AO194">
        <f>(I194/H194)</f>
        <v>0.99999999999999167</v>
      </c>
      <c r="AP194">
        <f>J194/H194</f>
        <v>0</v>
      </c>
      <c r="AQ194">
        <f>(D194+H194)/AD194</f>
        <v>1.6292303675917552E-2</v>
      </c>
    </row>
    <row r="195" spans="1:43" x14ac:dyDescent="0.35">
      <c r="A195" s="11" t="s">
        <v>31</v>
      </c>
      <c r="B195" s="24" t="s">
        <v>71</v>
      </c>
      <c r="C195" s="28">
        <f t="shared" ref="C195:C258" si="16">E195+F195+G195</f>
        <v>100.43280362318828</v>
      </c>
      <c r="D195" s="27">
        <f>[1]data!C195-[1]data!C157</f>
        <v>100.43280362318831</v>
      </c>
      <c r="E195" s="27">
        <f>[1]data!D195-[1]data!D157</f>
        <v>23.966919046442662</v>
      </c>
      <c r="F195" s="27">
        <f>[1]data!E195-[1]data!E157</f>
        <v>76.465884576745623</v>
      </c>
      <c r="G195" s="27">
        <f>[1]data!F195-[1]data!F157</f>
        <v>0</v>
      </c>
      <c r="H195" s="27">
        <f>[1]data!G195-[1]data!G157</f>
        <v>0.7988973015483225</v>
      </c>
      <c r="I195" s="27">
        <f>[1]data!H195-[1]data!H157</f>
        <v>0</v>
      </c>
      <c r="J195" s="27">
        <f>[1]data!I195-[1]data!I157</f>
        <v>0.79889730154820882</v>
      </c>
      <c r="K195" s="27">
        <f>[1]data!J195-[1]data!J157</f>
        <v>0</v>
      </c>
      <c r="L195" s="13">
        <f t="shared" ref="L195:L258" si="17">P195+R195+T195</f>
        <v>2.7918805654534267</v>
      </c>
      <c r="M195" s="27">
        <f>[1]data!K195-[1]data!K157</f>
        <v>2.7918805654534271</v>
      </c>
      <c r="N195" s="13">
        <f t="shared" ref="N195:N258" si="18">Q195+S195+T195</f>
        <v>2.4132147741265229</v>
      </c>
      <c r="O195" s="13">
        <f t="shared" ref="O195:O258" si="19">Q195+S195</f>
        <v>2.4132147741265229</v>
      </c>
      <c r="P195" s="27">
        <f>[1]data!M195-[1]data!M157</f>
        <v>0.66624422584684018</v>
      </c>
      <c r="Q195" s="27">
        <f>[1]data!N195-[1]data!N157</f>
        <v>0.57588079837110207</v>
      </c>
      <c r="R195" s="27">
        <f>[1]data!O195-[1]data!O157</f>
        <v>2.1256363396065865</v>
      </c>
      <c r="S195" s="27">
        <f>[1]data!P195-[1]data!P157</f>
        <v>1.8373339757554206</v>
      </c>
      <c r="T195" s="27">
        <f>[1]data!Q195-[1]data!Q157</f>
        <v>0</v>
      </c>
      <c r="U195" s="27">
        <f>[1]data!R195-[1]data!R157</f>
        <v>0</v>
      </c>
      <c r="V195" s="27">
        <f>[1]data!S195-[1]data!S157</f>
        <v>2.2208140861561532E-2</v>
      </c>
      <c r="W195" s="27">
        <f>[1]data!T195-[1]data!T157</f>
        <v>1.9196026612373629E-2</v>
      </c>
      <c r="X195" s="27">
        <f>[1]data!U195-[1]data!U157</f>
        <v>0</v>
      </c>
      <c r="Y195" s="27">
        <f>[1]data!V195-[1]data!V157</f>
        <v>0</v>
      </c>
      <c r="Z195" s="27">
        <f>[1]data!W195-[1]data!W157</f>
        <v>2.2208140861561532E-2</v>
      </c>
      <c r="AA195" s="27">
        <f>[1]data!X195-[1]data!X157</f>
        <v>1.9196026612373629E-2</v>
      </c>
      <c r="AB195" s="27">
        <f>[1]data!Y195-[1]data!Y157</f>
        <v>0</v>
      </c>
      <c r="AC195" s="27">
        <f>[1]data!Z195-[1]data!Z157</f>
        <v>0</v>
      </c>
      <c r="AD195" s="14">
        <v>4161.7847155581303</v>
      </c>
      <c r="AE195" s="15">
        <v>3597.3173374942398</v>
      </c>
      <c r="AF195">
        <f>D195/(D195+H195)</f>
        <v>0.99210822998872372</v>
      </c>
      <c r="AG195">
        <f>(F195/(D195+H195))</f>
        <v>0.75535512965050544</v>
      </c>
      <c r="AH195">
        <f>(E195/(D195+H195))</f>
        <v>0.23675310033821814</v>
      </c>
      <c r="AI195">
        <f>(G195/(D195+H195))</f>
        <v>0</v>
      </c>
      <c r="AJ195">
        <f>(F195/(D195))</f>
        <v>0.76136363636363613</v>
      </c>
      <c r="AK195">
        <f>E195/D195</f>
        <v>0.23863636363636362</v>
      </c>
      <c r="AL195">
        <f>(H195/(C195+H195))</f>
        <v>7.8917700112762501E-3</v>
      </c>
      <c r="AM195">
        <f>(I195/(D195+H195))</f>
        <v>0</v>
      </c>
      <c r="AN195">
        <f>(J195/(D195+H195))</f>
        <v>7.8917700112751243E-3</v>
      </c>
      <c r="AO195">
        <f>(I195/H195)</f>
        <v>0</v>
      </c>
      <c r="AP195">
        <f>J195/H195</f>
        <v>0.99999999999985767</v>
      </c>
      <c r="AQ195">
        <f>(D195+H195)/AD195</f>
        <v>2.4324108007388989E-2</v>
      </c>
    </row>
    <row r="196" spans="1:43" x14ac:dyDescent="0.35">
      <c r="A196" s="11" t="s">
        <v>32</v>
      </c>
      <c r="B196" s="24" t="s">
        <v>71</v>
      </c>
      <c r="C196" s="28">
        <f t="shared" si="16"/>
        <v>45.651274374176516</v>
      </c>
      <c r="D196" s="27">
        <f>[1]data!C196-[1]data!C158</f>
        <v>45.651274374176523</v>
      </c>
      <c r="E196" s="27">
        <f>[1]data!D196-[1]data!D158</f>
        <v>11.412818593544126</v>
      </c>
      <c r="F196" s="27">
        <f>[1]data!E196-[1]data!E158</f>
        <v>34.238455780632393</v>
      </c>
      <c r="G196" s="27">
        <f>[1]data!F196-[1]data!F158</f>
        <v>0</v>
      </c>
      <c r="H196" s="27">
        <f>[1]data!G196-[1]data!G158</f>
        <v>0</v>
      </c>
      <c r="I196" s="27">
        <f>[1]data!H196-[1]data!H158</f>
        <v>0</v>
      </c>
      <c r="J196" s="27">
        <f>[1]data!I196-[1]data!I158</f>
        <v>0</v>
      </c>
      <c r="K196" s="27">
        <f>[1]data!J196-[1]data!J158</f>
        <v>0</v>
      </c>
      <c r="L196" s="13">
        <f t="shared" si="17"/>
        <v>2.379954283240993</v>
      </c>
      <c r="M196" s="27">
        <f>[1]data!K196-[1]data!K158</f>
        <v>2.379954283240993</v>
      </c>
      <c r="N196" s="13">
        <f t="shared" si="18"/>
        <v>1.952862177144373</v>
      </c>
      <c r="O196" s="13">
        <f t="shared" si="19"/>
        <v>1.952862177144373</v>
      </c>
      <c r="P196" s="27">
        <f>[1]data!M196-[1]data!M158</f>
        <v>0.59498857081024792</v>
      </c>
      <c r="Q196" s="27">
        <f>[1]data!N196-[1]data!N158</f>
        <v>0.48821554428609326</v>
      </c>
      <c r="R196" s="27">
        <f>[1]data!O196-[1]data!O158</f>
        <v>1.7849657124307452</v>
      </c>
      <c r="S196" s="27">
        <f>[1]data!P196-[1]data!P158</f>
        <v>1.4646466328582797</v>
      </c>
      <c r="T196" s="27">
        <f>[1]data!Q196-[1]data!Q158</f>
        <v>0</v>
      </c>
      <c r="U196" s="27">
        <f>[1]data!R196-[1]data!R158</f>
        <v>0</v>
      </c>
      <c r="V196" s="27">
        <f>[1]data!S196-[1]data!S158</f>
        <v>0</v>
      </c>
      <c r="W196" s="27">
        <f>[1]data!T196-[1]data!T158</f>
        <v>0</v>
      </c>
      <c r="X196" s="27">
        <f>[1]data!U196-[1]data!U158</f>
        <v>0</v>
      </c>
      <c r="Y196" s="27">
        <f>[1]data!V196-[1]data!V158</f>
        <v>0</v>
      </c>
      <c r="Z196" s="27">
        <f>[1]data!W196-[1]data!W158</f>
        <v>0</v>
      </c>
      <c r="AA196" s="27">
        <f>[1]data!X196-[1]data!X158</f>
        <v>0</v>
      </c>
      <c r="AB196" s="27">
        <f>[1]data!Y196-[1]data!Y158</f>
        <v>0</v>
      </c>
      <c r="AC196" s="27">
        <f>[1]data!Z196-[1]data!Z158</f>
        <v>0</v>
      </c>
      <c r="AD196" s="14">
        <v>2337.6598158571201</v>
      </c>
      <c r="AE196" s="15">
        <v>1918.15761738117</v>
      </c>
      <c r="AF196">
        <f>D196/(D196+H196)</f>
        <v>1</v>
      </c>
      <c r="AG196">
        <f>(F196/(D196+H196))</f>
        <v>0.75</v>
      </c>
      <c r="AH196">
        <f>(E196/(D196+H196))</f>
        <v>0.24999999999999989</v>
      </c>
      <c r="AI196">
        <f>(G196/(D196+H196))</f>
        <v>0</v>
      </c>
      <c r="AJ196">
        <f>(F196/(D196))</f>
        <v>0.75</v>
      </c>
      <c r="AK196">
        <f>E196/D196</f>
        <v>0.24999999999999989</v>
      </c>
      <c r="AL196">
        <f>(H196/(C196+H196))</f>
        <v>0</v>
      </c>
      <c r="AM196">
        <f>(I196/(D196+H196))</f>
        <v>0</v>
      </c>
      <c r="AN196">
        <f>(J196/(D196+H196))</f>
        <v>0</v>
      </c>
      <c r="AO196" t="e">
        <f>(I196/H196)</f>
        <v>#DIV/0!</v>
      </c>
      <c r="AP196" t="e">
        <f>J196/H196</f>
        <v>#DIV/0!</v>
      </c>
      <c r="AQ196">
        <f>(D196+H196)/AD196</f>
        <v>1.9528621771443742E-2</v>
      </c>
    </row>
    <row r="197" spans="1:43" x14ac:dyDescent="0.35">
      <c r="A197" s="11" t="s">
        <v>33</v>
      </c>
      <c r="B197" s="24" t="s">
        <v>71</v>
      </c>
      <c r="C197" s="28">
        <f t="shared" si="16"/>
        <v>-186.37394385761746</v>
      </c>
      <c r="D197" s="27">
        <f>[1]data!C197-[1]data!C159</f>
        <v>29.96967941429034</v>
      </c>
      <c r="E197" s="27">
        <f>[1]data!D197-[1]data!D159</f>
        <v>4.6827624084828585</v>
      </c>
      <c r="F197" s="27">
        <f>[1]data!E197-[1]data!E159</f>
        <v>25.286917005807481</v>
      </c>
      <c r="G197" s="27">
        <f>[1]data!F197-[1]data!F159</f>
        <v>-216.3436232719078</v>
      </c>
      <c r="H197" s="27">
        <f>[1]data!G197-[1]data!G159</f>
        <v>0</v>
      </c>
      <c r="I197" s="27">
        <f>[1]data!H197-[1]data!H159</f>
        <v>0</v>
      </c>
      <c r="J197" s="27">
        <f>[1]data!I197-[1]data!I159</f>
        <v>0</v>
      </c>
      <c r="K197" s="27">
        <f>[1]data!J197-[1]data!J159</f>
        <v>0</v>
      </c>
      <c r="L197" s="13">
        <f t="shared" si="17"/>
        <v>-4.0832682941509333</v>
      </c>
      <c r="M197" s="27">
        <f>[1]data!K197-[1]data!K159</f>
        <v>0.65660595684839507</v>
      </c>
      <c r="N197" s="13">
        <f t="shared" si="18"/>
        <v>-4.1770477512253956</v>
      </c>
      <c r="O197" s="13">
        <f t="shared" si="19"/>
        <v>0.56282649977393207</v>
      </c>
      <c r="P197" s="27">
        <f>[1]data!M197-[1]data!M159</f>
        <v>0.10259468075756129</v>
      </c>
      <c r="Q197" s="27">
        <f>[1]data!N197-[1]data!N159</f>
        <v>8.7941640589676462E-2</v>
      </c>
      <c r="R197" s="27">
        <f>[1]data!O197-[1]data!O159</f>
        <v>0.55401127609083289</v>
      </c>
      <c r="S197" s="27">
        <f>[1]data!P197-[1]data!P159</f>
        <v>0.4748848591842556</v>
      </c>
      <c r="T197" s="27">
        <f>[1]data!Q197-[1]data!Q159</f>
        <v>-4.7398742509993275</v>
      </c>
      <c r="U197" s="27">
        <f>[1]data!R197-[1]data!R159</f>
        <v>-4.0629037952430505</v>
      </c>
      <c r="V197" s="27">
        <f>[1]data!S197-[1]data!S159</f>
        <v>0</v>
      </c>
      <c r="W197" s="27">
        <f>[1]data!T197-[1]data!T159</f>
        <v>0</v>
      </c>
      <c r="X197" s="27">
        <f>[1]data!U197-[1]data!U159</f>
        <v>0</v>
      </c>
      <c r="Y197" s="27">
        <f>[1]data!V197-[1]data!V159</f>
        <v>0</v>
      </c>
      <c r="Z197" s="27">
        <f>[1]data!W197-[1]data!W159</f>
        <v>0</v>
      </c>
      <c r="AA197" s="27">
        <f>[1]data!X197-[1]data!X159</f>
        <v>0</v>
      </c>
      <c r="AB197" s="27">
        <f>[1]data!Y197-[1]data!Y159</f>
        <v>0</v>
      </c>
      <c r="AC197" s="27">
        <f>[1]data!Z197-[1]data!Z159</f>
        <v>0</v>
      </c>
      <c r="AD197" s="14">
        <v>5324.8522282316499</v>
      </c>
      <c r="AE197" s="15">
        <v>4564.3325500944502</v>
      </c>
      <c r="AF197">
        <f>D197/(D197+H197)</f>
        <v>1</v>
      </c>
      <c r="AG197">
        <f>(F197/(D197+H197))</f>
        <v>0.84375000000000022</v>
      </c>
      <c r="AH197">
        <f>(E197/(D197+H197))</f>
        <v>0.15624999999999975</v>
      </c>
      <c r="AI197">
        <f>(G197/(D197+H197))</f>
        <v>-7.2187499999999805</v>
      </c>
      <c r="AJ197">
        <f>(F197/(D197))</f>
        <v>0.84375000000000022</v>
      </c>
      <c r="AK197">
        <f>E197/D197</f>
        <v>0.15624999999999975</v>
      </c>
      <c r="AL197">
        <f>(H197/(C197+H197))</f>
        <v>0</v>
      </c>
      <c r="AM197">
        <f>(I197/(D197+H197))</f>
        <v>0</v>
      </c>
      <c r="AN197">
        <f>(J197/(D197+H197))</f>
        <v>0</v>
      </c>
      <c r="AO197" t="e">
        <f>(I197/H197)</f>
        <v>#DIV/0!</v>
      </c>
      <c r="AP197" t="e">
        <f>J197/H197</f>
        <v>#DIV/0!</v>
      </c>
      <c r="AQ197">
        <f>(D197+H197)/AD197</f>
        <v>5.6282649977393052E-3</v>
      </c>
    </row>
    <row r="198" spans="1:43" x14ac:dyDescent="0.35">
      <c r="A198" s="11" t="s">
        <v>34</v>
      </c>
      <c r="B198" s="24" t="s">
        <v>71</v>
      </c>
      <c r="C198" s="28">
        <f t="shared" si="16"/>
        <v>9.7954529108257304E-4</v>
      </c>
      <c r="D198" s="27">
        <f>[1]data!C198-[1]data!C160</f>
        <v>6.3663101002475742E-4</v>
      </c>
      <c r="E198" s="27">
        <f>[1]data!D198-[1]data!D160</f>
        <v>7.3429182238626822E-5</v>
      </c>
      <c r="F198" s="27">
        <f>[1]data!E198-[1]data!E160</f>
        <v>5.6320182778790695E-4</v>
      </c>
      <c r="G198" s="27">
        <f>[1]data!F198-[1]data!F160</f>
        <v>3.4291428105603927E-4</v>
      </c>
      <c r="H198" s="27">
        <f>[1]data!G198-[1]data!G160</f>
        <v>5.20612902079165E-4</v>
      </c>
      <c r="I198" s="27">
        <f>[1]data!H198-[1]data!H160</f>
        <v>0</v>
      </c>
      <c r="J198" s="27">
        <f>[1]data!I198-[1]data!I160</f>
        <v>5.20612902079165E-4</v>
      </c>
      <c r="K198" s="27">
        <f>[1]data!J198-[1]data!J160</f>
        <v>9.1786477798905253E-4</v>
      </c>
      <c r="L198" s="13">
        <f t="shared" si="17"/>
        <v>5.9795934973516651E-5</v>
      </c>
      <c r="M198" s="27">
        <f>[1]data!K198-[1]data!K160</f>
        <v>3.8862875279654929E-5</v>
      </c>
      <c r="N198" s="13">
        <f t="shared" si="18"/>
        <v>5.04540116148533E-5</v>
      </c>
      <c r="O198" s="13">
        <f t="shared" si="19"/>
        <v>2.9520951920769534E-5</v>
      </c>
      <c r="P198" s="27">
        <f>[1]data!M198-[1]data!M160</f>
        <v>4.4824538958376792E-6</v>
      </c>
      <c r="Q198" s="27">
        <f>[1]data!N198-[1]data!N160</f>
        <v>3.4049540853509086E-6</v>
      </c>
      <c r="R198" s="27">
        <f>[1]data!O198-[1]data!O160</f>
        <v>3.4380421383595205E-5</v>
      </c>
      <c r="S198" s="27">
        <f>[1]data!P198-[1]data!P160</f>
        <v>2.6115997835418625E-5</v>
      </c>
      <c r="T198" s="27">
        <f>[1]data!Q198-[1]data!Q160</f>
        <v>2.0933059694083767E-5</v>
      </c>
      <c r="U198" s="27">
        <f>[1]data!R198-[1]data!R160</f>
        <v>1.5901135578477721E-5</v>
      </c>
      <c r="V198" s="27">
        <f>[1]data!S198-[1]data!S160</f>
        <v>3.1780598122921333E-5</v>
      </c>
      <c r="W198" s="27">
        <f>[1]data!T198-[1]data!T160</f>
        <v>2.4141124465248964E-5</v>
      </c>
      <c r="X198" s="27">
        <f>[1]data!U198-[1]data!U160</f>
        <v>0</v>
      </c>
      <c r="Y198" s="27">
        <f>[1]data!V198-[1]data!V160</f>
        <v>0</v>
      </c>
      <c r="Z198" s="27">
        <f>[1]data!W198-[1]data!W160</f>
        <v>3.1780598122921333E-5</v>
      </c>
      <c r="AA198" s="27">
        <f>[1]data!X198-[1]data!X160</f>
        <v>2.4141124465248964E-5</v>
      </c>
      <c r="AB198" s="27">
        <f>[1]data!Y198-[1]data!Y160</f>
        <v>5.6030673700746547E-5</v>
      </c>
      <c r="AC198" s="27">
        <f>[1]data!Z198-[1]data!Z160</f>
        <v>4.2561926066220224E-5</v>
      </c>
      <c r="AD198" s="14">
        <v>2156.5395714307001</v>
      </c>
      <c r="AE198" s="15">
        <v>1638.14696019506</v>
      </c>
      <c r="AF198">
        <f>D198/(D198+H198)</f>
        <v>0.55012690355599547</v>
      </c>
      <c r="AG198">
        <f>(F198/(D198+H198))</f>
        <v>0.48667512690905435</v>
      </c>
      <c r="AH198">
        <f>(E198/(D198+H198))</f>
        <v>6.3451776648476121E-2</v>
      </c>
      <c r="AI198">
        <f>(G198/(D198+H198))</f>
        <v>0.29631979694981103</v>
      </c>
      <c r="AJ198">
        <f>(F198/(D198))</f>
        <v>0.88465974625710597</v>
      </c>
      <c r="AK198">
        <f>E198/D198</f>
        <v>0.11534025374568432</v>
      </c>
      <c r="AL198">
        <f>(H198/(C198+H198))</f>
        <v>0.34703866862328675</v>
      </c>
      <c r="AM198">
        <f>(I198/(D198+H198))</f>
        <v>0</v>
      </c>
      <c r="AN198">
        <f>(J198/(D198+H198))</f>
        <v>0.44987309644400453</v>
      </c>
      <c r="AO198">
        <f>(I198/H198)</f>
        <v>0</v>
      </c>
      <c r="AP198">
        <f>J198/H198</f>
        <v>1</v>
      </c>
      <c r="AQ198">
        <f>(D198+H198)/AD198</f>
        <v>5.3662076385465022E-7</v>
      </c>
    </row>
    <row r="199" spans="1:43" x14ac:dyDescent="0.35">
      <c r="A199" s="11" t="s">
        <v>35</v>
      </c>
      <c r="B199" s="24" t="s">
        <v>71</v>
      </c>
      <c r="C199" s="28">
        <f t="shared" si="16"/>
        <v>1.1412818593541374E-2</v>
      </c>
      <c r="D199" s="27">
        <f>[1]data!C199-[1]data!C161</f>
        <v>1.1412818593541374E-2</v>
      </c>
      <c r="E199" s="27">
        <f>[1]data!D199-[1]data!D161</f>
        <v>0</v>
      </c>
      <c r="F199" s="27">
        <f>[1]data!E199-[1]data!E161</f>
        <v>1.1412818593541374E-2</v>
      </c>
      <c r="G199" s="27">
        <f>[1]data!F199-[1]data!F161</f>
        <v>0</v>
      </c>
      <c r="H199" s="27">
        <f>[1]data!G199-[1]data!G161</f>
        <v>0</v>
      </c>
      <c r="I199" s="27">
        <f>[1]data!H199-[1]data!H161</f>
        <v>0</v>
      </c>
      <c r="J199" s="27">
        <f>[1]data!I199-[1]data!I161</f>
        <v>0</v>
      </c>
      <c r="K199" s="27">
        <f>[1]data!J199-[1]data!J161</f>
        <v>0</v>
      </c>
      <c r="L199" s="13">
        <f t="shared" si="17"/>
        <v>8.620484326238298E-4</v>
      </c>
      <c r="M199" s="27">
        <f>[1]data!K199-[1]data!K161</f>
        <v>8.620484326238298E-4</v>
      </c>
      <c r="N199" s="13">
        <f t="shared" si="18"/>
        <v>6.352709519514832E-4</v>
      </c>
      <c r="O199" s="13">
        <f t="shared" si="19"/>
        <v>6.352709519514832E-4</v>
      </c>
      <c r="P199" s="27">
        <f>[1]data!M199-[1]data!M161</f>
        <v>0</v>
      </c>
      <c r="Q199" s="27">
        <f>[1]data!N199-[1]data!N161</f>
        <v>0</v>
      </c>
      <c r="R199" s="27">
        <f>[1]data!O199-[1]data!O161</f>
        <v>8.620484326238298E-4</v>
      </c>
      <c r="S199" s="27">
        <f>[1]data!P199-[1]data!P161</f>
        <v>6.352709519514832E-4</v>
      </c>
      <c r="T199" s="27">
        <f>[1]data!Q199-[1]data!Q161</f>
        <v>0</v>
      </c>
      <c r="U199" s="27">
        <f>[1]data!R199-[1]data!R161</f>
        <v>0</v>
      </c>
      <c r="V199" s="27">
        <f>[1]data!S199-[1]data!S161</f>
        <v>0</v>
      </c>
      <c r="W199" s="27">
        <f>[1]data!T199-[1]data!T161</f>
        <v>0</v>
      </c>
      <c r="X199" s="27">
        <f>[1]data!U199-[1]data!U161</f>
        <v>0</v>
      </c>
      <c r="Y199" s="27">
        <f>[1]data!V199-[1]data!V161</f>
        <v>0</v>
      </c>
      <c r="Z199" s="27">
        <f>[1]data!W199-[1]data!W161</f>
        <v>0</v>
      </c>
      <c r="AA199" s="27">
        <f>[1]data!X199-[1]data!X161</f>
        <v>0</v>
      </c>
      <c r="AB199" s="27">
        <f>[1]data!Y199-[1]data!Y161</f>
        <v>0</v>
      </c>
      <c r="AC199" s="27">
        <f>[1]data!Z199-[1]data!Z161</f>
        <v>0</v>
      </c>
      <c r="AD199" s="14">
        <v>1796.5276955414199</v>
      </c>
      <c r="AE199" s="15">
        <v>1323.9184901480501</v>
      </c>
      <c r="AF199">
        <f>D199/(D199+H199)</f>
        <v>1</v>
      </c>
      <c r="AG199">
        <f>(F199/(D199+H199))</f>
        <v>1</v>
      </c>
      <c r="AH199">
        <f>(E199/(D199+H199))</f>
        <v>0</v>
      </c>
      <c r="AI199">
        <f>(G199/(D199+H199))</f>
        <v>0</v>
      </c>
      <c r="AJ199">
        <f>(F199/(D199))</f>
        <v>1</v>
      </c>
      <c r="AK199">
        <f>E199/D199</f>
        <v>0</v>
      </c>
      <c r="AL199">
        <f>(H199/(C199+H199))</f>
        <v>0</v>
      </c>
      <c r="AM199">
        <f>(I199/(D199+H199))</f>
        <v>0</v>
      </c>
      <c r="AN199">
        <f>(J199/(D199+H199))</f>
        <v>0</v>
      </c>
      <c r="AO199" t="e">
        <f>(I199/H199)</f>
        <v>#DIV/0!</v>
      </c>
      <c r="AP199" t="e">
        <f>J199/H199</f>
        <v>#DIV/0!</v>
      </c>
      <c r="AQ199">
        <f>(D199+H199)/AD199</f>
        <v>6.3527095195166974E-6</v>
      </c>
    </row>
    <row r="200" spans="1:43" x14ac:dyDescent="0.35">
      <c r="A200" s="11" t="s">
        <v>36</v>
      </c>
      <c r="B200" s="24" t="s">
        <v>71</v>
      </c>
      <c r="C200" s="28">
        <f t="shared" si="16"/>
        <v>0</v>
      </c>
      <c r="D200" s="27">
        <f>[1]data!C200-[1]data!C162</f>
        <v>0</v>
      </c>
      <c r="E200" s="27">
        <f>[1]data!D200-[1]data!D162</f>
        <v>0</v>
      </c>
      <c r="F200" s="27">
        <f>[1]data!E200-[1]data!E162</f>
        <v>0</v>
      </c>
      <c r="G200" s="27">
        <f>[1]data!F200-[1]data!F162</f>
        <v>0</v>
      </c>
      <c r="H200" s="27">
        <f>[1]data!G200-[1]data!G162</f>
        <v>15.395615788971099</v>
      </c>
      <c r="I200" s="27">
        <f>[1]data!H200-[1]data!H162</f>
        <v>0</v>
      </c>
      <c r="J200" s="27">
        <f>[1]data!I200-[1]data!I162</f>
        <v>15.395615788971099</v>
      </c>
      <c r="K200" s="27">
        <f>[1]data!J200-[1]data!J162</f>
        <v>0</v>
      </c>
      <c r="L200" s="13">
        <f t="shared" si="17"/>
        <v>0</v>
      </c>
      <c r="M200" s="27">
        <f>[1]data!K200-[1]data!K162</f>
        <v>0</v>
      </c>
      <c r="N200" s="13">
        <f t="shared" si="18"/>
        <v>0</v>
      </c>
      <c r="O200" s="13">
        <f t="shared" si="19"/>
        <v>0</v>
      </c>
      <c r="P200" s="27">
        <f>[1]data!M200-[1]data!M162</f>
        <v>0</v>
      </c>
      <c r="Q200" s="27">
        <f>[1]data!N200-[1]data!N162</f>
        <v>0</v>
      </c>
      <c r="R200" s="27">
        <f>[1]data!O200-[1]data!O162</f>
        <v>0</v>
      </c>
      <c r="S200" s="27">
        <f>[1]data!P200-[1]data!P162</f>
        <v>0</v>
      </c>
      <c r="T200" s="27">
        <f>[1]data!Q200-[1]data!Q162</f>
        <v>0</v>
      </c>
      <c r="U200" s="27">
        <f>[1]data!R200-[1]data!R162</f>
        <v>0</v>
      </c>
      <c r="V200" s="27">
        <f>[1]data!S200-[1]data!S162</f>
        <v>0.4876060525070649</v>
      </c>
      <c r="W200" s="27">
        <f>[1]data!T200-[1]data!T162</f>
        <v>0.52330648617822106</v>
      </c>
      <c r="X200" s="27">
        <f>[1]data!U200-[1]data!U162</f>
        <v>0</v>
      </c>
      <c r="Y200" s="27">
        <f>[1]data!V200-[1]data!V162</f>
        <v>0</v>
      </c>
      <c r="Z200" s="27">
        <f>[1]data!W200-[1]data!W162</f>
        <v>0.4876060525070649</v>
      </c>
      <c r="AA200" s="27">
        <f>[1]data!X200-[1]data!X162</f>
        <v>0.52330648617822106</v>
      </c>
      <c r="AB200" s="27">
        <f>[1]data!Y200-[1]data!Y162</f>
        <v>0</v>
      </c>
      <c r="AC200" s="27">
        <f>[1]data!Z200-[1]data!Z162</f>
        <v>0</v>
      </c>
      <c r="AD200" s="14">
        <v>2941.9883367789698</v>
      </c>
      <c r="AE200" s="15">
        <v>3157.38816403392</v>
      </c>
      <c r="AF200">
        <f>D200/(D200+H200)</f>
        <v>0</v>
      </c>
      <c r="AG200">
        <f>(F200/(D200+H200))</f>
        <v>0</v>
      </c>
      <c r="AH200">
        <f>(E200/(D200+H200))</f>
        <v>0</v>
      </c>
      <c r="AI200">
        <f>(G200/(D200+H200))</f>
        <v>0</v>
      </c>
      <c r="AJ200" t="e">
        <f>(F200/(D200))</f>
        <v>#DIV/0!</v>
      </c>
      <c r="AK200" t="e">
        <f>E200/D200</f>
        <v>#DIV/0!</v>
      </c>
      <c r="AL200">
        <f>(H200/(C200+H200))</f>
        <v>1</v>
      </c>
      <c r="AM200">
        <f>(I200/(D200+H200))</f>
        <v>0</v>
      </c>
      <c r="AN200">
        <f>(J200/(D200+H200))</f>
        <v>1</v>
      </c>
      <c r="AO200">
        <f>(I200/H200)</f>
        <v>0</v>
      </c>
      <c r="AP200">
        <f>J200/H200</f>
        <v>1</v>
      </c>
      <c r="AQ200">
        <f>(D200+H200)/AD200</f>
        <v>5.2330648617822054E-3</v>
      </c>
    </row>
    <row r="201" spans="1:43" x14ac:dyDescent="0.35">
      <c r="A201" s="11" t="s">
        <v>37</v>
      </c>
      <c r="B201" s="24" t="s">
        <v>71</v>
      </c>
      <c r="C201" s="28">
        <f t="shared" si="16"/>
        <v>0.27200000000027558</v>
      </c>
      <c r="D201" s="27">
        <f>[1]data!C201-[1]data!C163</f>
        <v>0.27200000000084401</v>
      </c>
      <c r="E201" s="27">
        <f>[1]data!D201-[1]data!D163</f>
        <v>-3.1000000000000227</v>
      </c>
      <c r="F201" s="27">
        <f>[1]data!E201-[1]data!E163</f>
        <v>3.3720000000002983</v>
      </c>
      <c r="G201" s="27">
        <f>[1]data!F201-[1]data!F163</f>
        <v>0</v>
      </c>
      <c r="H201" s="27">
        <f>[1]data!G201-[1]data!G163</f>
        <v>0</v>
      </c>
      <c r="I201" s="27">
        <f>[1]data!H201-[1]data!H163</f>
        <v>0</v>
      </c>
      <c r="J201" s="27">
        <f>[1]data!I201-[1]data!I163</f>
        <v>0</v>
      </c>
      <c r="K201" s="27">
        <f>[1]data!J201-[1]data!J163</f>
        <v>0</v>
      </c>
      <c r="L201" s="13">
        <f t="shared" si="17"/>
        <v>1.3648468991078744E-3</v>
      </c>
      <c r="M201" s="27">
        <f>[1]data!K201-[1]data!K163</f>
        <v>1.3648468991078744E-3</v>
      </c>
      <c r="N201" s="13">
        <f t="shared" si="18"/>
        <v>1.3617557193317253E-3</v>
      </c>
      <c r="O201" s="13">
        <f t="shared" si="19"/>
        <v>1.3617557193317253E-3</v>
      </c>
      <c r="P201" s="27">
        <f>[1]data!M201-[1]data!M163</f>
        <v>-1.5555240394231618E-2</v>
      </c>
      <c r="Q201" s="27">
        <f>[1]data!N201-[1]data!N163</f>
        <v>-1.5520010036498277E-2</v>
      </c>
      <c r="R201" s="27">
        <f>[1]data!O201-[1]data!O163</f>
        <v>1.6920087293339492E-2</v>
      </c>
      <c r="S201" s="27">
        <f>[1]data!P201-[1]data!P163</f>
        <v>1.6881765755830003E-2</v>
      </c>
      <c r="T201" s="27">
        <f>[1]data!Q201-[1]data!Q163</f>
        <v>0</v>
      </c>
      <c r="U201" s="27">
        <f>[1]data!R201-[1]data!R163</f>
        <v>0</v>
      </c>
      <c r="V201" s="27">
        <f>[1]data!S201-[1]data!S163</f>
        <v>0</v>
      </c>
      <c r="W201" s="27">
        <f>[1]data!T201-[1]data!T163</f>
        <v>0</v>
      </c>
      <c r="X201" s="27">
        <f>[1]data!U201-[1]data!U163</f>
        <v>0</v>
      </c>
      <c r="Y201" s="27">
        <f>[1]data!V201-[1]data!V163</f>
        <v>0</v>
      </c>
      <c r="Z201" s="27">
        <f>[1]data!W201-[1]data!W163</f>
        <v>0</v>
      </c>
      <c r="AA201" s="27">
        <f>[1]data!X201-[1]data!X163</f>
        <v>0</v>
      </c>
      <c r="AB201" s="27">
        <f>[1]data!Y201-[1]data!Y163</f>
        <v>0</v>
      </c>
      <c r="AC201" s="27">
        <f>[1]data!Z201-[1]data!Z163</f>
        <v>0</v>
      </c>
      <c r="AD201" s="14">
        <v>19974.2138871676</v>
      </c>
      <c r="AE201" s="15">
        <v>19928.975197</v>
      </c>
      <c r="AF201">
        <f>D201/(D201+H201)</f>
        <v>1</v>
      </c>
      <c r="AG201">
        <f>(F201/(D201+H201))</f>
        <v>12.39705882349204</v>
      </c>
      <c r="AH201">
        <f>(E201/(D201+H201))</f>
        <v>-11.397058823494131</v>
      </c>
      <c r="AI201">
        <f>(G201/(D201+H201))</f>
        <v>0</v>
      </c>
      <c r="AJ201">
        <f>(F201/(D201))</f>
        <v>12.39705882349204</v>
      </c>
      <c r="AK201">
        <f>E201/D201</f>
        <v>-11.397058823494131</v>
      </c>
      <c r="AL201">
        <f>(H201/(C201+H201))</f>
        <v>0</v>
      </c>
      <c r="AM201">
        <f>(I201/(D201+H201))</f>
        <v>0</v>
      </c>
      <c r="AN201">
        <f>(J201/(D201+H201))</f>
        <v>0</v>
      </c>
      <c r="AO201" t="e">
        <f>(I201/H201)</f>
        <v>#DIV/0!</v>
      </c>
      <c r="AP201" t="e">
        <f>J201/H201</f>
        <v>#DIV/0!</v>
      </c>
      <c r="AQ201">
        <f>(D201+H201)/AD201</f>
        <v>1.3617557193356679E-5</v>
      </c>
    </row>
    <row r="202" spans="1:43" x14ac:dyDescent="0.35">
      <c r="A202" s="11" t="s">
        <v>38</v>
      </c>
      <c r="B202" s="24" t="s">
        <v>71</v>
      </c>
      <c r="C202" s="28">
        <f t="shared" si="16"/>
        <v>-2.6645352591003757E-14</v>
      </c>
      <c r="D202" s="27">
        <f>[1]data!C202-[1]data!C164</f>
        <v>-1.7763568394002505E-14</v>
      </c>
      <c r="E202" s="27">
        <f>[1]data!D202-[1]data!D164</f>
        <v>-1.1546319456101628E-14</v>
      </c>
      <c r="F202" s="27">
        <f>[1]data!E202-[1]data!E164</f>
        <v>-5.3290705182007514E-15</v>
      </c>
      <c r="G202" s="27">
        <f>[1]data!F202-[1]data!F164</f>
        <v>-9.7699626167013776E-15</v>
      </c>
      <c r="H202" s="27">
        <f>[1]data!G202-[1]data!G164</f>
        <v>-2.4424906541753444E-15</v>
      </c>
      <c r="I202" s="27">
        <f>[1]data!H202-[1]data!H164</f>
        <v>-1.9984014443252818E-15</v>
      </c>
      <c r="J202" s="27">
        <f>[1]data!I202-[1]data!I164</f>
        <v>-4.163336342344337E-16</v>
      </c>
      <c r="K202" s="27">
        <f>[1]data!J202-[1]data!J164</f>
        <v>-2.6645352591003757E-14</v>
      </c>
      <c r="L202" s="13">
        <f t="shared" si="17"/>
        <v>-2.0261570199409107E-15</v>
      </c>
      <c r="M202" s="27">
        <f>[1]data!K202-[1]data!K164</f>
        <v>-1.3322676295501878E-15</v>
      </c>
      <c r="N202" s="13">
        <f t="shared" si="18"/>
        <v>-1.4849232954361469E-15</v>
      </c>
      <c r="O202" s="13">
        <f t="shared" si="19"/>
        <v>-7.0776717819853729E-16</v>
      </c>
      <c r="P202" s="27">
        <f>[1]data!M202-[1]data!M164</f>
        <v>-8.3266726846886741E-16</v>
      </c>
      <c r="Q202" s="27">
        <f>[1]data!N202-[1]data!N164</f>
        <v>-4.7184478546569153E-16</v>
      </c>
      <c r="R202" s="27">
        <f>[1]data!O202-[1]data!O164</f>
        <v>-4.163336342344337E-16</v>
      </c>
      <c r="S202" s="27">
        <f>[1]data!P202-[1]data!P164</f>
        <v>-2.3592239273284576E-16</v>
      </c>
      <c r="T202" s="27">
        <f>[1]data!Q202-[1]data!Q164</f>
        <v>-7.7715611723760958E-16</v>
      </c>
      <c r="U202" s="27">
        <f>[1]data!R202-[1]data!R164</f>
        <v>-4.163336342344337E-16</v>
      </c>
      <c r="V202" s="27">
        <f>[1]data!S202-[1]data!S164</f>
        <v>-1.8041124150158794E-16</v>
      </c>
      <c r="W202" s="27">
        <f>[1]data!T202-[1]data!T164</f>
        <v>-9.7144514654701197E-17</v>
      </c>
      <c r="X202" s="27">
        <f>[1]data!U202-[1]data!U164</f>
        <v>-1.5265566588595902E-16</v>
      </c>
      <c r="Y202" s="27">
        <f>[1]data!V202-[1]data!V164</f>
        <v>-8.3266726846886741E-17</v>
      </c>
      <c r="Z202" s="27">
        <f>[1]data!W202-[1]data!W164</f>
        <v>-3.2959746043559335E-17</v>
      </c>
      <c r="AA202" s="27">
        <f>[1]data!X202-[1]data!X164</f>
        <v>-1.6479873021779667E-17</v>
      </c>
      <c r="AB202" s="27">
        <f>[1]data!Y202-[1]data!Y164</f>
        <v>-2.1094237467877974E-15</v>
      </c>
      <c r="AC202" s="27">
        <f>[1]data!Z202-[1]data!Z164</f>
        <v>-1.1657341758564144E-15</v>
      </c>
      <c r="AD202" s="14">
        <v>2381.6675591522499</v>
      </c>
      <c r="AE202" s="15">
        <v>1279.1513266244399</v>
      </c>
      <c r="AF202">
        <f>D202/(D202+H202)</f>
        <v>0.87912087912087911</v>
      </c>
      <c r="AG202">
        <f>(F202/(D202+H202))</f>
        <v>0.26373626373626374</v>
      </c>
      <c r="AH202">
        <f>(E202/(D202+H202))</f>
        <v>0.5714285714285714</v>
      </c>
      <c r="AI202">
        <f>(G202/(D202+H202))</f>
        <v>0.48351648351648352</v>
      </c>
      <c r="AJ202">
        <f>(F202/(D202))</f>
        <v>0.3</v>
      </c>
      <c r="AK202">
        <f>E202/D202</f>
        <v>0.65</v>
      </c>
      <c r="AL202">
        <f>(H202/(C202+H202))</f>
        <v>8.3969465648854963E-2</v>
      </c>
      <c r="AM202">
        <f>(I202/(D202+H202))</f>
        <v>9.8901098901098897E-2</v>
      </c>
      <c r="AN202">
        <f>(J202/(D202+H202))</f>
        <v>2.0604395604395604E-2</v>
      </c>
      <c r="AO202">
        <f>(I202/H202)</f>
        <v>0.81818181818181823</v>
      </c>
      <c r="AP202">
        <f>J202/H202</f>
        <v>0.17045454545454544</v>
      </c>
      <c r="AQ202">
        <f>(D202+H202)/AD202</f>
        <v>-8.4839964211336694E-18</v>
      </c>
    </row>
    <row r="203" spans="1:43" x14ac:dyDescent="0.35">
      <c r="A203" s="11" t="s">
        <v>39</v>
      </c>
      <c r="B203" s="24" t="s">
        <v>71</v>
      </c>
      <c r="C203" s="28">
        <f t="shared" si="16"/>
        <v>6.4348398866345011</v>
      </c>
      <c r="D203" s="27">
        <f>[1]data!C203-[1]data!C165</f>
        <v>6.4771357218701624</v>
      </c>
      <c r="E203" s="27">
        <f>[1]data!D203-[1]data!D165</f>
        <v>0.60354303931876307</v>
      </c>
      <c r="F203" s="27">
        <f>[1]data!E203-[1]data!E165</f>
        <v>5.8735926825513989</v>
      </c>
      <c r="G203" s="27">
        <f>[1]data!F203-[1]data!F165</f>
        <v>-4.2295835235661272E-2</v>
      </c>
      <c r="H203" s="27">
        <f>[1]data!G203-[1]data!G165</f>
        <v>7.2337052758079778E-2</v>
      </c>
      <c r="I203" s="27">
        <f>[1]data!H203-[1]data!H165</f>
        <v>4.4287991484539546E-3</v>
      </c>
      <c r="J203" s="27">
        <f>[1]data!I203-[1]data!I165</f>
        <v>6.7908253609623159E-2</v>
      </c>
      <c r="K203" s="27">
        <f>[1]data!J203-[1]data!J165</f>
        <v>0.5273109280821302</v>
      </c>
      <c r="L203" s="13">
        <f t="shared" si="17"/>
        <v>0.64538558409206659</v>
      </c>
      <c r="M203" s="27">
        <f>[1]data!K203-[1]data!K165</f>
        <v>0.64962766669383099</v>
      </c>
      <c r="N203" s="13">
        <f t="shared" si="18"/>
        <v>0.27329591444863233</v>
      </c>
      <c r="O203" s="13">
        <f t="shared" si="19"/>
        <v>0.2775379970503965</v>
      </c>
      <c r="P203" s="27">
        <f>[1]data!M203-[1]data!M165</f>
        <v>6.0532660302005353E-2</v>
      </c>
      <c r="Q203" s="27">
        <f>[1]data!N203-[1]data!N165</f>
        <v>2.5861141939739027E-2</v>
      </c>
      <c r="R203" s="27">
        <f>[1]data!O203-[1]data!O165</f>
        <v>0.58909500639182544</v>
      </c>
      <c r="S203" s="27">
        <f>[1]data!P203-[1]data!P165</f>
        <v>0.25167685511065746</v>
      </c>
      <c r="T203" s="27">
        <f>[1]data!Q203-[1]data!Q165</f>
        <v>-4.2420826017641744E-3</v>
      </c>
      <c r="U203" s="27">
        <f>[1]data!R203-[1]data!R165</f>
        <v>-1.812329075526864E-3</v>
      </c>
      <c r="V203" s="27">
        <f>[1]data!S203-[1]data!S165</f>
        <v>7.2550820017660556E-3</v>
      </c>
      <c r="W203" s="27">
        <f>[1]data!T203-[1]data!T165</f>
        <v>3.0995615341544713E-3</v>
      </c>
      <c r="X203" s="27">
        <f>[1]data!U203-[1]data!U165</f>
        <v>4.4418869398565874E-4</v>
      </c>
      <c r="Y203" s="27">
        <f>[1]data!V203-[1]data!V165</f>
        <v>1.8976907351966887E-4</v>
      </c>
      <c r="Z203" s="27">
        <f>[1]data!W203-[1]data!W165</f>
        <v>6.8108933077803968E-3</v>
      </c>
      <c r="AA203" s="27">
        <f>[1]data!X203-[1]data!X165</f>
        <v>2.9097924606344971E-3</v>
      </c>
      <c r="AB203" s="27">
        <f>[1]data!Y203-[1]data!Y165</f>
        <v>5.2886921401925857E-2</v>
      </c>
      <c r="AC203" s="27">
        <f>[1]data!Z203-[1]data!Z165</f>
        <v>2.2594681520807236E-2</v>
      </c>
      <c r="AD203" s="14">
        <v>2333.7834064911899</v>
      </c>
      <c r="AE203" s="15">
        <v>997.05355143423003</v>
      </c>
      <c r="AF203">
        <f>D203/(D203+H203)</f>
        <v>0.98895528613565609</v>
      </c>
      <c r="AG203">
        <f>(F203/(D203+H203))</f>
        <v>0.89680389317822495</v>
      </c>
      <c r="AH203">
        <f>(E203/(D203+H203))</f>
        <v>9.2151392957430994E-2</v>
      </c>
      <c r="AI203">
        <f>(G203/(D203+H203))</f>
        <v>-6.4578992372499857E-3</v>
      </c>
      <c r="AJ203">
        <f>(F203/(D203))</f>
        <v>0.90681945458068913</v>
      </c>
      <c r="AK203">
        <f>E203/D203</f>
        <v>9.3180545419310798E-2</v>
      </c>
      <c r="AL203">
        <f>(H203/(C203+H203))</f>
        <v>1.1116503121372346E-2</v>
      </c>
      <c r="AM203">
        <f>(I203/(D203+H203))</f>
        <v>6.7620697128637809E-4</v>
      </c>
      <c r="AN203">
        <f>(J203/(D203+H203))</f>
        <v>1.0368506893057164E-2</v>
      </c>
      <c r="AO203">
        <f>(I203/H203)</f>
        <v>6.1224489795919622E-2</v>
      </c>
      <c r="AP203">
        <f>J203/H203</f>
        <v>0.9387755102040436</v>
      </c>
      <c r="AQ203">
        <f>(D203+H203)/AD203</f>
        <v>2.8063755858455095E-3</v>
      </c>
    </row>
    <row r="204" spans="1:43" x14ac:dyDescent="0.35">
      <c r="A204" s="17" t="s">
        <v>40</v>
      </c>
      <c r="B204" s="24" t="s">
        <v>71</v>
      </c>
      <c r="C204" s="28">
        <f t="shared" si="16"/>
        <v>0</v>
      </c>
      <c r="D204" s="27">
        <f>[1]data!C204-[1]data!C166</f>
        <v>0</v>
      </c>
      <c r="E204" s="27">
        <f>[1]data!D204-[1]data!D166</f>
        <v>0</v>
      </c>
      <c r="F204" s="27">
        <f>[1]data!E204-[1]data!E166</f>
        <v>0</v>
      </c>
      <c r="G204" s="27">
        <f>[1]data!F204-[1]data!F166</f>
        <v>0</v>
      </c>
      <c r="H204" s="27">
        <f>[1]data!G204-[1]data!G166</f>
        <v>0</v>
      </c>
      <c r="I204" s="27">
        <f>[1]data!H204-[1]data!H166</f>
        <v>0</v>
      </c>
      <c r="J204" s="27">
        <f>[1]data!I204-[1]data!I166</f>
        <v>0</v>
      </c>
      <c r="K204" s="27">
        <f>[1]data!J204-[1]data!J166</f>
        <v>0</v>
      </c>
      <c r="L204" s="13">
        <f t="shared" si="17"/>
        <v>0</v>
      </c>
      <c r="M204" s="27">
        <f>[1]data!K204-[1]data!K166</f>
        <v>0</v>
      </c>
      <c r="N204" s="13">
        <f t="shared" si="18"/>
        <v>0</v>
      </c>
      <c r="O204" s="13">
        <f t="shared" si="19"/>
        <v>0</v>
      </c>
      <c r="P204" s="27">
        <f>[1]data!M204-[1]data!M166</f>
        <v>0</v>
      </c>
      <c r="Q204" s="27">
        <f>[1]data!N204-[1]data!N166</f>
        <v>0</v>
      </c>
      <c r="R204" s="27">
        <f>[1]data!O204-[1]data!O166</f>
        <v>0</v>
      </c>
      <c r="S204" s="27">
        <f>[1]data!P204-[1]data!P166</f>
        <v>0</v>
      </c>
      <c r="T204" s="27">
        <f>[1]data!Q204-[1]data!Q166</f>
        <v>0</v>
      </c>
      <c r="U204" s="27">
        <f>[1]data!R204-[1]data!R166</f>
        <v>0</v>
      </c>
      <c r="V204" s="27">
        <f>[1]data!S204-[1]data!S166</f>
        <v>0</v>
      </c>
      <c r="W204" s="27">
        <f>[1]data!T204-[1]data!T166</f>
        <v>0</v>
      </c>
      <c r="X204" s="27">
        <f>[1]data!U204-[1]data!U166</f>
        <v>0</v>
      </c>
      <c r="Y204" s="27">
        <f>[1]data!V204-[1]data!V166</f>
        <v>0</v>
      </c>
      <c r="Z204" s="27">
        <f>[1]data!W204-[1]data!W166</f>
        <v>0</v>
      </c>
      <c r="AA204" s="27">
        <f>[1]data!X204-[1]data!X166</f>
        <v>0</v>
      </c>
      <c r="AB204" s="27">
        <f>[1]data!Y204-[1]data!Y166</f>
        <v>0</v>
      </c>
      <c r="AC204" s="27">
        <f>[1]data!Z204-[1]data!Z166</f>
        <v>0</v>
      </c>
      <c r="AD204" s="14">
        <v>468.59916169988998</v>
      </c>
      <c r="AE204" s="15">
        <v>413.94954015926999</v>
      </c>
      <c r="AF204" t="e">
        <f>D204/(D204+H204)</f>
        <v>#DIV/0!</v>
      </c>
      <c r="AG204" t="e">
        <f>(F204/(D204+H204))</f>
        <v>#DIV/0!</v>
      </c>
      <c r="AH204" t="e">
        <f>(E204/(D204+H204))</f>
        <v>#DIV/0!</v>
      </c>
      <c r="AI204" t="e">
        <f>(G204/(D204+H204))</f>
        <v>#DIV/0!</v>
      </c>
      <c r="AJ204" t="e">
        <f>(F204/(D204))</f>
        <v>#DIV/0!</v>
      </c>
      <c r="AK204" t="e">
        <f>E204/D204</f>
        <v>#DIV/0!</v>
      </c>
      <c r="AL204" t="e">
        <f>(H204/(C204+H204))</f>
        <v>#DIV/0!</v>
      </c>
      <c r="AM204" t="e">
        <f>(I204/(D204+H204))</f>
        <v>#DIV/0!</v>
      </c>
      <c r="AN204" t="e">
        <f>(J204/(D204+H204))</f>
        <v>#DIV/0!</v>
      </c>
      <c r="AO204" t="e">
        <f>(I204/H204)</f>
        <v>#DIV/0!</v>
      </c>
      <c r="AP204" t="e">
        <f>J204/H204</f>
        <v>#DIV/0!</v>
      </c>
      <c r="AQ204">
        <f>(D204+H204)/AD204</f>
        <v>0</v>
      </c>
    </row>
    <row r="205" spans="1:43" x14ac:dyDescent="0.35">
      <c r="A205" s="11" t="s">
        <v>41</v>
      </c>
      <c r="B205" s="24" t="s">
        <v>71</v>
      </c>
      <c r="C205" s="28">
        <f t="shared" si="16"/>
        <v>0.68476911561264764</v>
      </c>
      <c r="D205" s="27">
        <f>[1]data!C205-[1]data!C167</f>
        <v>1.1412818593544074</v>
      </c>
      <c r="E205" s="27">
        <f>[1]data!D205-[1]data!D167</f>
        <v>0.91302548748352841</v>
      </c>
      <c r="F205" s="27">
        <f>[1]data!E205-[1]data!E167</f>
        <v>0.22825637187088432</v>
      </c>
      <c r="G205" s="27">
        <f>[1]data!F205-[1]data!F167</f>
        <v>-0.45651274374176509</v>
      </c>
      <c r="H205" s="27">
        <f>[1]data!G205-[1]data!G167</f>
        <v>0.5706409296772037</v>
      </c>
      <c r="I205" s="27">
        <f>[1]data!H205-[1]data!H167</f>
        <v>0.57064092967720637</v>
      </c>
      <c r="J205" s="27">
        <f>[1]data!I205-[1]data!I167</f>
        <v>0</v>
      </c>
      <c r="K205" s="27">
        <f>[1]data!J205-[1]data!J167</f>
        <v>0</v>
      </c>
      <c r="L205" s="13">
        <f t="shared" si="17"/>
        <v>0.13829318765931387</v>
      </c>
      <c r="M205" s="27">
        <f>[1]data!K205-[1]data!K167</f>
        <v>0.23048864609885555</v>
      </c>
      <c r="N205" s="13">
        <f t="shared" si="18"/>
        <v>0.11332168741480975</v>
      </c>
      <c r="O205" s="13">
        <f t="shared" si="19"/>
        <v>0.20551714585435188</v>
      </c>
      <c r="P205" s="27">
        <f>[1]data!M205-[1]data!M167</f>
        <v>0.18439091687908471</v>
      </c>
      <c r="Q205" s="27">
        <f>[1]data!N205-[1]data!N167</f>
        <v>0.16441371668348093</v>
      </c>
      <c r="R205" s="27">
        <f>[1]data!O205-[1]data!O167</f>
        <v>4.6097729219771288E-2</v>
      </c>
      <c r="S205" s="27">
        <f>[1]data!P205-[1]data!P167</f>
        <v>4.1103429170870953E-2</v>
      </c>
      <c r="T205" s="27">
        <f>[1]data!Q205-[1]data!Q167</f>
        <v>-9.2195458439542133E-2</v>
      </c>
      <c r="U205" s="27">
        <f>[1]data!R205-[1]data!R167</f>
        <v>-8.220685834174013E-2</v>
      </c>
      <c r="V205" s="27">
        <f>[1]data!S205-[1]data!S167</f>
        <v>0.11524432304942778</v>
      </c>
      <c r="W205" s="27">
        <f>[1]data!T205-[1]data!T167</f>
        <v>0.10275857292717561</v>
      </c>
      <c r="X205" s="27">
        <f>[1]data!U205-[1]data!U167</f>
        <v>0.11524432304942811</v>
      </c>
      <c r="Y205" s="27">
        <f>[1]data!V205-[1]data!V167</f>
        <v>0.1027585729271758</v>
      </c>
      <c r="Z205" s="27">
        <f>[1]data!W205-[1]data!W167</f>
        <v>0</v>
      </c>
      <c r="AA205" s="27">
        <f>[1]data!X205-[1]data!X167</f>
        <v>0</v>
      </c>
      <c r="AB205" s="27">
        <f>[1]data!Y205-[1]data!Y167</f>
        <v>0</v>
      </c>
      <c r="AC205" s="27">
        <f>[1]data!Z205-[1]data!Z167</f>
        <v>0</v>
      </c>
      <c r="AD205" s="14">
        <v>555.32196820367994</v>
      </c>
      <c r="AE205" s="15">
        <v>495.15751802582002</v>
      </c>
      <c r="AF205">
        <f>D205/(D205+H205)</f>
        <v>0.66666666666666663</v>
      </c>
      <c r="AG205">
        <f>(F205/(D205+H205))</f>
        <v>0.133333333333335</v>
      </c>
      <c r="AH205">
        <f>(E205/(D205+H205))</f>
        <v>0.53333333333333477</v>
      </c>
      <c r="AI205">
        <f>(G205/(D205+H205))</f>
        <v>-0.26666666666666788</v>
      </c>
      <c r="AJ205">
        <f>(F205/(D205))</f>
        <v>0.20000000000000248</v>
      </c>
      <c r="AK205">
        <f>E205/D205</f>
        <v>0.80000000000000215</v>
      </c>
      <c r="AL205">
        <f>(H205/(C205+H205))</f>
        <v>0.45454545454545336</v>
      </c>
      <c r="AM205">
        <f>(I205/(D205+H205))</f>
        <v>0.33333333333333487</v>
      </c>
      <c r="AN205">
        <f>(J205/(D205+H205))</f>
        <v>0</v>
      </c>
      <c r="AO205">
        <f>(I205/H205)</f>
        <v>1.0000000000000047</v>
      </c>
      <c r="AP205">
        <f>J205/H205</f>
        <v>0</v>
      </c>
      <c r="AQ205">
        <f>(D205+H205)/AD205</f>
        <v>3.0827571878152592E-3</v>
      </c>
    </row>
    <row r="206" spans="1:43" x14ac:dyDescent="0.35">
      <c r="A206" s="17" t="s">
        <v>42</v>
      </c>
      <c r="B206" s="24" t="s">
        <v>71</v>
      </c>
      <c r="C206" s="28">
        <f t="shared" si="16"/>
        <v>10.27563253304036</v>
      </c>
      <c r="D206" s="27">
        <f>[1]data!C206-[1]data!C168</f>
        <v>10.27563253304036</v>
      </c>
      <c r="E206" s="27">
        <f>[1]data!D206-[1]data!D168</f>
        <v>3.6363244687153311</v>
      </c>
      <c r="F206" s="27">
        <f>[1]data!E206-[1]data!E168</f>
        <v>6.6393080643250286</v>
      </c>
      <c r="G206" s="27">
        <f>[1]data!F206-[1]data!F168</f>
        <v>0</v>
      </c>
      <c r="H206" s="27">
        <f>[1]data!G206-[1]data!G168</f>
        <v>0.49977919238267532</v>
      </c>
      <c r="I206" s="27">
        <f>[1]data!H206-[1]data!H168</f>
        <v>0</v>
      </c>
      <c r="J206" s="27">
        <f>[1]data!I206-[1]data!I168</f>
        <v>0.49977919238267532</v>
      </c>
      <c r="K206" s="27">
        <f>[1]data!J206-[1]data!J168</f>
        <v>0</v>
      </c>
      <c r="L206" s="13">
        <f t="shared" si="17"/>
        <v>4.7651715685039076</v>
      </c>
      <c r="M206" s="27">
        <f>[1]data!K206-[1]data!K168</f>
        <v>4.7651715685039076</v>
      </c>
      <c r="N206" s="13">
        <f t="shared" si="18"/>
        <v>2.5222720885937484</v>
      </c>
      <c r="O206" s="13">
        <f t="shared" si="19"/>
        <v>2.5222720885937484</v>
      </c>
      <c r="P206" s="27">
        <f>[1]data!M206-[1]data!M168</f>
        <v>1.6862913223552618</v>
      </c>
      <c r="Q206" s="27">
        <f>[1]data!N206-[1]data!N168</f>
        <v>0.89257762799711693</v>
      </c>
      <c r="R206" s="27">
        <f>[1]data!O206-[1]data!O168</f>
        <v>3.0788802461486462</v>
      </c>
      <c r="S206" s="27">
        <f>[1]data!P206-[1]data!P168</f>
        <v>1.6296944605966317</v>
      </c>
      <c r="T206" s="27">
        <f>[1]data!Q206-[1]data!Q168</f>
        <v>0</v>
      </c>
      <c r="U206" s="27">
        <f>[1]data!R206-[1]data!R168</f>
        <v>0</v>
      </c>
      <c r="V206" s="27">
        <f>[1]data!S206-[1]data!S168</f>
        <v>0.23176515804882669</v>
      </c>
      <c r="W206" s="27">
        <f>[1]data!T206-[1]data!T168</f>
        <v>0.12267654602804079</v>
      </c>
      <c r="X206" s="27">
        <f>[1]data!U206-[1]data!U168</f>
        <v>0</v>
      </c>
      <c r="Y206" s="27">
        <f>[1]data!V206-[1]data!V168</f>
        <v>0</v>
      </c>
      <c r="Z206" s="27">
        <f>[1]data!W206-[1]data!W168</f>
        <v>0.23176515804882669</v>
      </c>
      <c r="AA206" s="27">
        <f>[1]data!X206-[1]data!X168</f>
        <v>0.12267654602804079</v>
      </c>
      <c r="AB206" s="27">
        <f>[1]data!Y206-[1]data!Y168</f>
        <v>0</v>
      </c>
      <c r="AC206" s="27">
        <f>[1]data!Z206-[1]data!Z168</f>
        <v>0</v>
      </c>
      <c r="AD206" s="14">
        <v>407.39587848230002</v>
      </c>
      <c r="AE206" s="15">
        <v>215.64034757863999</v>
      </c>
      <c r="AF206">
        <f>D206/(D206+H206)</f>
        <v>0.95361855257896844</v>
      </c>
      <c r="AG206">
        <f>(F206/(D206+H206))</f>
        <v>0.61615353858456612</v>
      </c>
      <c r="AH206">
        <f>(E206/(D206+H206))</f>
        <v>0.33746501399440226</v>
      </c>
      <c r="AI206">
        <f>(G206/(D206+H206))</f>
        <v>0</v>
      </c>
      <c r="AJ206">
        <f>(F206/(D206))</f>
        <v>0.64612159329140451</v>
      </c>
      <c r="AK206">
        <f>E206/D206</f>
        <v>0.35387840670859544</v>
      </c>
      <c r="AL206">
        <f>(H206/(C206+H206))</f>
        <v>4.6381447421031542E-2</v>
      </c>
      <c r="AM206">
        <f>(I206/(D206+H206))</f>
        <v>0</v>
      </c>
      <c r="AN206">
        <f>(J206/(D206+H206))</f>
        <v>4.6381447421031542E-2</v>
      </c>
      <c r="AO206">
        <f>(I206/H206)</f>
        <v>0</v>
      </c>
      <c r="AP206">
        <f>J206/H206</f>
        <v>1</v>
      </c>
      <c r="AQ206">
        <f>(D206+H206)/AD206</f>
        <v>2.6449486346217885E-2</v>
      </c>
    </row>
    <row r="207" spans="1:43" x14ac:dyDescent="0.35">
      <c r="A207" s="17" t="s">
        <v>43</v>
      </c>
      <c r="B207" s="24" t="s">
        <v>71</v>
      </c>
      <c r="C207" s="28">
        <f t="shared" si="16"/>
        <v>0</v>
      </c>
      <c r="D207" s="27">
        <f>[1]data!C207-[1]data!C169</f>
        <v>0</v>
      </c>
      <c r="E207" s="27">
        <f>[1]data!D207-[1]data!D169</f>
        <v>0</v>
      </c>
      <c r="F207" s="27">
        <f>[1]data!E207-[1]data!E169</f>
        <v>0</v>
      </c>
      <c r="G207" s="27">
        <f>[1]data!F207-[1]data!F169</f>
        <v>0</v>
      </c>
      <c r="H207" s="27">
        <f>[1]data!G207-[1]data!G169</f>
        <v>7.8223493436008482</v>
      </c>
      <c r="I207" s="27">
        <f>[1]data!H207-[1]data!H169</f>
        <v>9.2782922355949466</v>
      </c>
      <c r="J207" s="27">
        <f>[1]data!I207-[1]data!I169</f>
        <v>-1.4559428919940984</v>
      </c>
      <c r="K207" s="27">
        <f>[1]data!J207-[1]data!J169</f>
        <v>0</v>
      </c>
      <c r="L207" s="13">
        <f t="shared" si="17"/>
        <v>0</v>
      </c>
      <c r="M207" s="27">
        <f>[1]data!K207-[1]data!K169</f>
        <v>0</v>
      </c>
      <c r="N207" s="13">
        <f t="shared" si="18"/>
        <v>0</v>
      </c>
      <c r="O207" s="13">
        <f t="shared" si="19"/>
        <v>0</v>
      </c>
      <c r="P207" s="27">
        <f>[1]data!M207-[1]data!M169</f>
        <v>0</v>
      </c>
      <c r="Q207" s="27">
        <f>[1]data!N207-[1]data!N169</f>
        <v>0</v>
      </c>
      <c r="R207" s="27">
        <f>[1]data!O207-[1]data!O169</f>
        <v>0</v>
      </c>
      <c r="S207" s="27">
        <f>[1]data!P207-[1]data!P169</f>
        <v>0</v>
      </c>
      <c r="T207" s="27">
        <f>[1]data!Q207-[1]data!Q169</f>
        <v>0</v>
      </c>
      <c r="U207" s="27">
        <f>[1]data!R207-[1]data!R169</f>
        <v>0</v>
      </c>
      <c r="V207" s="27">
        <f>[1]data!S207-[1]data!S169</f>
        <v>2.3518609528958354</v>
      </c>
      <c r="W207" s="27">
        <f>[1]data!T207-[1]data!T169</f>
        <v>2.5147110685640222</v>
      </c>
      <c r="X207" s="27">
        <f>[1]data!U207-[1]data!U169</f>
        <v>2.7896035142311106</v>
      </c>
      <c r="Y207" s="27">
        <f>[1]data!V207-[1]data!V169</f>
        <v>2.9827642767334837</v>
      </c>
      <c r="Z207" s="27">
        <f>[1]data!W207-[1]data!W169</f>
        <v>-0.43774256133527611</v>
      </c>
      <c r="AA207" s="27">
        <f>[1]data!X207-[1]data!X169</f>
        <v>-0.46805320816946328</v>
      </c>
      <c r="AB207" s="27">
        <f>[1]data!Y207-[1]data!Y169</f>
        <v>0</v>
      </c>
      <c r="AC207" s="27">
        <f>[1]data!Z207-[1]data!Z169</f>
        <v>0</v>
      </c>
      <c r="AD207" s="14">
        <v>311.06354290107998</v>
      </c>
      <c r="AE207" s="15">
        <v>332.60254327404999</v>
      </c>
      <c r="AF207">
        <f>D207/(D207+H207)</f>
        <v>0</v>
      </c>
      <c r="AG207">
        <f>(F207/(D207+H207))</f>
        <v>0</v>
      </c>
      <c r="AH207">
        <f>(E207/(D207+H207))</f>
        <v>0</v>
      </c>
      <c r="AI207">
        <f>(G207/(D207+H207))</f>
        <v>0</v>
      </c>
      <c r="AJ207" t="e">
        <f>(F207/(D207))</f>
        <v>#DIV/0!</v>
      </c>
      <c r="AK207" t="e">
        <f>E207/D207</f>
        <v>#DIV/0!</v>
      </c>
      <c r="AL207">
        <f>(H207/(C207+H207))</f>
        <v>1</v>
      </c>
      <c r="AM207">
        <f>(I207/(D207+H207))</f>
        <v>1.1861260381045431</v>
      </c>
      <c r="AN207">
        <f>(J207/(D207+H207))</f>
        <v>-0.18612603810454301</v>
      </c>
      <c r="AO207">
        <f>(I207/H207)</f>
        <v>1.1861260381045431</v>
      </c>
      <c r="AP207">
        <f>J207/H207</f>
        <v>-0.18612603810454301</v>
      </c>
      <c r="AQ207">
        <f>(D207+H207)/AD207</f>
        <v>2.5147110685640205E-2</v>
      </c>
    </row>
    <row r="208" spans="1:43" x14ac:dyDescent="0.35">
      <c r="A208" s="17" t="s">
        <v>44</v>
      </c>
      <c r="B208" s="24" t="s">
        <v>71</v>
      </c>
      <c r="C208" s="28">
        <f t="shared" si="16"/>
        <v>0.6137999999999999</v>
      </c>
      <c r="D208" s="27">
        <f>[1]data!C208-[1]data!C170</f>
        <v>0.6137999999999999</v>
      </c>
      <c r="E208" s="27">
        <f>[1]data!D208-[1]data!D170</f>
        <v>0.21110000000000001</v>
      </c>
      <c r="F208" s="27">
        <f>[1]data!E208-[1]data!E170</f>
        <v>0.40269999999999984</v>
      </c>
      <c r="G208" s="27">
        <f>[1]data!F208-[1]data!F170</f>
        <v>0</v>
      </c>
      <c r="H208" s="27">
        <f>[1]data!G208-[1]data!G170</f>
        <v>-0.17325621916755884</v>
      </c>
      <c r="I208" s="27">
        <f>[1]data!H208-[1]data!H170</f>
        <v>-0.12018960218399344</v>
      </c>
      <c r="J208" s="27">
        <f>[1]data!I208-[1]data!I170</f>
        <v>-5.306661698356524E-2</v>
      </c>
      <c r="K208" s="27">
        <f>[1]data!J208-[1]data!J170</f>
        <v>0</v>
      </c>
      <c r="L208" s="13">
        <f t="shared" si="17"/>
        <v>2.2821526946175101</v>
      </c>
      <c r="M208" s="27">
        <f>[1]data!K208-[1]data!K170</f>
        <v>2.2821526946175101</v>
      </c>
      <c r="N208" s="13">
        <f t="shared" si="18"/>
        <v>1.3369178233626702</v>
      </c>
      <c r="O208" s="13">
        <f t="shared" si="19"/>
        <v>1.3369178233626702</v>
      </c>
      <c r="P208" s="27">
        <f>[1]data!M208-[1]data!M170</f>
        <v>0.78488503394225573</v>
      </c>
      <c r="Q208" s="27">
        <f>[1]data!N208-[1]data!N170</f>
        <v>0.45979692491342422</v>
      </c>
      <c r="R208" s="27">
        <f>[1]data!O208-[1]data!O170</f>
        <v>1.4972676606752544</v>
      </c>
      <c r="S208" s="27">
        <f>[1]data!P208-[1]data!P170</f>
        <v>0.87712089844924601</v>
      </c>
      <c r="T208" s="27">
        <f>[1]data!Q208-[1]data!Q170</f>
        <v>0</v>
      </c>
      <c r="U208" s="27">
        <f>[1]data!R208-[1]data!R170</f>
        <v>0</v>
      </c>
      <c r="V208" s="27">
        <f>[1]data!S208-[1]data!S170</f>
        <v>-0.64417912582679371</v>
      </c>
      <c r="W208" s="27">
        <f>[1]data!T208-[1]data!T170</f>
        <v>-0.37736938320876234</v>
      </c>
      <c r="X208" s="27">
        <f>[1]data!U208-[1]data!U170</f>
        <v>-0.44687361435191786</v>
      </c>
      <c r="Y208" s="27">
        <f>[1]data!V208-[1]data!V170</f>
        <v>-0.2617849810079016</v>
      </c>
      <c r="Z208" s="27">
        <f>[1]data!W208-[1]data!W170</f>
        <v>-0.19730551147487585</v>
      </c>
      <c r="AA208" s="27">
        <f>[1]data!X208-[1]data!X170</f>
        <v>-0.11558440220086108</v>
      </c>
      <c r="AB208" s="27">
        <f>[1]data!Y208-[1]data!Y170</f>
        <v>0</v>
      </c>
      <c r="AC208" s="27">
        <f>[1]data!Z208-[1]data!Z170</f>
        <v>0</v>
      </c>
      <c r="AD208" s="14">
        <v>45.911572818750003</v>
      </c>
      <c r="AE208" s="15">
        <v>26.895658710639999</v>
      </c>
      <c r="AF208">
        <f>D208/(D208+H208)</f>
        <v>1.3932780956303095</v>
      </c>
      <c r="AG208">
        <f>(F208/(D208+H208))</f>
        <v>0.91409757104973199</v>
      </c>
      <c r="AH208">
        <f>(E208/(D208+H208))</f>
        <v>0.47918052458057736</v>
      </c>
      <c r="AI208">
        <f>(G208/(D208+H208))</f>
        <v>0</v>
      </c>
      <c r="AJ208">
        <f>(F208/(D208))</f>
        <v>0.65607689801238167</v>
      </c>
      <c r="AK208">
        <f>E208/D208</f>
        <v>0.34392310198761816</v>
      </c>
      <c r="AL208">
        <f>(H208/(C208+H208))</f>
        <v>-0.39327809563030947</v>
      </c>
      <c r="AM208">
        <f>(I208/(D208+H208))</f>
        <v>-0.2728210166918848</v>
      </c>
      <c r="AN208">
        <f>(J208/(D208+H208))</f>
        <v>-0.12045707893842429</v>
      </c>
      <c r="AO208">
        <f>(I208/H208)</f>
        <v>0.69371017537763635</v>
      </c>
      <c r="AP208">
        <f>J208/H208</f>
        <v>0.30628982462236276</v>
      </c>
      <c r="AQ208">
        <f>(D208+H208)/AD208</f>
        <v>9.5954844015390759E-3</v>
      </c>
    </row>
    <row r="209" spans="1:43" x14ac:dyDescent="0.35">
      <c r="A209" s="17" t="s">
        <v>45</v>
      </c>
      <c r="B209" s="24" t="s">
        <v>71</v>
      </c>
      <c r="C209" s="28">
        <f t="shared" si="16"/>
        <v>4.7477325349143555</v>
      </c>
      <c r="D209" s="27">
        <f>[1]data!C209-[1]data!C171</f>
        <v>4.7477325349143555</v>
      </c>
      <c r="E209" s="27">
        <f>[1]data!D209-[1]data!D171</f>
        <v>1.9972432538702218</v>
      </c>
      <c r="F209" s="27">
        <f>[1]data!E209-[1]data!E171</f>
        <v>2.7504892810441337</v>
      </c>
      <c r="G209" s="27">
        <f>[1]data!F209-[1]data!F171</f>
        <v>0</v>
      </c>
      <c r="H209" s="27">
        <f>[1]data!G209-[1]data!G171</f>
        <v>0</v>
      </c>
      <c r="I209" s="27">
        <f>[1]data!H209-[1]data!H171</f>
        <v>0</v>
      </c>
      <c r="J209" s="27">
        <f>[1]data!I209-[1]data!I171</f>
        <v>0</v>
      </c>
      <c r="K209" s="27">
        <f>[1]data!J209-[1]data!J171</f>
        <v>0</v>
      </c>
      <c r="L209" s="13">
        <f t="shared" si="17"/>
        <v>1.8637257634241737</v>
      </c>
      <c r="M209" s="27">
        <f>[1]data!K209-[1]data!K171</f>
        <v>1.8637257634241733</v>
      </c>
      <c r="N209" s="13">
        <f t="shared" si="18"/>
        <v>1.8697578699465267</v>
      </c>
      <c r="O209" s="13">
        <f t="shared" si="19"/>
        <v>1.8697578699465267</v>
      </c>
      <c r="P209" s="27">
        <f>[1]data!M209-[1]data!M171</f>
        <v>0.78401925144045759</v>
      </c>
      <c r="Q209" s="27">
        <f>[1]data!N209-[1]data!N171</f>
        <v>0.78655679625154373</v>
      </c>
      <c r="R209" s="27">
        <f>[1]data!O209-[1]data!O171</f>
        <v>1.0797065119837161</v>
      </c>
      <c r="S209" s="27">
        <f>[1]data!P209-[1]data!P171</f>
        <v>1.0832010736949831</v>
      </c>
      <c r="T209" s="27">
        <f>[1]data!Q209-[1]data!Q171</f>
        <v>0</v>
      </c>
      <c r="U209" s="27">
        <f>[1]data!R209-[1]data!R171</f>
        <v>0</v>
      </c>
      <c r="V209" s="27">
        <f>[1]data!S209-[1]data!S171</f>
        <v>0</v>
      </c>
      <c r="W209" s="27">
        <f>[1]data!T209-[1]data!T171</f>
        <v>0</v>
      </c>
      <c r="X209" s="27">
        <f>[1]data!U209-[1]data!U171</f>
        <v>0</v>
      </c>
      <c r="Y209" s="27">
        <f>[1]data!V209-[1]data!V171</f>
        <v>0</v>
      </c>
      <c r="Z209" s="27">
        <f>[1]data!W209-[1]data!W171</f>
        <v>0</v>
      </c>
      <c r="AA209" s="27">
        <f>[1]data!X209-[1]data!X171</f>
        <v>0</v>
      </c>
      <c r="AB209" s="27">
        <f>[1]data!Y209-[1]data!Y171</f>
        <v>0</v>
      </c>
      <c r="AC209" s="27">
        <f>[1]data!Z209-[1]data!Z171</f>
        <v>0</v>
      </c>
      <c r="AD209" s="14">
        <v>253.92231856471</v>
      </c>
      <c r="AE209" s="15">
        <v>254.7441596875</v>
      </c>
      <c r="AF209">
        <f>D209/(D209+H209)</f>
        <v>1</v>
      </c>
      <c r="AG209">
        <f>(F209/(D209+H209))</f>
        <v>0.57932692307692302</v>
      </c>
      <c r="AH209">
        <f>(E209/(D209+H209))</f>
        <v>0.42067307692307698</v>
      </c>
      <c r="AI209">
        <f>(G209/(D209+H209))</f>
        <v>0</v>
      </c>
      <c r="AJ209">
        <f>(F209/(D209))</f>
        <v>0.57932692307692302</v>
      </c>
      <c r="AK209">
        <f>E209/D209</f>
        <v>0.42067307692307698</v>
      </c>
      <c r="AL209">
        <f>(H209/(C209+H209))</f>
        <v>0</v>
      </c>
      <c r="AM209">
        <f>(I209/(D209+H209))</f>
        <v>0</v>
      </c>
      <c r="AN209">
        <f>(J209/(D209+H209))</f>
        <v>0</v>
      </c>
      <c r="AO209" t="e">
        <f>(I209/H209)</f>
        <v>#DIV/0!</v>
      </c>
      <c r="AP209" t="e">
        <f>J209/H209</f>
        <v>#DIV/0!</v>
      </c>
      <c r="AQ209">
        <f>(D209+H209)/AD209</f>
        <v>1.8697578699465266E-2</v>
      </c>
    </row>
    <row r="210" spans="1:43" x14ac:dyDescent="0.35">
      <c r="A210" s="17" t="s">
        <v>46</v>
      </c>
      <c r="B210" s="24" t="s">
        <v>71</v>
      </c>
      <c r="C210" s="28">
        <f t="shared" si="16"/>
        <v>14.505692432394584</v>
      </c>
      <c r="D210" s="27">
        <f>[1]data!C210-[1]data!C172</f>
        <v>13.558428489130424</v>
      </c>
      <c r="E210" s="27">
        <f>[1]data!D210-[1]data!D172</f>
        <v>4.5651274374176376E-2</v>
      </c>
      <c r="F210" s="27">
        <f>[1]data!E210-[1]data!E172</f>
        <v>13.512777214756245</v>
      </c>
      <c r="G210" s="27">
        <f>[1]data!F210-[1]data!F172</f>
        <v>0.94726394326416252</v>
      </c>
      <c r="H210" s="27">
        <f>[1]data!G210-[1]data!G172</f>
        <v>5.6949964781785178</v>
      </c>
      <c r="I210" s="27">
        <f>[1]data!H210-[1]data!H172</f>
        <v>2.5907098207345163</v>
      </c>
      <c r="J210" s="27">
        <f>[1]data!I210-[1]data!I172</f>
        <v>3.1042866574440016</v>
      </c>
      <c r="K210" s="27">
        <f>[1]data!J210-[1]data!J172</f>
        <v>0</v>
      </c>
      <c r="L210" s="13">
        <f t="shared" si="17"/>
        <v>7.114015904325445</v>
      </c>
      <c r="M210" s="27">
        <f>[1]data!K210-[1]data!K172</f>
        <v>6.6494499562066292</v>
      </c>
      <c r="N210" s="13">
        <f t="shared" si="18"/>
        <v>4.9608898310110154</v>
      </c>
      <c r="O210" s="13">
        <f t="shared" si="19"/>
        <v>4.4963238828922014</v>
      </c>
      <c r="P210" s="27">
        <f>[1]data!M210-[1]data!M172</f>
        <v>2.2388720391268047E-2</v>
      </c>
      <c r="Q210" s="27">
        <f>[1]data!N210-[1]data!N172</f>
        <v>1.5139137652835699E-2</v>
      </c>
      <c r="R210" s="27">
        <f>[1]data!O210-[1]data!O172</f>
        <v>6.6270612358153631</v>
      </c>
      <c r="S210" s="27">
        <f>[1]data!P210-[1]data!P172</f>
        <v>4.4811847452393661</v>
      </c>
      <c r="T210" s="27">
        <f>[1]data!Q210-[1]data!Q172</f>
        <v>0.46456594811881363</v>
      </c>
      <c r="U210" s="27">
        <f>[1]data!R210-[1]data!R172</f>
        <v>0.31413710629634078</v>
      </c>
      <c r="V210" s="27">
        <f>[1]data!S210-[1]data!S172</f>
        <v>2.7929928688106971</v>
      </c>
      <c r="W210" s="27">
        <f>[1]data!T210-[1]data!T172</f>
        <v>1.888607422191253</v>
      </c>
      <c r="X210" s="27">
        <f>[1]data!U210-[1]data!U172</f>
        <v>1.2705598822044655</v>
      </c>
      <c r="Y210" s="27">
        <f>[1]data!V210-[1]data!V172</f>
        <v>0.85914606179842568</v>
      </c>
      <c r="Z210" s="27">
        <f>[1]data!W210-[1]data!W172</f>
        <v>1.5224329866062316</v>
      </c>
      <c r="AA210" s="27">
        <f>[1]data!X210-[1]data!X172</f>
        <v>1.0294613603928271</v>
      </c>
      <c r="AB210" s="27">
        <f>[1]data!Y210-[1]data!Y172</f>
        <v>0</v>
      </c>
      <c r="AC210" s="27">
        <f>[1]data!Z210-[1]data!Z172</f>
        <v>0</v>
      </c>
      <c r="AD210" s="14">
        <v>301.54474727050001</v>
      </c>
      <c r="AE210" s="15">
        <v>203.90300819506001</v>
      </c>
      <c r="AF210">
        <f>D210/(D210+H210)</f>
        <v>0.70420865441612346</v>
      </c>
      <c r="AG210">
        <f>(F210/(D210+H210))</f>
        <v>0.70183758150563125</v>
      </c>
      <c r="AH210">
        <f>(E210/(D210+H210))</f>
        <v>2.3710729104919909E-3</v>
      </c>
      <c r="AI210">
        <f>(G210/(D210+H210))</f>
        <v>4.9199762892708949E-2</v>
      </c>
      <c r="AJ210">
        <f>(F210/(D210))</f>
        <v>0.99663299663299643</v>
      </c>
      <c r="AK210">
        <f>E210/D210</f>
        <v>3.3670033670033569E-3</v>
      </c>
      <c r="AL210">
        <f>(H210/(C210+H210))</f>
        <v>0.28192090395480224</v>
      </c>
      <c r="AM210">
        <f>(I210/(D210+H210))</f>
        <v>0.13455838767042083</v>
      </c>
      <c r="AN210">
        <f>(J210/(D210+H210))</f>
        <v>0.16123295791345579</v>
      </c>
      <c r="AO210">
        <f>(I210/H210)</f>
        <v>0.45490981963927857</v>
      </c>
      <c r="AP210">
        <f>J210/H210</f>
        <v>0.54509018036072143</v>
      </c>
      <c r="AQ210">
        <f>(D210+H210)/AD210</f>
        <v>6.384931305083455E-2</v>
      </c>
    </row>
    <row r="211" spans="1:43" x14ac:dyDescent="0.35">
      <c r="A211" s="17" t="s">
        <v>47</v>
      </c>
      <c r="B211" s="24" t="s">
        <v>71</v>
      </c>
      <c r="C211" s="28">
        <f t="shared" si="16"/>
        <v>0</v>
      </c>
      <c r="D211" s="27">
        <f>[1]data!C211-[1]data!C173</f>
        <v>0</v>
      </c>
      <c r="E211" s="27">
        <f>[1]data!D211-[1]data!D173</f>
        <v>0</v>
      </c>
      <c r="F211" s="27">
        <f>[1]data!E211-[1]data!E173</f>
        <v>0</v>
      </c>
      <c r="G211" s="27">
        <f>[1]data!F211-[1]data!F173</f>
        <v>0</v>
      </c>
      <c r="H211" s="27">
        <f>[1]data!G211-[1]data!G173</f>
        <v>-1.1373707533234856E-2</v>
      </c>
      <c r="I211" s="27">
        <f>[1]data!H211-[1]data!H173</f>
        <v>-1.1373707533234856E-2</v>
      </c>
      <c r="J211" s="27">
        <f>[1]data!I211-[1]data!I173</f>
        <v>0</v>
      </c>
      <c r="K211" s="27">
        <f>[1]data!J211-[1]data!J173</f>
        <v>0</v>
      </c>
      <c r="L211" s="13">
        <f t="shared" si="17"/>
        <v>0</v>
      </c>
      <c r="M211" s="27">
        <f>[1]data!K211-[1]data!K173</f>
        <v>0</v>
      </c>
      <c r="N211" s="13">
        <f t="shared" si="18"/>
        <v>0</v>
      </c>
      <c r="O211" s="13">
        <f t="shared" si="19"/>
        <v>0</v>
      </c>
      <c r="P211" s="27">
        <f>[1]data!M211-[1]data!M173</f>
        <v>0</v>
      </c>
      <c r="Q211" s="27">
        <f>[1]data!N211-[1]data!N173</f>
        <v>0</v>
      </c>
      <c r="R211" s="27">
        <f>[1]data!O211-[1]data!O173</f>
        <v>0</v>
      </c>
      <c r="S211" s="27">
        <f>[1]data!P211-[1]data!P173</f>
        <v>0</v>
      </c>
      <c r="T211" s="27">
        <f>[1]data!Q211-[1]data!Q173</f>
        <v>0</v>
      </c>
      <c r="U211" s="27">
        <f>[1]data!R211-[1]data!R173</f>
        <v>0</v>
      </c>
      <c r="V211" s="27">
        <f>[1]data!S211-[1]data!S173</f>
        <v>-5.4865931635281306E-2</v>
      </c>
      <c r="W211" s="27">
        <f>[1]data!T211-[1]data!T173</f>
        <v>-5.9644566302236246E-2</v>
      </c>
      <c r="X211" s="27">
        <f>[1]data!U211-[1]data!U173</f>
        <v>-5.4865931635281251E-2</v>
      </c>
      <c r="Y211" s="27">
        <f>[1]data!V211-[1]data!V173</f>
        <v>-5.9644566302236024E-2</v>
      </c>
      <c r="Z211" s="27">
        <f>[1]data!W211-[1]data!W173</f>
        <v>0</v>
      </c>
      <c r="AA211" s="27">
        <f>[1]data!X211-[1]data!X173</f>
        <v>0</v>
      </c>
      <c r="AB211" s="27">
        <f>[1]data!Y211-[1]data!Y173</f>
        <v>0</v>
      </c>
      <c r="AC211" s="27">
        <f>[1]data!Z211-[1]data!Z173</f>
        <v>0</v>
      </c>
      <c r="AD211" s="14">
        <v>19.06914282116</v>
      </c>
      <c r="AE211" s="15">
        <v>20.729999827290001</v>
      </c>
      <c r="AF211">
        <f>D211/(D211+H211)</f>
        <v>0</v>
      </c>
      <c r="AG211">
        <f>(F211/(D211+H211))</f>
        <v>0</v>
      </c>
      <c r="AH211">
        <f>(E211/(D211+H211))</f>
        <v>0</v>
      </c>
      <c r="AI211">
        <f>(G211/(D211+H211))</f>
        <v>0</v>
      </c>
      <c r="AJ211" t="e">
        <f>(F211/(D211))</f>
        <v>#DIV/0!</v>
      </c>
      <c r="AK211" t="e">
        <f>E211/D211</f>
        <v>#DIV/0!</v>
      </c>
      <c r="AL211">
        <f>(H211/(C211+H211))</f>
        <v>1</v>
      </c>
      <c r="AM211">
        <f>(I211/(D211+H211))</f>
        <v>1</v>
      </c>
      <c r="AN211">
        <f>(J211/(D211+H211))</f>
        <v>0</v>
      </c>
      <c r="AO211">
        <f>(I211/H211)</f>
        <v>1</v>
      </c>
      <c r="AP211">
        <f>J211/H211</f>
        <v>0</v>
      </c>
      <c r="AQ211">
        <f>(D211+H211)/AD211</f>
        <v>-5.9644566302236013E-4</v>
      </c>
    </row>
    <row r="212" spans="1:43" x14ac:dyDescent="0.35">
      <c r="A212" s="17" t="s">
        <v>48</v>
      </c>
      <c r="B212" s="24" t="s">
        <v>71</v>
      </c>
      <c r="C212" s="28">
        <f t="shared" si="16"/>
        <v>7.075487897565349</v>
      </c>
      <c r="D212" s="27">
        <f>[1]data!C212-[1]data!C174</f>
        <v>6.5953424585950131</v>
      </c>
      <c r="E212" s="27">
        <f>[1]data!D212-[1]data!D174</f>
        <v>-0.91100784237983401</v>
      </c>
      <c r="F212" s="27">
        <f>[1]data!E212-[1]data!E174</f>
        <v>7.5063503009748516</v>
      </c>
      <c r="G212" s="27">
        <f>[1]data!F212-[1]data!F174</f>
        <v>0.48014543897033191</v>
      </c>
      <c r="H212" s="27">
        <f>[1]data!G212-[1]data!G174</f>
        <v>5.864286921181141</v>
      </c>
      <c r="I212" s="27">
        <f>[1]data!H212-[1]data!H174</f>
        <v>2.5309368338247786</v>
      </c>
      <c r="J212" s="27">
        <f>[1]data!I212-[1]data!I174</f>
        <v>3.3333500873563633</v>
      </c>
      <c r="K212" s="27">
        <f>[1]data!J212-[1]data!J174</f>
        <v>0</v>
      </c>
      <c r="L212" s="13">
        <f t="shared" si="17"/>
        <v>1.9047440498149495</v>
      </c>
      <c r="M212" s="27">
        <f>[1]data!K212-[1]data!K174</f>
        <v>1.7754873566843994</v>
      </c>
      <c r="N212" s="13">
        <f t="shared" si="18"/>
        <v>1.7075022808886771</v>
      </c>
      <c r="O212" s="13">
        <f t="shared" si="19"/>
        <v>1.5782455877581267</v>
      </c>
      <c r="P212" s="27">
        <f>[1]data!M212-[1]data!M174</f>
        <v>-0.24524623492110487</v>
      </c>
      <c r="Q212" s="27">
        <f>[1]data!N212-[1]data!N174</f>
        <v>-0.21800143308332642</v>
      </c>
      <c r="R212" s="27">
        <f>[1]data!O212-[1]data!O174</f>
        <v>2.020733591605504</v>
      </c>
      <c r="S212" s="27">
        <f>[1]data!P212-[1]data!P174</f>
        <v>1.7962470208414532</v>
      </c>
      <c r="T212" s="27">
        <f>[1]data!Q212-[1]data!Q174</f>
        <v>0.12925669313055033</v>
      </c>
      <c r="U212" s="27">
        <f>[1]data!R212-[1]data!R174</f>
        <v>0.11489735753593366</v>
      </c>
      <c r="V212" s="27">
        <f>[1]data!S212-[1]data!S174</f>
        <v>1.5786848597919252</v>
      </c>
      <c r="W212" s="27">
        <f>[1]data!T212-[1]data!T174</f>
        <v>1.4033061993074192</v>
      </c>
      <c r="X212" s="27">
        <f>[1]data!U212-[1]data!U174</f>
        <v>0.68133631835396868</v>
      </c>
      <c r="Y212" s="27">
        <f>[1]data!V212-[1]data!V174</f>
        <v>0.6056455621455934</v>
      </c>
      <c r="Z212" s="27">
        <f>[1]data!W212-[1]data!W174</f>
        <v>0.89734854143795628</v>
      </c>
      <c r="AA212" s="27">
        <f>[1]data!X212-[1]data!X174</f>
        <v>0.79766063716182589</v>
      </c>
      <c r="AB212" s="27">
        <f>[1]data!Y212-[1]data!Y174</f>
        <v>0</v>
      </c>
      <c r="AC212" s="27">
        <f>[1]data!Z212-[1]data!Z174</f>
        <v>0</v>
      </c>
      <c r="AD212" s="14">
        <v>417.89075855828003</v>
      </c>
      <c r="AE212" s="15">
        <v>371.46659669328</v>
      </c>
      <c r="AF212">
        <f>D212/(D212+H212)</f>
        <v>0.52933696962930876</v>
      </c>
      <c r="AG212">
        <f>(F212/(D212+H212))</f>
        <v>0.6024537385645502</v>
      </c>
      <c r="AH212">
        <f>(E212/(D212+H212))</f>
        <v>-7.3116768935241064E-2</v>
      </c>
      <c r="AI212">
        <f>(G212/(D212+H212))</f>
        <v>3.8536093196293621E-2</v>
      </c>
      <c r="AJ212">
        <f>(F212/(D212))</f>
        <v>1.1381289672369657</v>
      </c>
      <c r="AK212">
        <f>E212/D212</f>
        <v>-0.13812896723696488</v>
      </c>
      <c r="AL212">
        <f>(H212/(C212+H212))</f>
        <v>0.4531985295976913</v>
      </c>
      <c r="AM212">
        <f>(I212/(D212+H212))</f>
        <v>0.20313098862578277</v>
      </c>
      <c r="AN212">
        <f>(J212/(D212+H212))</f>
        <v>0.26753204174490858</v>
      </c>
      <c r="AO212">
        <f>(I212/H212)</f>
        <v>0.43158475494835036</v>
      </c>
      <c r="AP212">
        <f>J212/H212</f>
        <v>0.56841524505164986</v>
      </c>
      <c r="AQ212">
        <f>(D212+H212)/AD212</f>
        <v>2.9815517870655433E-2</v>
      </c>
    </row>
    <row r="213" spans="1:43" x14ac:dyDescent="0.35">
      <c r="A213" s="17" t="s">
        <v>49</v>
      </c>
      <c r="B213" s="24" t="s">
        <v>71</v>
      </c>
      <c r="C213" s="28">
        <f t="shared" si="16"/>
        <v>1.166235108261898</v>
      </c>
      <c r="D213" s="27">
        <f>[1]data!C213-[1]data!C175</f>
        <v>1.166510413053409</v>
      </c>
      <c r="E213" s="27">
        <f>[1]data!D213-[1]data!D175</f>
        <v>1.4889697084849915</v>
      </c>
      <c r="F213" s="27">
        <f>[1]data!E213-[1]data!E175</f>
        <v>-0.32245929543158525</v>
      </c>
      <c r="G213" s="27">
        <f>[1]data!F213-[1]data!F175</f>
        <v>-2.7530479150827958E-4</v>
      </c>
      <c r="H213" s="27">
        <f>[1]data!G213-[1]data!G175</f>
        <v>-1.1849563042805542</v>
      </c>
      <c r="I213" s="27">
        <f>[1]data!H213-[1]data!H175</f>
        <v>0.15596698223286376</v>
      </c>
      <c r="J213" s="27">
        <f>[1]data!I213-[1]data!I175</f>
        <v>-1.3409232865134157</v>
      </c>
      <c r="K213" s="27">
        <f>[1]data!J213-[1]data!J175</f>
        <v>0</v>
      </c>
      <c r="L213" s="13">
        <f t="shared" si="17"/>
        <v>0.32534572504713677</v>
      </c>
      <c r="M213" s="27">
        <f>[1]data!K213-[1]data!K175</f>
        <v>0.32542252708848274</v>
      </c>
      <c r="N213" s="13">
        <f t="shared" si="18"/>
        <v>0.34061292463087356</v>
      </c>
      <c r="O213" s="13">
        <f t="shared" si="19"/>
        <v>0.3406897266722182</v>
      </c>
      <c r="P213" s="27">
        <f>[1]data!M213-[1]data!M175</f>
        <v>0.4153793055520727</v>
      </c>
      <c r="Q213" s="27">
        <f>[1]data!N213-[1]data!N175</f>
        <v>0.43486682787437791</v>
      </c>
      <c r="R213" s="27">
        <f>[1]data!O213-[1]data!O175</f>
        <v>-8.9956778463591291E-2</v>
      </c>
      <c r="S213" s="27">
        <f>[1]data!P213-[1]data!P175</f>
        <v>-9.4177101202159719E-2</v>
      </c>
      <c r="T213" s="27">
        <f>[1]data!Q213-[1]data!Q175</f>
        <v>-7.6802041344636862E-5</v>
      </c>
      <c r="U213" s="27">
        <f>[1]data!R213-[1]data!R175</f>
        <v>-8.0405209521350329E-5</v>
      </c>
      <c r="V213" s="27">
        <f>[1]data!S213-[1]data!S175</f>
        <v>-0.33056839502962188</v>
      </c>
      <c r="W213" s="27">
        <f>[1]data!T213-[1]data!T175</f>
        <v>-0.34607701303509941</v>
      </c>
      <c r="X213" s="27">
        <f>[1]data!U213-[1]data!U175</f>
        <v>4.351025840200462E-2</v>
      </c>
      <c r="Y213" s="27">
        <f>[1]data!V213-[1]data!V175</f>
        <v>4.5551542405624534E-2</v>
      </c>
      <c r="Z213" s="27">
        <f>[1]data!W213-[1]data!W175</f>
        <v>-0.37407865343162605</v>
      </c>
      <c r="AA213" s="27">
        <f>[1]data!X213-[1]data!X175</f>
        <v>-0.39162855544072439</v>
      </c>
      <c r="AB213" s="27">
        <f>[1]data!Y213-[1]data!Y175</f>
        <v>0</v>
      </c>
      <c r="AC213" s="27">
        <f>[1]data!Z213-[1]data!Z175</f>
        <v>0</v>
      </c>
      <c r="AD213" s="14">
        <v>342.39670930134002</v>
      </c>
      <c r="AE213" s="15">
        <v>358.46025273358998</v>
      </c>
      <c r="AF213">
        <f>D213/(D213+H213)</f>
        <v>-63.239579952458762</v>
      </c>
      <c r="AG213">
        <f>(F213/(D213+H213))</f>
        <v>17.481361646383856</v>
      </c>
      <c r="AH213">
        <f>(E213/(D213+H213))</f>
        <v>-80.720941598842472</v>
      </c>
      <c r="AI213">
        <f>(G213/(D213+H213))</f>
        <v>1.4924992678214273E-2</v>
      </c>
      <c r="AJ213">
        <f>(F213/(D213))</f>
        <v>-0.27643070462399838</v>
      </c>
      <c r="AK213">
        <f>E213/D213</f>
        <v>1.276430704623996</v>
      </c>
      <c r="AL213">
        <f>(H213/(C213+H213))</f>
        <v>63.294903974068369</v>
      </c>
      <c r="AM213">
        <f>(I213/(D213+H213))</f>
        <v>-8.4553779653292391</v>
      </c>
      <c r="AN213">
        <f>(J213/(D213+H213))</f>
        <v>72.694957917787875</v>
      </c>
      <c r="AO213">
        <f>(I213/H213)</f>
        <v>-0.13162255997917074</v>
      </c>
      <c r="AP213">
        <f>J213/H213</f>
        <v>1.1316225599791689</v>
      </c>
      <c r="AQ213">
        <f>(D213+H213)/AD213</f>
        <v>-5.3872863628812475E-5</v>
      </c>
    </row>
    <row r="214" spans="1:43" x14ac:dyDescent="0.35">
      <c r="A214" s="21" t="s">
        <v>50</v>
      </c>
      <c r="B214" s="24" t="s">
        <v>71</v>
      </c>
      <c r="C214" s="28">
        <f t="shared" si="16"/>
        <v>0</v>
      </c>
      <c r="D214" s="27">
        <f>[1]data!C214-[1]data!C176</f>
        <v>0</v>
      </c>
      <c r="E214" s="27">
        <f>[1]data!D214-[1]data!D176</f>
        <v>0</v>
      </c>
      <c r="F214" s="27">
        <f>[1]data!E214-[1]data!E176</f>
        <v>0</v>
      </c>
      <c r="G214" s="27">
        <f>[1]data!F214-[1]data!F176</f>
        <v>0</v>
      </c>
      <c r="H214" s="27">
        <f>[1]data!G214-[1]data!G176</f>
        <v>0</v>
      </c>
      <c r="I214" s="27">
        <f>[1]data!H214-[1]data!H176</f>
        <v>0</v>
      </c>
      <c r="J214" s="27">
        <f>[1]data!I214-[1]data!I176</f>
        <v>0</v>
      </c>
      <c r="K214" s="27">
        <f>[1]data!J214-[1]data!J176</f>
        <v>0</v>
      </c>
      <c r="L214" s="13">
        <f t="shared" si="17"/>
        <v>0</v>
      </c>
      <c r="M214" s="27">
        <f>[1]data!K214-[1]data!K176</f>
        <v>0</v>
      </c>
      <c r="N214" s="13">
        <f t="shared" si="18"/>
        <v>0</v>
      </c>
      <c r="O214" s="13">
        <f t="shared" si="19"/>
        <v>0</v>
      </c>
      <c r="P214" s="27">
        <f>[1]data!M214-[1]data!M176</f>
        <v>0</v>
      </c>
      <c r="Q214" s="27">
        <f>[1]data!N214-[1]data!N176</f>
        <v>0</v>
      </c>
      <c r="R214" s="27">
        <f>[1]data!O214-[1]data!O176</f>
        <v>0</v>
      </c>
      <c r="S214" s="27">
        <f>[1]data!P214-[1]data!P176</f>
        <v>0</v>
      </c>
      <c r="T214" s="27">
        <f>[1]data!Q214-[1]data!Q176</f>
        <v>0</v>
      </c>
      <c r="U214" s="27">
        <f>[1]data!R214-[1]data!R176</f>
        <v>0</v>
      </c>
      <c r="V214" s="27">
        <f>[1]data!S214-[1]data!S176</f>
        <v>0</v>
      </c>
      <c r="W214" s="27">
        <f>[1]data!T214-[1]data!T176</f>
        <v>0</v>
      </c>
      <c r="X214" s="27">
        <f>[1]data!U214-[1]data!U176</f>
        <v>0</v>
      </c>
      <c r="Y214" s="27">
        <f>[1]data!V214-[1]data!V176</f>
        <v>0</v>
      </c>
      <c r="Z214" s="27">
        <f>[1]data!W214-[1]data!W176</f>
        <v>0</v>
      </c>
      <c r="AA214" s="27">
        <f>[1]data!X214-[1]data!X176</f>
        <v>0</v>
      </c>
      <c r="AB214" s="27">
        <f>[1]data!Y214-[1]data!Y176</f>
        <v>0</v>
      </c>
      <c r="AC214" s="27">
        <f>[1]data!Z214-[1]data!Z176</f>
        <v>0</v>
      </c>
      <c r="AD214" s="22">
        <v>55.422589739999999</v>
      </c>
      <c r="AE214" s="15">
        <v>30.160077523049999</v>
      </c>
      <c r="AF214" t="e">
        <f>D214/(D214+H214)</f>
        <v>#DIV/0!</v>
      </c>
      <c r="AG214" t="e">
        <f>(F214/(D214+H214))</f>
        <v>#DIV/0!</v>
      </c>
      <c r="AH214" t="e">
        <f>(E214/(D214+H214))</f>
        <v>#DIV/0!</v>
      </c>
      <c r="AI214" t="e">
        <f>(G214/(D214+H214))</f>
        <v>#DIV/0!</v>
      </c>
      <c r="AJ214" t="e">
        <f>(F214/(D214))</f>
        <v>#DIV/0!</v>
      </c>
      <c r="AK214" t="e">
        <f>E214/D214</f>
        <v>#DIV/0!</v>
      </c>
      <c r="AL214" t="e">
        <f>(H214/(C214+H214))</f>
        <v>#DIV/0!</v>
      </c>
      <c r="AM214" t="e">
        <f>(I214/(D214+H214))</f>
        <v>#DIV/0!</v>
      </c>
      <c r="AN214" t="e">
        <f>(J214/(D214+H214))</f>
        <v>#DIV/0!</v>
      </c>
      <c r="AO214" t="e">
        <f>(I214/H214)</f>
        <v>#DIV/0!</v>
      </c>
      <c r="AP214" t="e">
        <f>J214/H214</f>
        <v>#DIV/0!</v>
      </c>
      <c r="AQ214">
        <f>(D214+H214)/AD214</f>
        <v>0</v>
      </c>
    </row>
    <row r="215" spans="1:43" x14ac:dyDescent="0.35">
      <c r="A215" s="17" t="s">
        <v>51</v>
      </c>
      <c r="B215" s="24" t="s">
        <v>71</v>
      </c>
      <c r="C215" s="28">
        <f t="shared" si="16"/>
        <v>0.65929308868577619</v>
      </c>
      <c r="D215" s="27">
        <f>[1]data!C215-[1]data!C177</f>
        <v>0.55575232444005618</v>
      </c>
      <c r="E215" s="27">
        <f>[1]data!D215-[1]data!D177</f>
        <v>0.35618561001317595</v>
      </c>
      <c r="F215" s="27">
        <f>[1]data!E215-[1]data!E177</f>
        <v>0.19956671442688068</v>
      </c>
      <c r="G215" s="27">
        <f>[1]data!F215-[1]data!F177</f>
        <v>0.10354076424571956</v>
      </c>
      <c r="H215" s="27">
        <f>[1]data!G215-[1]data!G177</f>
        <v>0</v>
      </c>
      <c r="I215" s="27">
        <f>[1]data!H215-[1]data!H177</f>
        <v>0</v>
      </c>
      <c r="J215" s="27">
        <f>[1]data!I215-[1]data!I177</f>
        <v>0</v>
      </c>
      <c r="K215" s="27">
        <f>[1]data!J215-[1]data!J177</f>
        <v>0</v>
      </c>
      <c r="L215" s="13">
        <f t="shared" si="17"/>
        <v>1.3673522907606188</v>
      </c>
      <c r="M215" s="27">
        <f>[1]data!K215-[1]data!K177</f>
        <v>1.1526121340562527</v>
      </c>
      <c r="N215" s="13">
        <f t="shared" si="18"/>
        <v>0.78687809195600955</v>
      </c>
      <c r="O215" s="13">
        <f t="shared" si="19"/>
        <v>0.57213793525164236</v>
      </c>
      <c r="P215" s="27">
        <f>[1]data!M215-[1]data!M177</f>
        <v>0.73871729909731676</v>
      </c>
      <c r="Q215" s="27">
        <f>[1]data!N215-[1]data!N177</f>
        <v>0.36668726430358933</v>
      </c>
      <c r="R215" s="27">
        <f>[1]data!O215-[1]data!O177</f>
        <v>0.41389483495893487</v>
      </c>
      <c r="S215" s="27">
        <f>[1]data!P215-[1]data!P177</f>
        <v>0.20545067094805303</v>
      </c>
      <c r="T215" s="27">
        <f>[1]data!Q215-[1]data!Q177</f>
        <v>0.21474015670436719</v>
      </c>
      <c r="U215" s="27">
        <f>[1]data!R215-[1]data!R177</f>
        <v>0.10659352460578431</v>
      </c>
      <c r="V215" s="27">
        <f>[1]data!S215-[1]data!S177</f>
        <v>0</v>
      </c>
      <c r="W215" s="27">
        <f>[1]data!T215-[1]data!T177</f>
        <v>0</v>
      </c>
      <c r="X215" s="27">
        <f>[1]data!U215-[1]data!U177</f>
        <v>0</v>
      </c>
      <c r="Y215" s="27">
        <f>[1]data!V215-[1]data!V177</f>
        <v>0</v>
      </c>
      <c r="Z215" s="27">
        <f>[1]data!W215-[1]data!W177</f>
        <v>0</v>
      </c>
      <c r="AA215" s="27">
        <f>[1]data!X215-[1]data!X177</f>
        <v>0</v>
      </c>
      <c r="AB215" s="27">
        <f>[1]data!Y215-[1]data!Y177</f>
        <v>0</v>
      </c>
      <c r="AC215" s="27">
        <f>[1]data!Z215-[1]data!Z177</f>
        <v>0</v>
      </c>
      <c r="AD215" s="14">
        <v>97.136073348400004</v>
      </c>
      <c r="AE215" s="15">
        <v>48.216768505140003</v>
      </c>
      <c r="AF215">
        <f>D215/(D215+H215)</f>
        <v>1</v>
      </c>
      <c r="AG215">
        <f>(F215/(D215+H215))</f>
        <v>0.35909290101116992</v>
      </c>
      <c r="AH215">
        <f>(E215/(D215+H215))</f>
        <v>0.64090709898883091</v>
      </c>
      <c r="AI215">
        <f>(G215/(D215+H215))</f>
        <v>0.18630738854766146</v>
      </c>
      <c r="AJ215">
        <f>(F215/(D215))</f>
        <v>0.35909290101116992</v>
      </c>
      <c r="AK215">
        <f>E215/D215</f>
        <v>0.64090709898883091</v>
      </c>
      <c r="AL215">
        <f>(H215/(C215+H215))</f>
        <v>0</v>
      </c>
      <c r="AM215">
        <f>(I215/(D215+H215))</f>
        <v>0</v>
      </c>
      <c r="AN215">
        <f>(J215/(D215+H215))</f>
        <v>0</v>
      </c>
      <c r="AO215" t="e">
        <f>(I215/H215)</f>
        <v>#DIV/0!</v>
      </c>
      <c r="AP215" t="e">
        <f>J215/H215</f>
        <v>#DIV/0!</v>
      </c>
      <c r="AQ215">
        <f>(D215+H215)/AD215</f>
        <v>5.7213793525164192E-3</v>
      </c>
    </row>
    <row r="216" spans="1:43" x14ac:dyDescent="0.35">
      <c r="A216" s="17" t="s">
        <v>52</v>
      </c>
      <c r="B216" s="24" t="s">
        <v>71</v>
      </c>
      <c r="C216" s="28">
        <f t="shared" si="16"/>
        <v>0</v>
      </c>
      <c r="D216" s="27">
        <f>[1]data!C216-[1]data!C178</f>
        <v>0</v>
      </c>
      <c r="E216" s="27">
        <f>[1]data!D216-[1]data!D178</f>
        <v>0</v>
      </c>
      <c r="F216" s="27">
        <f>[1]data!E216-[1]data!E178</f>
        <v>0</v>
      </c>
      <c r="G216" s="27">
        <f>[1]data!F216-[1]data!F178</f>
        <v>0</v>
      </c>
      <c r="H216" s="27">
        <f>[1]data!G216-[1]data!G178</f>
        <v>0</v>
      </c>
      <c r="I216" s="27">
        <f>[1]data!H216-[1]data!H178</f>
        <v>0</v>
      </c>
      <c r="J216" s="27">
        <f>[1]data!I216-[1]data!I178</f>
        <v>0</v>
      </c>
      <c r="K216" s="27">
        <f>[1]data!J216-[1]data!J178</f>
        <v>0</v>
      </c>
      <c r="L216" s="13">
        <f t="shared" si="17"/>
        <v>0</v>
      </c>
      <c r="M216" s="27">
        <f>[1]data!K216-[1]data!K178</f>
        <v>0</v>
      </c>
      <c r="N216" s="13">
        <f t="shared" si="18"/>
        <v>0</v>
      </c>
      <c r="O216" s="13">
        <f t="shared" si="19"/>
        <v>0</v>
      </c>
      <c r="P216" s="27">
        <f>[1]data!M216-[1]data!M178</f>
        <v>0</v>
      </c>
      <c r="Q216" s="27">
        <f>[1]data!N216-[1]data!N178</f>
        <v>0</v>
      </c>
      <c r="R216" s="27">
        <f>[1]data!O216-[1]data!O178</f>
        <v>0</v>
      </c>
      <c r="S216" s="27">
        <f>[1]data!P216-[1]data!P178</f>
        <v>0</v>
      </c>
      <c r="T216" s="27">
        <f>[1]data!Q216-[1]data!Q178</f>
        <v>0</v>
      </c>
      <c r="U216" s="27">
        <f>[1]data!R216-[1]data!R178</f>
        <v>0</v>
      </c>
      <c r="V216" s="27">
        <f>[1]data!S216-[1]data!S178</f>
        <v>0</v>
      </c>
      <c r="W216" s="27">
        <f>[1]data!T216-[1]data!T178</f>
        <v>0</v>
      </c>
      <c r="X216" s="27">
        <f>[1]data!U216-[1]data!U178</f>
        <v>0</v>
      </c>
      <c r="Y216" s="27">
        <f>[1]data!V216-[1]data!V178</f>
        <v>0</v>
      </c>
      <c r="Z216" s="27">
        <f>[1]data!W216-[1]data!W178</f>
        <v>0</v>
      </c>
      <c r="AA216" s="27">
        <f>[1]data!X216-[1]data!X178</f>
        <v>0</v>
      </c>
      <c r="AB216" s="27">
        <f>[1]data!Y216-[1]data!Y178</f>
        <v>0</v>
      </c>
      <c r="AC216" s="27">
        <f>[1]data!Z216-[1]data!Z178</f>
        <v>0</v>
      </c>
      <c r="AD216" s="14">
        <v>66.343484468840003</v>
      </c>
      <c r="AE216" s="15">
        <v>66.557495896739994</v>
      </c>
      <c r="AF216" t="e">
        <f>D216/(D216+H216)</f>
        <v>#DIV/0!</v>
      </c>
      <c r="AG216" t="e">
        <f>(F216/(D216+H216))</f>
        <v>#DIV/0!</v>
      </c>
      <c r="AH216" t="e">
        <f>(E216/(D216+H216))</f>
        <v>#DIV/0!</v>
      </c>
      <c r="AI216" t="e">
        <f>(G216/(D216+H216))</f>
        <v>#DIV/0!</v>
      </c>
      <c r="AJ216" t="e">
        <f>(F216/(D216))</f>
        <v>#DIV/0!</v>
      </c>
      <c r="AK216" t="e">
        <f>E216/D216</f>
        <v>#DIV/0!</v>
      </c>
      <c r="AL216" t="e">
        <f>(H216/(C216+H216))</f>
        <v>#DIV/0!</v>
      </c>
      <c r="AM216" t="e">
        <f>(I216/(D216+H216))</f>
        <v>#DIV/0!</v>
      </c>
      <c r="AN216" t="e">
        <f>(J216/(D216+H216))</f>
        <v>#DIV/0!</v>
      </c>
      <c r="AO216" t="e">
        <f>(I216/H216)</f>
        <v>#DIV/0!</v>
      </c>
      <c r="AP216" t="e">
        <f>J216/H216</f>
        <v>#DIV/0!</v>
      </c>
      <c r="AQ216">
        <f>(D216+H216)/AD216</f>
        <v>0</v>
      </c>
    </row>
    <row r="217" spans="1:43" x14ac:dyDescent="0.35">
      <c r="A217" s="17" t="s">
        <v>53</v>
      </c>
      <c r="B217" s="24" t="s">
        <v>71</v>
      </c>
      <c r="C217" s="28">
        <f t="shared" si="16"/>
        <v>52.727221902173859</v>
      </c>
      <c r="D217" s="27">
        <f>[1]data!C217-[1]data!C179</f>
        <v>52.727221902173866</v>
      </c>
      <c r="E217" s="27">
        <f>[1]data!D217-[1]data!D179</f>
        <v>12.143238983530951</v>
      </c>
      <c r="F217" s="27">
        <f>[1]data!E217-[1]data!E179</f>
        <v>40.58398291864291</v>
      </c>
      <c r="G217" s="27">
        <f>[1]data!F217-[1]data!F179</f>
        <v>0</v>
      </c>
      <c r="H217" s="27">
        <f>[1]data!G217-[1]data!G179</f>
        <v>0</v>
      </c>
      <c r="I217" s="27">
        <f>[1]data!H217-[1]data!H179</f>
        <v>0</v>
      </c>
      <c r="J217" s="27">
        <f>[1]data!I217-[1]data!I179</f>
        <v>0</v>
      </c>
      <c r="K217" s="27">
        <f>[1]data!J217-[1]data!J179</f>
        <v>0</v>
      </c>
      <c r="L217" s="13">
        <f t="shared" si="17"/>
        <v>6.2751794119408792</v>
      </c>
      <c r="M217" s="27">
        <f>[1]data!K217-[1]data!K179</f>
        <v>6.2751794119408801</v>
      </c>
      <c r="N217" s="13">
        <f t="shared" si="18"/>
        <v>5.6547549801443484</v>
      </c>
      <c r="O217" s="13">
        <f t="shared" si="19"/>
        <v>5.6547549801443484</v>
      </c>
      <c r="P217" s="27">
        <f>[1]data!M217-[1]data!M179</f>
        <v>1.4451928342651723</v>
      </c>
      <c r="Q217" s="27">
        <f>[1]data!N217-[1]data!N179</f>
        <v>1.3023072075483955</v>
      </c>
      <c r="R217" s="27">
        <f>[1]data!O217-[1]data!O179</f>
        <v>4.8299865776757072</v>
      </c>
      <c r="S217" s="27">
        <f>[1]data!P217-[1]data!P179</f>
        <v>4.3524477725959532</v>
      </c>
      <c r="T217" s="27">
        <f>[1]data!Q217-[1]data!Q179</f>
        <v>0</v>
      </c>
      <c r="U217" s="27">
        <f>[1]data!R217-[1]data!R179</f>
        <v>0</v>
      </c>
      <c r="V217" s="27">
        <f>[1]data!S217-[1]data!S179</f>
        <v>0</v>
      </c>
      <c r="W217" s="27">
        <f>[1]data!T217-[1]data!T179</f>
        <v>0</v>
      </c>
      <c r="X217" s="27">
        <f>[1]data!U217-[1]data!U179</f>
        <v>0</v>
      </c>
      <c r="Y217" s="27">
        <f>[1]data!V217-[1]data!V179</f>
        <v>0</v>
      </c>
      <c r="Z217" s="27">
        <f>[1]data!W217-[1]data!W179</f>
        <v>0</v>
      </c>
      <c r="AA217" s="27">
        <f>[1]data!X217-[1]data!X179</f>
        <v>0</v>
      </c>
      <c r="AB217" s="27">
        <f>[1]data!Y217-[1]data!Y179</f>
        <v>0</v>
      </c>
      <c r="AC217" s="27">
        <f>[1]data!Z217-[1]data!Z179</f>
        <v>0</v>
      </c>
      <c r="AD217" s="14">
        <v>932.44043441874999</v>
      </c>
      <c r="AE217" s="15">
        <v>840.25042856688003</v>
      </c>
      <c r="AF217">
        <f>D217/(D217+H217)</f>
        <v>1</v>
      </c>
      <c r="AG217">
        <f>(F217/(D217+H217))</f>
        <v>0.76969696969696955</v>
      </c>
      <c r="AH217">
        <f>(E217/(D217+H217))</f>
        <v>0.23030303030303031</v>
      </c>
      <c r="AI217">
        <f>(G217/(D217+H217))</f>
        <v>0</v>
      </c>
      <c r="AJ217">
        <f>(F217/(D217))</f>
        <v>0.76969696969696955</v>
      </c>
      <c r="AK217">
        <f>E217/D217</f>
        <v>0.23030303030303031</v>
      </c>
      <c r="AL217">
        <f>(H217/(C217+H217))</f>
        <v>0</v>
      </c>
      <c r="AM217">
        <f>(I217/(D217+H217))</f>
        <v>0</v>
      </c>
      <c r="AN217">
        <f>(J217/(D217+H217))</f>
        <v>0</v>
      </c>
      <c r="AO217" t="e">
        <f>(I217/H217)</f>
        <v>#DIV/0!</v>
      </c>
      <c r="AP217" t="e">
        <f>J217/H217</f>
        <v>#DIV/0!</v>
      </c>
      <c r="AQ217">
        <f>(D217+H217)/AD217</f>
        <v>5.654754980144349E-2</v>
      </c>
    </row>
    <row r="218" spans="1:43" x14ac:dyDescent="0.35">
      <c r="A218" s="17" t="s">
        <v>54</v>
      </c>
      <c r="B218" s="24" t="s">
        <v>71</v>
      </c>
      <c r="C218" s="28">
        <f t="shared" si="16"/>
        <v>4.4408920985006262E-15</v>
      </c>
      <c r="D218" s="27">
        <f>[1]data!C218-[1]data!C180</f>
        <v>0</v>
      </c>
      <c r="E218" s="27">
        <f>[1]data!D218-[1]data!D180</f>
        <v>0.78002577101263615</v>
      </c>
      <c r="F218" s="27">
        <f>[1]data!E218-[1]data!E180</f>
        <v>-0.78002577101263171</v>
      </c>
      <c r="G218" s="27">
        <f>[1]data!F218-[1]data!F180</f>
        <v>0</v>
      </c>
      <c r="H218" s="27">
        <f>[1]data!G218-[1]data!G180</f>
        <v>-2.3725783868301029</v>
      </c>
      <c r="I218" s="27">
        <f>[1]data!H218-[1]data!H180</f>
        <v>6.500214758438605E-2</v>
      </c>
      <c r="J218" s="27">
        <f>[1]data!I218-[1]data!I180</f>
        <v>-2.4375805344144887</v>
      </c>
      <c r="K218" s="27">
        <f>[1]data!J218-[1]data!J180</f>
        <v>0</v>
      </c>
      <c r="L218" s="13">
        <f t="shared" si="17"/>
        <v>5.3290705182007514E-15</v>
      </c>
      <c r="M218" s="27">
        <f>[1]data!K218-[1]data!K180</f>
        <v>0</v>
      </c>
      <c r="N218" s="13">
        <f t="shared" si="18"/>
        <v>1.9984014443252818E-15</v>
      </c>
      <c r="O218" s="13">
        <f t="shared" si="19"/>
        <v>1.9984014443252818E-15</v>
      </c>
      <c r="P218" s="27">
        <f>[1]data!M218-[1]data!M180</f>
        <v>0.38436448129134071</v>
      </c>
      <c r="Q218" s="27">
        <f>[1]data!N218-[1]data!N180</f>
        <v>0.4021294374513984</v>
      </c>
      <c r="R218" s="27">
        <f>[1]data!O218-[1]data!O180</f>
        <v>-0.38436448129133538</v>
      </c>
      <c r="S218" s="27">
        <f>[1]data!P218-[1]data!P180</f>
        <v>-0.4021294374513964</v>
      </c>
      <c r="T218" s="27">
        <f>[1]data!Q218-[1]data!Q180</f>
        <v>0</v>
      </c>
      <c r="U218" s="27">
        <f>[1]data!R218-[1]data!R180</f>
        <v>0</v>
      </c>
      <c r="V218" s="27">
        <f>[1]data!S218-[1]data!S180</f>
        <v>-1.1691086305944958</v>
      </c>
      <c r="W218" s="27">
        <f>[1]data!T218-[1]data!T180</f>
        <v>-1.2231437055813377</v>
      </c>
      <c r="X218" s="27">
        <f>[1]data!U218-[1]data!U180</f>
        <v>3.2030373440944948E-2</v>
      </c>
      <c r="Y218" s="27">
        <f>[1]data!V218-[1]data!V180</f>
        <v>3.351078645428307E-2</v>
      </c>
      <c r="Z218" s="27">
        <f>[1]data!W218-[1]data!W180</f>
        <v>-1.2011390040354408</v>
      </c>
      <c r="AA218" s="27">
        <f>[1]data!X218-[1]data!X180</f>
        <v>-1.2566544920356209</v>
      </c>
      <c r="AB218" s="27">
        <f>[1]data!Y218-[1]data!Y180</f>
        <v>0</v>
      </c>
      <c r="AC218" s="27">
        <f>[1]data!Z218-[1]data!Z180</f>
        <v>0</v>
      </c>
      <c r="AD218" s="14">
        <v>193.97380504054999</v>
      </c>
      <c r="AE218" s="15">
        <v>202.93908750153</v>
      </c>
      <c r="AF218">
        <f>D218/(D218+H218)</f>
        <v>0</v>
      </c>
      <c r="AG218">
        <f>(F218/(D218+H218))</f>
        <v>0.32876712328766916</v>
      </c>
      <c r="AH218">
        <f>(E218/(D218+H218))</f>
        <v>-0.32876712328767105</v>
      </c>
      <c r="AI218">
        <f>(G218/(D218+H218))</f>
        <v>0</v>
      </c>
      <c r="AJ218" t="e">
        <f>(F218/(D218))</f>
        <v>#DIV/0!</v>
      </c>
      <c r="AK218" t="e">
        <f>E218/D218</f>
        <v>#DIV/0!</v>
      </c>
      <c r="AL218">
        <f>(H218/(C218+H218))</f>
        <v>1.0000000000000018</v>
      </c>
      <c r="AM218">
        <f>(I218/(D218+H218))</f>
        <v>-2.7397260273972462E-2</v>
      </c>
      <c r="AN218">
        <f>(J218/(D218+H218))</f>
        <v>1.0273972602739723</v>
      </c>
      <c r="AO218">
        <f>(I218/H218)</f>
        <v>-2.7397260273972462E-2</v>
      </c>
      <c r="AP218">
        <f>J218/H218</f>
        <v>1.0273972602739723</v>
      </c>
      <c r="AQ218">
        <f>(D218+H218)/AD218</f>
        <v>-1.2231437055813378E-2</v>
      </c>
    </row>
    <row r="219" spans="1:43" x14ac:dyDescent="0.35">
      <c r="A219" s="17" t="s">
        <v>55</v>
      </c>
      <c r="B219" s="24" t="s">
        <v>71</v>
      </c>
      <c r="C219" s="28">
        <f t="shared" si="16"/>
        <v>10.503584387998931</v>
      </c>
      <c r="D219" s="27">
        <f>[1]data!C219-[1]data!C181</f>
        <v>10.503584387998931</v>
      </c>
      <c r="E219" s="27">
        <f>[1]data!D219-[1]data!D181</f>
        <v>1.4762368351181505</v>
      </c>
      <c r="F219" s="27">
        <f>[1]data!E219-[1]data!E181</f>
        <v>9.0273475528807801</v>
      </c>
      <c r="G219" s="27">
        <f>[1]data!F219-[1]data!F181</f>
        <v>0</v>
      </c>
      <c r="H219" s="27">
        <f>[1]data!G219-[1]data!G181</f>
        <v>0.83901230197362509</v>
      </c>
      <c r="I219" s="27">
        <f>[1]data!H219-[1]data!H181</f>
        <v>0.83901230197362509</v>
      </c>
      <c r="J219" s="27">
        <f>[1]data!I219-[1]data!I181</f>
        <v>0</v>
      </c>
      <c r="K219" s="27">
        <f>[1]data!J219-[1]data!J181</f>
        <v>0</v>
      </c>
      <c r="L219" s="13">
        <f t="shared" si="17"/>
        <v>2.5602928587666662</v>
      </c>
      <c r="M219" s="27">
        <f>[1]data!K219-[1]data!K181</f>
        <v>2.5602928587666662</v>
      </c>
      <c r="N219" s="13">
        <f t="shared" si="18"/>
        <v>3.178528896479957</v>
      </c>
      <c r="O219" s="13">
        <f t="shared" si="19"/>
        <v>3.178528896479957</v>
      </c>
      <c r="P219" s="27">
        <f>[1]data!M219-[1]data!M181</f>
        <v>0.35983893566083569</v>
      </c>
      <c r="Q219" s="27">
        <f>[1]data!N219-[1]data!N181</f>
        <v>0.44672954156796146</v>
      </c>
      <c r="R219" s="27">
        <f>[1]data!O219-[1]data!O181</f>
        <v>2.2004539231058304</v>
      </c>
      <c r="S219" s="27">
        <f>[1]data!P219-[1]data!P181</f>
        <v>2.7317993549119954</v>
      </c>
      <c r="T219" s="27">
        <f>[1]data!Q219-[1]data!Q181</f>
        <v>0</v>
      </c>
      <c r="U219" s="27">
        <f>[1]data!R219-[1]data!R181</f>
        <v>0</v>
      </c>
      <c r="V219" s="27">
        <f>[1]data!S219-[1]data!S181</f>
        <v>0.20451277638277698</v>
      </c>
      <c r="W219" s="27">
        <f>[1]data!T219-[1]data!T181</f>
        <v>0.25389664592711547</v>
      </c>
      <c r="X219" s="27">
        <f>[1]data!U219-[1]data!U181</f>
        <v>0.20451277638277698</v>
      </c>
      <c r="Y219" s="27">
        <f>[1]data!V219-[1]data!V181</f>
        <v>0.25389664592711503</v>
      </c>
      <c r="Z219" s="27">
        <f>[1]data!W219-[1]data!W181</f>
        <v>0</v>
      </c>
      <c r="AA219" s="27">
        <f>[1]data!X219-[1]data!X181</f>
        <v>0</v>
      </c>
      <c r="AB219" s="27">
        <f>[1]data!Y219-[1]data!Y181</f>
        <v>0</v>
      </c>
      <c r="AC219" s="27">
        <f>[1]data!Z219-[1]data!Z181</f>
        <v>0</v>
      </c>
      <c r="AD219" s="14">
        <v>330.45426768437</v>
      </c>
      <c r="AE219" s="15">
        <v>410.24933347112</v>
      </c>
      <c r="AF219">
        <f>D219/(D219+H219)</f>
        <v>0.92602996254681647</v>
      </c>
      <c r="AG219">
        <f>(F219/(D219+H219))</f>
        <v>0.79588014981273414</v>
      </c>
      <c r="AH219">
        <f>(E219/(D219+H219))</f>
        <v>0.13014981273408235</v>
      </c>
      <c r="AI219">
        <f>(G219/(D219+H219))</f>
        <v>0</v>
      </c>
      <c r="AJ219">
        <f>(F219/(D219))</f>
        <v>0.85945399393326594</v>
      </c>
      <c r="AK219">
        <f>E219/D219</f>
        <v>0.14054600606673404</v>
      </c>
      <c r="AL219">
        <f>(H219/(C219+H219))</f>
        <v>7.3970037453183493E-2</v>
      </c>
      <c r="AM219">
        <f>(I219/(D219+H219))</f>
        <v>7.3970037453183493E-2</v>
      </c>
      <c r="AN219">
        <f>(J219/(D219+H219))</f>
        <v>0</v>
      </c>
      <c r="AO219">
        <f>(I219/H219)</f>
        <v>1</v>
      </c>
      <c r="AP219">
        <f>J219/H219</f>
        <v>0</v>
      </c>
      <c r="AQ219">
        <f>(D219+H219)/AD219</f>
        <v>3.4324255424070721E-2</v>
      </c>
    </row>
    <row r="220" spans="1:43" x14ac:dyDescent="0.35">
      <c r="A220" s="17" t="s">
        <v>56</v>
      </c>
      <c r="B220" s="24" t="s">
        <v>71</v>
      </c>
      <c r="C220" s="28">
        <f t="shared" si="16"/>
        <v>0.45651274374176509</v>
      </c>
      <c r="D220" s="27">
        <f>[1]data!C220-[1]data!C182</f>
        <v>0.45651274374176509</v>
      </c>
      <c r="E220" s="27">
        <f>[1]data!D220-[1]data!D182</f>
        <v>0</v>
      </c>
      <c r="F220" s="27">
        <f>[1]data!E220-[1]data!E182</f>
        <v>0.45651274374176509</v>
      </c>
      <c r="G220" s="27">
        <f>[1]data!F220-[1]data!F182</f>
        <v>0</v>
      </c>
      <c r="H220" s="27">
        <f>[1]data!G220-[1]data!G182</f>
        <v>0</v>
      </c>
      <c r="I220" s="27">
        <f>[1]data!H220-[1]data!H182</f>
        <v>0</v>
      </c>
      <c r="J220" s="27">
        <f>[1]data!I220-[1]data!I182</f>
        <v>0</v>
      </c>
      <c r="K220" s="27">
        <f>[1]data!J220-[1]data!J182</f>
        <v>0</v>
      </c>
      <c r="L220" s="13">
        <f t="shared" si="17"/>
        <v>0.20530124788873128</v>
      </c>
      <c r="M220" s="27">
        <f>[1]data!K220-[1]data!K182</f>
        <v>0.20530124788873128</v>
      </c>
      <c r="N220" s="13">
        <f t="shared" si="18"/>
        <v>0.13378998732291691</v>
      </c>
      <c r="O220" s="13">
        <f t="shared" si="19"/>
        <v>0.13378998732291691</v>
      </c>
      <c r="P220" s="27">
        <f>[1]data!M220-[1]data!M182</f>
        <v>0</v>
      </c>
      <c r="Q220" s="27">
        <f>[1]data!N220-[1]data!N182</f>
        <v>0</v>
      </c>
      <c r="R220" s="27">
        <f>[1]data!O220-[1]data!O182</f>
        <v>0.20530124788873128</v>
      </c>
      <c r="S220" s="27">
        <f>[1]data!P220-[1]data!P182</f>
        <v>0.13378998732291691</v>
      </c>
      <c r="T220" s="27">
        <f>[1]data!Q220-[1]data!Q182</f>
        <v>0</v>
      </c>
      <c r="U220" s="27">
        <f>[1]data!R220-[1]data!R182</f>
        <v>0</v>
      </c>
      <c r="V220" s="27">
        <f>[1]data!S220-[1]data!S182</f>
        <v>0</v>
      </c>
      <c r="W220" s="27">
        <f>[1]data!T220-[1]data!T182</f>
        <v>0</v>
      </c>
      <c r="X220" s="27">
        <f>[1]data!U220-[1]data!U182</f>
        <v>0</v>
      </c>
      <c r="Y220" s="27">
        <f>[1]data!V220-[1]data!V182</f>
        <v>0</v>
      </c>
      <c r="Z220" s="27">
        <f>[1]data!W220-[1]data!W182</f>
        <v>0</v>
      </c>
      <c r="AA220" s="27">
        <f>[1]data!X220-[1]data!X182</f>
        <v>0</v>
      </c>
      <c r="AB220" s="27">
        <f>[1]data!Y220-[1]data!Y182</f>
        <v>0</v>
      </c>
      <c r="AC220" s="27">
        <f>[1]data!Z220-[1]data!Z182</f>
        <v>0</v>
      </c>
      <c r="AD220" s="14">
        <v>341.21592570296002</v>
      </c>
      <c r="AE220" s="15">
        <v>222.36238134761999</v>
      </c>
      <c r="AF220">
        <f>D220/(D220+H220)</f>
        <v>1</v>
      </c>
      <c r="AG220">
        <f>(F220/(D220+H220))</f>
        <v>1</v>
      </c>
      <c r="AH220">
        <f>(E220/(D220+H220))</f>
        <v>0</v>
      </c>
      <c r="AI220">
        <f>(G220/(D220+H220))</f>
        <v>0</v>
      </c>
      <c r="AJ220">
        <f>(F220/(D220))</f>
        <v>1</v>
      </c>
      <c r="AK220">
        <f>E220/D220</f>
        <v>0</v>
      </c>
      <c r="AL220">
        <f>(H220/(C220+H220))</f>
        <v>0</v>
      </c>
      <c r="AM220">
        <f>(I220/(D220+H220))</f>
        <v>0</v>
      </c>
      <c r="AN220">
        <f>(J220/(D220+H220))</f>
        <v>0</v>
      </c>
      <c r="AO220" t="e">
        <f>(I220/H220)</f>
        <v>#DIV/0!</v>
      </c>
      <c r="AP220" t="e">
        <f>J220/H220</f>
        <v>#DIV/0!</v>
      </c>
      <c r="AQ220">
        <f>(D220+H220)/AD220</f>
        <v>1.3378998732291728E-3</v>
      </c>
    </row>
    <row r="221" spans="1:43" x14ac:dyDescent="0.35">
      <c r="A221" s="17" t="s">
        <v>57</v>
      </c>
      <c r="B221" s="24" t="s">
        <v>71</v>
      </c>
      <c r="C221" s="28">
        <f t="shared" si="16"/>
        <v>0</v>
      </c>
      <c r="D221" s="27">
        <f>[1]data!C221-[1]data!C183</f>
        <v>0</v>
      </c>
      <c r="E221" s="27">
        <f>[1]data!D221-[1]data!D183</f>
        <v>0</v>
      </c>
      <c r="F221" s="27">
        <f>[1]data!E221-[1]data!E183</f>
        <v>0</v>
      </c>
      <c r="G221" s="27">
        <f>[1]data!F221-[1]data!F183</f>
        <v>0</v>
      </c>
      <c r="H221" s="27">
        <f>[1]data!G221-[1]data!G183</f>
        <v>0</v>
      </c>
      <c r="I221" s="27">
        <f>[1]data!H221-[1]data!H183</f>
        <v>0</v>
      </c>
      <c r="J221" s="27">
        <f>[1]data!I221-[1]data!I183</f>
        <v>0</v>
      </c>
      <c r="K221" s="27">
        <f>[1]data!J221-[1]data!J183</f>
        <v>0</v>
      </c>
      <c r="L221" s="13">
        <f t="shared" si="17"/>
        <v>0</v>
      </c>
      <c r="M221" s="27">
        <f>[1]data!K221-[1]data!K183</f>
        <v>0</v>
      </c>
      <c r="N221" s="13">
        <f t="shared" si="18"/>
        <v>0</v>
      </c>
      <c r="O221" s="13">
        <f t="shared" si="19"/>
        <v>0</v>
      </c>
      <c r="P221" s="27">
        <f>[1]data!M221-[1]data!M183</f>
        <v>0</v>
      </c>
      <c r="Q221" s="27">
        <f>[1]data!N221-[1]data!N183</f>
        <v>0</v>
      </c>
      <c r="R221" s="27">
        <f>[1]data!O221-[1]data!O183</f>
        <v>0</v>
      </c>
      <c r="S221" s="27">
        <f>[1]data!P221-[1]data!P183</f>
        <v>0</v>
      </c>
      <c r="T221" s="27">
        <f>[1]data!Q221-[1]data!Q183</f>
        <v>0</v>
      </c>
      <c r="U221" s="27">
        <f>[1]data!R221-[1]data!R183</f>
        <v>0</v>
      </c>
      <c r="V221" s="27">
        <f>[1]data!S221-[1]data!S183</f>
        <v>0</v>
      </c>
      <c r="W221" s="27">
        <f>[1]data!T221-[1]data!T183</f>
        <v>0</v>
      </c>
      <c r="X221" s="27">
        <f>[1]data!U221-[1]data!U183</f>
        <v>0</v>
      </c>
      <c r="Y221" s="27">
        <f>[1]data!V221-[1]data!V183</f>
        <v>0</v>
      </c>
      <c r="Z221" s="27">
        <f>[1]data!W221-[1]data!W183</f>
        <v>0</v>
      </c>
      <c r="AA221" s="27">
        <f>[1]data!X221-[1]data!X183</f>
        <v>0</v>
      </c>
      <c r="AB221" s="27">
        <f>[1]data!Y221-[1]data!Y183</f>
        <v>0</v>
      </c>
      <c r="AC221" s="27">
        <f>[1]data!Z221-[1]data!Z183</f>
        <v>0</v>
      </c>
      <c r="AD221" s="14">
        <v>181.71174374815001</v>
      </c>
      <c r="AE221" s="15">
        <v>99.489061173690004</v>
      </c>
      <c r="AF221" t="e">
        <f>D221/(D221+H221)</f>
        <v>#DIV/0!</v>
      </c>
      <c r="AG221" t="e">
        <f>(F221/(D221+H221))</f>
        <v>#DIV/0!</v>
      </c>
      <c r="AH221" t="e">
        <f>(E221/(D221+H221))</f>
        <v>#DIV/0!</v>
      </c>
      <c r="AI221" t="e">
        <f>(G221/(D221+H221))</f>
        <v>#DIV/0!</v>
      </c>
      <c r="AJ221" t="e">
        <f>(F221/(D221))</f>
        <v>#DIV/0!</v>
      </c>
      <c r="AK221" t="e">
        <f>E221/D221</f>
        <v>#DIV/0!</v>
      </c>
      <c r="AL221" t="e">
        <f>(H221/(C221+H221))</f>
        <v>#DIV/0!</v>
      </c>
      <c r="AM221" t="e">
        <f>(I221/(D221+H221))</f>
        <v>#DIV/0!</v>
      </c>
      <c r="AN221" t="e">
        <f>(J221/(D221+H221))</f>
        <v>#DIV/0!</v>
      </c>
      <c r="AO221" t="e">
        <f>(I221/H221)</f>
        <v>#DIV/0!</v>
      </c>
      <c r="AP221" t="e">
        <f>J221/H221</f>
        <v>#DIV/0!</v>
      </c>
      <c r="AQ221">
        <f>(D221+H221)/AD221</f>
        <v>0</v>
      </c>
    </row>
    <row r="222" spans="1:43" x14ac:dyDescent="0.35">
      <c r="A222" s="17" t="s">
        <v>58</v>
      </c>
      <c r="B222" s="24" t="s">
        <v>71</v>
      </c>
      <c r="C222" s="28">
        <f t="shared" si="16"/>
        <v>0.72970577116271818</v>
      </c>
      <c r="D222" s="27">
        <f>[1]data!C222-[1]data!C184</f>
        <v>0.35570577116271807</v>
      </c>
      <c r="E222" s="27">
        <f>[1]data!D222-[1]data!D184</f>
        <v>-4.451274374176506E-2</v>
      </c>
      <c r="F222" s="27">
        <f>[1]data!E222-[1]data!E184</f>
        <v>0.40021851490448324</v>
      </c>
      <c r="G222" s="27">
        <f>[1]data!F222-[1]data!F184</f>
        <v>0.374</v>
      </c>
      <c r="H222" s="27">
        <f>[1]data!G222-[1]data!G184</f>
        <v>0</v>
      </c>
      <c r="I222" s="27">
        <f>[1]data!H222-[1]data!H184</f>
        <v>0</v>
      </c>
      <c r="J222" s="27">
        <f>[1]data!I222-[1]data!I184</f>
        <v>0</v>
      </c>
      <c r="K222" s="27">
        <f>[1]data!J222-[1]data!J184</f>
        <v>0</v>
      </c>
      <c r="L222" s="13">
        <f t="shared" si="17"/>
        <v>1.4473126532241416</v>
      </c>
      <c r="M222" s="27">
        <f>[1]data!K222-[1]data!K184</f>
        <v>0.70551376153752976</v>
      </c>
      <c r="N222" s="13">
        <f t="shared" si="18"/>
        <v>1.2096028011609259</v>
      </c>
      <c r="O222" s="13">
        <f t="shared" si="19"/>
        <v>0.46780390947431383</v>
      </c>
      <c r="P222" s="27">
        <f>[1]data!M222-[1]data!M184</f>
        <v>-8.8287443779602848E-2</v>
      </c>
      <c r="Q222" s="27">
        <f>[1]data!N222-[1]data!N184</f>
        <v>-5.8540617645195026E-2</v>
      </c>
      <c r="R222" s="27">
        <f>[1]data!O222-[1]data!O184</f>
        <v>0.79380120531713239</v>
      </c>
      <c r="S222" s="27">
        <f>[1]data!P222-[1]data!P184</f>
        <v>0.52634452711950885</v>
      </c>
      <c r="T222" s="27">
        <f>[1]data!Q222-[1]data!Q184</f>
        <v>0.74179889168661206</v>
      </c>
      <c r="U222" s="27">
        <f>[1]data!R222-[1]data!R184</f>
        <v>0.49186343412842204</v>
      </c>
      <c r="V222" s="27">
        <f>[1]data!S222-[1]data!S184</f>
        <v>0</v>
      </c>
      <c r="W222" s="27">
        <f>[1]data!T222-[1]data!T184</f>
        <v>0</v>
      </c>
      <c r="X222" s="27">
        <f>[1]data!U222-[1]data!U184</f>
        <v>0</v>
      </c>
      <c r="Y222" s="27">
        <f>[1]data!V222-[1]data!V184</f>
        <v>0</v>
      </c>
      <c r="Z222" s="27">
        <f>[1]data!W222-[1]data!W184</f>
        <v>0</v>
      </c>
      <c r="AA222" s="27">
        <f>[1]data!X222-[1]data!X184</f>
        <v>0</v>
      </c>
      <c r="AB222" s="27">
        <f>[1]data!Y222-[1]data!Y184</f>
        <v>0</v>
      </c>
      <c r="AC222" s="27">
        <f>[1]data!Z222-[1]data!Z184</f>
        <v>0</v>
      </c>
      <c r="AD222" s="14">
        <v>76.037366075549997</v>
      </c>
      <c r="AE222" s="15">
        <v>50.417977728389999</v>
      </c>
      <c r="AF222">
        <f>D222/(D222+H222)</f>
        <v>1</v>
      </c>
      <c r="AG222">
        <f>(F222/(D222+H222))</f>
        <v>1.125139222780287</v>
      </c>
      <c r="AH222">
        <f>(E222/(D222+H222))</f>
        <v>-0.12513922278028672</v>
      </c>
      <c r="AI222">
        <f>(G222/(D222+H222))</f>
        <v>1.0514307900529205</v>
      </c>
      <c r="AJ222">
        <f>(F222/(D222))</f>
        <v>1.125139222780287</v>
      </c>
      <c r="AK222">
        <f>E222/D222</f>
        <v>-0.12513922278028672</v>
      </c>
      <c r="AL222">
        <f>(H222/(C222+H222))</f>
        <v>0</v>
      </c>
      <c r="AM222">
        <f>(I222/(D222+H222))</f>
        <v>0</v>
      </c>
      <c r="AN222">
        <f>(J222/(D222+H222))</f>
        <v>0</v>
      </c>
      <c r="AO222" t="e">
        <f>(I222/H222)</f>
        <v>#DIV/0!</v>
      </c>
      <c r="AP222" t="e">
        <f>J222/H222</f>
        <v>#DIV/0!</v>
      </c>
      <c r="AQ222">
        <f>(D222+H222)/AD222</f>
        <v>4.6780390947431319E-3</v>
      </c>
    </row>
    <row r="223" spans="1:43" x14ac:dyDescent="0.35">
      <c r="A223" s="17" t="s">
        <v>59</v>
      </c>
      <c r="B223" s="24" t="s">
        <v>71</v>
      </c>
      <c r="C223" s="28">
        <f t="shared" si="16"/>
        <v>0</v>
      </c>
      <c r="D223" s="27">
        <f>[1]data!C223-[1]data!C185</f>
        <v>0</v>
      </c>
      <c r="E223" s="27">
        <f>[1]data!D223-[1]data!D185</f>
        <v>0</v>
      </c>
      <c r="F223" s="27">
        <f>[1]data!E223-[1]data!E185</f>
        <v>0</v>
      </c>
      <c r="G223" s="27">
        <f>[1]data!F223-[1]data!F185</f>
        <v>0</v>
      </c>
      <c r="H223" s="27">
        <f>[1]data!G223-[1]data!G185</f>
        <v>0</v>
      </c>
      <c r="I223" s="27">
        <f>[1]data!H223-[1]data!H185</f>
        <v>0</v>
      </c>
      <c r="J223" s="27">
        <f>[1]data!I223-[1]data!I185</f>
        <v>0</v>
      </c>
      <c r="K223" s="27">
        <f>[1]data!J223-[1]data!J185</f>
        <v>0</v>
      </c>
      <c r="L223" s="13">
        <f t="shared" si="17"/>
        <v>0</v>
      </c>
      <c r="M223" s="27">
        <f>[1]data!K223-[1]data!K185</f>
        <v>0</v>
      </c>
      <c r="N223" s="13">
        <f t="shared" si="18"/>
        <v>0</v>
      </c>
      <c r="O223" s="13">
        <f t="shared" si="19"/>
        <v>0</v>
      </c>
      <c r="P223" s="27">
        <f>[1]data!M223-[1]data!M185</f>
        <v>0</v>
      </c>
      <c r="Q223" s="27">
        <f>[1]data!N223-[1]data!N185</f>
        <v>0</v>
      </c>
      <c r="R223" s="27">
        <f>[1]data!O223-[1]data!O185</f>
        <v>0</v>
      </c>
      <c r="S223" s="27">
        <f>[1]data!P223-[1]data!P185</f>
        <v>0</v>
      </c>
      <c r="T223" s="27">
        <f>[1]data!Q223-[1]data!Q185</f>
        <v>0</v>
      </c>
      <c r="U223" s="27">
        <f>[1]data!R223-[1]data!R185</f>
        <v>0</v>
      </c>
      <c r="V223" s="27">
        <f>[1]data!S223-[1]data!S185</f>
        <v>0</v>
      </c>
      <c r="W223" s="27">
        <f>[1]data!T223-[1]data!T185</f>
        <v>0</v>
      </c>
      <c r="X223" s="27">
        <f>[1]data!U223-[1]data!U185</f>
        <v>0</v>
      </c>
      <c r="Y223" s="27">
        <f>[1]data!V223-[1]data!V185</f>
        <v>0</v>
      </c>
      <c r="Z223" s="27">
        <f>[1]data!W223-[1]data!W185</f>
        <v>0</v>
      </c>
      <c r="AA223" s="27">
        <f>[1]data!X223-[1]data!X185</f>
        <v>0</v>
      </c>
      <c r="AB223" s="27">
        <f>[1]data!Y223-[1]data!Y185</f>
        <v>0</v>
      </c>
      <c r="AC223" s="27">
        <f>[1]data!Z223-[1]data!Z185</f>
        <v>0</v>
      </c>
      <c r="AD223" s="14">
        <v>521.00449074291998</v>
      </c>
      <c r="AE223" s="15">
        <v>549.82128194673999</v>
      </c>
      <c r="AF223" t="e">
        <f>D223/(D223+H223)</f>
        <v>#DIV/0!</v>
      </c>
      <c r="AG223" t="e">
        <f>(F223/(D223+H223))</f>
        <v>#DIV/0!</v>
      </c>
      <c r="AH223" t="e">
        <f>(E223/(D223+H223))</f>
        <v>#DIV/0!</v>
      </c>
      <c r="AI223" t="e">
        <f>(G223/(D223+H223))</f>
        <v>#DIV/0!</v>
      </c>
      <c r="AJ223" t="e">
        <f>(F223/(D223))</f>
        <v>#DIV/0!</v>
      </c>
      <c r="AK223" t="e">
        <f>E223/D223</f>
        <v>#DIV/0!</v>
      </c>
      <c r="AL223" t="e">
        <f>(H223/(C223+H223))</f>
        <v>#DIV/0!</v>
      </c>
      <c r="AM223" t="e">
        <f>(I223/(D223+H223))</f>
        <v>#DIV/0!</v>
      </c>
      <c r="AN223" t="e">
        <f>(J223/(D223+H223))</f>
        <v>#DIV/0!</v>
      </c>
      <c r="AO223" t="e">
        <f>(I223/H223)</f>
        <v>#DIV/0!</v>
      </c>
      <c r="AP223" t="e">
        <f>J223/H223</f>
        <v>#DIV/0!</v>
      </c>
      <c r="AQ223">
        <f>(D223+H223)/AD223</f>
        <v>0</v>
      </c>
    </row>
    <row r="224" spans="1:43" x14ac:dyDescent="0.35">
      <c r="A224" s="17" t="s">
        <v>60</v>
      </c>
      <c r="B224" s="24" t="s">
        <v>71</v>
      </c>
      <c r="C224" s="28">
        <f t="shared" si="16"/>
        <v>3.8322799069066686</v>
      </c>
      <c r="D224" s="27">
        <f>[1]data!C224-[1]data!C186</f>
        <v>3.8322799069066704</v>
      </c>
      <c r="E224" s="27">
        <f>[1]data!D224-[1]data!D186</f>
        <v>2.2988468883408597</v>
      </c>
      <c r="F224" s="27">
        <f>[1]data!E224-[1]data!E186</f>
        <v>1.5334330185658089</v>
      </c>
      <c r="G224" s="27">
        <f>[1]data!F224-[1]data!F186</f>
        <v>0</v>
      </c>
      <c r="H224" s="27">
        <f>[1]data!G224-[1]data!G186</f>
        <v>2.6534631329298008E-3</v>
      </c>
      <c r="I224" s="27">
        <f>[1]data!H224-[1]data!H186</f>
        <v>6.0615948210829274E-5</v>
      </c>
      <c r="J224" s="27">
        <f>[1]data!I224-[1]data!I186</f>
        <v>2.5928471847223022E-3</v>
      </c>
      <c r="K224" s="27">
        <f>[1]data!J224-[1]data!J186</f>
        <v>0</v>
      </c>
      <c r="L224" s="13">
        <f t="shared" si="17"/>
        <v>0.51294735991859164</v>
      </c>
      <c r="M224" s="27">
        <f>[1]data!K224-[1]data!K186</f>
        <v>0.51294735991859142</v>
      </c>
      <c r="N224" s="13">
        <f t="shared" si="18"/>
        <v>0.6486438194172508</v>
      </c>
      <c r="O224" s="13">
        <f t="shared" si="19"/>
        <v>0.6486438194172508</v>
      </c>
      <c r="P224" s="27">
        <f>[1]data!M224-[1]data!M186</f>
        <v>0.3076986730813529</v>
      </c>
      <c r="Q224" s="27">
        <f>[1]data!N224-[1]data!N186</f>
        <v>0.38909809881619184</v>
      </c>
      <c r="R224" s="27">
        <f>[1]data!O224-[1]data!O186</f>
        <v>0.20524868683723874</v>
      </c>
      <c r="S224" s="27">
        <f>[1]data!P224-[1]data!P186</f>
        <v>0.25954572060105896</v>
      </c>
      <c r="T224" s="27">
        <f>[1]data!Q224-[1]data!Q186</f>
        <v>0</v>
      </c>
      <c r="U224" s="27">
        <f>[1]data!R224-[1]data!R186</f>
        <v>0</v>
      </c>
      <c r="V224" s="27">
        <f>[1]data!S224-[1]data!S186</f>
        <v>3.5516375153665791E-4</v>
      </c>
      <c r="W224" s="27">
        <f>[1]data!T224-[1]data!T186</f>
        <v>4.4911971542926921E-4</v>
      </c>
      <c r="X224" s="27">
        <f>[1]data!U224-[1]data!U186</f>
        <v>8.1133923823251131E-6</v>
      </c>
      <c r="Y224" s="27">
        <f>[1]data!V224-[1]data!V186</f>
        <v>1.025973079216147E-5</v>
      </c>
      <c r="Z224" s="27">
        <f>[1]data!W224-[1]data!W186</f>
        <v>3.4705035915472138E-4</v>
      </c>
      <c r="AA224" s="27">
        <f>[1]data!X224-[1]data!X186</f>
        <v>4.3885998463633058E-4</v>
      </c>
      <c r="AB224" s="27">
        <f>[1]data!Y224-[1]data!Y186</f>
        <v>0</v>
      </c>
      <c r="AC224" s="27">
        <f>[1]data!Z224-[1]data!Z186</f>
        <v>0</v>
      </c>
      <c r="AD224" s="14">
        <v>590.81421763174001</v>
      </c>
      <c r="AE224" s="15">
        <v>747.10978286638999</v>
      </c>
      <c r="AF224">
        <f>D224/(D224+H224)</f>
        <v>0.99930808103377755</v>
      </c>
      <c r="AG224">
        <f>(F224/(D224+H224))</f>
        <v>0.39985910330170205</v>
      </c>
      <c r="AH224">
        <f>(E224/(D224+H224))</f>
        <v>0.59944897773207506</v>
      </c>
      <c r="AI224">
        <f>(G224/(D224+H224))</f>
        <v>0</v>
      </c>
      <c r="AJ224">
        <f>(F224/(D224))</f>
        <v>0.40013596496492904</v>
      </c>
      <c r="AK224">
        <f>E224/D224</f>
        <v>0.59986403503507046</v>
      </c>
      <c r="AL224">
        <f>(H224/(C224+H224))</f>
        <v>6.9191896622245667E-4</v>
      </c>
      <c r="AM224">
        <f>(I224/(D224+H224))</f>
        <v>1.5806258508789513E-5</v>
      </c>
      <c r="AN224">
        <f>(J224/(D224+H224))</f>
        <v>6.7611270771453539E-4</v>
      </c>
      <c r="AO224">
        <f>(I224/H224)</f>
        <v>2.2844089091941008E-2</v>
      </c>
      <c r="AP224">
        <f>J224/H224</f>
        <v>0.9771559109093142</v>
      </c>
      <c r="AQ224">
        <f>(D224+H224)/AD224</f>
        <v>6.4909293913267838E-3</v>
      </c>
    </row>
    <row r="225" spans="1:43" x14ac:dyDescent="0.35">
      <c r="A225" s="11" t="s">
        <v>61</v>
      </c>
      <c r="B225" s="24" t="s">
        <v>71</v>
      </c>
      <c r="C225" s="28">
        <f t="shared" si="16"/>
        <v>15.149146169941273</v>
      </c>
      <c r="D225" s="27">
        <f>[1]data!C225-[1]data!C187</f>
        <v>14.902985591190401</v>
      </c>
      <c r="E225" s="27">
        <f>[1]data!D225-[1]data!D187</f>
        <v>-0.69891173880890034</v>
      </c>
      <c r="F225" s="27">
        <f>[1]data!E225-[1]data!E187</f>
        <v>15.601897329999304</v>
      </c>
      <c r="G225" s="27">
        <f>[1]data!F225-[1]data!F187</f>
        <v>0.2461605787508705</v>
      </c>
      <c r="H225" s="27">
        <f>[1]data!G225-[1]data!G187</f>
        <v>3.2859281358385646</v>
      </c>
      <c r="I225" s="27">
        <f>[1]data!H225-[1]data!H187</f>
        <v>3.2859281358385646</v>
      </c>
      <c r="J225" s="27">
        <f>[1]data!I225-[1]data!I187</f>
        <v>0</v>
      </c>
      <c r="K225" s="27">
        <f>[1]data!J225-[1]data!J187</f>
        <v>-1.4672521220830275</v>
      </c>
      <c r="L225" s="13">
        <f t="shared" si="17"/>
        <v>5.7830117379298107</v>
      </c>
      <c r="M225" s="27">
        <f>[1]data!K225-[1]data!K187</f>
        <v>5.6890427775433512</v>
      </c>
      <c r="N225" s="13">
        <f t="shared" si="18"/>
        <v>3.4711201006591148</v>
      </c>
      <c r="O225" s="13">
        <f t="shared" si="19"/>
        <v>3.3771511402726562</v>
      </c>
      <c r="P225" s="27">
        <f>[1]data!M225-[1]data!M187</f>
        <v>-0.26680149125028052</v>
      </c>
      <c r="Q225" s="27">
        <f>[1]data!N225-[1]data!N187</f>
        <v>-0.1583797126572869</v>
      </c>
      <c r="R225" s="27">
        <f>[1]data!O225-[1]data!O187</f>
        <v>5.9558442687936326</v>
      </c>
      <c r="S225" s="27">
        <f>[1]data!P225-[1]data!P187</f>
        <v>3.5355308529299432</v>
      </c>
      <c r="T225" s="27">
        <f>[1]data!Q225-[1]data!Q187</f>
        <v>9.3968960386458411E-2</v>
      </c>
      <c r="U225" s="27">
        <f>[1]data!R225-[1]data!R187</f>
        <v>5.5782210492781981E-2</v>
      </c>
      <c r="V225" s="27">
        <f>[1]data!S225-[1]data!S187</f>
        <v>1.2543651481330917</v>
      </c>
      <c r="W225" s="27">
        <f>[1]data!T225-[1]data!T187</f>
        <v>0.74462099442416596</v>
      </c>
      <c r="X225" s="27">
        <f>[1]data!U225-[1]data!U187</f>
        <v>1.2543651481330917</v>
      </c>
      <c r="Y225" s="27">
        <f>[1]data!V225-[1]data!V187</f>
        <v>0.74462099442416596</v>
      </c>
      <c r="Z225" s="27">
        <f>[1]data!W225-[1]data!W187</f>
        <v>0</v>
      </c>
      <c r="AA225" s="27">
        <f>[1]data!X225-[1]data!X187</f>
        <v>0</v>
      </c>
      <c r="AB225" s="27">
        <f>[1]data!Y225-[1]data!Y187</f>
        <v>-0.56010656635848299</v>
      </c>
      <c r="AC225" s="27">
        <f>[1]data!Z225-[1]data!Z187</f>
        <v>-0.33249258323709963</v>
      </c>
      <c r="AD225" s="14">
        <v>441.28867711817003</v>
      </c>
      <c r="AE225" s="15">
        <v>261.95945739796002</v>
      </c>
      <c r="AF225">
        <f>D225/(D225+H225)</f>
        <v>0.81934445425646107</v>
      </c>
      <c r="AG225">
        <f>(F225/(D225+H225))</f>
        <v>0.85776960428454174</v>
      </c>
      <c r="AH225">
        <f>(E225/(D225+H225))</f>
        <v>-3.8425150028080474E-2</v>
      </c>
      <c r="AI225">
        <f>(G225/(D225+H225))</f>
        <v>1.3533550295808629E-2</v>
      </c>
      <c r="AJ225">
        <f>(F225/(D225))</f>
        <v>1.0468974310236232</v>
      </c>
      <c r="AK225">
        <f>E225/D225</f>
        <v>-4.6897431023623072E-2</v>
      </c>
      <c r="AL225">
        <f>(H225/(C225+H225))</f>
        <v>0.17824328133075912</v>
      </c>
      <c r="AM225">
        <f>(I225/(D225+H225))</f>
        <v>0.18065554574353895</v>
      </c>
      <c r="AN225">
        <f>(J225/(D225+H225))</f>
        <v>0</v>
      </c>
      <c r="AO225">
        <f>(I225/H225)</f>
        <v>1</v>
      </c>
      <c r="AP225">
        <f>J225/H225</f>
        <v>0</v>
      </c>
      <c r="AQ225">
        <f>(D225+H225)/AD225</f>
        <v>4.1217721346968224E-2</v>
      </c>
    </row>
    <row r="226" spans="1:43" x14ac:dyDescent="0.35">
      <c r="A226" s="11" t="s">
        <v>62</v>
      </c>
      <c r="B226" s="24" t="s">
        <v>71</v>
      </c>
      <c r="C226" s="28">
        <f t="shared" si="16"/>
        <v>2.014715481806916</v>
      </c>
      <c r="D226" s="27">
        <f>[1]data!C226-[1]data!C188</f>
        <v>1.6410634551846606</v>
      </c>
      <c r="E226" s="27">
        <f>[1]data!D226-[1]data!D188</f>
        <v>0.95449139438317188</v>
      </c>
      <c r="F226" s="27">
        <f>[1]data!E226-[1]data!E188</f>
        <v>0.68657206080148825</v>
      </c>
      <c r="G226" s="27">
        <f>[1]data!F226-[1]data!F188</f>
        <v>0.37365202662225599</v>
      </c>
      <c r="H226" s="27">
        <f>[1]data!G226-[1]data!G188</f>
        <v>6.5253723489826498E-2</v>
      </c>
      <c r="I226" s="27">
        <f>[1]data!H226-[1]data!H188</f>
        <v>6.3087624784770924E-2</v>
      </c>
      <c r="J226" s="27">
        <f>[1]data!I226-[1]data!I188</f>
        <v>2.1660987050564628E-3</v>
      </c>
      <c r="K226" s="27">
        <f>[1]data!J226-[1]data!J188</f>
        <v>0</v>
      </c>
      <c r="L226" s="13">
        <f t="shared" si="17"/>
        <v>0.62684515759532422</v>
      </c>
      <c r="M226" s="27">
        <f>[1]data!K226-[1]data!K188</f>
        <v>0.51058955444495968</v>
      </c>
      <c r="N226" s="13">
        <f t="shared" si="18"/>
        <v>0.35392929291580044</v>
      </c>
      <c r="O226" s="13">
        <f t="shared" si="19"/>
        <v>0.2376736897654359</v>
      </c>
      <c r="P226" s="27">
        <f>[1]data!M226-[1]data!M188</f>
        <v>0.29697409581569945</v>
      </c>
      <c r="Q226" s="27">
        <f>[1]data!N226-[1]data!N188</f>
        <v>0.13823809849380697</v>
      </c>
      <c r="R226" s="27">
        <f>[1]data!O226-[1]data!O188</f>
        <v>0.21361545862926024</v>
      </c>
      <c r="S226" s="27">
        <f>[1]data!P226-[1]data!P188</f>
        <v>9.9435591271628931E-2</v>
      </c>
      <c r="T226" s="27">
        <f>[1]data!Q226-[1]data!Q188</f>
        <v>0.11625560315036454</v>
      </c>
      <c r="U226" s="27">
        <f>[1]data!R226-[1]data!R188</f>
        <v>5.4115674549374146E-2</v>
      </c>
      <c r="V226" s="27">
        <f>[1]data!S226-[1]data!S188</f>
        <v>2.0302608955969248E-2</v>
      </c>
      <c r="W226" s="27">
        <f>[1]data!T226-[1]data!T188</f>
        <v>9.4506359176804722E-3</v>
      </c>
      <c r="X226" s="27">
        <f>[1]data!U226-[1]data!U188</f>
        <v>1.9628663430459881E-2</v>
      </c>
      <c r="Y226" s="27">
        <f>[1]data!V226-[1]data!V188</f>
        <v>9.1369218623216231E-3</v>
      </c>
      <c r="Z226" s="27">
        <f>[1]data!W226-[1]data!W188</f>
        <v>6.7394552550936737E-4</v>
      </c>
      <c r="AA226" s="27">
        <f>[1]data!X226-[1]data!X188</f>
        <v>3.1371405535862706E-4</v>
      </c>
      <c r="AB226" s="27">
        <f>[1]data!Y226-[1]data!Y188</f>
        <v>0</v>
      </c>
      <c r="AC226" s="27">
        <f>[1]data!Z226-[1]data!Z188</f>
        <v>0</v>
      </c>
      <c r="AD226" s="14">
        <v>690.46912883131995</v>
      </c>
      <c r="AE226" s="15">
        <v>321.40560669490998</v>
      </c>
      <c r="AF226">
        <f>D226/(D226+H226)</f>
        <v>0.96175756517875688</v>
      </c>
      <c r="AG226">
        <f>(F226/(D226+H226))</f>
        <v>0.40237071359431303</v>
      </c>
      <c r="AH226">
        <f>(E226/(D226+H226))</f>
        <v>0.55938685158444368</v>
      </c>
      <c r="AI226">
        <f>(G226/(D226+H226))</f>
        <v>0.21898157698471915</v>
      </c>
      <c r="AJ226">
        <f>(F226/(D226))</f>
        <v>0.41837020904486094</v>
      </c>
      <c r="AK226">
        <f>E226/D226</f>
        <v>0.58162979095513878</v>
      </c>
      <c r="AL226">
        <f>(H226/(C226+H226))</f>
        <v>3.137244692068264E-2</v>
      </c>
      <c r="AM226">
        <f>(I226/(D226+H226))</f>
        <v>3.6972976403940962E-2</v>
      </c>
      <c r="AN226">
        <f>(J226/(D226+H226))</f>
        <v>1.2694584173026649E-3</v>
      </c>
      <c r="AO226">
        <f>(I226/H226)</f>
        <v>0.96680497925312592</v>
      </c>
      <c r="AP226">
        <f>J226/H226</f>
        <v>3.3195020746887682E-2</v>
      </c>
      <c r="AQ226">
        <f>(D226+H226)/AD226</f>
        <v>2.4712432568311632E-3</v>
      </c>
    </row>
    <row r="227" spans="1:43" x14ac:dyDescent="0.35">
      <c r="A227" s="11" t="s">
        <v>63</v>
      </c>
      <c r="B227" s="24" t="s">
        <v>71</v>
      </c>
      <c r="C227" s="28">
        <f t="shared" si="16"/>
        <v>-1.4030908431417188E-4</v>
      </c>
      <c r="D227" s="27">
        <f>[1]data!C227-[1]data!C189</f>
        <v>-1.4030908431417188E-4</v>
      </c>
      <c r="E227" s="27">
        <f>[1]data!D227-[1]data!D189</f>
        <v>0</v>
      </c>
      <c r="F227" s="27">
        <f>[1]data!E227-[1]data!E189</f>
        <v>-1.4030908431417188E-4</v>
      </c>
      <c r="G227" s="27">
        <f>[1]data!F227-[1]data!F189</f>
        <v>0</v>
      </c>
      <c r="H227" s="27">
        <f>[1]data!G227-[1]data!G189</f>
        <v>0</v>
      </c>
      <c r="I227" s="27">
        <f>[1]data!H227-[1]data!H189</f>
        <v>0</v>
      </c>
      <c r="J227" s="27">
        <f>[1]data!I227-[1]data!I189</f>
        <v>0</v>
      </c>
      <c r="K227" s="27">
        <f>[1]data!J227-[1]data!J189</f>
        <v>0</v>
      </c>
      <c r="L227" s="13">
        <f t="shared" si="17"/>
        <v>-2.1793048881568744E-4</v>
      </c>
      <c r="M227" s="27">
        <f>[1]data!K227-[1]data!K189</f>
        <v>-2.1793048881590948E-4</v>
      </c>
      <c r="N227" s="13">
        <f t="shared" si="18"/>
        <v>-1.5379120927039303E-4</v>
      </c>
      <c r="O227" s="13">
        <f t="shared" si="19"/>
        <v>-1.5379120927039303E-4</v>
      </c>
      <c r="P227" s="27">
        <f>[1]data!M227-[1]data!M189</f>
        <v>0</v>
      </c>
      <c r="Q227" s="27">
        <f>[1]data!N227-[1]data!N189</f>
        <v>0</v>
      </c>
      <c r="R227" s="27">
        <f>[1]data!O227-[1]data!O189</f>
        <v>-2.1793048881568744E-4</v>
      </c>
      <c r="S227" s="27">
        <f>[1]data!P227-[1]data!P189</f>
        <v>-1.5379120927039303E-4</v>
      </c>
      <c r="T227" s="27">
        <f>[1]data!Q227-[1]data!Q189</f>
        <v>0</v>
      </c>
      <c r="U227" s="27">
        <f>[1]data!R227-[1]data!R189</f>
        <v>0</v>
      </c>
      <c r="V227" s="27">
        <f>[1]data!S227-[1]data!S189</f>
        <v>0</v>
      </c>
      <c r="W227" s="27">
        <f>[1]data!T227-[1]data!T189</f>
        <v>0</v>
      </c>
      <c r="X227" s="27">
        <f>[1]data!U227-[1]data!U189</f>
        <v>0</v>
      </c>
      <c r="Y227" s="27">
        <f>[1]data!V227-[1]data!V189</f>
        <v>0</v>
      </c>
      <c r="Z227" s="27">
        <f>[1]data!W227-[1]data!W189</f>
        <v>0</v>
      </c>
      <c r="AA227" s="27">
        <f>[1]data!X227-[1]data!X189</f>
        <v>0</v>
      </c>
      <c r="AB227" s="27">
        <f>[1]data!Y227-[1]data!Y189</f>
        <v>0</v>
      </c>
      <c r="AC227" s="27">
        <f>[1]data!Z227-[1]data!Z189</f>
        <v>0</v>
      </c>
      <c r="AD227" s="14">
        <v>91.233487908610002</v>
      </c>
      <c r="AE227" s="15">
        <v>64.38249419652</v>
      </c>
      <c r="AF227">
        <f>D227/(D227+H227)</f>
        <v>1</v>
      </c>
      <c r="AG227">
        <f>(F227/(D227+H227))</f>
        <v>1</v>
      </c>
      <c r="AH227">
        <f>(E227/(D227+H227))</f>
        <v>0</v>
      </c>
      <c r="AI227">
        <f>(G227/(D227+H227))</f>
        <v>0</v>
      </c>
      <c r="AJ227">
        <f>(F227/(D227))</f>
        <v>1</v>
      </c>
      <c r="AK227">
        <f>E227/D227</f>
        <v>0</v>
      </c>
      <c r="AL227">
        <f>(H227/(C227+H227))</f>
        <v>0</v>
      </c>
      <c r="AM227">
        <f>(I227/(D227+H227))</f>
        <v>0</v>
      </c>
      <c r="AN227">
        <f>(J227/(D227+H227))</f>
        <v>0</v>
      </c>
      <c r="AO227" t="e">
        <f>(I227/H227)</f>
        <v>#DIV/0!</v>
      </c>
      <c r="AP227" t="e">
        <f>J227/H227</f>
        <v>#DIV/0!</v>
      </c>
      <c r="AQ227">
        <f>(D227+H227)/AD227</f>
        <v>-1.537912092703522E-6</v>
      </c>
    </row>
    <row r="228" spans="1:43" x14ac:dyDescent="0.35">
      <c r="A228" s="11" t="s">
        <v>64</v>
      </c>
      <c r="B228" s="24" t="s">
        <v>71</v>
      </c>
      <c r="C228" s="28">
        <f t="shared" si="16"/>
        <v>-0.31086267167395443</v>
      </c>
      <c r="D228" s="27">
        <f>[1]data!C228-[1]data!C190</f>
        <v>2.5891373283260464</v>
      </c>
      <c r="E228" s="27">
        <f>[1]data!D228-[1]data!D190</f>
        <v>2.8357904306323585</v>
      </c>
      <c r="F228" s="27">
        <f>[1]data!E228-[1]data!E190</f>
        <v>-0.24665310230631299</v>
      </c>
      <c r="G228" s="27">
        <f>[1]data!F228-[1]data!F190</f>
        <v>-2.9</v>
      </c>
      <c r="H228" s="27">
        <f>[1]data!G228-[1]data!G190</f>
        <v>-6.4232296886403972E-3</v>
      </c>
      <c r="I228" s="27">
        <f>[1]data!H228-[1]data!H190</f>
        <v>0</v>
      </c>
      <c r="J228" s="27">
        <f>[1]data!I228-[1]data!I190</f>
        <v>-6.4232296886403972E-3</v>
      </c>
      <c r="K228" s="27">
        <f>[1]data!J228-[1]data!J190</f>
        <v>0</v>
      </c>
      <c r="L228" s="13">
        <f t="shared" si="17"/>
        <v>-0.2109202667108887</v>
      </c>
      <c r="M228" s="27">
        <f>[1]data!K228-[1]data!K190</f>
        <v>1.7567292106863714</v>
      </c>
      <c r="N228" s="13">
        <f t="shared" si="18"/>
        <v>-1.1321424649293133</v>
      </c>
      <c r="O228" s="13">
        <f t="shared" si="19"/>
        <v>0.83550701246794823</v>
      </c>
      <c r="P228" s="27">
        <f>[1]data!M228-[1]data!M190</f>
        <v>1.9240832961523844</v>
      </c>
      <c r="Q228" s="27">
        <f>[1]data!N228-[1]data!N190</f>
        <v>0.9151012442490547</v>
      </c>
      <c r="R228" s="27">
        <f>[1]data!O228-[1]data!O190</f>
        <v>-0.1673540854660116</v>
      </c>
      <c r="S228" s="27">
        <f>[1]data!P228-[1]data!P190</f>
        <v>-7.9594231781106473E-2</v>
      </c>
      <c r="T228" s="27">
        <f>[1]data!Q228-[1]data!Q190</f>
        <v>-1.9676494773972615</v>
      </c>
      <c r="U228" s="27">
        <f>[1]data!R228-[1]data!R190</f>
        <v>-0.93582148372314089</v>
      </c>
      <c r="V228" s="27">
        <f>[1]data!S228-[1]data!S190</f>
        <v>-4.3581601862259234E-3</v>
      </c>
      <c r="W228" s="27">
        <f>[1]data!T228-[1]data!T190</f>
        <v>-2.0727573577650205E-3</v>
      </c>
      <c r="X228" s="27">
        <f>[1]data!U228-[1]data!U190</f>
        <v>0</v>
      </c>
      <c r="Y228" s="27">
        <f>[1]data!V228-[1]data!V190</f>
        <v>0</v>
      </c>
      <c r="Z228" s="27">
        <f>[1]data!W228-[1]data!W190</f>
        <v>-4.3581601862259234E-3</v>
      </c>
      <c r="AA228" s="27">
        <f>[1]data!X228-[1]data!X190</f>
        <v>-2.0727573577650205E-3</v>
      </c>
      <c r="AB228" s="27">
        <f>[1]data!Y228-[1]data!Y190</f>
        <v>0</v>
      </c>
      <c r="AC228" s="27">
        <f>[1]data!Z228-[1]data!Z190</f>
        <v>0</v>
      </c>
      <c r="AD228" s="14">
        <v>309.88816247970999</v>
      </c>
      <c r="AE228" s="15">
        <v>147.38397429586999</v>
      </c>
      <c r="AF228">
        <f>D228/(D228+H228)</f>
        <v>1.0024870076374419</v>
      </c>
      <c r="AG228">
        <f>(F228/(D228+H228))</f>
        <v>-9.5501512318550003E-2</v>
      </c>
      <c r="AH228">
        <f>(E228/(D228+H228))</f>
        <v>1.0979885199559918</v>
      </c>
      <c r="AI228">
        <f>(G228/(D228+H228))</f>
        <v>-1.1228497964718542</v>
      </c>
      <c r="AJ228">
        <f>(F228/(D228))</f>
        <v>-9.5264588559225441E-2</v>
      </c>
      <c r="AK228">
        <f>E228/D228</f>
        <v>1.0952645885592251</v>
      </c>
      <c r="AL228">
        <f>(H228/(C228+H228))</f>
        <v>2.0244295952185788E-2</v>
      </c>
      <c r="AM228">
        <f>(I228/(D228+H228))</f>
        <v>0</v>
      </c>
      <c r="AN228">
        <f>(J228/(D228+H228))</f>
        <v>-2.4870076374420144E-3</v>
      </c>
      <c r="AO228">
        <f>(I228/H228)</f>
        <v>0</v>
      </c>
      <c r="AP228">
        <f>J228/H228</f>
        <v>1</v>
      </c>
      <c r="AQ228">
        <f>(D228+H228)/AD228</f>
        <v>8.3343425511018341E-3</v>
      </c>
    </row>
    <row r="229" spans="1:43" x14ac:dyDescent="0.35">
      <c r="A229" s="11" t="s">
        <v>65</v>
      </c>
      <c r="B229" s="24" t="s">
        <v>71</v>
      </c>
      <c r="C229" s="28">
        <f t="shared" si="16"/>
        <v>2.2300553255962066</v>
      </c>
      <c r="D229" s="27">
        <f>[1]data!C229-[1]data!C191</f>
        <v>2.2300553255962043</v>
      </c>
      <c r="E229" s="27">
        <f>[1]data!D229-[1]data!D191</f>
        <v>1.5898896693499602</v>
      </c>
      <c r="F229" s="27">
        <f>[1]data!E229-[1]data!E191</f>
        <v>0.64016565624624633</v>
      </c>
      <c r="G229" s="27">
        <f>[1]data!F229-[1]data!F191</f>
        <v>0</v>
      </c>
      <c r="H229" s="27">
        <f>[1]data!G229-[1]data!G191</f>
        <v>-3.0772058116450829</v>
      </c>
      <c r="I229" s="27">
        <f>[1]data!H229-[1]data!H191</f>
        <v>-3.0772058116450847</v>
      </c>
      <c r="J229" s="27">
        <f>[1]data!I229-[1]data!I191</f>
        <v>0</v>
      </c>
      <c r="K229" s="27">
        <f>[1]data!J229-[1]data!J191</f>
        <v>0</v>
      </c>
      <c r="L229" s="13">
        <f t="shared" si="17"/>
        <v>0.3902087773059717</v>
      </c>
      <c r="M229" s="27">
        <f>[1]data!K229-[1]data!K191</f>
        <v>0.39020877730597192</v>
      </c>
      <c r="N229" s="13">
        <f t="shared" si="18"/>
        <v>0.18347978983196714</v>
      </c>
      <c r="O229" s="13">
        <f t="shared" si="19"/>
        <v>0.18347978983196714</v>
      </c>
      <c r="P229" s="27">
        <f>[1]data!M229-[1]data!M191</f>
        <v>0.27819440029479181</v>
      </c>
      <c r="Q229" s="27">
        <f>[1]data!N229-[1]data!N191</f>
        <v>0.1308095898070856</v>
      </c>
      <c r="R229" s="27">
        <f>[1]data!O229-[1]data!O191</f>
        <v>0.11201437701117989</v>
      </c>
      <c r="S229" s="27">
        <f>[1]data!P229-[1]data!P191</f>
        <v>5.2670200024881542E-2</v>
      </c>
      <c r="T229" s="27">
        <f>[1]data!Q229-[1]data!Q191</f>
        <v>0</v>
      </c>
      <c r="U229" s="27">
        <f>[1]data!R229-[1]data!R191</f>
        <v>0</v>
      </c>
      <c r="V229" s="27">
        <f>[1]data!S229-[1]data!S191</f>
        <v>-0.53844077476411378</v>
      </c>
      <c r="W229" s="27">
        <f>[1]data!T229-[1]data!T191</f>
        <v>-0.25317985123952091</v>
      </c>
      <c r="X229" s="27">
        <f>[1]data!U229-[1]data!U191</f>
        <v>-0.53844077476411356</v>
      </c>
      <c r="Y229" s="27">
        <f>[1]data!V229-[1]data!V191</f>
        <v>-0.25317985123952058</v>
      </c>
      <c r="Z229" s="27">
        <f>[1]data!W229-[1]data!W191</f>
        <v>0</v>
      </c>
      <c r="AA229" s="27">
        <f>[1]data!X229-[1]data!X191</f>
        <v>0</v>
      </c>
      <c r="AB229" s="27">
        <f>[1]data!Y229-[1]data!Y191</f>
        <v>0</v>
      </c>
      <c r="AC229" s="27">
        <f>[1]data!Z229-[1]data!Z191</f>
        <v>0</v>
      </c>
      <c r="AD229" s="14">
        <v>1215.4228689920101</v>
      </c>
      <c r="AE229" s="15">
        <v>571.50311712429004</v>
      </c>
      <c r="AF229">
        <f>D229/(D229+H229)</f>
        <v>-2.6324193426332232</v>
      </c>
      <c r="AG229">
        <f>(F229/(D229+H229))</f>
        <v>-0.75566934893939297</v>
      </c>
      <c r="AH229">
        <f>(E229/(D229+H229))</f>
        <v>-1.8767499936938328</v>
      </c>
      <c r="AI229">
        <f>(G229/(D229+H229))</f>
        <v>0</v>
      </c>
      <c r="AJ229">
        <f>(F229/(D229))</f>
        <v>0.28706267907281552</v>
      </c>
      <c r="AK229">
        <f>E229/D229</f>
        <v>0.71293732092718543</v>
      </c>
      <c r="AL229">
        <f>(H229/(C229+H229))</f>
        <v>3.6324193426332325</v>
      </c>
      <c r="AM229">
        <f>(I229/(D229+H229))</f>
        <v>3.6324193426332254</v>
      </c>
      <c r="AN229">
        <f>(J229/(D229+H229))</f>
        <v>0</v>
      </c>
      <c r="AO229">
        <f>(I229/H229)</f>
        <v>1.0000000000000007</v>
      </c>
      <c r="AP229">
        <f>J229/H229</f>
        <v>0</v>
      </c>
      <c r="AQ229">
        <f>(D229+H229)/AD229</f>
        <v>-6.9700061407553416E-4</v>
      </c>
    </row>
    <row r="230" spans="1:43" x14ac:dyDescent="0.35">
      <c r="A230" s="11" t="s">
        <v>28</v>
      </c>
      <c r="B230" s="24" t="s">
        <v>72</v>
      </c>
      <c r="C230" s="28">
        <f t="shared" si="16"/>
        <v>0</v>
      </c>
      <c r="D230" s="12">
        <f>[1]data!C230-[1]data!C192</f>
        <v>0</v>
      </c>
      <c r="E230" s="12">
        <f>[1]data!D230-[1]data!D192</f>
        <v>0</v>
      </c>
      <c r="F230" s="12">
        <f>[1]data!E230-[1]data!E192</f>
        <v>0</v>
      </c>
      <c r="G230" s="12">
        <f>[1]data!F230-[1]data!F192</f>
        <v>0</v>
      </c>
      <c r="H230" s="12">
        <f>[1]data!G230-[1]data!G192</f>
        <v>0</v>
      </c>
      <c r="I230" s="12">
        <f>[1]data!H230-[1]data!H192</f>
        <v>0</v>
      </c>
      <c r="J230" s="12">
        <f>[1]data!I230-[1]data!I192</f>
        <v>0</v>
      </c>
      <c r="K230" s="12">
        <f>[1]data!J230-[1]data!J192</f>
        <v>0</v>
      </c>
      <c r="L230" s="13">
        <f t="shared" si="17"/>
        <v>0</v>
      </c>
      <c r="M230" s="12">
        <f>[1]data!K230-[1]data!K192</f>
        <v>0</v>
      </c>
      <c r="N230" s="13">
        <f t="shared" si="18"/>
        <v>0</v>
      </c>
      <c r="O230" s="13">
        <f t="shared" si="19"/>
        <v>0</v>
      </c>
      <c r="P230" s="12">
        <f>[1]data!M230-[1]data!M192</f>
        <v>0</v>
      </c>
      <c r="Q230" s="12">
        <f>[1]data!N230-[1]data!N192</f>
        <v>0</v>
      </c>
      <c r="R230" s="12">
        <f>[1]data!O230-[1]data!O192</f>
        <v>0</v>
      </c>
      <c r="S230" s="12">
        <f>[1]data!P230-[1]data!P192</f>
        <v>0</v>
      </c>
      <c r="T230" s="12">
        <f>[1]data!Q230-[1]data!Q192</f>
        <v>0</v>
      </c>
      <c r="U230" s="12">
        <f>[1]data!R230-[1]data!R192</f>
        <v>0</v>
      </c>
      <c r="V230" s="12">
        <f>[1]data!S230-[1]data!S192</f>
        <v>0</v>
      </c>
      <c r="W230" s="12">
        <f>[1]data!T230-[1]data!T192</f>
        <v>0</v>
      </c>
      <c r="X230" s="12">
        <f>[1]data!U230-[1]data!U192</f>
        <v>0</v>
      </c>
      <c r="Y230" s="12">
        <f>[1]data!V230-[1]data!V192</f>
        <v>0</v>
      </c>
      <c r="Z230" s="12">
        <f>[1]data!W230-[1]data!W192</f>
        <v>0</v>
      </c>
      <c r="AA230" s="12">
        <f>[1]data!X230-[1]data!X192</f>
        <v>0</v>
      </c>
      <c r="AB230" s="12">
        <f>[1]data!Y230-[1]data!Y192</f>
        <v>0</v>
      </c>
      <c r="AC230" s="12">
        <f>[1]data!Z230-[1]data!Z192</f>
        <v>0</v>
      </c>
      <c r="AD230" s="14">
        <v>1226.51571721458</v>
      </c>
      <c r="AE230" s="15">
        <v>1494.77336635199</v>
      </c>
      <c r="AF230" t="e">
        <f>D230/(D230+H230)</f>
        <v>#DIV/0!</v>
      </c>
      <c r="AG230" t="e">
        <f>(F230/(D230+H230))</f>
        <v>#DIV/0!</v>
      </c>
      <c r="AH230" t="e">
        <f>(E230/(D230+H230))</f>
        <v>#DIV/0!</v>
      </c>
      <c r="AI230" t="e">
        <f>(G230/(D230+H230))</f>
        <v>#DIV/0!</v>
      </c>
      <c r="AJ230" t="e">
        <f>(F230/(D230))</f>
        <v>#DIV/0!</v>
      </c>
      <c r="AK230" t="e">
        <f>E230/D230</f>
        <v>#DIV/0!</v>
      </c>
      <c r="AL230" t="e">
        <f>(H230/(C230+H230))</f>
        <v>#DIV/0!</v>
      </c>
      <c r="AM230" t="e">
        <f>(I230/(D230+H230))</f>
        <v>#DIV/0!</v>
      </c>
      <c r="AN230" t="e">
        <f>(J230/(D230+H230))</f>
        <v>#DIV/0!</v>
      </c>
      <c r="AO230" t="e">
        <f>(I230/H230)</f>
        <v>#DIV/0!</v>
      </c>
      <c r="AP230" t="e">
        <f>J230/H230</f>
        <v>#DIV/0!</v>
      </c>
      <c r="AQ230">
        <f>(D230+H230)/AD230</f>
        <v>0</v>
      </c>
    </row>
    <row r="231" spans="1:43" x14ac:dyDescent="0.35">
      <c r="A231" s="11" t="s">
        <v>29</v>
      </c>
      <c r="B231" s="24" t="s">
        <v>72</v>
      </c>
      <c r="C231" s="28">
        <f t="shared" si="16"/>
        <v>5.2454879528363705</v>
      </c>
      <c r="D231" s="12">
        <f>[1]data!C231-[1]data!C193</f>
        <v>0.67106453921286402</v>
      </c>
      <c r="E231" s="12">
        <f>[1]data!D231-[1]data!D193</f>
        <v>0.67106453921286402</v>
      </c>
      <c r="F231" s="12">
        <f>[1]data!E231-[1]data!E193</f>
        <v>0</v>
      </c>
      <c r="G231" s="12">
        <f>[1]data!F231-[1]data!F193</f>
        <v>4.5744234136235065</v>
      </c>
      <c r="H231" s="12">
        <f>[1]data!G231-[1]data!G193</f>
        <v>0</v>
      </c>
      <c r="I231" s="12">
        <f>[1]data!H231-[1]data!H193</f>
        <v>0</v>
      </c>
      <c r="J231" s="12">
        <f>[1]data!I231-[1]data!I193</f>
        <v>0</v>
      </c>
      <c r="K231" s="12">
        <f>[1]data!J231-[1]data!J193</f>
        <v>0</v>
      </c>
      <c r="L231" s="13">
        <f t="shared" si="17"/>
        <v>0.30917554025851146</v>
      </c>
      <c r="M231" s="12">
        <f>[1]data!K231-[1]data!K193</f>
        <v>3.9553372979778345E-2</v>
      </c>
      <c r="N231" s="13">
        <f t="shared" si="18"/>
        <v>0.30855858457974872</v>
      </c>
      <c r="O231" s="13">
        <f t="shared" si="19"/>
        <v>3.8936417301014714E-2</v>
      </c>
      <c r="P231" s="12">
        <f>[1]data!M231-[1]data!M193</f>
        <v>3.9553372979777457E-2</v>
      </c>
      <c r="Q231" s="12">
        <f>[1]data!N231-[1]data!N193</f>
        <v>3.8936417301014714E-2</v>
      </c>
      <c r="R231" s="12">
        <f>[1]data!O231-[1]data!O193</f>
        <v>0</v>
      </c>
      <c r="S231" s="12">
        <f>[1]data!P231-[1]data!P193</f>
        <v>0</v>
      </c>
      <c r="T231" s="12">
        <f>[1]data!Q231-[1]data!Q193</f>
        <v>0.269622167278734</v>
      </c>
      <c r="U231" s="12">
        <f>[1]data!R231-[1]data!R193</f>
        <v>0.26541658594164197</v>
      </c>
      <c r="V231" s="12">
        <f>[1]data!S231-[1]data!S193</f>
        <v>0</v>
      </c>
      <c r="W231" s="12">
        <f>[1]data!T231-[1]data!T193</f>
        <v>0</v>
      </c>
      <c r="X231" s="12">
        <f>[1]data!U231-[1]data!U193</f>
        <v>0</v>
      </c>
      <c r="Y231" s="12">
        <f>[1]data!V231-[1]data!V193</f>
        <v>0</v>
      </c>
      <c r="Z231" s="12">
        <f>[1]data!W231-[1]data!W193</f>
        <v>0</v>
      </c>
      <c r="AA231" s="12">
        <f>[1]data!X231-[1]data!X193</f>
        <v>0</v>
      </c>
      <c r="AB231" s="12">
        <f>[1]data!Y231-[1]data!Y193</f>
        <v>0</v>
      </c>
      <c r="AC231" s="12">
        <f>[1]data!Z231-[1]data!Z193</f>
        <v>0</v>
      </c>
      <c r="AD231" s="14">
        <v>1723.48815255626</v>
      </c>
      <c r="AE231" s="15">
        <v>1696.60508992738</v>
      </c>
      <c r="AF231">
        <f>D231/(D231+H231)</f>
        <v>1</v>
      </c>
      <c r="AG231">
        <f>(F231/(D231+H231))</f>
        <v>0</v>
      </c>
      <c r="AH231">
        <f>(E231/(D231+H231))</f>
        <v>1</v>
      </c>
      <c r="AI231">
        <f>(G231/(D231+H231))</f>
        <v>6.8166668722939079</v>
      </c>
      <c r="AJ231">
        <f>(F231/(D231))</f>
        <v>0</v>
      </c>
      <c r="AK231">
        <f>E231/D231</f>
        <v>1</v>
      </c>
      <c r="AL231">
        <f>(H231/(C231+H231))</f>
        <v>0</v>
      </c>
      <c r="AM231">
        <f>(I231/(D231+H231))</f>
        <v>0</v>
      </c>
      <c r="AN231">
        <f>(J231/(D231+H231))</f>
        <v>0</v>
      </c>
      <c r="AO231" t="e">
        <f>(I231/H231)</f>
        <v>#DIV/0!</v>
      </c>
      <c r="AP231" t="e">
        <f>J231/H231</f>
        <v>#DIV/0!</v>
      </c>
      <c r="AQ231">
        <f>(D231+H231)/AD231</f>
        <v>3.8936417301015265E-4</v>
      </c>
    </row>
    <row r="232" spans="1:43" x14ac:dyDescent="0.35">
      <c r="A232" s="11" t="s">
        <v>30</v>
      </c>
      <c r="B232" s="24" t="s">
        <v>72</v>
      </c>
      <c r="C232" s="28">
        <f t="shared" si="16"/>
        <v>0.88915929744339195</v>
      </c>
      <c r="D232" s="12">
        <f>[1]data!C232-[1]data!C194</f>
        <v>1.0037314865231508</v>
      </c>
      <c r="E232" s="12">
        <f>[1]data!D232-[1]data!D194</f>
        <v>2.9114479823818513</v>
      </c>
      <c r="F232" s="12">
        <f>[1]data!E232-[1]data!E194</f>
        <v>-1.9077164958586934</v>
      </c>
      <c r="G232" s="12">
        <f>[1]data!F232-[1]data!F194</f>
        <v>-0.11457218907976596</v>
      </c>
      <c r="H232" s="12">
        <f>[1]data!G232-[1]data!G194</f>
        <v>-0.57747680337610063</v>
      </c>
      <c r="I232" s="12">
        <f>[1]data!H232-[1]data!H194</f>
        <v>-2.6046627157700897E-2</v>
      </c>
      <c r="J232" s="12">
        <f>[1]data!I232-[1]data!I194</f>
        <v>-0.55143017621844592</v>
      </c>
      <c r="K232" s="12">
        <f>[1]data!J232-[1]data!J194</f>
        <v>0</v>
      </c>
      <c r="L232" s="13">
        <f t="shared" si="17"/>
        <v>3.3978716560558953E-2</v>
      </c>
      <c r="M232" s="12">
        <f>[1]data!K232-[1]data!K194</f>
        <v>3.8357027566986446E-2</v>
      </c>
      <c r="N232" s="13">
        <f t="shared" si="18"/>
        <v>3.0148703990395154E-2</v>
      </c>
      <c r="O232" s="13">
        <f t="shared" si="19"/>
        <v>3.4527014996822425E-2</v>
      </c>
      <c r="P232" s="12">
        <f>[1]data!M232-[1]data!M194</f>
        <v>0.11125932783766124</v>
      </c>
      <c r="Q232" s="12">
        <f>[1]data!N232-[1]data!N194</f>
        <v>0.10014990014747061</v>
      </c>
      <c r="R232" s="12">
        <f>[1]data!O232-[1]data!O194</f>
        <v>-7.2902300270675013E-2</v>
      </c>
      <c r="S232" s="12">
        <f>[1]data!P232-[1]data!P194</f>
        <v>-6.562288515064818E-2</v>
      </c>
      <c r="T232" s="12">
        <f>[1]data!Q232-[1]data!Q194</f>
        <v>-4.3783110064272712E-3</v>
      </c>
      <c r="U232" s="12">
        <f>[1]data!R232-[1]data!R194</f>
        <v>-3.9411294192617241E-3</v>
      </c>
      <c r="V232" s="12">
        <f>[1]data!S232-[1]data!S194</f>
        <v>-2.2067947418010547E-2</v>
      </c>
      <c r="W232" s="12">
        <f>[1]data!T232-[1]data!T194</f>
        <v>-1.9864426411039915E-2</v>
      </c>
      <c r="X232" s="12">
        <f>[1]data!U232-[1]data!U194</f>
        <v>-9.9535703455466695E-4</v>
      </c>
      <c r="Y232" s="12">
        <f>[1]data!V232-[1]data!V194</f>
        <v>-8.9596899027821753E-4</v>
      </c>
      <c r="Z232" s="12">
        <f>[1]data!W232-[1]data!W194</f>
        <v>-2.1072590383456102E-2</v>
      </c>
      <c r="AA232" s="12">
        <f>[1]data!X232-[1]data!X194</f>
        <v>-1.8968457420761808E-2</v>
      </c>
      <c r="AB232" s="12">
        <f>[1]data!Y232-[1]data!Y194</f>
        <v>0</v>
      </c>
      <c r="AC232" s="12">
        <f>[1]data!Z232-[1]data!Z194</f>
        <v>0</v>
      </c>
      <c r="AD232" s="14">
        <v>2907.0902498102801</v>
      </c>
      <c r="AE232" s="15">
        <v>2616.8124857180101</v>
      </c>
      <c r="AF232">
        <f>D232/(D232+H232)</f>
        <v>2.3547694047900505</v>
      </c>
      <c r="AG232">
        <f>(F232/(D232+H232))</f>
        <v>-4.4755320499330811</v>
      </c>
      <c r="AH232">
        <f>(E232/(D232+H232))</f>
        <v>6.8303014547231484</v>
      </c>
      <c r="AI232">
        <f>(G232/(D232+H232))</f>
        <v>-0.26878810628865424</v>
      </c>
      <c r="AJ232">
        <f>(F232/(D232))</f>
        <v>-1.9006243417419111</v>
      </c>
      <c r="AK232">
        <f>E232/D232</f>
        <v>2.900624341741918</v>
      </c>
      <c r="AL232">
        <f>(H232/(C232+H232))</f>
        <v>-1.8527726592544049</v>
      </c>
      <c r="AM232">
        <f>(I232/(D232+H232))</f>
        <v>-6.1105785314539945E-2</v>
      </c>
      <c r="AN232">
        <f>(J232/(D232+H232))</f>
        <v>-1.2936636194756186</v>
      </c>
      <c r="AO232">
        <f>(I232/H232)</f>
        <v>4.5104196403084232E-2</v>
      </c>
      <c r="AP232">
        <f>J232/H232</f>
        <v>0.95489580359699577</v>
      </c>
      <c r="AQ232">
        <f>(D232+H232)/AD232</f>
        <v>1.4662588585781541E-4</v>
      </c>
    </row>
    <row r="233" spans="1:43" x14ac:dyDescent="0.35">
      <c r="A233" s="11" t="s">
        <v>31</v>
      </c>
      <c r="B233" s="24" t="s">
        <v>72</v>
      </c>
      <c r="C233" s="28">
        <f t="shared" si="16"/>
        <v>69.618193420619207</v>
      </c>
      <c r="D233" s="12">
        <f>[1]data!C233-[1]data!C195</f>
        <v>69.61819342061915</v>
      </c>
      <c r="E233" s="12">
        <f>[1]data!D233-[1]data!D195</f>
        <v>0</v>
      </c>
      <c r="F233" s="12">
        <f>[1]data!E233-[1]data!E195</f>
        <v>69.618193420619207</v>
      </c>
      <c r="G233" s="12">
        <f>[1]data!F233-[1]data!F195</f>
        <v>0</v>
      </c>
      <c r="H233" s="12">
        <f>[1]data!G233-[1]data!G195</f>
        <v>0</v>
      </c>
      <c r="I233" s="12">
        <f>[1]data!H233-[1]data!H195</f>
        <v>0</v>
      </c>
      <c r="J233" s="12">
        <f>[1]data!I233-[1]data!I195</f>
        <v>0</v>
      </c>
      <c r="K233" s="12">
        <f>[1]data!J233-[1]data!J195</f>
        <v>0</v>
      </c>
      <c r="L233" s="13">
        <f t="shared" si="17"/>
        <v>1.9352808465074887</v>
      </c>
      <c r="M233" s="12">
        <f>[1]data!K233-[1]data!K195</f>
        <v>1.9352808465074869</v>
      </c>
      <c r="N233" s="13">
        <f t="shared" si="18"/>
        <v>1.6727966047922482</v>
      </c>
      <c r="O233" s="13">
        <f t="shared" si="19"/>
        <v>1.6727966047922482</v>
      </c>
      <c r="P233" s="12">
        <f>[1]data!M233-[1]data!M195</f>
        <v>0</v>
      </c>
      <c r="Q233" s="12">
        <f>[1]data!N233-[1]data!N195</f>
        <v>0</v>
      </c>
      <c r="R233" s="12">
        <f>[1]data!O233-[1]data!O195</f>
        <v>1.9352808465074887</v>
      </c>
      <c r="S233" s="12">
        <f>[1]data!P233-[1]data!P195</f>
        <v>1.6727966047922482</v>
      </c>
      <c r="T233" s="12">
        <f>[1]data!Q233-[1]data!Q195</f>
        <v>0</v>
      </c>
      <c r="U233" s="12">
        <f>[1]data!R233-[1]data!R195</f>
        <v>0</v>
      </c>
      <c r="V233" s="12">
        <f>[1]data!S233-[1]data!S195</f>
        <v>0</v>
      </c>
      <c r="W233" s="12">
        <f>[1]data!T233-[1]data!T195</f>
        <v>0</v>
      </c>
      <c r="X233" s="12">
        <f>[1]data!U233-[1]data!U195</f>
        <v>0</v>
      </c>
      <c r="Y233" s="12">
        <f>[1]data!V233-[1]data!V195</f>
        <v>0</v>
      </c>
      <c r="Z233" s="12">
        <f>[1]data!W233-[1]data!W195</f>
        <v>0</v>
      </c>
      <c r="AA233" s="12">
        <f>[1]data!X233-[1]data!X195</f>
        <v>0</v>
      </c>
      <c r="AB233" s="12">
        <f>[1]data!Y233-[1]data!Y195</f>
        <v>0</v>
      </c>
      <c r="AC233" s="12">
        <f>[1]data!Z233-[1]data!Z195</f>
        <v>0</v>
      </c>
      <c r="AD233" s="14">
        <v>4161.7847155581303</v>
      </c>
      <c r="AE233" s="15">
        <v>3597.3173374942398</v>
      </c>
      <c r="AF233">
        <f>D233/(D233+H233)</f>
        <v>1</v>
      </c>
      <c r="AG233">
        <f>(F233/(D233+H233))</f>
        <v>1.0000000000000009</v>
      </c>
      <c r="AH233">
        <f>(E233/(D233+H233))</f>
        <v>0</v>
      </c>
      <c r="AI233">
        <f>(G233/(D233+H233))</f>
        <v>0</v>
      </c>
      <c r="AJ233">
        <f>(F233/(D233))</f>
        <v>1.0000000000000009</v>
      </c>
      <c r="AK233">
        <f>E233/D233</f>
        <v>0</v>
      </c>
      <c r="AL233">
        <f>(H233/(C233+H233))</f>
        <v>0</v>
      </c>
      <c r="AM233">
        <f>(I233/(D233+H233))</f>
        <v>0</v>
      </c>
      <c r="AN233">
        <f>(J233/(D233+H233))</f>
        <v>0</v>
      </c>
      <c r="AO233" t="e">
        <f>(I233/H233)</f>
        <v>#DIV/0!</v>
      </c>
      <c r="AP233" t="e">
        <f>J233/H233</f>
        <v>#DIV/0!</v>
      </c>
      <c r="AQ233">
        <f>(D233+H233)/AD233</f>
        <v>1.6727966047922486E-2</v>
      </c>
    </row>
    <row r="234" spans="1:43" x14ac:dyDescent="0.35">
      <c r="A234" s="11" t="s">
        <v>32</v>
      </c>
      <c r="B234" s="24" t="s">
        <v>72</v>
      </c>
      <c r="C234" s="28">
        <f t="shared" si="16"/>
        <v>0</v>
      </c>
      <c r="D234" s="12">
        <f>[1]data!C234-[1]data!C196</f>
        <v>0</v>
      </c>
      <c r="E234" s="12">
        <f>[1]data!D234-[1]data!D196</f>
        <v>0</v>
      </c>
      <c r="F234" s="12">
        <f>[1]data!E234-[1]data!E196</f>
        <v>0</v>
      </c>
      <c r="G234" s="12">
        <f>[1]data!F234-[1]data!F196</f>
        <v>0</v>
      </c>
      <c r="H234" s="12">
        <f>[1]data!G234-[1]data!G196</f>
        <v>0</v>
      </c>
      <c r="I234" s="12">
        <f>[1]data!H234-[1]data!H196</f>
        <v>0</v>
      </c>
      <c r="J234" s="12">
        <f>[1]data!I234-[1]data!I196</f>
        <v>0</v>
      </c>
      <c r="K234" s="12">
        <f>[1]data!J234-[1]data!J196</f>
        <v>0</v>
      </c>
      <c r="L234" s="13">
        <f t="shared" si="17"/>
        <v>0</v>
      </c>
      <c r="M234" s="12">
        <f>[1]data!K234-[1]data!K196</f>
        <v>0</v>
      </c>
      <c r="N234" s="13">
        <f t="shared" si="18"/>
        <v>0</v>
      </c>
      <c r="O234" s="13">
        <f t="shared" si="19"/>
        <v>0</v>
      </c>
      <c r="P234" s="12">
        <f>[1]data!M234-[1]data!M196</f>
        <v>0</v>
      </c>
      <c r="Q234" s="12">
        <f>[1]data!N234-[1]data!N196</f>
        <v>0</v>
      </c>
      <c r="R234" s="12">
        <f>[1]data!O234-[1]data!O196</f>
        <v>0</v>
      </c>
      <c r="S234" s="12">
        <f>[1]data!P234-[1]data!P196</f>
        <v>0</v>
      </c>
      <c r="T234" s="12">
        <f>[1]data!Q234-[1]data!Q196</f>
        <v>0</v>
      </c>
      <c r="U234" s="12">
        <f>[1]data!R234-[1]data!R196</f>
        <v>0</v>
      </c>
      <c r="V234" s="12">
        <f>[1]data!S234-[1]data!S196</f>
        <v>0</v>
      </c>
      <c r="W234" s="12">
        <f>[1]data!T234-[1]data!T196</f>
        <v>0</v>
      </c>
      <c r="X234" s="12">
        <f>[1]data!U234-[1]data!U196</f>
        <v>0</v>
      </c>
      <c r="Y234" s="12">
        <f>[1]data!V234-[1]data!V196</f>
        <v>0</v>
      </c>
      <c r="Z234" s="12">
        <f>[1]data!W234-[1]data!W196</f>
        <v>0</v>
      </c>
      <c r="AA234" s="12">
        <f>[1]data!X234-[1]data!X196</f>
        <v>0</v>
      </c>
      <c r="AB234" s="12">
        <f>[1]data!Y234-[1]data!Y196</f>
        <v>0</v>
      </c>
      <c r="AC234" s="12">
        <f>[1]data!Z234-[1]data!Z196</f>
        <v>0</v>
      </c>
      <c r="AD234" s="14">
        <v>2337.6598158571201</v>
      </c>
      <c r="AE234" s="15">
        <v>1918.15761738117</v>
      </c>
      <c r="AF234" t="e">
        <f>D234/(D234+H234)</f>
        <v>#DIV/0!</v>
      </c>
      <c r="AG234" t="e">
        <f>(F234/(D234+H234))</f>
        <v>#DIV/0!</v>
      </c>
      <c r="AH234" t="e">
        <f>(E234/(D234+H234))</f>
        <v>#DIV/0!</v>
      </c>
      <c r="AI234" t="e">
        <f>(G234/(D234+H234))</f>
        <v>#DIV/0!</v>
      </c>
      <c r="AJ234" t="e">
        <f>(F234/(D234))</f>
        <v>#DIV/0!</v>
      </c>
      <c r="AK234" t="e">
        <f>E234/D234</f>
        <v>#DIV/0!</v>
      </c>
      <c r="AL234" t="e">
        <f>(H234/(C234+H234))</f>
        <v>#DIV/0!</v>
      </c>
      <c r="AM234" t="e">
        <f>(I234/(D234+H234))</f>
        <v>#DIV/0!</v>
      </c>
      <c r="AN234" t="e">
        <f>(J234/(D234+H234))</f>
        <v>#DIV/0!</v>
      </c>
      <c r="AO234" t="e">
        <f>(I234/H234)</f>
        <v>#DIV/0!</v>
      </c>
      <c r="AP234" t="e">
        <f>J234/H234</f>
        <v>#DIV/0!</v>
      </c>
      <c r="AQ234">
        <f>(D234+H234)/AD234</f>
        <v>0</v>
      </c>
    </row>
    <row r="235" spans="1:43" x14ac:dyDescent="0.35">
      <c r="A235" s="11" t="s">
        <v>33</v>
      </c>
      <c r="B235" s="24" t="s">
        <v>72</v>
      </c>
      <c r="C235" s="28">
        <f t="shared" si="16"/>
        <v>13.111734743751953</v>
      </c>
      <c r="D235" s="12">
        <f>[1]data!C235-[1]data!C197</f>
        <v>13.111734743751981</v>
      </c>
      <c r="E235" s="12">
        <f>[1]data!D235-[1]data!D197</f>
        <v>10.302077298662283</v>
      </c>
      <c r="F235" s="12">
        <f>[1]data!E235-[1]data!E197</f>
        <v>2.8096574450896696</v>
      </c>
      <c r="G235" s="12">
        <f>[1]data!F235-[1]data!F197</f>
        <v>0</v>
      </c>
      <c r="H235" s="12">
        <f>[1]data!G235-[1]data!G197</f>
        <v>0</v>
      </c>
      <c r="I235" s="12">
        <f>[1]data!H235-[1]data!H197</f>
        <v>0</v>
      </c>
      <c r="J235" s="12">
        <f>[1]data!I235-[1]data!I197</f>
        <v>0</v>
      </c>
      <c r="K235" s="12">
        <f>[1]data!J235-[1]data!J197</f>
        <v>0</v>
      </c>
      <c r="L235" s="13">
        <f t="shared" si="17"/>
        <v>0.28726510612117107</v>
      </c>
      <c r="M235" s="12">
        <f>[1]data!K235-[1]data!K197</f>
        <v>0.28726510612117195</v>
      </c>
      <c r="N235" s="13">
        <f t="shared" si="18"/>
        <v>0.24623659365109374</v>
      </c>
      <c r="O235" s="13">
        <f t="shared" si="19"/>
        <v>0.24623659365109374</v>
      </c>
      <c r="P235" s="12">
        <f>[1]data!M235-[1]data!M197</f>
        <v>0.22570829766663447</v>
      </c>
      <c r="Q235" s="12">
        <f>[1]data!N235-[1]data!N197</f>
        <v>0.19347160929728835</v>
      </c>
      <c r="R235" s="12">
        <f>[1]data!O235-[1]data!O197</f>
        <v>6.1556808454536593E-2</v>
      </c>
      <c r="S235" s="12">
        <f>[1]data!P235-[1]data!P197</f>
        <v>5.2764984353805389E-2</v>
      </c>
      <c r="T235" s="12">
        <f>[1]data!Q235-[1]data!Q197</f>
        <v>0</v>
      </c>
      <c r="U235" s="12">
        <f>[1]data!R235-[1]data!R197</f>
        <v>0</v>
      </c>
      <c r="V235" s="12">
        <f>[1]data!S235-[1]data!S197</f>
        <v>0</v>
      </c>
      <c r="W235" s="12">
        <f>[1]data!T235-[1]data!T197</f>
        <v>0</v>
      </c>
      <c r="X235" s="12">
        <f>[1]data!U235-[1]data!U197</f>
        <v>0</v>
      </c>
      <c r="Y235" s="12">
        <f>[1]data!V235-[1]data!V197</f>
        <v>0</v>
      </c>
      <c r="Z235" s="12">
        <f>[1]data!W235-[1]data!W197</f>
        <v>0</v>
      </c>
      <c r="AA235" s="12">
        <f>[1]data!X235-[1]data!X197</f>
        <v>0</v>
      </c>
      <c r="AB235" s="12">
        <f>[1]data!Y235-[1]data!Y197</f>
        <v>0</v>
      </c>
      <c r="AC235" s="12">
        <f>[1]data!Z235-[1]data!Z197</f>
        <v>0</v>
      </c>
      <c r="AD235" s="14">
        <v>5324.8522282316499</v>
      </c>
      <c r="AE235" s="15">
        <v>4564.3325500944502</v>
      </c>
      <c r="AF235">
        <f>D235/(D235+H235)</f>
        <v>1</v>
      </c>
      <c r="AG235">
        <f>(F235/(D235+H235))</f>
        <v>0.21428571428571119</v>
      </c>
      <c r="AH235">
        <f>(E235/(D235+H235))</f>
        <v>0.7857142857142867</v>
      </c>
      <c r="AI235">
        <f>(G235/(D235+H235))</f>
        <v>0</v>
      </c>
      <c r="AJ235">
        <f>(F235/(D235))</f>
        <v>0.21428571428571119</v>
      </c>
      <c r="AK235">
        <f>E235/D235</f>
        <v>0.7857142857142867</v>
      </c>
      <c r="AL235">
        <f>(H235/(C235+H235))</f>
        <v>0</v>
      </c>
      <c r="AM235">
        <f>(I235/(D235+H235))</f>
        <v>0</v>
      </c>
      <c r="AN235">
        <f>(J235/(D235+H235))</f>
        <v>0</v>
      </c>
      <c r="AO235" t="e">
        <f>(I235/H235)</f>
        <v>#DIV/0!</v>
      </c>
      <c r="AP235" t="e">
        <f>J235/H235</f>
        <v>#DIV/0!</v>
      </c>
      <c r="AQ235">
        <f>(D235+H235)/AD235</f>
        <v>2.462365936510938E-3</v>
      </c>
    </row>
    <row r="236" spans="1:43" x14ac:dyDescent="0.35">
      <c r="A236" s="11" t="s">
        <v>34</v>
      </c>
      <c r="B236" s="24" t="s">
        <v>72</v>
      </c>
      <c r="C236" s="28">
        <f t="shared" si="16"/>
        <v>19.745675541657533</v>
      </c>
      <c r="D236" s="12">
        <f>[1]data!C236-[1]data!C198</f>
        <v>31.3557937785978</v>
      </c>
      <c r="E236" s="12">
        <f>[1]data!D236-[1]data!D198</f>
        <v>3.4745609322229996</v>
      </c>
      <c r="F236" s="12">
        <f>[1]data!E236-[1]data!E198</f>
        <v>27.8812328463748</v>
      </c>
      <c r="G236" s="12">
        <f>[1]data!F236-[1]data!F198</f>
        <v>-11.610118236940266</v>
      </c>
      <c r="H236" s="12">
        <f>[1]data!G236-[1]data!G198</f>
        <v>0</v>
      </c>
      <c r="I236" s="12">
        <f>[1]data!H236-[1]data!H198</f>
        <v>0</v>
      </c>
      <c r="J236" s="12">
        <f>[1]data!I236-[1]data!I198</f>
        <v>0</v>
      </c>
      <c r="K236" s="12">
        <f>[1]data!J236-[1]data!J198</f>
        <v>0</v>
      </c>
      <c r="L236" s="13">
        <f t="shared" si="17"/>
        <v>1.205366552663037</v>
      </c>
      <c r="M236" s="12">
        <f>[1]data!K236-[1]data!K198</f>
        <v>1.9141013926408741</v>
      </c>
      <c r="N236" s="13">
        <f t="shared" si="18"/>
        <v>0.7452516388232735</v>
      </c>
      <c r="O236" s="13">
        <f t="shared" si="19"/>
        <v>1.4539864788011108</v>
      </c>
      <c r="P236" s="12">
        <f>[1]data!M236-[1]data!M198</f>
        <v>0.21210312729263747</v>
      </c>
      <c r="Q236" s="12">
        <f>[1]data!N236-[1]data!N198</f>
        <v>0.16111742062390683</v>
      </c>
      <c r="R236" s="12">
        <f>[1]data!O236-[1]data!O198</f>
        <v>1.7019982653482368</v>
      </c>
      <c r="S236" s="12">
        <f>[1]data!P236-[1]data!P198</f>
        <v>1.292869058177204</v>
      </c>
      <c r="T236" s="12">
        <f>[1]data!Q236-[1]data!Q198</f>
        <v>-0.70873483997783726</v>
      </c>
      <c r="U236" s="12">
        <f>[1]data!R236-[1]data!R198</f>
        <v>-0.53836796647500607</v>
      </c>
      <c r="V236" s="12">
        <f>[1]data!S236-[1]data!S198</f>
        <v>0</v>
      </c>
      <c r="W236" s="12">
        <f>[1]data!T236-[1]data!T198</f>
        <v>0</v>
      </c>
      <c r="X236" s="12">
        <f>[1]data!U236-[1]data!U198</f>
        <v>0</v>
      </c>
      <c r="Y236" s="12">
        <f>[1]data!V236-[1]data!V198</f>
        <v>0</v>
      </c>
      <c r="Z236" s="12">
        <f>[1]data!W236-[1]data!W198</f>
        <v>0</v>
      </c>
      <c r="AA236" s="12">
        <f>[1]data!X236-[1]data!X198</f>
        <v>0</v>
      </c>
      <c r="AB236" s="12">
        <f>[1]data!Y236-[1]data!Y198</f>
        <v>0</v>
      </c>
      <c r="AC236" s="12">
        <f>[1]data!Z236-[1]data!Z198</f>
        <v>0</v>
      </c>
      <c r="AD236" s="14">
        <v>2156.5395714307001</v>
      </c>
      <c r="AE236" s="15">
        <v>1638.14696019506</v>
      </c>
      <c r="AF236">
        <f>D236/(D236+H236)</f>
        <v>1</v>
      </c>
      <c r="AG236">
        <f>(F236/(D236+H236))</f>
        <v>0.88918918918918921</v>
      </c>
      <c r="AH236">
        <f>(E236/(D236+H236))</f>
        <v>0.11081081081081082</v>
      </c>
      <c r="AI236">
        <f>(G236/(D236+H236))</f>
        <v>-0.37027027027027026</v>
      </c>
      <c r="AJ236">
        <f>(F236/(D236))</f>
        <v>0.88918918918918921</v>
      </c>
      <c r="AK236">
        <f>E236/D236</f>
        <v>0.11081081081081082</v>
      </c>
      <c r="AL236">
        <f>(H236/(C236+H236))</f>
        <v>0</v>
      </c>
      <c r="AM236">
        <f>(I236/(D236+H236))</f>
        <v>0</v>
      </c>
      <c r="AN236">
        <f>(J236/(D236+H236))</f>
        <v>0</v>
      </c>
      <c r="AO236" t="e">
        <f>(I236/H236)</f>
        <v>#DIV/0!</v>
      </c>
      <c r="AP236" t="e">
        <f>J236/H236</f>
        <v>#DIV/0!</v>
      </c>
      <c r="AQ236">
        <f>(D236+H236)/AD236</f>
        <v>1.4539864788011107E-2</v>
      </c>
    </row>
    <row r="237" spans="1:43" x14ac:dyDescent="0.35">
      <c r="A237" s="11" t="s">
        <v>35</v>
      </c>
      <c r="B237" s="24" t="s">
        <v>72</v>
      </c>
      <c r="C237" s="28">
        <f t="shared" si="16"/>
        <v>10.431316194499331</v>
      </c>
      <c r="D237" s="12">
        <f>[1]data!C237-[1]data!C199</f>
        <v>10.431316194499331</v>
      </c>
      <c r="E237" s="12">
        <f>[1]data!D237-[1]data!D199</f>
        <v>5.831950301301049</v>
      </c>
      <c r="F237" s="12">
        <f>[1]data!E237-[1]data!E199</f>
        <v>4.5993658931982822</v>
      </c>
      <c r="G237" s="12">
        <f>[1]data!F237-[1]data!F199</f>
        <v>0</v>
      </c>
      <c r="H237" s="12">
        <f>[1]data!G237-[1]data!G199</f>
        <v>0</v>
      </c>
      <c r="I237" s="12">
        <f>[1]data!H237-[1]data!H199</f>
        <v>0</v>
      </c>
      <c r="J237" s="12">
        <f>[1]data!I237-[1]data!I199</f>
        <v>0</v>
      </c>
      <c r="K237" s="12">
        <f>[1]data!J237-[1]data!J199</f>
        <v>0</v>
      </c>
      <c r="L237" s="13">
        <f t="shared" si="17"/>
        <v>0.78791226741857967</v>
      </c>
      <c r="M237" s="12">
        <f>[1]data!K237-[1]data!K199</f>
        <v>0.78791226741857923</v>
      </c>
      <c r="N237" s="13">
        <f t="shared" si="18"/>
        <v>0.58063765008396617</v>
      </c>
      <c r="O237" s="13">
        <f t="shared" si="19"/>
        <v>0.58063765008396617</v>
      </c>
      <c r="P237" s="12">
        <f>[1]data!M237-[1]data!M199</f>
        <v>0.4405067490710004</v>
      </c>
      <c r="Q237" s="12">
        <f>[1]data!N237-[1]data!N199</f>
        <v>0.32462345644738166</v>
      </c>
      <c r="R237" s="12">
        <f>[1]data!O237-[1]data!O199</f>
        <v>0.34740551834757927</v>
      </c>
      <c r="S237" s="12">
        <f>[1]data!P237-[1]data!P199</f>
        <v>0.25601419363658451</v>
      </c>
      <c r="T237" s="12">
        <f>[1]data!Q237-[1]data!Q199</f>
        <v>0</v>
      </c>
      <c r="U237" s="12">
        <f>[1]data!R237-[1]data!R199</f>
        <v>0</v>
      </c>
      <c r="V237" s="12">
        <f>[1]data!S237-[1]data!S199</f>
        <v>0</v>
      </c>
      <c r="W237" s="12">
        <f>[1]data!T237-[1]data!T199</f>
        <v>0</v>
      </c>
      <c r="X237" s="12">
        <f>[1]data!U237-[1]data!U199</f>
        <v>0</v>
      </c>
      <c r="Y237" s="12">
        <f>[1]data!V237-[1]data!V199</f>
        <v>0</v>
      </c>
      <c r="Z237" s="12">
        <f>[1]data!W237-[1]data!W199</f>
        <v>0</v>
      </c>
      <c r="AA237" s="12">
        <f>[1]data!X237-[1]data!X199</f>
        <v>0</v>
      </c>
      <c r="AB237" s="12">
        <f>[1]data!Y237-[1]data!Y199</f>
        <v>0</v>
      </c>
      <c r="AC237" s="12">
        <f>[1]data!Z237-[1]data!Z199</f>
        <v>0</v>
      </c>
      <c r="AD237" s="14">
        <v>1796.5276955414199</v>
      </c>
      <c r="AE237" s="15">
        <v>1323.9184901480501</v>
      </c>
      <c r="AF237">
        <f>D237/(D237+H237)</f>
        <v>1</v>
      </c>
      <c r="AG237">
        <f>(F237/(D237+H237))</f>
        <v>0.44091903719912467</v>
      </c>
      <c r="AH237">
        <f>(E237/(D237+H237))</f>
        <v>0.55908096280087538</v>
      </c>
      <c r="AI237">
        <f>(G237/(D237+H237))</f>
        <v>0</v>
      </c>
      <c r="AJ237">
        <f>(F237/(D237))</f>
        <v>0.44091903719912467</v>
      </c>
      <c r="AK237">
        <f>E237/D237</f>
        <v>0.55908096280087538</v>
      </c>
      <c r="AL237">
        <f>(H237/(C237+H237))</f>
        <v>0</v>
      </c>
      <c r="AM237">
        <f>(I237/(D237+H237))</f>
        <v>0</v>
      </c>
      <c r="AN237">
        <f>(J237/(D237+H237))</f>
        <v>0</v>
      </c>
      <c r="AO237" t="e">
        <f>(I237/H237)</f>
        <v>#DIV/0!</v>
      </c>
      <c r="AP237" t="e">
        <f>J237/H237</f>
        <v>#DIV/0!</v>
      </c>
      <c r="AQ237">
        <f>(D237+H237)/AD237</f>
        <v>5.8063765008396617E-3</v>
      </c>
    </row>
    <row r="238" spans="1:43" x14ac:dyDescent="0.35">
      <c r="A238" s="11" t="s">
        <v>36</v>
      </c>
      <c r="B238" s="24" t="s">
        <v>72</v>
      </c>
      <c r="C238" s="28">
        <f t="shared" si="16"/>
        <v>84.034402848133738</v>
      </c>
      <c r="D238" s="12">
        <f>[1]data!C238-[1]data!C200</f>
        <v>82.109950874512379</v>
      </c>
      <c r="E238" s="12">
        <f>[1]data!D238-[1]data!D200</f>
        <v>-73.129174997612637</v>
      </c>
      <c r="F238" s="12">
        <f>[1]data!E238-[1]data!E200</f>
        <v>155.23912587212499</v>
      </c>
      <c r="G238" s="12">
        <f>[1]data!F238-[1]data!F200</f>
        <v>1.9244519736213839</v>
      </c>
      <c r="H238" s="12">
        <f>[1]data!G238-[1]data!G200</f>
        <v>3.8489039472381137E-2</v>
      </c>
      <c r="I238" s="12">
        <f>[1]data!H238-[1]data!H200</f>
        <v>3.8489039472427766E-2</v>
      </c>
      <c r="J238" s="12">
        <f>[1]data!I238-[1]data!I200</f>
        <v>0</v>
      </c>
      <c r="K238" s="12">
        <f>[1]data!J238-[1]data!J200</f>
        <v>0</v>
      </c>
      <c r="L238" s="13">
        <f t="shared" si="17"/>
        <v>2.6615163699343927</v>
      </c>
      <c r="M238" s="12">
        <f>[1]data!K238-[1]data!K200</f>
        <v>2.6005656133710104</v>
      </c>
      <c r="N238" s="13">
        <f t="shared" si="18"/>
        <v>2.8519186828472205</v>
      </c>
      <c r="O238" s="13">
        <f t="shared" si="19"/>
        <v>2.7909679262838374</v>
      </c>
      <c r="P238" s="12">
        <f>[1]data!M238-[1]data!M200</f>
        <v>-2.3161287494085574</v>
      </c>
      <c r="Q238" s="12">
        <f>[1]data!N238-[1]data!N200</f>
        <v>-2.4857058093465447</v>
      </c>
      <c r="R238" s="12">
        <f>[1]data!O238-[1]data!O200</f>
        <v>4.916694362779567</v>
      </c>
      <c r="S238" s="12">
        <f>[1]data!P238-[1]data!P200</f>
        <v>5.2766737356303821</v>
      </c>
      <c r="T238" s="12">
        <f>[1]data!Q238-[1]data!Q200</f>
        <v>6.0950756563383113E-2</v>
      </c>
      <c r="U238" s="12">
        <f>[1]data!R238-[1]data!R200</f>
        <v>6.5413310772277522E-2</v>
      </c>
      <c r="V238" s="12">
        <f>[1]data!S238-[1]data!S200</f>
        <v>1.2190151312676534E-3</v>
      </c>
      <c r="W238" s="12">
        <f>[1]data!T238-[1]data!T200</f>
        <v>1.3082662154442204E-3</v>
      </c>
      <c r="X238" s="12">
        <f>[1]data!U238-[1]data!U200</f>
        <v>1.2190151312676603E-3</v>
      </c>
      <c r="Y238" s="12">
        <f>[1]data!V238-[1]data!V200</f>
        <v>1.3082662154455527E-3</v>
      </c>
      <c r="Z238" s="12">
        <f>[1]data!W238-[1]data!W200</f>
        <v>0</v>
      </c>
      <c r="AA238" s="12">
        <f>[1]data!X238-[1]data!X200</f>
        <v>0</v>
      </c>
      <c r="AB238" s="12">
        <f>[1]data!Y238-[1]data!Y200</f>
        <v>0</v>
      </c>
      <c r="AC238" s="12">
        <f>[1]data!Z238-[1]data!Z200</f>
        <v>0</v>
      </c>
      <c r="AD238" s="14">
        <v>2941.9883367789698</v>
      </c>
      <c r="AE238" s="15">
        <v>3157.38816403392</v>
      </c>
      <c r="AF238">
        <f>D238/(D238+H238)</f>
        <v>0.9995314696236145</v>
      </c>
      <c r="AG238">
        <f>(F238/(D238+H238))</f>
        <v>1.8897391847571465</v>
      </c>
      <c r="AH238">
        <f>(E238/(D238+H238))</f>
        <v>-0.89020771513353225</v>
      </c>
      <c r="AI238">
        <f>(G238/(D238+H238))</f>
        <v>2.3426518819303466E-2</v>
      </c>
      <c r="AJ238">
        <f>(F238/(D238))</f>
        <v>1.8906250000000002</v>
      </c>
      <c r="AK238">
        <f>E238/D238</f>
        <v>-0.89062500000000056</v>
      </c>
      <c r="AL238">
        <f>(H238/(C238+H238))</f>
        <v>4.5780558522758659E-4</v>
      </c>
      <c r="AM238">
        <f>(I238/(D238+H238))</f>
        <v>4.6853037638607036E-4</v>
      </c>
      <c r="AN238">
        <f>(J238/(D238+H238))</f>
        <v>0</v>
      </c>
      <c r="AO238">
        <f>(I238/H238)</f>
        <v>1.0000000000012115</v>
      </c>
      <c r="AP238">
        <f>J238/H238</f>
        <v>0</v>
      </c>
      <c r="AQ238">
        <f>(D238+H238)/AD238</f>
        <v>2.7922761924992816E-2</v>
      </c>
    </row>
    <row r="239" spans="1:43" x14ac:dyDescent="0.35">
      <c r="A239" s="11" t="s">
        <v>37</v>
      </c>
      <c r="B239" s="24" t="s">
        <v>72</v>
      </c>
      <c r="C239" s="28">
        <f t="shared" si="16"/>
        <v>0</v>
      </c>
      <c r="D239" s="12">
        <f>[1]data!C239-[1]data!C201</f>
        <v>0</v>
      </c>
      <c r="E239" s="12">
        <f>[1]data!D239-[1]data!D201</f>
        <v>0</v>
      </c>
      <c r="F239" s="12">
        <f>[1]data!E239-[1]data!E201</f>
        <v>0</v>
      </c>
      <c r="G239" s="12">
        <f>[1]data!F239-[1]data!F201</f>
        <v>0</v>
      </c>
      <c r="H239" s="12">
        <f>[1]data!G239-[1]data!G201</f>
        <v>0</v>
      </c>
      <c r="I239" s="12">
        <f>[1]data!H239-[1]data!H201</f>
        <v>0</v>
      </c>
      <c r="J239" s="12">
        <f>[1]data!I239-[1]data!I201</f>
        <v>0</v>
      </c>
      <c r="K239" s="12">
        <f>[1]data!J239-[1]data!J201</f>
        <v>0</v>
      </c>
      <c r="L239" s="13">
        <f t="shared" si="17"/>
        <v>0</v>
      </c>
      <c r="M239" s="12">
        <f>[1]data!K239-[1]data!K201</f>
        <v>0</v>
      </c>
      <c r="N239" s="13">
        <f t="shared" si="18"/>
        <v>0</v>
      </c>
      <c r="O239" s="13">
        <f t="shared" si="19"/>
        <v>0</v>
      </c>
      <c r="P239" s="12">
        <f>[1]data!M239-[1]data!M201</f>
        <v>0</v>
      </c>
      <c r="Q239" s="12">
        <f>[1]data!N239-[1]data!N201</f>
        <v>0</v>
      </c>
      <c r="R239" s="12">
        <f>[1]data!O239-[1]data!O201</f>
        <v>0</v>
      </c>
      <c r="S239" s="12">
        <f>[1]data!P239-[1]data!P201</f>
        <v>0</v>
      </c>
      <c r="T239" s="12">
        <f>[1]data!Q239-[1]data!Q201</f>
        <v>0</v>
      </c>
      <c r="U239" s="12">
        <f>[1]data!R239-[1]data!R201</f>
        <v>0</v>
      </c>
      <c r="V239" s="12">
        <f>[1]data!S239-[1]data!S201</f>
        <v>0</v>
      </c>
      <c r="W239" s="12">
        <f>[1]data!T239-[1]data!T201</f>
        <v>0</v>
      </c>
      <c r="X239" s="12">
        <f>[1]data!U239-[1]data!U201</f>
        <v>0</v>
      </c>
      <c r="Y239" s="12">
        <f>[1]data!V239-[1]data!V201</f>
        <v>0</v>
      </c>
      <c r="Z239" s="12">
        <f>[1]data!W239-[1]data!W201</f>
        <v>0</v>
      </c>
      <c r="AA239" s="12">
        <f>[1]data!X239-[1]data!X201</f>
        <v>0</v>
      </c>
      <c r="AB239" s="12">
        <f>[1]data!Y239-[1]data!Y201</f>
        <v>0</v>
      </c>
      <c r="AC239" s="12">
        <f>[1]data!Z239-[1]data!Z201</f>
        <v>0</v>
      </c>
      <c r="AD239" s="14">
        <v>19974.2138871676</v>
      </c>
      <c r="AE239" s="15">
        <v>19928.975197</v>
      </c>
      <c r="AF239" t="e">
        <f>D239/(D239+H239)</f>
        <v>#DIV/0!</v>
      </c>
      <c r="AG239" t="e">
        <f>(F239/(D239+H239))</f>
        <v>#DIV/0!</v>
      </c>
      <c r="AH239" t="e">
        <f>(E239/(D239+H239))</f>
        <v>#DIV/0!</v>
      </c>
      <c r="AI239" t="e">
        <f>(G239/(D239+H239))</f>
        <v>#DIV/0!</v>
      </c>
      <c r="AJ239" t="e">
        <f>(F239/(D239))</f>
        <v>#DIV/0!</v>
      </c>
      <c r="AK239" t="e">
        <f>E239/D239</f>
        <v>#DIV/0!</v>
      </c>
      <c r="AL239" t="e">
        <f>(H239/(C239+H239))</f>
        <v>#DIV/0!</v>
      </c>
      <c r="AM239" t="e">
        <f>(I239/(D239+H239))</f>
        <v>#DIV/0!</v>
      </c>
      <c r="AN239" t="e">
        <f>(J239/(D239+H239))</f>
        <v>#DIV/0!</v>
      </c>
      <c r="AO239" t="e">
        <f>(I239/H239)</f>
        <v>#DIV/0!</v>
      </c>
      <c r="AP239" t="e">
        <f>J239/H239</f>
        <v>#DIV/0!</v>
      </c>
      <c r="AQ239">
        <f>(D239+H239)/AD239</f>
        <v>0</v>
      </c>
    </row>
    <row r="240" spans="1:43" x14ac:dyDescent="0.35">
      <c r="A240" s="11" t="s">
        <v>38</v>
      </c>
      <c r="B240" s="24" t="s">
        <v>72</v>
      </c>
      <c r="C240" s="28">
        <f t="shared" si="16"/>
        <v>0</v>
      </c>
      <c r="D240" s="12">
        <f>[1]data!C240-[1]data!C202</f>
        <v>0</v>
      </c>
      <c r="E240" s="12">
        <f>[1]data!D240-[1]data!D202</f>
        <v>0</v>
      </c>
      <c r="F240" s="12">
        <f>[1]data!E240-[1]data!E202</f>
        <v>0</v>
      </c>
      <c r="G240" s="12">
        <f>[1]data!F240-[1]data!F202</f>
        <v>0</v>
      </c>
      <c r="H240" s="12">
        <f>[1]data!G240-[1]data!G202</f>
        <v>0.10239412195682918</v>
      </c>
      <c r="I240" s="12">
        <f>[1]data!H240-[1]data!H202</f>
        <v>0</v>
      </c>
      <c r="J240" s="12">
        <f>[1]data!I240-[1]data!I202</f>
        <v>0.10239412195682918</v>
      </c>
      <c r="K240" s="12">
        <f>[1]data!J240-[1]data!J202</f>
        <v>0.45146499226420111</v>
      </c>
      <c r="L240" s="13">
        <f t="shared" si="17"/>
        <v>0</v>
      </c>
      <c r="M240" s="12">
        <f>[1]data!K240-[1]data!K202</f>
        <v>0</v>
      </c>
      <c r="N240" s="13">
        <f t="shared" si="18"/>
        <v>0</v>
      </c>
      <c r="O240" s="13">
        <f t="shared" si="19"/>
        <v>0</v>
      </c>
      <c r="P240" s="12">
        <f>[1]data!M240-[1]data!M202</f>
        <v>0</v>
      </c>
      <c r="Q240" s="12">
        <f>[1]data!N240-[1]data!N202</f>
        <v>0</v>
      </c>
      <c r="R240" s="12">
        <f>[1]data!O240-[1]data!O202</f>
        <v>0</v>
      </c>
      <c r="S240" s="12">
        <f>[1]data!P240-[1]data!P202</f>
        <v>0</v>
      </c>
      <c r="T240" s="12">
        <f>[1]data!Q240-[1]data!Q202</f>
        <v>0</v>
      </c>
      <c r="U240" s="12">
        <f>[1]data!R240-[1]data!R202</f>
        <v>0</v>
      </c>
      <c r="V240" s="12">
        <f>[1]data!S240-[1]data!S202</f>
        <v>8.0048482009581756E-3</v>
      </c>
      <c r="W240" s="12">
        <f>[1]data!T240-[1]data!T202</f>
        <v>4.2992617321149645E-3</v>
      </c>
      <c r="X240" s="12">
        <f>[1]data!U240-[1]data!U202</f>
        <v>0</v>
      </c>
      <c r="Y240" s="12">
        <f>[1]data!V240-[1]data!V202</f>
        <v>0</v>
      </c>
      <c r="Z240" s="12">
        <f>[1]data!W240-[1]data!W202</f>
        <v>8.0048482009581808E-3</v>
      </c>
      <c r="AA240" s="12">
        <f>[1]data!X240-[1]data!X202</f>
        <v>4.2992617321149628E-3</v>
      </c>
      <c r="AB240" s="12">
        <f>[1]data!Y240-[1]data!Y202</f>
        <v>3.5294103431497525E-2</v>
      </c>
      <c r="AC240" s="12">
        <f>[1]data!Z240-[1]data!Z202</f>
        <v>1.8955835818870448E-2</v>
      </c>
      <c r="AD240" s="14">
        <v>2381.6675591522499</v>
      </c>
      <c r="AE240" s="15">
        <v>1279.1513266244399</v>
      </c>
      <c r="AF240">
        <f>D240/(D240+H240)</f>
        <v>0</v>
      </c>
      <c r="AG240">
        <f>(F240/(D240+H240))</f>
        <v>0</v>
      </c>
      <c r="AH240">
        <f>(E240/(D240+H240))</f>
        <v>0</v>
      </c>
      <c r="AI240">
        <f>(G240/(D240+H240))</f>
        <v>0</v>
      </c>
      <c r="AJ240" t="e">
        <f>(F240/(D240))</f>
        <v>#DIV/0!</v>
      </c>
      <c r="AK240" t="e">
        <f>E240/D240</f>
        <v>#DIV/0!</v>
      </c>
      <c r="AL240">
        <f>(H240/(C240+H240))</f>
        <v>1</v>
      </c>
      <c r="AM240">
        <f>(I240/(D240+H240))</f>
        <v>0</v>
      </c>
      <c r="AN240">
        <f>(J240/(D240+H240))</f>
        <v>1</v>
      </c>
      <c r="AO240">
        <f>(I240/H240)</f>
        <v>0</v>
      </c>
      <c r="AP240">
        <f>J240/H240</f>
        <v>1</v>
      </c>
      <c r="AQ240">
        <f>(D240+H240)/AD240</f>
        <v>4.2992617321149627E-5</v>
      </c>
    </row>
    <row r="241" spans="1:43" x14ac:dyDescent="0.35">
      <c r="A241" s="11" t="s">
        <v>39</v>
      </c>
      <c r="B241" s="24" t="s">
        <v>72</v>
      </c>
      <c r="C241" s="28">
        <f t="shared" si="16"/>
        <v>5.2478877966865269</v>
      </c>
      <c r="D241" s="12">
        <f>[1]data!C241-[1]data!C203</f>
        <v>5.234121210982785</v>
      </c>
      <c r="E241" s="12">
        <f>[1]data!D241-[1]data!D203</f>
        <v>-0.23266279540380985</v>
      </c>
      <c r="F241" s="12">
        <f>[1]data!E241-[1]data!E203</f>
        <v>5.4667840063865967</v>
      </c>
      <c r="G241" s="12">
        <f>[1]data!F241-[1]data!F203</f>
        <v>1.376658570374012E-2</v>
      </c>
      <c r="H241" s="12">
        <f>[1]data!G241-[1]data!G203</f>
        <v>-7.2337052758079778E-2</v>
      </c>
      <c r="I241" s="12">
        <f>[1]data!H241-[1]data!H203</f>
        <v>-4.4287991484539546E-3</v>
      </c>
      <c r="J241" s="12">
        <f>[1]data!I241-[1]data!I203</f>
        <v>-6.7908253609623159E-2</v>
      </c>
      <c r="K241" s="12">
        <f>[1]data!J241-[1]data!J203</f>
        <v>1.4269426648543515</v>
      </c>
      <c r="L241" s="13">
        <f t="shared" si="17"/>
        <v>0.52633961226431714</v>
      </c>
      <c r="M241" s="12">
        <f>[1]data!K241-[1]data!K203</f>
        <v>0.52495888545341129</v>
      </c>
      <c r="N241" s="13">
        <f t="shared" si="18"/>
        <v>0.22565694697874977</v>
      </c>
      <c r="O241" s="13">
        <f t="shared" si="19"/>
        <v>0.22427622016784393</v>
      </c>
      <c r="P241" s="12">
        <f>[1]data!M241-[1]data!M203</f>
        <v>-2.3335035020850325E-2</v>
      </c>
      <c r="Q241" s="12">
        <f>[1]data!N241-[1]data!N203</f>
        <v>-9.9693396892222702E-3</v>
      </c>
      <c r="R241" s="12">
        <f>[1]data!O241-[1]data!O203</f>
        <v>0.54829392047426162</v>
      </c>
      <c r="S241" s="12">
        <f>[1]data!P241-[1]data!P203</f>
        <v>0.23424555985706619</v>
      </c>
      <c r="T241" s="12">
        <f>[1]data!Q241-[1]data!Q203</f>
        <v>1.3807268109058413E-3</v>
      </c>
      <c r="U241" s="12">
        <f>[1]data!R241-[1]data!R203</f>
        <v>5.898827485639746E-4</v>
      </c>
      <c r="V241" s="12">
        <f>[1]data!S241-[1]data!S203</f>
        <v>-7.2550820017660556E-3</v>
      </c>
      <c r="W241" s="12">
        <f>[1]data!T241-[1]data!T203</f>
        <v>-3.0995615341544713E-3</v>
      </c>
      <c r="X241" s="12">
        <f>[1]data!U241-[1]data!U203</f>
        <v>-4.4418869398565874E-4</v>
      </c>
      <c r="Y241" s="12">
        <f>[1]data!V241-[1]data!V203</f>
        <v>-1.8976907351966887E-4</v>
      </c>
      <c r="Z241" s="12">
        <f>[1]data!W241-[1]data!W203</f>
        <v>-6.8108933077803968E-3</v>
      </c>
      <c r="AA241" s="12">
        <f>[1]data!X241-[1]data!X203</f>
        <v>-2.9097924606344971E-3</v>
      </c>
      <c r="AB241" s="12">
        <f>[1]data!Y241-[1]data!Y203</f>
        <v>0.14311595027185242</v>
      </c>
      <c r="AC241" s="12">
        <f>[1]data!Z241-[1]data!Z203</f>
        <v>6.1142891876146299E-2</v>
      </c>
      <c r="AD241" s="14">
        <v>2333.7834064911899</v>
      </c>
      <c r="AE241" s="15">
        <v>997.05355143423003</v>
      </c>
      <c r="AF241">
        <f>D241/(D241+H241)</f>
        <v>1.0140139631066942</v>
      </c>
      <c r="AG241">
        <f>(F241/(D241+H241))</f>
        <v>1.0590880669963523</v>
      </c>
      <c r="AH241">
        <f>(E241/(D241+H241))</f>
        <v>-4.5074103889657734E-2</v>
      </c>
      <c r="AI241">
        <f>(G241/(D241+H241))</f>
        <v>2.6670207978000513E-3</v>
      </c>
      <c r="AJ241">
        <f>(F241/(D241))</f>
        <v>1.0444511668769945</v>
      </c>
      <c r="AK241">
        <f>E241/D241</f>
        <v>-4.4451166876994026E-2</v>
      </c>
      <c r="AL241">
        <f>(H241/(C241+H241))</f>
        <v>-1.3976686991802751E-2</v>
      </c>
      <c r="AM241">
        <f>(I241/(D241+H241))</f>
        <v>-8.5799774122619521E-4</v>
      </c>
      <c r="AN241">
        <f>(J241/(D241+H241))</f>
        <v>-1.3155965365467523E-2</v>
      </c>
      <c r="AO241">
        <f>(I241/H241)</f>
        <v>6.1224489795919622E-2</v>
      </c>
      <c r="AP241">
        <f>J241/H241</f>
        <v>0.9387755102040436</v>
      </c>
      <c r="AQ241">
        <f>(D241+H241)/AD241</f>
        <v>2.2117665863368931E-3</v>
      </c>
    </row>
    <row r="242" spans="1:43" x14ac:dyDescent="0.35">
      <c r="A242" s="17" t="s">
        <v>40</v>
      </c>
      <c r="B242" s="24" t="s">
        <v>72</v>
      </c>
      <c r="C242" s="28">
        <f t="shared" si="16"/>
        <v>15.521433287220011</v>
      </c>
      <c r="D242" s="12">
        <f>[1]data!C242-[1]data!C204</f>
        <v>15.521433287220006</v>
      </c>
      <c r="E242" s="12">
        <f>[1]data!D242-[1]data!D204</f>
        <v>4.7933838092885335</v>
      </c>
      <c r="F242" s="12">
        <f>[1]data!E242-[1]data!E204</f>
        <v>10.728049477931478</v>
      </c>
      <c r="G242" s="12">
        <f>[1]data!F242-[1]data!F204</f>
        <v>0</v>
      </c>
      <c r="H242" s="12">
        <f>[1]data!G242-[1]data!G204</f>
        <v>1.9401791609025008</v>
      </c>
      <c r="I242" s="12">
        <f>[1]data!H242-[1]data!H204</f>
        <v>0</v>
      </c>
      <c r="J242" s="12">
        <f>[1]data!I242-[1]data!I204</f>
        <v>1.9401791609025008</v>
      </c>
      <c r="K242" s="12">
        <f>[1]data!J242-[1]data!J204</f>
        <v>0</v>
      </c>
      <c r="L242" s="13">
        <f t="shared" si="17"/>
        <v>3.7495954896454338</v>
      </c>
      <c r="M242" s="12">
        <f>[1]data!K242-[1]data!K204</f>
        <v>3.7495954896454329</v>
      </c>
      <c r="N242" s="13">
        <f t="shared" si="18"/>
        <v>3.3123049625002468</v>
      </c>
      <c r="O242" s="13">
        <f t="shared" si="19"/>
        <v>3.3123049625002468</v>
      </c>
      <c r="P242" s="12">
        <f>[1]data!M242-[1]data!M204</f>
        <v>1.1579633129787377</v>
      </c>
      <c r="Q242" s="12">
        <f>[1]data!N242-[1]data!N204</f>
        <v>1.0229177090074291</v>
      </c>
      <c r="R242" s="12">
        <f>[1]data!O242-[1]data!O204</f>
        <v>2.5916321766666961</v>
      </c>
      <c r="S242" s="12">
        <f>[1]data!P242-[1]data!P204</f>
        <v>2.2893872534928175</v>
      </c>
      <c r="T242" s="12">
        <f>[1]data!Q242-[1]data!Q204</f>
        <v>0</v>
      </c>
      <c r="U242" s="12">
        <f>[1]data!R242-[1]data!R204</f>
        <v>0</v>
      </c>
      <c r="V242" s="12">
        <f>[1]data!S242-[1]data!S204</f>
        <v>0.46869943620567911</v>
      </c>
      <c r="W242" s="12">
        <f>[1]data!T242-[1]data!T204</f>
        <v>0.41403812031253073</v>
      </c>
      <c r="X242" s="12">
        <f>[1]data!U242-[1]data!U204</f>
        <v>0</v>
      </c>
      <c r="Y242" s="12">
        <f>[1]data!V242-[1]data!V204</f>
        <v>0</v>
      </c>
      <c r="Z242" s="12">
        <f>[1]data!W242-[1]data!W204</f>
        <v>0.46869943620567911</v>
      </c>
      <c r="AA242" s="12">
        <f>[1]data!X242-[1]data!X204</f>
        <v>0.41403812031253073</v>
      </c>
      <c r="AB242" s="12">
        <f>[1]data!Y242-[1]data!Y204</f>
        <v>0</v>
      </c>
      <c r="AC242" s="12">
        <f>[1]data!Z242-[1]data!Z204</f>
        <v>0</v>
      </c>
      <c r="AD242" s="14">
        <v>468.59916169988998</v>
      </c>
      <c r="AE242" s="15">
        <v>413.94954015926999</v>
      </c>
      <c r="AF242">
        <f>D242/(D242+H242)</f>
        <v>0.88888888888888884</v>
      </c>
      <c r="AG242">
        <f>(F242/(D242+H242))</f>
        <v>0.61437908496732041</v>
      </c>
      <c r="AH242">
        <f>(E242/(D242+H242))</f>
        <v>0.27450980392156871</v>
      </c>
      <c r="AI242">
        <f>(G242/(D242+H242))</f>
        <v>0</v>
      </c>
      <c r="AJ242">
        <f>(F242/(D242))</f>
        <v>0.6911764705882355</v>
      </c>
      <c r="AK242">
        <f>E242/D242</f>
        <v>0.30882352941176483</v>
      </c>
      <c r="AL242">
        <f>(H242/(C242+H242))</f>
        <v>0.11111111111111108</v>
      </c>
      <c r="AM242">
        <f>(I242/(D242+H242))</f>
        <v>0</v>
      </c>
      <c r="AN242">
        <f>(J242/(D242+H242))</f>
        <v>0.1111111111111111</v>
      </c>
      <c r="AO242">
        <f>(I242/H242)</f>
        <v>0</v>
      </c>
      <c r="AP242">
        <f>J242/H242</f>
        <v>1</v>
      </c>
      <c r="AQ242">
        <f>(D242+H242)/AD242</f>
        <v>3.7263430828127768E-2</v>
      </c>
    </row>
    <row r="243" spans="1:43" x14ac:dyDescent="0.35">
      <c r="A243" s="11" t="s">
        <v>41</v>
      </c>
      <c r="B243" s="24" t="s">
        <v>72</v>
      </c>
      <c r="C243" s="28">
        <f t="shared" si="16"/>
        <v>-0.57064092967720548</v>
      </c>
      <c r="D243" s="12">
        <f>[1]data!C243-[1]data!C205</f>
        <v>-0.22825637187087722</v>
      </c>
      <c r="E243" s="12">
        <f>[1]data!D243-[1]data!D205</f>
        <v>0.45651274374176687</v>
      </c>
      <c r="F243" s="12">
        <f>[1]data!E243-[1]data!E205</f>
        <v>-0.68476911561264941</v>
      </c>
      <c r="G243" s="12">
        <f>[1]data!F243-[1]data!F205</f>
        <v>-0.34238455780632293</v>
      </c>
      <c r="H243" s="12">
        <f>[1]data!G243-[1]data!G205</f>
        <v>0</v>
      </c>
      <c r="I243" s="12">
        <f>[1]data!H243-[1]data!H205</f>
        <v>0</v>
      </c>
      <c r="J243" s="12">
        <f>[1]data!I243-[1]data!I205</f>
        <v>0</v>
      </c>
      <c r="K243" s="12">
        <f>[1]data!J243-[1]data!J205</f>
        <v>0</v>
      </c>
      <c r="L243" s="13">
        <f t="shared" si="17"/>
        <v>-0.11524432304942822</v>
      </c>
      <c r="M243" s="12">
        <f>[1]data!K243-[1]data!K205</f>
        <v>-4.60977292197704E-2</v>
      </c>
      <c r="N243" s="13">
        <f t="shared" si="18"/>
        <v>-0.110250023000527</v>
      </c>
      <c r="O243" s="13">
        <f t="shared" si="19"/>
        <v>-4.1103429170870065E-2</v>
      </c>
      <c r="P243" s="12">
        <f>[1]data!M243-[1]data!M205</f>
        <v>9.2195458439542577E-2</v>
      </c>
      <c r="Q243" s="12">
        <f>[1]data!N243-[1]data!N205</f>
        <v>8.2206858341741018E-2</v>
      </c>
      <c r="R243" s="12">
        <f>[1]data!O243-[1]data!O205</f>
        <v>-0.13829318765931387</v>
      </c>
      <c r="S243" s="12">
        <f>[1]data!P243-[1]data!P205</f>
        <v>-0.12331028751261108</v>
      </c>
      <c r="T243" s="12">
        <f>[1]data!Q243-[1]data!Q205</f>
        <v>-6.9146593829656933E-2</v>
      </c>
      <c r="U243" s="12">
        <f>[1]data!R243-[1]data!R205</f>
        <v>-6.1655143756305542E-2</v>
      </c>
      <c r="V243" s="12">
        <f>[1]data!S243-[1]data!S205</f>
        <v>0</v>
      </c>
      <c r="W243" s="12">
        <f>[1]data!T243-[1]data!T205</f>
        <v>0</v>
      </c>
      <c r="X243" s="12">
        <f>[1]data!U243-[1]data!U205</f>
        <v>0</v>
      </c>
      <c r="Y243" s="12">
        <f>[1]data!V243-[1]data!V205</f>
        <v>0</v>
      </c>
      <c r="Z243" s="12">
        <f>[1]data!W243-[1]data!W205</f>
        <v>0</v>
      </c>
      <c r="AA243" s="12">
        <f>[1]data!X243-[1]data!X205</f>
        <v>0</v>
      </c>
      <c r="AB243" s="12">
        <f>[1]data!Y243-[1]data!Y205</f>
        <v>0</v>
      </c>
      <c r="AC243" s="12">
        <f>[1]data!Z243-[1]data!Z205</f>
        <v>0</v>
      </c>
      <c r="AD243" s="14">
        <v>555.32196820367994</v>
      </c>
      <c r="AE243" s="15">
        <v>495.15751802582002</v>
      </c>
      <c r="AF243">
        <f>D243/(D243+H243)</f>
        <v>1</v>
      </c>
      <c r="AG243">
        <f>(F243/(D243+H243))</f>
        <v>3.0000000000000777</v>
      </c>
      <c r="AH243">
        <f>(E243/(D243+H243))</f>
        <v>-2.0000000000000546</v>
      </c>
      <c r="AI243">
        <f>(G243/(D243+H243))</f>
        <v>1.5000000000000311</v>
      </c>
      <c r="AJ243">
        <f>(F243/(D243))</f>
        <v>3.0000000000000777</v>
      </c>
      <c r="AK243">
        <f>E243/D243</f>
        <v>-2.0000000000000546</v>
      </c>
      <c r="AL243">
        <f>(H243/(C243+H243))</f>
        <v>0</v>
      </c>
      <c r="AM243">
        <f>(I243/(D243+H243))</f>
        <v>0</v>
      </c>
      <c r="AN243">
        <f>(J243/(D243+H243))</f>
        <v>0</v>
      </c>
      <c r="AO243" t="e">
        <f>(I243/H243)</f>
        <v>#DIV/0!</v>
      </c>
      <c r="AP243" t="e">
        <f>J243/H243</f>
        <v>#DIV/0!</v>
      </c>
      <c r="AQ243">
        <f>(D243+H243)/AD243</f>
        <v>-4.1103429170869356E-4</v>
      </c>
    </row>
    <row r="244" spans="1:43" x14ac:dyDescent="0.35">
      <c r="A244" s="17" t="s">
        <v>42</v>
      </c>
      <c r="B244" s="24" t="s">
        <v>72</v>
      </c>
      <c r="C244" s="28">
        <f t="shared" si="16"/>
        <v>-1.7880031451621603</v>
      </c>
      <c r="D244" s="12">
        <f>[1]data!C244-[1]data!C206</f>
        <v>-0.84014605616053473</v>
      </c>
      <c r="E244" s="12">
        <f>[1]data!D244-[1]data!D206</f>
        <v>-0.11201947415473779</v>
      </c>
      <c r="F244" s="12">
        <f>[1]data!E244-[1]data!E206</f>
        <v>-0.72812658200579605</v>
      </c>
      <c r="G244" s="12">
        <f>[1]data!F244-[1]data!F206</f>
        <v>-0.94785708900162635</v>
      </c>
      <c r="H244" s="12">
        <f>[1]data!G244-[1]data!G206</f>
        <v>0.20249674174124976</v>
      </c>
      <c r="I244" s="12">
        <f>[1]data!H244-[1]data!H206</f>
        <v>-4.3084413136437599E-3</v>
      </c>
      <c r="J244" s="12">
        <f>[1]data!I244-[1]data!I206</f>
        <v>0.2068051830548967</v>
      </c>
      <c r="K244" s="12">
        <f>[1]data!J244-[1]data!J206</f>
        <v>0</v>
      </c>
      <c r="L244" s="13">
        <f t="shared" si="17"/>
        <v>-0.82915983267468407</v>
      </c>
      <c r="M244" s="12">
        <f>[1]data!K244-[1]data!K206</f>
        <v>-0.3896052225820803</v>
      </c>
      <c r="N244" s="13">
        <f t="shared" si="18"/>
        <v>-0.64577811419146358</v>
      </c>
      <c r="O244" s="13">
        <f t="shared" si="19"/>
        <v>-0.20622350409885981</v>
      </c>
      <c r="P244" s="12">
        <f>[1]data!M244-[1]data!M206</f>
        <v>-5.1947363010944159E-2</v>
      </c>
      <c r="Q244" s="12">
        <f>[1]data!N244-[1]data!N206</f>
        <v>-2.7496467213180997E-2</v>
      </c>
      <c r="R244" s="12">
        <f>[1]data!O244-[1]data!O206</f>
        <v>-0.33765785957113614</v>
      </c>
      <c r="S244" s="12">
        <f>[1]data!P244-[1]data!P206</f>
        <v>-0.17872703688567881</v>
      </c>
      <c r="T244" s="12">
        <f>[1]data!Q244-[1]data!Q206</f>
        <v>-0.43955461009260377</v>
      </c>
      <c r="U244" s="12">
        <f>[1]data!R244-[1]data!R206</f>
        <v>-0.23266241488076503</v>
      </c>
      <c r="V244" s="12">
        <f>[1]data!S244-[1]data!S206</f>
        <v>9.3904848519784423E-2</v>
      </c>
      <c r="W244" s="12">
        <f>[1]data!T244-[1]data!T206</f>
        <v>4.9705152269982733E-2</v>
      </c>
      <c r="X244" s="12">
        <f>[1]data!U244-[1]data!U206</f>
        <v>-1.9979755004209294E-3</v>
      </c>
      <c r="Y244" s="12">
        <f>[1]data!V244-[1]data!V206</f>
        <v>-1.0575564312762034E-3</v>
      </c>
      <c r="Z244" s="12">
        <f>[1]data!W244-[1]data!W206</f>
        <v>9.5902824020203781E-2</v>
      </c>
      <c r="AA244" s="12">
        <f>[1]data!X244-[1]data!X206</f>
        <v>5.0762708701258319E-2</v>
      </c>
      <c r="AB244" s="12">
        <f>[1]data!Y244-[1]data!Y206</f>
        <v>0</v>
      </c>
      <c r="AC244" s="12">
        <f>[1]data!Z244-[1]data!Z206</f>
        <v>0</v>
      </c>
      <c r="AD244" s="14">
        <v>407.39587848230002</v>
      </c>
      <c r="AE244" s="15">
        <v>215.64034757863999</v>
      </c>
      <c r="AF244">
        <f>D244/(D244+H244)</f>
        <v>1.3175675675675524</v>
      </c>
      <c r="AG244">
        <f>(F244/(D244+H244))</f>
        <v>1.1418918918918777</v>
      </c>
      <c r="AH244">
        <f>(E244/(D244+H244))</f>
        <v>0.17567567567567338</v>
      </c>
      <c r="AI244">
        <f>(G244/(D244+H244))</f>
        <v>1.4864864864864653</v>
      </c>
      <c r="AJ244">
        <f>(F244/(D244))</f>
        <v>0.86666666666666581</v>
      </c>
      <c r="AK244">
        <f>E244/D244</f>
        <v>0.13333333333333311</v>
      </c>
      <c r="AL244">
        <f>(H244/(C244+H244))</f>
        <v>-0.1277173913043429</v>
      </c>
      <c r="AM244">
        <f>(I244/(D244+H244))</f>
        <v>6.7567567567566669E-3</v>
      </c>
      <c r="AN244">
        <f>(J244/(D244+H244))</f>
        <v>-0.32432432432431407</v>
      </c>
      <c r="AO244">
        <f>(I244/H244)</f>
        <v>-2.1276595744681583E-2</v>
      </c>
      <c r="AP244">
        <f>J244/H244</f>
        <v>1.0212765957446972</v>
      </c>
      <c r="AQ244">
        <f>(D244+H244)/AD244</f>
        <v>-1.5651835182888055E-3</v>
      </c>
    </row>
    <row r="245" spans="1:43" x14ac:dyDescent="0.35">
      <c r="A245" s="17" t="s">
        <v>43</v>
      </c>
      <c r="B245" s="24" t="s">
        <v>72</v>
      </c>
      <c r="C245" s="28">
        <f t="shared" si="16"/>
        <v>0</v>
      </c>
      <c r="D245" s="12">
        <f>[1]data!C245-[1]data!C207</f>
        <v>0</v>
      </c>
      <c r="E245" s="12">
        <f>[1]data!D245-[1]data!D207</f>
        <v>0</v>
      </c>
      <c r="F245" s="12">
        <f>[1]data!E245-[1]data!E207</f>
        <v>0</v>
      </c>
      <c r="G245" s="12">
        <f>[1]data!F245-[1]data!F207</f>
        <v>0</v>
      </c>
      <c r="H245" s="12">
        <f>[1]data!G245-[1]data!G207</f>
        <v>0</v>
      </c>
      <c r="I245" s="12">
        <f>[1]data!H245-[1]data!H207</f>
        <v>0</v>
      </c>
      <c r="J245" s="12">
        <f>[1]data!I245-[1]data!I207</f>
        <v>0</v>
      </c>
      <c r="K245" s="12">
        <f>[1]data!J245-[1]data!J207</f>
        <v>0</v>
      </c>
      <c r="L245" s="13">
        <f t="shared" si="17"/>
        <v>0</v>
      </c>
      <c r="M245" s="12">
        <f>[1]data!K245-[1]data!K207</f>
        <v>0</v>
      </c>
      <c r="N245" s="13">
        <f t="shared" si="18"/>
        <v>0</v>
      </c>
      <c r="O245" s="13">
        <f t="shared" si="19"/>
        <v>0</v>
      </c>
      <c r="P245" s="12">
        <f>[1]data!M245-[1]data!M207</f>
        <v>0</v>
      </c>
      <c r="Q245" s="12">
        <f>[1]data!N245-[1]data!N207</f>
        <v>0</v>
      </c>
      <c r="R245" s="12">
        <f>[1]data!O245-[1]data!O207</f>
        <v>0</v>
      </c>
      <c r="S245" s="12">
        <f>[1]data!P245-[1]data!P207</f>
        <v>0</v>
      </c>
      <c r="T245" s="12">
        <f>[1]data!Q245-[1]data!Q207</f>
        <v>0</v>
      </c>
      <c r="U245" s="12">
        <f>[1]data!R245-[1]data!R207</f>
        <v>0</v>
      </c>
      <c r="V245" s="12">
        <f>[1]data!S245-[1]data!S207</f>
        <v>0</v>
      </c>
      <c r="W245" s="12">
        <f>[1]data!T245-[1]data!T207</f>
        <v>0</v>
      </c>
      <c r="X245" s="12">
        <f>[1]data!U245-[1]data!U207</f>
        <v>0</v>
      </c>
      <c r="Y245" s="12">
        <f>[1]data!V245-[1]data!V207</f>
        <v>0</v>
      </c>
      <c r="Z245" s="12">
        <f>[1]data!W245-[1]data!W207</f>
        <v>0</v>
      </c>
      <c r="AA245" s="12">
        <f>[1]data!X245-[1]data!X207</f>
        <v>0</v>
      </c>
      <c r="AB245" s="12">
        <f>[1]data!Y245-[1]data!Y207</f>
        <v>0</v>
      </c>
      <c r="AC245" s="12">
        <f>[1]data!Z245-[1]data!Z207</f>
        <v>0</v>
      </c>
      <c r="AD245" s="14">
        <v>311.06354290107998</v>
      </c>
      <c r="AE245" s="15">
        <v>332.60254327404999</v>
      </c>
      <c r="AF245" t="e">
        <f>D245/(D245+H245)</f>
        <v>#DIV/0!</v>
      </c>
      <c r="AG245" t="e">
        <f>(F245/(D245+H245))</f>
        <v>#DIV/0!</v>
      </c>
      <c r="AH245" t="e">
        <f>(E245/(D245+H245))</f>
        <v>#DIV/0!</v>
      </c>
      <c r="AI245" t="e">
        <f>(G245/(D245+H245))</f>
        <v>#DIV/0!</v>
      </c>
      <c r="AJ245" t="e">
        <f>(F245/(D245))</f>
        <v>#DIV/0!</v>
      </c>
      <c r="AK245" t="e">
        <f>E245/D245</f>
        <v>#DIV/0!</v>
      </c>
      <c r="AL245" t="e">
        <f>(H245/(C245+H245))</f>
        <v>#DIV/0!</v>
      </c>
      <c r="AM245" t="e">
        <f>(I245/(D245+H245))</f>
        <v>#DIV/0!</v>
      </c>
      <c r="AN245" t="e">
        <f>(J245/(D245+H245))</f>
        <v>#DIV/0!</v>
      </c>
      <c r="AO245" t="e">
        <f>(I245/H245)</f>
        <v>#DIV/0!</v>
      </c>
      <c r="AP245" t="e">
        <f>J245/H245</f>
        <v>#DIV/0!</v>
      </c>
      <c r="AQ245">
        <f>(D245+H245)/AD245</f>
        <v>0</v>
      </c>
    </row>
    <row r="246" spans="1:43" x14ac:dyDescent="0.35">
      <c r="A246" s="17" t="s">
        <v>44</v>
      </c>
      <c r="B246" s="24" t="s">
        <v>72</v>
      </c>
      <c r="C246" s="28">
        <f t="shared" si="16"/>
        <v>0</v>
      </c>
      <c r="D246" s="12">
        <f>[1]data!C246-[1]data!C208</f>
        <v>0</v>
      </c>
      <c r="E246" s="12">
        <f>[1]data!D246-[1]data!D208</f>
        <v>0</v>
      </c>
      <c r="F246" s="12">
        <f>[1]data!E246-[1]data!E208</f>
        <v>0</v>
      </c>
      <c r="G246" s="12">
        <f>[1]data!F246-[1]data!F208</f>
        <v>0</v>
      </c>
      <c r="H246" s="12">
        <f>[1]data!G246-[1]data!G208</f>
        <v>0</v>
      </c>
      <c r="I246" s="12">
        <f>[1]data!H246-[1]data!H208</f>
        <v>0</v>
      </c>
      <c r="J246" s="12">
        <f>[1]data!I246-[1]data!I208</f>
        <v>0</v>
      </c>
      <c r="K246" s="12">
        <f>[1]data!J246-[1]data!J208</f>
        <v>0</v>
      </c>
      <c r="L246" s="13">
        <f t="shared" si="17"/>
        <v>0</v>
      </c>
      <c r="M246" s="12">
        <f>[1]data!K246-[1]data!K208</f>
        <v>0</v>
      </c>
      <c r="N246" s="13">
        <f t="shared" si="18"/>
        <v>0</v>
      </c>
      <c r="O246" s="13">
        <f t="shared" si="19"/>
        <v>0</v>
      </c>
      <c r="P246" s="12">
        <f>[1]data!M246-[1]data!M208</f>
        <v>0</v>
      </c>
      <c r="Q246" s="12">
        <f>[1]data!N246-[1]data!N208</f>
        <v>0</v>
      </c>
      <c r="R246" s="12">
        <f>[1]data!O246-[1]data!O208</f>
        <v>0</v>
      </c>
      <c r="S246" s="12">
        <f>[1]data!P246-[1]data!P208</f>
        <v>0</v>
      </c>
      <c r="T246" s="12">
        <f>[1]data!Q246-[1]data!Q208</f>
        <v>0</v>
      </c>
      <c r="U246" s="12">
        <f>[1]data!R246-[1]data!R208</f>
        <v>0</v>
      </c>
      <c r="V246" s="12">
        <f>[1]data!S246-[1]data!S208</f>
        <v>0</v>
      </c>
      <c r="W246" s="12">
        <f>[1]data!T246-[1]data!T208</f>
        <v>0</v>
      </c>
      <c r="X246" s="12">
        <f>[1]data!U246-[1]data!U208</f>
        <v>0</v>
      </c>
      <c r="Y246" s="12">
        <f>[1]data!V246-[1]data!V208</f>
        <v>0</v>
      </c>
      <c r="Z246" s="12">
        <f>[1]data!W246-[1]data!W208</f>
        <v>0</v>
      </c>
      <c r="AA246" s="12">
        <f>[1]data!X246-[1]data!X208</f>
        <v>0</v>
      </c>
      <c r="AB246" s="12">
        <f>[1]data!Y246-[1]data!Y208</f>
        <v>0</v>
      </c>
      <c r="AC246" s="12">
        <f>[1]data!Z246-[1]data!Z208</f>
        <v>0</v>
      </c>
      <c r="AD246" s="14">
        <v>45.911572818750003</v>
      </c>
      <c r="AE246" s="15">
        <v>26.895658710639999</v>
      </c>
      <c r="AF246" t="e">
        <f>D246/(D246+H246)</f>
        <v>#DIV/0!</v>
      </c>
      <c r="AG246" t="e">
        <f>(F246/(D246+H246))</f>
        <v>#DIV/0!</v>
      </c>
      <c r="AH246" t="e">
        <f>(E246/(D246+H246))</f>
        <v>#DIV/0!</v>
      </c>
      <c r="AI246" t="e">
        <f>(G246/(D246+H246))</f>
        <v>#DIV/0!</v>
      </c>
      <c r="AJ246" t="e">
        <f>(F246/(D246))</f>
        <v>#DIV/0!</v>
      </c>
      <c r="AK246" t="e">
        <f>E246/D246</f>
        <v>#DIV/0!</v>
      </c>
      <c r="AL246" t="e">
        <f>(H246/(C246+H246))</f>
        <v>#DIV/0!</v>
      </c>
      <c r="AM246" t="e">
        <f>(I246/(D246+H246))</f>
        <v>#DIV/0!</v>
      </c>
      <c r="AN246" t="e">
        <f>(J246/(D246+H246))</f>
        <v>#DIV/0!</v>
      </c>
      <c r="AO246" t="e">
        <f>(I246/H246)</f>
        <v>#DIV/0!</v>
      </c>
      <c r="AP246" t="e">
        <f>J246/H246</f>
        <v>#DIV/0!</v>
      </c>
      <c r="AQ246">
        <f>(D246+H246)/AD246</f>
        <v>0</v>
      </c>
    </row>
    <row r="247" spans="1:43" x14ac:dyDescent="0.35">
      <c r="A247" s="17" t="s">
        <v>45</v>
      </c>
      <c r="B247" s="24" t="s">
        <v>72</v>
      </c>
      <c r="C247" s="28">
        <f t="shared" si="16"/>
        <v>-0.51357683670948573</v>
      </c>
      <c r="D247" s="12">
        <f>[1]data!C247-[1]data!C209</f>
        <v>1.3124741382575742</v>
      </c>
      <c r="E247" s="12">
        <f>[1]data!D247-[1]data!D209</f>
        <v>0.57064092967720637</v>
      </c>
      <c r="F247" s="12">
        <f>[1]data!E247-[1]data!E209</f>
        <v>0.74183320858036783</v>
      </c>
      <c r="G247" s="12">
        <f>[1]data!F247-[1]data!F209</f>
        <v>-1.8260509749670599</v>
      </c>
      <c r="H247" s="12">
        <f>[1]data!G247-[1]data!G209</f>
        <v>-0.45651274374176509</v>
      </c>
      <c r="I247" s="12">
        <f>[1]data!H247-[1]data!H209</f>
        <v>-0.45651274374176509</v>
      </c>
      <c r="J247" s="12">
        <f>[1]data!I247-[1]data!I209</f>
        <v>0</v>
      </c>
      <c r="K247" s="12">
        <f>[1]data!J247-[1]data!J209</f>
        <v>0</v>
      </c>
      <c r="L247" s="13">
        <f t="shared" si="17"/>
        <v>-0.20160495037040405</v>
      </c>
      <c r="M247" s="12">
        <f>[1]data!K247-[1]data!K209</f>
        <v>0.51521265094658641</v>
      </c>
      <c r="N247" s="13">
        <f t="shared" si="18"/>
        <v>-0.19993742092311861</v>
      </c>
      <c r="O247" s="13">
        <f t="shared" si="19"/>
        <v>0.5168801803938714</v>
      </c>
      <c r="P247" s="12">
        <f>[1]data!M247-[1]data!M209</f>
        <v>0.22400550041155931</v>
      </c>
      <c r="Q247" s="12">
        <f>[1]data!N247-[1]data!N209</f>
        <v>0.22473051321472681</v>
      </c>
      <c r="R247" s="12">
        <f>[1]data!O247-[1]data!O209</f>
        <v>0.29120715053502666</v>
      </c>
      <c r="S247" s="12">
        <f>[1]data!P247-[1]data!P209</f>
        <v>0.29214966717914459</v>
      </c>
      <c r="T247" s="12">
        <f>[1]data!Q247-[1]data!Q209</f>
        <v>-0.71681760131699002</v>
      </c>
      <c r="U247" s="12">
        <f>[1]data!R247-[1]data!R209</f>
        <v>-0.71913764228712573</v>
      </c>
      <c r="V247" s="12">
        <f>[1]data!S247-[1]data!S209</f>
        <v>-0.17920440032924745</v>
      </c>
      <c r="W247" s="12">
        <f>[1]data!T247-[1]data!T209</f>
        <v>-0.17978441057178163</v>
      </c>
      <c r="X247" s="12">
        <f>[1]data!U247-[1]data!U209</f>
        <v>-0.17920440032924756</v>
      </c>
      <c r="Y247" s="12">
        <f>[1]data!V247-[1]data!V209</f>
        <v>-0.17978441057178152</v>
      </c>
      <c r="Z247" s="12">
        <f>[1]data!W247-[1]data!W209</f>
        <v>0</v>
      </c>
      <c r="AA247" s="12">
        <f>[1]data!X247-[1]data!X209</f>
        <v>0</v>
      </c>
      <c r="AB247" s="12">
        <f>[1]data!Y247-[1]data!Y209</f>
        <v>0</v>
      </c>
      <c r="AC247" s="12">
        <f>[1]data!Z247-[1]data!Z209</f>
        <v>0</v>
      </c>
      <c r="AD247" s="14">
        <v>253.92231856471</v>
      </c>
      <c r="AE247" s="15">
        <v>254.7441596875</v>
      </c>
      <c r="AF247">
        <f>D247/(D247+H247)</f>
        <v>1.5333333333333337</v>
      </c>
      <c r="AG247">
        <f>(F247/(D247+H247))</f>
        <v>0.86666666666666659</v>
      </c>
      <c r="AH247">
        <f>(E247/(D247+H247))</f>
        <v>0.66666666666666696</v>
      </c>
      <c r="AI247">
        <f>(G247/(D247+H247))</f>
        <v>-2.1333333333333337</v>
      </c>
      <c r="AJ247">
        <f>(F247/(D247))</f>
        <v>0.56521739130434767</v>
      </c>
      <c r="AK247">
        <f>E247/D247</f>
        <v>0.43478260869565233</v>
      </c>
      <c r="AL247">
        <f>(H247/(C247+H247))</f>
        <v>0.47058823529411764</v>
      </c>
      <c r="AM247">
        <f>(I247/(D247+H247))</f>
        <v>-0.53333333333333366</v>
      </c>
      <c r="AN247">
        <f>(J247/(D247+H247))</f>
        <v>0</v>
      </c>
      <c r="AO247">
        <f>(I247/H247)</f>
        <v>1</v>
      </c>
      <c r="AP247">
        <f>J247/H247</f>
        <v>0</v>
      </c>
      <c r="AQ247">
        <f>(D247+H247)/AD247</f>
        <v>3.3709576982209007E-3</v>
      </c>
    </row>
    <row r="248" spans="1:43" x14ac:dyDescent="0.35">
      <c r="A248" s="17" t="s">
        <v>46</v>
      </c>
      <c r="B248" s="24" t="s">
        <v>72</v>
      </c>
      <c r="C248" s="28">
        <f t="shared" si="16"/>
        <v>-5.6493452038043417</v>
      </c>
      <c r="D248" s="12">
        <f>[1]data!C248-[1]data!C210</f>
        <v>-5.7977118455204177</v>
      </c>
      <c r="E248" s="12">
        <f>[1]data!D248-[1]data!D210</f>
        <v>0.44295659642621987</v>
      </c>
      <c r="F248" s="12">
        <f>[1]data!E248-[1]data!E210</f>
        <v>-6.2406684419466352</v>
      </c>
      <c r="G248" s="12">
        <f>[1]data!F248-[1]data!F210</f>
        <v>0.14836664171607339</v>
      </c>
      <c r="H248" s="12">
        <f>[1]data!G248-[1]data!G210</f>
        <v>-5.9803169430171215</v>
      </c>
      <c r="I248" s="12">
        <f>[1]data!H248-[1]data!H210</f>
        <v>-2.7048380066699576</v>
      </c>
      <c r="J248" s="12">
        <f>[1]data!I248-[1]data!I210</f>
        <v>-3.2754789363471639</v>
      </c>
      <c r="K248" s="12">
        <f>[1]data!J248-[1]data!J210</f>
        <v>0</v>
      </c>
      <c r="L248" s="13">
        <f t="shared" si="17"/>
        <v>-2.7706041484194297</v>
      </c>
      <c r="M248" s="12">
        <f>[1]data!K248-[1]data!K210</f>
        <v>-2.843367489691051</v>
      </c>
      <c r="N248" s="13">
        <f t="shared" si="18"/>
        <v>-1.8499071406385119</v>
      </c>
      <c r="O248" s="13">
        <f t="shared" si="19"/>
        <v>-1.922670481910133</v>
      </c>
      <c r="P248" s="12">
        <f>[1]data!M248-[1]data!M210</f>
        <v>0.21723887271073206</v>
      </c>
      <c r="Q248" s="12">
        <f>[1]data!N248-[1]data!N210</f>
        <v>0.14689580914134326</v>
      </c>
      <c r="R248" s="12">
        <f>[1]data!O248-[1]data!O210</f>
        <v>-3.0606063624017832</v>
      </c>
      <c r="S248" s="12">
        <f>[1]data!P248-[1]data!P210</f>
        <v>-2.0695662910514763</v>
      </c>
      <c r="T248" s="12">
        <f>[1]data!Q248-[1]data!Q210</f>
        <v>7.2763341271621207E-2</v>
      </c>
      <c r="U248" s="12">
        <f>[1]data!R248-[1]data!R210</f>
        <v>4.9202197371715828E-2</v>
      </c>
      <c r="V248" s="12">
        <f>[1]data!S248-[1]data!S210</f>
        <v>-2.9329223712561232</v>
      </c>
      <c r="W248" s="12">
        <f>[1]data!T248-[1]data!T210</f>
        <v>-1.9832270325214756</v>
      </c>
      <c r="X248" s="12">
        <f>[1]data!U248-[1]data!U210</f>
        <v>-1.3265316831826359</v>
      </c>
      <c r="Y248" s="12">
        <f>[1]data!V248-[1]data!V210</f>
        <v>-0.89699390593051476</v>
      </c>
      <c r="Z248" s="12">
        <f>[1]data!W248-[1]data!W210</f>
        <v>-1.6063906880734875</v>
      </c>
      <c r="AA248" s="12">
        <f>[1]data!X248-[1]data!X210</f>
        <v>-1.0862331265909611</v>
      </c>
      <c r="AB248" s="12">
        <f>[1]data!Y248-[1]data!Y210</f>
        <v>0</v>
      </c>
      <c r="AC248" s="12">
        <f>[1]data!Z248-[1]data!Z210</f>
        <v>0</v>
      </c>
      <c r="AD248" s="14">
        <v>301.54474727050001</v>
      </c>
      <c r="AE248" s="15">
        <v>203.90300819506001</v>
      </c>
      <c r="AF248">
        <f>D248/(D248+H248)</f>
        <v>0.49224806201550392</v>
      </c>
      <c r="AG248">
        <f>(F248/(D248+H248))</f>
        <v>0.52985678282770865</v>
      </c>
      <c r="AH248">
        <f>(E248/(D248+H248))</f>
        <v>-3.7608720812204871E-2</v>
      </c>
      <c r="AI248">
        <f>(G248/(D248+H248))</f>
        <v>-1.2596899224806179E-2</v>
      </c>
      <c r="AJ248">
        <f>(F248/(D248))</f>
        <v>1.0764019682641639</v>
      </c>
      <c r="AK248">
        <f>E248/D248</f>
        <v>-7.6401968264164205E-2</v>
      </c>
      <c r="AL248">
        <f>(H248/(C248+H248))</f>
        <v>0.51422963689892054</v>
      </c>
      <c r="AM248">
        <f>(I248/(D248+H248))</f>
        <v>0.22965116279069761</v>
      </c>
      <c r="AN248">
        <f>(J248/(D248+H248))</f>
        <v>0.27810077519379839</v>
      </c>
      <c r="AO248">
        <f>(I248/H248)</f>
        <v>0.45229007633587787</v>
      </c>
      <c r="AP248">
        <f>J248/H248</f>
        <v>0.54770992366412219</v>
      </c>
      <c r="AQ248">
        <f>(D248+H248)/AD248</f>
        <v>-3.9058975144316103E-2</v>
      </c>
    </row>
    <row r="249" spans="1:43" x14ac:dyDescent="0.35">
      <c r="A249" s="17" t="s">
        <v>47</v>
      </c>
      <c r="B249" s="24" t="s">
        <v>72</v>
      </c>
      <c r="C249" s="28">
        <f t="shared" si="16"/>
        <v>0.2704247219044934</v>
      </c>
      <c r="D249" s="12">
        <f>[1]data!C249-[1]data!C211</f>
        <v>0.19510445104624008</v>
      </c>
      <c r="E249" s="12">
        <f>[1]data!D249-[1]data!D211</f>
        <v>1.9965198850822666E-2</v>
      </c>
      <c r="F249" s="12">
        <f>[1]data!E249-[1]data!E211</f>
        <v>0.17513925219541737</v>
      </c>
      <c r="G249" s="12">
        <f>[1]data!F249-[1]data!F211</f>
        <v>7.5320270858253366E-2</v>
      </c>
      <c r="H249" s="12">
        <f>[1]data!G249-[1]data!G211</f>
        <v>-8.6448289280998403E-2</v>
      </c>
      <c r="I249" s="12">
        <f>[1]data!H249-[1]data!H211</f>
        <v>-8.862629246676515E-2</v>
      </c>
      <c r="J249" s="12">
        <f>[1]data!I249-[1]data!I211</f>
        <v>2.178003185766747E-3</v>
      </c>
      <c r="K249" s="12">
        <f>[1]data!J249-[1]data!J211</f>
        <v>0</v>
      </c>
      <c r="L249" s="13">
        <f t="shared" si="17"/>
        <v>1.3045090407984112</v>
      </c>
      <c r="M249" s="12">
        <f>[1]data!K249-[1]data!K211</f>
        <v>0.94116957391091915</v>
      </c>
      <c r="N249" s="13">
        <f t="shared" si="18"/>
        <v>1.3864816861053537</v>
      </c>
      <c r="O249" s="13">
        <f t="shared" si="19"/>
        <v>1.0231422192178625</v>
      </c>
      <c r="P249" s="12">
        <f>[1]data!M249-[1]data!M211</f>
        <v>9.6310656136810335E-2</v>
      </c>
      <c r="Q249" s="12">
        <f>[1]data!N249-[1]data!N211</f>
        <v>0.10469898431233282</v>
      </c>
      <c r="R249" s="12">
        <f>[1]data!O249-[1]data!O211</f>
        <v>0.84485891777410949</v>
      </c>
      <c r="S249" s="12">
        <f>[1]data!P249-[1]data!P211</f>
        <v>0.91844323490552959</v>
      </c>
      <c r="T249" s="12">
        <f>[1]data!Q249-[1]data!Q211</f>
        <v>0.3633394668874913</v>
      </c>
      <c r="U249" s="12">
        <f>[1]data!R249-[1]data!R211</f>
        <v>0.39498508960074769</v>
      </c>
      <c r="V249" s="12">
        <f>[1]data!S249-[1]data!S211</f>
        <v>-0.41702021225872654</v>
      </c>
      <c r="W249" s="12">
        <f>[1]data!T249-[1]data!T211</f>
        <v>-0.45334124397595565</v>
      </c>
      <c r="X249" s="12">
        <f>[1]data!U249-[1]data!U211</f>
        <v>-0.42752674001517887</v>
      </c>
      <c r="Y249" s="12">
        <f>[1]data!V249-[1]data!V211</f>
        <v>-0.46476285430313802</v>
      </c>
      <c r="Z249" s="12">
        <f>[1]data!W249-[1]data!W211</f>
        <v>1.0506527756452222E-2</v>
      </c>
      <c r="AA249" s="12">
        <f>[1]data!X249-[1]data!X211</f>
        <v>1.1421610327182252E-2</v>
      </c>
      <c r="AB249" s="12">
        <f>[1]data!Y249-[1]data!Y211</f>
        <v>0</v>
      </c>
      <c r="AC249" s="12">
        <f>[1]data!Z249-[1]data!Z211</f>
        <v>0</v>
      </c>
      <c r="AD249" s="14">
        <v>19.06914282116</v>
      </c>
      <c r="AE249" s="15">
        <v>20.729999827290001</v>
      </c>
      <c r="AF249">
        <f>D249/(D249+H249)</f>
        <v>1.7956133170595079</v>
      </c>
      <c r="AG249">
        <f>(F249/(D249+H249))</f>
        <v>1.6118667303361636</v>
      </c>
      <c r="AH249">
        <f>(E249/(D249+H249))</f>
        <v>0.18374658672334393</v>
      </c>
      <c r="AI249">
        <f>(G249/(D249+H249))</f>
        <v>0.6931983390043488</v>
      </c>
      <c r="AJ249">
        <f>(F249/(D249))</f>
        <v>0.89766917800306401</v>
      </c>
      <c r="AK249">
        <f>E249/D249</f>
        <v>0.10233082199693579</v>
      </c>
      <c r="AL249">
        <f>(H249/(C249+H249))</f>
        <v>-0.46988784404746842</v>
      </c>
      <c r="AM249">
        <f>(I249/(D249+H249))</f>
        <v>-0.81565822892076478</v>
      </c>
      <c r="AN249">
        <f>(J249/(D249+H249))</f>
        <v>2.0044911861256953E-2</v>
      </c>
      <c r="AO249">
        <f>(I249/H249)</f>
        <v>1.025194289023895</v>
      </c>
      <c r="AP249">
        <f>J249/H249</f>
        <v>-2.5194289023894874E-2</v>
      </c>
      <c r="AQ249">
        <f>(D249+H249)/AD249</f>
        <v>5.698009752419065E-3</v>
      </c>
    </row>
    <row r="250" spans="1:43" x14ac:dyDescent="0.35">
      <c r="A250" s="17" t="s">
        <v>48</v>
      </c>
      <c r="B250" s="24" t="s">
        <v>72</v>
      </c>
      <c r="C250" s="28">
        <f t="shared" si="16"/>
        <v>6.4596553239459826</v>
      </c>
      <c r="D250" s="12">
        <f>[1]data!C250-[1]data!C212</f>
        <v>6.0031425802042193</v>
      </c>
      <c r="E250" s="12">
        <f>[1]data!D250-[1]data!D212</f>
        <v>0.11412818593544127</v>
      </c>
      <c r="F250" s="12">
        <f>[1]data!E250-[1]data!E212</f>
        <v>5.8890143942687772</v>
      </c>
      <c r="G250" s="12">
        <f>[1]data!F250-[1]data!F212</f>
        <v>0.45651274374176465</v>
      </c>
      <c r="H250" s="12">
        <f>[1]data!G250-[1]data!G212</f>
        <v>-2.2825637187088237</v>
      </c>
      <c r="I250" s="12">
        <f>[1]data!H250-[1]data!H212</f>
        <v>-2.2825637187088246</v>
      </c>
      <c r="J250" s="12">
        <f>[1]data!I250-[1]data!I212</f>
        <v>0</v>
      </c>
      <c r="K250" s="12">
        <f>[1]data!J250-[1]data!J212</f>
        <v>0</v>
      </c>
      <c r="L250" s="13">
        <f t="shared" si="17"/>
        <v>1.7389599445679678</v>
      </c>
      <c r="M250" s="12">
        <f>[1]data!K250-[1]data!K212</f>
        <v>1.6160652488387814</v>
      </c>
      <c r="N250" s="13">
        <f t="shared" si="18"/>
        <v>1.5594286360620639</v>
      </c>
      <c r="O250" s="13">
        <f t="shared" si="19"/>
        <v>1.4365339403328792</v>
      </c>
      <c r="P250" s="12">
        <f>[1]data!M250-[1]data!M212</f>
        <v>3.0723673932296469E-2</v>
      </c>
      <c r="Q250" s="12">
        <f>[1]data!N250-[1]data!N212</f>
        <v>2.731053118503568E-2</v>
      </c>
      <c r="R250" s="12">
        <f>[1]data!O250-[1]data!O212</f>
        <v>1.5853415749064865</v>
      </c>
      <c r="S250" s="12">
        <f>[1]data!P250-[1]data!P212</f>
        <v>1.4092234091478435</v>
      </c>
      <c r="T250" s="12">
        <f>[1]data!Q250-[1]data!Q212</f>
        <v>0.12289469572918466</v>
      </c>
      <c r="U250" s="12">
        <f>[1]data!R250-[1]data!R212</f>
        <v>0.10924212474014272</v>
      </c>
      <c r="V250" s="12">
        <f>[1]data!S250-[1]data!S212</f>
        <v>-0.6144734786459245</v>
      </c>
      <c r="W250" s="12">
        <f>[1]data!T250-[1]data!T212</f>
        <v>-0.5462106237007136</v>
      </c>
      <c r="X250" s="12">
        <f>[1]data!U250-[1]data!U212</f>
        <v>-0.6144734786459245</v>
      </c>
      <c r="Y250" s="12">
        <f>[1]data!V250-[1]data!V212</f>
        <v>-0.5462106237007136</v>
      </c>
      <c r="Z250" s="12">
        <f>[1]data!W250-[1]data!W212</f>
        <v>0</v>
      </c>
      <c r="AA250" s="12">
        <f>[1]data!X250-[1]data!X212</f>
        <v>0</v>
      </c>
      <c r="AB250" s="12">
        <f>[1]data!Y250-[1]data!Y212</f>
        <v>0</v>
      </c>
      <c r="AC250" s="12">
        <f>[1]data!Z250-[1]data!Z212</f>
        <v>0</v>
      </c>
      <c r="AD250" s="14">
        <v>417.89075855828003</v>
      </c>
      <c r="AE250" s="15">
        <v>371.46659669328</v>
      </c>
      <c r="AF250">
        <f>D250/(D250+H250)</f>
        <v>1.6134969325153352</v>
      </c>
      <c r="AG250">
        <f>(F250/(D250+H250))</f>
        <v>1.5828220858895683</v>
      </c>
      <c r="AH250">
        <f>(E250/(D250+H250))</f>
        <v>3.0674846625766788E-2</v>
      </c>
      <c r="AI250">
        <f>(G250/(D250+H250))</f>
        <v>0.12269938650306703</v>
      </c>
      <c r="AJ250">
        <f>(F250/(D250))</f>
        <v>0.98098859315589337</v>
      </c>
      <c r="AK250">
        <f>E250/D250</f>
        <v>1.9011406844106439E-2</v>
      </c>
      <c r="AL250">
        <f>(H250/(C250+H250))</f>
        <v>-0.54644808743169249</v>
      </c>
      <c r="AM250">
        <f>(I250/(D250+H250))</f>
        <v>-0.61349693251533555</v>
      </c>
      <c r="AN250">
        <f>(J250/(D250+H250))</f>
        <v>0</v>
      </c>
      <c r="AO250">
        <f>(I250/H250)</f>
        <v>1.0000000000000004</v>
      </c>
      <c r="AP250">
        <f>J250/H250</f>
        <v>0</v>
      </c>
      <c r="AQ250">
        <f>(D250+H250)/AD250</f>
        <v>8.9032331663216596E-3</v>
      </c>
    </row>
    <row r="251" spans="1:43" x14ac:dyDescent="0.35">
      <c r="A251" s="17" t="s">
        <v>49</v>
      </c>
      <c r="B251" s="24" t="s">
        <v>72</v>
      </c>
      <c r="C251" s="28">
        <f t="shared" si="16"/>
        <v>1.5000000000000018</v>
      </c>
      <c r="D251" s="12">
        <f>[1]data!C251-[1]data!C213</f>
        <v>1.5</v>
      </c>
      <c r="E251" s="12">
        <f>[1]data!D251-[1]data!D213</f>
        <v>2.9000000000000004</v>
      </c>
      <c r="F251" s="12">
        <f>[1]data!E251-[1]data!E213</f>
        <v>-1.3999999999999986</v>
      </c>
      <c r="G251" s="12">
        <f>[1]data!F251-[1]data!F213</f>
        <v>0</v>
      </c>
      <c r="H251" s="12">
        <f>[1]data!G251-[1]data!G213</f>
        <v>-1.6999999999999993</v>
      </c>
      <c r="I251" s="12">
        <f>[1]data!H251-[1]data!H213</f>
        <v>-1.7000000000000002</v>
      </c>
      <c r="J251" s="12">
        <f>[1]data!I251-[1]data!I213</f>
        <v>0</v>
      </c>
      <c r="K251" s="12">
        <f>[1]data!J251-[1]data!J213</f>
        <v>0</v>
      </c>
      <c r="L251" s="13">
        <f t="shared" si="17"/>
        <v>0.41845643653965037</v>
      </c>
      <c r="M251" s="12">
        <f>[1]data!K251-[1]data!K213</f>
        <v>0.4184564365396497</v>
      </c>
      <c r="N251" s="13">
        <f t="shared" si="18"/>
        <v>0.43808832247855189</v>
      </c>
      <c r="O251" s="13">
        <f t="shared" si="19"/>
        <v>0.43808832247855189</v>
      </c>
      <c r="P251" s="12">
        <f>[1]data!M251-[1]data!M213</f>
        <v>0.80901577730998819</v>
      </c>
      <c r="Q251" s="12">
        <f>[1]data!N251-[1]data!N213</f>
        <v>0.84697075679186451</v>
      </c>
      <c r="R251" s="12">
        <f>[1]data!O251-[1]data!O213</f>
        <v>-0.39055934077033783</v>
      </c>
      <c r="S251" s="12">
        <f>[1]data!P251-[1]data!P213</f>
        <v>-0.40888243431331261</v>
      </c>
      <c r="T251" s="12">
        <f>[1]data!Q251-[1]data!Q213</f>
        <v>0</v>
      </c>
      <c r="U251" s="12">
        <f>[1]data!R251-[1]data!R213</f>
        <v>0</v>
      </c>
      <c r="V251" s="12">
        <f>[1]data!S251-[1]data!S213</f>
        <v>-0.47425062807826901</v>
      </c>
      <c r="W251" s="12">
        <f>[1]data!T251-[1]data!T213</f>
        <v>-0.49650009880902424</v>
      </c>
      <c r="X251" s="12">
        <f>[1]data!U251-[1]data!U213</f>
        <v>-0.4742506280782689</v>
      </c>
      <c r="Y251" s="12">
        <f>[1]data!V251-[1]data!V213</f>
        <v>-0.4965000988090239</v>
      </c>
      <c r="Z251" s="12">
        <f>[1]data!W251-[1]data!W213</f>
        <v>0</v>
      </c>
      <c r="AA251" s="12">
        <f>[1]data!X251-[1]data!X213</f>
        <v>0</v>
      </c>
      <c r="AB251" s="12">
        <f>[1]data!Y251-[1]data!Y213</f>
        <v>0</v>
      </c>
      <c r="AC251" s="12">
        <f>[1]data!Z251-[1]data!Z213</f>
        <v>0</v>
      </c>
      <c r="AD251" s="14">
        <v>342.39670930134002</v>
      </c>
      <c r="AE251" s="15">
        <v>358.46025273358998</v>
      </c>
      <c r="AF251">
        <f>D251/(D251+H251)</f>
        <v>-7.5000000000000266</v>
      </c>
      <c r="AG251">
        <f>(F251/(D251+H251))</f>
        <v>7.0000000000000178</v>
      </c>
      <c r="AH251">
        <f>(E251/(D251+H251))</f>
        <v>-14.500000000000053</v>
      </c>
      <c r="AI251">
        <f>(G251/(D251+H251))</f>
        <v>0</v>
      </c>
      <c r="AJ251">
        <f>(F251/(D251))</f>
        <v>-0.93333333333333235</v>
      </c>
      <c r="AK251">
        <f>E251/D251</f>
        <v>1.9333333333333336</v>
      </c>
      <c r="AL251">
        <f>(H251/(C251+H251))</f>
        <v>8.500000000000103</v>
      </c>
      <c r="AM251">
        <f>(I251/(D251+H251))</f>
        <v>8.500000000000032</v>
      </c>
      <c r="AN251">
        <f>(J251/(D251+H251))</f>
        <v>0</v>
      </c>
      <c r="AO251">
        <f>(I251/H251)</f>
        <v>1.0000000000000004</v>
      </c>
      <c r="AP251">
        <f>J251/H251</f>
        <v>0</v>
      </c>
      <c r="AQ251">
        <f>(D251+H251)/AD251</f>
        <v>-5.8411776330473213E-4</v>
      </c>
    </row>
    <row r="252" spans="1:43" x14ac:dyDescent="0.35">
      <c r="A252" s="21" t="s">
        <v>50</v>
      </c>
      <c r="B252" s="24" t="s">
        <v>72</v>
      </c>
      <c r="C252" s="28">
        <f t="shared" si="16"/>
        <v>0.63608896592116526</v>
      </c>
      <c r="D252" s="12">
        <f>[1]data!C252-[1]data!C214</f>
        <v>0.63608896592116526</v>
      </c>
      <c r="E252" s="12">
        <f>[1]data!D252-[1]data!D214</f>
        <v>0</v>
      </c>
      <c r="F252" s="12">
        <f>[1]data!E252-[1]data!E214</f>
        <v>0.63608896592116526</v>
      </c>
      <c r="G252" s="12">
        <f>[1]data!F252-[1]data!F214</f>
        <v>0</v>
      </c>
      <c r="H252" s="12">
        <f>[1]data!G252-[1]data!G214</f>
        <v>-0.37597881601197791</v>
      </c>
      <c r="I252" s="12">
        <f>[1]data!H252-[1]data!H214</f>
        <v>-2.1798038880997683E-2</v>
      </c>
      <c r="J252" s="12">
        <f>[1]data!I252-[1]data!I214</f>
        <v>-0.3541807771309804</v>
      </c>
      <c r="K252" s="12">
        <f>[1]data!J252-[1]data!J214</f>
        <v>0</v>
      </c>
      <c r="L252" s="13">
        <f t="shared" si="17"/>
        <v>2.1090428744257403</v>
      </c>
      <c r="M252" s="12">
        <f>[1]data!K252-[1]data!K214</f>
        <v>2.1090428744257412</v>
      </c>
      <c r="N252" s="13">
        <f t="shared" si="18"/>
        <v>1.1477070431122103</v>
      </c>
      <c r="O252" s="13">
        <f t="shared" si="19"/>
        <v>1.1477070431122103</v>
      </c>
      <c r="P252" s="12">
        <f>[1]data!M252-[1]data!M214</f>
        <v>0</v>
      </c>
      <c r="Q252" s="12">
        <f>[1]data!N252-[1]data!N214</f>
        <v>0</v>
      </c>
      <c r="R252" s="12">
        <f>[1]data!O252-[1]data!O214</f>
        <v>2.1090428744257403</v>
      </c>
      <c r="S252" s="12">
        <f>[1]data!P252-[1]data!P214</f>
        <v>1.1477070431122103</v>
      </c>
      <c r="T252" s="12">
        <f>[1]data!Q252-[1]data!Q214</f>
        <v>0</v>
      </c>
      <c r="U252" s="12">
        <f>[1]data!R252-[1]data!R214</f>
        <v>0</v>
      </c>
      <c r="V252" s="12">
        <f>[1]data!S252-[1]data!S214</f>
        <v>-1.2466109071657199</v>
      </c>
      <c r="W252" s="12">
        <f>[1]data!T252-[1]data!T214</f>
        <v>-0.6783855062994717</v>
      </c>
      <c r="X252" s="12">
        <f>[1]data!U252-[1]data!U214</f>
        <v>-7.2274478950985488E-2</v>
      </c>
      <c r="Y252" s="12">
        <f>[1]data!V252-[1]data!V214</f>
        <v>-3.9330603249067231E-2</v>
      </c>
      <c r="Z252" s="12">
        <f>[1]data!W252-[1]data!W214</f>
        <v>-1.1743364282147346</v>
      </c>
      <c r="AA252" s="12">
        <f>[1]data!X252-[1]data!X214</f>
        <v>-0.63905490305040458</v>
      </c>
      <c r="AB252" s="12">
        <f>[1]data!Y252-[1]data!Y214</f>
        <v>0</v>
      </c>
      <c r="AC252" s="12">
        <f>[1]data!Z252-[1]data!Z214</f>
        <v>0</v>
      </c>
      <c r="AD252" s="22">
        <v>55.422589739999999</v>
      </c>
      <c r="AE252" s="15">
        <v>30.160077523049999</v>
      </c>
      <c r="AF252">
        <f>D252/(D252+H252)</f>
        <v>2.445459995095324</v>
      </c>
      <c r="AG252">
        <f>(F252/(D252+H252))</f>
        <v>2.445459995095324</v>
      </c>
      <c r="AH252">
        <f>(E252/(D252+H252))</f>
        <v>0</v>
      </c>
      <c r="AI252">
        <f>(G252/(D252+H252))</f>
        <v>0</v>
      </c>
      <c r="AJ252">
        <f>(F252/(D252))</f>
        <v>1</v>
      </c>
      <c r="AK252">
        <f>E252/D252</f>
        <v>0</v>
      </c>
      <c r="AL252">
        <f>(H252/(C252+H252))</f>
        <v>-1.445459995095324</v>
      </c>
      <c r="AM252">
        <f>(I252/(D252+H252))</f>
        <v>-8.3803107601176138E-2</v>
      </c>
      <c r="AN252">
        <f>(J252/(D252+H252))</f>
        <v>-1.3616568874941484</v>
      </c>
      <c r="AO252">
        <f>(I252/H252)</f>
        <v>5.7976774096504528E-2</v>
      </c>
      <c r="AP252">
        <f>J252/H252</f>
        <v>0.94202322590349596</v>
      </c>
      <c r="AQ252">
        <f>(D252+H252)/AD252</f>
        <v>4.6932153681273894E-3</v>
      </c>
    </row>
    <row r="253" spans="1:43" x14ac:dyDescent="0.35">
      <c r="A253" s="17" t="s">
        <v>51</v>
      </c>
      <c r="B253" s="24" t="s">
        <v>72</v>
      </c>
      <c r="C253" s="28">
        <f t="shared" si="16"/>
        <v>0.23917700000000042</v>
      </c>
      <c r="D253" s="12">
        <f>[1]data!C253-[1]data!C215</f>
        <v>0.23779700000000048</v>
      </c>
      <c r="E253" s="12">
        <f>[1]data!D253-[1]data!D215</f>
        <v>1.3394000000000128E-2</v>
      </c>
      <c r="F253" s="12">
        <f>[1]data!E253-[1]data!E215</f>
        <v>0.22440300000000013</v>
      </c>
      <c r="G253" s="12">
        <f>[1]data!F253-[1]data!F215</f>
        <v>1.3800000000001589E-3</v>
      </c>
      <c r="H253" s="12">
        <f>[1]data!G253-[1]data!G215</f>
        <v>1.1412818593544038E-2</v>
      </c>
      <c r="I253" s="12">
        <f>[1]data!H253-[1]data!H215</f>
        <v>1.1412818593544094E-2</v>
      </c>
      <c r="J253" s="12">
        <f>[1]data!I253-[1]data!I215</f>
        <v>0</v>
      </c>
      <c r="K253" s="12">
        <f>[1]data!J253-[1]data!J215</f>
        <v>0</v>
      </c>
      <c r="L253" s="13">
        <f t="shared" si="17"/>
        <v>0.4960452710025649</v>
      </c>
      <c r="M253" s="12">
        <f>[1]data!K253-[1]data!K215</f>
        <v>0.4931831961626596</v>
      </c>
      <c r="N253" s="13">
        <f t="shared" si="18"/>
        <v>0.24767019998110462</v>
      </c>
      <c r="O253" s="13">
        <f t="shared" si="19"/>
        <v>0.24480812514120065</v>
      </c>
      <c r="P253" s="12">
        <f>[1]data!M253-[1]data!M215</f>
        <v>2.7778717685264187E-2</v>
      </c>
      <c r="Q253" s="12">
        <f>[1]data!N253-[1]data!N215</f>
        <v>1.3788904099468313E-2</v>
      </c>
      <c r="R253" s="12">
        <f>[1]data!O253-[1]data!O215</f>
        <v>0.46540447847739674</v>
      </c>
      <c r="S253" s="12">
        <f>[1]data!P253-[1]data!P215</f>
        <v>0.23101922104173234</v>
      </c>
      <c r="T253" s="12">
        <f>[1]data!Q253-[1]data!Q215</f>
        <v>2.8620748399039719E-3</v>
      </c>
      <c r="U253" s="12">
        <f>[1]data!R253-[1]data!R215</f>
        <v>1.4206874464139929E-3</v>
      </c>
      <c r="V253" s="12">
        <f>[1]data!S253-[1]data!S215</f>
        <v>2.3669812281856828E-2</v>
      </c>
      <c r="W253" s="12">
        <f>[1]data!T253-[1]data!T215</f>
        <v>1.1749310220322995E-2</v>
      </c>
      <c r="X253" s="12">
        <f>[1]data!U253-[1]data!U215</f>
        <v>2.3669812281856828E-2</v>
      </c>
      <c r="Y253" s="12">
        <f>[1]data!V253-[1]data!V215</f>
        <v>1.1749310220323106E-2</v>
      </c>
      <c r="Z253" s="12">
        <f>[1]data!W253-[1]data!W215</f>
        <v>0</v>
      </c>
      <c r="AA253" s="12">
        <f>[1]data!X253-[1]data!X215</f>
        <v>0</v>
      </c>
      <c r="AB253" s="12">
        <f>[1]data!Y253-[1]data!Y215</f>
        <v>0</v>
      </c>
      <c r="AC253" s="12">
        <f>[1]data!Z253-[1]data!Z215</f>
        <v>0</v>
      </c>
      <c r="AD253" s="14">
        <v>97.136073348400004</v>
      </c>
      <c r="AE253" s="15">
        <v>48.216768505140003</v>
      </c>
      <c r="AF253">
        <f>D253/(D253+H253)</f>
        <v>0.95420397696224768</v>
      </c>
      <c r="AG253">
        <f>(F253/(D253+H253))</f>
        <v>0.90045810099479373</v>
      </c>
      <c r="AH253">
        <f>(E253/(D253+H253))</f>
        <v>5.3745875967453088E-2</v>
      </c>
      <c r="AI253">
        <f>(G253/(D253+H253))</f>
        <v>5.5375025261380538E-3</v>
      </c>
      <c r="AJ253">
        <f>(F253/(D253))</f>
        <v>0.94367464686265878</v>
      </c>
      <c r="AK253">
        <f>E253/D253</f>
        <v>5.6325353137340259E-2</v>
      </c>
      <c r="AL253">
        <f>(H253/(C253+H253))</f>
        <v>4.5543823997317219E-2</v>
      </c>
      <c r="AM253">
        <f>(I253/(D253+H253))</f>
        <v>4.5796023037752528E-2</v>
      </c>
      <c r="AN253">
        <f>(J253/(D253+H253))</f>
        <v>0</v>
      </c>
      <c r="AO253">
        <f>(I253/H253)</f>
        <v>1.0000000000000049</v>
      </c>
      <c r="AP253">
        <f>J253/H253</f>
        <v>0</v>
      </c>
      <c r="AQ253">
        <f>(D253+H253)/AD253</f>
        <v>2.5655743536152466E-3</v>
      </c>
    </row>
    <row r="254" spans="1:43" x14ac:dyDescent="0.35">
      <c r="A254" s="17" t="s">
        <v>52</v>
      </c>
      <c r="B254" s="24" t="s">
        <v>72</v>
      </c>
      <c r="C254" s="28">
        <f t="shared" si="16"/>
        <v>0</v>
      </c>
      <c r="D254" s="12">
        <f>[1]data!C254-[1]data!C216</f>
        <v>0</v>
      </c>
      <c r="E254" s="12">
        <f>[1]data!D254-[1]data!D216</f>
        <v>0</v>
      </c>
      <c r="F254" s="12">
        <f>[1]data!E254-[1]data!E216</f>
        <v>0</v>
      </c>
      <c r="G254" s="12">
        <f>[1]data!F254-[1]data!F216</f>
        <v>0</v>
      </c>
      <c r="H254" s="12">
        <f>[1]data!G254-[1]data!G216</f>
        <v>0</v>
      </c>
      <c r="I254" s="12">
        <f>[1]data!H254-[1]data!H216</f>
        <v>0</v>
      </c>
      <c r="J254" s="12">
        <f>[1]data!I254-[1]data!I216</f>
        <v>0</v>
      </c>
      <c r="K254" s="12">
        <f>[1]data!J254-[1]data!J216</f>
        <v>0</v>
      </c>
      <c r="L254" s="13">
        <f t="shared" si="17"/>
        <v>0</v>
      </c>
      <c r="M254" s="12">
        <f>[1]data!K254-[1]data!K216</f>
        <v>0</v>
      </c>
      <c r="N254" s="13">
        <f t="shared" si="18"/>
        <v>0</v>
      </c>
      <c r="O254" s="13">
        <f t="shared" si="19"/>
        <v>0</v>
      </c>
      <c r="P254" s="12">
        <f>[1]data!M254-[1]data!M216</f>
        <v>0</v>
      </c>
      <c r="Q254" s="12">
        <f>[1]data!N254-[1]data!N216</f>
        <v>0</v>
      </c>
      <c r="R254" s="12">
        <f>[1]data!O254-[1]data!O216</f>
        <v>0</v>
      </c>
      <c r="S254" s="12">
        <f>[1]data!P254-[1]data!P216</f>
        <v>0</v>
      </c>
      <c r="T254" s="12">
        <f>[1]data!Q254-[1]data!Q216</f>
        <v>0</v>
      </c>
      <c r="U254" s="12">
        <f>[1]data!R254-[1]data!R216</f>
        <v>0</v>
      </c>
      <c r="V254" s="12">
        <f>[1]data!S254-[1]data!S216</f>
        <v>0</v>
      </c>
      <c r="W254" s="12">
        <f>[1]data!T254-[1]data!T216</f>
        <v>0</v>
      </c>
      <c r="X254" s="12">
        <f>[1]data!U254-[1]data!U216</f>
        <v>0</v>
      </c>
      <c r="Y254" s="12">
        <f>[1]data!V254-[1]data!V216</f>
        <v>0</v>
      </c>
      <c r="Z254" s="12">
        <f>[1]data!W254-[1]data!W216</f>
        <v>0</v>
      </c>
      <c r="AA254" s="12">
        <f>[1]data!X254-[1]data!X216</f>
        <v>0</v>
      </c>
      <c r="AB254" s="12">
        <f>[1]data!Y254-[1]data!Y216</f>
        <v>0</v>
      </c>
      <c r="AC254" s="12">
        <f>[1]data!Z254-[1]data!Z216</f>
        <v>0</v>
      </c>
      <c r="AD254" s="14">
        <v>66.343484468840003</v>
      </c>
      <c r="AE254" s="15">
        <v>66.557495896739994</v>
      </c>
      <c r="AF254" t="e">
        <f>D254/(D254+H254)</f>
        <v>#DIV/0!</v>
      </c>
      <c r="AG254" t="e">
        <f>(F254/(D254+H254))</f>
        <v>#DIV/0!</v>
      </c>
      <c r="AH254" t="e">
        <f>(E254/(D254+H254))</f>
        <v>#DIV/0!</v>
      </c>
      <c r="AI254" t="e">
        <f>(G254/(D254+H254))</f>
        <v>#DIV/0!</v>
      </c>
      <c r="AJ254" t="e">
        <f>(F254/(D254))</f>
        <v>#DIV/0!</v>
      </c>
      <c r="AK254" t="e">
        <f>E254/D254</f>
        <v>#DIV/0!</v>
      </c>
      <c r="AL254" t="e">
        <f>(H254/(C254+H254))</f>
        <v>#DIV/0!</v>
      </c>
      <c r="AM254" t="e">
        <f>(I254/(D254+H254))</f>
        <v>#DIV/0!</v>
      </c>
      <c r="AN254" t="e">
        <f>(J254/(D254+H254))</f>
        <v>#DIV/0!</v>
      </c>
      <c r="AO254" t="e">
        <f>(I254/H254)</f>
        <v>#DIV/0!</v>
      </c>
      <c r="AP254" t="e">
        <f>J254/H254</f>
        <v>#DIV/0!</v>
      </c>
      <c r="AQ254">
        <f>(D254+H254)/AD254</f>
        <v>0</v>
      </c>
    </row>
    <row r="255" spans="1:43" x14ac:dyDescent="0.35">
      <c r="A255" s="17" t="s">
        <v>53</v>
      </c>
      <c r="B255" s="24" t="s">
        <v>72</v>
      </c>
      <c r="C255" s="28">
        <f t="shared" si="16"/>
        <v>-1.2554100452898531</v>
      </c>
      <c r="D255" s="12">
        <f>[1]data!C255-[1]data!C217</f>
        <v>0</v>
      </c>
      <c r="E255" s="12">
        <f>[1]data!D255-[1]data!D217</f>
        <v>0</v>
      </c>
      <c r="F255" s="12">
        <f>[1]data!E255-[1]data!E217</f>
        <v>0</v>
      </c>
      <c r="G255" s="12">
        <f>[1]data!F255-[1]data!F217</f>
        <v>-1.2554100452898531</v>
      </c>
      <c r="H255" s="12">
        <f>[1]data!G255-[1]data!G217</f>
        <v>0</v>
      </c>
      <c r="I255" s="12">
        <f>[1]data!H255-[1]data!H217</f>
        <v>0</v>
      </c>
      <c r="J255" s="12">
        <f>[1]data!I255-[1]data!I217</f>
        <v>0</v>
      </c>
      <c r="K255" s="12">
        <f>[1]data!J255-[1]data!J217</f>
        <v>0</v>
      </c>
      <c r="L255" s="13">
        <f t="shared" si="17"/>
        <v>-0.14940903361763991</v>
      </c>
      <c r="M255" s="12">
        <f>[1]data!K255-[1]data!K217</f>
        <v>0</v>
      </c>
      <c r="N255" s="13">
        <f t="shared" si="18"/>
        <v>-0.14940903361763991</v>
      </c>
      <c r="O255" s="13">
        <f t="shared" si="19"/>
        <v>0</v>
      </c>
      <c r="P255" s="12">
        <f>[1]data!M255-[1]data!M217</f>
        <v>0</v>
      </c>
      <c r="Q255" s="12">
        <f>[1]data!N255-[1]data!N217</f>
        <v>0</v>
      </c>
      <c r="R255" s="12">
        <f>[1]data!O255-[1]data!O217</f>
        <v>0</v>
      </c>
      <c r="S255" s="12">
        <f>[1]data!P255-[1]data!P217</f>
        <v>0</v>
      </c>
      <c r="T255" s="12">
        <f>[1]data!Q255-[1]data!Q217</f>
        <v>-0.14940903361763991</v>
      </c>
      <c r="U255" s="12">
        <f>[1]data!R255-[1]data!R217</f>
        <v>-0.13463702333676997</v>
      </c>
      <c r="V255" s="12">
        <f>[1]data!S255-[1]data!S217</f>
        <v>0</v>
      </c>
      <c r="W255" s="12">
        <f>[1]data!T255-[1]data!T217</f>
        <v>0</v>
      </c>
      <c r="X255" s="12">
        <f>[1]data!U255-[1]data!U217</f>
        <v>0</v>
      </c>
      <c r="Y255" s="12">
        <f>[1]data!V255-[1]data!V217</f>
        <v>0</v>
      </c>
      <c r="Z255" s="12">
        <f>[1]data!W255-[1]data!W217</f>
        <v>0</v>
      </c>
      <c r="AA255" s="12">
        <f>[1]data!X255-[1]data!X217</f>
        <v>0</v>
      </c>
      <c r="AB255" s="12">
        <f>[1]data!Y255-[1]data!Y217</f>
        <v>0</v>
      </c>
      <c r="AC255" s="12">
        <f>[1]data!Z255-[1]data!Z217</f>
        <v>0</v>
      </c>
      <c r="AD255" s="14">
        <v>932.44043441874999</v>
      </c>
      <c r="AE255" s="15">
        <v>840.25042856688003</v>
      </c>
      <c r="AF255" t="e">
        <f>D255/(D255+H255)</f>
        <v>#DIV/0!</v>
      </c>
      <c r="AG255" t="e">
        <f>(F255/(D255+H255))</f>
        <v>#DIV/0!</v>
      </c>
      <c r="AH255" t="e">
        <f>(E255/(D255+H255))</f>
        <v>#DIV/0!</v>
      </c>
      <c r="AI255" t="e">
        <f>(G255/(D255+H255))</f>
        <v>#DIV/0!</v>
      </c>
      <c r="AJ255" t="e">
        <f>(F255/(D255))</f>
        <v>#DIV/0!</v>
      </c>
      <c r="AK255" t="e">
        <f>E255/D255</f>
        <v>#DIV/0!</v>
      </c>
      <c r="AL255">
        <f>(H255/(C255+H255))</f>
        <v>0</v>
      </c>
      <c r="AM255" t="e">
        <f>(I255/(D255+H255))</f>
        <v>#DIV/0!</v>
      </c>
      <c r="AN255" t="e">
        <f>(J255/(D255+H255))</f>
        <v>#DIV/0!</v>
      </c>
      <c r="AO255" t="e">
        <f>(I255/H255)</f>
        <v>#DIV/0!</v>
      </c>
      <c r="AP255" t="e">
        <f>J255/H255</f>
        <v>#DIV/0!</v>
      </c>
      <c r="AQ255">
        <f>(D255+H255)/AD255</f>
        <v>0</v>
      </c>
    </row>
    <row r="256" spans="1:43" x14ac:dyDescent="0.35">
      <c r="A256" s="17" t="s">
        <v>54</v>
      </c>
      <c r="B256" s="24" t="s">
        <v>72</v>
      </c>
      <c r="C256" s="28">
        <f t="shared" si="16"/>
        <v>0</v>
      </c>
      <c r="D256" s="12">
        <f>[1]data!C256-[1]data!C218</f>
        <v>0</v>
      </c>
      <c r="E256" s="12">
        <f>[1]data!D256-[1]data!D218</f>
        <v>0</v>
      </c>
      <c r="F256" s="12">
        <f>[1]data!E256-[1]data!E218</f>
        <v>0</v>
      </c>
      <c r="G256" s="12">
        <f>[1]data!F256-[1]data!F218</f>
        <v>0</v>
      </c>
      <c r="H256" s="12">
        <f>[1]data!G256-[1]data!G218</f>
        <v>0.65002147584386361</v>
      </c>
      <c r="I256" s="12">
        <f>[1]data!H256-[1]data!H218</f>
        <v>0.39001288550631807</v>
      </c>
      <c r="J256" s="12">
        <f>[1]data!I256-[1]data!I218</f>
        <v>0.26000859033754531</v>
      </c>
      <c r="K256" s="12">
        <f>[1]data!J256-[1]data!J218</f>
        <v>0</v>
      </c>
      <c r="L256" s="13">
        <f t="shared" si="17"/>
        <v>0</v>
      </c>
      <c r="M256" s="12">
        <f>[1]data!K256-[1]data!K218</f>
        <v>0</v>
      </c>
      <c r="N256" s="13">
        <f t="shared" si="18"/>
        <v>0</v>
      </c>
      <c r="O256" s="13">
        <f t="shared" si="19"/>
        <v>0</v>
      </c>
      <c r="P256" s="12">
        <f>[1]data!M256-[1]data!M218</f>
        <v>0</v>
      </c>
      <c r="Q256" s="12">
        <f>[1]data!N256-[1]data!N218</f>
        <v>0</v>
      </c>
      <c r="R256" s="12">
        <f>[1]data!O256-[1]data!O218</f>
        <v>0</v>
      </c>
      <c r="S256" s="12">
        <f>[1]data!P256-[1]data!P218</f>
        <v>0</v>
      </c>
      <c r="T256" s="12">
        <f>[1]data!Q256-[1]data!Q218</f>
        <v>0</v>
      </c>
      <c r="U256" s="12">
        <f>[1]data!R256-[1]data!R218</f>
        <v>0</v>
      </c>
      <c r="V256" s="12">
        <f>[1]data!S256-[1]data!S218</f>
        <v>0.32030373440945104</v>
      </c>
      <c r="W256" s="12">
        <f>[1]data!T256-[1]data!T218</f>
        <v>0.33510786454283226</v>
      </c>
      <c r="X256" s="12">
        <f>[1]data!U256-[1]data!U218</f>
        <v>0.19218224064567058</v>
      </c>
      <c r="Y256" s="12">
        <f>[1]data!V256-[1]data!V218</f>
        <v>0.20106471872569931</v>
      </c>
      <c r="Z256" s="12">
        <f>[1]data!W256-[1]data!W218</f>
        <v>0.12812149376378013</v>
      </c>
      <c r="AA256" s="12">
        <f>[1]data!X256-[1]data!X218</f>
        <v>0.13404314581713284</v>
      </c>
      <c r="AB256" s="12">
        <f>[1]data!Y256-[1]data!Y218</f>
        <v>0</v>
      </c>
      <c r="AC256" s="12">
        <f>[1]data!Z256-[1]data!Z218</f>
        <v>0</v>
      </c>
      <c r="AD256" s="14">
        <v>193.97380504054999</v>
      </c>
      <c r="AE256" s="15">
        <v>202.93908750153</v>
      </c>
      <c r="AF256">
        <f>D256/(D256+H256)</f>
        <v>0</v>
      </c>
      <c r="AG256">
        <f>(F256/(D256+H256))</f>
        <v>0</v>
      </c>
      <c r="AH256">
        <f>(E256/(D256+H256))</f>
        <v>0</v>
      </c>
      <c r="AI256">
        <f>(G256/(D256+H256))</f>
        <v>0</v>
      </c>
      <c r="AJ256" t="e">
        <f>(F256/(D256))</f>
        <v>#DIV/0!</v>
      </c>
      <c r="AK256" t="e">
        <f>E256/D256</f>
        <v>#DIV/0!</v>
      </c>
      <c r="AL256">
        <f>(H256/(C256+H256))</f>
        <v>1</v>
      </c>
      <c r="AM256">
        <f>(I256/(D256+H256))</f>
        <v>0.59999999999999987</v>
      </c>
      <c r="AN256">
        <f>(J256/(D256+H256))</f>
        <v>0.3999999999999998</v>
      </c>
      <c r="AO256">
        <f>(I256/H256)</f>
        <v>0.59999999999999987</v>
      </c>
      <c r="AP256">
        <f>J256/H256</f>
        <v>0.3999999999999998</v>
      </c>
      <c r="AQ256">
        <f>(D256+H256)/AD256</f>
        <v>3.3510786454283214E-3</v>
      </c>
    </row>
    <row r="257" spans="1:43" x14ac:dyDescent="0.35">
      <c r="A257" s="17" t="s">
        <v>55</v>
      </c>
      <c r="B257" s="24" t="s">
        <v>72</v>
      </c>
      <c r="C257" s="28">
        <f t="shared" si="16"/>
        <v>0</v>
      </c>
      <c r="D257" s="12">
        <f>[1]data!C257-[1]data!C219</f>
        <v>0</v>
      </c>
      <c r="E257" s="12">
        <f>[1]data!D257-[1]data!D219</f>
        <v>0</v>
      </c>
      <c r="F257" s="12">
        <f>[1]data!E257-[1]data!E219</f>
        <v>0</v>
      </c>
      <c r="G257" s="12">
        <f>[1]data!F257-[1]data!F219</f>
        <v>0</v>
      </c>
      <c r="H257" s="12">
        <f>[1]data!G257-[1]data!G219</f>
        <v>0</v>
      </c>
      <c r="I257" s="12">
        <f>[1]data!H257-[1]data!H219</f>
        <v>0</v>
      </c>
      <c r="J257" s="12">
        <f>[1]data!I257-[1]data!I219</f>
        <v>0</v>
      </c>
      <c r="K257" s="12">
        <f>[1]data!J257-[1]data!J219</f>
        <v>0</v>
      </c>
      <c r="L257" s="13">
        <f t="shared" si="17"/>
        <v>0</v>
      </c>
      <c r="M257" s="12">
        <f>[1]data!K257-[1]data!K219</f>
        <v>0</v>
      </c>
      <c r="N257" s="13">
        <f t="shared" si="18"/>
        <v>0</v>
      </c>
      <c r="O257" s="13">
        <f t="shared" si="19"/>
        <v>0</v>
      </c>
      <c r="P257" s="12">
        <f>[1]data!M257-[1]data!M219</f>
        <v>0</v>
      </c>
      <c r="Q257" s="12">
        <f>[1]data!N257-[1]data!N219</f>
        <v>0</v>
      </c>
      <c r="R257" s="12">
        <f>[1]data!O257-[1]data!O219</f>
        <v>0</v>
      </c>
      <c r="S257" s="12">
        <f>[1]data!P257-[1]data!P219</f>
        <v>0</v>
      </c>
      <c r="T257" s="12">
        <f>[1]data!Q257-[1]data!Q219</f>
        <v>0</v>
      </c>
      <c r="U257" s="12">
        <f>[1]data!R257-[1]data!R219</f>
        <v>0</v>
      </c>
      <c r="V257" s="12">
        <f>[1]data!S257-[1]data!S219</f>
        <v>0</v>
      </c>
      <c r="W257" s="12">
        <f>[1]data!T257-[1]data!T219</f>
        <v>0</v>
      </c>
      <c r="X257" s="12">
        <f>[1]data!U257-[1]data!U219</f>
        <v>0</v>
      </c>
      <c r="Y257" s="12">
        <f>[1]data!V257-[1]data!V219</f>
        <v>0</v>
      </c>
      <c r="Z257" s="12">
        <f>[1]data!W257-[1]data!W219</f>
        <v>0</v>
      </c>
      <c r="AA257" s="12">
        <f>[1]data!X257-[1]data!X219</f>
        <v>0</v>
      </c>
      <c r="AB257" s="12">
        <f>[1]data!Y257-[1]data!Y219</f>
        <v>0</v>
      </c>
      <c r="AC257" s="12">
        <f>[1]data!Z257-[1]data!Z219</f>
        <v>0</v>
      </c>
      <c r="AD257" s="14">
        <v>330.45426768437</v>
      </c>
      <c r="AE257" s="15">
        <v>410.24933347112</v>
      </c>
      <c r="AF257" t="e">
        <f>D257/(D257+H257)</f>
        <v>#DIV/0!</v>
      </c>
      <c r="AG257" t="e">
        <f>(F257/(D257+H257))</f>
        <v>#DIV/0!</v>
      </c>
      <c r="AH257" t="e">
        <f>(E257/(D257+H257))</f>
        <v>#DIV/0!</v>
      </c>
      <c r="AI257" t="e">
        <f>(G257/(D257+H257))</f>
        <v>#DIV/0!</v>
      </c>
      <c r="AJ257" t="e">
        <f>(F257/(D257))</f>
        <v>#DIV/0!</v>
      </c>
      <c r="AK257" t="e">
        <f>E257/D257</f>
        <v>#DIV/0!</v>
      </c>
      <c r="AL257" t="e">
        <f>(H257/(C257+H257))</f>
        <v>#DIV/0!</v>
      </c>
      <c r="AM257" t="e">
        <f>(I257/(D257+H257))</f>
        <v>#DIV/0!</v>
      </c>
      <c r="AN257" t="e">
        <f>(J257/(D257+H257))</f>
        <v>#DIV/0!</v>
      </c>
      <c r="AO257" t="e">
        <f>(I257/H257)</f>
        <v>#DIV/0!</v>
      </c>
      <c r="AP257" t="e">
        <f>J257/H257</f>
        <v>#DIV/0!</v>
      </c>
      <c r="AQ257">
        <f>(D257+H257)/AD257</f>
        <v>0</v>
      </c>
    </row>
    <row r="258" spans="1:43" x14ac:dyDescent="0.35">
      <c r="A258" s="17" t="s">
        <v>56</v>
      </c>
      <c r="B258" s="24" t="s">
        <v>72</v>
      </c>
      <c r="C258" s="28">
        <f t="shared" si="16"/>
        <v>0.79889730154809069</v>
      </c>
      <c r="D258" s="12">
        <f>[1]data!C258-[1]data!C220</f>
        <v>0.79889730154809158</v>
      </c>
      <c r="E258" s="12">
        <f>[1]data!D258-[1]data!D220</f>
        <v>0.34238455780632382</v>
      </c>
      <c r="F258" s="12">
        <f>[1]data!E258-[1]data!E220</f>
        <v>0.45651274374176687</v>
      </c>
      <c r="G258" s="12">
        <f>[1]data!F258-[1]data!F220</f>
        <v>0</v>
      </c>
      <c r="H258" s="12">
        <f>[1]data!G258-[1]data!G220</f>
        <v>0</v>
      </c>
      <c r="I258" s="12">
        <f>[1]data!H258-[1]data!H220</f>
        <v>0</v>
      </c>
      <c r="J258" s="12">
        <f>[1]data!I258-[1]data!I220</f>
        <v>0</v>
      </c>
      <c r="K258" s="12">
        <f>[1]data!J258-[1]data!J220</f>
        <v>0</v>
      </c>
      <c r="L258" s="13">
        <f t="shared" si="17"/>
        <v>0.35927718380528206</v>
      </c>
      <c r="M258" s="12">
        <f>[1]data!K258-[1]data!K220</f>
        <v>0.35927718380528173</v>
      </c>
      <c r="N258" s="13">
        <f t="shared" si="18"/>
        <v>0.23413247781510627</v>
      </c>
      <c r="O258" s="13">
        <f t="shared" si="19"/>
        <v>0.23413247781510627</v>
      </c>
      <c r="P258" s="12">
        <f>[1]data!M258-[1]data!M220</f>
        <v>0.15397593591654901</v>
      </c>
      <c r="Q258" s="12">
        <f>[1]data!N258-[1]data!N220</f>
        <v>0.10034249049218802</v>
      </c>
      <c r="R258" s="12">
        <f>[1]data!O258-[1]data!O220</f>
        <v>0.20530124788873305</v>
      </c>
      <c r="S258" s="12">
        <f>[1]data!P258-[1]data!P220</f>
        <v>0.13378998732291825</v>
      </c>
      <c r="T258" s="12">
        <f>[1]data!Q258-[1]data!Q220</f>
        <v>0</v>
      </c>
      <c r="U258" s="12">
        <f>[1]data!R258-[1]data!R220</f>
        <v>0</v>
      </c>
      <c r="V258" s="12">
        <f>[1]data!S258-[1]data!S220</f>
        <v>0</v>
      </c>
      <c r="W258" s="12">
        <f>[1]data!T258-[1]data!T220</f>
        <v>0</v>
      </c>
      <c r="X258" s="12">
        <f>[1]data!U258-[1]data!U220</f>
        <v>0</v>
      </c>
      <c r="Y258" s="12">
        <f>[1]data!V258-[1]data!V220</f>
        <v>0</v>
      </c>
      <c r="Z258" s="12">
        <f>[1]data!W258-[1]data!W220</f>
        <v>0</v>
      </c>
      <c r="AA258" s="12">
        <f>[1]data!X258-[1]data!X220</f>
        <v>0</v>
      </c>
      <c r="AB258" s="12">
        <f>[1]data!Y258-[1]data!Y220</f>
        <v>0</v>
      </c>
      <c r="AC258" s="12">
        <f>[1]data!Z258-[1]data!Z220</f>
        <v>0</v>
      </c>
      <c r="AD258" s="14">
        <v>341.21592570296002</v>
      </c>
      <c r="AE258" s="15">
        <v>222.36238134761999</v>
      </c>
      <c r="AF258">
        <f>D258/(D258+H258)</f>
        <v>1</v>
      </c>
      <c r="AG258">
        <f>(F258/(D258+H258))</f>
        <v>0.57142857142857173</v>
      </c>
      <c r="AH258">
        <f>(E258/(D258+H258))</f>
        <v>0.42857142857142716</v>
      </c>
      <c r="AI258">
        <f>(G258/(D258+H258))</f>
        <v>0</v>
      </c>
      <c r="AJ258">
        <f>(F258/(D258))</f>
        <v>0.57142857142857173</v>
      </c>
      <c r="AK258">
        <f>E258/D258</f>
        <v>0.42857142857142716</v>
      </c>
      <c r="AL258">
        <f>(H258/(C258+H258))</f>
        <v>0</v>
      </c>
      <c r="AM258">
        <f>(I258/(D258+H258))</f>
        <v>0</v>
      </c>
      <c r="AN258">
        <f>(J258/(D258+H258))</f>
        <v>0</v>
      </c>
      <c r="AO258" t="e">
        <f>(I258/H258)</f>
        <v>#DIV/0!</v>
      </c>
      <c r="AP258" t="e">
        <f>J258/H258</f>
        <v>#DIV/0!</v>
      </c>
      <c r="AQ258">
        <f>(D258+H258)/AD258</f>
        <v>2.3413247781510602E-3</v>
      </c>
    </row>
    <row r="259" spans="1:43" x14ac:dyDescent="0.35">
      <c r="A259" s="17" t="s">
        <v>57</v>
      </c>
      <c r="B259" s="24" t="s">
        <v>72</v>
      </c>
      <c r="C259" s="28">
        <f t="shared" ref="C259:C267" si="20">E259+F259+G259</f>
        <v>1.6802751266758578</v>
      </c>
      <c r="D259" s="12">
        <f>[1]data!C259-[1]data!C221</f>
        <v>1.6802751266758573</v>
      </c>
      <c r="E259" s="12">
        <f>[1]data!D259-[1]data!D221</f>
        <v>1.0192067280989021</v>
      </c>
      <c r="F259" s="12">
        <f>[1]data!E259-[1]data!E221</f>
        <v>0.66106839857695565</v>
      </c>
      <c r="G259" s="12">
        <f>[1]data!F259-[1]data!F221</f>
        <v>0</v>
      </c>
      <c r="H259" s="12">
        <f>[1]data!G259-[1]data!G221</f>
        <v>-2.7823680163275766</v>
      </c>
      <c r="I259" s="12">
        <f>[1]data!H259-[1]data!H221</f>
        <v>0</v>
      </c>
      <c r="J259" s="12">
        <f>[1]data!I259-[1]data!I221</f>
        <v>-2.7823680163275766</v>
      </c>
      <c r="K259" s="12">
        <f>[1]data!J259-[1]data!J221</f>
        <v>0</v>
      </c>
      <c r="L259" s="13">
        <f t="shared" ref="L259:L267" si="21">P259+R259+T259</f>
        <v>1.6889043949690115</v>
      </c>
      <c r="M259" s="12">
        <f>[1]data!K259-[1]data!K221</f>
        <v>1.6889043949690112</v>
      </c>
      <c r="N259" s="13">
        <f t="shared" ref="N259:N267" si="22">Q259+S259+T259</f>
        <v>0.92469264342358382</v>
      </c>
      <c r="O259" s="13">
        <f t="shared" ref="O259:O267" si="23">Q259+S259</f>
        <v>0.92469264342358382</v>
      </c>
      <c r="P259" s="12">
        <f>[1]data!M259-[1]data!M221</f>
        <v>1.0244409948944544</v>
      </c>
      <c r="Q259" s="12">
        <f>[1]data!N259-[1]data!N221</f>
        <v>0.56089205192566349</v>
      </c>
      <c r="R259" s="12">
        <f>[1]data!O259-[1]data!O221</f>
        <v>0.66446340007455706</v>
      </c>
      <c r="S259" s="12">
        <f>[1]data!P259-[1]data!P221</f>
        <v>0.36380059149792032</v>
      </c>
      <c r="T259" s="12">
        <f>[1]data!Q259-[1]data!Q221</f>
        <v>0</v>
      </c>
      <c r="U259" s="12">
        <f>[1]data!R259-[1]data!R221</f>
        <v>0</v>
      </c>
      <c r="V259" s="12">
        <f>[1]data!S259-[1]data!S221</f>
        <v>-2.7966572239234044</v>
      </c>
      <c r="W259" s="12">
        <f>[1]data!T259-[1]data!T221</f>
        <v>-1.531198787120716</v>
      </c>
      <c r="X259" s="12">
        <f>[1]data!U259-[1]data!U221</f>
        <v>0</v>
      </c>
      <c r="Y259" s="12">
        <f>[1]data!V259-[1]data!V221</f>
        <v>0</v>
      </c>
      <c r="Z259" s="12">
        <f>[1]data!W259-[1]data!W221</f>
        <v>-2.7966572239234044</v>
      </c>
      <c r="AA259" s="12">
        <f>[1]data!X259-[1]data!X221</f>
        <v>-1.531198787120716</v>
      </c>
      <c r="AB259" s="12">
        <f>[1]data!Y259-[1]data!Y221</f>
        <v>0</v>
      </c>
      <c r="AC259" s="12">
        <f>[1]data!Z259-[1]data!Z221</f>
        <v>0</v>
      </c>
      <c r="AD259" s="14">
        <v>181.71174374815001</v>
      </c>
      <c r="AE259" s="15">
        <v>99.489061173690004</v>
      </c>
      <c r="AF259">
        <f>D259/(D259+H259)</f>
        <v>-1.5246220554120931</v>
      </c>
      <c r="AG259">
        <f>(F259/(D259+H259))</f>
        <v>-0.59983001867098962</v>
      </c>
      <c r="AH259">
        <f>(E259/(D259+H259))</f>
        <v>-0.92479203674110388</v>
      </c>
      <c r="AI259">
        <f>(G259/(D259+H259))</f>
        <v>0</v>
      </c>
      <c r="AJ259">
        <f>(F259/(D259))</f>
        <v>0.39342866420023048</v>
      </c>
      <c r="AK259">
        <f>E259/D259</f>
        <v>0.60657133579976974</v>
      </c>
      <c r="AL259">
        <f>(H259/(C259+H259))</f>
        <v>2.5246220554120939</v>
      </c>
      <c r="AM259">
        <f>(I259/(D259+H259))</f>
        <v>0</v>
      </c>
      <c r="AN259">
        <f>(J259/(D259+H259))</f>
        <v>2.5246220554120931</v>
      </c>
      <c r="AO259">
        <f>(I259/H259)</f>
        <v>0</v>
      </c>
      <c r="AP259">
        <f>J259/H259</f>
        <v>1</v>
      </c>
      <c r="AQ259">
        <f>(D259+H259)/AD259</f>
        <v>-6.0650614369713212E-3</v>
      </c>
    </row>
    <row r="260" spans="1:43" x14ac:dyDescent="0.35">
      <c r="A260" s="17" t="s">
        <v>58</v>
      </c>
      <c r="B260" s="24" t="s">
        <v>72</v>
      </c>
      <c r="C260" s="28">
        <f t="shared" si="20"/>
        <v>1.0209999999999995</v>
      </c>
      <c r="D260" s="12">
        <f>[1]data!C260-[1]data!C222</f>
        <v>1.0209999999999999</v>
      </c>
      <c r="E260" s="12">
        <f>[1]data!D260-[1]data!D222</f>
        <v>-1.1999999999999955E-2</v>
      </c>
      <c r="F260" s="12">
        <f>[1]data!E260-[1]data!E222</f>
        <v>1.0329999999999995</v>
      </c>
      <c r="G260" s="12">
        <f>[1]data!F260-[1]data!F222</f>
        <v>0</v>
      </c>
      <c r="H260" s="12">
        <f>[1]data!G260-[1]data!G222</f>
        <v>0</v>
      </c>
      <c r="I260" s="12">
        <f>[1]data!H260-[1]data!H222</f>
        <v>0</v>
      </c>
      <c r="J260" s="12">
        <f>[1]data!I260-[1]data!I222</f>
        <v>0</v>
      </c>
      <c r="K260" s="12">
        <f>[1]data!J260-[1]data!J222</f>
        <v>0</v>
      </c>
      <c r="L260" s="13">
        <f t="shared" si="21"/>
        <v>2.0250713059145209</v>
      </c>
      <c r="M260" s="12">
        <f>[1]data!K260-[1]data!K222</f>
        <v>2.0250713059145209</v>
      </c>
      <c r="N260" s="13">
        <f t="shared" si="22"/>
        <v>1.342760872313151</v>
      </c>
      <c r="O260" s="13">
        <f>Q260+S260</f>
        <v>1.342760872313151</v>
      </c>
      <c r="P260" s="12">
        <f>[1]data!M260-[1]data!M222</f>
        <v>-2.3801033957859152E-2</v>
      </c>
      <c r="Q260" s="12">
        <f>[1]data!N260-[1]data!N222</f>
        <v>-1.5781714464013552E-2</v>
      </c>
      <c r="R260" s="12">
        <f>[1]data!O260-[1]data!O222</f>
        <v>2.0488723398723803</v>
      </c>
      <c r="S260" s="12">
        <f>[1]data!P260-[1]data!P222</f>
        <v>1.3585425867771646</v>
      </c>
      <c r="T260" s="12">
        <f>[1]data!Q260-[1]data!Q222</f>
        <v>0</v>
      </c>
      <c r="U260" s="12">
        <f>[1]data!R260-[1]data!R222</f>
        <v>0</v>
      </c>
      <c r="V260" s="12">
        <f>[1]data!S260-[1]data!S222</f>
        <v>0</v>
      </c>
      <c r="W260" s="12">
        <f>[1]data!T260-[1]data!T222</f>
        <v>0</v>
      </c>
      <c r="X260" s="12">
        <f>[1]data!U260-[1]data!U222</f>
        <v>0</v>
      </c>
      <c r="Y260" s="12">
        <f>[1]data!V260-[1]data!V222</f>
        <v>0</v>
      </c>
      <c r="Z260" s="12">
        <f>[1]data!W260-[1]data!W222</f>
        <v>0</v>
      </c>
      <c r="AA260" s="12">
        <f>[1]data!X260-[1]data!X222</f>
        <v>0</v>
      </c>
      <c r="AB260" s="12">
        <f>[1]data!Y260-[1]data!Y222</f>
        <v>0</v>
      </c>
      <c r="AC260" s="12">
        <f>[1]data!Z260-[1]data!Z222</f>
        <v>0</v>
      </c>
      <c r="AD260" s="14">
        <v>76.037366075549997</v>
      </c>
      <c r="AE260" s="15">
        <v>50.417977728389999</v>
      </c>
      <c r="AF260">
        <f>D260/(D260+H260)</f>
        <v>1</v>
      </c>
      <c r="AG260">
        <f>(F260/(D260+H260))</f>
        <v>1.0117531831537705</v>
      </c>
      <c r="AH260">
        <f>(E260/(D260+H260))</f>
        <v>-1.1753183153770771E-2</v>
      </c>
      <c r="AI260">
        <f>(G260/(D260+H260))</f>
        <v>0</v>
      </c>
      <c r="AJ260">
        <f>(F260/(D260))</f>
        <v>1.0117531831537705</v>
      </c>
      <c r="AK260">
        <f>E260/D260</f>
        <v>-1.1753183153770771E-2</v>
      </c>
      <c r="AL260">
        <f>(H260/(C260+H260))</f>
        <v>0</v>
      </c>
      <c r="AM260">
        <f>(I260/(D260+H260))</f>
        <v>0</v>
      </c>
      <c r="AN260">
        <f>(J260/(D260+H260))</f>
        <v>0</v>
      </c>
      <c r="AO260" t="e">
        <f>(I260/H260)</f>
        <v>#DIV/0!</v>
      </c>
      <c r="AP260" t="e">
        <f>J260/H260</f>
        <v>#DIV/0!</v>
      </c>
      <c r="AQ260">
        <f>(D260+H260)/AD260</f>
        <v>1.3427608723131521E-2</v>
      </c>
    </row>
    <row r="261" spans="1:43" x14ac:dyDescent="0.35">
      <c r="A261" s="17" t="s">
        <v>59</v>
      </c>
      <c r="B261" s="24" t="s">
        <v>72</v>
      </c>
      <c r="C261" s="28">
        <f t="shared" si="20"/>
        <v>0</v>
      </c>
      <c r="D261" s="12">
        <f>[1]data!C261-[1]data!C223</f>
        <v>0</v>
      </c>
      <c r="E261" s="12">
        <f>[1]data!D261-[1]data!D223</f>
        <v>0</v>
      </c>
      <c r="F261" s="12">
        <f>[1]data!E261-[1]data!E223</f>
        <v>0</v>
      </c>
      <c r="G261" s="12">
        <f>[1]data!F261-[1]data!F223</f>
        <v>0</v>
      </c>
      <c r="H261" s="12">
        <f>[1]data!G261-[1]data!G223</f>
        <v>0</v>
      </c>
      <c r="I261" s="12">
        <f>[1]data!H261-[1]data!H223</f>
        <v>0</v>
      </c>
      <c r="J261" s="12">
        <f>[1]data!I261-[1]data!I223</f>
        <v>0</v>
      </c>
      <c r="K261" s="12">
        <f>[1]data!J261-[1]data!J223</f>
        <v>0</v>
      </c>
      <c r="L261" s="13">
        <f t="shared" si="21"/>
        <v>0</v>
      </c>
      <c r="M261" s="12">
        <f>[1]data!K261-[1]data!K223</f>
        <v>0</v>
      </c>
      <c r="N261" s="13">
        <f t="shared" si="22"/>
        <v>0</v>
      </c>
      <c r="O261" s="13">
        <f t="shared" si="23"/>
        <v>0</v>
      </c>
      <c r="P261" s="12">
        <f>[1]data!M261-[1]data!M223</f>
        <v>0</v>
      </c>
      <c r="Q261" s="12">
        <f>[1]data!N261-[1]data!N223</f>
        <v>0</v>
      </c>
      <c r="R261" s="12">
        <f>[1]data!O261-[1]data!O223</f>
        <v>0</v>
      </c>
      <c r="S261" s="12">
        <f>[1]data!P261-[1]data!P223</f>
        <v>0</v>
      </c>
      <c r="T261" s="12">
        <f>[1]data!Q261-[1]data!Q223</f>
        <v>0</v>
      </c>
      <c r="U261" s="12">
        <f>[1]data!R261-[1]data!R223</f>
        <v>0</v>
      </c>
      <c r="V261" s="12">
        <f>[1]data!S261-[1]data!S223</f>
        <v>0</v>
      </c>
      <c r="W261" s="12">
        <f>[1]data!T261-[1]data!T223</f>
        <v>0</v>
      </c>
      <c r="X261" s="12">
        <f>[1]data!U261-[1]data!U223</f>
        <v>0</v>
      </c>
      <c r="Y261" s="12">
        <f>[1]data!V261-[1]data!V223</f>
        <v>0</v>
      </c>
      <c r="Z261" s="12">
        <f>[1]data!W261-[1]data!W223</f>
        <v>0</v>
      </c>
      <c r="AA261" s="12">
        <f>[1]data!X261-[1]data!X223</f>
        <v>0</v>
      </c>
      <c r="AB261" s="12">
        <f>[1]data!Y261-[1]data!Y223</f>
        <v>0</v>
      </c>
      <c r="AC261" s="12">
        <f>[1]data!Z261-[1]data!Z223</f>
        <v>0</v>
      </c>
      <c r="AD261" s="14">
        <v>521.00449074291998</v>
      </c>
      <c r="AE261" s="15">
        <v>549.82128194673999</v>
      </c>
      <c r="AF261" t="e">
        <f>D261/(D261+H261)</f>
        <v>#DIV/0!</v>
      </c>
      <c r="AG261" t="e">
        <f>(F261/(D261+H261))</f>
        <v>#DIV/0!</v>
      </c>
      <c r="AH261" t="e">
        <f>(E261/(D261+H261))</f>
        <v>#DIV/0!</v>
      </c>
      <c r="AI261" t="e">
        <f>(G261/(D261+H261))</f>
        <v>#DIV/0!</v>
      </c>
      <c r="AJ261" t="e">
        <f>(F261/(D261))</f>
        <v>#DIV/0!</v>
      </c>
      <c r="AK261" t="e">
        <f>E261/D261</f>
        <v>#DIV/0!</v>
      </c>
      <c r="AL261" t="e">
        <f>(H261/(C261+H261))</f>
        <v>#DIV/0!</v>
      </c>
      <c r="AM261" t="e">
        <f>(I261/(D261+H261))</f>
        <v>#DIV/0!</v>
      </c>
      <c r="AN261" t="e">
        <f>(J261/(D261+H261))</f>
        <v>#DIV/0!</v>
      </c>
      <c r="AO261" t="e">
        <f>(I261/H261)</f>
        <v>#DIV/0!</v>
      </c>
      <c r="AP261" t="e">
        <f>J261/H261</f>
        <v>#DIV/0!</v>
      </c>
      <c r="AQ261">
        <f>(D261+H261)/AD261</f>
        <v>0</v>
      </c>
    </row>
    <row r="262" spans="1:43" x14ac:dyDescent="0.35">
      <c r="A262" s="17" t="s">
        <v>60</v>
      </c>
      <c r="B262" s="24" t="s">
        <v>72</v>
      </c>
      <c r="C262" s="28">
        <f t="shared" si="20"/>
        <v>1.2984084998357872</v>
      </c>
      <c r="D262" s="12">
        <f>[1]data!C262-[1]data!C224</f>
        <v>1.2984084998357872</v>
      </c>
      <c r="E262" s="12">
        <f>[1]data!D262-[1]data!D224</f>
        <v>0.65080196341236274</v>
      </c>
      <c r="F262" s="12">
        <f>[1]data!E262-[1]data!E224</f>
        <v>0.64760653642342447</v>
      </c>
      <c r="G262" s="12">
        <f>[1]data!F262-[1]data!F224</f>
        <v>0</v>
      </c>
      <c r="H262" s="12">
        <f>[1]data!G262-[1]data!G224</f>
        <v>0.10651423296437912</v>
      </c>
      <c r="I262" s="12">
        <f>[1]data!H262-[1]data!H224</f>
        <v>0.10651423296438023</v>
      </c>
      <c r="J262" s="12">
        <f>[1]data!I262-[1]data!I224</f>
        <v>0</v>
      </c>
      <c r="K262" s="12">
        <f>[1]data!J262-[1]data!J224</f>
        <v>0</v>
      </c>
      <c r="L262" s="13">
        <f t="shared" si="21"/>
        <v>0.17379085773101055</v>
      </c>
      <c r="M262" s="12">
        <f>[1]data!K262-[1]data!K224</f>
        <v>0.17379085773101099</v>
      </c>
      <c r="N262" s="13">
        <f t="shared" si="22"/>
        <v>0.21976595367667562</v>
      </c>
      <c r="O262" s="13">
        <f t="shared" si="23"/>
        <v>0.21976595367667562</v>
      </c>
      <c r="P262" s="12">
        <f>[1]data!M262-[1]data!M224</f>
        <v>8.7109281438595421E-2</v>
      </c>
      <c r="Q262" s="12">
        <f>[1]data!N262-[1]data!N224</f>
        <v>0.11015340254015582</v>
      </c>
      <c r="R262" s="12">
        <f>[1]data!O262-[1]data!O224</f>
        <v>8.668157629241513E-2</v>
      </c>
      <c r="S262" s="12">
        <f>[1]data!P262-[1]data!P224</f>
        <v>0.1096125511365198</v>
      </c>
      <c r="T262" s="12">
        <f>[1]data!Q262-[1]data!Q224</f>
        <v>0</v>
      </c>
      <c r="U262" s="12">
        <f>[1]data!R262-[1]data!R224</f>
        <v>0</v>
      </c>
      <c r="V262" s="12">
        <f>[1]data!S262-[1]data!S224</f>
        <v>1.4256838205989553E-2</v>
      </c>
      <c r="W262" s="12">
        <f>[1]data!T262-[1]data!T224</f>
        <v>1.8028380121138277E-2</v>
      </c>
      <c r="X262" s="12">
        <f>[1]data!U262-[1]data!U224</f>
        <v>1.4256838205989442E-2</v>
      </c>
      <c r="Y262" s="12">
        <f>[1]data!V262-[1]data!V224</f>
        <v>1.8028380121138443E-2</v>
      </c>
      <c r="Z262" s="12">
        <f>[1]data!W262-[1]data!W224</f>
        <v>0</v>
      </c>
      <c r="AA262" s="12">
        <f>[1]data!X262-[1]data!X224</f>
        <v>0</v>
      </c>
      <c r="AB262" s="12">
        <f>[1]data!Y262-[1]data!Y224</f>
        <v>0</v>
      </c>
      <c r="AC262" s="12">
        <f>[1]data!Z262-[1]data!Z224</f>
        <v>0</v>
      </c>
      <c r="AD262" s="14">
        <v>590.81421763174001</v>
      </c>
      <c r="AE262" s="15">
        <v>747.10978286638999</v>
      </c>
      <c r="AF262">
        <f>D262/(D262+H262)</f>
        <v>0.92418498862774856</v>
      </c>
      <c r="AG262">
        <f>(F262/(D262+H262))</f>
        <v>0.4609552691432881</v>
      </c>
      <c r="AH262">
        <f>(E262/(D262+H262))</f>
        <v>0.46322971948446051</v>
      </c>
      <c r="AI262">
        <f>(G262/(D262+H262))</f>
        <v>0</v>
      </c>
      <c r="AJ262">
        <f>(F262/(D262))</f>
        <v>0.49876948318293418</v>
      </c>
      <c r="AK262">
        <f>E262/D262</f>
        <v>0.50123051681706576</v>
      </c>
      <c r="AL262">
        <f>(H262/(C262+H262))</f>
        <v>7.5815011372251398E-2</v>
      </c>
      <c r="AM262">
        <f>(I262/(D262+H262))</f>
        <v>7.5815011372252189E-2</v>
      </c>
      <c r="AN262">
        <f>(J262/(D262+H262))</f>
        <v>0</v>
      </c>
      <c r="AO262">
        <f>(I262/H262)</f>
        <v>1.0000000000000104</v>
      </c>
      <c r="AP262">
        <f>J262/H262</f>
        <v>0</v>
      </c>
      <c r="AQ262">
        <f>(D262+H262)/AD262</f>
        <v>2.3779433379781455E-3</v>
      </c>
    </row>
    <row r="263" spans="1:43" x14ac:dyDescent="0.35">
      <c r="A263" s="11" t="s">
        <v>61</v>
      </c>
      <c r="B263" s="24" t="s">
        <v>72</v>
      </c>
      <c r="C263" s="28">
        <f t="shared" si="20"/>
        <v>-2.8158699935514386</v>
      </c>
      <c r="D263" s="12">
        <f>[1]data!C263-[1]data!C225</f>
        <v>-3.5745495208810496</v>
      </c>
      <c r="E263" s="12">
        <f>[1]data!D263-[1]data!D225</f>
        <v>0</v>
      </c>
      <c r="F263" s="12">
        <f>[1]data!E263-[1]data!E225</f>
        <v>-3.5745495208810496</v>
      </c>
      <c r="G263" s="12">
        <f>[1]data!F263-[1]data!F225</f>
        <v>0.75867952732961097</v>
      </c>
      <c r="H263" s="12">
        <f>[1]data!G263-[1]data!G225</f>
        <v>0</v>
      </c>
      <c r="I263" s="12">
        <f>[1]data!H263-[1]data!H225</f>
        <v>0</v>
      </c>
      <c r="J263" s="12">
        <f>[1]data!I263-[1]data!I225</f>
        <v>0</v>
      </c>
      <c r="K263" s="12">
        <f>[1]data!J263-[1]data!J225</f>
        <v>0</v>
      </c>
      <c r="L263" s="13">
        <f t="shared" si="21"/>
        <v>-1.0749258765159455</v>
      </c>
      <c r="M263" s="12">
        <f>[1]data!K263-[1]data!K225</f>
        <v>-1.3645430313480578</v>
      </c>
      <c r="N263" s="13">
        <f t="shared" si="22"/>
        <v>-0.52040805230091447</v>
      </c>
      <c r="O263" s="13">
        <f t="shared" si="23"/>
        <v>-0.81002520713302673</v>
      </c>
      <c r="P263" s="12">
        <f>[1]data!M263-[1]data!M225</f>
        <v>0</v>
      </c>
      <c r="Q263" s="12">
        <f>[1]data!N263-[1]data!N225</f>
        <v>0</v>
      </c>
      <c r="R263" s="12">
        <f>[1]data!O263-[1]data!O225</f>
        <v>-1.3645430313480578</v>
      </c>
      <c r="S263" s="12">
        <f>[1]data!P263-[1]data!P225</f>
        <v>-0.81002520713302673</v>
      </c>
      <c r="T263" s="12">
        <f>[1]data!Q263-[1]data!Q225</f>
        <v>0.28961715483211226</v>
      </c>
      <c r="U263" s="12">
        <f>[1]data!R263-[1]data!R225</f>
        <v>0.17192363336493433</v>
      </c>
      <c r="V263" s="12">
        <f>[1]data!S263-[1]data!S225</f>
        <v>0</v>
      </c>
      <c r="W263" s="12">
        <f>[1]data!T263-[1]data!T225</f>
        <v>0</v>
      </c>
      <c r="X263" s="12">
        <f>[1]data!U263-[1]data!U225</f>
        <v>0</v>
      </c>
      <c r="Y263" s="12">
        <f>[1]data!V263-[1]data!V225</f>
        <v>0</v>
      </c>
      <c r="Z263" s="12">
        <f>[1]data!W263-[1]data!W225</f>
        <v>0</v>
      </c>
      <c r="AA263" s="12">
        <f>[1]data!X263-[1]data!X225</f>
        <v>0</v>
      </c>
      <c r="AB263" s="12">
        <f>[1]data!Y263-[1]data!Y225</f>
        <v>0</v>
      </c>
      <c r="AC263" s="12">
        <f>[1]data!Z263-[1]data!Z225</f>
        <v>0</v>
      </c>
      <c r="AD263" s="14">
        <v>441.28867711817003</v>
      </c>
      <c r="AE263" s="15">
        <v>261.95945739796002</v>
      </c>
      <c r="AF263">
        <f>D263/(D263+H263)</f>
        <v>1</v>
      </c>
      <c r="AG263">
        <f>(F263/(D263+H263))</f>
        <v>1</v>
      </c>
      <c r="AH263">
        <f>(E263/(D263+H263))</f>
        <v>0</v>
      </c>
      <c r="AI263">
        <f>(G263/(D263+H263))</f>
        <v>-0.2122447941755225</v>
      </c>
      <c r="AJ263">
        <f>(F263/(D263))</f>
        <v>1</v>
      </c>
      <c r="AK263">
        <f>E263/D263</f>
        <v>0</v>
      </c>
      <c r="AL263">
        <f>(H263/(C263+H263))</f>
        <v>0</v>
      </c>
      <c r="AM263">
        <f>(I263/(D263+H263))</f>
        <v>0</v>
      </c>
      <c r="AN263">
        <f>(J263/(D263+H263))</f>
        <v>0</v>
      </c>
      <c r="AO263" t="e">
        <f>(I263/H263)</f>
        <v>#DIV/0!</v>
      </c>
      <c r="AP263" t="e">
        <f>J263/H263</f>
        <v>#DIV/0!</v>
      </c>
      <c r="AQ263">
        <f>(D263+H263)/AD263</f>
        <v>-8.1002520713302651E-3</v>
      </c>
    </row>
    <row r="264" spans="1:43" x14ac:dyDescent="0.35">
      <c r="A264" s="11" t="s">
        <v>62</v>
      </c>
      <c r="B264" s="24" t="s">
        <v>72</v>
      </c>
      <c r="C264" s="28">
        <f t="shared" si="20"/>
        <v>-0.24016619392314498</v>
      </c>
      <c r="D264" s="12">
        <f>[1]data!C264-[1]data!C226</f>
        <v>-0.24016619392314453</v>
      </c>
      <c r="E264" s="12">
        <f>[1]data!D264-[1]data!D226</f>
        <v>-1.2996592230339221E-2</v>
      </c>
      <c r="F264" s="12">
        <f>[1]data!E264-[1]data!E226</f>
        <v>-0.22716960169280576</v>
      </c>
      <c r="G264" s="12">
        <f>[1]data!F264-[1]data!F226</f>
        <v>0</v>
      </c>
      <c r="H264" s="12">
        <f>[1]data!G264-[1]data!G226</f>
        <v>-0.96472621076456377</v>
      </c>
      <c r="I264" s="12">
        <f>[1]data!H264-[1]data!H226</f>
        <v>-0.96472621076456377</v>
      </c>
      <c r="J264" s="12">
        <f>[1]data!I264-[1]data!I226</f>
        <v>0</v>
      </c>
      <c r="K264" s="12">
        <f>[1]data!J264-[1]data!J226</f>
        <v>0</v>
      </c>
      <c r="L264" s="13">
        <f t="shared" si="21"/>
        <v>-7.4723710140849775E-2</v>
      </c>
      <c r="M264" s="12">
        <f>[1]data!K264-[1]data!K226</f>
        <v>-7.4723710140849775E-2</v>
      </c>
      <c r="N264" s="13">
        <f t="shared" si="22"/>
        <v>-3.4783045887894715E-2</v>
      </c>
      <c r="O264" s="13">
        <f t="shared" si="23"/>
        <v>-3.4783045887894715E-2</v>
      </c>
      <c r="P264" s="12">
        <f>[1]data!M264-[1]data!M226</f>
        <v>-4.0436731530562042E-3</v>
      </c>
      <c r="Q264" s="12">
        <f>[1]data!N264-[1]data!N226</f>
        <v>-1.8822843321520955E-3</v>
      </c>
      <c r="R264" s="12">
        <f>[1]data!O264-[1]data!O226</f>
        <v>-7.0680036987793571E-2</v>
      </c>
      <c r="S264" s="12">
        <f>[1]data!P264-[1]data!P226</f>
        <v>-3.2900761555742619E-2</v>
      </c>
      <c r="T264" s="12">
        <f>[1]data!Q264-[1]data!Q226</f>
        <v>0</v>
      </c>
      <c r="U264" s="12">
        <f>[1]data!R264-[1]data!R226</f>
        <v>0</v>
      </c>
      <c r="V264" s="12">
        <f>[1]data!S264-[1]data!S226</f>
        <v>-0.3001584884237305</v>
      </c>
      <c r="W264" s="12">
        <f>[1]data!T264-[1]data!T226</f>
        <v>-0.13972039740537667</v>
      </c>
      <c r="X264" s="12">
        <f>[1]data!U264-[1]data!U226</f>
        <v>-0.30015848842373094</v>
      </c>
      <c r="Y264" s="12">
        <f>[1]data!V264-[1]data!V226</f>
        <v>-0.13972039740537667</v>
      </c>
      <c r="Z264" s="12">
        <f>[1]data!W264-[1]data!W226</f>
        <v>0</v>
      </c>
      <c r="AA264" s="12">
        <f>[1]data!X264-[1]data!X226</f>
        <v>0</v>
      </c>
      <c r="AB264" s="12">
        <f>[1]data!Y264-[1]data!Y226</f>
        <v>0</v>
      </c>
      <c r="AC264" s="12">
        <f>[1]data!Z264-[1]data!Z226</f>
        <v>0</v>
      </c>
      <c r="AD264" s="14">
        <v>690.46912883131995</v>
      </c>
      <c r="AE264" s="15">
        <v>321.40560669490998</v>
      </c>
      <c r="AF264">
        <f>D264/(D264+H264)</f>
        <v>0.19932584269662845</v>
      </c>
      <c r="AG264">
        <f>(F264/(D264+H264))</f>
        <v>0.18853932584269631</v>
      </c>
      <c r="AH264">
        <f>(E264/(D264+H264))</f>
        <v>1.0786516853932497E-2</v>
      </c>
      <c r="AI264">
        <f>(G264/(D264+H264))</f>
        <v>0</v>
      </c>
      <c r="AJ264">
        <f>(F264/(D264))</f>
        <v>0.94588500563698064</v>
      </c>
      <c r="AK264">
        <f>E264/D264</f>
        <v>5.4114994363021196E-2</v>
      </c>
      <c r="AL264">
        <f>(H264/(C264+H264))</f>
        <v>0.80067415730337121</v>
      </c>
      <c r="AM264">
        <f>(I264/(D264+H264))</f>
        <v>0.80067415730337155</v>
      </c>
      <c r="AN264">
        <f>(J264/(D264+H264))</f>
        <v>0</v>
      </c>
      <c r="AO264">
        <f>(I264/H264)</f>
        <v>1</v>
      </c>
      <c r="AP264">
        <f>J264/H264</f>
        <v>0</v>
      </c>
      <c r="AQ264">
        <f>(D264+H264)/AD264</f>
        <v>-1.7450344329327152E-3</v>
      </c>
    </row>
    <row r="265" spans="1:43" x14ac:dyDescent="0.35">
      <c r="A265" s="11" t="s">
        <v>63</v>
      </c>
      <c r="B265" s="24" t="s">
        <v>72</v>
      </c>
      <c r="C265" s="28">
        <f t="shared" si="20"/>
        <v>0.14534662604214299</v>
      </c>
      <c r="D265" s="12">
        <f>[1]data!C265-[1]data!C227</f>
        <v>0.14534662604214299</v>
      </c>
      <c r="E265" s="12">
        <f>[1]data!D265-[1]data!D227</f>
        <v>0</v>
      </c>
      <c r="F265" s="12">
        <f>[1]data!E265-[1]data!E227</f>
        <v>0.14534662604214299</v>
      </c>
      <c r="G265" s="12">
        <f>[1]data!F265-[1]data!F227</f>
        <v>0</v>
      </c>
      <c r="H265" s="12">
        <f>[1]data!G265-[1]data!G227</f>
        <v>0</v>
      </c>
      <c r="I265" s="12">
        <f>[1]data!H265-[1]data!H227</f>
        <v>0</v>
      </c>
      <c r="J265" s="12">
        <f>[1]data!I265-[1]data!I227</f>
        <v>0</v>
      </c>
      <c r="K265" s="12">
        <f>[1]data!J265-[1]data!J227</f>
        <v>0</v>
      </c>
      <c r="L265" s="13">
        <f t="shared" si="21"/>
        <v>0.22575488547941247</v>
      </c>
      <c r="M265" s="12">
        <f>[1]data!K265-[1]data!K227</f>
        <v>0.22575488547941269</v>
      </c>
      <c r="N265" s="13">
        <f t="shared" si="22"/>
        <v>0.15931280210150367</v>
      </c>
      <c r="O265" s="13">
        <f t="shared" si="23"/>
        <v>0.15931280210150367</v>
      </c>
      <c r="P265" s="12">
        <f>[1]data!M265-[1]data!M227</f>
        <v>0</v>
      </c>
      <c r="Q265" s="12">
        <f>[1]data!N265-[1]data!N227</f>
        <v>0</v>
      </c>
      <c r="R265" s="12">
        <f>[1]data!O265-[1]data!O227</f>
        <v>0.22575488547941247</v>
      </c>
      <c r="S265" s="12">
        <f>[1]data!P265-[1]data!P227</f>
        <v>0.15931280210150367</v>
      </c>
      <c r="T265" s="12">
        <f>[1]data!Q265-[1]data!Q227</f>
        <v>0</v>
      </c>
      <c r="U265" s="12">
        <f>[1]data!R265-[1]data!R227</f>
        <v>0</v>
      </c>
      <c r="V265" s="12">
        <f>[1]data!S265-[1]data!S227</f>
        <v>0</v>
      </c>
      <c r="W265" s="12">
        <f>[1]data!T265-[1]data!T227</f>
        <v>0</v>
      </c>
      <c r="X265" s="12">
        <f>[1]data!U265-[1]data!U227</f>
        <v>0</v>
      </c>
      <c r="Y265" s="12">
        <f>[1]data!V265-[1]data!V227</f>
        <v>0</v>
      </c>
      <c r="Z265" s="12">
        <f>[1]data!W265-[1]data!W227</f>
        <v>0</v>
      </c>
      <c r="AA265" s="12">
        <f>[1]data!X265-[1]data!X227</f>
        <v>0</v>
      </c>
      <c r="AB265" s="12">
        <f>[1]data!Y265-[1]data!Y227</f>
        <v>0</v>
      </c>
      <c r="AC265" s="12">
        <f>[1]data!Z265-[1]data!Z227</f>
        <v>0</v>
      </c>
      <c r="AD265" s="14">
        <v>91.233487908610002</v>
      </c>
      <c r="AE265" s="15">
        <v>64.38249419652</v>
      </c>
      <c r="AF265">
        <f>D265/(D265+H265)</f>
        <v>1</v>
      </c>
      <c r="AG265">
        <f>(F265/(D265+H265))</f>
        <v>1</v>
      </c>
      <c r="AH265">
        <f>(E265/(D265+H265))</f>
        <v>0</v>
      </c>
      <c r="AI265">
        <f>(G265/(D265+H265))</f>
        <v>0</v>
      </c>
      <c r="AJ265">
        <f>(F265/(D265))</f>
        <v>1</v>
      </c>
      <c r="AK265">
        <f>E265/D265</f>
        <v>0</v>
      </c>
      <c r="AL265">
        <f>(H265/(C265+H265))</f>
        <v>0</v>
      </c>
      <c r="AM265">
        <f>(I265/(D265+H265))</f>
        <v>0</v>
      </c>
      <c r="AN265">
        <f>(J265/(D265+H265))</f>
        <v>0</v>
      </c>
      <c r="AO265" t="e">
        <f>(I265/H265)</f>
        <v>#DIV/0!</v>
      </c>
      <c r="AP265" t="e">
        <f>J265/H265</f>
        <v>#DIV/0!</v>
      </c>
      <c r="AQ265">
        <f>(D265+H265)/AD265</f>
        <v>1.5931280210150351E-3</v>
      </c>
    </row>
    <row r="266" spans="1:43" x14ac:dyDescent="0.35">
      <c r="A266" s="11" t="s">
        <v>64</v>
      </c>
      <c r="B266" s="24" t="s">
        <v>72</v>
      </c>
      <c r="C266" s="28">
        <f t="shared" si="20"/>
        <v>1.5108626716739559</v>
      </c>
      <c r="D266" s="12">
        <f>[1]data!C266-[1]data!C228</f>
        <v>1.510862671673955</v>
      </c>
      <c r="E266" s="12">
        <f>[1]data!D266-[1]data!D228</f>
        <v>0.66420956936764153</v>
      </c>
      <c r="F266" s="12">
        <f>[1]data!E266-[1]data!E228</f>
        <v>0.84665310230631441</v>
      </c>
      <c r="G266" s="12">
        <f>[1]data!F266-[1]data!F228</f>
        <v>0</v>
      </c>
      <c r="H266" s="12">
        <f>[1]data!G266-[1]data!G228</f>
        <v>6.4232296886403972E-3</v>
      </c>
      <c r="I266" s="12">
        <f>[1]data!H266-[1]data!H228</f>
        <v>0</v>
      </c>
      <c r="J266" s="12">
        <f>[1]data!I266-[1]data!I228</f>
        <v>6.4232296886403972E-3</v>
      </c>
      <c r="K266" s="12">
        <f>[1]data!J266-[1]data!J228</f>
        <v>0</v>
      </c>
      <c r="L266" s="13">
        <f t="shared" si="21"/>
        <v>1.0251200504614806</v>
      </c>
      <c r="M266" s="12">
        <f>[1]data!K266-[1]data!K228</f>
        <v>1.0251200504614815</v>
      </c>
      <c r="N266" s="13">
        <f t="shared" si="22"/>
        <v>0.48755094727856196</v>
      </c>
      <c r="O266" s="13">
        <f t="shared" si="23"/>
        <v>0.48755094727856196</v>
      </c>
      <c r="P266" s="12">
        <f>[1]data!M266-[1]data!M228</f>
        <v>0.45066607312017215</v>
      </c>
      <c r="Q266" s="12">
        <f>[1]data!N266-[1]data!N228</f>
        <v>0.21433847748577062</v>
      </c>
      <c r="R266" s="12">
        <f>[1]data!O266-[1]data!O228</f>
        <v>0.57445397734130843</v>
      </c>
      <c r="S266" s="12">
        <f>[1]data!P266-[1]data!P228</f>
        <v>0.27321246979279135</v>
      </c>
      <c r="T266" s="12">
        <f>[1]data!Q266-[1]data!Q228</f>
        <v>0</v>
      </c>
      <c r="U266" s="12">
        <f>[1]data!R266-[1]data!R228</f>
        <v>0</v>
      </c>
      <c r="V266" s="12">
        <f>[1]data!S266-[1]data!S228</f>
        <v>4.3581601862259234E-3</v>
      </c>
      <c r="W266" s="12">
        <f>[1]data!T266-[1]data!T228</f>
        <v>2.0727573577650205E-3</v>
      </c>
      <c r="X266" s="12">
        <f>[1]data!U266-[1]data!U228</f>
        <v>0</v>
      </c>
      <c r="Y266" s="12">
        <f>[1]data!V266-[1]data!V228</f>
        <v>0</v>
      </c>
      <c r="Z266" s="12">
        <f>[1]data!W266-[1]data!W228</f>
        <v>4.3581601862259234E-3</v>
      </c>
      <c r="AA266" s="12">
        <f>[1]data!X266-[1]data!X228</f>
        <v>2.0727573577650205E-3</v>
      </c>
      <c r="AB266" s="12">
        <f>[1]data!Y266-[1]data!Y228</f>
        <v>0</v>
      </c>
      <c r="AC266" s="12">
        <f>[1]data!Z266-[1]data!Z228</f>
        <v>0</v>
      </c>
      <c r="AD266" s="14">
        <v>309.88816247970999</v>
      </c>
      <c r="AE266" s="15">
        <v>147.38397429586999</v>
      </c>
      <c r="AF266">
        <f>D266/(D266+H266)</f>
        <v>0.99576663192950521</v>
      </c>
      <c r="AG266">
        <f>(F266/(D266+H266))</f>
        <v>0.55800498874073723</v>
      </c>
      <c r="AH266">
        <f>(E266/(D266+H266))</f>
        <v>0.43776164318876853</v>
      </c>
      <c r="AI266">
        <f>(G266/(D266+H266))</f>
        <v>0</v>
      </c>
      <c r="AJ266">
        <f>(F266/(D266))</f>
        <v>0.56037727199141674</v>
      </c>
      <c r="AK266">
        <f>E266/D266</f>
        <v>0.43962272800858387</v>
      </c>
      <c r="AL266">
        <f>(H266/(C266+H266))</f>
        <v>4.2333680704948395E-3</v>
      </c>
      <c r="AM266">
        <f>(I266/(D266+H266))</f>
        <v>0</v>
      </c>
      <c r="AN266">
        <f>(J266/(D266+H266))</f>
        <v>4.2333680704948412E-3</v>
      </c>
      <c r="AO266">
        <f>(I266/H266)</f>
        <v>0</v>
      </c>
      <c r="AP266">
        <f>J266/H266</f>
        <v>1</v>
      </c>
      <c r="AQ266">
        <f>(D266+H266)/AD266</f>
        <v>4.8962370463632669E-3</v>
      </c>
    </row>
    <row r="267" spans="1:43" x14ac:dyDescent="0.35">
      <c r="A267" s="11" t="s">
        <v>65</v>
      </c>
      <c r="B267" s="24" t="s">
        <v>72</v>
      </c>
      <c r="C267" s="28">
        <f t="shared" si="20"/>
        <v>0</v>
      </c>
      <c r="D267" s="12">
        <f>[1]data!C267-[1]data!C229</f>
        <v>0</v>
      </c>
      <c r="E267" s="12">
        <f>[1]data!D267-[1]data!D229</f>
        <v>0</v>
      </c>
      <c r="F267" s="12">
        <f>[1]data!E267-[1]data!E229</f>
        <v>0</v>
      </c>
      <c r="G267" s="12">
        <f>[1]data!F267-[1]data!F229</f>
        <v>0</v>
      </c>
      <c r="H267" s="12">
        <f>[1]data!G267-[1]data!G229</f>
        <v>0</v>
      </c>
      <c r="I267" s="12">
        <f>[1]data!H267-[1]data!H229</f>
        <v>0</v>
      </c>
      <c r="J267" s="12">
        <f>[1]data!I267-[1]data!I229</f>
        <v>0</v>
      </c>
      <c r="K267" s="12">
        <f>[1]data!J267-[1]data!J229</f>
        <v>0</v>
      </c>
      <c r="L267" s="13">
        <f t="shared" si="21"/>
        <v>0</v>
      </c>
      <c r="M267" s="12">
        <f>[1]data!K267-[1]data!K229</f>
        <v>0</v>
      </c>
      <c r="N267" s="13">
        <f t="shared" si="22"/>
        <v>0</v>
      </c>
      <c r="O267" s="13">
        <f t="shared" si="23"/>
        <v>0</v>
      </c>
      <c r="P267" s="12">
        <f>[1]data!M267-[1]data!M229</f>
        <v>0</v>
      </c>
      <c r="Q267" s="12">
        <f>[1]data!N267-[1]data!N229</f>
        <v>0</v>
      </c>
      <c r="R267" s="12">
        <f>[1]data!O267-[1]data!O229</f>
        <v>0</v>
      </c>
      <c r="S267" s="12">
        <f>[1]data!P267-[1]data!P229</f>
        <v>0</v>
      </c>
      <c r="T267" s="12">
        <f>[1]data!Q267-[1]data!Q229</f>
        <v>0</v>
      </c>
      <c r="U267" s="12">
        <f>[1]data!R267-[1]data!R229</f>
        <v>0</v>
      </c>
      <c r="V267" s="12">
        <f>[1]data!S267-[1]data!S229</f>
        <v>0</v>
      </c>
      <c r="W267" s="12">
        <f>[1]data!T267-[1]data!T229</f>
        <v>0</v>
      </c>
      <c r="X267" s="12">
        <f>[1]data!U267-[1]data!U229</f>
        <v>0</v>
      </c>
      <c r="Y267" s="12">
        <f>[1]data!V267-[1]data!V229</f>
        <v>0</v>
      </c>
      <c r="Z267" s="12">
        <f>[1]data!W267-[1]data!W229</f>
        <v>0</v>
      </c>
      <c r="AA267" s="12">
        <f>[1]data!X267-[1]data!X229</f>
        <v>0</v>
      </c>
      <c r="AB267" s="12">
        <f>[1]data!Y267-[1]data!Y229</f>
        <v>0</v>
      </c>
      <c r="AC267" s="12">
        <f>[1]data!Z267-[1]data!Z229</f>
        <v>0</v>
      </c>
      <c r="AD267" s="14">
        <v>1215.4228689920101</v>
      </c>
      <c r="AE267" s="15">
        <v>571.50311712429004</v>
      </c>
      <c r="AF267" t="e">
        <f>D267/(D267+H267)</f>
        <v>#DIV/0!</v>
      </c>
      <c r="AG267" t="e">
        <f>(F267/(D267+H267))</f>
        <v>#DIV/0!</v>
      </c>
      <c r="AH267" t="e">
        <f>(E267/(D267+H267))</f>
        <v>#DIV/0!</v>
      </c>
      <c r="AI267" t="e">
        <f>(G267/(D267+H267))</f>
        <v>#DIV/0!</v>
      </c>
      <c r="AJ267" t="e">
        <f>(F267/(D267))</f>
        <v>#DIV/0!</v>
      </c>
      <c r="AK267" t="e">
        <f>E267/D267</f>
        <v>#DIV/0!</v>
      </c>
      <c r="AL267" t="e">
        <f>(H267/(C267+H267))</f>
        <v>#DIV/0!</v>
      </c>
      <c r="AM267" t="e">
        <f>(I267/(D267+H267))</f>
        <v>#DIV/0!</v>
      </c>
      <c r="AN267" t="e">
        <f>(J267/(D267+H267))</f>
        <v>#DIV/0!</v>
      </c>
      <c r="AO267" t="e">
        <f>(I267/H267)</f>
        <v>#DIV/0!</v>
      </c>
      <c r="AP267" t="e">
        <f>J267/H267</f>
        <v>#DIV/0!</v>
      </c>
      <c r="AQ267">
        <f>(D267+H267)/AD267</f>
        <v>0</v>
      </c>
    </row>
  </sheetData>
  <conditionalFormatting sqref="E1:F1048576">
    <cfRule type="cellIs" dxfId="0" priority="1" operator="lessThan">
      <formula>0</formula>
    </cfRule>
  </conditionalFormatting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67"/>
  <sheetViews>
    <sheetView topLeftCell="AF1" zoomScale="148" workbookViewId="0">
      <selection activeCell="AC1" sqref="AC1:AL2"/>
    </sheetView>
  </sheetViews>
  <sheetFormatPr baseColWidth="10" defaultColWidth="8.7265625" defaultRowHeight="14.5" x14ac:dyDescent="0.35"/>
  <cols>
    <col min="3" max="12" width="8.81640625" bestFit="1" customWidth="1"/>
    <col min="13" max="14" width="12.6328125" bestFit="1" customWidth="1"/>
    <col min="15" max="27" width="8.81640625" bestFit="1" customWidth="1"/>
    <col min="28" max="28" width="17.6328125" customWidth="1"/>
    <col min="29" max="30" width="27.54296875" customWidth="1"/>
    <col min="31" max="36" width="20.08984375" customWidth="1"/>
    <col min="37" max="37" width="22.54296875" customWidth="1"/>
    <col min="38" max="38" width="19.81640625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74</v>
      </c>
      <c r="AD1" s="1" t="s">
        <v>75</v>
      </c>
      <c r="AE1" s="1" t="s">
        <v>73</v>
      </c>
      <c r="AF1" s="2" t="s">
        <v>79</v>
      </c>
      <c r="AG1" s="2" t="s">
        <v>78</v>
      </c>
      <c r="AH1" s="2" t="s">
        <v>80</v>
      </c>
      <c r="AI1" s="2" t="s">
        <v>81</v>
      </c>
      <c r="AJ1" s="2" t="s">
        <v>82</v>
      </c>
      <c r="AK1" s="2" t="s">
        <v>76</v>
      </c>
      <c r="AL1" s="2" t="s">
        <v>77</v>
      </c>
    </row>
    <row r="2" spans="1:38" x14ac:dyDescent="0.35">
      <c r="A2" t="s">
        <v>28</v>
      </c>
      <c r="B2" t="s">
        <v>66</v>
      </c>
      <c r="C2">
        <v>110.0051</v>
      </c>
      <c r="D2">
        <v>2.1168</v>
      </c>
      <c r="E2">
        <v>107.8883</v>
      </c>
      <c r="F2">
        <v>0</v>
      </c>
      <c r="G2">
        <v>24.0029</v>
      </c>
      <c r="H2">
        <v>10.3255</v>
      </c>
      <c r="I2">
        <v>13.6774</v>
      </c>
      <c r="J2">
        <v>0</v>
      </c>
      <c r="K2">
        <v>7.3593163001337496</v>
      </c>
      <c r="L2">
        <v>8.9689107490462359</v>
      </c>
      <c r="M2">
        <v>0.1416134410506705</v>
      </c>
      <c r="N2">
        <v>0.1725864552969005</v>
      </c>
      <c r="O2">
        <v>7.2177028590830803</v>
      </c>
      <c r="P2">
        <v>8.7963242937493362</v>
      </c>
      <c r="Q2">
        <v>0</v>
      </c>
      <c r="R2">
        <v>0</v>
      </c>
      <c r="S2">
        <v>1.605788579079338</v>
      </c>
      <c r="T2">
        <v>1.956998973850139</v>
      </c>
      <c r="U2">
        <v>0.690773613741827</v>
      </c>
      <c r="V2">
        <v>0.84185631338253319</v>
      </c>
      <c r="W2">
        <v>0.91501496533751059</v>
      </c>
      <c r="X2">
        <v>1.115142660467606</v>
      </c>
      <c r="Y2">
        <v>0</v>
      </c>
      <c r="Z2">
        <v>0</v>
      </c>
      <c r="AA2">
        <v>1226.51571721458</v>
      </c>
      <c r="AB2">
        <v>1494.77336635199</v>
      </c>
      <c r="AC2">
        <f>C2/(C2+G2)</f>
        <v>0.82088457405528026</v>
      </c>
      <c r="AD2">
        <f>(E2/(C2+G2))</f>
        <v>0.80508850217897432</v>
      </c>
      <c r="AE2">
        <f>(E2/C2)</f>
        <v>0.98075725579995843</v>
      </c>
      <c r="AF2">
        <f>(D2/(C2+G2))</f>
        <v>1.5796071876305891E-2</v>
      </c>
      <c r="AG2">
        <f>(D2/(C2))</f>
        <v>1.9242744200041635E-2</v>
      </c>
      <c r="AH2">
        <f>(G2/(C2+G2))</f>
        <v>0.17911542594471971</v>
      </c>
      <c r="AI2">
        <f>(H2/G2)</f>
        <v>0.43017718692324675</v>
      </c>
      <c r="AJ2">
        <f>I2/G2</f>
        <v>0.5698228130767532</v>
      </c>
      <c r="AK2">
        <f>(C2+G2)/AA2</f>
        <v>0.10925909722896375</v>
      </c>
      <c r="AL2">
        <f>(C2+G2)/AB2</f>
        <v>8.96510487921309E-2</v>
      </c>
    </row>
    <row r="3" spans="1:38" x14ac:dyDescent="0.35">
      <c r="A3" t="s">
        <v>29</v>
      </c>
      <c r="B3" t="s">
        <v>66</v>
      </c>
      <c r="C3">
        <v>81</v>
      </c>
      <c r="D3">
        <v>2.4</v>
      </c>
      <c r="E3">
        <v>78.599999999999994</v>
      </c>
      <c r="F3">
        <v>63.75</v>
      </c>
      <c r="G3">
        <v>51.7</v>
      </c>
      <c r="H3">
        <v>3.7</v>
      </c>
      <c r="I3">
        <v>48</v>
      </c>
      <c r="J3">
        <v>0</v>
      </c>
      <c r="K3">
        <v>4.7742400680565593</v>
      </c>
      <c r="L3">
        <v>4.6997712099071647</v>
      </c>
      <c r="M3">
        <v>0.14145896497945359</v>
      </c>
      <c r="N3">
        <v>0.13925248029354559</v>
      </c>
      <c r="O3">
        <v>4.6327811030771064</v>
      </c>
      <c r="P3">
        <v>4.5605187296136194</v>
      </c>
      <c r="Q3">
        <v>3.7575037572667358</v>
      </c>
      <c r="R3">
        <v>3.698894007797306</v>
      </c>
      <c r="S3">
        <v>3.0472618705990642</v>
      </c>
      <c r="T3">
        <v>2.999730512990129</v>
      </c>
      <c r="U3">
        <v>0.2180825710099909</v>
      </c>
      <c r="V3">
        <v>0.2146809071192162</v>
      </c>
      <c r="W3">
        <v>2.829179299589073</v>
      </c>
      <c r="X3">
        <v>2.7850496058709129</v>
      </c>
      <c r="Y3">
        <v>0</v>
      </c>
      <c r="Z3">
        <v>0</v>
      </c>
      <c r="AA3">
        <v>1723.48815255626</v>
      </c>
      <c r="AB3">
        <v>1696.60508992738</v>
      </c>
      <c r="AC3">
        <f t="shared" ref="AC3:AC66" si="0">C3/(C3+G3)</f>
        <v>0.6103993971363979</v>
      </c>
      <c r="AD3">
        <f t="shared" ref="AD3:AD66" si="1">(E3/(C3+G3))</f>
        <v>0.59231348907309722</v>
      </c>
      <c r="AE3">
        <f t="shared" ref="AE3:AE66" si="2">(E3/C3)</f>
        <v>0.97037037037037033</v>
      </c>
      <c r="AF3">
        <f t="shared" ref="AF3:AF66" si="3">(D3/(C3+G3))</f>
        <v>1.8085908063300678E-2</v>
      </c>
      <c r="AG3">
        <f t="shared" ref="AG3:AG66" si="4">(D3/(C3))</f>
        <v>2.9629629629629627E-2</v>
      </c>
      <c r="AH3">
        <f t="shared" ref="AH3:AH66" si="5">(G3/(C3+G3))</f>
        <v>0.38960060286360215</v>
      </c>
      <c r="AI3">
        <f t="shared" ref="AI3:AI66" si="6">(H3/G3)</f>
        <v>7.1566731141199227E-2</v>
      </c>
      <c r="AJ3">
        <f t="shared" ref="AJ3:AJ66" si="7">I3/G3</f>
        <v>0.92843326885880073</v>
      </c>
      <c r="AK3">
        <f t="shared" ref="AK3:AK66" si="8">(C3+G3)/AA3</f>
        <v>7.6995017228972937E-2</v>
      </c>
      <c r="AL3">
        <f t="shared" ref="AL3:AL66" si="9">(C3+G3)/AB3</f>
        <v>7.8215019386556214E-2</v>
      </c>
    </row>
    <row r="4" spans="1:38" x14ac:dyDescent="0.35">
      <c r="A4" t="s">
        <v>30</v>
      </c>
      <c r="B4" t="s">
        <v>66</v>
      </c>
      <c r="C4">
        <v>16.5</v>
      </c>
      <c r="D4">
        <v>5.5</v>
      </c>
      <c r="E4">
        <v>11</v>
      </c>
      <c r="F4">
        <v>48.5</v>
      </c>
      <c r="G4">
        <v>348</v>
      </c>
      <c r="H4">
        <v>0</v>
      </c>
      <c r="I4">
        <v>348</v>
      </c>
      <c r="J4">
        <v>0</v>
      </c>
      <c r="K4">
        <v>0.630538110393977</v>
      </c>
      <c r="L4">
        <v>0.56757783839276432</v>
      </c>
      <c r="M4">
        <v>0.21017937013132559</v>
      </c>
      <c r="N4">
        <v>0.18919261279758809</v>
      </c>
      <c r="O4">
        <v>0.4203587402626513</v>
      </c>
      <c r="P4">
        <v>0.37838522559517618</v>
      </c>
      <c r="Q4">
        <v>1.853399900248963</v>
      </c>
      <c r="R4">
        <v>1.668334858306004</v>
      </c>
      <c r="S4">
        <v>13.29862196467297</v>
      </c>
      <c r="T4">
        <v>11.97073259155648</v>
      </c>
      <c r="U4">
        <v>0</v>
      </c>
      <c r="V4">
        <v>0</v>
      </c>
      <c r="W4">
        <v>13.29862196467297</v>
      </c>
      <c r="X4">
        <v>11.97073259155648</v>
      </c>
      <c r="Y4">
        <v>0</v>
      </c>
      <c r="Z4">
        <v>0</v>
      </c>
      <c r="AA4">
        <v>2907.0902498102801</v>
      </c>
      <c r="AB4">
        <v>2616.8124857180101</v>
      </c>
      <c r="AC4">
        <f t="shared" si="0"/>
        <v>4.5267489711934158E-2</v>
      </c>
      <c r="AD4">
        <f t="shared" si="1"/>
        <v>3.017832647462277E-2</v>
      </c>
      <c r="AE4">
        <f t="shared" si="2"/>
        <v>0.66666666666666663</v>
      </c>
      <c r="AF4">
        <f t="shared" si="3"/>
        <v>1.5089163237311385E-2</v>
      </c>
      <c r="AG4">
        <f t="shared" si="4"/>
        <v>0.33333333333333331</v>
      </c>
      <c r="AH4">
        <f t="shared" si="5"/>
        <v>0.95473251028806583</v>
      </c>
      <c r="AI4">
        <f t="shared" si="6"/>
        <v>0</v>
      </c>
      <c r="AJ4">
        <f t="shared" si="7"/>
        <v>1</v>
      </c>
      <c r="AK4">
        <f t="shared" si="8"/>
        <v>0.12538310429949248</v>
      </c>
      <c r="AL4">
        <f t="shared" si="9"/>
        <v>0.13929160075066946</v>
      </c>
    </row>
    <row r="5" spans="1:38" x14ac:dyDescent="0.35">
      <c r="A5" t="s">
        <v>31</v>
      </c>
      <c r="B5" t="s">
        <v>66</v>
      </c>
      <c r="C5">
        <v>143</v>
      </c>
      <c r="D5">
        <v>11.2</v>
      </c>
      <c r="E5">
        <v>131.80000000000001</v>
      </c>
      <c r="F5">
        <v>0</v>
      </c>
      <c r="G5">
        <v>1072</v>
      </c>
      <c r="H5">
        <v>223</v>
      </c>
      <c r="I5">
        <v>849</v>
      </c>
      <c r="J5">
        <v>0</v>
      </c>
      <c r="K5">
        <v>3.975184466200266</v>
      </c>
      <c r="L5">
        <v>3.4360258824878329</v>
      </c>
      <c r="M5">
        <v>0.3113431190310697</v>
      </c>
      <c r="N5">
        <v>0.26911531387317289</v>
      </c>
      <c r="O5">
        <v>3.6638413471691962</v>
      </c>
      <c r="P5">
        <v>3.1669105686146599</v>
      </c>
      <c r="Q5">
        <v>0</v>
      </c>
      <c r="R5">
        <v>0</v>
      </c>
      <c r="S5">
        <v>29.79998425011668</v>
      </c>
      <c r="T5">
        <v>25.758180042146549</v>
      </c>
      <c r="U5">
        <v>6.1990638878507633</v>
      </c>
      <c r="V5">
        <v>5.3582781244390683</v>
      </c>
      <c r="W5">
        <v>23.600920362265921</v>
      </c>
      <c r="X5">
        <v>20.399901917707481</v>
      </c>
      <c r="Y5">
        <v>0</v>
      </c>
      <c r="Z5">
        <v>0</v>
      </c>
      <c r="AA5">
        <v>4161.7847155581303</v>
      </c>
      <c r="AB5">
        <v>3597.3173374942398</v>
      </c>
      <c r="AC5">
        <f t="shared" si="0"/>
        <v>0.1176954732510288</v>
      </c>
      <c r="AD5">
        <f t="shared" si="1"/>
        <v>0.10847736625514404</v>
      </c>
      <c r="AE5">
        <f t="shared" si="2"/>
        <v>0.92167832167832175</v>
      </c>
      <c r="AF5">
        <f t="shared" si="3"/>
        <v>9.2181069958847724E-3</v>
      </c>
      <c r="AG5">
        <f t="shared" si="4"/>
        <v>7.8321678321678315E-2</v>
      </c>
      <c r="AH5">
        <f t="shared" si="5"/>
        <v>0.8823045267489712</v>
      </c>
      <c r="AI5">
        <f t="shared" si="6"/>
        <v>0.2080223880597015</v>
      </c>
      <c r="AJ5">
        <f t="shared" si="7"/>
        <v>0.79197761194029848</v>
      </c>
      <c r="AK5">
        <f t="shared" si="8"/>
        <v>0.29194205924634387</v>
      </c>
      <c r="AL5">
        <f t="shared" si="9"/>
        <v>0.33775168716316939</v>
      </c>
    </row>
    <row r="6" spans="1:38" x14ac:dyDescent="0.35">
      <c r="A6" t="s">
        <v>32</v>
      </c>
      <c r="B6" t="s">
        <v>66</v>
      </c>
      <c r="C6">
        <v>22</v>
      </c>
      <c r="D6">
        <v>3.63</v>
      </c>
      <c r="E6">
        <v>18.37</v>
      </c>
      <c r="F6">
        <v>0</v>
      </c>
      <c r="G6">
        <v>591</v>
      </c>
      <c r="H6">
        <v>0</v>
      </c>
      <c r="I6">
        <v>591</v>
      </c>
      <c r="J6">
        <v>0</v>
      </c>
      <c r="K6">
        <v>1.14693390160691</v>
      </c>
      <c r="L6">
        <v>0.94111212635674024</v>
      </c>
      <c r="M6">
        <v>0.18924409376514009</v>
      </c>
      <c r="N6">
        <v>0.15528350084886211</v>
      </c>
      <c r="O6">
        <v>0.95768980784177005</v>
      </c>
      <c r="P6">
        <v>0.78582862550787813</v>
      </c>
      <c r="Q6">
        <v>0</v>
      </c>
      <c r="R6">
        <v>0</v>
      </c>
      <c r="S6">
        <v>30.810815265894721</v>
      </c>
      <c r="T6">
        <v>25.281693939856069</v>
      </c>
      <c r="U6">
        <v>0</v>
      </c>
      <c r="V6">
        <v>0</v>
      </c>
      <c r="W6">
        <v>30.810815265894721</v>
      </c>
      <c r="X6">
        <v>25.281693939856069</v>
      </c>
      <c r="Y6">
        <v>0</v>
      </c>
      <c r="Z6">
        <v>0</v>
      </c>
      <c r="AA6">
        <v>2337.6598158571201</v>
      </c>
      <c r="AB6">
        <v>1918.15761738117</v>
      </c>
      <c r="AC6">
        <f t="shared" si="0"/>
        <v>3.588907014681892E-2</v>
      </c>
      <c r="AD6">
        <f t="shared" si="1"/>
        <v>2.9967373572593804E-2</v>
      </c>
      <c r="AE6">
        <f t="shared" si="2"/>
        <v>0.83500000000000008</v>
      </c>
      <c r="AF6">
        <f t="shared" si="3"/>
        <v>5.921696574225122E-3</v>
      </c>
      <c r="AG6">
        <f t="shared" si="4"/>
        <v>0.16500000000000001</v>
      </c>
      <c r="AH6">
        <f t="shared" si="5"/>
        <v>0.96411092985318103</v>
      </c>
      <c r="AI6">
        <f t="shared" si="6"/>
        <v>0</v>
      </c>
      <c r="AJ6">
        <f t="shared" si="7"/>
        <v>1</v>
      </c>
      <c r="AK6">
        <f t="shared" si="8"/>
        <v>0.26222806066212806</v>
      </c>
      <c r="AL6">
        <f t="shared" si="9"/>
        <v>0.31957749167501631</v>
      </c>
    </row>
    <row r="7" spans="1:38" x14ac:dyDescent="0.35">
      <c r="A7" t="s">
        <v>33</v>
      </c>
      <c r="B7" t="s">
        <v>66</v>
      </c>
      <c r="C7">
        <v>497</v>
      </c>
      <c r="D7">
        <v>12.1906</v>
      </c>
      <c r="E7">
        <v>484.80939999999998</v>
      </c>
      <c r="F7">
        <v>0</v>
      </c>
      <c r="G7">
        <v>19</v>
      </c>
      <c r="H7">
        <v>0</v>
      </c>
      <c r="I7">
        <v>19</v>
      </c>
      <c r="J7">
        <v>0</v>
      </c>
      <c r="K7">
        <v>10.88877715515526</v>
      </c>
      <c r="L7">
        <v>9.3335923458114554</v>
      </c>
      <c r="M7">
        <v>0.26708395731918649</v>
      </c>
      <c r="N7">
        <v>0.22893780855301629</v>
      </c>
      <c r="O7">
        <v>10.62169319783607</v>
      </c>
      <c r="P7">
        <v>9.1046545372584404</v>
      </c>
      <c r="Q7">
        <v>0</v>
      </c>
      <c r="R7">
        <v>0</v>
      </c>
      <c r="S7">
        <v>0.41627115884899379</v>
      </c>
      <c r="T7">
        <v>0.35681741362257069</v>
      </c>
      <c r="U7">
        <v>0</v>
      </c>
      <c r="V7">
        <v>0</v>
      </c>
      <c r="W7">
        <v>0.41627115884899379</v>
      </c>
      <c r="X7">
        <v>0.35681741362257069</v>
      </c>
      <c r="Y7">
        <v>0</v>
      </c>
      <c r="Z7">
        <v>0</v>
      </c>
      <c r="AA7">
        <v>5324.8522282316499</v>
      </c>
      <c r="AB7">
        <v>4564.3325500944502</v>
      </c>
      <c r="AC7">
        <f t="shared" si="0"/>
        <v>0.96317829457364346</v>
      </c>
      <c r="AD7">
        <f t="shared" si="1"/>
        <v>0.93955310077519372</v>
      </c>
      <c r="AE7">
        <f t="shared" si="2"/>
        <v>0.97547162977867197</v>
      </c>
      <c r="AF7">
        <f t="shared" si="3"/>
        <v>2.3625193798449611E-2</v>
      </c>
      <c r="AG7">
        <f t="shared" si="4"/>
        <v>2.4528370221327967E-2</v>
      </c>
      <c r="AH7">
        <f t="shared" si="5"/>
        <v>3.6821705426356592E-2</v>
      </c>
      <c r="AI7">
        <f t="shared" si="6"/>
        <v>0</v>
      </c>
      <c r="AJ7">
        <f t="shared" si="7"/>
        <v>1</v>
      </c>
      <c r="AK7">
        <f t="shared" si="8"/>
        <v>9.6904097594340266E-2</v>
      </c>
      <c r="AL7">
        <f t="shared" si="9"/>
        <v>0.11305048314004254</v>
      </c>
    </row>
    <row r="8" spans="1:38" x14ac:dyDescent="0.35">
      <c r="A8" t="s">
        <v>34</v>
      </c>
      <c r="B8" t="s">
        <v>66</v>
      </c>
      <c r="C8">
        <v>24</v>
      </c>
      <c r="D8">
        <v>2.5</v>
      </c>
      <c r="E8">
        <v>21.5</v>
      </c>
      <c r="F8">
        <v>14</v>
      </c>
      <c r="G8">
        <v>215</v>
      </c>
      <c r="H8">
        <v>101</v>
      </c>
      <c r="I8">
        <v>114</v>
      </c>
      <c r="J8">
        <v>0</v>
      </c>
      <c r="K8">
        <v>1.465070020161209</v>
      </c>
      <c r="L8">
        <v>1.112894023274418</v>
      </c>
      <c r="M8">
        <v>0.15261146043345919</v>
      </c>
      <c r="N8">
        <v>0.1159264607577518</v>
      </c>
      <c r="O8">
        <v>1.3124585597277501</v>
      </c>
      <c r="P8">
        <v>0.99696756251666563</v>
      </c>
      <c r="Q8">
        <v>0.85462417842737204</v>
      </c>
      <c r="R8">
        <v>0.64918818024341018</v>
      </c>
      <c r="S8">
        <v>13.1245855972775</v>
      </c>
      <c r="T8">
        <v>9.9696756251666603</v>
      </c>
      <c r="U8">
        <v>6.1655030015117536</v>
      </c>
      <c r="V8">
        <v>4.6834290146131741</v>
      </c>
      <c r="W8">
        <v>6.9590825957657438</v>
      </c>
      <c r="X8">
        <v>5.2862466105534844</v>
      </c>
      <c r="Y8">
        <v>0</v>
      </c>
      <c r="Z8">
        <v>0</v>
      </c>
      <c r="AA8">
        <v>2156.5395714307001</v>
      </c>
      <c r="AB8">
        <v>1638.14696019506</v>
      </c>
      <c r="AC8">
        <f t="shared" si="0"/>
        <v>0.100418410041841</v>
      </c>
      <c r="AD8">
        <f t="shared" si="1"/>
        <v>8.9958158995815898E-2</v>
      </c>
      <c r="AE8">
        <f t="shared" si="2"/>
        <v>0.89583333333333337</v>
      </c>
      <c r="AF8">
        <f t="shared" si="3"/>
        <v>1.0460251046025104E-2</v>
      </c>
      <c r="AG8">
        <f t="shared" si="4"/>
        <v>0.10416666666666667</v>
      </c>
      <c r="AH8">
        <f t="shared" si="5"/>
        <v>0.89958158995815896</v>
      </c>
      <c r="AI8">
        <f t="shared" si="6"/>
        <v>0.4697674418604651</v>
      </c>
      <c r="AJ8">
        <f t="shared" si="7"/>
        <v>0.53023255813953485</v>
      </c>
      <c r="AK8">
        <f t="shared" si="8"/>
        <v>0.11082569648441075</v>
      </c>
      <c r="AL8">
        <f t="shared" si="9"/>
        <v>0.14589655617438707</v>
      </c>
    </row>
    <row r="9" spans="1:38" x14ac:dyDescent="0.35">
      <c r="A9" t="s">
        <v>35</v>
      </c>
      <c r="B9" t="s">
        <v>66</v>
      </c>
      <c r="C9">
        <v>14.892899999999999</v>
      </c>
      <c r="D9">
        <v>4.1786000000000003</v>
      </c>
      <c r="E9">
        <v>10.7143</v>
      </c>
      <c r="F9">
        <v>0</v>
      </c>
      <c r="G9">
        <v>175.61519999999999</v>
      </c>
      <c r="H9">
        <v>11</v>
      </c>
      <c r="I9">
        <v>164.61519999999999</v>
      </c>
      <c r="J9">
        <v>11.4316</v>
      </c>
      <c r="K9">
        <v>1.1249106429758049</v>
      </c>
      <c r="L9">
        <v>0.82898248866192525</v>
      </c>
      <c r="M9">
        <v>0.31562366045153722</v>
      </c>
      <c r="N9">
        <v>0.2325931300903599</v>
      </c>
      <c r="O9">
        <v>0.80928698252426767</v>
      </c>
      <c r="P9">
        <v>0.59638935857156539</v>
      </c>
      <c r="Q9">
        <v>0</v>
      </c>
      <c r="R9">
        <v>0</v>
      </c>
      <c r="S9">
        <v>13.264804540977551</v>
      </c>
      <c r="T9">
        <v>9.7752570381095527</v>
      </c>
      <c r="U9">
        <v>0.83086686090243378</v>
      </c>
      <c r="V9">
        <v>0.61229225841046264</v>
      </c>
      <c r="W9">
        <v>12.43393768007512</v>
      </c>
      <c r="X9">
        <v>9.1629647796990881</v>
      </c>
      <c r="Y9">
        <v>0.86346705519020561</v>
      </c>
      <c r="Z9">
        <v>0.63631638011318581</v>
      </c>
      <c r="AA9">
        <v>1796.5276955414199</v>
      </c>
      <c r="AB9">
        <v>1323.9184901480501</v>
      </c>
      <c r="AC9">
        <f t="shared" si="0"/>
        <v>7.8174628795311063E-2</v>
      </c>
      <c r="AD9">
        <f t="shared" si="1"/>
        <v>5.624065328455851E-2</v>
      </c>
      <c r="AE9">
        <f t="shared" si="2"/>
        <v>0.71942334938124886</v>
      </c>
      <c r="AF9">
        <f t="shared" si="3"/>
        <v>2.1933975510752563E-2</v>
      </c>
      <c r="AG9">
        <f t="shared" si="4"/>
        <v>0.28057665061875126</v>
      </c>
      <c r="AH9">
        <f t="shared" si="5"/>
        <v>0.92182537120468899</v>
      </c>
      <c r="AI9">
        <f t="shared" si="6"/>
        <v>6.2636947143527438E-2</v>
      </c>
      <c r="AJ9">
        <f t="shared" si="7"/>
        <v>0.93736305285647259</v>
      </c>
      <c r="AK9">
        <f t="shared" si="8"/>
        <v>0.10604239526771476</v>
      </c>
      <c r="AL9">
        <f t="shared" si="9"/>
        <v>0.14389715183953355</v>
      </c>
    </row>
    <row r="10" spans="1:38" x14ac:dyDescent="0.35">
      <c r="A10" t="s">
        <v>36</v>
      </c>
      <c r="B10" t="s">
        <v>66</v>
      </c>
      <c r="C10">
        <v>83.000000005000004</v>
      </c>
      <c r="D10">
        <v>6.384615385</v>
      </c>
      <c r="E10">
        <v>76.61538462</v>
      </c>
      <c r="F10">
        <v>0</v>
      </c>
      <c r="G10">
        <v>423</v>
      </c>
      <c r="H10">
        <v>423</v>
      </c>
      <c r="I10">
        <v>0</v>
      </c>
      <c r="J10">
        <v>0</v>
      </c>
      <c r="K10">
        <v>2.628755024499684</v>
      </c>
      <c r="L10">
        <v>2.8212212457603552</v>
      </c>
      <c r="M10">
        <v>0.20221192496151411</v>
      </c>
      <c r="N10">
        <v>0.2170170189046427</v>
      </c>
      <c r="O10">
        <v>2.4265430995381698</v>
      </c>
      <c r="P10">
        <v>2.6042042268557122</v>
      </c>
      <c r="Q10">
        <v>0</v>
      </c>
      <c r="R10">
        <v>0</v>
      </c>
      <c r="S10">
        <v>13.39714909995639</v>
      </c>
      <c r="T10">
        <v>14.37803116728602</v>
      </c>
      <c r="U10">
        <v>13.39714909995639</v>
      </c>
      <c r="V10">
        <v>14.37803116728602</v>
      </c>
      <c r="W10">
        <v>0</v>
      </c>
      <c r="X10">
        <v>0</v>
      </c>
      <c r="Y10">
        <v>0</v>
      </c>
      <c r="Z10">
        <v>0</v>
      </c>
      <c r="AA10">
        <v>2941.9883367789698</v>
      </c>
      <c r="AB10">
        <v>3157.38816403392</v>
      </c>
      <c r="AC10">
        <f t="shared" si="0"/>
        <v>0.16403162056162024</v>
      </c>
      <c r="AD10">
        <f t="shared" si="1"/>
        <v>0.15141380359534176</v>
      </c>
      <c r="AE10">
        <f t="shared" si="2"/>
        <v>0.92307692307692302</v>
      </c>
      <c r="AF10">
        <f t="shared" si="3"/>
        <v>1.261781696627848E-2</v>
      </c>
      <c r="AG10">
        <f t="shared" si="4"/>
        <v>7.6923076923076913E-2</v>
      </c>
      <c r="AH10">
        <f t="shared" si="5"/>
        <v>0.83596837943837976</v>
      </c>
      <c r="AI10">
        <f t="shared" si="6"/>
        <v>1</v>
      </c>
      <c r="AJ10">
        <f t="shared" si="7"/>
        <v>0</v>
      </c>
      <c r="AK10">
        <f t="shared" si="8"/>
        <v>0.17199252413046379</v>
      </c>
      <c r="AL10">
        <f t="shared" si="9"/>
        <v>0.16025904124456078</v>
      </c>
    </row>
    <row r="11" spans="1:38" x14ac:dyDescent="0.35">
      <c r="A11" t="s">
        <v>37</v>
      </c>
      <c r="B11" t="s">
        <v>66</v>
      </c>
      <c r="C11">
        <v>1395</v>
      </c>
      <c r="D11">
        <v>9.4499999999999993</v>
      </c>
      <c r="E11">
        <v>1385.55</v>
      </c>
      <c r="F11">
        <v>0</v>
      </c>
      <c r="G11">
        <v>510</v>
      </c>
      <c r="H11">
        <v>56</v>
      </c>
      <c r="I11">
        <v>454</v>
      </c>
      <c r="J11">
        <v>0</v>
      </c>
      <c r="K11">
        <v>6.9998581774039028</v>
      </c>
      <c r="L11">
        <v>6.9840045164241253</v>
      </c>
      <c r="M11">
        <v>4.7418394104994099E-2</v>
      </c>
      <c r="N11">
        <v>4.7310998337066597E-2</v>
      </c>
      <c r="O11">
        <v>6.9524397832989084</v>
      </c>
      <c r="P11">
        <v>6.9366935180870586</v>
      </c>
      <c r="Q11">
        <v>0</v>
      </c>
      <c r="R11">
        <v>0</v>
      </c>
      <c r="S11">
        <v>2.5590879358250822</v>
      </c>
      <c r="T11">
        <v>2.5532919737464539</v>
      </c>
      <c r="U11">
        <v>0.28099789099255812</v>
      </c>
      <c r="V11">
        <v>0.2803614716270616</v>
      </c>
      <c r="W11">
        <v>2.278090044832525</v>
      </c>
      <c r="X11">
        <v>2.2729305021193928</v>
      </c>
      <c r="Y11">
        <v>0</v>
      </c>
      <c r="Z11">
        <v>0</v>
      </c>
      <c r="AA11">
        <v>19974.2138871676</v>
      </c>
      <c r="AB11">
        <v>19928.975197</v>
      </c>
      <c r="AC11">
        <f t="shared" si="0"/>
        <v>0.73228346456692917</v>
      </c>
      <c r="AD11">
        <f t="shared" si="1"/>
        <v>0.72732283464566927</v>
      </c>
      <c r="AE11">
        <f t="shared" si="2"/>
        <v>0.99322580645161285</v>
      </c>
      <c r="AF11">
        <f t="shared" si="3"/>
        <v>4.9606299212598421E-3</v>
      </c>
      <c r="AG11">
        <f t="shared" si="4"/>
        <v>6.7741935483870966E-3</v>
      </c>
      <c r="AH11">
        <f t="shared" si="5"/>
        <v>0.26771653543307089</v>
      </c>
      <c r="AI11">
        <f t="shared" si="6"/>
        <v>0.10980392156862745</v>
      </c>
      <c r="AJ11">
        <f t="shared" si="7"/>
        <v>0.8901960784313725</v>
      </c>
      <c r="AK11">
        <f t="shared" si="8"/>
        <v>9.5372964901705798E-2</v>
      </c>
      <c r="AL11">
        <f t="shared" si="9"/>
        <v>9.558946113228986E-2</v>
      </c>
    </row>
    <row r="12" spans="1:38" x14ac:dyDescent="0.35">
      <c r="A12" t="s">
        <v>38</v>
      </c>
      <c r="B12" t="s">
        <v>66</v>
      </c>
      <c r="C12">
        <v>1.8620000000000001</v>
      </c>
      <c r="D12">
        <v>1.8620000000000001</v>
      </c>
      <c r="E12">
        <v>0</v>
      </c>
      <c r="F12">
        <v>0</v>
      </c>
      <c r="G12">
        <v>3.3</v>
      </c>
      <c r="H12">
        <v>3.3</v>
      </c>
      <c r="I12">
        <v>0</v>
      </c>
      <c r="J12">
        <v>0</v>
      </c>
      <c r="K12">
        <v>0.145565263565308</v>
      </c>
      <c r="L12">
        <v>7.81805165395449E-2</v>
      </c>
      <c r="M12">
        <v>0.145565263565308</v>
      </c>
      <c r="N12">
        <v>7.81805165395449E-2</v>
      </c>
      <c r="O12">
        <v>0</v>
      </c>
      <c r="P12">
        <v>0</v>
      </c>
      <c r="Q12">
        <v>0</v>
      </c>
      <c r="R12">
        <v>0</v>
      </c>
      <c r="S12">
        <v>0.2579835498203632</v>
      </c>
      <c r="T12">
        <v>0.1385583805480656</v>
      </c>
      <c r="U12">
        <v>0.2579835498203632</v>
      </c>
      <c r="V12">
        <v>0.1385583805480656</v>
      </c>
      <c r="W12">
        <v>0</v>
      </c>
      <c r="X12">
        <v>0</v>
      </c>
      <c r="Y12">
        <v>0</v>
      </c>
      <c r="Z12">
        <v>0</v>
      </c>
      <c r="AA12">
        <v>2381.6675591522499</v>
      </c>
      <c r="AB12">
        <v>1279.1513266244399</v>
      </c>
      <c r="AC12">
        <f t="shared" si="0"/>
        <v>0.36071290197597833</v>
      </c>
      <c r="AD12">
        <f t="shared" si="1"/>
        <v>0</v>
      </c>
      <c r="AE12">
        <f t="shared" si="2"/>
        <v>0</v>
      </c>
      <c r="AF12">
        <f t="shared" si="3"/>
        <v>0.36071290197597833</v>
      </c>
      <c r="AG12">
        <f t="shared" si="4"/>
        <v>1</v>
      </c>
      <c r="AH12">
        <f t="shared" si="5"/>
        <v>0.63928709802402173</v>
      </c>
      <c r="AI12">
        <f t="shared" si="6"/>
        <v>1</v>
      </c>
      <c r="AJ12">
        <f t="shared" si="7"/>
        <v>0</v>
      </c>
      <c r="AK12">
        <f t="shared" si="8"/>
        <v>2.1673889708761049E-3</v>
      </c>
      <c r="AL12">
        <f t="shared" si="9"/>
        <v>4.0354881338567133E-3</v>
      </c>
    </row>
    <row r="13" spans="1:38" x14ac:dyDescent="0.35">
      <c r="A13" t="s">
        <v>39</v>
      </c>
      <c r="B13" t="s">
        <v>66</v>
      </c>
      <c r="C13">
        <v>0</v>
      </c>
      <c r="D13">
        <v>0</v>
      </c>
      <c r="E13">
        <v>0</v>
      </c>
      <c r="F13">
        <v>0</v>
      </c>
      <c r="G13">
        <v>3.8</v>
      </c>
      <c r="H13">
        <v>0</v>
      </c>
      <c r="I13">
        <v>3.8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0.38112295919650652</v>
      </c>
      <c r="T13">
        <v>0.16282573564584751</v>
      </c>
      <c r="U13">
        <v>0</v>
      </c>
      <c r="V13">
        <v>0</v>
      </c>
      <c r="W13">
        <v>0.38112295919650652</v>
      </c>
      <c r="X13">
        <v>0.16282573564584751</v>
      </c>
      <c r="Y13">
        <v>0</v>
      </c>
      <c r="Z13">
        <v>0</v>
      </c>
      <c r="AA13">
        <v>2333.7834064911899</v>
      </c>
      <c r="AB13">
        <v>997.05355143423003</v>
      </c>
      <c r="AC13">
        <f t="shared" si="0"/>
        <v>0</v>
      </c>
      <c r="AD13">
        <f t="shared" si="1"/>
        <v>0</v>
      </c>
      <c r="AE13">
        <v>0</v>
      </c>
      <c r="AF13">
        <f t="shared" si="3"/>
        <v>0</v>
      </c>
      <c r="AG13">
        <v>0</v>
      </c>
      <c r="AH13">
        <f t="shared" si="5"/>
        <v>1</v>
      </c>
      <c r="AI13">
        <f t="shared" si="6"/>
        <v>0</v>
      </c>
      <c r="AJ13">
        <f t="shared" si="7"/>
        <v>1</v>
      </c>
      <c r="AK13">
        <f t="shared" si="8"/>
        <v>1.6282573564584751E-3</v>
      </c>
      <c r="AL13">
        <f t="shared" si="9"/>
        <v>3.8112295919650653E-3</v>
      </c>
    </row>
    <row r="14" spans="1:38" x14ac:dyDescent="0.35">
      <c r="A14" t="s">
        <v>40</v>
      </c>
      <c r="B14" t="s">
        <v>66</v>
      </c>
      <c r="C14">
        <v>31.764700000000001</v>
      </c>
      <c r="D14">
        <v>0</v>
      </c>
      <c r="E14">
        <v>31.764700000000001</v>
      </c>
      <c r="F14">
        <v>0</v>
      </c>
      <c r="G14">
        <v>0</v>
      </c>
      <c r="H14">
        <v>0</v>
      </c>
      <c r="I14">
        <v>0</v>
      </c>
      <c r="J14">
        <v>0</v>
      </c>
      <c r="K14">
        <v>7.6735681329126031</v>
      </c>
      <c r="L14">
        <v>6.7786506242927107</v>
      </c>
      <c r="M14">
        <v>0</v>
      </c>
      <c r="N14">
        <v>0</v>
      </c>
      <c r="O14">
        <v>7.6735681329126031</v>
      </c>
      <c r="P14">
        <v>6.7786506242927107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468.59916169988998</v>
      </c>
      <c r="AB14">
        <v>413.94954015926999</v>
      </c>
      <c r="AC14">
        <f t="shared" si="0"/>
        <v>1</v>
      </c>
      <c r="AD14">
        <f>(E14/(C14+G14))</f>
        <v>1</v>
      </c>
      <c r="AE14">
        <f t="shared" si="2"/>
        <v>1</v>
      </c>
      <c r="AF14">
        <f t="shared" si="3"/>
        <v>0</v>
      </c>
      <c r="AG14">
        <f t="shared" si="4"/>
        <v>0</v>
      </c>
      <c r="AH14">
        <f t="shared" si="5"/>
        <v>0</v>
      </c>
      <c r="AI14">
        <v>0</v>
      </c>
      <c r="AJ14">
        <v>0</v>
      </c>
      <c r="AK14">
        <f t="shared" si="8"/>
        <v>6.7786506242927105E-2</v>
      </c>
      <c r="AL14">
        <f t="shared" si="9"/>
        <v>7.6735681329126032E-2</v>
      </c>
    </row>
    <row r="15" spans="1:38" x14ac:dyDescent="0.35">
      <c r="A15" t="s">
        <v>41</v>
      </c>
      <c r="B15" t="s">
        <v>66</v>
      </c>
      <c r="C15">
        <v>0</v>
      </c>
      <c r="D15">
        <v>0</v>
      </c>
      <c r="E15">
        <v>0</v>
      </c>
      <c r="F15">
        <v>0</v>
      </c>
      <c r="G15">
        <v>54</v>
      </c>
      <c r="H15">
        <v>0</v>
      </c>
      <c r="I15">
        <v>54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10.90562054178165</v>
      </c>
      <c r="T15">
        <v>9.7240885633744618</v>
      </c>
      <c r="U15">
        <v>0</v>
      </c>
      <c r="V15">
        <v>0</v>
      </c>
      <c r="W15">
        <v>10.90562054178165</v>
      </c>
      <c r="X15">
        <v>9.7240885633744618</v>
      </c>
      <c r="Y15">
        <v>0</v>
      </c>
      <c r="Z15">
        <v>0</v>
      </c>
      <c r="AA15">
        <v>555.32196820367994</v>
      </c>
      <c r="AB15">
        <v>495.15751802582002</v>
      </c>
      <c r="AC15">
        <f t="shared" si="0"/>
        <v>0</v>
      </c>
      <c r="AD15">
        <f t="shared" si="1"/>
        <v>0</v>
      </c>
      <c r="AE15">
        <v>0</v>
      </c>
      <c r="AF15">
        <f t="shared" si="3"/>
        <v>0</v>
      </c>
      <c r="AG15">
        <v>0</v>
      </c>
      <c r="AH15">
        <f t="shared" si="5"/>
        <v>1</v>
      </c>
      <c r="AI15">
        <f t="shared" si="6"/>
        <v>0</v>
      </c>
      <c r="AJ15">
        <f t="shared" si="7"/>
        <v>1</v>
      </c>
      <c r="AK15">
        <f t="shared" si="8"/>
        <v>9.7240885633744611E-2</v>
      </c>
      <c r="AL15">
        <f t="shared" si="9"/>
        <v>0.10905620541781649</v>
      </c>
    </row>
    <row r="16" spans="1:38" x14ac:dyDescent="0.35">
      <c r="A16" t="s">
        <v>42</v>
      </c>
      <c r="B16" t="s">
        <v>66</v>
      </c>
      <c r="C16">
        <v>9.0751215444483115</v>
      </c>
      <c r="D16">
        <v>2.2540984E-2</v>
      </c>
      <c r="E16">
        <v>9.0525805604483107</v>
      </c>
      <c r="F16">
        <v>0</v>
      </c>
      <c r="G16">
        <v>21.104230256601589</v>
      </c>
      <c r="H16">
        <v>0.80696442599999996</v>
      </c>
      <c r="I16">
        <v>20.297265830601589</v>
      </c>
      <c r="J16">
        <v>0</v>
      </c>
      <c r="K16">
        <v>4.2084524748499499</v>
      </c>
      <c r="L16">
        <v>2.227592870663416</v>
      </c>
      <c r="M16">
        <v>1.04530456628853E-2</v>
      </c>
      <c r="N16">
        <v>5.5329435545527E-3</v>
      </c>
      <c r="O16">
        <v>4.1979994291870648</v>
      </c>
      <c r="P16">
        <v>2.2220599271088641</v>
      </c>
      <c r="Q16">
        <v>0</v>
      </c>
      <c r="R16">
        <v>0</v>
      </c>
      <c r="S16">
        <v>9.7867725096785403</v>
      </c>
      <c r="T16">
        <v>5.1802758376502558</v>
      </c>
      <c r="U16">
        <v>0.37421773571651062</v>
      </c>
      <c r="V16">
        <v>0.19807869166625841</v>
      </c>
      <c r="W16">
        <v>9.4125547739620288</v>
      </c>
      <c r="X16">
        <v>4.9821971459839984</v>
      </c>
      <c r="Y16">
        <v>0</v>
      </c>
      <c r="Z16">
        <v>0</v>
      </c>
      <c r="AA16">
        <v>407.39587848230002</v>
      </c>
      <c r="AB16">
        <v>215.64034757863999</v>
      </c>
      <c r="AC16">
        <f t="shared" si="0"/>
        <v>0.30070631086690869</v>
      </c>
      <c r="AD16">
        <f t="shared" si="1"/>
        <v>0.29995941000076032</v>
      </c>
      <c r="AE16">
        <f t="shared" si="2"/>
        <v>0.99751617828041206</v>
      </c>
      <c r="AF16">
        <f t="shared" si="3"/>
        <v>7.4690086614835204E-4</v>
      </c>
      <c r="AG16">
        <f t="shared" si="4"/>
        <v>2.4838217195878114E-3</v>
      </c>
      <c r="AH16">
        <f t="shared" si="5"/>
        <v>0.69929368913309131</v>
      </c>
      <c r="AI16">
        <f t="shared" si="6"/>
        <v>3.8237093520507547E-2</v>
      </c>
      <c r="AJ16">
        <f t="shared" si="7"/>
        <v>0.96176290647949247</v>
      </c>
      <c r="AK16">
        <f t="shared" si="8"/>
        <v>7.4078687083136738E-2</v>
      </c>
      <c r="AL16">
        <f t="shared" si="9"/>
        <v>0.1399522498452849</v>
      </c>
    </row>
    <row r="17" spans="1:38" x14ac:dyDescent="0.35">
      <c r="A17" t="s">
        <v>43</v>
      </c>
      <c r="B17" t="s">
        <v>66</v>
      </c>
      <c r="C17">
        <v>9</v>
      </c>
      <c r="D17">
        <v>0</v>
      </c>
      <c r="E17">
        <v>9</v>
      </c>
      <c r="F17">
        <v>0</v>
      </c>
      <c r="G17">
        <v>9.6999999999999993</v>
      </c>
      <c r="H17">
        <v>0</v>
      </c>
      <c r="I17">
        <v>9.6999999999999993</v>
      </c>
      <c r="J17">
        <v>0</v>
      </c>
      <c r="K17">
        <v>2.7059324055091158</v>
      </c>
      <c r="L17">
        <v>2.8932995220407598</v>
      </c>
      <c r="M17">
        <v>0</v>
      </c>
      <c r="N17">
        <v>0</v>
      </c>
      <c r="O17">
        <v>2.7059324055091158</v>
      </c>
      <c r="P17">
        <v>2.8932995220407598</v>
      </c>
      <c r="Q17">
        <v>0</v>
      </c>
      <c r="R17">
        <v>0</v>
      </c>
      <c r="S17">
        <v>2.9163938148264918</v>
      </c>
      <c r="T17">
        <v>3.1183339293105958</v>
      </c>
      <c r="U17">
        <v>0</v>
      </c>
      <c r="V17">
        <v>0</v>
      </c>
      <c r="W17">
        <v>2.9163938148264918</v>
      </c>
      <c r="X17">
        <v>3.1183339293105958</v>
      </c>
      <c r="Y17">
        <v>0</v>
      </c>
      <c r="Z17">
        <v>0</v>
      </c>
      <c r="AA17">
        <v>311.06354290107998</v>
      </c>
      <c r="AB17">
        <v>332.60254327404999</v>
      </c>
      <c r="AC17">
        <f t="shared" si="0"/>
        <v>0.48128342245989308</v>
      </c>
      <c r="AD17">
        <f t="shared" si="1"/>
        <v>0.48128342245989308</v>
      </c>
      <c r="AE17">
        <f t="shared" si="2"/>
        <v>1</v>
      </c>
      <c r="AF17">
        <f t="shared" si="3"/>
        <v>0</v>
      </c>
      <c r="AG17">
        <f t="shared" si="4"/>
        <v>0</v>
      </c>
      <c r="AH17">
        <f t="shared" si="5"/>
        <v>0.51871657754010692</v>
      </c>
      <c r="AI17">
        <f t="shared" si="6"/>
        <v>0</v>
      </c>
      <c r="AJ17">
        <f t="shared" si="7"/>
        <v>1</v>
      </c>
      <c r="AK17">
        <f t="shared" si="8"/>
        <v>6.0116334513513559E-2</v>
      </c>
      <c r="AL17">
        <f t="shared" si="9"/>
        <v>5.6223262203356078E-2</v>
      </c>
    </row>
    <row r="18" spans="1:38" x14ac:dyDescent="0.35">
      <c r="A18" t="s">
        <v>44</v>
      </c>
      <c r="B18" t="s">
        <v>66</v>
      </c>
      <c r="C18">
        <v>0</v>
      </c>
      <c r="D18">
        <v>0</v>
      </c>
      <c r="E18">
        <v>0</v>
      </c>
      <c r="F18">
        <v>0</v>
      </c>
      <c r="G18">
        <v>0.34351350790000001</v>
      </c>
      <c r="H18">
        <v>0.166216216</v>
      </c>
      <c r="I18">
        <v>0.17729729189999999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1.2772080118792739</v>
      </c>
      <c r="T18">
        <v>0.74820679582493232</v>
      </c>
      <c r="U18">
        <v>0.61800388601095835</v>
      </c>
      <c r="V18">
        <v>0.36203555181215291</v>
      </c>
      <c r="W18">
        <v>0.659204125868316</v>
      </c>
      <c r="X18">
        <v>0.38617124401277941</v>
      </c>
      <c r="Y18">
        <v>0</v>
      </c>
      <c r="Z18">
        <v>0</v>
      </c>
      <c r="AA18">
        <v>45.911572818750003</v>
      </c>
      <c r="AB18">
        <v>26.895658710639999</v>
      </c>
      <c r="AC18">
        <f t="shared" si="0"/>
        <v>0</v>
      </c>
      <c r="AD18">
        <f t="shared" si="1"/>
        <v>0</v>
      </c>
      <c r="AE18">
        <v>0</v>
      </c>
      <c r="AF18">
        <f t="shared" si="3"/>
        <v>0</v>
      </c>
      <c r="AG18">
        <v>0</v>
      </c>
      <c r="AH18">
        <f t="shared" si="5"/>
        <v>1</v>
      </c>
      <c r="AI18">
        <f t="shared" si="6"/>
        <v>0.48387097501966964</v>
      </c>
      <c r="AJ18">
        <f t="shared" si="7"/>
        <v>0.51612902498033031</v>
      </c>
      <c r="AK18">
        <f t="shared" si="8"/>
        <v>7.4820679582493247E-3</v>
      </c>
      <c r="AL18">
        <f t="shared" si="9"/>
        <v>1.2772080118792743E-2</v>
      </c>
    </row>
    <row r="19" spans="1:38" x14ac:dyDescent="0.35">
      <c r="A19" t="s">
        <v>45</v>
      </c>
      <c r="B19" t="s">
        <v>66</v>
      </c>
      <c r="C19">
        <v>4.352352529</v>
      </c>
      <c r="D19">
        <v>2.8823529000000001E-2</v>
      </c>
      <c r="E19">
        <v>4.3235289999999997</v>
      </c>
      <c r="F19">
        <v>4.5</v>
      </c>
      <c r="G19">
        <v>13.1</v>
      </c>
      <c r="H19">
        <v>1.1000000000000001</v>
      </c>
      <c r="I19">
        <v>12</v>
      </c>
      <c r="J19">
        <v>0</v>
      </c>
      <c r="K19">
        <v>1.7085190625524529</v>
      </c>
      <c r="L19">
        <v>1.7140488294221521</v>
      </c>
      <c r="M19">
        <v>1.1314696688378799E-2</v>
      </c>
      <c r="N19">
        <v>1.1351317663970699E-2</v>
      </c>
      <c r="O19">
        <v>1.6972043658640741</v>
      </c>
      <c r="P19">
        <v>1.7026975117581811</v>
      </c>
      <c r="Q19">
        <v>1.766478181686381</v>
      </c>
      <c r="R19">
        <v>1.772195538161492</v>
      </c>
      <c r="S19">
        <v>5.1424142622425748</v>
      </c>
      <c r="T19">
        <v>5.1590581222034544</v>
      </c>
      <c r="U19">
        <v>0.43180577774555973</v>
      </c>
      <c r="V19">
        <v>0.43320335377280911</v>
      </c>
      <c r="W19">
        <v>4.7106084844970146</v>
      </c>
      <c r="X19">
        <v>4.7258547684306453</v>
      </c>
      <c r="Y19">
        <v>0</v>
      </c>
      <c r="Z19">
        <v>0</v>
      </c>
      <c r="AA19">
        <v>253.92231856471</v>
      </c>
      <c r="AB19">
        <v>254.7441596875</v>
      </c>
      <c r="AC19">
        <f t="shared" si="0"/>
        <v>0.24938486211345084</v>
      </c>
      <c r="AD19">
        <f t="shared" si="1"/>
        <v>0.24773330660240411</v>
      </c>
      <c r="AE19">
        <f t="shared" si="2"/>
        <v>0.99337748291115036</v>
      </c>
      <c r="AF19">
        <f t="shared" si="3"/>
        <v>1.6515555110467137E-3</v>
      </c>
      <c r="AG19">
        <f t="shared" si="4"/>
        <v>6.6225170888495367E-3</v>
      </c>
      <c r="AH19">
        <f t="shared" si="5"/>
        <v>0.75061513788654921</v>
      </c>
      <c r="AI19">
        <f t="shared" si="6"/>
        <v>8.3969465648854977E-2</v>
      </c>
      <c r="AJ19">
        <f t="shared" si="7"/>
        <v>0.91603053435114501</v>
      </c>
      <c r="AK19">
        <f t="shared" si="8"/>
        <v>6.8731069516256058E-2</v>
      </c>
      <c r="AL19">
        <f t="shared" si="9"/>
        <v>6.8509333247950277E-2</v>
      </c>
    </row>
    <row r="20" spans="1:38" x14ac:dyDescent="0.35">
      <c r="A20" t="s">
        <v>46</v>
      </c>
      <c r="B20" t="s">
        <v>66</v>
      </c>
      <c r="C20">
        <v>6.3664610000000001</v>
      </c>
      <c r="D20">
        <v>5.4100000000000003E-4</v>
      </c>
      <c r="E20">
        <v>6.36592</v>
      </c>
      <c r="F20">
        <v>0</v>
      </c>
      <c r="G20">
        <v>2.2164000000000001</v>
      </c>
      <c r="H20">
        <v>1.1082000000000001</v>
      </c>
      <c r="I20">
        <v>1.1082000000000001</v>
      </c>
      <c r="J20">
        <v>0</v>
      </c>
      <c r="K20">
        <v>3.1222987126848292</v>
      </c>
      <c r="L20">
        <v>2.1112823412204822</v>
      </c>
      <c r="M20">
        <v>2.6532222588999997E-4</v>
      </c>
      <c r="N20">
        <v>1.794095254176E-4</v>
      </c>
      <c r="O20">
        <v>3.122033390458939</v>
      </c>
      <c r="P20">
        <v>2.1111029316950649</v>
      </c>
      <c r="Q20">
        <v>0</v>
      </c>
      <c r="R20">
        <v>0</v>
      </c>
      <c r="S20">
        <v>1.086987396419244</v>
      </c>
      <c r="T20">
        <v>0.73501529045431646</v>
      </c>
      <c r="U20">
        <v>0.5434936982096219</v>
      </c>
      <c r="V20">
        <v>0.36750764522715818</v>
      </c>
      <c r="W20">
        <v>0.5434936982096219</v>
      </c>
      <c r="X20">
        <v>0.36750764522715818</v>
      </c>
      <c r="Y20">
        <v>0</v>
      </c>
      <c r="Z20">
        <v>0</v>
      </c>
      <c r="AA20">
        <v>301.54474727050001</v>
      </c>
      <c r="AB20">
        <v>203.90300819506001</v>
      </c>
      <c r="AC20">
        <f t="shared" si="0"/>
        <v>0.74176443029894101</v>
      </c>
      <c r="AD20">
        <f t="shared" si="1"/>
        <v>0.74170139770409882</v>
      </c>
      <c r="AE20">
        <f t="shared" si="2"/>
        <v>0.99991502343295591</v>
      </c>
      <c r="AF20">
        <f t="shared" si="3"/>
        <v>6.3032594842209373E-5</v>
      </c>
      <c r="AG20">
        <f t="shared" si="4"/>
        <v>8.4976567044076767E-5</v>
      </c>
      <c r="AH20">
        <f t="shared" si="5"/>
        <v>0.25823556970105888</v>
      </c>
      <c r="AI20">
        <f t="shared" si="6"/>
        <v>0.5</v>
      </c>
      <c r="AJ20">
        <f t="shared" si="7"/>
        <v>0.5</v>
      </c>
      <c r="AK20">
        <f t="shared" si="8"/>
        <v>2.8462976316747993E-2</v>
      </c>
      <c r="AL20">
        <f t="shared" si="9"/>
        <v>4.2092861091040733E-2</v>
      </c>
    </row>
    <row r="21" spans="1:38" x14ac:dyDescent="0.35">
      <c r="A21" t="s">
        <v>47</v>
      </c>
      <c r="B21" t="s">
        <v>66</v>
      </c>
      <c r="C21">
        <v>0.88253820443329634</v>
      </c>
      <c r="D21">
        <v>2.1328006607137899E-2</v>
      </c>
      <c r="E21">
        <v>0.86121019782615837</v>
      </c>
      <c r="F21">
        <v>0</v>
      </c>
      <c r="G21">
        <v>0.91931062961801724</v>
      </c>
      <c r="H21">
        <v>0</v>
      </c>
      <c r="I21">
        <v>0.91931062961801724</v>
      </c>
      <c r="J21">
        <v>0</v>
      </c>
      <c r="K21">
        <v>4.2572996227017779</v>
      </c>
      <c r="L21">
        <v>4.6280958337256317</v>
      </c>
      <c r="M21">
        <v>0.1028847408819596</v>
      </c>
      <c r="N21">
        <v>0.1118456493150361</v>
      </c>
      <c r="O21">
        <v>4.1544148818198181</v>
      </c>
      <c r="P21">
        <v>4.5162501844105956</v>
      </c>
      <c r="Q21">
        <v>0</v>
      </c>
      <c r="R21">
        <v>0</v>
      </c>
      <c r="S21">
        <v>4.434687106981019</v>
      </c>
      <c r="T21">
        <v>4.8209331601308669</v>
      </c>
      <c r="U21">
        <v>0</v>
      </c>
      <c r="V21">
        <v>0</v>
      </c>
      <c r="W21">
        <v>4.434687106981019</v>
      </c>
      <c r="X21">
        <v>4.8209331601308669</v>
      </c>
      <c r="Y21">
        <v>0</v>
      </c>
      <c r="Z21">
        <v>0</v>
      </c>
      <c r="AA21">
        <v>19.06914282116</v>
      </c>
      <c r="AB21">
        <v>20.729999827290001</v>
      </c>
      <c r="AC21">
        <f t="shared" si="0"/>
        <v>0.48979591836734693</v>
      </c>
      <c r="AD21">
        <f t="shared" si="1"/>
        <v>0.4779591836734694</v>
      </c>
      <c r="AE21">
        <f t="shared" si="2"/>
        <v>0.97583333333333333</v>
      </c>
      <c r="AF21">
        <f t="shared" si="3"/>
        <v>1.1836734693877497E-2</v>
      </c>
      <c r="AG21">
        <f t="shared" si="4"/>
        <v>2.4166666666666559E-2</v>
      </c>
      <c r="AH21">
        <f t="shared" si="5"/>
        <v>0.51020408163265318</v>
      </c>
      <c r="AI21">
        <f t="shared" si="6"/>
        <v>0</v>
      </c>
      <c r="AJ21">
        <f t="shared" si="7"/>
        <v>1</v>
      </c>
      <c r="AK21">
        <f t="shared" si="8"/>
        <v>9.4490289938564981E-2</v>
      </c>
      <c r="AL21">
        <f t="shared" si="9"/>
        <v>8.6919867296827963E-2</v>
      </c>
    </row>
    <row r="22" spans="1:38" x14ac:dyDescent="0.35">
      <c r="A22" t="s">
        <v>48</v>
      </c>
      <c r="B22" t="s">
        <v>66</v>
      </c>
      <c r="C22">
        <v>23.4348086526857</v>
      </c>
      <c r="D22">
        <v>2.2863227953839709</v>
      </c>
      <c r="E22">
        <v>21.148485857301729</v>
      </c>
      <c r="F22">
        <v>2.857903494229963</v>
      </c>
      <c r="G22">
        <v>6.8589683861519131</v>
      </c>
      <c r="H22">
        <v>4.5726455907679417</v>
      </c>
      <c r="I22">
        <v>2.2863227953839709</v>
      </c>
      <c r="J22">
        <v>0</v>
      </c>
      <c r="K22">
        <v>6.308725700048833</v>
      </c>
      <c r="L22">
        <v>5.6078791341391749</v>
      </c>
      <c r="M22">
        <v>0.61548543415110557</v>
      </c>
      <c r="N22">
        <v>0.54711015942821217</v>
      </c>
      <c r="O22">
        <v>5.6932402658977272</v>
      </c>
      <c r="P22">
        <v>5.060768974710963</v>
      </c>
      <c r="Q22">
        <v>0.76935679268888202</v>
      </c>
      <c r="R22">
        <v>0.68388769928526516</v>
      </c>
      <c r="S22">
        <v>1.8464563024533169</v>
      </c>
      <c r="T22">
        <v>1.6413304782846361</v>
      </c>
      <c r="U22">
        <v>1.2309708683022109</v>
      </c>
      <c r="V22">
        <v>1.0942203188564239</v>
      </c>
      <c r="W22">
        <v>0.61548543415110557</v>
      </c>
      <c r="X22">
        <v>0.54711015942821217</v>
      </c>
      <c r="Y22">
        <v>0</v>
      </c>
      <c r="Z22">
        <v>0</v>
      </c>
      <c r="AA22">
        <v>417.89075855828003</v>
      </c>
      <c r="AB22">
        <v>371.46659669328</v>
      </c>
      <c r="AC22">
        <f t="shared" si="0"/>
        <v>0.77358490566037741</v>
      </c>
      <c r="AD22">
        <f t="shared" si="1"/>
        <v>0.69811320754716988</v>
      </c>
      <c r="AE22">
        <f t="shared" si="2"/>
        <v>0.90243902439024393</v>
      </c>
      <c r="AF22">
        <f t="shared" si="3"/>
        <v>7.5471698113207558E-2</v>
      </c>
      <c r="AG22">
        <f t="shared" si="4"/>
        <v>9.7560975609756101E-2</v>
      </c>
      <c r="AH22">
        <f t="shared" si="5"/>
        <v>0.22641509433962267</v>
      </c>
      <c r="AI22">
        <f t="shared" si="6"/>
        <v>0.66666666666666663</v>
      </c>
      <c r="AJ22">
        <f t="shared" si="7"/>
        <v>0.33333333333333331</v>
      </c>
      <c r="AK22">
        <f t="shared" si="8"/>
        <v>7.2492096124238098E-2</v>
      </c>
      <c r="AL22">
        <f t="shared" si="9"/>
        <v>8.1551820025021482E-2</v>
      </c>
    </row>
    <row r="23" spans="1:38" x14ac:dyDescent="0.35">
      <c r="A23" t="s">
        <v>49</v>
      </c>
      <c r="B23" t="s">
        <v>66</v>
      </c>
      <c r="C23">
        <v>25.918306382883841</v>
      </c>
      <c r="D23">
        <v>4.0163261841927023</v>
      </c>
      <c r="E23">
        <v>21.901980198691131</v>
      </c>
      <c r="F23">
        <v>2.0803991745458599</v>
      </c>
      <c r="G23">
        <v>11.15325113020419</v>
      </c>
      <c r="H23">
        <v>0.9535162883335192</v>
      </c>
      <c r="I23">
        <v>10.19973484187067</v>
      </c>
      <c r="J23">
        <v>0</v>
      </c>
      <c r="K23">
        <v>7.2304547534162724</v>
      </c>
      <c r="L23">
        <v>7.5696715765084619</v>
      </c>
      <c r="M23">
        <v>1.120438362012109</v>
      </c>
      <c r="N23">
        <v>1.173003733706439</v>
      </c>
      <c r="O23">
        <v>6.1100163914041632</v>
      </c>
      <c r="P23">
        <v>6.3966678428020227</v>
      </c>
      <c r="Q23">
        <v>0.5803709501069918</v>
      </c>
      <c r="R23">
        <v>0.60759905630837163</v>
      </c>
      <c r="S23">
        <v>3.1114331491847049</v>
      </c>
      <c r="T23">
        <v>3.257406051875436</v>
      </c>
      <c r="U23">
        <v>0.2660033521323712</v>
      </c>
      <c r="V23">
        <v>0.27848290080800359</v>
      </c>
      <c r="W23">
        <v>2.8454297970523341</v>
      </c>
      <c r="X23">
        <v>2.9789231510674319</v>
      </c>
      <c r="Y23">
        <v>0</v>
      </c>
      <c r="Z23">
        <v>0</v>
      </c>
      <c r="AA23">
        <v>342.39670930134002</v>
      </c>
      <c r="AB23">
        <v>358.46025273358998</v>
      </c>
      <c r="AC23">
        <f t="shared" si="0"/>
        <v>0.69914263445050673</v>
      </c>
      <c r="AD23">
        <f t="shared" si="1"/>
        <v>0.59080280592361634</v>
      </c>
      <c r="AE23">
        <f t="shared" si="2"/>
        <v>0.84503901895206213</v>
      </c>
      <c r="AF23">
        <f t="shared" si="3"/>
        <v>0.10833982852689011</v>
      </c>
      <c r="AG23">
        <f t="shared" si="4"/>
        <v>0.15496098104793757</v>
      </c>
      <c r="AH23">
        <f t="shared" si="5"/>
        <v>0.30085736554949327</v>
      </c>
      <c r="AI23">
        <f t="shared" si="6"/>
        <v>8.5492227979274651E-2</v>
      </c>
      <c r="AJ23">
        <f t="shared" si="7"/>
        <v>0.91450777202072531</v>
      </c>
      <c r="AK23">
        <f t="shared" si="8"/>
        <v>0.10827077628383897</v>
      </c>
      <c r="AL23">
        <f t="shared" si="9"/>
        <v>0.10341887902600977</v>
      </c>
    </row>
    <row r="24" spans="1:38" x14ac:dyDescent="0.35">
      <c r="A24" t="s">
        <v>50</v>
      </c>
      <c r="B24" t="s">
        <v>66</v>
      </c>
      <c r="C24">
        <v>2.641211834610071</v>
      </c>
      <c r="D24">
        <v>0.2311060355223796</v>
      </c>
      <c r="E24">
        <v>2.4101057990876908</v>
      </c>
      <c r="F24">
        <v>0</v>
      </c>
      <c r="G24">
        <v>1.048561098329887</v>
      </c>
      <c r="H24">
        <v>0.2311060355223796</v>
      </c>
      <c r="I24">
        <v>0.81745506280750724</v>
      </c>
      <c r="J24">
        <v>0</v>
      </c>
      <c r="K24">
        <v>8.7573111594010662</v>
      </c>
      <c r="L24">
        <v>4.7655871856594887</v>
      </c>
      <c r="M24">
        <v>0.76626472642769428</v>
      </c>
      <c r="N24">
        <v>0.41698887873437651</v>
      </c>
      <c r="O24">
        <v>7.9910464329733726</v>
      </c>
      <c r="P24">
        <v>4.348598306925112</v>
      </c>
      <c r="Q24">
        <v>0</v>
      </c>
      <c r="R24">
        <v>0</v>
      </c>
      <c r="S24">
        <v>3.4766525302480362</v>
      </c>
      <c r="T24">
        <v>1.891938112688212</v>
      </c>
      <c r="U24">
        <v>0.76626472642769428</v>
      </c>
      <c r="V24">
        <v>0.41698887873437651</v>
      </c>
      <c r="W24">
        <v>2.7103878038203408</v>
      </c>
      <c r="X24">
        <v>1.4749492339538359</v>
      </c>
      <c r="Y24">
        <v>0</v>
      </c>
      <c r="Z24">
        <v>0</v>
      </c>
      <c r="AA24">
        <v>55.422589739999999</v>
      </c>
      <c r="AB24">
        <v>30.160077523049999</v>
      </c>
      <c r="AC24">
        <f t="shared" si="0"/>
        <v>0.71581961345940914</v>
      </c>
      <c r="AD24">
        <f t="shared" si="1"/>
        <v>0.65318539728333724</v>
      </c>
      <c r="AE24">
        <f t="shared" si="2"/>
        <v>0.91250000000227205</v>
      </c>
      <c r="AF24">
        <f t="shared" si="3"/>
        <v>6.2634216176071747E-2</v>
      </c>
      <c r="AG24">
        <f t="shared" si="4"/>
        <v>8.7499999997727701E-2</v>
      </c>
      <c r="AH24">
        <f t="shared" si="5"/>
        <v>0.28418038654059091</v>
      </c>
      <c r="AI24">
        <f t="shared" si="6"/>
        <v>0.22040302266646888</v>
      </c>
      <c r="AJ24">
        <f t="shared" si="7"/>
        <v>0.77959697733353095</v>
      </c>
      <c r="AK24">
        <f t="shared" si="8"/>
        <v>6.6575252983477023E-2</v>
      </c>
      <c r="AL24">
        <f t="shared" si="9"/>
        <v>0.12233963689649104</v>
      </c>
    </row>
    <row r="25" spans="1:38" x14ac:dyDescent="0.35">
      <c r="A25" t="s">
        <v>51</v>
      </c>
      <c r="B25" t="s">
        <v>66</v>
      </c>
      <c r="C25">
        <v>2.5949763727608071</v>
      </c>
      <c r="D25">
        <v>0.57158069884599272</v>
      </c>
      <c r="E25">
        <v>2.023395673914814</v>
      </c>
      <c r="F25">
        <v>2.503523460945448</v>
      </c>
      <c r="G25">
        <v>1.966237604030215</v>
      </c>
      <c r="H25">
        <v>0.36581164726143528</v>
      </c>
      <c r="I25">
        <v>1.60042595676878</v>
      </c>
      <c r="J25">
        <v>0</v>
      </c>
      <c r="K25">
        <v>5.3818960772623692</v>
      </c>
      <c r="L25">
        <v>2.6714857655953939</v>
      </c>
      <c r="M25">
        <v>1.185439664595235</v>
      </c>
      <c r="N25">
        <v>0.5884329880166066</v>
      </c>
      <c r="O25">
        <v>4.1964564126671338</v>
      </c>
      <c r="P25">
        <v>2.083052777578787</v>
      </c>
      <c r="Q25">
        <v>5.19222573092713</v>
      </c>
      <c r="R25">
        <v>2.5773364875127358</v>
      </c>
      <c r="S25">
        <v>4.0779124462076091</v>
      </c>
      <c r="T25">
        <v>2.0242094787771259</v>
      </c>
      <c r="U25">
        <v>0.75868138534095053</v>
      </c>
      <c r="V25">
        <v>0.3765971123306282</v>
      </c>
      <c r="W25">
        <v>3.3192310608666582</v>
      </c>
      <c r="X25">
        <v>1.6476123664464979</v>
      </c>
      <c r="Y25">
        <v>0</v>
      </c>
      <c r="Z25">
        <v>0</v>
      </c>
      <c r="AA25">
        <v>97.136073348400004</v>
      </c>
      <c r="AB25">
        <v>48.216768505140003</v>
      </c>
      <c r="AC25">
        <f t="shared" si="0"/>
        <v>0.56892230576441105</v>
      </c>
      <c r="AD25">
        <f t="shared" si="1"/>
        <v>0.44360902255639095</v>
      </c>
      <c r="AE25">
        <f t="shared" si="2"/>
        <v>0.7797356828193831</v>
      </c>
      <c r="AF25">
        <f t="shared" si="3"/>
        <v>0.12531328320802004</v>
      </c>
      <c r="AG25">
        <f t="shared" si="4"/>
        <v>0.22026431718061673</v>
      </c>
      <c r="AH25">
        <f t="shared" si="5"/>
        <v>0.431077694235589</v>
      </c>
      <c r="AI25">
        <f t="shared" si="6"/>
        <v>0.18604651162790695</v>
      </c>
      <c r="AJ25">
        <f t="shared" si="7"/>
        <v>0.81395348837209325</v>
      </c>
      <c r="AK25">
        <f t="shared" si="8"/>
        <v>4.6956952443725199E-2</v>
      </c>
      <c r="AL25">
        <f t="shared" si="9"/>
        <v>9.4598085234699772E-2</v>
      </c>
    </row>
    <row r="26" spans="1:38" x14ac:dyDescent="0.35">
      <c r="A26" t="s">
        <v>52</v>
      </c>
      <c r="B26" t="s">
        <v>66</v>
      </c>
      <c r="C26">
        <v>3.5438003328451551</v>
      </c>
      <c r="D26">
        <v>0.2286322795383971</v>
      </c>
      <c r="E26">
        <v>3.315168053306758</v>
      </c>
      <c r="F26">
        <v>5.2145883075488326</v>
      </c>
      <c r="G26">
        <v>2.857903494229963</v>
      </c>
      <c r="H26">
        <v>0</v>
      </c>
      <c r="I26">
        <v>2.857903494229963</v>
      </c>
      <c r="J26">
        <v>1.257477537461184</v>
      </c>
      <c r="K26">
        <v>5.3244195640159759</v>
      </c>
      <c r="L26">
        <v>5.3415951260588308</v>
      </c>
      <c r="M26">
        <v>0.34351093961393397</v>
      </c>
      <c r="N26">
        <v>0.34461904039089231</v>
      </c>
      <c r="O26">
        <v>4.9809086244020424</v>
      </c>
      <c r="P26">
        <v>4.9969760856679386</v>
      </c>
      <c r="Q26">
        <v>7.8347122849077087</v>
      </c>
      <c r="R26">
        <v>7.8599855725063756</v>
      </c>
      <c r="S26">
        <v>4.2938867451741736</v>
      </c>
      <c r="T26">
        <v>4.3077380048861542</v>
      </c>
      <c r="U26">
        <v>0</v>
      </c>
      <c r="V26">
        <v>0</v>
      </c>
      <c r="W26">
        <v>4.2938867451741736</v>
      </c>
      <c r="X26">
        <v>4.3077380048861542</v>
      </c>
      <c r="Y26">
        <v>1.8893101678766371</v>
      </c>
      <c r="Z26">
        <v>1.895404722149908</v>
      </c>
      <c r="AA26">
        <v>66.343484468840003</v>
      </c>
      <c r="AB26">
        <v>66.557495896739994</v>
      </c>
      <c r="AC26">
        <f t="shared" si="0"/>
        <v>0.5535714285714286</v>
      </c>
      <c r="AD26">
        <f t="shared" si="1"/>
        <v>0.5178571428571429</v>
      </c>
      <c r="AE26">
        <f t="shared" si="2"/>
        <v>0.93548387096774199</v>
      </c>
      <c r="AF26">
        <f t="shared" si="3"/>
        <v>3.5714285714285719E-2</v>
      </c>
      <c r="AG26">
        <f t="shared" si="4"/>
        <v>6.4516129032258063E-2</v>
      </c>
      <c r="AH26">
        <f t="shared" si="5"/>
        <v>0.44642857142857134</v>
      </c>
      <c r="AI26">
        <f t="shared" si="6"/>
        <v>0</v>
      </c>
      <c r="AJ26">
        <f t="shared" si="7"/>
        <v>1</v>
      </c>
      <c r="AK26">
        <f t="shared" si="8"/>
        <v>9.6493331309449842E-2</v>
      </c>
      <c r="AL26">
        <f t="shared" si="9"/>
        <v>9.6183063091901499E-2</v>
      </c>
    </row>
    <row r="27" spans="1:38" x14ac:dyDescent="0.35">
      <c r="A27" t="s">
        <v>53</v>
      </c>
      <c r="B27" t="s">
        <v>66</v>
      </c>
      <c r="C27">
        <v>22</v>
      </c>
      <c r="D27">
        <v>0</v>
      </c>
      <c r="E27">
        <v>22</v>
      </c>
      <c r="F27">
        <v>45</v>
      </c>
      <c r="G27">
        <v>0</v>
      </c>
      <c r="H27">
        <v>0</v>
      </c>
      <c r="I27">
        <v>0</v>
      </c>
      <c r="J27">
        <v>0</v>
      </c>
      <c r="K27">
        <v>2.6182670370692831</v>
      </c>
      <c r="L27">
        <v>2.3594000418604768</v>
      </c>
      <c r="M27">
        <v>0</v>
      </c>
      <c r="N27">
        <v>0</v>
      </c>
      <c r="O27">
        <v>2.6182670370692831</v>
      </c>
      <c r="P27">
        <v>2.3594000418604768</v>
      </c>
      <c r="Q27">
        <v>5.3555462121871704</v>
      </c>
      <c r="R27">
        <v>4.826045540169158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932.44043441874999</v>
      </c>
      <c r="AB27">
        <v>840.25042856688003</v>
      </c>
      <c r="AC27">
        <f t="shared" si="0"/>
        <v>1</v>
      </c>
      <c r="AD27">
        <f t="shared" si="1"/>
        <v>1</v>
      </c>
      <c r="AE27">
        <f t="shared" si="2"/>
        <v>1</v>
      </c>
      <c r="AF27">
        <f t="shared" si="3"/>
        <v>0</v>
      </c>
      <c r="AG27">
        <f t="shared" si="4"/>
        <v>0</v>
      </c>
      <c r="AH27">
        <f t="shared" si="5"/>
        <v>0</v>
      </c>
      <c r="AI27">
        <v>0</v>
      </c>
      <c r="AJ27">
        <v>0</v>
      </c>
      <c r="AK27">
        <f t="shared" si="8"/>
        <v>2.3594000418604769E-2</v>
      </c>
      <c r="AL27">
        <f t="shared" si="9"/>
        <v>2.6182670370692829E-2</v>
      </c>
    </row>
    <row r="28" spans="1:38" x14ac:dyDescent="0.35">
      <c r="A28" t="s">
        <v>54</v>
      </c>
      <c r="B28" t="s">
        <v>66</v>
      </c>
      <c r="C28">
        <v>11.08851553379704</v>
      </c>
      <c r="D28">
        <v>0.31570903379703807</v>
      </c>
      <c r="E28">
        <v>10.7728065</v>
      </c>
      <c r="F28">
        <v>0</v>
      </c>
      <c r="G28">
        <v>6.6522016324629796</v>
      </c>
      <c r="H28">
        <v>2.7058387100000001</v>
      </c>
      <c r="I28">
        <v>3.9463629224629799</v>
      </c>
      <c r="K28">
        <v>5.4639624481968951</v>
      </c>
      <c r="L28">
        <v>5.7165015304406683</v>
      </c>
      <c r="M28">
        <v>0.15556837161527981</v>
      </c>
      <c r="N28">
        <v>0.1627585919299977</v>
      </c>
      <c r="O28">
        <v>5.3083940765816164</v>
      </c>
      <c r="P28">
        <v>5.5537429385106707</v>
      </c>
      <c r="Q28">
        <v>0</v>
      </c>
      <c r="R28">
        <v>0</v>
      </c>
      <c r="S28">
        <v>3.2779301978544808</v>
      </c>
      <c r="T28">
        <v>3.4294329747629302</v>
      </c>
      <c r="U28">
        <v>1.3333255526634811</v>
      </c>
      <c r="V28">
        <v>1.394950575637957</v>
      </c>
      <c r="W28">
        <v>1.944604645191</v>
      </c>
      <c r="X28">
        <v>2.0344823991249732</v>
      </c>
      <c r="Y28">
        <v>0</v>
      </c>
      <c r="Z28">
        <v>0</v>
      </c>
      <c r="AA28">
        <v>193.97380504054999</v>
      </c>
      <c r="AB28">
        <v>202.93908750153</v>
      </c>
      <c r="AC28">
        <f t="shared" si="0"/>
        <v>0.62503197756207995</v>
      </c>
      <c r="AD28">
        <f t="shared" si="1"/>
        <v>0.60723624637273055</v>
      </c>
      <c r="AE28">
        <f t="shared" si="2"/>
        <v>0.97152828682660175</v>
      </c>
      <c r="AF28">
        <f t="shared" si="3"/>
        <v>1.7795731189349306E-2</v>
      </c>
      <c r="AG28">
        <f t="shared" si="4"/>
        <v>2.8471713173398049E-2</v>
      </c>
      <c r="AH28">
        <f t="shared" si="5"/>
        <v>0.37496802243791999</v>
      </c>
      <c r="AI28">
        <f t="shared" si="6"/>
        <v>0.40675837256577002</v>
      </c>
      <c r="AJ28">
        <f t="shared" si="7"/>
        <v>0.59324162743423003</v>
      </c>
      <c r="AK28">
        <f t="shared" si="8"/>
        <v>9.1459345052035984E-2</v>
      </c>
      <c r="AL28">
        <f t="shared" si="9"/>
        <v>8.741892646051376E-2</v>
      </c>
    </row>
    <row r="29" spans="1:38" x14ac:dyDescent="0.35">
      <c r="A29" t="s">
        <v>55</v>
      </c>
      <c r="B29" t="s">
        <v>66</v>
      </c>
      <c r="C29">
        <v>8.1</v>
      </c>
      <c r="D29">
        <v>0</v>
      </c>
      <c r="E29">
        <v>8.1</v>
      </c>
      <c r="F29">
        <v>0</v>
      </c>
      <c r="G29">
        <v>10.6</v>
      </c>
      <c r="H29">
        <v>5.3</v>
      </c>
      <c r="I29">
        <v>5.3</v>
      </c>
      <c r="J29">
        <v>0</v>
      </c>
      <c r="K29">
        <v>1.974409057893133</v>
      </c>
      <c r="L29">
        <v>2.4511712488266699</v>
      </c>
      <c r="M29">
        <v>0</v>
      </c>
      <c r="N29">
        <v>0</v>
      </c>
      <c r="O29">
        <v>1.974409057893133</v>
      </c>
      <c r="P29">
        <v>2.4511712488266699</v>
      </c>
      <c r="Q29">
        <v>0</v>
      </c>
      <c r="R29">
        <v>0</v>
      </c>
      <c r="S29">
        <v>2.5837945695885449</v>
      </c>
      <c r="T29">
        <v>3.2077055848842839</v>
      </c>
      <c r="U29">
        <v>1.291897284794272</v>
      </c>
      <c r="V29">
        <v>1.603852792442142</v>
      </c>
      <c r="W29">
        <v>1.291897284794272</v>
      </c>
      <c r="X29">
        <v>1.603852792442142</v>
      </c>
      <c r="Y29">
        <v>0</v>
      </c>
      <c r="Z29">
        <v>0</v>
      </c>
      <c r="AA29">
        <v>330.45426768437</v>
      </c>
      <c r="AB29">
        <v>410.24933347112</v>
      </c>
      <c r="AC29">
        <f t="shared" si="0"/>
        <v>0.43315508021390375</v>
      </c>
      <c r="AD29">
        <f t="shared" si="1"/>
        <v>0.43315508021390375</v>
      </c>
      <c r="AE29">
        <f t="shared" si="2"/>
        <v>1</v>
      </c>
      <c r="AF29">
        <f t="shared" si="3"/>
        <v>0</v>
      </c>
      <c r="AG29">
        <f t="shared" si="4"/>
        <v>0</v>
      </c>
      <c r="AH29">
        <f t="shared" si="5"/>
        <v>0.5668449197860963</v>
      </c>
      <c r="AI29">
        <f t="shared" si="6"/>
        <v>0.5</v>
      </c>
      <c r="AJ29">
        <f t="shared" si="7"/>
        <v>0.5</v>
      </c>
      <c r="AK29">
        <f t="shared" si="8"/>
        <v>5.6588768337109546E-2</v>
      </c>
      <c r="AL29">
        <f t="shared" si="9"/>
        <v>4.5582036274816787E-2</v>
      </c>
    </row>
    <row r="30" spans="1:38" x14ac:dyDescent="0.35">
      <c r="A30" t="s">
        <v>56</v>
      </c>
      <c r="B30" t="s">
        <v>66</v>
      </c>
      <c r="C30">
        <v>7.2019168054595077</v>
      </c>
      <c r="D30">
        <v>1.829058236307177</v>
      </c>
      <c r="E30">
        <v>5.3728585691523314</v>
      </c>
      <c r="F30">
        <v>9.0309750417666859</v>
      </c>
      <c r="G30">
        <v>14.86109816999581</v>
      </c>
      <c r="H30">
        <v>0</v>
      </c>
      <c r="I30">
        <v>14.86109816999581</v>
      </c>
      <c r="J30">
        <v>0</v>
      </c>
      <c r="K30">
        <v>3.2388197867879112</v>
      </c>
      <c r="L30">
        <v>2.110662563777582</v>
      </c>
      <c r="M30">
        <v>0.82255740616835848</v>
      </c>
      <c r="N30">
        <v>0.53604128603875123</v>
      </c>
      <c r="O30">
        <v>2.416262380619552</v>
      </c>
      <c r="P30">
        <v>1.5746212777388311</v>
      </c>
      <c r="Q30">
        <v>4.0613771929562708</v>
      </c>
      <c r="R30">
        <v>2.6467038498163342</v>
      </c>
      <c r="S30">
        <v>6.6832789251179134</v>
      </c>
      <c r="T30">
        <v>4.3553354490648539</v>
      </c>
      <c r="U30">
        <v>0</v>
      </c>
      <c r="V30">
        <v>0</v>
      </c>
      <c r="W30">
        <v>6.6832789251179134</v>
      </c>
      <c r="X30">
        <v>4.3553354490648539</v>
      </c>
      <c r="Y30">
        <v>0</v>
      </c>
      <c r="Z30">
        <v>0</v>
      </c>
      <c r="AA30">
        <v>341.21592570296002</v>
      </c>
      <c r="AB30">
        <v>222.36238134761999</v>
      </c>
      <c r="AC30">
        <f t="shared" si="0"/>
        <v>0.32642487046632124</v>
      </c>
      <c r="AD30">
        <f t="shared" si="1"/>
        <v>0.24352331606217617</v>
      </c>
      <c r="AE30">
        <f t="shared" si="2"/>
        <v>0.74603174603174605</v>
      </c>
      <c r="AF30">
        <f t="shared" si="3"/>
        <v>8.2901554404145095E-2</v>
      </c>
      <c r="AG30">
        <f t="shared" si="4"/>
        <v>0.25396825396825401</v>
      </c>
      <c r="AH30">
        <f t="shared" si="5"/>
        <v>0.67357512953367871</v>
      </c>
      <c r="AI30">
        <f t="shared" si="6"/>
        <v>0</v>
      </c>
      <c r="AJ30">
        <f t="shared" si="7"/>
        <v>1</v>
      </c>
      <c r="AK30">
        <f t="shared" si="8"/>
        <v>6.465998012842436E-2</v>
      </c>
      <c r="AL30">
        <f t="shared" si="9"/>
        <v>9.9220987119058232E-2</v>
      </c>
    </row>
    <row r="31" spans="1:38" x14ac:dyDescent="0.35">
      <c r="A31" t="s">
        <v>57</v>
      </c>
      <c r="B31" t="s">
        <v>66</v>
      </c>
      <c r="C31">
        <v>2.5149550749223679</v>
      </c>
      <c r="D31">
        <v>0.18290582363071761</v>
      </c>
      <c r="E31">
        <v>2.3320492512916502</v>
      </c>
      <c r="F31">
        <v>1.4060885191611421</v>
      </c>
      <c r="G31">
        <v>4.5840772047448617</v>
      </c>
      <c r="H31">
        <v>0</v>
      </c>
      <c r="I31">
        <v>4.5840772047448617</v>
      </c>
      <c r="J31">
        <v>0</v>
      </c>
      <c r="K31">
        <v>2.52787094908023</v>
      </c>
      <c r="L31">
        <v>1.3840355185893001</v>
      </c>
      <c r="M31">
        <v>0.1838451599331076</v>
      </c>
      <c r="N31">
        <v>0.1006571286246763</v>
      </c>
      <c r="O31">
        <v>2.344025789147123</v>
      </c>
      <c r="P31">
        <v>1.2833783899646241</v>
      </c>
      <c r="Q31">
        <v>1.413309666985765</v>
      </c>
      <c r="R31">
        <v>0.77380167630219954</v>
      </c>
      <c r="S31">
        <v>4.6076193208235097</v>
      </c>
      <c r="T31">
        <v>2.5227192861559522</v>
      </c>
      <c r="U31">
        <v>0</v>
      </c>
      <c r="V31">
        <v>0</v>
      </c>
      <c r="W31">
        <v>4.6076193208235097</v>
      </c>
      <c r="X31">
        <v>2.5227192861559522</v>
      </c>
      <c r="Y31">
        <v>0</v>
      </c>
      <c r="Z31">
        <v>0</v>
      </c>
      <c r="AA31">
        <v>181.71174374815001</v>
      </c>
      <c r="AB31">
        <v>99.489061173690004</v>
      </c>
      <c r="AC31">
        <f t="shared" si="0"/>
        <v>0.35426731078904994</v>
      </c>
      <c r="AD31">
        <f t="shared" si="1"/>
        <v>0.32850241545893721</v>
      </c>
      <c r="AE31">
        <f t="shared" si="2"/>
        <v>0.92727272727272725</v>
      </c>
      <c r="AF31">
        <f t="shared" si="3"/>
        <v>2.5764895330112714E-2</v>
      </c>
      <c r="AG31">
        <f t="shared" si="4"/>
        <v>7.272727272727271E-2</v>
      </c>
      <c r="AH31">
        <f t="shared" si="5"/>
        <v>0.64573268921095017</v>
      </c>
      <c r="AI31">
        <f t="shared" si="6"/>
        <v>0</v>
      </c>
      <c r="AJ31">
        <f t="shared" si="7"/>
        <v>1</v>
      </c>
      <c r="AK31">
        <f t="shared" si="8"/>
        <v>3.9067548047452515E-2</v>
      </c>
      <c r="AL31">
        <f t="shared" si="9"/>
        <v>7.1354902699037395E-2</v>
      </c>
    </row>
    <row r="32" spans="1:38" x14ac:dyDescent="0.35">
      <c r="A32" t="s">
        <v>58</v>
      </c>
      <c r="B32" t="s">
        <v>66</v>
      </c>
      <c r="C32">
        <v>4.1153810316911672</v>
      </c>
      <c r="D32">
        <v>0.11431613976919899</v>
      </c>
      <c r="E32">
        <v>4.0010648919219678</v>
      </c>
      <c r="F32">
        <v>0</v>
      </c>
      <c r="G32">
        <v>3.3151680533067731</v>
      </c>
      <c r="H32">
        <v>0.68589683861519435</v>
      </c>
      <c r="I32">
        <v>2.629271214691578</v>
      </c>
      <c r="J32">
        <v>0.11431613976919899</v>
      </c>
      <c r="K32">
        <v>8.1625269737342627</v>
      </c>
      <c r="L32">
        <v>5.4123140293972876</v>
      </c>
      <c r="M32">
        <v>0.22673686038150731</v>
      </c>
      <c r="N32">
        <v>0.1503420563721469</v>
      </c>
      <c r="O32">
        <v>7.9357901133527564</v>
      </c>
      <c r="P32">
        <v>5.2619719730251413</v>
      </c>
      <c r="Q32">
        <v>0</v>
      </c>
      <c r="R32">
        <v>0</v>
      </c>
      <c r="S32">
        <v>6.5753689510637114</v>
      </c>
      <c r="T32">
        <v>4.3599196347922593</v>
      </c>
      <c r="U32">
        <v>1.360421162289043</v>
      </c>
      <c r="V32">
        <v>0.90205233823288122</v>
      </c>
      <c r="W32">
        <v>5.2149477887746674</v>
      </c>
      <c r="X32">
        <v>3.4578672965593782</v>
      </c>
      <c r="Y32">
        <v>0.22673686038150731</v>
      </c>
      <c r="Z32">
        <v>0.1503420563721469</v>
      </c>
      <c r="AA32">
        <v>76.037366075549997</v>
      </c>
      <c r="AB32">
        <v>50.417977728389999</v>
      </c>
      <c r="AC32">
        <f t="shared" si="0"/>
        <v>0.55384615384615388</v>
      </c>
      <c r="AD32">
        <f t="shared" si="1"/>
        <v>0.53846153846153844</v>
      </c>
      <c r="AE32">
        <f t="shared" si="2"/>
        <v>0.9722222222222221</v>
      </c>
      <c r="AF32">
        <f t="shared" si="3"/>
        <v>1.5384615384615373E-2</v>
      </c>
      <c r="AG32">
        <f t="shared" si="4"/>
        <v>2.7777777777777755E-2</v>
      </c>
      <c r="AH32">
        <f t="shared" si="5"/>
        <v>0.44615384615384612</v>
      </c>
      <c r="AI32">
        <f t="shared" si="6"/>
        <v>0.2068965517241379</v>
      </c>
      <c r="AJ32">
        <f t="shared" si="7"/>
        <v>0.79310344827586188</v>
      </c>
      <c r="AK32">
        <f t="shared" si="8"/>
        <v>9.7722336641895488E-2</v>
      </c>
      <c r="AL32">
        <f t="shared" si="9"/>
        <v>0.14737895924797975</v>
      </c>
    </row>
    <row r="33" spans="1:38" x14ac:dyDescent="0.35">
      <c r="A33" t="s">
        <v>59</v>
      </c>
      <c r="B33" t="s">
        <v>66</v>
      </c>
      <c r="C33">
        <v>11</v>
      </c>
      <c r="D33">
        <v>0</v>
      </c>
      <c r="E33">
        <v>11</v>
      </c>
      <c r="F33">
        <v>0</v>
      </c>
      <c r="G33">
        <v>25</v>
      </c>
      <c r="H33">
        <v>0</v>
      </c>
      <c r="I33">
        <v>25</v>
      </c>
      <c r="J33">
        <v>0</v>
      </c>
      <c r="K33">
        <v>2.000650095073174</v>
      </c>
      <c r="L33">
        <v>2.111306177863205</v>
      </c>
      <c r="M33">
        <v>0</v>
      </c>
      <c r="N33">
        <v>0</v>
      </c>
      <c r="O33">
        <v>2.000650095073174</v>
      </c>
      <c r="P33">
        <v>2.111306177863205</v>
      </c>
      <c r="Q33">
        <v>0</v>
      </c>
      <c r="R33">
        <v>0</v>
      </c>
      <c r="S33">
        <v>4.5469320342572148</v>
      </c>
      <c r="T33">
        <v>4.7984231315072847</v>
      </c>
      <c r="U33">
        <v>0</v>
      </c>
      <c r="V33">
        <v>0</v>
      </c>
      <c r="W33">
        <v>4.5469320342572148</v>
      </c>
      <c r="X33">
        <v>4.7984231315072847</v>
      </c>
      <c r="Y33">
        <v>0</v>
      </c>
      <c r="Z33">
        <v>0</v>
      </c>
      <c r="AA33">
        <v>521.00449074291998</v>
      </c>
      <c r="AB33">
        <v>549.82128194673999</v>
      </c>
      <c r="AC33">
        <f t="shared" si="0"/>
        <v>0.30555555555555558</v>
      </c>
      <c r="AD33">
        <f t="shared" si="1"/>
        <v>0.30555555555555558</v>
      </c>
      <c r="AE33">
        <f t="shared" si="2"/>
        <v>1</v>
      </c>
      <c r="AF33">
        <f t="shared" si="3"/>
        <v>0</v>
      </c>
      <c r="AG33">
        <f t="shared" si="4"/>
        <v>0</v>
      </c>
      <c r="AH33">
        <f t="shared" si="5"/>
        <v>0.69444444444444442</v>
      </c>
      <c r="AI33">
        <f t="shared" si="6"/>
        <v>0</v>
      </c>
      <c r="AJ33">
        <f t="shared" si="7"/>
        <v>1</v>
      </c>
      <c r="AK33">
        <f t="shared" si="8"/>
        <v>6.9097293093704895E-2</v>
      </c>
      <c r="AL33">
        <f t="shared" si="9"/>
        <v>6.5475821293303885E-2</v>
      </c>
    </row>
    <row r="34" spans="1:38" x14ac:dyDescent="0.35">
      <c r="A34" t="s">
        <v>60</v>
      </c>
      <c r="B34" t="s">
        <v>66</v>
      </c>
      <c r="C34">
        <v>1.6825977000000001</v>
      </c>
      <c r="D34">
        <v>0</v>
      </c>
      <c r="E34">
        <v>1.6825977000000001</v>
      </c>
      <c r="F34">
        <v>0</v>
      </c>
      <c r="G34">
        <v>0.21161295999999999</v>
      </c>
      <c r="H34">
        <v>0.10838709000000001</v>
      </c>
      <c r="I34">
        <v>0.10322587</v>
      </c>
      <c r="J34">
        <v>0</v>
      </c>
      <c r="K34">
        <v>0.22521425078179019</v>
      </c>
      <c r="L34">
        <v>0.2847930279580338</v>
      </c>
      <c r="M34">
        <v>0</v>
      </c>
      <c r="N34">
        <v>0</v>
      </c>
      <c r="O34">
        <v>0.22521425078179019</v>
      </c>
      <c r="P34">
        <v>0.2847930279580338</v>
      </c>
      <c r="Q34">
        <v>0</v>
      </c>
      <c r="R34">
        <v>0</v>
      </c>
      <c r="S34">
        <v>2.8324212164391301E-2</v>
      </c>
      <c r="T34">
        <v>3.5817174618485603E-2</v>
      </c>
      <c r="U34">
        <v>1.4507518504731301E-2</v>
      </c>
      <c r="V34">
        <v>1.83453760531468E-2</v>
      </c>
      <c r="W34">
        <v>1.3816693659659899E-2</v>
      </c>
      <c r="X34">
        <v>1.74717985653388E-2</v>
      </c>
      <c r="Y34">
        <v>0</v>
      </c>
      <c r="Z34">
        <v>0</v>
      </c>
      <c r="AA34">
        <v>590.81421763174001</v>
      </c>
      <c r="AB34">
        <v>747.10978286638999</v>
      </c>
      <c r="AC34">
        <f t="shared" si="0"/>
        <v>0.88828435798159844</v>
      </c>
      <c r="AD34">
        <f t="shared" si="1"/>
        <v>0.88828435798159844</v>
      </c>
      <c r="AE34">
        <f t="shared" si="2"/>
        <v>1</v>
      </c>
      <c r="AF34">
        <f t="shared" si="3"/>
        <v>0</v>
      </c>
      <c r="AG34">
        <f t="shared" si="4"/>
        <v>0</v>
      </c>
      <c r="AH34">
        <f t="shared" si="5"/>
        <v>0.11171564201840146</v>
      </c>
      <c r="AI34">
        <f t="shared" si="6"/>
        <v>0.51219495252086644</v>
      </c>
      <c r="AJ34">
        <f t="shared" si="7"/>
        <v>0.48780504747913361</v>
      </c>
      <c r="AK34">
        <f t="shared" si="8"/>
        <v>3.2061020257651944E-3</v>
      </c>
      <c r="AL34">
        <f t="shared" si="9"/>
        <v>2.5353846294618163E-3</v>
      </c>
    </row>
    <row r="35" spans="1:38" x14ac:dyDescent="0.35">
      <c r="A35" t="s">
        <v>61</v>
      </c>
      <c r="B35" t="s">
        <v>66</v>
      </c>
      <c r="C35">
        <v>4.5999999999999996</v>
      </c>
      <c r="D35">
        <v>1</v>
      </c>
      <c r="E35">
        <v>3.6</v>
      </c>
      <c r="F35">
        <v>4.7152702260000003</v>
      </c>
      <c r="G35">
        <v>2.4</v>
      </c>
      <c r="H35">
        <v>2.4</v>
      </c>
      <c r="I35">
        <v>0</v>
      </c>
      <c r="J35">
        <v>0</v>
      </c>
      <c r="K35">
        <v>1.755996918642198</v>
      </c>
      <c r="L35">
        <v>1.0424015476762829</v>
      </c>
      <c r="M35">
        <v>0.38173846057439093</v>
      </c>
      <c r="N35">
        <v>0.2266090321035398</v>
      </c>
      <c r="O35">
        <v>1.374258458067807</v>
      </c>
      <c r="P35">
        <v>0.81579251557274324</v>
      </c>
      <c r="Q35">
        <v>1.7999999972655001</v>
      </c>
      <c r="R35">
        <v>1.068522822020499</v>
      </c>
      <c r="S35">
        <v>0.91617230537853822</v>
      </c>
      <c r="T35">
        <v>0.54386167704849553</v>
      </c>
      <c r="U35">
        <v>0.91617230537853822</v>
      </c>
      <c r="V35">
        <v>0.54386167704849553</v>
      </c>
      <c r="W35">
        <v>0</v>
      </c>
      <c r="X35">
        <v>0</v>
      </c>
      <c r="Y35">
        <v>0</v>
      </c>
      <c r="Z35">
        <v>0</v>
      </c>
      <c r="AA35">
        <v>441.28867711817003</v>
      </c>
      <c r="AB35">
        <v>261.95945739796002</v>
      </c>
      <c r="AC35">
        <f t="shared" si="0"/>
        <v>0.65714285714285714</v>
      </c>
      <c r="AD35">
        <f t="shared" si="1"/>
        <v>0.51428571428571435</v>
      </c>
      <c r="AE35">
        <f t="shared" si="2"/>
        <v>0.78260869565217395</v>
      </c>
      <c r="AF35">
        <f t="shared" si="3"/>
        <v>0.14285714285714285</v>
      </c>
      <c r="AG35">
        <f t="shared" si="4"/>
        <v>0.21739130434782611</v>
      </c>
      <c r="AH35">
        <f t="shared" si="5"/>
        <v>0.34285714285714286</v>
      </c>
      <c r="AI35">
        <f t="shared" si="6"/>
        <v>1</v>
      </c>
      <c r="AJ35">
        <f t="shared" si="7"/>
        <v>0</v>
      </c>
      <c r="AK35">
        <f t="shared" si="8"/>
        <v>1.5862632247247786E-2</v>
      </c>
      <c r="AL35">
        <f t="shared" si="9"/>
        <v>2.6721692240207363E-2</v>
      </c>
    </row>
    <row r="36" spans="1:38" x14ac:dyDescent="0.35">
      <c r="A36" t="s">
        <v>62</v>
      </c>
      <c r="B36" t="s">
        <v>66</v>
      </c>
      <c r="C36">
        <v>0</v>
      </c>
      <c r="D36">
        <v>0</v>
      </c>
      <c r="E36">
        <v>0</v>
      </c>
      <c r="F36">
        <v>0</v>
      </c>
      <c r="G36">
        <v>0.1</v>
      </c>
      <c r="H36">
        <v>0.1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3.1113334029335599E-2</v>
      </c>
      <c r="T36">
        <v>1.44829067404155E-2</v>
      </c>
      <c r="U36">
        <v>3.1113334029335599E-2</v>
      </c>
      <c r="V36">
        <v>1.44829067404155E-2</v>
      </c>
      <c r="W36">
        <v>0</v>
      </c>
      <c r="X36">
        <v>0</v>
      </c>
      <c r="Y36">
        <v>0</v>
      </c>
      <c r="Z36">
        <v>0</v>
      </c>
      <c r="AA36">
        <v>690.46912883131995</v>
      </c>
      <c r="AB36">
        <v>321.40560669490998</v>
      </c>
      <c r="AC36">
        <f t="shared" si="0"/>
        <v>0</v>
      </c>
      <c r="AD36">
        <f t="shared" si="1"/>
        <v>0</v>
      </c>
      <c r="AE36">
        <v>0</v>
      </c>
      <c r="AF36">
        <f t="shared" si="3"/>
        <v>0</v>
      </c>
      <c r="AG36">
        <v>0</v>
      </c>
      <c r="AH36">
        <f t="shared" si="5"/>
        <v>1</v>
      </c>
      <c r="AI36">
        <f t="shared" si="6"/>
        <v>1</v>
      </c>
      <c r="AJ36">
        <f t="shared" si="7"/>
        <v>0</v>
      </c>
      <c r="AK36">
        <f t="shared" si="8"/>
        <v>1.4482906740415584E-4</v>
      </c>
      <c r="AL36">
        <f t="shared" si="9"/>
        <v>3.1113334029335611E-4</v>
      </c>
    </row>
    <row r="37" spans="1:38" x14ac:dyDescent="0.35">
      <c r="A37" t="s">
        <v>63</v>
      </c>
      <c r="B37" t="s">
        <v>66</v>
      </c>
      <c r="C37">
        <v>0.71743400000000002</v>
      </c>
      <c r="D37">
        <v>0.17</v>
      </c>
      <c r="E37">
        <v>0.54743399999999998</v>
      </c>
      <c r="F37">
        <v>0</v>
      </c>
      <c r="G37">
        <v>0</v>
      </c>
      <c r="H37">
        <v>0</v>
      </c>
      <c r="I37">
        <v>0</v>
      </c>
      <c r="J37">
        <v>0</v>
      </c>
      <c r="K37">
        <v>1.1143308580281419</v>
      </c>
      <c r="L37">
        <v>0.7863713384702169</v>
      </c>
      <c r="M37">
        <v>0.26404693095780818</v>
      </c>
      <c r="N37">
        <v>0.18633508802194609</v>
      </c>
      <c r="O37">
        <v>0.85028392707033384</v>
      </c>
      <c r="P37">
        <v>0.6000362504482708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91.233487908610002</v>
      </c>
      <c r="AB37">
        <v>64.38249419652</v>
      </c>
      <c r="AC37">
        <f t="shared" si="0"/>
        <v>1</v>
      </c>
      <c r="AD37">
        <f t="shared" si="1"/>
        <v>0.76304440547841335</v>
      </c>
      <c r="AE37">
        <f t="shared" si="2"/>
        <v>0.76304440547841335</v>
      </c>
      <c r="AF37">
        <f t="shared" si="3"/>
        <v>0.23695559452158665</v>
      </c>
      <c r="AG37">
        <f t="shared" si="4"/>
        <v>0.23695559452158665</v>
      </c>
      <c r="AH37">
        <f t="shared" si="5"/>
        <v>0</v>
      </c>
      <c r="AI37">
        <v>0</v>
      </c>
      <c r="AJ37">
        <v>0</v>
      </c>
      <c r="AK37">
        <f t="shared" si="8"/>
        <v>7.863713384702169E-3</v>
      </c>
      <c r="AL37">
        <f t="shared" si="9"/>
        <v>1.1143308580281419E-2</v>
      </c>
    </row>
    <row r="38" spans="1:38" x14ac:dyDescent="0.35">
      <c r="A38" t="s">
        <v>64</v>
      </c>
      <c r="B38" t="s">
        <v>66</v>
      </c>
      <c r="C38">
        <v>4.4197489986439056</v>
      </c>
      <c r="D38">
        <v>0</v>
      </c>
      <c r="E38">
        <v>4.4197489986439056</v>
      </c>
      <c r="F38">
        <v>0</v>
      </c>
      <c r="G38">
        <v>0</v>
      </c>
      <c r="H38">
        <v>0</v>
      </c>
      <c r="I38">
        <v>0</v>
      </c>
      <c r="J38">
        <v>0</v>
      </c>
      <c r="K38">
        <v>2.998798899106466</v>
      </c>
      <c r="L38">
        <v>1.4262400226188989</v>
      </c>
      <c r="M38">
        <v>0</v>
      </c>
      <c r="N38">
        <v>0</v>
      </c>
      <c r="O38">
        <v>2.998798899106466</v>
      </c>
      <c r="P38">
        <v>1.4262400226188989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309.88816247970999</v>
      </c>
      <c r="AB38">
        <v>147.38397429586999</v>
      </c>
      <c r="AC38">
        <f t="shared" si="0"/>
        <v>1</v>
      </c>
      <c r="AD38">
        <f t="shared" si="1"/>
        <v>1</v>
      </c>
      <c r="AE38">
        <f t="shared" si="2"/>
        <v>1</v>
      </c>
      <c r="AF38">
        <f t="shared" si="3"/>
        <v>0</v>
      </c>
      <c r="AG38">
        <f t="shared" si="4"/>
        <v>0</v>
      </c>
      <c r="AH38">
        <f t="shared" si="5"/>
        <v>0</v>
      </c>
      <c r="AI38">
        <v>0</v>
      </c>
      <c r="AJ38">
        <v>0</v>
      </c>
      <c r="AK38">
        <f t="shared" si="8"/>
        <v>1.4262400226188987E-2</v>
      </c>
      <c r="AL38">
        <f t="shared" si="9"/>
        <v>2.9987988991064658E-2</v>
      </c>
    </row>
    <row r="39" spans="1:38" x14ac:dyDescent="0.35">
      <c r="A39" t="s">
        <v>65</v>
      </c>
      <c r="B39" t="s">
        <v>66</v>
      </c>
      <c r="C39">
        <v>17</v>
      </c>
      <c r="D39">
        <v>8</v>
      </c>
      <c r="E39">
        <v>9</v>
      </c>
      <c r="F39">
        <v>0</v>
      </c>
      <c r="G39">
        <v>17</v>
      </c>
      <c r="H39">
        <v>0</v>
      </c>
      <c r="I39">
        <v>17</v>
      </c>
      <c r="J39">
        <v>0</v>
      </c>
      <c r="K39">
        <v>2.9746119470950938</v>
      </c>
      <c r="L39">
        <v>1.3986901541599801</v>
      </c>
      <c r="M39">
        <v>1.3998173868682799</v>
      </c>
      <c r="N39">
        <v>0.65820713136940245</v>
      </c>
      <c r="O39">
        <v>1.5747945602268141</v>
      </c>
      <c r="P39">
        <v>0.74048302279057776</v>
      </c>
      <c r="Q39">
        <v>0</v>
      </c>
      <c r="R39">
        <v>0</v>
      </c>
      <c r="S39">
        <v>2.9746119470950938</v>
      </c>
      <c r="T39">
        <v>1.3986901541599801</v>
      </c>
      <c r="U39">
        <v>0</v>
      </c>
      <c r="V39">
        <v>0</v>
      </c>
      <c r="W39">
        <v>2.9746119470950938</v>
      </c>
      <c r="X39">
        <v>1.3986901541599801</v>
      </c>
      <c r="Y39">
        <v>0</v>
      </c>
      <c r="Z39">
        <v>0</v>
      </c>
      <c r="AA39">
        <v>1215.4228689920101</v>
      </c>
      <c r="AB39">
        <v>571.50311712429004</v>
      </c>
      <c r="AC39">
        <f t="shared" si="0"/>
        <v>0.5</v>
      </c>
      <c r="AD39">
        <f t="shared" si="1"/>
        <v>0.26470588235294118</v>
      </c>
      <c r="AE39">
        <f t="shared" si="2"/>
        <v>0.52941176470588236</v>
      </c>
      <c r="AF39">
        <f t="shared" si="3"/>
        <v>0.23529411764705882</v>
      </c>
      <c r="AG39">
        <f t="shared" si="4"/>
        <v>0.47058823529411764</v>
      </c>
      <c r="AH39">
        <f t="shared" si="5"/>
        <v>0.5</v>
      </c>
      <c r="AI39">
        <f t="shared" si="6"/>
        <v>0</v>
      </c>
      <c r="AJ39">
        <f t="shared" si="7"/>
        <v>1</v>
      </c>
      <c r="AK39">
        <f t="shared" si="8"/>
        <v>2.7973803083199605E-2</v>
      </c>
      <c r="AL39">
        <f t="shared" si="9"/>
        <v>5.9492238941901879E-2</v>
      </c>
    </row>
    <row r="40" spans="1:38" x14ac:dyDescent="0.35">
      <c r="A40" t="s">
        <v>28</v>
      </c>
      <c r="B40" t="s">
        <v>67</v>
      </c>
      <c r="C40">
        <v>0.36671521951269881</v>
      </c>
      <c r="D40">
        <v>1.154445264360187</v>
      </c>
      <c r="E40">
        <v>-0.78773004484749265</v>
      </c>
      <c r="F40">
        <v>0</v>
      </c>
      <c r="G40">
        <v>-1.1041831494786929</v>
      </c>
      <c r="H40">
        <v>-0.51176420691943925</v>
      </c>
      <c r="I40">
        <v>-0.59241894255925409</v>
      </c>
      <c r="J40">
        <v>0</v>
      </c>
      <c r="K40">
        <v>2.4533165212040398E-2</v>
      </c>
      <c r="L40">
        <v>2.9898941722940699E-2</v>
      </c>
      <c r="M40">
        <v>7.7232126979732196E-2</v>
      </c>
      <c r="N40">
        <v>9.4123968258795196E-2</v>
      </c>
      <c r="O40">
        <v>-5.2698961767692502E-2</v>
      </c>
      <c r="P40">
        <v>-6.4225026535854796E-2</v>
      </c>
      <c r="Q40">
        <v>0</v>
      </c>
      <c r="R40">
        <v>0</v>
      </c>
      <c r="S40">
        <v>-7.3869602866517697E-2</v>
      </c>
      <c r="T40">
        <v>-9.0026008960267995E-2</v>
      </c>
      <c r="U40">
        <v>-3.4236909650618402E-2</v>
      </c>
      <c r="V40">
        <v>-4.17250427154457E-2</v>
      </c>
      <c r="W40">
        <v>-3.9632693215899302E-2</v>
      </c>
      <c r="X40">
        <v>-4.8300966244822302E-2</v>
      </c>
      <c r="Y40">
        <v>0</v>
      </c>
      <c r="Z40">
        <v>0</v>
      </c>
      <c r="AA40">
        <v>1226.51571721458</v>
      </c>
      <c r="AB40">
        <v>1494.77336635199</v>
      </c>
      <c r="AC40">
        <f t="shared" si="0"/>
        <v>-0.49726259897106129</v>
      </c>
      <c r="AD40">
        <f t="shared" si="1"/>
        <v>1.0681549838835924</v>
      </c>
      <c r="AE40">
        <f t="shared" si="2"/>
        <v>-2.1480702270667953</v>
      </c>
      <c r="AF40">
        <f t="shared" si="3"/>
        <v>-1.5654175828546477</v>
      </c>
      <c r="AG40">
        <f t="shared" si="4"/>
        <v>3.1480702270667833</v>
      </c>
      <c r="AH40">
        <f t="shared" si="5"/>
        <v>1.4972625989710613</v>
      </c>
      <c r="AI40">
        <f t="shared" si="6"/>
        <v>0.4634776460418305</v>
      </c>
      <c r="AJ40">
        <f t="shared" si="7"/>
        <v>0.53652235395816994</v>
      </c>
      <c r="AK40">
        <f t="shared" si="8"/>
        <v>-6.0127067237327001E-4</v>
      </c>
      <c r="AL40">
        <f t="shared" si="9"/>
        <v>-4.9336437654478162E-4</v>
      </c>
    </row>
    <row r="41" spans="1:38" x14ac:dyDescent="0.35">
      <c r="A41" t="s">
        <v>29</v>
      </c>
      <c r="B41" t="s">
        <v>67</v>
      </c>
      <c r="C41">
        <v>5.3821266931310277</v>
      </c>
      <c r="D41">
        <v>0.47940422310436759</v>
      </c>
      <c r="E41">
        <v>4.9027224700266601</v>
      </c>
      <c r="F41">
        <v>-2.5626602590321919</v>
      </c>
      <c r="G41">
        <v>-1.3104260956735769</v>
      </c>
      <c r="H41">
        <v>-0.10074472111954109</v>
      </c>
      <c r="I41">
        <v>-1.20968137455403</v>
      </c>
      <c r="J41">
        <v>0</v>
      </c>
      <c r="K41">
        <v>0.31722919641608449</v>
      </c>
      <c r="L41">
        <v>0.3122810380302487</v>
      </c>
      <c r="M41">
        <v>2.8256677169634498E-2</v>
      </c>
      <c r="N41">
        <v>2.7815927971034798E-2</v>
      </c>
      <c r="O41">
        <v>0.28897251924645051</v>
      </c>
      <c r="P41">
        <v>0.28446511005921321</v>
      </c>
      <c r="Q41">
        <v>-0.15104636159861329</v>
      </c>
      <c r="R41">
        <v>-0.1486903321749721</v>
      </c>
      <c r="S41">
        <v>-7.7238132990021094E-2</v>
      </c>
      <c r="T41">
        <v>-7.6033368359971598E-2</v>
      </c>
      <c r="U41">
        <v>-5.9380183236307999E-3</v>
      </c>
      <c r="V41">
        <v>-5.8453967884906999E-3</v>
      </c>
      <c r="W41">
        <v>-7.1300114666389997E-2</v>
      </c>
      <c r="X41">
        <v>-7.0187971571480795E-2</v>
      </c>
      <c r="Y41">
        <v>0</v>
      </c>
      <c r="Z41">
        <v>0</v>
      </c>
      <c r="AA41">
        <v>1723.48815255626</v>
      </c>
      <c r="AB41">
        <v>1696.60508992738</v>
      </c>
      <c r="AC41">
        <f t="shared" si="0"/>
        <v>1.3218375379790608</v>
      </c>
      <c r="AD41">
        <f t="shared" si="1"/>
        <v>1.2040969989512824</v>
      </c>
      <c r="AE41">
        <f t="shared" si="2"/>
        <v>0.91092661870702329</v>
      </c>
      <c r="AF41">
        <f t="shared" si="3"/>
        <v>0.1177405390277784</v>
      </c>
      <c r="AG41">
        <f t="shared" si="4"/>
        <v>8.907338129297665E-2</v>
      </c>
      <c r="AH41">
        <f t="shared" si="5"/>
        <v>-0.32183753797906084</v>
      </c>
      <c r="AI41">
        <f t="shared" si="6"/>
        <v>7.6879361188054579E-2</v>
      </c>
      <c r="AJ41">
        <f t="shared" si="7"/>
        <v>0.92312063881194095</v>
      </c>
      <c r="AK41">
        <f t="shared" si="8"/>
        <v>2.3624766967027568E-3</v>
      </c>
      <c r="AL41">
        <f t="shared" si="9"/>
        <v>2.3999106342606409E-3</v>
      </c>
    </row>
    <row r="42" spans="1:38" x14ac:dyDescent="0.35">
      <c r="A42" t="s">
        <v>30</v>
      </c>
      <c r="B42" t="s">
        <v>67</v>
      </c>
      <c r="C42">
        <v>46.119277635451212</v>
      </c>
      <c r="D42">
        <v>3.2426565634137821</v>
      </c>
      <c r="E42">
        <v>42.87662107203743</v>
      </c>
      <c r="F42">
        <v>12.15217990868312</v>
      </c>
      <c r="G42">
        <v>32.305560508499518</v>
      </c>
      <c r="H42">
        <v>22.949473478961181</v>
      </c>
      <c r="I42">
        <v>9.3560870295383438</v>
      </c>
      <c r="J42">
        <v>0</v>
      </c>
      <c r="K42">
        <v>1.76242194987834</v>
      </c>
      <c r="L42">
        <v>1.5864412065797071</v>
      </c>
      <c r="M42">
        <v>0.12391627528191219</v>
      </c>
      <c r="N42">
        <v>0.1115430304795457</v>
      </c>
      <c r="O42">
        <v>1.6385056745964279</v>
      </c>
      <c r="P42">
        <v>1.4748981761001609</v>
      </c>
      <c r="Q42">
        <v>0.4643886398053762</v>
      </c>
      <c r="R42">
        <v>0.41801866692911188</v>
      </c>
      <c r="S42">
        <v>1.2345386108028831</v>
      </c>
      <c r="T42">
        <v>1.1112678909988369</v>
      </c>
      <c r="U42">
        <v>0.87700106920974974</v>
      </c>
      <c r="V42">
        <v>0.78943106360247617</v>
      </c>
      <c r="W42">
        <v>0.35753754159313361</v>
      </c>
      <c r="X42">
        <v>0.32183682739636049</v>
      </c>
      <c r="Y42">
        <v>0</v>
      </c>
      <c r="Z42">
        <v>0</v>
      </c>
      <c r="AA42">
        <v>2907.0902498102801</v>
      </c>
      <c r="AB42">
        <v>2616.8124857180101</v>
      </c>
      <c r="AC42">
        <f t="shared" si="0"/>
        <v>0.5880697841007736</v>
      </c>
      <c r="AD42">
        <f t="shared" si="1"/>
        <v>0.54672246812083103</v>
      </c>
      <c r="AE42">
        <f t="shared" si="2"/>
        <v>0.92968977985636969</v>
      </c>
      <c r="AF42">
        <f t="shared" si="3"/>
        <v>4.1347315979942553E-2</v>
      </c>
      <c r="AG42">
        <f t="shared" si="4"/>
        <v>7.0310220143630336E-2</v>
      </c>
      <c r="AH42">
        <f t="shared" si="5"/>
        <v>0.41193021589922652</v>
      </c>
      <c r="AI42">
        <f t="shared" si="6"/>
        <v>0.71038772018591745</v>
      </c>
      <c r="AJ42">
        <f t="shared" si="7"/>
        <v>0.28961227981408277</v>
      </c>
      <c r="AK42">
        <f t="shared" si="8"/>
        <v>2.697709097578543E-2</v>
      </c>
      <c r="AL42">
        <f t="shared" si="9"/>
        <v>2.9969605606812229E-2</v>
      </c>
    </row>
    <row r="43" spans="1:38" x14ac:dyDescent="0.35">
      <c r="A43" t="s">
        <v>31</v>
      </c>
      <c r="B43" t="s">
        <v>67</v>
      </c>
      <c r="C43">
        <v>189.22094940972289</v>
      </c>
      <c r="D43">
        <v>13.93513761981457</v>
      </c>
      <c r="E43">
        <v>175.28581178990839</v>
      </c>
      <c r="F43">
        <v>0</v>
      </c>
      <c r="G43">
        <v>42.688711835254708</v>
      </c>
      <c r="H43">
        <v>-4.4335859146559358</v>
      </c>
      <c r="I43">
        <v>47.122297749910672</v>
      </c>
      <c r="J43">
        <v>0</v>
      </c>
      <c r="K43">
        <v>5.2600571942181622</v>
      </c>
      <c r="L43">
        <v>4.5466299278372659</v>
      </c>
      <c r="M43">
        <v>0.3873758223821665</v>
      </c>
      <c r="N43">
        <v>0.33483561914484439</v>
      </c>
      <c r="O43">
        <v>4.8726813718359949</v>
      </c>
      <c r="P43">
        <v>4.2117943086924212</v>
      </c>
      <c r="Q43">
        <v>0</v>
      </c>
      <c r="R43">
        <v>0</v>
      </c>
      <c r="S43">
        <v>1.186681847339887</v>
      </c>
      <c r="T43">
        <v>1.0257309003916151</v>
      </c>
      <c r="U43">
        <v>-0.1232470059965349</v>
      </c>
      <c r="V43">
        <v>-0.1065308808041347</v>
      </c>
      <c r="W43">
        <v>1.30992885333642</v>
      </c>
      <c r="X43">
        <v>1.1322617811957481</v>
      </c>
      <c r="Y43">
        <v>0</v>
      </c>
      <c r="Z43">
        <v>0</v>
      </c>
      <c r="AA43">
        <v>4161.7847155581303</v>
      </c>
      <c r="AB43">
        <v>3597.3173374942398</v>
      </c>
      <c r="AC43">
        <f t="shared" si="0"/>
        <v>0.81592525466129451</v>
      </c>
      <c r="AD43">
        <f t="shared" si="1"/>
        <v>0.75583660831079114</v>
      </c>
      <c r="AE43">
        <f t="shared" si="2"/>
        <v>0.92635520716239228</v>
      </c>
      <c r="AF43">
        <f t="shared" si="3"/>
        <v>6.0088646350503691E-2</v>
      </c>
      <c r="AG43">
        <f t="shared" si="4"/>
        <v>7.3644792837608122E-2</v>
      </c>
      <c r="AH43">
        <f t="shared" si="5"/>
        <v>0.18407474533870549</v>
      </c>
      <c r="AI43">
        <f t="shared" si="6"/>
        <v>-0.10385850788297703</v>
      </c>
      <c r="AJ43">
        <f t="shared" si="7"/>
        <v>1.1038585078829777</v>
      </c>
      <c r="AK43">
        <f t="shared" si="8"/>
        <v>5.5723608282288714E-2</v>
      </c>
      <c r="AL43">
        <f t="shared" si="9"/>
        <v>6.4467390415580472E-2</v>
      </c>
    </row>
    <row r="44" spans="1:38" x14ac:dyDescent="0.35">
      <c r="A44" t="s">
        <v>32</v>
      </c>
      <c r="B44" t="s">
        <v>67</v>
      </c>
      <c r="C44">
        <v>38.105763873469748</v>
      </c>
      <c r="D44">
        <v>3.4734084577736981</v>
      </c>
      <c r="E44">
        <v>34.632355415696047</v>
      </c>
      <c r="F44">
        <v>7.6498244929870598</v>
      </c>
      <c r="G44">
        <v>-8.1926568414287431</v>
      </c>
      <c r="H44">
        <v>3.6063458324081852</v>
      </c>
      <c r="I44">
        <v>-11.799002673836981</v>
      </c>
      <c r="J44">
        <v>0</v>
      </c>
      <c r="K44">
        <v>1.986581474232286</v>
      </c>
      <c r="L44">
        <v>1.6300816575185899</v>
      </c>
      <c r="M44">
        <v>0.18108045065221939</v>
      </c>
      <c r="N44">
        <v>0.14858485542731309</v>
      </c>
      <c r="O44">
        <v>1.805501023580067</v>
      </c>
      <c r="P44">
        <v>1.481496802091276</v>
      </c>
      <c r="Q44">
        <v>0.39881104783407961</v>
      </c>
      <c r="R44">
        <v>0.32724284522049651</v>
      </c>
      <c r="S44">
        <v>-0.4271107216212009</v>
      </c>
      <c r="T44">
        <v>-0.35046403184309582</v>
      </c>
      <c r="U44">
        <v>0.18801092255035179</v>
      </c>
      <c r="V44">
        <v>0.15427162703251979</v>
      </c>
      <c r="W44">
        <v>-0.61512164417155191</v>
      </c>
      <c r="X44">
        <v>-0.50473565887561733</v>
      </c>
      <c r="Y44">
        <v>0</v>
      </c>
      <c r="Z44">
        <v>0</v>
      </c>
      <c r="AA44">
        <v>2337.6598158571201</v>
      </c>
      <c r="AB44">
        <v>1918.15761738117</v>
      </c>
      <c r="AC44">
        <f t="shared" si="0"/>
        <v>1.2738818415838011</v>
      </c>
      <c r="AD44">
        <f t="shared" si="1"/>
        <v>1.1577652357744077</v>
      </c>
      <c r="AE44">
        <f t="shared" si="2"/>
        <v>0.90884821337509047</v>
      </c>
      <c r="AF44">
        <f t="shared" si="3"/>
        <v>0.11611660580939337</v>
      </c>
      <c r="AG44">
        <f t="shared" si="4"/>
        <v>9.115178662490947E-2</v>
      </c>
      <c r="AH44">
        <f t="shared" si="5"/>
        <v>-0.27388184158380119</v>
      </c>
      <c r="AI44">
        <f t="shared" si="6"/>
        <v>-0.44019246774398807</v>
      </c>
      <c r="AJ44">
        <f t="shared" si="7"/>
        <v>1.4401924677439946</v>
      </c>
      <c r="AK44">
        <f t="shared" si="8"/>
        <v>1.279617625675494E-2</v>
      </c>
      <c r="AL44">
        <f t="shared" si="9"/>
        <v>1.5594707526110859E-2</v>
      </c>
    </row>
    <row r="45" spans="1:38" x14ac:dyDescent="0.35">
      <c r="A45" t="s">
        <v>33</v>
      </c>
      <c r="B45" t="s">
        <v>67</v>
      </c>
      <c r="C45">
        <v>54.106824187597113</v>
      </c>
      <c r="D45">
        <v>26.236916652536529</v>
      </c>
      <c r="E45">
        <v>27.869907535060641</v>
      </c>
      <c r="F45">
        <v>243.68669096730491</v>
      </c>
      <c r="G45">
        <v>128.1492710841033</v>
      </c>
      <c r="H45">
        <v>0</v>
      </c>
      <c r="I45">
        <v>128.1492710841033</v>
      </c>
      <c r="J45">
        <v>1021.60958905524</v>
      </c>
      <c r="K45">
        <v>1.1854268634847269</v>
      </c>
      <c r="L45">
        <v>1.0161187929447151</v>
      </c>
      <c r="M45">
        <v>0.57482482629346554</v>
      </c>
      <c r="N45">
        <v>0.49272572323100211</v>
      </c>
      <c r="O45">
        <v>0.61060203719126172</v>
      </c>
      <c r="P45">
        <v>0.52339306971371258</v>
      </c>
      <c r="Q45">
        <v>5.3389337497387714</v>
      </c>
      <c r="R45">
        <v>4.5764028844840201</v>
      </c>
      <c r="S45">
        <v>2.8076234515701861</v>
      </c>
      <c r="T45">
        <v>2.4066258666235489</v>
      </c>
      <c r="U45">
        <v>0</v>
      </c>
      <c r="V45">
        <v>0</v>
      </c>
      <c r="W45">
        <v>2.8076234515701861</v>
      </c>
      <c r="X45">
        <v>2.4066258666235489</v>
      </c>
      <c r="Y45">
        <v>22.382453027751001</v>
      </c>
      <c r="Z45">
        <v>19.185689015721469</v>
      </c>
      <c r="AA45">
        <v>5324.8522282316499</v>
      </c>
      <c r="AB45">
        <v>4564.3325500944502</v>
      </c>
      <c r="AC45">
        <f t="shared" si="0"/>
        <v>0.29687250847186608</v>
      </c>
      <c r="AD45">
        <f t="shared" si="1"/>
        <v>0.15291618913218374</v>
      </c>
      <c r="AE45">
        <f t="shared" si="2"/>
        <v>0.51509043366565299</v>
      </c>
      <c r="AF45">
        <f t="shared" si="3"/>
        <v>0.14395631933968264</v>
      </c>
      <c r="AG45">
        <f t="shared" si="4"/>
        <v>0.48490956633434801</v>
      </c>
      <c r="AH45">
        <f t="shared" si="5"/>
        <v>0.70312749152813392</v>
      </c>
      <c r="AI45">
        <f t="shared" si="6"/>
        <v>0</v>
      </c>
      <c r="AJ45">
        <f t="shared" si="7"/>
        <v>1</v>
      </c>
      <c r="AK45">
        <f t="shared" si="8"/>
        <v>3.4227446595682623E-2</v>
      </c>
      <c r="AL45">
        <f t="shared" si="9"/>
        <v>3.9930503150549135E-2</v>
      </c>
    </row>
    <row r="46" spans="1:38" x14ac:dyDescent="0.35">
      <c r="A46" t="s">
        <v>34</v>
      </c>
      <c r="B46" t="s">
        <v>67</v>
      </c>
      <c r="C46">
        <v>23.75934855125389</v>
      </c>
      <c r="D46">
        <v>1.281290935211151</v>
      </c>
      <c r="E46">
        <v>22.47805761604274</v>
      </c>
      <c r="F46">
        <v>13.12665236129739</v>
      </c>
      <c r="G46">
        <v>-186.96912589332601</v>
      </c>
      <c r="H46">
        <v>-101</v>
      </c>
      <c r="I46">
        <v>-85.969125893326037</v>
      </c>
      <c r="J46">
        <v>120.836905973052</v>
      </c>
      <c r="K46">
        <v>1.4503795525417811</v>
      </c>
      <c r="L46">
        <v>1.101734874982673</v>
      </c>
      <c r="M46">
        <v>7.8215872345090698E-2</v>
      </c>
      <c r="N46">
        <v>5.9414209328007402E-2</v>
      </c>
      <c r="O46">
        <v>1.3721636801966901</v>
      </c>
      <c r="P46">
        <v>1.0423206656546651</v>
      </c>
      <c r="Q46">
        <v>0.8013110349839645</v>
      </c>
      <c r="R46">
        <v>0.60869053993703692</v>
      </c>
      <c r="S46">
        <v>-11.413452543419121</v>
      </c>
      <c r="T46">
        <v>-8.6698676143135298</v>
      </c>
      <c r="U46">
        <v>-6.1655030015117536</v>
      </c>
      <c r="V46">
        <v>-4.6834290146131741</v>
      </c>
      <c r="W46">
        <v>-5.2479495419073627</v>
      </c>
      <c r="X46">
        <v>-3.9864385997003549</v>
      </c>
      <c r="Y46">
        <v>7.3764386779232263</v>
      </c>
      <c r="Z46">
        <v>5.6032779353492641</v>
      </c>
      <c r="AA46">
        <v>2156.5395714307001</v>
      </c>
      <c r="AB46">
        <v>1638.14696019506</v>
      </c>
      <c r="AC46">
        <f t="shared" si="0"/>
        <v>-0.14557552211750502</v>
      </c>
      <c r="AD46">
        <f t="shared" si="1"/>
        <v>-0.13772494504989657</v>
      </c>
      <c r="AE46">
        <f t="shared" si="2"/>
        <v>0.94607213525037792</v>
      </c>
      <c r="AF46">
        <f t="shared" si="3"/>
        <v>-7.8505770676084406E-3</v>
      </c>
      <c r="AG46">
        <f t="shared" si="4"/>
        <v>5.3927864749622162E-2</v>
      </c>
      <c r="AH46">
        <f t="shared" si="5"/>
        <v>1.145575522117505</v>
      </c>
      <c r="AI46">
        <f t="shared" si="6"/>
        <v>0.54019613942905675</v>
      </c>
      <c r="AJ46">
        <f t="shared" si="7"/>
        <v>0.45980386057094341</v>
      </c>
      <c r="AK46">
        <f t="shared" si="8"/>
        <v>-7.5681327393308559E-2</v>
      </c>
      <c r="AL46">
        <f t="shared" si="9"/>
        <v>-9.9630729908773363E-2</v>
      </c>
    </row>
    <row r="47" spans="1:38" x14ac:dyDescent="0.35">
      <c r="A47" t="s">
        <v>35</v>
      </c>
      <c r="B47" t="s">
        <v>67</v>
      </c>
      <c r="C47">
        <v>24.886187363532709</v>
      </c>
      <c r="D47">
        <v>0.52057790283490757</v>
      </c>
      <c r="E47">
        <v>24.365609460697801</v>
      </c>
      <c r="F47">
        <v>0</v>
      </c>
      <c r="G47">
        <v>-60.841604635503842</v>
      </c>
      <c r="H47">
        <v>-10.86448882326709</v>
      </c>
      <c r="I47">
        <v>-49.977115812236761</v>
      </c>
      <c r="J47">
        <v>-0.50327929573277252</v>
      </c>
      <c r="K47">
        <v>1.8797371249607491</v>
      </c>
      <c r="L47">
        <v>1.385238169458487</v>
      </c>
      <c r="M47">
        <v>3.9320993453055599E-2</v>
      </c>
      <c r="N47">
        <v>2.89768927095789E-2</v>
      </c>
      <c r="O47">
        <v>1.840416131507693</v>
      </c>
      <c r="P47">
        <v>1.356261276748908</v>
      </c>
      <c r="Q47">
        <v>0</v>
      </c>
      <c r="R47">
        <v>0</v>
      </c>
      <c r="S47">
        <v>-4.5955702777970959</v>
      </c>
      <c r="T47">
        <v>-3.3866221370535561</v>
      </c>
      <c r="U47">
        <v>-0.82063124762704553</v>
      </c>
      <c r="V47">
        <v>-0.60474930891576673</v>
      </c>
      <c r="W47">
        <v>-3.7749390301700489</v>
      </c>
      <c r="X47">
        <v>-2.7818728281377889</v>
      </c>
      <c r="Y47">
        <v>-3.8014371691152501E-2</v>
      </c>
      <c r="Z47">
        <v>-2.8014001508676899E-2</v>
      </c>
      <c r="AA47">
        <v>1796.5276955414199</v>
      </c>
      <c r="AB47">
        <v>1323.9184901480501</v>
      </c>
      <c r="AC47">
        <f t="shared" si="0"/>
        <v>-0.69214013497022087</v>
      </c>
      <c r="AD47">
        <f t="shared" si="1"/>
        <v>-0.67766170745268739</v>
      </c>
      <c r="AE47">
        <f t="shared" si="2"/>
        <v>0.97908165299768879</v>
      </c>
      <c r="AF47">
        <f t="shared" si="3"/>
        <v>-1.4478427517533541E-2</v>
      </c>
      <c r="AG47">
        <f t="shared" si="4"/>
        <v>2.0918347002311131E-2</v>
      </c>
      <c r="AH47">
        <f t="shared" si="5"/>
        <v>1.692140134970221</v>
      </c>
      <c r="AI47">
        <f t="shared" si="6"/>
        <v>0.17857005725531386</v>
      </c>
      <c r="AJ47">
        <f t="shared" si="7"/>
        <v>0.82142994274468628</v>
      </c>
      <c r="AK47">
        <f t="shared" si="8"/>
        <v>-2.001383967595069E-2</v>
      </c>
      <c r="AL47">
        <f t="shared" si="9"/>
        <v>-2.7158331528363455E-2</v>
      </c>
    </row>
    <row r="48" spans="1:38" x14ac:dyDescent="0.35">
      <c r="A48" t="s">
        <v>36</v>
      </c>
      <c r="B48" t="s">
        <v>67</v>
      </c>
      <c r="C48">
        <v>71.618784378598804</v>
      </c>
      <c r="D48">
        <v>1.8120430642510199</v>
      </c>
      <c r="E48">
        <v>69.806741314347775</v>
      </c>
      <c r="F48">
        <v>0</v>
      </c>
      <c r="G48">
        <v>0.49401987796943558</v>
      </c>
      <c r="H48">
        <v>-421.75808205314382</v>
      </c>
      <c r="I48">
        <v>422.2521019311132</v>
      </c>
      <c r="J48">
        <v>0</v>
      </c>
      <c r="K48">
        <v>2.2682920394272248</v>
      </c>
      <c r="L48">
        <v>2.434366699665794</v>
      </c>
      <c r="M48">
        <v>5.7390569993647098E-2</v>
      </c>
      <c r="N48">
        <v>6.1592462539634997E-2</v>
      </c>
      <c r="O48">
        <v>2.210901469433578</v>
      </c>
      <c r="P48">
        <v>2.3727742371261602</v>
      </c>
      <c r="Q48">
        <v>0</v>
      </c>
      <c r="R48">
        <v>0</v>
      </c>
      <c r="S48">
        <v>1.5646472726947601E-2</v>
      </c>
      <c r="T48">
        <v>1.6792040668327901E-2</v>
      </c>
      <c r="U48">
        <v>-13.357815388599549</v>
      </c>
      <c r="V48">
        <v>-14.335817609491439</v>
      </c>
      <c r="W48">
        <v>13.373461861326501</v>
      </c>
      <c r="X48">
        <v>14.35260965015976</v>
      </c>
      <c r="Y48">
        <v>0</v>
      </c>
      <c r="Z48">
        <v>0</v>
      </c>
      <c r="AA48">
        <v>2941.9883367789698</v>
      </c>
      <c r="AB48">
        <v>3157.38816403392</v>
      </c>
      <c r="AC48">
        <f t="shared" si="0"/>
        <v>0.99314934590240345</v>
      </c>
      <c r="AD48">
        <f t="shared" si="1"/>
        <v>0.9680214496441466</v>
      </c>
      <c r="AE48">
        <f t="shared" si="2"/>
        <v>0.97469877379275227</v>
      </c>
      <c r="AF48">
        <f t="shared" si="3"/>
        <v>2.5127896258256715E-2</v>
      </c>
      <c r="AG48">
        <f t="shared" si="4"/>
        <v>2.5301226207247611E-2</v>
      </c>
      <c r="AH48">
        <f t="shared" si="5"/>
        <v>6.8506540975965284E-3</v>
      </c>
      <c r="AI48">
        <f t="shared" si="6"/>
        <v>-853.72694675099183</v>
      </c>
      <c r="AJ48">
        <f t="shared" si="7"/>
        <v>854.72694675099171</v>
      </c>
      <c r="AK48">
        <f t="shared" si="8"/>
        <v>2.451158740334124E-2</v>
      </c>
      <c r="AL48">
        <f t="shared" si="9"/>
        <v>2.2839385121541718E-2</v>
      </c>
    </row>
    <row r="49" spans="1:38" x14ac:dyDescent="0.35">
      <c r="A49" t="s">
        <v>37</v>
      </c>
      <c r="B49" t="s">
        <v>67</v>
      </c>
      <c r="C49">
        <v>1048</v>
      </c>
      <c r="D49">
        <v>294.55</v>
      </c>
      <c r="E49">
        <v>753.45</v>
      </c>
      <c r="F49">
        <v>0</v>
      </c>
      <c r="G49">
        <v>0</v>
      </c>
      <c r="H49">
        <v>0</v>
      </c>
      <c r="I49">
        <v>0</v>
      </c>
      <c r="J49">
        <v>0</v>
      </c>
      <c r="K49">
        <v>5.2586748171464457</v>
      </c>
      <c r="L49">
        <v>5.2467646833064396</v>
      </c>
      <c r="M49">
        <v>1.4779987284260361</v>
      </c>
      <c r="N49">
        <v>1.4746512762098389</v>
      </c>
      <c r="O49">
        <v>3.7806760887204089</v>
      </c>
      <c r="P49">
        <v>3.7721134070966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19974.2138871676</v>
      </c>
      <c r="AB49">
        <v>19928.975197</v>
      </c>
      <c r="AC49">
        <f t="shared" si="0"/>
        <v>1</v>
      </c>
      <c r="AD49">
        <f t="shared" si="1"/>
        <v>0.7189408396946565</v>
      </c>
      <c r="AE49">
        <f t="shared" si="2"/>
        <v>0.7189408396946565</v>
      </c>
      <c r="AF49">
        <f t="shared" si="3"/>
        <v>0.2810591603053435</v>
      </c>
      <c r="AG49">
        <f t="shared" si="4"/>
        <v>0.2810591603053435</v>
      </c>
      <c r="AH49">
        <f t="shared" si="5"/>
        <v>0</v>
      </c>
      <c r="AI49">
        <v>0</v>
      </c>
      <c r="AJ49">
        <v>0</v>
      </c>
      <c r="AK49">
        <f t="shared" si="8"/>
        <v>5.2467646833064395E-2</v>
      </c>
      <c r="AL49">
        <f t="shared" si="9"/>
        <v>5.2586748171464442E-2</v>
      </c>
    </row>
    <row r="50" spans="1:38" x14ac:dyDescent="0.35">
      <c r="A50" t="s">
        <v>38</v>
      </c>
      <c r="B50" t="s">
        <v>67</v>
      </c>
      <c r="C50">
        <v>4.9963816139161317</v>
      </c>
      <c r="D50">
        <v>4.2542129426510002E-4</v>
      </c>
      <c r="E50">
        <v>4.9959561926218674</v>
      </c>
      <c r="F50">
        <v>2.160413488701348</v>
      </c>
      <c r="G50">
        <v>-1.5306958497704479</v>
      </c>
      <c r="H50">
        <v>-1.5306958497704479</v>
      </c>
      <c r="I50">
        <v>0</v>
      </c>
      <c r="J50">
        <v>3.026441309603181</v>
      </c>
      <c r="K50">
        <v>0.39060129242887259</v>
      </c>
      <c r="L50">
        <v>0.20978501364374219</v>
      </c>
      <c r="M50">
        <v>3.3258089595061817E-5</v>
      </c>
      <c r="N50">
        <v>1.786232896484885E-5</v>
      </c>
      <c r="O50">
        <v>0.3905680343392775</v>
      </c>
      <c r="P50">
        <v>0.20976715131477741</v>
      </c>
      <c r="Q50">
        <v>0.16889428511968749</v>
      </c>
      <c r="R50">
        <v>9.0710119487471305E-2</v>
      </c>
      <c r="S50">
        <v>-0.11966495424820529</v>
      </c>
      <c r="T50">
        <v>-6.42699206229813E-2</v>
      </c>
      <c r="U50">
        <v>-0.11966495424820529</v>
      </c>
      <c r="V50">
        <v>-6.42699206229813E-2</v>
      </c>
      <c r="W50">
        <v>0</v>
      </c>
      <c r="X50">
        <v>0</v>
      </c>
      <c r="Y50">
        <v>0.23659759768921751</v>
      </c>
      <c r="Z50">
        <v>0.12707236566132829</v>
      </c>
      <c r="AA50">
        <v>2381.6675591522499</v>
      </c>
      <c r="AB50">
        <v>1279.1513266244399</v>
      </c>
      <c r="AC50">
        <f t="shared" si="0"/>
        <v>1.4416718519625438</v>
      </c>
      <c r="AD50">
        <f t="shared" si="1"/>
        <v>1.4415490995483851</v>
      </c>
      <c r="AE50">
        <f t="shared" si="2"/>
        <v>0.99991485412301584</v>
      </c>
      <c r="AF50">
        <f t="shared" si="3"/>
        <v>1.2275241415892458E-4</v>
      </c>
      <c r="AG50">
        <f t="shared" si="4"/>
        <v>8.5145876984295756E-5</v>
      </c>
      <c r="AH50">
        <f t="shared" si="5"/>
        <v>-0.44167185196254383</v>
      </c>
      <c r="AI50">
        <f t="shared" si="6"/>
        <v>1</v>
      </c>
      <c r="AJ50">
        <f t="shared" si="7"/>
        <v>0</v>
      </c>
      <c r="AK50">
        <f t="shared" si="8"/>
        <v>1.4551509302076098E-3</v>
      </c>
      <c r="AL50">
        <f t="shared" si="9"/>
        <v>2.7093633818066724E-3</v>
      </c>
    </row>
    <row r="51" spans="1:38" x14ac:dyDescent="0.35">
      <c r="A51" t="s">
        <v>39</v>
      </c>
      <c r="B51" t="s">
        <v>67</v>
      </c>
      <c r="C51">
        <v>1.654135338345865</v>
      </c>
      <c r="D51">
        <v>0</v>
      </c>
      <c r="E51">
        <v>1.654135338345865</v>
      </c>
      <c r="F51">
        <v>9.9097744360902258</v>
      </c>
      <c r="G51">
        <v>44.019548872180451</v>
      </c>
      <c r="H51">
        <v>3.007518796992481</v>
      </c>
      <c r="I51">
        <v>41.012030075187972</v>
      </c>
      <c r="J51">
        <v>15.47368421052632</v>
      </c>
      <c r="K51">
        <v>0.16590235659523431</v>
      </c>
      <c r="L51">
        <v>7.0877842979989003E-2</v>
      </c>
      <c r="M51">
        <v>0</v>
      </c>
      <c r="N51">
        <v>0</v>
      </c>
      <c r="O51">
        <v>0.16590235659523431</v>
      </c>
      <c r="P51">
        <v>7.0877842979989003E-2</v>
      </c>
      <c r="Q51">
        <v>0.9939059363296312</v>
      </c>
      <c r="R51">
        <v>0.42462271385284328</v>
      </c>
      <c r="S51">
        <v>4.4149633496475413</v>
      </c>
      <c r="T51">
        <v>1.886188270502926</v>
      </c>
      <c r="U51">
        <v>0.30164064835497151</v>
      </c>
      <c r="V51">
        <v>0.12886880541816181</v>
      </c>
      <c r="W51">
        <v>4.1133227012925699</v>
      </c>
      <c r="X51">
        <v>1.7573194650847641</v>
      </c>
      <c r="Y51">
        <v>1.5519411357863291</v>
      </c>
      <c r="Z51">
        <v>0.66303000387644273</v>
      </c>
      <c r="AA51">
        <v>2333.7834064911899</v>
      </c>
      <c r="AB51">
        <v>997.05355143423003</v>
      </c>
      <c r="AC51">
        <f t="shared" si="0"/>
        <v>3.62163763869226E-2</v>
      </c>
      <c r="AD51">
        <f t="shared" si="1"/>
        <v>3.62163763869226E-2</v>
      </c>
      <c r="AE51">
        <f t="shared" si="2"/>
        <v>1</v>
      </c>
      <c r="AF51">
        <f t="shared" si="3"/>
        <v>0</v>
      </c>
      <c r="AG51">
        <f t="shared" si="4"/>
        <v>0</v>
      </c>
      <c r="AH51">
        <f t="shared" si="5"/>
        <v>0.96378362361307734</v>
      </c>
      <c r="AI51">
        <f t="shared" si="6"/>
        <v>6.8322344822874317E-2</v>
      </c>
      <c r="AJ51">
        <f t="shared" si="7"/>
        <v>0.93167765517712575</v>
      </c>
      <c r="AK51">
        <f t="shared" si="8"/>
        <v>1.9570661134829154E-2</v>
      </c>
      <c r="AL51">
        <f t="shared" si="9"/>
        <v>4.5808657062427753E-2</v>
      </c>
    </row>
    <row r="52" spans="1:38" x14ac:dyDescent="0.35">
      <c r="A52" t="s">
        <v>40</v>
      </c>
      <c r="B52" t="s">
        <v>67</v>
      </c>
      <c r="C52">
        <v>8.4705882300000006</v>
      </c>
      <c r="D52">
        <v>0</v>
      </c>
      <c r="E52">
        <v>8.4705882300000006</v>
      </c>
      <c r="F52">
        <v>0</v>
      </c>
      <c r="G52">
        <v>8.4705999999999992</v>
      </c>
      <c r="H52">
        <v>0</v>
      </c>
      <c r="I52">
        <v>8.4705999999999992</v>
      </c>
      <c r="J52">
        <v>0</v>
      </c>
      <c r="K52">
        <v>2.0462852131061382</v>
      </c>
      <c r="L52">
        <v>1.8076405000965221</v>
      </c>
      <c r="M52">
        <v>0</v>
      </c>
      <c r="N52">
        <v>0</v>
      </c>
      <c r="O52">
        <v>2.0462852131061382</v>
      </c>
      <c r="P52">
        <v>1.8076405000965221</v>
      </c>
      <c r="Q52">
        <v>0</v>
      </c>
      <c r="R52">
        <v>0</v>
      </c>
      <c r="S52">
        <v>2.0462880564478652</v>
      </c>
      <c r="T52">
        <v>1.8076430118381039</v>
      </c>
      <c r="U52">
        <v>0</v>
      </c>
      <c r="V52">
        <v>0</v>
      </c>
      <c r="W52">
        <v>2.0462880564478652</v>
      </c>
      <c r="X52">
        <v>1.8076430118381039</v>
      </c>
      <c r="Y52">
        <v>0</v>
      </c>
      <c r="Z52">
        <v>0</v>
      </c>
      <c r="AA52">
        <v>468.59916169988998</v>
      </c>
      <c r="AB52">
        <v>413.94954015926999</v>
      </c>
      <c r="AC52">
        <f t="shared" si="0"/>
        <v>0.49999965262176888</v>
      </c>
      <c r="AD52">
        <f t="shared" si="1"/>
        <v>0.49999965262176888</v>
      </c>
      <c r="AE52">
        <f t="shared" si="2"/>
        <v>1</v>
      </c>
      <c r="AF52">
        <f t="shared" si="3"/>
        <v>0</v>
      </c>
      <c r="AG52">
        <f t="shared" si="4"/>
        <v>0</v>
      </c>
      <c r="AH52">
        <f t="shared" si="5"/>
        <v>0.50000034737823096</v>
      </c>
      <c r="AI52">
        <f t="shared" si="6"/>
        <v>0</v>
      </c>
      <c r="AJ52">
        <f t="shared" si="7"/>
        <v>1</v>
      </c>
      <c r="AK52">
        <f t="shared" si="8"/>
        <v>3.6152835119346263E-2</v>
      </c>
      <c r="AL52">
        <f t="shared" si="9"/>
        <v>4.0925732695540042E-2</v>
      </c>
    </row>
    <row r="53" spans="1:38" x14ac:dyDescent="0.35">
      <c r="A53" t="s">
        <v>41</v>
      </c>
      <c r="B53" t="s">
        <v>67</v>
      </c>
      <c r="C53">
        <v>15.736781814144811</v>
      </c>
      <c r="D53">
        <v>2.2949473478961182</v>
      </c>
      <c r="E53">
        <v>13.441834466248689</v>
      </c>
      <c r="F53">
        <v>12.021152774693951</v>
      </c>
      <c r="G53">
        <v>2.827267662189584</v>
      </c>
      <c r="H53">
        <v>0</v>
      </c>
      <c r="I53">
        <v>2.827267662189584</v>
      </c>
      <c r="J53">
        <v>0</v>
      </c>
      <c r="K53">
        <v>3.1781365002569171</v>
      </c>
      <c r="L53">
        <v>2.8338122233934211</v>
      </c>
      <c r="M53">
        <v>0.46347823962080031</v>
      </c>
      <c r="N53">
        <v>0.41326428257820719</v>
      </c>
      <c r="O53">
        <v>2.7146582606361171</v>
      </c>
      <c r="P53">
        <v>2.4205479408152142</v>
      </c>
      <c r="Q53">
        <v>2.427743159918478</v>
      </c>
      <c r="R53">
        <v>2.164717670647752</v>
      </c>
      <c r="S53">
        <v>0.57098348692388257</v>
      </c>
      <c r="T53">
        <v>0.50912224332400235</v>
      </c>
      <c r="U53">
        <v>0</v>
      </c>
      <c r="V53">
        <v>0</v>
      </c>
      <c r="W53">
        <v>0.57098348692388257</v>
      </c>
      <c r="X53">
        <v>0.50912224332400235</v>
      </c>
      <c r="Y53">
        <v>0</v>
      </c>
      <c r="Z53">
        <v>0</v>
      </c>
      <c r="AA53">
        <v>555.32196820367994</v>
      </c>
      <c r="AB53">
        <v>495.15751802582002</v>
      </c>
      <c r="AC53">
        <f t="shared" si="0"/>
        <v>0.84770199703497828</v>
      </c>
      <c r="AD53">
        <f t="shared" si="1"/>
        <v>0.72407878913404378</v>
      </c>
      <c r="AE53">
        <f t="shared" si="2"/>
        <v>0.85416666666666652</v>
      </c>
      <c r="AF53">
        <f t="shared" si="3"/>
        <v>0.12362320790093433</v>
      </c>
      <c r="AG53">
        <f t="shared" si="4"/>
        <v>0.14583333333333334</v>
      </c>
      <c r="AH53">
        <f t="shared" si="5"/>
        <v>0.15229800296502163</v>
      </c>
      <c r="AI53">
        <f t="shared" si="6"/>
        <v>0</v>
      </c>
      <c r="AJ53">
        <f t="shared" si="7"/>
        <v>1</v>
      </c>
      <c r="AK53">
        <f t="shared" si="8"/>
        <v>3.3429344667174253E-2</v>
      </c>
      <c r="AL53">
        <f t="shared" si="9"/>
        <v>3.7491199871808011E-2</v>
      </c>
    </row>
    <row r="54" spans="1:38" x14ac:dyDescent="0.35">
      <c r="A54" t="s">
        <v>42</v>
      </c>
      <c r="B54" t="s">
        <v>67</v>
      </c>
      <c r="C54">
        <v>1.885402004076548</v>
      </c>
      <c r="D54">
        <v>1.8854020040765489</v>
      </c>
      <c r="E54">
        <v>0</v>
      </c>
      <c r="F54">
        <v>0</v>
      </c>
      <c r="G54">
        <v>-0.77448880067103687</v>
      </c>
      <c r="H54">
        <v>-0.77448880067103743</v>
      </c>
      <c r="I54">
        <v>0</v>
      </c>
      <c r="J54">
        <v>0</v>
      </c>
      <c r="K54">
        <v>0.87432710308954587</v>
      </c>
      <c r="L54">
        <v>0.4627935881679428</v>
      </c>
      <c r="M54">
        <v>0.8743271030895452</v>
      </c>
      <c r="N54">
        <v>0.46279358816794303</v>
      </c>
      <c r="O54">
        <v>0</v>
      </c>
      <c r="P54">
        <v>0</v>
      </c>
      <c r="Q54">
        <v>0</v>
      </c>
      <c r="R54">
        <v>0</v>
      </c>
      <c r="S54">
        <v>-0.35915764807817041</v>
      </c>
      <c r="T54">
        <v>-0.19010717623268381</v>
      </c>
      <c r="U54">
        <v>-0.35915764807817141</v>
      </c>
      <c r="V54">
        <v>-0.190107176232684</v>
      </c>
      <c r="W54">
        <v>0</v>
      </c>
      <c r="X54">
        <v>0</v>
      </c>
      <c r="Y54">
        <v>0</v>
      </c>
      <c r="Z54">
        <v>0</v>
      </c>
      <c r="AA54">
        <v>407.39587848230002</v>
      </c>
      <c r="AB54">
        <v>215.64034757863999</v>
      </c>
      <c r="AC54">
        <f t="shared" si="0"/>
        <v>1.6971640973361706</v>
      </c>
      <c r="AD54">
        <f t="shared" si="1"/>
        <v>0</v>
      </c>
      <c r="AE54">
        <f t="shared" si="2"/>
        <v>0</v>
      </c>
      <c r="AF54">
        <f t="shared" si="3"/>
        <v>1.6971640973361715</v>
      </c>
      <c r="AG54">
        <f t="shared" si="4"/>
        <v>1.0000000000000004</v>
      </c>
      <c r="AH54">
        <f t="shared" si="5"/>
        <v>-0.69716409733617057</v>
      </c>
      <c r="AI54">
        <f t="shared" si="6"/>
        <v>1.0000000000000007</v>
      </c>
      <c r="AJ54">
        <f t="shared" si="7"/>
        <v>0</v>
      </c>
      <c r="AK54">
        <f t="shared" si="8"/>
        <v>2.7268641193525884E-3</v>
      </c>
      <c r="AL54">
        <f t="shared" si="9"/>
        <v>5.151694550113735E-3</v>
      </c>
    </row>
    <row r="55" spans="1:38" x14ac:dyDescent="0.35">
      <c r="A55" t="s">
        <v>43</v>
      </c>
      <c r="B55" t="s">
        <v>67</v>
      </c>
      <c r="C55">
        <v>9.3883508485756941</v>
      </c>
      <c r="D55">
        <v>0.1167514339592107</v>
      </c>
      <c r="E55">
        <v>9.2715994146164817</v>
      </c>
      <c r="F55">
        <v>24.28429826351584</v>
      </c>
      <c r="G55">
        <v>21.16616035296634</v>
      </c>
      <c r="H55">
        <v>5.822977768715635</v>
      </c>
      <c r="I55">
        <v>15.3431825842507</v>
      </c>
      <c r="J55">
        <v>0</v>
      </c>
      <c r="K55">
        <v>2.822693643938885</v>
      </c>
      <c r="L55">
        <v>3.0181456692150008</v>
      </c>
      <c r="M55">
        <v>3.5102387615542803E-2</v>
      </c>
      <c r="N55">
        <v>3.7532985341306398E-2</v>
      </c>
      <c r="O55">
        <v>2.7875912563233429</v>
      </c>
      <c r="P55">
        <v>2.9806126838736948</v>
      </c>
      <c r="Q55">
        <v>7.3012966240329176</v>
      </c>
      <c r="R55">
        <v>7.8068609509917337</v>
      </c>
      <c r="S55">
        <v>6.363799911032654</v>
      </c>
      <c r="T55">
        <v>6.8044490702972862</v>
      </c>
      <c r="U55">
        <v>1.7507315823252001</v>
      </c>
      <c r="V55">
        <v>1.8719576438976571</v>
      </c>
      <c r="W55">
        <v>4.6130683287074534</v>
      </c>
      <c r="X55">
        <v>4.9324914263996291</v>
      </c>
      <c r="Y55">
        <v>0</v>
      </c>
      <c r="Z55">
        <v>0</v>
      </c>
      <c r="AA55">
        <v>311.06354290107998</v>
      </c>
      <c r="AB55">
        <v>332.60254327404999</v>
      </c>
      <c r="AC55">
        <f t="shared" si="0"/>
        <v>0.30726562066886803</v>
      </c>
      <c r="AD55">
        <f t="shared" si="1"/>
        <v>0.30344453404800531</v>
      </c>
      <c r="AE55">
        <f t="shared" si="2"/>
        <v>0.98756422338254168</v>
      </c>
      <c r="AF55">
        <f t="shared" si="3"/>
        <v>3.8210866208626651E-3</v>
      </c>
      <c r="AG55">
        <f t="shared" si="4"/>
        <v>1.2435776617458118E-2</v>
      </c>
      <c r="AH55">
        <f t="shared" si="5"/>
        <v>0.69273437933113191</v>
      </c>
      <c r="AI55">
        <f t="shared" si="6"/>
        <v>0.27510789258003382</v>
      </c>
      <c r="AJ55">
        <f t="shared" si="7"/>
        <v>0.7248921074199659</v>
      </c>
      <c r="AK55">
        <f t="shared" si="8"/>
        <v>9.8225947395122887E-2</v>
      </c>
      <c r="AL55">
        <f t="shared" si="9"/>
        <v>9.1864935549715407E-2</v>
      </c>
    </row>
    <row r="56" spans="1:38" x14ac:dyDescent="0.35">
      <c r="A56" t="s">
        <v>44</v>
      </c>
      <c r="B56" t="s">
        <v>67</v>
      </c>
      <c r="C56">
        <v>1.2481951410000001</v>
      </c>
      <c r="D56">
        <v>0.33243433</v>
      </c>
      <c r="E56">
        <v>0.91576081099999995</v>
      </c>
      <c r="F56">
        <v>0</v>
      </c>
      <c r="G56">
        <v>0.67566216200000007</v>
      </c>
      <c r="H56">
        <v>0.61666216200000001</v>
      </c>
      <c r="I56">
        <v>5.8999999999999997E-2</v>
      </c>
      <c r="J56">
        <v>0</v>
      </c>
      <c r="K56">
        <v>4.6408796097126643</v>
      </c>
      <c r="L56">
        <v>2.7186939247924111</v>
      </c>
      <c r="M56">
        <v>1.2360148289228849</v>
      </c>
      <c r="N56">
        <v>0.72407523765824</v>
      </c>
      <c r="O56">
        <v>3.4048647807897798</v>
      </c>
      <c r="P56">
        <v>1.99461868713417</v>
      </c>
      <c r="Q56">
        <v>0</v>
      </c>
      <c r="R56">
        <v>0</v>
      </c>
      <c r="S56">
        <v>2.5121606771902791</v>
      </c>
      <c r="T56">
        <v>1.471659802785201</v>
      </c>
      <c r="U56">
        <v>2.2927944194802219</v>
      </c>
      <c r="V56">
        <v>1.3431518986170721</v>
      </c>
      <c r="W56">
        <v>0.21936625771005719</v>
      </c>
      <c r="X56">
        <v>0.12850790416812899</v>
      </c>
      <c r="Y56">
        <v>0</v>
      </c>
      <c r="Z56">
        <v>0</v>
      </c>
      <c r="AA56">
        <v>45.911572818750003</v>
      </c>
      <c r="AB56">
        <v>26.895658710639999</v>
      </c>
      <c r="AC56">
        <f t="shared" si="0"/>
        <v>0.64879819259651195</v>
      </c>
      <c r="AD56">
        <f t="shared" si="1"/>
        <v>0.47600246108273858</v>
      </c>
      <c r="AE56">
        <f t="shared" si="2"/>
        <v>0.73366798260913912</v>
      </c>
      <c r="AF56">
        <f t="shared" si="3"/>
        <v>0.17279573151377328</v>
      </c>
      <c r="AG56">
        <f t="shared" si="4"/>
        <v>0.26633201739086082</v>
      </c>
      <c r="AH56">
        <f t="shared" si="5"/>
        <v>0.35120180740348811</v>
      </c>
      <c r="AI56">
        <f t="shared" si="6"/>
        <v>0.91267825354411358</v>
      </c>
      <c r="AJ56">
        <f t="shared" si="7"/>
        <v>8.732174645588632E-2</v>
      </c>
      <c r="AK56">
        <f t="shared" si="8"/>
        <v>4.1903537275776115E-2</v>
      </c>
      <c r="AL56">
        <f t="shared" si="9"/>
        <v>7.1530402869029439E-2</v>
      </c>
    </row>
    <row r="57" spans="1:38" x14ac:dyDescent="0.35">
      <c r="A57" t="s">
        <v>45</v>
      </c>
      <c r="B57" t="s">
        <v>67</v>
      </c>
      <c r="C57">
        <v>3.252665849099563</v>
      </c>
      <c r="D57">
        <v>1.5678041258934421</v>
      </c>
      <c r="E57">
        <v>1.684861723206122</v>
      </c>
      <c r="F57">
        <v>1.237368369740294</v>
      </c>
      <c r="G57">
        <v>3.751470525980066</v>
      </c>
      <c r="H57">
        <v>1.54465361043267</v>
      </c>
      <c r="I57">
        <v>2.206816915547396</v>
      </c>
      <c r="J57">
        <v>1.0928320704267229</v>
      </c>
      <c r="K57">
        <v>1.2768362788335079</v>
      </c>
      <c r="L57">
        <v>1.280968867756558</v>
      </c>
      <c r="M57">
        <v>0.6154426181219228</v>
      </c>
      <c r="N57">
        <v>0.61743455035989681</v>
      </c>
      <c r="O57">
        <v>0.66139366071158512</v>
      </c>
      <c r="P57">
        <v>0.6635343173966608</v>
      </c>
      <c r="Q57">
        <v>0.48572982841223911</v>
      </c>
      <c r="R57">
        <v>0.4873019342035354</v>
      </c>
      <c r="S57">
        <v>1.4726424074185149</v>
      </c>
      <c r="T57">
        <v>1.477408739485826</v>
      </c>
      <c r="U57">
        <v>0.60635486690942364</v>
      </c>
      <c r="V57">
        <v>0.60831738586973727</v>
      </c>
      <c r="W57">
        <v>0.8662875405090924</v>
      </c>
      <c r="X57">
        <v>0.86909135361608847</v>
      </c>
      <c r="Y57">
        <v>0.42899200192354658</v>
      </c>
      <c r="Z57">
        <v>0.43038047092667181</v>
      </c>
      <c r="AA57">
        <v>253.92231856471</v>
      </c>
      <c r="AB57">
        <v>254.7441596875</v>
      </c>
      <c r="AC57">
        <f t="shared" si="0"/>
        <v>0.46439213557754067</v>
      </c>
      <c r="AD57">
        <f t="shared" si="1"/>
        <v>0.2405523869010856</v>
      </c>
      <c r="AE57">
        <f t="shared" si="2"/>
        <v>0.51799410126082979</v>
      </c>
      <c r="AF57">
        <f t="shared" si="3"/>
        <v>0.2238397486764552</v>
      </c>
      <c r="AG57">
        <f t="shared" si="4"/>
        <v>0.48200589873917055</v>
      </c>
      <c r="AH57">
        <f t="shared" si="5"/>
        <v>0.53560786442245945</v>
      </c>
      <c r="AI57">
        <f t="shared" si="6"/>
        <v>0.41174616719909629</v>
      </c>
      <c r="AJ57">
        <f t="shared" si="7"/>
        <v>0.58825383280090371</v>
      </c>
      <c r="AK57">
        <f t="shared" si="8"/>
        <v>2.7583776072423828E-2</v>
      </c>
      <c r="AL57">
        <f t="shared" si="9"/>
        <v>2.7494786862520222E-2</v>
      </c>
    </row>
    <row r="58" spans="1:38" x14ac:dyDescent="0.35">
      <c r="A58" t="s">
        <v>46</v>
      </c>
      <c r="B58" t="s">
        <v>67</v>
      </c>
      <c r="C58">
        <v>4.0254459051713392</v>
      </c>
      <c r="D58">
        <v>0.707075905171339</v>
      </c>
      <c r="E58">
        <v>3.3183700000000012</v>
      </c>
      <c r="F58">
        <v>0</v>
      </c>
      <c r="G58">
        <v>6.7446143999999997</v>
      </c>
      <c r="H58">
        <v>5.3117944000000001</v>
      </c>
      <c r="I58">
        <v>1.43282</v>
      </c>
      <c r="J58">
        <v>0</v>
      </c>
      <c r="K58">
        <v>1.9741964283923019</v>
      </c>
      <c r="L58">
        <v>1.3349414777105451</v>
      </c>
      <c r="M58">
        <v>0.3467707080098239</v>
      </c>
      <c r="N58">
        <v>0.2344845703901644</v>
      </c>
      <c r="O58">
        <v>1.6274257203824789</v>
      </c>
      <c r="P58">
        <v>1.10045690732038</v>
      </c>
      <c r="Q58">
        <v>0</v>
      </c>
      <c r="R58">
        <v>0</v>
      </c>
      <c r="S58">
        <v>3.3077562021781892</v>
      </c>
      <c r="T58">
        <v>2.236687742383308</v>
      </c>
      <c r="U58">
        <v>2.6050593598494491</v>
      </c>
      <c r="V58">
        <v>1.7615277493907291</v>
      </c>
      <c r="W58">
        <v>0.70269684232874052</v>
      </c>
      <c r="X58">
        <v>0.47515999299257961</v>
      </c>
      <c r="Y58">
        <v>0</v>
      </c>
      <c r="Z58">
        <v>0</v>
      </c>
      <c r="AA58">
        <v>301.54474727050001</v>
      </c>
      <c r="AB58">
        <v>203.90300819506001</v>
      </c>
      <c r="AC58">
        <f t="shared" si="0"/>
        <v>0.37376261516739012</v>
      </c>
      <c r="AD58">
        <f t="shared" si="1"/>
        <v>0.30811062389378235</v>
      </c>
      <c r="AE58">
        <f t="shared" si="2"/>
        <v>0.82434842702444866</v>
      </c>
      <c r="AF58">
        <f t="shared" si="3"/>
        <v>6.5651991273607851E-2</v>
      </c>
      <c r="AG58">
        <f t="shared" si="4"/>
        <v>0.17565157297555165</v>
      </c>
      <c r="AH58">
        <f t="shared" si="5"/>
        <v>0.62623738483260993</v>
      </c>
      <c r="AI58">
        <f t="shared" si="6"/>
        <v>0.78756087227166027</v>
      </c>
      <c r="AJ58">
        <f t="shared" si="7"/>
        <v>0.21243912772833981</v>
      </c>
      <c r="AK58">
        <f t="shared" si="8"/>
        <v>3.5716292200938526E-2</v>
      </c>
      <c r="AL58">
        <f t="shared" si="9"/>
        <v>5.2819526305704918E-2</v>
      </c>
    </row>
    <row r="59" spans="1:38" x14ac:dyDescent="0.35">
      <c r="A59" t="s">
        <v>47</v>
      </c>
      <c r="B59" t="s">
        <v>67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19.06914282116</v>
      </c>
      <c r="AB59">
        <v>20.729999827290001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f t="shared" si="8"/>
        <v>0</v>
      </c>
      <c r="AL59">
        <f t="shared" si="9"/>
        <v>0</v>
      </c>
    </row>
    <row r="60" spans="1:38" x14ac:dyDescent="0.35">
      <c r="A60" t="s">
        <v>48</v>
      </c>
      <c r="B60" t="s">
        <v>67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417.89075855828003</v>
      </c>
      <c r="AB60">
        <v>371.46659669328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f t="shared" si="8"/>
        <v>0</v>
      </c>
      <c r="AL60">
        <f t="shared" si="9"/>
        <v>0</v>
      </c>
    </row>
    <row r="61" spans="1:38" x14ac:dyDescent="0.35">
      <c r="A61" t="s">
        <v>49</v>
      </c>
      <c r="B61" t="s">
        <v>67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342.39670930134002</v>
      </c>
      <c r="AB61">
        <v>358.46025273358998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f t="shared" si="8"/>
        <v>0</v>
      </c>
      <c r="AL61">
        <f t="shared" si="9"/>
        <v>0</v>
      </c>
    </row>
    <row r="62" spans="1:38" x14ac:dyDescent="0.35">
      <c r="A62" t="s">
        <v>50</v>
      </c>
      <c r="B62" t="s">
        <v>67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55.422589739999999</v>
      </c>
      <c r="AB62">
        <v>30.160077523049999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f t="shared" si="8"/>
        <v>0</v>
      </c>
      <c r="AL62">
        <f t="shared" si="9"/>
        <v>0</v>
      </c>
    </row>
    <row r="63" spans="1:38" x14ac:dyDescent="0.35">
      <c r="A63" t="s">
        <v>51</v>
      </c>
      <c r="B63" t="s">
        <v>67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97.136073348400004</v>
      </c>
      <c r="AB63">
        <v>48.216768505140003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f t="shared" si="8"/>
        <v>0</v>
      </c>
      <c r="AL63">
        <f t="shared" si="9"/>
        <v>0</v>
      </c>
    </row>
    <row r="64" spans="1:38" x14ac:dyDescent="0.35">
      <c r="A64" t="s">
        <v>52</v>
      </c>
      <c r="B64" t="s">
        <v>67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66.343484468840003</v>
      </c>
      <c r="AB64">
        <v>66.557495896739994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f t="shared" si="8"/>
        <v>0</v>
      </c>
      <c r="AL64">
        <f t="shared" si="9"/>
        <v>0</v>
      </c>
    </row>
    <row r="65" spans="1:38" x14ac:dyDescent="0.35">
      <c r="A65" t="s">
        <v>53</v>
      </c>
      <c r="B65" t="s">
        <v>67</v>
      </c>
      <c r="C65">
        <v>11.987077390271081</v>
      </c>
      <c r="D65">
        <v>0.76498244929870585</v>
      </c>
      <c r="E65">
        <v>11.22209494097237</v>
      </c>
      <c r="F65">
        <v>-10.02937374634487</v>
      </c>
      <c r="G65">
        <v>33.440661355057721</v>
      </c>
      <c r="H65">
        <v>0</v>
      </c>
      <c r="I65">
        <v>33.440661355057721</v>
      </c>
      <c r="J65">
        <v>0</v>
      </c>
      <c r="K65">
        <v>1.426607709170238</v>
      </c>
      <c r="L65">
        <v>1.285559586199561</v>
      </c>
      <c r="M65">
        <v>9.1042196860696603E-2</v>
      </c>
      <c r="N65">
        <v>8.2040891949904396E-2</v>
      </c>
      <c r="O65">
        <v>1.3355655123095409</v>
      </c>
      <c r="P65">
        <v>1.203518694249657</v>
      </c>
      <c r="Q65">
        <v>-1.1936172128410389</v>
      </c>
      <c r="R65">
        <v>-1.0756047653163849</v>
      </c>
      <c r="S65">
        <v>3.979844605624737</v>
      </c>
      <c r="T65">
        <v>3.5863589909529652</v>
      </c>
      <c r="U65">
        <v>0</v>
      </c>
      <c r="V65">
        <v>0</v>
      </c>
      <c r="W65">
        <v>3.979844605624737</v>
      </c>
      <c r="X65">
        <v>3.5863589909529652</v>
      </c>
      <c r="Y65">
        <v>0</v>
      </c>
      <c r="Z65">
        <v>0</v>
      </c>
      <c r="AA65">
        <v>932.44043441874999</v>
      </c>
      <c r="AB65">
        <v>840.25042856688003</v>
      </c>
      <c r="AC65">
        <f t="shared" si="0"/>
        <v>0.26387132006441055</v>
      </c>
      <c r="AD65">
        <f t="shared" si="1"/>
        <v>0.24703177509856364</v>
      </c>
      <c r="AE65">
        <f t="shared" si="2"/>
        <v>0.93618273876169489</v>
      </c>
      <c r="AF65">
        <f t="shared" si="3"/>
        <v>1.6839544965846814E-2</v>
      </c>
      <c r="AG65">
        <f t="shared" si="4"/>
        <v>6.3817261238304751E-2</v>
      </c>
      <c r="AH65">
        <f t="shared" si="5"/>
        <v>0.73612867993558939</v>
      </c>
      <c r="AI65">
        <f t="shared" si="6"/>
        <v>0</v>
      </c>
      <c r="AJ65">
        <f t="shared" si="7"/>
        <v>1</v>
      </c>
      <c r="AK65">
        <f t="shared" si="8"/>
        <v>4.8719185771525265E-2</v>
      </c>
      <c r="AL65">
        <f t="shared" si="9"/>
        <v>5.4064523147949774E-2</v>
      </c>
    </row>
    <row r="66" spans="1:38" x14ac:dyDescent="0.35">
      <c r="A66" t="s">
        <v>54</v>
      </c>
      <c r="B66" t="s">
        <v>67</v>
      </c>
      <c r="C66">
        <v>28.1225464637951</v>
      </c>
      <c r="D66">
        <v>0</v>
      </c>
      <c r="E66">
        <v>28.1225464637951</v>
      </c>
      <c r="F66">
        <v>0</v>
      </c>
      <c r="G66">
        <v>1.1458115023238651</v>
      </c>
      <c r="H66">
        <v>1.1458115023238651</v>
      </c>
      <c r="I66">
        <v>0</v>
      </c>
      <c r="J66">
        <v>0</v>
      </c>
      <c r="K66">
        <v>13.85762930642086</v>
      </c>
      <c r="L66">
        <v>14.498115587265049</v>
      </c>
      <c r="M66">
        <v>0</v>
      </c>
      <c r="N66">
        <v>0</v>
      </c>
      <c r="O66">
        <v>13.85762930642086</v>
      </c>
      <c r="P66">
        <v>14.498115587265049</v>
      </c>
      <c r="Q66">
        <v>0</v>
      </c>
      <c r="R66">
        <v>0</v>
      </c>
      <c r="S66">
        <v>0.5646085810429331</v>
      </c>
      <c r="T66">
        <v>0.5907042459080154</v>
      </c>
      <c r="U66">
        <v>0.56460858104293332</v>
      </c>
      <c r="V66">
        <v>0.5907042459080154</v>
      </c>
      <c r="W66">
        <v>0</v>
      </c>
      <c r="X66">
        <v>0</v>
      </c>
      <c r="Y66">
        <v>0</v>
      </c>
      <c r="Z66">
        <v>0</v>
      </c>
      <c r="AA66">
        <v>193.97380504054999</v>
      </c>
      <c r="AB66">
        <v>202.93908750153</v>
      </c>
      <c r="AC66">
        <f t="shared" si="0"/>
        <v>0.96085152765829029</v>
      </c>
      <c r="AD66">
        <f t="shared" si="1"/>
        <v>0.96085152765829029</v>
      </c>
      <c r="AE66">
        <f t="shared" si="2"/>
        <v>1</v>
      </c>
      <c r="AF66">
        <f t="shared" si="3"/>
        <v>0</v>
      </c>
      <c r="AG66">
        <f t="shared" si="4"/>
        <v>0</v>
      </c>
      <c r="AH66">
        <f t="shared" si="5"/>
        <v>3.9148472341709629E-2</v>
      </c>
      <c r="AI66">
        <f t="shared" si="6"/>
        <v>1</v>
      </c>
      <c r="AJ66">
        <f t="shared" si="7"/>
        <v>0</v>
      </c>
      <c r="AK66">
        <f t="shared" si="8"/>
        <v>0.15088819833173067</v>
      </c>
      <c r="AL66">
        <f t="shared" si="9"/>
        <v>0.14422237887463796</v>
      </c>
    </row>
    <row r="67" spans="1:38" x14ac:dyDescent="0.35">
      <c r="A67" t="s">
        <v>55</v>
      </c>
      <c r="B67" t="s">
        <v>67</v>
      </c>
      <c r="C67">
        <v>-8.1</v>
      </c>
      <c r="D67">
        <v>0</v>
      </c>
      <c r="E67">
        <v>-8.1</v>
      </c>
      <c r="F67">
        <v>0</v>
      </c>
      <c r="G67">
        <v>7.1492515149594507</v>
      </c>
      <c r="H67">
        <v>-0.35867162723845958</v>
      </c>
      <c r="I67">
        <v>7.5079231421979111</v>
      </c>
      <c r="J67">
        <v>0</v>
      </c>
      <c r="K67">
        <v>-1.974409057893133</v>
      </c>
      <c r="L67">
        <v>-2.4511712488266699</v>
      </c>
      <c r="M67">
        <v>0</v>
      </c>
      <c r="N67">
        <v>0</v>
      </c>
      <c r="O67">
        <v>-1.974409057893133</v>
      </c>
      <c r="P67">
        <v>-2.4511712488266699</v>
      </c>
      <c r="Q67">
        <v>0</v>
      </c>
      <c r="R67">
        <v>0</v>
      </c>
      <c r="S67">
        <v>1.742660117073104</v>
      </c>
      <c r="T67">
        <v>2.1634616992714961</v>
      </c>
      <c r="U67">
        <v>-8.7427717238133695E-2</v>
      </c>
      <c r="V67">
        <v>-0.1085389605502209</v>
      </c>
      <c r="W67">
        <v>1.8300878343112379</v>
      </c>
      <c r="X67">
        <v>2.2720006598217171</v>
      </c>
      <c r="Y67">
        <v>0</v>
      </c>
      <c r="Z67">
        <v>0</v>
      </c>
      <c r="AA67">
        <v>330.45426768437</v>
      </c>
      <c r="AB67">
        <v>410.24933347112</v>
      </c>
      <c r="AC67">
        <f t="shared" ref="AC67:AC130" si="10">C67/(C67+G67)</f>
        <v>8.5196033729725471</v>
      </c>
      <c r="AD67">
        <f t="shared" ref="AD67:AD130" si="11">(E67/(C67+G67))</f>
        <v>8.5196033729725471</v>
      </c>
      <c r="AE67">
        <f t="shared" ref="AE67:AE130" si="12">(E67/C67)</f>
        <v>1</v>
      </c>
      <c r="AF67">
        <f t="shared" ref="AF67:AF130" si="13">(D67/(C67+G67))</f>
        <v>0</v>
      </c>
      <c r="AG67">
        <f t="shared" ref="AG67:AG130" si="14">(D67/(C67))</f>
        <v>0</v>
      </c>
      <c r="AH67">
        <f t="shared" ref="AH67:AH130" si="15">(G67/(C67+G67))</f>
        <v>-7.5196033729725462</v>
      </c>
      <c r="AI67">
        <f t="shared" ref="AI67:AI130" si="16">(H67/G67)</f>
        <v>-5.0169115814146022E-2</v>
      </c>
      <c r="AJ67">
        <f t="shared" ref="AJ67:AJ130" si="17">I67/G67</f>
        <v>1.0501691158141462</v>
      </c>
      <c r="AK67">
        <f t="shared" ref="AK67:AK130" si="18">(C67+G67)/AA67</f>
        <v>-2.8770954955517373E-3</v>
      </c>
      <c r="AL67">
        <f t="shared" ref="AL67:AL130" si="19">(C67+G67)/AB67</f>
        <v>-2.3174894082002894E-3</v>
      </c>
    </row>
    <row r="68" spans="1:38" x14ac:dyDescent="0.35">
      <c r="A68" t="s">
        <v>56</v>
      </c>
      <c r="B68" t="s">
        <v>67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341.21592570296002</v>
      </c>
      <c r="AB68">
        <v>222.36238134761999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f t="shared" si="18"/>
        <v>0</v>
      </c>
      <c r="AL68">
        <f t="shared" si="19"/>
        <v>0</v>
      </c>
    </row>
    <row r="69" spans="1:38" x14ac:dyDescent="0.35">
      <c r="A69" t="s">
        <v>57</v>
      </c>
      <c r="B69" t="s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181.71174374815001</v>
      </c>
      <c r="AB69">
        <v>99.489061173690004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f t="shared" si="18"/>
        <v>0</v>
      </c>
      <c r="AL69">
        <f t="shared" si="19"/>
        <v>0</v>
      </c>
    </row>
    <row r="70" spans="1:38" x14ac:dyDescent="0.35">
      <c r="A70" t="s">
        <v>58</v>
      </c>
      <c r="B70" t="s">
        <v>67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76.037366075549997</v>
      </c>
      <c r="AB70">
        <v>50.417977728389999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f t="shared" si="18"/>
        <v>0</v>
      </c>
      <c r="AL70">
        <f t="shared" si="19"/>
        <v>0</v>
      </c>
    </row>
    <row r="71" spans="1:38" x14ac:dyDescent="0.35">
      <c r="A71" t="s">
        <v>59</v>
      </c>
      <c r="B71" t="s">
        <v>67</v>
      </c>
      <c r="C71">
        <v>14.10043735832228</v>
      </c>
      <c r="D71">
        <v>0.8349841230760352</v>
      </c>
      <c r="E71">
        <v>13.265453235246239</v>
      </c>
      <c r="F71">
        <v>34.112156247618508</v>
      </c>
      <c r="G71">
        <v>-1.5797136210380349</v>
      </c>
      <c r="H71">
        <v>0</v>
      </c>
      <c r="I71">
        <v>-1.5797136210380349</v>
      </c>
      <c r="J71">
        <v>0</v>
      </c>
      <c r="K71">
        <v>2.5645492128637088</v>
      </c>
      <c r="L71">
        <v>2.706394591381724</v>
      </c>
      <c r="M71">
        <v>0.15186464229242369</v>
      </c>
      <c r="N71">
        <v>0.1602642852243748</v>
      </c>
      <c r="O71">
        <v>2.4126845705712858</v>
      </c>
      <c r="P71">
        <v>2.546130306157349</v>
      </c>
      <c r="Q71">
        <v>6.2042262399953607</v>
      </c>
      <c r="R71">
        <v>6.5473823841665366</v>
      </c>
      <c r="S71">
        <v>-0.28731401873801232</v>
      </c>
      <c r="T71">
        <v>-0.30320537521384239</v>
      </c>
      <c r="U71">
        <v>0</v>
      </c>
      <c r="V71">
        <v>0</v>
      </c>
      <c r="W71">
        <v>-0.28731401873801232</v>
      </c>
      <c r="X71">
        <v>-0.30320537521384239</v>
      </c>
      <c r="Y71">
        <v>0</v>
      </c>
      <c r="Z71">
        <v>0</v>
      </c>
      <c r="AA71">
        <v>521.00449074291998</v>
      </c>
      <c r="AB71">
        <v>549.82128194673999</v>
      </c>
      <c r="AC71">
        <f t="shared" si="10"/>
        <v>1.1261679160234133</v>
      </c>
      <c r="AD71">
        <f t="shared" si="11"/>
        <v>1.0594797484225562</v>
      </c>
      <c r="AE71">
        <f t="shared" si="12"/>
        <v>0.94078310467559922</v>
      </c>
      <c r="AF71">
        <f t="shared" si="13"/>
        <v>6.6688167600856593E-2</v>
      </c>
      <c r="AG71">
        <f t="shared" si="14"/>
        <v>5.9216895324400387E-2</v>
      </c>
      <c r="AH71">
        <f t="shared" si="15"/>
        <v>-0.12616791602341321</v>
      </c>
      <c r="AI71">
        <f t="shared" si="16"/>
        <v>0</v>
      </c>
      <c r="AJ71">
        <f t="shared" si="17"/>
        <v>1</v>
      </c>
      <c r="AK71">
        <f t="shared" si="18"/>
        <v>2.4031892161678822E-2</v>
      </c>
      <c r="AL71">
        <f t="shared" si="19"/>
        <v>2.2772351941256978E-2</v>
      </c>
    </row>
    <row r="72" spans="1:38" x14ac:dyDescent="0.35">
      <c r="A72" t="s">
        <v>60</v>
      </c>
      <c r="B72" t="s">
        <v>67</v>
      </c>
      <c r="C72">
        <v>30.27282054763505</v>
      </c>
      <c r="D72">
        <v>2.6975353066185428</v>
      </c>
      <c r="E72">
        <v>27.575285241016509</v>
      </c>
      <c r="F72">
        <v>0</v>
      </c>
      <c r="G72">
        <v>42.741449230002956</v>
      </c>
      <c r="H72">
        <v>-0.10838709000000001</v>
      </c>
      <c r="I72">
        <v>42.84983632000295</v>
      </c>
      <c r="J72">
        <v>0</v>
      </c>
      <c r="K72">
        <v>4.051990917785762</v>
      </c>
      <c r="L72">
        <v>5.1239153771523451</v>
      </c>
      <c r="M72">
        <v>0.3610627739699882</v>
      </c>
      <c r="N72">
        <v>0.45657928095087619</v>
      </c>
      <c r="O72">
        <v>3.6909281438157731</v>
      </c>
      <c r="P72">
        <v>4.6673360962014687</v>
      </c>
      <c r="Q72">
        <v>0</v>
      </c>
      <c r="R72">
        <v>0</v>
      </c>
      <c r="S72">
        <v>5.7209061118192661</v>
      </c>
      <c r="T72">
        <v>7.2343298374454648</v>
      </c>
      <c r="U72">
        <v>-1.4507518504731301E-2</v>
      </c>
      <c r="V72">
        <v>-1.83453760531468E-2</v>
      </c>
      <c r="W72">
        <v>5.7354136303239978</v>
      </c>
      <c r="X72">
        <v>7.2526752134986117</v>
      </c>
      <c r="Y72">
        <v>0</v>
      </c>
      <c r="Z72">
        <v>0</v>
      </c>
      <c r="AA72">
        <v>590.81421763174001</v>
      </c>
      <c r="AB72">
        <v>747.10978286638999</v>
      </c>
      <c r="AC72">
        <f t="shared" si="10"/>
        <v>0.4146151244110185</v>
      </c>
      <c r="AD72">
        <f t="shared" si="11"/>
        <v>0.37766980790187893</v>
      </c>
      <c r="AE72">
        <f t="shared" si="12"/>
        <v>0.91089250166254243</v>
      </c>
      <c r="AF72">
        <f t="shared" si="13"/>
        <v>3.6945316509139611E-2</v>
      </c>
      <c r="AG72">
        <f t="shared" si="14"/>
        <v>8.9107498337457611E-2</v>
      </c>
      <c r="AH72">
        <f t="shared" si="15"/>
        <v>0.58538487558898156</v>
      </c>
      <c r="AI72">
        <f t="shared" si="16"/>
        <v>-2.5358777475405813E-3</v>
      </c>
      <c r="AJ72">
        <f t="shared" si="17"/>
        <v>1.0025358777475404</v>
      </c>
      <c r="AK72">
        <f t="shared" si="18"/>
        <v>0.12358245214597811</v>
      </c>
      <c r="AL72">
        <f t="shared" si="19"/>
        <v>9.772897029605028E-2</v>
      </c>
    </row>
    <row r="73" spans="1:38" x14ac:dyDescent="0.35">
      <c r="A73" t="s">
        <v>61</v>
      </c>
      <c r="B73" t="s">
        <v>67</v>
      </c>
      <c r="C73">
        <v>13.597478788559121</v>
      </c>
      <c r="D73">
        <v>0.72138312864748477</v>
      </c>
      <c r="E73">
        <v>12.876095659911639</v>
      </c>
      <c r="F73">
        <v>-0.90363615542342723</v>
      </c>
      <c r="G73">
        <v>3.194495168104325</v>
      </c>
      <c r="H73">
        <v>0.18207469297122711</v>
      </c>
      <c r="I73">
        <v>3.0124204751330979</v>
      </c>
      <c r="J73">
        <v>0</v>
      </c>
      <c r="K73">
        <v>5.1906806204374947</v>
      </c>
      <c r="L73">
        <v>3.0813115073237962</v>
      </c>
      <c r="M73">
        <v>0.2753796850142286</v>
      </c>
      <c r="N73">
        <v>0.1634719325586298</v>
      </c>
      <c r="O73">
        <v>4.9153009354232662</v>
      </c>
      <c r="P73">
        <v>2.917839574765166</v>
      </c>
      <c r="Q73">
        <v>-0.34495267489070008</v>
      </c>
      <c r="R73">
        <v>-0.20477211455426669</v>
      </c>
      <c r="S73">
        <v>1.219461667784475</v>
      </c>
      <c r="T73">
        <v>0.72390145810355577</v>
      </c>
      <c r="U73">
        <v>6.95049130043911E-2</v>
      </c>
      <c r="V73">
        <v>4.1259769944758801E-2</v>
      </c>
      <c r="W73">
        <v>1.149956754780084</v>
      </c>
      <c r="X73">
        <v>0.68264168815879689</v>
      </c>
      <c r="Y73">
        <v>0</v>
      </c>
      <c r="Z73">
        <v>0</v>
      </c>
      <c r="AA73">
        <v>441.28867711817003</v>
      </c>
      <c r="AB73">
        <v>261.95945739796002</v>
      </c>
      <c r="AC73">
        <f t="shared" si="10"/>
        <v>0.80976059298634895</v>
      </c>
      <c r="AD73">
        <f t="shared" si="11"/>
        <v>0.76680059730572081</v>
      </c>
      <c r="AE73">
        <f t="shared" si="12"/>
        <v>0.94694728781232218</v>
      </c>
      <c r="AF73">
        <f t="shared" si="13"/>
        <v>4.2959995680628311E-2</v>
      </c>
      <c r="AG73">
        <f t="shared" si="14"/>
        <v>5.305271218767809E-2</v>
      </c>
      <c r="AH73">
        <f t="shared" si="15"/>
        <v>0.190239407013651</v>
      </c>
      <c r="AI73">
        <f t="shared" si="16"/>
        <v>5.699639016179002E-2</v>
      </c>
      <c r="AJ73">
        <f t="shared" si="17"/>
        <v>0.94300360983820997</v>
      </c>
      <c r="AK73">
        <f t="shared" si="18"/>
        <v>3.8052129654273514E-2</v>
      </c>
      <c r="AL73">
        <f t="shared" si="19"/>
        <v>6.4101422882219691E-2</v>
      </c>
    </row>
    <row r="74" spans="1:38" x14ac:dyDescent="0.35">
      <c r="A74" t="s">
        <v>62</v>
      </c>
      <c r="B74" t="s">
        <v>67</v>
      </c>
      <c r="C74">
        <v>3.824337949750285</v>
      </c>
      <c r="D74">
        <v>1.9136139057485111</v>
      </c>
      <c r="E74">
        <v>1.9107240440017741</v>
      </c>
      <c r="F74">
        <v>0.1050858816995338</v>
      </c>
      <c r="G74">
        <v>0.88649371445437386</v>
      </c>
      <c r="H74">
        <v>0.88649371445437386</v>
      </c>
      <c r="I74">
        <v>0</v>
      </c>
      <c r="J74">
        <v>0</v>
      </c>
      <c r="K74">
        <v>1.189879040716451</v>
      </c>
      <c r="L74">
        <v>0.55387529870065522</v>
      </c>
      <c r="M74">
        <v>0.59538908652734979</v>
      </c>
      <c r="N74">
        <v>0.27714691734118102</v>
      </c>
      <c r="O74">
        <v>0.59448995418910144</v>
      </c>
      <c r="P74">
        <v>0.27672838135947408</v>
      </c>
      <c r="Q74">
        <v>3.2695721390848399E-2</v>
      </c>
      <c r="R74">
        <v>1.5219490243886901E-2</v>
      </c>
      <c r="S74">
        <v>0.27581775052725399</v>
      </c>
      <c r="T74">
        <v>0.12839005792407299</v>
      </c>
      <c r="U74">
        <v>0.27581775052725399</v>
      </c>
      <c r="V74">
        <v>0.12839005792407299</v>
      </c>
      <c r="W74">
        <v>0</v>
      </c>
      <c r="X74">
        <v>0</v>
      </c>
      <c r="Y74">
        <v>0</v>
      </c>
      <c r="Z74">
        <v>0</v>
      </c>
      <c r="AA74">
        <v>690.46912883131995</v>
      </c>
      <c r="AB74">
        <v>321.40560669490998</v>
      </c>
      <c r="AC74">
        <f t="shared" si="10"/>
        <v>0.81181800207585153</v>
      </c>
      <c r="AD74">
        <f t="shared" si="11"/>
        <v>0.40560227581903335</v>
      </c>
      <c r="AE74">
        <f t="shared" si="12"/>
        <v>0.49962217489867422</v>
      </c>
      <c r="AF74">
        <f t="shared" si="13"/>
        <v>0.40621572625681818</v>
      </c>
      <c r="AG74">
        <f t="shared" si="14"/>
        <v>0.50037782510132578</v>
      </c>
      <c r="AH74">
        <f t="shared" si="15"/>
        <v>0.18818199792414844</v>
      </c>
      <c r="AI74">
        <f t="shared" si="16"/>
        <v>1</v>
      </c>
      <c r="AJ74">
        <f t="shared" si="17"/>
        <v>0</v>
      </c>
      <c r="AK74">
        <f t="shared" si="18"/>
        <v>6.8226535662472823E-3</v>
      </c>
      <c r="AL74">
        <f t="shared" si="19"/>
        <v>1.4656967912437053E-2</v>
      </c>
    </row>
    <row r="75" spans="1:38" x14ac:dyDescent="0.35">
      <c r="A75" t="s">
        <v>63</v>
      </c>
      <c r="B75" t="s">
        <v>67</v>
      </c>
      <c r="C75">
        <v>7.0499999999999993E-2</v>
      </c>
      <c r="D75">
        <v>0</v>
      </c>
      <c r="E75">
        <v>7.0499999999999993E-2</v>
      </c>
      <c r="F75">
        <v>0.40684985167435311</v>
      </c>
      <c r="G75">
        <v>0</v>
      </c>
      <c r="H75">
        <v>0</v>
      </c>
      <c r="I75">
        <v>0</v>
      </c>
      <c r="J75">
        <v>0</v>
      </c>
      <c r="K75">
        <v>0.1095018154854439</v>
      </c>
      <c r="L75">
        <v>7.7274257091453996E-2</v>
      </c>
      <c r="M75">
        <v>0</v>
      </c>
      <c r="N75">
        <v>0</v>
      </c>
      <c r="O75">
        <v>0.1095018154854439</v>
      </c>
      <c r="P75">
        <v>7.7274257091453996E-2</v>
      </c>
      <c r="Q75">
        <v>0.63192620408972</v>
      </c>
      <c r="R75">
        <v>0.4459435466085665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91.233487908610002</v>
      </c>
      <c r="AB75">
        <v>64.38249419652</v>
      </c>
      <c r="AC75">
        <f t="shared" si="10"/>
        <v>1</v>
      </c>
      <c r="AD75">
        <f t="shared" si="11"/>
        <v>1</v>
      </c>
      <c r="AE75">
        <f t="shared" si="12"/>
        <v>1</v>
      </c>
      <c r="AF75">
        <f t="shared" si="13"/>
        <v>0</v>
      </c>
      <c r="AG75">
        <f t="shared" si="14"/>
        <v>0</v>
      </c>
      <c r="AH75">
        <f t="shared" si="15"/>
        <v>0</v>
      </c>
      <c r="AI75">
        <v>0</v>
      </c>
      <c r="AJ75">
        <v>0</v>
      </c>
      <c r="AK75">
        <f t="shared" si="18"/>
        <v>7.727425709145411E-4</v>
      </c>
      <c r="AL75">
        <f t="shared" si="19"/>
        <v>1.0950181548544395E-3</v>
      </c>
    </row>
    <row r="76" spans="1:38" x14ac:dyDescent="0.35">
      <c r="A76" t="s">
        <v>64</v>
      </c>
      <c r="B76" t="s">
        <v>67</v>
      </c>
      <c r="C76">
        <v>1.7694150329493319</v>
      </c>
      <c r="D76">
        <v>1.7694150329493319</v>
      </c>
      <c r="E76">
        <v>0</v>
      </c>
      <c r="F76">
        <v>0</v>
      </c>
      <c r="G76">
        <v>6.6270225953158493</v>
      </c>
      <c r="H76">
        <v>0</v>
      </c>
      <c r="I76">
        <v>6.6270225953158493</v>
      </c>
      <c r="J76">
        <v>0</v>
      </c>
      <c r="K76">
        <v>1.2005477809936591</v>
      </c>
      <c r="L76">
        <v>0.57098503498506004</v>
      </c>
      <c r="M76">
        <v>1.2005477809936591</v>
      </c>
      <c r="N76">
        <v>0.57098503498505992</v>
      </c>
      <c r="O76">
        <v>0</v>
      </c>
      <c r="P76">
        <v>0</v>
      </c>
      <c r="Q76">
        <v>0</v>
      </c>
      <c r="R76">
        <v>0</v>
      </c>
      <c r="S76">
        <v>4.4964336366803703</v>
      </c>
      <c r="T76">
        <v>2.1385207302811242</v>
      </c>
      <c r="U76">
        <v>0</v>
      </c>
      <c r="V76">
        <v>0</v>
      </c>
      <c r="W76">
        <v>4.4964336366803703</v>
      </c>
      <c r="X76">
        <v>2.1385207302811242</v>
      </c>
      <c r="Y76">
        <v>0</v>
      </c>
      <c r="Z76">
        <v>0</v>
      </c>
      <c r="AA76">
        <v>309.88816247970999</v>
      </c>
      <c r="AB76">
        <v>147.38397429586999</v>
      </c>
      <c r="AC76">
        <f t="shared" si="10"/>
        <v>0.21073401736385164</v>
      </c>
      <c r="AD76">
        <f t="shared" si="11"/>
        <v>0</v>
      </c>
      <c r="AE76">
        <f t="shared" si="12"/>
        <v>0</v>
      </c>
      <c r="AF76">
        <f t="shared" si="13"/>
        <v>0.21073401736385164</v>
      </c>
      <c r="AG76">
        <f t="shared" si="14"/>
        <v>1</v>
      </c>
      <c r="AH76">
        <f t="shared" si="15"/>
        <v>0.78926598263614844</v>
      </c>
      <c r="AI76">
        <f t="shared" si="16"/>
        <v>0</v>
      </c>
      <c r="AJ76">
        <f t="shared" si="17"/>
        <v>1</v>
      </c>
      <c r="AK76">
        <f t="shared" si="18"/>
        <v>2.7095057652661837E-2</v>
      </c>
      <c r="AL76">
        <f t="shared" si="19"/>
        <v>5.696981417674029E-2</v>
      </c>
    </row>
    <row r="77" spans="1:38" x14ac:dyDescent="0.35">
      <c r="A77" t="s">
        <v>65</v>
      </c>
      <c r="B77" t="s">
        <v>67</v>
      </c>
      <c r="C77">
        <v>26.050977899376029</v>
      </c>
      <c r="D77">
        <v>-5.7942536941247962</v>
      </c>
      <c r="E77">
        <v>31.84523159350082</v>
      </c>
      <c r="F77">
        <v>0</v>
      </c>
      <c r="G77">
        <v>2.2029678393841219</v>
      </c>
      <c r="H77">
        <v>0</v>
      </c>
      <c r="I77">
        <v>2.2029678393841219</v>
      </c>
      <c r="J77">
        <v>9.8869334416288517</v>
      </c>
      <c r="K77">
        <v>4.5583264760584807</v>
      </c>
      <c r="L77">
        <v>2.1433674290645</v>
      </c>
      <c r="M77">
        <v>-1.013862133120206</v>
      </c>
      <c r="N77">
        <v>-0.4767273878045557</v>
      </c>
      <c r="O77">
        <v>5.5721886091786867</v>
      </c>
      <c r="P77">
        <v>2.620094816869055</v>
      </c>
      <c r="Q77">
        <v>0</v>
      </c>
      <c r="R77">
        <v>0</v>
      </c>
      <c r="S77">
        <v>0.38546908553519321</v>
      </c>
      <c r="T77">
        <v>0.1812511427575092</v>
      </c>
      <c r="U77">
        <v>0</v>
      </c>
      <c r="V77">
        <v>0</v>
      </c>
      <c r="W77">
        <v>0.38546908553519321</v>
      </c>
      <c r="X77">
        <v>0.1812511427575092</v>
      </c>
      <c r="Y77">
        <v>1.7299876668001879</v>
      </c>
      <c r="Z77">
        <v>0.81345626233184243</v>
      </c>
      <c r="AA77">
        <v>1215.4228689920101</v>
      </c>
      <c r="AB77">
        <v>571.50311712429004</v>
      </c>
      <c r="AC77">
        <f t="shared" si="10"/>
        <v>0.92202972782091874</v>
      </c>
      <c r="AD77">
        <f t="shared" si="11"/>
        <v>1.1271074096321338</v>
      </c>
      <c r="AE77">
        <f t="shared" si="12"/>
        <v>1.2224198153522512</v>
      </c>
      <c r="AF77">
        <f t="shared" si="13"/>
        <v>-0.20507768181121527</v>
      </c>
      <c r="AG77">
        <f t="shared" si="14"/>
        <v>-0.2224198153522513</v>
      </c>
      <c r="AH77">
        <f t="shared" si="15"/>
        <v>7.7970272179081257E-2</v>
      </c>
      <c r="AI77">
        <f t="shared" si="16"/>
        <v>0</v>
      </c>
      <c r="AJ77">
        <f t="shared" si="17"/>
        <v>1</v>
      </c>
      <c r="AK77">
        <f t="shared" si="18"/>
        <v>2.324618571822009E-2</v>
      </c>
      <c r="AL77">
        <f t="shared" si="19"/>
        <v>4.9437955615936745E-2</v>
      </c>
    </row>
    <row r="78" spans="1:38" x14ac:dyDescent="0.35">
      <c r="A78" t="s">
        <v>28</v>
      </c>
      <c r="B78" t="s">
        <v>68</v>
      </c>
      <c r="C78">
        <v>46.163418043456417</v>
      </c>
      <c r="D78">
        <v>3.337102314023733</v>
      </c>
      <c r="E78">
        <v>42.826315729432679</v>
      </c>
      <c r="F78">
        <v>0</v>
      </c>
      <c r="G78">
        <v>1.1942170290034011</v>
      </c>
      <c r="H78">
        <v>0.5118072981443138</v>
      </c>
      <c r="I78">
        <v>0.68240973085908685</v>
      </c>
      <c r="J78">
        <v>0</v>
      </c>
      <c r="K78">
        <v>3.0883222221251301</v>
      </c>
      <c r="L78">
        <v>3.7637852817975812</v>
      </c>
      <c r="M78">
        <v>0.2232513897520107</v>
      </c>
      <c r="N78">
        <v>0.2720798655236395</v>
      </c>
      <c r="O78">
        <v>2.86507083237312</v>
      </c>
      <c r="P78">
        <v>3.4917054162739412</v>
      </c>
      <c r="Q78">
        <v>0</v>
      </c>
      <c r="R78">
        <v>0</v>
      </c>
      <c r="S78">
        <v>7.9892849035562999E-2</v>
      </c>
      <c r="T78">
        <v>9.7366630711873001E-2</v>
      </c>
      <c r="U78">
        <v>3.42397924438127E-2</v>
      </c>
      <c r="V78">
        <v>4.1728556019374002E-2</v>
      </c>
      <c r="W78">
        <v>4.5653056591750403E-2</v>
      </c>
      <c r="X78">
        <v>5.5638074692498901E-2</v>
      </c>
      <c r="Y78">
        <v>0</v>
      </c>
      <c r="Z78">
        <v>0</v>
      </c>
      <c r="AA78">
        <v>1226.51571721458</v>
      </c>
      <c r="AB78">
        <v>1494.77336635199</v>
      </c>
      <c r="AC78">
        <f t="shared" si="10"/>
        <v>0.97478300959969422</v>
      </c>
      <c r="AD78">
        <f t="shared" si="11"/>
        <v>0.90431702647114931</v>
      </c>
      <c r="AE78">
        <f t="shared" si="12"/>
        <v>0.92771110859073902</v>
      </c>
      <c r="AF78">
        <f t="shared" si="13"/>
        <v>7.0465983128544754E-2</v>
      </c>
      <c r="AG78">
        <f t="shared" si="14"/>
        <v>7.2288891409260828E-2</v>
      </c>
      <c r="AH78">
        <f t="shared" si="15"/>
        <v>2.5216990400305728E-2</v>
      </c>
      <c r="AI78">
        <f t="shared" si="16"/>
        <v>0.42857142857142777</v>
      </c>
      <c r="AJ78">
        <f t="shared" si="17"/>
        <v>0.57142857142857184</v>
      </c>
      <c r="AK78">
        <f t="shared" si="18"/>
        <v>3.8611519125094557E-2</v>
      </c>
      <c r="AL78">
        <f t="shared" si="19"/>
        <v>3.1682150711606953E-2</v>
      </c>
    </row>
    <row r="79" spans="1:38" x14ac:dyDescent="0.35">
      <c r="A79" t="s">
        <v>29</v>
      </c>
      <c r="B79" t="s">
        <v>68</v>
      </c>
      <c r="C79">
        <v>113.24279834523109</v>
      </c>
      <c r="D79">
        <v>11.814177619868021</v>
      </c>
      <c r="E79">
        <v>101.4286207253631</v>
      </c>
      <c r="F79">
        <v>1.891168170782322</v>
      </c>
      <c r="G79">
        <v>17.661004631055771</v>
      </c>
      <c r="H79">
        <v>0.25966520513249008</v>
      </c>
      <c r="I79">
        <v>17.401339425923279</v>
      </c>
      <c r="J79">
        <v>0</v>
      </c>
      <c r="K79">
        <v>6.6746704355389079</v>
      </c>
      <c r="L79">
        <v>6.570558560398025</v>
      </c>
      <c r="M79">
        <v>0.69634222424581427</v>
      </c>
      <c r="N79">
        <v>0.6854806400812995</v>
      </c>
      <c r="O79">
        <v>5.9783282112930944</v>
      </c>
      <c r="P79">
        <v>5.8850779203167258</v>
      </c>
      <c r="Q79">
        <v>0.1114677883503971</v>
      </c>
      <c r="R79">
        <v>0.10972910768068581</v>
      </c>
      <c r="S79">
        <v>1.040961431502702</v>
      </c>
      <c r="T79">
        <v>1.02472445806263</v>
      </c>
      <c r="U79">
        <v>1.5304987983008099E-2</v>
      </c>
      <c r="V79">
        <v>1.50662599419298E-2</v>
      </c>
      <c r="W79">
        <v>1.025656443519694</v>
      </c>
      <c r="X79">
        <v>1.0096581981207</v>
      </c>
      <c r="Y79">
        <v>0</v>
      </c>
      <c r="Z79">
        <v>0</v>
      </c>
      <c r="AA79">
        <v>1723.48815255626</v>
      </c>
      <c r="AB79">
        <v>1696.60508992738</v>
      </c>
      <c r="AC79">
        <f t="shared" si="10"/>
        <v>0.86508409817356446</v>
      </c>
      <c r="AD79">
        <f t="shared" si="11"/>
        <v>0.77483326243575079</v>
      </c>
      <c r="AE79">
        <f t="shared" si="12"/>
        <v>0.89567391664190965</v>
      </c>
      <c r="AF79">
        <f t="shared" si="13"/>
        <v>9.0250835737813909E-2</v>
      </c>
      <c r="AG79">
        <f t="shared" si="14"/>
        <v>0.10432608335809057</v>
      </c>
      <c r="AH79">
        <f t="shared" si="15"/>
        <v>0.13491590182643548</v>
      </c>
      <c r="AI79">
        <f t="shared" si="16"/>
        <v>1.4702742599131936E-2</v>
      </c>
      <c r="AJ79">
        <f t="shared" si="17"/>
        <v>0.98529725740086793</v>
      </c>
      <c r="AK79">
        <f t="shared" si="18"/>
        <v>7.5952830184606537E-2</v>
      </c>
      <c r="AL79">
        <f t="shared" si="19"/>
        <v>7.7156318670416085E-2</v>
      </c>
    </row>
    <row r="80" spans="1:38" x14ac:dyDescent="0.35">
      <c r="A80" t="s">
        <v>30</v>
      </c>
      <c r="B80" t="s">
        <v>68</v>
      </c>
      <c r="C80">
        <v>70.901973614972704</v>
      </c>
      <c r="D80">
        <v>7.2616030042740149</v>
      </c>
      <c r="E80">
        <v>63.640370610698689</v>
      </c>
      <c r="F80">
        <v>3.9364390609140609</v>
      </c>
      <c r="G80">
        <v>21.5156707802334</v>
      </c>
      <c r="H80">
        <v>1.056915872570517</v>
      </c>
      <c r="I80">
        <v>20.458754907662861</v>
      </c>
      <c r="J80">
        <v>0</v>
      </c>
      <c r="K80">
        <v>2.709478573720514</v>
      </c>
      <c r="L80">
        <v>2.4389326619495169</v>
      </c>
      <c r="M80">
        <v>0.27749802646946448</v>
      </c>
      <c r="N80">
        <v>0.2497893900868029</v>
      </c>
      <c r="O80">
        <v>2.4319805472510501</v>
      </c>
      <c r="P80">
        <v>2.1891432718627142</v>
      </c>
      <c r="Q80">
        <v>0.15042877861513879</v>
      </c>
      <c r="R80">
        <v>0.13540821655505689</v>
      </c>
      <c r="S80">
        <v>0.82220911500771621</v>
      </c>
      <c r="T80">
        <v>0.7401101765463789</v>
      </c>
      <c r="U80">
        <v>4.0389438614303899E-2</v>
      </c>
      <c r="V80">
        <v>3.6356486443428898E-2</v>
      </c>
      <c r="W80">
        <v>0.7818196763934111</v>
      </c>
      <c r="X80">
        <v>0.70375369010294975</v>
      </c>
      <c r="Y80">
        <v>0</v>
      </c>
      <c r="Z80">
        <v>0</v>
      </c>
      <c r="AA80">
        <v>2907.0902498102801</v>
      </c>
      <c r="AB80">
        <v>2616.8124857180101</v>
      </c>
      <c r="AC80">
        <f t="shared" si="10"/>
        <v>0.76719087657952179</v>
      </c>
      <c r="AD80">
        <f t="shared" si="11"/>
        <v>0.68861710366207785</v>
      </c>
      <c r="AE80">
        <f t="shared" si="12"/>
        <v>0.89758249828548431</v>
      </c>
      <c r="AF80">
        <f t="shared" si="13"/>
        <v>7.8573772917443982E-2</v>
      </c>
      <c r="AG80">
        <f t="shared" si="14"/>
        <v>0.10241750171451572</v>
      </c>
      <c r="AH80">
        <f t="shared" si="15"/>
        <v>0.23280912342047816</v>
      </c>
      <c r="AI80">
        <f t="shared" si="16"/>
        <v>4.9123073287657533E-2</v>
      </c>
      <c r="AJ80">
        <f t="shared" si="17"/>
        <v>0.95087692671234147</v>
      </c>
      <c r="AK80">
        <f t="shared" si="18"/>
        <v>3.1790428384958942E-2</v>
      </c>
      <c r="AL80">
        <f t="shared" si="19"/>
        <v>3.5316876887282293E-2</v>
      </c>
    </row>
    <row r="81" spans="1:38" x14ac:dyDescent="0.35">
      <c r="A81" t="s">
        <v>31</v>
      </c>
      <c r="B81" t="s">
        <v>68</v>
      </c>
      <c r="C81">
        <v>-16.70840364673353</v>
      </c>
      <c r="D81">
        <v>1.1575745271012181</v>
      </c>
      <c r="E81">
        <v>-17.86597817383478</v>
      </c>
      <c r="F81">
        <v>0</v>
      </c>
      <c r="G81">
        <v>51.335913810575683</v>
      </c>
      <c r="H81">
        <v>10.065865453054069</v>
      </c>
      <c r="I81">
        <v>41.270048357521659</v>
      </c>
      <c r="J81">
        <v>0</v>
      </c>
      <c r="K81">
        <v>-0.46446843798251258</v>
      </c>
      <c r="L81">
        <v>-0.4014720796169966</v>
      </c>
      <c r="M81">
        <v>3.2178827123089997E-2</v>
      </c>
      <c r="N81">
        <v>2.7814377874324499E-2</v>
      </c>
      <c r="O81">
        <v>-0.49664726510560259</v>
      </c>
      <c r="P81">
        <v>-0.42928645749132061</v>
      </c>
      <c r="Q81">
        <v>0</v>
      </c>
      <c r="R81">
        <v>0</v>
      </c>
      <c r="S81">
        <v>1.42706102893704</v>
      </c>
      <c r="T81">
        <v>1.2335071926874259</v>
      </c>
      <c r="U81">
        <v>0.2798158880268708</v>
      </c>
      <c r="V81">
        <v>0.24186415542890849</v>
      </c>
      <c r="W81">
        <v>1.1472451409101689</v>
      </c>
      <c r="X81">
        <v>0.99164303725851966</v>
      </c>
      <c r="Y81">
        <v>0</v>
      </c>
      <c r="Z81">
        <v>0</v>
      </c>
      <c r="AA81">
        <v>4161.7847155581303</v>
      </c>
      <c r="AB81">
        <v>3597.3173374942398</v>
      </c>
      <c r="AC81">
        <f t="shared" si="10"/>
        <v>-0.48251819341548696</v>
      </c>
      <c r="AD81">
        <f t="shared" si="11"/>
        <v>-0.51594752522779797</v>
      </c>
      <c r="AE81">
        <f t="shared" si="12"/>
        <v>1.0692809769009592</v>
      </c>
      <c r="AF81">
        <f t="shared" si="13"/>
        <v>3.3429331812310052E-2</v>
      </c>
      <c r="AG81">
        <f t="shared" si="14"/>
        <v>-6.92809769009574E-2</v>
      </c>
      <c r="AH81">
        <f t="shared" si="15"/>
        <v>1.482518193415487</v>
      </c>
      <c r="AI81">
        <f t="shared" si="16"/>
        <v>0.19607843137254929</v>
      </c>
      <c r="AJ81">
        <f t="shared" si="17"/>
        <v>0.80392156862745157</v>
      </c>
      <c r="AK81">
        <f t="shared" si="18"/>
        <v>8.3203511307043451E-3</v>
      </c>
      <c r="AL81">
        <f t="shared" si="19"/>
        <v>9.6259259095452538E-3</v>
      </c>
    </row>
    <row r="82" spans="1:38" x14ac:dyDescent="0.35">
      <c r="A82" t="s">
        <v>32</v>
      </c>
      <c r="B82" t="s">
        <v>68</v>
      </c>
      <c r="C82">
        <v>31.347147941889091</v>
      </c>
      <c r="D82">
        <v>0.32714062722420761</v>
      </c>
      <c r="E82">
        <v>31.020007314664891</v>
      </c>
      <c r="F82">
        <v>0.35230529085683848</v>
      </c>
      <c r="G82">
        <v>26.783472160680049</v>
      </c>
      <c r="H82">
        <v>0.1089287100907681</v>
      </c>
      <c r="I82">
        <v>26.67454345058934</v>
      </c>
      <c r="J82">
        <v>0</v>
      </c>
      <c r="K82">
        <v>1.634232122419994</v>
      </c>
      <c r="L82">
        <v>1.3409627752186619</v>
      </c>
      <c r="M82">
        <v>1.7054939816199599E-2</v>
      </c>
      <c r="N82">
        <v>1.3994364150211399E-2</v>
      </c>
      <c r="O82">
        <v>1.6171771826037951</v>
      </c>
      <c r="P82">
        <v>1.3269684110684501</v>
      </c>
      <c r="Q82">
        <v>1.83668582635995E-2</v>
      </c>
      <c r="R82">
        <v>1.5070853700227701E-2</v>
      </c>
      <c r="S82">
        <v>1.3963123738104031</v>
      </c>
      <c r="T82">
        <v>1.145738656197917</v>
      </c>
      <c r="U82">
        <v>5.6788195664278004E-3</v>
      </c>
      <c r="V82">
        <v>4.6597331806736003E-3</v>
      </c>
      <c r="W82">
        <v>1.3906335542439729</v>
      </c>
      <c r="X82">
        <v>1.1410789230172469</v>
      </c>
      <c r="Y82">
        <v>0</v>
      </c>
      <c r="Z82">
        <v>0</v>
      </c>
      <c r="AA82">
        <v>2337.6598158571201</v>
      </c>
      <c r="AB82">
        <v>1918.15761738117</v>
      </c>
      <c r="AC82">
        <f t="shared" si="10"/>
        <v>0.53925363064385534</v>
      </c>
      <c r="AD82">
        <f t="shared" si="11"/>
        <v>0.53362594893932558</v>
      </c>
      <c r="AE82">
        <f t="shared" si="12"/>
        <v>0.98956394285596094</v>
      </c>
      <c r="AF82">
        <f t="shared" si="13"/>
        <v>5.6276817045299212E-3</v>
      </c>
      <c r="AG82">
        <f t="shared" si="14"/>
        <v>1.0436057144039272E-2</v>
      </c>
      <c r="AH82">
        <f t="shared" si="15"/>
        <v>0.46074636935614466</v>
      </c>
      <c r="AI82">
        <f t="shared" si="16"/>
        <v>4.0670122767235096E-3</v>
      </c>
      <c r="AJ82">
        <f t="shared" si="17"/>
        <v>0.99593298772327876</v>
      </c>
      <c r="AK82">
        <f t="shared" si="18"/>
        <v>2.4867014314165777E-2</v>
      </c>
      <c r="AL82">
        <f t="shared" si="19"/>
        <v>3.0305444962303956E-2</v>
      </c>
    </row>
    <row r="83" spans="1:38" x14ac:dyDescent="0.35">
      <c r="A83" t="s">
        <v>33</v>
      </c>
      <c r="B83" t="s">
        <v>68</v>
      </c>
      <c r="C83">
        <v>3.981017193766661</v>
      </c>
      <c r="D83">
        <v>9.1514411801517923</v>
      </c>
      <c r="E83">
        <v>-5.170423986385174</v>
      </c>
      <c r="F83">
        <v>-1.127298094776165</v>
      </c>
      <c r="G83">
        <v>-0.68071461876866124</v>
      </c>
      <c r="H83">
        <v>0</v>
      </c>
      <c r="I83">
        <v>-0.68071461876866124</v>
      </c>
      <c r="J83">
        <v>-4.7259804742539018</v>
      </c>
      <c r="K83">
        <v>8.7220138981422196E-2</v>
      </c>
      <c r="L83">
        <v>7.4762960982461296E-2</v>
      </c>
      <c r="M83">
        <v>0.20049900132632581</v>
      </c>
      <c r="N83">
        <v>0.17186281962214989</v>
      </c>
      <c r="O83">
        <v>-0.1132788623449041</v>
      </c>
      <c r="P83">
        <v>-9.7099858639687397E-2</v>
      </c>
      <c r="Q83">
        <v>-2.4697983383197699E-2</v>
      </c>
      <c r="R83">
        <v>-2.1170504766298601E-2</v>
      </c>
      <c r="S83">
        <v>-1.4913782273698601E-2</v>
      </c>
      <c r="T83">
        <v>-1.2783727878110799E-2</v>
      </c>
      <c r="U83">
        <v>0</v>
      </c>
      <c r="V83">
        <v>0</v>
      </c>
      <c r="W83">
        <v>-1.4913782273698601E-2</v>
      </c>
      <c r="X83">
        <v>-1.2783727878110799E-2</v>
      </c>
      <c r="Y83">
        <v>-0.103541545721864</v>
      </c>
      <c r="Z83">
        <v>-8.8753269981790298E-2</v>
      </c>
      <c r="AA83">
        <v>5324.8522282316499</v>
      </c>
      <c r="AB83">
        <v>4564.3325500944502</v>
      </c>
      <c r="AC83">
        <f t="shared" si="10"/>
        <v>1.2062582455092239</v>
      </c>
      <c r="AD83">
        <f t="shared" si="11"/>
        <v>-1.5666515020636578</v>
      </c>
      <c r="AE83">
        <f t="shared" si="12"/>
        <v>-1.2987695693655494</v>
      </c>
      <c r="AF83">
        <f t="shared" si="13"/>
        <v>2.7729097475728688</v>
      </c>
      <c r="AG83">
        <f t="shared" si="14"/>
        <v>2.2987695693655388</v>
      </c>
      <c r="AH83">
        <f t="shared" si="15"/>
        <v>-0.20625824550922389</v>
      </c>
      <c r="AI83">
        <f t="shared" si="16"/>
        <v>0</v>
      </c>
      <c r="AJ83">
        <f t="shared" si="17"/>
        <v>1</v>
      </c>
      <c r="AK83">
        <f t="shared" si="18"/>
        <v>6.1979233104352449E-4</v>
      </c>
      <c r="AL83">
        <f t="shared" si="19"/>
        <v>7.2306356707722938E-4</v>
      </c>
    </row>
    <row r="84" spans="1:38" x14ac:dyDescent="0.35">
      <c r="A84" t="s">
        <v>34</v>
      </c>
      <c r="B84" t="s">
        <v>68</v>
      </c>
      <c r="C84">
        <v>7.6111093494739919</v>
      </c>
      <c r="D84">
        <v>0.4779750571525323</v>
      </c>
      <c r="E84">
        <v>7.1331342923214649</v>
      </c>
      <c r="F84">
        <v>0.43330405987938642</v>
      </c>
      <c r="G84">
        <v>31.181274689127051</v>
      </c>
      <c r="H84">
        <v>0</v>
      </c>
      <c r="I84">
        <v>31.181274689127051</v>
      </c>
      <c r="J84">
        <v>-16.443131650412699</v>
      </c>
      <c r="K84">
        <v>0.4646170053367924</v>
      </c>
      <c r="L84">
        <v>0.35293158772990241</v>
      </c>
      <c r="M84">
        <v>2.91777886091256E-2</v>
      </c>
      <c r="N84">
        <v>2.2163982682470801E-2</v>
      </c>
      <c r="O84">
        <v>0.435439216727667</v>
      </c>
      <c r="P84">
        <v>0.33076760504743152</v>
      </c>
      <c r="Q84">
        <v>2.64508661559761E-2</v>
      </c>
      <c r="R84">
        <v>2.0092562437512999E-2</v>
      </c>
      <c r="S84">
        <v>1.903447947393816</v>
      </c>
      <c r="T84">
        <v>1.445893926650307</v>
      </c>
      <c r="U84">
        <v>0</v>
      </c>
      <c r="V84">
        <v>0</v>
      </c>
      <c r="W84">
        <v>1.903447947393816</v>
      </c>
      <c r="X84">
        <v>1.445893926650307</v>
      </c>
      <c r="Y84">
        <v>-1.0037641341076471</v>
      </c>
      <c r="Z84">
        <v>-0.76247762240244477</v>
      </c>
      <c r="AA84">
        <v>2156.5395714307001</v>
      </c>
      <c r="AB84">
        <v>1638.14696019506</v>
      </c>
      <c r="AC84">
        <f t="shared" si="10"/>
        <v>0.19620112396032233</v>
      </c>
      <c r="AD84">
        <f t="shared" si="11"/>
        <v>0.18387976065671846</v>
      </c>
      <c r="AE84">
        <f t="shared" si="12"/>
        <v>0.93720034291905685</v>
      </c>
      <c r="AF84">
        <f t="shared" si="13"/>
        <v>1.2321363303603996E-2</v>
      </c>
      <c r="AG84">
        <f t="shared" si="14"/>
        <v>6.2799657080943844E-2</v>
      </c>
      <c r="AH84">
        <f t="shared" si="15"/>
        <v>0.8037988760396777</v>
      </c>
      <c r="AI84">
        <f t="shared" si="16"/>
        <v>0</v>
      </c>
      <c r="AJ84">
        <f t="shared" si="17"/>
        <v>1</v>
      </c>
      <c r="AK84">
        <f t="shared" si="18"/>
        <v>1.798825514380209E-2</v>
      </c>
      <c r="AL84">
        <f t="shared" si="19"/>
        <v>2.3680649527306082E-2</v>
      </c>
    </row>
    <row r="85" spans="1:38" x14ac:dyDescent="0.35">
      <c r="A85" t="s">
        <v>35</v>
      </c>
      <c r="B85" t="s">
        <v>68</v>
      </c>
      <c r="C85">
        <v>3.7753618885319331</v>
      </c>
      <c r="D85">
        <v>1.3595775049326151</v>
      </c>
      <c r="E85">
        <v>2.4157843835993238</v>
      </c>
      <c r="F85">
        <v>0</v>
      </c>
      <c r="G85">
        <v>50.527542741764933</v>
      </c>
      <c r="H85">
        <v>0.55038566188227755</v>
      </c>
      <c r="I85">
        <v>49.977157079882673</v>
      </c>
      <c r="J85">
        <v>0.50329327265262691</v>
      </c>
      <c r="K85">
        <v>0.2851657346450196</v>
      </c>
      <c r="L85">
        <v>0.2101477142769097</v>
      </c>
      <c r="M85">
        <v>0.1026934448797204</v>
      </c>
      <c r="N85">
        <v>7.56780709981138E-2</v>
      </c>
      <c r="O85">
        <v>0.182472289765299</v>
      </c>
      <c r="P85">
        <v>0.1344696432787959</v>
      </c>
      <c r="Q85">
        <v>0</v>
      </c>
      <c r="R85">
        <v>0</v>
      </c>
      <c r="S85">
        <v>3.816514620633074</v>
      </c>
      <c r="T85">
        <v>2.8125112052078598</v>
      </c>
      <c r="U85">
        <v>4.1572473379439603E-2</v>
      </c>
      <c r="V85">
        <v>3.0636079991876099E-2</v>
      </c>
      <c r="W85">
        <v>3.7749421472536331</v>
      </c>
      <c r="X85">
        <v>2.7818751252159828</v>
      </c>
      <c r="Y85">
        <v>3.8015427414745603E-2</v>
      </c>
      <c r="Z85">
        <v>2.8014779505024501E-2</v>
      </c>
      <c r="AA85">
        <v>1796.5276955414199</v>
      </c>
      <c r="AB85">
        <v>1323.9184901480501</v>
      </c>
      <c r="AC85">
        <f t="shared" si="10"/>
        <v>6.9524124247776792E-2</v>
      </c>
      <c r="AD85">
        <f t="shared" si="11"/>
        <v>4.4487203770155255E-2</v>
      </c>
      <c r="AE85">
        <f t="shared" si="12"/>
        <v>0.63988154114113616</v>
      </c>
      <c r="AF85">
        <f t="shared" si="13"/>
        <v>2.5036920477621651E-2</v>
      </c>
      <c r="AG85">
        <f t="shared" si="14"/>
        <v>0.36011845885886534</v>
      </c>
      <c r="AH85">
        <f t="shared" si="15"/>
        <v>0.93047587575222324</v>
      </c>
      <c r="AI85">
        <f t="shared" si="16"/>
        <v>1.0892785043895299E-2</v>
      </c>
      <c r="AJ85">
        <f t="shared" si="17"/>
        <v>0.9891072149561051</v>
      </c>
      <c r="AK85">
        <f t="shared" si="18"/>
        <v>3.0226589194847667E-2</v>
      </c>
      <c r="AL85">
        <f t="shared" si="19"/>
        <v>4.1016803552780902E-2</v>
      </c>
    </row>
    <row r="86" spans="1:38" x14ac:dyDescent="0.35">
      <c r="A86" t="s">
        <v>36</v>
      </c>
      <c r="B86" t="s">
        <v>68</v>
      </c>
      <c r="C86">
        <v>86.82264229997449</v>
      </c>
      <c r="D86">
        <v>32.556193825364851</v>
      </c>
      <c r="E86">
        <v>54.26644847460966</v>
      </c>
      <c r="F86">
        <v>5.126144940203254</v>
      </c>
      <c r="G86">
        <v>13.5098362743579</v>
      </c>
      <c r="H86">
        <v>3.9618288194598297E-2</v>
      </c>
      <c r="I86">
        <v>13.47021798616333</v>
      </c>
      <c r="J86">
        <v>0</v>
      </c>
      <c r="K86">
        <v>2.7498247852126219</v>
      </c>
      <c r="L86">
        <v>2.9511552175299278</v>
      </c>
      <c r="M86">
        <v>1.0311115432753959</v>
      </c>
      <c r="N86">
        <v>1.106605128863595</v>
      </c>
      <c r="O86">
        <v>1.718713241937226</v>
      </c>
      <c r="P86">
        <v>1.844550088666332</v>
      </c>
      <c r="Q86">
        <v>0.1623539670730261</v>
      </c>
      <c r="R86">
        <v>0.17424083148526701</v>
      </c>
      <c r="S86">
        <v>0.42788012029213363</v>
      </c>
      <c r="T86">
        <v>0.45920767616465591</v>
      </c>
      <c r="U86">
        <v>1.2547804114138E-3</v>
      </c>
      <c r="V86">
        <v>1.3466500767292001E-3</v>
      </c>
      <c r="W86">
        <v>0.42662533988072049</v>
      </c>
      <c r="X86">
        <v>0.45786102608792761</v>
      </c>
      <c r="Y86">
        <v>0</v>
      </c>
      <c r="Z86">
        <v>0</v>
      </c>
      <c r="AA86">
        <v>2941.9883367789698</v>
      </c>
      <c r="AB86">
        <v>3157.38816403392</v>
      </c>
      <c r="AC86">
        <f t="shared" si="10"/>
        <v>0.86534932191125935</v>
      </c>
      <c r="AD86">
        <f t="shared" si="11"/>
        <v>0.54086622044730792</v>
      </c>
      <c r="AE86">
        <f t="shared" si="12"/>
        <v>0.62502645665997669</v>
      </c>
      <c r="AF86">
        <f t="shared" si="13"/>
        <v>0.32448310146395165</v>
      </c>
      <c r="AG86">
        <f t="shared" si="14"/>
        <v>0.37497354334002359</v>
      </c>
      <c r="AH86">
        <f t="shared" si="15"/>
        <v>0.13465067808874068</v>
      </c>
      <c r="AI86">
        <f t="shared" si="16"/>
        <v>2.9325513196481199E-3</v>
      </c>
      <c r="AJ86">
        <f t="shared" si="17"/>
        <v>0.99706744868035402</v>
      </c>
      <c r="AK86">
        <f t="shared" si="18"/>
        <v>3.4103628936945823E-2</v>
      </c>
      <c r="AL86">
        <f t="shared" si="19"/>
        <v>3.1777049055047545E-2</v>
      </c>
    </row>
    <row r="87" spans="1:38" x14ac:dyDescent="0.35">
      <c r="A87" t="s">
        <v>37</v>
      </c>
      <c r="B87" t="s">
        <v>68</v>
      </c>
      <c r="C87">
        <v>6</v>
      </c>
      <c r="D87">
        <v>0</v>
      </c>
      <c r="E87">
        <v>6</v>
      </c>
      <c r="F87">
        <v>18</v>
      </c>
      <c r="G87">
        <v>0</v>
      </c>
      <c r="H87">
        <v>0</v>
      </c>
      <c r="I87">
        <v>0</v>
      </c>
      <c r="J87">
        <v>0</v>
      </c>
      <c r="K87">
        <v>3.01069168920573E-2</v>
      </c>
      <c r="L87">
        <v>3.0038729102900001E-2</v>
      </c>
      <c r="M87">
        <v>0</v>
      </c>
      <c r="N87">
        <v>0</v>
      </c>
      <c r="O87">
        <v>3.01069168920573E-2</v>
      </c>
      <c r="P87">
        <v>3.0038729102900001E-2</v>
      </c>
      <c r="Q87">
        <v>9.0320750676179395E-2</v>
      </c>
      <c r="R87">
        <v>9.0116187308698303E-2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19974.2138871676</v>
      </c>
      <c r="AB87">
        <v>19928.975197</v>
      </c>
      <c r="AC87">
        <f t="shared" si="10"/>
        <v>1</v>
      </c>
      <c r="AD87">
        <f t="shared" si="11"/>
        <v>1</v>
      </c>
      <c r="AE87">
        <f t="shared" si="12"/>
        <v>1</v>
      </c>
      <c r="AF87">
        <f t="shared" si="13"/>
        <v>0</v>
      </c>
      <c r="AG87">
        <f t="shared" si="14"/>
        <v>0</v>
      </c>
      <c r="AH87">
        <f t="shared" si="15"/>
        <v>0</v>
      </c>
      <c r="AI87">
        <v>0</v>
      </c>
      <c r="AJ87">
        <v>0</v>
      </c>
      <c r="AK87">
        <f t="shared" si="18"/>
        <v>3.0038729102899463E-4</v>
      </c>
      <c r="AL87">
        <f t="shared" si="19"/>
        <v>3.0106916892059794E-4</v>
      </c>
    </row>
    <row r="88" spans="1:38" x14ac:dyDescent="0.35">
      <c r="A88" t="s">
        <v>38</v>
      </c>
      <c r="B88" t="s">
        <v>68</v>
      </c>
      <c r="C88">
        <v>-0.1128814600963092</v>
      </c>
      <c r="D88">
        <v>-3.0653485430090801E-2</v>
      </c>
      <c r="E88">
        <v>-8.2227974666218395E-2</v>
      </c>
      <c r="F88">
        <v>-3.5558043098905298E-2</v>
      </c>
      <c r="G88">
        <v>-2.9120811158586099E-2</v>
      </c>
      <c r="H88">
        <v>-2.9120811158586099E-2</v>
      </c>
      <c r="I88">
        <v>0</v>
      </c>
      <c r="J88">
        <v>-4.9811913823897401E-2</v>
      </c>
      <c r="K88">
        <v>-8.8247150862277007E-3</v>
      </c>
      <c r="L88">
        <v>-4.7395976681350004E-3</v>
      </c>
      <c r="M88">
        <v>-2.3963924198852999E-3</v>
      </c>
      <c r="N88">
        <v>-1.2870597876809E-3</v>
      </c>
      <c r="O88">
        <v>-6.4283226663423999E-3</v>
      </c>
      <c r="P88">
        <v>-3.4525378804541001E-3</v>
      </c>
      <c r="Q88">
        <v>-2.7798152070668998E-3</v>
      </c>
      <c r="R88">
        <v>-1.4929893537098001E-3</v>
      </c>
      <c r="S88">
        <v>-2.2765727988909999E-3</v>
      </c>
      <c r="T88">
        <v>-1.2227067982968E-3</v>
      </c>
      <c r="U88">
        <v>-2.2765727988909999E-3</v>
      </c>
      <c r="V88">
        <v>-1.2227067982968E-3</v>
      </c>
      <c r="W88">
        <v>0</v>
      </c>
      <c r="X88">
        <v>0</v>
      </c>
      <c r="Y88">
        <v>-3.8941376823135999E-3</v>
      </c>
      <c r="Z88">
        <v>-2.0914721549814999E-3</v>
      </c>
      <c r="AA88">
        <v>2381.6675591522499</v>
      </c>
      <c r="AB88">
        <v>1279.1513266244399</v>
      </c>
      <c r="AC88">
        <f t="shared" si="10"/>
        <v>0.7949271451699953</v>
      </c>
      <c r="AD88">
        <f t="shared" si="11"/>
        <v>0.57906098219104174</v>
      </c>
      <c r="AE88">
        <f t="shared" si="12"/>
        <v>0.72844534962661189</v>
      </c>
      <c r="AF88">
        <f t="shared" si="13"/>
        <v>0.21586616297895359</v>
      </c>
      <c r="AG88">
        <f t="shared" si="14"/>
        <v>0.27155465037338805</v>
      </c>
      <c r="AH88">
        <f t="shared" si="15"/>
        <v>0.20507285483000476</v>
      </c>
      <c r="AI88">
        <f t="shared" si="16"/>
        <v>1</v>
      </c>
      <c r="AJ88">
        <f t="shared" si="17"/>
        <v>0</v>
      </c>
      <c r="AK88">
        <f t="shared" si="18"/>
        <v>-5.9623044664319452E-5</v>
      </c>
      <c r="AL88">
        <f t="shared" si="19"/>
        <v>-1.1101287885118794E-4</v>
      </c>
    </row>
    <row r="89" spans="1:38" x14ac:dyDescent="0.35">
      <c r="A89" t="s">
        <v>39</v>
      </c>
      <c r="B89" t="s">
        <v>68</v>
      </c>
      <c r="C89">
        <v>3.2493340902482442</v>
      </c>
      <c r="D89">
        <v>1.9527090644843801</v>
      </c>
      <c r="E89">
        <v>1.2966250257638641</v>
      </c>
      <c r="F89">
        <v>-0.29087422955606002</v>
      </c>
      <c r="G89">
        <v>21.277422987389031</v>
      </c>
      <c r="H89">
        <v>-0.1146164792378447</v>
      </c>
      <c r="I89">
        <v>21.39203946662688</v>
      </c>
      <c r="J89">
        <v>-0.15576643801551521</v>
      </c>
      <c r="K89">
        <v>0.32589363786671027</v>
      </c>
      <c r="L89">
        <v>0.13923031936942129</v>
      </c>
      <c r="M89">
        <v>0.19584796239634961</v>
      </c>
      <c r="N89">
        <v>8.3671392086048305E-2</v>
      </c>
      <c r="O89">
        <v>0.13004567547036061</v>
      </c>
      <c r="P89">
        <v>5.5558927283372903E-2</v>
      </c>
      <c r="Q89">
        <v>-2.91733808216867E-2</v>
      </c>
      <c r="R89">
        <v>-1.24636343178643E-2</v>
      </c>
      <c r="S89">
        <v>2.134030108691968</v>
      </c>
      <c r="T89">
        <v>0.91171369751828557</v>
      </c>
      <c r="U89">
        <v>-1.14955188788979E-2</v>
      </c>
      <c r="V89">
        <v>-4.9111875129049997E-3</v>
      </c>
      <c r="W89">
        <v>2.145525627570867</v>
      </c>
      <c r="X89">
        <v>0.91662488503119077</v>
      </c>
      <c r="Y89">
        <v>-1.5622675210519001E-2</v>
      </c>
      <c r="Z89">
        <v>-6.6744170681075996E-3</v>
      </c>
      <c r="AA89">
        <v>2333.7834064911899</v>
      </c>
      <c r="AB89">
        <v>997.05355143423003</v>
      </c>
      <c r="AC89">
        <f t="shared" si="10"/>
        <v>0.13248119512754031</v>
      </c>
      <c r="AD89">
        <f t="shared" si="11"/>
        <v>5.2865734416478807E-2</v>
      </c>
      <c r="AE89">
        <f t="shared" si="12"/>
        <v>0.39904330849057257</v>
      </c>
      <c r="AF89">
        <f t="shared" si="13"/>
        <v>7.96154607110615E-2</v>
      </c>
      <c r="AG89">
        <f t="shared" si="14"/>
        <v>0.60095669150942743</v>
      </c>
      <c r="AH89">
        <f t="shared" si="15"/>
        <v>0.86751880487245969</v>
      </c>
      <c r="AI89">
        <f t="shared" si="16"/>
        <v>-5.3867650845582675E-3</v>
      </c>
      <c r="AJ89">
        <f t="shared" si="17"/>
        <v>1.0053867650845585</v>
      </c>
      <c r="AK89">
        <f t="shared" si="18"/>
        <v>1.050944016887707E-2</v>
      </c>
      <c r="AL89">
        <f t="shared" si="19"/>
        <v>2.4599237465586787E-2</v>
      </c>
    </row>
    <row r="90" spans="1:38" x14ac:dyDescent="0.35">
      <c r="A90" t="s">
        <v>40</v>
      </c>
      <c r="B90" t="s">
        <v>68</v>
      </c>
      <c r="C90">
        <v>-3.6541235038564679</v>
      </c>
      <c r="D90">
        <v>2.0576905158455738</v>
      </c>
      <c r="E90">
        <v>-5.7118140197020404</v>
      </c>
      <c r="F90">
        <v>0</v>
      </c>
      <c r="G90">
        <v>1.817852579227869</v>
      </c>
      <c r="H90">
        <v>0</v>
      </c>
      <c r="I90">
        <v>1.817852579227869</v>
      </c>
      <c r="J90">
        <v>0</v>
      </c>
      <c r="K90">
        <v>-0.88274611984120277</v>
      </c>
      <c r="L90">
        <v>-0.77979727718691727</v>
      </c>
      <c r="M90">
        <v>0.49708728147248649</v>
      </c>
      <c r="N90">
        <v>0.43911527890513008</v>
      </c>
      <c r="O90">
        <v>-1.3798334013136899</v>
      </c>
      <c r="P90">
        <v>-1.218912556092048</v>
      </c>
      <c r="Q90">
        <v>0</v>
      </c>
      <c r="R90">
        <v>0</v>
      </c>
      <c r="S90">
        <v>0.4391483509145675</v>
      </c>
      <c r="T90">
        <v>0.38793338268754662</v>
      </c>
      <c r="U90">
        <v>0</v>
      </c>
      <c r="V90">
        <v>0</v>
      </c>
      <c r="W90">
        <v>0.4391483509145675</v>
      </c>
      <c r="X90">
        <v>0.38793338268754662</v>
      </c>
      <c r="Y90">
        <v>0</v>
      </c>
      <c r="Z90">
        <v>0</v>
      </c>
      <c r="AA90">
        <v>468.59916169988998</v>
      </c>
      <c r="AB90">
        <v>413.94954015926999</v>
      </c>
      <c r="AC90">
        <f t="shared" si="10"/>
        <v>1.9899697015545486</v>
      </c>
      <c r="AD90">
        <f t="shared" si="11"/>
        <v>3.1105508142036844</v>
      </c>
      <c r="AE90">
        <f t="shared" si="12"/>
        <v>1.5631146603758572</v>
      </c>
      <c r="AF90">
        <f t="shared" si="13"/>
        <v>-1.1205811126491365</v>
      </c>
      <c r="AG90">
        <f t="shared" si="14"/>
        <v>-0.56311466037585767</v>
      </c>
      <c r="AH90">
        <f t="shared" si="15"/>
        <v>-0.98996970155454855</v>
      </c>
      <c r="AI90">
        <f t="shared" si="16"/>
        <v>0</v>
      </c>
      <c r="AJ90">
        <f t="shared" si="17"/>
        <v>1</v>
      </c>
      <c r="AK90">
        <f t="shared" si="18"/>
        <v>-3.9186389449937208E-3</v>
      </c>
      <c r="AL90">
        <f t="shared" si="19"/>
        <v>-4.4359776892663799E-3</v>
      </c>
    </row>
    <row r="91" spans="1:38" x14ac:dyDescent="0.35">
      <c r="A91" t="s">
        <v>41</v>
      </c>
      <c r="B91" t="s">
        <v>68</v>
      </c>
      <c r="C91">
        <v>4.1542265056957364</v>
      </c>
      <c r="D91">
        <v>1.4774852644874339</v>
      </c>
      <c r="E91">
        <v>2.6767412412083029</v>
      </c>
      <c r="F91">
        <v>6.3837457281470176</v>
      </c>
      <c r="G91">
        <v>3.874602555254846</v>
      </c>
      <c r="H91">
        <v>1.257477537461184</v>
      </c>
      <c r="I91">
        <v>2.6171250177936609</v>
      </c>
      <c r="J91">
        <v>0</v>
      </c>
      <c r="K91">
        <v>0.83897070214313363</v>
      </c>
      <c r="L91">
        <v>0.74807530469820316</v>
      </c>
      <c r="M91">
        <v>0.2983869194550714</v>
      </c>
      <c r="N91">
        <v>0.26605921412882499</v>
      </c>
      <c r="O91">
        <v>0.54058378268806218</v>
      </c>
      <c r="P91">
        <v>0.48201609056937839</v>
      </c>
      <c r="Q91">
        <v>1.289235343451685</v>
      </c>
      <c r="R91">
        <v>1.149557570862314</v>
      </c>
      <c r="S91">
        <v>0.78249898551531238</v>
      </c>
      <c r="T91">
        <v>0.69772182213287159</v>
      </c>
      <c r="U91">
        <v>0.25395505302529059</v>
      </c>
      <c r="V91">
        <v>0.2264411655690107</v>
      </c>
      <c r="W91">
        <v>0.52854393249002207</v>
      </c>
      <c r="X91">
        <v>0.4712806565638612</v>
      </c>
      <c r="Y91">
        <v>0</v>
      </c>
      <c r="Z91">
        <v>0</v>
      </c>
      <c r="AA91">
        <v>555.32196820367994</v>
      </c>
      <c r="AB91">
        <v>495.15751802582002</v>
      </c>
      <c r="AC91">
        <f t="shared" si="10"/>
        <v>0.51741374416606301</v>
      </c>
      <c r="AD91">
        <f t="shared" si="11"/>
        <v>0.33339123561952971</v>
      </c>
      <c r="AE91">
        <f t="shared" si="12"/>
        <v>0.64434166927063385</v>
      </c>
      <c r="AF91">
        <f t="shared" si="13"/>
        <v>0.18402250854653338</v>
      </c>
      <c r="AG91">
        <f t="shared" si="14"/>
        <v>0.35565833072936631</v>
      </c>
      <c r="AH91">
        <f t="shared" si="15"/>
        <v>0.48258625583393705</v>
      </c>
      <c r="AI91">
        <f t="shared" si="16"/>
        <v>0.32454361951415051</v>
      </c>
      <c r="AJ91">
        <f t="shared" si="17"/>
        <v>0.67545638048584922</v>
      </c>
      <c r="AK91">
        <f t="shared" si="18"/>
        <v>1.4457971268310752E-2</v>
      </c>
      <c r="AL91">
        <f t="shared" si="19"/>
        <v>1.6214696876584469E-2</v>
      </c>
    </row>
    <row r="92" spans="1:38" x14ac:dyDescent="0.35">
      <c r="A92" t="s">
        <v>42</v>
      </c>
      <c r="B92" t="s">
        <v>68</v>
      </c>
      <c r="C92">
        <v>-0.38718454813488101</v>
      </c>
      <c r="D92">
        <v>0.62357924487103089</v>
      </c>
      <c r="E92">
        <v>-1.0107637930059119</v>
      </c>
      <c r="F92">
        <v>1.589257525315291</v>
      </c>
      <c r="G92">
        <v>17.056890492060301</v>
      </c>
      <c r="H92">
        <v>1.0946711428285801E-2</v>
      </c>
      <c r="I92">
        <v>17.045943780632019</v>
      </c>
      <c r="J92">
        <v>0</v>
      </c>
      <c r="K92">
        <v>-0.1795510684723238</v>
      </c>
      <c r="L92">
        <v>-9.5038896705898601E-2</v>
      </c>
      <c r="M92">
        <v>0.28917558883252281</v>
      </c>
      <c r="N92">
        <v>0.15306469157078709</v>
      </c>
      <c r="O92">
        <v>-0.46872665730484631</v>
      </c>
      <c r="P92">
        <v>-0.24810358827668569</v>
      </c>
      <c r="Q92">
        <v>0.73699451107391589</v>
      </c>
      <c r="R92">
        <v>0.39010152268497689</v>
      </c>
      <c r="S92">
        <v>7.9098789644827363</v>
      </c>
      <c r="T92">
        <v>4.1868097820732793</v>
      </c>
      <c r="U92">
        <v>5.0763744128605997E-3</v>
      </c>
      <c r="V92">
        <v>2.6869961151954002E-3</v>
      </c>
      <c r="W92">
        <v>7.9048025900698766</v>
      </c>
      <c r="X92">
        <v>4.184122785958083</v>
      </c>
      <c r="Y92">
        <v>0</v>
      </c>
      <c r="Z92">
        <v>0</v>
      </c>
      <c r="AA92">
        <v>407.39587848230002</v>
      </c>
      <c r="AB92">
        <v>215.64034757863999</v>
      </c>
      <c r="AC92">
        <f t="shared" si="10"/>
        <v>-2.3226837320185257E-2</v>
      </c>
      <c r="AD92">
        <f t="shared" si="11"/>
        <v>-6.0634770427623684E-2</v>
      </c>
      <c r="AE92">
        <f t="shared" si="12"/>
        <v>2.6105478585725961</v>
      </c>
      <c r="AF92">
        <f t="shared" si="13"/>
        <v>3.7407933107438424E-2</v>
      </c>
      <c r="AG92">
        <f t="shared" si="14"/>
        <v>-1.6105478585725961</v>
      </c>
      <c r="AH92">
        <f t="shared" si="15"/>
        <v>1.0232268373201852</v>
      </c>
      <c r="AI92">
        <f t="shared" si="16"/>
        <v>6.4177649691667495E-4</v>
      </c>
      <c r="AJ92">
        <f t="shared" si="17"/>
        <v>0.99935822350308356</v>
      </c>
      <c r="AK92">
        <f t="shared" si="18"/>
        <v>4.0917708853673795E-2</v>
      </c>
      <c r="AL92">
        <f t="shared" si="19"/>
        <v>7.7303278960104124E-2</v>
      </c>
    </row>
    <row r="93" spans="1:38" x14ac:dyDescent="0.35">
      <c r="A93" t="s">
        <v>43</v>
      </c>
      <c r="B93" t="s">
        <v>68</v>
      </c>
      <c r="C93">
        <v>1.6560605792137399</v>
      </c>
      <c r="D93">
        <v>5.2845564687310003E-3</v>
      </c>
      <c r="E93">
        <v>1.6507760227450099</v>
      </c>
      <c r="F93">
        <v>2.4720926378103978</v>
      </c>
      <c r="G93">
        <v>-0.17410876033898501</v>
      </c>
      <c r="H93">
        <v>3.1619220265415771</v>
      </c>
      <c r="I93">
        <v>-3.3360307868805599</v>
      </c>
      <c r="J93">
        <v>0</v>
      </c>
      <c r="K93">
        <v>0.49790977630896283</v>
      </c>
      <c r="L93">
        <v>0.53238658692329555</v>
      </c>
      <c r="M93">
        <v>1.5888502886091001E-3</v>
      </c>
      <c r="N93">
        <v>1.698867189464E-3</v>
      </c>
      <c r="O93">
        <v>0.4963209260203536</v>
      </c>
      <c r="P93">
        <v>0.53068771973383111</v>
      </c>
      <c r="Q93">
        <v>0.74325728645240741</v>
      </c>
      <c r="R93">
        <v>0.7947227163797006</v>
      </c>
      <c r="S93">
        <v>-5.2347392964920303E-2</v>
      </c>
      <c r="T93">
        <v>-5.5972088119098297E-2</v>
      </c>
      <c r="U93">
        <v>0.95066080836799016</v>
      </c>
      <c r="V93">
        <v>1.016487498680321</v>
      </c>
      <c r="W93">
        <v>-1.00300820133291</v>
      </c>
      <c r="X93">
        <v>-1.0724595867994211</v>
      </c>
      <c r="Y93">
        <v>0</v>
      </c>
      <c r="Z93">
        <v>0</v>
      </c>
      <c r="AA93">
        <v>311.06354290107998</v>
      </c>
      <c r="AB93">
        <v>332.60254327404999</v>
      </c>
      <c r="AC93">
        <f t="shared" si="10"/>
        <v>1.1174861140028058</v>
      </c>
      <c r="AD93">
        <f t="shared" si="11"/>
        <v>1.1139201704941009</v>
      </c>
      <c r="AE93">
        <f t="shared" si="12"/>
        <v>0.99680895944565084</v>
      </c>
      <c r="AF93">
        <f t="shared" si="13"/>
        <v>3.565943508705675E-3</v>
      </c>
      <c r="AG93">
        <f t="shared" si="14"/>
        <v>3.1910405543497619E-3</v>
      </c>
      <c r="AH93">
        <f t="shared" si="15"/>
        <v>-0.1174861140028059</v>
      </c>
      <c r="AI93">
        <f t="shared" si="16"/>
        <v>-18.160614206806144</v>
      </c>
      <c r="AJ93">
        <f t="shared" si="17"/>
        <v>19.16061420680613</v>
      </c>
      <c r="AK93">
        <f t="shared" si="18"/>
        <v>4.7641449880419587E-3</v>
      </c>
      <c r="AL93">
        <f t="shared" si="19"/>
        <v>4.4556238334404171E-3</v>
      </c>
    </row>
    <row r="94" spans="1:38" x14ac:dyDescent="0.35">
      <c r="A94" t="s">
        <v>44</v>
      </c>
      <c r="B94" t="s">
        <v>68</v>
      </c>
      <c r="C94">
        <v>-0.17362342716953361</v>
      </c>
      <c r="D94">
        <v>-6.9507208530843301E-2</v>
      </c>
      <c r="E94">
        <v>-0.10411621863869019</v>
      </c>
      <c r="F94">
        <v>0</v>
      </c>
      <c r="G94">
        <v>0.30689155142270308</v>
      </c>
      <c r="H94">
        <v>0.20024042401510739</v>
      </c>
      <c r="I94">
        <v>0.10665112740759559</v>
      </c>
      <c r="J94">
        <v>0</v>
      </c>
      <c r="K94">
        <v>-0.64554443167754627</v>
      </c>
      <c r="L94">
        <v>-0.37816919898380608</v>
      </c>
      <c r="M94">
        <v>-0.25843281727599432</v>
      </c>
      <c r="N94">
        <v>-0.1513936558114537</v>
      </c>
      <c r="O94">
        <v>-0.38711161440155228</v>
      </c>
      <c r="P94">
        <v>-0.2267755431723521</v>
      </c>
      <c r="Q94">
        <v>0</v>
      </c>
      <c r="R94">
        <v>0</v>
      </c>
      <c r="S94">
        <v>1.1410449348886771</v>
      </c>
      <c r="T94">
        <v>0.6684405098345283</v>
      </c>
      <c r="U94">
        <v>0.74450834675371524</v>
      </c>
      <c r="V94">
        <v>0.43614368169354151</v>
      </c>
      <c r="W94">
        <v>0.39653658813496218</v>
      </c>
      <c r="X94">
        <v>0.23229682814098659</v>
      </c>
      <c r="Y94">
        <v>0</v>
      </c>
      <c r="Z94">
        <v>0</v>
      </c>
      <c r="AA94">
        <v>45.911572818750003</v>
      </c>
      <c r="AB94">
        <v>26.895658710639999</v>
      </c>
      <c r="AC94">
        <f t="shared" si="10"/>
        <v>-1.3028128679871052</v>
      </c>
      <c r="AD94">
        <f t="shared" si="11"/>
        <v>-0.78125372606656185</v>
      </c>
      <c r="AE94">
        <f t="shared" si="12"/>
        <v>0.59966687869273827</v>
      </c>
      <c r="AF94">
        <f t="shared" si="13"/>
        <v>-0.52155914192054242</v>
      </c>
      <c r="AG94">
        <f t="shared" si="14"/>
        <v>0.40033312130726106</v>
      </c>
      <c r="AH94">
        <f t="shared" si="15"/>
        <v>2.3028128679871052</v>
      </c>
      <c r="AI94">
        <f t="shared" si="16"/>
        <v>0.65247942827628491</v>
      </c>
      <c r="AJ94">
        <f t="shared" si="17"/>
        <v>0.34752057172371481</v>
      </c>
      <c r="AK94">
        <f t="shared" si="18"/>
        <v>2.9027131085072213E-3</v>
      </c>
      <c r="AL94">
        <f t="shared" si="19"/>
        <v>4.955005032111306E-3</v>
      </c>
    </row>
    <row r="95" spans="1:38" x14ac:dyDescent="0.35">
      <c r="A95" t="s">
        <v>45</v>
      </c>
      <c r="B95" t="s">
        <v>68</v>
      </c>
      <c r="C95">
        <v>-0.74604999194765043</v>
      </c>
      <c r="D95">
        <v>-0.1105178378938607</v>
      </c>
      <c r="E95">
        <v>-0.63553215405378971</v>
      </c>
      <c r="F95">
        <v>-0.82177435966475709</v>
      </c>
      <c r="G95">
        <v>0.66176208666115244</v>
      </c>
      <c r="H95">
        <v>0.1217969719819347</v>
      </c>
      <c r="I95">
        <v>0.53996511467921771</v>
      </c>
      <c r="J95">
        <v>5.0329327265262701E-2</v>
      </c>
      <c r="K95">
        <v>-0.2928624518272942</v>
      </c>
      <c r="L95">
        <v>-0.29381032599445422</v>
      </c>
      <c r="M95">
        <v>-4.33838554059238E-2</v>
      </c>
      <c r="N95">
        <v>-4.3524270933945598E-2</v>
      </c>
      <c r="O95">
        <v>-0.2494785964213703</v>
      </c>
      <c r="P95">
        <v>-0.25028605506050861</v>
      </c>
      <c r="Q95">
        <v>-0.32258810591490872</v>
      </c>
      <c r="R95">
        <v>-0.32363218968297769</v>
      </c>
      <c r="S95">
        <v>0.25977517501203978</v>
      </c>
      <c r="T95">
        <v>0.26061595940118559</v>
      </c>
      <c r="U95">
        <v>4.7811487467012102E-2</v>
      </c>
      <c r="V95">
        <v>4.7966233401769802E-2</v>
      </c>
      <c r="W95">
        <v>0.21196368754502701</v>
      </c>
      <c r="X95">
        <v>0.21264972599941601</v>
      </c>
      <c r="Y95">
        <v>1.9756813002897701E-2</v>
      </c>
      <c r="Z95">
        <v>1.9820757604037301E-2</v>
      </c>
      <c r="AA95">
        <v>253.92231856471</v>
      </c>
      <c r="AB95">
        <v>254.7441596875</v>
      </c>
      <c r="AC95">
        <f t="shared" si="10"/>
        <v>8.8512104958807125</v>
      </c>
      <c r="AD95">
        <f t="shared" si="11"/>
        <v>7.5400159951014363</v>
      </c>
      <c r="AE95">
        <f t="shared" si="12"/>
        <v>0.85186269139238102</v>
      </c>
      <c r="AF95">
        <f t="shared" si="13"/>
        <v>1.3111945007792769</v>
      </c>
      <c r="AG95">
        <f t="shared" si="14"/>
        <v>0.14813730860761892</v>
      </c>
      <c r="AH95">
        <f t="shared" si="15"/>
        <v>-7.8512104958807125</v>
      </c>
      <c r="AI95">
        <f t="shared" si="16"/>
        <v>0.18404948611735658</v>
      </c>
      <c r="AJ95">
        <f t="shared" si="17"/>
        <v>0.81595051388264339</v>
      </c>
      <c r="AK95">
        <f t="shared" si="18"/>
        <v>-3.3194366593268922E-4</v>
      </c>
      <c r="AL95">
        <f t="shared" si="19"/>
        <v>-3.3087276815254853E-4</v>
      </c>
    </row>
    <row r="96" spans="1:38" x14ac:dyDescent="0.35">
      <c r="A96" t="s">
        <v>46</v>
      </c>
      <c r="B96" t="s">
        <v>68</v>
      </c>
      <c r="C96">
        <v>2.8687653080557518</v>
      </c>
      <c r="D96">
        <v>-0.36466848586374179</v>
      </c>
      <c r="E96">
        <v>3.233433793919493</v>
      </c>
      <c r="F96">
        <v>1.3717936772303889</v>
      </c>
      <c r="G96">
        <v>-5.9887947660008241</v>
      </c>
      <c r="H96">
        <v>-6.4199944000000002</v>
      </c>
      <c r="I96">
        <v>0.43119963399917571</v>
      </c>
      <c r="J96">
        <v>0</v>
      </c>
      <c r="K96">
        <v>1.406926427152758</v>
      </c>
      <c r="L96">
        <v>0.951356418582324</v>
      </c>
      <c r="M96">
        <v>-0.1788440931263203</v>
      </c>
      <c r="N96">
        <v>-0.12093345653161609</v>
      </c>
      <c r="O96">
        <v>1.5857705202790779</v>
      </c>
      <c r="P96">
        <v>1.07228987511394</v>
      </c>
      <c r="Q96">
        <v>0.6727677484375747</v>
      </c>
      <c r="R96">
        <v>0.45492209353586399</v>
      </c>
      <c r="S96">
        <v>-2.937080143649355</v>
      </c>
      <c r="T96">
        <v>-1.986038496843253</v>
      </c>
      <c r="U96">
        <v>-3.148553058059071</v>
      </c>
      <c r="V96">
        <v>-2.1290353946178868</v>
      </c>
      <c r="W96">
        <v>0.21147291440971619</v>
      </c>
      <c r="X96">
        <v>0.14299689777463409</v>
      </c>
      <c r="Y96">
        <v>0</v>
      </c>
      <c r="Z96">
        <v>0</v>
      </c>
      <c r="AA96">
        <v>301.54474727050001</v>
      </c>
      <c r="AB96">
        <v>203.90300819506001</v>
      </c>
      <c r="AC96">
        <f t="shared" si="10"/>
        <v>-0.91946737898596342</v>
      </c>
      <c r="AD96">
        <f t="shared" si="11"/>
        <v>-1.0363472004040346</v>
      </c>
      <c r="AE96">
        <f t="shared" si="12"/>
        <v>1.1271168766715489</v>
      </c>
      <c r="AF96">
        <f t="shared" si="13"/>
        <v>0.11687982141807128</v>
      </c>
      <c r="AG96">
        <f t="shared" si="14"/>
        <v>-0.12711687667154917</v>
      </c>
      <c r="AH96">
        <f t="shared" si="15"/>
        <v>1.9194673789859635</v>
      </c>
      <c r="AI96">
        <f t="shared" si="16"/>
        <v>1.0720010704736709</v>
      </c>
      <c r="AJ96">
        <f t="shared" si="17"/>
        <v>-7.2001070473670728E-2</v>
      </c>
      <c r="AK96">
        <f t="shared" si="18"/>
        <v>-1.0346820782609279E-2</v>
      </c>
      <c r="AL96">
        <f t="shared" si="19"/>
        <v>-1.5301537164965974E-2</v>
      </c>
    </row>
    <row r="97" spans="1:38" x14ac:dyDescent="0.35">
      <c r="A97" t="s">
        <v>47</v>
      </c>
      <c r="B97" t="s">
        <v>68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19.06914282116</v>
      </c>
      <c r="AB97">
        <v>20.729999827290001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f t="shared" si="18"/>
        <v>0</v>
      </c>
      <c r="AL97">
        <f t="shared" si="19"/>
        <v>0</v>
      </c>
    </row>
    <row r="98" spans="1:38" x14ac:dyDescent="0.35">
      <c r="A98" t="s">
        <v>48</v>
      </c>
      <c r="B98" t="s">
        <v>68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417.89075855828003</v>
      </c>
      <c r="AB98">
        <v>371.46659669328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f t="shared" si="18"/>
        <v>0</v>
      </c>
      <c r="AL98">
        <f t="shared" si="19"/>
        <v>0</v>
      </c>
    </row>
    <row r="99" spans="1:38" x14ac:dyDescent="0.35">
      <c r="A99" t="s">
        <v>49</v>
      </c>
      <c r="B99" t="s">
        <v>68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342.39670930134002</v>
      </c>
      <c r="AB99">
        <v>358.46025273358998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f t="shared" si="18"/>
        <v>0</v>
      </c>
      <c r="AL99">
        <f t="shared" si="19"/>
        <v>0</v>
      </c>
    </row>
    <row r="100" spans="1:38" x14ac:dyDescent="0.35">
      <c r="A100" t="s">
        <v>50</v>
      </c>
      <c r="B100" t="s">
        <v>68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55.422589739999999</v>
      </c>
      <c r="AB100">
        <v>30.160077523049999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f t="shared" si="18"/>
        <v>0</v>
      </c>
      <c r="AL100">
        <f t="shared" si="19"/>
        <v>0</v>
      </c>
    </row>
    <row r="101" spans="1:38" x14ac:dyDescent="0.35">
      <c r="A101" t="s">
        <v>51</v>
      </c>
      <c r="B101" t="s">
        <v>68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97.136073348400004</v>
      </c>
      <c r="AB101">
        <v>48.216768505140003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f t="shared" si="18"/>
        <v>0</v>
      </c>
      <c r="AL101">
        <f t="shared" si="19"/>
        <v>0</v>
      </c>
    </row>
    <row r="102" spans="1:38" x14ac:dyDescent="0.35">
      <c r="A102" t="s">
        <v>52</v>
      </c>
      <c r="B102" t="s">
        <v>68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66.343484468840003</v>
      </c>
      <c r="AB102">
        <v>66.557495896739994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f t="shared" si="18"/>
        <v>0</v>
      </c>
      <c r="AL102">
        <f t="shared" si="19"/>
        <v>0</v>
      </c>
    </row>
    <row r="103" spans="1:38" x14ac:dyDescent="0.35">
      <c r="A103" t="s">
        <v>53</v>
      </c>
      <c r="B103" t="s">
        <v>68</v>
      </c>
      <c r="C103">
        <v>6.7094683675636091</v>
      </c>
      <c r="D103">
        <v>3.464714722161641</v>
      </c>
      <c r="E103">
        <v>3.2447536454019712</v>
      </c>
      <c r="F103">
        <v>-4.1052685159715168</v>
      </c>
      <c r="G103">
        <v>4.2836647687777969</v>
      </c>
      <c r="H103">
        <v>0</v>
      </c>
      <c r="I103">
        <v>4.2836647687777969</v>
      </c>
      <c r="J103">
        <v>0</v>
      </c>
      <c r="K103">
        <v>0.79850817559321996</v>
      </c>
      <c r="L103">
        <v>0.71955999760414269</v>
      </c>
      <c r="M103">
        <v>0.4123431068129309</v>
      </c>
      <c r="N103">
        <v>0.37157491184103569</v>
      </c>
      <c r="O103">
        <v>0.3861650687802895</v>
      </c>
      <c r="P103">
        <v>0.34798508576310722</v>
      </c>
      <c r="Q103">
        <v>-0.48857678334938898</v>
      </c>
      <c r="R103">
        <v>-0.44027139583780439</v>
      </c>
      <c r="S103">
        <v>0.50980810281572397</v>
      </c>
      <c r="T103">
        <v>0.45940358339866272</v>
      </c>
      <c r="U103">
        <v>0</v>
      </c>
      <c r="V103">
        <v>0</v>
      </c>
      <c r="W103">
        <v>0.50980810281572397</v>
      </c>
      <c r="X103">
        <v>0.45940358339866272</v>
      </c>
      <c r="Y103">
        <v>0</v>
      </c>
      <c r="Z103">
        <v>0</v>
      </c>
      <c r="AA103">
        <v>932.44043441874999</v>
      </c>
      <c r="AB103">
        <v>840.25042856688003</v>
      </c>
      <c r="AC103">
        <f t="shared" si="10"/>
        <v>0.61033267625798704</v>
      </c>
      <c r="AD103">
        <f t="shared" si="11"/>
        <v>0.29516186196957572</v>
      </c>
      <c r="AE103">
        <f t="shared" si="12"/>
        <v>0.48360815904408677</v>
      </c>
      <c r="AF103">
        <f t="shared" si="13"/>
        <v>0.31517081428841159</v>
      </c>
      <c r="AG103">
        <f t="shared" si="14"/>
        <v>0.51639184095591373</v>
      </c>
      <c r="AH103">
        <f t="shared" si="15"/>
        <v>0.38966732374201296</v>
      </c>
      <c r="AI103">
        <f t="shared" si="16"/>
        <v>0</v>
      </c>
      <c r="AJ103">
        <f t="shared" si="17"/>
        <v>1</v>
      </c>
      <c r="AK103">
        <f t="shared" si="18"/>
        <v>1.178963581002805E-2</v>
      </c>
      <c r="AL103">
        <f t="shared" si="19"/>
        <v>1.3083162784089438E-2</v>
      </c>
    </row>
    <row r="104" spans="1:38" x14ac:dyDescent="0.35">
      <c r="A104" t="s">
        <v>54</v>
      </c>
      <c r="B104" t="s">
        <v>68</v>
      </c>
      <c r="C104">
        <v>-1.5631513525729299</v>
      </c>
      <c r="D104">
        <v>0.199134188698951</v>
      </c>
      <c r="E104">
        <v>-1.762285541271879</v>
      </c>
      <c r="F104">
        <v>0</v>
      </c>
      <c r="G104">
        <v>0.14987911249498689</v>
      </c>
      <c r="H104">
        <v>7.4029359208051607E-2</v>
      </c>
      <c r="I104">
        <v>7.5849753286935301E-2</v>
      </c>
      <c r="J104">
        <v>0</v>
      </c>
      <c r="K104">
        <v>-0.7702564211840901</v>
      </c>
      <c r="L104">
        <v>-0.80585693116972834</v>
      </c>
      <c r="M104">
        <v>9.8125103029966798E-2</v>
      </c>
      <c r="N104">
        <v>0.10266035079186191</v>
      </c>
      <c r="O104">
        <v>-0.86838152421405468</v>
      </c>
      <c r="P104">
        <v>-0.90851728196158998</v>
      </c>
      <c r="Q104">
        <v>0</v>
      </c>
      <c r="R104">
        <v>0</v>
      </c>
      <c r="S104">
        <v>7.3854235938582702E-2</v>
      </c>
      <c r="T104">
        <v>7.7267707597762497E-2</v>
      </c>
      <c r="U104">
        <v>3.6478610463591903E-2</v>
      </c>
      <c r="V104">
        <v>3.8164616708207401E-2</v>
      </c>
      <c r="W104">
        <v>3.7375625474990799E-2</v>
      </c>
      <c r="X104">
        <v>3.9103090889555298E-2</v>
      </c>
      <c r="Y104">
        <v>0</v>
      </c>
      <c r="Z104">
        <v>0</v>
      </c>
      <c r="AA104">
        <v>193.97380504054999</v>
      </c>
      <c r="AB104">
        <v>202.93908750153</v>
      </c>
      <c r="AC104">
        <f t="shared" si="10"/>
        <v>1.1060511260638086</v>
      </c>
      <c r="AD104">
        <f t="shared" si="11"/>
        <v>1.2469540484108623</v>
      </c>
      <c r="AE104">
        <f t="shared" si="12"/>
        <v>1.1273927750957553</v>
      </c>
      <c r="AF104">
        <f t="shared" si="13"/>
        <v>-0.14090292234705509</v>
      </c>
      <c r="AG104">
        <f t="shared" si="14"/>
        <v>-0.12739277509575661</v>
      </c>
      <c r="AH104">
        <f t="shared" si="15"/>
        <v>-0.10605112606380845</v>
      </c>
      <c r="AI104">
        <f t="shared" si="16"/>
        <v>0.4939271255060822</v>
      </c>
      <c r="AJ104">
        <f t="shared" si="17"/>
        <v>0.50607287449391791</v>
      </c>
      <c r="AK104">
        <f t="shared" si="18"/>
        <v>-7.2858922357196638E-3</v>
      </c>
      <c r="AL104">
        <f t="shared" si="19"/>
        <v>-6.9640218524550527E-3</v>
      </c>
    </row>
    <row r="105" spans="1:38" x14ac:dyDescent="0.35">
      <c r="A105" t="s">
        <v>55</v>
      </c>
      <c r="B105" t="s">
        <v>68</v>
      </c>
      <c r="C105">
        <v>0</v>
      </c>
      <c r="D105">
        <v>0</v>
      </c>
      <c r="E105">
        <v>0</v>
      </c>
      <c r="F105">
        <v>0</v>
      </c>
      <c r="G105">
        <v>1.3754229037270851</v>
      </c>
      <c r="H105">
        <v>0.38291283511333057</v>
      </c>
      <c r="I105">
        <v>0.99251006861375402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0.33526511599412778</v>
      </c>
      <c r="T105">
        <v>0.416221861307843</v>
      </c>
      <c r="U105">
        <v>9.3336613584110897E-2</v>
      </c>
      <c r="V105">
        <v>0.1158746829921613</v>
      </c>
      <c r="W105">
        <v>0.24192850241001679</v>
      </c>
      <c r="X105">
        <v>0.3003471783156817</v>
      </c>
      <c r="Y105">
        <v>0</v>
      </c>
      <c r="Z105">
        <v>0</v>
      </c>
      <c r="AA105">
        <v>330.45426768437</v>
      </c>
      <c r="AB105">
        <v>410.24933347112</v>
      </c>
      <c r="AC105">
        <f t="shared" si="10"/>
        <v>0</v>
      </c>
      <c r="AD105">
        <f t="shared" si="11"/>
        <v>0</v>
      </c>
      <c r="AE105">
        <v>0</v>
      </c>
      <c r="AF105">
        <f t="shared" si="13"/>
        <v>0</v>
      </c>
      <c r="AG105">
        <v>0</v>
      </c>
      <c r="AH105">
        <f t="shared" si="15"/>
        <v>1</v>
      </c>
      <c r="AI105">
        <f t="shared" si="16"/>
        <v>0.27839643652561213</v>
      </c>
      <c r="AJ105">
        <f t="shared" si="17"/>
        <v>0.72160356347438748</v>
      </c>
      <c r="AK105">
        <f t="shared" si="18"/>
        <v>4.1622186130784253E-3</v>
      </c>
      <c r="AL105">
        <f t="shared" si="19"/>
        <v>3.3526511599412741E-3</v>
      </c>
    </row>
    <row r="106" spans="1:38" x14ac:dyDescent="0.35">
      <c r="A106" t="s">
        <v>56</v>
      </c>
      <c r="B106" t="s">
        <v>68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341.21592570296002</v>
      </c>
      <c r="AB106">
        <v>222.36238134761999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f t="shared" si="18"/>
        <v>0</v>
      </c>
      <c r="AL106">
        <f t="shared" si="19"/>
        <v>0</v>
      </c>
    </row>
    <row r="107" spans="1:38" x14ac:dyDescent="0.35">
      <c r="A107" t="s">
        <v>57</v>
      </c>
      <c r="B107" t="s">
        <v>68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181.71174374815001</v>
      </c>
      <c r="AB107">
        <v>99.489061173690004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f t="shared" si="18"/>
        <v>0</v>
      </c>
      <c r="AL107">
        <f t="shared" si="19"/>
        <v>0</v>
      </c>
    </row>
    <row r="108" spans="1:38" x14ac:dyDescent="0.35">
      <c r="A108" t="s">
        <v>58</v>
      </c>
      <c r="B108" t="s">
        <v>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76.037366075549997</v>
      </c>
      <c r="AB108">
        <v>50.417977728389999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f t="shared" si="18"/>
        <v>0</v>
      </c>
      <c r="AL108">
        <f t="shared" si="19"/>
        <v>0</v>
      </c>
    </row>
    <row r="109" spans="1:38" x14ac:dyDescent="0.35">
      <c r="A109" t="s">
        <v>59</v>
      </c>
      <c r="B109" t="s">
        <v>68</v>
      </c>
      <c r="C109">
        <v>2.644233693332168</v>
      </c>
      <c r="D109">
        <v>0.71001324529060439</v>
      </c>
      <c r="E109">
        <v>1.934220448041565</v>
      </c>
      <c r="F109">
        <v>0.16067269854286079</v>
      </c>
      <c r="G109">
        <v>5.0533623042457521</v>
      </c>
      <c r="H109">
        <v>1.272990789428851</v>
      </c>
      <c r="I109">
        <v>3.780371514816903</v>
      </c>
      <c r="J109">
        <v>0</v>
      </c>
      <c r="K109">
        <v>0.48092603545097301</v>
      </c>
      <c r="L109">
        <v>0.50752608476784022</v>
      </c>
      <c r="M109">
        <v>0.129135278790351</v>
      </c>
      <c r="N109">
        <v>0.13627775919515969</v>
      </c>
      <c r="O109">
        <v>0.35179075666062148</v>
      </c>
      <c r="P109">
        <v>0.37124832557268039</v>
      </c>
      <c r="Q109">
        <v>2.9222713601402699E-2</v>
      </c>
      <c r="R109">
        <v>3.0839023731590299E-2</v>
      </c>
      <c r="S109">
        <v>0.91909179767531501</v>
      </c>
      <c r="T109">
        <v>0.96992682290319099</v>
      </c>
      <c r="U109">
        <v>0.23152810399073689</v>
      </c>
      <c r="V109">
        <v>0.24433393800764469</v>
      </c>
      <c r="W109">
        <v>0.68756369368457815</v>
      </c>
      <c r="X109">
        <v>0.72559288489554596</v>
      </c>
      <c r="Y109">
        <v>0</v>
      </c>
      <c r="Z109">
        <v>0</v>
      </c>
      <c r="AA109">
        <v>521.00449074291998</v>
      </c>
      <c r="AB109">
        <v>549.82128194673999</v>
      </c>
      <c r="AC109">
        <f t="shared" si="10"/>
        <v>0.34351422108463303</v>
      </c>
      <c r="AD109">
        <f t="shared" si="11"/>
        <v>0.25127591116111775</v>
      </c>
      <c r="AE109">
        <f t="shared" si="12"/>
        <v>0.73148619689666317</v>
      </c>
      <c r="AF109">
        <f t="shared" si="13"/>
        <v>9.2238309923515463E-2</v>
      </c>
      <c r="AG109">
        <f t="shared" si="14"/>
        <v>0.26851380310333739</v>
      </c>
      <c r="AH109">
        <f t="shared" si="15"/>
        <v>0.65648577891536697</v>
      </c>
      <c r="AI109">
        <f t="shared" si="16"/>
        <v>0.25190966188181385</v>
      </c>
      <c r="AJ109">
        <f t="shared" si="17"/>
        <v>0.74809033811818659</v>
      </c>
      <c r="AK109">
        <f t="shared" si="18"/>
        <v>1.4774529076710313E-2</v>
      </c>
      <c r="AL109">
        <f t="shared" si="19"/>
        <v>1.4000178331262866E-2</v>
      </c>
    </row>
    <row r="110" spans="1:38" x14ac:dyDescent="0.35">
      <c r="A110" t="s">
        <v>60</v>
      </c>
      <c r="B110" t="s">
        <v>68</v>
      </c>
      <c r="C110">
        <v>1.800426357568927</v>
      </c>
      <c r="D110">
        <v>7.9844312796973599E-2</v>
      </c>
      <c r="E110">
        <v>1.720582044771952</v>
      </c>
      <c r="F110">
        <v>0</v>
      </c>
      <c r="G110">
        <v>2.2594733452900262</v>
      </c>
      <c r="H110">
        <v>1.014811784017208</v>
      </c>
      <c r="I110">
        <v>1.2446615612728209</v>
      </c>
      <c r="J110">
        <v>0</v>
      </c>
      <c r="K110">
        <v>0.2409855149615811</v>
      </c>
      <c r="L110">
        <v>0.30473646432983248</v>
      </c>
      <c r="M110">
        <v>1.0687092396332899E-2</v>
      </c>
      <c r="N110">
        <v>1.3514284256229799E-2</v>
      </c>
      <c r="O110">
        <v>0.23029842256524841</v>
      </c>
      <c r="P110">
        <v>0.29122218007360251</v>
      </c>
      <c r="Q110">
        <v>0</v>
      </c>
      <c r="R110">
        <v>0</v>
      </c>
      <c r="S110">
        <v>0.30242855830655108</v>
      </c>
      <c r="T110">
        <v>0.3824338138555729</v>
      </c>
      <c r="U110">
        <v>0.13583168194154041</v>
      </c>
      <c r="V110">
        <v>0.17176495651798099</v>
      </c>
      <c r="W110">
        <v>0.16659687636501089</v>
      </c>
      <c r="X110">
        <v>0.21066885733759211</v>
      </c>
      <c r="Y110">
        <v>0</v>
      </c>
      <c r="Z110">
        <v>0</v>
      </c>
      <c r="AA110">
        <v>590.81421763174001</v>
      </c>
      <c r="AB110">
        <v>747.10978286638999</v>
      </c>
      <c r="AC110">
        <f t="shared" si="10"/>
        <v>0.44346572313130772</v>
      </c>
      <c r="AD110">
        <f t="shared" si="11"/>
        <v>0.42379915039781157</v>
      </c>
      <c r="AE110">
        <f t="shared" si="12"/>
        <v>0.95565255281821859</v>
      </c>
      <c r="AF110">
        <f t="shared" si="13"/>
        <v>1.9666572733495803E-2</v>
      </c>
      <c r="AG110">
        <f t="shared" si="14"/>
        <v>4.4347447181780589E-2</v>
      </c>
      <c r="AH110">
        <f t="shared" si="15"/>
        <v>0.55653427686869228</v>
      </c>
      <c r="AI110">
        <f t="shared" si="16"/>
        <v>0.44913642647417318</v>
      </c>
      <c r="AJ110">
        <f t="shared" si="17"/>
        <v>0.55086357352582804</v>
      </c>
      <c r="AK110">
        <f t="shared" si="18"/>
        <v>6.8717027818540515E-3</v>
      </c>
      <c r="AL110">
        <f t="shared" si="19"/>
        <v>5.4341407326813284E-3</v>
      </c>
    </row>
    <row r="111" spans="1:38" x14ac:dyDescent="0.35">
      <c r="A111" t="s">
        <v>61</v>
      </c>
      <c r="B111" t="s">
        <v>68</v>
      </c>
      <c r="C111">
        <v>2.3892134593666938</v>
      </c>
      <c r="D111">
        <v>2.5366516631069199E-2</v>
      </c>
      <c r="E111">
        <v>2.363846942735623</v>
      </c>
      <c r="F111">
        <v>1.802918360675922</v>
      </c>
      <c r="G111">
        <v>-5.5944951681043253</v>
      </c>
      <c r="H111">
        <v>-2.582074692971227</v>
      </c>
      <c r="I111">
        <v>-3.0124204751330979</v>
      </c>
      <c r="J111">
        <v>5.6145524312524948</v>
      </c>
      <c r="K111">
        <v>0.91205466796225643</v>
      </c>
      <c r="L111">
        <v>0.54141734951583675</v>
      </c>
      <c r="M111">
        <v>9.6833750088789992E-3</v>
      </c>
      <c r="N111">
        <v>5.7482817816048E-3</v>
      </c>
      <c r="O111">
        <v>0.90237129295337759</v>
      </c>
      <c r="P111">
        <v>0.53566906773423151</v>
      </c>
      <c r="Q111">
        <v>0.68824327954573072</v>
      </c>
      <c r="R111">
        <v>0.40855758467447112</v>
      </c>
      <c r="S111">
        <v>-2.1356339731630141</v>
      </c>
      <c r="T111">
        <v>-1.2677631351520511</v>
      </c>
      <c r="U111">
        <v>-0.98567721838292921</v>
      </c>
      <c r="V111">
        <v>-0.58512144699325441</v>
      </c>
      <c r="W111">
        <v>-1.149956754780084</v>
      </c>
      <c r="X111">
        <v>-0.68264168815879689</v>
      </c>
      <c r="Y111">
        <v>2.1432906019205311</v>
      </c>
      <c r="Z111">
        <v>1.2723082921407041</v>
      </c>
      <c r="AA111">
        <v>441.28867711817003</v>
      </c>
      <c r="AB111">
        <v>261.95945739796002</v>
      </c>
      <c r="AC111">
        <f t="shared" si="10"/>
        <v>-0.74539889983887309</v>
      </c>
      <c r="AD111">
        <f t="shared" si="11"/>
        <v>-0.73748492567494195</v>
      </c>
      <c r="AE111">
        <f t="shared" si="12"/>
        <v>0.98938290066480927</v>
      </c>
      <c r="AF111">
        <f t="shared" si="13"/>
        <v>-7.9139741639306805E-3</v>
      </c>
      <c r="AG111">
        <f t="shared" si="14"/>
        <v>1.0617099335190032E-2</v>
      </c>
      <c r="AH111">
        <f t="shared" si="15"/>
        <v>1.7453988998388732</v>
      </c>
      <c r="AI111">
        <f t="shared" si="16"/>
        <v>0.46153846153846151</v>
      </c>
      <c r="AJ111">
        <f t="shared" si="17"/>
        <v>0.53846153846153844</v>
      </c>
      <c r="AK111">
        <f t="shared" si="18"/>
        <v>-7.2634578563621488E-3</v>
      </c>
      <c r="AL111">
        <f t="shared" si="19"/>
        <v>-1.2235793052007567E-2</v>
      </c>
    </row>
    <row r="112" spans="1:38" x14ac:dyDescent="0.35">
      <c r="A112" t="s">
        <v>62</v>
      </c>
      <c r="B112" t="s">
        <v>68</v>
      </c>
      <c r="C112">
        <v>3.2258738534714402</v>
      </c>
      <c r="D112">
        <v>0.45292015012499087</v>
      </c>
      <c r="E112">
        <v>2.7729537033464489</v>
      </c>
      <c r="F112">
        <v>0</v>
      </c>
      <c r="G112">
        <v>5.9276318719664554</v>
      </c>
      <c r="H112">
        <v>-6.6204105470706306E-2</v>
      </c>
      <c r="I112">
        <v>5.9938359774371612</v>
      </c>
      <c r="J112">
        <v>0</v>
      </c>
      <c r="K112">
        <v>1.00367690739557</v>
      </c>
      <c r="L112">
        <v>0.46720030176171901</v>
      </c>
      <c r="M112">
        <v>0.1409185591945567</v>
      </c>
      <c r="N112">
        <v>6.5596002951152699E-2</v>
      </c>
      <c r="O112">
        <v>0.86275834820101271</v>
      </c>
      <c r="P112">
        <v>0.40160429881056642</v>
      </c>
      <c r="Q112">
        <v>0</v>
      </c>
      <c r="R112">
        <v>0</v>
      </c>
      <c r="S112">
        <v>1.8442839043542829</v>
      </c>
      <c r="T112">
        <v>0.85849339593205221</v>
      </c>
      <c r="U112">
        <v>-2.0598304476234501E-2</v>
      </c>
      <c r="V112">
        <v>-9.5882788536487008E-3</v>
      </c>
      <c r="W112">
        <v>1.864882208830517</v>
      </c>
      <c r="X112">
        <v>0.86808167478570097</v>
      </c>
      <c r="Y112">
        <v>0</v>
      </c>
      <c r="Z112">
        <v>0</v>
      </c>
      <c r="AA112">
        <v>690.46912883131995</v>
      </c>
      <c r="AB112">
        <v>321.40560669490998</v>
      </c>
      <c r="AC112">
        <f t="shared" si="10"/>
        <v>0.3524194937144825</v>
      </c>
      <c r="AD112">
        <f t="shared" si="11"/>
        <v>0.30293898168876637</v>
      </c>
      <c r="AE112">
        <f t="shared" si="12"/>
        <v>0.8595976871080705</v>
      </c>
      <c r="AF112">
        <f t="shared" si="13"/>
        <v>4.9480512025716093E-2</v>
      </c>
      <c r="AG112">
        <f t="shared" si="14"/>
        <v>0.14040231289192931</v>
      </c>
      <c r="AH112">
        <f t="shared" si="15"/>
        <v>0.64758050628551744</v>
      </c>
      <c r="AI112">
        <f t="shared" si="16"/>
        <v>-1.1168727562824089E-2</v>
      </c>
      <c r="AJ112">
        <f t="shared" si="17"/>
        <v>1.0111687275628241</v>
      </c>
      <c r="AK112">
        <f t="shared" si="18"/>
        <v>1.3256936976937713E-2</v>
      </c>
      <c r="AL112">
        <f t="shared" si="19"/>
        <v>2.8479608117498521E-2</v>
      </c>
    </row>
    <row r="113" spans="1:38" x14ac:dyDescent="0.35">
      <c r="A113" t="s">
        <v>63</v>
      </c>
      <c r="B113" t="s">
        <v>68</v>
      </c>
      <c r="C113">
        <v>6.3692384436993293E-2</v>
      </c>
      <c r="D113">
        <v>2.6529165639306101E-2</v>
      </c>
      <c r="E113">
        <v>3.7163218797687102E-2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9.8928109623369995E-2</v>
      </c>
      <c r="L113">
        <v>6.9812506237616298E-2</v>
      </c>
      <c r="M113">
        <v>4.1205557458412499E-2</v>
      </c>
      <c r="N113">
        <v>2.9078320085581699E-2</v>
      </c>
      <c r="O113">
        <v>5.7722552164957697E-2</v>
      </c>
      <c r="P113">
        <v>4.0734186152034599E-2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91.233487908610002</v>
      </c>
      <c r="AB113">
        <v>64.38249419652</v>
      </c>
      <c r="AC113">
        <f t="shared" si="10"/>
        <v>1</v>
      </c>
      <c r="AD113">
        <f t="shared" si="11"/>
        <v>0.58347978531798006</v>
      </c>
      <c r="AE113">
        <f t="shared" si="12"/>
        <v>0.58347978531798006</v>
      </c>
      <c r="AF113">
        <f t="shared" si="13"/>
        <v>0.4165202146820185</v>
      </c>
      <c r="AG113">
        <f t="shared" si="14"/>
        <v>0.4165202146820185</v>
      </c>
      <c r="AH113">
        <f t="shared" si="15"/>
        <v>0</v>
      </c>
      <c r="AI113">
        <v>0</v>
      </c>
      <c r="AJ113">
        <v>0</v>
      </c>
      <c r="AK113">
        <f t="shared" si="18"/>
        <v>6.9812506237616322E-4</v>
      </c>
      <c r="AL113">
        <f t="shared" si="19"/>
        <v>9.8928109623370249E-4</v>
      </c>
    </row>
    <row r="114" spans="1:38" x14ac:dyDescent="0.35">
      <c r="A114" t="s">
        <v>64</v>
      </c>
      <c r="B114" t="s">
        <v>68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309.88816247970999</v>
      </c>
      <c r="AB114">
        <v>147.38397429586999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f t="shared" si="18"/>
        <v>0</v>
      </c>
      <c r="AL114">
        <f t="shared" si="19"/>
        <v>0</v>
      </c>
    </row>
    <row r="115" spans="1:38" x14ac:dyDescent="0.35">
      <c r="A115" t="s">
        <v>65</v>
      </c>
      <c r="B115" t="s">
        <v>68</v>
      </c>
      <c r="C115">
        <v>-4.3303995984909802</v>
      </c>
      <c r="D115">
        <v>-3.6168747816384302E-2</v>
      </c>
      <c r="E115">
        <v>-4.2942308506746016</v>
      </c>
      <c r="F115">
        <v>0</v>
      </c>
      <c r="G115">
        <v>9.8948958804635723</v>
      </c>
      <c r="H115">
        <v>10.209776743806209</v>
      </c>
      <c r="I115">
        <v>-0.31488086334263699</v>
      </c>
      <c r="J115">
        <v>-9.8869334416288517</v>
      </c>
      <c r="K115">
        <v>-0.75772108125688842</v>
      </c>
      <c r="L115">
        <v>-0.35628748717574549</v>
      </c>
      <c r="M115">
        <v>-6.3287052568285996E-3</v>
      </c>
      <c r="N115">
        <v>-2.9758159681806998E-3</v>
      </c>
      <c r="O115">
        <v>-0.75139237600005959</v>
      </c>
      <c r="P115">
        <v>-0.35331167120756479</v>
      </c>
      <c r="Q115">
        <v>0</v>
      </c>
      <c r="R115">
        <v>0</v>
      </c>
      <c r="S115">
        <v>1.731380911840527</v>
      </c>
      <c r="T115">
        <v>0.81411137908485554</v>
      </c>
      <c r="U115">
        <v>1.7864778752529169</v>
      </c>
      <c r="V115">
        <v>0.84001848280784031</v>
      </c>
      <c r="W115">
        <v>-5.50969634123901E-2</v>
      </c>
      <c r="X115">
        <v>-2.5907103722984898E-2</v>
      </c>
      <c r="Y115">
        <v>-1.7299876668001879</v>
      </c>
      <c r="Z115">
        <v>-0.81345626233184243</v>
      </c>
      <c r="AA115">
        <v>1215.4228689920101</v>
      </c>
      <c r="AB115">
        <v>571.50311712429004</v>
      </c>
      <c r="AC115">
        <f t="shared" si="10"/>
        <v>-0.77821951512848719</v>
      </c>
      <c r="AD115">
        <f t="shared" si="11"/>
        <v>-0.77171960103319792</v>
      </c>
      <c r="AE115">
        <f t="shared" si="12"/>
        <v>0.99164771125764417</v>
      </c>
      <c r="AF115">
        <f t="shared" si="13"/>
        <v>-6.4999140952903328E-3</v>
      </c>
      <c r="AG115">
        <f t="shared" si="14"/>
        <v>8.3522887423571873E-3</v>
      </c>
      <c r="AH115">
        <f t="shared" si="15"/>
        <v>1.7782195151284872</v>
      </c>
      <c r="AI115">
        <f t="shared" si="16"/>
        <v>1.0318225544913855</v>
      </c>
      <c r="AJ115">
        <f t="shared" si="17"/>
        <v>-3.1822554491385407E-2</v>
      </c>
      <c r="AK115">
        <f t="shared" si="18"/>
        <v>4.5782389190911071E-3</v>
      </c>
      <c r="AL115">
        <f t="shared" si="19"/>
        <v>9.7365983058364143E-3</v>
      </c>
    </row>
    <row r="116" spans="1:38" x14ac:dyDescent="0.35">
      <c r="A116" t="s">
        <v>28</v>
      </c>
      <c r="B116" t="s">
        <v>69</v>
      </c>
      <c r="C116">
        <v>61.912545774045441</v>
      </c>
      <c r="D116">
        <v>4.8525662396136839</v>
      </c>
      <c r="E116">
        <v>57.059979534431761</v>
      </c>
      <c r="F116">
        <v>0</v>
      </c>
      <c r="G116">
        <v>7.1643447578672595E-2</v>
      </c>
      <c r="H116">
        <v>3.0704334676574501E-2</v>
      </c>
      <c r="I116">
        <v>4.0939112902098097E-2</v>
      </c>
      <c r="J116">
        <v>0</v>
      </c>
      <c r="K116">
        <v>4.1419353038878182</v>
      </c>
      <c r="L116">
        <v>5.0478395755619783</v>
      </c>
      <c r="M116">
        <v>0.32463558348356319</v>
      </c>
      <c r="N116">
        <v>0.39563832501338608</v>
      </c>
      <c r="O116">
        <v>3.8172997204042538</v>
      </c>
      <c r="P116">
        <v>4.6522012505485932</v>
      </c>
      <c r="Q116">
        <v>0</v>
      </c>
      <c r="R116">
        <v>0</v>
      </c>
      <c r="S116">
        <v>4.7929304328934996E-3</v>
      </c>
      <c r="T116">
        <v>5.8412172443556001E-3</v>
      </c>
      <c r="U116">
        <v>2.0541130426686002E-3</v>
      </c>
      <c r="V116">
        <v>2.5033788190095998E-3</v>
      </c>
      <c r="W116">
        <v>2.7388173902246999E-3</v>
      </c>
      <c r="X116">
        <v>3.3378384253461E-3</v>
      </c>
      <c r="Y116">
        <v>0</v>
      </c>
      <c r="Z116">
        <v>0</v>
      </c>
      <c r="AA116">
        <v>1226.51571721458</v>
      </c>
      <c r="AB116">
        <v>1494.77336635199</v>
      </c>
      <c r="AC116">
        <f t="shared" si="10"/>
        <v>0.99884416577068524</v>
      </c>
      <c r="AD116">
        <f t="shared" si="11"/>
        <v>0.92055700414849551</v>
      </c>
      <c r="AE116">
        <f t="shared" si="12"/>
        <v>0.92162224668771509</v>
      </c>
      <c r="AF116">
        <f t="shared" si="13"/>
        <v>7.8287161622189835E-2</v>
      </c>
      <c r="AG116">
        <f t="shared" si="14"/>
        <v>7.8377753312284956E-2</v>
      </c>
      <c r="AH116">
        <f t="shared" si="15"/>
        <v>1.1558342293147025E-3</v>
      </c>
      <c r="AI116">
        <f t="shared" si="16"/>
        <v>0.42857142857143599</v>
      </c>
      <c r="AJ116">
        <f t="shared" si="17"/>
        <v>0.57142857142856407</v>
      </c>
      <c r="AK116">
        <f t="shared" si="18"/>
        <v>5.0536807928063365E-2</v>
      </c>
      <c r="AL116">
        <f t="shared" si="19"/>
        <v>4.1467282343207103E-2</v>
      </c>
    </row>
    <row r="117" spans="1:38" x14ac:dyDescent="0.35">
      <c r="A117" t="s">
        <v>29</v>
      </c>
      <c r="B117" t="s">
        <v>69</v>
      </c>
      <c r="C117">
        <v>40.479513138385329</v>
      </c>
      <c r="D117">
        <v>24.517772021033171</v>
      </c>
      <c r="E117">
        <v>15.961741117352149</v>
      </c>
      <c r="F117">
        <v>0.1656112237427009</v>
      </c>
      <c r="G117">
        <v>-2.1278849423861459</v>
      </c>
      <c r="H117">
        <v>1.01315101583767E-2</v>
      </c>
      <c r="I117">
        <v>-2.138016452544512</v>
      </c>
      <c r="J117">
        <v>0</v>
      </c>
      <c r="K117">
        <v>2.3859125130950769</v>
      </c>
      <c r="L117">
        <v>2.3486969189980531</v>
      </c>
      <c r="M117">
        <v>1.4451077723739829</v>
      </c>
      <c r="N117">
        <v>1.422566902166903</v>
      </c>
      <c r="O117">
        <v>0.94080474072109321</v>
      </c>
      <c r="P117">
        <v>0.92613001683115037</v>
      </c>
      <c r="Q117">
        <v>9.7613301248435005E-3</v>
      </c>
      <c r="R117">
        <v>9.6090723627586007E-3</v>
      </c>
      <c r="S117">
        <v>-0.12542016731054501</v>
      </c>
      <c r="T117">
        <v>-0.1234638566693981</v>
      </c>
      <c r="U117">
        <v>5.9716372528450005E-4</v>
      </c>
      <c r="V117">
        <v>5.8784913278050002E-4</v>
      </c>
      <c r="W117">
        <v>-0.12601733103582941</v>
      </c>
      <c r="X117">
        <v>-0.124051705802179</v>
      </c>
      <c r="Y117">
        <v>0</v>
      </c>
      <c r="Z117">
        <v>0</v>
      </c>
      <c r="AA117">
        <v>1723.48815255626</v>
      </c>
      <c r="AB117">
        <v>1696.60508992738</v>
      </c>
      <c r="AC117">
        <f t="shared" si="10"/>
        <v>1.0554835620410015</v>
      </c>
      <c r="AD117">
        <f t="shared" si="11"/>
        <v>0.41619461462700735</v>
      </c>
      <c r="AE117">
        <f t="shared" si="12"/>
        <v>0.39431652902505343</v>
      </c>
      <c r="AF117">
        <f t="shared" si="13"/>
        <v>0.639288947413994</v>
      </c>
      <c r="AG117">
        <f t="shared" si="14"/>
        <v>0.60568347097494635</v>
      </c>
      <c r="AH117">
        <f t="shared" si="15"/>
        <v>-5.548356204100157E-2</v>
      </c>
      <c r="AI117">
        <f t="shared" si="16"/>
        <v>-4.7613054430544217E-3</v>
      </c>
      <c r="AJ117">
        <f t="shared" si="17"/>
        <v>1.0047613054430495</v>
      </c>
      <c r="AK117">
        <f t="shared" si="18"/>
        <v>2.2252330623286524E-2</v>
      </c>
      <c r="AL117">
        <f t="shared" si="19"/>
        <v>2.2604923457845309E-2</v>
      </c>
    </row>
    <row r="118" spans="1:38" x14ac:dyDescent="0.35">
      <c r="A118" t="s">
        <v>30</v>
      </c>
      <c r="B118" t="s">
        <v>69</v>
      </c>
      <c r="C118">
        <v>64.536582715928375</v>
      </c>
      <c r="D118">
        <v>4.2568291943873264</v>
      </c>
      <c r="E118">
        <v>60.279753521541039</v>
      </c>
      <c r="F118">
        <v>-1.984131221612252</v>
      </c>
      <c r="G118">
        <v>2.8314122459696591</v>
      </c>
      <c r="H118">
        <v>-0.10285766593745289</v>
      </c>
      <c r="I118">
        <v>2.934269911907109</v>
      </c>
      <c r="J118">
        <v>0</v>
      </c>
      <c r="K118">
        <v>2.4662287828476401</v>
      </c>
      <c r="L118">
        <v>2.2199717645552992</v>
      </c>
      <c r="M118">
        <v>0.1626723052423576</v>
      </c>
      <c r="N118">
        <v>0.1464292068216709</v>
      </c>
      <c r="O118">
        <v>2.3035564776052828</v>
      </c>
      <c r="P118">
        <v>2.0735425577336288</v>
      </c>
      <c r="Q118">
        <v>-7.5822445530246904E-2</v>
      </c>
      <c r="R118">
        <v>-6.8251449081834795E-2</v>
      </c>
      <c r="S118">
        <v>0.1082008077163667</v>
      </c>
      <c r="T118">
        <v>9.7396778313104407E-2</v>
      </c>
      <c r="U118">
        <v>-3.9306471708930998E-3</v>
      </c>
      <c r="V118">
        <v>-3.5381655572668002E-3</v>
      </c>
      <c r="W118">
        <v>0.11213145488725999</v>
      </c>
      <c r="X118">
        <v>0.10093494387037261</v>
      </c>
      <c r="Y118">
        <v>0</v>
      </c>
      <c r="Z118">
        <v>0</v>
      </c>
      <c r="AA118">
        <v>2907.0902498102801</v>
      </c>
      <c r="AB118">
        <v>2616.8124857180101</v>
      </c>
      <c r="AC118">
        <f t="shared" si="10"/>
        <v>0.95797095864926585</v>
      </c>
      <c r="AD118">
        <f t="shared" si="11"/>
        <v>0.8947832506464537</v>
      </c>
      <c r="AE118">
        <f t="shared" si="12"/>
        <v>0.93404005890543218</v>
      </c>
      <c r="AF118">
        <f t="shared" si="13"/>
        <v>6.3187708002812051E-2</v>
      </c>
      <c r="AG118">
        <f t="shared" si="14"/>
        <v>6.5959941094567626E-2</v>
      </c>
      <c r="AH118">
        <f t="shared" si="15"/>
        <v>4.2029041350734105E-2</v>
      </c>
      <c r="AI118">
        <f t="shared" si="16"/>
        <v>-3.6327336679377736E-2</v>
      </c>
      <c r="AJ118">
        <f t="shared" si="17"/>
        <v>1.0363273366793766</v>
      </c>
      <c r="AK118">
        <f t="shared" si="18"/>
        <v>2.3173685428684074E-2</v>
      </c>
      <c r="AL118">
        <f t="shared" si="19"/>
        <v>2.5744295905640091E-2</v>
      </c>
    </row>
    <row r="119" spans="1:38" x14ac:dyDescent="0.35">
      <c r="A119" t="s">
        <v>31</v>
      </c>
      <c r="B119" t="s">
        <v>69</v>
      </c>
      <c r="C119">
        <v>102.2301270281114</v>
      </c>
      <c r="D119">
        <v>19.23782439707341</v>
      </c>
      <c r="E119">
        <v>82.992302631038001</v>
      </c>
      <c r="F119">
        <v>0</v>
      </c>
      <c r="G119">
        <v>-111.6512256284006</v>
      </c>
      <c r="H119">
        <v>-114.80593817842519</v>
      </c>
      <c r="I119">
        <v>3.1547125500243278</v>
      </c>
      <c r="J119">
        <v>0</v>
      </c>
      <c r="K119">
        <v>2.841843447131668</v>
      </c>
      <c r="L119">
        <v>2.4564011359343332</v>
      </c>
      <c r="M119">
        <v>0.53478252242471824</v>
      </c>
      <c r="N119">
        <v>0.46224938846923158</v>
      </c>
      <c r="O119">
        <v>2.3070609247069491</v>
      </c>
      <c r="P119">
        <v>1.994151747465102</v>
      </c>
      <c r="Q119">
        <v>0</v>
      </c>
      <c r="R119">
        <v>0</v>
      </c>
      <c r="S119">
        <v>-3.1037357884632151</v>
      </c>
      <c r="T119">
        <v>-2.6827727347599581</v>
      </c>
      <c r="U119">
        <v>-3.191432042478489</v>
      </c>
      <c r="V119">
        <v>-2.758574650659908</v>
      </c>
      <c r="W119">
        <v>8.7696254015273895E-2</v>
      </c>
      <c r="X119">
        <v>7.5801915899951597E-2</v>
      </c>
      <c r="Y119">
        <v>0</v>
      </c>
      <c r="Z119">
        <v>0</v>
      </c>
      <c r="AA119">
        <v>4161.7847155581303</v>
      </c>
      <c r="AB119">
        <v>3597.3173374942398</v>
      </c>
      <c r="AC119">
        <f t="shared" si="10"/>
        <v>-10.851189586846406</v>
      </c>
      <c r="AD119">
        <f t="shared" si="11"/>
        <v>-8.8091958435176974</v>
      </c>
      <c r="AE119">
        <f t="shared" si="12"/>
        <v>0.81181844377652634</v>
      </c>
      <c r="AF119">
        <f t="shared" si="13"/>
        <v>-2.0419937433287099</v>
      </c>
      <c r="AG119">
        <f t="shared" si="14"/>
        <v>0.18818155622347377</v>
      </c>
      <c r="AH119">
        <f t="shared" si="15"/>
        <v>11.851189586846406</v>
      </c>
      <c r="AI119">
        <f t="shared" si="16"/>
        <v>1.0282550642168871</v>
      </c>
      <c r="AJ119">
        <f t="shared" si="17"/>
        <v>-2.8255064216884576E-2</v>
      </c>
      <c r="AK119">
        <f t="shared" si="18"/>
        <v>-2.2637159882561947E-3</v>
      </c>
      <c r="AL119">
        <f t="shared" si="19"/>
        <v>-2.6189234133154327E-3</v>
      </c>
    </row>
    <row r="120" spans="1:38" x14ac:dyDescent="0.35">
      <c r="A120" t="s">
        <v>32</v>
      </c>
      <c r="B120" t="s">
        <v>69</v>
      </c>
      <c r="C120">
        <v>36.032590507810447</v>
      </c>
      <c r="D120">
        <v>3.3829533441994899</v>
      </c>
      <c r="E120">
        <v>32.649637163610961</v>
      </c>
      <c r="F120">
        <v>-3.4285888645816998E-2</v>
      </c>
      <c r="G120">
        <v>53.163057249189023</v>
      </c>
      <c r="H120">
        <v>-1.5918448299843499E-2</v>
      </c>
      <c r="I120">
        <v>53.178975697488909</v>
      </c>
      <c r="J120">
        <v>0</v>
      </c>
      <c r="K120">
        <v>1.878499982551235</v>
      </c>
      <c r="L120">
        <v>1.5413958123157809</v>
      </c>
      <c r="M120">
        <v>0.1763647217280393</v>
      </c>
      <c r="N120">
        <v>0.1447153825056921</v>
      </c>
      <c r="O120">
        <v>1.702135260823195</v>
      </c>
      <c r="P120">
        <v>1.396680429810089</v>
      </c>
      <c r="Q120">
        <v>-1.7874385470275E-3</v>
      </c>
      <c r="R120">
        <v>-1.4666757076133999E-3</v>
      </c>
      <c r="S120">
        <v>2.7715687578256341</v>
      </c>
      <c r="T120">
        <v>2.27419990233679</v>
      </c>
      <c r="U120">
        <v>-8.2988218254849996E-4</v>
      </c>
      <c r="V120">
        <v>-6.8095657853479996E-4</v>
      </c>
      <c r="W120">
        <v>2.7723986400081841</v>
      </c>
      <c r="X120">
        <v>2.2748808589153242</v>
      </c>
      <c r="Y120">
        <v>0</v>
      </c>
      <c r="Z120">
        <v>0</v>
      </c>
      <c r="AA120">
        <v>2337.6598158571201</v>
      </c>
      <c r="AB120">
        <v>1918.15761738117</v>
      </c>
      <c r="AC120">
        <f t="shared" si="10"/>
        <v>0.40397251899527631</v>
      </c>
      <c r="AD120">
        <f t="shared" si="11"/>
        <v>0.36604518252460178</v>
      </c>
      <c r="AE120">
        <f t="shared" si="12"/>
        <v>0.90611406794451277</v>
      </c>
      <c r="AF120">
        <f t="shared" si="13"/>
        <v>3.7927336470674582E-2</v>
      </c>
      <c r="AG120">
        <f t="shared" si="14"/>
        <v>9.3885932055487342E-2</v>
      </c>
      <c r="AH120">
        <f t="shared" si="15"/>
        <v>0.59602748100472358</v>
      </c>
      <c r="AI120">
        <f t="shared" si="16"/>
        <v>-2.994268788047611E-4</v>
      </c>
      <c r="AJ120">
        <f t="shared" si="17"/>
        <v>1.0002994268788055</v>
      </c>
      <c r="AK120">
        <f t="shared" si="18"/>
        <v>3.8155957146525719E-2</v>
      </c>
      <c r="AL120">
        <f t="shared" si="19"/>
        <v>4.6500687403768663E-2</v>
      </c>
    </row>
    <row r="121" spans="1:38" x14ac:dyDescent="0.35">
      <c r="A121" t="s">
        <v>33</v>
      </c>
      <c r="B121" t="s">
        <v>69</v>
      </c>
      <c r="C121">
        <v>227.24510700030919</v>
      </c>
      <c r="D121">
        <v>42.258318536499011</v>
      </c>
      <c r="E121">
        <v>184.9867884638102</v>
      </c>
      <c r="F121">
        <v>0.749897294020343</v>
      </c>
      <c r="G121">
        <v>0.4528225967738137</v>
      </c>
      <c r="H121">
        <v>0</v>
      </c>
      <c r="I121">
        <v>0.4528225967738137</v>
      </c>
      <c r="J121">
        <v>264.23338464211298</v>
      </c>
      <c r="K121">
        <v>4.978714949146438</v>
      </c>
      <c r="L121">
        <v>4.2676321756965621</v>
      </c>
      <c r="M121">
        <v>0.92583785411570318</v>
      </c>
      <c r="N121">
        <v>0.79360546969643764</v>
      </c>
      <c r="O121">
        <v>4.052877095030734</v>
      </c>
      <c r="P121">
        <v>3.474026706000124</v>
      </c>
      <c r="Q121">
        <v>1.6429506084188299E-2</v>
      </c>
      <c r="R121">
        <v>1.40829691018362E-2</v>
      </c>
      <c r="S121">
        <v>9.9208940585281992E-3</v>
      </c>
      <c r="T121">
        <v>8.5039467268783007E-3</v>
      </c>
      <c r="U121">
        <v>0</v>
      </c>
      <c r="V121">
        <v>0</v>
      </c>
      <c r="W121">
        <v>9.9208940585281992E-3</v>
      </c>
      <c r="X121">
        <v>8.5039467268783007E-3</v>
      </c>
      <c r="Y121">
        <v>5.7890914332402303</v>
      </c>
      <c r="Z121">
        <v>4.9622669947756144</v>
      </c>
      <c r="AA121">
        <v>5324.8522282316499</v>
      </c>
      <c r="AB121">
        <v>4564.3325500944502</v>
      </c>
      <c r="AC121">
        <f t="shared" si="10"/>
        <v>0.99801130121132375</v>
      </c>
      <c r="AD121">
        <f t="shared" si="11"/>
        <v>0.81242191701588506</v>
      </c>
      <c r="AE121">
        <f t="shared" si="12"/>
        <v>0.81404079896672321</v>
      </c>
      <c r="AF121">
        <f t="shared" si="13"/>
        <v>0.1855893841954388</v>
      </c>
      <c r="AG121">
        <f t="shared" si="14"/>
        <v>0.18595920103327687</v>
      </c>
      <c r="AH121">
        <f t="shared" si="15"/>
        <v>1.9886987886762707E-3</v>
      </c>
      <c r="AI121">
        <f t="shared" si="16"/>
        <v>0</v>
      </c>
      <c r="AJ121">
        <f t="shared" si="17"/>
        <v>1</v>
      </c>
      <c r="AK121">
        <f t="shared" si="18"/>
        <v>4.27613612242344E-2</v>
      </c>
      <c r="AL121">
        <f t="shared" si="19"/>
        <v>4.9886358432049659E-2</v>
      </c>
    </row>
    <row r="122" spans="1:38" x14ac:dyDescent="0.35">
      <c r="A122" t="s">
        <v>34</v>
      </c>
      <c r="B122" t="s">
        <v>69</v>
      </c>
      <c r="C122">
        <v>0.70983413309792809</v>
      </c>
      <c r="D122">
        <v>5.4602625622916998E-2</v>
      </c>
      <c r="E122">
        <v>0.65523150747500836</v>
      </c>
      <c r="F122">
        <v>0.353311106971816</v>
      </c>
      <c r="G122">
        <v>0.75908356013035672</v>
      </c>
      <c r="H122">
        <v>0</v>
      </c>
      <c r="I122">
        <v>0.75908356013035672</v>
      </c>
      <c r="J122">
        <v>1.338299647620516</v>
      </c>
      <c r="K122">
        <v>4.3331529487037099E-2</v>
      </c>
      <c r="L122">
        <v>3.2915423510035499E-2</v>
      </c>
      <c r="M122">
        <v>3.3331945759259001E-3</v>
      </c>
      <c r="N122">
        <v>2.5319556546181E-3</v>
      </c>
      <c r="O122">
        <v>3.9998334911111003E-2</v>
      </c>
      <c r="P122">
        <v>3.0383467855417099E-2</v>
      </c>
      <c r="Q122">
        <v>2.1567729608932398E-2</v>
      </c>
      <c r="R122">
        <v>1.6383242471058601E-2</v>
      </c>
      <c r="S122">
        <v>4.6337940281009703E-2</v>
      </c>
      <c r="T122">
        <v>3.5199148218122603E-2</v>
      </c>
      <c r="U122">
        <v>0</v>
      </c>
      <c r="V122">
        <v>0</v>
      </c>
      <c r="W122">
        <v>4.6337940281009703E-2</v>
      </c>
      <c r="X122">
        <v>3.5199148218122603E-2</v>
      </c>
      <c r="Y122">
        <v>8.1695945488379801E-2</v>
      </c>
      <c r="Z122">
        <v>6.2057736632796699E-2</v>
      </c>
      <c r="AA122">
        <v>2156.5395714307001</v>
      </c>
      <c r="AB122">
        <v>1638.14696019506</v>
      </c>
      <c r="AC122">
        <f t="shared" si="10"/>
        <v>0.48323615160350081</v>
      </c>
      <c r="AD122">
        <f t="shared" si="11"/>
        <v>0.44606413994169153</v>
      </c>
      <c r="AE122">
        <f t="shared" si="12"/>
        <v>0.92307692307692002</v>
      </c>
      <c r="AF122">
        <f t="shared" si="13"/>
        <v>3.7172011661807378E-2</v>
      </c>
      <c r="AG122">
        <f t="shared" si="14"/>
        <v>7.692307692307615E-2</v>
      </c>
      <c r="AH122">
        <f t="shared" si="15"/>
        <v>0.51676384839649925</v>
      </c>
      <c r="AI122">
        <f t="shared" si="16"/>
        <v>0</v>
      </c>
      <c r="AJ122">
        <f t="shared" si="17"/>
        <v>1</v>
      </c>
      <c r="AK122">
        <f t="shared" si="18"/>
        <v>6.8114571728158436E-4</v>
      </c>
      <c r="AL122">
        <f t="shared" si="19"/>
        <v>8.9669469768046664E-4</v>
      </c>
    </row>
    <row r="123" spans="1:38" x14ac:dyDescent="0.35">
      <c r="A123" t="s">
        <v>35</v>
      </c>
      <c r="B123" t="s">
        <v>69</v>
      </c>
      <c r="C123">
        <v>8.919494114882724</v>
      </c>
      <c r="D123">
        <v>-1.0503963879287279</v>
      </c>
      <c r="E123">
        <v>9.9698905028114524</v>
      </c>
      <c r="F123">
        <v>0.614662243343852</v>
      </c>
      <c r="G123">
        <v>6.8486823031478536</v>
      </c>
      <c r="H123">
        <v>4.1453482675033501E-2</v>
      </c>
      <c r="I123">
        <v>6.8072288204728011</v>
      </c>
      <c r="J123">
        <v>-4.8979840922594699E-2</v>
      </c>
      <c r="K123">
        <v>0.67371927964275846</v>
      </c>
      <c r="L123">
        <v>0.49648519958912501</v>
      </c>
      <c r="M123">
        <v>-7.9339959049236103E-2</v>
      </c>
      <c r="N123">
        <v>-5.8468143326461199E-2</v>
      </c>
      <c r="O123">
        <v>0.75305923869199454</v>
      </c>
      <c r="P123">
        <v>0.5549533429155864</v>
      </c>
      <c r="Q123">
        <v>4.6427498967486699E-2</v>
      </c>
      <c r="R123">
        <v>3.4213903012422497E-2</v>
      </c>
      <c r="S123">
        <v>0.51730392423040783</v>
      </c>
      <c r="T123">
        <v>0.38121774132092229</v>
      </c>
      <c r="U123">
        <v>3.131120456698E-3</v>
      </c>
      <c r="V123">
        <v>2.3074224114612999E-3</v>
      </c>
      <c r="W123">
        <v>0.514172803773711</v>
      </c>
      <c r="X123">
        <v>0.37891031890946181</v>
      </c>
      <c r="Y123">
        <v>-3.6996115158960999E-3</v>
      </c>
      <c r="Z123">
        <v>-2.7263615831890999E-3</v>
      </c>
      <c r="AA123">
        <v>1796.5276955414199</v>
      </c>
      <c r="AB123">
        <v>1323.9184901480501</v>
      </c>
      <c r="AC123">
        <f t="shared" si="10"/>
        <v>0.56566427711218847</v>
      </c>
      <c r="AD123">
        <f t="shared" si="11"/>
        <v>0.63227923372363415</v>
      </c>
      <c r="AE123">
        <f t="shared" si="12"/>
        <v>1.1177641214176124</v>
      </c>
      <c r="AF123">
        <f t="shared" si="13"/>
        <v>-6.6614956611445675E-2</v>
      </c>
      <c r="AG123">
        <f t="shared" si="14"/>
        <v>-0.11776412141761235</v>
      </c>
      <c r="AH123">
        <f t="shared" si="15"/>
        <v>0.43433572288781153</v>
      </c>
      <c r="AI123">
        <f t="shared" si="16"/>
        <v>6.0527676478700542E-3</v>
      </c>
      <c r="AJ123">
        <f t="shared" si="17"/>
        <v>0.99394723235212712</v>
      </c>
      <c r="AK123">
        <f t="shared" si="18"/>
        <v>8.7770294091004918E-3</v>
      </c>
      <c r="AL123">
        <f t="shared" si="19"/>
        <v>1.1910232038731679E-2</v>
      </c>
    </row>
    <row r="124" spans="1:38" x14ac:dyDescent="0.35">
      <c r="A124" t="s">
        <v>36</v>
      </c>
      <c r="B124" t="s">
        <v>69</v>
      </c>
      <c r="C124">
        <v>199.1047307379088</v>
      </c>
      <c r="D124">
        <v>103.96143780860361</v>
      </c>
      <c r="E124">
        <v>95.143292929305247</v>
      </c>
      <c r="F124">
        <v>3.838457100350162</v>
      </c>
      <c r="G124">
        <v>-0.29967103393948941</v>
      </c>
      <c r="H124">
        <v>-8.7880068603979995E-4</v>
      </c>
      <c r="I124">
        <v>-0.29879223325349358</v>
      </c>
      <c r="J124">
        <v>0</v>
      </c>
      <c r="K124">
        <v>6.3059947144265589</v>
      </c>
      <c r="L124">
        <v>6.7676927283776473</v>
      </c>
      <c r="M124">
        <v>3.2926403852664432</v>
      </c>
      <c r="N124">
        <v>3.5337134586476822</v>
      </c>
      <c r="O124">
        <v>3.0133543291601161</v>
      </c>
      <c r="P124">
        <v>3.2339792697299639</v>
      </c>
      <c r="Q124">
        <v>0.12157064323209781</v>
      </c>
      <c r="R124">
        <v>0.1304715267686169</v>
      </c>
      <c r="S124">
        <v>-9.4911052544333005E-3</v>
      </c>
      <c r="T124">
        <v>-1.01860034655185E-2</v>
      </c>
      <c r="U124">
        <v>-2.7833153238815411E-5</v>
      </c>
      <c r="V124">
        <v>-2.9870977904758459E-5</v>
      </c>
      <c r="W124">
        <v>-9.4632721011950992E-3</v>
      </c>
      <c r="X124">
        <v>-1.0156132487614E-2</v>
      </c>
      <c r="Y124">
        <v>0</v>
      </c>
      <c r="Z124">
        <v>0</v>
      </c>
      <c r="AA124">
        <v>2941.9883367789698</v>
      </c>
      <c r="AB124">
        <v>3157.38816403392</v>
      </c>
      <c r="AC124">
        <f t="shared" si="10"/>
        <v>1.0015073612029075</v>
      </c>
      <c r="AD124">
        <f t="shared" si="11"/>
        <v>0.47857581226040413</v>
      </c>
      <c r="AE124">
        <f t="shared" si="12"/>
        <v>0.47785551140192128</v>
      </c>
      <c r="AF124">
        <f t="shared" si="13"/>
        <v>0.52293154894250371</v>
      </c>
      <c r="AG124">
        <f t="shared" si="14"/>
        <v>0.52214448859807894</v>
      </c>
      <c r="AH124">
        <f t="shared" si="15"/>
        <v>-1.5073612029075849E-3</v>
      </c>
      <c r="AI124">
        <f t="shared" si="16"/>
        <v>2.9325513196489001E-3</v>
      </c>
      <c r="AJ124">
        <f t="shared" si="17"/>
        <v>0.99706744868049779</v>
      </c>
      <c r="AK124">
        <f t="shared" si="18"/>
        <v>6.7575067249121268E-2</v>
      </c>
      <c r="AL124">
        <f t="shared" si="19"/>
        <v>6.2965036091721258E-2</v>
      </c>
    </row>
    <row r="125" spans="1:38" x14ac:dyDescent="0.35">
      <c r="A125" t="s">
        <v>37</v>
      </c>
      <c r="B125" t="s">
        <v>69</v>
      </c>
      <c r="C125">
        <v>1054.3</v>
      </c>
      <c r="D125">
        <v>179.8</v>
      </c>
      <c r="E125">
        <v>874.5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5.2902870798831074</v>
      </c>
      <c r="L125">
        <v>5.2783053488644818</v>
      </c>
      <c r="M125">
        <v>0.90220394286539163</v>
      </c>
      <c r="N125">
        <v>0.90016058211688743</v>
      </c>
      <c r="O125">
        <v>4.3880831370177162</v>
      </c>
      <c r="P125">
        <v>4.3781447667475959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19974.2138871676</v>
      </c>
      <c r="AB125">
        <v>19928.975197</v>
      </c>
      <c r="AC125">
        <f t="shared" si="10"/>
        <v>1</v>
      </c>
      <c r="AD125">
        <f t="shared" si="11"/>
        <v>0.82946030541591576</v>
      </c>
      <c r="AE125">
        <f t="shared" si="12"/>
        <v>0.82946030541591576</v>
      </c>
      <c r="AF125">
        <f t="shared" si="13"/>
        <v>0.17053969458408424</v>
      </c>
      <c r="AG125">
        <f t="shared" si="14"/>
        <v>0.17053969458408424</v>
      </c>
      <c r="AH125">
        <f t="shared" si="15"/>
        <v>0</v>
      </c>
      <c r="AI125">
        <v>0</v>
      </c>
      <c r="AJ125">
        <v>0</v>
      </c>
      <c r="AK125">
        <f t="shared" si="18"/>
        <v>5.2783053488644836E-2</v>
      </c>
      <c r="AL125">
        <f t="shared" si="19"/>
        <v>5.2902870798831068E-2</v>
      </c>
    </row>
    <row r="126" spans="1:38" x14ac:dyDescent="0.35">
      <c r="A126" t="s">
        <v>38</v>
      </c>
      <c r="B126" t="s">
        <v>69</v>
      </c>
      <c r="C126">
        <v>0.48248815777999438</v>
      </c>
      <c r="D126">
        <v>0.51497751595394803</v>
      </c>
      <c r="E126">
        <v>-3.2489358173953597E-2</v>
      </c>
      <c r="F126">
        <v>2.1931635457429031</v>
      </c>
      <c r="G126">
        <v>1.254832181317395</v>
      </c>
      <c r="H126">
        <v>0.10436173005807831</v>
      </c>
      <c r="I126">
        <v>1.150470451259316</v>
      </c>
      <c r="J126">
        <v>7.6165976297277194</v>
      </c>
      <c r="K126">
        <v>3.7719396269809198E-2</v>
      </c>
      <c r="L126">
        <v>2.0258417507762201E-2</v>
      </c>
      <c r="M126">
        <v>4.0259311407112801E-2</v>
      </c>
      <c r="N126">
        <v>2.1622560796740801E-2</v>
      </c>
      <c r="O126">
        <v>-2.5399151373036001E-3</v>
      </c>
      <c r="P126">
        <v>-1.3641432889784999E-3</v>
      </c>
      <c r="Q126">
        <v>0.17145458086889959</v>
      </c>
      <c r="R126">
        <v>9.2085208840966604E-2</v>
      </c>
      <c r="S126">
        <v>9.8098806231845803E-2</v>
      </c>
      <c r="T126">
        <v>5.2687125728161997E-2</v>
      </c>
      <c r="U126">
        <v>8.1586695714477003E-3</v>
      </c>
      <c r="V126">
        <v>4.3818764569822999E-3</v>
      </c>
      <c r="W126">
        <v>8.9940136660398004E-2</v>
      </c>
      <c r="X126">
        <v>4.8305249271179698E-2</v>
      </c>
      <c r="Y126">
        <v>0.59544148305167344</v>
      </c>
      <c r="Z126">
        <v>0.31980104026100231</v>
      </c>
      <c r="AA126">
        <v>2381.6675591522499</v>
      </c>
      <c r="AB126">
        <v>1279.1513266244399</v>
      </c>
      <c r="AC126">
        <f t="shared" si="10"/>
        <v>0.27771974282570544</v>
      </c>
      <c r="AD126">
        <f t="shared" si="11"/>
        <v>-1.8700844883237353E-2</v>
      </c>
      <c r="AE126">
        <f t="shared" si="12"/>
        <v>-6.7337110041088596E-2</v>
      </c>
      <c r="AF126">
        <f t="shared" si="13"/>
        <v>0.29642058770894281</v>
      </c>
      <c r="AG126">
        <f t="shared" si="14"/>
        <v>1.0673371100410887</v>
      </c>
      <c r="AH126">
        <f t="shared" si="15"/>
        <v>0.72228025717429456</v>
      </c>
      <c r="AI126">
        <f t="shared" si="16"/>
        <v>8.3167878232540515E-2</v>
      </c>
      <c r="AJ126">
        <f t="shared" si="17"/>
        <v>0.91683212176745887</v>
      </c>
      <c r="AK126">
        <f t="shared" si="18"/>
        <v>7.2945543235924384E-4</v>
      </c>
      <c r="AL126">
        <f t="shared" si="19"/>
        <v>1.358182025016551E-3</v>
      </c>
    </row>
    <row r="127" spans="1:38" x14ac:dyDescent="0.35">
      <c r="A127" t="s">
        <v>39</v>
      </c>
      <c r="B127" t="s">
        <v>69</v>
      </c>
      <c r="C127">
        <v>2.706739027069029</v>
      </c>
      <c r="D127">
        <v>6.3428250262197894E-2</v>
      </c>
      <c r="E127">
        <v>2.6433107768068318</v>
      </c>
      <c r="F127">
        <v>0.24881411564098421</v>
      </c>
      <c r="G127">
        <v>-22.6690210199828</v>
      </c>
      <c r="H127">
        <v>8.8709204053682503E-2</v>
      </c>
      <c r="I127">
        <v>-22.757730224036489</v>
      </c>
      <c r="J127">
        <v>2.230995755846735</v>
      </c>
      <c r="K127">
        <v>0.2714737862550583</v>
      </c>
      <c r="L127">
        <v>0.1159807298115369</v>
      </c>
      <c r="M127">
        <v>6.3615690622593002E-3</v>
      </c>
      <c r="N127">
        <v>2.7178293446502998E-3</v>
      </c>
      <c r="O127">
        <v>0.26511221719279898</v>
      </c>
      <c r="P127">
        <v>0.1132629004668866</v>
      </c>
      <c r="Q127">
        <v>2.4954940011303699E-2</v>
      </c>
      <c r="R127">
        <v>1.06614056363985E-2</v>
      </c>
      <c r="S127">
        <v>-2.27360115084833</v>
      </c>
      <c r="T127">
        <v>-0.97134211156575756</v>
      </c>
      <c r="U127">
        <v>8.8971353570804993E-3</v>
      </c>
      <c r="V127">
        <v>3.8010898443680001E-3</v>
      </c>
      <c r="W127">
        <v>-2.2824982862054122</v>
      </c>
      <c r="X127">
        <v>-0.975143201410126</v>
      </c>
      <c r="Y127">
        <v>0.22375886958504049</v>
      </c>
      <c r="Z127">
        <v>9.5595664518028298E-2</v>
      </c>
      <c r="AA127">
        <v>2333.7834064911899</v>
      </c>
      <c r="AB127">
        <v>997.05355143423003</v>
      </c>
      <c r="AC127">
        <f t="shared" si="10"/>
        <v>-0.13559266560956656</v>
      </c>
      <c r="AD127">
        <f t="shared" si="11"/>
        <v>-0.1324152608276527</v>
      </c>
      <c r="AE127">
        <f t="shared" si="12"/>
        <v>0.97656654386408281</v>
      </c>
      <c r="AF127">
        <f t="shared" si="13"/>
        <v>-3.1774047819138973E-3</v>
      </c>
      <c r="AG127">
        <f t="shared" si="14"/>
        <v>2.3433456135917421E-2</v>
      </c>
      <c r="AH127">
        <f t="shared" si="15"/>
        <v>1.1355926656095667</v>
      </c>
      <c r="AI127">
        <f t="shared" si="16"/>
        <v>-3.9132348933588754E-3</v>
      </c>
      <c r="AJ127">
        <f t="shared" si="17"/>
        <v>1.0039132348933593</v>
      </c>
      <c r="AK127">
        <f t="shared" si="18"/>
        <v>-8.5536138175422091E-3</v>
      </c>
      <c r="AL127">
        <f t="shared" si="19"/>
        <v>-2.0021273645932716E-2</v>
      </c>
    </row>
    <row r="128" spans="1:38" x14ac:dyDescent="0.35">
      <c r="A128" t="s">
        <v>40</v>
      </c>
      <c r="B128" t="s">
        <v>69</v>
      </c>
      <c r="C128">
        <v>-0.15673549095230749</v>
      </c>
      <c r="D128">
        <v>-8.8163713660671002E-3</v>
      </c>
      <c r="E128">
        <v>-0.14791911958624121</v>
      </c>
      <c r="F128">
        <v>0</v>
      </c>
      <c r="G128">
        <v>-4.4081856830334901E-2</v>
      </c>
      <c r="H128">
        <v>0</v>
      </c>
      <c r="I128">
        <v>-4.4081856830334901E-2</v>
      </c>
      <c r="J128">
        <v>0</v>
      </c>
      <c r="K128">
        <v>-3.7863429173517801E-2</v>
      </c>
      <c r="L128">
        <v>-3.3447667807116901E-2</v>
      </c>
      <c r="M128">
        <v>-2.1298178910102998E-3</v>
      </c>
      <c r="N128">
        <v>-1.8814313141501001E-3</v>
      </c>
      <c r="O128">
        <v>-3.5733611282507703E-2</v>
      </c>
      <c r="P128">
        <v>-3.1566236492966297E-2</v>
      </c>
      <c r="Q128">
        <v>0</v>
      </c>
      <c r="R128">
        <v>0</v>
      </c>
      <c r="S128">
        <v>-1.06490894550512E-2</v>
      </c>
      <c r="T128">
        <v>-9.4071565707508995E-3</v>
      </c>
      <c r="U128">
        <v>0</v>
      </c>
      <c r="V128">
        <v>0</v>
      </c>
      <c r="W128">
        <v>-1.06490894550512E-2</v>
      </c>
      <c r="X128">
        <v>-9.4071565707508995E-3</v>
      </c>
      <c r="Y128">
        <v>0</v>
      </c>
      <c r="Z128">
        <v>0</v>
      </c>
      <c r="AA128">
        <v>468.59916169988998</v>
      </c>
      <c r="AB128">
        <v>413.94954015926999</v>
      </c>
      <c r="AC128">
        <f t="shared" si="10"/>
        <v>0.78048780487805502</v>
      </c>
      <c r="AD128">
        <f t="shared" si="11"/>
        <v>0.7365853658536694</v>
      </c>
      <c r="AE128">
        <f t="shared" si="12"/>
        <v>0.94375000000000653</v>
      </c>
      <c r="AF128">
        <f t="shared" si="13"/>
        <v>4.3902439024389617E-2</v>
      </c>
      <c r="AG128">
        <f t="shared" si="14"/>
        <v>5.6249999999998752E-2</v>
      </c>
      <c r="AH128">
        <f t="shared" si="15"/>
        <v>0.21951219512194509</v>
      </c>
      <c r="AI128">
        <f t="shared" si="16"/>
        <v>0</v>
      </c>
      <c r="AJ128">
        <f t="shared" si="17"/>
        <v>1</v>
      </c>
      <c r="AK128">
        <f t="shared" si="18"/>
        <v>-4.2854824377866474E-4</v>
      </c>
      <c r="AL128">
        <f t="shared" si="19"/>
        <v>-4.8512518628569194E-4</v>
      </c>
    </row>
    <row r="129" spans="1:38" x14ac:dyDescent="0.35">
      <c r="A129" t="s">
        <v>41</v>
      </c>
      <c r="B129" t="s">
        <v>69</v>
      </c>
      <c r="C129">
        <v>16.64724725671066</v>
      </c>
      <c r="D129">
        <v>5.4475010377742272</v>
      </c>
      <c r="E129">
        <v>11.199746218936429</v>
      </c>
      <c r="F129">
        <v>-2.6968633951647489</v>
      </c>
      <c r="G129">
        <v>-0.37390929665895811</v>
      </c>
      <c r="H129">
        <v>-0.1192141238614583</v>
      </c>
      <c r="I129">
        <v>-0.25469517279749709</v>
      </c>
      <c r="J129">
        <v>0</v>
      </c>
      <c r="K129">
        <v>3.3620104008685532</v>
      </c>
      <c r="L129">
        <v>2.9977649381601279</v>
      </c>
      <c r="M129">
        <v>1.100155170720879</v>
      </c>
      <c r="N129">
        <v>0.98096263963686803</v>
      </c>
      <c r="O129">
        <v>2.2618552301476749</v>
      </c>
      <c r="P129">
        <v>2.0168022985232601</v>
      </c>
      <c r="Q129">
        <v>-0.54464757112384632</v>
      </c>
      <c r="R129">
        <v>-0.48563960181305132</v>
      </c>
      <c r="S129">
        <v>-7.5513201970499794E-2</v>
      </c>
      <c r="T129">
        <v>-6.73319836181622E-2</v>
      </c>
      <c r="U129">
        <v>-2.4075999963963299E-2</v>
      </c>
      <c r="V129">
        <v>-2.1467568489516899E-2</v>
      </c>
      <c r="W129">
        <v>-5.1437202006535898E-2</v>
      </c>
      <c r="X129">
        <v>-4.5864415128646002E-2</v>
      </c>
      <c r="Y129">
        <v>0</v>
      </c>
      <c r="Z129">
        <v>0</v>
      </c>
      <c r="AA129">
        <v>555.32196820367994</v>
      </c>
      <c r="AB129">
        <v>495.15751802582002</v>
      </c>
      <c r="AC129">
        <f t="shared" si="10"/>
        <v>1.0229768039953968</v>
      </c>
      <c r="AD129">
        <f t="shared" si="11"/>
        <v>0.68822673298065318</v>
      </c>
      <c r="AE129">
        <f t="shared" si="12"/>
        <v>0.67276865936028596</v>
      </c>
      <c r="AF129">
        <f t="shared" si="13"/>
        <v>0.33475007101474341</v>
      </c>
      <c r="AG129">
        <f t="shared" si="14"/>
        <v>0.32723134063971382</v>
      </c>
      <c r="AH129">
        <f t="shared" si="15"/>
        <v>-2.2976803995396786E-2</v>
      </c>
      <c r="AI129">
        <f t="shared" si="16"/>
        <v>0.31883166566514459</v>
      </c>
      <c r="AJ129">
        <f t="shared" si="17"/>
        <v>0.68116833433484814</v>
      </c>
      <c r="AK129">
        <f t="shared" si="18"/>
        <v>2.9304329545419672E-2</v>
      </c>
      <c r="AL129">
        <f t="shared" si="19"/>
        <v>3.2864971988980543E-2</v>
      </c>
    </row>
    <row r="130" spans="1:38" x14ac:dyDescent="0.35">
      <c r="A130" t="s">
        <v>42</v>
      </c>
      <c r="B130" t="s">
        <v>69</v>
      </c>
      <c r="C130">
        <v>2.4930645985307538</v>
      </c>
      <c r="D130">
        <v>0.32729011819604897</v>
      </c>
      <c r="E130">
        <v>2.1657744803347061</v>
      </c>
      <c r="F130">
        <v>-3.1076018610880201E-2</v>
      </c>
      <c r="G130">
        <v>-0.25641147142569309</v>
      </c>
      <c r="H130">
        <v>-4.9722637971639995E-4</v>
      </c>
      <c r="I130">
        <v>-0.25591424504597882</v>
      </c>
      <c r="J130">
        <v>0</v>
      </c>
      <c r="K130">
        <v>1.1561215823126889</v>
      </c>
      <c r="L130">
        <v>0.61195135498629538</v>
      </c>
      <c r="M130">
        <v>0.15177591850091621</v>
      </c>
      <c r="N130">
        <v>8.0337120595162903E-2</v>
      </c>
      <c r="O130">
        <v>1.0043456638117729</v>
      </c>
      <c r="P130">
        <v>0.53161423439113231</v>
      </c>
      <c r="Q130">
        <v>-1.4411040864951E-2</v>
      </c>
      <c r="R130">
        <v>-7.6279658809140999E-3</v>
      </c>
      <c r="S130">
        <v>-0.1189070015444073</v>
      </c>
      <c r="T130">
        <v>-6.2939142237013301E-2</v>
      </c>
      <c r="U130">
        <v>-2.3058132918980001E-4</v>
      </c>
      <c r="V130">
        <v>-1.220499288232E-4</v>
      </c>
      <c r="W130">
        <v>-0.11867642021521969</v>
      </c>
      <c r="X130">
        <v>-6.2817092308188494E-2</v>
      </c>
      <c r="Y130">
        <v>0</v>
      </c>
      <c r="Z130">
        <v>0</v>
      </c>
      <c r="AA130">
        <v>407.39587848230002</v>
      </c>
      <c r="AB130">
        <v>215.64034757863999</v>
      </c>
      <c r="AC130">
        <f t="shared" si="10"/>
        <v>1.1146406961000568</v>
      </c>
      <c r="AD130">
        <f t="shared" si="11"/>
        <v>0.96831039828598986</v>
      </c>
      <c r="AE130">
        <f t="shared" si="12"/>
        <v>0.86871976025453546</v>
      </c>
      <c r="AF130">
        <f t="shared" si="13"/>
        <v>0.14633029781406753</v>
      </c>
      <c r="AG130">
        <f t="shared" si="14"/>
        <v>0.13128023974546507</v>
      </c>
      <c r="AH130">
        <f t="shared" si="15"/>
        <v>-0.11464069610005685</v>
      </c>
      <c r="AI130">
        <f t="shared" si="16"/>
        <v>1.9391736920026761E-3</v>
      </c>
      <c r="AJ130">
        <f t="shared" si="17"/>
        <v>0.99806082630800563</v>
      </c>
      <c r="AK130">
        <f t="shared" si="18"/>
        <v>5.4901221274928427E-3</v>
      </c>
      <c r="AL130">
        <f t="shared" si="19"/>
        <v>1.0372145807682838E-2</v>
      </c>
    </row>
    <row r="131" spans="1:38" x14ac:dyDescent="0.35">
      <c r="A131" t="s">
        <v>43</v>
      </c>
      <c r="B131" t="s">
        <v>69</v>
      </c>
      <c r="C131">
        <v>-13.901541641016699</v>
      </c>
      <c r="D131">
        <v>-9.3165876622044994E-5</v>
      </c>
      <c r="E131">
        <v>-13.90144847514008</v>
      </c>
      <c r="F131">
        <v>-2.0426618449381002E-2</v>
      </c>
      <c r="G131">
        <v>-15.907093829902591</v>
      </c>
      <c r="H131">
        <v>-0.28382197792848268</v>
      </c>
      <c r="I131">
        <v>-15.62327185197411</v>
      </c>
      <c r="J131">
        <v>0</v>
      </c>
      <c r="K131">
        <v>-4.1796257792179414</v>
      </c>
      <c r="L131">
        <v>-4.4690359761759257</v>
      </c>
      <c r="M131">
        <v>-2.8011173848804801E-5</v>
      </c>
      <c r="N131">
        <v>-2.9950754033447599E-5</v>
      </c>
      <c r="O131">
        <v>-4.1795977680440934</v>
      </c>
      <c r="P131">
        <v>-4.4690060254218924</v>
      </c>
      <c r="Q131">
        <v>-6.1414498663516E-3</v>
      </c>
      <c r="R131">
        <v>-6.5667028218339002E-3</v>
      </c>
      <c r="S131">
        <v>-4.7826134079786158</v>
      </c>
      <c r="T131">
        <v>-5.1137763305683004</v>
      </c>
      <c r="U131">
        <v>-8.5333676385819596E-2</v>
      </c>
      <c r="V131">
        <v>-9.1242443676127202E-2</v>
      </c>
      <c r="W131">
        <v>-4.697279731592797</v>
      </c>
      <c r="X131">
        <v>-5.0225338868921714</v>
      </c>
      <c r="Y131">
        <v>0</v>
      </c>
      <c r="Z131">
        <v>0</v>
      </c>
      <c r="AA131">
        <v>311.06354290107998</v>
      </c>
      <c r="AB131">
        <v>332.60254327404999</v>
      </c>
      <c r="AC131">
        <f t="shared" ref="AC131:AC194" si="20">C131/(C131+G131)</f>
        <v>0.46635954385026329</v>
      </c>
      <c r="AD131">
        <f t="shared" ref="AD131:AD194" si="21">(E131/(C131+G131))</f>
        <v>0.46635641838426506</v>
      </c>
      <c r="AE131">
        <f t="shared" ref="AE131:AE194" si="22">(E131/C131)</f>
        <v>0.99999329816224525</v>
      </c>
      <c r="AF131">
        <f t="shared" ref="AF131:AF194" si="23">(D131/(C131+G131))</f>
        <v>3.1254659983660022E-6</v>
      </c>
      <c r="AG131">
        <f t="shared" ref="AG131:AG194" si="24">(D131/(C131))</f>
        <v>6.7018377549694007E-6</v>
      </c>
      <c r="AH131">
        <f t="shared" ref="AH131:AH194" si="25">(G131/(C131+G131))</f>
        <v>0.53364045614973665</v>
      </c>
      <c r="AI131">
        <f t="shared" ref="AI131:AI194" si="26">(H131/G131)</f>
        <v>1.7842478391304033E-2</v>
      </c>
      <c r="AJ131">
        <f t="shared" ref="AJ131:AJ194" si="27">I131/G131</f>
        <v>0.98215752160869607</v>
      </c>
      <c r="AK131">
        <f t="shared" ref="AK131:AK194" si="28">(C131+G131)/AA131</f>
        <v>-9.5828123067442234E-2</v>
      </c>
      <c r="AL131">
        <f t="shared" ref="AL131:AL194" si="29">(C131+G131)/AB131</f>
        <v>-8.9622391871965565E-2</v>
      </c>
    </row>
    <row r="132" spans="1:38" x14ac:dyDescent="0.35">
      <c r="A132" t="s">
        <v>44</v>
      </c>
      <c r="B132" t="s">
        <v>69</v>
      </c>
      <c r="C132">
        <v>-6.8806318739236001E-3</v>
      </c>
      <c r="D132">
        <v>-1.1265363412197001E-3</v>
      </c>
      <c r="E132">
        <v>-5.7540955327036996E-3</v>
      </c>
      <c r="F132">
        <v>0</v>
      </c>
      <c r="G132">
        <v>-5.6816615470212002E-3</v>
      </c>
      <c r="H132">
        <v>-4.2122663193432004E-3</v>
      </c>
      <c r="I132">
        <v>-1.4693952276778001E-3</v>
      </c>
      <c r="J132">
        <v>0</v>
      </c>
      <c r="K132">
        <v>-2.5582685845137999E-2</v>
      </c>
      <c r="L132">
        <v>-1.49867047706839E-2</v>
      </c>
      <c r="M132">
        <v>-4.1885434126735996E-3</v>
      </c>
      <c r="N132">
        <v>-2.4537088843962999E-3</v>
      </c>
      <c r="O132">
        <v>-2.1394142432464399E-2</v>
      </c>
      <c r="P132">
        <v>-1.2532995886287399E-2</v>
      </c>
      <c r="Q132">
        <v>0</v>
      </c>
      <c r="R132">
        <v>0</v>
      </c>
      <c r="S132">
        <v>-2.11248276465285E-2</v>
      </c>
      <c r="T132">
        <v>-1.2375227416955001E-2</v>
      </c>
      <c r="U132">
        <v>-1.5661510151737001E-2</v>
      </c>
      <c r="V132">
        <v>-9.1747375677426E-3</v>
      </c>
      <c r="W132">
        <v>-5.4633174947917003E-3</v>
      </c>
      <c r="X132">
        <v>-3.2004898492122998E-3</v>
      </c>
      <c r="Y132">
        <v>0</v>
      </c>
      <c r="Z132">
        <v>0</v>
      </c>
      <c r="AA132">
        <v>45.911572818750003</v>
      </c>
      <c r="AB132">
        <v>26.895658710639999</v>
      </c>
      <c r="AC132">
        <f t="shared" si="20"/>
        <v>0.54772099674504449</v>
      </c>
      <c r="AD132">
        <f t="shared" si="21"/>
        <v>0.45804498747896133</v>
      </c>
      <c r="AE132">
        <f t="shared" si="22"/>
        <v>0.83627428964928674</v>
      </c>
      <c r="AF132">
        <f t="shared" si="23"/>
        <v>8.9676009266067128E-2</v>
      </c>
      <c r="AG132">
        <f t="shared" si="24"/>
        <v>0.16372571035068409</v>
      </c>
      <c r="AH132">
        <f t="shared" si="25"/>
        <v>0.45227900325495557</v>
      </c>
      <c r="AI132">
        <f t="shared" si="26"/>
        <v>0.74137931034480942</v>
      </c>
      <c r="AJ132">
        <f t="shared" si="27"/>
        <v>0.25862068965515544</v>
      </c>
      <c r="AK132">
        <f t="shared" si="28"/>
        <v>-2.7361932187638835E-4</v>
      </c>
      <c r="AL132">
        <f t="shared" si="29"/>
        <v>-4.6707513491666672E-4</v>
      </c>
    </row>
    <row r="133" spans="1:38" x14ac:dyDescent="0.35">
      <c r="A133" t="s">
        <v>45</v>
      </c>
      <c r="B133" t="s">
        <v>69</v>
      </c>
      <c r="C133">
        <v>1.0519623383661809</v>
      </c>
      <c r="D133">
        <v>0.6196774981599118</v>
      </c>
      <c r="E133">
        <v>0.43228484020626912</v>
      </c>
      <c r="F133">
        <v>-7.7974502276702204E-2</v>
      </c>
      <c r="G133">
        <v>-7.5037116293415806E-2</v>
      </c>
      <c r="H133">
        <v>-1.1853121503268199E-2</v>
      </c>
      <c r="I133">
        <v>-6.31839947901493E-2</v>
      </c>
      <c r="J133">
        <v>-4.8979840922596003E-3</v>
      </c>
      <c r="K133">
        <v>0.41294855970658689</v>
      </c>
      <c r="L133">
        <v>0.41428510274810509</v>
      </c>
      <c r="M133">
        <v>0.24325484004033029</v>
      </c>
      <c r="N133">
        <v>0.24404215496401591</v>
      </c>
      <c r="O133">
        <v>0.1696937196662569</v>
      </c>
      <c r="P133">
        <v>0.17024294778408941</v>
      </c>
      <c r="Q133">
        <v>-3.0608945999922098E-2</v>
      </c>
      <c r="R133">
        <v>-3.07080144500297E-2</v>
      </c>
      <c r="S133">
        <v>-2.9455873055330699E-2</v>
      </c>
      <c r="T133">
        <v>-2.9551209487045101E-2</v>
      </c>
      <c r="U133">
        <v>-4.6529512267556002E-3</v>
      </c>
      <c r="V133">
        <v>-4.6680108980838003E-3</v>
      </c>
      <c r="W133">
        <v>-2.4802921828574499E-2</v>
      </c>
      <c r="X133">
        <v>-2.4883198588961201E-2</v>
      </c>
      <c r="Y133">
        <v>-1.922707118494E-3</v>
      </c>
      <c r="Z133">
        <v>-1.9289301231751E-3</v>
      </c>
      <c r="AA133">
        <v>253.92231856471</v>
      </c>
      <c r="AB133">
        <v>254.7441596875</v>
      </c>
      <c r="AC133">
        <f t="shared" si="20"/>
        <v>1.0768094779395785</v>
      </c>
      <c r="AD133">
        <f t="shared" si="21"/>
        <v>0.44249532148333753</v>
      </c>
      <c r="AE133">
        <f t="shared" si="22"/>
        <v>0.41093185985884001</v>
      </c>
      <c r="AF133">
        <f t="shared" si="23"/>
        <v>0.6343141564562409</v>
      </c>
      <c r="AG133">
        <f t="shared" si="24"/>
        <v>0.58906814014115993</v>
      </c>
      <c r="AH133">
        <f t="shared" si="25"/>
        <v>-7.680947793957843E-2</v>
      </c>
      <c r="AI133">
        <f t="shared" si="26"/>
        <v>0.15796344647519805</v>
      </c>
      <c r="AJ133">
        <f t="shared" si="27"/>
        <v>0.84203655352482454</v>
      </c>
      <c r="AK133">
        <f t="shared" si="28"/>
        <v>3.8473389326106199E-3</v>
      </c>
      <c r="AL133">
        <f t="shared" si="29"/>
        <v>3.8349268665125815E-3</v>
      </c>
    </row>
    <row r="134" spans="1:38" x14ac:dyDescent="0.35">
      <c r="A134" t="s">
        <v>46</v>
      </c>
      <c r="B134" t="s">
        <v>69</v>
      </c>
      <c r="C134">
        <v>7.9529738437430826</v>
      </c>
      <c r="D134">
        <v>0.36466848586374179</v>
      </c>
      <c r="E134">
        <v>7.5883053578793396</v>
      </c>
      <c r="F134">
        <v>0.41954023295295251</v>
      </c>
      <c r="G134">
        <v>6.360550016758193</v>
      </c>
      <c r="H134">
        <v>6.41999440943819</v>
      </c>
      <c r="I134">
        <v>-5.9444392679996502E-2</v>
      </c>
      <c r="J134">
        <v>0</v>
      </c>
      <c r="K134">
        <v>3.9003710215667908</v>
      </c>
      <c r="L134">
        <v>2.6374108372741398</v>
      </c>
      <c r="M134">
        <v>0.1788440931263203</v>
      </c>
      <c r="N134">
        <v>0.12093345653161609</v>
      </c>
      <c r="O134">
        <v>3.7215269284404711</v>
      </c>
      <c r="P134">
        <v>2.5164773807425238</v>
      </c>
      <c r="Q134">
        <v>0.2057548030638211</v>
      </c>
      <c r="R134">
        <v>0.13913034027304899</v>
      </c>
      <c r="S134">
        <v>3.1193997935888671</v>
      </c>
      <c r="T134">
        <v>2.1093221070279422</v>
      </c>
      <c r="U134">
        <v>3.1485530626878351</v>
      </c>
      <c r="V134">
        <v>2.1290353977478338</v>
      </c>
      <c r="W134">
        <v>-2.9153269098967899E-2</v>
      </c>
      <c r="X134">
        <v>-1.97132907198918E-2</v>
      </c>
      <c r="Y134">
        <v>0</v>
      </c>
      <c r="Z134">
        <v>0</v>
      </c>
      <c r="AA134">
        <v>301.54474727050001</v>
      </c>
      <c r="AB134">
        <v>203.90300819506001</v>
      </c>
      <c r="AC134">
        <f t="shared" si="20"/>
        <v>0.5556265474003661</v>
      </c>
      <c r="AD134">
        <f t="shared" si="21"/>
        <v>0.5301493490935214</v>
      </c>
      <c r="AE134">
        <f t="shared" si="22"/>
        <v>0.95414690240045963</v>
      </c>
      <c r="AF134">
        <f t="shared" si="23"/>
        <v>2.5477198306844525E-2</v>
      </c>
      <c r="AG134">
        <f t="shared" si="24"/>
        <v>4.5853097599540184E-2</v>
      </c>
      <c r="AH134">
        <f t="shared" si="25"/>
        <v>0.44437345259963396</v>
      </c>
      <c r="AI134">
        <f t="shared" si="26"/>
        <v>1.0093457943925255</v>
      </c>
      <c r="AJ134">
        <f t="shared" si="27"/>
        <v>-9.3457943925254697E-3</v>
      </c>
      <c r="AK134">
        <f t="shared" si="28"/>
        <v>4.7467329443020817E-2</v>
      </c>
      <c r="AL134">
        <f t="shared" si="29"/>
        <v>7.0197708151556598E-2</v>
      </c>
    </row>
    <row r="135" spans="1:38" x14ac:dyDescent="0.35">
      <c r="A135" t="s">
        <v>47</v>
      </c>
      <c r="B135" t="s">
        <v>69</v>
      </c>
      <c r="C135">
        <v>2.62667508678592E-2</v>
      </c>
      <c r="D135">
        <v>2.8942786299298601E-2</v>
      </c>
      <c r="E135">
        <v>-2.6760354314394001E-3</v>
      </c>
      <c r="F135">
        <v>0</v>
      </c>
      <c r="G135">
        <v>-2.8565706996578001E-3</v>
      </c>
      <c r="H135">
        <v>0</v>
      </c>
      <c r="I135">
        <v>-2.8565706996578001E-3</v>
      </c>
      <c r="J135">
        <v>0</v>
      </c>
      <c r="K135">
        <v>0.1267088812672359</v>
      </c>
      <c r="L135">
        <v>0.13774479070298001</v>
      </c>
      <c r="M135">
        <v>0.1396178800792699</v>
      </c>
      <c r="N135">
        <v>0.15177811908347741</v>
      </c>
      <c r="O135">
        <v>-1.29089988120334E-2</v>
      </c>
      <c r="P135">
        <v>-1.40333283804974E-2</v>
      </c>
      <c r="Q135">
        <v>0</v>
      </c>
      <c r="R135">
        <v>0</v>
      </c>
      <c r="S135">
        <v>-1.3779887715664E-2</v>
      </c>
      <c r="T135">
        <v>-1.4980068723843901E-2</v>
      </c>
      <c r="U135">
        <v>0</v>
      </c>
      <c r="V135">
        <v>0</v>
      </c>
      <c r="W135">
        <v>-1.3779887715664E-2</v>
      </c>
      <c r="X135">
        <v>-1.4980068723843901E-2</v>
      </c>
      <c r="Y135">
        <v>0</v>
      </c>
      <c r="Z135">
        <v>0</v>
      </c>
      <c r="AA135">
        <v>19.06914282116</v>
      </c>
      <c r="AB135">
        <v>20.729999827290001</v>
      </c>
      <c r="AC135">
        <f t="shared" si="20"/>
        <v>1.1220225850093177</v>
      </c>
      <c r="AD135">
        <f t="shared" si="21"/>
        <v>-0.11431075763672773</v>
      </c>
      <c r="AE135">
        <f t="shared" si="22"/>
        <v>-0.10187919491458226</v>
      </c>
      <c r="AF135">
        <f t="shared" si="23"/>
        <v>1.2363333426460454</v>
      </c>
      <c r="AG135">
        <f t="shared" si="24"/>
        <v>1.1018791949145823</v>
      </c>
      <c r="AH135">
        <f t="shared" si="25"/>
        <v>-0.12202258500931776</v>
      </c>
      <c r="AI135">
        <f t="shared" si="26"/>
        <v>0</v>
      </c>
      <c r="AJ135">
        <f t="shared" si="27"/>
        <v>1</v>
      </c>
      <c r="AK135">
        <f t="shared" si="28"/>
        <v>1.2276472197913575E-3</v>
      </c>
      <c r="AL135">
        <f t="shared" si="29"/>
        <v>1.129289935515729E-3</v>
      </c>
    </row>
    <row r="136" spans="1:38" x14ac:dyDescent="0.35">
      <c r="A136" t="s">
        <v>48</v>
      </c>
      <c r="B136" t="s">
        <v>69</v>
      </c>
      <c r="C136">
        <v>-1.048808652685707</v>
      </c>
      <c r="D136">
        <v>0.78867720461602975</v>
      </c>
      <c r="E136">
        <v>-1.8374858573017361</v>
      </c>
      <c r="F136">
        <v>-0.39790349422996352</v>
      </c>
      <c r="G136">
        <v>-0.70896838615191271</v>
      </c>
      <c r="H136">
        <v>-0.8826455907679418</v>
      </c>
      <c r="I136">
        <v>0.17367720461602909</v>
      </c>
      <c r="J136">
        <v>0</v>
      </c>
      <c r="K136">
        <v>-0.28234265530790292</v>
      </c>
      <c r="L136">
        <v>-0.2509767519875501</v>
      </c>
      <c r="M136">
        <v>0.2123144346319894</v>
      </c>
      <c r="N136">
        <v>0.18872807987832979</v>
      </c>
      <c r="O136">
        <v>-0.4946570899398921</v>
      </c>
      <c r="P136">
        <v>-0.43970483186588</v>
      </c>
      <c r="Q136">
        <v>-0.10711689766240599</v>
      </c>
      <c r="R136">
        <v>-9.5217107840031498E-2</v>
      </c>
      <c r="S136">
        <v>-0.19085656488712699</v>
      </c>
      <c r="T136">
        <v>-0.1696539996715527</v>
      </c>
      <c r="U136">
        <v>-0.23761102576249729</v>
      </c>
      <c r="V136">
        <v>-0.21121443168857401</v>
      </c>
      <c r="W136">
        <v>4.6754460875370302E-2</v>
      </c>
      <c r="X136">
        <v>4.1560432017021399E-2</v>
      </c>
      <c r="Y136">
        <v>0</v>
      </c>
      <c r="Z136">
        <v>0</v>
      </c>
      <c r="AA136">
        <v>417.89075855828003</v>
      </c>
      <c r="AB136">
        <v>371.46659669328</v>
      </c>
      <c r="AC136">
        <f t="shared" si="20"/>
        <v>0.59666762593466449</v>
      </c>
      <c r="AD136">
        <f t="shared" si="21"/>
        <v>1.0453463759640564</v>
      </c>
      <c r="AE136">
        <f t="shared" si="22"/>
        <v>1.7519743497504967</v>
      </c>
      <c r="AF136">
        <f t="shared" si="23"/>
        <v>-0.44867875002939228</v>
      </c>
      <c r="AG136">
        <f t="shared" si="24"/>
        <v>-0.75197434975049737</v>
      </c>
      <c r="AH136">
        <f t="shared" si="25"/>
        <v>0.40333237406533556</v>
      </c>
      <c r="AI136">
        <f t="shared" si="26"/>
        <v>1.2449717194848442</v>
      </c>
      <c r="AJ136">
        <f t="shared" si="27"/>
        <v>-0.24497171948484425</v>
      </c>
      <c r="AK136">
        <f t="shared" si="28"/>
        <v>-4.206307516591028E-3</v>
      </c>
      <c r="AL136">
        <f t="shared" si="29"/>
        <v>-4.7319922019503045E-3</v>
      </c>
    </row>
    <row r="137" spans="1:38" x14ac:dyDescent="0.35">
      <c r="A137" t="s">
        <v>49</v>
      </c>
      <c r="B137" t="s">
        <v>69</v>
      </c>
      <c r="C137">
        <v>0.973540694996057</v>
      </c>
      <c r="D137">
        <v>0.44152575336758199</v>
      </c>
      <c r="E137">
        <v>0.53201494162847496</v>
      </c>
      <c r="F137">
        <v>3.791341716091E-3</v>
      </c>
      <c r="G137">
        <v>-8.6212863034837994E-3</v>
      </c>
      <c r="H137">
        <v>-2.7209392217096302E-2</v>
      </c>
      <c r="I137">
        <v>1.85881059136132E-2</v>
      </c>
      <c r="J137">
        <v>0</v>
      </c>
      <c r="K137">
        <v>0.27158958003625511</v>
      </c>
      <c r="L137">
        <v>0.28433120662361761</v>
      </c>
      <c r="M137">
        <v>0.12317286226312139</v>
      </c>
      <c r="N137">
        <v>0.12895151774925501</v>
      </c>
      <c r="O137">
        <v>0.14841671777313339</v>
      </c>
      <c r="P137">
        <v>0.1553796888743619</v>
      </c>
      <c r="Q137">
        <v>1.0576742294797E-3</v>
      </c>
      <c r="R137">
        <v>1.1072950215634E-3</v>
      </c>
      <c r="S137">
        <v>-2.4050884966290999E-3</v>
      </c>
      <c r="T137">
        <v>-2.5179232362004E-3</v>
      </c>
      <c r="U137">
        <v>-7.5906302050505001E-3</v>
      </c>
      <c r="V137">
        <v>-7.9467446613657993E-3</v>
      </c>
      <c r="W137">
        <v>5.1855417084216001E-3</v>
      </c>
      <c r="X137">
        <v>5.4288214251653998E-3</v>
      </c>
      <c r="Y137">
        <v>0</v>
      </c>
      <c r="Z137">
        <v>0</v>
      </c>
      <c r="AA137">
        <v>342.39670930134002</v>
      </c>
      <c r="AB137">
        <v>358.46025273358998</v>
      </c>
      <c r="AC137">
        <f t="shared" si="20"/>
        <v>1.00893472162112</v>
      </c>
      <c r="AD137">
        <f t="shared" si="21"/>
        <v>0.55135686652767579</v>
      </c>
      <c r="AE137">
        <f t="shared" si="22"/>
        <v>0.54647427104280388</v>
      </c>
      <c r="AF137">
        <f t="shared" si="23"/>
        <v>0.45757785509344406</v>
      </c>
      <c r="AG137">
        <f t="shared" si="24"/>
        <v>0.45352572895719601</v>
      </c>
      <c r="AH137">
        <f t="shared" si="25"/>
        <v>-8.9347216211199381E-3</v>
      </c>
      <c r="AI137">
        <f t="shared" si="26"/>
        <v>3.1560710617046999</v>
      </c>
      <c r="AJ137">
        <f t="shared" si="27"/>
        <v>-2.1560710617047807</v>
      </c>
      <c r="AK137">
        <f t="shared" si="28"/>
        <v>2.8181328338741625E-3</v>
      </c>
      <c r="AL137">
        <f t="shared" si="29"/>
        <v>2.6918449153962619E-3</v>
      </c>
    </row>
    <row r="138" spans="1:38" x14ac:dyDescent="0.35">
      <c r="A138" t="s">
        <v>50</v>
      </c>
      <c r="B138" t="s">
        <v>69</v>
      </c>
      <c r="C138">
        <v>-2.3205983330701199E-2</v>
      </c>
      <c r="D138">
        <v>7.9292813335628005E-3</v>
      </c>
      <c r="E138">
        <v>-3.1135264664263699E-2</v>
      </c>
      <c r="F138">
        <v>0</v>
      </c>
      <c r="G138">
        <v>-6.9654562634122397E-2</v>
      </c>
      <c r="H138">
        <v>-3.4533528024344E-3</v>
      </c>
      <c r="I138">
        <v>-6.6201209831687993E-2</v>
      </c>
      <c r="J138">
        <v>0</v>
      </c>
      <c r="K138">
        <v>-7.6942717779704795E-2</v>
      </c>
      <c r="L138">
        <v>-4.1870983365384903E-2</v>
      </c>
      <c r="M138">
        <v>2.6290653024690899E-2</v>
      </c>
      <c r="N138">
        <v>1.4306948431606899E-2</v>
      </c>
      <c r="O138">
        <v>-0.1032333708043964</v>
      </c>
      <c r="P138">
        <v>-5.6177931796991397E-2</v>
      </c>
      <c r="Q138">
        <v>0</v>
      </c>
      <c r="R138">
        <v>0</v>
      </c>
      <c r="S138">
        <v>-0.2309495477287431</v>
      </c>
      <c r="T138">
        <v>-0.12567901096085179</v>
      </c>
      <c r="U138">
        <v>-1.14500793301846E-2</v>
      </c>
      <c r="V138">
        <v>-6.2309481001066001E-3</v>
      </c>
      <c r="W138">
        <v>-0.21949946839855849</v>
      </c>
      <c r="X138">
        <v>-0.1194480628607452</v>
      </c>
      <c r="Y138">
        <v>0</v>
      </c>
      <c r="Z138">
        <v>0</v>
      </c>
      <c r="AA138">
        <v>55.422589739999999</v>
      </c>
      <c r="AB138">
        <v>30.160077523049999</v>
      </c>
      <c r="AC138">
        <f t="shared" si="20"/>
        <v>0.24990143111469354</v>
      </c>
      <c r="AD138">
        <f t="shared" si="21"/>
        <v>0.33529056221635845</v>
      </c>
      <c r="AE138">
        <f t="shared" si="22"/>
        <v>1.3416912449071774</v>
      </c>
      <c r="AF138">
        <f t="shared" si="23"/>
        <v>-8.5389131101668111E-2</v>
      </c>
      <c r="AG138">
        <f t="shared" si="24"/>
        <v>-0.34169124490719038</v>
      </c>
      <c r="AH138">
        <f t="shared" si="25"/>
        <v>0.75009856888530646</v>
      </c>
      <c r="AI138">
        <f t="shared" si="26"/>
        <v>4.9578271283878116E-2</v>
      </c>
      <c r="AJ138">
        <f t="shared" si="27"/>
        <v>0.95042172871612185</v>
      </c>
      <c r="AK138">
        <f t="shared" si="28"/>
        <v>-1.6754999432623699E-3</v>
      </c>
      <c r="AL138">
        <f t="shared" si="29"/>
        <v>-3.0789226550845049E-3</v>
      </c>
    </row>
    <row r="139" spans="1:38" x14ac:dyDescent="0.35">
      <c r="A139" t="s">
        <v>51</v>
      </c>
      <c r="B139" t="s">
        <v>69</v>
      </c>
      <c r="C139">
        <v>-7.7036336486297997E-3</v>
      </c>
      <c r="D139">
        <v>-2.4489920461298002E-3</v>
      </c>
      <c r="E139">
        <v>-5.2546416025002997E-3</v>
      </c>
      <c r="F139">
        <v>-1.0726585162048099E-2</v>
      </c>
      <c r="G139">
        <v>-8.4245326386861996E-3</v>
      </c>
      <c r="H139">
        <v>-1.5673549095230001E-3</v>
      </c>
      <c r="I139">
        <v>-6.8571777291632002E-3</v>
      </c>
      <c r="J139">
        <v>0</v>
      </c>
      <c r="K139">
        <v>-1.59770840880986E-2</v>
      </c>
      <c r="L139">
        <v>-7.9307649394054994E-3</v>
      </c>
      <c r="M139">
        <v>-5.0791293611240004E-3</v>
      </c>
      <c r="N139">
        <v>-2.5211972871767999E-3</v>
      </c>
      <c r="O139">
        <v>-1.0897954726974701E-2</v>
      </c>
      <c r="P139">
        <v>-5.4095676522288999E-3</v>
      </c>
      <c r="Q139">
        <v>-2.2246586601722702E-2</v>
      </c>
      <c r="R139">
        <v>-1.10428441178331E-2</v>
      </c>
      <c r="S139">
        <v>-1.74722050022664E-2</v>
      </c>
      <c r="T139">
        <v>-8.6729186678872992E-3</v>
      </c>
      <c r="U139">
        <v>-3.2506427911193E-3</v>
      </c>
      <c r="V139">
        <v>-1.6135662637929999E-3</v>
      </c>
      <c r="W139">
        <v>-1.4221562211146999E-2</v>
      </c>
      <c r="X139">
        <v>-7.0593524040941996E-3</v>
      </c>
      <c r="Y139">
        <v>0</v>
      </c>
      <c r="Z139">
        <v>0</v>
      </c>
      <c r="AA139">
        <v>97.136073348400004</v>
      </c>
      <c r="AB139">
        <v>48.216768505140003</v>
      </c>
      <c r="AC139">
        <f t="shared" si="20"/>
        <v>0.47765093138259146</v>
      </c>
      <c r="AD139">
        <f t="shared" si="21"/>
        <v>0.32580527190079966</v>
      </c>
      <c r="AE139">
        <f t="shared" si="22"/>
        <v>0.68209910312063082</v>
      </c>
      <c r="AF139">
        <f t="shared" si="23"/>
        <v>0.15184565948181042</v>
      </c>
      <c r="AG139">
        <f t="shared" si="24"/>
        <v>0.31790089687940809</v>
      </c>
      <c r="AH139">
        <f t="shared" si="25"/>
        <v>0.52234906861740849</v>
      </c>
      <c r="AI139">
        <f t="shared" si="26"/>
        <v>0.18604651162790534</v>
      </c>
      <c r="AJ139">
        <f t="shared" si="27"/>
        <v>0.81395348837209469</v>
      </c>
      <c r="AK139">
        <f t="shared" si="28"/>
        <v>-1.6603683607292592E-4</v>
      </c>
      <c r="AL139">
        <f t="shared" si="29"/>
        <v>-3.3449289090364289E-4</v>
      </c>
    </row>
    <row r="140" spans="1:38" x14ac:dyDescent="0.35">
      <c r="A140" t="s">
        <v>52</v>
      </c>
      <c r="B140" t="s">
        <v>69</v>
      </c>
      <c r="C140">
        <v>-0.58431545748586755</v>
      </c>
      <c r="D140">
        <v>-9.795968184518999E-4</v>
      </c>
      <c r="E140">
        <v>-0.5833358606674155</v>
      </c>
      <c r="F140">
        <v>2.1423395009906001E-2</v>
      </c>
      <c r="G140">
        <v>0.44306040520924173</v>
      </c>
      <c r="H140">
        <v>0.45530536543989031</v>
      </c>
      <c r="I140">
        <v>-1.22449602306486E-2</v>
      </c>
      <c r="J140">
        <v>-0.23304046522143079</v>
      </c>
      <c r="K140">
        <v>-0.8779108192297338</v>
      </c>
      <c r="L140">
        <v>-0.88074279209785278</v>
      </c>
      <c r="M140">
        <v>-1.4718053996077001E-3</v>
      </c>
      <c r="N140">
        <v>-1.4765531631247999E-3</v>
      </c>
      <c r="O140">
        <v>-0.87643901383012679</v>
      </c>
      <c r="P140">
        <v>-0.87926623893472833</v>
      </c>
      <c r="Q140">
        <v>3.2187802021793298E-2</v>
      </c>
      <c r="R140">
        <v>3.2291633732274498E-2</v>
      </c>
      <c r="S140">
        <v>0.66568070093355658</v>
      </c>
      <c r="T140">
        <v>0.66782805991647276</v>
      </c>
      <c r="U140">
        <v>0.68407826842865238</v>
      </c>
      <c r="V140">
        <v>0.68628497445553482</v>
      </c>
      <c r="W140">
        <v>-1.8397567495095499E-2</v>
      </c>
      <c r="X140">
        <v>-1.84569145390618E-2</v>
      </c>
      <c r="Y140">
        <v>-0.350134063912169</v>
      </c>
      <c r="Z140">
        <v>-0.35126352962495422</v>
      </c>
      <c r="AA140">
        <v>66.343484468840003</v>
      </c>
      <c r="AB140">
        <v>66.557495896739994</v>
      </c>
      <c r="AC140">
        <f t="shared" si="20"/>
        <v>4.1365986424441479</v>
      </c>
      <c r="AD140">
        <f t="shared" si="21"/>
        <v>4.1296636917810474</v>
      </c>
      <c r="AE140">
        <f t="shared" si="22"/>
        <v>0.99832351376999851</v>
      </c>
      <c r="AF140">
        <f t="shared" si="23"/>
        <v>6.9349506630992106E-3</v>
      </c>
      <c r="AG140">
        <f t="shared" si="24"/>
        <v>1.6764862300011852E-3</v>
      </c>
      <c r="AH140">
        <f t="shared" si="25"/>
        <v>-3.1365986424441479</v>
      </c>
      <c r="AI140">
        <f t="shared" si="26"/>
        <v>1.0276372252782682</v>
      </c>
      <c r="AJ140">
        <f t="shared" si="27"/>
        <v>-2.7637225278268184E-2</v>
      </c>
      <c r="AK140">
        <f t="shared" si="28"/>
        <v>-2.1291473218137953E-3</v>
      </c>
      <c r="AL140">
        <f t="shared" si="29"/>
        <v>-2.1223011829617907E-3</v>
      </c>
    </row>
    <row r="141" spans="1:38" x14ac:dyDescent="0.35">
      <c r="A141" t="s">
        <v>53</v>
      </c>
      <c r="B141" t="s">
        <v>69</v>
      </c>
      <c r="C141">
        <v>-0.1743682336844401</v>
      </c>
      <c r="D141">
        <v>2.4860569687780369</v>
      </c>
      <c r="E141">
        <v>-2.660425202462477</v>
      </c>
      <c r="F141">
        <v>-16.523238726327069</v>
      </c>
      <c r="G141">
        <v>36.262795760146673</v>
      </c>
      <c r="H141">
        <v>0</v>
      </c>
      <c r="I141">
        <v>36.262795760146673</v>
      </c>
      <c r="J141">
        <v>0</v>
      </c>
      <c r="K141">
        <v>-2.07519362985433E-2</v>
      </c>
      <c r="L141">
        <v>-1.8700200811554799E-2</v>
      </c>
      <c r="M141">
        <v>0.29587095516490508</v>
      </c>
      <c r="N141">
        <v>0.26661831437283778</v>
      </c>
      <c r="O141">
        <v>-0.31662289146344857</v>
      </c>
      <c r="P141">
        <v>-0.28531851518439311</v>
      </c>
      <c r="Q141">
        <v>-1.966465968307672</v>
      </c>
      <c r="R141">
        <v>-1.772042279207579</v>
      </c>
      <c r="S141">
        <v>4.3157128550348984</v>
      </c>
      <c r="T141">
        <v>3.8890200833849069</v>
      </c>
      <c r="U141">
        <v>0</v>
      </c>
      <c r="V141">
        <v>0</v>
      </c>
      <c r="W141">
        <v>4.3157128550348984</v>
      </c>
      <c r="X141">
        <v>3.8890200833849069</v>
      </c>
      <c r="Y141">
        <v>0</v>
      </c>
      <c r="Z141">
        <v>0</v>
      </c>
      <c r="AA141">
        <v>932.44043441874999</v>
      </c>
      <c r="AB141">
        <v>840.25042856688003</v>
      </c>
      <c r="AC141">
        <f t="shared" si="20"/>
        <v>-4.8316938596613193E-3</v>
      </c>
      <c r="AD141">
        <f t="shared" si="21"/>
        <v>-7.3719621075528749E-2</v>
      </c>
      <c r="AE141">
        <f t="shared" si="22"/>
        <v>15.257510764702335</v>
      </c>
      <c r="AF141">
        <f t="shared" si="23"/>
        <v>6.8887927215867423E-2</v>
      </c>
      <c r="AG141">
        <f t="shared" si="24"/>
        <v>-14.257510764702335</v>
      </c>
      <c r="AH141">
        <f t="shared" si="25"/>
        <v>1.0048316938596613</v>
      </c>
      <c r="AI141">
        <f t="shared" si="26"/>
        <v>0</v>
      </c>
      <c r="AJ141">
        <f t="shared" si="27"/>
        <v>1</v>
      </c>
      <c r="AK141">
        <f t="shared" si="28"/>
        <v>3.8703198825733538E-2</v>
      </c>
      <c r="AL141">
        <f t="shared" si="29"/>
        <v>4.2949609187363555E-2</v>
      </c>
    </row>
    <row r="142" spans="1:38" x14ac:dyDescent="0.35">
      <c r="A142" t="s">
        <v>54</v>
      </c>
      <c r="B142" t="s">
        <v>69</v>
      </c>
      <c r="C142">
        <v>2.2603788228926902</v>
      </c>
      <c r="D142">
        <v>2.0118179613490819</v>
      </c>
      <c r="E142">
        <v>0.24856086154360921</v>
      </c>
      <c r="F142">
        <v>0</v>
      </c>
      <c r="G142">
        <v>-2.2791011296807091</v>
      </c>
      <c r="H142">
        <v>-2.306024966503025</v>
      </c>
      <c r="I142">
        <v>2.6923836822314501E-2</v>
      </c>
      <c r="J142">
        <v>0</v>
      </c>
      <c r="K142">
        <v>1.113821319845862</v>
      </c>
      <c r="L142">
        <v>1.1653010685747811</v>
      </c>
      <c r="M142">
        <v>0.9913407939877108</v>
      </c>
      <c r="N142">
        <v>1.037159610767296</v>
      </c>
      <c r="O142">
        <v>0.1224805258581511</v>
      </c>
      <c r="P142">
        <v>0.12814145780748371</v>
      </c>
      <c r="Q142">
        <v>0</v>
      </c>
      <c r="R142">
        <v>0</v>
      </c>
      <c r="S142">
        <v>-1.123046899313336</v>
      </c>
      <c r="T142">
        <v>-1.174953045440474</v>
      </c>
      <c r="U142">
        <v>-1.1363138540206741</v>
      </c>
      <c r="V142">
        <v>-1.188833186017541</v>
      </c>
      <c r="W142">
        <v>1.3266954707338499E-2</v>
      </c>
      <c r="X142">
        <v>1.3880140577067599E-2</v>
      </c>
      <c r="Y142">
        <v>0</v>
      </c>
      <c r="Z142">
        <v>0</v>
      </c>
      <c r="AA142">
        <v>193.97380504054999</v>
      </c>
      <c r="AB142">
        <v>202.93908750153</v>
      </c>
      <c r="AC142">
        <f t="shared" si="20"/>
        <v>-120.73185470602326</v>
      </c>
      <c r="AD142">
        <f t="shared" si="21"/>
        <v>-13.276187830800456</v>
      </c>
      <c r="AE142">
        <f t="shared" si="22"/>
        <v>0.10996424980902833</v>
      </c>
      <c r="AF142">
        <f t="shared" si="23"/>
        <v>-107.45566687522285</v>
      </c>
      <c r="AG142">
        <f t="shared" si="24"/>
        <v>0.89003575019097203</v>
      </c>
      <c r="AH142">
        <f t="shared" si="25"/>
        <v>121.73185470602326</v>
      </c>
      <c r="AI142">
        <f t="shared" si="26"/>
        <v>1.0118133576749566</v>
      </c>
      <c r="AJ142">
        <f t="shared" si="27"/>
        <v>-1.1813357674956003E-2</v>
      </c>
      <c r="AK142">
        <f t="shared" si="28"/>
        <v>-9.6519768656932919E-5</v>
      </c>
      <c r="AL142">
        <f t="shared" si="29"/>
        <v>-9.2255794674733343E-5</v>
      </c>
    </row>
    <row r="143" spans="1:38" x14ac:dyDescent="0.35">
      <c r="A143" t="s">
        <v>55</v>
      </c>
      <c r="B143" t="s">
        <v>69</v>
      </c>
      <c r="C143">
        <v>13.348965621899451</v>
      </c>
      <c r="D143">
        <v>1.1414792455781</v>
      </c>
      <c r="E143">
        <v>12.20748637632135</v>
      </c>
      <c r="F143">
        <v>0</v>
      </c>
      <c r="G143">
        <v>-5.3846464626538513</v>
      </c>
      <c r="H143">
        <v>0.17176997453820239</v>
      </c>
      <c r="I143">
        <v>-5.5564164371920564</v>
      </c>
      <c r="J143">
        <v>0</v>
      </c>
      <c r="K143">
        <v>3.2538664984422612</v>
      </c>
      <c r="L143">
        <v>4.0395803375278474</v>
      </c>
      <c r="M143">
        <v>0.27824036566252108</v>
      </c>
      <c r="N143">
        <v>0.34542729727078969</v>
      </c>
      <c r="O143">
        <v>2.9756261327797402</v>
      </c>
      <c r="P143">
        <v>3.6941530402570568</v>
      </c>
      <c r="Q143">
        <v>0</v>
      </c>
      <c r="R143">
        <v>0</v>
      </c>
      <c r="S143">
        <v>-1.312530215977282</v>
      </c>
      <c r="T143">
        <v>-1.6294679746115259</v>
      </c>
      <c r="U143">
        <v>4.1869653531148202E-2</v>
      </c>
      <c r="V143">
        <v>5.19799534567566E-2</v>
      </c>
      <c r="W143">
        <v>-1.3543998695084309</v>
      </c>
      <c r="X143">
        <v>-1.681447928068283</v>
      </c>
      <c r="Y143">
        <v>0</v>
      </c>
      <c r="Z143">
        <v>0</v>
      </c>
      <c r="AA143">
        <v>330.45426768437</v>
      </c>
      <c r="AB143">
        <v>410.24933347112</v>
      </c>
      <c r="AC143">
        <f t="shared" si="20"/>
        <v>1.6760962682419547</v>
      </c>
      <c r="AD143">
        <f t="shared" si="21"/>
        <v>1.5327721217889609</v>
      </c>
      <c r="AE143">
        <f t="shared" si="22"/>
        <v>0.91448931116389542</v>
      </c>
      <c r="AF143">
        <f t="shared" si="23"/>
        <v>0.14332414645299371</v>
      </c>
      <c r="AG143">
        <f t="shared" si="24"/>
        <v>8.5510688836104493E-2</v>
      </c>
      <c r="AH143">
        <f t="shared" si="25"/>
        <v>-0.67609626824195457</v>
      </c>
      <c r="AI143">
        <f t="shared" si="26"/>
        <v>-3.18999540136094E-2</v>
      </c>
      <c r="AJ143">
        <f t="shared" si="27"/>
        <v>1.03189995401361</v>
      </c>
      <c r="AK143">
        <f t="shared" si="28"/>
        <v>2.4101123629163227E-2</v>
      </c>
      <c r="AL143">
        <f t="shared" si="29"/>
        <v>1.94133628246498E-2</v>
      </c>
    </row>
    <row r="144" spans="1:38" x14ac:dyDescent="0.35">
      <c r="A144" t="s">
        <v>56</v>
      </c>
      <c r="B144" t="s">
        <v>69</v>
      </c>
      <c r="C144">
        <v>3.6115856237378878</v>
      </c>
      <c r="D144">
        <v>0.6751212736122203</v>
      </c>
      <c r="E144">
        <v>2.9364643501256689</v>
      </c>
      <c r="F144">
        <v>-3.8694074328850102E-2</v>
      </c>
      <c r="G144">
        <v>-6.3673793199374204E-2</v>
      </c>
      <c r="H144">
        <v>0</v>
      </c>
      <c r="I144">
        <v>-6.3673793199374204E-2</v>
      </c>
      <c r="J144">
        <v>0</v>
      </c>
      <c r="K144">
        <v>1.6241891285072561</v>
      </c>
      <c r="L144">
        <v>1.0584457968359591</v>
      </c>
      <c r="M144">
        <v>0.30361307947894312</v>
      </c>
      <c r="N144">
        <v>0.19785749220859511</v>
      </c>
      <c r="O144">
        <v>1.320576049028312</v>
      </c>
      <c r="P144">
        <v>0.86058830462736391</v>
      </c>
      <c r="Q144">
        <v>-1.7401358131868602E-2</v>
      </c>
      <c r="R144">
        <v>-1.1340055200862601E-2</v>
      </c>
      <c r="S144">
        <v>-2.8635146292947899E-2</v>
      </c>
      <c r="T144">
        <v>-1.86608503305336E-2</v>
      </c>
      <c r="U144">
        <v>0</v>
      </c>
      <c r="V144">
        <v>0</v>
      </c>
      <c r="W144">
        <v>-2.8635146292947899E-2</v>
      </c>
      <c r="X144">
        <v>-1.86608503305336E-2</v>
      </c>
      <c r="Y144">
        <v>0</v>
      </c>
      <c r="Z144">
        <v>0</v>
      </c>
      <c r="AA144">
        <v>341.21592570296002</v>
      </c>
      <c r="AB144">
        <v>222.36238134761999</v>
      </c>
      <c r="AC144">
        <f t="shared" si="20"/>
        <v>1.017946836404249</v>
      </c>
      <c r="AD144">
        <f t="shared" si="21"/>
        <v>0.82765989978955112</v>
      </c>
      <c r="AE144">
        <f t="shared" si="22"/>
        <v>0.81306790314623978</v>
      </c>
      <c r="AF144">
        <f t="shared" si="23"/>
        <v>0.19028693661469828</v>
      </c>
      <c r="AG144">
        <f t="shared" si="24"/>
        <v>0.18693209685376061</v>
      </c>
      <c r="AH144">
        <f t="shared" si="25"/>
        <v>-1.7946836404248972E-2</v>
      </c>
      <c r="AI144">
        <f t="shared" si="26"/>
        <v>0</v>
      </c>
      <c r="AJ144">
        <f t="shared" si="27"/>
        <v>1</v>
      </c>
      <c r="AK144">
        <f t="shared" si="28"/>
        <v>1.0397849465054249E-2</v>
      </c>
      <c r="AL144">
        <f t="shared" si="29"/>
        <v>1.5955539822143067E-2</v>
      </c>
    </row>
    <row r="145" spans="1:38" x14ac:dyDescent="0.35">
      <c r="A145" t="s">
        <v>57</v>
      </c>
      <c r="B145" t="s">
        <v>69</v>
      </c>
      <c r="C145">
        <v>1.4522233867921299</v>
      </c>
      <c r="D145">
        <v>-2.9240262794754598E-2</v>
      </c>
      <c r="E145">
        <v>1.4814636495868849</v>
      </c>
      <c r="F145">
        <v>-0.86142947575367323</v>
      </c>
      <c r="G145">
        <v>-1.9640916209961098E-2</v>
      </c>
      <c r="H145">
        <v>0</v>
      </c>
      <c r="I145">
        <v>-1.9640916209961098E-2</v>
      </c>
      <c r="J145">
        <v>0</v>
      </c>
      <c r="K145">
        <v>1.459681466143107</v>
      </c>
      <c r="L145">
        <v>0.79919071648164497</v>
      </c>
      <c r="M145">
        <v>-2.9390429912396501E-2</v>
      </c>
      <c r="N145">
        <v>-1.6091564690106801E-2</v>
      </c>
      <c r="O145">
        <v>1.4890718960555029</v>
      </c>
      <c r="P145">
        <v>0.81528228117175172</v>
      </c>
      <c r="Q145">
        <v>-0.86585345724568874</v>
      </c>
      <c r="R145">
        <v>-0.47406373302300298</v>
      </c>
      <c r="S145">
        <v>-1.9741784652758498E-2</v>
      </c>
      <c r="T145">
        <v>-1.08088315068854E-2</v>
      </c>
      <c r="U145">
        <v>0</v>
      </c>
      <c r="V145">
        <v>0</v>
      </c>
      <c r="W145">
        <v>-1.9741784652758498E-2</v>
      </c>
      <c r="X145">
        <v>-1.08088315068854E-2</v>
      </c>
      <c r="Y145">
        <v>0</v>
      </c>
      <c r="Z145">
        <v>0</v>
      </c>
      <c r="AA145">
        <v>181.71174374815001</v>
      </c>
      <c r="AB145">
        <v>99.489061173690004</v>
      </c>
      <c r="AC145">
        <f t="shared" si="20"/>
        <v>1.0137101469641601</v>
      </c>
      <c r="AD145">
        <f t="shared" si="21"/>
        <v>1.0341210227044395</v>
      </c>
      <c r="AE145">
        <f t="shared" si="22"/>
        <v>1.0201348243394874</v>
      </c>
      <c r="AF145">
        <f t="shared" si="23"/>
        <v>-2.0410875740279038E-2</v>
      </c>
      <c r="AG145">
        <f t="shared" si="24"/>
        <v>-2.0134824339487122E-2</v>
      </c>
      <c r="AH145">
        <f t="shared" si="25"/>
        <v>-1.37101469641601E-2</v>
      </c>
      <c r="AI145">
        <f t="shared" si="26"/>
        <v>0</v>
      </c>
      <c r="AJ145">
        <f t="shared" si="27"/>
        <v>1</v>
      </c>
      <c r="AK145">
        <f t="shared" si="28"/>
        <v>7.883818849747589E-3</v>
      </c>
      <c r="AL145">
        <f t="shared" si="29"/>
        <v>1.4399396814903475E-2</v>
      </c>
    </row>
    <row r="146" spans="1:38" x14ac:dyDescent="0.35">
      <c r="A146" t="s">
        <v>58</v>
      </c>
      <c r="B146" t="s">
        <v>69</v>
      </c>
      <c r="C146">
        <v>-1.349400936643824</v>
      </c>
      <c r="D146">
        <v>0.34098922567069279</v>
      </c>
      <c r="E146">
        <v>-1.6903901623145161</v>
      </c>
      <c r="F146">
        <v>0.1</v>
      </c>
      <c r="G146">
        <v>0.18483194669322731</v>
      </c>
      <c r="H146">
        <v>0.3141031613848056</v>
      </c>
      <c r="I146">
        <v>-0.1292712146915784</v>
      </c>
      <c r="J146">
        <v>-0.11431613976919899</v>
      </c>
      <c r="K146">
        <v>-2.6764281263188878</v>
      </c>
      <c r="L146">
        <v>-1.7746550232987699</v>
      </c>
      <c r="M146">
        <v>0.67632467828768994</v>
      </c>
      <c r="N146">
        <v>0.44844954956999578</v>
      </c>
      <c r="O146">
        <v>-3.352752804606578</v>
      </c>
      <c r="P146">
        <v>-2.2231045728687659</v>
      </c>
      <c r="Q146">
        <v>0.19834194964882679</v>
      </c>
      <c r="R146">
        <v>0.13151428720011279</v>
      </c>
      <c r="S146">
        <v>0.36659928664522651</v>
      </c>
      <c r="T146">
        <v>0.24308041721168999</v>
      </c>
      <c r="U146">
        <v>0.62299833419922468</v>
      </c>
      <c r="V146">
        <v>0.41309053376824723</v>
      </c>
      <c r="W146">
        <v>-0.25639904755399812</v>
      </c>
      <c r="X146">
        <v>-0.17001011655655679</v>
      </c>
      <c r="Y146">
        <v>-0.22673686038150731</v>
      </c>
      <c r="Z146">
        <v>-0.1503420563721469</v>
      </c>
      <c r="AA146">
        <v>76.037366075549997</v>
      </c>
      <c r="AB146">
        <v>50.417977728389999</v>
      </c>
      <c r="AC146">
        <f t="shared" si="20"/>
        <v>1.1587127497711134</v>
      </c>
      <c r="AD146">
        <f t="shared" si="21"/>
        <v>1.4515156911281193</v>
      </c>
      <c r="AE146">
        <f t="shared" si="22"/>
        <v>1.2526967459491964</v>
      </c>
      <c r="AF146">
        <f t="shared" si="23"/>
        <v>-0.29280294135700646</v>
      </c>
      <c r="AG146">
        <f t="shared" si="24"/>
        <v>-0.25269674594919694</v>
      </c>
      <c r="AH146">
        <f t="shared" si="25"/>
        <v>-0.15871274977111338</v>
      </c>
      <c r="AI146">
        <f t="shared" si="26"/>
        <v>1.6993986537734989</v>
      </c>
      <c r="AJ146">
        <f t="shared" si="27"/>
        <v>-0.69939865377349952</v>
      </c>
      <c r="AK146">
        <f t="shared" si="28"/>
        <v>-1.531574606087081E-2</v>
      </c>
      <c r="AL146">
        <f t="shared" si="29"/>
        <v>-2.3098288396736631E-2</v>
      </c>
    </row>
    <row r="147" spans="1:38" x14ac:dyDescent="0.35">
      <c r="A147" t="s">
        <v>59</v>
      </c>
      <c r="B147" t="s">
        <v>69</v>
      </c>
      <c r="C147">
        <v>-5.4196425105654953</v>
      </c>
      <c r="D147">
        <v>2.5312199052560209</v>
      </c>
      <c r="E147">
        <v>-7.9508624158215149</v>
      </c>
      <c r="F147">
        <v>1.986671496313178</v>
      </c>
      <c r="G147">
        <v>-0.14794341217610449</v>
      </c>
      <c r="H147">
        <v>-6.6142068110831998E-3</v>
      </c>
      <c r="I147">
        <v>-0.14132920536502169</v>
      </c>
      <c r="J147">
        <v>0</v>
      </c>
      <c r="K147">
        <v>-0.98570984582049725</v>
      </c>
      <c r="L147">
        <v>-1.0402295194879061</v>
      </c>
      <c r="M147">
        <v>0.46037139491832468</v>
      </c>
      <c r="N147">
        <v>0.48583456577248668</v>
      </c>
      <c r="O147">
        <v>-1.446081240738821</v>
      </c>
      <c r="P147">
        <v>-1.5260640852603931</v>
      </c>
      <c r="Q147">
        <v>0.3613304107252846</v>
      </c>
      <c r="R147">
        <v>0.3813156185046136</v>
      </c>
      <c r="S147">
        <v>-2.69075456032341E-2</v>
      </c>
      <c r="T147">
        <v>-2.83958036455969E-2</v>
      </c>
      <c r="U147">
        <v>-1.2029739532206001E-3</v>
      </c>
      <c r="V147">
        <v>-1.2695105183549999E-3</v>
      </c>
      <c r="W147">
        <v>-2.5704571650013702E-2</v>
      </c>
      <c r="X147">
        <v>-2.7126293127241501E-2</v>
      </c>
      <c r="Y147">
        <v>0</v>
      </c>
      <c r="Z147">
        <v>0</v>
      </c>
      <c r="AA147">
        <v>521.00449074291998</v>
      </c>
      <c r="AB147">
        <v>549.82128194673999</v>
      </c>
      <c r="AC147">
        <f t="shared" si="20"/>
        <v>0.97342772716415416</v>
      </c>
      <c r="AD147">
        <f t="shared" si="21"/>
        <v>1.4280628132464166</v>
      </c>
      <c r="AE147">
        <f t="shared" si="22"/>
        <v>1.4670455478053122</v>
      </c>
      <c r="AF147">
        <f t="shared" si="23"/>
        <v>-0.45463508608226266</v>
      </c>
      <c r="AG147">
        <f t="shared" si="24"/>
        <v>-0.46704554780531249</v>
      </c>
      <c r="AH147">
        <f t="shared" si="25"/>
        <v>2.6572272835845873E-2</v>
      </c>
      <c r="AI147">
        <f t="shared" si="26"/>
        <v>4.4707680550249693E-2</v>
      </c>
      <c r="AJ147">
        <f t="shared" si="27"/>
        <v>0.95529231944975301</v>
      </c>
      <c r="AK147">
        <f t="shared" si="28"/>
        <v>-1.0686253231335048E-2</v>
      </c>
      <c r="AL147">
        <f t="shared" si="29"/>
        <v>-1.0126173914237318E-2</v>
      </c>
    </row>
    <row r="148" spans="1:38" x14ac:dyDescent="0.35">
      <c r="A148" t="s">
        <v>60</v>
      </c>
      <c r="B148" t="s">
        <v>69</v>
      </c>
      <c r="C148">
        <v>5.7337721328573252</v>
      </c>
      <c r="D148">
        <v>0.41206821103311331</v>
      </c>
      <c r="E148">
        <v>5.3217039218242164</v>
      </c>
      <c r="F148">
        <v>0</v>
      </c>
      <c r="G148">
        <v>-0.34763605364891959</v>
      </c>
      <c r="H148">
        <v>-0.16429236256423979</v>
      </c>
      <c r="I148">
        <v>-0.18334369108467991</v>
      </c>
      <c r="J148">
        <v>0</v>
      </c>
      <c r="K148">
        <v>0.76746045418638786</v>
      </c>
      <c r="L148">
        <v>0.97048648487860856</v>
      </c>
      <c r="M148">
        <v>5.5154974607902398E-2</v>
      </c>
      <c r="N148">
        <v>6.97458183529968E-2</v>
      </c>
      <c r="O148">
        <v>0.71230547957848511</v>
      </c>
      <c r="P148">
        <v>0.90074066652561235</v>
      </c>
      <c r="Q148">
        <v>0</v>
      </c>
      <c r="R148">
        <v>0</v>
      </c>
      <c r="S148">
        <v>-4.6530785919462497E-2</v>
      </c>
      <c r="T148">
        <v>-5.8840163840743601E-2</v>
      </c>
      <c r="U148">
        <v>-2.1990391015080699E-2</v>
      </c>
      <c r="V148">
        <v>-2.78077875686202E-2</v>
      </c>
      <c r="W148">
        <v>-2.4540394904382E-2</v>
      </c>
      <c r="X148">
        <v>-3.1032376272123401E-2</v>
      </c>
      <c r="Y148">
        <v>0</v>
      </c>
      <c r="Z148">
        <v>0</v>
      </c>
      <c r="AA148">
        <v>590.81421763174001</v>
      </c>
      <c r="AB148">
        <v>747.10978286638999</v>
      </c>
      <c r="AC148">
        <f t="shared" si="20"/>
        <v>1.0645427535689018</v>
      </c>
      <c r="AD148">
        <f t="shared" si="21"/>
        <v>0.98803740632678949</v>
      </c>
      <c r="AE148">
        <f t="shared" si="22"/>
        <v>0.92813313792646968</v>
      </c>
      <c r="AF148">
        <f t="shared" si="23"/>
        <v>7.650534724211322E-2</v>
      </c>
      <c r="AG148">
        <f t="shared" si="24"/>
        <v>7.1866862073531046E-2</v>
      </c>
      <c r="AH148">
        <f t="shared" si="25"/>
        <v>-6.4542753568901892E-2</v>
      </c>
      <c r="AI148">
        <f t="shared" si="26"/>
        <v>0.47259874469222907</v>
      </c>
      <c r="AJ148">
        <f t="shared" si="27"/>
        <v>0.52740125530777127</v>
      </c>
      <c r="AK148">
        <f t="shared" si="28"/>
        <v>9.1164632103786555E-3</v>
      </c>
      <c r="AL148">
        <f t="shared" si="29"/>
        <v>7.2092966826692454E-3</v>
      </c>
    </row>
    <row r="149" spans="1:38" x14ac:dyDescent="0.35">
      <c r="A149" t="s">
        <v>61</v>
      </c>
      <c r="B149" t="s">
        <v>69</v>
      </c>
      <c r="C149">
        <v>0.1488650164938079</v>
      </c>
      <c r="D149">
        <v>0.46869556347929597</v>
      </c>
      <c r="E149">
        <v>-0.3198305469854858</v>
      </c>
      <c r="F149">
        <v>-2.5745524312524952</v>
      </c>
      <c r="G149">
        <v>0</v>
      </c>
      <c r="H149">
        <v>0</v>
      </c>
      <c r="I149">
        <v>0</v>
      </c>
      <c r="J149">
        <v>-1.1142321069096259</v>
      </c>
      <c r="K149">
        <v>5.6827502229728197E-2</v>
      </c>
      <c r="L149">
        <v>3.3734157301740397E-2</v>
      </c>
      <c r="M149">
        <v>0.17891912288063319</v>
      </c>
      <c r="N149">
        <v>0.1062106479912665</v>
      </c>
      <c r="O149">
        <v>-0.12209162065090499</v>
      </c>
      <c r="P149">
        <v>-7.2476490689526302E-2</v>
      </c>
      <c r="Q149">
        <v>-0.98280568177438277</v>
      </c>
      <c r="R149">
        <v>-0.58341683454594284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-0.42534524921424061</v>
      </c>
      <c r="Z149">
        <v>-0.252495059285478</v>
      </c>
      <c r="AA149">
        <v>441.28867711817003</v>
      </c>
      <c r="AB149">
        <v>261.95945739796002</v>
      </c>
      <c r="AC149">
        <f t="shared" si="20"/>
        <v>1</v>
      </c>
      <c r="AD149">
        <f t="shared" si="21"/>
        <v>-2.1484600916884276</v>
      </c>
      <c r="AE149">
        <f t="shared" si="22"/>
        <v>-2.1484600916884276</v>
      </c>
      <c r="AF149">
        <f t="shared" si="23"/>
        <v>3.1484600916884427</v>
      </c>
      <c r="AG149">
        <f t="shared" si="24"/>
        <v>3.1484600916884427</v>
      </c>
      <c r="AH149">
        <f t="shared" si="25"/>
        <v>0</v>
      </c>
      <c r="AI149">
        <v>0</v>
      </c>
      <c r="AJ149">
        <v>0</v>
      </c>
      <c r="AK149">
        <f t="shared" si="28"/>
        <v>3.3734157301739298E-4</v>
      </c>
      <c r="AL149">
        <f t="shared" si="29"/>
        <v>5.6827502229727538E-4</v>
      </c>
    </row>
    <row r="150" spans="1:38" x14ac:dyDescent="0.35">
      <c r="A150" t="s">
        <v>62</v>
      </c>
      <c r="B150" t="s">
        <v>69</v>
      </c>
      <c r="C150">
        <v>4.0098421863494309</v>
      </c>
      <c r="D150">
        <v>0.54698847303368625</v>
      </c>
      <c r="E150">
        <v>3.4628537133157442</v>
      </c>
      <c r="F150">
        <v>2.4757725592319002E-3</v>
      </c>
      <c r="G150">
        <v>8.4973082357751313</v>
      </c>
      <c r="H150">
        <v>7.6160721771276307</v>
      </c>
      <c r="I150">
        <v>0.88123605864749965</v>
      </c>
      <c r="J150">
        <v>0</v>
      </c>
      <c r="K150">
        <v>1.247595593488112</v>
      </c>
      <c r="L150">
        <v>0.58074170428682947</v>
      </c>
      <c r="M150">
        <v>0.17018635071693311</v>
      </c>
      <c r="N150">
        <v>7.9219830430292001E-2</v>
      </c>
      <c r="O150">
        <v>1.077409242771179</v>
      </c>
      <c r="P150">
        <v>0.50152187385653735</v>
      </c>
      <c r="Q150">
        <v>7.7029538616040004E-4</v>
      </c>
      <c r="R150">
        <v>3.5856383085830002E-4</v>
      </c>
      <c r="S150">
        <v>2.6437958948989611</v>
      </c>
      <c r="T150">
        <v>1.230657227232965</v>
      </c>
      <c r="U150">
        <v>2.369613976385013</v>
      </c>
      <c r="V150">
        <v>1.1030286306961341</v>
      </c>
      <c r="W150">
        <v>0.27418191851394841</v>
      </c>
      <c r="X150">
        <v>0.12762859653683131</v>
      </c>
      <c r="Y150">
        <v>0</v>
      </c>
      <c r="Z150">
        <v>0</v>
      </c>
      <c r="AA150">
        <v>690.46912883131995</v>
      </c>
      <c r="AB150">
        <v>321.40560669490998</v>
      </c>
      <c r="AC150">
        <f t="shared" si="20"/>
        <v>0.32060397860540707</v>
      </c>
      <c r="AD150">
        <f t="shared" si="21"/>
        <v>0.27686991812220618</v>
      </c>
      <c r="AE150">
        <f t="shared" si="22"/>
        <v>0.86358852852219947</v>
      </c>
      <c r="AF150">
        <f t="shared" si="23"/>
        <v>4.3734060483200818E-2</v>
      </c>
      <c r="AG150">
        <f t="shared" si="24"/>
        <v>0.13641147147780042</v>
      </c>
      <c r="AH150">
        <f t="shared" si="25"/>
        <v>0.67939602139459299</v>
      </c>
      <c r="AI150">
        <f t="shared" si="26"/>
        <v>0.89629232761766309</v>
      </c>
      <c r="AJ150">
        <f t="shared" si="27"/>
        <v>0.1037076723823368</v>
      </c>
      <c r="AK150">
        <f t="shared" si="28"/>
        <v>1.8113989315197945E-2</v>
      </c>
      <c r="AL150">
        <f t="shared" si="29"/>
        <v>3.8913914883870741E-2</v>
      </c>
    </row>
    <row r="151" spans="1:38" x14ac:dyDescent="0.35">
      <c r="A151" t="s">
        <v>63</v>
      </c>
      <c r="B151" t="s">
        <v>69</v>
      </c>
      <c r="C151">
        <v>-4.9648577665709999E-3</v>
      </c>
      <c r="D151">
        <v>-1.1457364076702E-3</v>
      </c>
      <c r="E151">
        <v>-3.8191213589006999E-3</v>
      </c>
      <c r="F151">
        <v>-2.3718753702646998E-3</v>
      </c>
      <c r="G151">
        <v>0</v>
      </c>
      <c r="H151">
        <v>0</v>
      </c>
      <c r="I151">
        <v>0</v>
      </c>
      <c r="J151">
        <v>0</v>
      </c>
      <c r="K151">
        <v>-7.7115026817946002E-3</v>
      </c>
      <c r="L151">
        <v>-5.4419247585320999E-3</v>
      </c>
      <c r="M151">
        <v>-1.7795775419526001E-3</v>
      </c>
      <c r="N151">
        <v>-1.2558287904305E-3</v>
      </c>
      <c r="O151">
        <v>-5.9319251398419004E-3</v>
      </c>
      <c r="P151">
        <v>-4.1860959681015997E-3</v>
      </c>
      <c r="Q151">
        <v>-3.6840377184282E-3</v>
      </c>
      <c r="R151">
        <v>-2.5997859170315001E-3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91.233487908610002</v>
      </c>
      <c r="AB151">
        <v>64.38249419652</v>
      </c>
      <c r="AC151">
        <f t="shared" si="20"/>
        <v>1</v>
      </c>
      <c r="AD151">
        <f t="shared" si="21"/>
        <v>0.76923076923075528</v>
      </c>
      <c r="AE151">
        <f t="shared" si="22"/>
        <v>0.76923076923075528</v>
      </c>
      <c r="AF151">
        <f t="shared" si="23"/>
        <v>0.23076923076922456</v>
      </c>
      <c r="AG151">
        <f t="shared" si="24"/>
        <v>0.23076923076922456</v>
      </c>
      <c r="AH151">
        <f t="shared" si="25"/>
        <v>0</v>
      </c>
      <c r="AI151">
        <v>0</v>
      </c>
      <c r="AJ151">
        <v>0</v>
      </c>
      <c r="AK151">
        <f t="shared" si="28"/>
        <v>-5.4419247585320588E-5</v>
      </c>
      <c r="AL151">
        <f t="shared" si="29"/>
        <v>-7.7115026817947666E-5</v>
      </c>
    </row>
    <row r="152" spans="1:38" x14ac:dyDescent="0.35">
      <c r="A152" t="s">
        <v>64</v>
      </c>
      <c r="B152" t="s">
        <v>69</v>
      </c>
      <c r="C152">
        <v>-0.19161498549824249</v>
      </c>
      <c r="D152">
        <v>0</v>
      </c>
      <c r="E152">
        <v>-0.19161498549824249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-0.13001073313003439</v>
      </c>
      <c r="L152">
        <v>-6.1833593114673797E-2</v>
      </c>
      <c r="M152">
        <v>0</v>
      </c>
      <c r="N152">
        <v>0</v>
      </c>
      <c r="O152">
        <v>-0.13001073313003439</v>
      </c>
      <c r="P152">
        <v>-6.1833593114673603E-2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309.88816247970999</v>
      </c>
      <c r="AB152">
        <v>147.38397429586999</v>
      </c>
      <c r="AC152">
        <f t="shared" si="20"/>
        <v>1</v>
      </c>
      <c r="AD152">
        <f t="shared" si="21"/>
        <v>1</v>
      </c>
      <c r="AE152">
        <f t="shared" si="22"/>
        <v>1</v>
      </c>
      <c r="AF152">
        <f t="shared" si="23"/>
        <v>0</v>
      </c>
      <c r="AG152">
        <f t="shared" si="24"/>
        <v>0</v>
      </c>
      <c r="AH152">
        <f t="shared" si="25"/>
        <v>0</v>
      </c>
      <c r="AI152">
        <v>0</v>
      </c>
      <c r="AJ152">
        <v>0</v>
      </c>
      <c r="AK152">
        <f t="shared" si="28"/>
        <v>-6.1833593114673602E-4</v>
      </c>
      <c r="AL152">
        <f t="shared" si="29"/>
        <v>-1.3001073313003472E-3</v>
      </c>
    </row>
    <row r="153" spans="1:38" x14ac:dyDescent="0.35">
      <c r="A153" t="s">
        <v>65</v>
      </c>
      <c r="B153" t="s">
        <v>69</v>
      </c>
      <c r="C153">
        <v>5.989153123818987</v>
      </c>
      <c r="D153">
        <v>-4.1489705375412E-3</v>
      </c>
      <c r="E153">
        <v>5.9933020943565296</v>
      </c>
      <c r="F153">
        <v>0</v>
      </c>
      <c r="G153">
        <v>2.4919180275215358</v>
      </c>
      <c r="H153">
        <v>2.528038476907192</v>
      </c>
      <c r="I153">
        <v>-3.6120449385656103E-2</v>
      </c>
      <c r="J153">
        <v>0</v>
      </c>
      <c r="K153">
        <v>1.047965084417287</v>
      </c>
      <c r="L153">
        <v>0.49276291212012419</v>
      </c>
      <c r="M153">
        <v>-7.2597513700680002E-4</v>
      </c>
      <c r="N153">
        <v>-3.4136024945629999E-4</v>
      </c>
      <c r="O153">
        <v>1.048691059554294</v>
      </c>
      <c r="P153">
        <v>0.49310427236958088</v>
      </c>
      <c r="Q153">
        <v>0</v>
      </c>
      <c r="R153">
        <v>0</v>
      </c>
      <c r="S153">
        <v>0.43602877269689427</v>
      </c>
      <c r="T153">
        <v>0.20502477706283079</v>
      </c>
      <c r="U153">
        <v>0.44234902683083649</v>
      </c>
      <c r="V153">
        <v>0.20799661923456941</v>
      </c>
      <c r="W153">
        <v>-6.3202541339419001E-3</v>
      </c>
      <c r="X153">
        <v>-2.9718421717381E-3</v>
      </c>
      <c r="Y153">
        <v>0</v>
      </c>
      <c r="Z153">
        <v>0</v>
      </c>
      <c r="AA153">
        <v>1215.4228689920101</v>
      </c>
      <c r="AB153">
        <v>571.50311712429004</v>
      </c>
      <c r="AC153">
        <f t="shared" si="20"/>
        <v>0.70617885606022046</v>
      </c>
      <c r="AD153">
        <f t="shared" si="21"/>
        <v>0.70666805966003776</v>
      </c>
      <c r="AE153">
        <f t="shared" si="22"/>
        <v>1.0006927474472211</v>
      </c>
      <c r="AF153">
        <f t="shared" si="23"/>
        <v>-4.8920359981715418E-4</v>
      </c>
      <c r="AG153">
        <f t="shared" si="24"/>
        <v>-6.9274744722098644E-4</v>
      </c>
      <c r="AH153">
        <f t="shared" si="25"/>
        <v>0.29382114393977959</v>
      </c>
      <c r="AI153">
        <f t="shared" si="26"/>
        <v>1.0144950391572798</v>
      </c>
      <c r="AJ153">
        <f t="shared" si="27"/>
        <v>-1.44950391572798E-2</v>
      </c>
      <c r="AK153">
        <f t="shared" si="28"/>
        <v>6.9778768918295504E-3</v>
      </c>
      <c r="AL153">
        <f t="shared" si="29"/>
        <v>1.4839938571141801E-2</v>
      </c>
    </row>
    <row r="154" spans="1:38" x14ac:dyDescent="0.35">
      <c r="A154" t="s">
        <v>28</v>
      </c>
      <c r="B154" t="s">
        <v>70</v>
      </c>
      <c r="C154">
        <v>0.8303883820210558</v>
      </c>
      <c r="D154">
        <v>9.8710831084147799E-5</v>
      </c>
      <c r="E154">
        <v>0.83028967118997343</v>
      </c>
      <c r="F154">
        <v>0</v>
      </c>
      <c r="G154">
        <v>2.0812524626020001E-4</v>
      </c>
      <c r="H154">
        <v>8.9196534112545578E-5</v>
      </c>
      <c r="I154">
        <v>1.189287121476E-4</v>
      </c>
      <c r="J154">
        <v>0</v>
      </c>
      <c r="K154">
        <v>5.5552794872685399E-2</v>
      </c>
      <c r="L154">
        <v>6.7703036362789903E-2</v>
      </c>
      <c r="M154">
        <v>6.6037322652423569E-6</v>
      </c>
      <c r="N154">
        <v>8.0480689891304635E-6</v>
      </c>
      <c r="O154">
        <v>5.5546191140420399E-2</v>
      </c>
      <c r="P154">
        <v>6.7694988293798206E-2</v>
      </c>
      <c r="Q154">
        <v>0</v>
      </c>
      <c r="R154">
        <v>0</v>
      </c>
      <c r="S154">
        <v>1.392353188434114E-5</v>
      </c>
      <c r="T154">
        <v>1.6968820157892139E-5</v>
      </c>
      <c r="U154">
        <v>5.9672279504319192E-6</v>
      </c>
      <c r="V154">
        <v>7.2723514963346503E-6</v>
      </c>
      <c r="W154">
        <v>7.9563039337982033E-6</v>
      </c>
      <c r="X154">
        <v>9.6964686615574874E-6</v>
      </c>
      <c r="Y154">
        <v>0</v>
      </c>
      <c r="Z154">
        <v>0</v>
      </c>
      <c r="AA154">
        <v>1226.51571721458</v>
      </c>
      <c r="AB154">
        <v>1494.77336635199</v>
      </c>
      <c r="AC154">
        <f t="shared" si="20"/>
        <v>0.9997494267740844</v>
      </c>
      <c r="AD154">
        <f t="shared" si="21"/>
        <v>0.99963058347265132</v>
      </c>
      <c r="AE154">
        <f t="shared" si="22"/>
        <v>0.99988112691215392</v>
      </c>
      <c r="AF154">
        <f t="shared" si="23"/>
        <v>1.1884330143514446E-4</v>
      </c>
      <c r="AG154">
        <f t="shared" si="24"/>
        <v>1.1887308784824114E-4</v>
      </c>
      <c r="AH154">
        <f t="shared" si="25"/>
        <v>2.5057322591559821E-4</v>
      </c>
      <c r="AI154">
        <f t="shared" si="26"/>
        <v>0.4285714285763837</v>
      </c>
      <c r="AJ154">
        <f t="shared" si="27"/>
        <v>0.57142857142335479</v>
      </c>
      <c r="AK154">
        <f t="shared" si="28"/>
        <v>6.7720005182942344E-4</v>
      </c>
      <c r="AL154">
        <f t="shared" si="29"/>
        <v>5.5566718404569614E-4</v>
      </c>
    </row>
    <row r="155" spans="1:38" x14ac:dyDescent="0.35">
      <c r="A155" t="s">
        <v>29</v>
      </c>
      <c r="B155" t="s">
        <v>70</v>
      </c>
      <c r="C155">
        <v>0.50948049435228882</v>
      </c>
      <c r="D155">
        <v>8.3203043236338203E-2</v>
      </c>
      <c r="E155">
        <v>0.42627745111596482</v>
      </c>
      <c r="F155">
        <v>0.13419845683279871</v>
      </c>
      <c r="G155">
        <v>0.1398821561810166</v>
      </c>
      <c r="H155">
        <v>8.2097879474187004E-3</v>
      </c>
      <c r="I155">
        <v>0.13167236823359471</v>
      </c>
      <c r="J155">
        <v>0</v>
      </c>
      <c r="K155">
        <v>3.00294097534568E-2</v>
      </c>
      <c r="L155">
        <v>2.9561009374893001E-2</v>
      </c>
      <c r="M155">
        <v>4.9040901580639003E-3</v>
      </c>
      <c r="N155">
        <v>4.8275958910961002E-3</v>
      </c>
      <c r="O155">
        <v>2.5125319595392801E-2</v>
      </c>
      <c r="P155">
        <v>2.4733413483795898E-2</v>
      </c>
      <c r="Q155">
        <v>7.9098228355860001E-3</v>
      </c>
      <c r="R155">
        <v>7.7864449856387997E-3</v>
      </c>
      <c r="S155">
        <v>8.2448270968589008E-3</v>
      </c>
      <c r="T155">
        <v>8.1162238320890007E-3</v>
      </c>
      <c r="U155">
        <v>4.8389504405939998E-4</v>
      </c>
      <c r="V155">
        <v>4.7634722265079999E-4</v>
      </c>
      <c r="W155">
        <v>7.7609320527994999E-3</v>
      </c>
      <c r="X155">
        <v>7.6398766094385E-3</v>
      </c>
      <c r="Y155">
        <v>0</v>
      </c>
      <c r="Z155">
        <v>0</v>
      </c>
      <c r="AA155">
        <v>1723.48815255626</v>
      </c>
      <c r="AB155">
        <v>1696.60508992738</v>
      </c>
      <c r="AC155">
        <f t="shared" si="20"/>
        <v>0.7845854607342525</v>
      </c>
      <c r="AD155">
        <f t="shared" si="21"/>
        <v>0.656455142231962</v>
      </c>
      <c r="AE155">
        <f t="shared" si="22"/>
        <v>0.83669042454294262</v>
      </c>
      <c r="AF155">
        <f t="shared" si="23"/>
        <v>0.12813031850231241</v>
      </c>
      <c r="AG155">
        <f t="shared" si="24"/>
        <v>0.16330957545708524</v>
      </c>
      <c r="AH155">
        <f t="shared" si="25"/>
        <v>0.2154145392657475</v>
      </c>
      <c r="AI155">
        <f t="shared" si="26"/>
        <v>5.8690744920994076E-2</v>
      </c>
      <c r="AJ155">
        <f t="shared" si="27"/>
        <v>0.94130925507898311</v>
      </c>
      <c r="AK155">
        <f t="shared" si="28"/>
        <v>3.7677233206980703E-4</v>
      </c>
      <c r="AL155">
        <f t="shared" si="29"/>
        <v>3.8274236850315013E-4</v>
      </c>
    </row>
    <row r="156" spans="1:38" x14ac:dyDescent="0.35">
      <c r="A156" t="s">
        <v>30</v>
      </c>
      <c r="B156" t="s">
        <v>70</v>
      </c>
      <c r="C156">
        <v>0.52520956131547791</v>
      </c>
      <c r="D156">
        <v>1.1950101937878339</v>
      </c>
      <c r="E156">
        <v>-0.66980063247234511</v>
      </c>
      <c r="F156">
        <v>16.714601477146751</v>
      </c>
      <c r="G156">
        <v>1.0730574657911229</v>
      </c>
      <c r="H156">
        <v>6.3387360848420102E-2</v>
      </c>
      <c r="I156">
        <v>1.0096701049426999</v>
      </c>
      <c r="J156">
        <v>0</v>
      </c>
      <c r="K156">
        <v>2.0070584506226102E-2</v>
      </c>
      <c r="L156">
        <v>1.8066503485737601E-2</v>
      </c>
      <c r="M156">
        <v>4.5666634514698198E-2</v>
      </c>
      <c r="N156">
        <v>4.1106745614994999E-2</v>
      </c>
      <c r="O156">
        <v>-2.5596050008472201E-2</v>
      </c>
      <c r="P156">
        <v>-2.3040242129257898E-2</v>
      </c>
      <c r="Q156">
        <v>0.63873898372051396</v>
      </c>
      <c r="R156">
        <v>0.57495984096942188</v>
      </c>
      <c r="S156">
        <v>4.1006280413581501E-2</v>
      </c>
      <c r="T156">
        <v>3.6911735569995899E-2</v>
      </c>
      <c r="U156">
        <v>2.4223119231650998E-3</v>
      </c>
      <c r="V156">
        <v>2.1804400758647E-3</v>
      </c>
      <c r="W156">
        <v>3.8583968490415899E-2</v>
      </c>
      <c r="X156">
        <v>3.4731295494131197E-2</v>
      </c>
      <c r="Y156">
        <v>0</v>
      </c>
      <c r="Z156">
        <v>0</v>
      </c>
      <c r="AA156">
        <v>2907.0902498102801</v>
      </c>
      <c r="AB156">
        <v>2616.8124857180101</v>
      </c>
      <c r="AC156">
        <f t="shared" si="20"/>
        <v>0.32861189801699364</v>
      </c>
      <c r="AD156">
        <f t="shared" si="21"/>
        <v>-0.41907930346589756</v>
      </c>
      <c r="AE156">
        <f t="shared" si="22"/>
        <v>-1.2753016734781331</v>
      </c>
      <c r="AF156">
        <f t="shared" si="23"/>
        <v>0.74769120148289803</v>
      </c>
      <c r="AG156">
        <f t="shared" si="24"/>
        <v>2.2753016734781539</v>
      </c>
      <c r="AH156">
        <f t="shared" si="25"/>
        <v>0.67138810198300636</v>
      </c>
      <c r="AI156">
        <f t="shared" si="26"/>
        <v>5.907172995780529E-2</v>
      </c>
      <c r="AJ156">
        <f t="shared" si="27"/>
        <v>0.94092827004219204</v>
      </c>
      <c r="AK156">
        <f t="shared" si="28"/>
        <v>5.4978239055732982E-4</v>
      </c>
      <c r="AL156">
        <f t="shared" si="29"/>
        <v>6.1076864919805776E-4</v>
      </c>
    </row>
    <row r="157" spans="1:38" x14ac:dyDescent="0.35">
      <c r="A157" t="s">
        <v>31</v>
      </c>
      <c r="B157" t="s">
        <v>70</v>
      </c>
      <c r="C157">
        <v>1.107769591968633</v>
      </c>
      <c r="D157">
        <v>0.1207378301873092</v>
      </c>
      <c r="E157">
        <v>0.9870317617812816</v>
      </c>
      <c r="F157">
        <v>0</v>
      </c>
      <c r="G157">
        <v>2.795986302562369</v>
      </c>
      <c r="H157">
        <v>0.30184457546828009</v>
      </c>
      <c r="I157">
        <v>2.494141727094302</v>
      </c>
      <c r="J157">
        <v>0</v>
      </c>
      <c r="K157">
        <v>3.0794324993863101E-2</v>
      </c>
      <c r="L157">
        <v>2.6617657271588099E-2</v>
      </c>
      <c r="M157">
        <v>3.3563296996037E-3</v>
      </c>
      <c r="N157">
        <v>2.9011070595734E-3</v>
      </c>
      <c r="O157">
        <v>2.7437995294260199E-2</v>
      </c>
      <c r="P157">
        <v>2.3716550212014902E-2</v>
      </c>
      <c r="Q157">
        <v>0</v>
      </c>
      <c r="R157">
        <v>0</v>
      </c>
      <c r="S157">
        <v>7.7724205018569095E-2</v>
      </c>
      <c r="T157">
        <v>6.7182386732074606E-2</v>
      </c>
      <c r="U157">
        <v>8.3908242490089002E-3</v>
      </c>
      <c r="V157">
        <v>7.2527676489335001E-3</v>
      </c>
      <c r="W157">
        <v>6.9333380769560193E-2</v>
      </c>
      <c r="X157">
        <v>5.9929619083138798E-2</v>
      </c>
      <c r="Y157">
        <v>0</v>
      </c>
      <c r="Z157">
        <v>0</v>
      </c>
      <c r="AA157">
        <v>4161.7847155581303</v>
      </c>
      <c r="AB157">
        <v>3597.3173374942398</v>
      </c>
      <c r="AC157">
        <f t="shared" si="20"/>
        <v>0.28377020026292415</v>
      </c>
      <c r="AD157">
        <f t="shared" si="21"/>
        <v>0.25284156808167019</v>
      </c>
      <c r="AE157">
        <f t="shared" si="22"/>
        <v>0.89100817438688984</v>
      </c>
      <c r="AF157">
        <f t="shared" si="23"/>
        <v>3.0928632181243153E-2</v>
      </c>
      <c r="AG157">
        <f t="shared" si="24"/>
        <v>0.10899182561307202</v>
      </c>
      <c r="AH157">
        <f t="shared" si="25"/>
        <v>0.7162297997370759</v>
      </c>
      <c r="AI157">
        <f t="shared" si="26"/>
        <v>0.10795638562022138</v>
      </c>
      <c r="AJ157">
        <f t="shared" si="27"/>
        <v>0.8920436143798548</v>
      </c>
      <c r="AK157">
        <f t="shared" si="28"/>
        <v>9.3800044003657112E-4</v>
      </c>
      <c r="AL157">
        <f t="shared" si="29"/>
        <v>1.0851853001242909E-3</v>
      </c>
    </row>
    <row r="158" spans="1:38" x14ac:dyDescent="0.35">
      <c r="A158" t="s">
        <v>32</v>
      </c>
      <c r="B158" t="s">
        <v>70</v>
      </c>
      <c r="C158">
        <v>32.293957986448447</v>
      </c>
      <c r="D158">
        <v>0.59931616434672996</v>
      </c>
      <c r="E158">
        <v>31.694641822101719</v>
      </c>
      <c r="F158">
        <v>2.1129120282806099E-2</v>
      </c>
      <c r="G158">
        <v>1.757490040666426</v>
      </c>
      <c r="H158">
        <v>9.8099487027312002E-3</v>
      </c>
      <c r="I158">
        <v>1.747680091963616</v>
      </c>
      <c r="J158">
        <v>0</v>
      </c>
      <c r="K158">
        <v>1.6835925105330429</v>
      </c>
      <c r="L158">
        <v>1.381465248595533</v>
      </c>
      <c r="M158">
        <v>3.12443648486493E-2</v>
      </c>
      <c r="N158">
        <v>2.5637441354014301E-2</v>
      </c>
      <c r="O158">
        <v>1.652348145684394</v>
      </c>
      <c r="P158">
        <v>1.3558278072415191</v>
      </c>
      <c r="Q158">
        <v>1.1015320165218001E-3</v>
      </c>
      <c r="R158">
        <v>9.0385778715449999E-4</v>
      </c>
      <c r="S158">
        <v>9.1623859517120806E-2</v>
      </c>
      <c r="T158">
        <v>7.5181599510106098E-2</v>
      </c>
      <c r="U158">
        <v>5.1142557909939997E-4</v>
      </c>
      <c r="V158">
        <v>4.1964825832170003E-4</v>
      </c>
      <c r="W158">
        <v>9.1112433938022194E-2</v>
      </c>
      <c r="X158">
        <v>7.4761951251783601E-2</v>
      </c>
      <c r="Y158">
        <v>0</v>
      </c>
      <c r="Z158">
        <v>0</v>
      </c>
      <c r="AA158">
        <v>2337.6598158571201</v>
      </c>
      <c r="AB158">
        <v>1918.15761738117</v>
      </c>
      <c r="AC158">
        <f t="shared" si="20"/>
        <v>0.94838721574286788</v>
      </c>
      <c r="AD158">
        <f t="shared" si="21"/>
        <v>0.93078690212714454</v>
      </c>
      <c r="AE158">
        <f t="shared" si="22"/>
        <v>0.98144184851549565</v>
      </c>
      <c r="AF158">
        <f t="shared" si="23"/>
        <v>1.7600313615723468E-2</v>
      </c>
      <c r="AG158">
        <f t="shared" si="24"/>
        <v>1.8558151484504369E-2</v>
      </c>
      <c r="AH158">
        <f t="shared" si="25"/>
        <v>5.1612784257132088E-2</v>
      </c>
      <c r="AI158">
        <f t="shared" si="26"/>
        <v>5.5817947616996723E-3</v>
      </c>
      <c r="AJ158">
        <f t="shared" si="27"/>
        <v>0.99441820523825541</v>
      </c>
      <c r="AK158">
        <f t="shared" si="28"/>
        <v>1.4566468481056411E-2</v>
      </c>
      <c r="AL158">
        <f t="shared" si="29"/>
        <v>1.775216370050172E-2</v>
      </c>
    </row>
    <row r="159" spans="1:38" x14ac:dyDescent="0.35">
      <c r="A159" t="s">
        <v>33</v>
      </c>
      <c r="B159" t="s">
        <v>70</v>
      </c>
      <c r="C159">
        <v>18.41942346889493</v>
      </c>
      <c r="D159">
        <v>7.1761873683442404E-2</v>
      </c>
      <c r="E159">
        <v>18.347661595211431</v>
      </c>
      <c r="F159">
        <v>0.1943550745593256</v>
      </c>
      <c r="G159">
        <v>0.117360564253147</v>
      </c>
      <c r="H159">
        <v>0</v>
      </c>
      <c r="I159">
        <v>0.117360564253147</v>
      </c>
      <c r="J159">
        <v>1.0233542195064731</v>
      </c>
      <c r="K159">
        <v>0.40355130277511719</v>
      </c>
      <c r="L159">
        <v>0.34591426539947001</v>
      </c>
      <c r="M159">
        <v>1.5722314904937E-3</v>
      </c>
      <c r="N159">
        <v>1.3476782191809999E-3</v>
      </c>
      <c r="O159">
        <v>0.40197907128462518</v>
      </c>
      <c r="P159">
        <v>0.34456658718028871</v>
      </c>
      <c r="Q159">
        <v>4.2581269534211997E-3</v>
      </c>
      <c r="R159">
        <v>3.6499618436155999E-3</v>
      </c>
      <c r="S159">
        <v>2.5712535834125001E-3</v>
      </c>
      <c r="T159">
        <v>2.2040154209519002E-3</v>
      </c>
      <c r="U159">
        <v>0</v>
      </c>
      <c r="V159">
        <v>0</v>
      </c>
      <c r="W159">
        <v>2.5712535834125001E-3</v>
      </c>
      <c r="X159">
        <v>2.2040154209519002E-3</v>
      </c>
      <c r="Y159">
        <v>2.24206761508902E-2</v>
      </c>
      <c r="Z159">
        <v>1.9218452938108699E-2</v>
      </c>
      <c r="AA159">
        <v>5324.8522282316499</v>
      </c>
      <c r="AB159">
        <v>4564.3325500944502</v>
      </c>
      <c r="AC159">
        <f t="shared" si="20"/>
        <v>0.99366877425753686</v>
      </c>
      <c r="AD159">
        <f t="shared" si="21"/>
        <v>0.98979745151055054</v>
      </c>
      <c r="AE159">
        <f t="shared" si="22"/>
        <v>0.99610401086631817</v>
      </c>
      <c r="AF159">
        <f t="shared" si="23"/>
        <v>3.8713227469832686E-3</v>
      </c>
      <c r="AG159">
        <f t="shared" si="24"/>
        <v>3.8959891336787724E-3</v>
      </c>
      <c r="AH159">
        <f t="shared" si="25"/>
        <v>6.3312257424631502E-3</v>
      </c>
      <c r="AI159">
        <f t="shared" si="26"/>
        <v>0</v>
      </c>
      <c r="AJ159">
        <f t="shared" si="27"/>
        <v>1</v>
      </c>
      <c r="AK159">
        <f t="shared" si="28"/>
        <v>3.4811828082042433E-3</v>
      </c>
      <c r="AL159">
        <f t="shared" si="29"/>
        <v>4.0612255635853033E-3</v>
      </c>
    </row>
    <row r="160" spans="1:38" x14ac:dyDescent="0.35">
      <c r="A160" t="s">
        <v>34</v>
      </c>
      <c r="B160" t="s">
        <v>70</v>
      </c>
      <c r="C160">
        <v>17.39332324339199</v>
      </c>
      <c r="D160">
        <v>4.1605968119116481</v>
      </c>
      <c r="E160">
        <v>13.232726431480341</v>
      </c>
      <c r="F160">
        <v>11.662486029476231</v>
      </c>
      <c r="G160">
        <v>0.1127275420472031</v>
      </c>
      <c r="H160">
        <v>0</v>
      </c>
      <c r="I160">
        <v>0.1127275420472031</v>
      </c>
      <c r="J160">
        <v>0.1987439034682694</v>
      </c>
      <c r="K160">
        <v>1.061768184786114</v>
      </c>
      <c r="L160">
        <v>0.80653856176878946</v>
      </c>
      <c r="M160">
        <v>0.2539819022962525</v>
      </c>
      <c r="N160">
        <v>0.1929293052179612</v>
      </c>
      <c r="O160">
        <v>0.8077862824898614</v>
      </c>
      <c r="P160">
        <v>0.61360925655082843</v>
      </c>
      <c r="Q160">
        <v>0.71193161009727324</v>
      </c>
      <c r="R160">
        <v>0.5407962916135618</v>
      </c>
      <c r="S160">
        <v>6.8814059291586E-3</v>
      </c>
      <c r="T160">
        <v>5.2272419917809001E-3</v>
      </c>
      <c r="U160">
        <v>0</v>
      </c>
      <c r="V160">
        <v>0</v>
      </c>
      <c r="W160">
        <v>6.8814059291586E-3</v>
      </c>
      <c r="X160">
        <v>5.2272419917809001E-3</v>
      </c>
      <c r="Y160">
        <v>1.21322389442157E-2</v>
      </c>
      <c r="Z160">
        <v>9.2158709305030003E-3</v>
      </c>
      <c r="AA160">
        <v>2156.5395714307001</v>
      </c>
      <c r="AB160">
        <v>1638.14696019506</v>
      </c>
      <c r="AC160">
        <f t="shared" si="20"/>
        <v>0.99356065263211935</v>
      </c>
      <c r="AD160">
        <f t="shared" si="21"/>
        <v>0.75589443865242145</v>
      </c>
      <c r="AE160">
        <f t="shared" si="22"/>
        <v>0.76079345196483206</v>
      </c>
      <c r="AF160">
        <f t="shared" si="23"/>
        <v>0.23766621397969781</v>
      </c>
      <c r="AG160">
        <f t="shared" si="24"/>
        <v>0.23920654803516789</v>
      </c>
      <c r="AH160">
        <f t="shared" si="25"/>
        <v>6.4393473678806641E-3</v>
      </c>
      <c r="AI160">
        <f t="shared" si="26"/>
        <v>0</v>
      </c>
      <c r="AJ160">
        <f t="shared" si="27"/>
        <v>1</v>
      </c>
      <c r="AK160">
        <f t="shared" si="28"/>
        <v>8.1176580376057083E-3</v>
      </c>
      <c r="AL160">
        <f t="shared" si="29"/>
        <v>1.0686495907152729E-2</v>
      </c>
    </row>
    <row r="161" spans="1:38" x14ac:dyDescent="0.35">
      <c r="A161" t="s">
        <v>35</v>
      </c>
      <c r="B161" t="s">
        <v>70</v>
      </c>
      <c r="C161">
        <v>44.535014678177703</v>
      </c>
      <c r="D161">
        <v>11.083715197058419</v>
      </c>
      <c r="E161">
        <v>33.451299481119278</v>
      </c>
      <c r="F161">
        <v>-0.56330455967290338</v>
      </c>
      <c r="G161">
        <v>0.4565067174930561</v>
      </c>
      <c r="H161">
        <v>1.9287868372448E-3</v>
      </c>
      <c r="I161">
        <v>0.45457793065583019</v>
      </c>
      <c r="J161">
        <v>3.01844575468663E-2</v>
      </c>
      <c r="K161">
        <v>3.363878895081938</v>
      </c>
      <c r="L161">
        <v>2.478949519604047</v>
      </c>
      <c r="M161">
        <v>0.83719015026513932</v>
      </c>
      <c r="N161">
        <v>0.61695209178047894</v>
      </c>
      <c r="O161">
        <v>2.5266887448167989</v>
      </c>
      <c r="P161">
        <v>1.8619974278235689</v>
      </c>
      <c r="Q161">
        <v>-4.2548281020677502E-2</v>
      </c>
      <c r="R161">
        <v>-3.1355183728639303E-2</v>
      </c>
      <c r="S161">
        <v>3.4481482122211901E-2</v>
      </c>
      <c r="T161">
        <v>2.5410502639399299E-2</v>
      </c>
      <c r="U161">
        <v>1.456877331646E-4</v>
      </c>
      <c r="V161">
        <v>1.07361931688E-4</v>
      </c>
      <c r="W161">
        <v>3.4335794389047401E-2</v>
      </c>
      <c r="X161">
        <v>2.5303140707711301E-2</v>
      </c>
      <c r="Y161">
        <v>2.2799332263643999E-3</v>
      </c>
      <c r="Z161">
        <v>1.6801554254787E-3</v>
      </c>
      <c r="AA161">
        <v>1796.5276955414199</v>
      </c>
      <c r="AB161">
        <v>1323.9184901480501</v>
      </c>
      <c r="AC161">
        <f t="shared" si="20"/>
        <v>0.98985349454004057</v>
      </c>
      <c r="AD161">
        <f t="shared" si="21"/>
        <v>0.74350229650909472</v>
      </c>
      <c r="AE161">
        <f t="shared" si="22"/>
        <v>0.75112357597381729</v>
      </c>
      <c r="AF161">
        <f t="shared" si="23"/>
        <v>0.24635119803094574</v>
      </c>
      <c r="AG161">
        <f t="shared" si="24"/>
        <v>0.24887642402618257</v>
      </c>
      <c r="AH161">
        <f t="shared" si="25"/>
        <v>1.0146505459959458E-2</v>
      </c>
      <c r="AI161">
        <f t="shared" si="26"/>
        <v>4.2251006684784192E-3</v>
      </c>
      <c r="AJ161">
        <f t="shared" si="27"/>
        <v>0.99577489933156293</v>
      </c>
      <c r="AK161">
        <f t="shared" si="28"/>
        <v>2.5043600222434452E-2</v>
      </c>
      <c r="AL161">
        <f t="shared" si="29"/>
        <v>3.3983603772041501E-2</v>
      </c>
    </row>
    <row r="162" spans="1:38" x14ac:dyDescent="0.35">
      <c r="A162" t="s">
        <v>36</v>
      </c>
      <c r="B162" t="s">
        <v>70</v>
      </c>
      <c r="C162">
        <v>-0.48813945339185238</v>
      </c>
      <c r="D162">
        <v>59.277619120647593</v>
      </c>
      <c r="E162">
        <v>-59.76575857403941</v>
      </c>
      <c r="F162">
        <v>5.1480457660034098</v>
      </c>
      <c r="G162">
        <v>0.78789688487375997</v>
      </c>
      <c r="H162">
        <v>2.3105480494830999E-3</v>
      </c>
      <c r="I162">
        <v>0.78558633682428081</v>
      </c>
      <c r="J162">
        <v>0</v>
      </c>
      <c r="K162">
        <v>-1.5460229405817901E-2</v>
      </c>
      <c r="L162">
        <v>-1.6592161406265401E-2</v>
      </c>
      <c r="M162">
        <v>1.8774257722216121</v>
      </c>
      <c r="N162">
        <v>2.014882872905865</v>
      </c>
      <c r="O162">
        <v>-1.89288600162743</v>
      </c>
      <c r="P162">
        <v>-2.0314750343121291</v>
      </c>
      <c r="Q162">
        <v>0.16304760449301869</v>
      </c>
      <c r="R162">
        <v>0.17498525407615101</v>
      </c>
      <c r="S162">
        <v>2.49540710213818E-2</v>
      </c>
      <c r="T162">
        <v>2.6781101577593999E-2</v>
      </c>
      <c r="U162">
        <v>7.3179093904349179E-5</v>
      </c>
      <c r="V162">
        <v>7.8536954773000822E-5</v>
      </c>
      <c r="W162">
        <v>2.4880891927477201E-2</v>
      </c>
      <c r="X162">
        <v>2.6702564622819801E-2</v>
      </c>
      <c r="Y162">
        <v>0</v>
      </c>
      <c r="Z162">
        <v>0</v>
      </c>
      <c r="AA162">
        <v>2941.9883367789698</v>
      </c>
      <c r="AB162">
        <v>3157.38816403392</v>
      </c>
      <c r="AC162">
        <f t="shared" si="20"/>
        <v>-1.628448212204924</v>
      </c>
      <c r="AD162">
        <f t="shared" si="21"/>
        <v>-199.38040661269372</v>
      </c>
      <c r="AE162">
        <f t="shared" si="22"/>
        <v>122.43582885742005</v>
      </c>
      <c r="AF162">
        <f t="shared" si="23"/>
        <v>197.75195840048892</v>
      </c>
      <c r="AG162">
        <f t="shared" si="24"/>
        <v>-121.43582885742012</v>
      </c>
      <c r="AH162">
        <f t="shared" si="25"/>
        <v>2.628448212204924</v>
      </c>
      <c r="AI162">
        <f t="shared" si="26"/>
        <v>2.9325513196480084E-3</v>
      </c>
      <c r="AJ162">
        <f t="shared" si="27"/>
        <v>0.99706744868035702</v>
      </c>
      <c r="AK162">
        <f t="shared" si="28"/>
        <v>1.0188940171329722E-4</v>
      </c>
      <c r="AL162">
        <f t="shared" si="29"/>
        <v>9.4938416155628327E-5</v>
      </c>
    </row>
    <row r="163" spans="1:38" x14ac:dyDescent="0.35">
      <c r="A163" t="s">
        <v>37</v>
      </c>
      <c r="B163" t="s">
        <v>70</v>
      </c>
      <c r="C163">
        <v>1824.7279999999989</v>
      </c>
      <c r="D163">
        <v>206.6</v>
      </c>
      <c r="E163">
        <v>1618.1279999999999</v>
      </c>
      <c r="F163">
        <v>-1.9999999999999501E-2</v>
      </c>
      <c r="G163">
        <v>0</v>
      </c>
      <c r="H163">
        <v>0</v>
      </c>
      <c r="I163">
        <v>0</v>
      </c>
      <c r="J163">
        <v>0</v>
      </c>
      <c r="K163">
        <v>9.1561557077690807</v>
      </c>
      <c r="L163">
        <v>9.1354183464125889</v>
      </c>
      <c r="M163">
        <v>1.036681504983259</v>
      </c>
      <c r="N163">
        <v>1.0343335721098379</v>
      </c>
      <c r="O163">
        <v>8.1194742027858222</v>
      </c>
      <c r="P163">
        <v>8.1010847743027501</v>
      </c>
      <c r="Q163">
        <v>-1.003563896402E-4</v>
      </c>
      <c r="R163">
        <v>-1.001290970096E-4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19974.2138871676</v>
      </c>
      <c r="AB163">
        <v>19928.975197</v>
      </c>
      <c r="AC163">
        <f t="shared" si="20"/>
        <v>1</v>
      </c>
      <c r="AD163">
        <f t="shared" si="21"/>
        <v>0.88677764576419105</v>
      </c>
      <c r="AE163">
        <f t="shared" si="22"/>
        <v>0.88677764576419105</v>
      </c>
      <c r="AF163">
        <f t="shared" si="23"/>
        <v>0.11322235423580945</v>
      </c>
      <c r="AG163">
        <f t="shared" si="24"/>
        <v>0.11322235423580945</v>
      </c>
      <c r="AH163">
        <f t="shared" si="25"/>
        <v>0</v>
      </c>
      <c r="AI163">
        <v>0</v>
      </c>
      <c r="AJ163">
        <v>0</v>
      </c>
      <c r="AK163">
        <f t="shared" si="28"/>
        <v>9.135418346412584E-2</v>
      </c>
      <c r="AL163">
        <f t="shared" si="29"/>
        <v>9.1561557077690758E-2</v>
      </c>
    </row>
    <row r="164" spans="1:38" x14ac:dyDescent="0.35">
      <c r="A164" t="s">
        <v>38</v>
      </c>
      <c r="B164" t="s">
        <v>70</v>
      </c>
      <c r="C164">
        <v>-0.2000281227447073</v>
      </c>
      <c r="D164">
        <v>2.4564657236113301</v>
      </c>
      <c r="E164">
        <v>-2.656493846356037</v>
      </c>
      <c r="F164">
        <v>-3.6082982241570201E-2</v>
      </c>
      <c r="G164">
        <v>-1.924531518112417</v>
      </c>
      <c r="H164">
        <v>-0.95092364114216943</v>
      </c>
      <c r="I164">
        <v>-0.9736078769702472</v>
      </c>
      <c r="J164">
        <v>1.196059834340673</v>
      </c>
      <c r="K164">
        <v>-1.5637565202903901E-2</v>
      </c>
      <c r="L164">
        <v>-8.3986584095685993E-3</v>
      </c>
      <c r="M164">
        <v>0.19203871133009029</v>
      </c>
      <c r="N164">
        <v>0.1031405795561872</v>
      </c>
      <c r="O164">
        <v>-0.20767627653299431</v>
      </c>
      <c r="P164">
        <v>-0.11153923796575579</v>
      </c>
      <c r="Q164">
        <v>-2.8208532869045998E-3</v>
      </c>
      <c r="R164">
        <v>-1.5150301771928E-3</v>
      </c>
      <c r="S164">
        <v>-0.15045377963145881</v>
      </c>
      <c r="T164">
        <v>-8.0806051655565606E-2</v>
      </c>
      <c r="U164">
        <v>-7.4340198954534004E-2</v>
      </c>
      <c r="V164">
        <v>-3.9926799921675402E-2</v>
      </c>
      <c r="W164">
        <v>-7.6113580676924794E-2</v>
      </c>
      <c r="X164">
        <v>-4.0879251733890197E-2</v>
      </c>
      <c r="Y164">
        <v>9.3504170260837002E-2</v>
      </c>
      <c r="Z164">
        <v>5.0219428389342902E-2</v>
      </c>
      <c r="AA164">
        <v>2381.6675591522499</v>
      </c>
      <c r="AB164">
        <v>1279.1513266244399</v>
      </c>
      <c r="AC164">
        <f t="shared" si="20"/>
        <v>9.4150391873211295E-2</v>
      </c>
      <c r="AD164">
        <f t="shared" si="21"/>
        <v>1.250373863491218</v>
      </c>
      <c r="AE164">
        <f t="shared" si="22"/>
        <v>13.280601796910716</v>
      </c>
      <c r="AF164">
        <f t="shared" si="23"/>
        <v>-1.1562234716180069</v>
      </c>
      <c r="AG164">
        <f t="shared" si="24"/>
        <v>-12.280601796910718</v>
      </c>
      <c r="AH164">
        <f t="shared" si="25"/>
        <v>0.90584960812678872</v>
      </c>
      <c r="AI164">
        <f t="shared" si="26"/>
        <v>0.49410655642305956</v>
      </c>
      <c r="AJ164">
        <f t="shared" si="27"/>
        <v>0.50589344357694022</v>
      </c>
      <c r="AK164">
        <f t="shared" si="28"/>
        <v>-8.9204710065134249E-4</v>
      </c>
      <c r="AL164">
        <f t="shared" si="29"/>
        <v>-1.6609134483436276E-3</v>
      </c>
    </row>
    <row r="165" spans="1:38" x14ac:dyDescent="0.35">
      <c r="A165" t="s">
        <v>39</v>
      </c>
      <c r="B165" t="s">
        <v>70</v>
      </c>
      <c r="C165">
        <v>5.9126558224667001</v>
      </c>
      <c r="D165">
        <v>0.38031964593465961</v>
      </c>
      <c r="E165">
        <v>5.5323361765320396</v>
      </c>
      <c r="F165">
        <v>0.1745815130605112</v>
      </c>
      <c r="G165">
        <v>2.4997121076552422</v>
      </c>
      <c r="H165">
        <v>1.39596790432272E-2</v>
      </c>
      <c r="I165">
        <v>2.4857524286120172</v>
      </c>
      <c r="J165">
        <v>0.92377554356033542</v>
      </c>
      <c r="K165">
        <v>0.59301286414972698</v>
      </c>
      <c r="L165">
        <v>0.25335066681943258</v>
      </c>
      <c r="M165">
        <v>3.8144354973469699E-2</v>
      </c>
      <c r="N165">
        <v>1.62962700341787E-2</v>
      </c>
      <c r="O165">
        <v>0.5548685091762573</v>
      </c>
      <c r="P165">
        <v>0.23705439678525389</v>
      </c>
      <c r="Q165">
        <v>1.75097428627961E-2</v>
      </c>
      <c r="R165">
        <v>7.4806219195374998E-3</v>
      </c>
      <c r="S165">
        <v>0.250709914633922</v>
      </c>
      <c r="T165">
        <v>0.10710985863994631</v>
      </c>
      <c r="U165">
        <v>1.4000932069443001E-3</v>
      </c>
      <c r="V165">
        <v>5.981565814719E-4</v>
      </c>
      <c r="W165">
        <v>0.24930982142697819</v>
      </c>
      <c r="X165">
        <v>0.1065117020584747</v>
      </c>
      <c r="Y165">
        <v>9.2650544419756897E-2</v>
      </c>
      <c r="Z165">
        <v>3.9582745382066901E-2</v>
      </c>
      <c r="AA165">
        <v>2333.7834064911899</v>
      </c>
      <c r="AB165">
        <v>997.05355143423003</v>
      </c>
      <c r="AC165">
        <f t="shared" si="20"/>
        <v>0.70285273677764504</v>
      </c>
      <c r="AD165">
        <f t="shared" si="21"/>
        <v>0.65764315380483429</v>
      </c>
      <c r="AE165">
        <f t="shared" si="22"/>
        <v>0.9356770193709677</v>
      </c>
      <c r="AF165">
        <f t="shared" si="23"/>
        <v>4.5209582972810684E-2</v>
      </c>
      <c r="AG165">
        <f t="shared" si="24"/>
        <v>6.4322980629032134E-2</v>
      </c>
      <c r="AH165">
        <f t="shared" si="25"/>
        <v>0.29714726322235496</v>
      </c>
      <c r="AI165">
        <f t="shared" si="26"/>
        <v>5.5845147129048936E-3</v>
      </c>
      <c r="AJ165">
        <f t="shared" si="27"/>
        <v>0.994415485287096</v>
      </c>
      <c r="AK165">
        <f t="shared" si="28"/>
        <v>3.6046052545937917E-3</v>
      </c>
      <c r="AL165">
        <f t="shared" si="29"/>
        <v>8.4372277878364873E-3</v>
      </c>
    </row>
    <row r="166" spans="1:38" x14ac:dyDescent="0.35">
      <c r="A166" t="s">
        <v>40</v>
      </c>
      <c r="B166" t="s">
        <v>70</v>
      </c>
      <c r="C166">
        <v>13.79197257640293</v>
      </c>
      <c r="D166">
        <v>0.80433050390652472</v>
      </c>
      <c r="E166">
        <v>12.987642072496399</v>
      </c>
      <c r="F166">
        <v>0</v>
      </c>
      <c r="G166">
        <v>2.7166011792179E-2</v>
      </c>
      <c r="H166">
        <v>0</v>
      </c>
      <c r="I166">
        <v>2.7166011792179E-2</v>
      </c>
      <c r="J166">
        <v>0</v>
      </c>
      <c r="K166">
        <v>3.3318004342018028</v>
      </c>
      <c r="L166">
        <v>2.9432345816350129</v>
      </c>
      <c r="M166">
        <v>0.1943064131915819</v>
      </c>
      <c r="N166">
        <v>0.17164574110391839</v>
      </c>
      <c r="O166">
        <v>3.1374940210102209</v>
      </c>
      <c r="P166">
        <v>2.7715888405310931</v>
      </c>
      <c r="Q166">
        <v>0</v>
      </c>
      <c r="R166">
        <v>0</v>
      </c>
      <c r="S166">
        <v>6.5626384756285001E-3</v>
      </c>
      <c r="T166">
        <v>5.7972813467337004E-3</v>
      </c>
      <c r="U166">
        <v>0</v>
      </c>
      <c r="V166">
        <v>0</v>
      </c>
      <c r="W166">
        <v>6.5626384756285001E-3</v>
      </c>
      <c r="X166">
        <v>5.7972813467337004E-3</v>
      </c>
      <c r="Y166">
        <v>0</v>
      </c>
      <c r="Z166">
        <v>0</v>
      </c>
      <c r="AA166">
        <v>468.59916169988998</v>
      </c>
      <c r="AB166">
        <v>413.94954015926999</v>
      </c>
      <c r="AC166">
        <f t="shared" si="20"/>
        <v>0.99803417473391687</v>
      </c>
      <c r="AD166">
        <f t="shared" si="21"/>
        <v>0.93983007620974224</v>
      </c>
      <c r="AE166">
        <f t="shared" si="22"/>
        <v>0.94168125701738403</v>
      </c>
      <c r="AF166">
        <f t="shared" si="23"/>
        <v>5.820409852417413E-2</v>
      </c>
      <c r="AG166">
        <f t="shared" si="24"/>
        <v>5.8318742982615565E-2</v>
      </c>
      <c r="AH166">
        <f t="shared" si="25"/>
        <v>1.9658252660831807E-3</v>
      </c>
      <c r="AI166">
        <f t="shared" si="26"/>
        <v>0</v>
      </c>
      <c r="AJ166">
        <f t="shared" si="27"/>
        <v>1</v>
      </c>
      <c r="AK166">
        <f t="shared" si="28"/>
        <v>2.949031862981746E-2</v>
      </c>
      <c r="AL166">
        <f t="shared" si="29"/>
        <v>3.3383630726774326E-2</v>
      </c>
    </row>
    <row r="167" spans="1:38" x14ac:dyDescent="0.35">
      <c r="A167" t="s">
        <v>41</v>
      </c>
      <c r="B167" t="s">
        <v>70</v>
      </c>
      <c r="C167">
        <v>4.6620195461430924</v>
      </c>
      <c r="D167">
        <v>0.36683396841928578</v>
      </c>
      <c r="E167">
        <v>4.2951855777238066</v>
      </c>
      <c r="F167">
        <v>-0.18660182045620921</v>
      </c>
      <c r="G167">
        <v>0.27410581093383252</v>
      </c>
      <c r="H167">
        <v>0.1171466316901279</v>
      </c>
      <c r="I167">
        <v>0.15695917924369951</v>
      </c>
      <c r="J167">
        <v>0</v>
      </c>
      <c r="K167">
        <v>0.94152252090010602</v>
      </c>
      <c r="L167">
        <v>0.83951649909033765</v>
      </c>
      <c r="M167">
        <v>7.4084297433641699E-2</v>
      </c>
      <c r="N167">
        <v>6.6057888832652595E-2</v>
      </c>
      <c r="O167">
        <v>0.86743822346646393</v>
      </c>
      <c r="P167">
        <v>0.77345861025768503</v>
      </c>
      <c r="Q167">
        <v>-3.7685345301872598E-2</v>
      </c>
      <c r="R167">
        <v>-3.36024560778347E-2</v>
      </c>
      <c r="S167">
        <v>5.5357295598920303E-2</v>
      </c>
      <c r="T167">
        <v>4.9359799652892201E-2</v>
      </c>
      <c r="U167">
        <v>2.3658457647414598E-2</v>
      </c>
      <c r="V167">
        <v>2.1095263360292799E-2</v>
      </c>
      <c r="W167">
        <v>3.1698837951504098E-2</v>
      </c>
      <c r="X167">
        <v>2.8264536292599701E-2</v>
      </c>
      <c r="Y167">
        <v>0</v>
      </c>
      <c r="Z167">
        <v>0</v>
      </c>
      <c r="AA167">
        <v>555.32196820367994</v>
      </c>
      <c r="AB167">
        <v>495.15751802582002</v>
      </c>
      <c r="AC167">
        <f t="shared" si="20"/>
        <v>0.94446943886041168</v>
      </c>
      <c r="AD167">
        <f t="shared" si="21"/>
        <v>0.87015326131573978</v>
      </c>
      <c r="AE167">
        <f t="shared" si="22"/>
        <v>0.92131436498957431</v>
      </c>
      <c r="AF167">
        <f t="shared" si="23"/>
        <v>7.4316177544671916E-2</v>
      </c>
      <c r="AG167">
        <f t="shared" si="24"/>
        <v>7.8685635010425692E-2</v>
      </c>
      <c r="AH167">
        <f t="shared" si="25"/>
        <v>5.553056113958834E-2</v>
      </c>
      <c r="AI167">
        <f t="shared" si="26"/>
        <v>0.42737741053729938</v>
      </c>
      <c r="AJ167">
        <f t="shared" si="27"/>
        <v>0.57262258946268196</v>
      </c>
      <c r="AK167">
        <f t="shared" si="28"/>
        <v>8.8887629874322971E-3</v>
      </c>
      <c r="AL167">
        <f t="shared" si="29"/>
        <v>9.9687981649902568E-3</v>
      </c>
    </row>
    <row r="168" spans="1:38" x14ac:dyDescent="0.35">
      <c r="A168" t="s">
        <v>42</v>
      </c>
      <c r="B168" t="s">
        <v>70</v>
      </c>
      <c r="C168">
        <v>4.84917598108634E-2</v>
      </c>
      <c r="D168">
        <v>1.0609563743112701E-2</v>
      </c>
      <c r="E168">
        <v>3.7882196067750201E-2</v>
      </c>
      <c r="F168">
        <v>5.7826901482730996E-3</v>
      </c>
      <c r="G168">
        <v>0.13779688645334431</v>
      </c>
      <c r="H168">
        <v>1.5930275890549999E-4</v>
      </c>
      <c r="I168">
        <v>0.1376375836944348</v>
      </c>
      <c r="J168">
        <v>0</v>
      </c>
      <c r="K168">
        <v>2.2487331501438598E-2</v>
      </c>
      <c r="L168">
        <v>1.19028596930119E-2</v>
      </c>
      <c r="M168">
        <v>4.9200271944671E-3</v>
      </c>
      <c r="N168">
        <v>2.6042393415065999E-3</v>
      </c>
      <c r="O168">
        <v>1.7567304306971201E-2</v>
      </c>
      <c r="P168">
        <v>9.2986203515055006E-3</v>
      </c>
      <c r="Q168">
        <v>2.6816364438313001E-3</v>
      </c>
      <c r="R168">
        <v>1.4194277491995E-3</v>
      </c>
      <c r="S168">
        <v>6.3901254102311997E-2</v>
      </c>
      <c r="T168">
        <v>3.3823829285333597E-2</v>
      </c>
      <c r="U168">
        <v>7.3874282199206526E-5</v>
      </c>
      <c r="V168">
        <v>3.9102692815415341E-5</v>
      </c>
      <c r="W168">
        <v>6.3827379820114702E-2</v>
      </c>
      <c r="X168">
        <v>3.3784726592518403E-2</v>
      </c>
      <c r="Y168">
        <v>0</v>
      </c>
      <c r="Z168">
        <v>0</v>
      </c>
      <c r="AA168">
        <v>407.39587848230002</v>
      </c>
      <c r="AB168">
        <v>215.64034757863999</v>
      </c>
      <c r="AC168">
        <f t="shared" si="20"/>
        <v>0.26030442962202305</v>
      </c>
      <c r="AD168">
        <f t="shared" si="21"/>
        <v>0.20335214639985624</v>
      </c>
      <c r="AE168">
        <f t="shared" si="22"/>
        <v>0.78120893561102756</v>
      </c>
      <c r="AF168">
        <f t="shared" si="23"/>
        <v>5.6952283222164106E-2</v>
      </c>
      <c r="AG168">
        <f t="shared" si="24"/>
        <v>0.21879106438896215</v>
      </c>
      <c r="AH168">
        <f t="shared" si="25"/>
        <v>0.73969557037797695</v>
      </c>
      <c r="AI168">
        <f t="shared" si="26"/>
        <v>1.1560693641611214E-3</v>
      </c>
      <c r="AJ168">
        <f t="shared" si="27"/>
        <v>0.99884393063580967</v>
      </c>
      <c r="AK168">
        <f t="shared" si="28"/>
        <v>4.5726688978347467E-4</v>
      </c>
      <c r="AL168">
        <f t="shared" si="29"/>
        <v>8.638858560375476E-4</v>
      </c>
    </row>
    <row r="169" spans="1:38" x14ac:dyDescent="0.35">
      <c r="A169" t="s">
        <v>43</v>
      </c>
      <c r="B169" t="s">
        <v>70</v>
      </c>
      <c r="C169">
        <v>11.8328660765875</v>
      </c>
      <c r="D169">
        <v>3.4109288650490001E-4</v>
      </c>
      <c r="E169">
        <v>11.832524983700999</v>
      </c>
      <c r="F169">
        <v>21.994176816096299</v>
      </c>
      <c r="G169">
        <v>33.062446307244088</v>
      </c>
      <c r="H169">
        <v>25.12571084390953</v>
      </c>
      <c r="I169">
        <v>7.9367354633345588</v>
      </c>
      <c r="J169">
        <v>0</v>
      </c>
      <c r="K169">
        <v>3.5576595296319602</v>
      </c>
      <c r="L169">
        <v>3.8040028626403259</v>
      </c>
      <c r="M169">
        <v>1.025526994313E-4</v>
      </c>
      <c r="N169">
        <v>1.096537650551E-4</v>
      </c>
      <c r="O169">
        <v>3.557556976932529</v>
      </c>
      <c r="P169">
        <v>3.8038932088752722</v>
      </c>
      <c r="Q169">
        <v>6.6127506421302549</v>
      </c>
      <c r="R169">
        <v>7.0706379188545974</v>
      </c>
      <c r="S169">
        <v>9.9405272075752222</v>
      </c>
      <c r="T169">
        <v>10.628840010916401</v>
      </c>
      <c r="U169">
        <v>7.5542750204429563</v>
      </c>
      <c r="V169">
        <v>8.0773563528464187</v>
      </c>
      <c r="W169">
        <v>2.3862521871322659</v>
      </c>
      <c r="X169">
        <v>2.55148365806998</v>
      </c>
      <c r="Y169">
        <v>0</v>
      </c>
      <c r="Z169">
        <v>0</v>
      </c>
      <c r="AA169">
        <v>311.06354290107998</v>
      </c>
      <c r="AB169">
        <v>332.60254327404999</v>
      </c>
      <c r="AC169">
        <f t="shared" si="20"/>
        <v>0.26356573656115018</v>
      </c>
      <c r="AD169">
        <f t="shared" si="21"/>
        <v>0.26355813904442987</v>
      </c>
      <c r="AE169">
        <f t="shared" si="22"/>
        <v>0.99997117411079506</v>
      </c>
      <c r="AF169">
        <f t="shared" si="23"/>
        <v>7.5975167204258011E-6</v>
      </c>
      <c r="AG169">
        <f t="shared" si="24"/>
        <v>2.8825889205303027E-5</v>
      </c>
      <c r="AH169">
        <f t="shared" si="25"/>
        <v>0.73643426343884977</v>
      </c>
      <c r="AI169">
        <f t="shared" si="26"/>
        <v>0.75994711977511498</v>
      </c>
      <c r="AJ169">
        <f t="shared" si="27"/>
        <v>0.24005288022488508</v>
      </c>
      <c r="AK169">
        <f t="shared" si="28"/>
        <v>0.14432842873556725</v>
      </c>
      <c r="AL169">
        <f t="shared" si="29"/>
        <v>0.1349818673720718</v>
      </c>
    </row>
    <row r="170" spans="1:38" x14ac:dyDescent="0.35">
      <c r="A170" t="s">
        <v>44</v>
      </c>
      <c r="B170" t="s">
        <v>70</v>
      </c>
      <c r="C170">
        <v>-9.4391081956542694E-2</v>
      </c>
      <c r="D170">
        <v>-3.7900585127936898E-2</v>
      </c>
      <c r="E170">
        <v>-5.6490496828605803E-2</v>
      </c>
      <c r="F170">
        <v>0</v>
      </c>
      <c r="G170">
        <v>0.22987065939187659</v>
      </c>
      <c r="H170">
        <v>0.1682830664882291</v>
      </c>
      <c r="I170">
        <v>6.1587592903647403E-2</v>
      </c>
      <c r="J170">
        <v>0</v>
      </c>
      <c r="K170">
        <v>-0.3509528544069509</v>
      </c>
      <c r="L170">
        <v>-0.20559322227792171</v>
      </c>
      <c r="M170">
        <v>-0.14091711058537271</v>
      </c>
      <c r="N170">
        <v>-8.2551267144693796E-2</v>
      </c>
      <c r="O170">
        <v>-0.210035743821578</v>
      </c>
      <c r="P170">
        <v>-0.1230419551332282</v>
      </c>
      <c r="Q170">
        <v>0</v>
      </c>
      <c r="R170">
        <v>0</v>
      </c>
      <c r="S170">
        <v>0.85467570013795235</v>
      </c>
      <c r="T170">
        <v>0.50068129946094686</v>
      </c>
      <c r="U170">
        <v>0.62568858527958593</v>
      </c>
      <c r="V170">
        <v>0.36653735900658008</v>
      </c>
      <c r="W170">
        <v>0.22898711485836659</v>
      </c>
      <c r="X170">
        <v>0.13414394045436709</v>
      </c>
      <c r="Y170">
        <v>0</v>
      </c>
      <c r="Z170">
        <v>0</v>
      </c>
      <c r="AA170">
        <v>45.911572818750003</v>
      </c>
      <c r="AB170">
        <v>26.895658710639999</v>
      </c>
      <c r="AC170">
        <f t="shared" si="20"/>
        <v>-0.69671816035591594</v>
      </c>
      <c r="AD170">
        <f t="shared" si="21"/>
        <v>-0.4169668808981149</v>
      </c>
      <c r="AE170">
        <f t="shared" si="22"/>
        <v>0.59847281816955777</v>
      </c>
      <c r="AF170">
        <f t="shared" si="23"/>
        <v>-0.27975127945780109</v>
      </c>
      <c r="AG170">
        <f t="shared" si="24"/>
        <v>0.40152718183044228</v>
      </c>
      <c r="AH170">
        <f t="shared" si="25"/>
        <v>1.696718160355916</v>
      </c>
      <c r="AI170">
        <f t="shared" si="26"/>
        <v>0.73207719042274633</v>
      </c>
      <c r="AJ170">
        <f t="shared" si="27"/>
        <v>0.26792280957725328</v>
      </c>
      <c r="AK170">
        <f t="shared" si="28"/>
        <v>2.9508807718302537E-3</v>
      </c>
      <c r="AL170">
        <f t="shared" si="29"/>
        <v>5.0372284573100192E-3</v>
      </c>
    </row>
    <row r="171" spans="1:38" x14ac:dyDescent="0.35">
      <c r="A171" t="s">
        <v>45</v>
      </c>
      <c r="B171" t="s">
        <v>70</v>
      </c>
      <c r="C171">
        <v>-1.0746523869851621</v>
      </c>
      <c r="D171">
        <v>5.5841246461699997E-3</v>
      </c>
      <c r="E171">
        <v>-1.0802365116313331</v>
      </c>
      <c r="F171">
        <v>-2.4409276031545688</v>
      </c>
      <c r="G171">
        <v>-1.6885058372569099</v>
      </c>
      <c r="H171">
        <v>-0.92854648594427636</v>
      </c>
      <c r="I171">
        <v>-0.75995935131263259</v>
      </c>
      <c r="J171">
        <v>3.4268640238179242</v>
      </c>
      <c r="K171">
        <v>-0.42185555433477262</v>
      </c>
      <c r="L171">
        <v>-0.4232209256199333</v>
      </c>
      <c r="M171">
        <v>2.1920520780614999E-3</v>
      </c>
      <c r="N171">
        <v>2.1991468405512002E-3</v>
      </c>
      <c r="O171">
        <v>-0.4240476064128344</v>
      </c>
      <c r="P171">
        <v>-0.4254200724604848</v>
      </c>
      <c r="Q171">
        <v>-0.95818785645523963</v>
      </c>
      <c r="R171">
        <v>-0.96128911273016715</v>
      </c>
      <c r="S171">
        <v>-0.66282416025876145</v>
      </c>
      <c r="T171">
        <v>-0.66496944687696224</v>
      </c>
      <c r="U171">
        <v>-0.3645015795782498</v>
      </c>
      <c r="V171">
        <v>-0.3656813198591064</v>
      </c>
      <c r="W171">
        <v>-0.29832258068051137</v>
      </c>
      <c r="X171">
        <v>-0.29928812701785551</v>
      </c>
      <c r="Y171">
        <v>1.3452178954845251</v>
      </c>
      <c r="Z171">
        <v>1.34957180731028</v>
      </c>
      <c r="AA171">
        <v>253.92231856471</v>
      </c>
      <c r="AB171">
        <v>254.7441596875</v>
      </c>
      <c r="AC171">
        <f t="shared" si="20"/>
        <v>0.38892176986351801</v>
      </c>
      <c r="AD171">
        <f t="shared" si="21"/>
        <v>0.39094269092304318</v>
      </c>
      <c r="AE171">
        <f t="shared" si="22"/>
        <v>1.0051962148075033</v>
      </c>
      <c r="AF171">
        <f t="shared" si="23"/>
        <v>-2.0209210595248171E-3</v>
      </c>
      <c r="AG171">
        <f t="shared" si="24"/>
        <v>-5.1962148075023083E-3</v>
      </c>
      <c r="AH171">
        <f t="shared" si="25"/>
        <v>0.6110782301364821</v>
      </c>
      <c r="AI171">
        <f t="shared" si="26"/>
        <v>0.54992198750864962</v>
      </c>
      <c r="AJ171">
        <f t="shared" si="27"/>
        <v>0.45007801249134982</v>
      </c>
      <c r="AK171">
        <f t="shared" si="28"/>
        <v>-1.0881903724968956E-2</v>
      </c>
      <c r="AL171">
        <f t="shared" si="29"/>
        <v>-1.0846797145935342E-2</v>
      </c>
    </row>
    <row r="172" spans="1:38" x14ac:dyDescent="0.35">
      <c r="A172" t="s">
        <v>46</v>
      </c>
      <c r="B172" t="s">
        <v>70</v>
      </c>
      <c r="C172">
        <v>4.1228112206977841</v>
      </c>
      <c r="D172">
        <v>0.35377522402826478</v>
      </c>
      <c r="E172">
        <v>3.7690359966695191</v>
      </c>
      <c r="F172">
        <v>-0.94678533426107603</v>
      </c>
      <c r="G172">
        <v>-2.0856298438568488</v>
      </c>
      <c r="H172">
        <v>-2.539636087633188</v>
      </c>
      <c r="I172">
        <v>0.45400624377633791</v>
      </c>
      <c r="J172">
        <v>0</v>
      </c>
      <c r="K172">
        <v>2.021947227357126</v>
      </c>
      <c r="L172">
        <v>1.3672303225363169</v>
      </c>
      <c r="M172">
        <v>0.17350171886126969</v>
      </c>
      <c r="N172">
        <v>0.1173209705128478</v>
      </c>
      <c r="O172">
        <v>1.8484455084958551</v>
      </c>
      <c r="P172">
        <v>1.2499093520234701</v>
      </c>
      <c r="Q172">
        <v>-0.4643312242629356</v>
      </c>
      <c r="R172">
        <v>-0.31397838723145272</v>
      </c>
      <c r="S172">
        <v>-1.022853886423132</v>
      </c>
      <c r="T172">
        <v>-0.69164854063464798</v>
      </c>
      <c r="U172">
        <v>-1.2455118294300449</v>
      </c>
      <c r="V172">
        <v>-0.84220869725679992</v>
      </c>
      <c r="W172">
        <v>0.22265794300691311</v>
      </c>
      <c r="X172">
        <v>0.15056015662215219</v>
      </c>
      <c r="Y172">
        <v>0</v>
      </c>
      <c r="Z172">
        <v>0</v>
      </c>
      <c r="AA172">
        <v>301.54474727050001</v>
      </c>
      <c r="AB172">
        <v>203.90300819506001</v>
      </c>
      <c r="AC172">
        <f t="shared" si="20"/>
        <v>2.0237821077527434</v>
      </c>
      <c r="AD172">
        <f t="shared" si="21"/>
        <v>1.8501229392319387</v>
      </c>
      <c r="AE172">
        <f t="shared" si="22"/>
        <v>0.91419077782358693</v>
      </c>
      <c r="AF172">
        <f t="shared" si="23"/>
        <v>0.17365916852080462</v>
      </c>
      <c r="AG172">
        <f t="shared" si="24"/>
        <v>8.5809222176413028E-2</v>
      </c>
      <c r="AH172">
        <f t="shared" si="25"/>
        <v>-1.0237821077527436</v>
      </c>
      <c r="AI172">
        <f t="shared" si="26"/>
        <v>1.2176830395449121</v>
      </c>
      <c r="AJ172">
        <f t="shared" si="27"/>
        <v>-0.21768303954491144</v>
      </c>
      <c r="AK172">
        <f t="shared" si="28"/>
        <v>6.7558178190167129E-3</v>
      </c>
      <c r="AL172">
        <f t="shared" si="29"/>
        <v>9.9909334093399131E-3</v>
      </c>
    </row>
    <row r="173" spans="1:38" x14ac:dyDescent="0.35">
      <c r="A173" t="s">
        <v>47</v>
      </c>
      <c r="B173" t="s">
        <v>70</v>
      </c>
      <c r="C173">
        <v>1.1003161672985491</v>
      </c>
      <c r="D173">
        <v>5.4677508422957703E-2</v>
      </c>
      <c r="E173">
        <v>1.045638658875591</v>
      </c>
      <c r="F173">
        <v>0</v>
      </c>
      <c r="G173">
        <v>-0.58381004119310087</v>
      </c>
      <c r="H173">
        <v>0.1</v>
      </c>
      <c r="I173">
        <v>-0.68381004119310085</v>
      </c>
      <c r="J173">
        <v>0</v>
      </c>
      <c r="K173">
        <v>5.307844556033416</v>
      </c>
      <c r="L173">
        <v>5.7701396314342324</v>
      </c>
      <c r="M173">
        <v>0.26376029367341147</v>
      </c>
      <c r="N173">
        <v>0.28673291157211911</v>
      </c>
      <c r="O173">
        <v>5.0440842623600037</v>
      </c>
      <c r="P173">
        <v>5.4834067198621126</v>
      </c>
      <c r="Q173">
        <v>0</v>
      </c>
      <c r="R173">
        <v>0</v>
      </c>
      <c r="S173">
        <v>-2.81625685507505</v>
      </c>
      <c r="T173">
        <v>-3.0615431782559122</v>
      </c>
      <c r="U173">
        <v>0.48239267165046013</v>
      </c>
      <c r="V173">
        <v>0.52440742060537404</v>
      </c>
      <c r="W173">
        <v>-3.29864952672551</v>
      </c>
      <c r="X173">
        <v>-3.5859505988612859</v>
      </c>
      <c r="Y173">
        <v>0</v>
      </c>
      <c r="Z173">
        <v>0</v>
      </c>
      <c r="AA173">
        <v>19.06914282116</v>
      </c>
      <c r="AB173">
        <v>20.729999827290001</v>
      </c>
      <c r="AC173">
        <f t="shared" si="20"/>
        <v>2.130306131304069</v>
      </c>
      <c r="AD173">
        <f t="shared" si="21"/>
        <v>2.0244458023371381</v>
      </c>
      <c r="AE173">
        <f t="shared" si="22"/>
        <v>0.95030745703100949</v>
      </c>
      <c r="AF173">
        <f t="shared" si="23"/>
        <v>0.10586032896693062</v>
      </c>
      <c r="AG173">
        <f t="shared" si="24"/>
        <v>4.9692542968990151E-2</v>
      </c>
      <c r="AH173">
        <f t="shared" si="25"/>
        <v>-1.1303061313040692</v>
      </c>
      <c r="AI173">
        <f t="shared" si="26"/>
        <v>-0.17128859208319788</v>
      </c>
      <c r="AJ173">
        <f t="shared" si="27"/>
        <v>1.1712885920831979</v>
      </c>
      <c r="AK173">
        <f t="shared" si="28"/>
        <v>2.7085964531783212E-2</v>
      </c>
      <c r="AL173">
        <f t="shared" si="29"/>
        <v>2.4915877009583663E-2</v>
      </c>
    </row>
    <row r="174" spans="1:38" x14ac:dyDescent="0.35">
      <c r="A174" t="s">
        <v>48</v>
      </c>
      <c r="B174" t="s">
        <v>70</v>
      </c>
      <c r="C174">
        <v>14.15911182500178</v>
      </c>
      <c r="D174">
        <v>2.857648023539249</v>
      </c>
      <c r="E174">
        <v>11.30146380146253</v>
      </c>
      <c r="F174">
        <v>-8.6940790584300404E-2</v>
      </c>
      <c r="G174">
        <v>1.6810953910718081</v>
      </c>
      <c r="H174">
        <v>1.768036181656109</v>
      </c>
      <c r="I174">
        <v>-8.6940790584300404E-2</v>
      </c>
      <c r="J174">
        <v>0</v>
      </c>
      <c r="K174">
        <v>3.8116783449826479</v>
      </c>
      <c r="L174">
        <v>3.388232818033738</v>
      </c>
      <c r="M174">
        <v>0.7692880191590441</v>
      </c>
      <c r="N174">
        <v>0.68382656591835456</v>
      </c>
      <c r="O174">
        <v>3.0423903258236029</v>
      </c>
      <c r="P174">
        <v>2.7044062521153842</v>
      </c>
      <c r="Q174">
        <v>-2.3404739849620299E-2</v>
      </c>
      <c r="R174">
        <v>-2.0804669355275002E-2</v>
      </c>
      <c r="S174">
        <v>0.45255627451743341</v>
      </c>
      <c r="T174">
        <v>0.40228106428377952</v>
      </c>
      <c r="U174">
        <v>0.4759610143670539</v>
      </c>
      <c r="V174">
        <v>0.42308573363905427</v>
      </c>
      <c r="W174">
        <v>-2.3404739849620299E-2</v>
      </c>
      <c r="X174">
        <v>-2.0804669355275002E-2</v>
      </c>
      <c r="Y174">
        <v>0</v>
      </c>
      <c r="Z174">
        <v>0</v>
      </c>
      <c r="AA174">
        <v>417.89075855828003</v>
      </c>
      <c r="AB174">
        <v>371.46659669328</v>
      </c>
      <c r="AC174">
        <f t="shared" si="20"/>
        <v>0.89387162881518711</v>
      </c>
      <c r="AD174">
        <f t="shared" si="21"/>
        <v>0.71346691664453454</v>
      </c>
      <c r="AE174">
        <f t="shared" si="22"/>
        <v>0.79817603965149198</v>
      </c>
      <c r="AF174">
        <f t="shared" si="23"/>
        <v>0.18040471217065254</v>
      </c>
      <c r="AG174">
        <f t="shared" si="24"/>
        <v>0.20182396034850791</v>
      </c>
      <c r="AH174">
        <f t="shared" si="25"/>
        <v>0.1061283711848128</v>
      </c>
      <c r="AI174">
        <f t="shared" si="26"/>
        <v>1.0517167503081848</v>
      </c>
      <c r="AJ174">
        <f t="shared" si="27"/>
        <v>-5.1716750308184463E-2</v>
      </c>
      <c r="AK174">
        <f t="shared" si="28"/>
        <v>3.7905138823175186E-2</v>
      </c>
      <c r="AL174">
        <f t="shared" si="29"/>
        <v>4.2642346195000812E-2</v>
      </c>
    </row>
    <row r="175" spans="1:38" x14ac:dyDescent="0.35">
      <c r="A175" t="s">
        <v>49</v>
      </c>
      <c r="B175" t="s">
        <v>70</v>
      </c>
      <c r="C175">
        <v>13.341642509066689</v>
      </c>
      <c r="D175">
        <v>0.55317835395472414</v>
      </c>
      <c r="E175">
        <v>12.788464155111971</v>
      </c>
      <c r="F175">
        <v>1.6084788529556901E-2</v>
      </c>
      <c r="G175">
        <v>7.0403264603798448</v>
      </c>
      <c r="H175">
        <v>2.6177261216507142</v>
      </c>
      <c r="I175">
        <v>4.4226003387291293</v>
      </c>
      <c r="J175">
        <v>0</v>
      </c>
      <c r="K175">
        <v>3.7219307879532999</v>
      </c>
      <c r="L175">
        <v>3.8965451906037001</v>
      </c>
      <c r="M175">
        <v>0.15432069517784169</v>
      </c>
      <c r="N175">
        <v>0.16156065141031381</v>
      </c>
      <c r="O175">
        <v>3.567610092775459</v>
      </c>
      <c r="P175">
        <v>3.7349845391933858</v>
      </c>
      <c r="Q175">
        <v>4.4871888603814003E-3</v>
      </c>
      <c r="R175">
        <v>4.6977053495571002E-3</v>
      </c>
      <c r="S175">
        <v>1.9640466151242331</v>
      </c>
      <c r="T175">
        <v>2.056189872486105</v>
      </c>
      <c r="U175">
        <v>0.73026956313514213</v>
      </c>
      <c r="V175">
        <v>0.76453016356149583</v>
      </c>
      <c r="W175">
        <v>1.23377705198909</v>
      </c>
      <c r="X175">
        <v>1.2916597089246089</v>
      </c>
      <c r="Y175">
        <v>0</v>
      </c>
      <c r="Z175">
        <v>0</v>
      </c>
      <c r="AA175">
        <v>342.39670930134002</v>
      </c>
      <c r="AB175">
        <v>358.46025273358998</v>
      </c>
      <c r="AC175">
        <f t="shared" si="20"/>
        <v>0.65458065062636483</v>
      </c>
      <c r="AD175">
        <f t="shared" si="21"/>
        <v>0.62744007579848837</v>
      </c>
      <c r="AE175">
        <f t="shared" si="22"/>
        <v>0.95853746241673088</v>
      </c>
      <c r="AF175">
        <f t="shared" si="23"/>
        <v>2.7140574827876681E-2</v>
      </c>
      <c r="AG175">
        <f t="shared" si="24"/>
        <v>4.1462537583269538E-2</v>
      </c>
      <c r="AH175">
        <f t="shared" si="25"/>
        <v>0.34541934937363528</v>
      </c>
      <c r="AI175">
        <f t="shared" si="26"/>
        <v>0.37181885476223792</v>
      </c>
      <c r="AJ175">
        <f t="shared" si="27"/>
        <v>0.62818114523776192</v>
      </c>
      <c r="AK175">
        <f t="shared" si="28"/>
        <v>5.9527350630898028E-2</v>
      </c>
      <c r="AL175">
        <f t="shared" si="29"/>
        <v>5.6859774030775308E-2</v>
      </c>
    </row>
    <row r="176" spans="1:38" x14ac:dyDescent="0.35">
      <c r="A176" t="s">
        <v>50</v>
      </c>
      <c r="B176" t="s">
        <v>70</v>
      </c>
      <c r="C176">
        <v>0.29461204530702151</v>
      </c>
      <c r="D176">
        <v>0.44007731725619958</v>
      </c>
      <c r="E176">
        <v>-0.14546527194917841</v>
      </c>
      <c r="F176">
        <v>0</v>
      </c>
      <c r="G176">
        <v>6.66396128648091E-2</v>
      </c>
      <c r="H176">
        <v>6.1972289180490699E-2</v>
      </c>
      <c r="I176">
        <v>4.6673236843184996E-3</v>
      </c>
      <c r="J176">
        <v>0</v>
      </c>
      <c r="K176">
        <v>0.976827878117561</v>
      </c>
      <c r="L176">
        <v>0.53157394248286405</v>
      </c>
      <c r="M176">
        <v>1.459138548035456</v>
      </c>
      <c r="N176">
        <v>0.79403961330696116</v>
      </c>
      <c r="O176">
        <v>-0.48231066991789362</v>
      </c>
      <c r="P176">
        <v>-0.26246567082409727</v>
      </c>
      <c r="Q176">
        <v>0</v>
      </c>
      <c r="R176">
        <v>0</v>
      </c>
      <c r="S176">
        <v>0.22095305562089251</v>
      </c>
      <c r="T176">
        <v>0.12023908153233349</v>
      </c>
      <c r="U176">
        <v>0.2054778842432618</v>
      </c>
      <c r="V176">
        <v>0.1118177433988863</v>
      </c>
      <c r="W176">
        <v>1.5475171377631099E-2</v>
      </c>
      <c r="X176">
        <v>8.4213381334471999E-3</v>
      </c>
      <c r="Y176">
        <v>0</v>
      </c>
      <c r="Z176">
        <v>0</v>
      </c>
      <c r="AA176">
        <v>55.422589739999999</v>
      </c>
      <c r="AB176">
        <v>30.160077523049999</v>
      </c>
      <c r="AC176">
        <f t="shared" si="20"/>
        <v>0.81553133014793877</v>
      </c>
      <c r="AD176">
        <f t="shared" si="21"/>
        <v>-0.40267018478289546</v>
      </c>
      <c r="AE176">
        <f t="shared" si="22"/>
        <v>-0.49375195028969687</v>
      </c>
      <c r="AF176">
        <f t="shared" si="23"/>
        <v>1.2182015149308334</v>
      </c>
      <c r="AG176">
        <f t="shared" si="24"/>
        <v>1.4937519502896957</v>
      </c>
      <c r="AH176">
        <f t="shared" si="25"/>
        <v>0.18446866985206126</v>
      </c>
      <c r="AI176">
        <f t="shared" si="26"/>
        <v>0.92996172271008026</v>
      </c>
      <c r="AJ176">
        <f t="shared" si="27"/>
        <v>7.0038277289921194E-2</v>
      </c>
      <c r="AK176">
        <f t="shared" si="28"/>
        <v>6.5181302401519751E-3</v>
      </c>
      <c r="AL176">
        <f t="shared" si="29"/>
        <v>1.1977809337384564E-2</v>
      </c>
    </row>
    <row r="177" spans="1:38" x14ac:dyDescent="0.35">
      <c r="A177" t="s">
        <v>51</v>
      </c>
      <c r="B177" t="s">
        <v>70</v>
      </c>
      <c r="C177">
        <v>1.019177936447766</v>
      </c>
      <c r="D177">
        <v>0.1612886831869611</v>
      </c>
      <c r="E177">
        <v>0.85788925326080534</v>
      </c>
      <c r="F177">
        <v>-0.99771764002911945</v>
      </c>
      <c r="G177">
        <v>-0.39425692407598317</v>
      </c>
      <c r="H177">
        <v>5.80299956092203E-2</v>
      </c>
      <c r="I177">
        <v>-0.45228691968520368</v>
      </c>
      <c r="J177">
        <v>0</v>
      </c>
      <c r="K177">
        <v>2.1137416878924999</v>
      </c>
      <c r="L177">
        <v>1.0492270289661181</v>
      </c>
      <c r="M177">
        <v>0.33450745080472849</v>
      </c>
      <c r="N177">
        <v>0.16604406337124999</v>
      </c>
      <c r="O177">
        <v>1.779234237087773</v>
      </c>
      <c r="P177">
        <v>0.8831829655948682</v>
      </c>
      <c r="Q177">
        <v>-2.069233735402157</v>
      </c>
      <c r="R177">
        <v>-1.0271340045325741</v>
      </c>
      <c r="S177">
        <v>-0.81767595859095099</v>
      </c>
      <c r="T177">
        <v>-0.40588105992497131</v>
      </c>
      <c r="U177">
        <v>0.1203523118788731</v>
      </c>
      <c r="V177">
        <v>5.9740932085120303E-2</v>
      </c>
      <c r="W177">
        <v>-0.9380282704698244</v>
      </c>
      <c r="X177">
        <v>-0.46562199201009169</v>
      </c>
      <c r="Y177">
        <v>0</v>
      </c>
      <c r="Z177">
        <v>0</v>
      </c>
      <c r="AA177">
        <v>97.136073348400004</v>
      </c>
      <c r="AB177">
        <v>48.216768505140003</v>
      </c>
      <c r="AC177">
        <f t="shared" si="20"/>
        <v>1.6308908106316464</v>
      </c>
      <c r="AD177">
        <f t="shared" si="21"/>
        <v>1.3727962994952445</v>
      </c>
      <c r="AE177">
        <f t="shared" si="22"/>
        <v>0.84174629628549957</v>
      </c>
      <c r="AF177">
        <f t="shared" si="23"/>
        <v>0.25809451113640264</v>
      </c>
      <c r="AG177">
        <f t="shared" si="24"/>
        <v>0.15825370371450082</v>
      </c>
      <c r="AH177">
        <f t="shared" si="25"/>
        <v>-0.63089081063164643</v>
      </c>
      <c r="AI177">
        <f t="shared" si="26"/>
        <v>-0.14718827258449485</v>
      </c>
      <c r="AJ177">
        <f t="shared" si="27"/>
        <v>1.1471882725844953</v>
      </c>
      <c r="AK177">
        <f t="shared" si="28"/>
        <v>6.433459690411464E-3</v>
      </c>
      <c r="AL177">
        <f t="shared" si="29"/>
        <v>1.2960657293015498E-2</v>
      </c>
    </row>
    <row r="178" spans="1:38" x14ac:dyDescent="0.35">
      <c r="A178" t="s">
        <v>52</v>
      </c>
      <c r="B178" t="s">
        <v>70</v>
      </c>
      <c r="C178">
        <v>0.1219761448976264</v>
      </c>
      <c r="D178">
        <v>0.1147318750863785</v>
      </c>
      <c r="E178">
        <v>7.2442698112475E-3</v>
      </c>
      <c r="F178">
        <v>2.4720318780148999E-3</v>
      </c>
      <c r="G178">
        <v>8.7534926885911996E-3</v>
      </c>
      <c r="H178">
        <v>1.2073783018746E-3</v>
      </c>
      <c r="I178">
        <v>7.5461143867164996E-3</v>
      </c>
      <c r="J178">
        <v>-8.6962174143261003E-3</v>
      </c>
      <c r="K178">
        <v>0.18326432395663511</v>
      </c>
      <c r="L178">
        <v>0.18385549971363879</v>
      </c>
      <c r="M178">
        <v>0.17238009564599349</v>
      </c>
      <c r="N178">
        <v>0.17293616095830111</v>
      </c>
      <c r="O178">
        <v>1.08842283106422E-2</v>
      </c>
      <c r="P178">
        <v>1.0919338755337901E-2</v>
      </c>
      <c r="Q178">
        <v>3.7141299333880002E-3</v>
      </c>
      <c r="R178">
        <v>3.7261110081967001E-3</v>
      </c>
      <c r="S178">
        <v>1.3151775875360899E-2</v>
      </c>
      <c r="T178">
        <v>1.31942009960344E-2</v>
      </c>
      <c r="U178">
        <v>1.8140380517739001E-3</v>
      </c>
      <c r="V178">
        <v>1.8198897925563999E-3</v>
      </c>
      <c r="W178">
        <v>1.13377378235863E-2</v>
      </c>
      <c r="X178">
        <v>1.1374311203478E-2</v>
      </c>
      <c r="Y178">
        <v>-1.3065722045519401E-2</v>
      </c>
      <c r="Z178">
        <v>-1.3107869572950501E-2</v>
      </c>
      <c r="AA178">
        <v>66.343484468840003</v>
      </c>
      <c r="AB178">
        <v>66.557495896739994</v>
      </c>
      <c r="AC178">
        <f t="shared" si="20"/>
        <v>0.93304125330556231</v>
      </c>
      <c r="AD178">
        <f t="shared" si="21"/>
        <v>5.5414135195393829E-2</v>
      </c>
      <c r="AE178">
        <f t="shared" si="22"/>
        <v>5.9390873660809314E-2</v>
      </c>
      <c r="AF178">
        <f t="shared" si="23"/>
        <v>0.87762711811016536</v>
      </c>
      <c r="AG178">
        <f t="shared" si="24"/>
        <v>0.94060912633918736</v>
      </c>
      <c r="AH178">
        <f t="shared" si="25"/>
        <v>6.6958746694437812E-2</v>
      </c>
      <c r="AI178">
        <f t="shared" si="26"/>
        <v>0.13793103448275312</v>
      </c>
      <c r="AJ178">
        <f t="shared" si="27"/>
        <v>0.86206896551723544</v>
      </c>
      <c r="AK178">
        <f t="shared" si="28"/>
        <v>1.9704970070967293E-3</v>
      </c>
      <c r="AL178">
        <f t="shared" si="29"/>
        <v>1.9641609983199618E-3</v>
      </c>
    </row>
    <row r="179" spans="1:38" x14ac:dyDescent="0.35">
      <c r="A179" t="s">
        <v>53</v>
      </c>
      <c r="B179" t="s">
        <v>70</v>
      </c>
      <c r="C179">
        <v>0.67809759854404916</v>
      </c>
      <c r="D179">
        <v>8.6285741513915298E-2</v>
      </c>
      <c r="E179">
        <v>0.59181185703013028</v>
      </c>
      <c r="F179">
        <v>3.80324165090506E-2</v>
      </c>
      <c r="G179">
        <v>0.19619897405462439</v>
      </c>
      <c r="H179">
        <v>0</v>
      </c>
      <c r="I179">
        <v>0.19619897405462439</v>
      </c>
      <c r="J179">
        <v>0</v>
      </c>
      <c r="K179">
        <v>8.0701845008350703E-2</v>
      </c>
      <c r="L179">
        <v>7.2722886472287293E-2</v>
      </c>
      <c r="M179">
        <v>1.02690505806802E-2</v>
      </c>
      <c r="N179">
        <v>9.2537537336314004E-3</v>
      </c>
      <c r="O179">
        <v>7.0432794427670503E-2</v>
      </c>
      <c r="P179">
        <v>6.3469132738655606E-2</v>
      </c>
      <c r="Q179">
        <v>4.5263192038970997E-3</v>
      </c>
      <c r="R179">
        <v>4.0788038683411999E-3</v>
      </c>
      <c r="S179">
        <v>2.3350059385181799E-2</v>
      </c>
      <c r="T179">
        <v>2.1041448527157901E-2</v>
      </c>
      <c r="U179">
        <v>0</v>
      </c>
      <c r="V179">
        <v>0</v>
      </c>
      <c r="W179">
        <v>2.3350059385181799E-2</v>
      </c>
      <c r="X179">
        <v>2.1041448527157901E-2</v>
      </c>
      <c r="Y179">
        <v>0</v>
      </c>
      <c r="Z179">
        <v>0</v>
      </c>
      <c r="AA179">
        <v>932.44043441874999</v>
      </c>
      <c r="AB179">
        <v>840.25042856688003</v>
      </c>
      <c r="AC179">
        <f t="shared" si="20"/>
        <v>0.77559219582496841</v>
      </c>
      <c r="AD179">
        <f t="shared" si="21"/>
        <v>0.67690057993832309</v>
      </c>
      <c r="AE179">
        <f t="shared" si="22"/>
        <v>0.87275321178074672</v>
      </c>
      <c r="AF179">
        <f t="shared" si="23"/>
        <v>9.8691615886641312E-2</v>
      </c>
      <c r="AG179">
        <f t="shared" si="24"/>
        <v>0.12724678821924804</v>
      </c>
      <c r="AH179">
        <f t="shared" si="25"/>
        <v>0.22440780417503156</v>
      </c>
      <c r="AI179">
        <f t="shared" si="26"/>
        <v>0</v>
      </c>
      <c r="AJ179">
        <f t="shared" si="27"/>
        <v>1</v>
      </c>
      <c r="AK179">
        <f t="shared" si="28"/>
        <v>9.3764334999444634E-4</v>
      </c>
      <c r="AL179">
        <f t="shared" si="29"/>
        <v>1.0405190439353447E-3</v>
      </c>
    </row>
    <row r="180" spans="1:38" x14ac:dyDescent="0.35">
      <c r="A180" t="s">
        <v>54</v>
      </c>
      <c r="B180" t="s">
        <v>70</v>
      </c>
      <c r="C180">
        <v>0.45804418199202951</v>
      </c>
      <c r="D180">
        <v>8.4225719459962E-3</v>
      </c>
      <c r="E180">
        <v>0.44962161004603018</v>
      </c>
      <c r="F180">
        <v>0</v>
      </c>
      <c r="G180">
        <v>0.14890109120145739</v>
      </c>
      <c r="H180">
        <v>0.1354033797495397</v>
      </c>
      <c r="I180">
        <v>1.34977114519179E-2</v>
      </c>
      <c r="J180">
        <v>0</v>
      </c>
      <c r="K180">
        <v>0.2257052535473604</v>
      </c>
      <c r="L180">
        <v>0.23613713299910441</v>
      </c>
      <c r="M180">
        <v>4.1502955639005001E-3</v>
      </c>
      <c r="N180">
        <v>4.3421182278894997E-3</v>
      </c>
      <c r="O180">
        <v>0.2215549579834572</v>
      </c>
      <c r="P180">
        <v>0.23179501477121531</v>
      </c>
      <c r="Q180">
        <v>0</v>
      </c>
      <c r="R180">
        <v>0</v>
      </c>
      <c r="S180">
        <v>7.3372307441923898E-2</v>
      </c>
      <c r="T180">
        <v>7.6763504830113405E-2</v>
      </c>
      <c r="U180">
        <v>6.6721192756185405E-2</v>
      </c>
      <c r="V180">
        <v>6.9804982029008505E-2</v>
      </c>
      <c r="W180">
        <v>6.6511146857386001E-3</v>
      </c>
      <c r="X180">
        <v>6.958522801105E-3</v>
      </c>
      <c r="Y180">
        <v>0</v>
      </c>
      <c r="Z180">
        <v>0</v>
      </c>
      <c r="AA180">
        <v>193.97380504054999</v>
      </c>
      <c r="AB180">
        <v>202.93908750153</v>
      </c>
      <c r="AC180">
        <f t="shared" si="20"/>
        <v>0.75467130600094567</v>
      </c>
      <c r="AD180">
        <f t="shared" si="21"/>
        <v>0.74079431853931943</v>
      </c>
      <c r="AE180">
        <f t="shared" si="22"/>
        <v>0.9816118787725463</v>
      </c>
      <c r="AF180">
        <f t="shared" si="23"/>
        <v>1.3876987461621082E-2</v>
      </c>
      <c r="AG180">
        <f t="shared" si="24"/>
        <v>1.8388121227446923E-2</v>
      </c>
      <c r="AH180">
        <f t="shared" si="25"/>
        <v>0.24532869399905435</v>
      </c>
      <c r="AI180">
        <f t="shared" si="26"/>
        <v>0.90935115825540991</v>
      </c>
      <c r="AJ180">
        <f t="shared" si="27"/>
        <v>9.0648841744591521E-2</v>
      </c>
      <c r="AK180">
        <f t="shared" si="28"/>
        <v>3.1290063782921911E-3</v>
      </c>
      <c r="AL180">
        <f t="shared" si="29"/>
        <v>2.9907756098928504E-3</v>
      </c>
    </row>
    <row r="181" spans="1:38" x14ac:dyDescent="0.35">
      <c r="A181" t="s">
        <v>55</v>
      </c>
      <c r="B181" t="s">
        <v>70</v>
      </c>
      <c r="C181">
        <v>6.4610800792815198E-2</v>
      </c>
      <c r="D181">
        <v>5.5249140820460996E-3</v>
      </c>
      <c r="E181">
        <v>5.9085886710770197E-2</v>
      </c>
      <c r="F181">
        <v>0</v>
      </c>
      <c r="G181">
        <v>2.4021959889068901E-2</v>
      </c>
      <c r="H181">
        <v>-1.5880197370153198E-2</v>
      </c>
      <c r="I181">
        <v>3.9902157259222103E-2</v>
      </c>
      <c r="J181">
        <v>0</v>
      </c>
      <c r="K181">
        <v>1.57491543608725E-2</v>
      </c>
      <c r="L181">
        <v>1.9552115711977701E-2</v>
      </c>
      <c r="M181">
        <v>1.3467210379842999E-3</v>
      </c>
      <c r="N181">
        <v>1.6719148827343999E-3</v>
      </c>
      <c r="O181">
        <v>1.4402433322887801E-2</v>
      </c>
      <c r="P181">
        <v>1.7880200829243301E-2</v>
      </c>
      <c r="Q181">
        <v>0</v>
      </c>
      <c r="R181">
        <v>0</v>
      </c>
      <c r="S181">
        <v>5.855453727571E-3</v>
      </c>
      <c r="T181">
        <v>7.2693749901916998E-3</v>
      </c>
      <c r="U181">
        <v>-3.8708648800940002E-3</v>
      </c>
      <c r="V181">
        <v>-4.8055658295570996E-3</v>
      </c>
      <c r="W181">
        <v>9.7263186076647998E-3</v>
      </c>
      <c r="X181">
        <v>1.20749408197489E-2</v>
      </c>
      <c r="Y181">
        <v>0</v>
      </c>
      <c r="Z181">
        <v>0</v>
      </c>
      <c r="AA181">
        <v>330.45426768437</v>
      </c>
      <c r="AB181">
        <v>410.24933347112</v>
      </c>
      <c r="AC181">
        <f t="shared" si="20"/>
        <v>0.72897199969560678</v>
      </c>
      <c r="AD181">
        <f t="shared" si="21"/>
        <v>0.66663710185941361</v>
      </c>
      <c r="AE181">
        <f t="shared" si="22"/>
        <v>0.9144893111639103</v>
      </c>
      <c r="AF181">
        <f t="shared" si="23"/>
        <v>6.2334897836205529E-2</v>
      </c>
      <c r="AG181">
        <f t="shared" si="24"/>
        <v>8.5510688836106755E-2</v>
      </c>
      <c r="AH181">
        <f t="shared" si="25"/>
        <v>0.27102800030439328</v>
      </c>
      <c r="AI181">
        <f t="shared" si="26"/>
        <v>-0.6610700144154108</v>
      </c>
      <c r="AJ181">
        <f t="shared" si="27"/>
        <v>1.6610700144154109</v>
      </c>
      <c r="AK181">
        <f t="shared" si="28"/>
        <v>2.6821490702169041E-4</v>
      </c>
      <c r="AL181">
        <f t="shared" si="29"/>
        <v>2.1604608088442759E-4</v>
      </c>
    </row>
    <row r="182" spans="1:38" x14ac:dyDescent="0.35">
      <c r="A182" t="s">
        <v>56</v>
      </c>
      <c r="B182" t="s">
        <v>70</v>
      </c>
      <c r="C182">
        <v>1.7405980237011409</v>
      </c>
      <c r="D182">
        <v>-0.33574397714601328</v>
      </c>
      <c r="E182">
        <v>2.0763420008471538</v>
      </c>
      <c r="F182">
        <v>-7.7368709221479817</v>
      </c>
      <c r="G182">
        <v>-1.6726829942206931</v>
      </c>
      <c r="H182">
        <v>0</v>
      </c>
      <c r="I182">
        <v>-1.6726829942206931</v>
      </c>
      <c r="J182">
        <v>0</v>
      </c>
      <c r="K182">
        <v>0.78277540164496529</v>
      </c>
      <c r="L182">
        <v>0.51011629076668319</v>
      </c>
      <c r="M182">
        <v>-0.1509895581758243</v>
      </c>
      <c r="N182">
        <v>-9.8396338463489302E-2</v>
      </c>
      <c r="O182">
        <v>0.93376495982079</v>
      </c>
      <c r="P182">
        <v>0.60851262923017257</v>
      </c>
      <c r="Q182">
        <v>-3.4793974031303891</v>
      </c>
      <c r="R182">
        <v>-2.2674413294774491</v>
      </c>
      <c r="S182">
        <v>-0.75223290202391802</v>
      </c>
      <c r="T182">
        <v>-0.4902124632004487</v>
      </c>
      <c r="U182">
        <v>0</v>
      </c>
      <c r="V182">
        <v>0</v>
      </c>
      <c r="W182">
        <v>-0.75223290202391802</v>
      </c>
      <c r="X182">
        <v>-0.4902124632004487</v>
      </c>
      <c r="Y182">
        <v>0</v>
      </c>
      <c r="Z182">
        <v>0</v>
      </c>
      <c r="AA182">
        <v>341.21592570296002</v>
      </c>
      <c r="AB182">
        <v>222.36238134761999</v>
      </c>
      <c r="AC182">
        <f t="shared" si="20"/>
        <v>25.629054967902871</v>
      </c>
      <c r="AD182">
        <f t="shared" si="21"/>
        <v>30.57264373926122</v>
      </c>
      <c r="AE182">
        <f t="shared" si="22"/>
        <v>1.1928900139919152</v>
      </c>
      <c r="AF182">
        <f t="shared" si="23"/>
        <v>-4.9435887713583524</v>
      </c>
      <c r="AG182">
        <f t="shared" si="24"/>
        <v>-0.19289001399191535</v>
      </c>
      <c r="AH182">
        <f t="shared" si="25"/>
        <v>-24.629054967902871</v>
      </c>
      <c r="AI182">
        <f t="shared" si="26"/>
        <v>0</v>
      </c>
      <c r="AJ182">
        <f t="shared" si="27"/>
        <v>1</v>
      </c>
      <c r="AK182">
        <f t="shared" si="28"/>
        <v>1.9903827566234447E-4</v>
      </c>
      <c r="AL182">
        <f t="shared" si="29"/>
        <v>3.0542499621046953E-4</v>
      </c>
    </row>
    <row r="183" spans="1:38" x14ac:dyDescent="0.35">
      <c r="A183" t="s">
        <v>57</v>
      </c>
      <c r="B183" t="s">
        <v>70</v>
      </c>
      <c r="C183">
        <v>0.65254641160964377</v>
      </c>
      <c r="D183">
        <v>0.12712771106513479</v>
      </c>
      <c r="E183">
        <v>0.52541870054450879</v>
      </c>
      <c r="F183">
        <v>5.5953016739065997E-2</v>
      </c>
      <c r="G183">
        <v>1.7931727792675801E-2</v>
      </c>
      <c r="H183">
        <v>0</v>
      </c>
      <c r="I183">
        <v>1.7931727792675801E-2</v>
      </c>
      <c r="J183">
        <v>0</v>
      </c>
      <c r="K183">
        <v>0.65589764735081246</v>
      </c>
      <c r="L183">
        <v>0.35911075319053859</v>
      </c>
      <c r="M183">
        <v>0.1277805917207247</v>
      </c>
      <c r="N183">
        <v>6.99611970271619E-2</v>
      </c>
      <c r="O183">
        <v>0.52811705563008715</v>
      </c>
      <c r="P183">
        <v>0.28914955616337679</v>
      </c>
      <c r="Q183">
        <v>5.62403706286684E-2</v>
      </c>
      <c r="R183">
        <v>3.07921852407162E-2</v>
      </c>
      <c r="S183">
        <v>1.8023818479270402E-2</v>
      </c>
      <c r="T183">
        <v>9.8682272388126002E-3</v>
      </c>
      <c r="U183">
        <v>0</v>
      </c>
      <c r="V183">
        <v>0</v>
      </c>
      <c r="W183">
        <v>1.8023818479270402E-2</v>
      </c>
      <c r="X183">
        <v>9.8682272388126002E-3</v>
      </c>
      <c r="Y183">
        <v>0</v>
      </c>
      <c r="Z183">
        <v>0</v>
      </c>
      <c r="AA183">
        <v>181.71174374815001</v>
      </c>
      <c r="AB183">
        <v>99.489061173690004</v>
      </c>
      <c r="AC183">
        <f t="shared" si="20"/>
        <v>0.97325531327738646</v>
      </c>
      <c r="AD183">
        <f t="shared" si="21"/>
        <v>0.78364777263712093</v>
      </c>
      <c r="AE183">
        <f t="shared" si="22"/>
        <v>0.80518211608650547</v>
      </c>
      <c r="AF183">
        <f t="shared" si="23"/>
        <v>0.18960754064026533</v>
      </c>
      <c r="AG183">
        <f t="shared" si="24"/>
        <v>0.19481788391349422</v>
      </c>
      <c r="AH183">
        <f t="shared" si="25"/>
        <v>2.6744686722613473E-2</v>
      </c>
      <c r="AI183">
        <f t="shared" si="26"/>
        <v>0</v>
      </c>
      <c r="AJ183">
        <f t="shared" si="27"/>
        <v>1</v>
      </c>
      <c r="AK183">
        <f t="shared" si="28"/>
        <v>3.6897898042935139E-3</v>
      </c>
      <c r="AL183">
        <f t="shared" si="29"/>
        <v>6.7392146583008291E-3</v>
      </c>
    </row>
    <row r="184" spans="1:38" x14ac:dyDescent="0.35">
      <c r="A184" t="s">
        <v>58</v>
      </c>
      <c r="B184" t="s">
        <v>70</v>
      </c>
      <c r="C184">
        <v>1.0573141337899381</v>
      </c>
      <c r="D184">
        <v>1.2073783018730999E-3</v>
      </c>
      <c r="E184">
        <v>1.056106755488065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2.0970974668715678</v>
      </c>
      <c r="L184">
        <v>1.390519146519885</v>
      </c>
      <c r="M184">
        <v>2.3947376635719999E-3</v>
      </c>
      <c r="N184">
        <v>1.5878749675172E-3</v>
      </c>
      <c r="O184">
        <v>2.0947027292079961</v>
      </c>
      <c r="P184">
        <v>1.3889312715523681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76.037366075549997</v>
      </c>
      <c r="AB184">
        <v>50.417977728389999</v>
      </c>
      <c r="AC184">
        <f t="shared" si="20"/>
        <v>1</v>
      </c>
      <c r="AD184">
        <f t="shared" si="21"/>
        <v>0.99885807040378316</v>
      </c>
      <c r="AE184">
        <f t="shared" si="22"/>
        <v>0.99885807040378316</v>
      </c>
      <c r="AF184">
        <f t="shared" si="23"/>
        <v>1.1419295962168381E-3</v>
      </c>
      <c r="AG184">
        <f t="shared" si="24"/>
        <v>1.1419295962168381E-3</v>
      </c>
      <c r="AH184">
        <f t="shared" si="25"/>
        <v>0</v>
      </c>
      <c r="AI184">
        <v>0</v>
      </c>
      <c r="AJ184">
        <v>0</v>
      </c>
      <c r="AK184">
        <f t="shared" si="28"/>
        <v>1.3905191465198845E-2</v>
      </c>
      <c r="AL184">
        <f t="shared" si="29"/>
        <v>2.0970974668715683E-2</v>
      </c>
    </row>
    <row r="185" spans="1:38" x14ac:dyDescent="0.35">
      <c r="A185" t="s">
        <v>59</v>
      </c>
      <c r="B185" t="s">
        <v>70</v>
      </c>
      <c r="C185">
        <v>0.1497873810746348</v>
      </c>
      <c r="D185">
        <v>4.9594344938770699E-2</v>
      </c>
      <c r="E185">
        <v>0.1001930361358631</v>
      </c>
      <c r="F185">
        <v>0.1127861948433377</v>
      </c>
      <c r="G185">
        <v>8.81079020611963E-2</v>
      </c>
      <c r="H185">
        <v>3.9390999393046997E-3</v>
      </c>
      <c r="I185">
        <v>8.4168802121890707E-2</v>
      </c>
      <c r="J185">
        <v>0</v>
      </c>
      <c r="K185">
        <v>2.72429216534293E-2</v>
      </c>
      <c r="L185">
        <v>2.87497293662566E-2</v>
      </c>
      <c r="M185">
        <v>9.0200846288038001E-3</v>
      </c>
      <c r="N185">
        <v>9.5189860778459E-3</v>
      </c>
      <c r="O185">
        <v>1.8222837024625699E-2</v>
      </c>
      <c r="P185">
        <v>1.9230743288411099E-2</v>
      </c>
      <c r="Q185">
        <v>2.05132464942057E-2</v>
      </c>
      <c r="R185">
        <v>2.1647835450037699E-2</v>
      </c>
      <c r="S185">
        <v>1.6024825694129701E-2</v>
      </c>
      <c r="T185">
        <v>1.6911159812760701E-2</v>
      </c>
      <c r="U185">
        <v>7.164327880066E-4</v>
      </c>
      <c r="V185">
        <v>7.5605873064310005E-4</v>
      </c>
      <c r="W185">
        <v>1.5308392906123699E-2</v>
      </c>
      <c r="X185">
        <v>1.61551010821172E-2</v>
      </c>
      <c r="Y185">
        <v>0</v>
      </c>
      <c r="Z185">
        <v>0</v>
      </c>
      <c r="AA185">
        <v>521.00449074291998</v>
      </c>
      <c r="AB185">
        <v>549.82128194673999</v>
      </c>
      <c r="AC185">
        <f t="shared" si="20"/>
        <v>0.62963577545634097</v>
      </c>
      <c r="AD185">
        <f t="shared" si="21"/>
        <v>0.42116445023693838</v>
      </c>
      <c r="AE185">
        <f t="shared" si="22"/>
        <v>0.66890171533167908</v>
      </c>
      <c r="AF185">
        <f t="shared" si="23"/>
        <v>0.20847132521939837</v>
      </c>
      <c r="AG185">
        <f t="shared" si="24"/>
        <v>0.33109828466831426</v>
      </c>
      <c r="AH185">
        <f t="shared" si="25"/>
        <v>0.37036422454365908</v>
      </c>
      <c r="AI185">
        <f t="shared" si="26"/>
        <v>4.4707680550250248E-2</v>
      </c>
      <c r="AJ185">
        <f t="shared" si="27"/>
        <v>0.95529231944973958</v>
      </c>
      <c r="AK185">
        <f t="shared" si="28"/>
        <v>4.5660889179017865E-4</v>
      </c>
      <c r="AL185">
        <f t="shared" si="29"/>
        <v>4.3267747347560016E-4</v>
      </c>
    </row>
    <row r="186" spans="1:38" x14ac:dyDescent="0.35">
      <c r="A186" t="s">
        <v>60</v>
      </c>
      <c r="B186" t="s">
        <v>70</v>
      </c>
      <c r="C186">
        <v>14.861503111824639</v>
      </c>
      <c r="D186">
        <v>1.550165795496744</v>
      </c>
      <c r="E186">
        <v>13.31133731632789</v>
      </c>
      <c r="F186">
        <v>0</v>
      </c>
      <c r="G186">
        <v>1.759052535380377</v>
      </c>
      <c r="H186">
        <v>0.21456229224262149</v>
      </c>
      <c r="I186">
        <v>1.544490243137751</v>
      </c>
      <c r="J186">
        <v>0</v>
      </c>
      <c r="K186">
        <v>1.989199372387606</v>
      </c>
      <c r="L186">
        <v>2.5154274674357882</v>
      </c>
      <c r="M186">
        <v>0.20748835459620391</v>
      </c>
      <c r="N186">
        <v>0.26237787602853141</v>
      </c>
      <c r="O186">
        <v>1.7817110177914031</v>
      </c>
      <c r="P186">
        <v>2.2530495914072559</v>
      </c>
      <c r="Q186">
        <v>0</v>
      </c>
      <c r="R186">
        <v>0</v>
      </c>
      <c r="S186">
        <v>0.2354476645495831</v>
      </c>
      <c r="T186">
        <v>0.29773361623413219</v>
      </c>
      <c r="U186">
        <v>2.8718977741052101E-2</v>
      </c>
      <c r="V186">
        <v>3.63163725312311E-2</v>
      </c>
      <c r="W186">
        <v>0.2067286868085309</v>
      </c>
      <c r="X186">
        <v>0.2614172437029012</v>
      </c>
      <c r="Y186">
        <v>0</v>
      </c>
      <c r="Z186">
        <v>0</v>
      </c>
      <c r="AA186">
        <v>590.81421763174001</v>
      </c>
      <c r="AB186">
        <v>747.10978286638999</v>
      </c>
      <c r="AC186">
        <f t="shared" si="20"/>
        <v>0.89416403562439339</v>
      </c>
      <c r="AD186">
        <f t="shared" si="21"/>
        <v>0.80089604697219507</v>
      </c>
      <c r="AE186">
        <f t="shared" si="22"/>
        <v>0.8956925296295668</v>
      </c>
      <c r="AF186">
        <f t="shared" si="23"/>
        <v>9.3267988652198069E-2</v>
      </c>
      <c r="AG186">
        <f t="shared" si="24"/>
        <v>0.10430747037043284</v>
      </c>
      <c r="AH186">
        <f t="shared" si="25"/>
        <v>0.10583596437560659</v>
      </c>
      <c r="AI186">
        <f t="shared" si="26"/>
        <v>0.12197605695512932</v>
      </c>
      <c r="AJ186">
        <f t="shared" si="27"/>
        <v>0.87802394304486808</v>
      </c>
      <c r="AK186">
        <f t="shared" si="28"/>
        <v>2.8131610836699197E-2</v>
      </c>
      <c r="AL186">
        <f t="shared" si="29"/>
        <v>2.2246470369371895E-2</v>
      </c>
    </row>
    <row r="187" spans="1:38" x14ac:dyDescent="0.35">
      <c r="A187" t="s">
        <v>61</v>
      </c>
      <c r="B187" t="s">
        <v>70</v>
      </c>
      <c r="C187">
        <v>0</v>
      </c>
      <c r="D187">
        <v>0</v>
      </c>
      <c r="E187">
        <v>0</v>
      </c>
      <c r="F187">
        <v>-2.3244291230590001E-4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-8.8732399514901417E-5</v>
      </c>
      <c r="R187">
        <v>-5.2673663377023061E-5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441.28867711817003</v>
      </c>
      <c r="AB187">
        <v>261.95945739796002</v>
      </c>
      <c r="AC187">
        <v>0</v>
      </c>
      <c r="AD187">
        <v>0</v>
      </c>
      <c r="AE187">
        <v>0</v>
      </c>
      <c r="AF187">
        <v>0</v>
      </c>
      <c r="AG187">
        <v>0</v>
      </c>
      <c r="AH187" t="e">
        <f t="shared" si="25"/>
        <v>#DIV/0!</v>
      </c>
      <c r="AI187">
        <v>0</v>
      </c>
      <c r="AJ187">
        <v>0</v>
      </c>
      <c r="AK187">
        <f t="shared" si="28"/>
        <v>0</v>
      </c>
      <c r="AL187">
        <f t="shared" si="29"/>
        <v>0</v>
      </c>
    </row>
    <row r="188" spans="1:38" x14ac:dyDescent="0.35">
      <c r="A188" t="s">
        <v>62</v>
      </c>
      <c r="B188" t="s">
        <v>70</v>
      </c>
      <c r="C188">
        <v>7.6428054034677104E-2</v>
      </c>
      <c r="D188">
        <v>2.01332522861585E-2</v>
      </c>
      <c r="E188">
        <v>5.6294801748519398E-2</v>
      </c>
      <c r="F188">
        <v>7.4328099406199995E-4</v>
      </c>
      <c r="G188">
        <v>0.1064973008292113</v>
      </c>
      <c r="H188">
        <v>5.8988637891250299E-2</v>
      </c>
      <c r="I188">
        <v>4.7508662937961001E-2</v>
      </c>
      <c r="J188">
        <v>0</v>
      </c>
      <c r="K188">
        <v>2.3779315743929798E-2</v>
      </c>
      <c r="L188">
        <v>1.10690037893568E-2</v>
      </c>
      <c r="M188">
        <v>6.2641260347612998E-3</v>
      </c>
      <c r="N188">
        <v>2.9158801524168999E-3</v>
      </c>
      <c r="O188">
        <v>1.75151897091687E-2</v>
      </c>
      <c r="P188">
        <v>8.1531236369397995E-3</v>
      </c>
      <c r="Q188">
        <v>2.31259498459E-4</v>
      </c>
      <c r="R188">
        <v>1.0764869318919999E-4</v>
      </c>
      <c r="S188">
        <v>3.3134860939218101E-2</v>
      </c>
      <c r="T188">
        <v>1.5423904760153999E-2</v>
      </c>
      <c r="U188">
        <v>1.8353331946459401E-2</v>
      </c>
      <c r="V188">
        <v>8.5432694132310007E-3</v>
      </c>
      <c r="W188">
        <v>1.4781528992759E-2</v>
      </c>
      <c r="X188">
        <v>6.8806353469231998E-3</v>
      </c>
      <c r="Y188">
        <v>0</v>
      </c>
      <c r="Z188">
        <v>0</v>
      </c>
      <c r="AA188">
        <v>690.46912883131995</v>
      </c>
      <c r="AB188">
        <v>321.40560669490998</v>
      </c>
      <c r="AC188">
        <f t="shared" si="20"/>
        <v>0.41781006297101847</v>
      </c>
      <c r="AD188">
        <f t="shared" si="21"/>
        <v>0.30774739669307949</v>
      </c>
      <c r="AE188">
        <f t="shared" si="22"/>
        <v>0.7365724858437086</v>
      </c>
      <c r="AF188">
        <f t="shared" si="23"/>
        <v>0.1100626662779433</v>
      </c>
      <c r="AG188">
        <f t="shared" si="24"/>
        <v>0.26342751415630178</v>
      </c>
      <c r="AH188">
        <f t="shared" si="25"/>
        <v>0.58218993702898159</v>
      </c>
      <c r="AI188">
        <f t="shared" si="26"/>
        <v>0.55389796203238817</v>
      </c>
      <c r="AJ188">
        <f t="shared" si="27"/>
        <v>0.44610203796761183</v>
      </c>
      <c r="AK188">
        <f t="shared" si="28"/>
        <v>2.6492908549511219E-4</v>
      </c>
      <c r="AL188">
        <f t="shared" si="29"/>
        <v>5.6914176683149111E-4</v>
      </c>
    </row>
    <row r="189" spans="1:38" x14ac:dyDescent="0.35">
      <c r="A189" t="s">
        <v>63</v>
      </c>
      <c r="B189" t="s">
        <v>70</v>
      </c>
      <c r="C189">
        <v>8.1321563717489005E-3</v>
      </c>
      <c r="D189">
        <v>4.6165707683641002E-3</v>
      </c>
      <c r="E189">
        <v>3.5155856033847999E-3</v>
      </c>
      <c r="F189">
        <v>-0.40447797630408838</v>
      </c>
      <c r="G189">
        <v>0</v>
      </c>
      <c r="H189">
        <v>0</v>
      </c>
      <c r="I189">
        <v>0</v>
      </c>
      <c r="J189">
        <v>0</v>
      </c>
      <c r="K189">
        <v>1.26310054825253E-2</v>
      </c>
      <c r="L189">
        <v>8.9135651372827997E-3</v>
      </c>
      <c r="M189">
        <v>7.1705373113886001E-3</v>
      </c>
      <c r="N189">
        <v>5.0601712969568996E-3</v>
      </c>
      <c r="O189">
        <v>5.4604681711365004E-3</v>
      </c>
      <c r="P189">
        <v>3.8533938403259001E-3</v>
      </c>
      <c r="Q189">
        <v>-0.62824216637129171</v>
      </c>
      <c r="R189">
        <v>-0.44334376069153492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91.233487908610002</v>
      </c>
      <c r="AB189">
        <v>64.38249419652</v>
      </c>
      <c r="AC189">
        <f t="shared" si="20"/>
        <v>1</v>
      </c>
      <c r="AD189">
        <f t="shared" si="21"/>
        <v>0.43230668996945742</v>
      </c>
      <c r="AE189">
        <f t="shared" si="22"/>
        <v>0.43230668996945742</v>
      </c>
      <c r="AF189">
        <f t="shared" si="23"/>
        <v>0.56769331003054246</v>
      </c>
      <c r="AG189">
        <f t="shared" si="24"/>
        <v>0.56769331003054246</v>
      </c>
      <c r="AH189">
        <f t="shared" si="25"/>
        <v>0</v>
      </c>
      <c r="AI189">
        <v>0</v>
      </c>
      <c r="AJ189">
        <v>0</v>
      </c>
      <c r="AK189">
        <f t="shared" si="28"/>
        <v>8.9135651372827129E-5</v>
      </c>
      <c r="AL189">
        <f t="shared" si="29"/>
        <v>1.2631005482525184E-4</v>
      </c>
    </row>
    <row r="190" spans="1:38" x14ac:dyDescent="0.35">
      <c r="A190" t="s">
        <v>64</v>
      </c>
      <c r="B190" t="s">
        <v>70</v>
      </c>
      <c r="C190">
        <v>7.7024509539050037</v>
      </c>
      <c r="D190">
        <v>2.430584967050669</v>
      </c>
      <c r="E190">
        <v>5.2718659868543361</v>
      </c>
      <c r="F190">
        <v>2.9</v>
      </c>
      <c r="G190">
        <v>-0.1270225953158492</v>
      </c>
      <c r="H190">
        <v>0</v>
      </c>
      <c r="I190">
        <v>-0.1270225953158492</v>
      </c>
      <c r="J190">
        <v>0</v>
      </c>
      <c r="K190">
        <v>5.2261115841824903</v>
      </c>
      <c r="L190">
        <v>2.4855583034441739</v>
      </c>
      <c r="M190">
        <v>1.64915146213341</v>
      </c>
      <c r="N190">
        <v>0.78434263109673064</v>
      </c>
      <c r="O190">
        <v>3.5769601220490799</v>
      </c>
      <c r="P190">
        <v>1.701215672347443</v>
      </c>
      <c r="Q190">
        <v>1.967649477397261</v>
      </c>
      <c r="R190">
        <v>0.93582148372314078</v>
      </c>
      <c r="S190">
        <v>-8.6184808031336296E-2</v>
      </c>
      <c r="T190">
        <v>-4.0989818487876702E-2</v>
      </c>
      <c r="U190">
        <v>0</v>
      </c>
      <c r="V190">
        <v>0</v>
      </c>
      <c r="W190">
        <v>-8.6184808031336296E-2</v>
      </c>
      <c r="X190">
        <v>-4.0989818487876702E-2</v>
      </c>
      <c r="Y190">
        <v>0</v>
      </c>
      <c r="Z190">
        <v>0</v>
      </c>
      <c r="AA190">
        <v>309.88816247970999</v>
      </c>
      <c r="AB190">
        <v>147.38397429586999</v>
      </c>
      <c r="AC190">
        <f t="shared" si="20"/>
        <v>1.0167677112505233</v>
      </c>
      <c r="AD190">
        <f t="shared" si="21"/>
        <v>0.69591655247811846</v>
      </c>
      <c r="AE190">
        <f t="shared" si="22"/>
        <v>0.68444005919720852</v>
      </c>
      <c r="AF190">
        <f t="shared" si="23"/>
        <v>0.32085115877240511</v>
      </c>
      <c r="AG190">
        <f t="shared" si="24"/>
        <v>0.31555994080279165</v>
      </c>
      <c r="AH190">
        <f t="shared" si="25"/>
        <v>-1.6767711250523377E-2</v>
      </c>
      <c r="AI190">
        <f t="shared" si="26"/>
        <v>0</v>
      </c>
      <c r="AJ190">
        <f t="shared" si="27"/>
        <v>1</v>
      </c>
      <c r="AK190">
        <f t="shared" si="28"/>
        <v>2.4445684849562971E-2</v>
      </c>
      <c r="AL190">
        <f t="shared" si="29"/>
        <v>5.1399267761511533E-2</v>
      </c>
    </row>
    <row r="191" spans="1:38" x14ac:dyDescent="0.35">
      <c r="A191" t="s">
        <v>65</v>
      </c>
      <c r="B191" t="s">
        <v>70</v>
      </c>
      <c r="C191">
        <v>1.5765726587907949</v>
      </c>
      <c r="D191">
        <v>1.4258862393990299E-2</v>
      </c>
      <c r="E191">
        <v>1.562313796396801</v>
      </c>
      <c r="F191">
        <v>0</v>
      </c>
      <c r="G191">
        <v>0.2080116396299764</v>
      </c>
      <c r="H191">
        <v>8.3875661141119495E-2</v>
      </c>
      <c r="I191">
        <v>0.1241359784888587</v>
      </c>
      <c r="J191">
        <v>0</v>
      </c>
      <c r="K191">
        <v>0.27586422742956351</v>
      </c>
      <c r="L191">
        <v>0.1297139208922648</v>
      </c>
      <c r="M191">
        <v>2.4949754370087E-3</v>
      </c>
      <c r="N191">
        <v>1.1731606141174001E-3</v>
      </c>
      <c r="O191">
        <v>0.27336925199255457</v>
      </c>
      <c r="P191">
        <v>0.1285407602781472</v>
      </c>
      <c r="Q191">
        <v>0</v>
      </c>
      <c r="R191">
        <v>0</v>
      </c>
      <c r="S191">
        <v>3.6397288728128502E-2</v>
      </c>
      <c r="T191">
        <v>1.7114343076537201E-2</v>
      </c>
      <c r="U191">
        <v>1.46763261000515E-2</v>
      </c>
      <c r="V191">
        <v>6.9009447889260998E-3</v>
      </c>
      <c r="W191">
        <v>2.17209626280765E-2</v>
      </c>
      <c r="X191">
        <v>1.0213398287610601E-2</v>
      </c>
      <c r="Y191">
        <v>0</v>
      </c>
      <c r="Z191">
        <v>0</v>
      </c>
      <c r="AA191">
        <v>1215.4228689920101</v>
      </c>
      <c r="AB191">
        <v>571.50311712429004</v>
      </c>
      <c r="AC191">
        <f t="shared" si="20"/>
        <v>0.88343972329351328</v>
      </c>
      <c r="AD191">
        <f t="shared" si="21"/>
        <v>0.875449704325728</v>
      </c>
      <c r="AE191">
        <f t="shared" si="22"/>
        <v>0.99095578480668933</v>
      </c>
      <c r="AF191">
        <f t="shared" si="23"/>
        <v>7.9900189677833463E-3</v>
      </c>
      <c r="AG191">
        <f t="shared" si="24"/>
        <v>9.0442151933083827E-3</v>
      </c>
      <c r="AH191">
        <f t="shared" si="25"/>
        <v>0.11656027670648662</v>
      </c>
      <c r="AI191">
        <f t="shared" si="26"/>
        <v>0.40322580645161282</v>
      </c>
      <c r="AJ191">
        <f t="shared" si="27"/>
        <v>0.59677419354839578</v>
      </c>
      <c r="AK191">
        <f t="shared" si="28"/>
        <v>1.468282639688017E-3</v>
      </c>
      <c r="AL191">
        <f t="shared" si="29"/>
        <v>3.1226151615769077E-3</v>
      </c>
    </row>
    <row r="192" spans="1:38" x14ac:dyDescent="0.35">
      <c r="A192" t="s">
        <v>28</v>
      </c>
      <c r="B192" t="s">
        <v>71</v>
      </c>
      <c r="C192">
        <v>30.447629669960548</v>
      </c>
      <c r="D192">
        <v>2.3474363010853931</v>
      </c>
      <c r="E192">
        <v>28.100193368875161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2.0369395358085818</v>
      </c>
      <c r="L192">
        <v>2.4824492048994808</v>
      </c>
      <c r="M192">
        <v>0.15704295740927829</v>
      </c>
      <c r="N192">
        <v>0.19139064164757921</v>
      </c>
      <c r="O192">
        <v>1.879896578399304</v>
      </c>
      <c r="P192">
        <v>2.2910585632519052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1226.51571721458</v>
      </c>
      <c r="AB192">
        <v>1494.77336635199</v>
      </c>
      <c r="AC192">
        <f t="shared" si="20"/>
        <v>1</v>
      </c>
      <c r="AD192">
        <f t="shared" si="21"/>
        <v>0.92290249433106597</v>
      </c>
      <c r="AE192">
        <f t="shared" si="22"/>
        <v>0.92290249433106597</v>
      </c>
      <c r="AF192">
        <f t="shared" si="23"/>
        <v>7.7097505668934224E-2</v>
      </c>
      <c r="AG192">
        <f t="shared" si="24"/>
        <v>7.7097505668934224E-2</v>
      </c>
      <c r="AH192">
        <f t="shared" si="25"/>
        <v>0</v>
      </c>
      <c r="AI192">
        <v>0</v>
      </c>
      <c r="AJ192">
        <v>0</v>
      </c>
      <c r="AK192">
        <f t="shared" si="28"/>
        <v>2.4824492048994843E-2</v>
      </c>
      <c r="AL192">
        <f t="shared" si="29"/>
        <v>2.0369395358085827E-2</v>
      </c>
    </row>
    <row r="193" spans="1:38" x14ac:dyDescent="0.35">
      <c r="A193" t="s">
        <v>29</v>
      </c>
      <c r="B193" t="s">
        <v>71</v>
      </c>
      <c r="C193">
        <v>20.504749809281801</v>
      </c>
      <c r="D193">
        <v>5.6667672200197003</v>
      </c>
      <c r="E193">
        <v>14.837982589262079</v>
      </c>
      <c r="F193">
        <v>7.4562726579202293E-2</v>
      </c>
      <c r="G193">
        <v>-1.118440898688092</v>
      </c>
      <c r="H193">
        <v>0</v>
      </c>
      <c r="I193">
        <v>-1.1184408986881</v>
      </c>
      <c r="J193">
        <v>0</v>
      </c>
      <c r="K193">
        <v>1.2085752854931859</v>
      </c>
      <c r="L193">
        <v>1.189723861975454</v>
      </c>
      <c r="M193">
        <v>0.33400626071811729</v>
      </c>
      <c r="N193">
        <v>0.32879641276412691</v>
      </c>
      <c r="O193">
        <v>0.87456902477507015</v>
      </c>
      <c r="P193">
        <v>0.86092744921132791</v>
      </c>
      <c r="Q193">
        <v>4.3948192199748997E-3</v>
      </c>
      <c r="R193">
        <v>4.3262685890010002E-3</v>
      </c>
      <c r="S193">
        <v>-6.5922288299629095E-2</v>
      </c>
      <c r="T193">
        <v>-6.4894028835025194E-2</v>
      </c>
      <c r="U193">
        <v>0</v>
      </c>
      <c r="V193">
        <v>0</v>
      </c>
      <c r="W193">
        <v>-6.5922288299629095E-2</v>
      </c>
      <c r="X193">
        <v>-6.4894028835025194E-2</v>
      </c>
      <c r="Y193">
        <v>0</v>
      </c>
      <c r="Z193">
        <v>0</v>
      </c>
      <c r="AA193">
        <v>1723.48815255626</v>
      </c>
      <c r="AB193">
        <v>1696.60508992738</v>
      </c>
      <c r="AC193">
        <f t="shared" si="20"/>
        <v>1.0576923076923075</v>
      </c>
      <c r="AD193">
        <f t="shared" si="21"/>
        <v>0.76538461538461389</v>
      </c>
      <c r="AE193">
        <f t="shared" si="22"/>
        <v>0.72363636363636252</v>
      </c>
      <c r="AF193">
        <f t="shared" si="23"/>
        <v>0.29230769230769238</v>
      </c>
      <c r="AG193">
        <f t="shared" si="24"/>
        <v>0.27636363636363648</v>
      </c>
      <c r="AH193">
        <f t="shared" si="25"/>
        <v>-5.7692307692307356E-2</v>
      </c>
      <c r="AI193">
        <f t="shared" si="26"/>
        <v>0</v>
      </c>
      <c r="AJ193">
        <f t="shared" si="27"/>
        <v>1.0000000000000071</v>
      </c>
      <c r="AK193">
        <f t="shared" si="28"/>
        <v>1.1248298331404328E-2</v>
      </c>
      <c r="AL193">
        <f t="shared" si="29"/>
        <v>1.1426529971935604E-2</v>
      </c>
    </row>
    <row r="194" spans="1:38" x14ac:dyDescent="0.35">
      <c r="A194" t="s">
        <v>30</v>
      </c>
      <c r="B194" t="s">
        <v>71</v>
      </c>
      <c r="C194">
        <v>53.297862831851091</v>
      </c>
      <c r="D194">
        <v>14.26602324193016</v>
      </c>
      <c r="E194">
        <v>39.031839589920928</v>
      </c>
      <c r="F194">
        <v>0</v>
      </c>
      <c r="G194">
        <v>-5.9346656686429924</v>
      </c>
      <c r="H194">
        <v>-5.9346656686429426</v>
      </c>
      <c r="I194">
        <v>0</v>
      </c>
      <c r="J194">
        <v>0</v>
      </c>
      <c r="K194">
        <v>2.0367474980625899</v>
      </c>
      <c r="L194">
        <v>1.833374895579158</v>
      </c>
      <c r="M194">
        <v>0.5451679598668604</v>
      </c>
      <c r="N194">
        <v>0.49073203843125179</v>
      </c>
      <c r="O194">
        <v>1.49157953819573</v>
      </c>
      <c r="P194">
        <v>1.3426428571479061</v>
      </c>
      <c r="Q194">
        <v>0</v>
      </c>
      <c r="R194">
        <v>0</v>
      </c>
      <c r="S194">
        <v>-0.22678987130461431</v>
      </c>
      <c r="T194">
        <v>-0.20414452798740079</v>
      </c>
      <c r="U194">
        <v>-0.22678987130461389</v>
      </c>
      <c r="V194">
        <v>-0.2041445279874006</v>
      </c>
      <c r="W194">
        <v>0</v>
      </c>
      <c r="X194">
        <v>0</v>
      </c>
      <c r="Y194">
        <v>0</v>
      </c>
      <c r="Z194">
        <v>0</v>
      </c>
      <c r="AA194">
        <v>2907.0902498102801</v>
      </c>
      <c r="AB194">
        <v>2616.8124857180101</v>
      </c>
      <c r="AC194">
        <f t="shared" si="20"/>
        <v>1.1253012048192781</v>
      </c>
      <c r="AD194">
        <f t="shared" si="21"/>
        <v>0.82409638554216946</v>
      </c>
      <c r="AE194">
        <f t="shared" si="22"/>
        <v>0.73233404710920769</v>
      </c>
      <c r="AF194">
        <f t="shared" si="23"/>
        <v>0.30120481927710863</v>
      </c>
      <c r="AG194">
        <f t="shared" si="24"/>
        <v>0.2676659528907922</v>
      </c>
      <c r="AH194">
        <f t="shared" si="25"/>
        <v>-0.12530120481927817</v>
      </c>
      <c r="AI194">
        <f t="shared" si="26"/>
        <v>0.99999999999999167</v>
      </c>
      <c r="AJ194">
        <f t="shared" si="27"/>
        <v>0</v>
      </c>
      <c r="AK194">
        <f t="shared" si="28"/>
        <v>1.6292303675917552E-2</v>
      </c>
      <c r="AL194">
        <f t="shared" si="29"/>
        <v>1.8099576267579763E-2</v>
      </c>
    </row>
    <row r="195" spans="1:38" x14ac:dyDescent="0.35">
      <c r="A195" t="s">
        <v>31</v>
      </c>
      <c r="B195" t="s">
        <v>71</v>
      </c>
      <c r="C195">
        <v>100.43280362318831</v>
      </c>
      <c r="D195">
        <v>23.966919046442669</v>
      </c>
      <c r="E195">
        <v>76.465884576745623</v>
      </c>
      <c r="F195">
        <v>0</v>
      </c>
      <c r="G195">
        <v>0.7988973015483225</v>
      </c>
      <c r="H195">
        <v>0</v>
      </c>
      <c r="I195">
        <v>0.79889730154820882</v>
      </c>
      <c r="J195">
        <v>0</v>
      </c>
      <c r="K195">
        <v>2.7918805654534271</v>
      </c>
      <c r="L195">
        <v>2.4132147741265229</v>
      </c>
      <c r="M195">
        <v>0.66624422584684018</v>
      </c>
      <c r="N195">
        <v>0.57588079837110207</v>
      </c>
      <c r="O195">
        <v>2.125636339606586</v>
      </c>
      <c r="P195">
        <v>1.837333975755421</v>
      </c>
      <c r="Q195">
        <v>0</v>
      </c>
      <c r="R195">
        <v>0</v>
      </c>
      <c r="S195">
        <v>2.22081408615615E-2</v>
      </c>
      <c r="T195">
        <v>1.9196026612373601E-2</v>
      </c>
      <c r="U195">
        <v>0</v>
      </c>
      <c r="V195">
        <v>0</v>
      </c>
      <c r="W195">
        <v>2.22081408615615E-2</v>
      </c>
      <c r="X195">
        <v>1.9196026612373601E-2</v>
      </c>
      <c r="Y195">
        <v>0</v>
      </c>
      <c r="Z195">
        <v>0</v>
      </c>
      <c r="AA195">
        <v>4161.7847155581303</v>
      </c>
      <c r="AB195">
        <v>3597.3173374942398</v>
      </c>
      <c r="AC195">
        <f t="shared" ref="AC195:AC258" si="30">C195/(C195+G195)</f>
        <v>0.99210822998872372</v>
      </c>
      <c r="AD195">
        <f t="shared" ref="AD195:AD258" si="31">(E195/(C195+G195))</f>
        <v>0.75535512965050544</v>
      </c>
      <c r="AE195">
        <f t="shared" ref="AE195:AE258" si="32">(E195/C195)</f>
        <v>0.76136363636363613</v>
      </c>
      <c r="AF195">
        <f t="shared" ref="AF195:AF258" si="33">(D195/(C195+G195))</f>
        <v>0.23675310033821823</v>
      </c>
      <c r="AG195">
        <f t="shared" ref="AG195:AG258" si="34">(D195/(C195))</f>
        <v>0.23863636363636367</v>
      </c>
      <c r="AH195">
        <f t="shared" ref="AH195:AH258" si="35">(G195/(C195+G195))</f>
        <v>7.8917700112762484E-3</v>
      </c>
      <c r="AI195">
        <f t="shared" ref="AI195:AI256" si="36">(H195/G195)</f>
        <v>0</v>
      </c>
      <c r="AJ195">
        <f t="shared" ref="AJ195:AJ256" si="37">I195/G195</f>
        <v>0.99999999999985767</v>
      </c>
      <c r="AK195">
        <f t="shared" ref="AK195:AK258" si="38">(C195+G195)/AA195</f>
        <v>2.4324108007388989E-2</v>
      </c>
      <c r="AL195">
        <f t="shared" ref="AL195:AL258" si="39">(C195+G195)/AB195</f>
        <v>2.8140887063149937E-2</v>
      </c>
    </row>
    <row r="196" spans="1:38" x14ac:dyDescent="0.35">
      <c r="A196" t="s">
        <v>32</v>
      </c>
      <c r="B196" t="s">
        <v>71</v>
      </c>
      <c r="C196">
        <v>45.651274374176523</v>
      </c>
      <c r="D196">
        <v>11.412818593544131</v>
      </c>
      <c r="E196">
        <v>34.238455780632393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2.379954283240993</v>
      </c>
      <c r="L196">
        <v>1.952862177144373</v>
      </c>
      <c r="M196">
        <v>0.59498857081024792</v>
      </c>
      <c r="N196">
        <v>0.48821554428609321</v>
      </c>
      <c r="O196">
        <v>1.784965712430745</v>
      </c>
      <c r="P196">
        <v>1.4646466328582799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2337.6598158571201</v>
      </c>
      <c r="AB196">
        <v>1918.15761738117</v>
      </c>
      <c r="AC196">
        <f t="shared" si="30"/>
        <v>1</v>
      </c>
      <c r="AD196">
        <f t="shared" si="31"/>
        <v>0.75</v>
      </c>
      <c r="AE196">
        <f t="shared" si="32"/>
        <v>0.75</v>
      </c>
      <c r="AF196">
        <f t="shared" si="33"/>
        <v>0.25</v>
      </c>
      <c r="AG196">
        <f t="shared" si="34"/>
        <v>0.25</v>
      </c>
      <c r="AH196">
        <f t="shared" si="35"/>
        <v>0</v>
      </c>
      <c r="AI196">
        <v>0</v>
      </c>
      <c r="AJ196">
        <v>0</v>
      </c>
      <c r="AK196">
        <f t="shared" si="38"/>
        <v>1.9528621771443742E-2</v>
      </c>
      <c r="AL196">
        <f t="shared" si="39"/>
        <v>2.3799542832409926E-2</v>
      </c>
    </row>
    <row r="197" spans="1:38" x14ac:dyDescent="0.35">
      <c r="A197" t="s">
        <v>33</v>
      </c>
      <c r="B197" t="s">
        <v>71</v>
      </c>
      <c r="C197">
        <v>29.96967941429034</v>
      </c>
      <c r="D197">
        <v>4.6827624084828594</v>
      </c>
      <c r="E197">
        <v>25.286917005807481</v>
      </c>
      <c r="F197">
        <v>-216.3436232719078</v>
      </c>
      <c r="G197">
        <v>0</v>
      </c>
      <c r="H197">
        <v>0</v>
      </c>
      <c r="I197">
        <v>0</v>
      </c>
      <c r="J197">
        <v>0</v>
      </c>
      <c r="K197">
        <v>0.65660595684839507</v>
      </c>
      <c r="L197">
        <v>0.56282649977393184</v>
      </c>
      <c r="M197">
        <v>0.1025946807575612</v>
      </c>
      <c r="N197">
        <v>8.7941640589676406E-2</v>
      </c>
      <c r="O197">
        <v>0.55401127609083289</v>
      </c>
      <c r="P197">
        <v>0.4748848591842556</v>
      </c>
      <c r="Q197">
        <v>-4.7398742509993284</v>
      </c>
      <c r="R197">
        <v>-4.0629037952430496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5324.8522282316499</v>
      </c>
      <c r="AB197">
        <v>4564.3325500944502</v>
      </c>
      <c r="AC197">
        <f t="shared" si="30"/>
        <v>1</v>
      </c>
      <c r="AD197">
        <f t="shared" si="31"/>
        <v>0.84375000000000022</v>
      </c>
      <c r="AE197">
        <f t="shared" si="32"/>
        <v>0.84375000000000022</v>
      </c>
      <c r="AF197">
        <f t="shared" si="33"/>
        <v>0.15624999999999981</v>
      </c>
      <c r="AG197">
        <f t="shared" si="34"/>
        <v>0.15624999999999981</v>
      </c>
      <c r="AH197">
        <f t="shared" si="35"/>
        <v>0</v>
      </c>
      <c r="AI197">
        <v>0</v>
      </c>
      <c r="AJ197">
        <v>0</v>
      </c>
      <c r="AK197">
        <f t="shared" si="38"/>
        <v>5.6282649977393052E-3</v>
      </c>
      <c r="AL197">
        <f t="shared" si="39"/>
        <v>6.5660595684839344E-3</v>
      </c>
    </row>
    <row r="198" spans="1:38" x14ac:dyDescent="0.35">
      <c r="A198" t="s">
        <v>34</v>
      </c>
      <c r="B198" t="s">
        <v>71</v>
      </c>
      <c r="C198">
        <v>6.3663101002469995E-4</v>
      </c>
      <c r="D198">
        <v>7.3429182238626822E-5</v>
      </c>
      <c r="E198">
        <v>5.6320182778790001E-4</v>
      </c>
      <c r="F198">
        <v>3.4291428105600002E-4</v>
      </c>
      <c r="G198">
        <v>5.2061290207910005E-4</v>
      </c>
      <c r="H198">
        <v>0</v>
      </c>
      <c r="I198">
        <v>5.2061290207910005E-4</v>
      </c>
      <c r="J198">
        <v>9.1786477798900005E-4</v>
      </c>
      <c r="K198">
        <v>3.8862875279654929E-5</v>
      </c>
      <c r="L198">
        <v>2.952095192076953E-5</v>
      </c>
      <c r="M198">
        <v>4.4824538958376792E-6</v>
      </c>
      <c r="N198">
        <v>3.404954085350909E-6</v>
      </c>
      <c r="O198">
        <v>3.4380421383595212E-5</v>
      </c>
      <c r="P198">
        <v>2.6115997835418628E-5</v>
      </c>
      <c r="Q198">
        <v>2.093305969408377E-5</v>
      </c>
      <c r="R198">
        <v>1.5901135578477721E-5</v>
      </c>
      <c r="S198">
        <v>3.1780598122921333E-5</v>
      </c>
      <c r="T198">
        <v>2.4141124465248961E-5</v>
      </c>
      <c r="U198">
        <v>0</v>
      </c>
      <c r="V198">
        <v>0</v>
      </c>
      <c r="W198">
        <v>3.1780598122921333E-5</v>
      </c>
      <c r="X198">
        <v>2.4141124465248961E-5</v>
      </c>
      <c r="Y198">
        <v>5.6030673700746547E-5</v>
      </c>
      <c r="Z198">
        <v>4.2561926066220217E-5</v>
      </c>
      <c r="AA198">
        <v>2156.5395714307001</v>
      </c>
      <c r="AB198">
        <v>1638.14696019506</v>
      </c>
      <c r="AC198">
        <f t="shared" si="30"/>
        <v>0.55012690355600391</v>
      </c>
      <c r="AD198">
        <f t="shared" si="31"/>
        <v>0.48667512690909975</v>
      </c>
      <c r="AE198">
        <f t="shared" si="32"/>
        <v>0.88465974625717492</v>
      </c>
      <c r="AF198">
        <f t="shared" si="33"/>
        <v>6.3451776648482838E-2</v>
      </c>
      <c r="AG198">
        <f t="shared" si="34"/>
        <v>0.11534025374569473</v>
      </c>
      <c r="AH198">
        <f t="shared" si="35"/>
        <v>0.44987309644399598</v>
      </c>
      <c r="AI198">
        <f t="shared" si="36"/>
        <v>0</v>
      </c>
      <c r="AJ198">
        <f t="shared" si="37"/>
        <v>1</v>
      </c>
      <c r="AK198">
        <f t="shared" si="38"/>
        <v>5.3662076385459358E-7</v>
      </c>
      <c r="AL198">
        <f t="shared" si="39"/>
        <v>7.0643473401556288E-7</v>
      </c>
    </row>
    <row r="199" spans="1:38" x14ac:dyDescent="0.35">
      <c r="A199" t="s">
        <v>35</v>
      </c>
      <c r="B199" t="s">
        <v>71</v>
      </c>
      <c r="C199">
        <v>1.1412818593541299E-2</v>
      </c>
      <c r="D199">
        <v>0</v>
      </c>
      <c r="E199">
        <v>1.1412818593541299E-2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8.6204843262379998E-4</v>
      </c>
      <c r="L199">
        <v>6.3527095195140004E-4</v>
      </c>
      <c r="M199">
        <v>0</v>
      </c>
      <c r="N199">
        <v>0</v>
      </c>
      <c r="O199">
        <v>8.6204843262379998E-4</v>
      </c>
      <c r="P199">
        <v>6.3527095195140004E-4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1796.5276955414199</v>
      </c>
      <c r="AB199">
        <v>1323.9184901480501</v>
      </c>
      <c r="AC199">
        <f t="shared" si="30"/>
        <v>1</v>
      </c>
      <c r="AD199">
        <f t="shared" si="31"/>
        <v>1</v>
      </c>
      <c r="AE199">
        <f t="shared" si="32"/>
        <v>1</v>
      </c>
      <c r="AF199">
        <f t="shared" si="33"/>
        <v>0</v>
      </c>
      <c r="AG199">
        <f t="shared" si="34"/>
        <v>0</v>
      </c>
      <c r="AH199">
        <f t="shared" si="35"/>
        <v>0</v>
      </c>
      <c r="AI199">
        <v>0</v>
      </c>
      <c r="AJ199">
        <v>0</v>
      </c>
      <c r="AK199">
        <f t="shared" si="38"/>
        <v>6.3527095195166559E-6</v>
      </c>
      <c r="AL199">
        <f t="shared" si="39"/>
        <v>8.6204843262405345E-6</v>
      </c>
    </row>
    <row r="200" spans="1:38" x14ac:dyDescent="0.35">
      <c r="A200" t="s">
        <v>36</v>
      </c>
      <c r="B200" t="s">
        <v>71</v>
      </c>
      <c r="C200">
        <v>0</v>
      </c>
      <c r="D200">
        <v>0</v>
      </c>
      <c r="E200">
        <v>0</v>
      </c>
      <c r="F200">
        <v>0</v>
      </c>
      <c r="G200">
        <v>15.395615788971099</v>
      </c>
      <c r="H200">
        <v>0</v>
      </c>
      <c r="I200">
        <v>15.395615788971099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0.4876060525070649</v>
      </c>
      <c r="T200">
        <v>0.52330648617822106</v>
      </c>
      <c r="U200">
        <v>0</v>
      </c>
      <c r="V200">
        <v>0</v>
      </c>
      <c r="W200">
        <v>0.4876060525070649</v>
      </c>
      <c r="X200">
        <v>0.52330648617822106</v>
      </c>
      <c r="Y200">
        <v>0</v>
      </c>
      <c r="Z200">
        <v>0</v>
      </c>
      <c r="AA200">
        <v>2941.9883367789698</v>
      </c>
      <c r="AB200">
        <v>3157.38816403392</v>
      </c>
      <c r="AC200">
        <f t="shared" si="30"/>
        <v>0</v>
      </c>
      <c r="AD200">
        <f t="shared" si="31"/>
        <v>0</v>
      </c>
      <c r="AE200">
        <v>0</v>
      </c>
      <c r="AF200">
        <f t="shared" si="33"/>
        <v>0</v>
      </c>
      <c r="AG200">
        <v>0</v>
      </c>
      <c r="AH200">
        <f t="shared" si="35"/>
        <v>1</v>
      </c>
      <c r="AI200">
        <f t="shared" si="36"/>
        <v>0</v>
      </c>
      <c r="AJ200">
        <f t="shared" si="37"/>
        <v>1</v>
      </c>
      <c r="AK200">
        <f t="shared" si="38"/>
        <v>5.2330648617822054E-3</v>
      </c>
      <c r="AL200">
        <f t="shared" si="39"/>
        <v>4.8760605250706525E-3</v>
      </c>
    </row>
    <row r="201" spans="1:38" x14ac:dyDescent="0.35">
      <c r="A201" t="s">
        <v>37</v>
      </c>
      <c r="B201" t="s">
        <v>71</v>
      </c>
      <c r="C201">
        <v>0.27200000000084401</v>
      </c>
      <c r="D201">
        <v>-3.1000000000000232</v>
      </c>
      <c r="E201">
        <v>3.3720000000002979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1.3648468991078E-3</v>
      </c>
      <c r="L201">
        <v>1.3617557193335E-3</v>
      </c>
      <c r="M201">
        <v>-1.55552403942316E-2</v>
      </c>
      <c r="N201">
        <v>-1.5520010036498199E-2</v>
      </c>
      <c r="O201">
        <v>1.6920087293339402E-2</v>
      </c>
      <c r="P201">
        <v>1.6881765755829999E-2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19974.2138871676</v>
      </c>
      <c r="AB201">
        <v>19928.975197</v>
      </c>
      <c r="AC201">
        <f t="shared" si="30"/>
        <v>1</v>
      </c>
      <c r="AD201">
        <f t="shared" si="31"/>
        <v>12.397058823492038</v>
      </c>
      <c r="AE201">
        <f t="shared" si="32"/>
        <v>12.397058823492038</v>
      </c>
      <c r="AF201">
        <f t="shared" si="33"/>
        <v>-11.397058823494133</v>
      </c>
      <c r="AG201">
        <f t="shared" si="34"/>
        <v>-11.397058823494133</v>
      </c>
      <c r="AH201">
        <f t="shared" si="35"/>
        <v>0</v>
      </c>
      <c r="AI201">
        <v>0</v>
      </c>
      <c r="AJ201">
        <v>0</v>
      </c>
      <c r="AK201">
        <f t="shared" si="38"/>
        <v>1.3617557193356679E-5</v>
      </c>
      <c r="AL201">
        <f t="shared" si="39"/>
        <v>1.3648468991109459E-5</v>
      </c>
    </row>
    <row r="202" spans="1:38" x14ac:dyDescent="0.35">
      <c r="A202" t="s">
        <v>38</v>
      </c>
      <c r="B202" t="s">
        <v>71</v>
      </c>
      <c r="C202">
        <v>-1.7763568394002501E-14</v>
      </c>
      <c r="D202">
        <v>-1.154631945610163E-14</v>
      </c>
      <c r="E202">
        <v>-5.3290705182007514E-15</v>
      </c>
      <c r="F202">
        <v>-9.7699626167013776E-15</v>
      </c>
      <c r="G202">
        <v>-2.442490654175344E-15</v>
      </c>
      <c r="H202">
        <v>-1.9984014443252822E-15</v>
      </c>
      <c r="I202">
        <v>-4.163336342344337E-16</v>
      </c>
      <c r="J202">
        <v>-2.664535259100376E-14</v>
      </c>
      <c r="K202">
        <v>-1.332267629550188E-15</v>
      </c>
      <c r="L202">
        <v>-7.2164496600635175E-16</v>
      </c>
      <c r="M202">
        <v>-8.3266726846886741E-16</v>
      </c>
      <c r="N202">
        <v>-4.7184478546569153E-16</v>
      </c>
      <c r="O202">
        <v>-4.163336342344337E-16</v>
      </c>
      <c r="P202">
        <v>-2.3592239273284581E-16</v>
      </c>
      <c r="Q202">
        <v>-7.7715611723760968E-16</v>
      </c>
      <c r="R202">
        <v>-4.163336342344337E-16</v>
      </c>
      <c r="S202">
        <v>-1.8041124150158801E-16</v>
      </c>
      <c r="T202">
        <v>-9.714451465470121E-17</v>
      </c>
      <c r="U202">
        <v>-1.52655665885959E-16</v>
      </c>
      <c r="V202">
        <v>-8.3266726846886741E-17</v>
      </c>
      <c r="W202">
        <v>-3.2959746043559329E-17</v>
      </c>
      <c r="X202">
        <v>-1.647987302177967E-17</v>
      </c>
      <c r="Y202">
        <v>-2.109423746787797E-15</v>
      </c>
      <c r="Z202">
        <v>-1.165734175856414E-15</v>
      </c>
      <c r="AA202">
        <v>2381.6675591522499</v>
      </c>
      <c r="AB202">
        <v>1279.1513266244399</v>
      </c>
      <c r="AC202">
        <f t="shared" si="30"/>
        <v>0.87912087912087911</v>
      </c>
      <c r="AD202">
        <f t="shared" si="31"/>
        <v>0.2637362637362638</v>
      </c>
      <c r="AE202">
        <f t="shared" si="32"/>
        <v>0.30000000000000004</v>
      </c>
      <c r="AF202">
        <f t="shared" si="33"/>
        <v>0.57142857142857162</v>
      </c>
      <c r="AG202">
        <f t="shared" si="34"/>
        <v>0.65000000000000024</v>
      </c>
      <c r="AH202">
        <f t="shared" si="35"/>
        <v>0.12087912087912088</v>
      </c>
      <c r="AI202">
        <f t="shared" si="36"/>
        <v>0.81818181818181845</v>
      </c>
      <c r="AJ202">
        <f t="shared" si="37"/>
        <v>0.17045454545454547</v>
      </c>
      <c r="AK202">
        <f t="shared" si="38"/>
        <v>-8.4839964211336678E-18</v>
      </c>
      <c r="AL202">
        <f t="shared" si="39"/>
        <v>-1.5796457094329671E-17</v>
      </c>
    </row>
    <row r="203" spans="1:38" x14ac:dyDescent="0.35">
      <c r="A203" t="s">
        <v>39</v>
      </c>
      <c r="B203" t="s">
        <v>71</v>
      </c>
      <c r="C203">
        <v>6.4771357218701624</v>
      </c>
      <c r="D203">
        <v>0.60354303931876307</v>
      </c>
      <c r="E203">
        <v>5.8735926825513989</v>
      </c>
      <c r="F203">
        <v>-4.2295835235661203E-2</v>
      </c>
      <c r="G203">
        <v>7.2337052758079695E-2</v>
      </c>
      <c r="H203">
        <v>4.4287991484539E-3</v>
      </c>
      <c r="I203">
        <v>6.7908253609623104E-2</v>
      </c>
      <c r="J203">
        <v>0.5273109280821302</v>
      </c>
      <c r="K203">
        <v>0.64962766669383099</v>
      </c>
      <c r="L203">
        <v>0.2775379970503965</v>
      </c>
      <c r="M203">
        <v>6.0532660302005298E-2</v>
      </c>
      <c r="N203">
        <v>2.5861141939738999E-2</v>
      </c>
      <c r="O203">
        <v>0.58909500639182544</v>
      </c>
      <c r="P203">
        <v>0.2516768551106574</v>
      </c>
      <c r="Q203">
        <v>-4.2420826017640998E-3</v>
      </c>
      <c r="R203">
        <v>-1.8123290755268E-3</v>
      </c>
      <c r="S203">
        <v>7.255082001766E-3</v>
      </c>
      <c r="T203">
        <v>3.0995615341544002E-3</v>
      </c>
      <c r="U203">
        <v>4.4418869398559998E-4</v>
      </c>
      <c r="V203">
        <v>1.897690735196E-4</v>
      </c>
      <c r="W203">
        <v>6.8108933077802997E-3</v>
      </c>
      <c r="X203">
        <v>2.9097924606344E-3</v>
      </c>
      <c r="Y203">
        <v>5.2886921401925802E-2</v>
      </c>
      <c r="Z203">
        <v>2.2594681520807201E-2</v>
      </c>
      <c r="AA203">
        <v>2333.7834064911899</v>
      </c>
      <c r="AB203">
        <v>997.05355143423003</v>
      </c>
      <c r="AC203">
        <f t="shared" si="30"/>
        <v>0.98895528613565609</v>
      </c>
      <c r="AD203">
        <f t="shared" si="31"/>
        <v>0.89680389317822495</v>
      </c>
      <c r="AE203">
        <f t="shared" si="32"/>
        <v>0.90681945458068913</v>
      </c>
      <c r="AF203">
        <f t="shared" si="33"/>
        <v>9.2151392957430994E-2</v>
      </c>
      <c r="AG203">
        <f t="shared" si="34"/>
        <v>9.3180545419310798E-2</v>
      </c>
      <c r="AH203">
        <f t="shared" si="35"/>
        <v>1.1044713864343936E-2</v>
      </c>
      <c r="AI203">
        <f t="shared" si="36"/>
        <v>6.1224489795918935E-2</v>
      </c>
      <c r="AJ203">
        <f t="shared" si="37"/>
        <v>0.93877551020404382</v>
      </c>
      <c r="AK203">
        <f t="shared" si="38"/>
        <v>2.8063755858455095E-3</v>
      </c>
      <c r="AL203">
        <f t="shared" si="39"/>
        <v>6.568827486955974E-3</v>
      </c>
    </row>
    <row r="204" spans="1:38" x14ac:dyDescent="0.35">
      <c r="A204" t="s">
        <v>40</v>
      </c>
      <c r="B204" t="s">
        <v>71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468.59916169988998</v>
      </c>
      <c r="AB204">
        <v>413.94954015926999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f t="shared" si="38"/>
        <v>0</v>
      </c>
      <c r="AL204">
        <f t="shared" si="39"/>
        <v>0</v>
      </c>
    </row>
    <row r="205" spans="1:38" x14ac:dyDescent="0.35">
      <c r="A205" t="s">
        <v>41</v>
      </c>
      <c r="B205" t="s">
        <v>71</v>
      </c>
      <c r="C205">
        <v>1.141281859354407</v>
      </c>
      <c r="D205">
        <v>0.91302548748352841</v>
      </c>
      <c r="E205">
        <v>0.22825637187088429</v>
      </c>
      <c r="F205">
        <v>-0.45651274374176509</v>
      </c>
      <c r="G205">
        <v>0.5706409296772037</v>
      </c>
      <c r="H205">
        <v>0.57064092967720637</v>
      </c>
      <c r="I205">
        <v>0</v>
      </c>
      <c r="J205">
        <v>0</v>
      </c>
      <c r="K205">
        <v>0.2304886460988555</v>
      </c>
      <c r="L205">
        <v>0.2055171458543521</v>
      </c>
      <c r="M205">
        <v>0.18439091687908471</v>
      </c>
      <c r="N205">
        <v>0.1644137166834809</v>
      </c>
      <c r="O205">
        <v>4.6097729219771198E-2</v>
      </c>
      <c r="P205">
        <v>4.1103429170870898E-2</v>
      </c>
      <c r="Q205">
        <v>-9.2195458439542105E-2</v>
      </c>
      <c r="R205">
        <v>-8.2206858341740102E-2</v>
      </c>
      <c r="S205">
        <v>0.11524432304942769</v>
      </c>
      <c r="T205">
        <v>0.10275857292717561</v>
      </c>
      <c r="U205">
        <v>0.1152443230494281</v>
      </c>
      <c r="V205">
        <v>0.1027585729271758</v>
      </c>
      <c r="W205">
        <v>0</v>
      </c>
      <c r="X205">
        <v>0</v>
      </c>
      <c r="Y205">
        <v>0</v>
      </c>
      <c r="Z205">
        <v>0</v>
      </c>
      <c r="AA205">
        <v>555.32196820367994</v>
      </c>
      <c r="AB205">
        <v>495.15751802582002</v>
      </c>
      <c r="AC205">
        <f t="shared" si="30"/>
        <v>0.66666666666666663</v>
      </c>
      <c r="AD205">
        <f t="shared" si="31"/>
        <v>0.13333333333333502</v>
      </c>
      <c r="AE205">
        <f t="shared" si="32"/>
        <v>0.20000000000000254</v>
      </c>
      <c r="AF205">
        <f t="shared" si="33"/>
        <v>0.53333333333333488</v>
      </c>
      <c r="AG205">
        <f t="shared" si="34"/>
        <v>0.80000000000000249</v>
      </c>
      <c r="AH205">
        <f t="shared" si="35"/>
        <v>0.33333333333333343</v>
      </c>
      <c r="AI205">
        <f t="shared" si="36"/>
        <v>1.0000000000000047</v>
      </c>
      <c r="AJ205">
        <f t="shared" si="37"/>
        <v>0</v>
      </c>
      <c r="AK205">
        <f t="shared" si="38"/>
        <v>3.0827571878152583E-3</v>
      </c>
      <c r="AL205">
        <f t="shared" si="39"/>
        <v>3.457329691482827E-3</v>
      </c>
    </row>
    <row r="206" spans="1:38" x14ac:dyDescent="0.35">
      <c r="A206" t="s">
        <v>42</v>
      </c>
      <c r="B206" t="s">
        <v>71</v>
      </c>
      <c r="C206">
        <v>10.27563253304036</v>
      </c>
      <c r="D206">
        <v>3.6363244687153311</v>
      </c>
      <c r="E206">
        <v>6.6393080643250286</v>
      </c>
      <c r="F206">
        <v>0</v>
      </c>
      <c r="G206">
        <v>0.49977919238267532</v>
      </c>
      <c r="H206">
        <v>0</v>
      </c>
      <c r="I206">
        <v>0.49977919238267532</v>
      </c>
      <c r="J206">
        <v>0</v>
      </c>
      <c r="K206">
        <v>4.7651715685039084</v>
      </c>
      <c r="L206">
        <v>2.522272088593748</v>
      </c>
      <c r="M206">
        <v>1.686291322355262</v>
      </c>
      <c r="N206">
        <v>0.89257762799711693</v>
      </c>
      <c r="O206">
        <v>3.0788802461486462</v>
      </c>
      <c r="P206">
        <v>1.6296944605966319</v>
      </c>
      <c r="Q206">
        <v>0</v>
      </c>
      <c r="R206">
        <v>0</v>
      </c>
      <c r="S206">
        <v>0.23176515804882669</v>
      </c>
      <c r="T206">
        <v>0.12267654602804071</v>
      </c>
      <c r="U206">
        <v>0</v>
      </c>
      <c r="V206">
        <v>0</v>
      </c>
      <c r="W206">
        <v>0.23176515804882669</v>
      </c>
      <c r="X206">
        <v>0.12267654602804071</v>
      </c>
      <c r="Y206">
        <v>0</v>
      </c>
      <c r="Z206">
        <v>0</v>
      </c>
      <c r="AA206">
        <v>407.39587848230002</v>
      </c>
      <c r="AB206">
        <v>215.64034757863999</v>
      </c>
      <c r="AC206">
        <f t="shared" si="30"/>
        <v>0.95361855257896844</v>
      </c>
      <c r="AD206">
        <f t="shared" si="31"/>
        <v>0.61615353858456612</v>
      </c>
      <c r="AE206">
        <f t="shared" si="32"/>
        <v>0.64612159329140451</v>
      </c>
      <c r="AF206">
        <f t="shared" si="33"/>
        <v>0.33746501399440226</v>
      </c>
      <c r="AG206">
        <f t="shared" si="34"/>
        <v>0.35387840670859544</v>
      </c>
      <c r="AH206">
        <f t="shared" si="35"/>
        <v>4.6381447421031542E-2</v>
      </c>
      <c r="AI206">
        <f t="shared" si="36"/>
        <v>0</v>
      </c>
      <c r="AJ206">
        <f t="shared" si="37"/>
        <v>1</v>
      </c>
      <c r="AK206">
        <f t="shared" si="38"/>
        <v>2.6449486346217885E-2</v>
      </c>
      <c r="AL206">
        <f t="shared" si="39"/>
        <v>4.9969367265527365E-2</v>
      </c>
    </row>
    <row r="207" spans="1:38" x14ac:dyDescent="0.35">
      <c r="A207" t="s">
        <v>43</v>
      </c>
      <c r="B207" t="s">
        <v>71</v>
      </c>
      <c r="C207">
        <v>-5.7014876505385761</v>
      </c>
      <c r="D207">
        <v>0</v>
      </c>
      <c r="E207">
        <v>-5.7014876505385779</v>
      </c>
      <c r="F207">
        <v>0</v>
      </c>
      <c r="G207">
        <v>7.8223493436008482</v>
      </c>
      <c r="H207">
        <v>9.2782922355949484</v>
      </c>
      <c r="I207">
        <v>-1.455942891994098</v>
      </c>
      <c r="J207">
        <v>0</v>
      </c>
      <c r="K207">
        <v>-1.7142044659113751</v>
      </c>
      <c r="L207">
        <v>-1.8329012771360631</v>
      </c>
      <c r="M207">
        <v>0</v>
      </c>
      <c r="N207">
        <v>0</v>
      </c>
      <c r="O207">
        <v>-1.7142044659113751</v>
      </c>
      <c r="P207">
        <v>-1.8329012771360631</v>
      </c>
      <c r="Q207">
        <v>0</v>
      </c>
      <c r="R207">
        <v>0</v>
      </c>
      <c r="S207">
        <v>2.351860952895835</v>
      </c>
      <c r="T207">
        <v>2.5147110685640222</v>
      </c>
      <c r="U207">
        <v>2.7896035142311102</v>
      </c>
      <c r="V207">
        <v>2.9827642767334841</v>
      </c>
      <c r="W207">
        <v>-0.43774256133527611</v>
      </c>
      <c r="X207">
        <v>-0.46805320816946328</v>
      </c>
      <c r="Y207">
        <v>0</v>
      </c>
      <c r="Z207">
        <v>0</v>
      </c>
      <c r="AA207">
        <v>311.06354290107998</v>
      </c>
      <c r="AB207">
        <v>332.60254327404999</v>
      </c>
      <c r="AC207">
        <f t="shared" si="30"/>
        <v>-2.6882882882882879</v>
      </c>
      <c r="AD207">
        <f t="shared" si="31"/>
        <v>-2.6882882882882888</v>
      </c>
      <c r="AE207">
        <f t="shared" si="32"/>
        <v>1.0000000000000002</v>
      </c>
      <c r="AF207">
        <f t="shared" si="33"/>
        <v>0</v>
      </c>
      <c r="AG207">
        <f t="shared" si="34"/>
        <v>0</v>
      </c>
      <c r="AH207">
        <f t="shared" si="35"/>
        <v>3.6882882882882879</v>
      </c>
      <c r="AI207">
        <f t="shared" si="36"/>
        <v>1.1861260381045433</v>
      </c>
      <c r="AJ207">
        <f t="shared" si="37"/>
        <v>-0.18612603810454295</v>
      </c>
      <c r="AK207">
        <f t="shared" si="38"/>
        <v>6.8180979142795865E-3</v>
      </c>
      <c r="AL207">
        <f t="shared" si="39"/>
        <v>6.37656486984459E-3</v>
      </c>
    </row>
    <row r="208" spans="1:38" x14ac:dyDescent="0.35">
      <c r="A208" t="s">
        <v>44</v>
      </c>
      <c r="B208" t="s">
        <v>71</v>
      </c>
      <c r="C208">
        <v>0.6137999999999999</v>
      </c>
      <c r="D208">
        <v>0.21110000000000001</v>
      </c>
      <c r="E208">
        <v>0.40269999999999978</v>
      </c>
      <c r="F208">
        <v>0</v>
      </c>
      <c r="G208">
        <v>-0.17325621916755879</v>
      </c>
      <c r="H208">
        <v>-0.1201896021839934</v>
      </c>
      <c r="I208">
        <v>-5.3066616983565199E-2</v>
      </c>
      <c r="J208">
        <v>0</v>
      </c>
      <c r="K208">
        <v>2.2821526946175101</v>
      </c>
      <c r="L208">
        <v>1.33691782336267</v>
      </c>
      <c r="M208">
        <v>0.78488503394225573</v>
      </c>
      <c r="N208">
        <v>0.45979692491342422</v>
      </c>
      <c r="O208">
        <v>1.497267660675254</v>
      </c>
      <c r="P208">
        <v>0.87712089844924601</v>
      </c>
      <c r="Q208">
        <v>0</v>
      </c>
      <c r="R208">
        <v>0</v>
      </c>
      <c r="S208">
        <v>-0.64417912582679371</v>
      </c>
      <c r="T208">
        <v>-0.37736938320876229</v>
      </c>
      <c r="U208">
        <v>-0.4468736143519178</v>
      </c>
      <c r="V208">
        <v>-0.2617849810079016</v>
      </c>
      <c r="W208">
        <v>-0.19730551147487579</v>
      </c>
      <c r="X208">
        <v>-0.115584402200861</v>
      </c>
      <c r="Y208">
        <v>0</v>
      </c>
      <c r="Z208">
        <v>0</v>
      </c>
      <c r="AA208">
        <v>45.911572818750003</v>
      </c>
      <c r="AB208">
        <v>26.895658710639999</v>
      </c>
      <c r="AC208">
        <f t="shared" si="30"/>
        <v>1.3932780956303092</v>
      </c>
      <c r="AD208">
        <f t="shared" si="31"/>
        <v>0.91409757104973177</v>
      </c>
      <c r="AE208">
        <f t="shared" si="32"/>
        <v>0.65607689801238167</v>
      </c>
      <c r="AF208">
        <f t="shared" si="33"/>
        <v>0.47918052458057731</v>
      </c>
      <c r="AG208">
        <f t="shared" si="34"/>
        <v>0.34392310198761816</v>
      </c>
      <c r="AH208">
        <f t="shared" si="35"/>
        <v>-0.3932780956303093</v>
      </c>
      <c r="AI208">
        <f t="shared" si="36"/>
        <v>0.69371017537763624</v>
      </c>
      <c r="AJ208">
        <f t="shared" si="37"/>
        <v>0.30628982462236259</v>
      </c>
      <c r="AK208">
        <f t="shared" si="38"/>
        <v>9.5954844015390776E-3</v>
      </c>
      <c r="AL208">
        <f t="shared" si="39"/>
        <v>1.6379735687907161E-2</v>
      </c>
    </row>
    <row r="209" spans="1:38" x14ac:dyDescent="0.35">
      <c r="A209" t="s">
        <v>45</v>
      </c>
      <c r="B209" t="s">
        <v>71</v>
      </c>
      <c r="C209">
        <v>4.7477325349143564</v>
      </c>
      <c r="D209">
        <v>1.9972432538702221</v>
      </c>
      <c r="E209">
        <v>2.7504892810441341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1.8637257634241731</v>
      </c>
      <c r="L209">
        <v>1.869757869946526</v>
      </c>
      <c r="M209">
        <v>0.78401925144045759</v>
      </c>
      <c r="N209">
        <v>0.78655679625154373</v>
      </c>
      <c r="O209">
        <v>1.0797065119837159</v>
      </c>
      <c r="P209">
        <v>1.0832010736949831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253.92231856471</v>
      </c>
      <c r="AB209">
        <v>254.7441596875</v>
      </c>
      <c r="AC209">
        <f t="shared" si="30"/>
        <v>1</v>
      </c>
      <c r="AD209">
        <f t="shared" si="31"/>
        <v>0.57932692307692302</v>
      </c>
      <c r="AE209">
        <f t="shared" si="32"/>
        <v>0.57932692307692302</v>
      </c>
      <c r="AF209">
        <f t="shared" si="33"/>
        <v>0.42067307692307693</v>
      </c>
      <c r="AG209">
        <f t="shared" si="34"/>
        <v>0.42067307692307693</v>
      </c>
      <c r="AH209">
        <f t="shared" si="35"/>
        <v>0</v>
      </c>
      <c r="AI209">
        <v>0</v>
      </c>
      <c r="AJ209">
        <v>0</v>
      </c>
      <c r="AK209">
        <f t="shared" si="38"/>
        <v>1.869757869946527E-2</v>
      </c>
      <c r="AL209">
        <f t="shared" si="39"/>
        <v>1.863725763424174E-2</v>
      </c>
    </row>
    <row r="210" spans="1:38" x14ac:dyDescent="0.35">
      <c r="A210" t="s">
        <v>46</v>
      </c>
      <c r="B210" t="s">
        <v>71</v>
      </c>
      <c r="C210">
        <v>13.558428489130421</v>
      </c>
      <c r="D210">
        <v>4.56512743741763E-2</v>
      </c>
      <c r="E210">
        <v>13.512777214756239</v>
      </c>
      <c r="F210">
        <v>0.94726394326416241</v>
      </c>
      <c r="G210">
        <v>5.6949964781785178</v>
      </c>
      <c r="H210">
        <v>2.5907098207345158</v>
      </c>
      <c r="I210">
        <v>3.104286657444002</v>
      </c>
      <c r="J210">
        <v>0</v>
      </c>
      <c r="K210">
        <v>6.6494499562066292</v>
      </c>
      <c r="L210">
        <v>4.4963238828922023</v>
      </c>
      <c r="M210">
        <v>2.2388720391268001E-2</v>
      </c>
      <c r="N210">
        <v>1.51391376528356E-2</v>
      </c>
      <c r="O210">
        <v>6.6270612358153631</v>
      </c>
      <c r="P210">
        <v>4.4811847452393661</v>
      </c>
      <c r="Q210">
        <v>0.46456594811881358</v>
      </c>
      <c r="R210">
        <v>0.31413710629634078</v>
      </c>
      <c r="S210">
        <v>2.7929928688106971</v>
      </c>
      <c r="T210">
        <v>1.888607422191253</v>
      </c>
      <c r="U210">
        <v>1.2705598822044659</v>
      </c>
      <c r="V210">
        <v>0.85914606179842568</v>
      </c>
      <c r="W210">
        <v>1.5224329866062321</v>
      </c>
      <c r="X210">
        <v>1.0294613603928271</v>
      </c>
      <c r="Y210">
        <v>0</v>
      </c>
      <c r="Z210">
        <v>0</v>
      </c>
      <c r="AA210">
        <v>301.54474727050001</v>
      </c>
      <c r="AB210">
        <v>203.90300819506001</v>
      </c>
      <c r="AC210">
        <f t="shared" si="30"/>
        <v>0.70420865441612335</v>
      </c>
      <c r="AD210">
        <f t="shared" si="31"/>
        <v>0.70183758150563114</v>
      </c>
      <c r="AE210">
        <f t="shared" si="32"/>
        <v>0.99663299663299632</v>
      </c>
      <c r="AF210">
        <f t="shared" si="33"/>
        <v>2.3710729104919875E-3</v>
      </c>
      <c r="AG210">
        <f t="shared" si="34"/>
        <v>3.3670033670033521E-3</v>
      </c>
      <c r="AH210">
        <f t="shared" si="35"/>
        <v>0.29579134558387671</v>
      </c>
      <c r="AI210">
        <f t="shared" si="36"/>
        <v>0.45490981963927851</v>
      </c>
      <c r="AJ210">
        <f t="shared" si="37"/>
        <v>0.54509018036072154</v>
      </c>
      <c r="AK210">
        <f t="shared" si="38"/>
        <v>6.3849313050834536E-2</v>
      </c>
      <c r="AL210">
        <f t="shared" si="39"/>
        <v>9.4424428250173276E-2</v>
      </c>
    </row>
    <row r="211" spans="1:38" x14ac:dyDescent="0.35">
      <c r="A211" t="s">
        <v>47</v>
      </c>
      <c r="B211" t="s">
        <v>71</v>
      </c>
      <c r="C211">
        <v>0</v>
      </c>
      <c r="D211">
        <v>0</v>
      </c>
      <c r="E211">
        <v>0</v>
      </c>
      <c r="F211">
        <v>0</v>
      </c>
      <c r="G211">
        <v>-1.13737075332348E-2</v>
      </c>
      <c r="H211">
        <v>-1.13737075332348E-2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-5.48659316352813E-2</v>
      </c>
      <c r="T211">
        <v>-5.9644566302236197E-2</v>
      </c>
      <c r="U211">
        <v>-5.4865931635281202E-2</v>
      </c>
      <c r="V211">
        <v>-5.9644566302236003E-2</v>
      </c>
      <c r="W211">
        <v>0</v>
      </c>
      <c r="X211">
        <v>0</v>
      </c>
      <c r="Y211">
        <v>0</v>
      </c>
      <c r="Z211">
        <v>0</v>
      </c>
      <c r="AA211">
        <v>19.06914282116</v>
      </c>
      <c r="AB211">
        <v>20.729999827290001</v>
      </c>
      <c r="AC211">
        <f t="shared" si="30"/>
        <v>0</v>
      </c>
      <c r="AD211">
        <f t="shared" si="31"/>
        <v>0</v>
      </c>
      <c r="AE211">
        <v>0</v>
      </c>
      <c r="AF211">
        <f t="shared" si="33"/>
        <v>0</v>
      </c>
      <c r="AG211">
        <v>0</v>
      </c>
      <c r="AH211">
        <f t="shared" si="35"/>
        <v>1</v>
      </c>
      <c r="AI211">
        <f t="shared" si="36"/>
        <v>1</v>
      </c>
      <c r="AJ211">
        <f t="shared" si="37"/>
        <v>0</v>
      </c>
      <c r="AK211">
        <f t="shared" si="38"/>
        <v>-5.9644566302235731E-4</v>
      </c>
      <c r="AL211">
        <f t="shared" si="39"/>
        <v>-5.4865931635280989E-4</v>
      </c>
    </row>
    <row r="212" spans="1:38" x14ac:dyDescent="0.35">
      <c r="A212" t="s">
        <v>48</v>
      </c>
      <c r="B212" t="s">
        <v>71</v>
      </c>
      <c r="C212">
        <v>6.5953424585950131</v>
      </c>
      <c r="D212">
        <v>-0.91100784237983401</v>
      </c>
      <c r="E212">
        <v>7.5063503009748516</v>
      </c>
      <c r="F212">
        <v>0.48014543897033191</v>
      </c>
      <c r="G212">
        <v>5.864286921181141</v>
      </c>
      <c r="H212">
        <v>2.5309368338247782</v>
      </c>
      <c r="I212">
        <v>3.3333500873563642</v>
      </c>
      <c r="J212">
        <v>0</v>
      </c>
      <c r="K212">
        <v>1.7754873566843989</v>
      </c>
      <c r="L212">
        <v>1.578245587758127</v>
      </c>
      <c r="M212">
        <v>-0.24524623492110481</v>
      </c>
      <c r="N212">
        <v>-0.2180014330833264</v>
      </c>
      <c r="O212">
        <v>2.020733591605504</v>
      </c>
      <c r="P212">
        <v>1.7962470208414529</v>
      </c>
      <c r="Q212">
        <v>0.1292566931305503</v>
      </c>
      <c r="R212">
        <v>0.11489735753593359</v>
      </c>
      <c r="S212">
        <v>1.578684859791925</v>
      </c>
      <c r="T212">
        <v>1.403306199307419</v>
      </c>
      <c r="U212">
        <v>0.68133631835396868</v>
      </c>
      <c r="V212">
        <v>0.6056455621455934</v>
      </c>
      <c r="W212">
        <v>0.89734854143795628</v>
      </c>
      <c r="X212">
        <v>0.79766063716182589</v>
      </c>
      <c r="Y212">
        <v>0</v>
      </c>
      <c r="Z212">
        <v>0</v>
      </c>
      <c r="AA212">
        <v>417.89075855828003</v>
      </c>
      <c r="AB212">
        <v>371.46659669328</v>
      </c>
      <c r="AC212">
        <f t="shared" si="30"/>
        <v>0.52933696962930876</v>
      </c>
      <c r="AD212">
        <f t="shared" si="31"/>
        <v>0.6024537385645502</v>
      </c>
      <c r="AE212">
        <f t="shared" si="32"/>
        <v>1.1381289672369657</v>
      </c>
      <c r="AF212">
        <f t="shared" si="33"/>
        <v>-7.3116768935241064E-2</v>
      </c>
      <c r="AG212">
        <f t="shared" si="34"/>
        <v>-0.13812896723696488</v>
      </c>
      <c r="AH212">
        <f t="shared" si="35"/>
        <v>0.47066303037069129</v>
      </c>
      <c r="AI212">
        <f t="shared" si="36"/>
        <v>0.43158475494835025</v>
      </c>
      <c r="AJ212">
        <f t="shared" si="37"/>
        <v>0.56841524505164998</v>
      </c>
      <c r="AK212">
        <f t="shared" si="38"/>
        <v>2.9815517870655433E-2</v>
      </c>
      <c r="AL212">
        <f t="shared" si="39"/>
        <v>3.3541722164763227E-2</v>
      </c>
    </row>
    <row r="213" spans="1:38" x14ac:dyDescent="0.35">
      <c r="A213" t="s">
        <v>49</v>
      </c>
      <c r="B213" t="s">
        <v>71</v>
      </c>
      <c r="C213">
        <v>1.166510413053409</v>
      </c>
      <c r="D213">
        <v>1.488969708484992</v>
      </c>
      <c r="E213">
        <v>-0.32245929543158519</v>
      </c>
      <c r="F213">
        <v>-2.753047915082E-4</v>
      </c>
      <c r="G213">
        <v>-1.184956304280554</v>
      </c>
      <c r="H213">
        <v>0.1559669822328637</v>
      </c>
      <c r="I213">
        <v>-1.340923286513416</v>
      </c>
      <c r="J213">
        <v>0</v>
      </c>
      <c r="K213">
        <v>0.32542252708848268</v>
      </c>
      <c r="L213">
        <v>0.34068972667221858</v>
      </c>
      <c r="M213">
        <v>0.4153793055520727</v>
      </c>
      <c r="N213">
        <v>0.43486682787437791</v>
      </c>
      <c r="O213">
        <v>-8.9956778463591194E-2</v>
      </c>
      <c r="P213">
        <v>-9.4177101202159705E-2</v>
      </c>
      <c r="Q213">
        <v>-7.6802041344636862E-5</v>
      </c>
      <c r="R213">
        <v>-8.0405209521350329E-5</v>
      </c>
      <c r="S213">
        <v>-0.33056839502962188</v>
      </c>
      <c r="T213">
        <v>-0.34607701303509941</v>
      </c>
      <c r="U213">
        <v>4.3510258402004599E-2</v>
      </c>
      <c r="V213">
        <v>4.55515424056245E-2</v>
      </c>
      <c r="W213">
        <v>-0.374078653431626</v>
      </c>
      <c r="X213">
        <v>-0.39162855544072439</v>
      </c>
      <c r="Y213">
        <v>0</v>
      </c>
      <c r="Z213">
        <v>0</v>
      </c>
      <c r="AA213">
        <v>342.39670930134002</v>
      </c>
      <c r="AB213">
        <v>358.46025273358998</v>
      </c>
      <c r="AC213">
        <f t="shared" si="30"/>
        <v>-63.239579952459522</v>
      </c>
      <c r="AD213">
        <f t="shared" si="31"/>
        <v>17.481361646384066</v>
      </c>
      <c r="AE213">
        <f t="shared" si="32"/>
        <v>-0.27643070462399832</v>
      </c>
      <c r="AF213">
        <f t="shared" si="33"/>
        <v>-80.720941598843467</v>
      </c>
      <c r="AG213">
        <f t="shared" si="34"/>
        <v>1.2764307046239964</v>
      </c>
      <c r="AH213">
        <f t="shared" si="35"/>
        <v>64.239579952459522</v>
      </c>
      <c r="AI213">
        <f t="shared" si="36"/>
        <v>-0.13162255997917074</v>
      </c>
      <c r="AJ213">
        <f t="shared" si="37"/>
        <v>1.1316225599791694</v>
      </c>
      <c r="AK213">
        <f t="shared" si="38"/>
        <v>-5.3872863628811825E-5</v>
      </c>
      <c r="AL213">
        <f t="shared" si="39"/>
        <v>-5.1458679411393831E-5</v>
      </c>
    </row>
    <row r="214" spans="1:38" x14ac:dyDescent="0.35">
      <c r="A214" t="s">
        <v>50</v>
      </c>
      <c r="B214" t="s">
        <v>71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55.422589739999999</v>
      </c>
      <c r="AB214">
        <v>30.160077523049999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f t="shared" si="38"/>
        <v>0</v>
      </c>
      <c r="AL214">
        <f t="shared" si="39"/>
        <v>0</v>
      </c>
    </row>
    <row r="215" spans="1:38" x14ac:dyDescent="0.35">
      <c r="A215" t="s">
        <v>51</v>
      </c>
      <c r="B215" t="s">
        <v>71</v>
      </c>
      <c r="C215">
        <v>0.55575232444005618</v>
      </c>
      <c r="D215">
        <v>0.35618561001317589</v>
      </c>
      <c r="E215">
        <v>0.19956671442688059</v>
      </c>
      <c r="F215">
        <v>0.10354076424571949</v>
      </c>
      <c r="G215">
        <v>0</v>
      </c>
      <c r="H215">
        <v>0</v>
      </c>
      <c r="I215">
        <v>0</v>
      </c>
      <c r="J215">
        <v>0</v>
      </c>
      <c r="K215">
        <v>1.152612134056253</v>
      </c>
      <c r="L215">
        <v>0.57213793525164292</v>
      </c>
      <c r="M215">
        <v>0.73871729909731676</v>
      </c>
      <c r="N215">
        <v>0.36668726430358928</v>
      </c>
      <c r="O215">
        <v>0.41389483495893481</v>
      </c>
      <c r="P215">
        <v>0.205450670948053</v>
      </c>
      <c r="Q215">
        <v>0.21474015670436719</v>
      </c>
      <c r="R215">
        <v>0.10659352460578431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97.136073348400004</v>
      </c>
      <c r="AB215">
        <v>48.216768505140003</v>
      </c>
      <c r="AC215">
        <f t="shared" si="30"/>
        <v>1</v>
      </c>
      <c r="AD215">
        <f t="shared" si="31"/>
        <v>0.35909290101116975</v>
      </c>
      <c r="AE215">
        <f t="shared" si="32"/>
        <v>0.35909290101116975</v>
      </c>
      <c r="AF215">
        <f t="shared" si="33"/>
        <v>0.6409070989888308</v>
      </c>
      <c r="AG215">
        <f t="shared" si="34"/>
        <v>0.6409070989888308</v>
      </c>
      <c r="AH215">
        <f t="shared" si="35"/>
        <v>0</v>
      </c>
      <c r="AI215">
        <v>0</v>
      </c>
      <c r="AJ215">
        <v>0</v>
      </c>
      <c r="AK215">
        <f t="shared" si="38"/>
        <v>5.7213793525164192E-3</v>
      </c>
      <c r="AL215">
        <f t="shared" si="39"/>
        <v>1.1526121340562504E-2</v>
      </c>
    </row>
    <row r="216" spans="1:38" x14ac:dyDescent="0.35">
      <c r="A216" t="s">
        <v>52</v>
      </c>
      <c r="B216" t="s">
        <v>71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66.343484468840003</v>
      </c>
      <c r="AB216">
        <v>66.557495896739994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f t="shared" si="38"/>
        <v>0</v>
      </c>
      <c r="AL216">
        <f t="shared" si="39"/>
        <v>0</v>
      </c>
    </row>
    <row r="217" spans="1:38" x14ac:dyDescent="0.35">
      <c r="A217" t="s">
        <v>53</v>
      </c>
      <c r="B217" t="s">
        <v>71</v>
      </c>
      <c r="C217">
        <v>52.727221902173874</v>
      </c>
      <c r="D217">
        <v>12.143238983530949</v>
      </c>
      <c r="E217">
        <v>40.58398291864291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6.2751794119408801</v>
      </c>
      <c r="L217">
        <v>5.6547549801443484</v>
      </c>
      <c r="M217">
        <v>1.4451928342651721</v>
      </c>
      <c r="N217">
        <v>1.3023072075483959</v>
      </c>
      <c r="O217">
        <v>4.8299865776757072</v>
      </c>
      <c r="P217">
        <v>4.3524477725959532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932.44043441874999</v>
      </c>
      <c r="AB217">
        <v>840.25042856688003</v>
      </c>
      <c r="AC217">
        <f t="shared" si="30"/>
        <v>1</v>
      </c>
      <c r="AD217">
        <f t="shared" si="31"/>
        <v>0.76969696969696955</v>
      </c>
      <c r="AE217">
        <f t="shared" si="32"/>
        <v>0.76969696969696955</v>
      </c>
      <c r="AF217">
        <f t="shared" si="33"/>
        <v>0.23030303030303023</v>
      </c>
      <c r="AG217">
        <f t="shared" si="34"/>
        <v>0.23030303030303023</v>
      </c>
      <c r="AH217">
        <f t="shared" si="35"/>
        <v>0</v>
      </c>
      <c r="AI217">
        <v>0</v>
      </c>
      <c r="AJ217">
        <v>0</v>
      </c>
      <c r="AK217">
        <f t="shared" si="38"/>
        <v>5.6547549801443497E-2</v>
      </c>
      <c r="AL217">
        <f t="shared" si="39"/>
        <v>6.2751794119408802E-2</v>
      </c>
    </row>
    <row r="218" spans="1:38" x14ac:dyDescent="0.35">
      <c r="A218" t="s">
        <v>54</v>
      </c>
      <c r="B218" t="s">
        <v>71</v>
      </c>
      <c r="C218">
        <v>0</v>
      </c>
      <c r="D218">
        <v>0.78002577101263615</v>
      </c>
      <c r="E218">
        <v>-0.78002577101263171</v>
      </c>
      <c r="F218">
        <v>0</v>
      </c>
      <c r="G218">
        <v>-2.3725783868301029</v>
      </c>
      <c r="H218">
        <v>6.5002147584385994E-2</v>
      </c>
      <c r="I218">
        <v>-2.4375805344144892</v>
      </c>
      <c r="J218">
        <v>0</v>
      </c>
      <c r="K218">
        <v>0</v>
      </c>
      <c r="L218">
        <v>0</v>
      </c>
      <c r="M218">
        <v>0.38436448129134071</v>
      </c>
      <c r="N218">
        <v>0.4021294374513984</v>
      </c>
      <c r="O218">
        <v>-0.38436448129133538</v>
      </c>
      <c r="P218">
        <v>-0.4021294374513964</v>
      </c>
      <c r="Q218">
        <v>0</v>
      </c>
      <c r="R218">
        <v>0</v>
      </c>
      <c r="S218">
        <v>-1.169108630594496</v>
      </c>
      <c r="T218">
        <v>-1.2231437055813379</v>
      </c>
      <c r="U218">
        <v>3.20303734409449E-2</v>
      </c>
      <c r="V218">
        <v>3.3510786454283001E-2</v>
      </c>
      <c r="W218">
        <v>-1.201139004035441</v>
      </c>
      <c r="X218">
        <v>-1.2566544920356211</v>
      </c>
      <c r="Y218">
        <v>0</v>
      </c>
      <c r="Z218">
        <v>0</v>
      </c>
      <c r="AA218">
        <v>193.97380504054999</v>
      </c>
      <c r="AB218">
        <v>202.93908750153</v>
      </c>
      <c r="AC218">
        <f t="shared" si="30"/>
        <v>0</v>
      </c>
      <c r="AD218">
        <f t="shared" si="31"/>
        <v>0.32876712328766916</v>
      </c>
      <c r="AE218">
        <v>0</v>
      </c>
      <c r="AF218">
        <f t="shared" si="33"/>
        <v>-0.32876712328767105</v>
      </c>
      <c r="AG218">
        <v>0</v>
      </c>
      <c r="AH218">
        <f t="shared" si="35"/>
        <v>1</v>
      </c>
      <c r="AI218">
        <f t="shared" si="36"/>
        <v>-2.7397260273972438E-2</v>
      </c>
      <c r="AJ218">
        <f t="shared" si="37"/>
        <v>1.0273972602739725</v>
      </c>
      <c r="AK218">
        <f t="shared" si="38"/>
        <v>-1.2231437055813378E-2</v>
      </c>
      <c r="AL218">
        <f t="shared" si="39"/>
        <v>-1.1691086305944958E-2</v>
      </c>
    </row>
    <row r="219" spans="1:38" x14ac:dyDescent="0.35">
      <c r="A219" t="s">
        <v>55</v>
      </c>
      <c r="B219" t="s">
        <v>71</v>
      </c>
      <c r="C219">
        <v>10.503584387998931</v>
      </c>
      <c r="D219">
        <v>1.4762368351181501</v>
      </c>
      <c r="E219">
        <v>9.0273475528807801</v>
      </c>
      <c r="F219">
        <v>0</v>
      </c>
      <c r="G219">
        <v>0.83901230197362509</v>
      </c>
      <c r="H219">
        <v>0.83901230197362509</v>
      </c>
      <c r="I219">
        <v>0</v>
      </c>
      <c r="J219">
        <v>0</v>
      </c>
      <c r="K219">
        <v>2.5602928587666658</v>
      </c>
      <c r="L219">
        <v>3.178528896479957</v>
      </c>
      <c r="M219">
        <v>0.35983893566083569</v>
      </c>
      <c r="N219">
        <v>0.44672954156796141</v>
      </c>
      <c r="O219">
        <v>2.20045392310583</v>
      </c>
      <c r="P219">
        <v>2.731799354911995</v>
      </c>
      <c r="Q219">
        <v>0</v>
      </c>
      <c r="R219">
        <v>0</v>
      </c>
      <c r="S219">
        <v>0.2045127763827769</v>
      </c>
      <c r="T219">
        <v>0.25389664592711542</v>
      </c>
      <c r="U219">
        <v>0.2045127763827769</v>
      </c>
      <c r="V219">
        <v>0.25389664592711497</v>
      </c>
      <c r="W219">
        <v>0</v>
      </c>
      <c r="X219">
        <v>0</v>
      </c>
      <c r="Y219">
        <v>0</v>
      </c>
      <c r="Z219">
        <v>0</v>
      </c>
      <c r="AA219">
        <v>330.45426768437</v>
      </c>
      <c r="AB219">
        <v>410.24933347112</v>
      </c>
      <c r="AC219">
        <f t="shared" si="30"/>
        <v>0.92602996254681647</v>
      </c>
      <c r="AD219">
        <f t="shared" si="31"/>
        <v>0.79588014981273414</v>
      </c>
      <c r="AE219">
        <f t="shared" si="32"/>
        <v>0.85945399393326594</v>
      </c>
      <c r="AF219">
        <f t="shared" si="33"/>
        <v>0.13014981273408233</v>
      </c>
      <c r="AG219">
        <f t="shared" si="34"/>
        <v>0.14054600606673398</v>
      </c>
      <c r="AH219">
        <f t="shared" si="35"/>
        <v>7.3970037453183493E-2</v>
      </c>
      <c r="AI219">
        <f t="shared" si="36"/>
        <v>1</v>
      </c>
      <c r="AJ219">
        <f t="shared" si="37"/>
        <v>0</v>
      </c>
      <c r="AK219">
        <f t="shared" si="38"/>
        <v>3.4324255424070721E-2</v>
      </c>
      <c r="AL219">
        <f t="shared" si="39"/>
        <v>2.7648056351494431E-2</v>
      </c>
    </row>
    <row r="220" spans="1:38" x14ac:dyDescent="0.35">
      <c r="A220" t="s">
        <v>56</v>
      </c>
      <c r="B220" t="s">
        <v>71</v>
      </c>
      <c r="C220">
        <v>0.45651274374176509</v>
      </c>
      <c r="D220">
        <v>0</v>
      </c>
      <c r="E220">
        <v>0.45651274374176509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0.20530124788873119</v>
      </c>
      <c r="L220">
        <v>0.13378998732291689</v>
      </c>
      <c r="M220">
        <v>0</v>
      </c>
      <c r="N220">
        <v>0</v>
      </c>
      <c r="O220">
        <v>0.20530124788873119</v>
      </c>
      <c r="P220">
        <v>0.13378998732291689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341.21592570296002</v>
      </c>
      <c r="AB220">
        <v>222.36238134761999</v>
      </c>
      <c r="AC220">
        <f t="shared" si="30"/>
        <v>1</v>
      </c>
      <c r="AD220">
        <f t="shared" si="31"/>
        <v>1</v>
      </c>
      <c r="AE220">
        <f t="shared" si="32"/>
        <v>1</v>
      </c>
      <c r="AF220">
        <f t="shared" si="33"/>
        <v>0</v>
      </c>
      <c r="AG220">
        <f t="shared" si="34"/>
        <v>0</v>
      </c>
      <c r="AH220">
        <f t="shared" si="35"/>
        <v>0</v>
      </c>
      <c r="AI220">
        <v>0</v>
      </c>
      <c r="AJ220">
        <v>0</v>
      </c>
      <c r="AK220">
        <f t="shared" si="38"/>
        <v>1.3378998732291728E-3</v>
      </c>
      <c r="AL220">
        <f t="shared" si="39"/>
        <v>2.0530124788873212E-3</v>
      </c>
    </row>
    <row r="221" spans="1:38" x14ac:dyDescent="0.35">
      <c r="A221" t="s">
        <v>57</v>
      </c>
      <c r="B221" t="s">
        <v>71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181.71174374815001</v>
      </c>
      <c r="AB221">
        <v>99.489061173690004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f t="shared" si="38"/>
        <v>0</v>
      </c>
      <c r="AL221">
        <f t="shared" si="39"/>
        <v>0</v>
      </c>
    </row>
    <row r="222" spans="1:38" x14ac:dyDescent="0.35">
      <c r="A222" t="s">
        <v>58</v>
      </c>
      <c r="B222" t="s">
        <v>71</v>
      </c>
      <c r="C222">
        <v>0.35570577116271801</v>
      </c>
      <c r="D222">
        <v>-4.4512743741764997E-2</v>
      </c>
      <c r="E222">
        <v>0.40021851490448318</v>
      </c>
      <c r="F222">
        <v>0.374</v>
      </c>
      <c r="G222">
        <v>0</v>
      </c>
      <c r="H222">
        <v>0</v>
      </c>
      <c r="I222">
        <v>0</v>
      </c>
      <c r="J222">
        <v>0</v>
      </c>
      <c r="K222">
        <v>0.70551376153752976</v>
      </c>
      <c r="L222">
        <v>0.46780390947431361</v>
      </c>
      <c r="M222">
        <v>-8.8287443779602806E-2</v>
      </c>
      <c r="N222">
        <v>-5.8540617645194998E-2</v>
      </c>
      <c r="O222">
        <v>0.79380120531713239</v>
      </c>
      <c r="P222">
        <v>0.52634452711950885</v>
      </c>
      <c r="Q222">
        <v>0.74179889168661206</v>
      </c>
      <c r="R222">
        <v>0.49186343412842198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76.037366075549997</v>
      </c>
      <c r="AB222">
        <v>50.417977728389999</v>
      </c>
      <c r="AC222">
        <f t="shared" si="30"/>
        <v>1</v>
      </c>
      <c r="AD222">
        <f t="shared" si="31"/>
        <v>1.125139222780287</v>
      </c>
      <c r="AE222">
        <f t="shared" si="32"/>
        <v>1.125139222780287</v>
      </c>
      <c r="AF222">
        <f t="shared" si="33"/>
        <v>-0.12513922278028655</v>
      </c>
      <c r="AG222">
        <f t="shared" si="34"/>
        <v>-0.12513922278028655</v>
      </c>
      <c r="AH222">
        <f t="shared" si="35"/>
        <v>0</v>
      </c>
      <c r="AI222">
        <v>0</v>
      </c>
      <c r="AJ222">
        <v>0</v>
      </c>
      <c r="AK222">
        <f t="shared" si="38"/>
        <v>4.6780390947431319E-3</v>
      </c>
      <c r="AL222">
        <f t="shared" si="39"/>
        <v>7.0551376153752919E-3</v>
      </c>
    </row>
    <row r="223" spans="1:38" x14ac:dyDescent="0.35">
      <c r="A223" t="s">
        <v>59</v>
      </c>
      <c r="B223" t="s">
        <v>71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521.00449074291998</v>
      </c>
      <c r="AB223">
        <v>549.82128194673999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f t="shared" si="38"/>
        <v>0</v>
      </c>
      <c r="AL223">
        <f t="shared" si="39"/>
        <v>0</v>
      </c>
    </row>
    <row r="224" spans="1:38" x14ac:dyDescent="0.35">
      <c r="A224" t="s">
        <v>60</v>
      </c>
      <c r="B224" t="s">
        <v>71</v>
      </c>
      <c r="C224">
        <v>3.83227990690667</v>
      </c>
      <c r="D224">
        <v>2.2988468883408602</v>
      </c>
      <c r="E224">
        <v>1.5334330185658089</v>
      </c>
      <c r="F224">
        <v>0</v>
      </c>
      <c r="G224">
        <v>2.6534631329298E-3</v>
      </c>
      <c r="H224">
        <v>6.061594821082928E-5</v>
      </c>
      <c r="I224">
        <v>2.5928471847223001E-3</v>
      </c>
      <c r="J224">
        <v>0</v>
      </c>
      <c r="K224">
        <v>0.51294735991859142</v>
      </c>
      <c r="L224">
        <v>0.64864381941725213</v>
      </c>
      <c r="M224">
        <v>0.3076986730813529</v>
      </c>
      <c r="N224">
        <v>0.38909809881619178</v>
      </c>
      <c r="O224">
        <v>0.20524868683723871</v>
      </c>
      <c r="P224">
        <v>0.2595457206010589</v>
      </c>
      <c r="Q224">
        <v>0</v>
      </c>
      <c r="R224">
        <v>0</v>
      </c>
      <c r="S224">
        <v>3.5516375153660002E-4</v>
      </c>
      <c r="T224">
        <v>4.4911971542919998E-4</v>
      </c>
      <c r="U224">
        <v>8.1133923823251131E-6</v>
      </c>
      <c r="V224">
        <v>1.025973079216147E-5</v>
      </c>
      <c r="W224">
        <v>3.4705035915470002E-4</v>
      </c>
      <c r="X224">
        <v>4.3885998463630001E-4</v>
      </c>
      <c r="Y224">
        <v>0</v>
      </c>
      <c r="Z224">
        <v>0</v>
      </c>
      <c r="AA224">
        <v>590.81421763174001</v>
      </c>
      <c r="AB224">
        <v>747.10978286638999</v>
      </c>
      <c r="AC224">
        <f t="shared" si="30"/>
        <v>0.99930808103377755</v>
      </c>
      <c r="AD224">
        <f t="shared" si="31"/>
        <v>0.3998591033017021</v>
      </c>
      <c r="AE224">
        <f t="shared" si="32"/>
        <v>0.40013596496492909</v>
      </c>
      <c r="AF224">
        <f t="shared" si="33"/>
        <v>0.59944897773207517</v>
      </c>
      <c r="AG224">
        <f t="shared" si="34"/>
        <v>0.59986403503507069</v>
      </c>
      <c r="AH224">
        <f t="shared" si="35"/>
        <v>6.9191896622245624E-4</v>
      </c>
      <c r="AI224">
        <f t="shared" si="36"/>
        <v>2.2844089091941015E-2</v>
      </c>
      <c r="AJ224">
        <f t="shared" si="37"/>
        <v>0.97715591090931375</v>
      </c>
      <c r="AK224">
        <f t="shared" si="38"/>
        <v>6.4909293913267829E-3</v>
      </c>
      <c r="AL224">
        <f t="shared" si="39"/>
        <v>5.1330252367012882E-3</v>
      </c>
    </row>
    <row r="225" spans="1:38" x14ac:dyDescent="0.35">
      <c r="A225" t="s">
        <v>61</v>
      </c>
      <c r="B225" t="s">
        <v>71</v>
      </c>
      <c r="C225">
        <v>14.902985591190401</v>
      </c>
      <c r="D225">
        <v>-0.69891173880890034</v>
      </c>
      <c r="E225">
        <v>15.6018973299993</v>
      </c>
      <c r="F225">
        <v>0.2461605787508705</v>
      </c>
      <c r="G225">
        <v>3.285928135838565</v>
      </c>
      <c r="H225">
        <v>3.285928135838565</v>
      </c>
      <c r="I225">
        <v>0</v>
      </c>
      <c r="J225">
        <v>-1.4672521220830279</v>
      </c>
      <c r="K225">
        <v>5.6890427775433512</v>
      </c>
      <c r="L225">
        <v>3.3771511402726562</v>
      </c>
      <c r="M225">
        <v>-0.26680149125028052</v>
      </c>
      <c r="N225">
        <v>-0.1583797126572869</v>
      </c>
      <c r="O225">
        <v>5.9558442687936326</v>
      </c>
      <c r="P225">
        <v>3.5355308529299432</v>
      </c>
      <c r="Q225">
        <v>9.3968960386458397E-2</v>
      </c>
      <c r="R225">
        <v>5.5782210492781897E-2</v>
      </c>
      <c r="S225">
        <v>1.254365148133092</v>
      </c>
      <c r="T225">
        <v>0.74462099442416596</v>
      </c>
      <c r="U225">
        <v>1.254365148133092</v>
      </c>
      <c r="V225">
        <v>0.74462099442416596</v>
      </c>
      <c r="W225">
        <v>0</v>
      </c>
      <c r="X225">
        <v>0</v>
      </c>
      <c r="Y225">
        <v>-0.56010656635848299</v>
      </c>
      <c r="Z225">
        <v>-0.33249258323709963</v>
      </c>
      <c r="AA225">
        <v>441.28867711817003</v>
      </c>
      <c r="AB225">
        <v>261.95945739796002</v>
      </c>
      <c r="AC225">
        <f t="shared" si="30"/>
        <v>0.81934445425646107</v>
      </c>
      <c r="AD225">
        <f t="shared" si="31"/>
        <v>0.85776960428454152</v>
      </c>
      <c r="AE225">
        <f t="shared" si="32"/>
        <v>1.046897431023623</v>
      </c>
      <c r="AF225">
        <f t="shared" si="33"/>
        <v>-3.8425150028080474E-2</v>
      </c>
      <c r="AG225">
        <f t="shared" si="34"/>
        <v>-4.6897431023623072E-2</v>
      </c>
      <c r="AH225">
        <f t="shared" si="35"/>
        <v>0.18065554574353898</v>
      </c>
      <c r="AI225">
        <f t="shared" si="36"/>
        <v>1</v>
      </c>
      <c r="AJ225">
        <f t="shared" si="37"/>
        <v>0</v>
      </c>
      <c r="AK225">
        <f t="shared" si="38"/>
        <v>4.1217721346968224E-2</v>
      </c>
      <c r="AL225">
        <f t="shared" si="39"/>
        <v>6.9434079256764439E-2</v>
      </c>
    </row>
    <row r="226" spans="1:38" x14ac:dyDescent="0.35">
      <c r="A226" t="s">
        <v>62</v>
      </c>
      <c r="B226" t="s">
        <v>71</v>
      </c>
      <c r="C226">
        <v>1.641063455184661</v>
      </c>
      <c r="D226">
        <v>0.95449139438317199</v>
      </c>
      <c r="E226">
        <v>0.68657206080148825</v>
      </c>
      <c r="F226">
        <v>0.37365202662225599</v>
      </c>
      <c r="G226">
        <v>6.5253723489826498E-2</v>
      </c>
      <c r="H226">
        <v>6.3087624784770896E-2</v>
      </c>
      <c r="I226">
        <v>2.1660987050564E-3</v>
      </c>
      <c r="J226">
        <v>0</v>
      </c>
      <c r="K226">
        <v>0.51058955444495968</v>
      </c>
      <c r="L226">
        <v>0.2376736897654359</v>
      </c>
      <c r="M226">
        <v>0.29697409581569939</v>
      </c>
      <c r="N226">
        <v>0.13823809849380689</v>
      </c>
      <c r="O226">
        <v>0.21361545862926021</v>
      </c>
      <c r="P226">
        <v>9.9435591271628904E-2</v>
      </c>
      <c r="Q226">
        <v>0.1162556031503645</v>
      </c>
      <c r="R226">
        <v>5.4115674549374097E-2</v>
      </c>
      <c r="S226">
        <v>2.0302608955969199E-2</v>
      </c>
      <c r="T226">
        <v>9.4506359176803993E-3</v>
      </c>
      <c r="U226">
        <v>1.9628663430459801E-2</v>
      </c>
      <c r="V226">
        <v>9.1369218623216005E-3</v>
      </c>
      <c r="W226">
        <v>6.7394552550930004E-4</v>
      </c>
      <c r="X226">
        <v>3.1371405535860001E-4</v>
      </c>
      <c r="Y226">
        <v>0</v>
      </c>
      <c r="Z226">
        <v>0</v>
      </c>
      <c r="AA226">
        <v>690.46912883131995</v>
      </c>
      <c r="AB226">
        <v>321.40560669490998</v>
      </c>
      <c r="AC226">
        <f t="shared" si="30"/>
        <v>0.96175756517875688</v>
      </c>
      <c r="AD226">
        <f t="shared" si="31"/>
        <v>0.40237071359431292</v>
      </c>
      <c r="AE226">
        <f t="shared" si="32"/>
        <v>0.41837020904486083</v>
      </c>
      <c r="AF226">
        <f t="shared" si="33"/>
        <v>0.55938685158444357</v>
      </c>
      <c r="AG226">
        <f t="shared" si="34"/>
        <v>0.58162979095513867</v>
      </c>
      <c r="AH226">
        <f t="shared" si="35"/>
        <v>3.8242434821243093E-2</v>
      </c>
      <c r="AI226">
        <f t="shared" si="36"/>
        <v>0.96680497925312547</v>
      </c>
      <c r="AJ226">
        <f t="shared" si="37"/>
        <v>3.3195020746886718E-2</v>
      </c>
      <c r="AK226">
        <f t="shared" si="38"/>
        <v>2.4712432568311637E-3</v>
      </c>
      <c r="AL226">
        <f t="shared" si="39"/>
        <v>5.3089216340092863E-3</v>
      </c>
    </row>
    <row r="227" spans="1:38" x14ac:dyDescent="0.35">
      <c r="A227" t="s">
        <v>63</v>
      </c>
      <c r="B227" t="s">
        <v>71</v>
      </c>
      <c r="C227">
        <v>-1.403090843141E-4</v>
      </c>
      <c r="D227">
        <v>0</v>
      </c>
      <c r="E227">
        <v>-1.403090843141E-4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-2.179304888159E-4</v>
      </c>
      <c r="L227">
        <v>-1.537912092703E-4</v>
      </c>
      <c r="M227">
        <v>0</v>
      </c>
      <c r="N227">
        <v>0</v>
      </c>
      <c r="O227">
        <v>-2.179304888156E-4</v>
      </c>
      <c r="P227">
        <v>-1.537912092703E-4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91.233487908610002</v>
      </c>
      <c r="AB227">
        <v>64.38249419652</v>
      </c>
      <c r="AC227">
        <f t="shared" si="30"/>
        <v>1</v>
      </c>
      <c r="AD227">
        <f t="shared" si="31"/>
        <v>1</v>
      </c>
      <c r="AE227">
        <f t="shared" si="32"/>
        <v>1</v>
      </c>
      <c r="AF227">
        <f t="shared" si="33"/>
        <v>0</v>
      </c>
      <c r="AG227">
        <f t="shared" si="34"/>
        <v>0</v>
      </c>
      <c r="AH227">
        <f t="shared" si="35"/>
        <v>0</v>
      </c>
      <c r="AI227">
        <v>0</v>
      </c>
      <c r="AJ227">
        <v>0</v>
      </c>
      <c r="AK227">
        <f t="shared" si="38"/>
        <v>-1.5379120927027341E-6</v>
      </c>
      <c r="AL227">
        <f t="shared" si="39"/>
        <v>-2.1793048881552027E-6</v>
      </c>
    </row>
    <row r="228" spans="1:38" x14ac:dyDescent="0.35">
      <c r="A228" t="s">
        <v>64</v>
      </c>
      <c r="B228" t="s">
        <v>71</v>
      </c>
      <c r="C228">
        <v>2.5891373283260459</v>
      </c>
      <c r="D228">
        <v>2.835790430632358</v>
      </c>
      <c r="E228">
        <v>-0.24665310230631299</v>
      </c>
      <c r="F228">
        <v>-2.9</v>
      </c>
      <c r="G228">
        <v>-6.4232296886403001E-3</v>
      </c>
      <c r="H228">
        <v>0</v>
      </c>
      <c r="I228">
        <v>-6.4232296886403001E-3</v>
      </c>
      <c r="J228">
        <v>0</v>
      </c>
      <c r="K228">
        <v>1.756729210686371</v>
      </c>
      <c r="L228">
        <v>0.83550701246794823</v>
      </c>
      <c r="M228">
        <v>1.9240832961523839</v>
      </c>
      <c r="N228">
        <v>0.91510124424905481</v>
      </c>
      <c r="O228">
        <v>-0.1673540854660116</v>
      </c>
      <c r="P228">
        <v>-7.9594231781106403E-2</v>
      </c>
      <c r="Q228">
        <v>-1.967649477397261</v>
      </c>
      <c r="R228">
        <v>-0.93582148372314078</v>
      </c>
      <c r="S228">
        <v>-4.3581601862259E-3</v>
      </c>
      <c r="T228">
        <v>-2.0727573577650001E-3</v>
      </c>
      <c r="U228">
        <v>0</v>
      </c>
      <c r="V228">
        <v>0</v>
      </c>
      <c r="W228">
        <v>-4.3581601862259E-3</v>
      </c>
      <c r="X228">
        <v>-2.0727573577650001E-3</v>
      </c>
      <c r="Y228">
        <v>0</v>
      </c>
      <c r="Z228">
        <v>0</v>
      </c>
      <c r="AA228">
        <v>309.88816247970999</v>
      </c>
      <c r="AB228">
        <v>147.38397429586999</v>
      </c>
      <c r="AC228">
        <f t="shared" si="30"/>
        <v>1.0024870076374419</v>
      </c>
      <c r="AD228">
        <f t="shared" si="31"/>
        <v>-9.5501512318550016E-2</v>
      </c>
      <c r="AE228">
        <f t="shared" si="32"/>
        <v>-9.5264588559225455E-2</v>
      </c>
      <c r="AF228">
        <f t="shared" si="33"/>
        <v>1.0979885199559918</v>
      </c>
      <c r="AG228">
        <f t="shared" si="34"/>
        <v>1.0952645885592251</v>
      </c>
      <c r="AH228">
        <f t="shared" si="35"/>
        <v>-2.4870076374419775E-3</v>
      </c>
      <c r="AI228">
        <f t="shared" si="36"/>
        <v>0</v>
      </c>
      <c r="AJ228">
        <f t="shared" si="37"/>
        <v>1</v>
      </c>
      <c r="AK228">
        <f t="shared" si="38"/>
        <v>8.3343425511018324E-3</v>
      </c>
      <c r="AL228">
        <f t="shared" si="39"/>
        <v>1.7523710505001483E-2</v>
      </c>
    </row>
    <row r="229" spans="1:38" x14ac:dyDescent="0.35">
      <c r="A229" t="s">
        <v>65</v>
      </c>
      <c r="B229" t="s">
        <v>71</v>
      </c>
      <c r="C229">
        <v>-7.7699446744038454</v>
      </c>
      <c r="D229">
        <v>1.58988966934996</v>
      </c>
      <c r="E229">
        <v>-9.3598343437538034</v>
      </c>
      <c r="F229">
        <v>0</v>
      </c>
      <c r="G229">
        <v>-3.0772058116450829</v>
      </c>
      <c r="H229">
        <v>-3.0772058116450851</v>
      </c>
      <c r="I229">
        <v>0</v>
      </c>
      <c r="J229">
        <v>0</v>
      </c>
      <c r="K229">
        <v>-1.3595629562793881</v>
      </c>
      <c r="L229">
        <v>-0.63927912437979018</v>
      </c>
      <c r="M229">
        <v>0.27819440029479181</v>
      </c>
      <c r="N229">
        <v>0.1308095898070856</v>
      </c>
      <c r="O229">
        <v>-1.6377573565741801</v>
      </c>
      <c r="P229">
        <v>-0.77008871418687574</v>
      </c>
      <c r="Q229">
        <v>0</v>
      </c>
      <c r="R229">
        <v>0</v>
      </c>
      <c r="S229">
        <v>-0.53844077476411378</v>
      </c>
      <c r="T229">
        <v>-0.25317985123952091</v>
      </c>
      <c r="U229">
        <v>-0.53844077476411356</v>
      </c>
      <c r="V229">
        <v>-0.25317985123952058</v>
      </c>
      <c r="W229">
        <v>0</v>
      </c>
      <c r="X229">
        <v>0</v>
      </c>
      <c r="Y229">
        <v>0</v>
      </c>
      <c r="Z229">
        <v>0</v>
      </c>
      <c r="AA229">
        <v>1215.4228689920101</v>
      </c>
      <c r="AB229">
        <v>571.50311712429004</v>
      </c>
      <c r="AC229">
        <f t="shared" si="30"/>
        <v>0.71631205673758891</v>
      </c>
      <c r="AD229">
        <f t="shared" si="31"/>
        <v>0.86288416075650121</v>
      </c>
      <c r="AE229">
        <f t="shared" si="32"/>
        <v>1.2046204620462042</v>
      </c>
      <c r="AF229">
        <f t="shared" si="33"/>
        <v>-0.14657210401891244</v>
      </c>
      <c r="AG229">
        <f t="shared" si="34"/>
        <v>-0.2046204620462044</v>
      </c>
      <c r="AH229">
        <f t="shared" si="35"/>
        <v>0.28368794326241104</v>
      </c>
      <c r="AI229">
        <f t="shared" si="36"/>
        <v>1.0000000000000007</v>
      </c>
      <c r="AJ229">
        <f t="shared" si="37"/>
        <v>0</v>
      </c>
      <c r="AK229">
        <f t="shared" si="38"/>
        <v>-8.9245897561931065E-3</v>
      </c>
      <c r="AL229">
        <f t="shared" si="39"/>
        <v>-1.8980037310434999E-2</v>
      </c>
    </row>
    <row r="230" spans="1:38" x14ac:dyDescent="0.35">
      <c r="A230" t="s">
        <v>28</v>
      </c>
      <c r="B230" t="s">
        <v>72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1226.51571721458</v>
      </c>
      <c r="AB230">
        <v>1494.77336635199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f t="shared" si="38"/>
        <v>0</v>
      </c>
      <c r="AL230">
        <f t="shared" si="39"/>
        <v>0</v>
      </c>
    </row>
    <row r="231" spans="1:38" x14ac:dyDescent="0.35">
      <c r="A231" t="s">
        <v>29</v>
      </c>
      <c r="B231" t="s">
        <v>72</v>
      </c>
      <c r="C231">
        <v>0.67106453921286402</v>
      </c>
      <c r="D231">
        <v>0.67106453921286402</v>
      </c>
      <c r="E231">
        <v>0</v>
      </c>
      <c r="F231">
        <v>4.5744234136235056</v>
      </c>
      <c r="G231">
        <v>0</v>
      </c>
      <c r="H231">
        <v>0</v>
      </c>
      <c r="I231">
        <v>0</v>
      </c>
      <c r="J231">
        <v>0</v>
      </c>
      <c r="K231">
        <v>3.9553372979778303E-2</v>
      </c>
      <c r="L231">
        <v>3.89364173010147E-2</v>
      </c>
      <c r="M231">
        <v>3.9553372979777401E-2</v>
      </c>
      <c r="N231">
        <v>3.89364173010147E-2</v>
      </c>
      <c r="O231">
        <v>0</v>
      </c>
      <c r="P231">
        <v>0</v>
      </c>
      <c r="Q231">
        <v>0.269622167278734</v>
      </c>
      <c r="R231">
        <v>0.26541658594164191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1723.48815255626</v>
      </c>
      <c r="AB231">
        <v>1696.60508992738</v>
      </c>
      <c r="AC231">
        <f t="shared" si="30"/>
        <v>1</v>
      </c>
      <c r="AD231">
        <f t="shared" si="31"/>
        <v>0</v>
      </c>
      <c r="AE231">
        <f t="shared" si="32"/>
        <v>0</v>
      </c>
      <c r="AF231">
        <f t="shared" si="33"/>
        <v>1</v>
      </c>
      <c r="AG231">
        <f t="shared" si="34"/>
        <v>1</v>
      </c>
      <c r="AH231">
        <f t="shared" si="35"/>
        <v>0</v>
      </c>
      <c r="AI231">
        <v>0</v>
      </c>
      <c r="AJ231">
        <v>0</v>
      </c>
      <c r="AK231">
        <f t="shared" si="38"/>
        <v>3.8936417301015265E-4</v>
      </c>
      <c r="AL231">
        <f t="shared" si="39"/>
        <v>3.9553372979777375E-4</v>
      </c>
    </row>
    <row r="232" spans="1:38" x14ac:dyDescent="0.35">
      <c r="A232" t="s">
        <v>30</v>
      </c>
      <c r="B232" t="s">
        <v>72</v>
      </c>
      <c r="C232">
        <v>1.003731486523151</v>
      </c>
      <c r="D232">
        <v>2.9114479823818522</v>
      </c>
      <c r="E232">
        <v>-1.907716495858693</v>
      </c>
      <c r="F232">
        <v>-0.11457218907976589</v>
      </c>
      <c r="G232">
        <v>-0.57747680337610063</v>
      </c>
      <c r="H232">
        <v>-2.60466271577008E-2</v>
      </c>
      <c r="I232">
        <v>-0.55143017621844592</v>
      </c>
      <c r="J232">
        <v>0</v>
      </c>
      <c r="K232">
        <v>3.8357027566986397E-2</v>
      </c>
      <c r="L232">
        <v>3.4527014996822203E-2</v>
      </c>
      <c r="M232">
        <v>0.1112593278376612</v>
      </c>
      <c r="N232">
        <v>0.10014990014747061</v>
      </c>
      <c r="O232">
        <v>-7.2902300270675E-2</v>
      </c>
      <c r="P232">
        <v>-6.5622885150648097E-2</v>
      </c>
      <c r="Q232">
        <v>-4.3783110064272001E-3</v>
      </c>
      <c r="R232">
        <v>-3.9411294192616998E-3</v>
      </c>
      <c r="S232">
        <v>-2.2067947418010499E-2</v>
      </c>
      <c r="T232">
        <v>-1.9864426411039901E-2</v>
      </c>
      <c r="U232">
        <v>-9.9535703455459995E-4</v>
      </c>
      <c r="V232">
        <v>-8.9596899027819996E-4</v>
      </c>
      <c r="W232">
        <v>-2.1072590383456099E-2</v>
      </c>
      <c r="X232">
        <v>-1.8968457420761801E-2</v>
      </c>
      <c r="Y232">
        <v>0</v>
      </c>
      <c r="Z232">
        <v>0</v>
      </c>
      <c r="AA232">
        <v>2907.0902498102801</v>
      </c>
      <c r="AB232">
        <v>2616.8124857180101</v>
      </c>
      <c r="AC232">
        <f t="shared" si="30"/>
        <v>2.3547694047900496</v>
      </c>
      <c r="AD232">
        <f t="shared" si="31"/>
        <v>-4.4755320499330775</v>
      </c>
      <c r="AE232">
        <f t="shared" si="32"/>
        <v>-1.9006243417419102</v>
      </c>
      <c r="AF232">
        <f t="shared" si="33"/>
        <v>6.8303014547231466</v>
      </c>
      <c r="AG232">
        <f t="shared" si="34"/>
        <v>2.9006243417419184</v>
      </c>
      <c r="AH232">
        <f t="shared" si="35"/>
        <v>-1.3547694047900496</v>
      </c>
      <c r="AI232">
        <f t="shared" si="36"/>
        <v>4.5104196403084058E-2</v>
      </c>
      <c r="AJ232">
        <f t="shared" si="37"/>
        <v>0.95489580359699577</v>
      </c>
      <c r="AK232">
        <f t="shared" si="38"/>
        <v>1.4662588585781546E-4</v>
      </c>
      <c r="AL232">
        <f t="shared" si="39"/>
        <v>1.6289080148977245E-4</v>
      </c>
    </row>
    <row r="233" spans="1:38" x14ac:dyDescent="0.35">
      <c r="A233" t="s">
        <v>31</v>
      </c>
      <c r="B233" t="s">
        <v>72</v>
      </c>
      <c r="C233">
        <v>69.61819342061915</v>
      </c>
      <c r="D233">
        <v>0</v>
      </c>
      <c r="E233">
        <v>69.618193420619207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1.9352808465074871</v>
      </c>
      <c r="L233">
        <v>1.672796604792248</v>
      </c>
      <c r="M233">
        <v>0</v>
      </c>
      <c r="N233">
        <v>0</v>
      </c>
      <c r="O233">
        <v>1.9352808465074891</v>
      </c>
      <c r="P233">
        <v>1.672796604792248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4161.7847155581303</v>
      </c>
      <c r="AB233">
        <v>3597.3173374942398</v>
      </c>
      <c r="AC233">
        <f t="shared" si="30"/>
        <v>1</v>
      </c>
      <c r="AD233">
        <f t="shared" si="31"/>
        <v>1.0000000000000009</v>
      </c>
      <c r="AE233">
        <f t="shared" si="32"/>
        <v>1.0000000000000009</v>
      </c>
      <c r="AF233">
        <f t="shared" si="33"/>
        <v>0</v>
      </c>
      <c r="AG233">
        <f t="shared" si="34"/>
        <v>0</v>
      </c>
      <c r="AH233">
        <f t="shared" si="35"/>
        <v>0</v>
      </c>
      <c r="AI233">
        <v>0</v>
      </c>
      <c r="AJ233">
        <v>0</v>
      </c>
      <c r="AK233">
        <f t="shared" si="38"/>
        <v>1.6727966047922486E-2</v>
      </c>
      <c r="AL233">
        <f t="shared" si="39"/>
        <v>1.9352808465074881E-2</v>
      </c>
    </row>
    <row r="234" spans="1:38" x14ac:dyDescent="0.35">
      <c r="A234" t="s">
        <v>32</v>
      </c>
      <c r="B234" t="s">
        <v>72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2337.6598158571201</v>
      </c>
      <c r="AB234">
        <v>1918.15761738117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f t="shared" si="38"/>
        <v>0</v>
      </c>
      <c r="AL234">
        <f t="shared" si="39"/>
        <v>0</v>
      </c>
    </row>
    <row r="235" spans="1:38" x14ac:dyDescent="0.35">
      <c r="A235" t="s">
        <v>33</v>
      </c>
      <c r="B235" t="s">
        <v>72</v>
      </c>
      <c r="C235">
        <v>13.111734743751979</v>
      </c>
      <c r="D235">
        <v>10.30207729866228</v>
      </c>
      <c r="E235">
        <v>2.8096574450896701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0.2872651061211719</v>
      </c>
      <c r="L235">
        <v>0.2462365936510941</v>
      </c>
      <c r="M235">
        <v>0.22570829766663439</v>
      </c>
      <c r="N235">
        <v>0.19347160929728829</v>
      </c>
      <c r="O235">
        <v>6.1556808454536503E-2</v>
      </c>
      <c r="P235">
        <v>5.2764984353805298E-2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5324.8522282316499</v>
      </c>
      <c r="AB235">
        <v>4564.3325500944502</v>
      </c>
      <c r="AC235">
        <f t="shared" si="30"/>
        <v>1</v>
      </c>
      <c r="AD235">
        <f t="shared" si="31"/>
        <v>0.21428571428571125</v>
      </c>
      <c r="AE235">
        <f t="shared" si="32"/>
        <v>0.21428571428571125</v>
      </c>
      <c r="AF235">
        <f t="shared" si="33"/>
        <v>0.78571428571428648</v>
      </c>
      <c r="AG235">
        <f t="shared" si="34"/>
        <v>0.78571428571428648</v>
      </c>
      <c r="AH235">
        <f t="shared" si="35"/>
        <v>0</v>
      </c>
      <c r="AI235">
        <v>0</v>
      </c>
      <c r="AJ235">
        <v>0</v>
      </c>
      <c r="AK235">
        <f t="shared" si="38"/>
        <v>2.4623659365109376E-3</v>
      </c>
      <c r="AL235">
        <f t="shared" si="39"/>
        <v>2.8726510612117114E-3</v>
      </c>
    </row>
    <row r="236" spans="1:38" x14ac:dyDescent="0.35">
      <c r="A236" t="s">
        <v>34</v>
      </c>
      <c r="B236" t="s">
        <v>72</v>
      </c>
      <c r="C236">
        <v>31.3557937785978</v>
      </c>
      <c r="D236">
        <v>3.474560932223</v>
      </c>
      <c r="E236">
        <v>27.8812328463748</v>
      </c>
      <c r="F236">
        <v>-11.61011823694027</v>
      </c>
      <c r="G236">
        <v>0</v>
      </c>
      <c r="H236">
        <v>0</v>
      </c>
      <c r="I236">
        <v>0</v>
      </c>
      <c r="J236">
        <v>0</v>
      </c>
      <c r="K236">
        <v>1.9141013926408741</v>
      </c>
      <c r="L236">
        <v>1.453986478801111</v>
      </c>
      <c r="M236">
        <v>0.21210312729263739</v>
      </c>
      <c r="N236">
        <v>0.1611174206239068</v>
      </c>
      <c r="O236">
        <v>1.7019982653482371</v>
      </c>
      <c r="P236">
        <v>1.292869058177204</v>
      </c>
      <c r="Q236">
        <v>-0.70873483997783726</v>
      </c>
      <c r="R236">
        <v>-0.53836796647500607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2156.5395714307001</v>
      </c>
      <c r="AB236">
        <v>1638.14696019506</v>
      </c>
      <c r="AC236">
        <f t="shared" si="30"/>
        <v>1</v>
      </c>
      <c r="AD236">
        <f t="shared" si="31"/>
        <v>0.88918918918918921</v>
      </c>
      <c r="AE236">
        <f t="shared" si="32"/>
        <v>0.88918918918918921</v>
      </c>
      <c r="AF236">
        <f t="shared" si="33"/>
        <v>0.11081081081081083</v>
      </c>
      <c r="AG236">
        <f t="shared" si="34"/>
        <v>0.11081081081081083</v>
      </c>
      <c r="AH236">
        <f t="shared" si="35"/>
        <v>0</v>
      </c>
      <c r="AI236">
        <v>0</v>
      </c>
      <c r="AJ236">
        <v>0</v>
      </c>
      <c r="AK236">
        <f t="shared" si="38"/>
        <v>1.4539864788011107E-2</v>
      </c>
      <c r="AL236">
        <f t="shared" si="39"/>
        <v>1.9141013926408747E-2</v>
      </c>
    </row>
    <row r="237" spans="1:38" x14ac:dyDescent="0.35">
      <c r="A237" t="s">
        <v>35</v>
      </c>
      <c r="B237" t="s">
        <v>72</v>
      </c>
      <c r="C237">
        <v>10.431316194499329</v>
      </c>
      <c r="D237">
        <v>5.831950301301049</v>
      </c>
      <c r="E237">
        <v>4.5993658931982822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0.78791226741857923</v>
      </c>
      <c r="L237">
        <v>0.58063765008396651</v>
      </c>
      <c r="M237">
        <v>0.4405067490710004</v>
      </c>
      <c r="N237">
        <v>0.32462345644738161</v>
      </c>
      <c r="O237">
        <v>0.34740551834757921</v>
      </c>
      <c r="P237">
        <v>0.25601419363658451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1796.5276955414199</v>
      </c>
      <c r="AB237">
        <v>1323.9184901480501</v>
      </c>
      <c r="AC237">
        <f t="shared" si="30"/>
        <v>1</v>
      </c>
      <c r="AD237">
        <f t="shared" si="31"/>
        <v>0.44091903719912473</v>
      </c>
      <c r="AE237">
        <f t="shared" si="32"/>
        <v>0.44091903719912473</v>
      </c>
      <c r="AF237">
        <f t="shared" si="33"/>
        <v>0.55908096280087538</v>
      </c>
      <c r="AG237">
        <f t="shared" si="34"/>
        <v>0.55908096280087538</v>
      </c>
      <c r="AH237">
        <f t="shared" si="35"/>
        <v>0</v>
      </c>
      <c r="AI237">
        <v>0</v>
      </c>
      <c r="AJ237">
        <v>0</v>
      </c>
      <c r="AK237">
        <f t="shared" si="38"/>
        <v>5.8063765008396608E-3</v>
      </c>
      <c r="AL237">
        <f t="shared" si="39"/>
        <v>7.879122674185798E-3</v>
      </c>
    </row>
    <row r="238" spans="1:38" x14ac:dyDescent="0.35">
      <c r="A238" t="s">
        <v>36</v>
      </c>
      <c r="B238" t="s">
        <v>72</v>
      </c>
      <c r="C238">
        <v>82.109950874512379</v>
      </c>
      <c r="D238">
        <v>-73.129174997612637</v>
      </c>
      <c r="E238">
        <v>155.23912587212499</v>
      </c>
      <c r="F238">
        <v>1.9244519736213841</v>
      </c>
      <c r="G238">
        <v>3.8489039472381102E-2</v>
      </c>
      <c r="H238">
        <v>3.8489039472427697E-2</v>
      </c>
      <c r="I238">
        <v>0</v>
      </c>
      <c r="J238">
        <v>0</v>
      </c>
      <c r="K238">
        <v>2.60056561337101</v>
      </c>
      <c r="L238">
        <v>2.7909679262838369</v>
      </c>
      <c r="M238">
        <v>-2.316128749408557</v>
      </c>
      <c r="N238">
        <v>-2.4857058093465452</v>
      </c>
      <c r="O238">
        <v>4.916694362779567</v>
      </c>
      <c r="P238">
        <v>5.2766737356303821</v>
      </c>
      <c r="Q238">
        <v>6.0950756563383099E-2</v>
      </c>
      <c r="R238">
        <v>6.5413310772277494E-2</v>
      </c>
      <c r="S238">
        <v>1.2190151312676E-3</v>
      </c>
      <c r="T238">
        <v>1.3082662154442E-3</v>
      </c>
      <c r="U238">
        <v>1.2190151312676E-3</v>
      </c>
      <c r="V238">
        <v>1.3082662154455E-3</v>
      </c>
      <c r="W238">
        <v>0</v>
      </c>
      <c r="X238">
        <v>0</v>
      </c>
      <c r="Y238">
        <v>0</v>
      </c>
      <c r="Z238">
        <v>0</v>
      </c>
      <c r="AA238">
        <v>2941.9883367789698</v>
      </c>
      <c r="AB238">
        <v>3157.38816403392</v>
      </c>
      <c r="AC238">
        <f t="shared" si="30"/>
        <v>0.9995314696236145</v>
      </c>
      <c r="AD238">
        <f t="shared" si="31"/>
        <v>1.8897391847571465</v>
      </c>
      <c r="AE238">
        <f t="shared" si="32"/>
        <v>1.8906250000000002</v>
      </c>
      <c r="AF238">
        <f t="shared" si="33"/>
        <v>-0.89020771513353225</v>
      </c>
      <c r="AG238">
        <f t="shared" si="34"/>
        <v>-0.89062500000000056</v>
      </c>
      <c r="AH238">
        <f t="shared" si="35"/>
        <v>4.6853037638550234E-4</v>
      </c>
      <c r="AI238">
        <f t="shared" si="36"/>
        <v>1.0000000000012106</v>
      </c>
      <c r="AJ238">
        <f t="shared" si="37"/>
        <v>0</v>
      </c>
      <c r="AK238">
        <f t="shared" si="38"/>
        <v>2.7922761924992816E-2</v>
      </c>
      <c r="AL238">
        <f t="shared" si="39"/>
        <v>2.601784628502276E-2</v>
      </c>
    </row>
    <row r="239" spans="1:38" x14ac:dyDescent="0.35">
      <c r="A239" t="s">
        <v>37</v>
      </c>
      <c r="B239" t="s">
        <v>72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19974.2138871676</v>
      </c>
      <c r="AB239">
        <v>19928.975197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f t="shared" si="38"/>
        <v>0</v>
      </c>
      <c r="AL239">
        <f t="shared" si="39"/>
        <v>0</v>
      </c>
    </row>
    <row r="240" spans="1:38" x14ac:dyDescent="0.35">
      <c r="A240" t="s">
        <v>38</v>
      </c>
      <c r="B240" t="s">
        <v>72</v>
      </c>
      <c r="C240">
        <v>0</v>
      </c>
      <c r="D240">
        <v>0</v>
      </c>
      <c r="E240">
        <v>0</v>
      </c>
      <c r="F240">
        <v>0</v>
      </c>
      <c r="G240">
        <v>0.10239412195682911</v>
      </c>
      <c r="H240">
        <v>0</v>
      </c>
      <c r="I240">
        <v>0.10239412195682911</v>
      </c>
      <c r="J240">
        <v>0.45146499226420111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8.0048482009580993E-3</v>
      </c>
      <c r="T240">
        <v>4.2992617321149004E-3</v>
      </c>
      <c r="U240">
        <v>0</v>
      </c>
      <c r="V240">
        <v>0</v>
      </c>
      <c r="W240">
        <v>8.0048482009580993E-3</v>
      </c>
      <c r="X240">
        <v>4.2992617321149004E-3</v>
      </c>
      <c r="Y240">
        <v>3.5294103431497498E-2</v>
      </c>
      <c r="Z240">
        <v>1.8955835818870399E-2</v>
      </c>
      <c r="AA240">
        <v>2381.6675591522499</v>
      </c>
      <c r="AB240">
        <v>1279.1513266244399</v>
      </c>
      <c r="AC240">
        <f t="shared" si="30"/>
        <v>0</v>
      </c>
      <c r="AD240">
        <f t="shared" si="31"/>
        <v>0</v>
      </c>
      <c r="AE240">
        <v>0</v>
      </c>
      <c r="AF240">
        <f t="shared" si="33"/>
        <v>0</v>
      </c>
      <c r="AG240">
        <v>0</v>
      </c>
      <c r="AH240">
        <f t="shared" si="35"/>
        <v>1</v>
      </c>
      <c r="AI240">
        <f t="shared" si="36"/>
        <v>0</v>
      </c>
      <c r="AJ240">
        <f t="shared" si="37"/>
        <v>1</v>
      </c>
      <c r="AK240">
        <f t="shared" si="38"/>
        <v>4.29926173211496E-5</v>
      </c>
      <c r="AL240">
        <f t="shared" si="39"/>
        <v>8.0048482009581747E-5</v>
      </c>
    </row>
    <row r="241" spans="1:38" x14ac:dyDescent="0.35">
      <c r="A241" t="s">
        <v>39</v>
      </c>
      <c r="B241" t="s">
        <v>72</v>
      </c>
      <c r="C241">
        <v>5.234121210982785</v>
      </c>
      <c r="D241">
        <v>-0.2326627954038098</v>
      </c>
      <c r="E241">
        <v>5.4667840063865967</v>
      </c>
      <c r="F241">
        <v>1.3766585703740101E-2</v>
      </c>
      <c r="G241">
        <v>-7.2337052758079695E-2</v>
      </c>
      <c r="H241">
        <v>-4.4287991484539E-3</v>
      </c>
      <c r="I241">
        <v>-6.7908253609623104E-2</v>
      </c>
      <c r="J241">
        <v>1.4269426648543519</v>
      </c>
      <c r="K241">
        <v>0.52495888545341129</v>
      </c>
      <c r="L241">
        <v>0.22427622016784379</v>
      </c>
      <c r="M241">
        <v>-2.3335035020850301E-2</v>
      </c>
      <c r="N241">
        <v>-9.9693396892222008E-3</v>
      </c>
      <c r="O241">
        <v>0.54829392047426162</v>
      </c>
      <c r="P241">
        <v>0.23424555985706619</v>
      </c>
      <c r="Q241">
        <v>1.3807268109058001E-3</v>
      </c>
      <c r="R241">
        <v>5.8988274856390001E-4</v>
      </c>
      <c r="S241">
        <v>-7.255082001766E-3</v>
      </c>
      <c r="T241">
        <v>-3.0995615341544002E-3</v>
      </c>
      <c r="U241">
        <v>-4.4418869398559998E-4</v>
      </c>
      <c r="V241">
        <v>-1.897690735196E-4</v>
      </c>
      <c r="W241">
        <v>-6.8108933077802997E-3</v>
      </c>
      <c r="X241">
        <v>-2.9097924606344E-3</v>
      </c>
      <c r="Y241">
        <v>0.14311595027185239</v>
      </c>
      <c r="Z241">
        <v>6.1142891876146299E-2</v>
      </c>
      <c r="AA241">
        <v>2333.7834064911899</v>
      </c>
      <c r="AB241">
        <v>997.05355143423003</v>
      </c>
      <c r="AC241">
        <f t="shared" si="30"/>
        <v>1.0140139631066942</v>
      </c>
      <c r="AD241">
        <f t="shared" si="31"/>
        <v>1.0590880669963523</v>
      </c>
      <c r="AE241">
        <f t="shared" si="32"/>
        <v>1.0444511668769945</v>
      </c>
      <c r="AF241">
        <f t="shared" si="33"/>
        <v>-4.507410388965772E-2</v>
      </c>
      <c r="AG241">
        <f t="shared" si="34"/>
        <v>-4.4451166876994019E-2</v>
      </c>
      <c r="AH241">
        <f t="shared" si="35"/>
        <v>-1.4013963106694219E-2</v>
      </c>
      <c r="AI241">
        <f t="shared" si="36"/>
        <v>6.1224489795918935E-2</v>
      </c>
      <c r="AJ241">
        <f t="shared" si="37"/>
        <v>0.93877551020404382</v>
      </c>
      <c r="AK241">
        <f t="shared" si="38"/>
        <v>2.2117665863368931E-3</v>
      </c>
      <c r="AL241">
        <f t="shared" si="39"/>
        <v>5.1770380345164428E-3</v>
      </c>
    </row>
    <row r="242" spans="1:38" x14ac:dyDescent="0.35">
      <c r="A242" t="s">
        <v>40</v>
      </c>
      <c r="B242" t="s">
        <v>72</v>
      </c>
      <c r="C242">
        <v>15.52143328722001</v>
      </c>
      <c r="D242">
        <v>4.7933838092885326</v>
      </c>
      <c r="E242">
        <v>10.72804947793148</v>
      </c>
      <c r="F242">
        <v>0</v>
      </c>
      <c r="G242">
        <v>1.940179160902501</v>
      </c>
      <c r="H242">
        <v>0</v>
      </c>
      <c r="I242">
        <v>1.940179160902501</v>
      </c>
      <c r="J242">
        <v>0</v>
      </c>
      <c r="K242">
        <v>3.7495954896454329</v>
      </c>
      <c r="L242">
        <v>3.3123049625002459</v>
      </c>
      <c r="M242">
        <v>1.1579633129787379</v>
      </c>
      <c r="N242">
        <v>1.0229177090074291</v>
      </c>
      <c r="O242">
        <v>2.5916321766666961</v>
      </c>
      <c r="P242">
        <v>2.289387253492817</v>
      </c>
      <c r="Q242">
        <v>0</v>
      </c>
      <c r="R242">
        <v>0</v>
      </c>
      <c r="S242">
        <v>0.46869943620567911</v>
      </c>
      <c r="T242">
        <v>0.41403812031253068</v>
      </c>
      <c r="U242">
        <v>0</v>
      </c>
      <c r="V242">
        <v>0</v>
      </c>
      <c r="W242">
        <v>0.46869943620567911</v>
      </c>
      <c r="X242">
        <v>0.41403812031253068</v>
      </c>
      <c r="Y242">
        <v>0</v>
      </c>
      <c r="Z242">
        <v>0</v>
      </c>
      <c r="AA242">
        <v>468.59916169988998</v>
      </c>
      <c r="AB242">
        <v>413.94954015926999</v>
      </c>
      <c r="AC242">
        <f t="shared" si="30"/>
        <v>0.88888888888888884</v>
      </c>
      <c r="AD242">
        <f t="shared" si="31"/>
        <v>0.61437908496732041</v>
      </c>
      <c r="AE242">
        <f t="shared" si="32"/>
        <v>0.6911764705882355</v>
      </c>
      <c r="AF242">
        <f t="shared" si="33"/>
        <v>0.2745098039215686</v>
      </c>
      <c r="AG242">
        <f t="shared" si="34"/>
        <v>0.30882352941176472</v>
      </c>
      <c r="AH242">
        <f t="shared" si="35"/>
        <v>0.11111111111111109</v>
      </c>
      <c r="AI242">
        <f t="shared" si="36"/>
        <v>0</v>
      </c>
      <c r="AJ242">
        <f t="shared" si="37"/>
        <v>1</v>
      </c>
      <c r="AK242">
        <f t="shared" si="38"/>
        <v>3.7263430828127775E-2</v>
      </c>
      <c r="AL242">
        <f t="shared" si="39"/>
        <v>4.2182949258511154E-2</v>
      </c>
    </row>
    <row r="243" spans="1:38" x14ac:dyDescent="0.35">
      <c r="A243" t="s">
        <v>41</v>
      </c>
      <c r="B243" t="s">
        <v>72</v>
      </c>
      <c r="C243">
        <v>-0.22825637187087719</v>
      </c>
      <c r="D243">
        <v>0.45651274374176681</v>
      </c>
      <c r="E243">
        <v>-0.68476911561264941</v>
      </c>
      <c r="F243">
        <v>-0.34238455780632288</v>
      </c>
      <c r="G243">
        <v>0</v>
      </c>
      <c r="H243">
        <v>0</v>
      </c>
      <c r="I243">
        <v>0</v>
      </c>
      <c r="J243">
        <v>0</v>
      </c>
      <c r="K243">
        <v>-4.60977292197704E-2</v>
      </c>
      <c r="L243">
        <v>-4.1103429170870003E-2</v>
      </c>
      <c r="M243">
        <v>9.2195458439542494E-2</v>
      </c>
      <c r="N243">
        <v>8.2206858341741004E-2</v>
      </c>
      <c r="O243">
        <v>-0.13829318765931381</v>
      </c>
      <c r="P243">
        <v>-0.123310287512611</v>
      </c>
      <c r="Q243">
        <v>-6.9146593829656905E-2</v>
      </c>
      <c r="R243">
        <v>-6.16551437563055E-2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555.32196820367994</v>
      </c>
      <c r="AB243">
        <v>495.15751802582002</v>
      </c>
      <c r="AC243">
        <f t="shared" si="30"/>
        <v>1</v>
      </c>
      <c r="AD243">
        <f t="shared" si="31"/>
        <v>3.0000000000000782</v>
      </c>
      <c r="AE243">
        <f t="shared" si="32"/>
        <v>3.0000000000000782</v>
      </c>
      <c r="AF243">
        <f t="shared" si="33"/>
        <v>-2.0000000000000546</v>
      </c>
      <c r="AG243">
        <f t="shared" si="34"/>
        <v>-2.0000000000000546</v>
      </c>
      <c r="AH243">
        <f t="shared" si="35"/>
        <v>0</v>
      </c>
      <c r="AI243">
        <v>0</v>
      </c>
      <c r="AJ243">
        <v>0</v>
      </c>
      <c r="AK243">
        <f t="shared" si="38"/>
        <v>-4.110342917086935E-4</v>
      </c>
      <c r="AL243">
        <f t="shared" si="39"/>
        <v>-4.6097729219770169E-4</v>
      </c>
    </row>
    <row r="244" spans="1:38" x14ac:dyDescent="0.35">
      <c r="A244" t="s">
        <v>42</v>
      </c>
      <c r="B244" t="s">
        <v>72</v>
      </c>
      <c r="C244">
        <v>-0.84014605616053473</v>
      </c>
      <c r="D244">
        <v>-0.1120194741547377</v>
      </c>
      <c r="E244">
        <v>-0.72812658200579605</v>
      </c>
      <c r="F244">
        <v>-0.94785708900162635</v>
      </c>
      <c r="G244">
        <v>0.20249674174124971</v>
      </c>
      <c r="H244">
        <v>-4.3084413136437001E-3</v>
      </c>
      <c r="I244">
        <v>0.2068051830548967</v>
      </c>
      <c r="J244">
        <v>0</v>
      </c>
      <c r="K244">
        <v>-0.3896052225820803</v>
      </c>
      <c r="L244">
        <v>-0.20622350409885909</v>
      </c>
      <c r="M244">
        <v>-5.1947363010944103E-2</v>
      </c>
      <c r="N244">
        <v>-2.74964672131809E-2</v>
      </c>
      <c r="O244">
        <v>-0.33765785957113609</v>
      </c>
      <c r="P244">
        <v>-0.17872703688567881</v>
      </c>
      <c r="Q244">
        <v>-0.43955461009260371</v>
      </c>
      <c r="R244">
        <v>-0.232662414880765</v>
      </c>
      <c r="S244">
        <v>9.3904848519784395E-2</v>
      </c>
      <c r="T244">
        <v>4.9705152269982698E-2</v>
      </c>
      <c r="U244">
        <v>-1.9979755004209E-3</v>
      </c>
      <c r="V244">
        <v>-1.0575564312761999E-3</v>
      </c>
      <c r="W244">
        <v>9.5902824020203697E-2</v>
      </c>
      <c r="X244">
        <v>5.0762708701258298E-2</v>
      </c>
      <c r="Y244">
        <v>0</v>
      </c>
      <c r="Z244">
        <v>0</v>
      </c>
      <c r="AA244">
        <v>407.39587848230002</v>
      </c>
      <c r="AB244">
        <v>215.64034757863999</v>
      </c>
      <c r="AC244">
        <f t="shared" si="30"/>
        <v>1.3175675675675524</v>
      </c>
      <c r="AD244">
        <f t="shared" si="31"/>
        <v>1.1418918918918777</v>
      </c>
      <c r="AE244">
        <f t="shared" si="32"/>
        <v>0.86666666666666581</v>
      </c>
      <c r="AF244">
        <f t="shared" si="33"/>
        <v>0.17567567567567324</v>
      </c>
      <c r="AG244">
        <f t="shared" si="34"/>
        <v>0.13333333333333303</v>
      </c>
      <c r="AH244">
        <f t="shared" si="35"/>
        <v>-0.31756756756755233</v>
      </c>
      <c r="AI244">
        <f t="shared" si="36"/>
        <v>-2.1276595744681291E-2</v>
      </c>
      <c r="AJ244">
        <f t="shared" si="37"/>
        <v>1.0212765957446976</v>
      </c>
      <c r="AK244">
        <f t="shared" si="38"/>
        <v>-1.5651835182888055E-3</v>
      </c>
      <c r="AL244">
        <f t="shared" si="39"/>
        <v>-2.9570037406230123E-3</v>
      </c>
    </row>
    <row r="245" spans="1:38" x14ac:dyDescent="0.35">
      <c r="A245" t="s">
        <v>43</v>
      </c>
      <c r="B245" t="s">
        <v>72</v>
      </c>
      <c r="C245">
        <v>-0.1222839174378247</v>
      </c>
      <c r="D245">
        <v>-0.1222839174378247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-3.6765779429734399E-2</v>
      </c>
      <c r="L245">
        <v>-3.9311555541792199E-2</v>
      </c>
      <c r="M245">
        <v>-3.6765779429734503E-2</v>
      </c>
      <c r="N245">
        <v>-3.9311555541792199E-2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311.06354290107998</v>
      </c>
      <c r="AB245">
        <v>332.60254327404999</v>
      </c>
      <c r="AC245">
        <f t="shared" si="30"/>
        <v>1</v>
      </c>
      <c r="AD245">
        <f t="shared" si="31"/>
        <v>0</v>
      </c>
      <c r="AE245">
        <f t="shared" si="32"/>
        <v>0</v>
      </c>
      <c r="AF245">
        <f t="shared" si="33"/>
        <v>1</v>
      </c>
      <c r="AG245">
        <f t="shared" si="34"/>
        <v>1</v>
      </c>
      <c r="AH245">
        <f t="shared" si="35"/>
        <v>0</v>
      </c>
      <c r="AI245">
        <v>0</v>
      </c>
      <c r="AJ245">
        <v>0</v>
      </c>
      <c r="AK245">
        <f t="shared" si="38"/>
        <v>-3.9311555541792208E-4</v>
      </c>
      <c r="AL245">
        <f t="shared" si="39"/>
        <v>-3.6765779429734569E-4</v>
      </c>
    </row>
    <row r="246" spans="1:38" x14ac:dyDescent="0.35">
      <c r="A246" t="s">
        <v>44</v>
      </c>
      <c r="B246" t="s">
        <v>72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45.911572818750003</v>
      </c>
      <c r="AB246">
        <v>26.895658710639999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f t="shared" si="38"/>
        <v>0</v>
      </c>
      <c r="AL246">
        <f t="shared" si="39"/>
        <v>0</v>
      </c>
    </row>
    <row r="247" spans="1:38" x14ac:dyDescent="0.35">
      <c r="A247" t="s">
        <v>45</v>
      </c>
      <c r="B247" t="s">
        <v>72</v>
      </c>
      <c r="C247">
        <v>1.312474138257574</v>
      </c>
      <c r="D247">
        <v>0.57064092967720637</v>
      </c>
      <c r="E247">
        <v>0.74183320858036783</v>
      </c>
      <c r="F247">
        <v>-1.8260509749670599</v>
      </c>
      <c r="G247">
        <v>-0.45651274374176509</v>
      </c>
      <c r="H247">
        <v>-0.45651274374176509</v>
      </c>
      <c r="I247">
        <v>0</v>
      </c>
      <c r="J247">
        <v>0</v>
      </c>
      <c r="K247">
        <v>0.51521265094658641</v>
      </c>
      <c r="L247">
        <v>0.51688018039387185</v>
      </c>
      <c r="M247">
        <v>0.22400550041155931</v>
      </c>
      <c r="N247">
        <v>0.22473051321472681</v>
      </c>
      <c r="O247">
        <v>0.2912071505350266</v>
      </c>
      <c r="P247">
        <v>0.29214966717914459</v>
      </c>
      <c r="Q247">
        <v>-0.71681760131699002</v>
      </c>
      <c r="R247">
        <v>-0.71913764228712573</v>
      </c>
      <c r="S247">
        <v>-0.17920440032924739</v>
      </c>
      <c r="T247">
        <v>-0.1797844105717816</v>
      </c>
      <c r="U247">
        <v>-0.1792044003292475</v>
      </c>
      <c r="V247">
        <v>-0.17978441057178149</v>
      </c>
      <c r="W247">
        <v>0</v>
      </c>
      <c r="X247">
        <v>0</v>
      </c>
      <c r="Y247">
        <v>0</v>
      </c>
      <c r="Z247">
        <v>0</v>
      </c>
      <c r="AA247">
        <v>253.92231856471</v>
      </c>
      <c r="AB247">
        <v>254.7441596875</v>
      </c>
      <c r="AC247">
        <f t="shared" si="30"/>
        <v>1.5333333333333337</v>
      </c>
      <c r="AD247">
        <f t="shared" si="31"/>
        <v>0.86666666666666681</v>
      </c>
      <c r="AE247">
        <f t="shared" si="32"/>
        <v>0.56521739130434778</v>
      </c>
      <c r="AF247">
        <f t="shared" si="33"/>
        <v>0.66666666666666718</v>
      </c>
      <c r="AG247">
        <f t="shared" si="34"/>
        <v>0.43478260869565238</v>
      </c>
      <c r="AH247">
        <f t="shared" si="35"/>
        <v>-0.53333333333333377</v>
      </c>
      <c r="AI247">
        <f t="shared" si="36"/>
        <v>1</v>
      </c>
      <c r="AJ247">
        <f t="shared" si="37"/>
        <v>0</v>
      </c>
      <c r="AK247">
        <f t="shared" si="38"/>
        <v>3.3709576982208999E-3</v>
      </c>
      <c r="AL247">
        <f t="shared" si="39"/>
        <v>3.3600825061733883E-3</v>
      </c>
    </row>
    <row r="248" spans="1:38" x14ac:dyDescent="0.35">
      <c r="A248" t="s">
        <v>46</v>
      </c>
      <c r="B248" t="s">
        <v>72</v>
      </c>
      <c r="C248">
        <v>-5.7977118455204177</v>
      </c>
      <c r="D248">
        <v>0.44295659642621987</v>
      </c>
      <c r="E248">
        <v>-6.2406684419466352</v>
      </c>
      <c r="F248">
        <v>0.14836664171607339</v>
      </c>
      <c r="G248">
        <v>-5.9803169430171206</v>
      </c>
      <c r="H248">
        <v>-2.704838006669958</v>
      </c>
      <c r="I248">
        <v>-3.2754789363471639</v>
      </c>
      <c r="J248">
        <v>0</v>
      </c>
      <c r="K248">
        <v>-2.843367489691051</v>
      </c>
      <c r="L248">
        <v>-1.922670481910133</v>
      </c>
      <c r="M248">
        <v>0.217238872710732</v>
      </c>
      <c r="N248">
        <v>0.1468958091413432</v>
      </c>
      <c r="O248">
        <v>-3.0606063624017832</v>
      </c>
      <c r="P248">
        <v>-2.0695662910514758</v>
      </c>
      <c r="Q248">
        <v>7.2763341271621207E-2</v>
      </c>
      <c r="R248">
        <v>4.92021973717158E-2</v>
      </c>
      <c r="S248">
        <v>-2.9329223712561232</v>
      </c>
      <c r="T248">
        <v>-1.983227032521476</v>
      </c>
      <c r="U248">
        <v>-1.3265316831826359</v>
      </c>
      <c r="V248">
        <v>-0.89699390593051476</v>
      </c>
      <c r="W248">
        <v>-1.6063906880734879</v>
      </c>
      <c r="X248">
        <v>-1.0862331265909611</v>
      </c>
      <c r="Y248">
        <v>0</v>
      </c>
      <c r="Z248">
        <v>0</v>
      </c>
      <c r="AA248">
        <v>301.54474727050001</v>
      </c>
      <c r="AB248">
        <v>203.90300819506001</v>
      </c>
      <c r="AC248">
        <f t="shared" si="30"/>
        <v>0.49224806201550403</v>
      </c>
      <c r="AD248">
        <f t="shared" si="31"/>
        <v>0.52985678282770865</v>
      </c>
      <c r="AE248">
        <f t="shared" si="32"/>
        <v>1.0764019682641639</v>
      </c>
      <c r="AF248">
        <f t="shared" si="33"/>
        <v>-3.7608720812204871E-2</v>
      </c>
      <c r="AG248">
        <f t="shared" si="34"/>
        <v>-7.6401968264164205E-2</v>
      </c>
      <c r="AH248">
        <f t="shared" si="35"/>
        <v>0.50775193798449603</v>
      </c>
      <c r="AI248">
        <f t="shared" si="36"/>
        <v>0.45229007633587798</v>
      </c>
      <c r="AJ248">
        <f t="shared" si="37"/>
        <v>0.54770992366412219</v>
      </c>
      <c r="AK248">
        <f t="shared" si="38"/>
        <v>-3.9058975144316097E-2</v>
      </c>
      <c r="AL248">
        <f t="shared" si="39"/>
        <v>-5.7762898609471751E-2</v>
      </c>
    </row>
    <row r="249" spans="1:38" x14ac:dyDescent="0.35">
      <c r="A249" t="s">
        <v>47</v>
      </c>
      <c r="B249" t="s">
        <v>72</v>
      </c>
      <c r="C249">
        <v>0.19510445104624</v>
      </c>
      <c r="D249">
        <v>1.99651988508226E-2</v>
      </c>
      <c r="E249">
        <v>0.17513925219541729</v>
      </c>
      <c r="F249">
        <v>7.5320270858253296E-2</v>
      </c>
      <c r="G249">
        <v>-8.6448289280998403E-2</v>
      </c>
      <c r="H249">
        <v>-8.8626292466765094E-2</v>
      </c>
      <c r="I249">
        <v>2.1780031857667002E-3</v>
      </c>
      <c r="J249">
        <v>0</v>
      </c>
      <c r="K249">
        <v>0.94116957391091915</v>
      </c>
      <c r="L249">
        <v>1.0231422192178621</v>
      </c>
      <c r="M249">
        <v>9.6310656136810294E-2</v>
      </c>
      <c r="N249">
        <v>0.10469898431233279</v>
      </c>
      <c r="O249">
        <v>0.84485891777410949</v>
      </c>
      <c r="P249">
        <v>0.91844323490552959</v>
      </c>
      <c r="Q249">
        <v>0.3633394668874913</v>
      </c>
      <c r="R249">
        <v>0.39498508960074769</v>
      </c>
      <c r="S249">
        <v>-0.41702021225872649</v>
      </c>
      <c r="T249">
        <v>-0.4533412439759556</v>
      </c>
      <c r="U249">
        <v>-0.42752674001517887</v>
      </c>
      <c r="V249">
        <v>-0.46476285430313802</v>
      </c>
      <c r="W249">
        <v>1.0506527756452199E-2</v>
      </c>
      <c r="X249">
        <v>1.14216103271822E-2</v>
      </c>
      <c r="Y249">
        <v>0</v>
      </c>
      <c r="Z249">
        <v>0</v>
      </c>
      <c r="AA249">
        <v>19.06914282116</v>
      </c>
      <c r="AB249">
        <v>20.729999827290001</v>
      </c>
      <c r="AC249">
        <f t="shared" si="30"/>
        <v>1.7956133170595086</v>
      </c>
      <c r="AD249">
        <f t="shared" si="31"/>
        <v>1.611866730336164</v>
      </c>
      <c r="AE249">
        <f t="shared" si="32"/>
        <v>0.89766917800306401</v>
      </c>
      <c r="AF249">
        <f t="shared" si="33"/>
        <v>0.18374658672334346</v>
      </c>
      <c r="AG249">
        <f t="shared" si="34"/>
        <v>0.10233082199693549</v>
      </c>
      <c r="AH249">
        <f t="shared" si="35"/>
        <v>-0.79561331705950844</v>
      </c>
      <c r="AI249">
        <f t="shared" si="36"/>
        <v>1.0251942890238943</v>
      </c>
      <c r="AJ249">
        <f t="shared" si="37"/>
        <v>-2.5194289023894333E-2</v>
      </c>
      <c r="AK249">
        <f t="shared" si="38"/>
        <v>5.6980097524190606E-3</v>
      </c>
      <c r="AL249">
        <f t="shared" si="39"/>
        <v>5.2414936165219462E-3</v>
      </c>
    </row>
    <row r="250" spans="1:38" x14ac:dyDescent="0.35">
      <c r="A250" t="s">
        <v>48</v>
      </c>
      <c r="B250" t="s">
        <v>72</v>
      </c>
      <c r="C250">
        <v>6.0031425802042193</v>
      </c>
      <c r="D250">
        <v>0.1141281859354412</v>
      </c>
      <c r="E250">
        <v>5.8890143942687772</v>
      </c>
      <c r="F250">
        <v>0.45651274374176459</v>
      </c>
      <c r="G250">
        <v>-2.2825637187088241</v>
      </c>
      <c r="H250">
        <v>-2.282563718708825</v>
      </c>
      <c r="I250">
        <v>0</v>
      </c>
      <c r="J250">
        <v>0</v>
      </c>
      <c r="K250">
        <v>1.616065248838781</v>
      </c>
      <c r="L250">
        <v>1.436533940332879</v>
      </c>
      <c r="M250">
        <v>3.07236739322964E-2</v>
      </c>
      <c r="N250">
        <v>2.73105311850356E-2</v>
      </c>
      <c r="O250">
        <v>1.5853415749064861</v>
      </c>
      <c r="P250">
        <v>1.4092234091478431</v>
      </c>
      <c r="Q250">
        <v>0.1228946957291846</v>
      </c>
      <c r="R250">
        <v>0.10924212474014269</v>
      </c>
      <c r="S250">
        <v>-0.6144734786459245</v>
      </c>
      <c r="T250">
        <v>-0.5462106237007136</v>
      </c>
      <c r="U250">
        <v>-0.6144734786459245</v>
      </c>
      <c r="V250">
        <v>-0.5462106237007136</v>
      </c>
      <c r="W250">
        <v>0</v>
      </c>
      <c r="X250">
        <v>0</v>
      </c>
      <c r="Y250">
        <v>0</v>
      </c>
      <c r="Z250">
        <v>0</v>
      </c>
      <c r="AA250">
        <v>417.89075855828003</v>
      </c>
      <c r="AB250">
        <v>371.46659669328</v>
      </c>
      <c r="AC250">
        <f t="shared" si="30"/>
        <v>1.6134969325153354</v>
      </c>
      <c r="AD250">
        <f t="shared" si="31"/>
        <v>1.5828220858895685</v>
      </c>
      <c r="AE250">
        <f t="shared" si="32"/>
        <v>0.98098859315589337</v>
      </c>
      <c r="AF250">
        <f t="shared" si="33"/>
        <v>3.0674846625766774E-2</v>
      </c>
      <c r="AG250">
        <f t="shared" si="34"/>
        <v>1.9011406844106425E-2</v>
      </c>
      <c r="AH250">
        <f t="shared" si="35"/>
        <v>-0.61349693251533544</v>
      </c>
      <c r="AI250">
        <f t="shared" si="36"/>
        <v>1.0000000000000004</v>
      </c>
      <c r="AJ250">
        <f t="shared" si="37"/>
        <v>0</v>
      </c>
      <c r="AK250">
        <f t="shared" si="38"/>
        <v>8.9032331663216578E-3</v>
      </c>
      <c r="AL250">
        <f t="shared" si="39"/>
        <v>1.0015917701928599E-2</v>
      </c>
    </row>
    <row r="251" spans="1:38" x14ac:dyDescent="0.35">
      <c r="A251" t="s">
        <v>49</v>
      </c>
      <c r="B251" t="s">
        <v>72</v>
      </c>
      <c r="C251">
        <v>1.5</v>
      </c>
      <c r="D251">
        <v>2.9</v>
      </c>
      <c r="E251">
        <v>-1.399999999999999</v>
      </c>
      <c r="F251">
        <v>0</v>
      </c>
      <c r="G251">
        <v>-1.6999999999999991</v>
      </c>
      <c r="H251">
        <v>-1.7</v>
      </c>
      <c r="I251">
        <v>0</v>
      </c>
      <c r="J251">
        <v>0</v>
      </c>
      <c r="K251">
        <v>0.4184564365396497</v>
      </c>
      <c r="L251">
        <v>0.43808832247855101</v>
      </c>
      <c r="M251">
        <v>0.80901577730998819</v>
      </c>
      <c r="N251">
        <v>0.84697075679186451</v>
      </c>
      <c r="O251">
        <v>-0.39055934077033783</v>
      </c>
      <c r="P251">
        <v>-0.40888243431331261</v>
      </c>
      <c r="Q251">
        <v>0</v>
      </c>
      <c r="R251">
        <v>0</v>
      </c>
      <c r="S251">
        <v>-0.47425062807826901</v>
      </c>
      <c r="T251">
        <v>-0.49650009880902418</v>
      </c>
      <c r="U251">
        <v>-0.4742506280782689</v>
      </c>
      <c r="V251">
        <v>-0.4965000988090239</v>
      </c>
      <c r="W251">
        <v>0</v>
      </c>
      <c r="X251">
        <v>0</v>
      </c>
      <c r="Y251">
        <v>0</v>
      </c>
      <c r="Z251">
        <v>0</v>
      </c>
      <c r="AA251">
        <v>342.39670930134002</v>
      </c>
      <c r="AB251">
        <v>358.46025273358998</v>
      </c>
      <c r="AC251">
        <f t="shared" si="30"/>
        <v>-7.5000000000000346</v>
      </c>
      <c r="AD251">
        <f t="shared" si="31"/>
        <v>7.0000000000000275</v>
      </c>
      <c r="AE251">
        <f t="shared" si="32"/>
        <v>-0.93333333333333268</v>
      </c>
      <c r="AF251">
        <f t="shared" si="33"/>
        <v>-14.500000000000068</v>
      </c>
      <c r="AG251">
        <f t="shared" si="34"/>
        <v>1.9333333333333333</v>
      </c>
      <c r="AH251">
        <f t="shared" si="35"/>
        <v>8.5000000000000355</v>
      </c>
      <c r="AI251">
        <f t="shared" si="36"/>
        <v>1.0000000000000004</v>
      </c>
      <c r="AJ251">
        <f t="shared" si="37"/>
        <v>0</v>
      </c>
      <c r="AK251">
        <f t="shared" si="38"/>
        <v>-5.8411776330473148E-4</v>
      </c>
      <c r="AL251">
        <f t="shared" si="39"/>
        <v>-5.5794191538619594E-4</v>
      </c>
    </row>
    <row r="252" spans="1:38" x14ac:dyDescent="0.35">
      <c r="A252" t="s">
        <v>50</v>
      </c>
      <c r="B252" t="s">
        <v>72</v>
      </c>
      <c r="C252">
        <v>0.63608896592116526</v>
      </c>
      <c r="D252">
        <v>0</v>
      </c>
      <c r="E252">
        <v>0.63608896592116526</v>
      </c>
      <c r="F252">
        <v>0</v>
      </c>
      <c r="G252">
        <v>-0.37597881601197791</v>
      </c>
      <c r="H252">
        <v>-2.17980388809976E-2</v>
      </c>
      <c r="I252">
        <v>-0.3541807771309804</v>
      </c>
      <c r="J252">
        <v>0</v>
      </c>
      <c r="K252">
        <v>2.1090428744257408</v>
      </c>
      <c r="L252">
        <v>1.1477070431122109</v>
      </c>
      <c r="M252">
        <v>0</v>
      </c>
      <c r="N252">
        <v>0</v>
      </c>
      <c r="O252">
        <v>2.1090428744257399</v>
      </c>
      <c r="P252">
        <v>1.1477070431122109</v>
      </c>
      <c r="Q252">
        <v>0</v>
      </c>
      <c r="R252">
        <v>0</v>
      </c>
      <c r="S252">
        <v>-1.2466109071657201</v>
      </c>
      <c r="T252">
        <v>-0.6783855062994717</v>
      </c>
      <c r="U252">
        <v>-7.2274478950985405E-2</v>
      </c>
      <c r="V252">
        <v>-3.9330603249067203E-2</v>
      </c>
      <c r="W252">
        <v>-1.1743364282147351</v>
      </c>
      <c r="X252">
        <v>-0.63905490305040458</v>
      </c>
      <c r="Y252">
        <v>0</v>
      </c>
      <c r="Z252">
        <v>0</v>
      </c>
      <c r="AA252">
        <v>55.422589739999999</v>
      </c>
      <c r="AB252">
        <v>30.160077523049999</v>
      </c>
      <c r="AC252">
        <f t="shared" si="30"/>
        <v>2.445459995095324</v>
      </c>
      <c r="AD252">
        <f t="shared" si="31"/>
        <v>2.445459995095324</v>
      </c>
      <c r="AE252">
        <f t="shared" si="32"/>
        <v>1</v>
      </c>
      <c r="AF252">
        <f t="shared" si="33"/>
        <v>0</v>
      </c>
      <c r="AG252">
        <f t="shared" si="34"/>
        <v>0</v>
      </c>
      <c r="AH252">
        <f t="shared" si="35"/>
        <v>-1.445459995095324</v>
      </c>
      <c r="AI252">
        <f t="shared" si="36"/>
        <v>5.7976774096504306E-2</v>
      </c>
      <c r="AJ252">
        <f t="shared" si="37"/>
        <v>0.94202322590349596</v>
      </c>
      <c r="AK252">
        <f t="shared" si="38"/>
        <v>4.6932153681273894E-3</v>
      </c>
      <c r="AL252">
        <f t="shared" si="39"/>
        <v>8.6243196726002048E-3</v>
      </c>
    </row>
    <row r="253" spans="1:38" x14ac:dyDescent="0.35">
      <c r="A253" t="s">
        <v>51</v>
      </c>
      <c r="B253" t="s">
        <v>72</v>
      </c>
      <c r="C253">
        <v>0.2377970000000004</v>
      </c>
      <c r="D253">
        <v>1.33940000000001E-2</v>
      </c>
      <c r="E253">
        <v>0.2244030000000001</v>
      </c>
      <c r="F253">
        <v>1.3800000000000999E-3</v>
      </c>
      <c r="G253">
        <v>1.1412818593544E-2</v>
      </c>
      <c r="H253">
        <v>1.1412818593544E-2</v>
      </c>
      <c r="I253">
        <v>0</v>
      </c>
      <c r="J253">
        <v>0</v>
      </c>
      <c r="K253">
        <v>0.4931831961626596</v>
      </c>
      <c r="L253">
        <v>0.2448081251412004</v>
      </c>
      <c r="M253">
        <v>2.77787176852641E-2</v>
      </c>
      <c r="N253">
        <v>1.3788904099468299E-2</v>
      </c>
      <c r="O253">
        <v>0.46540447847739669</v>
      </c>
      <c r="P253">
        <v>0.23101922104173231</v>
      </c>
      <c r="Q253">
        <v>2.8620748399038999E-3</v>
      </c>
      <c r="R253">
        <v>1.4206874464139001E-3</v>
      </c>
      <c r="S253">
        <v>2.36698122818568E-2</v>
      </c>
      <c r="T253">
        <v>1.1749310220322899E-2</v>
      </c>
      <c r="U253">
        <v>2.36698122818568E-2</v>
      </c>
      <c r="V253">
        <v>1.1749310220323101E-2</v>
      </c>
      <c r="W253">
        <v>0</v>
      </c>
      <c r="X253">
        <v>0</v>
      </c>
      <c r="Y253">
        <v>0</v>
      </c>
      <c r="Z253">
        <v>0</v>
      </c>
      <c r="AA253">
        <v>97.136073348400004</v>
      </c>
      <c r="AB253">
        <v>48.216768505140003</v>
      </c>
      <c r="AC253">
        <f t="shared" si="30"/>
        <v>0.95420397696224779</v>
      </c>
      <c r="AD253">
        <f t="shared" si="31"/>
        <v>0.90045810099479395</v>
      </c>
      <c r="AE253">
        <f t="shared" si="32"/>
        <v>0.94367464686265901</v>
      </c>
      <c r="AF253">
        <f t="shared" si="33"/>
        <v>5.3745875967452998E-2</v>
      </c>
      <c r="AG253">
        <f t="shared" si="34"/>
        <v>5.6325353137340162E-2</v>
      </c>
      <c r="AH253">
        <f t="shared" si="35"/>
        <v>4.5796023037752175E-2</v>
      </c>
      <c r="AI253">
        <f t="shared" si="36"/>
        <v>1</v>
      </c>
      <c r="AJ253">
        <f t="shared" si="37"/>
        <v>0</v>
      </c>
      <c r="AK253">
        <f t="shared" si="38"/>
        <v>2.5655743536152453E-3</v>
      </c>
      <c r="AL253">
        <f t="shared" si="39"/>
        <v>5.1685300844451689E-3</v>
      </c>
    </row>
    <row r="254" spans="1:38" x14ac:dyDescent="0.35">
      <c r="A254" t="s">
        <v>52</v>
      </c>
      <c r="B254" t="s">
        <v>72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66.343484468840003</v>
      </c>
      <c r="AB254">
        <v>66.557495896739994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f t="shared" si="38"/>
        <v>0</v>
      </c>
      <c r="AL254">
        <f t="shared" si="39"/>
        <v>0</v>
      </c>
    </row>
    <row r="255" spans="1:38" x14ac:dyDescent="0.35">
      <c r="A255" t="s">
        <v>53</v>
      </c>
      <c r="B255" t="s">
        <v>72</v>
      </c>
      <c r="C255">
        <v>0</v>
      </c>
      <c r="D255">
        <v>0</v>
      </c>
      <c r="E255">
        <v>0</v>
      </c>
      <c r="F255">
        <v>-1.2554100452898529</v>
      </c>
      <c r="G255">
        <v>-34.466712152503263</v>
      </c>
      <c r="H255">
        <v>0</v>
      </c>
      <c r="I255">
        <v>-34.466712152503263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-0.14940903361763991</v>
      </c>
      <c r="R255">
        <v>-0.13463702333676991</v>
      </c>
      <c r="S255">
        <v>-4.1019571047752059</v>
      </c>
      <c r="T255">
        <v>-3.6963982770640551</v>
      </c>
      <c r="U255">
        <v>0</v>
      </c>
      <c r="V255">
        <v>0</v>
      </c>
      <c r="W255">
        <v>-4.1019571047752059</v>
      </c>
      <c r="X255">
        <v>-3.6963982770640551</v>
      </c>
      <c r="Y255">
        <v>0</v>
      </c>
      <c r="Z255">
        <v>0</v>
      </c>
      <c r="AA255">
        <v>932.44043441874999</v>
      </c>
      <c r="AB255">
        <v>840.25042856688003</v>
      </c>
      <c r="AC255">
        <f t="shared" si="30"/>
        <v>0</v>
      </c>
      <c r="AD255">
        <f t="shared" si="31"/>
        <v>0</v>
      </c>
      <c r="AE255">
        <v>0</v>
      </c>
      <c r="AF255">
        <f t="shared" si="33"/>
        <v>0</v>
      </c>
      <c r="AG255">
        <v>0</v>
      </c>
      <c r="AH255">
        <f t="shared" si="35"/>
        <v>1</v>
      </c>
      <c r="AI255">
        <f t="shared" si="36"/>
        <v>0</v>
      </c>
      <c r="AJ255">
        <f t="shared" si="37"/>
        <v>1</v>
      </c>
      <c r="AK255">
        <f t="shared" si="38"/>
        <v>-3.6963982770640551E-2</v>
      </c>
      <c r="AL255">
        <f t="shared" si="39"/>
        <v>-4.1019571047752071E-2</v>
      </c>
    </row>
    <row r="256" spans="1:38" x14ac:dyDescent="0.35">
      <c r="A256" t="s">
        <v>54</v>
      </c>
      <c r="B256" t="s">
        <v>72</v>
      </c>
      <c r="C256">
        <v>0</v>
      </c>
      <c r="D256">
        <v>0</v>
      </c>
      <c r="E256">
        <v>0</v>
      </c>
      <c r="F256">
        <v>0</v>
      </c>
      <c r="G256">
        <v>0.65002147584386361</v>
      </c>
      <c r="H256">
        <v>0.39001288550631807</v>
      </c>
      <c r="I256">
        <v>0.26000859033754531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0.32030373440945098</v>
      </c>
      <c r="T256">
        <v>0.3351078645428322</v>
      </c>
      <c r="U256">
        <v>0.19218224064567049</v>
      </c>
      <c r="V256">
        <v>0.20106471872569931</v>
      </c>
      <c r="W256">
        <v>0.1281214937637801</v>
      </c>
      <c r="X256">
        <v>0.13404314581713281</v>
      </c>
      <c r="Y256">
        <v>0</v>
      </c>
      <c r="Z256">
        <v>0</v>
      </c>
      <c r="AA256">
        <v>193.97380504054999</v>
      </c>
      <c r="AB256">
        <v>202.93908750153</v>
      </c>
      <c r="AC256">
        <f t="shared" si="30"/>
        <v>0</v>
      </c>
      <c r="AD256">
        <f t="shared" si="31"/>
        <v>0</v>
      </c>
      <c r="AE256">
        <v>0</v>
      </c>
      <c r="AF256">
        <f t="shared" si="33"/>
        <v>0</v>
      </c>
      <c r="AG256">
        <v>0</v>
      </c>
      <c r="AH256">
        <f t="shared" si="35"/>
        <v>1</v>
      </c>
      <c r="AI256">
        <f t="shared" si="36"/>
        <v>0.59999999999999987</v>
      </c>
      <c r="AJ256">
        <f t="shared" si="37"/>
        <v>0.3999999999999998</v>
      </c>
      <c r="AK256">
        <f t="shared" si="38"/>
        <v>3.3510786454283214E-3</v>
      </c>
      <c r="AL256">
        <f t="shared" si="39"/>
        <v>3.2030373440945078E-3</v>
      </c>
    </row>
    <row r="257" spans="1:38" x14ac:dyDescent="0.35">
      <c r="A257" t="s">
        <v>55</v>
      </c>
      <c r="B257" t="s">
        <v>72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330.45426768437</v>
      </c>
      <c r="AB257">
        <v>410.24933347112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f t="shared" si="38"/>
        <v>0</v>
      </c>
      <c r="AL257">
        <f t="shared" si="39"/>
        <v>0</v>
      </c>
    </row>
    <row r="258" spans="1:38" x14ac:dyDescent="0.35">
      <c r="A258" t="s">
        <v>56</v>
      </c>
      <c r="B258" t="s">
        <v>72</v>
      </c>
      <c r="C258">
        <v>0.79889730154809158</v>
      </c>
      <c r="D258">
        <v>0.34238455780632382</v>
      </c>
      <c r="E258">
        <v>0.45651274374176681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0.35927718380528167</v>
      </c>
      <c r="L258">
        <v>0.23413247781510629</v>
      </c>
      <c r="M258">
        <v>0.15397593591654901</v>
      </c>
      <c r="N258">
        <v>0.10034249049218801</v>
      </c>
      <c r="O258">
        <v>0.205301247888733</v>
      </c>
      <c r="P258">
        <v>0.13378998732291819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341.21592570296002</v>
      </c>
      <c r="AB258">
        <v>222.36238134761999</v>
      </c>
      <c r="AC258">
        <f t="shared" si="30"/>
        <v>1</v>
      </c>
      <c r="AD258">
        <f t="shared" si="31"/>
        <v>0.57142857142857173</v>
      </c>
      <c r="AE258">
        <f t="shared" si="32"/>
        <v>0.57142857142857173</v>
      </c>
      <c r="AF258">
        <f t="shared" si="33"/>
        <v>0.42857142857142716</v>
      </c>
      <c r="AG258">
        <f t="shared" si="34"/>
        <v>0.42857142857142716</v>
      </c>
      <c r="AH258">
        <f t="shared" si="35"/>
        <v>0</v>
      </c>
      <c r="AI258">
        <v>0</v>
      </c>
      <c r="AJ258">
        <v>0</v>
      </c>
      <c r="AK258">
        <f t="shared" si="38"/>
        <v>2.3413247781510602E-3</v>
      </c>
      <c r="AL258">
        <f t="shared" si="39"/>
        <v>3.5927718380528236E-3</v>
      </c>
    </row>
    <row r="259" spans="1:38" x14ac:dyDescent="0.35">
      <c r="A259" t="s">
        <v>57</v>
      </c>
      <c r="B259" t="s">
        <v>72</v>
      </c>
      <c r="C259">
        <v>1.6802751266758571</v>
      </c>
      <c r="D259">
        <v>1.0192067280989019</v>
      </c>
      <c r="E259">
        <v>0.66106839857695565</v>
      </c>
      <c r="F259">
        <v>0</v>
      </c>
      <c r="G259">
        <v>-2.782368016327577</v>
      </c>
      <c r="H259">
        <v>0</v>
      </c>
      <c r="I259">
        <v>-2.782368016327577</v>
      </c>
      <c r="J259">
        <v>0</v>
      </c>
      <c r="K259">
        <v>1.688904394969011</v>
      </c>
      <c r="L259">
        <v>0.92469264342358404</v>
      </c>
      <c r="M259">
        <v>1.0244409948944539</v>
      </c>
      <c r="N259">
        <v>0.56089205192566349</v>
      </c>
      <c r="O259">
        <v>0.66446340007455706</v>
      </c>
      <c r="P259">
        <v>0.36380059149792032</v>
      </c>
      <c r="Q259">
        <v>0</v>
      </c>
      <c r="R259">
        <v>0</v>
      </c>
      <c r="S259">
        <v>-2.796657223923404</v>
      </c>
      <c r="T259">
        <v>-1.531198787120716</v>
      </c>
      <c r="U259">
        <v>0</v>
      </c>
      <c r="V259">
        <v>0</v>
      </c>
      <c r="W259">
        <v>-2.796657223923404</v>
      </c>
      <c r="X259">
        <v>-1.531198787120716</v>
      </c>
      <c r="Y259">
        <v>0</v>
      </c>
      <c r="Z259">
        <v>0</v>
      </c>
      <c r="AA259">
        <v>181.71174374815001</v>
      </c>
      <c r="AB259">
        <v>99.489061173690004</v>
      </c>
      <c r="AC259">
        <f t="shared" ref="AC259:AC266" si="40">C259/(C259+G259)</f>
        <v>-1.5246220554120919</v>
      </c>
      <c r="AD259">
        <f t="shared" ref="AD259:AD266" si="41">(E259/(C259+G259))</f>
        <v>-0.59983001867098928</v>
      </c>
      <c r="AE259">
        <f t="shared" ref="AE259:AE266" si="42">(E259/C259)</f>
        <v>0.39342866420023054</v>
      </c>
      <c r="AF259">
        <f t="shared" ref="AF259:AF266" si="43">(D259/(C259+G259))</f>
        <v>-0.92479203674110311</v>
      </c>
      <c r="AG259">
        <f t="shared" ref="AG259:AG266" si="44">(D259/(C259))</f>
        <v>0.60657133579976974</v>
      </c>
      <c r="AH259">
        <f t="shared" ref="AH259:AH266" si="45">(G259/(C259+G259))</f>
        <v>2.5246220554120922</v>
      </c>
      <c r="AI259">
        <f t="shared" ref="AI259:AI266" si="46">(H259/G259)</f>
        <v>0</v>
      </c>
      <c r="AJ259">
        <f t="shared" ref="AJ259:AJ266" si="47">I259/G259</f>
        <v>1</v>
      </c>
      <c r="AK259">
        <f t="shared" ref="AK259:AK267" si="48">(C259+G259)/AA259</f>
        <v>-6.0650614369713255E-3</v>
      </c>
      <c r="AL259">
        <f t="shared" ref="AL259:AL267" si="49">(C259+G259)/AB259</f>
        <v>-1.1077528289543953E-2</v>
      </c>
    </row>
    <row r="260" spans="1:38" x14ac:dyDescent="0.35">
      <c r="A260" t="s">
        <v>58</v>
      </c>
      <c r="B260" t="s">
        <v>72</v>
      </c>
      <c r="C260">
        <v>1.0209999999999999</v>
      </c>
      <c r="D260">
        <v>-1.19999999999999E-2</v>
      </c>
      <c r="E260">
        <v>1.0329999999999999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2.0250713059145209</v>
      </c>
      <c r="L260">
        <v>1.3427608723131521</v>
      </c>
      <c r="M260">
        <v>-2.38010339578591E-2</v>
      </c>
      <c r="N260">
        <v>-1.57817144640135E-2</v>
      </c>
      <c r="O260">
        <v>2.0488723398723798</v>
      </c>
      <c r="P260">
        <v>1.358542586777165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76.037366075549997</v>
      </c>
      <c r="AB260">
        <v>50.417977728389999</v>
      </c>
      <c r="AC260">
        <f t="shared" si="40"/>
        <v>1</v>
      </c>
      <c r="AD260">
        <f t="shared" si="41"/>
        <v>1.0117531831537707</v>
      </c>
      <c r="AE260">
        <f t="shared" si="42"/>
        <v>1.0117531831537707</v>
      </c>
      <c r="AF260">
        <f t="shared" si="43"/>
        <v>-1.1753183153770715E-2</v>
      </c>
      <c r="AG260">
        <f t="shared" si="44"/>
        <v>-1.1753183153770715E-2</v>
      </c>
      <c r="AH260">
        <f t="shared" si="45"/>
        <v>0</v>
      </c>
      <c r="AI260">
        <v>0</v>
      </c>
      <c r="AJ260">
        <v>0</v>
      </c>
      <c r="AK260">
        <f t="shared" si="48"/>
        <v>1.3427608723131521E-2</v>
      </c>
      <c r="AL260">
        <f t="shared" si="49"/>
        <v>2.0250713059145213E-2</v>
      </c>
    </row>
    <row r="261" spans="1:38" x14ac:dyDescent="0.35">
      <c r="A261" t="s">
        <v>59</v>
      </c>
      <c r="B261" t="s">
        <v>72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521.00449074291998</v>
      </c>
      <c r="AB261">
        <v>549.82128194673999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f t="shared" si="48"/>
        <v>0</v>
      </c>
      <c r="AL261">
        <f t="shared" si="49"/>
        <v>0</v>
      </c>
    </row>
    <row r="262" spans="1:38" x14ac:dyDescent="0.35">
      <c r="A262" t="s">
        <v>60</v>
      </c>
      <c r="B262" t="s">
        <v>72</v>
      </c>
      <c r="C262">
        <v>1.298408499835787</v>
      </c>
      <c r="D262">
        <v>0.65080196341236274</v>
      </c>
      <c r="E262">
        <v>0.64760653642342447</v>
      </c>
      <c r="F262">
        <v>0</v>
      </c>
      <c r="G262">
        <v>0.1065142329643791</v>
      </c>
      <c r="H262">
        <v>0.1065142329643802</v>
      </c>
      <c r="I262">
        <v>0</v>
      </c>
      <c r="J262">
        <v>0</v>
      </c>
      <c r="K262">
        <v>0.17379085773101099</v>
      </c>
      <c r="L262">
        <v>0.2197659536766742</v>
      </c>
      <c r="M262">
        <v>8.7109281438595407E-2</v>
      </c>
      <c r="N262">
        <v>0.11015340254015581</v>
      </c>
      <c r="O262">
        <v>8.6681576292415102E-2</v>
      </c>
      <c r="P262">
        <v>0.1096125511365198</v>
      </c>
      <c r="Q262">
        <v>0</v>
      </c>
      <c r="R262">
        <v>0</v>
      </c>
      <c r="S262">
        <v>1.4256838205989501E-2</v>
      </c>
      <c r="T262">
        <v>1.80283801211382E-2</v>
      </c>
      <c r="U262">
        <v>1.42568382059894E-2</v>
      </c>
      <c r="V262">
        <v>1.8028380121138401E-2</v>
      </c>
      <c r="W262">
        <v>0</v>
      </c>
      <c r="X262">
        <v>0</v>
      </c>
      <c r="Y262">
        <v>0</v>
      </c>
      <c r="Z262">
        <v>0</v>
      </c>
      <c r="AA262">
        <v>590.81421763174001</v>
      </c>
      <c r="AB262">
        <v>747.10978286638999</v>
      </c>
      <c r="AC262">
        <f t="shared" si="40"/>
        <v>0.92418498862774856</v>
      </c>
      <c r="AD262">
        <f t="shared" si="41"/>
        <v>0.46095526914328816</v>
      </c>
      <c r="AE262">
        <f t="shared" si="42"/>
        <v>0.49876948318293429</v>
      </c>
      <c r="AF262">
        <f t="shared" si="43"/>
        <v>0.46322971948446062</v>
      </c>
      <c r="AG262">
        <f t="shared" si="44"/>
        <v>0.50123051681706587</v>
      </c>
      <c r="AH262">
        <f t="shared" si="45"/>
        <v>7.5815011372251398E-2</v>
      </c>
      <c r="AI262">
        <f t="shared" si="46"/>
        <v>1.0000000000000102</v>
      </c>
      <c r="AJ262">
        <f t="shared" si="47"/>
        <v>0</v>
      </c>
      <c r="AK262">
        <f t="shared" si="48"/>
        <v>2.377943337978145E-3</v>
      </c>
      <c r="AL262">
        <f t="shared" si="49"/>
        <v>1.8804769593699948E-3</v>
      </c>
    </row>
    <row r="263" spans="1:38" x14ac:dyDescent="0.35">
      <c r="A263" t="s">
        <v>61</v>
      </c>
      <c r="B263" t="s">
        <v>72</v>
      </c>
      <c r="C263">
        <v>-3.57454952088105</v>
      </c>
      <c r="D263">
        <v>0</v>
      </c>
      <c r="E263">
        <v>-3.57454952088105</v>
      </c>
      <c r="F263">
        <v>0.75867952732961097</v>
      </c>
      <c r="G263">
        <v>0</v>
      </c>
      <c r="H263">
        <v>0</v>
      </c>
      <c r="I263">
        <v>0</v>
      </c>
      <c r="J263">
        <v>0</v>
      </c>
      <c r="K263">
        <v>-1.364543031348058</v>
      </c>
      <c r="L263">
        <v>-0.81002520713302584</v>
      </c>
      <c r="M263">
        <v>0</v>
      </c>
      <c r="N263">
        <v>0</v>
      </c>
      <c r="O263">
        <v>-1.364543031348058</v>
      </c>
      <c r="P263">
        <v>-0.81002520713302673</v>
      </c>
      <c r="Q263">
        <v>0.2896171548321122</v>
      </c>
      <c r="R263">
        <v>0.1719236333649343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441.28867711817003</v>
      </c>
      <c r="AB263">
        <v>261.95945739796002</v>
      </c>
      <c r="AC263">
        <f t="shared" si="40"/>
        <v>1</v>
      </c>
      <c r="AD263">
        <f t="shared" si="41"/>
        <v>1</v>
      </c>
      <c r="AE263">
        <f t="shared" si="42"/>
        <v>1</v>
      </c>
      <c r="AF263">
        <f t="shared" si="43"/>
        <v>0</v>
      </c>
      <c r="AG263">
        <f t="shared" si="44"/>
        <v>0</v>
      </c>
      <c r="AH263">
        <f t="shared" si="45"/>
        <v>0</v>
      </c>
      <c r="AI263">
        <v>0</v>
      </c>
      <c r="AJ263">
        <v>0</v>
      </c>
      <c r="AK263">
        <f t="shared" si="48"/>
        <v>-8.1002520713302668E-3</v>
      </c>
      <c r="AL263">
        <f t="shared" si="49"/>
        <v>-1.3645430313480587E-2</v>
      </c>
    </row>
    <row r="264" spans="1:38" x14ac:dyDescent="0.35">
      <c r="A264" t="s">
        <v>62</v>
      </c>
      <c r="B264" t="s">
        <v>72</v>
      </c>
      <c r="C264">
        <v>-0.24016619392314451</v>
      </c>
      <c r="D264">
        <v>-1.29965922303392E-2</v>
      </c>
      <c r="E264">
        <v>-0.2271696016928057</v>
      </c>
      <c r="F264">
        <v>0</v>
      </c>
      <c r="G264">
        <v>-0.96472621076456377</v>
      </c>
      <c r="H264">
        <v>-0.96472621076456377</v>
      </c>
      <c r="I264">
        <v>0</v>
      </c>
      <c r="J264">
        <v>0</v>
      </c>
      <c r="K264">
        <v>-7.4723710140849706E-2</v>
      </c>
      <c r="L264">
        <v>-3.4783045887894798E-2</v>
      </c>
      <c r="M264">
        <v>-4.0436731530561999E-3</v>
      </c>
      <c r="N264">
        <v>-1.882284332152E-3</v>
      </c>
      <c r="O264">
        <v>-7.0680036987793501E-2</v>
      </c>
      <c r="P264">
        <v>-3.2900761555742598E-2</v>
      </c>
      <c r="Q264">
        <v>0</v>
      </c>
      <c r="R264">
        <v>0</v>
      </c>
      <c r="S264">
        <v>-0.3001584884237305</v>
      </c>
      <c r="T264">
        <v>-0.13972039740537659</v>
      </c>
      <c r="U264">
        <v>-0.30015848842373088</v>
      </c>
      <c r="V264">
        <v>-0.13972039740537659</v>
      </c>
      <c r="W264">
        <v>0</v>
      </c>
      <c r="X264">
        <v>0</v>
      </c>
      <c r="Y264">
        <v>0</v>
      </c>
      <c r="Z264">
        <v>0</v>
      </c>
      <c r="AA264">
        <v>690.46912883131995</v>
      </c>
      <c r="AB264">
        <v>321.40560669490998</v>
      </c>
      <c r="AC264">
        <f t="shared" si="40"/>
        <v>0.19932584269662842</v>
      </c>
      <c r="AD264">
        <f t="shared" si="41"/>
        <v>0.18853932584269628</v>
      </c>
      <c r="AE264">
        <f t="shared" si="42"/>
        <v>0.94588500563698052</v>
      </c>
      <c r="AF264">
        <f t="shared" si="43"/>
        <v>1.078651685393248E-2</v>
      </c>
      <c r="AG264">
        <f t="shared" si="44"/>
        <v>5.4114994363021113E-2</v>
      </c>
      <c r="AH264">
        <f t="shared" si="45"/>
        <v>0.80067415730337155</v>
      </c>
      <c r="AI264">
        <f t="shared" si="46"/>
        <v>1</v>
      </c>
      <c r="AJ264">
        <f t="shared" si="47"/>
        <v>0</v>
      </c>
      <c r="AK264">
        <f t="shared" si="48"/>
        <v>-1.7450344329327152E-3</v>
      </c>
      <c r="AL264">
        <f t="shared" si="49"/>
        <v>-3.7488219856458087E-3</v>
      </c>
    </row>
    <row r="265" spans="1:38" x14ac:dyDescent="0.35">
      <c r="A265" t="s">
        <v>63</v>
      </c>
      <c r="B265" t="s">
        <v>72</v>
      </c>
      <c r="C265">
        <v>0.14534662604214299</v>
      </c>
      <c r="D265">
        <v>0</v>
      </c>
      <c r="E265">
        <v>0.14534662604214299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0.22575488547941269</v>
      </c>
      <c r="L265">
        <v>0.1593128021015037</v>
      </c>
      <c r="M265">
        <v>0</v>
      </c>
      <c r="N265">
        <v>0</v>
      </c>
      <c r="O265">
        <v>0.22575488547941239</v>
      </c>
      <c r="P265">
        <v>0.15931280210150359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91.233487908610002</v>
      </c>
      <c r="AB265">
        <v>64.38249419652</v>
      </c>
      <c r="AC265">
        <f t="shared" si="40"/>
        <v>1</v>
      </c>
      <c r="AD265">
        <f t="shared" si="41"/>
        <v>1</v>
      </c>
      <c r="AE265">
        <f t="shared" si="42"/>
        <v>1</v>
      </c>
      <c r="AF265">
        <f t="shared" si="43"/>
        <v>0</v>
      </c>
      <c r="AG265">
        <f t="shared" si="44"/>
        <v>0</v>
      </c>
      <c r="AH265">
        <f t="shared" si="45"/>
        <v>0</v>
      </c>
      <c r="AI265">
        <v>0</v>
      </c>
      <c r="AJ265">
        <v>0</v>
      </c>
      <c r="AK265">
        <f t="shared" si="48"/>
        <v>1.5931280210150351E-3</v>
      </c>
      <c r="AL265">
        <f t="shared" si="49"/>
        <v>2.2575488547941229E-3</v>
      </c>
    </row>
    <row r="266" spans="1:38" x14ac:dyDescent="0.35">
      <c r="A266" t="s">
        <v>64</v>
      </c>
      <c r="B266" t="s">
        <v>72</v>
      </c>
      <c r="C266">
        <v>1.510862671673955</v>
      </c>
      <c r="D266">
        <v>0.66420956936764153</v>
      </c>
      <c r="E266">
        <v>0.84665310230631441</v>
      </c>
      <c r="F266">
        <v>0</v>
      </c>
      <c r="G266">
        <v>6.4232296886403001E-3</v>
      </c>
      <c r="H266">
        <v>0</v>
      </c>
      <c r="I266">
        <v>6.4232296886403001E-3</v>
      </c>
      <c r="J266">
        <v>0</v>
      </c>
      <c r="K266">
        <v>1.0251200504614819</v>
      </c>
      <c r="L266">
        <v>0.48755094727856191</v>
      </c>
      <c r="M266">
        <v>0.45066607312017209</v>
      </c>
      <c r="N266">
        <v>0.21433847748577059</v>
      </c>
      <c r="O266">
        <v>0.57445397734130843</v>
      </c>
      <c r="P266">
        <v>0.27321246979279129</v>
      </c>
      <c r="Q266">
        <v>0</v>
      </c>
      <c r="R266">
        <v>0</v>
      </c>
      <c r="S266">
        <v>4.3581601862259E-3</v>
      </c>
      <c r="T266">
        <v>2.0727573577650001E-3</v>
      </c>
      <c r="U266">
        <v>0</v>
      </c>
      <c r="V266">
        <v>0</v>
      </c>
      <c r="W266">
        <v>4.3581601862259E-3</v>
      </c>
      <c r="X266">
        <v>2.0727573577650001E-3</v>
      </c>
      <c r="Y266">
        <v>0</v>
      </c>
      <c r="Z266">
        <v>0</v>
      </c>
      <c r="AA266">
        <v>309.88816247970999</v>
      </c>
      <c r="AB266">
        <v>147.38397429586999</v>
      </c>
      <c r="AC266">
        <f t="shared" si="40"/>
        <v>0.99576663192950521</v>
      </c>
      <c r="AD266">
        <f t="shared" si="41"/>
        <v>0.55800498874073723</v>
      </c>
      <c r="AE266">
        <f t="shared" si="42"/>
        <v>0.56037727199141674</v>
      </c>
      <c r="AF266">
        <f t="shared" si="43"/>
        <v>0.43776164318876853</v>
      </c>
      <c r="AG266">
        <f t="shared" si="44"/>
        <v>0.43962272800858387</v>
      </c>
      <c r="AH266">
        <f t="shared" si="45"/>
        <v>4.2333680704947779E-3</v>
      </c>
      <c r="AI266">
        <f t="shared" si="46"/>
        <v>0</v>
      </c>
      <c r="AJ266">
        <f t="shared" si="47"/>
        <v>1</v>
      </c>
      <c r="AK266">
        <f t="shared" si="48"/>
        <v>4.8962370463632669E-3</v>
      </c>
      <c r="AL266">
        <f t="shared" si="49"/>
        <v>1.0294782106477047E-2</v>
      </c>
    </row>
    <row r="267" spans="1:38" x14ac:dyDescent="0.35">
      <c r="A267" t="s">
        <v>65</v>
      </c>
      <c r="B267" t="s">
        <v>72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1215.4228689920101</v>
      </c>
      <c r="AB267">
        <v>571.50311712429004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f t="shared" si="48"/>
        <v>0</v>
      </c>
      <c r="AL267">
        <f t="shared" si="4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diff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aulis pesenti</cp:lastModifiedBy>
  <dcterms:created xsi:type="dcterms:W3CDTF">2024-05-06T15:35:04Z</dcterms:created>
  <dcterms:modified xsi:type="dcterms:W3CDTF">2024-05-09T17:04:58Z</dcterms:modified>
</cp:coreProperties>
</file>