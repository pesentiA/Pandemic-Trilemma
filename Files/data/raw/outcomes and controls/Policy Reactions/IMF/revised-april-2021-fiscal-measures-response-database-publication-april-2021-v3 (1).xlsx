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26" documentId="14_{1FD4BC74-A394-4C6A-B86D-67D75698D889}" xr6:coauthVersionLast="47" xr6:coauthVersionMax="47" xr10:uidLastSave="{D42C4978-EC89-41A0-853A-9B7B10BCE1C3}"/>
  <bookViews>
    <workbookView xWindow="-30465" yWindow="-21600" windowWidth="26010" windowHeight="20985" xr2:uid="{CDCCEDC6-54F7-4D18-98B0-C1F066D77CAD}"/>
  </bookViews>
  <sheets>
    <sheet name="Database" sheetId="5" r:id="rId1"/>
    <sheet name="Summary.Global" sheetId="6" r:id="rId2"/>
    <sheet name="Figure" sheetId="4" r:id="rId3"/>
  </sheets>
  <definedNames>
    <definedName name="_xlnm._FilterDatabase" localSheetId="0" hidden="1">Database!$A$5:$F$197</definedName>
    <definedName name="_xlnm.Print_Area" localSheetId="0">Database!$C$2:$X$199</definedName>
    <definedName name="_xlnm.Print_Area" localSheetId="2">Figure!#REF!</definedName>
    <definedName name="_xlnm.Print_Area" localSheetId="1">Summary.Global!$B$1:$W$55</definedName>
    <definedName name="_xlnm.Print_Titles" localSheetId="0">Database!$4:$5</definedName>
    <definedName name="_xlnm.Print_Titles" localSheetId="1">Summary.Global!$1:$6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<sst xmlns="http://schemas.openxmlformats.org/spreadsheetml/2006/main" count="1424" uniqueCount="521">
  <si>
    <t>Fiscal Monitor: Database of Country Fiscal Measures in Response to the COVID-19 Pandemic</t>
  </si>
  <si>
    <t>This database summarizes key fiscal measures governments have announced or taken in selected economies in response to the COVID-19 pandemic as of March 17, 2021 for selected economies. It includes COVID-19 related measures since January 2020 and covers measures for implementation in 2020, 2021, and beyond.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</si>
  <si>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</si>
  <si>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</si>
  <si>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</si>
  <si>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</si>
  <si>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</si>
  <si>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</si>
  <si>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</si>
  <si>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</si>
  <si>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</si>
  <si>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</si>
  <si>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</si>
  <si>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</si>
  <si>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</si>
  <si>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</si>
  <si>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</si>
  <si>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</si>
  <si>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</si>
  <si>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</si>
  <si>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</si>
  <si>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</si>
  <si>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</si>
  <si>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Australia</t>
  </si>
  <si>
    <t>General Government</t>
  </si>
  <si>
    <t>LC bn</t>
  </si>
  <si>
    <r>
      <t xml:space="preserve">Additional spending (AUD 16.6 bn):
 </t>
    </r>
    <r>
      <rPr>
        <sz val="10"/>
        <rFont val="Arial"/>
        <family val="2"/>
      </rPr>
      <t>•Australia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</si>
  <si>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t xml:space="preserve">Additional spending (AUD 227 bn): 
</t>
    </r>
    <r>
      <rPr>
        <sz val="10"/>
        <color theme="1"/>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color theme="1"/>
        <rFont val="Arial"/>
        <family val="2"/>
      </rPr>
      <t xml:space="preserve">
Forgone revenue (AUD 74 bn): 
</t>
    </r>
    <r>
      <rPr>
        <sz val="10"/>
        <color theme="1"/>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</si>
  <si>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</si>
  <si>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 In mid-July 2020, this scheme was extended through June 2021, with the maximum loan size raised from A$250,000 to A$1 million and the maximum maturity extended to five years.</t>
  </si>
  <si>
    <t>Parliament approved an advance authorization of A$40 billion for unforeseen events.</t>
  </si>
  <si>
    <t>USD bn</t>
  </si>
  <si>
    <t>% GDP</t>
  </si>
  <si>
    <t>Canada</t>
  </si>
  <si>
    <t>Central Government</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</si>
  <si>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</si>
  <si>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</si>
  <si>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</si>
  <si>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</si>
  <si>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</si>
  <si>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</si>
  <si>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t>European Union</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</si>
  <si>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</si>
  <si>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</si>
  <si>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</si>
  <si>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</si>
  <si>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</si>
  <si>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France</t>
  </si>
  <si>
    <r>
      <rPr>
        <b/>
        <sz val="10"/>
        <color theme="1"/>
        <rFont val="Arial"/>
        <family val="2"/>
      </rPr>
      <t>Additional spending (€18.8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</si>
  <si>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 xml:space="preserve">Additional spending (€125.5 bn): </t>
    </r>
    <r>
      <rPr>
        <sz val="10"/>
        <rFont val="Arial"/>
        <family val="2"/>
      </rPr>
      <t>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Key measures in the recovery plan (mostly from 2021 onward)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t>
    </r>
    <r>
      <rPr>
        <b/>
        <sz val="10"/>
        <rFont val="Arial"/>
        <family val="2"/>
      </rPr>
      <t xml:space="preserve">
Foregone revenue (€29.7 bn): </t>
    </r>
    <r>
      <rPr>
        <sz val="10"/>
        <rFont val="Arial"/>
        <family val="2"/>
      </rPr>
      <t xml:space="preserve">Exoneration of social security contributions for affected firms in selected sectors; carry back for corporate income taxes; permanent cuts in production taxes (recovery plan) for 2021 onward. </t>
    </r>
  </si>
  <si>
    <r>
      <rPr>
        <b/>
        <sz val="10"/>
        <rFont val="Arial"/>
        <family val="2"/>
      </rPr>
      <t xml:space="preserve">Accelerated spending (€17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</si>
  <si>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t>• Direct support to firms of up to €21 bn euros (through direct lending or equity support), mostly in strategic companies.</t>
  </si>
  <si>
    <t xml:space="preserve">• State guarantees for bank loans to companies and credit reinsurance schemes (€315 bn); other guarantees (€12.5 bn).
• The recovery plan includes the creation of a up to €20 bn fund leveraged by public guarantees (€7 bn), to provide quasi-equity support or equity loans to firms. </t>
  </si>
  <si>
    <t>Liquidity support through postponement of social security contributions and tax payment for companies (€33.5 bn).</t>
  </si>
  <si>
    <t>Germany</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</si>
  <si>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</si>
  <si>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</si>
  <si>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</si>
  <si>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</si>
  <si>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</si>
  <si>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t>The government provides options for deferring tax payments and reducing prepayments; while tax penalties will not be levied until the end of this year.</t>
  </si>
  <si>
    <t>Italy</t>
  </si>
  <si>
    <r>
      <rPr>
        <b/>
        <sz val="10"/>
        <color theme="1"/>
        <rFont val="Arial"/>
        <family val="2"/>
      </rPr>
      <t xml:space="preserve">Additional spending (€9.5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</si>
  <si>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(€121 bn): </t>
    </r>
    <r>
      <rPr>
        <sz val="10"/>
        <rFont val="Arial"/>
        <family val="2"/>
      </rPr>
      <t xml:space="preserve">including broadening the wage supplementation fund to provide income support to laid-off workers and the self-employed, vouchers for the payment of babysitters (€70 bn), grants for SME  (€43 bn), education (€4 bn), and other (€4 bn) .
</t>
    </r>
    <r>
      <rPr>
        <b/>
        <sz val="10"/>
        <rFont val="Arial"/>
        <family val="2"/>
      </rPr>
      <t>Forgone revenue (€9 bn)</t>
    </r>
    <r>
      <rPr>
        <sz val="10"/>
        <rFont val="Arial"/>
        <family val="2"/>
      </rPr>
      <t>: corporate income tax credits (€4 bn) and social security contribution reduction (€5 bn).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</si>
  <si>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</si>
  <si>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</si>
  <si>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(Note that the amount reported here is the originally announced ceiling, and the current level of contracted guarantees is about one-fifth of the announced).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</si>
  <si>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</si>
  <si>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t>Japan</t>
  </si>
  <si>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5.1 tn).</t>
    </r>
  </si>
  <si>
    <r>
      <t>Additional spending (JPY 76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6.6 tn (excluding the spending approved on December 11 2020). The measures include:
•  Cash transfers to affected firms (JPY 1.2 tn)
•  Replenishment of the emergency loan program for affected households (JPY 0.5 tn)
•  Enhancement of healthcare capacity (JPY1.7 tn)
•  Procurement of vaccines (JPY 0.8 tn)
•  Top up the Employment Adjustment Subsidy (JPY 0.4 tn)
•  Transfers to the local governments (JPY 1.8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</si>
  <si>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</si>
  <si>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</si>
  <si>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</si>
  <si>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</si>
  <si>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t>Korea</t>
  </si>
  <si>
    <r>
      <rPr>
        <b/>
        <sz val="10"/>
        <rFont val="Arial"/>
        <family val="2"/>
      </rPr>
      <t xml:space="preserve">Additional spending: </t>
    </r>
    <r>
      <rPr>
        <sz val="10"/>
        <rFont val="Arial"/>
        <family val="2"/>
      </rPr>
      <t xml:space="preserve">
•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 Customized Relief Package (December 2020; KRW 0.8 tn) Strengthen disease prevention measures and reinforce medical system and facilities
• 2021 supplementary budget (KRW 4.1 tn) : COVID-19 vaccination,  compensation for medical institutions </t>
    </r>
  </si>
  <si>
    <r>
      <rPr>
        <b/>
        <sz val="10"/>
        <rFont val="Arial"/>
        <family val="2"/>
      </rPr>
      <t>Additional Spending (KRW 73.3 tn):</t>
    </r>
    <r>
      <rPr>
        <sz val="10"/>
        <rFont val="Arial"/>
        <family val="2"/>
      </rPr>
      <t xml:space="preserve">
•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whole households (KRW 14.3 tn). 
• The 3rd supplementary budget includes support for companies, employment, and social safety nets; boost to consumption, investment, and local economies; and Korean new deal for digital and green investment (KRW 23.7 tn).
•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10.9 tn (KRW 8.1 tn support for SME and vulnerable workers, KRW 2.8 tn support for employment)
</t>
    </r>
    <r>
      <rPr>
        <b/>
        <sz val="10"/>
        <rFont val="Arial"/>
        <family val="2"/>
      </rPr>
      <t xml:space="preserve">Forgone revenue (KRW 3.4 tn):
</t>
    </r>
    <r>
      <rPr>
        <sz val="10"/>
        <rFont val="Arial"/>
        <family val="2"/>
      </rPr>
      <t>•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</si>
  <si>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43.4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</si>
  <si>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</si>
  <si>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</si>
  <si>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t>Tax payment deferral covering a broad range of taxes for small businesses and the self-employed in medical, tourism, performance, hospitality, and other affected sectors. Social security contribution payment deferral for households</t>
  </si>
  <si>
    <t>Spain</t>
  </si>
  <si>
    <r>
      <rPr>
        <b/>
        <sz val="10"/>
        <color theme="1"/>
        <rFont val="Arial"/>
        <family val="2"/>
      </rPr>
      <t>Additional spending (€14.1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t>
    </r>
  </si>
  <si>
    <r>
      <rPr>
        <b/>
        <sz val="10"/>
        <rFont val="Arial"/>
        <family val="2"/>
      </rPr>
      <t xml:space="preserve">Additional spending (€68.8 bn):
• </t>
    </r>
    <r>
      <rPr>
        <sz val="10"/>
        <rFont val="Arial"/>
        <family val="2"/>
      </rPr>
      <t xml:space="preserve">Unemployment benefit for workers temporary laid off under the ERTE due to COVID-19, with no requirement for prior minimum contribution or reduction of accumulated entitlement (about €22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€5.4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(€2.1 bn): 
</t>
    </r>
    <r>
      <rPr>
        <sz val="10"/>
        <rFont val="Arial"/>
        <family val="2"/>
      </rPr>
      <t>• Reduction in VAT for surgical disposable masks;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</si>
  <si>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</si>
  <si>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</si>
  <si>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up to €2 billion public guarantees for exporters through the Spanish Export Insurance Credit Company; expansion of the ICO credit lines for the tourism sector (€200 million)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</si>
  <si>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t>• Additional funding for the Instituto de Crédito Official (ICO) credit lines (€10 bn)</t>
  </si>
  <si>
    <t>United Kingdom</t>
  </si>
  <si>
    <r>
      <rPr>
        <b/>
        <sz val="10"/>
        <color theme="1"/>
        <rFont val="Arial"/>
        <family val="2"/>
      </rPr>
      <t>Additional spending (£156.6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</si>
  <si>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Additional spending (£163.1 bn):
</t>
    </r>
    <r>
      <rPr>
        <sz val="10"/>
        <color theme="1"/>
        <rFont val="Arial"/>
        <family val="2"/>
      </rPr>
      <t xml:space="preserve">• Coronavirus Job Retention Scheme to subsidize furloughed employees' wages and firms' social security contributions (initially for 3 months and extended several times until September 2021); 
• Income support for the self-employed (initially for 3 months, but extended too until September 2021);                                                                                                               • Paid sick leave for self-isolating individuals and compensation for small firms needing to close for over 2 weeks, and support for low-income people in need to self-isolate.  
• Direct grants for small firms in the most-affected (retail and hospitality) sectors (Restart program); 
• Support for the vulnerable by expanding the Universal Credit and Working Tax Credit schemes until September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27,000 job coaches.
• Additional transfers to devolved administrations.
</t>
    </r>
    <r>
      <rPr>
        <b/>
        <sz val="10"/>
        <color theme="1"/>
        <rFont val="Arial"/>
        <family val="2"/>
      </rPr>
      <t xml:space="preserve">Forgone revenue (£21.3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</si>
  <si>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(£7.1 bn):</t>
    </r>
    <r>
      <rPr>
        <sz val="10"/>
        <color theme="1"/>
        <rFont val="Arial"/>
        <family val="2"/>
      </rPr>
      <t xml:space="preserve"> 
• Deferral of VAT for the second quarter of 2020 until June 21; 
• Deferral of income tax (self-assessment) of the self-employed until the end of January 2021.</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</si>
  <si>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</si>
  <si>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</si>
  <si>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</si>
  <si>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United States</t>
  </si>
  <si>
    <r>
      <t xml:space="preserve">Additional spending ($625.4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</si>
  <si>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r>
      <rPr>
        <b/>
        <sz val="10"/>
        <color theme="1"/>
        <rFont val="Arial"/>
        <family val="2"/>
      </rPr>
      <t xml:space="preserve">Additional spending ($4259.628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</si>
  <si>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</si>
  <si>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</si>
  <si>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</si>
  <si>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</si>
  <si>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</si>
  <si>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t>Argentina</t>
  </si>
  <si>
    <r>
      <t>Additional spending (AR $69.4 bn):</t>
    </r>
    <r>
      <rPr>
        <sz val="10"/>
        <rFont val="Arial"/>
        <family val="2"/>
      </rPr>
      <t xml:space="preserve">
• Budget increase for Health Ministry to improve virus diagnostics, purchase vaccines, hospital equipment, and build temporary emergency treatment centers.
• Budget transfers to specific hospitals.
• Monthly bonuses of AR $5K for healthcare workers (April-July 2020).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$35.2 bn):</t>
    </r>
    <r>
      <rPr>
        <sz val="10"/>
        <rFont val="Arial"/>
        <family val="2"/>
      </rPr>
      <t xml:space="preserve">
• Exemption from import duties and statistical tax for medical supplies (April-August 2020).
• Tax aliquots on credits and debits in bank accounts and other operations of 2.5 and 5 percent for health service operations (April 2020 - March 2021).
• 95 percent reduction in the aliquot of employer social security contributions for a period of 90 days for health workers (April 2020 - March 2021).
• Special tax compensation scheme for those who make sales of essential goods, including a VAT refund for milk sales.</t>
    </r>
  </si>
  <si>
    <r>
      <rPr>
        <b/>
        <sz val="10"/>
        <rFont val="Arial"/>
        <family val="2"/>
      </rPr>
      <t>Additional spending (AR $902.4 bn):</t>
    </r>
    <r>
      <rPr>
        <sz val="10"/>
        <rFont val="Arial"/>
        <family val="2"/>
      </rPr>
      <t xml:space="preserve">
• One-off additional allowances in 2020 for pensioners, beneficiaries of child, pregnancy, and other social allowances, as well as food stamps. 
• Emergency family allowance for monotributistas, informal workers, and unemployed - three payments in 2020.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t>
    </r>
    <r>
      <rPr>
        <b/>
        <sz val="10"/>
        <rFont val="Arial"/>
        <family val="2"/>
      </rPr>
      <t>Forgone revenue (AR $67.1 bn):</t>
    </r>
    <r>
      <rPr>
        <sz val="10"/>
        <rFont val="Arial"/>
        <family val="2"/>
      </rPr>
      <t xml:space="preserve">
• Reduction in employers' contributions to Social Security -most affected sectors granted 95% reduction in employers’ contributions to the pension system (April-May 2020).
• Special benefits (tax breaks) for police and security at the forefront of COVID response. </t>
    </r>
  </si>
  <si>
    <r>
      <rPr>
        <b/>
        <sz val="10"/>
        <rFont val="Arial"/>
        <family val="2"/>
      </rPr>
      <t>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</si>
  <si>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</si>
  <si>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</si>
  <si>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t>Brazil</t>
  </si>
  <si>
    <r>
      <t>Additional spending (BRL81.6 bn):</t>
    </r>
    <r>
      <rPr>
        <sz val="10"/>
        <color theme="1"/>
        <rFont val="Arial"/>
        <family val="2"/>
      </rPr>
      <t xml:space="preserve"> Federal Government spending (BRL71.6 bn), including BRL 22.3 bn for vaccination purposes,</t>
    </r>
    <r>
      <rPr>
        <b/>
        <sz val="10"/>
        <color theme="1"/>
        <rFont val="Arial"/>
        <family val="2"/>
      </rPr>
      <t xml:space="preserve"> </t>
    </r>
    <r>
      <rPr>
        <sz val="10"/>
        <color theme="1"/>
        <rFont val="Arial"/>
        <family val="2"/>
      </rPr>
      <t xml:space="preserve">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t>
    </r>
  </si>
  <si>
    <r>
      <rPr>
        <b/>
        <sz val="10"/>
        <color theme="1"/>
        <rFont val="Arial"/>
        <family val="2"/>
      </rPr>
      <t xml:space="preserve">Additional spending (BRL 548.7 bn):
</t>
    </r>
    <r>
      <rPr>
        <sz val="10"/>
        <color theme="1"/>
        <rFont val="Arial"/>
        <family val="2"/>
      </rPr>
      <t xml:space="preserve">• Targeted assistance for the elderly, poor, and unemployed, including (i) expanding the cash transfer program 'Bolsa Família' to accommodate 1.2 million new beneficiaries; (ii) “Covid-19” cash transfer ("Emergency Aid) for informal workers and  low-income households, of BRL600 per month in April-August and BRL 300 per month in September-December 2020 and BRL 250 per month in April - July 2021;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t>
    </r>
    <r>
      <rPr>
        <b/>
        <sz val="10"/>
        <color theme="1"/>
        <rFont val="Arial"/>
        <family val="2"/>
      </rPr>
      <t xml:space="preserve">
Forgone revenue (BRL 19.1 bn): 
</t>
    </r>
    <r>
      <rPr>
        <sz val="10"/>
        <color theme="1"/>
        <rFont val="Arial"/>
        <family val="2"/>
      </rPr>
      <t>• Elimination of the financial transactions tax (during 9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</si>
  <si>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</si>
  <si>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</si>
  <si>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</si>
  <si>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</si>
  <si>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</si>
  <si>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t>China</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</si>
  <si>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</si>
  <si>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</si>
  <si>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</si>
  <si>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</si>
  <si>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</si>
  <si>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</si>
  <si>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</si>
  <si>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India</t>
  </si>
  <si>
    <r>
      <rPr>
        <b/>
        <sz val="10"/>
        <color theme="1"/>
        <rFont val="Arial"/>
        <family val="2"/>
      </rPr>
      <t>Additional spending (Rs 710 bn):</t>
    </r>
    <r>
      <rPr>
        <sz val="10"/>
        <color theme="1"/>
        <rFont val="Arial"/>
        <family val="2"/>
      </rPr>
      <t xml:space="preserve">
• Additional spending on health infrastructure, including for COVID-19 testing facilities, personal protective equipment, isolation beds, ICU beds, ventilators and medical screening.
• The budget for FY2020/21 released on February 1, 2021 provisioned 350 billion Rs for the country's vaccination program with the possibility of expanding the envelope.</t>
    </r>
  </si>
  <si>
    <r>
      <rPr>
        <b/>
        <sz val="10"/>
        <rFont val="Arial"/>
        <family val="2"/>
      </rPr>
      <t xml:space="preserve">Additional spending (Rs 5806.78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</si>
  <si>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</si>
  <si>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</si>
  <si>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</si>
  <si>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</si>
  <si>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t>Indonesia</t>
  </si>
  <si>
    <r>
      <rPr>
        <b/>
        <sz val="10"/>
        <color theme="1"/>
        <rFont val="Arial"/>
        <family val="2"/>
      </rPr>
      <t>Additional spending (IDR 280.1 tn):</t>
    </r>
    <r>
      <rPr>
        <sz val="10"/>
        <color theme="1"/>
        <rFont val="Arial"/>
        <family val="2"/>
      </rPr>
      <t xml:space="preserve">
•The approved budget for 2020 is IDR 145.3 tn including social protection, cash transfer etc
•The approved budget for 2021 is IDR 134.8 tn . Several revisions have been announced by the government but details remain to be known.
</t>
    </r>
    <r>
      <rPr>
        <b/>
        <sz val="10"/>
        <color theme="1"/>
        <rFont val="Arial"/>
        <family val="2"/>
      </rPr>
      <t>Forgone revenue (IDR 143.4 tn):</t>
    </r>
    <r>
      <rPr>
        <sz val="10"/>
        <color theme="1"/>
        <rFont val="Arial"/>
        <family val="2"/>
      </rPr>
      <t xml:space="preserve"> 
• For 2020, approved tax incentives amounted to IDR 123 tn.
• For 2021, the approved budget is IDR 20.4 tn
•Packages include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</si>
  <si>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</si>
  <si>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</si>
  <si>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</si>
  <si>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</si>
  <si>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Mexico</t>
  </si>
  <si>
    <t>Non-financial Public Sector</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</si>
  <si>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</si>
  <si>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</si>
  <si>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</si>
  <si>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 Personal loans granted by the Institute of the National Fund for the Consumption of Workers (Fonacot).
• Special Program to Reactivate the Economy against COVID by Housing Fund of the Institute for Social Security and Services(Fovissste).</t>
  </si>
  <si>
    <t>• Development bank guarantees program</t>
  </si>
  <si>
    <t>• Development banks to provide loans, particularly to small- and medium-scale enterprises.</t>
  </si>
  <si>
    <t>At the state-level, several state governments have announced support, including deferral of tax payments or tax holidays.</t>
  </si>
  <si>
    <t>Russia</t>
  </si>
  <si>
    <r>
      <rPr>
        <b/>
        <sz val="10"/>
        <color theme="1"/>
        <rFont val="Arial"/>
        <family val="2"/>
      </rPr>
      <t>Additional spending</t>
    </r>
    <r>
      <rPr>
        <sz val="10"/>
        <color theme="1"/>
        <rFont val="Arial"/>
        <family val="2"/>
      </rPr>
      <t xml:space="preserve">:
• RUB 224 billion – new infection hospitals, additional beds and re-equipment of existing beds, special ambulances and equipment, medicine
• RUB 346 billion – bonus fund for medical staff, R&amp;D in diagnostics and prevention
• RUB 32 billion – other
• RUB 141 billion expected in 2021.
• 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</si>
  <si>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</si>
  <si>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</si>
  <si>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</si>
  <si>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</si>
  <si>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t>Saudi Arabia</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</si>
  <si>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</si>
  <si>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</si>
  <si>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</si>
  <si>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</si>
  <si>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t>South Africa</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</si>
  <si>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</si>
  <si>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227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</si>
  <si>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</si>
  <si>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(with a cap of R100 million per loan) pay operating expenses including salaries, suppliers etc.</t>
  </si>
  <si>
    <t>Programs from the industrial development corporation to support businesses.</t>
  </si>
  <si>
    <t>Turkey</t>
  </si>
  <si>
    <r>
      <rPr>
        <b/>
        <sz val="10"/>
        <rFont val="Arial"/>
        <family val="2"/>
      </rPr>
      <t>Additional spending:</t>
    </r>
    <r>
      <rPr>
        <sz val="10"/>
        <rFont val="Arial"/>
        <family val="2"/>
      </rPr>
      <t xml:space="preserve"> including medicine, vaccine and medical equipment spending (TL 4.3 bn), protective equipment and other needs of University Hospitals and Institutions (TL 1.3 bn from budget), SUT expenditure (TL 1.6 bn from budget), performance pay for medics (TL 9.6 bn).</t>
    </r>
  </si>
  <si>
    <r>
      <rPr>
        <b/>
        <sz val="10"/>
        <rFont val="Arial"/>
        <family val="2"/>
      </rPr>
      <t xml:space="preserve">Additional spending: 
</t>
    </r>
    <r>
      <rPr>
        <sz val="10"/>
        <rFont val="Arial"/>
        <family val="2"/>
      </rPr>
      <t>• Cash aid and raised minimum pension (TL 7.5 bn);
• Unemployment benefits (TL 5.1 bn);
• Short-time work allowance (TL 27.7 bn); 
• Cash aid to employees (TL 8.3 bn).</t>
    </r>
    <r>
      <rPr>
        <b/>
        <sz val="10"/>
        <rFont val="Arial"/>
        <family val="2"/>
      </rPr>
      <t xml:space="preserve">
Forgone revenue: 
</t>
    </r>
    <r>
      <rPr>
        <sz val="10"/>
        <rFont val="Arial"/>
        <family val="2"/>
      </rPr>
      <t xml:space="preserve">• VAT rate on food and beverage, cinema, theatre, museum and accommodation services was reduced from 8% to 1% until 31 December, 2020. It is prolonged for five months for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 Withholding tax on workplace rent was reduced from 20% to 10% until 31 December, 2020. It is prolonged for five months for 2021.
• VAT rate on passenger transportation by air was reduced to 1% from 1 April, 2020 to 30 June, 2020.
• VAT rate on education and training services between 1 September, 2020 and 30 June, 2021 was reduced from 8% to 1% temporarily. 
</t>
    </r>
    <r>
      <rPr>
        <sz val="10"/>
        <rFont val="Symbol"/>
        <family val="1"/>
        <charset val="2"/>
      </rPr>
      <t>·</t>
    </r>
    <r>
      <rPr>
        <sz val="7"/>
        <rFont val="Arial"/>
        <family val="2"/>
      </rPr>
      <t xml:space="preserve"> </t>
    </r>
    <r>
      <rPr>
        <sz val="10"/>
        <rFont val="Arial"/>
        <family val="2"/>
      </rPr>
      <t xml:space="preserve">Support to tradespeople (TL 2.1 bn).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</si>
  <si>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</si>
  <si>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</si>
  <si>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Treasury-backed credit guarantee system.  
• Credit guarantee fund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</si>
  <si>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                      • Farmers’ loans that will become due in May and June have been postponed by six months.</t>
  </si>
  <si>
    <t>Belgium</t>
  </si>
  <si>
    <r>
      <t>Additional spending (€8.4 bn):</t>
    </r>
    <r>
      <rPr>
        <sz val="10"/>
        <color theme="1"/>
        <rFont val="Arial"/>
        <family val="2"/>
      </rPr>
      <t xml:space="preserve"> on medical equipment, tests, administration etc. Measures include advance payments to hospitals, a structural increase in the budget for mental health care and the federal health sector, and an additional one-off payment to federal health workers in 2020.</t>
    </r>
  </si>
  <si>
    <r>
      <t xml:space="preserve">Additional spending (€23.1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Key temporary measures have been extended until end-March or end-June 2021, with eligibility widened and benefits increased for some of them to support firms and households through the second lockdown.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(€4.6 bn):  
</t>
    </r>
    <r>
      <rPr>
        <sz val="10"/>
        <rFont val="Arial"/>
        <family val="2"/>
      </rPr>
      <t>•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</si>
  <si>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(€13.6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</si>
  <si>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</si>
  <si>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</si>
  <si>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</si>
  <si>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</si>
  <si>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
• Introduction of extraordinary accelerated depreciation on assets (in the 1st and 2nd depreciation classes), acquired in 2020 and 2021 (CZK 11.1bn).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</si>
  <si>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</si>
  <si>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</si>
  <si>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</si>
  <si>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t>Denmark</t>
  </si>
  <si>
    <r>
      <rPr>
        <b/>
        <sz val="10"/>
        <color theme="1"/>
        <rFont val="Arial"/>
        <family val="2"/>
      </rPr>
      <t>Additional spending:</t>
    </r>
    <r>
      <rPr>
        <sz val="10"/>
        <color theme="1"/>
        <rFont val="Arial"/>
        <family val="2"/>
      </rPr>
      <t xml:space="preserve"> Additional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</si>
  <si>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Uptake: DKK 0.23 bn)
• Temporary salary compensation between 75% and 90% of workers salary (Announced: DKK 14.7 billion Uptake: DKK 13 billion); Temporary compensation scheme for self-employed and freelancers (Announced: DKK 14.1 billion Uptake: DKK 6.2 bn)
• Sickness benefit reimbursement (Announced: DKK 2.2 bn) and increased access to unemployment benefits and sickness benefits (Announced: DKK 2.6 bn)
• Temporary compensation scheme for companies’ fixed costs (Announced: DKK 65.3 billion, Uptake: DKK 7.9 bn). 
• Boosting liquidity and facilitating the advancement and completion of various construction projects in the Danish municipalities and regions (Announced: DKK 2.5 billion).
• Increase in deductions for for summerhouse owners. (Announced: DKK 3.3 bn)
• Increase in corporate deductions for R&amp;D (Announced DKK 3.6 bn).
• One-time grant of DKK 1000 to low-income (Announced DKK 2.2 bn) .
• Other support measures to businesses (Announced DKK 0.33 bn)
• Other initiatives (about DKK 3.5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</si>
  <si>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(Announced: DKK 90 billion + DKK 74 billion)
The payment deadline for VAT for businesses that pay VAT on a monthly basis is postponed (Announced: DKK 35 billion + DKK 32.5 billion)
• Small enterprises’ VAT period will be extended from 6 months to 12 months in 2020, while medium-sized enterprises’ VAT periods will be extended from 3 months to 6 months for the first half of 2020 (Announced: DKK 35 billion + DKK 18 billion)
• Temporary postponement of payment deadlines for B-taxes (provisional tax paid by self-employed businessmen) (Announced: DKK 5 billion)
• Temporary postponement of payment deadlines for payroll tax for certain businesses. (Announced: DKK 0.275 billion)
•Further extension of payment deadlines for a-tax and labor market contributions (Announced: DKK 28 billion)</t>
    </r>
  </si>
  <si>
    <t>• Increase the Danish Students’ Loan Scheme (DKK 1.5 billion). 
• Interest free loans based on VAT payments and payroll tax payments (DKK 35 billion + DKK 28 bn). 
• Loans and equity to start-ups and high growth enterprises (Announced: less than DKK 4.5 billion Uptake: DKK 1.583)
• SME's are able to apply for interest free loans based on the A-taxes and labour market contribution due in January, March  2021. Deferral of payment deadlines  for such loans to Feb 2022 (DKK 7 bn + DKK 36.5 bn + DKK 27 bn)
• Enterprises are able to apply for interest free loans based on the A-taxes and labour market contribution due in February and March 2021. Deferral of payment deadlines for such loans to February 2022 (DKK 78 bn)
• Due to the consequences of COVID19 SAS AB has completed a recapitalisation of the company to which the Danish State (among others) has contributed (DKK 3.8 bn)</t>
  </si>
  <si>
    <t xml:space="preserve">• The government will 1) guarantee 70% of the value of new loans to large companies that can demonstrate a fall in turnover over more than 30 percent and 2) guarantee 70% of the value of any new bank loans given to SMEs that have seen operating profits fall by more than 30%. (Announced DKK 50.0 bn Uptake: DKK 7.4 bn) 
• Two new liquidity guarantee schemes for companies with export related activities (revenue from export should amount to a minimum of 10% of total revenue) have been implemented through Denmark's Export Credit Agency (EKF). Under the SME scheme, the government guarantees 90% of loans to SME's while the guarantee under the large company scheme covers 80% of the loan. (Announced DKK 7.35 bn)
• Credit guarantee for Scandinavian Airlines (SAS). (Announced:  DKK 1 bn)
• EKF (Denmark's Export Credit Agency) has established a scheme in which they reinsure the activities of trade credit insurance companies (Announced DKK 30 bn) 
• Strengthening the Travel Guarantee Fund. (Announced DKK 3.4 bn)
</t>
  </si>
  <si>
    <t>Another 2 percent of GDP in countercyclical support is expected to come through the stronger automatic stabilizers—including from weaker tax receipts and higher social benefits.</t>
  </si>
  <si>
    <t>Finland</t>
  </si>
  <si>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</si>
  <si>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</si>
  <si>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</si>
  <si>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The Netherlands</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</si>
  <si>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 research.</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</si>
  <si>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of which 1.5 billion of public investment, was further expanded by 3.7 billion on December 9 and 7.6 billion on January 6.</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</si>
  <si>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</si>
  <si>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</si>
  <si>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</si>
  <si>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New Zealand</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</si>
  <si>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</si>
  <si>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transport projects (NZ$ 600 mn) and government R&amp;D (NZ$ 196 mn); targeted training and apprenticeship fund (NZ$ 320mn); and Flexi-wage subsidies (NZ$ 311mn).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</si>
  <si>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(NZ$ 1.6 bn).
• NZ$150 million short-term R&amp;D scheme to support private sector R&amp;D investment.</t>
  </si>
  <si>
    <t>• A loan guarantee scheme for firms with a turnover of between NZ$ 250 thousand and NZ$ 80 mn per annum, with the Government carrying 80% of the credit risk. The loans will be limited to NZ$ 5 mn for a maximum of five years and expected to be provided by the banks at competitive, transparent rates.</t>
  </si>
  <si>
    <t>Norway</t>
  </si>
  <si>
    <r>
      <rPr>
        <b/>
        <sz val="10"/>
        <color theme="1"/>
        <rFont val="Arial"/>
        <family val="2"/>
      </rPr>
      <t>Additional spending:</t>
    </r>
    <r>
      <rPr>
        <sz val="10"/>
        <color theme="1"/>
        <rFont val="Arial"/>
        <family val="2"/>
      </rPr>
      <t xml:space="preserve"> 
• Strengthening the financial situation in the hospital trust through increased appropriations (NOK 6 bn).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</si>
  <si>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 Temporary amendments to the petroleum tax system to improve liquidity in the sector;
• Temporary cut of employers’ social insurance contributions.</t>
    </r>
  </si>
  <si>
    <t>• Deferral of various tax payments.</t>
  </si>
  <si>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</si>
  <si>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</si>
  <si>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Automatic stabilizers, contingency lines, advance payments and tax deferrals, international aid; Deferral of various tax payments.</t>
  </si>
  <si>
    <t>% GDP 2/</t>
  </si>
  <si>
    <t>Portugal</t>
  </si>
  <si>
    <r>
      <rPr>
        <b/>
        <sz val="10"/>
        <color theme="1"/>
        <rFont val="Arial"/>
        <family val="2"/>
      </rPr>
      <t>Additional spending (€1.9 bn):</t>
    </r>
    <r>
      <rPr>
        <sz val="10"/>
        <color theme="1"/>
        <rFont val="Arial"/>
        <family val="2"/>
      </rPr>
      <t xml:space="preserve">
• Medicines, personal protective equipment, complementary means of diagnosis and therapy; 
• Personnel expenses, incl. extraordinary health insurance subsidies for health professionals;
• Profilactic isolation;
• Investment to expand intensive care services of the National Health Service.</t>
    </r>
  </si>
  <si>
    <r>
      <rPr>
        <b/>
        <sz val="10"/>
        <color theme="1"/>
        <rFont val="Arial"/>
        <family val="2"/>
      </rPr>
      <t>Additional spending (€8.1 bn):</t>
    </r>
    <r>
      <rPr>
        <sz val="10"/>
        <color theme="1"/>
        <rFont val="Arial"/>
        <family val="2"/>
      </rPr>
      <t xml:space="preserve">
• Support measures for employment and resumption of activity (€3.0 bn);
• Non-repayble subsidies to businesses affected by the pandemic, program Apoiar.pt (€1.1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€0.5 bn in 2021);
</t>
    </r>
    <r>
      <rPr>
        <b/>
        <sz val="10"/>
        <color theme="1"/>
        <rFont val="Arial"/>
        <family val="2"/>
      </rPr>
      <t>Forgone revenue (€1.0 bn):</t>
    </r>
    <r>
      <rPr>
        <sz val="10"/>
        <color theme="1"/>
        <rFont val="Arial"/>
        <family val="2"/>
      </rPr>
      <t xml:space="preserve">
• Exemption from payment of the Single Social Fee (€0.5 bn);
• Lowering of reduced electricity VAT rate (€0.2 bn);
• Temporary waiver of VAT on purchases of certain medical material;
• VAT refund program for catering, accommodation and culture (€0.2);
• Other tax relief measures, such as road toll reductions,property rents, SME taxes (€0.1).</t>
    </r>
  </si>
  <si>
    <r>
      <rPr>
        <b/>
        <sz val="10"/>
        <color theme="1"/>
        <rFont val="Arial"/>
        <family val="2"/>
      </rPr>
      <t>Deferred revenue</t>
    </r>
    <r>
      <rPr>
        <sz val="10"/>
        <color theme="1"/>
        <rFont val="Arial"/>
        <family val="2"/>
      </rPr>
      <t xml:space="preserve">:  At the end of 2020 (€0.9bn): suspension of installment payments on CIT account; suspension of payment of installment plans and contributory execution processes. PIT withholding rate reduction for 2021 (€0.2bn).
</t>
    </r>
  </si>
  <si>
    <t>A maximum of €13 billion authorized under the EU Temporary State Aid Framework. 
Public guarantee programs rolled out in 2020 include:
• Credit lines rolled out in April 2020 targeting micro, SMEs and mid-cap companies (€6.2bn), including: restaurants (€.6 bn); travel agencies (€0.2M); tourism (€0.9M); and industry (€4.5bn).
• Capitalizar credit line in May 2020 (€0.4bn) targeting working capital needs and open to large companies;
• Credit line for treasury needs of micro companies in the tourism sector (€0.06 bn);
• Credit insurances guaranteed on export operations: metallurgy and construction (€0.4 bn); short-term export (€0.3 bn);
• Credit line targeting companies in Madeira region (€0.1 bn);
• Creidt line fo SMEs in November 2020 (€0.8bn), of which 20% is non-repayable;
Introduced for the first half of 2021:
• New and expanded credit lines targeting SMEs (€0.750 bn);
• Industry and tourism exporting companies (€1.050 bn), with loans up to €4,000 per worker, of which 20 percent can be converted into a non-refundable subsidy if jobs are maintained;
• Credit line for event organizers (€0.050 bn), 20% non-refundable;
Credit line for large companies in the sectors most affected (€0.750 bn);
• Travel agencies and tour operators, including SMEs (€0.4 bn).</t>
  </si>
  <si>
    <t>Singapore</t>
  </si>
  <si>
    <r>
      <rPr>
        <b/>
        <sz val="10"/>
        <color theme="1"/>
        <rFont val="Arial"/>
        <family val="2"/>
      </rPr>
      <t>Additional spending</t>
    </r>
    <r>
      <rPr>
        <sz val="10"/>
        <color theme="1"/>
        <rFont val="Arial"/>
        <family val="2"/>
      </rPr>
      <t>: for containment measures.</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</si>
  <si>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support to cover rental costs, an enhancement of financing schemes, and additional support for the self-employed and industries most directly affected..
• Other measures: e.g. support to R&amp;D investment, a national stockpile of health supplies, and a program on food resilience.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</si>
  <si>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bn in loan capital was set aside to help businesses facing cash flow challenges with loan obligations and insurance premium payments.</t>
  </si>
  <si>
    <t>Sweden</t>
  </si>
  <si>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wasl also to be expanded with 1000 seats during 2020, focusing on health and social care.
• Increased funding to enable the National Board of Health and Welfare's credit framework to purchases personal protective equipment and intensive care equipment.
• Removing income ceiling for student aid to enable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</si>
  <si>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</si>
  <si>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</si>
  <si>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</si>
  <si>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</si>
  <si>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Switzerland</t>
  </si>
  <si>
    <r>
      <rPr>
        <b/>
        <sz val="10"/>
        <rFont val="Arial"/>
        <family val="2"/>
      </rPr>
      <t>Additional spending</t>
    </r>
    <r>
      <rPr>
        <sz val="10"/>
        <rFont val="Arial"/>
        <family val="2"/>
      </rPr>
      <t>: Includes medical goods including vaccines (CHF2.425 billion), Covid-19 tests (CHF1.818 billion), additional spending on medication, health protection and prevention, and by Federal Department of Health (CHF0.208 billion)</t>
    </r>
  </si>
  <si>
    <r>
      <rPr>
        <b/>
        <sz val="10"/>
        <rFont val="Arial"/>
        <family val="2"/>
      </rPr>
      <t>Additional spending</t>
    </r>
    <r>
      <rPr>
        <sz val="10"/>
        <rFont val="Arial"/>
        <family val="2"/>
      </rPr>
      <t>: Benefits COVID income replacement directly and indirectly affected (CHF 8.44 bn); financing for short term work program and the unemployment fund (CHF 26.2 bn), COVID bridging loan losses (CHF 2 bn); support for transport sector (CHF 0.735 bn); support for sports and cultural sectors (CHF 0.648 bn); international support and development aid incl. contribution to IMF (CHF 0.143 bn); support to cantonal hardship programs (CHF 8.2 billion); and other measures.</t>
    </r>
  </si>
  <si>
    <t>• Loan support to sports clubs (CHF 400 mn)
• Financial support to air traffic control company Skyguide (CHF 400 mn)
• Loan to ICRC (CHF 200 mn)</t>
  </si>
  <si>
    <t>• Guarantees for Covid-19 bridge loans for firms with annual turnover up to CHF 500 mn (CHF 40 bn)
• Guarantees for startups (CHF 0.1 bn)
• Guarantees for airlines (CHF 1.275 bn)
• Guarantees for flight-related business (CHF 0.6 bn)
• Guarantees for SNB loan to IMF (CHF 0.8 bn)</t>
  </si>
  <si>
    <t>Albania</t>
  </si>
  <si>
    <t>Additional spending:           
· Additional health equipment (ventilators)
· Personal Protective Equipment
· Bonuses for front line health-workers dealing with Covid-19
· Setting up a new quarantine center 
· COVID-19 treatment (Lk7.2bn for 2021)
· Wage increases for doctors and nurses (Lk4.5bn for 2021)</t>
  </si>
  <si>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 A temporary increase in the payments for social assistance and unemployment benefits (Lk 2.5 bn for 2021).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</si>
  <si>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</si>
  <si>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</si>
  <si>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Bulgaria</t>
  </si>
  <si>
    <r>
      <rPr>
        <b/>
        <sz val="10"/>
        <color theme="1"/>
        <rFont val="Arial"/>
        <family val="2"/>
      </rPr>
      <t>Additional spending (1.56 bn):</t>
    </r>
    <r>
      <rPr>
        <sz val="10"/>
        <color theme="1"/>
        <rFont val="Arial"/>
        <family val="2"/>
      </rPr>
      <t xml:space="preserve">
• Purchase of vaccines and medicines - BGN 106 mn;
• Support of personnel on the frontline of the fight with COVID-19 - BGN 192 mn
• Additional financing of medical activities - BGN 748 mn
• Provision of PPA and other equipment to the medical establishments - BGN 130 mn
• Subsidies and capital transfers to medical establishments - BGN 70 mn
• Provision of PPA and other equipment to the state administration - BGN 35 mn;
• Health expenditures in education - BGN 38 mn
• Additional remuneration in healthcare - BGN 237 mn 
</t>
    </r>
    <r>
      <rPr>
        <b/>
        <sz val="10"/>
        <color theme="1"/>
        <rFont val="Arial"/>
        <family val="2"/>
      </rPr>
      <t>Foregone Revenue (0.003 bn):</t>
    </r>
    <r>
      <rPr>
        <sz val="10"/>
        <color theme="1"/>
        <rFont val="Arial"/>
        <family val="2"/>
      </rPr>
      <t xml:space="preserve">
• Exemption from VAT and customs duties of import of key medical supplies - BGN 3 mn</t>
    </r>
  </si>
  <si>
    <r>
      <t>Additional spending (BGN 3.224 bn):</t>
    </r>
    <r>
      <rPr>
        <sz val="10"/>
        <rFont val="Arial"/>
        <family val="2"/>
      </rPr>
      <t xml:space="preserve"> 
• Pensioners support - bonuses, minimum pension increase - BGN 1322 mn;
• Parental support - BGN 180 mn;
• Active labor market policies - BGN 14 mn;
• Tourism vouchers of BGN 210 for the people of the frontline - BGN 10 mn;
• Increased unemployment benefits and other social support - BGN 344 mn;
• 60/40 employment subsidy scheme - BGN 1019 mn;
• Support for artists, who have been hit by the lockdown - BGN 5 mn;
• Tourism support - BGN 47 mn;
• Agricultural producers support - BGN 85 mn;
• Expenditures for remote education - BGN 30 mn
• National co-financing of EU-funded measures - BGN 168 mn.
</t>
    </r>
    <r>
      <rPr>
        <b/>
        <sz val="10"/>
        <rFont val="Arial"/>
        <family val="2"/>
      </rPr>
      <t xml:space="preserve">Forgone revenue (BGN 0.486 bn):  </t>
    </r>
    <r>
      <rPr>
        <sz val="10"/>
        <rFont val="Arial"/>
        <family val="2"/>
      </rPr>
      <t xml:space="preserve">
• Tax relief for households with children with disabilities - BGN 143 mn;
• Reduced VAT rate of 9% for restaurant services, books, baby food, wine, beer, tour operators and tourist trips, gyms and sports facilities and food delivery until end-2021 - BGN 343 mn.</t>
    </r>
  </si>
  <si>
    <r>
      <rPr>
        <b/>
        <sz val="10"/>
        <color theme="1"/>
        <rFont val="Arial"/>
        <family val="2"/>
      </rPr>
      <t>Deferred revenue</t>
    </r>
    <r>
      <rPr>
        <sz val="10"/>
        <color theme="1"/>
        <rFont val="Arial"/>
        <family val="2"/>
      </rPr>
      <t xml:space="preserve">: Deferral of corporate tax payments till June 30 2020. </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</si>
  <si>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</si>
  <si>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</si>
  <si>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</si>
  <si>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t>Chile</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</si>
  <si>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</si>
  <si>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</si>
  <si>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</si>
  <si>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</si>
  <si>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</si>
  <si>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Colombia</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</si>
  <si>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</si>
  <si>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</si>
  <si>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</si>
  <si>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</si>
  <si>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</si>
  <si>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t>Egypt</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</si>
  <si>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</si>
  <si>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                                                                                                                                                                                                                                              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</si>
  <si>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</si>
  <si>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</si>
  <si>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</si>
  <si>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t>Georgia</t>
  </si>
  <si>
    <r>
      <t xml:space="preserve">Additional spending:  </t>
    </r>
    <r>
      <rPr>
        <sz val="10"/>
        <color theme="1"/>
        <rFont val="Arial"/>
        <family val="2"/>
      </rPr>
      <t xml:space="preserve">Support to public clinics, provision of lab tests; treatment of patients; medical supply and equipment acquisition; acquisition of vaccines.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</si>
  <si>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in 2020 and again in 2021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and in 2021: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</si>
  <si>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</si>
  <si>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 This measure was extended to restaurants and sports facilities.</t>
  </si>
  <si>
    <t>Credit guarantee scheme to support SMEs and micro enterprises.</t>
  </si>
  <si>
    <t>Kazakhstan</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</si>
  <si>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</si>
  <si>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</si>
  <si>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</si>
  <si>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</si>
  <si>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</si>
  <si>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t>
  </si>
  <si>
    <t>Mauritius</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</si>
  <si>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</si>
  <si>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IImplementation of a Wage Support Scheme providing wage subsidy to employers, and Self-Employed Assistance Scheme providing income support to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</si>
  <si>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of Mauritius Ltd provides Rs10.2 bill (2.3 percent of GDP) in credit to distressed enterprises and cooperatives.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</si>
  <si>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</si>
  <si>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t>North Macedonia</t>
  </si>
  <si>
    <r>
      <rPr>
        <b/>
        <sz val="10"/>
        <color theme="1"/>
        <rFont val="Arial"/>
        <family val="2"/>
      </rPr>
      <t>Non-Spending Measures:</t>
    </r>
    <r>
      <rPr>
        <sz val="10"/>
        <color theme="1"/>
        <rFont val="Arial"/>
        <family val="2"/>
      </rPr>
      <t xml:space="preserve">
Abolished the import duty on medical supplies</t>
    </r>
  </si>
  <si>
    <r>
      <rPr>
        <b/>
        <sz val="10"/>
        <color theme="1"/>
        <rFont val="Arial"/>
        <family val="2"/>
      </rPr>
      <t>Spending Measures:</t>
    </r>
    <r>
      <rPr>
        <sz val="10"/>
        <color theme="1"/>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color theme="1"/>
        <rFont val="Arial"/>
        <family val="2"/>
      </rPr>
      <t xml:space="preserve">                                                                                                                                                                                                                                                   Non-Spending Measures:</t>
    </r>
    <r>
      <rPr>
        <sz val="10"/>
        <color theme="1"/>
        <rFont val="Arial"/>
        <family val="2"/>
      </rPr>
      <t xml:space="preserve">
Lowering the late interest rate for public taxes and duties from 0.03% to 0.015%.
Lowering the penalty rate, by 50% i.e. to 5% for corporates and to 4% for the households.</t>
    </r>
  </si>
  <si>
    <t>Several interest free or low interest rate loans to SMEs from the MKD development banks channeled through commercial banks</t>
  </si>
  <si>
    <t>Pakistan</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</si>
  <si>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</si>
  <si>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</si>
  <si>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</si>
  <si>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</si>
  <si>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t>Peru</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</si>
  <si>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and vaccines.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</si>
  <si>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</si>
  <si>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</si>
  <si>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</si>
  <si>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t>Philippines</t>
  </si>
  <si>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</si>
  <si>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</si>
  <si>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</si>
  <si>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</si>
  <si>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</si>
  <si>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t>Poland</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</si>
  <si>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</si>
  <si>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Additional spending (PLN 154 bn):</t>
    </r>
    <r>
      <rPr>
        <sz val="10"/>
        <color theme="1"/>
        <rFont val="Arial"/>
        <family val="2"/>
      </rPr>
      <t xml:space="preserve"> 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Foregone revenue: (PLN 18 bn)</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t>
    </r>
  </si>
  <si>
    <t>Deferred revenue:Possible deferral, payment in installments, or cancellation of taxes.</t>
  </si>
  <si>
    <t>The share of below-the-line activity in the PFR liquidity loans for firms.</t>
  </si>
  <si>
    <t xml:space="preserve">• Credit guarantees and micro-loans for entrepreneurs from the Polish Development Fund and BGK state-owned development bank estimated to be 74 bn (3.2 percent of GDP)
</t>
  </si>
  <si>
    <t>“Accelerated EU funds absorption; relaxed state aid rules (in line with EU approval)”</t>
  </si>
  <si>
    <t>Romania</t>
  </si>
  <si>
    <r>
      <rPr>
        <b/>
        <sz val="10"/>
        <color theme="1"/>
        <rFont val="Arial"/>
        <family val="2"/>
      </rPr>
      <t xml:space="preserve">Additional spending: </t>
    </r>
    <r>
      <rPr>
        <sz val="10"/>
        <color theme="1"/>
        <rFont val="Arial"/>
        <family val="2"/>
      </rPr>
      <t>Risk bonuses for the medical and social assistance staff (RON0.9 billion); Emergency spending on health programs, purchases of medical and protective equipment, sick leaves (RON9.5 billion); Financial support to quarantine centers (RON0.2 billion).</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</si>
  <si>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 xml:space="preserve">Additional spending: </t>
    </r>
    <r>
      <rPr>
        <sz val="10"/>
        <color theme="1"/>
        <rFont val="Arial"/>
        <family val="2"/>
      </rPr>
      <t>Paying 75 percent of the gross wage to employees of companies facing difficulties (RON4.2 billion); paying 75 percent of gross wage to affected self-employed and individual enterprises (RON1 billion); continue to pay technical unemployment benefits to those returning to work of up to 41% of base wage (4.1 billion RON); grants to SMEs and businesses in the most affected sectors (RON1.8 billion); other income support measures (RON0.2 billion).</t>
    </r>
    <r>
      <rPr>
        <b/>
        <sz val="10"/>
        <color theme="1"/>
        <rFont val="Arial"/>
        <family val="2"/>
      </rPr>
      <t xml:space="preserve">
Forgone revenue: </t>
    </r>
    <r>
      <rPr>
        <sz val="10"/>
        <color theme="1"/>
        <rFont val="Arial"/>
        <family val="2"/>
      </rPr>
      <t>5 to 10 percent discount for corporate income tax payments.</t>
    </r>
  </si>
  <si>
    <r>
      <rPr>
        <b/>
        <sz val="10"/>
        <rFont val="Arial"/>
        <family val="2"/>
      </rPr>
      <t>Deferred revenue:</t>
    </r>
    <r>
      <rPr>
        <sz val="10"/>
        <rFont val="Arial"/>
        <family val="2"/>
      </rPr>
      <t xml:space="preserve"> Deferring by 3 months the payment of property taxes  (expired)
Expediting VAT refunds (expired)
Temporary suspension of tax controls and enforcement (expired)
Suspending labor inspections (expired)
Deferral of rent and utility payments for affected SMEs (expired)
Exempting for 90 days the specific tax for hospitality industry</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</si>
  <si>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</si>
  <si>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</si>
  <si>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Serbia</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</si>
  <si>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</si>
  <si>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</si>
  <si>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</si>
  <si>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</si>
  <si>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</si>
  <si>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t>Thailand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</si>
  <si>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</si>
  <si>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</si>
  <si>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</si>
  <si>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</si>
  <si>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</si>
  <si>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</si>
  <si>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t>Tunisia</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</si>
  <si>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</si>
  <si>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</si>
  <si>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</si>
  <si>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</si>
  <si>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</si>
  <si>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</si>
  <si>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t>United Arab Emirates</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</si>
  <si>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</si>
  <si>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</si>
  <si>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</si>
  <si>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</si>
  <si>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</si>
  <si>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</si>
  <si>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t>Bangladesh</t>
  </si>
  <si>
    <r>
      <rPr>
        <b/>
        <sz val="10"/>
        <color theme="1"/>
        <rFont val="Arial"/>
        <family val="2"/>
      </rPr>
      <t>Additional spending:</t>
    </r>
    <r>
      <rPr>
        <sz val="10"/>
        <color theme="1"/>
        <rFont val="Arial"/>
        <family val="2"/>
      </rPr>
      <t xml:space="preserve">                                                                                                                                                                                                                 Additional spending on vaccines, healthcare equipment, testing; compensation against COVID-19 related health risks of officials, doctors and field staff; hiring of additional healthcare workers, etc.  
</t>
    </r>
    <r>
      <rPr>
        <b/>
        <sz val="10"/>
        <color theme="1"/>
        <rFont val="Arial"/>
        <family val="2"/>
      </rPr>
      <t>Forgone revenue:</t>
    </r>
    <r>
      <rPr>
        <sz val="10"/>
        <color theme="1"/>
        <rFont val="Arial"/>
        <family val="2"/>
      </rPr>
      <t xml:space="preserve">                                                                                                                                                                                                                           The National Board of Revenue has temporarily suspended duties and taxes on imports of medical supplies, including protective equipment and test kits.</t>
    </r>
  </si>
  <si>
    <r>
      <rPr>
        <b/>
        <sz val="10"/>
        <color theme="1"/>
        <rFont val="Arial"/>
        <family val="2"/>
      </rPr>
      <t>Additional spending:</t>
    </r>
    <r>
      <rPr>
        <sz val="10"/>
        <color theme="1"/>
        <rFont val="Arial"/>
        <family val="2"/>
      </rPr>
      <t xml:space="preserve"> 
· Expansion of existing social transfer programs for vulnerable households, including allowance programs and food aid distribution; Cash assistance to the jobless poor affected by COVID-19 (Corona-Cash), the disadvantaged elderly people, widows and female divorcees.   
· Wage support for export-oriented industries; Fund for the construction of home for homeless people; Increasing the target for procurement and distribution of paddy; Providing support for farm mechanization; Enhancing the amount of agricultural subsidy; Low interest loans to rural poor farmers, expatriate migrant workers and trained youth and unemployed youth; Subsidy for partial remission of commercial bank's suspended interest of April and May of 2020; Social safety net program for the workers who lost their job in the RMG, leather goods and footwear industries. Stimulus package for the micro and cottage entrepreneurs.
</t>
    </r>
    <r>
      <rPr>
        <b/>
        <sz val="10"/>
        <color theme="1"/>
        <rFont val="Arial"/>
        <family val="2"/>
      </rPr>
      <t>Forgone revenue:</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</si>
  <si>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t xml:space="preserve">Credit guarantee scheme for the SME sector. </t>
  </si>
  <si>
    <t>Ethiopia</t>
  </si>
  <si>
    <r>
      <rPr>
        <b/>
        <sz val="10"/>
        <color theme="1"/>
        <rFont val="Arial"/>
        <family val="2"/>
      </rPr>
      <t>Additional spending</t>
    </r>
    <r>
      <rPr>
        <sz val="10"/>
        <color theme="1"/>
        <rFont val="Arial"/>
        <family val="2"/>
      </rPr>
      <t xml:space="preserve">: Increasing healthcare capacity, diagnostic and medical equipment, increasing payments to health workers, procurement of personal protective equipment.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</si>
  <si>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agricultural sector support, and support to FDI operations via facilitation of logistics in export and import process. For FY2019/20, the authorities indicated that the COVID-19 related spending (including health and non-health sector) was 52.4 billion birr. The authorities plan to allocate about 30 billion birr for COVID-19 related spending.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</si>
  <si>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</si>
  <si>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t>Ghana</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</si>
  <si>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</si>
  <si>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</si>
  <si>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</si>
  <si>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</si>
  <si>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t>Guinea-Bissau</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</si>
  <si>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</si>
  <si>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</si>
  <si>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t>Loans to banks for on-lending to the cashew sector.</t>
  </si>
  <si>
    <t>Honduras</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</si>
  <si>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</si>
  <si>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</si>
  <si>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</si>
  <si>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</si>
  <si>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</si>
  <si>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t>Kenya</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</si>
  <si>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</si>
  <si>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 Some of the tax measures, including the reduction of top PAYE rate, corporate income tax rate and VAT were reversed effective January 1, 2021.</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</si>
  <si>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</si>
  <si>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t>Myanmar</t>
  </si>
  <si>
    <r>
      <rPr>
        <sz val="10"/>
        <color theme="1"/>
        <rFont val="Symbol"/>
        <family val="1"/>
        <charset val="2"/>
      </rPr>
      <t>·</t>
    </r>
    <r>
      <rPr>
        <sz val="10"/>
        <color theme="1"/>
        <rFont val="Arial"/>
        <family val="2"/>
      </rPr>
      <t xml:space="preserve"> 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</si>
  <si>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and targeted support to rural and agriculture sectors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 this exemption has been extended through January 2021.</t>
    </r>
  </si>
  <si>
    <r>
      <rPr>
        <b/>
        <sz val="10"/>
        <color theme="1"/>
        <rFont val="Arial"/>
        <family val="2"/>
      </rPr>
      <t xml:space="preserve"> Deferred revenue:</t>
    </r>
    <r>
      <rPr>
        <sz val="10"/>
        <color theme="1"/>
        <rFont val="Arial"/>
        <family val="2"/>
      </rPr>
      <t xml:space="preserve">  Deferment of income and commercial tax payments due in the second third, and fourth quarters of FY 19/20 to January 31, 2021</t>
    </r>
  </si>
  <si>
    <t>Establish funds to on lend to support SME, MFI, small farmers, trade financing.</t>
  </si>
  <si>
    <t>The government has announced that it would guarantee 50 percent of new loans made by private banks to enterprises which are not beneficiaries of the government COVID fund.</t>
  </si>
  <si>
    <t>Niger</t>
  </si>
  <si>
    <r>
      <rPr>
        <sz val="10"/>
        <color theme="1"/>
        <rFont val="Symbol"/>
        <family val="1"/>
        <charset val="2"/>
      </rPr>
      <t>·</t>
    </r>
    <r>
      <rPr>
        <sz val="10"/>
        <color theme="1"/>
        <rFont val="Arial"/>
        <family val="2"/>
      </rPr>
      <t xml:space="preserve"> 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</si>
  <si>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Compensation for job losses and to businesses for loss of value added. 
</t>
    </r>
    <r>
      <rPr>
        <sz val="10"/>
        <color theme="1"/>
        <rFont val="Symbol"/>
        <family val="1"/>
        <charset val="2"/>
      </rPr>
      <t>·</t>
    </r>
    <r>
      <rPr>
        <sz val="10"/>
        <color theme="1"/>
        <rFont val="Arial"/>
        <family val="2"/>
      </rPr>
      <t xml:space="preserve"> 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</si>
  <si>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</si>
  <si>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</si>
  <si>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t>Nigeria</t>
  </si>
  <si>
    <r>
      <rPr>
        <b/>
        <sz val="10"/>
        <color theme="1"/>
        <rFont val="Arial"/>
        <family val="2"/>
      </rPr>
      <t>Additional spending</t>
    </r>
    <r>
      <rPr>
        <sz val="10"/>
        <color theme="1"/>
        <rFont val="Arial"/>
        <family val="2"/>
      </rPr>
      <t>: A total of N100 bn was allocated for health sector, including contingency funds released to Nigeria’s Center for Disease Control for more testing kits and opening more centers and train medical personnel.</t>
    </r>
  </si>
  <si>
    <r>
      <t xml:space="preserve">                                                                                                                                                          
</t>
    </r>
    <r>
      <rPr>
        <b/>
        <sz val="10"/>
        <color theme="1"/>
        <rFont val="Arial"/>
        <family val="2"/>
      </rPr>
      <t xml:space="preserve">                                                                                                                                                                                                                                                    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t>
    </r>
  </si>
  <si>
    <t>Senegal</t>
  </si>
  <si>
    <r>
      <rPr>
        <b/>
        <sz val="10"/>
        <color theme="1"/>
        <rFont val="Arial"/>
        <family val="2"/>
      </rPr>
      <t>Additional spending:</t>
    </r>
    <r>
      <rPr>
        <sz val="10"/>
        <color theme="1"/>
        <rFont val="Arial"/>
        <family val="2"/>
      </rPr>
      <t xml:space="preserve"> Enhance treatment and testing capacity through procuring medical supplies, improve prevention, intensify communication.</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</si>
  <si>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</si>
  <si>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</si>
  <si>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 From the total, CFAF 100 billion will go for credit to large companies with a 20 percent state guarantee and CFAF 100 billion for small enterprises with a state guarantee of 50 percent.</t>
  </si>
  <si>
    <t>Uzbekistan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</si>
  <si>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</si>
  <si>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(14,550 bn):
</t>
    </r>
    <r>
      <rPr>
        <sz val="10"/>
        <color theme="1"/>
        <rFont val="Arial"/>
        <family val="2"/>
      </rPr>
      <t xml:space="preserve">· Doubled the number of households receiving social benefits; 
· Raised spending to cover the average salary for worker taking care of their children during the quarantine period. 
· Increased spending to cover leave payments of employees of age 60+ with chronic illnesses (that must stay at home during quarantine period).
· Provided assistance to affected businesses via revolving facilities, debt service deferrals at subsidized interest.
· Increased spending for public works to support infrastructure in the regions and support employment. </t>
    </r>
    <r>
      <rPr>
        <b/>
        <sz val="10"/>
        <color theme="1"/>
        <rFont val="Arial"/>
        <family val="2"/>
      </rPr>
      <t xml:space="preserve">
Forgone revenue (4,350 bn):
</t>
    </r>
    <r>
      <rPr>
        <sz val="10"/>
        <color theme="1"/>
        <rFont val="Arial"/>
        <family val="2"/>
      </rPr>
      <t>· Reduction of minimum payment of social tax for individual entrepreneurs (a single tax for small businesses) from UZS 223,000 to UZS 111,500 per month during Apr-Oct 2020: (central government). Reduced tax rate for usage of water resources for farmland by 50 percent: (central government); Temporary suspension of tourism tax: (central government); Extended a moratorium on tax audits: (central government)
· Moratorium on tourism and hotels from paying property and land tax and social tax rate is reduced from 12 to 1 percent (central government). SMEs whose revenue drops significantly can defer payments of turnover tax, land tax, property tax, social and water use tax.
·Exemption of income tax for self employees.</t>
    </r>
  </si>
  <si>
    <t>Government equity injections and new loans to SOEs to repay debt and finance additional investment. Rollover loans issued under the government program for individual entrepreneurs.</t>
  </si>
  <si>
    <t>Vietnam</t>
  </si>
  <si>
    <t>General government</t>
  </si>
  <si>
    <r>
      <rPr>
        <b/>
        <sz val="10"/>
        <color theme="1"/>
        <rFont val="Arial"/>
        <family val="2"/>
      </rPr>
      <t>Additional spending:</t>
    </r>
    <r>
      <rPr>
        <sz val="10"/>
        <color theme="1"/>
        <rFont val="Arial"/>
        <family val="2"/>
      </rPr>
      <t xml:space="preserve"> Additional spending on medical equipment and materials. Treatment costs of Covid-19 positive patients are covered by either Health Insurance Fund (under Vietnam Social Security) or by the state budget.
</t>
    </r>
    <r>
      <rPr>
        <b/>
        <sz val="10"/>
        <color theme="1"/>
        <rFont val="Arial"/>
        <family val="2"/>
      </rPr>
      <t>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</si>
  <si>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Nearly 10 million people are estimated to benefit from this support package.
</t>
    </r>
    <r>
      <rPr>
        <b/>
        <sz val="10"/>
        <color theme="1"/>
        <rFont val="Arial"/>
        <family val="2"/>
      </rPr>
      <t>Forgone revenue:</t>
    </r>
    <r>
      <rPr>
        <sz val="10"/>
        <color theme="1"/>
        <rFont val="Arial"/>
        <family val="2"/>
      </rPr>
      <t xml:space="preserve"> Raise the deductibles of personal income tax starting in July, including individual thresholds and dependent deduction. Fees reduction for supporting firms and workers, effectively from May and extended to June 2021,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</si>
  <si>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Deferred revenue:</t>
    </r>
    <r>
      <rPr>
        <sz val="10"/>
        <rFont val="Arial"/>
        <family val="2"/>
      </rPr>
      <t xml:space="preserve"> Payments of VAT, CIT and of land rental fees are deferred by 5 months, and payment of PIT tax obligations is deferred to year-end (total value of VND 180 tn). </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</si>
  <si>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</si>
  <si>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</si>
  <si>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</si>
  <si>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Zambia</t>
  </si>
  <si>
    <t>The government has announced an 8 billion kwacha Covid-19 Mitigation Bond to finance related spending, which includes 1 billion in health-related spending: purchases of equipment and clearance of arrears to local drug suppliers.</t>
  </si>
  <si>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b/>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t>
    </r>
    <r>
      <rPr>
        <sz val="10"/>
        <color theme="1"/>
        <rFont val="Arial"/>
        <family val="2"/>
      </rPr>
      <t>The 2021 Budget envisions tax breaks for tourism: a permanently lower CIT rate and suspended import duties and fees;</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</si>
  <si>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</si>
  <si>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Sources: National authorities and IMF staff estimates.</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</si>
  <si>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March 17, 2021,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2020 GDP are based on April 2021 World Economic Outlook for 2020 estimates unless otherwise stated. G20 = Group of Twenty; AE = Advanced Economy; EM = Emerging Market; LIDC = Low Income Developing Country. </t>
  </si>
  <si>
    <t xml:space="preserve">1/ The country list includes European Union as well, but the total global fiscal support does not include measures announced by the European Union because those are financing the measures by member states, which are included individually. </t>
  </si>
  <si>
    <t xml:space="preserve">2/ Norway fiscal support measures are expressed in percent of continental GDP. </t>
  </si>
  <si>
    <t>Table 1. Summary of Country Fiscal Measures in Response to the COVID-19 Pandemic since January 2020</t>
  </si>
  <si>
    <t>(USD billion and percent of 2020 GDP)</t>
  </si>
  <si>
    <t>USD Billion</t>
  </si>
  <si>
    <t>Percent of GDP</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</si>
  <si>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</si>
  <si>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</si>
  <si>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</si>
  <si>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</si>
  <si>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</si>
  <si>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</si>
  <si>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</si>
  <si>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</si>
  <si>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</si>
  <si>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</si>
  <si>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</si>
  <si>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</si>
  <si>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Austria</t>
  </si>
  <si>
    <t>Czech republic</t>
  </si>
  <si>
    <t>Estonia</t>
  </si>
  <si>
    <t>Greece</t>
  </si>
  <si>
    <t>Iceland</t>
  </si>
  <si>
    <t>Ireland</t>
  </si>
  <si>
    <t>Israel</t>
  </si>
  <si>
    <t>Latvia</t>
  </si>
  <si>
    <t>Lithuania</t>
  </si>
  <si>
    <t>Luxembourg</t>
  </si>
  <si>
    <t>Slovak Republic</t>
  </si>
  <si>
    <t>Slovenia</t>
  </si>
  <si>
    <t>Costa Rica</t>
  </si>
  <si>
    <t>Hungary</t>
  </si>
  <si>
    <t>Global</t>
  </si>
  <si>
    <t>Note: Estimates as of March 17, 2021. Numbers in U.S. dollar and percent of GDP are based on April 2021 World Economic Outlook unless otherwise stated. The fiscal measures include resources allocated or planned in response to the COVID-19 pandemic since January 2020, which will cover implementation in 2020, 2021, and beyond.</t>
  </si>
  <si>
    <t xml:space="preserve">The country list includes European Union as well, but the total global fiscal support does not include measures announced by the European Union because those are financing the measures by member states, which are included individually. </t>
  </si>
  <si>
    <t>The global estimate of fiscal support includes above-the-line measures of additional spending and foregone revenue, as well as below the line measures and contingent liabilities from guarantees and quasi-fiscal operations.</t>
  </si>
  <si>
    <r>
      <rPr>
        <vertAlign val="superscript"/>
        <sz val="10"/>
        <color theme="1"/>
        <rFont val="Arial"/>
        <family val="2"/>
      </rPr>
      <t>1</t>
    </r>
    <r>
      <rPr>
        <sz val="10"/>
        <color theme="1"/>
        <rFont val="Arial"/>
        <family val="2"/>
      </rPr>
      <t xml:space="preserve"> Lebanon measures are unaccounted because of lack of funding or lack of data. Norway fiscal support measures expressed in percent of continental GDP. </t>
    </r>
  </si>
  <si>
    <t/>
  </si>
  <si>
    <t>Advanced Economies</t>
  </si>
  <si>
    <t>iso</t>
  </si>
  <si>
    <t>country</t>
  </si>
  <si>
    <t>Additional spending and forgone revenue</t>
  </si>
  <si>
    <t>Equity, loans, and guarantees</t>
  </si>
  <si>
    <t>FIN</t>
  </si>
  <si>
    <t>NOR</t>
  </si>
  <si>
    <t>ESP</t>
  </si>
  <si>
    <t>SWE</t>
  </si>
  <si>
    <t>KOR</t>
  </si>
  <si>
    <t>NLD</t>
  </si>
  <si>
    <t>DNK</t>
  </si>
  <si>
    <t>CZE</t>
  </si>
  <si>
    <t>CHE</t>
  </si>
  <si>
    <t>FRA</t>
  </si>
  <si>
    <t>BEL</t>
  </si>
  <si>
    <t>ITA</t>
  </si>
  <si>
    <t>DEU</t>
  </si>
  <si>
    <t>CAN</t>
  </si>
  <si>
    <t>JPN</t>
  </si>
  <si>
    <t>SGP</t>
  </si>
  <si>
    <t>GBR</t>
  </si>
  <si>
    <t>AUS</t>
  </si>
  <si>
    <t>AEs</t>
  </si>
  <si>
    <t>NZL</t>
  </si>
  <si>
    <t>USA</t>
  </si>
  <si>
    <t>Emerging Economies</t>
  </si>
  <si>
    <t>MEX</t>
  </si>
  <si>
    <t>EGY</t>
  </si>
  <si>
    <t>PAK</t>
  </si>
  <si>
    <t>TUR</t>
  </si>
  <si>
    <t>ALB</t>
  </si>
  <si>
    <t>SAU</t>
  </si>
  <si>
    <t>ROU</t>
  </si>
  <si>
    <t>KAZ</t>
  </si>
  <si>
    <t>ARE</t>
  </si>
  <si>
    <t>TUN</t>
  </si>
  <si>
    <t>PHL</t>
  </si>
  <si>
    <t>RUS</t>
  </si>
  <si>
    <t>IND</t>
  </si>
  <si>
    <t>ARG</t>
  </si>
  <si>
    <t>EMMIEs</t>
  </si>
  <si>
    <t>COL</t>
  </si>
  <si>
    <t>BGR</t>
  </si>
  <si>
    <t>IDN</t>
  </si>
  <si>
    <t>CHN</t>
  </si>
  <si>
    <t>ZAF</t>
  </si>
  <si>
    <t>GEO</t>
  </si>
  <si>
    <t>PER</t>
  </si>
  <si>
    <t>POL</t>
  </si>
  <si>
    <t>THA</t>
  </si>
  <si>
    <t>BRA</t>
  </si>
  <si>
    <t>CHL</t>
  </si>
  <si>
    <t>Low-Income Developing Countries</t>
  </si>
  <si>
    <t>MMR</t>
  </si>
  <si>
    <t>NER</t>
  </si>
  <si>
    <t>BGD</t>
  </si>
  <si>
    <t>VNM</t>
  </si>
  <si>
    <t>NGA</t>
  </si>
  <si>
    <t>CIV</t>
  </si>
  <si>
    <t>Cote d'Ivoire</t>
  </si>
  <si>
    <t>LIDCs</t>
  </si>
  <si>
    <t>ZMB</t>
  </si>
  <si>
    <t>HND</t>
  </si>
  <si>
    <t>KEN</t>
  </si>
  <si>
    <t>ETH</t>
  </si>
  <si>
    <t>GHA</t>
  </si>
  <si>
    <t>SEN</t>
  </si>
  <si>
    <t>UZB</t>
  </si>
  <si>
    <t>GNB</t>
  </si>
  <si>
    <r>
      <rPr>
        <b/>
        <sz val="10"/>
        <color theme="1"/>
        <rFont val="Arial"/>
        <family val="2"/>
      </rPr>
      <t>Additional spending (IDR 276 tn):</t>
    </r>
    <r>
      <rPr>
        <sz val="10"/>
        <color theme="1"/>
        <rFont val="Arial"/>
        <family val="2"/>
      </rPr>
      <t xml:space="preserve">
• Several fiscal packages have been announced by the government amounting to IDR 276 tn for the years 2020 and 2021. 
.• For 2020 Economic recovery program (PEN), health budget is around  IDR 100 tn. Preliminary assessment suggests that around IDR 64 tn have benn spended. 
• 2021 PEN budget for 2021 stands at IDR 176 tn as of March 3, 2021 among which around IDR 40 tn is reallocation from other spending.</t>
    </r>
  </si>
  <si>
    <r>
      <rPr>
        <b/>
        <sz val="10"/>
        <rFont val="Arial"/>
        <family val="2"/>
      </rPr>
      <t xml:space="preserve">Additional spending (RUB 2.9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 Expected expenditure measures in 2021:  951 billion : 851 billion to the corporate sector (employment retention programs- 477 billion, and industry specific support and development programs-373 billion) and 100 billion to local governments.
</t>
    </r>
    <r>
      <rPr>
        <b/>
        <sz val="10"/>
        <rFont val="Arial"/>
        <family val="2"/>
      </rPr>
      <t xml:space="preserve">Forgone revenue (RUB 939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</si>
  <si>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Additional spending</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(EUR 2 billion)
• Extension of unemployment security: eliminating the waiting period, speeding up the layoff procedure, making entrepreneurs eligible for unemployment security, extending the payment period of startup grants, streamlining unemployment benefit payments (EUR 497 million)
• Extension of social benefits: support for individuals arriving from other countries and parents of small children, temporary increase in social assistance (EUR 154 million)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(EUR 330 million)
• Investment projects: basic transport infrastructure maintenance, developing the transport network, renovation construction, and public transport support. The sums for the years 2021 and 2022 are based on a technical assumption concerning the timing of the projects. (EUR 343 million)
• R&amp;D&amp;I, competence and wellbeing: additional starting places for higher education and developing continuous learning, research appropriations for the Academy of Finland, public employment and business services and developing the service structure. (EUR 327 million)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</si>
  <si>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Easing of payment terms for taxes due on or after 1 March 2020 and lowering the interest on late payments from 7% to 2,5%. The easing also applies to value added tax payments due in the period January - March. Assessing the impacts of the delays of 2020 tax revenue to 2021. (2.1)</t>
    </r>
  </si>
  <si>
    <t>• Injecting capital into Finnish Industry Investment for the setting up of a new stability programme (€400 million)
• Equity investment in Finnish Minerals Group (€500 million)
• Capitalisation arrangements in Finnair Plc (€700 million)</t>
  </si>
  <si>
    <t>• Increasing Finnvera’s domestic financing authorisations from EUR 4.2 to EUR 12 billion. About EUR 2 billion of the existing authorisations have already been used and thus any additional funding would total EUR 10 billion.
• Increasing Business Finland’s lending authorisations, total increase for the period 2020-2022 (EUR 300 million)
• State guarantees to cover Finnair’s financing needs (EUR 500 million)
• State guarantees to shipping companies to ensure cargo traffic important to security of supply (EUR 600 million)
• State guarantees for the loans granted within the framework of the European instrument for temporary Support to mitigate Unemployment Risks in an Emergency  (SURE) (EUR 400 million)
• State guarantees for any losses arising from the Pan-European covid-19 guarantee fund to be established under the European Investment Bank (EUR 400 million)</t>
  </si>
  <si>
    <t>• The State Pension Fund will invest in commercial paper (€1 billion).
• Bank of Finland's investments in commercial paper (€1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</si>
</sst>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_);_(* \(#,##0\);_(* &quot;-&quot;??_);_(@_)"/>
    <numFmt numFmtId="167" formatCode="_(* #,##0.0_);_(* \(#,##0.0\);_(* &quot;-&quot;??_);_(@_)"/>
  </numFmts>
  <fonts count="30">
    <font>
      <sz val="10"/>
      <color theme="1"/>
      <name val="Arial"/>
      <family val="2"/>
    </font>
    <font>
      <sz val="10"/>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0"/>
      <name val="Symbol"/>
      <family val="1"/>
      <charset val="2"/>
    </font>
    <font>
      <sz val="7"/>
      <name val="Arial"/>
      <family val="2"/>
    </font>
    <font>
      <sz val="11"/>
      <name val="Calibri"/>
      <family val="2"/>
      <charset val="238"/>
      <scheme val="minor"/>
    </font>
    <font>
      <sz val="10"/>
      <color theme="1"/>
      <name val="Arial"/>
      <family val="1"/>
      <charset val="2"/>
    </font>
    <font>
      <sz val="10"/>
      <color theme="1"/>
      <name val="Calibri"/>
      <family val="2"/>
    </font>
    <font>
      <sz val="10"/>
      <color theme="1"/>
      <name val="Symbol"/>
      <family val="1"/>
      <charset val="2"/>
    </font>
    <font>
      <sz val="7"/>
      <color theme="1"/>
      <name val="Arial"/>
      <family val="2"/>
    </font>
    <font>
      <sz val="10"/>
      <color theme="1"/>
      <name val="Arial"/>
      <family val="2"/>
      <charset val="2"/>
    </font>
    <font>
      <sz val="6.6"/>
      <color theme="1"/>
      <name val="Arial"/>
      <family val="2"/>
    </font>
    <font>
      <sz val="8"/>
      <color theme="1"/>
      <name val="Arial"/>
      <family val="2"/>
    </font>
    <font>
      <b/>
      <sz val="10"/>
      <color theme="1"/>
      <name val="Symbol"/>
      <family val="1"/>
      <charset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vertAlign val="superscript"/>
      <sz val="10"/>
      <color theme="1"/>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theme="0" tint="-0.499984740745262"/>
      </top>
      <bottom/>
      <diagonal/>
    </border>
    <border>
      <left/>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164" fontId="1" fillId="0" borderId="0" applyFont="0" applyFill="0" applyBorder="0" applyAlignment="0" applyProtection="0"/>
    <xf numFmtId="0" fontId="20" fillId="0" borderId="0"/>
  </cellStyleXfs>
  <cellXfs count="283">
    <xf numFmtId="0" fontId="0" fillId="0" borderId="0" xfId="0"/>
    <xf numFmtId="0" fontId="0" fillId="2" borderId="0" xfId="0" applyFill="1" applyAlignment="1">
      <alignment wrapText="1"/>
    </xf>
    <xf numFmtId="0" fontId="0" fillId="2" borderId="0" xfId="0" applyFill="1"/>
    <xf numFmtId="0" fontId="4" fillId="2" borderId="1" xfId="0" applyFont="1" applyFill="1" applyBorder="1" applyAlignment="1">
      <alignment horizontal="left" vertical="center"/>
    </xf>
    <xf numFmtId="0" fontId="0" fillId="2" borderId="1" xfId="0" applyFill="1" applyBorder="1" applyAlignment="1">
      <alignment vertical="center"/>
    </xf>
    <xf numFmtId="0" fontId="5" fillId="2" borderId="1" xfId="0" applyFont="1" applyFill="1" applyBorder="1" applyAlignment="1">
      <alignment horizontal="left" vertical="center"/>
    </xf>
    <xf numFmtId="165" fontId="3" fillId="2" borderId="1" xfId="0" applyNumberFormat="1" applyFont="1" applyFill="1" applyBorder="1" applyAlignment="1">
      <alignment horizontal="center" vertical="center"/>
    </xf>
    <xf numFmtId="0" fontId="0" fillId="2" borderId="1" xfId="0" applyFill="1" applyBorder="1"/>
    <xf numFmtId="0" fontId="0" fillId="2" borderId="1" xfId="0" applyFill="1" applyBorder="1" applyAlignment="1">
      <alignment horizontal="left" vertical="center"/>
    </xf>
    <xf numFmtId="165" fontId="1"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3" fillId="2" borderId="2" xfId="0" applyNumberFormat="1" applyFont="1" applyFill="1" applyBorder="1" applyAlignment="1">
      <alignment vertical="center" wrapText="1"/>
    </xf>
    <xf numFmtId="165" fontId="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1" xfId="0" applyFill="1" applyBorder="1" applyAlignment="1">
      <alignment horizontal="center" vertical="center" wrapText="1"/>
    </xf>
    <xf numFmtId="0" fontId="0" fillId="2" borderId="0" xfId="0" applyFill="1" applyAlignment="1">
      <alignment vertical="center" wrapText="1"/>
    </xf>
    <xf numFmtId="0" fontId="0" fillId="0" borderId="1" xfId="0" applyBorder="1" applyAlignment="1">
      <alignment horizontal="center" vertical="center" textRotation="90" wrapText="1"/>
    </xf>
    <xf numFmtId="0" fontId="0" fillId="2" borderId="1" xfId="0" applyFill="1" applyBorder="1" applyAlignment="1">
      <alignment vertical="center" textRotation="90" wrapText="1"/>
    </xf>
    <xf numFmtId="0" fontId="0" fillId="2" borderId="1" xfId="0" applyFill="1" applyBorder="1" applyAlignment="1">
      <alignment vertical="center" wrapText="1"/>
    </xf>
    <xf numFmtId="0" fontId="0" fillId="0" borderId="1" xfId="0" applyBorder="1" applyAlignment="1">
      <alignment vertical="center" textRotation="90" wrapText="1"/>
    </xf>
    <xf numFmtId="165" fontId="3" fillId="2" borderId="1" xfId="0" applyNumberFormat="1" applyFont="1" applyFill="1" applyBorder="1" applyAlignment="1">
      <alignment horizontal="center" vertical="center" wrapText="1"/>
    </xf>
    <xf numFmtId="165" fontId="0" fillId="2" borderId="1" xfId="0" applyNumberForma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165" fontId="0" fillId="2" borderId="1" xfId="1" applyNumberFormat="1" applyFont="1" applyFill="1" applyBorder="1" applyAlignment="1">
      <alignment horizontal="center" vertical="center" wrapText="1"/>
    </xf>
    <xf numFmtId="0" fontId="0" fillId="2" borderId="1" xfId="0" applyFill="1" applyBorder="1" applyAlignment="1">
      <alignment horizontal="left" vertical="center" textRotation="90" wrapText="1"/>
    </xf>
    <xf numFmtId="0" fontId="0" fillId="2" borderId="1"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65" fontId="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1" fillId="5" borderId="0" xfId="1" applyNumberFormat="1" applyFont="1" applyFill="1" applyBorder="1" applyAlignment="1">
      <alignment horizontal="center" vertical="center" wrapText="1"/>
    </xf>
    <xf numFmtId="1" fontId="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1" xfId="0" applyFill="1" applyBorder="1" applyAlignment="1">
      <alignment horizontal="left" vertical="center" textRotation="90"/>
    </xf>
    <xf numFmtId="165" fontId="0" fillId="5" borderId="1" xfId="0" applyNumberFormat="1" applyFill="1" applyBorder="1" applyAlignment="1">
      <alignment horizontal="center" vertical="center"/>
    </xf>
    <xf numFmtId="165" fontId="8" fillId="5" borderId="1" xfId="0" applyNumberFormat="1" applyFont="1" applyFill="1" applyBorder="1" applyAlignment="1">
      <alignment horizontal="center" vertical="center"/>
    </xf>
    <xf numFmtId="165" fontId="1" fillId="5" borderId="1"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1"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2" borderId="2" xfId="0" applyFill="1" applyBorder="1" applyAlignment="1">
      <alignment vertical="center"/>
    </xf>
    <xf numFmtId="1" fontId="0" fillId="5" borderId="0" xfId="0" applyNumberFormat="1" applyFill="1" applyAlignment="1">
      <alignment vertical="center" wrapText="1"/>
    </xf>
    <xf numFmtId="165" fontId="1" fillId="5" borderId="0" xfId="1" applyNumberFormat="1" applyFont="1" applyFill="1" applyBorder="1" applyAlignment="1">
      <alignment horizontal="center" vertical="center"/>
    </xf>
    <xf numFmtId="165" fontId="0" fillId="5" borderId="1" xfId="0" applyNumberFormat="1" applyFill="1" applyBorder="1" applyAlignment="1">
      <alignment horizontal="right" vertical="center"/>
    </xf>
    <xf numFmtId="1" fontId="1"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1"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1" xfId="0" applyNumberFormat="1" applyFill="1" applyBorder="1" applyAlignment="1">
      <alignment horizontal="left" vertical="center" wrapText="1"/>
    </xf>
    <xf numFmtId="2" fontId="0" fillId="5" borderId="1" xfId="0" applyNumberFormat="1" applyFill="1" applyBorder="1" applyAlignment="1">
      <alignment horizontal="center" vertical="center"/>
    </xf>
    <xf numFmtId="166" fontId="8" fillId="5" borderId="2" xfId="0" applyNumberFormat="1" applyFont="1" applyFill="1" applyBorder="1" applyAlignment="1">
      <alignment horizontal="center" vertical="center"/>
    </xf>
    <xf numFmtId="166" fontId="1" fillId="5" borderId="2" xfId="1" applyNumberFormat="1" applyFill="1" applyBorder="1" applyAlignment="1">
      <alignment horizontal="center" vertical="center"/>
    </xf>
    <xf numFmtId="166" fontId="8" fillId="5" borderId="2" xfId="1" applyNumberFormat="1" applyFont="1" applyFill="1" applyBorder="1" applyAlignment="1">
      <alignment horizontal="center" vertical="center"/>
    </xf>
    <xf numFmtId="1" fontId="1" fillId="5" borderId="0" xfId="1" applyNumberFormat="1" applyFill="1" applyAlignment="1">
      <alignment horizontal="center" vertical="center"/>
    </xf>
    <xf numFmtId="166" fontId="0" fillId="5" borderId="0" xfId="0" applyNumberFormat="1" applyFill="1" applyAlignment="1">
      <alignment vertical="center"/>
    </xf>
    <xf numFmtId="165" fontId="1" fillId="5" borderId="1" xfId="1" applyNumberFormat="1" applyFill="1" applyBorder="1" applyAlignment="1">
      <alignment horizontal="center" vertical="center"/>
    </xf>
    <xf numFmtId="167" fontId="0" fillId="5" borderId="0" xfId="0" applyNumberFormat="1" applyFill="1" applyAlignment="1">
      <alignment vertical="center"/>
    </xf>
    <xf numFmtId="166" fontId="8" fillId="5" borderId="2" xfId="1" applyNumberFormat="1" applyFont="1" applyFill="1" applyBorder="1" applyAlignment="1">
      <alignment horizontal="left" vertical="center"/>
    </xf>
    <xf numFmtId="37" fontId="8" fillId="5" borderId="2" xfId="0"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165" fontId="8"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65" fontId="1" fillId="5" borderId="1" xfId="0" applyNumberFormat="1" applyFont="1" applyFill="1" applyBorder="1" applyAlignment="1">
      <alignment horizontal="center" vertical="center"/>
    </xf>
    <xf numFmtId="167" fontId="0" fillId="5" borderId="1" xfId="0" applyNumberFormat="1" applyFill="1" applyBorder="1" applyAlignment="1">
      <alignment vertical="center"/>
    </xf>
    <xf numFmtId="165" fontId="0" fillId="5" borderId="2" xfId="0" applyNumberFormat="1" applyFill="1" applyBorder="1" applyAlignment="1">
      <alignment horizontal="center" vertical="center" wrapText="1"/>
    </xf>
    <xf numFmtId="1" fontId="0" fillId="5" borderId="2" xfId="0" applyNumberFormat="1" applyFill="1" applyBorder="1" applyAlignment="1">
      <alignment horizontal="left" vertical="center" wrapText="1"/>
    </xf>
    <xf numFmtId="165" fontId="1"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65" fontId="1" fillId="5" borderId="0" xfId="0" applyNumberFormat="1" applyFont="1" applyFill="1" applyAlignment="1">
      <alignment horizontal="center" vertical="center"/>
    </xf>
    <xf numFmtId="165" fontId="0" fillId="5" borderId="1" xfId="0" applyNumberFormat="1" applyFill="1" applyBorder="1" applyAlignment="1">
      <alignment horizontal="center" vertical="center" wrapText="1"/>
    </xf>
    <xf numFmtId="1" fontId="8" fillId="5" borderId="2" xfId="1" applyNumberFormat="1" applyFont="1" applyFill="1" applyBorder="1" applyAlignment="1">
      <alignment horizontal="center" vertical="center"/>
    </xf>
    <xf numFmtId="165" fontId="0" fillId="5" borderId="1" xfId="1" applyNumberFormat="1" applyFont="1" applyFill="1" applyBorder="1" applyAlignment="1">
      <alignment horizontal="center" vertical="center"/>
    </xf>
    <xf numFmtId="1" fontId="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1" fillId="5" borderId="2" xfId="1" applyNumberFormat="1" applyFont="1" applyFill="1" applyBorder="1" applyAlignment="1">
      <alignment horizontal="center" vertical="center" wrapText="1"/>
    </xf>
    <xf numFmtId="166" fontId="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8" fillId="5" borderId="2" xfId="0" applyNumberFormat="1" applyFont="1" applyFill="1" applyBorder="1" applyAlignment="1">
      <alignment horizontal="center" vertical="center" wrapText="1"/>
    </xf>
    <xf numFmtId="166" fontId="1" fillId="5" borderId="2" xfId="1" applyNumberFormat="1" applyFont="1" applyFill="1" applyBorder="1" applyAlignment="1">
      <alignment horizontal="center" vertical="center" wrapText="1"/>
    </xf>
    <xf numFmtId="3" fontId="2" fillId="5" borderId="2" xfId="0" applyNumberFormat="1" applyFont="1" applyFill="1" applyBorder="1" applyAlignment="1">
      <alignment horizontal="left" vertical="center" wrapText="1"/>
    </xf>
    <xf numFmtId="165" fontId="2" fillId="5" borderId="0" xfId="0" applyNumberFormat="1" applyFont="1" applyFill="1" applyAlignment="1">
      <alignment horizontal="left" vertical="center" wrapText="1"/>
    </xf>
    <xf numFmtId="165" fontId="2" fillId="5" borderId="1" xfId="0" applyNumberFormat="1" applyFont="1" applyFill="1" applyBorder="1" applyAlignment="1">
      <alignment horizontal="left" vertical="center" wrapText="1"/>
    </xf>
    <xf numFmtId="0" fontId="0" fillId="0" borderId="0" xfId="0" applyAlignment="1">
      <alignment vertical="center" wrapText="1"/>
    </xf>
    <xf numFmtId="165" fontId="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65" fontId="8" fillId="5" borderId="2"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 fontId="11" fillId="5" borderId="2" xfId="0" applyNumberFormat="1" applyFont="1" applyFill="1" applyBorder="1" applyAlignment="1">
      <alignment horizontal="center" vertical="center" wrapText="1"/>
    </xf>
    <xf numFmtId="1" fontId="11" fillId="5" borderId="2" xfId="1" applyNumberFormat="1" applyFont="1" applyFill="1" applyBorder="1" applyAlignment="1">
      <alignment horizontal="center" vertical="center" wrapText="1"/>
    </xf>
    <xf numFmtId="165" fontId="1" fillId="5" borderId="0" xfId="1" applyNumberFormat="1" applyFont="1" applyFill="1" applyBorder="1" applyAlignment="1">
      <alignment horizontal="center" vertical="center" wrapText="1"/>
    </xf>
    <xf numFmtId="165" fontId="8" fillId="5" borderId="2" xfId="0" applyNumberFormat="1" applyFont="1" applyFill="1" applyBorder="1" applyAlignment="1">
      <alignment horizontal="center" vertical="center"/>
    </xf>
    <xf numFmtId="1" fontId="8" fillId="5" borderId="2" xfId="0" applyNumberFormat="1" applyFont="1" applyFill="1" applyBorder="1" applyAlignment="1">
      <alignment horizontal="center" vertical="center"/>
    </xf>
    <xf numFmtId="0" fontId="0" fillId="5" borderId="0" xfId="0" applyFill="1" applyAlignment="1">
      <alignment horizontal="left" wrapText="1"/>
    </xf>
    <xf numFmtId="165" fontId="8" fillId="5" borderId="0" xfId="1" applyNumberFormat="1" applyFont="1" applyFill="1" applyBorder="1" applyAlignment="1">
      <alignment horizontal="center" vertical="center"/>
    </xf>
    <xf numFmtId="1" fontId="0" fillId="5" borderId="1" xfId="0" applyNumberFormat="1" applyFill="1" applyBorder="1" applyAlignment="1">
      <alignment horizontal="center" vertical="center"/>
    </xf>
    <xf numFmtId="166" fontId="1" fillId="5" borderId="2" xfId="1" applyNumberFormat="1" applyFont="1" applyFill="1" applyBorder="1" applyAlignment="1">
      <alignment horizontal="left" vertical="center" wrapText="1"/>
    </xf>
    <xf numFmtId="165" fontId="2" fillId="5" borderId="0" xfId="0" applyNumberFormat="1" applyFont="1" applyFill="1" applyAlignment="1">
      <alignment horizontal="center" vertical="center"/>
    </xf>
    <xf numFmtId="165" fontId="0" fillId="5" borderId="2" xfId="0" applyNumberFormat="1" applyFill="1" applyBorder="1" applyAlignment="1">
      <alignment vertical="center" wrapText="1"/>
    </xf>
    <xf numFmtId="165" fontId="0" fillId="5" borderId="0" xfId="1" applyNumberFormat="1" applyFont="1" applyFill="1" applyBorder="1" applyAlignment="1">
      <alignment horizontal="center" vertical="center" wrapText="1"/>
    </xf>
    <xf numFmtId="0" fontId="0" fillId="5" borderId="3"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1" fillId="0" borderId="0" xfId="0" applyFont="1" applyAlignment="1">
      <alignment vertical="center"/>
    </xf>
    <xf numFmtId="165" fontId="0" fillId="5" borderId="2" xfId="1" applyNumberFormat="1" applyFont="1" applyFill="1" applyBorder="1" applyAlignment="1">
      <alignment horizontal="center" vertical="center" wrapText="1"/>
    </xf>
    <xf numFmtId="1" fontId="8" fillId="5" borderId="2" xfId="0" applyNumberFormat="1" applyFont="1" applyFill="1" applyBorder="1" applyAlignment="1">
      <alignment horizontal="center" vertical="center" wrapText="1"/>
    </xf>
    <xf numFmtId="165" fontId="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1"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1" fillId="2" borderId="0" xfId="1" applyNumberFormat="1" applyFont="1" applyFill="1" applyBorder="1" applyAlignment="1">
      <alignment horizontal="center" vertical="center"/>
    </xf>
    <xf numFmtId="0" fontId="0" fillId="0" borderId="0" xfId="0" applyAlignment="1">
      <alignment horizontal="center" vertical="center"/>
    </xf>
    <xf numFmtId="0" fontId="21" fillId="2" borderId="0" xfId="2" applyFont="1" applyFill="1"/>
    <xf numFmtId="0" fontId="22" fillId="2" borderId="0" xfId="2" applyFont="1" applyFill="1"/>
    <xf numFmtId="0" fontId="25" fillId="2" borderId="2" xfId="0" applyFont="1" applyFill="1" applyBorder="1"/>
    <xf numFmtId="0" fontId="26" fillId="0" borderId="0" xfId="0" applyFont="1"/>
    <xf numFmtId="0" fontId="25" fillId="2" borderId="0" xfId="0" applyFont="1" applyFill="1" applyAlignment="1">
      <alignment horizontal="center"/>
    </xf>
    <xf numFmtId="0" fontId="27" fillId="2" borderId="0" xfId="0" applyFont="1" applyFill="1"/>
    <xf numFmtId="0" fontId="27" fillId="2" borderId="1" xfId="0" applyFont="1" applyFill="1" applyBorder="1"/>
    <xf numFmtId="0" fontId="27" fillId="2" borderId="0" xfId="0" applyFont="1" applyFill="1" applyAlignment="1">
      <alignment wrapText="1"/>
    </xf>
    <xf numFmtId="0" fontId="25" fillId="2" borderId="1" xfId="0" applyFont="1" applyFill="1" applyBorder="1"/>
    <xf numFmtId="165" fontId="25" fillId="2" borderId="1" xfId="0" applyNumberFormat="1" applyFont="1" applyFill="1" applyBorder="1" applyAlignment="1">
      <alignment horizontal="center" vertical="center" wrapText="1"/>
    </xf>
    <xf numFmtId="0" fontId="25" fillId="2" borderId="1" xfId="0" applyFont="1" applyFill="1" applyBorder="1" applyAlignment="1">
      <alignment horizontal="left" vertical="center"/>
    </xf>
    <xf numFmtId="0" fontId="25" fillId="2" borderId="1" xfId="0" applyFont="1" applyFill="1" applyBorder="1" applyAlignment="1">
      <alignment vertical="center" wrapText="1"/>
    </xf>
    <xf numFmtId="0" fontId="25" fillId="2" borderId="1" xfId="0" applyFont="1" applyFill="1" applyBorder="1" applyAlignment="1">
      <alignment horizontal="left" vertical="center" wrapText="1"/>
    </xf>
    <xf numFmtId="0" fontId="25" fillId="2" borderId="0" xfId="0" applyFont="1" applyFill="1" applyAlignment="1">
      <alignment horizontal="left" vertical="center"/>
    </xf>
    <xf numFmtId="0" fontId="25" fillId="2" borderId="4" xfId="0" applyFont="1" applyFill="1" applyBorder="1" applyAlignment="1">
      <alignment horizontal="left" vertical="center"/>
    </xf>
    <xf numFmtId="0" fontId="28" fillId="2" borderId="0" xfId="0" applyFont="1" applyFill="1"/>
    <xf numFmtId="0" fontId="26" fillId="2" borderId="0" xfId="0" applyFont="1" applyFill="1"/>
    <xf numFmtId="0" fontId="26" fillId="2" borderId="0" xfId="0" applyFont="1" applyFill="1" applyAlignment="1">
      <alignment horizontal="left" indent="1"/>
    </xf>
    <xf numFmtId="1" fontId="28" fillId="0" borderId="0" xfId="1" applyNumberFormat="1" applyFont="1" applyFill="1" applyAlignment="1">
      <alignment horizontal="right"/>
    </xf>
    <xf numFmtId="1" fontId="26" fillId="0" borderId="0" xfId="1" applyNumberFormat="1" applyFont="1" applyFill="1" applyAlignment="1"/>
    <xf numFmtId="1" fontId="28" fillId="0" borderId="0" xfId="1" applyNumberFormat="1" applyFont="1" applyFill="1" applyAlignment="1"/>
    <xf numFmtId="165" fontId="28" fillId="0" borderId="0" xfId="1" applyNumberFormat="1" applyFont="1" applyFill="1" applyAlignment="1"/>
    <xf numFmtId="165" fontId="26" fillId="0" borderId="0" xfId="1" applyNumberFormat="1" applyFont="1" applyFill="1" applyAlignment="1"/>
    <xf numFmtId="166" fontId="26" fillId="0" borderId="0" xfId="1" applyNumberFormat="1" applyFont="1" applyFill="1" applyAlignment="1"/>
    <xf numFmtId="167" fontId="26" fillId="0" borderId="0" xfId="1" applyNumberFormat="1" applyFont="1" applyFill="1" applyAlignment="1"/>
    <xf numFmtId="0" fontId="0" fillId="2" borderId="0" xfId="0" applyFill="1" applyAlignment="1">
      <alignment horizontal="left" indent="1"/>
    </xf>
    <xf numFmtId="165" fontId="28" fillId="0" borderId="0" xfId="1" applyNumberFormat="1" applyFont="1" applyFill="1" applyAlignment="1">
      <alignment horizontal="right"/>
    </xf>
    <xf numFmtId="0" fontId="0" fillId="6" borderId="0" xfId="0" applyFill="1" applyAlignment="1">
      <alignment horizontal="left" indent="1"/>
    </xf>
    <xf numFmtId="0" fontId="0" fillId="0" borderId="0" xfId="0" applyAlignment="1">
      <alignment horizontal="left" indent="1"/>
    </xf>
    <xf numFmtId="0" fontId="0" fillId="6" borderId="0" xfId="0" applyFill="1"/>
    <xf numFmtId="166" fontId="28" fillId="0" borderId="0" xfId="1" applyNumberFormat="1" applyFont="1" applyFill="1" applyAlignment="1"/>
    <xf numFmtId="0" fontId="28" fillId="2" borderId="0" xfId="0" applyFont="1" applyFill="1" applyAlignment="1">
      <alignment horizontal="left" indent="1"/>
    </xf>
    <xf numFmtId="166" fontId="28" fillId="0" borderId="0" xfId="1" applyNumberFormat="1" applyFont="1" applyFill="1" applyAlignment="1">
      <alignment horizontal="right"/>
    </xf>
    <xf numFmtId="0" fontId="0" fillId="0" borderId="1" xfId="0" applyBorder="1"/>
    <xf numFmtId="0" fontId="26" fillId="2" borderId="1" xfId="0" applyFont="1" applyFill="1" applyBorder="1"/>
    <xf numFmtId="0" fontId="26" fillId="2" borderId="0" xfId="0" applyFont="1" applyFill="1" applyAlignment="1">
      <alignment horizontal="left"/>
    </xf>
    <xf numFmtId="166" fontId="0" fillId="2" borderId="0" xfId="0" applyNumberFormat="1" applyFill="1"/>
    <xf numFmtId="0" fontId="3" fillId="2" borderId="0" xfId="0" applyFont="1" applyFill="1"/>
    <xf numFmtId="0" fontId="8" fillId="2" borderId="5" xfId="0" applyFont="1" applyFill="1" applyBorder="1"/>
    <xf numFmtId="0" fontId="8" fillId="2" borderId="2" xfId="0" applyFont="1" applyFill="1" applyBorder="1"/>
    <xf numFmtId="0" fontId="20" fillId="2" borderId="2" xfId="2" applyFill="1" applyBorder="1"/>
    <xf numFmtId="0" fontId="20" fillId="2" borderId="6" xfId="2" applyFill="1" applyBorder="1"/>
    <xf numFmtId="0" fontId="8" fillId="2" borderId="7" xfId="0" applyFont="1" applyFill="1" applyBorder="1"/>
    <xf numFmtId="0" fontId="8" fillId="2" borderId="0" xfId="0" applyFont="1" applyFill="1"/>
    <xf numFmtId="165" fontId="8" fillId="2" borderId="0" xfId="0" applyNumberFormat="1" applyFont="1" applyFill="1"/>
    <xf numFmtId="0" fontId="8" fillId="2" borderId="8" xfId="0" applyFont="1" applyFill="1" applyBorder="1"/>
    <xf numFmtId="2" fontId="8" fillId="2" borderId="0" xfId="0" applyNumberFormat="1" applyFont="1" applyFill="1"/>
    <xf numFmtId="0" fontId="8" fillId="2" borderId="0" xfId="0" quotePrefix="1" applyFont="1" applyFill="1"/>
    <xf numFmtId="0" fontId="8" fillId="2" borderId="9" xfId="0" applyFont="1" applyFill="1" applyBorder="1"/>
    <xf numFmtId="0" fontId="8" fillId="2" borderId="1" xfId="0" applyFont="1" applyFill="1" applyBorder="1"/>
    <xf numFmtId="165" fontId="8" fillId="2" borderId="1" xfId="0" applyNumberFormat="1" applyFont="1" applyFill="1" applyBorder="1"/>
    <xf numFmtId="0" fontId="8" fillId="2" borderId="10" xfId="0" applyFont="1" applyFill="1" applyBorder="1"/>
    <xf numFmtId="1" fontId="8" fillId="2" borderId="0" xfId="0" applyNumberFormat="1" applyFont="1" applyFill="1"/>
    <xf numFmtId="1" fontId="8" fillId="2" borderId="8" xfId="0" applyNumberFormat="1" applyFont="1" applyFill="1" applyBorder="1"/>
    <xf numFmtId="0" fontId="20" fillId="2" borderId="0" xfId="2" applyFill="1"/>
    <xf numFmtId="0" fontId="20" fillId="2" borderId="8" xfId="2" applyFill="1" applyBorder="1"/>
    <xf numFmtId="0" fontId="0" fillId="2" borderId="0" xfId="0" applyFill="1" applyAlignment="1">
      <alignment horizontal="center" vertical="center"/>
    </xf>
    <xf numFmtId="0" fontId="8" fillId="5" borderId="0" xfId="0" applyFont="1" applyFill="1" applyAlignment="1">
      <alignment horizontal="left" vertical="center" wrapText="1"/>
    </xf>
    <xf numFmtId="0" fontId="8" fillId="5" borderId="1" xfId="0" applyFont="1"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0" xfId="0" applyFont="1" applyFill="1" applyAlignment="1">
      <alignment horizontal="center" vertical="center" wrapText="1"/>
    </xf>
    <xf numFmtId="0" fontId="0" fillId="5" borderId="2" xfId="0"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8" fillId="5" borderId="2" xfId="0" applyFont="1" applyFill="1" applyBorder="1" applyAlignment="1">
      <alignment horizontal="left" vertical="center" wrapText="1"/>
    </xf>
    <xf numFmtId="0" fontId="0" fillId="5" borderId="0" xfId="0" applyFill="1" applyAlignment="1">
      <alignment horizontal="left" vertical="center"/>
    </xf>
    <xf numFmtId="0" fontId="0" fillId="5" borderId="1" xfId="0" applyFill="1" applyBorder="1" applyAlignment="1">
      <alignment horizontal="left" vertical="center"/>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2"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1" xfId="0" applyFont="1" applyFill="1" applyBorder="1" applyAlignment="1">
      <alignment horizontal="left"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1" fontId="0" fillId="5" borderId="0" xfId="0" applyNumberFormat="1" applyFill="1" applyAlignment="1">
      <alignment horizontal="left" vertical="center" wrapText="1"/>
    </xf>
    <xf numFmtId="0" fontId="25" fillId="2" borderId="1" xfId="0" applyFont="1" applyFill="1" applyBorder="1" applyAlignment="1">
      <alignment horizontal="center" vertical="center" wrapText="1"/>
    </xf>
    <xf numFmtId="0" fontId="6" fillId="2" borderId="0" xfId="0" applyFont="1" applyFill="1" applyAlignment="1">
      <alignment horizontal="left" vertical="center" wrapText="1"/>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7" fillId="5" borderId="2"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1" xfId="0"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0" fontId="8" fillId="5" borderId="2" xfId="0" applyFont="1" applyFill="1" applyBorder="1" applyAlignment="1">
      <alignment horizontal="left" vertical="center" wrapText="1"/>
    </xf>
    <xf numFmtId="0" fontId="8" fillId="3" borderId="0" xfId="0" applyFont="1" applyFill="1" applyAlignment="1">
      <alignment horizontal="center" vertical="center" textRotation="90"/>
    </xf>
    <xf numFmtId="0" fontId="8" fillId="3" borderId="1" xfId="0" applyFont="1" applyFill="1" applyBorder="1" applyAlignment="1">
      <alignment horizontal="center" vertical="center" textRotation="90"/>
    </xf>
    <xf numFmtId="0" fontId="0" fillId="5" borderId="0" xfId="0" applyFill="1" applyAlignment="1">
      <alignment horizontal="left" vertical="center"/>
    </xf>
    <xf numFmtId="0" fontId="0" fillId="5" borderId="1" xfId="0" applyFill="1" applyBorder="1" applyAlignment="1">
      <alignment horizontal="left" vertical="center"/>
    </xf>
    <xf numFmtId="0" fontId="8" fillId="5" borderId="0" xfId="0" applyFont="1" applyFill="1" applyAlignment="1">
      <alignment horizontal="center" vertical="center" textRotation="90"/>
    </xf>
    <xf numFmtId="0" fontId="8" fillId="5" borderId="1" xfId="0" applyFont="1" applyFill="1" applyBorder="1" applyAlignment="1">
      <alignment horizontal="center" vertical="center" textRotation="90"/>
    </xf>
    <xf numFmtId="0" fontId="0" fillId="5" borderId="2" xfId="0" quotePrefix="1" applyFill="1" applyBorder="1" applyAlignment="1">
      <alignment horizontal="left" vertical="center" wrapText="1"/>
    </xf>
    <xf numFmtId="0" fontId="8" fillId="5" borderId="2" xfId="0" quotePrefix="1" applyFont="1" applyFill="1" applyBorder="1" applyAlignment="1">
      <alignment horizontal="left" vertical="center" wrapText="1"/>
    </xf>
    <xf numFmtId="0" fontId="2" fillId="5" borderId="0" xfId="0" applyFont="1" applyFill="1" applyAlignment="1">
      <alignment horizontal="left" vertical="center"/>
    </xf>
    <xf numFmtId="0" fontId="2" fillId="5" borderId="1" xfId="0" applyFont="1" applyFill="1" applyBorder="1" applyAlignment="1">
      <alignment horizontal="left" vertical="center"/>
    </xf>
    <xf numFmtId="0" fontId="8" fillId="3" borderId="2" xfId="0" applyFont="1" applyFill="1" applyBorder="1" applyAlignment="1">
      <alignment horizontal="center" vertical="center" textRotation="90"/>
    </xf>
    <xf numFmtId="0" fontId="8" fillId="5" borderId="2" xfId="0" applyFont="1" applyFill="1" applyBorder="1" applyAlignment="1">
      <alignment vertical="center" wrapText="1"/>
    </xf>
    <xf numFmtId="0" fontId="8" fillId="5" borderId="0" xfId="0" applyFont="1" applyFill="1" applyAlignment="1">
      <alignment vertical="center" wrapText="1"/>
    </xf>
    <xf numFmtId="0" fontId="8" fillId="5" borderId="1" xfId="0" applyFont="1" applyFill="1" applyBorder="1" applyAlignment="1">
      <alignmen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7" fillId="5" borderId="2" xfId="0" applyFont="1" applyFill="1" applyBorder="1" applyAlignment="1">
      <alignment vertical="center" wrapText="1"/>
    </xf>
    <xf numFmtId="0" fontId="3" fillId="5" borderId="2" xfId="0" applyFont="1" applyFill="1" applyBorder="1" applyAlignment="1">
      <alignment vertical="center" wrapText="1"/>
    </xf>
    <xf numFmtId="0" fontId="1" fillId="5" borderId="0" xfId="0" applyFont="1" applyFill="1" applyAlignment="1">
      <alignment horizontal="left" vertical="center" wrapText="1"/>
    </xf>
    <xf numFmtId="0" fontId="1" fillId="5" borderId="1" xfId="0" applyFont="1" applyFill="1" applyBorder="1" applyAlignment="1">
      <alignment horizontal="left" vertical="center" wrapText="1"/>
    </xf>
    <xf numFmtId="0" fontId="0" fillId="5" borderId="2" xfId="0" quotePrefix="1" applyFill="1" applyBorder="1" applyAlignment="1">
      <alignment vertical="center"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1" xfId="0" applyFill="1" applyBorder="1" applyAlignment="1">
      <alignment horizontal="left" vertical="top" wrapText="1"/>
    </xf>
    <xf numFmtId="0" fontId="3" fillId="5" borderId="0" xfId="0" applyFont="1" applyFill="1" applyAlignment="1">
      <alignment horizontal="left" vertical="center" wrapText="1"/>
    </xf>
    <xf numFmtId="0" fontId="12" fillId="5" borderId="0" xfId="0" applyFont="1" applyFill="1" applyAlignment="1">
      <alignment horizontal="left" vertical="center" wrapText="1"/>
    </xf>
    <xf numFmtId="0" fontId="12" fillId="5" borderId="1"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1" xfId="0" applyFont="1" applyFill="1" applyBorder="1" applyAlignment="1">
      <alignment horizontal="left"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13" fillId="5"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3" fillId="5" borderId="1" xfId="0" applyFont="1" applyFill="1" applyBorder="1" applyAlignment="1">
      <alignment horizontal="left" vertical="center" wrapText="1"/>
    </xf>
    <xf numFmtId="1" fontId="12"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0" fontId="23" fillId="2" borderId="4" xfId="2" applyFont="1" applyFill="1" applyBorder="1" applyAlignment="1">
      <alignment horizontal="center"/>
    </xf>
    <xf numFmtId="0" fontId="24" fillId="2" borderId="4" xfId="2" applyFont="1" applyFill="1" applyBorder="1" applyAlignment="1">
      <alignment horizontal="center"/>
    </xf>
    <xf numFmtId="0" fontId="27" fillId="2" borderId="1" xfId="0" applyFont="1" applyFill="1" applyBorder="1" applyAlignment="1">
      <alignment horizontal="center"/>
    </xf>
    <xf numFmtId="0" fontId="27" fillId="2" borderId="4" xfId="0" applyFont="1" applyFill="1" applyBorder="1" applyAlignment="1">
      <alignment horizontal="center" wrapText="1"/>
    </xf>
    <xf numFmtId="0" fontId="25" fillId="2" borderId="2"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2" borderId="0" xfId="0" applyFont="1" applyFill="1" applyAlignment="1">
      <alignment horizontal="center" wrapText="1"/>
    </xf>
    <xf numFmtId="0" fontId="25" fillId="2" borderId="1" xfId="0" applyFont="1" applyFill="1" applyBorder="1" applyAlignment="1">
      <alignment horizontal="center" wrapText="1"/>
    </xf>
  </cellXfs>
  <cellStyles count="3">
    <cellStyle name="Komma" xfId="1" builtinId="3"/>
    <cellStyle name="Normal 2" xfId="2" xr:uid="{19B44DA2-5033-441B-A86F-B32A1363D95A}"/>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Figure!$E$4</c:f>
              <c:strCache>
                <c:ptCount val="1"/>
                <c:pt idx="0">
                  <c:v>Additional spending and forgone revenue</c:v>
                </c:pt>
              </c:strCache>
            </c:strRef>
          </c:tx>
          <c:spPr>
            <a:solidFill>
              <a:schemeClr val="accent1"/>
            </a:solidFill>
            <a:ln>
              <a:solidFill>
                <a:schemeClr val="tx1"/>
              </a:solidFill>
            </a:ln>
            <a:effectLst/>
          </c:spPr>
          <c:invertIfNegative val="0"/>
          <c:cat>
            <c:strRef>
              <c:f>Figure!$C$5:$C$25</c:f>
              <c:strCache>
                <c:ptCount val="21"/>
                <c:pt idx="0">
                  <c:v>FIN</c:v>
                </c:pt>
                <c:pt idx="1">
                  <c:v>NOR</c:v>
                </c:pt>
                <c:pt idx="2">
                  <c:v>SWE</c:v>
                </c:pt>
                <c:pt idx="3">
                  <c:v>KOR</c:v>
                </c:pt>
                <c:pt idx="4">
                  <c:v>NLD</c:v>
                </c:pt>
                <c:pt idx="5">
                  <c:v>DNK</c:v>
                </c:pt>
                <c:pt idx="6">
                  <c:v>CZE</c:v>
                </c:pt>
                <c:pt idx="7">
                  <c:v>CHE</c:v>
                </c:pt>
                <c:pt idx="8">
                  <c:v>ESP</c:v>
                </c:pt>
                <c:pt idx="9">
                  <c:v>FRA</c:v>
                </c:pt>
                <c:pt idx="10">
                  <c:v>BEL</c:v>
                </c:pt>
                <c:pt idx="11">
                  <c:v>ITA</c:v>
                </c:pt>
                <c:pt idx="12">
                  <c:v>DEU</c:v>
                </c:pt>
                <c:pt idx="13">
                  <c:v>CAN</c:v>
                </c:pt>
                <c:pt idx="14">
                  <c:v>JPN</c:v>
                </c:pt>
                <c:pt idx="15">
                  <c:v>SGP</c:v>
                </c:pt>
                <c:pt idx="16">
                  <c:v>AUS</c:v>
                </c:pt>
                <c:pt idx="17">
                  <c:v>GBR</c:v>
                </c:pt>
                <c:pt idx="18">
                  <c:v>AEs</c:v>
                </c:pt>
                <c:pt idx="19">
                  <c:v>NZL</c:v>
                </c:pt>
                <c:pt idx="20">
                  <c:v>USA</c:v>
                </c:pt>
              </c:strCache>
            </c:strRef>
          </c:cat>
          <c:val>
            <c:numRef>
              <c:f>Figure!$E$5:$E$25</c:f>
              <c:numCache>
                <c:formatCode>0.0</c:formatCode>
                <c:ptCount val="21"/>
                <c:pt idx="0">
                  <c:v>2.5259979589599131</c:v>
                </c:pt>
                <c:pt idx="1">
                  <c:v>4.1514643526279453</c:v>
                </c:pt>
                <c:pt idx="2">
                  <c:v>4.1805066006564005</c:v>
                </c:pt>
                <c:pt idx="3">
                  <c:v>4.5051765101655654</c:v>
                </c:pt>
                <c:pt idx="4">
                  <c:v>4.5299743761560221</c:v>
                </c:pt>
                <c:pt idx="5">
                  <c:v>5.1032142438694166</c:v>
                </c:pt>
                <c:pt idx="6">
                  <c:v>5.4316135144669095</c:v>
                </c:pt>
                <c:pt idx="7">
                  <c:v>7.2717676009764673</c:v>
                </c:pt>
                <c:pt idx="8">
                  <c:v>7.589448345321685</c:v>
                </c:pt>
                <c:pt idx="9">
                  <c:v>7.6410229836701689</c:v>
                </c:pt>
                <c:pt idx="10">
                  <c:v>8.0298773719835133</c:v>
                </c:pt>
                <c:pt idx="11">
                  <c:v>8.4766543856090628</c:v>
                </c:pt>
                <c:pt idx="12" formatCode="0.00">
                  <c:v>11.013645516666017</c:v>
                </c:pt>
                <c:pt idx="13">
                  <c:v>14.64115557600266</c:v>
                </c:pt>
                <c:pt idx="14">
                  <c:v>15.860601819869569</c:v>
                </c:pt>
                <c:pt idx="15">
                  <c:v>16.030837191286473</c:v>
                </c:pt>
                <c:pt idx="16">
                  <c:v>16.131383413423077</c:v>
                </c:pt>
                <c:pt idx="17">
                  <c:v>16.232490915957346</c:v>
                </c:pt>
                <c:pt idx="18" formatCode="0.00">
                  <c:v>16.416951492664577</c:v>
                </c:pt>
                <c:pt idx="19">
                  <c:v>19.283678120943751</c:v>
                </c:pt>
                <c:pt idx="20">
                  <c:v>25.453072338799249</c:v>
                </c:pt>
              </c:numCache>
            </c:numRef>
          </c:val>
          <c:extLst>
            <c:ext xmlns:c16="http://schemas.microsoft.com/office/drawing/2014/chart" uri="{C3380CC4-5D6E-409C-BE32-E72D297353CC}">
              <c16:uniqueId val="{00000000-806A-4CF4-85D4-68B919058191}"/>
            </c:ext>
          </c:extLst>
        </c:ser>
        <c:ser>
          <c:idx val="1"/>
          <c:order val="1"/>
          <c:tx>
            <c:strRef>
              <c:f>Figure!$F$4</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Figure!$C$5:$C$25</c:f>
              <c:strCache>
                <c:ptCount val="21"/>
                <c:pt idx="0">
                  <c:v>FIN</c:v>
                </c:pt>
                <c:pt idx="1">
                  <c:v>NOR</c:v>
                </c:pt>
                <c:pt idx="2">
                  <c:v>SWE</c:v>
                </c:pt>
                <c:pt idx="3">
                  <c:v>KOR</c:v>
                </c:pt>
                <c:pt idx="4">
                  <c:v>NLD</c:v>
                </c:pt>
                <c:pt idx="5">
                  <c:v>DNK</c:v>
                </c:pt>
                <c:pt idx="6">
                  <c:v>CZE</c:v>
                </c:pt>
                <c:pt idx="7">
                  <c:v>CHE</c:v>
                </c:pt>
                <c:pt idx="8">
                  <c:v>ESP</c:v>
                </c:pt>
                <c:pt idx="9">
                  <c:v>FRA</c:v>
                </c:pt>
                <c:pt idx="10">
                  <c:v>BEL</c:v>
                </c:pt>
                <c:pt idx="11">
                  <c:v>ITA</c:v>
                </c:pt>
                <c:pt idx="12">
                  <c:v>DEU</c:v>
                </c:pt>
                <c:pt idx="13">
                  <c:v>CAN</c:v>
                </c:pt>
                <c:pt idx="14">
                  <c:v>JPN</c:v>
                </c:pt>
                <c:pt idx="15">
                  <c:v>SGP</c:v>
                </c:pt>
                <c:pt idx="16">
                  <c:v>AUS</c:v>
                </c:pt>
                <c:pt idx="17">
                  <c:v>GBR</c:v>
                </c:pt>
                <c:pt idx="18">
                  <c:v>AEs</c:v>
                </c:pt>
                <c:pt idx="19">
                  <c:v>NZL</c:v>
                </c:pt>
                <c:pt idx="20">
                  <c:v>USA</c:v>
                </c:pt>
              </c:strCache>
            </c:strRef>
          </c:cat>
          <c:val>
            <c:numRef>
              <c:f>Figure!$F$5:$F$25</c:f>
              <c:numCache>
                <c:formatCode>0.0</c:formatCode>
                <c:ptCount val="21"/>
                <c:pt idx="0">
                  <c:v>7.5063044523349678</c:v>
                </c:pt>
                <c:pt idx="1">
                  <c:v>4.2599349176609804</c:v>
                </c:pt>
                <c:pt idx="2">
                  <c:v>5.28521051880087</c:v>
                </c:pt>
                <c:pt idx="3">
                  <c:v>10.179516474526345</c:v>
                </c:pt>
                <c:pt idx="4">
                  <c:v>8.1564635581756626</c:v>
                </c:pt>
                <c:pt idx="5">
                  <c:v>13.583619376592043</c:v>
                </c:pt>
                <c:pt idx="6">
                  <c:v>15.434775591372787</c:v>
                </c:pt>
                <c:pt idx="7">
                  <c:v>6.237931152905051</c:v>
                </c:pt>
                <c:pt idx="8">
                  <c:v>14.396647785309682</c:v>
                </c:pt>
                <c:pt idx="9">
                  <c:v>15.611400406291638</c:v>
                </c:pt>
                <c:pt idx="10">
                  <c:v>11.811260067931427</c:v>
                </c:pt>
                <c:pt idx="11">
                  <c:v>35.253800114434831</c:v>
                </c:pt>
                <c:pt idx="12">
                  <c:v>27.798201204598719</c:v>
                </c:pt>
                <c:pt idx="13">
                  <c:v>4.0198524451002031</c:v>
                </c:pt>
                <c:pt idx="14">
                  <c:v>28.307927926457264</c:v>
                </c:pt>
                <c:pt idx="15">
                  <c:v>4.6898725825572125</c:v>
                </c:pt>
                <c:pt idx="16">
                  <c:v>1.7777028320837776</c:v>
                </c:pt>
                <c:pt idx="17">
                  <c:v>16.137840823152928</c:v>
                </c:pt>
                <c:pt idx="18">
                  <c:v>11.340809852312404</c:v>
                </c:pt>
                <c:pt idx="19">
                  <c:v>2.7792096486706375</c:v>
                </c:pt>
                <c:pt idx="20">
                  <c:v>2.4363736250612082</c:v>
                </c:pt>
              </c:numCache>
            </c:numRef>
          </c:val>
          <c:extLst>
            <c:ext xmlns:c16="http://schemas.microsoft.com/office/drawing/2014/chart" uri="{C3380CC4-5D6E-409C-BE32-E72D297353CC}">
              <c16:uniqueId val="{00000001-806A-4CF4-85D4-68B919058191}"/>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Figure!$E$28</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Figure!$C$29:$C$54</c15:sqref>
                  </c15:fullRef>
                </c:ext>
              </c:extLst>
              <c:f>(Figure!$C$29:$C$30,Figure!$C$32:$C$36,Figure!$C$39:$C$47,Figure!$C$49:$C$54)</c:f>
              <c:strCache>
                <c:ptCount val="22"/>
                <c:pt idx="0">
                  <c:v>MEX</c:v>
                </c:pt>
                <c:pt idx="1">
                  <c:v>EGY</c:v>
                </c:pt>
                <c:pt idx="2">
                  <c:v>PAK</c:v>
                </c:pt>
                <c:pt idx="3">
                  <c:v>ALB</c:v>
                </c:pt>
                <c:pt idx="4">
                  <c:v>SAU</c:v>
                </c:pt>
                <c:pt idx="5">
                  <c:v>ROU</c:v>
                </c:pt>
                <c:pt idx="6">
                  <c:v>KAZ</c:v>
                </c:pt>
                <c:pt idx="7">
                  <c:v>PHL</c:v>
                </c:pt>
                <c:pt idx="8">
                  <c:v>IND</c:v>
                </c:pt>
                <c:pt idx="9">
                  <c:v>ARG</c:v>
                </c:pt>
                <c:pt idx="10">
                  <c:v>EMMIEs</c:v>
                </c:pt>
                <c:pt idx="11">
                  <c:v>COL</c:v>
                </c:pt>
                <c:pt idx="12">
                  <c:v>RUS</c:v>
                </c:pt>
                <c:pt idx="13">
                  <c:v>BGR</c:v>
                </c:pt>
                <c:pt idx="14">
                  <c:v>IDN</c:v>
                </c:pt>
                <c:pt idx="15">
                  <c:v>CHN</c:v>
                </c:pt>
                <c:pt idx="16">
                  <c:v>GEO</c:v>
                </c:pt>
                <c:pt idx="17">
                  <c:v>PER</c:v>
                </c:pt>
                <c:pt idx="18">
                  <c:v>POL</c:v>
                </c:pt>
                <c:pt idx="19">
                  <c:v>CHL</c:v>
                </c:pt>
                <c:pt idx="20">
                  <c:v>THA</c:v>
                </c:pt>
                <c:pt idx="21">
                  <c:v>BRA</c:v>
                </c:pt>
              </c:strCache>
            </c:strRef>
          </c:cat>
          <c:val>
            <c:numRef>
              <c:extLst>
                <c:ext xmlns:c15="http://schemas.microsoft.com/office/drawing/2012/chart" uri="{02D57815-91ED-43cb-92C2-25804820EDAC}">
                  <c15:fullRef>
                    <c15:sqref>Figure!$E$29:$E$54</c15:sqref>
                  </c15:fullRef>
                </c:ext>
              </c:extLst>
              <c:f>(Figure!$E$29:$E$30,Figure!$E$32:$E$36,Figure!$E$39:$E$47,Figure!$E$49:$E$54)</c:f>
              <c:numCache>
                <c:formatCode>0.0</c:formatCode>
                <c:ptCount val="22"/>
                <c:pt idx="0">
                  <c:v>0.65305702953176115</c:v>
                </c:pt>
                <c:pt idx="1">
                  <c:v>1.574089347079038</c:v>
                </c:pt>
                <c:pt idx="2">
                  <c:v>1.9843417699892416</c:v>
                </c:pt>
                <c:pt idx="3">
                  <c:v>2.0343675320227348</c:v>
                </c:pt>
                <c:pt idx="4">
                  <c:v>2.1896957349419446</c:v>
                </c:pt>
                <c:pt idx="5">
                  <c:v>2.1921970390172185</c:v>
                </c:pt>
                <c:pt idx="6">
                  <c:v>2.4070002533138202</c:v>
                </c:pt>
                <c:pt idx="7">
                  <c:v>2.7074990380228656</c:v>
                </c:pt>
                <c:pt idx="8">
                  <c:v>3.3272371919763746</c:v>
                </c:pt>
                <c:pt idx="9">
                  <c:v>3.9163603885121869</c:v>
                </c:pt>
                <c:pt idx="10">
                  <c:v>3.9756797133227666</c:v>
                </c:pt>
                <c:pt idx="11">
                  <c:v>4.1023970987056488</c:v>
                </c:pt>
                <c:pt idx="12">
                  <c:v>4.2999213932345643</c:v>
                </c:pt>
                <c:pt idx="13">
                  <c:v>4.4879053764907351</c:v>
                </c:pt>
                <c:pt idx="14">
                  <c:v>4.5321570570531771</c:v>
                </c:pt>
                <c:pt idx="15">
                  <c:v>4.826837214914927</c:v>
                </c:pt>
                <c:pt idx="16">
                  <c:v>6.1492492800160736</c:v>
                </c:pt>
                <c:pt idx="17">
                  <c:v>7.2951720710437984</c:v>
                </c:pt>
                <c:pt idx="18">
                  <c:v>7.7899461099728065</c:v>
                </c:pt>
                <c:pt idx="19">
                  <c:v>8.203796324418871</c:v>
                </c:pt>
                <c:pt idx="20">
                  <c:v>8.2149797800053879</c:v>
                </c:pt>
                <c:pt idx="21">
                  <c:v>8.8146148865888687</c:v>
                </c:pt>
              </c:numCache>
            </c:numRef>
          </c:val>
          <c:extLst>
            <c:ext xmlns:c16="http://schemas.microsoft.com/office/drawing/2014/chart" uri="{C3380CC4-5D6E-409C-BE32-E72D297353CC}">
              <c16:uniqueId val="{00000000-D8E7-4EF1-969A-F5BDC93DECE0}"/>
            </c:ext>
          </c:extLst>
        </c:ser>
        <c:ser>
          <c:idx val="1"/>
          <c:order val="1"/>
          <c:tx>
            <c:strRef>
              <c:f>Figure!$F$28</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Figure!$C$29:$C$54</c15:sqref>
                  </c15:fullRef>
                </c:ext>
              </c:extLst>
              <c:f>(Figure!$C$29:$C$30,Figure!$C$32:$C$36,Figure!$C$39:$C$47,Figure!$C$49:$C$54)</c:f>
              <c:strCache>
                <c:ptCount val="22"/>
                <c:pt idx="0">
                  <c:v>MEX</c:v>
                </c:pt>
                <c:pt idx="1">
                  <c:v>EGY</c:v>
                </c:pt>
                <c:pt idx="2">
                  <c:v>PAK</c:v>
                </c:pt>
                <c:pt idx="3">
                  <c:v>ALB</c:v>
                </c:pt>
                <c:pt idx="4">
                  <c:v>SAU</c:v>
                </c:pt>
                <c:pt idx="5">
                  <c:v>ROU</c:v>
                </c:pt>
                <c:pt idx="6">
                  <c:v>KAZ</c:v>
                </c:pt>
                <c:pt idx="7">
                  <c:v>PHL</c:v>
                </c:pt>
                <c:pt idx="8">
                  <c:v>IND</c:v>
                </c:pt>
                <c:pt idx="9">
                  <c:v>ARG</c:v>
                </c:pt>
                <c:pt idx="10">
                  <c:v>EMMIEs</c:v>
                </c:pt>
                <c:pt idx="11">
                  <c:v>COL</c:v>
                </c:pt>
                <c:pt idx="12">
                  <c:v>RUS</c:v>
                </c:pt>
                <c:pt idx="13">
                  <c:v>BGR</c:v>
                </c:pt>
                <c:pt idx="14">
                  <c:v>IDN</c:v>
                </c:pt>
                <c:pt idx="15">
                  <c:v>CHN</c:v>
                </c:pt>
                <c:pt idx="16">
                  <c:v>GEO</c:v>
                </c:pt>
                <c:pt idx="17">
                  <c:v>PER</c:v>
                </c:pt>
                <c:pt idx="18">
                  <c:v>POL</c:v>
                </c:pt>
                <c:pt idx="19">
                  <c:v>CHL</c:v>
                </c:pt>
                <c:pt idx="20">
                  <c:v>THA</c:v>
                </c:pt>
                <c:pt idx="21">
                  <c:v>BRA</c:v>
                </c:pt>
              </c:strCache>
            </c:strRef>
          </c:cat>
          <c:val>
            <c:numRef>
              <c:extLst>
                <c:ext xmlns:c15="http://schemas.microsoft.com/office/drawing/2012/chart" uri="{02D57815-91ED-43cb-92C2-25804820EDAC}">
                  <c15:fullRef>
                    <c15:sqref>Figure!$F$29:$F$54</c15:sqref>
                  </c15:fullRef>
                </c:ext>
              </c:extLst>
              <c:f>(Figure!$F$29:$F$30,Figure!$F$32:$F$36,Figure!$F$39:$F$47,Figure!$F$49:$F$54)</c:f>
              <c:numCache>
                <c:formatCode>0.0</c:formatCode>
                <c:ptCount val="22"/>
                <c:pt idx="0">
                  <c:v>1.1949646176134145</c:v>
                </c:pt>
                <c:pt idx="1">
                  <c:v>0.12783505154639177</c:v>
                </c:pt>
                <c:pt idx="2">
                  <c:v>0</c:v>
                </c:pt>
                <c:pt idx="3">
                  <c:v>1.5828811297758891</c:v>
                </c:pt>
                <c:pt idx="4">
                  <c:v>0.83634212098477045</c:v>
                </c:pt>
                <c:pt idx="5">
                  <c:v>4.365331495086461</c:v>
                </c:pt>
                <c:pt idx="6">
                  <c:v>3.0858977606587432</c:v>
                </c:pt>
                <c:pt idx="7">
                  <c:v>0.91399649054275101</c:v>
                </c:pt>
                <c:pt idx="8">
                  <c:v>5.1010509461783222</c:v>
                </c:pt>
                <c:pt idx="9">
                  <c:v>1.9689364210004481</c:v>
                </c:pt>
                <c:pt idx="10">
                  <c:v>2.5330741185270416</c:v>
                </c:pt>
                <c:pt idx="11">
                  <c:v>5.7164116430793541</c:v>
                </c:pt>
                <c:pt idx="12">
                  <c:v>1.4698902319368594</c:v>
                </c:pt>
                <c:pt idx="13">
                  <c:v>3.9338324767950277</c:v>
                </c:pt>
                <c:pt idx="14">
                  <c:v>0.87565550573371964</c:v>
                </c:pt>
                <c:pt idx="15">
                  <c:v>1.3090728988248068</c:v>
                </c:pt>
                <c:pt idx="16">
                  <c:v>1.8940136940058156E-4</c:v>
                </c:pt>
                <c:pt idx="17">
                  <c:v>11.441920670285963</c:v>
                </c:pt>
                <c:pt idx="18">
                  <c:v>5.3515419259646979</c:v>
                </c:pt>
                <c:pt idx="19">
                  <c:v>1.780502489745116</c:v>
                </c:pt>
                <c:pt idx="20">
                  <c:v>4.2348539175996773</c:v>
                </c:pt>
                <c:pt idx="21">
                  <c:v>6.1507617357903435</c:v>
                </c:pt>
              </c:numCache>
            </c:numRef>
          </c:val>
          <c:extLst>
            <c:ext xmlns:c16="http://schemas.microsoft.com/office/drawing/2014/chart" uri="{C3380CC4-5D6E-409C-BE32-E72D297353CC}">
              <c16:uniqueId val="{00000001-D8E7-4EF1-969A-F5BDC93DECE0}"/>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Figure!$E$57</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Figure!$C$58:$C$72</c:f>
              <c:strCache>
                <c:ptCount val="15"/>
                <c:pt idx="0">
                  <c:v>NGA</c:v>
                </c:pt>
                <c:pt idx="1">
                  <c:v>NER</c:v>
                </c:pt>
                <c:pt idx="2">
                  <c:v>MMR</c:v>
                </c:pt>
                <c:pt idx="3">
                  <c:v>BGD</c:v>
                </c:pt>
                <c:pt idx="4">
                  <c:v>VNM</c:v>
                </c:pt>
                <c:pt idx="5">
                  <c:v>CIV</c:v>
                </c:pt>
                <c:pt idx="6">
                  <c:v>LIDCs</c:v>
                </c:pt>
                <c:pt idx="7">
                  <c:v>ZMB</c:v>
                </c:pt>
                <c:pt idx="8">
                  <c:v>HND</c:v>
                </c:pt>
                <c:pt idx="9">
                  <c:v>KEN</c:v>
                </c:pt>
                <c:pt idx="10">
                  <c:v>ETH</c:v>
                </c:pt>
                <c:pt idx="11">
                  <c:v>GHA</c:v>
                </c:pt>
                <c:pt idx="12">
                  <c:v>SEN</c:v>
                </c:pt>
                <c:pt idx="13">
                  <c:v>UZB</c:v>
                </c:pt>
                <c:pt idx="14">
                  <c:v>GNB</c:v>
                </c:pt>
              </c:strCache>
            </c:strRef>
          </c:cat>
          <c:val>
            <c:numRef>
              <c:f>Figure!$E$58:$E$72</c:f>
              <c:numCache>
                <c:formatCode>0.0</c:formatCode>
                <c:ptCount val="15"/>
                <c:pt idx="0">
                  <c:v>0.32414423413312488</c:v>
                </c:pt>
                <c:pt idx="1">
                  <c:v>0.74293024848976019</c:v>
                </c:pt>
                <c:pt idx="2">
                  <c:v>1.0703188666181747</c:v>
                </c:pt>
                <c:pt idx="3">
                  <c:v>1.4028990372097725</c:v>
                </c:pt>
                <c:pt idx="4">
                  <c:v>1.4121377105319763</c:v>
                </c:pt>
                <c:pt idx="5">
                  <c:v>1.5</c:v>
                </c:pt>
                <c:pt idx="6">
                  <c:v>1.6192523198422666</c:v>
                </c:pt>
                <c:pt idx="7">
                  <c:v>2.0903179195391677</c:v>
                </c:pt>
                <c:pt idx="8">
                  <c:v>2.3052893466850186</c:v>
                </c:pt>
                <c:pt idx="9">
                  <c:v>2.3715759753939869</c:v>
                </c:pt>
                <c:pt idx="10">
                  <c:v>2.4597335906408286</c:v>
                </c:pt>
                <c:pt idx="11">
                  <c:v>2.9239899759982846</c:v>
                </c:pt>
                <c:pt idx="12">
                  <c:v>3.1505560680365163</c:v>
                </c:pt>
                <c:pt idx="13">
                  <c:v>4.4294827387285496</c:v>
                </c:pt>
                <c:pt idx="14">
                  <c:v>5.0943233405659045</c:v>
                </c:pt>
              </c:numCache>
            </c:numRef>
          </c:val>
          <c:extLst>
            <c:ext xmlns:c16="http://schemas.microsoft.com/office/drawing/2014/chart" uri="{C3380CC4-5D6E-409C-BE32-E72D297353CC}">
              <c16:uniqueId val="{00000000-04DC-49B2-822D-D732F6601FBF}"/>
            </c:ext>
          </c:extLst>
        </c:ser>
        <c:ser>
          <c:idx val="1"/>
          <c:order val="1"/>
          <c:tx>
            <c:strRef>
              <c:f>Figure!$F$57</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Figure!$C$58:$C$72</c:f>
              <c:strCache>
                <c:ptCount val="15"/>
                <c:pt idx="0">
                  <c:v>NGA</c:v>
                </c:pt>
                <c:pt idx="1">
                  <c:v>NER</c:v>
                </c:pt>
                <c:pt idx="2">
                  <c:v>MMR</c:v>
                </c:pt>
                <c:pt idx="3">
                  <c:v>BGD</c:v>
                </c:pt>
                <c:pt idx="4">
                  <c:v>VNM</c:v>
                </c:pt>
                <c:pt idx="5">
                  <c:v>CIV</c:v>
                </c:pt>
                <c:pt idx="6">
                  <c:v>LIDCs</c:v>
                </c:pt>
                <c:pt idx="7">
                  <c:v>ZMB</c:v>
                </c:pt>
                <c:pt idx="8">
                  <c:v>HND</c:v>
                </c:pt>
                <c:pt idx="9">
                  <c:v>KEN</c:v>
                </c:pt>
                <c:pt idx="10">
                  <c:v>ETH</c:v>
                </c:pt>
                <c:pt idx="11">
                  <c:v>GHA</c:v>
                </c:pt>
                <c:pt idx="12">
                  <c:v>SEN</c:v>
                </c:pt>
                <c:pt idx="13">
                  <c:v>UZB</c:v>
                </c:pt>
                <c:pt idx="14">
                  <c:v>GNB</c:v>
                </c:pt>
              </c:strCache>
            </c:strRef>
          </c:cat>
          <c:val>
            <c:numRef>
              <c:f>Figure!$F$58:$F$72</c:f>
              <c:numCache>
                <c:formatCode>0.0</c:formatCode>
                <c:ptCount val="15"/>
                <c:pt idx="0">
                  <c:v>0</c:v>
                </c:pt>
                <c:pt idx="1">
                  <c:v>1.2701833620956746</c:v>
                </c:pt>
                <c:pt idx="2">
                  <c:v>0.94000406954615656</c:v>
                </c:pt>
                <c:pt idx="3">
                  <c:v>7.2073015476377969E-2</c:v>
                </c:pt>
                <c:pt idx="4">
                  <c:v>0.48027595990526362</c:v>
                </c:pt>
                <c:pt idx="5">
                  <c:v>0</c:v>
                </c:pt>
                <c:pt idx="6">
                  <c:v>0.19264109669921492</c:v>
                </c:pt>
                <c:pt idx="7">
                  <c:v>0.26496987712468323</c:v>
                </c:pt>
                <c:pt idx="8">
                  <c:v>2.114594455874677</c:v>
                </c:pt>
                <c:pt idx="9">
                  <c:v>0</c:v>
                </c:pt>
                <c:pt idx="10">
                  <c:v>0.62234223377659526</c:v>
                </c:pt>
                <c:pt idx="11">
                  <c:v>0.31328464028553049</c:v>
                </c:pt>
                <c:pt idx="12">
                  <c:v>0.4981678896827561</c:v>
                </c:pt>
                <c:pt idx="13">
                  <c:v>1.3271212874789819</c:v>
                </c:pt>
                <c:pt idx="14">
                  <c:v>1.8202679873389367</c:v>
                </c:pt>
              </c:numCache>
            </c:numRef>
          </c:val>
          <c:extLst>
            <c:ext xmlns:c16="http://schemas.microsoft.com/office/drawing/2014/chart" uri="{C3380CC4-5D6E-409C-BE32-E72D297353CC}">
              <c16:uniqueId val="{00000001-04DC-49B2-822D-D732F6601FBF}"/>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411070</xdr:colOff>
      <xdr:row>4</xdr:row>
      <xdr:rowOff>124943</xdr:rowOff>
    </xdr:from>
    <xdr:to>
      <xdr:col>17</xdr:col>
      <xdr:colOff>245970</xdr:colOff>
      <xdr:row>24</xdr:row>
      <xdr:rowOff>153518</xdr:rowOff>
    </xdr:to>
    <xdr:graphicFrame macro="">
      <xdr:nvGraphicFramePr>
        <xdr:cNvPr id="2" name="Chart 1">
          <a:extLst>
            <a:ext uri="{FF2B5EF4-FFF2-40B4-BE49-F238E27FC236}">
              <a16:creationId xmlns:a16="http://schemas.microsoft.com/office/drawing/2014/main" id="{3E66FEFB-823E-4D29-8D85-63032C60E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4</xdr:row>
      <xdr:rowOff>152400</xdr:rowOff>
    </xdr:from>
    <xdr:to>
      <xdr:col>25</xdr:col>
      <xdr:colOff>104775</xdr:colOff>
      <xdr:row>24</xdr:row>
      <xdr:rowOff>152400</xdr:rowOff>
    </xdr:to>
    <xdr:graphicFrame macro="">
      <xdr:nvGraphicFramePr>
        <xdr:cNvPr id="3" name="Chart 2">
          <a:extLst>
            <a:ext uri="{FF2B5EF4-FFF2-40B4-BE49-F238E27FC236}">
              <a16:creationId xmlns:a16="http://schemas.microsoft.com/office/drawing/2014/main" id="{FCF79611-F59B-4F0D-AB47-0AF1F50BB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409575</xdr:colOff>
      <xdr:row>5</xdr:row>
      <xdr:rowOff>0</xdr:rowOff>
    </xdr:from>
    <xdr:to>
      <xdr:col>32</xdr:col>
      <xdr:colOff>482600</xdr:colOff>
      <xdr:row>24</xdr:row>
      <xdr:rowOff>133350</xdr:rowOff>
    </xdr:to>
    <xdr:graphicFrame macro="">
      <xdr:nvGraphicFramePr>
        <xdr:cNvPr id="4" name="Chart 3">
          <a:extLst>
            <a:ext uri="{FF2B5EF4-FFF2-40B4-BE49-F238E27FC236}">
              <a16:creationId xmlns:a16="http://schemas.microsoft.com/office/drawing/2014/main" id="{CB97B089-B018-401B-8EB6-5B39A047D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447675</xdr:colOff>
      <xdr:row>0</xdr:row>
      <xdr:rowOff>123825</xdr:rowOff>
    </xdr:from>
    <xdr:to>
      <xdr:col>18</xdr:col>
      <xdr:colOff>354806</xdr:colOff>
      <xdr:row>5</xdr:row>
      <xdr:rowOff>85725</xdr:rowOff>
    </xdr:to>
    <xdr:sp macro="" textlink="">
      <xdr:nvSpPr>
        <xdr:cNvPr id="5" name="TextBox 4">
          <a:extLst>
            <a:ext uri="{FF2B5EF4-FFF2-40B4-BE49-F238E27FC236}">
              <a16:creationId xmlns:a16="http://schemas.microsoft.com/office/drawing/2014/main" id="{B4069947-A8B8-4674-9A8C-B7077787E92F}"/>
            </a:ext>
          </a:extLst>
        </xdr:cNvPr>
        <xdr:cNvSpPr txBox="1"/>
      </xdr:nvSpPr>
      <xdr:spPr>
        <a:xfrm>
          <a:off x="5915025" y="123825"/>
          <a:ext cx="502205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7030A0"/>
              </a:solidFill>
              <a:latin typeface="HelveticaNeueLT Std" panose="020B0604020202020204"/>
            </a:rPr>
            <a:t>Figure 1. Discretionary Fiscal Response to the COVID-19</a:t>
          </a:r>
          <a:r>
            <a:rPr lang="en-US" sz="1300" b="1" baseline="0">
              <a:solidFill>
                <a:srgbClr val="7030A0"/>
              </a:solidFill>
              <a:latin typeface="HelveticaNeueLT Std" panose="020B0604020202020204"/>
            </a:rPr>
            <a:t> Crisis in Selected Economies</a:t>
          </a:r>
          <a:endParaRPr lang="en-US" sz="1300" b="1">
            <a:solidFill>
              <a:srgbClr val="7030A0"/>
            </a:solidFill>
            <a:latin typeface="HelveticaNeueLT Std" panose="020B0604020202020204"/>
          </a:endParaRPr>
        </a:p>
        <a:p>
          <a:r>
            <a:rPr lang="en-US" sz="1300" b="0" i="1">
              <a:solidFill>
                <a:srgbClr val="7030A0"/>
              </a:solidFill>
              <a:latin typeface="HelveticaNeueLT Std" panose="020B0604020202020204"/>
            </a:rPr>
            <a:t>(Percent of GDP)</a:t>
          </a:r>
        </a:p>
      </xdr:txBody>
    </xdr:sp>
    <xdr:clientData/>
  </xdr:twoCellAnchor>
  <xdr:twoCellAnchor>
    <xdr:from>
      <xdr:col>10</xdr:col>
      <xdr:colOff>28575</xdr:colOff>
      <xdr:row>25</xdr:row>
      <xdr:rowOff>104775</xdr:rowOff>
    </xdr:from>
    <xdr:to>
      <xdr:col>22</xdr:col>
      <xdr:colOff>6804</xdr:colOff>
      <xdr:row>33</xdr:row>
      <xdr:rowOff>32657</xdr:rowOff>
    </xdr:to>
    <xdr:sp macro="" textlink="">
      <xdr:nvSpPr>
        <xdr:cNvPr id="6" name="TextBox 5">
          <a:extLst>
            <a:ext uri="{FF2B5EF4-FFF2-40B4-BE49-F238E27FC236}">
              <a16:creationId xmlns:a16="http://schemas.microsoft.com/office/drawing/2014/main" id="{13BE4A18-8355-4B25-A61E-627FB60C8BE1}"/>
            </a:ext>
          </a:extLst>
        </xdr:cNvPr>
        <xdr:cNvSpPr txBox="1"/>
      </xdr:nvSpPr>
      <xdr:spPr>
        <a:xfrm>
          <a:off x="6105525" y="4181475"/>
          <a:ext cx="6921954"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Sources: Database of Country Fiscal Measures in Response to the COVID-19 Pandemic; and IMF staff estimates.</a:t>
          </a:r>
        </a:p>
        <a:p>
          <a:r>
            <a:rPr lang="en-US" sz="1000">
              <a:solidFill>
                <a:schemeClr val="dk1"/>
              </a:solidFill>
              <a:effectLst/>
              <a:latin typeface="+mn-lt"/>
              <a:ea typeface="+mn-ea"/>
              <a:cs typeface="+mn-cs"/>
            </a:rPr>
            <a:t>Note: Estimates as of March 17, 2021. Numbers in U.S. dollar and percent of GDP are based on April 2021 World Economic Outlook Update unless otherwise stated. Country group averages are weighted by GDP in US dollars adjusted by purchasing power parity. Data labels use International Organization for Standardization country codes. AEs = advanced economies; EMMIEs = emerging market and middle-income economies; LIDCs = low-income developing countries.</a:t>
          </a:r>
          <a:endParaRPr lang="en-US" sz="1000" b="0" i="1">
            <a:solidFill>
              <a:srgbClr val="7030A0"/>
            </a:solidFill>
            <a:latin typeface="HelveticaNeueLT Std" panose="020B0604020202020204"/>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0.85986</cdr:x>
      <cdr:y>0.875</cdr:y>
    </cdr:from>
    <cdr:to>
      <cdr:x>0.89986</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731980"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0.48199</cdr:x>
      <cdr:y>0.82857</cdr:y>
    </cdr:from>
    <cdr:to>
      <cdr:x>0.52199</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107255" y="2683324"/>
          <a:ext cx="174879" cy="555176"/>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0.44837</cdr:x>
      <cdr:y>0.875</cdr:y>
    </cdr:from>
    <cdr:to>
      <cdr:x>0.48837</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1946032"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570C-5803-4B75-9858-3B63669B70C2}">
  <sheetPr>
    <tabColor rgb="FFFF0000"/>
    <pageSetUpPr fitToPage="1"/>
  </sheetPr>
  <dimension ref="A2:Z198"/>
  <sheetViews>
    <sheetView tabSelected="1" view="pageBreakPreview" zoomScale="110" zoomScaleNormal="100" zoomScaleSheetLayoutView="70" workbookViewId="0">
      <pane ySplit="5" topLeftCell="A34" activePane="bottomLeft" state="frozen"/>
      <selection activeCell="H218" sqref="H218"/>
      <selection pane="bottomLeft" activeCell="I36" sqref="I36:I38"/>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30" customWidth="1"/>
    <col min="4" max="4" width="5.81640625" style="187" customWidth="1"/>
    <col min="5" max="5" width="1.453125" style="12" customWidth="1"/>
    <col min="6" max="6" width="4" style="11" bestFit="1" customWidth="1"/>
    <col min="7" max="7" width="10.54296875" style="128" customWidth="1"/>
    <col min="8" max="8" width="7.54296875" style="2" customWidth="1"/>
    <col min="9" max="9" width="31.54296875" style="12" customWidth="1"/>
    <col min="10" max="10" width="8.453125" style="12" customWidth="1"/>
    <col min="11" max="11" width="68.81640625" style="11" customWidth="1"/>
    <col min="12" max="12" width="9" style="11" customWidth="1"/>
    <col min="13" max="13" width="36.54296875" style="11" customWidth="1"/>
    <col min="14" max="14" width="1.453125" style="12" customWidth="1"/>
    <col min="15" max="15" width="4" style="11" bestFit="1" customWidth="1"/>
    <col min="16" max="16" width="9.453125" style="12" customWidth="1"/>
    <col min="17" max="17" width="8.453125" style="129" customWidth="1"/>
    <col min="18" max="18" width="32.1796875" style="11" customWidth="1"/>
    <col min="19" max="19" width="1.453125" style="12" customWidth="1"/>
    <col min="20" max="20" width="4" style="11" bestFit="1" customWidth="1"/>
    <col min="21" max="21" width="8.54296875" style="128" bestFit="1" customWidth="1"/>
    <col min="22" max="22" width="37.453125" style="11" customWidth="1"/>
    <col min="23" max="23" width="9" style="11" customWidth="1"/>
    <col min="24" max="24" width="37.1796875" style="11" customWidth="1"/>
    <col min="25" max="25" width="9.54296875" style="11" hidden="1" customWidth="1"/>
    <col min="26" max="26" width="2.54296875" style="12" customWidth="1"/>
    <col min="27" max="16384" width="8.54296875" style="2"/>
  </cols>
  <sheetData>
    <row r="2" spans="1:26" ht="21.65" customHeight="1">
      <c r="A2" s="1"/>
      <c r="C2" s="3" t="s">
        <v>0</v>
      </c>
      <c r="D2" s="3"/>
      <c r="E2" s="4"/>
      <c r="F2" s="5"/>
      <c r="G2" s="6"/>
      <c r="H2" s="7"/>
      <c r="I2" s="4"/>
      <c r="J2" s="4"/>
      <c r="K2" s="8"/>
      <c r="L2" s="8"/>
      <c r="M2" s="8"/>
      <c r="N2" s="4"/>
      <c r="O2" s="8"/>
      <c r="P2" s="4"/>
      <c r="Q2" s="9"/>
      <c r="R2" s="8"/>
      <c r="S2" s="4"/>
      <c r="T2" s="8"/>
      <c r="U2" s="10"/>
      <c r="V2" s="8"/>
      <c r="W2" s="8"/>
      <c r="X2" s="8"/>
    </row>
    <row r="3" spans="1:26" ht="116.15" customHeight="1" outlineLevel="1">
      <c r="A3" s="1"/>
      <c r="C3" s="210" t="s">
        <v>1</v>
      </c>
      <c r="D3" s="210"/>
      <c r="E3" s="210"/>
      <c r="F3" s="210"/>
      <c r="G3" s="210"/>
      <c r="H3" s="210"/>
      <c r="I3" s="210"/>
      <c r="J3" s="210"/>
      <c r="K3" s="210"/>
      <c r="L3" s="210"/>
      <c r="M3" s="210"/>
      <c r="N3" s="210"/>
      <c r="O3" s="210"/>
      <c r="P3" s="210"/>
      <c r="Q3" s="210"/>
      <c r="R3" s="210"/>
      <c r="S3" s="210"/>
      <c r="T3" s="210"/>
      <c r="U3" s="210"/>
      <c r="V3" s="210"/>
      <c r="W3" s="210"/>
      <c r="X3" s="210"/>
    </row>
    <row r="4" spans="1:26" ht="13" customHeight="1">
      <c r="A4" s="13"/>
      <c r="B4" s="13"/>
      <c r="C4" s="14"/>
      <c r="D4" s="14"/>
      <c r="F4" s="14"/>
      <c r="G4" s="15"/>
      <c r="H4" s="211" t="s">
        <v>2</v>
      </c>
      <c r="I4" s="211"/>
      <c r="J4" s="211"/>
      <c r="K4" s="211"/>
      <c r="L4" s="211"/>
      <c r="M4" s="211"/>
      <c r="O4" s="14"/>
      <c r="P4" s="16"/>
      <c r="Q4" s="212" t="s">
        <v>3</v>
      </c>
      <c r="R4" s="212"/>
      <c r="T4" s="212" t="s">
        <v>4</v>
      </c>
      <c r="U4" s="212"/>
      <c r="V4" s="212"/>
      <c r="W4" s="212"/>
      <c r="X4" s="212"/>
      <c r="Y4" s="17" t="s">
        <v>5</v>
      </c>
    </row>
    <row r="5" spans="1:26" s="29" customFormat="1" ht="58">
      <c r="A5" s="18" t="s">
        <v>6</v>
      </c>
      <c r="B5" s="19" t="s">
        <v>7</v>
      </c>
      <c r="C5" s="20" t="s">
        <v>8</v>
      </c>
      <c r="D5" s="21" t="s">
        <v>9</v>
      </c>
      <c r="E5" s="22"/>
      <c r="F5" s="23" t="s">
        <v>10</v>
      </c>
      <c r="G5" s="24" t="s">
        <v>11</v>
      </c>
      <c r="H5" s="25" t="s">
        <v>12</v>
      </c>
      <c r="I5" s="18" t="s">
        <v>13</v>
      </c>
      <c r="J5" s="25" t="s">
        <v>14</v>
      </c>
      <c r="K5" s="18" t="s">
        <v>15</v>
      </c>
      <c r="L5" s="18" t="s">
        <v>14</v>
      </c>
      <c r="M5" s="18" t="s">
        <v>16</v>
      </c>
      <c r="N5" s="22"/>
      <c r="O5" s="23" t="s">
        <v>10</v>
      </c>
      <c r="P5" s="26" t="s">
        <v>17</v>
      </c>
      <c r="Q5" s="27" t="s">
        <v>14</v>
      </c>
      <c r="R5" s="18" t="s">
        <v>18</v>
      </c>
      <c r="S5" s="22"/>
      <c r="T5" s="28" t="s">
        <v>10</v>
      </c>
      <c r="U5" s="27" t="s">
        <v>14</v>
      </c>
      <c r="V5" s="18" t="s">
        <v>19</v>
      </c>
      <c r="W5" s="18" t="s">
        <v>14</v>
      </c>
      <c r="X5" s="18" t="s">
        <v>20</v>
      </c>
      <c r="Y5" s="202" t="s">
        <v>21</v>
      </c>
      <c r="Z5" s="22"/>
    </row>
    <row r="6" spans="1:26" ht="152.5" customHeight="1">
      <c r="A6" s="213">
        <v>1</v>
      </c>
      <c r="B6" s="214" t="s">
        <v>22</v>
      </c>
      <c r="C6" s="215" t="s">
        <v>23</v>
      </c>
      <c r="D6" s="218" t="s">
        <v>24</v>
      </c>
      <c r="F6" s="30" t="s">
        <v>25</v>
      </c>
      <c r="G6" s="31">
        <v>317.60000000000002</v>
      </c>
      <c r="H6" s="32">
        <v>16.600000000000001</v>
      </c>
      <c r="I6" s="221" t="s">
        <v>26</v>
      </c>
      <c r="J6" s="31">
        <v>301</v>
      </c>
      <c r="K6" s="224" t="s">
        <v>27</v>
      </c>
      <c r="L6" s="33"/>
      <c r="M6" s="227"/>
      <c r="O6" s="30" t="s">
        <v>25</v>
      </c>
      <c r="P6" s="34">
        <v>35</v>
      </c>
      <c r="Q6" s="35">
        <v>15</v>
      </c>
      <c r="R6" s="230" t="s">
        <v>28</v>
      </c>
      <c r="T6" s="30" t="s">
        <v>25</v>
      </c>
      <c r="U6" s="31">
        <v>20</v>
      </c>
      <c r="V6" s="230" t="s">
        <v>29</v>
      </c>
      <c r="W6" s="190"/>
      <c r="X6" s="190"/>
      <c r="Y6" s="225" t="s">
        <v>30</v>
      </c>
    </row>
    <row r="7" spans="1:26" ht="105" customHeight="1">
      <c r="A7" s="214"/>
      <c r="B7" s="214"/>
      <c r="C7" s="216"/>
      <c r="D7" s="219"/>
      <c r="F7" s="30" t="s">
        <v>31</v>
      </c>
      <c r="G7" s="34">
        <v>219.27816741903561</v>
      </c>
      <c r="H7" s="32">
        <v>11.461012528828688</v>
      </c>
      <c r="I7" s="222"/>
      <c r="J7" s="34">
        <v>207.81715489020692</v>
      </c>
      <c r="K7" s="225"/>
      <c r="L7" s="188"/>
      <c r="M7" s="228"/>
      <c r="O7" s="30" t="s">
        <v>31</v>
      </c>
      <c r="P7" s="36">
        <v>24.164785452349641</v>
      </c>
      <c r="Q7" s="36">
        <v>10.356336622435562</v>
      </c>
      <c r="R7" s="225"/>
      <c r="T7" s="30" t="s">
        <v>31</v>
      </c>
      <c r="U7" s="37">
        <v>13.808448829914079</v>
      </c>
      <c r="V7" s="225"/>
      <c r="W7" s="190"/>
      <c r="X7" s="190"/>
      <c r="Y7" s="225"/>
    </row>
    <row r="8" spans="1:26" ht="199.5" customHeight="1">
      <c r="A8" s="214"/>
      <c r="B8" s="214"/>
      <c r="C8" s="217"/>
      <c r="D8" s="220"/>
      <c r="E8" s="4"/>
      <c r="F8" s="38" t="s">
        <v>32</v>
      </c>
      <c r="G8" s="39">
        <v>16.131383413423077</v>
      </c>
      <c r="H8" s="39">
        <v>0.84313905750259166</v>
      </c>
      <c r="I8" s="223"/>
      <c r="J8" s="39">
        <v>15.288244355920485</v>
      </c>
      <c r="K8" s="226"/>
      <c r="L8" s="189"/>
      <c r="M8" s="229"/>
      <c r="N8" s="4"/>
      <c r="O8" s="38" t="s">
        <v>32</v>
      </c>
      <c r="P8" s="40">
        <v>1.7777028320837773</v>
      </c>
      <c r="Q8" s="41">
        <v>0.76187264232161889</v>
      </c>
      <c r="R8" s="226"/>
      <c r="S8" s="4"/>
      <c r="T8" s="38" t="s">
        <v>32</v>
      </c>
      <c r="U8" s="42">
        <v>1.0158301897621587</v>
      </c>
      <c r="V8" s="226"/>
      <c r="W8" s="191"/>
      <c r="X8" s="191"/>
      <c r="Y8" s="226"/>
      <c r="Z8" s="4"/>
    </row>
    <row r="9" spans="1:26" ht="89.5" customHeight="1">
      <c r="A9" s="214">
        <v>1</v>
      </c>
      <c r="B9" s="214" t="s">
        <v>22</v>
      </c>
      <c r="C9" s="215" t="s">
        <v>33</v>
      </c>
      <c r="D9" s="219" t="s">
        <v>34</v>
      </c>
      <c r="E9" s="43"/>
      <c r="F9" s="44" t="s">
        <v>25</v>
      </c>
      <c r="G9" s="45">
        <v>322.7</v>
      </c>
      <c r="H9" s="45">
        <v>52.7</v>
      </c>
      <c r="I9" s="231" t="s">
        <v>35</v>
      </c>
      <c r="J9" s="45">
        <v>270</v>
      </c>
      <c r="K9" s="230" t="s">
        <v>36</v>
      </c>
      <c r="L9" s="45">
        <v>85</v>
      </c>
      <c r="M9" s="230" t="s">
        <v>37</v>
      </c>
      <c r="N9" s="43"/>
      <c r="O9" s="44" t="s">
        <v>25</v>
      </c>
      <c r="P9" s="46">
        <v>88.600000000000009</v>
      </c>
      <c r="Q9" s="47">
        <v>5.2</v>
      </c>
      <c r="R9" s="230" t="s">
        <v>38</v>
      </c>
      <c r="S9" s="43"/>
      <c r="T9" s="44" t="s">
        <v>25</v>
      </c>
      <c r="U9" s="48">
        <v>83.4</v>
      </c>
      <c r="V9" s="230" t="s">
        <v>39</v>
      </c>
      <c r="W9" s="194"/>
      <c r="X9" s="194"/>
      <c r="Y9" s="194"/>
      <c r="Z9" s="49"/>
    </row>
    <row r="10" spans="1:26" ht="98.5" customHeight="1">
      <c r="A10" s="214"/>
      <c r="B10" s="214"/>
      <c r="C10" s="216"/>
      <c r="D10" s="219"/>
      <c r="E10" s="11"/>
      <c r="F10" s="30" t="s">
        <v>31</v>
      </c>
      <c r="G10" s="34">
        <v>240.61391867109978</v>
      </c>
      <c r="H10" s="34">
        <v>39.294556907241891</v>
      </c>
      <c r="I10" s="232"/>
      <c r="J10" s="34">
        <v>201.3193617638579</v>
      </c>
      <c r="K10" s="225"/>
      <c r="L10" s="34">
        <v>63.378317592325629</v>
      </c>
      <c r="M10" s="225"/>
      <c r="N10" s="11"/>
      <c r="O10" s="30" t="s">
        <v>31</v>
      </c>
      <c r="P10" s="50">
        <v>66.062575749177071</v>
      </c>
      <c r="Q10" s="51">
        <v>3.8772617821187447</v>
      </c>
      <c r="R10" s="225"/>
      <c r="S10" s="11"/>
      <c r="T10" s="30" t="s">
        <v>31</v>
      </c>
      <c r="U10" s="34">
        <v>62.185313967058327</v>
      </c>
      <c r="V10" s="225"/>
      <c r="W10" s="190"/>
      <c r="X10" s="190"/>
      <c r="Y10" s="190"/>
    </row>
    <row r="11" spans="1:26" ht="140.15" customHeight="1">
      <c r="A11" s="214"/>
      <c r="B11" s="214"/>
      <c r="C11" s="217"/>
      <c r="D11" s="220"/>
      <c r="E11" s="8"/>
      <c r="F11" s="38" t="s">
        <v>32</v>
      </c>
      <c r="G11" s="39">
        <v>14.64115557600266</v>
      </c>
      <c r="H11" s="39">
        <v>2.3910409013180667</v>
      </c>
      <c r="I11" s="233"/>
      <c r="J11" s="39">
        <v>12.250114674684593</v>
      </c>
      <c r="K11" s="226"/>
      <c r="L11" s="39">
        <v>3.8565175827710756</v>
      </c>
      <c r="M11" s="226"/>
      <c r="N11" s="8"/>
      <c r="O11" s="38" t="s">
        <v>32</v>
      </c>
      <c r="P11" s="52">
        <v>4.0198524451002031</v>
      </c>
      <c r="Q11" s="41">
        <v>0.23592813447540698</v>
      </c>
      <c r="R11" s="226"/>
      <c r="S11" s="8"/>
      <c r="T11" s="38" t="s">
        <v>32</v>
      </c>
      <c r="U11" s="39">
        <v>3.7839243106247964</v>
      </c>
      <c r="V11" s="226"/>
      <c r="W11" s="191"/>
      <c r="X11" s="191"/>
      <c r="Y11" s="191"/>
      <c r="Z11" s="4"/>
    </row>
    <row r="12" spans="1:26" ht="169.5" customHeight="1">
      <c r="A12" s="214" t="s">
        <v>40</v>
      </c>
      <c r="B12" s="214" t="s">
        <v>40</v>
      </c>
      <c r="C12" s="215" t="s">
        <v>41</v>
      </c>
      <c r="D12" s="219"/>
      <c r="E12" s="43"/>
      <c r="F12" s="30" t="s">
        <v>25</v>
      </c>
      <c r="G12" s="45">
        <v>427.85</v>
      </c>
      <c r="H12" s="48">
        <v>0.05</v>
      </c>
      <c r="I12" s="231" t="s">
        <v>42</v>
      </c>
      <c r="J12" s="45">
        <v>427.8</v>
      </c>
      <c r="K12" s="230" t="s">
        <v>43</v>
      </c>
      <c r="L12" s="194"/>
      <c r="M12" s="194"/>
      <c r="N12" s="43"/>
      <c r="O12" s="30" t="s">
        <v>25</v>
      </c>
      <c r="P12" s="46">
        <v>765</v>
      </c>
      <c r="Q12" s="53">
        <v>700</v>
      </c>
      <c r="R12" s="234" t="s">
        <v>44</v>
      </c>
      <c r="S12" s="43"/>
      <c r="T12" s="30" t="s">
        <v>25</v>
      </c>
      <c r="U12" s="45">
        <v>65</v>
      </c>
      <c r="V12" s="230" t="s">
        <v>45</v>
      </c>
      <c r="W12" s="194"/>
      <c r="X12" s="194"/>
      <c r="Y12" s="230" t="s">
        <v>46</v>
      </c>
      <c r="Z12" s="49"/>
    </row>
    <row r="13" spans="1:26" ht="138" customHeight="1">
      <c r="A13" s="214"/>
      <c r="B13" s="214"/>
      <c r="C13" s="216"/>
      <c r="D13" s="219"/>
      <c r="E13" s="11"/>
      <c r="F13" s="30" t="s">
        <v>31</v>
      </c>
      <c r="G13" s="34">
        <v>488.29744352478542</v>
      </c>
      <c r="H13" s="32">
        <v>5.706409296772063E-2</v>
      </c>
      <c r="I13" s="232"/>
      <c r="J13" s="34">
        <v>488.2403794318177</v>
      </c>
      <c r="K13" s="225"/>
      <c r="L13" s="190"/>
      <c r="M13" s="190"/>
      <c r="N13" s="11"/>
      <c r="O13" s="30" t="s">
        <v>31</v>
      </c>
      <c r="P13" s="50">
        <v>873.0806224061256</v>
      </c>
      <c r="Q13" s="55">
        <v>798.89730154808876</v>
      </c>
      <c r="R13" s="222"/>
      <c r="S13" s="11"/>
      <c r="T13" s="30" t="s">
        <v>31</v>
      </c>
      <c r="U13" s="34">
        <v>74.183320858036808</v>
      </c>
      <c r="V13" s="225"/>
      <c r="W13" s="190"/>
      <c r="X13" s="190"/>
      <c r="Y13" s="225"/>
    </row>
    <row r="14" spans="1:26" ht="129.65" customHeight="1">
      <c r="A14" s="214"/>
      <c r="B14" s="214"/>
      <c r="C14" s="217"/>
      <c r="D14" s="220"/>
      <c r="E14" s="8"/>
      <c r="F14" s="38" t="s">
        <v>32</v>
      </c>
      <c r="G14" s="39">
        <v>3.7803815418879663</v>
      </c>
      <c r="H14" s="39">
        <v>4.4178819000677413E-4</v>
      </c>
      <c r="I14" s="233"/>
      <c r="J14" s="39">
        <v>3.7799397536979593</v>
      </c>
      <c r="K14" s="226"/>
      <c r="L14" s="191"/>
      <c r="M14" s="191"/>
      <c r="N14" s="8"/>
      <c r="O14" s="38" t="s">
        <v>32</v>
      </c>
      <c r="P14" s="52">
        <v>6.7593593071036437</v>
      </c>
      <c r="Q14" s="41">
        <v>6.1850346600948374</v>
      </c>
      <c r="R14" s="223"/>
      <c r="S14" s="8"/>
      <c r="T14" s="38" t="s">
        <v>32</v>
      </c>
      <c r="U14" s="39">
        <v>0.57432464700880637</v>
      </c>
      <c r="V14" s="226"/>
      <c r="W14" s="191"/>
      <c r="X14" s="191"/>
      <c r="Y14" s="226"/>
      <c r="Z14" s="4"/>
    </row>
    <row r="15" spans="1:26" ht="91.5" customHeight="1">
      <c r="A15" s="214">
        <v>1</v>
      </c>
      <c r="B15" s="214" t="s">
        <v>22</v>
      </c>
      <c r="C15" s="216" t="s">
        <v>47</v>
      </c>
      <c r="D15" s="219" t="s">
        <v>24</v>
      </c>
      <c r="E15" s="43"/>
      <c r="F15" s="30" t="s">
        <v>25</v>
      </c>
      <c r="G15" s="45">
        <v>174</v>
      </c>
      <c r="H15" s="45">
        <v>18.8</v>
      </c>
      <c r="I15" s="230" t="s">
        <v>48</v>
      </c>
      <c r="J15" s="56">
        <v>155.19999999999999</v>
      </c>
      <c r="K15" s="234" t="s">
        <v>49</v>
      </c>
      <c r="L15" s="56">
        <v>69.5</v>
      </c>
      <c r="M15" s="234" t="s">
        <v>50</v>
      </c>
      <c r="N15" s="43"/>
      <c r="O15" s="30" t="s">
        <v>25</v>
      </c>
      <c r="P15" s="46">
        <v>355.5</v>
      </c>
      <c r="Q15" s="53">
        <v>21</v>
      </c>
      <c r="R15" s="230" t="s">
        <v>51</v>
      </c>
      <c r="S15" s="43"/>
      <c r="T15" s="30" t="s">
        <v>25</v>
      </c>
      <c r="U15" s="45">
        <v>334.5</v>
      </c>
      <c r="V15" s="230" t="s">
        <v>52</v>
      </c>
      <c r="W15" s="194"/>
      <c r="X15" s="194"/>
      <c r="Y15" s="194" t="s">
        <v>53</v>
      </c>
      <c r="Z15" s="49"/>
    </row>
    <row r="16" spans="1:26" ht="76.5" customHeight="1">
      <c r="A16" s="214"/>
      <c r="B16" s="214"/>
      <c r="C16" s="216"/>
      <c r="D16" s="219"/>
      <c r="E16" s="11"/>
      <c r="F16" s="30" t="s">
        <v>31</v>
      </c>
      <c r="G16" s="34">
        <v>198.58304352766777</v>
      </c>
      <c r="H16" s="34">
        <v>21.456098955862956</v>
      </c>
      <c r="I16" s="225"/>
      <c r="J16" s="34">
        <v>177.12694457180481</v>
      </c>
      <c r="K16" s="222"/>
      <c r="L16" s="34">
        <v>79.319089225131677</v>
      </c>
      <c r="M16" s="222"/>
      <c r="N16" s="11"/>
      <c r="O16" s="30" t="s">
        <v>31</v>
      </c>
      <c r="P16" s="50">
        <v>405.7257010004937</v>
      </c>
      <c r="Q16" s="55">
        <v>23.966919046442662</v>
      </c>
      <c r="R16" s="225"/>
      <c r="S16" s="11"/>
      <c r="T16" s="30" t="s">
        <v>31</v>
      </c>
      <c r="U16" s="34">
        <v>381.75878195405102</v>
      </c>
      <c r="V16" s="225"/>
      <c r="W16" s="190"/>
      <c r="X16" s="190"/>
      <c r="Y16" s="190"/>
    </row>
    <row r="17" spans="1:26" s="7" customFormat="1" ht="71.5" customHeight="1">
      <c r="A17" s="214"/>
      <c r="B17" s="214"/>
      <c r="C17" s="217"/>
      <c r="D17" s="220"/>
      <c r="E17" s="8"/>
      <c r="F17" s="38" t="s">
        <v>32</v>
      </c>
      <c r="G17" s="39">
        <v>7.6410229836701689</v>
      </c>
      <c r="H17" s="39">
        <v>0.82558179363792628</v>
      </c>
      <c r="I17" s="226"/>
      <c r="J17" s="39">
        <v>6.8154411900322414</v>
      </c>
      <c r="K17" s="223"/>
      <c r="L17" s="39">
        <v>3.0520178009487164</v>
      </c>
      <c r="M17" s="223"/>
      <c r="N17" s="8"/>
      <c r="O17" s="38" t="s">
        <v>32</v>
      </c>
      <c r="P17" s="52">
        <v>15.611400406291638</v>
      </c>
      <c r="Q17" s="41">
        <v>0.92219242906364096</v>
      </c>
      <c r="R17" s="226"/>
      <c r="S17" s="8"/>
      <c r="T17" s="38" t="s">
        <v>32</v>
      </c>
      <c r="U17" s="39">
        <v>14.689207977227998</v>
      </c>
      <c r="V17" s="226"/>
      <c r="W17" s="191"/>
      <c r="X17" s="191"/>
      <c r="Y17" s="191"/>
      <c r="Z17" s="4"/>
    </row>
    <row r="18" spans="1:26" s="59" customFormat="1" ht="52.5" customHeight="1">
      <c r="A18" s="214">
        <v>1</v>
      </c>
      <c r="B18" s="214" t="s">
        <v>22</v>
      </c>
      <c r="C18" s="216" t="s">
        <v>54</v>
      </c>
      <c r="D18" s="239" t="s">
        <v>24</v>
      </c>
      <c r="E18" s="43"/>
      <c r="F18" s="44" t="s">
        <v>25</v>
      </c>
      <c r="G18" s="45">
        <v>367</v>
      </c>
      <c r="H18" s="45">
        <v>40</v>
      </c>
      <c r="I18" s="231" t="s">
        <v>55</v>
      </c>
      <c r="J18" s="45">
        <v>327</v>
      </c>
      <c r="K18" s="230" t="s">
        <v>56</v>
      </c>
      <c r="L18" s="57"/>
      <c r="M18" s="230" t="s">
        <v>57</v>
      </c>
      <c r="N18" s="43"/>
      <c r="O18" s="44" t="s">
        <v>25</v>
      </c>
      <c r="P18" s="58">
        <v>926.3</v>
      </c>
      <c r="Q18" s="53">
        <v>100</v>
      </c>
      <c r="R18" s="230" t="s">
        <v>58</v>
      </c>
      <c r="S18" s="43"/>
      <c r="T18" s="44" t="s">
        <v>25</v>
      </c>
      <c r="U18" s="45">
        <v>826.3</v>
      </c>
      <c r="V18" s="230" t="s">
        <v>59</v>
      </c>
      <c r="W18" s="194"/>
      <c r="X18" s="194"/>
      <c r="Y18" s="230" t="s">
        <v>60</v>
      </c>
      <c r="Z18" s="49"/>
    </row>
    <row r="19" spans="1:26" ht="54.65" customHeight="1">
      <c r="A19" s="214"/>
      <c r="B19" s="214"/>
      <c r="C19" s="216"/>
      <c r="D19" s="239"/>
      <c r="E19" s="11"/>
      <c r="F19" s="30" t="s">
        <v>31</v>
      </c>
      <c r="G19" s="34">
        <v>418.85044238306938</v>
      </c>
      <c r="H19" s="34">
        <v>45.651274374176502</v>
      </c>
      <c r="I19" s="232"/>
      <c r="J19" s="34">
        <v>373.19916800889291</v>
      </c>
      <c r="K19" s="225"/>
      <c r="L19" s="60"/>
      <c r="M19" s="225"/>
      <c r="N19" s="11"/>
      <c r="O19" s="30" t="s">
        <v>31</v>
      </c>
      <c r="P19" s="61">
        <v>1057.1693863199921</v>
      </c>
      <c r="Q19" s="55">
        <v>114.12818593544125</v>
      </c>
      <c r="R19" s="225"/>
      <c r="S19" s="11"/>
      <c r="T19" s="30" t="s">
        <v>31</v>
      </c>
      <c r="U19" s="34">
        <v>943.04120038455096</v>
      </c>
      <c r="V19" s="225"/>
      <c r="W19" s="190"/>
      <c r="X19" s="190"/>
      <c r="Y19" s="225"/>
    </row>
    <row r="20" spans="1:26" ht="54.65" customHeight="1">
      <c r="A20" s="214"/>
      <c r="B20" s="214"/>
      <c r="C20" s="217"/>
      <c r="D20" s="240"/>
      <c r="E20" s="8"/>
      <c r="F20" s="38" t="s">
        <v>32</v>
      </c>
      <c r="G20" s="39">
        <v>11.013645516666017</v>
      </c>
      <c r="H20" s="39">
        <v>1.200397331516732</v>
      </c>
      <c r="I20" s="233"/>
      <c r="J20" s="39">
        <v>9.8132481851492841</v>
      </c>
      <c r="K20" s="226"/>
      <c r="L20" s="62"/>
      <c r="M20" s="226"/>
      <c r="N20" s="8"/>
      <c r="O20" s="38" t="s">
        <v>32</v>
      </c>
      <c r="P20" s="52">
        <v>27.798201204598719</v>
      </c>
      <c r="Q20" s="41">
        <v>3.00099332879183</v>
      </c>
      <c r="R20" s="226"/>
      <c r="S20" s="8"/>
      <c r="T20" s="38" t="s">
        <v>32</v>
      </c>
      <c r="U20" s="39">
        <v>24.79720787580689</v>
      </c>
      <c r="V20" s="226"/>
      <c r="W20" s="191"/>
      <c r="X20" s="191"/>
      <c r="Y20" s="226"/>
      <c r="Z20" s="4"/>
    </row>
    <row r="21" spans="1:26" ht="30.65" customHeight="1">
      <c r="A21" s="214">
        <v>1</v>
      </c>
      <c r="B21" s="214" t="s">
        <v>22</v>
      </c>
      <c r="C21" s="216" t="s">
        <v>61</v>
      </c>
      <c r="D21" s="219" t="s">
        <v>24</v>
      </c>
      <c r="E21" s="43"/>
      <c r="F21" s="30" t="s">
        <v>25</v>
      </c>
      <c r="G21" s="45">
        <v>140</v>
      </c>
      <c r="H21" s="48">
        <v>10</v>
      </c>
      <c r="I21" s="231" t="s">
        <v>62</v>
      </c>
      <c r="J21" s="45">
        <v>130</v>
      </c>
      <c r="K21" s="234" t="s">
        <v>63</v>
      </c>
      <c r="L21" s="48">
        <v>7</v>
      </c>
      <c r="M21" s="234" t="s">
        <v>64</v>
      </c>
      <c r="N21" s="43"/>
      <c r="O21" s="30" t="s">
        <v>25</v>
      </c>
      <c r="P21" s="45">
        <v>582.25</v>
      </c>
      <c r="Q21" s="47">
        <v>3.25</v>
      </c>
      <c r="R21" s="234" t="s">
        <v>65</v>
      </c>
      <c r="S21" s="43"/>
      <c r="T21" s="30" t="s">
        <v>25</v>
      </c>
      <c r="U21" s="45">
        <v>579</v>
      </c>
      <c r="V21" s="234" t="s">
        <v>66</v>
      </c>
      <c r="W21" s="197"/>
      <c r="X21" s="234"/>
      <c r="Y21" s="230" t="s">
        <v>67</v>
      </c>
      <c r="Z21" s="49"/>
    </row>
    <row r="22" spans="1:26" ht="38">
      <c r="A22" s="214"/>
      <c r="B22" s="214"/>
      <c r="C22" s="216"/>
      <c r="D22" s="219"/>
      <c r="E22" s="11"/>
      <c r="F22" s="30" t="s">
        <v>31</v>
      </c>
      <c r="G22" s="34">
        <v>159.77946030961775</v>
      </c>
      <c r="H22" s="32">
        <v>11.412818593544126</v>
      </c>
      <c r="I22" s="232"/>
      <c r="J22" s="34">
        <v>148.36664171607362</v>
      </c>
      <c r="K22" s="222"/>
      <c r="L22" s="32">
        <v>7.9889730154808873</v>
      </c>
      <c r="M22" s="222"/>
      <c r="N22" s="11"/>
      <c r="O22" s="30" t="s">
        <v>31</v>
      </c>
      <c r="P22" s="34">
        <v>664.51136260910664</v>
      </c>
      <c r="Q22" s="32">
        <v>3.7091660429018405</v>
      </c>
      <c r="R22" s="222"/>
      <c r="S22" s="11"/>
      <c r="T22" s="30" t="s">
        <v>31</v>
      </c>
      <c r="U22" s="34">
        <v>660.80219656620488</v>
      </c>
      <c r="V22" s="222"/>
      <c r="W22" s="34"/>
      <c r="X22" s="222"/>
      <c r="Y22" s="225"/>
    </row>
    <row r="23" spans="1:26" ht="63.75" customHeight="1">
      <c r="A23" s="214"/>
      <c r="B23" s="214"/>
      <c r="C23" s="217"/>
      <c r="D23" s="220"/>
      <c r="E23" s="8"/>
      <c r="F23" s="38" t="s">
        <v>32</v>
      </c>
      <c r="G23" s="39">
        <v>8.4766543856090628</v>
      </c>
      <c r="H23" s="39">
        <v>0.60547531325779025</v>
      </c>
      <c r="I23" s="233"/>
      <c r="J23" s="39">
        <v>7.8711790723512722</v>
      </c>
      <c r="K23" s="223"/>
      <c r="L23" s="39">
        <v>0.42383271928045313</v>
      </c>
      <c r="M23" s="223"/>
      <c r="N23" s="8"/>
      <c r="O23" s="38" t="s">
        <v>32</v>
      </c>
      <c r="P23" s="39">
        <v>35.253800114434839</v>
      </c>
      <c r="Q23" s="39">
        <v>0.19677947680878183</v>
      </c>
      <c r="R23" s="223"/>
      <c r="S23" s="8"/>
      <c r="T23" s="38" t="s">
        <v>32</v>
      </c>
      <c r="U23" s="39">
        <v>35.057020637626053</v>
      </c>
      <c r="V23" s="223"/>
      <c r="W23" s="63"/>
      <c r="X23" s="223"/>
      <c r="Y23" s="226"/>
      <c r="Z23" s="4"/>
    </row>
    <row r="24" spans="1:26" ht="130.5" customHeight="1">
      <c r="A24" s="214">
        <v>1</v>
      </c>
      <c r="B24" s="214" t="s">
        <v>22</v>
      </c>
      <c r="C24" s="235" t="s">
        <v>68</v>
      </c>
      <c r="D24" s="219" t="s">
        <v>24</v>
      </c>
      <c r="E24" s="43"/>
      <c r="F24" s="30" t="s">
        <v>25</v>
      </c>
      <c r="G24" s="58">
        <v>85500</v>
      </c>
      <c r="H24" s="58">
        <v>9600</v>
      </c>
      <c r="I24" s="230" t="s">
        <v>69</v>
      </c>
      <c r="J24" s="58">
        <v>75900</v>
      </c>
      <c r="K24" s="224" t="s">
        <v>70</v>
      </c>
      <c r="L24" s="58">
        <v>26000</v>
      </c>
      <c r="M24" s="230" t="s">
        <v>71</v>
      </c>
      <c r="N24" s="43"/>
      <c r="O24" s="44" t="s">
        <v>25</v>
      </c>
      <c r="P24" s="64">
        <v>152600</v>
      </c>
      <c r="Q24" s="65"/>
      <c r="R24" s="241"/>
      <c r="S24" s="43"/>
      <c r="T24" s="44" t="s">
        <v>25</v>
      </c>
      <c r="U24" s="58">
        <v>15700</v>
      </c>
      <c r="V24" s="241" t="s">
        <v>72</v>
      </c>
      <c r="W24" s="66">
        <v>136900</v>
      </c>
      <c r="X24" s="242" t="s">
        <v>73</v>
      </c>
      <c r="Y24" s="230" t="s">
        <v>74</v>
      </c>
      <c r="Z24" s="49"/>
    </row>
    <row r="25" spans="1:26" ht="155.5" customHeight="1">
      <c r="A25" s="214"/>
      <c r="B25" s="214"/>
      <c r="C25" s="235"/>
      <c r="D25" s="219"/>
      <c r="E25" s="11"/>
      <c r="F25" s="30" t="s">
        <v>31</v>
      </c>
      <c r="G25" s="34">
        <v>800.7523718505679</v>
      </c>
      <c r="H25" s="32">
        <v>89.909038242870778</v>
      </c>
      <c r="I25" s="237"/>
      <c r="J25" s="34">
        <v>710.8433336076971</v>
      </c>
      <c r="K25" s="225"/>
      <c r="L25" s="34">
        <v>243.50364524110836</v>
      </c>
      <c r="M25" s="225"/>
      <c r="N25" s="11"/>
      <c r="O25" s="30" t="s">
        <v>31</v>
      </c>
      <c r="P25" s="34">
        <v>1429.1790870689667</v>
      </c>
      <c r="Q25" s="67"/>
      <c r="R25" s="237"/>
      <c r="S25" s="11"/>
      <c r="T25" s="30" t="s">
        <v>31</v>
      </c>
      <c r="U25" s="34">
        <v>147.0387396263616</v>
      </c>
      <c r="V25" s="237"/>
      <c r="W25" s="68">
        <v>1282.1403474426052</v>
      </c>
      <c r="X25" s="243"/>
      <c r="Y25" s="225"/>
    </row>
    <row r="26" spans="1:26" s="7" customFormat="1" ht="270.75" customHeight="1">
      <c r="A26" s="214"/>
      <c r="B26" s="214"/>
      <c r="C26" s="236"/>
      <c r="D26" s="220"/>
      <c r="E26" s="8"/>
      <c r="F26" s="38" t="s">
        <v>32</v>
      </c>
      <c r="G26" s="39">
        <v>15.860601819869569</v>
      </c>
      <c r="H26" s="39">
        <v>1.7808395025818462</v>
      </c>
      <c r="I26" s="238"/>
      <c r="J26" s="39">
        <v>14.079762317287722</v>
      </c>
      <c r="K26" s="226"/>
      <c r="L26" s="39">
        <v>4.8231069861591678</v>
      </c>
      <c r="M26" s="226"/>
      <c r="N26" s="8"/>
      <c r="O26" s="38" t="s">
        <v>32</v>
      </c>
      <c r="P26" s="39">
        <v>28.307927926457268</v>
      </c>
      <c r="Q26" s="69"/>
      <c r="R26" s="238"/>
      <c r="S26" s="8"/>
      <c r="T26" s="38" t="s">
        <v>32</v>
      </c>
      <c r="U26" s="39">
        <v>2.9124146031807281</v>
      </c>
      <c r="V26" s="238"/>
      <c r="W26" s="70">
        <v>25.395513323276536</v>
      </c>
      <c r="X26" s="244"/>
      <c r="Y26" s="226"/>
      <c r="Z26" s="4"/>
    </row>
    <row r="27" spans="1:26" s="59" customFormat="1" ht="115" customHeight="1">
      <c r="A27" s="214">
        <v>1</v>
      </c>
      <c r="B27" s="214" t="s">
        <v>22</v>
      </c>
      <c r="C27" s="245" t="s">
        <v>75</v>
      </c>
      <c r="D27" s="218" t="s">
        <v>24</v>
      </c>
      <c r="E27" s="43"/>
      <c r="F27" s="44" t="s">
        <v>25</v>
      </c>
      <c r="G27" s="71">
        <v>86700</v>
      </c>
      <c r="H27" s="72">
        <v>10000</v>
      </c>
      <c r="I27" s="246" t="s">
        <v>76</v>
      </c>
      <c r="J27" s="71">
        <v>76700</v>
      </c>
      <c r="K27" s="234" t="s">
        <v>77</v>
      </c>
      <c r="L27" s="71">
        <v>46700</v>
      </c>
      <c r="M27" s="234" t="s">
        <v>78</v>
      </c>
      <c r="N27" s="43"/>
      <c r="O27" s="44" t="s">
        <v>25</v>
      </c>
      <c r="P27" s="66">
        <v>195900</v>
      </c>
      <c r="Q27" s="66"/>
      <c r="R27" s="230"/>
      <c r="S27" s="43"/>
      <c r="T27" s="44" t="s">
        <v>25</v>
      </c>
      <c r="U27" s="73">
        <v>70900</v>
      </c>
      <c r="V27" s="234" t="s">
        <v>79</v>
      </c>
      <c r="W27" s="73">
        <v>125000</v>
      </c>
      <c r="X27" s="241" t="s">
        <v>80</v>
      </c>
      <c r="Y27" s="230" t="s">
        <v>81</v>
      </c>
      <c r="Z27" s="49"/>
    </row>
    <row r="28" spans="1:26" ht="100" customHeight="1">
      <c r="A28" s="214"/>
      <c r="B28" s="214"/>
      <c r="C28" s="235"/>
      <c r="D28" s="219"/>
      <c r="E28" s="11"/>
      <c r="F28" s="30" t="s">
        <v>31</v>
      </c>
      <c r="G28" s="36">
        <v>73.473615277217817</v>
      </c>
      <c r="H28" s="74">
        <v>8.4744654298982489</v>
      </c>
      <c r="I28" s="247"/>
      <c r="J28" s="34">
        <v>64.999149847319558</v>
      </c>
      <c r="K28" s="222"/>
      <c r="L28" s="34">
        <v>39.575753557624822</v>
      </c>
      <c r="M28" s="222"/>
      <c r="N28" s="11"/>
      <c r="O28" s="30" t="s">
        <v>31</v>
      </c>
      <c r="P28" s="34">
        <v>166.01477777170669</v>
      </c>
      <c r="Q28" s="75"/>
      <c r="R28" s="225"/>
      <c r="S28" s="11"/>
      <c r="T28" s="30" t="s">
        <v>31</v>
      </c>
      <c r="U28" s="36">
        <v>60.08395989797858</v>
      </c>
      <c r="V28" s="222"/>
      <c r="W28" s="68">
        <v>105.9308178737281</v>
      </c>
      <c r="X28" s="225"/>
      <c r="Y28" s="225"/>
    </row>
    <row r="29" spans="1:26" ht="237" customHeight="1">
      <c r="A29" s="214"/>
      <c r="B29" s="214"/>
      <c r="C29" s="236"/>
      <c r="D29" s="220"/>
      <c r="E29" s="8"/>
      <c r="F29" s="38" t="s">
        <v>32</v>
      </c>
      <c r="G29" s="40">
        <v>4.5051765101655654</v>
      </c>
      <c r="H29" s="40">
        <v>0.51962820186454028</v>
      </c>
      <c r="I29" s="248"/>
      <c r="J29" s="39">
        <v>3.9855483083010244</v>
      </c>
      <c r="K29" s="223"/>
      <c r="L29" s="39">
        <v>2.4266637027074034</v>
      </c>
      <c r="M29" s="223"/>
      <c r="N29" s="8"/>
      <c r="O29" s="38" t="s">
        <v>32</v>
      </c>
      <c r="P29" s="39">
        <v>10.179516474526345</v>
      </c>
      <c r="Q29" s="76"/>
      <c r="R29" s="226"/>
      <c r="S29" s="8"/>
      <c r="T29" s="38" t="s">
        <v>32</v>
      </c>
      <c r="U29" s="40">
        <v>3.6841639512195905</v>
      </c>
      <c r="V29" s="223"/>
      <c r="W29" s="77">
        <v>6.4953525233067539</v>
      </c>
      <c r="X29" s="226"/>
      <c r="Y29" s="226"/>
      <c r="Z29" s="4"/>
    </row>
    <row r="30" spans="1:26" s="201" customFormat="1" ht="183.65" customHeight="1">
      <c r="A30" s="214">
        <v>1</v>
      </c>
      <c r="B30" s="214" t="s">
        <v>22</v>
      </c>
      <c r="C30" s="235" t="s">
        <v>82</v>
      </c>
      <c r="D30" s="219" t="s">
        <v>24</v>
      </c>
      <c r="E30" s="200"/>
      <c r="F30" s="44" t="s">
        <v>25</v>
      </c>
      <c r="G30" s="78">
        <v>85</v>
      </c>
      <c r="H30" s="57">
        <v>14.1</v>
      </c>
      <c r="I30" s="231" t="s">
        <v>83</v>
      </c>
      <c r="J30" s="56">
        <v>70.900000000000006</v>
      </c>
      <c r="K30" s="234" t="s">
        <v>84</v>
      </c>
      <c r="L30" s="78">
        <v>4.4999999999999998E-2</v>
      </c>
      <c r="M30" s="230" t="s">
        <v>85</v>
      </c>
      <c r="N30" s="200"/>
      <c r="O30" s="30" t="s">
        <v>25</v>
      </c>
      <c r="P30" s="79">
        <v>161.239</v>
      </c>
      <c r="Q30" s="80">
        <v>0.63900000000000001</v>
      </c>
      <c r="R30" s="230" t="s">
        <v>86</v>
      </c>
      <c r="S30" s="200"/>
      <c r="T30" s="30" t="s">
        <v>25</v>
      </c>
      <c r="U30" s="56">
        <v>150.6</v>
      </c>
      <c r="V30" s="230" t="s">
        <v>87</v>
      </c>
      <c r="W30" s="56">
        <v>10</v>
      </c>
      <c r="X30" s="230" t="s">
        <v>88</v>
      </c>
      <c r="Y30" s="194"/>
      <c r="Z30" s="200"/>
    </row>
    <row r="31" spans="1:26" s="12" customFormat="1" ht="145" customHeight="1">
      <c r="A31" s="214"/>
      <c r="B31" s="214"/>
      <c r="C31" s="235"/>
      <c r="D31" s="219"/>
      <c r="E31" s="201"/>
      <c r="F31" s="30" t="s">
        <v>31</v>
      </c>
      <c r="G31" s="34">
        <v>97.00895804512507</v>
      </c>
      <c r="H31" s="81">
        <v>16.092074216897217</v>
      </c>
      <c r="I31" s="232"/>
      <c r="J31" s="34">
        <v>80.916883828227853</v>
      </c>
      <c r="K31" s="222"/>
      <c r="L31" s="32">
        <v>5.1357683670948562E-2</v>
      </c>
      <c r="M31" s="225"/>
      <c r="N31" s="201"/>
      <c r="O31" s="30" t="s">
        <v>31</v>
      </c>
      <c r="P31" s="208">
        <v>184.01914572044612</v>
      </c>
      <c r="Q31" s="82">
        <v>0.72927910812746966</v>
      </c>
      <c r="R31" s="225"/>
      <c r="S31" s="201"/>
      <c r="T31" s="30" t="s">
        <v>31</v>
      </c>
      <c r="U31" s="34">
        <v>171.87704801877453</v>
      </c>
      <c r="V31" s="225"/>
      <c r="W31" s="34">
        <v>11.412818593544126</v>
      </c>
      <c r="X31" s="225"/>
      <c r="Y31" s="190"/>
      <c r="Z31" s="201"/>
    </row>
    <row r="32" spans="1:26" ht="139" customHeight="1">
      <c r="A32" s="214"/>
      <c r="B32" s="214"/>
      <c r="C32" s="236"/>
      <c r="D32" s="220"/>
      <c r="E32" s="8"/>
      <c r="F32" s="38" t="s">
        <v>32</v>
      </c>
      <c r="G32" s="39">
        <v>7.589448345321685</v>
      </c>
      <c r="H32" s="83">
        <v>1.2589555490474795</v>
      </c>
      <c r="I32" s="233"/>
      <c r="J32" s="39">
        <v>6.3304927962742061</v>
      </c>
      <c r="K32" s="223"/>
      <c r="L32" s="39">
        <v>4.0179432416408917E-3</v>
      </c>
      <c r="M32" s="226"/>
      <c r="N32" s="8"/>
      <c r="O32" s="38" t="s">
        <v>32</v>
      </c>
      <c r="P32" s="60">
        <v>14.396647785309682</v>
      </c>
      <c r="Q32" s="41">
        <v>5.7054794031300662E-2</v>
      </c>
      <c r="R32" s="226"/>
      <c r="S32" s="8"/>
      <c r="T32" s="38" t="s">
        <v>32</v>
      </c>
      <c r="U32" s="39">
        <v>13.446716715358184</v>
      </c>
      <c r="V32" s="226"/>
      <c r="W32" s="39">
        <v>0.89287627592019825</v>
      </c>
      <c r="X32" s="226"/>
      <c r="Y32" s="191"/>
      <c r="Z32" s="4"/>
    </row>
    <row r="33" spans="1:26" ht="113.5" customHeight="1">
      <c r="A33" s="214">
        <v>1</v>
      </c>
      <c r="B33" s="214" t="s">
        <v>22</v>
      </c>
      <c r="C33" s="216" t="s">
        <v>89</v>
      </c>
      <c r="D33" s="219" t="s">
        <v>34</v>
      </c>
      <c r="E33" s="43"/>
      <c r="F33" s="30" t="s">
        <v>25</v>
      </c>
      <c r="G33" s="45">
        <v>343</v>
      </c>
      <c r="H33" s="45">
        <v>159</v>
      </c>
      <c r="I33" s="231" t="s">
        <v>90</v>
      </c>
      <c r="J33" s="45">
        <v>184</v>
      </c>
      <c r="K33" s="230" t="s">
        <v>91</v>
      </c>
      <c r="L33" s="47">
        <v>11</v>
      </c>
      <c r="M33" s="230" t="s">
        <v>92</v>
      </c>
      <c r="N33" s="43"/>
      <c r="O33" s="30" t="s">
        <v>25</v>
      </c>
      <c r="P33" s="45">
        <v>341</v>
      </c>
      <c r="Q33" s="47">
        <v>1</v>
      </c>
      <c r="R33" s="234" t="s">
        <v>93</v>
      </c>
      <c r="S33" s="43"/>
      <c r="T33" s="30" t="s">
        <v>25</v>
      </c>
      <c r="U33" s="45">
        <v>340</v>
      </c>
      <c r="V33" s="234" t="s">
        <v>94</v>
      </c>
      <c r="W33" s="203"/>
      <c r="X33" s="230"/>
      <c r="Y33" s="249" t="s">
        <v>95</v>
      </c>
      <c r="Z33" s="49"/>
    </row>
    <row r="34" spans="1:26" ht="175" customHeight="1">
      <c r="A34" s="214"/>
      <c r="B34" s="214"/>
      <c r="C34" s="216"/>
      <c r="D34" s="219"/>
      <c r="E34" s="11"/>
      <c r="F34" s="30" t="s">
        <v>31</v>
      </c>
      <c r="G34" s="34">
        <v>440.0580179680901</v>
      </c>
      <c r="H34" s="34">
        <v>203.99190920386684</v>
      </c>
      <c r="I34" s="232"/>
      <c r="J34" s="31">
        <v>236.06610876422326</v>
      </c>
      <c r="K34" s="225"/>
      <c r="L34" s="51">
        <v>14.112647806556826</v>
      </c>
      <c r="M34" s="225"/>
      <c r="N34" s="11"/>
      <c r="O34" s="30" t="s">
        <v>31</v>
      </c>
      <c r="P34" s="34">
        <v>437.4920820032616</v>
      </c>
      <c r="Q34" s="51">
        <v>1.2829679824142568</v>
      </c>
      <c r="R34" s="222"/>
      <c r="S34" s="11"/>
      <c r="T34" s="30" t="s">
        <v>31</v>
      </c>
      <c r="U34" s="34">
        <v>436.20911402084732</v>
      </c>
      <c r="V34" s="222"/>
      <c r="W34" s="190"/>
      <c r="X34" s="225"/>
      <c r="Y34" s="250"/>
    </row>
    <row r="35" spans="1:26" s="7" customFormat="1" ht="154.5" customHeight="1">
      <c r="A35" s="214"/>
      <c r="B35" s="214"/>
      <c r="C35" s="217"/>
      <c r="D35" s="220"/>
      <c r="E35" s="8"/>
      <c r="F35" s="38" t="s">
        <v>32</v>
      </c>
      <c r="G35" s="39">
        <v>16.232490915957346</v>
      </c>
      <c r="H35" s="39">
        <v>7.5246823779510725</v>
      </c>
      <c r="I35" s="233"/>
      <c r="J35" s="83">
        <v>8.7078085380062724</v>
      </c>
      <c r="K35" s="226"/>
      <c r="L35" s="83">
        <v>0.52057551042428807</v>
      </c>
      <c r="M35" s="226"/>
      <c r="N35" s="8"/>
      <c r="O35" s="38" t="s">
        <v>32</v>
      </c>
      <c r="P35" s="39">
        <v>16.137840823152931</v>
      </c>
      <c r="Q35" s="41">
        <v>4.7325046402207999E-2</v>
      </c>
      <c r="R35" s="223"/>
      <c r="S35" s="8"/>
      <c r="T35" s="38" t="s">
        <v>32</v>
      </c>
      <c r="U35" s="39">
        <v>16.090515776750721</v>
      </c>
      <c r="V35" s="223"/>
      <c r="W35" s="191"/>
      <c r="X35" s="226"/>
      <c r="Y35" s="251"/>
      <c r="Z35" s="4"/>
    </row>
    <row r="36" spans="1:26" s="59" customFormat="1" ht="234" customHeight="1">
      <c r="A36" s="214">
        <v>1</v>
      </c>
      <c r="B36" s="214" t="s">
        <v>22</v>
      </c>
      <c r="C36" s="215" t="s">
        <v>96</v>
      </c>
      <c r="D36" s="218" t="s">
        <v>34</v>
      </c>
      <c r="E36" s="43"/>
      <c r="F36" s="44" t="s">
        <v>25</v>
      </c>
      <c r="G36" s="66">
        <v>5328.0279999999993</v>
      </c>
      <c r="H36" s="45">
        <v>690.4</v>
      </c>
      <c r="I36" s="253" t="s">
        <v>97</v>
      </c>
      <c r="J36" s="66">
        <v>4637.6279999999997</v>
      </c>
      <c r="K36" s="230" t="s">
        <v>98</v>
      </c>
      <c r="L36" s="56">
        <v>17.98</v>
      </c>
      <c r="M36" s="230" t="s">
        <v>99</v>
      </c>
      <c r="N36" s="43"/>
      <c r="O36" s="44" t="s">
        <v>25</v>
      </c>
      <c r="P36" s="46">
        <v>510</v>
      </c>
      <c r="Q36" s="84">
        <v>56</v>
      </c>
      <c r="R36" s="234" t="s">
        <v>100</v>
      </c>
      <c r="S36" s="43"/>
      <c r="T36" s="44" t="s">
        <v>25</v>
      </c>
      <c r="U36" s="45">
        <v>454</v>
      </c>
      <c r="V36" s="230" t="s">
        <v>101</v>
      </c>
      <c r="W36" s="194"/>
      <c r="X36" s="194"/>
      <c r="Y36" s="230" t="s">
        <v>102</v>
      </c>
      <c r="Z36" s="49"/>
    </row>
    <row r="37" spans="1:26" ht="166.5" customHeight="1">
      <c r="A37" s="214"/>
      <c r="B37" s="214"/>
      <c r="C37" s="216"/>
      <c r="D37" s="219"/>
      <c r="E37" s="11"/>
      <c r="F37" s="30" t="s">
        <v>31</v>
      </c>
      <c r="G37" s="61">
        <v>5328.0279999999993</v>
      </c>
      <c r="H37" s="34">
        <v>690.4</v>
      </c>
      <c r="I37" s="232"/>
      <c r="J37" s="61">
        <v>4637.6279999999997</v>
      </c>
      <c r="K37" s="225"/>
      <c r="L37" s="206">
        <v>17.98</v>
      </c>
      <c r="M37" s="225"/>
      <c r="N37" s="11"/>
      <c r="O37" s="30" t="s">
        <v>31</v>
      </c>
      <c r="P37" s="50">
        <v>510</v>
      </c>
      <c r="Q37" s="55">
        <v>56</v>
      </c>
      <c r="R37" s="222"/>
      <c r="S37" s="11"/>
      <c r="T37" s="30" t="s">
        <v>31</v>
      </c>
      <c r="U37" s="37">
        <v>454</v>
      </c>
      <c r="V37" s="225"/>
      <c r="W37" s="190"/>
      <c r="X37" s="190"/>
      <c r="Y37" s="225"/>
    </row>
    <row r="38" spans="1:26" ht="409.5" customHeight="1">
      <c r="A38" s="214"/>
      <c r="B38" s="214"/>
      <c r="C38" s="217"/>
      <c r="D38" s="220"/>
      <c r="E38" s="8"/>
      <c r="F38" s="38" t="s">
        <v>32</v>
      </c>
      <c r="G38" s="39">
        <v>25.453072338799249</v>
      </c>
      <c r="H38" s="39">
        <v>3.2981810798867799</v>
      </c>
      <c r="I38" s="233"/>
      <c r="J38" s="39">
        <v>22.154891258912468</v>
      </c>
      <c r="K38" s="226"/>
      <c r="L38" s="83">
        <v>8.5894113291373572E-2</v>
      </c>
      <c r="M38" s="226"/>
      <c r="N38" s="8"/>
      <c r="O38" s="38" t="s">
        <v>32</v>
      </c>
      <c r="P38" s="52">
        <v>2.4363736250612082</v>
      </c>
      <c r="Q38" s="41">
        <v>0.26752337843809343</v>
      </c>
      <c r="R38" s="223"/>
      <c r="S38" s="8"/>
      <c r="T38" s="38" t="s">
        <v>32</v>
      </c>
      <c r="U38" s="85">
        <v>2.1688502466231148</v>
      </c>
      <c r="V38" s="226"/>
      <c r="W38" s="191"/>
      <c r="X38" s="191"/>
      <c r="Y38" s="226"/>
      <c r="Z38" s="4"/>
    </row>
    <row r="39" spans="1:26" ht="139.5" customHeight="1">
      <c r="A39" s="214">
        <v>1</v>
      </c>
      <c r="B39" s="214" t="s">
        <v>103</v>
      </c>
      <c r="C39" s="216" t="s">
        <v>104</v>
      </c>
      <c r="D39" s="219" t="s">
        <v>34</v>
      </c>
      <c r="E39" s="11"/>
      <c r="F39" s="30" t="s">
        <v>25</v>
      </c>
      <c r="G39" s="86">
        <v>1074.0999999999999</v>
      </c>
      <c r="H39" s="34">
        <v>104.60000000000001</v>
      </c>
      <c r="I39" s="252" t="s">
        <v>105</v>
      </c>
      <c r="J39" s="34">
        <v>969.5</v>
      </c>
      <c r="K39" s="234" t="s">
        <v>106</v>
      </c>
      <c r="L39" s="34">
        <v>10</v>
      </c>
      <c r="M39" s="234" t="s">
        <v>107</v>
      </c>
      <c r="N39" s="11"/>
      <c r="O39" s="30" t="s">
        <v>25</v>
      </c>
      <c r="P39" s="34">
        <v>540</v>
      </c>
      <c r="Q39" s="51"/>
      <c r="R39" s="234"/>
      <c r="S39" s="11"/>
      <c r="T39" s="30" t="s">
        <v>25</v>
      </c>
      <c r="U39" s="36">
        <v>540</v>
      </c>
      <c r="V39" s="234" t="s">
        <v>108</v>
      </c>
      <c r="W39" s="190"/>
      <c r="X39" s="230"/>
      <c r="Y39" s="198"/>
    </row>
    <row r="40" spans="1:26" ht="139.5" customHeight="1">
      <c r="A40" s="214"/>
      <c r="B40" s="214"/>
      <c r="C40" s="216"/>
      <c r="D40" s="219"/>
      <c r="E40" s="11"/>
      <c r="F40" s="30" t="s">
        <v>31</v>
      </c>
      <c r="G40" s="31">
        <v>15.206391876747713</v>
      </c>
      <c r="H40" s="32">
        <v>1.4808570806329122</v>
      </c>
      <c r="I40" s="247"/>
      <c r="J40" s="34">
        <v>13.7255347961148</v>
      </c>
      <c r="K40" s="222"/>
      <c r="L40" s="32">
        <v>0.14157333466853844</v>
      </c>
      <c r="M40" s="222"/>
      <c r="N40" s="11"/>
      <c r="O40" s="30" t="s">
        <v>31</v>
      </c>
      <c r="P40" s="32">
        <v>7.6449600721010764</v>
      </c>
      <c r="Q40" s="51"/>
      <c r="R40" s="222"/>
      <c r="S40" s="11"/>
      <c r="T40" s="30" t="s">
        <v>31</v>
      </c>
      <c r="U40" s="32">
        <v>7.6449600721010764</v>
      </c>
      <c r="V40" s="222"/>
      <c r="W40" s="190"/>
      <c r="X40" s="225"/>
      <c r="Y40" s="190" t="s">
        <v>109</v>
      </c>
    </row>
    <row r="41" spans="1:26" ht="209.15" customHeight="1">
      <c r="A41" s="214"/>
      <c r="B41" s="214"/>
      <c r="C41" s="217"/>
      <c r="D41" s="220"/>
      <c r="E41" s="8"/>
      <c r="F41" s="38" t="s">
        <v>32</v>
      </c>
      <c r="G41" s="39">
        <v>3.9163603885121869</v>
      </c>
      <c r="H41" s="39">
        <v>0.38139027710490159</v>
      </c>
      <c r="I41" s="248"/>
      <c r="J41" s="39">
        <v>3.5349701114072851</v>
      </c>
      <c r="K41" s="223"/>
      <c r="L41" s="39">
        <v>3.6461785574082368E-2</v>
      </c>
      <c r="M41" s="223"/>
      <c r="N41" s="8"/>
      <c r="O41" s="38" t="s">
        <v>32</v>
      </c>
      <c r="P41" s="39">
        <v>1.9689364210004481</v>
      </c>
      <c r="Q41" s="41"/>
      <c r="R41" s="223"/>
      <c r="S41" s="8"/>
      <c r="T41" s="38" t="s">
        <v>32</v>
      </c>
      <c r="U41" s="39">
        <v>1.9689364210004481</v>
      </c>
      <c r="V41" s="223"/>
      <c r="W41" s="191"/>
      <c r="X41" s="226"/>
      <c r="Y41" s="191"/>
      <c r="Z41" s="4"/>
    </row>
    <row r="42" spans="1:26" ht="121.5" customHeight="1">
      <c r="A42" s="214">
        <v>1</v>
      </c>
      <c r="B42" s="214" t="s">
        <v>103</v>
      </c>
      <c r="C42" s="235" t="s">
        <v>110</v>
      </c>
      <c r="D42" s="219" t="s">
        <v>24</v>
      </c>
      <c r="E42" s="43"/>
      <c r="F42" s="30" t="s">
        <v>25</v>
      </c>
      <c r="G42" s="45">
        <v>656.5</v>
      </c>
      <c r="H42" s="45">
        <v>88.7</v>
      </c>
      <c r="I42" s="253" t="s">
        <v>111</v>
      </c>
      <c r="J42" s="45">
        <v>567.79999999999995</v>
      </c>
      <c r="K42" s="230" t="s">
        <v>112</v>
      </c>
      <c r="L42" s="45">
        <v>201.8</v>
      </c>
      <c r="M42" s="234" t="s">
        <v>113</v>
      </c>
      <c r="N42" s="43"/>
      <c r="O42" s="30" t="s">
        <v>25</v>
      </c>
      <c r="P42" s="45">
        <v>458.1</v>
      </c>
      <c r="Q42" s="53">
        <v>79.900000000000006</v>
      </c>
      <c r="R42" s="230" t="s">
        <v>114</v>
      </c>
      <c r="S42" s="43"/>
      <c r="T42" s="30" t="s">
        <v>25</v>
      </c>
      <c r="U42" s="45"/>
      <c r="V42" s="230" t="s">
        <v>115</v>
      </c>
      <c r="W42" s="87">
        <v>378.2</v>
      </c>
      <c r="X42" s="230" t="s">
        <v>116</v>
      </c>
      <c r="Y42" s="230" t="s">
        <v>117</v>
      </c>
      <c r="Z42" s="49"/>
    </row>
    <row r="43" spans="1:26" ht="157" customHeight="1">
      <c r="A43" s="214"/>
      <c r="B43" s="214"/>
      <c r="C43" s="235"/>
      <c r="D43" s="219"/>
      <c r="E43" s="11"/>
      <c r="F43" s="30" t="s">
        <v>31</v>
      </c>
      <c r="G43" s="34">
        <v>126.40902417303826</v>
      </c>
      <c r="H43" s="34">
        <v>17.079178132747135</v>
      </c>
      <c r="I43" s="232"/>
      <c r="J43" s="34">
        <v>109.32984604029113</v>
      </c>
      <c r="K43" s="225"/>
      <c r="L43" s="34">
        <v>38.856574376419076</v>
      </c>
      <c r="M43" s="222"/>
      <c r="N43" s="11"/>
      <c r="O43" s="30" t="s">
        <v>31</v>
      </c>
      <c r="P43" s="34">
        <v>88.207119533387413</v>
      </c>
      <c r="Q43" s="55">
        <v>15.384738814052945</v>
      </c>
      <c r="R43" s="225"/>
      <c r="S43" s="11"/>
      <c r="T43" s="30" t="s">
        <v>31</v>
      </c>
      <c r="U43" s="32"/>
      <c r="V43" s="225"/>
      <c r="W43" s="34">
        <v>72.822380719334461</v>
      </c>
      <c r="X43" s="225"/>
      <c r="Y43" s="225"/>
    </row>
    <row r="44" spans="1:26" ht="210" customHeight="1">
      <c r="A44" s="214"/>
      <c r="B44" s="214"/>
      <c r="C44" s="236"/>
      <c r="D44" s="220"/>
      <c r="E44" s="11"/>
      <c r="F44" s="30" t="s">
        <v>32</v>
      </c>
      <c r="G44" s="32">
        <v>8.8146148865888687</v>
      </c>
      <c r="H44" s="39">
        <v>1.1909464439305906</v>
      </c>
      <c r="I44" s="233"/>
      <c r="J44" s="39">
        <v>7.6236684426582784</v>
      </c>
      <c r="K44" s="226"/>
      <c r="L44" s="39">
        <v>2.7095038600359995</v>
      </c>
      <c r="M44" s="223"/>
      <c r="N44" s="11"/>
      <c r="O44" s="30" t="s">
        <v>32</v>
      </c>
      <c r="P44" s="32">
        <v>6.1507617357903444</v>
      </c>
      <c r="Q44" s="51">
        <v>1.0727916670806561</v>
      </c>
      <c r="R44" s="226"/>
      <c r="S44" s="11"/>
      <c r="T44" s="30" t="s">
        <v>32</v>
      </c>
      <c r="U44" s="32"/>
      <c r="V44" s="226"/>
      <c r="W44" s="39">
        <v>5.0779700687096874</v>
      </c>
      <c r="X44" s="226"/>
      <c r="Y44" s="226"/>
    </row>
    <row r="45" spans="1:26" s="200" customFormat="1" ht="137.5" customHeight="1">
      <c r="A45" s="214">
        <v>1</v>
      </c>
      <c r="B45" s="214" t="s">
        <v>103</v>
      </c>
      <c r="C45" s="235" t="s">
        <v>118</v>
      </c>
      <c r="D45" s="219" t="s">
        <v>24</v>
      </c>
      <c r="F45" s="44" t="s">
        <v>25</v>
      </c>
      <c r="G45" s="88">
        <v>4904</v>
      </c>
      <c r="H45" s="57">
        <v>147</v>
      </c>
      <c r="I45" s="231" t="s">
        <v>119</v>
      </c>
      <c r="J45" s="88">
        <v>4757</v>
      </c>
      <c r="K45" s="234" t="s">
        <v>120</v>
      </c>
      <c r="L45" s="88">
        <v>1600</v>
      </c>
      <c r="M45" s="234" t="s">
        <v>121</v>
      </c>
      <c r="O45" s="44" t="s">
        <v>25</v>
      </c>
      <c r="P45" s="46">
        <v>1330</v>
      </c>
      <c r="Q45" s="89">
        <v>0</v>
      </c>
      <c r="R45" s="230" t="s">
        <v>122</v>
      </c>
      <c r="T45" s="44" t="s">
        <v>25</v>
      </c>
      <c r="U45" s="56">
        <v>400</v>
      </c>
      <c r="V45" s="230" t="s">
        <v>123</v>
      </c>
      <c r="W45" s="192">
        <v>930</v>
      </c>
      <c r="X45" s="234" t="s">
        <v>124</v>
      </c>
      <c r="Y45" s="230" t="s">
        <v>125</v>
      </c>
    </row>
    <row r="46" spans="1:26" ht="137.5" customHeight="1">
      <c r="A46" s="214"/>
      <c r="B46" s="214"/>
      <c r="C46" s="235"/>
      <c r="D46" s="219"/>
      <c r="E46" s="11"/>
      <c r="F46" s="30" t="s">
        <v>31</v>
      </c>
      <c r="G46" s="34">
        <v>710.64739339926814</v>
      </c>
      <c r="H46" s="34">
        <v>21.302032387783935</v>
      </c>
      <c r="I46" s="232"/>
      <c r="J46" s="34">
        <v>689.34536101148421</v>
      </c>
      <c r="K46" s="222"/>
      <c r="L46" s="34">
        <v>231.8588559214578</v>
      </c>
      <c r="M46" s="222"/>
      <c r="N46" s="11"/>
      <c r="O46" s="30" t="s">
        <v>31</v>
      </c>
      <c r="P46" s="50">
        <v>192.73267398471179</v>
      </c>
      <c r="Q46" s="55"/>
      <c r="R46" s="225"/>
      <c r="S46" s="11"/>
      <c r="T46" s="30" t="s">
        <v>31</v>
      </c>
      <c r="U46" s="34">
        <v>57.964713980364451</v>
      </c>
      <c r="V46" s="225"/>
      <c r="W46" s="31">
        <v>134.76796000434734</v>
      </c>
      <c r="X46" s="222"/>
      <c r="Y46" s="225"/>
    </row>
    <row r="47" spans="1:26" ht="119.15" customHeight="1">
      <c r="A47" s="214"/>
      <c r="B47" s="214"/>
      <c r="C47" s="236"/>
      <c r="D47" s="220"/>
      <c r="E47" s="8"/>
      <c r="F47" s="38" t="s">
        <v>32</v>
      </c>
      <c r="G47" s="39">
        <v>4.826837214914927</v>
      </c>
      <c r="H47" s="39">
        <v>0.14468700460695236</v>
      </c>
      <c r="I47" s="233"/>
      <c r="J47" s="39">
        <v>4.6821502103079746</v>
      </c>
      <c r="K47" s="223"/>
      <c r="L47" s="39">
        <v>1.5748245399396172</v>
      </c>
      <c r="M47" s="223"/>
      <c r="N47" s="8"/>
      <c r="O47" s="38" t="s">
        <v>32</v>
      </c>
      <c r="P47" s="52">
        <v>1.3090728988248068</v>
      </c>
      <c r="Q47" s="41"/>
      <c r="R47" s="226"/>
      <c r="S47" s="8"/>
      <c r="T47" s="38" t="s">
        <v>32</v>
      </c>
      <c r="U47" s="39">
        <v>0.39370613498490431</v>
      </c>
      <c r="V47" s="226"/>
      <c r="W47" s="81">
        <v>0.91536676383990256</v>
      </c>
      <c r="X47" s="223"/>
      <c r="Y47" s="225"/>
    </row>
    <row r="48" spans="1:26" s="200" customFormat="1" ht="138.65" customHeight="1">
      <c r="A48" s="214">
        <v>1</v>
      </c>
      <c r="B48" s="214" t="s">
        <v>103</v>
      </c>
      <c r="C48" s="216" t="s">
        <v>126</v>
      </c>
      <c r="D48" s="219" t="s">
        <v>34</v>
      </c>
      <c r="F48" s="44" t="s">
        <v>25</v>
      </c>
      <c r="G48" s="88">
        <v>6516.78</v>
      </c>
      <c r="H48" s="57">
        <v>710</v>
      </c>
      <c r="I48" s="230" t="s">
        <v>127</v>
      </c>
      <c r="J48" s="88">
        <v>5806.78</v>
      </c>
      <c r="K48" s="234" t="s">
        <v>128</v>
      </c>
      <c r="L48" s="57">
        <v>1340</v>
      </c>
      <c r="M48" s="234" t="s">
        <v>129</v>
      </c>
      <c r="O48" s="44" t="s">
        <v>25</v>
      </c>
      <c r="P48" s="88">
        <v>9991</v>
      </c>
      <c r="Q48" s="57">
        <v>641</v>
      </c>
      <c r="R48" s="230" t="s">
        <v>130</v>
      </c>
      <c r="T48" s="44" t="s">
        <v>25</v>
      </c>
      <c r="U48" s="90">
        <v>8450</v>
      </c>
      <c r="V48" s="234" t="s">
        <v>131</v>
      </c>
      <c r="W48" s="57">
        <v>900</v>
      </c>
      <c r="X48" s="230" t="s">
        <v>132</v>
      </c>
      <c r="Y48" s="194"/>
    </row>
    <row r="49" spans="1:26" s="201" customFormat="1" ht="170.5" customHeight="1">
      <c r="A49" s="214"/>
      <c r="B49" s="214"/>
      <c r="C49" s="216"/>
      <c r="D49" s="219"/>
      <c r="F49" s="30" t="s">
        <v>31</v>
      </c>
      <c r="G49" s="34">
        <v>90.127218595137208</v>
      </c>
      <c r="H49" s="32">
        <v>9.8193164726363982</v>
      </c>
      <c r="I49" s="225"/>
      <c r="J49" s="34">
        <v>80.307902122500806</v>
      </c>
      <c r="K49" s="222"/>
      <c r="L49" s="32">
        <v>18.532231089201087</v>
      </c>
      <c r="M49" s="222"/>
      <c r="O49" s="30" t="s">
        <v>31</v>
      </c>
      <c r="P49" s="55">
        <v>138.17576180015527</v>
      </c>
      <c r="Q49" s="51">
        <v>8.8650448717745505</v>
      </c>
      <c r="R49" s="225"/>
      <c r="T49" s="30" t="s">
        <v>31</v>
      </c>
      <c r="U49" s="55">
        <v>116.86369604757402</v>
      </c>
      <c r="V49" s="222"/>
      <c r="W49" s="55">
        <v>12.447020880806701</v>
      </c>
      <c r="X49" s="225"/>
      <c r="Y49" s="190"/>
    </row>
    <row r="50" spans="1:26" ht="114" customHeight="1">
      <c r="A50" s="214"/>
      <c r="B50" s="214"/>
      <c r="C50" s="217"/>
      <c r="D50" s="220"/>
      <c r="E50" s="11"/>
      <c r="F50" s="30" t="s">
        <v>32</v>
      </c>
      <c r="G50" s="32">
        <v>3.3272371919763746</v>
      </c>
      <c r="H50" s="40">
        <v>0.36250086795982467</v>
      </c>
      <c r="I50" s="226"/>
      <c r="J50" s="40">
        <v>2.9647363240165503</v>
      </c>
      <c r="K50" s="223"/>
      <c r="L50" s="40">
        <v>0.68415656769882405</v>
      </c>
      <c r="M50" s="223"/>
      <c r="N50" s="11"/>
      <c r="O50" s="30" t="s">
        <v>32</v>
      </c>
      <c r="P50" s="40">
        <v>5.1010509461783222</v>
      </c>
      <c r="Q50" s="40">
        <v>0.32727191036936287</v>
      </c>
      <c r="R50" s="226"/>
      <c r="S50" s="11"/>
      <c r="T50" s="30" t="s">
        <v>32</v>
      </c>
      <c r="U50" s="40">
        <v>4.3142708933246743</v>
      </c>
      <c r="V50" s="223"/>
      <c r="W50" s="40">
        <v>0.45950814248428484</v>
      </c>
      <c r="X50" s="226"/>
      <c r="Y50" s="190"/>
    </row>
    <row r="51" spans="1:26" s="200" customFormat="1" ht="82.5" customHeight="1">
      <c r="A51" s="214">
        <v>1</v>
      </c>
      <c r="B51" s="214" t="s">
        <v>103</v>
      </c>
      <c r="C51" s="216" t="s">
        <v>133</v>
      </c>
      <c r="D51" s="219" t="s">
        <v>34</v>
      </c>
      <c r="F51" s="44" t="s">
        <v>25</v>
      </c>
      <c r="G51" s="88">
        <v>699500</v>
      </c>
      <c r="H51" s="91">
        <v>276000</v>
      </c>
      <c r="I51" s="230" t="s">
        <v>514</v>
      </c>
      <c r="J51" s="91">
        <v>423500</v>
      </c>
      <c r="K51" s="230" t="s">
        <v>134</v>
      </c>
      <c r="L51" s="197"/>
      <c r="M51" s="234" t="s">
        <v>135</v>
      </c>
      <c r="O51" s="44" t="s">
        <v>25</v>
      </c>
      <c r="P51" s="92">
        <v>135150</v>
      </c>
      <c r="Q51" s="93">
        <v>35150</v>
      </c>
      <c r="R51" s="230" t="s">
        <v>136</v>
      </c>
      <c r="T51" s="44" t="s">
        <v>25</v>
      </c>
      <c r="U51" s="93">
        <v>100000</v>
      </c>
      <c r="V51" s="234" t="s">
        <v>137</v>
      </c>
      <c r="W51" s="94"/>
      <c r="X51" s="197"/>
      <c r="Y51" s="194"/>
    </row>
    <row r="52" spans="1:26" s="201" customFormat="1" ht="74.150000000000006" customHeight="1">
      <c r="A52" s="214"/>
      <c r="B52" s="214"/>
      <c r="C52" s="216"/>
      <c r="D52" s="219"/>
      <c r="F52" s="30" t="s">
        <v>31</v>
      </c>
      <c r="G52" s="34">
        <v>48.024441316810268</v>
      </c>
      <c r="H52" s="32">
        <v>18.948886066389758</v>
      </c>
      <c r="I52" s="225"/>
      <c r="J52" s="36">
        <v>29.075555250420514</v>
      </c>
      <c r="K52" s="225"/>
      <c r="L52" s="188"/>
      <c r="M52" s="222"/>
      <c r="O52" s="30" t="s">
        <v>31</v>
      </c>
      <c r="P52" s="34">
        <v>9.2787751879441149</v>
      </c>
      <c r="Q52" s="82">
        <v>2.4132367580927534</v>
      </c>
      <c r="R52" s="254"/>
      <c r="T52" s="30" t="s">
        <v>31</v>
      </c>
      <c r="U52" s="75">
        <v>6.8655384298513615</v>
      </c>
      <c r="V52" s="222"/>
      <c r="W52" s="95"/>
      <c r="X52" s="204"/>
      <c r="Y52" s="190"/>
    </row>
    <row r="53" spans="1:26" s="7" customFormat="1" ht="63" customHeight="1">
      <c r="A53" s="214"/>
      <c r="B53" s="214"/>
      <c r="C53" s="217"/>
      <c r="D53" s="220"/>
      <c r="E53" s="8"/>
      <c r="F53" s="38" t="s">
        <v>32</v>
      </c>
      <c r="G53" s="39">
        <v>4.5321570570531771</v>
      </c>
      <c r="H53" s="39">
        <v>1.788242098279738</v>
      </c>
      <c r="I53" s="226"/>
      <c r="J53" s="40">
        <v>2.7439149587734391</v>
      </c>
      <c r="K53" s="226"/>
      <c r="L53" s="189"/>
      <c r="M53" s="223"/>
      <c r="N53" s="8"/>
      <c r="O53" s="38" t="s">
        <v>32</v>
      </c>
      <c r="P53" s="39">
        <v>0.87565550573371964</v>
      </c>
      <c r="Q53" s="76">
        <v>0.22774170200917679</v>
      </c>
      <c r="R53" s="255"/>
      <c r="S53" s="8"/>
      <c r="T53" s="38" t="s">
        <v>32</v>
      </c>
      <c r="U53" s="76">
        <v>0.64791380372454288</v>
      </c>
      <c r="V53" s="223"/>
      <c r="W53" s="96"/>
      <c r="X53" s="189"/>
      <c r="Y53" s="97" t="s">
        <v>138</v>
      </c>
      <c r="Z53" s="4"/>
    </row>
    <row r="54" spans="1:26" s="19" customFormat="1" ht="58.5" customHeight="1">
      <c r="A54" s="214">
        <v>1</v>
      </c>
      <c r="B54" s="214" t="s">
        <v>103</v>
      </c>
      <c r="C54" s="216" t="s">
        <v>139</v>
      </c>
      <c r="D54" s="219" t="s">
        <v>140</v>
      </c>
      <c r="F54" s="30" t="s">
        <v>25</v>
      </c>
      <c r="G54" s="31">
        <v>151</v>
      </c>
      <c r="H54" s="206">
        <v>103.2</v>
      </c>
      <c r="I54" s="256" t="s">
        <v>141</v>
      </c>
      <c r="J54" s="31">
        <v>47.8</v>
      </c>
      <c r="K54" s="242" t="s">
        <v>142</v>
      </c>
      <c r="L54" s="31">
        <v>92</v>
      </c>
      <c r="M54" s="234" t="s">
        <v>143</v>
      </c>
      <c r="O54" s="30" t="s">
        <v>25</v>
      </c>
      <c r="P54" s="31">
        <v>276.3</v>
      </c>
      <c r="Q54" s="35">
        <v>19.2</v>
      </c>
      <c r="R54" s="230" t="s">
        <v>144</v>
      </c>
      <c r="T54" s="30" t="s">
        <v>25</v>
      </c>
      <c r="U54" s="81">
        <v>3.8</v>
      </c>
      <c r="V54" s="190" t="s">
        <v>145</v>
      </c>
      <c r="W54" s="35">
        <v>253.3</v>
      </c>
      <c r="X54" s="257" t="s">
        <v>146</v>
      </c>
      <c r="Y54" s="230" t="s">
        <v>147</v>
      </c>
    </row>
    <row r="55" spans="1:26" s="19" customFormat="1" ht="58.5" customHeight="1">
      <c r="A55" s="214"/>
      <c r="B55" s="214"/>
      <c r="C55" s="216"/>
      <c r="D55" s="219"/>
      <c r="F55" s="30" t="s">
        <v>31</v>
      </c>
      <c r="G55" s="32">
        <v>7.0279601888551086</v>
      </c>
      <c r="H55" s="32">
        <v>4.8032151754294521</v>
      </c>
      <c r="I55" s="232"/>
      <c r="J55" s="32">
        <v>2.224745013425657</v>
      </c>
      <c r="K55" s="222"/>
      <c r="L55" s="32">
        <v>4.2819360091037746</v>
      </c>
      <c r="M55" s="222"/>
      <c r="O55" s="30" t="s">
        <v>31</v>
      </c>
      <c r="P55" s="32">
        <v>12.85977086212362</v>
      </c>
      <c r="Q55" s="32">
        <v>0.89362142798687472</v>
      </c>
      <c r="R55" s="225"/>
      <c r="T55" s="30" t="s">
        <v>31</v>
      </c>
      <c r="U55" s="81">
        <v>0.17686257428906896</v>
      </c>
      <c r="V55" s="190"/>
      <c r="W55" s="32">
        <v>11.789286859847676</v>
      </c>
      <c r="X55" s="258"/>
      <c r="Y55" s="225"/>
    </row>
    <row r="56" spans="1:26" s="22" customFormat="1" ht="58.5" customHeight="1">
      <c r="A56" s="214"/>
      <c r="B56" s="214"/>
      <c r="C56" s="217"/>
      <c r="D56" s="220"/>
      <c r="F56" s="38" t="s">
        <v>32</v>
      </c>
      <c r="G56" s="39">
        <v>0.65305702953176115</v>
      </c>
      <c r="H56" s="39">
        <v>0.44632771819654138</v>
      </c>
      <c r="I56" s="233"/>
      <c r="J56" s="39">
        <v>0.20672931133521974</v>
      </c>
      <c r="K56" s="223"/>
      <c r="L56" s="39">
        <v>0.39788905110544381</v>
      </c>
      <c r="M56" s="223"/>
      <c r="O56" s="38" t="s">
        <v>32</v>
      </c>
      <c r="P56" s="39">
        <v>1.1949646176134145</v>
      </c>
      <c r="Q56" s="39">
        <v>8.3037715013310018E-2</v>
      </c>
      <c r="R56" s="226"/>
      <c r="T56" s="38" t="s">
        <v>32</v>
      </c>
      <c r="U56" s="83">
        <v>1.6434547763050939E-2</v>
      </c>
      <c r="V56" s="191"/>
      <c r="W56" s="39">
        <v>1.0954923548370537</v>
      </c>
      <c r="X56" s="259"/>
      <c r="Y56" s="226"/>
    </row>
    <row r="57" spans="1:26" s="201" customFormat="1" ht="165" customHeight="1">
      <c r="A57" s="214">
        <v>1</v>
      </c>
      <c r="B57" s="214" t="s">
        <v>103</v>
      </c>
      <c r="C57" s="216" t="s">
        <v>148</v>
      </c>
      <c r="D57" s="219" t="s">
        <v>34</v>
      </c>
      <c r="E57" s="200"/>
      <c r="F57" s="30" t="s">
        <v>25</v>
      </c>
      <c r="G57" s="88">
        <v>4584</v>
      </c>
      <c r="H57" s="57">
        <v>775</v>
      </c>
      <c r="I57" s="230" t="s">
        <v>149</v>
      </c>
      <c r="J57" s="88">
        <v>3809</v>
      </c>
      <c r="K57" s="234" t="s">
        <v>515</v>
      </c>
      <c r="L57" s="57">
        <v>460</v>
      </c>
      <c r="M57" s="230" t="s">
        <v>150</v>
      </c>
      <c r="N57" s="200"/>
      <c r="O57" s="30" t="s">
        <v>25</v>
      </c>
      <c r="P57" s="88">
        <v>1567</v>
      </c>
      <c r="Q57" s="35">
        <v>567</v>
      </c>
      <c r="R57" s="230" t="s">
        <v>151</v>
      </c>
      <c r="S57" s="200"/>
      <c r="T57" s="30" t="s">
        <v>25</v>
      </c>
      <c r="U57" s="31">
        <v>500</v>
      </c>
      <c r="V57" s="230" t="s">
        <v>152</v>
      </c>
      <c r="W57" s="192">
        <v>500</v>
      </c>
      <c r="X57" s="234" t="s">
        <v>153</v>
      </c>
      <c r="Y57" s="194"/>
      <c r="Z57" s="200"/>
    </row>
    <row r="58" spans="1:26" s="201" customFormat="1" ht="138" customHeight="1">
      <c r="A58" s="214"/>
      <c r="B58" s="214"/>
      <c r="C58" s="216"/>
      <c r="D58" s="219"/>
      <c r="F58" s="30" t="s">
        <v>31</v>
      </c>
      <c r="G58" s="34">
        <v>63.36290128234284</v>
      </c>
      <c r="H58" s="81">
        <v>10.712532393938853</v>
      </c>
      <c r="I58" s="225"/>
      <c r="J58" s="36">
        <v>52.650368888403989</v>
      </c>
      <c r="K58" s="222"/>
      <c r="L58" s="74">
        <v>6.3584063241443518</v>
      </c>
      <c r="M58" s="225"/>
      <c r="O58" s="30" t="s">
        <v>31</v>
      </c>
      <c r="P58" s="34">
        <v>21.660049369422172</v>
      </c>
      <c r="Q58" s="32">
        <v>7.837426925630103</v>
      </c>
      <c r="R58" s="225"/>
      <c r="T58" s="30" t="s">
        <v>31</v>
      </c>
      <c r="U58" s="32">
        <v>6.9113112218960344</v>
      </c>
      <c r="V58" s="225"/>
      <c r="W58" s="32">
        <v>6.9113112218960344</v>
      </c>
      <c r="X58" s="222"/>
      <c r="Y58" s="190"/>
    </row>
    <row r="59" spans="1:26" ht="161.25" customHeight="1">
      <c r="A59" s="214"/>
      <c r="B59" s="214"/>
      <c r="C59" s="217"/>
      <c r="D59" s="220"/>
      <c r="E59" s="11"/>
      <c r="F59" s="30" t="s">
        <v>32</v>
      </c>
      <c r="G59" s="32">
        <v>4.2999213932345643</v>
      </c>
      <c r="H59" s="98">
        <v>0.72697187603769375</v>
      </c>
      <c r="I59" s="226"/>
      <c r="J59" s="40">
        <v>3.572949517196871</v>
      </c>
      <c r="K59" s="223"/>
      <c r="L59" s="40">
        <v>0.43149298448688911</v>
      </c>
      <c r="M59" s="226"/>
      <c r="N59" s="11"/>
      <c r="O59" s="30" t="s">
        <v>32</v>
      </c>
      <c r="P59" s="39">
        <v>1.4698902319368594</v>
      </c>
      <c r="Q59" s="39">
        <v>0.53186200479144818</v>
      </c>
      <c r="R59" s="226"/>
      <c r="S59" s="11"/>
      <c r="T59" s="30" t="s">
        <v>32</v>
      </c>
      <c r="U59" s="39">
        <v>0.46901411357270562</v>
      </c>
      <c r="V59" s="226"/>
      <c r="W59" s="39">
        <v>0.46901411357270562</v>
      </c>
      <c r="X59" s="223"/>
      <c r="Y59" s="190"/>
    </row>
    <row r="60" spans="1:26" s="200" customFormat="1" ht="43.5" customHeight="1">
      <c r="A60" s="214">
        <v>1</v>
      </c>
      <c r="B60" s="214" t="s">
        <v>103</v>
      </c>
      <c r="C60" s="216" t="s">
        <v>154</v>
      </c>
      <c r="D60" s="219" t="s">
        <v>24</v>
      </c>
      <c r="F60" s="44" t="s">
        <v>25</v>
      </c>
      <c r="G60" s="56">
        <v>57.6</v>
      </c>
      <c r="H60" s="57">
        <v>47</v>
      </c>
      <c r="I60" s="230" t="s">
        <v>155</v>
      </c>
      <c r="J60" s="78">
        <v>10.6</v>
      </c>
      <c r="K60" s="230" t="s">
        <v>156</v>
      </c>
      <c r="L60" s="57">
        <v>56</v>
      </c>
      <c r="M60" s="230" t="s">
        <v>157</v>
      </c>
      <c r="O60" s="44" t="s">
        <v>25</v>
      </c>
      <c r="P60" s="46">
        <v>22</v>
      </c>
      <c r="Q60" s="89">
        <v>22</v>
      </c>
      <c r="R60" s="230" t="s">
        <v>158</v>
      </c>
      <c r="T60" s="44" t="s">
        <v>25</v>
      </c>
      <c r="U60" s="78"/>
      <c r="V60" s="194"/>
      <c r="W60" s="194"/>
      <c r="X60" s="194"/>
      <c r="Y60" s="194"/>
    </row>
    <row r="61" spans="1:26" s="201" customFormat="1" ht="58.5" customHeight="1">
      <c r="A61" s="214"/>
      <c r="B61" s="214"/>
      <c r="C61" s="216"/>
      <c r="D61" s="219"/>
      <c r="F61" s="30" t="s">
        <v>31</v>
      </c>
      <c r="G61" s="34">
        <v>15.360000000000001</v>
      </c>
      <c r="H61" s="34">
        <v>12.533333333333333</v>
      </c>
      <c r="I61" s="225"/>
      <c r="J61" s="32">
        <v>2.8266666666666667</v>
      </c>
      <c r="K61" s="225"/>
      <c r="L61" s="34">
        <v>14.933333333333334</v>
      </c>
      <c r="M61" s="225"/>
      <c r="O61" s="30" t="s">
        <v>31</v>
      </c>
      <c r="P61" s="99">
        <v>5.8666666666666663</v>
      </c>
      <c r="Q61" s="51">
        <v>5.8666666666666663</v>
      </c>
      <c r="R61" s="225"/>
      <c r="T61" s="30" t="s">
        <v>31</v>
      </c>
      <c r="U61" s="81"/>
      <c r="V61" s="190"/>
      <c r="W61" s="190"/>
      <c r="X61" s="190"/>
      <c r="Y61" s="190"/>
    </row>
    <row r="62" spans="1:26" ht="47.5" customHeight="1">
      <c r="A62" s="214"/>
      <c r="B62" s="214"/>
      <c r="C62" s="217"/>
      <c r="D62" s="220"/>
      <c r="E62" s="8"/>
      <c r="F62" s="38" t="s">
        <v>32</v>
      </c>
      <c r="G62" s="39">
        <v>2.1896957349419446</v>
      </c>
      <c r="H62" s="39">
        <v>1.7867308948311005</v>
      </c>
      <c r="I62" s="226"/>
      <c r="J62" s="39">
        <v>0.40296484011084394</v>
      </c>
      <c r="K62" s="226"/>
      <c r="L62" s="39">
        <v>2.1288708534157794</v>
      </c>
      <c r="M62" s="226"/>
      <c r="N62" s="8"/>
      <c r="O62" s="38" t="s">
        <v>32</v>
      </c>
      <c r="P62" s="52">
        <v>0.83634212098477045</v>
      </c>
      <c r="Q62" s="41">
        <v>0.83634212098477045</v>
      </c>
      <c r="R62" s="226"/>
      <c r="S62" s="8"/>
      <c r="T62" s="38" t="s">
        <v>32</v>
      </c>
      <c r="U62" s="39"/>
      <c r="V62" s="191"/>
      <c r="W62" s="191"/>
      <c r="X62" s="191"/>
      <c r="Y62" s="191"/>
      <c r="Z62" s="4"/>
    </row>
    <row r="63" spans="1:26" s="201" customFormat="1" ht="143.5" customHeight="1">
      <c r="A63" s="214">
        <v>1</v>
      </c>
      <c r="B63" s="214" t="s">
        <v>103</v>
      </c>
      <c r="C63" s="216" t="s">
        <v>159</v>
      </c>
      <c r="D63" s="219" t="s">
        <v>24</v>
      </c>
      <c r="E63" s="200"/>
      <c r="F63" s="30" t="s">
        <v>25</v>
      </c>
      <c r="G63" s="56">
        <v>291.3</v>
      </c>
      <c r="H63" s="56">
        <v>38.299999999999997</v>
      </c>
      <c r="I63" s="230" t="s">
        <v>160</v>
      </c>
      <c r="J63" s="56">
        <v>253</v>
      </c>
      <c r="K63" s="234" t="s">
        <v>161</v>
      </c>
      <c r="L63" s="56">
        <v>44</v>
      </c>
      <c r="M63" s="234" t="s">
        <v>162</v>
      </c>
      <c r="N63" s="200"/>
      <c r="O63" s="30" t="s">
        <v>25</v>
      </c>
      <c r="P63" s="56">
        <v>203</v>
      </c>
      <c r="Q63" s="89"/>
      <c r="R63" s="230"/>
      <c r="S63" s="200"/>
      <c r="T63" s="30" t="s">
        <v>25</v>
      </c>
      <c r="U63" s="56">
        <v>200</v>
      </c>
      <c r="V63" s="234" t="s">
        <v>163</v>
      </c>
      <c r="W63" s="78">
        <v>3</v>
      </c>
      <c r="X63" s="234" t="s">
        <v>164</v>
      </c>
      <c r="Y63" s="194"/>
      <c r="Z63" s="200"/>
    </row>
    <row r="64" spans="1:26" s="201" customFormat="1" ht="97.5" customHeight="1">
      <c r="A64" s="214"/>
      <c r="B64" s="214"/>
      <c r="C64" s="216"/>
      <c r="D64" s="219"/>
      <c r="F64" s="30" t="s">
        <v>31</v>
      </c>
      <c r="G64" s="34">
        <v>17.693238243228844</v>
      </c>
      <c r="H64" s="32">
        <v>2.3262994325975441</v>
      </c>
      <c r="I64" s="225"/>
      <c r="J64" s="36">
        <v>15.366938810631298</v>
      </c>
      <c r="K64" s="222"/>
      <c r="L64" s="74">
        <v>2.6725110975010953</v>
      </c>
      <c r="M64" s="222"/>
      <c r="O64" s="30" t="s">
        <v>31</v>
      </c>
      <c r="P64" s="31">
        <v>12.32999438165278</v>
      </c>
      <c r="Q64" s="51"/>
      <c r="R64" s="225"/>
      <c r="T64" s="30" t="s">
        <v>31</v>
      </c>
      <c r="U64" s="31">
        <v>12.147777715914069</v>
      </c>
      <c r="V64" s="222"/>
      <c r="W64" s="81">
        <v>0.18221666573871104</v>
      </c>
      <c r="X64" s="222"/>
      <c r="Y64" s="190"/>
    </row>
    <row r="65" spans="1:26" ht="61.5" customHeight="1">
      <c r="A65" s="214"/>
      <c r="B65" s="214"/>
      <c r="C65" s="217"/>
      <c r="D65" s="220"/>
      <c r="E65" s="8"/>
      <c r="F65" s="38" t="s">
        <v>32</v>
      </c>
      <c r="G65" s="39">
        <v>5.8564829939836844</v>
      </c>
      <c r="H65" s="39">
        <v>0.77000789107303502</v>
      </c>
      <c r="I65" s="226"/>
      <c r="J65" s="40">
        <v>5.0864751029106499</v>
      </c>
      <c r="K65" s="223"/>
      <c r="L65" s="40">
        <v>0.88460436572359125</v>
      </c>
      <c r="M65" s="223"/>
      <c r="N65" s="8"/>
      <c r="O65" s="38" t="s">
        <v>32</v>
      </c>
      <c r="P65" s="39">
        <v>4.0812428691338418</v>
      </c>
      <c r="Q65" s="41"/>
      <c r="R65" s="226"/>
      <c r="S65" s="8"/>
      <c r="T65" s="38" t="s">
        <v>32</v>
      </c>
      <c r="U65" s="39">
        <v>4.020928935107233</v>
      </c>
      <c r="V65" s="223"/>
      <c r="W65" s="83">
        <v>6.0313934026608486E-2</v>
      </c>
      <c r="X65" s="223"/>
      <c r="Y65" s="191"/>
      <c r="Z65" s="4"/>
    </row>
    <row r="66" spans="1:26" s="19" customFormat="1" ht="92.15" customHeight="1">
      <c r="A66" s="214">
        <v>1</v>
      </c>
      <c r="B66" s="214" t="s">
        <v>103</v>
      </c>
      <c r="C66" s="216" t="s">
        <v>165</v>
      </c>
      <c r="D66" s="219" t="s">
        <v>140</v>
      </c>
      <c r="E66" s="13"/>
      <c r="F66" s="30" t="s">
        <v>25</v>
      </c>
      <c r="G66" s="56">
        <v>94.8</v>
      </c>
      <c r="H66" s="57">
        <v>16.8</v>
      </c>
      <c r="I66" s="234" t="s">
        <v>166</v>
      </c>
      <c r="J66" s="100">
        <v>78</v>
      </c>
      <c r="K66" s="234" t="s">
        <v>167</v>
      </c>
      <c r="L66" s="100">
        <v>70.400000000000006</v>
      </c>
      <c r="M66" s="234" t="s">
        <v>168</v>
      </c>
      <c r="N66" s="13"/>
      <c r="O66" s="30" t="s">
        <v>25</v>
      </c>
      <c r="P66" s="56">
        <v>472.5</v>
      </c>
      <c r="Q66" s="89">
        <v>21</v>
      </c>
      <c r="R66" s="230" t="s">
        <v>169</v>
      </c>
      <c r="S66" s="13"/>
      <c r="T66" s="30" t="s">
        <v>25</v>
      </c>
      <c r="U66" s="56">
        <v>322</v>
      </c>
      <c r="V66" s="230" t="s">
        <v>170</v>
      </c>
      <c r="W66" s="56">
        <v>129.5</v>
      </c>
      <c r="X66" s="230" t="s">
        <v>171</v>
      </c>
      <c r="Y66" s="194"/>
      <c r="Z66" s="13"/>
    </row>
    <row r="67" spans="1:26" s="19" customFormat="1" ht="106" customHeight="1">
      <c r="A67" s="214"/>
      <c r="B67" s="214"/>
      <c r="C67" s="216"/>
      <c r="D67" s="219"/>
      <c r="F67" s="30" t="s">
        <v>31</v>
      </c>
      <c r="G67" s="32">
        <v>13.522864278129838</v>
      </c>
      <c r="H67" s="81">
        <v>2.3964569606812369</v>
      </c>
      <c r="I67" s="222"/>
      <c r="J67" s="74">
        <v>11.126407317448601</v>
      </c>
      <c r="K67" s="222"/>
      <c r="L67" s="74">
        <v>10.042295835235661</v>
      </c>
      <c r="M67" s="222"/>
      <c r="O67" s="30" t="s">
        <v>31</v>
      </c>
      <c r="P67" s="36">
        <v>67.400352019159797</v>
      </c>
      <c r="Q67" s="74">
        <v>2.995571200851546</v>
      </c>
      <c r="R67" s="225"/>
      <c r="T67" s="30" t="s">
        <v>31</v>
      </c>
      <c r="U67" s="34">
        <v>45.932091746390377</v>
      </c>
      <c r="V67" s="225"/>
      <c r="W67" s="34">
        <v>18.47268907191787</v>
      </c>
      <c r="X67" s="225"/>
      <c r="Y67" s="190"/>
    </row>
    <row r="68" spans="1:26" ht="146.15" customHeight="1">
      <c r="A68" s="214"/>
      <c r="B68" s="214"/>
      <c r="C68" s="217"/>
      <c r="D68" s="220"/>
      <c r="E68" s="8"/>
      <c r="F68" s="38" t="s">
        <v>32</v>
      </c>
      <c r="G68" s="39">
        <v>1.8793831456217234</v>
      </c>
      <c r="H68" s="101">
        <v>0.33305524099625478</v>
      </c>
      <c r="I68" s="223"/>
      <c r="J68" s="40">
        <v>1.5463279046254685</v>
      </c>
      <c r="K68" s="223"/>
      <c r="L68" s="40">
        <v>1.3956600575081155</v>
      </c>
      <c r="M68" s="223"/>
      <c r="N68" s="8"/>
      <c r="O68" s="38" t="s">
        <v>32</v>
      </c>
      <c r="P68" s="40">
        <v>9.3671786530196659</v>
      </c>
      <c r="Q68" s="40">
        <v>0.41631905124531848</v>
      </c>
      <c r="R68" s="226"/>
      <c r="S68" s="8"/>
      <c r="T68" s="38" t="s">
        <v>32</v>
      </c>
      <c r="U68" s="39">
        <v>6.3835587857615508</v>
      </c>
      <c r="V68" s="226"/>
      <c r="W68" s="39">
        <v>2.5673008160127972</v>
      </c>
      <c r="X68" s="226"/>
      <c r="Y68" s="191"/>
      <c r="Z68" s="4"/>
    </row>
    <row r="69" spans="1:26" ht="109.5" customHeight="1">
      <c r="A69" s="214">
        <v>0</v>
      </c>
      <c r="B69" s="214" t="s">
        <v>22</v>
      </c>
      <c r="C69" s="216" t="s">
        <v>172</v>
      </c>
      <c r="D69" s="219" t="s">
        <v>24</v>
      </c>
      <c r="F69" s="30" t="s">
        <v>25</v>
      </c>
      <c r="G69" s="34">
        <v>36.1</v>
      </c>
      <c r="H69" s="32">
        <v>8.4</v>
      </c>
      <c r="I69" s="260" t="s">
        <v>173</v>
      </c>
      <c r="J69" s="34">
        <v>27.7</v>
      </c>
      <c r="K69" s="221" t="s">
        <v>174</v>
      </c>
      <c r="L69" s="34">
        <v>13.6</v>
      </c>
      <c r="M69" s="230" t="s">
        <v>175</v>
      </c>
      <c r="O69" s="30" t="s">
        <v>25</v>
      </c>
      <c r="P69" s="46">
        <v>53.1</v>
      </c>
      <c r="Q69" s="51">
        <v>1.1000000000000001</v>
      </c>
      <c r="R69" s="234" t="s">
        <v>176</v>
      </c>
      <c r="T69" s="30" t="s">
        <v>25</v>
      </c>
      <c r="U69" s="34">
        <v>52</v>
      </c>
      <c r="V69" s="230" t="s">
        <v>177</v>
      </c>
      <c r="W69" s="198"/>
      <c r="X69" s="198"/>
    </row>
    <row r="70" spans="1:26" ht="116.15" customHeight="1">
      <c r="A70" s="214"/>
      <c r="B70" s="214"/>
      <c r="C70" s="216"/>
      <c r="D70" s="219"/>
      <c r="F70" s="30" t="s">
        <v>31</v>
      </c>
      <c r="G70" s="34">
        <v>41.200275122694293</v>
      </c>
      <c r="H70" s="32">
        <v>9.5867676185770652</v>
      </c>
      <c r="I70" s="225"/>
      <c r="J70" s="34">
        <v>31.613507504117226</v>
      </c>
      <c r="K70" s="222"/>
      <c r="L70" s="34">
        <v>15.52143328722001</v>
      </c>
      <c r="M70" s="225"/>
      <c r="O70" s="30" t="s">
        <v>31</v>
      </c>
      <c r="P70" s="50">
        <v>60.602066731719304</v>
      </c>
      <c r="Q70" s="32">
        <v>1.2554100452898538</v>
      </c>
      <c r="R70" s="222"/>
      <c r="T70" s="30" t="s">
        <v>31</v>
      </c>
      <c r="U70" s="34">
        <v>59.346656686429448</v>
      </c>
      <c r="V70" s="225"/>
      <c r="W70" s="198"/>
      <c r="X70" s="198"/>
    </row>
    <row r="71" spans="1:26" ht="151.5" customHeight="1">
      <c r="A71" s="214"/>
      <c r="B71" s="214"/>
      <c r="C71" s="217"/>
      <c r="D71" s="220"/>
      <c r="F71" s="38" t="s">
        <v>32</v>
      </c>
      <c r="G71" s="39">
        <v>8.0298773719835133</v>
      </c>
      <c r="H71" s="39">
        <v>1.8684479203507343</v>
      </c>
      <c r="I71" s="226"/>
      <c r="J71" s="39">
        <v>6.1614294516327783</v>
      </c>
      <c r="K71" s="223"/>
      <c r="L71" s="39">
        <v>3.0251061567583317</v>
      </c>
      <c r="M71" s="226"/>
      <c r="O71" s="38" t="s">
        <v>32</v>
      </c>
      <c r="P71" s="52">
        <v>11.811260067931427</v>
      </c>
      <c r="Q71" s="39">
        <v>0.24467770385545332</v>
      </c>
      <c r="R71" s="223"/>
      <c r="T71" s="38" t="s">
        <v>32</v>
      </c>
      <c r="U71" s="39">
        <v>11.566582364075973</v>
      </c>
      <c r="V71" s="226"/>
      <c r="W71" s="198"/>
      <c r="X71" s="198"/>
    </row>
    <row r="72" spans="1:26" ht="234.65" customHeight="1">
      <c r="A72" s="214">
        <v>0</v>
      </c>
      <c r="B72" s="214" t="s">
        <v>22</v>
      </c>
      <c r="C72" s="216" t="s">
        <v>178</v>
      </c>
      <c r="D72" s="219" t="s">
        <v>24</v>
      </c>
      <c r="E72" s="49"/>
      <c r="F72" s="30" t="s">
        <v>25</v>
      </c>
      <c r="G72" s="56">
        <v>304.39999999999998</v>
      </c>
      <c r="H72" s="102">
        <v>66.599999999999994</v>
      </c>
      <c r="I72" s="221" t="s">
        <v>179</v>
      </c>
      <c r="J72" s="103">
        <v>237.8</v>
      </c>
      <c r="K72" s="234" t="s">
        <v>180</v>
      </c>
      <c r="L72" s="103">
        <v>36.299999999999997</v>
      </c>
      <c r="M72" s="221" t="s">
        <v>181</v>
      </c>
      <c r="N72" s="13"/>
      <c r="O72" s="30" t="s">
        <v>25</v>
      </c>
      <c r="P72" s="46">
        <v>865</v>
      </c>
      <c r="Q72" s="80">
        <v>1</v>
      </c>
      <c r="R72" s="234" t="s">
        <v>182</v>
      </c>
      <c r="S72" s="13"/>
      <c r="T72" s="30" t="s">
        <v>25</v>
      </c>
      <c r="U72" s="56">
        <v>864</v>
      </c>
      <c r="V72" s="230" t="s">
        <v>183</v>
      </c>
      <c r="W72" s="56"/>
      <c r="X72" s="230"/>
    </row>
    <row r="73" spans="1:26" ht="194.5" customHeight="1">
      <c r="A73" s="214"/>
      <c r="B73" s="214"/>
      <c r="C73" s="216"/>
      <c r="D73" s="219"/>
      <c r="F73" s="30" t="s">
        <v>31</v>
      </c>
      <c r="G73" s="34">
        <v>13.114895358731594</v>
      </c>
      <c r="H73" s="81">
        <v>2.8694219148867419</v>
      </c>
      <c r="I73" s="222"/>
      <c r="J73" s="32">
        <v>10.245473443844855</v>
      </c>
      <c r="K73" s="222"/>
      <c r="L73" s="32">
        <v>1.5639641968526836</v>
      </c>
      <c r="M73" s="222"/>
      <c r="N73" s="19"/>
      <c r="O73" s="30" t="s">
        <v>31</v>
      </c>
      <c r="P73" s="50">
        <v>37.268017363018501</v>
      </c>
      <c r="Q73" s="104">
        <v>4.3084413136437572E-2</v>
      </c>
      <c r="R73" s="222"/>
      <c r="S73" s="19"/>
      <c r="T73" s="30" t="s">
        <v>31</v>
      </c>
      <c r="U73" s="34">
        <v>37.22493294988206</v>
      </c>
      <c r="V73" s="225"/>
      <c r="W73" s="32"/>
      <c r="X73" s="225"/>
    </row>
    <row r="74" spans="1:26" ht="209.15" customHeight="1">
      <c r="A74" s="214"/>
      <c r="B74" s="214"/>
      <c r="C74" s="217"/>
      <c r="D74" s="220"/>
      <c r="F74" s="38" t="s">
        <v>32</v>
      </c>
      <c r="G74" s="39">
        <v>5.4316135144669095</v>
      </c>
      <c r="H74" s="83">
        <v>1.1883885021796852</v>
      </c>
      <c r="I74" s="223"/>
      <c r="J74" s="39">
        <v>4.2432250122872244</v>
      </c>
      <c r="K74" s="223"/>
      <c r="L74" s="39">
        <v>0.64772526470154013</v>
      </c>
      <c r="M74" s="223"/>
      <c r="N74" s="8"/>
      <c r="O74" s="38" t="s">
        <v>32</v>
      </c>
      <c r="P74" s="52">
        <v>15.434775591372787</v>
      </c>
      <c r="Q74" s="41">
        <v>1.7843671203899177E-2</v>
      </c>
      <c r="R74" s="223"/>
      <c r="S74" s="8"/>
      <c r="T74" s="38" t="s">
        <v>32</v>
      </c>
      <c r="U74" s="39">
        <v>15.416931920168889</v>
      </c>
      <c r="V74" s="226"/>
      <c r="W74" s="39"/>
      <c r="X74" s="226"/>
    </row>
    <row r="75" spans="1:26" s="201" customFormat="1" ht="177.65" customHeight="1">
      <c r="A75" s="214">
        <v>0</v>
      </c>
      <c r="B75" s="214" t="s">
        <v>22</v>
      </c>
      <c r="C75" s="215" t="s">
        <v>184</v>
      </c>
      <c r="D75" s="218" t="s">
        <v>24</v>
      </c>
      <c r="E75" s="200"/>
      <c r="F75" s="44" t="s">
        <v>25</v>
      </c>
      <c r="G75" s="78">
        <v>117.6</v>
      </c>
      <c r="H75" s="57">
        <v>0.8</v>
      </c>
      <c r="I75" s="231" t="s">
        <v>185</v>
      </c>
      <c r="J75" s="56">
        <v>116.8</v>
      </c>
      <c r="K75" s="234" t="s">
        <v>186</v>
      </c>
      <c r="L75" s="56">
        <v>318.8</v>
      </c>
      <c r="M75" s="230" t="s">
        <v>187</v>
      </c>
      <c r="N75" s="200"/>
      <c r="O75" s="44" t="s">
        <v>25</v>
      </c>
      <c r="P75" s="46">
        <v>313.02499999999998</v>
      </c>
      <c r="Q75" s="89">
        <v>221.3</v>
      </c>
      <c r="R75" s="234" t="s">
        <v>188</v>
      </c>
      <c r="S75" s="200"/>
      <c r="T75" s="44" t="s">
        <v>25</v>
      </c>
      <c r="U75" s="56">
        <v>91.724999999999994</v>
      </c>
      <c r="V75" s="234" t="s">
        <v>189</v>
      </c>
      <c r="W75" s="194"/>
      <c r="X75" s="194"/>
      <c r="Y75" s="225" t="s">
        <v>190</v>
      </c>
    </row>
    <row r="76" spans="1:26" ht="104.5" customHeight="1">
      <c r="A76" s="214"/>
      <c r="B76" s="214"/>
      <c r="C76" s="216"/>
      <c r="D76" s="219"/>
      <c r="E76" s="11"/>
      <c r="F76" s="30" t="s">
        <v>31</v>
      </c>
      <c r="G76" s="34">
        <v>17.975735863360232</v>
      </c>
      <c r="H76" s="98">
        <v>0.12228391743782471</v>
      </c>
      <c r="I76" s="232"/>
      <c r="J76" s="34">
        <v>17.853451945922409</v>
      </c>
      <c r="K76" s="222"/>
      <c r="L76" s="34">
        <v>48.730141098973149</v>
      </c>
      <c r="M76" s="225"/>
      <c r="N76" s="11"/>
      <c r="O76" s="30" t="s">
        <v>31</v>
      </c>
      <c r="P76" s="50">
        <v>47.847404069968846</v>
      </c>
      <c r="Q76" s="51">
        <v>33.826788661238261</v>
      </c>
      <c r="R76" s="222"/>
      <c r="S76" s="11"/>
      <c r="T76" s="30" t="s">
        <v>31</v>
      </c>
      <c r="U76" s="34">
        <v>14.020615408730588</v>
      </c>
      <c r="V76" s="225"/>
      <c r="W76" s="190"/>
      <c r="X76" s="190"/>
      <c r="Y76" s="225"/>
    </row>
    <row r="77" spans="1:26" ht="151" customHeight="1">
      <c r="A77" s="214"/>
      <c r="B77" s="214"/>
      <c r="C77" s="217"/>
      <c r="D77" s="220"/>
      <c r="E77" s="8"/>
      <c r="F77" s="38" t="s">
        <v>32</v>
      </c>
      <c r="G77" s="39">
        <v>5.1032142438694166</v>
      </c>
      <c r="H77" s="101">
        <v>3.4715743155574269E-2</v>
      </c>
      <c r="I77" s="233"/>
      <c r="J77" s="39">
        <v>5.0684985007138428</v>
      </c>
      <c r="K77" s="223"/>
      <c r="L77" s="39">
        <v>13.834223647496346</v>
      </c>
      <c r="M77" s="226"/>
      <c r="N77" s="8"/>
      <c r="O77" s="38" t="s">
        <v>32</v>
      </c>
      <c r="P77" s="52">
        <v>13.583619376592043</v>
      </c>
      <c r="Q77" s="41">
        <v>9.6032424504107325</v>
      </c>
      <c r="R77" s="223"/>
      <c r="S77" s="8"/>
      <c r="T77" s="38" t="s">
        <v>32</v>
      </c>
      <c r="U77" s="39">
        <v>3.9803769261813118</v>
      </c>
      <c r="V77" s="226"/>
      <c r="W77" s="191"/>
      <c r="X77" s="191"/>
      <c r="Y77" s="226"/>
    </row>
    <row r="78" spans="1:26" s="49" customFormat="1" ht="104.5" customHeight="1">
      <c r="A78" s="214">
        <v>0</v>
      </c>
      <c r="B78" s="214" t="s">
        <v>22</v>
      </c>
      <c r="C78" s="216" t="s">
        <v>191</v>
      </c>
      <c r="D78" s="219" t="s">
        <v>24</v>
      </c>
      <c r="F78" s="44" t="s">
        <v>25</v>
      </c>
      <c r="G78" s="78">
        <v>5.99</v>
      </c>
      <c r="H78" s="78">
        <v>1.85</v>
      </c>
      <c r="I78" s="230" t="s">
        <v>192</v>
      </c>
      <c r="J78" s="105">
        <v>4.1400000000000006</v>
      </c>
      <c r="K78" s="230" t="s">
        <v>516</v>
      </c>
      <c r="L78" s="78">
        <v>2.1</v>
      </c>
      <c r="M78" s="231" t="s">
        <v>517</v>
      </c>
      <c r="O78" s="44" t="s">
        <v>25</v>
      </c>
      <c r="P78" s="46">
        <v>17.799999999999997</v>
      </c>
      <c r="Q78" s="47">
        <v>1.6</v>
      </c>
      <c r="R78" s="234" t="s">
        <v>518</v>
      </c>
      <c r="T78" s="44" t="s">
        <v>25</v>
      </c>
      <c r="U78" s="106">
        <v>12.2</v>
      </c>
      <c r="V78" s="230" t="s">
        <v>519</v>
      </c>
      <c r="W78" s="78">
        <v>4</v>
      </c>
      <c r="X78" s="230" t="s">
        <v>520</v>
      </c>
      <c r="Y78" s="230" t="s">
        <v>193</v>
      </c>
    </row>
    <row r="79" spans="1:26" s="12" customFormat="1" ht="164.5" customHeight="1">
      <c r="A79" s="214"/>
      <c r="B79" s="214"/>
      <c r="C79" s="216"/>
      <c r="D79" s="219"/>
      <c r="F79" s="30" t="s">
        <v>31</v>
      </c>
      <c r="G79" s="32">
        <v>6.8362783375329315</v>
      </c>
      <c r="H79" s="32">
        <v>2.1113714398056631</v>
      </c>
      <c r="I79" s="261"/>
      <c r="J79" s="32">
        <v>4.7249068977272684</v>
      </c>
      <c r="K79" s="225"/>
      <c r="L79" s="81">
        <v>2.3966919046442663</v>
      </c>
      <c r="M79" s="232"/>
      <c r="O79" s="30" t="s">
        <v>31</v>
      </c>
      <c r="P79" s="50">
        <v>20.314817096508541</v>
      </c>
      <c r="Q79" s="51">
        <v>1.8260509749670601</v>
      </c>
      <c r="R79" s="222"/>
      <c r="T79" s="30" t="s">
        <v>31</v>
      </c>
      <c r="U79" s="34">
        <v>13.923638684123832</v>
      </c>
      <c r="V79" s="225"/>
      <c r="W79" s="81">
        <v>4.56512743741765</v>
      </c>
      <c r="X79" s="225"/>
      <c r="Y79" s="226"/>
    </row>
    <row r="80" spans="1:26" ht="206.5" customHeight="1">
      <c r="A80" s="214"/>
      <c r="B80" s="214"/>
      <c r="C80" s="217"/>
      <c r="D80" s="220"/>
      <c r="E80" s="8"/>
      <c r="F80" s="38" t="s">
        <v>32</v>
      </c>
      <c r="G80" s="39">
        <v>2.5259979589599131</v>
      </c>
      <c r="H80" s="39">
        <v>0.78014962004604993</v>
      </c>
      <c r="I80" s="262"/>
      <c r="J80" s="39">
        <v>1.7458483389138635</v>
      </c>
      <c r="K80" s="226"/>
      <c r="L80" s="83">
        <v>0.88557524437659729</v>
      </c>
      <c r="M80" s="233"/>
      <c r="N80" s="8"/>
      <c r="O80" s="38" t="s">
        <v>32</v>
      </c>
      <c r="P80" s="52">
        <v>7.5063044523349678</v>
      </c>
      <c r="Q80" s="41">
        <v>0.67472399571550279</v>
      </c>
      <c r="R80" s="223"/>
      <c r="S80" s="8"/>
      <c r="T80" s="38" t="s">
        <v>32</v>
      </c>
      <c r="U80" s="39">
        <v>5.1447704673307078</v>
      </c>
      <c r="V80" s="226"/>
      <c r="W80" s="83">
        <v>1.6868099892887567</v>
      </c>
      <c r="X80" s="226"/>
      <c r="Y80" s="195" t="s">
        <v>194</v>
      </c>
      <c r="Z80" s="4"/>
    </row>
    <row r="81" spans="1:26" ht="104.5" customHeight="1">
      <c r="A81" s="214">
        <v>0</v>
      </c>
      <c r="B81" s="214" t="s">
        <v>22</v>
      </c>
      <c r="C81" s="216" t="s">
        <v>195</v>
      </c>
      <c r="D81" s="218" t="s">
        <v>24</v>
      </c>
      <c r="E81" s="13"/>
      <c r="F81" s="44" t="s">
        <v>25</v>
      </c>
      <c r="G81" s="56">
        <v>36.1</v>
      </c>
      <c r="H81" s="32">
        <v>5.96</v>
      </c>
      <c r="I81" s="230" t="s">
        <v>196</v>
      </c>
      <c r="J81" s="56">
        <v>30.14</v>
      </c>
      <c r="K81" s="230" t="s">
        <v>197</v>
      </c>
      <c r="L81" s="56">
        <v>12.6</v>
      </c>
      <c r="M81" s="230" t="s">
        <v>198</v>
      </c>
      <c r="N81" s="13"/>
      <c r="O81" s="30" t="s">
        <v>25</v>
      </c>
      <c r="P81" s="56">
        <v>65</v>
      </c>
      <c r="Q81" s="80"/>
      <c r="R81" s="230"/>
      <c r="S81" s="13"/>
      <c r="T81" s="30" t="s">
        <v>25</v>
      </c>
      <c r="U81" s="56">
        <v>65</v>
      </c>
      <c r="V81" s="230" t="s">
        <v>199</v>
      </c>
      <c r="W81" s="194"/>
      <c r="X81" s="194"/>
      <c r="Y81" s="230" t="s">
        <v>200</v>
      </c>
      <c r="Z81" s="13"/>
    </row>
    <row r="82" spans="1:26" ht="70.5" customHeight="1">
      <c r="A82" s="214"/>
      <c r="B82" s="214"/>
      <c r="C82" s="216"/>
      <c r="D82" s="219"/>
      <c r="E82" s="19"/>
      <c r="F82" s="30" t="s">
        <v>31</v>
      </c>
      <c r="G82" s="34">
        <v>41.200275122694293</v>
      </c>
      <c r="H82" s="32">
        <v>6.8020398817522985</v>
      </c>
      <c r="I82" s="261"/>
      <c r="J82" s="34">
        <v>34.398235240941993</v>
      </c>
      <c r="K82" s="225"/>
      <c r="L82" s="34">
        <v>14.380151427865597</v>
      </c>
      <c r="M82" s="225"/>
      <c r="N82" s="19"/>
      <c r="O82" s="30" t="s">
        <v>31</v>
      </c>
      <c r="P82" s="31">
        <v>74.183320858036808</v>
      </c>
      <c r="Q82" s="104"/>
      <c r="R82" s="225"/>
      <c r="S82" s="19"/>
      <c r="T82" s="30" t="s">
        <v>31</v>
      </c>
      <c r="U82" s="31">
        <v>74.183320858036808</v>
      </c>
      <c r="V82" s="225"/>
      <c r="W82" s="190"/>
      <c r="X82" s="190"/>
      <c r="Y82" s="225"/>
      <c r="Z82" s="19"/>
    </row>
    <row r="83" spans="1:26" ht="131.5" customHeight="1">
      <c r="A83" s="214"/>
      <c r="B83" s="214"/>
      <c r="C83" s="217"/>
      <c r="D83" s="220"/>
      <c r="E83" s="8"/>
      <c r="F83" s="38" t="s">
        <v>32</v>
      </c>
      <c r="G83" s="39">
        <v>4.5299743761560221</v>
      </c>
      <c r="H83" s="39">
        <v>0.74788496625733769</v>
      </c>
      <c r="I83" s="262"/>
      <c r="J83" s="39">
        <v>3.7820894098986839</v>
      </c>
      <c r="K83" s="226"/>
      <c r="L83" s="39">
        <v>1.581099089738667</v>
      </c>
      <c r="M83" s="226"/>
      <c r="N83" s="8"/>
      <c r="O83" s="38" t="s">
        <v>32</v>
      </c>
      <c r="P83" s="39">
        <v>8.1564635581756626</v>
      </c>
      <c r="Q83" s="41"/>
      <c r="R83" s="226"/>
      <c r="S83" s="8"/>
      <c r="T83" s="38" t="s">
        <v>32</v>
      </c>
      <c r="U83" s="83">
        <v>8.1564635581756626</v>
      </c>
      <c r="V83" s="226"/>
      <c r="W83" s="191"/>
      <c r="X83" s="191"/>
      <c r="Y83" s="226"/>
      <c r="Z83" s="4"/>
    </row>
    <row r="84" spans="1:26" ht="111.65" customHeight="1">
      <c r="A84" s="214">
        <v>0</v>
      </c>
      <c r="B84" s="214" t="s">
        <v>22</v>
      </c>
      <c r="C84" s="216" t="s">
        <v>201</v>
      </c>
      <c r="D84" s="219" t="s">
        <v>34</v>
      </c>
      <c r="E84" s="13"/>
      <c r="F84" s="44" t="s">
        <v>25</v>
      </c>
      <c r="G84" s="32">
        <v>62.099999999999994</v>
      </c>
      <c r="H84" s="193">
        <v>3.9</v>
      </c>
      <c r="I84" s="230" t="s">
        <v>202</v>
      </c>
      <c r="J84" s="86">
        <v>58.199999999999996</v>
      </c>
      <c r="K84" s="221" t="s">
        <v>203</v>
      </c>
      <c r="L84" s="107"/>
      <c r="M84" s="107"/>
      <c r="N84" s="11"/>
      <c r="O84" s="30" t="s">
        <v>25</v>
      </c>
      <c r="P84" s="56">
        <v>8.9499999999999993</v>
      </c>
      <c r="Q84" s="108">
        <v>2.7</v>
      </c>
      <c r="R84" s="234" t="s">
        <v>204</v>
      </c>
      <c r="S84" s="11"/>
      <c r="T84" s="30" t="s">
        <v>25</v>
      </c>
      <c r="U84" s="81">
        <v>6.25</v>
      </c>
      <c r="V84" s="234" t="s">
        <v>205</v>
      </c>
      <c r="W84" s="190"/>
      <c r="X84" s="263"/>
      <c r="Y84" s="190"/>
    </row>
    <row r="85" spans="1:26" ht="83.5" customHeight="1">
      <c r="A85" s="214"/>
      <c r="B85" s="214"/>
      <c r="C85" s="216"/>
      <c r="D85" s="219"/>
      <c r="E85" s="19"/>
      <c r="F85" s="30" t="s">
        <v>31</v>
      </c>
      <c r="G85" s="34">
        <v>40.366333649903922</v>
      </c>
      <c r="H85" s="32">
        <v>2.5350837557910677</v>
      </c>
      <c r="I85" s="261"/>
      <c r="J85" s="34">
        <v>37.831249894112858</v>
      </c>
      <c r="K85" s="222"/>
      <c r="L85" s="107"/>
      <c r="M85" s="107"/>
      <c r="N85" s="11"/>
      <c r="O85" s="30" t="s">
        <v>31</v>
      </c>
      <c r="P85" s="81">
        <v>5.8176922088025798</v>
      </c>
      <c r="Q85" s="32">
        <v>1.7550579847784318</v>
      </c>
      <c r="R85" s="222"/>
      <c r="S85" s="11"/>
      <c r="T85" s="30" t="s">
        <v>31</v>
      </c>
      <c r="U85" s="32">
        <v>4.0626342240241478</v>
      </c>
      <c r="V85" s="222"/>
      <c r="W85" s="190"/>
      <c r="X85" s="264"/>
      <c r="Y85" s="190"/>
    </row>
    <row r="86" spans="1:26" ht="111" customHeight="1">
      <c r="A86" s="214"/>
      <c r="B86" s="214"/>
      <c r="C86" s="217"/>
      <c r="D86" s="220"/>
      <c r="E86" s="8"/>
      <c r="F86" s="38" t="s">
        <v>32</v>
      </c>
      <c r="G86" s="39">
        <v>19.283678120943751</v>
      </c>
      <c r="H86" s="39">
        <v>1.2110522491413951</v>
      </c>
      <c r="I86" s="262"/>
      <c r="J86" s="39">
        <v>18.072625871802355</v>
      </c>
      <c r="K86" s="223"/>
      <c r="L86" s="107"/>
      <c r="M86" s="107"/>
      <c r="N86" s="11"/>
      <c r="O86" s="38" t="s">
        <v>32</v>
      </c>
      <c r="P86" s="39">
        <v>2.7792096486706375</v>
      </c>
      <c r="Q86" s="39">
        <v>0.83842078786711982</v>
      </c>
      <c r="R86" s="223"/>
      <c r="S86" s="11"/>
      <c r="T86" s="38" t="s">
        <v>32</v>
      </c>
      <c r="U86" s="39">
        <v>1.9407888608035175</v>
      </c>
      <c r="V86" s="223"/>
      <c r="W86" s="190"/>
      <c r="X86" s="265"/>
      <c r="Y86" s="190"/>
    </row>
    <row r="87" spans="1:26" s="19" customFormat="1" ht="58.5" customHeight="1">
      <c r="A87" s="214">
        <v>0</v>
      </c>
      <c r="B87" s="214" t="s">
        <v>22</v>
      </c>
      <c r="C87" s="216" t="s">
        <v>206</v>
      </c>
      <c r="D87" s="219" t="s">
        <v>34</v>
      </c>
      <c r="E87" s="13"/>
      <c r="F87" s="44" t="s">
        <v>25</v>
      </c>
      <c r="G87" s="56">
        <v>126.3</v>
      </c>
      <c r="H87" s="57">
        <v>10.8</v>
      </c>
      <c r="I87" s="230" t="s">
        <v>207</v>
      </c>
      <c r="J87" s="78">
        <v>115.5</v>
      </c>
      <c r="K87" s="230" t="s">
        <v>208</v>
      </c>
      <c r="L87" s="57"/>
      <c r="M87" s="230" t="s">
        <v>209</v>
      </c>
      <c r="N87" s="13"/>
      <c r="O87" s="30" t="s">
        <v>25</v>
      </c>
      <c r="P87" s="56">
        <v>129.6</v>
      </c>
      <c r="Q87" s="89">
        <v>51.6</v>
      </c>
      <c r="R87" s="230" t="s">
        <v>210</v>
      </c>
      <c r="S87" s="13"/>
      <c r="T87" s="30" t="s">
        <v>25</v>
      </c>
      <c r="U87" s="56">
        <v>78</v>
      </c>
      <c r="V87" s="230" t="s">
        <v>211</v>
      </c>
      <c r="W87" s="194"/>
      <c r="X87" s="194"/>
      <c r="Y87" s="230" t="s">
        <v>212</v>
      </c>
      <c r="Z87" s="13"/>
    </row>
    <row r="88" spans="1:26" s="19" customFormat="1" ht="62.5" customHeight="1">
      <c r="A88" s="214"/>
      <c r="B88" s="214"/>
      <c r="C88" s="216"/>
      <c r="D88" s="219"/>
      <c r="F88" s="30" t="s">
        <v>31</v>
      </c>
      <c r="G88" s="34">
        <v>13.413576422692262</v>
      </c>
      <c r="H88" s="81">
        <v>1.1470041596601461</v>
      </c>
      <c r="I88" s="225"/>
      <c r="J88" s="81">
        <v>12.266572263032117</v>
      </c>
      <c r="K88" s="225"/>
      <c r="L88" s="190"/>
      <c r="M88" s="225"/>
      <c r="O88" s="30" t="s">
        <v>31</v>
      </c>
      <c r="P88" s="31">
        <v>13.764049915921753</v>
      </c>
      <c r="Q88" s="82">
        <v>5.4801309850429201</v>
      </c>
      <c r="R88" s="225"/>
      <c r="T88" s="30" t="s">
        <v>31</v>
      </c>
      <c r="U88" s="31">
        <v>8.2839189308788317</v>
      </c>
      <c r="V88" s="225"/>
      <c r="W88" s="190"/>
      <c r="X88" s="190"/>
      <c r="Y88" s="225"/>
    </row>
    <row r="89" spans="1:26" ht="91.5" customHeight="1">
      <c r="A89" s="214"/>
      <c r="B89" s="214"/>
      <c r="C89" s="217"/>
      <c r="D89" s="220"/>
      <c r="E89" s="8"/>
      <c r="F89" s="38" t="s">
        <v>213</v>
      </c>
      <c r="G89" s="39">
        <v>4.1514643526279453</v>
      </c>
      <c r="H89" s="101">
        <v>0.35499457647174837</v>
      </c>
      <c r="I89" s="226"/>
      <c r="J89" s="83">
        <v>3.7964697761561972</v>
      </c>
      <c r="K89" s="226"/>
      <c r="L89" s="191"/>
      <c r="M89" s="226"/>
      <c r="N89" s="8"/>
      <c r="O89" s="38" t="s">
        <v>213</v>
      </c>
      <c r="P89" s="109">
        <v>4.2599349176609804</v>
      </c>
      <c r="Q89" s="76">
        <v>1.6960851986983532</v>
      </c>
      <c r="R89" s="226"/>
      <c r="S89" s="8"/>
      <c r="T89" s="38" t="s">
        <v>32</v>
      </c>
      <c r="U89" s="39">
        <v>2.563849718962627</v>
      </c>
      <c r="V89" s="226"/>
      <c r="W89" s="191"/>
      <c r="X89" s="191"/>
      <c r="Y89" s="226"/>
      <c r="Z89" s="4"/>
    </row>
    <row r="90" spans="1:26" ht="182.5" customHeight="1">
      <c r="A90" s="187"/>
      <c r="B90" s="187"/>
      <c r="C90" s="215" t="s">
        <v>214</v>
      </c>
      <c r="D90" s="218" t="s">
        <v>24</v>
      </c>
      <c r="E90" s="11"/>
      <c r="F90" s="30" t="s">
        <v>25</v>
      </c>
      <c r="G90" s="32">
        <v>11</v>
      </c>
      <c r="H90" s="98">
        <v>1.9</v>
      </c>
      <c r="I90" s="230" t="s">
        <v>215</v>
      </c>
      <c r="J90" s="81">
        <v>9.1</v>
      </c>
      <c r="K90" s="230" t="s">
        <v>216</v>
      </c>
      <c r="L90" s="206">
        <v>1.1000000000000001</v>
      </c>
      <c r="M90" s="190" t="s">
        <v>217</v>
      </c>
      <c r="N90" s="11"/>
      <c r="O90" s="30" t="s">
        <v>25</v>
      </c>
      <c r="P90" s="32">
        <v>11.5</v>
      </c>
      <c r="Q90" s="82"/>
      <c r="R90" s="190"/>
      <c r="S90" s="11"/>
      <c r="T90" s="30" t="s">
        <v>25</v>
      </c>
      <c r="U90" s="32">
        <v>11.5</v>
      </c>
      <c r="V90" s="230" t="s">
        <v>218</v>
      </c>
      <c r="W90" s="190"/>
      <c r="X90" s="190"/>
      <c r="Y90" s="190"/>
    </row>
    <row r="91" spans="1:26" ht="120" customHeight="1">
      <c r="A91" s="187"/>
      <c r="B91" s="187"/>
      <c r="C91" s="216"/>
      <c r="D91" s="219"/>
      <c r="E91" s="11"/>
      <c r="F91" s="30" t="s">
        <v>31</v>
      </c>
      <c r="G91" s="32">
        <v>12.554100452898538</v>
      </c>
      <c r="H91" s="32">
        <v>2.1684355327733837</v>
      </c>
      <c r="I91" s="225"/>
      <c r="J91" s="32">
        <v>10.385664920125153</v>
      </c>
      <c r="K91" s="225"/>
      <c r="L91" s="32">
        <v>1.2554100452898538</v>
      </c>
      <c r="M91" s="190"/>
      <c r="N91" s="11"/>
      <c r="O91" s="30" t="s">
        <v>31</v>
      </c>
      <c r="P91" s="32">
        <v>13.124741382575744</v>
      </c>
      <c r="Q91" s="82"/>
      <c r="R91" s="190"/>
      <c r="S91" s="11"/>
      <c r="T91" s="30" t="s">
        <v>31</v>
      </c>
      <c r="U91" s="32">
        <v>13.124741382575744</v>
      </c>
      <c r="V91" s="225"/>
      <c r="W91" s="190"/>
      <c r="X91" s="190"/>
      <c r="Y91" s="190"/>
    </row>
    <row r="92" spans="1:26" ht="190" customHeight="1">
      <c r="A92" s="187"/>
      <c r="B92" s="187"/>
      <c r="C92" s="217"/>
      <c r="D92" s="220"/>
      <c r="E92" s="11"/>
      <c r="F92" s="30" t="s">
        <v>32</v>
      </c>
      <c r="G92" s="39">
        <v>5.4265034374432686</v>
      </c>
      <c r="H92" s="39">
        <v>0.93730513919474623</v>
      </c>
      <c r="I92" s="226"/>
      <c r="J92" s="39">
        <v>4.4891982982485219</v>
      </c>
      <c r="K92" s="226"/>
      <c r="L92" s="39">
        <v>0.54265034374432697</v>
      </c>
      <c r="M92" s="191"/>
      <c r="N92" s="8"/>
      <c r="O92" s="38" t="s">
        <v>32</v>
      </c>
      <c r="P92" s="39">
        <v>5.6731626845997809</v>
      </c>
      <c r="Q92" s="76"/>
      <c r="R92" s="191"/>
      <c r="S92" s="8"/>
      <c r="T92" s="38" t="s">
        <v>32</v>
      </c>
      <c r="U92" s="39">
        <v>5.6731626845997809</v>
      </c>
      <c r="V92" s="226"/>
      <c r="W92" s="190"/>
      <c r="X92" s="190"/>
      <c r="Y92" s="190"/>
    </row>
    <row r="93" spans="1:26" s="19" customFormat="1" ht="73.5" customHeight="1">
      <c r="A93" s="214">
        <v>0</v>
      </c>
      <c r="B93" s="214" t="s">
        <v>22</v>
      </c>
      <c r="C93" s="216" t="s">
        <v>219</v>
      </c>
      <c r="D93" s="219" t="s">
        <v>34</v>
      </c>
      <c r="E93" s="13"/>
      <c r="F93" s="44" t="s">
        <v>25</v>
      </c>
      <c r="G93" s="56">
        <v>75.2</v>
      </c>
      <c r="H93" s="57">
        <v>0.8</v>
      </c>
      <c r="I93" s="230" t="s">
        <v>220</v>
      </c>
      <c r="J93" s="56">
        <v>74.400000000000006</v>
      </c>
      <c r="K93" s="230" t="s">
        <v>221</v>
      </c>
      <c r="L93" s="194"/>
      <c r="M93" s="266"/>
      <c r="O93" s="30" t="s">
        <v>25</v>
      </c>
      <c r="P93" s="31">
        <v>22</v>
      </c>
      <c r="Q93" s="35">
        <v>22</v>
      </c>
      <c r="R93" s="225" t="s">
        <v>222</v>
      </c>
      <c r="T93" s="30" t="s">
        <v>25</v>
      </c>
      <c r="U93" s="81"/>
      <c r="V93" s="230"/>
      <c r="W93" s="194"/>
      <c r="X93" s="194"/>
      <c r="Y93" s="194"/>
      <c r="Z93" s="13"/>
    </row>
    <row r="94" spans="1:26" s="201" customFormat="1" ht="58.5" customHeight="1">
      <c r="A94" s="214"/>
      <c r="B94" s="214"/>
      <c r="C94" s="216"/>
      <c r="D94" s="219"/>
      <c r="E94" s="19"/>
      <c r="F94" s="30" t="s">
        <v>31</v>
      </c>
      <c r="G94" s="34">
        <v>54.501725344401635</v>
      </c>
      <c r="H94" s="32">
        <v>0.57980558877023025</v>
      </c>
      <c r="I94" s="225"/>
      <c r="J94" s="34">
        <v>53.921919755631407</v>
      </c>
      <c r="K94" s="225"/>
      <c r="L94" s="190"/>
      <c r="M94" s="266"/>
      <c r="N94" s="19"/>
      <c r="O94" s="30" t="s">
        <v>31</v>
      </c>
      <c r="P94" s="31">
        <v>15.94465369118133</v>
      </c>
      <c r="Q94" s="55">
        <v>15.94465369118133</v>
      </c>
      <c r="R94" s="225"/>
      <c r="S94" s="19"/>
      <c r="T94" s="30" t="s">
        <v>31</v>
      </c>
      <c r="U94" s="81"/>
      <c r="V94" s="225"/>
      <c r="W94" s="190"/>
      <c r="X94" s="190"/>
      <c r="Y94" s="190"/>
      <c r="Z94" s="19"/>
    </row>
    <row r="95" spans="1:26" ht="47.15" customHeight="1">
      <c r="A95" s="214"/>
      <c r="B95" s="214"/>
      <c r="C95" s="217"/>
      <c r="D95" s="220"/>
      <c r="E95" s="11"/>
      <c r="F95" s="30" t="s">
        <v>32</v>
      </c>
      <c r="G95" s="32">
        <v>16.030837191286473</v>
      </c>
      <c r="H95" s="39">
        <v>0.17054082118389868</v>
      </c>
      <c r="I95" s="226"/>
      <c r="J95" s="39">
        <v>15.860296370102574</v>
      </c>
      <c r="K95" s="226"/>
      <c r="L95" s="190"/>
      <c r="M95" s="267"/>
      <c r="N95" s="11"/>
      <c r="O95" s="30" t="s">
        <v>32</v>
      </c>
      <c r="P95" s="39">
        <v>4.6898725825572125</v>
      </c>
      <c r="Q95" s="51">
        <v>4.6898725825572125</v>
      </c>
      <c r="R95" s="226"/>
      <c r="S95" s="11"/>
      <c r="T95" s="30" t="s">
        <v>32</v>
      </c>
      <c r="U95" s="32"/>
      <c r="V95" s="226"/>
      <c r="W95" s="190"/>
      <c r="X95" s="190"/>
      <c r="Y95" s="190"/>
    </row>
    <row r="96" spans="1:26" s="49" customFormat="1" ht="136.5" customHeight="1">
      <c r="A96" s="214">
        <v>0</v>
      </c>
      <c r="B96" s="214" t="s">
        <v>22</v>
      </c>
      <c r="C96" s="216" t="s">
        <v>223</v>
      </c>
      <c r="D96" s="218" t="s">
        <v>34</v>
      </c>
      <c r="F96" s="44" t="s">
        <v>25</v>
      </c>
      <c r="G96" s="56">
        <v>207</v>
      </c>
      <c r="H96" s="78">
        <v>38</v>
      </c>
      <c r="I96" s="246" t="s">
        <v>224</v>
      </c>
      <c r="J96" s="48">
        <v>169</v>
      </c>
      <c r="K96" s="234" t="s">
        <v>225</v>
      </c>
      <c r="L96" s="57">
        <v>335</v>
      </c>
      <c r="M96" s="224" t="s">
        <v>226</v>
      </c>
      <c r="O96" s="44" t="s">
        <v>25</v>
      </c>
      <c r="P96" s="56">
        <v>261.7</v>
      </c>
      <c r="Q96" s="47">
        <v>11.7</v>
      </c>
      <c r="R96" s="234" t="s">
        <v>227</v>
      </c>
      <c r="T96" s="44" t="s">
        <v>25</v>
      </c>
      <c r="U96" s="45">
        <v>250</v>
      </c>
      <c r="V96" s="234" t="s">
        <v>228</v>
      </c>
      <c r="W96" s="194"/>
      <c r="X96" s="194"/>
      <c r="Y96" s="54"/>
    </row>
    <row r="97" spans="1:26" s="19" customFormat="1" ht="110.15" customHeight="1">
      <c r="A97" s="214"/>
      <c r="B97" s="214"/>
      <c r="C97" s="216"/>
      <c r="D97" s="219"/>
      <c r="E97" s="12"/>
      <c r="F97" s="30" t="s">
        <v>31</v>
      </c>
      <c r="G97" s="34">
        <v>22.474815922163589</v>
      </c>
      <c r="H97" s="32">
        <v>4.125811618561432</v>
      </c>
      <c r="I97" s="247"/>
      <c r="J97" s="34">
        <v>18.349004303602158</v>
      </c>
      <c r="K97" s="222"/>
      <c r="L97" s="31">
        <v>36.372286637317892</v>
      </c>
      <c r="M97" s="225"/>
      <c r="N97" s="12"/>
      <c r="O97" s="30" t="s">
        <v>31</v>
      </c>
      <c r="P97" s="31">
        <v>28.413813173092809</v>
      </c>
      <c r="Q97" s="32">
        <v>1.2703156825570725</v>
      </c>
      <c r="R97" s="222"/>
      <c r="S97" s="12"/>
      <c r="T97" s="30" t="s">
        <v>31</v>
      </c>
      <c r="U97" s="34">
        <v>27.143497490535736</v>
      </c>
      <c r="V97" s="222"/>
      <c r="W97" s="190"/>
      <c r="X97" s="190"/>
      <c r="Y97" s="198"/>
      <c r="Z97" s="12"/>
    </row>
    <row r="98" spans="1:26" ht="93.65" customHeight="1">
      <c r="A98" s="214"/>
      <c r="B98" s="214"/>
      <c r="C98" s="217"/>
      <c r="D98" s="220"/>
      <c r="E98" s="8"/>
      <c r="F98" s="38" t="s">
        <v>32</v>
      </c>
      <c r="G98" s="39">
        <v>4.1805066006564005</v>
      </c>
      <c r="H98" s="39">
        <v>0.76743599432339715</v>
      </c>
      <c r="I98" s="248"/>
      <c r="J98" s="39">
        <v>3.4130706063330032</v>
      </c>
      <c r="K98" s="223"/>
      <c r="L98" s="83">
        <v>6.76555416048258</v>
      </c>
      <c r="M98" s="226"/>
      <c r="N98" s="8"/>
      <c r="O98" s="38" t="s">
        <v>32</v>
      </c>
      <c r="P98" s="39">
        <v>5.28521051880087</v>
      </c>
      <c r="Q98" s="39">
        <v>0.23628950351536174</v>
      </c>
      <c r="R98" s="223"/>
      <c r="S98" s="8"/>
      <c r="T98" s="38" t="s">
        <v>32</v>
      </c>
      <c r="U98" s="39">
        <v>5.048921015285508</v>
      </c>
      <c r="V98" s="223"/>
      <c r="W98" s="191"/>
      <c r="X98" s="191"/>
      <c r="Y98" s="191"/>
      <c r="Z98" s="4"/>
    </row>
    <row r="99" spans="1:26" ht="58.5" customHeight="1">
      <c r="A99" s="214">
        <v>0</v>
      </c>
      <c r="B99" s="214" t="s">
        <v>22</v>
      </c>
      <c r="C99" s="216" t="s">
        <v>229</v>
      </c>
      <c r="D99" s="218" t="s">
        <v>34</v>
      </c>
      <c r="E99" s="49"/>
      <c r="F99" s="44" t="s">
        <v>25</v>
      </c>
      <c r="G99" s="34">
        <v>51.03</v>
      </c>
      <c r="H99" s="98">
        <v>4.45</v>
      </c>
      <c r="I99" s="234" t="s">
        <v>230</v>
      </c>
      <c r="J99" s="98">
        <v>46.58</v>
      </c>
      <c r="K99" s="234" t="s">
        <v>231</v>
      </c>
      <c r="L99" s="60"/>
      <c r="M99" s="230"/>
      <c r="N99" s="11"/>
      <c r="O99" s="44" t="s">
        <v>25</v>
      </c>
      <c r="P99" s="56">
        <v>43.774999999999999</v>
      </c>
      <c r="Q99" s="51">
        <v>1</v>
      </c>
      <c r="R99" s="268" t="s">
        <v>232</v>
      </c>
      <c r="S99" s="11"/>
      <c r="T99" s="44" t="s">
        <v>25</v>
      </c>
      <c r="U99" s="34">
        <v>42.774999999999999</v>
      </c>
      <c r="V99" s="268" t="s">
        <v>233</v>
      </c>
      <c r="W99" s="190"/>
      <c r="X99" s="190"/>
      <c r="Y99" s="190"/>
    </row>
    <row r="100" spans="1:26" ht="58.5" customHeight="1">
      <c r="A100" s="214"/>
      <c r="B100" s="214"/>
      <c r="C100" s="216"/>
      <c r="D100" s="219"/>
      <c r="F100" s="30" t="s">
        <v>31</v>
      </c>
      <c r="G100" s="34">
        <v>54.35111984988594</v>
      </c>
      <c r="H100" s="32">
        <v>4.7396136259453741</v>
      </c>
      <c r="I100" s="222"/>
      <c r="J100" s="34">
        <v>49.611506223940566</v>
      </c>
      <c r="K100" s="222"/>
      <c r="L100" s="34"/>
      <c r="M100" s="225"/>
      <c r="N100" s="11"/>
      <c r="O100" s="30" t="s">
        <v>31</v>
      </c>
      <c r="P100" s="31">
        <v>46.623952017024436</v>
      </c>
      <c r="Q100" s="32">
        <v>1.0650817136955897</v>
      </c>
      <c r="R100" s="225"/>
      <c r="S100" s="11"/>
      <c r="T100" s="30" t="s">
        <v>31</v>
      </c>
      <c r="U100" s="34">
        <v>45.558870303328845</v>
      </c>
      <c r="V100" s="261"/>
      <c r="W100" s="190"/>
      <c r="X100" s="190"/>
      <c r="Y100" s="190"/>
    </row>
    <row r="101" spans="1:26" ht="58.5" customHeight="1">
      <c r="A101" s="214"/>
      <c r="B101" s="214"/>
      <c r="C101" s="217"/>
      <c r="D101" s="220"/>
      <c r="E101" s="8"/>
      <c r="F101" s="38" t="s">
        <v>32</v>
      </c>
      <c r="G101" s="39">
        <v>7.2717676009764673</v>
      </c>
      <c r="H101" s="39">
        <v>0.63412435477846907</v>
      </c>
      <c r="I101" s="223"/>
      <c r="J101" s="39">
        <v>6.6376432461979968</v>
      </c>
      <c r="K101" s="223"/>
      <c r="L101" s="39"/>
      <c r="M101" s="226"/>
      <c r="N101" s="8"/>
      <c r="O101" s="38" t="s">
        <v>32</v>
      </c>
      <c r="P101" s="39">
        <v>6.237931152905051</v>
      </c>
      <c r="Q101" s="39">
        <v>0.14249985500639753</v>
      </c>
      <c r="R101" s="226"/>
      <c r="S101" s="8"/>
      <c r="T101" s="38" t="s">
        <v>32</v>
      </c>
      <c r="U101" s="39">
        <v>6.0954312978986538</v>
      </c>
      <c r="V101" s="262"/>
      <c r="W101" s="191"/>
      <c r="X101" s="191"/>
      <c r="Y101" s="190"/>
    </row>
    <row r="102" spans="1:26" s="19" customFormat="1" ht="90.65" customHeight="1">
      <c r="A102" s="214">
        <v>0</v>
      </c>
      <c r="B102" s="214" t="s">
        <v>103</v>
      </c>
      <c r="C102" s="216" t="s">
        <v>234</v>
      </c>
      <c r="D102" s="218" t="s">
        <v>24</v>
      </c>
      <c r="F102" s="30" t="s">
        <v>25</v>
      </c>
      <c r="G102" s="31">
        <v>33.415999999999997</v>
      </c>
      <c r="H102" s="57">
        <v>14.2</v>
      </c>
      <c r="I102" s="231" t="s">
        <v>235</v>
      </c>
      <c r="J102" s="31">
        <v>16.216000000000001</v>
      </c>
      <c r="K102" s="234" t="s">
        <v>236</v>
      </c>
      <c r="L102" s="206"/>
      <c r="M102" s="230" t="s">
        <v>237</v>
      </c>
      <c r="O102" s="30" t="s">
        <v>25</v>
      </c>
      <c r="P102" s="46">
        <v>26</v>
      </c>
      <c r="Q102" s="104"/>
      <c r="R102" s="190"/>
      <c r="T102" s="30" t="s">
        <v>25</v>
      </c>
      <c r="U102" s="31">
        <v>26</v>
      </c>
      <c r="V102" s="230" t="s">
        <v>238</v>
      </c>
      <c r="W102" s="206"/>
      <c r="X102" s="190"/>
      <c r="Y102" s="190"/>
    </row>
    <row r="103" spans="1:26" ht="83.5" customHeight="1">
      <c r="A103" s="214"/>
      <c r="B103" s="214"/>
      <c r="C103" s="216"/>
      <c r="D103" s="219"/>
      <c r="E103" s="19"/>
      <c r="F103" s="30" t="s">
        <v>31</v>
      </c>
      <c r="G103" s="32">
        <v>0.30814725471921744</v>
      </c>
      <c r="H103" s="32">
        <v>0.13094598446890376</v>
      </c>
      <c r="I103" s="232"/>
      <c r="J103" s="32">
        <v>0.1495366256442073</v>
      </c>
      <c r="K103" s="222"/>
      <c r="L103" s="190"/>
      <c r="M103" s="225"/>
      <c r="N103" s="19"/>
      <c r="O103" s="30" t="s">
        <v>31</v>
      </c>
      <c r="P103" s="99">
        <v>0.23976025325292241</v>
      </c>
      <c r="Q103" s="104"/>
      <c r="R103" s="190"/>
      <c r="S103" s="19"/>
      <c r="T103" s="30" t="s">
        <v>31</v>
      </c>
      <c r="U103" s="32">
        <v>0.23976025325292241</v>
      </c>
      <c r="V103" s="225"/>
      <c r="W103" s="190"/>
      <c r="X103" s="190"/>
      <c r="Y103" s="190"/>
      <c r="Z103" s="19"/>
    </row>
    <row r="104" spans="1:26" ht="106.5" customHeight="1">
      <c r="A104" s="214"/>
      <c r="B104" s="214"/>
      <c r="C104" s="217"/>
      <c r="D104" s="220"/>
      <c r="E104" s="8"/>
      <c r="F104" s="38" t="s">
        <v>32</v>
      </c>
      <c r="G104" s="39">
        <v>2.0343675320227348</v>
      </c>
      <c r="H104" s="39">
        <v>0.86449661703144709</v>
      </c>
      <c r="I104" s="233"/>
      <c r="J104" s="39">
        <v>0.98723078463253156</v>
      </c>
      <c r="K104" s="223"/>
      <c r="L104" s="191"/>
      <c r="M104" s="226"/>
      <c r="N104" s="8"/>
      <c r="O104" s="38" t="s">
        <v>32</v>
      </c>
      <c r="P104" s="52">
        <v>1.5828811297758891</v>
      </c>
      <c r="Q104" s="41"/>
      <c r="R104" s="199"/>
      <c r="S104" s="8"/>
      <c r="T104" s="38" t="s">
        <v>32</v>
      </c>
      <c r="U104" s="39">
        <v>1.5828811297758891</v>
      </c>
      <c r="V104" s="226"/>
      <c r="W104" s="191"/>
      <c r="X104" s="191"/>
      <c r="Y104" s="191"/>
      <c r="Z104" s="4"/>
    </row>
    <row r="105" spans="1:26" ht="172.5" customHeight="1">
      <c r="A105" s="214">
        <v>0</v>
      </c>
      <c r="B105" s="214" t="s">
        <v>103</v>
      </c>
      <c r="C105" s="216" t="s">
        <v>239</v>
      </c>
      <c r="D105" s="218" t="s">
        <v>24</v>
      </c>
      <c r="E105" s="49"/>
      <c r="F105" s="44" t="s">
        <v>25</v>
      </c>
      <c r="G105" s="78">
        <v>5.2729999999999997</v>
      </c>
      <c r="H105" s="78">
        <v>1.5629999999999999</v>
      </c>
      <c r="I105" s="230" t="s">
        <v>240</v>
      </c>
      <c r="J105" s="48">
        <v>3.71</v>
      </c>
      <c r="K105" s="221" t="s">
        <v>241</v>
      </c>
      <c r="L105" s="57">
        <v>0.6</v>
      </c>
      <c r="M105" s="230" t="s">
        <v>242</v>
      </c>
      <c r="N105" s="49"/>
      <c r="O105" s="30" t="s">
        <v>25</v>
      </c>
      <c r="P105" s="78">
        <v>4.6219999999999999</v>
      </c>
      <c r="Q105" s="47">
        <v>1.6220000000000001</v>
      </c>
      <c r="R105" s="230" t="s">
        <v>243</v>
      </c>
      <c r="S105" s="49"/>
      <c r="T105" s="30" t="s">
        <v>25</v>
      </c>
      <c r="U105" s="48"/>
      <c r="V105" s="230"/>
      <c r="W105" s="48">
        <v>3</v>
      </c>
      <c r="X105" s="230" t="s">
        <v>244</v>
      </c>
      <c r="Y105" s="230" t="s">
        <v>245</v>
      </c>
      <c r="Z105" s="49"/>
    </row>
    <row r="106" spans="1:26" s="11" customFormat="1" ht="155.5" customHeight="1">
      <c r="A106" s="214"/>
      <c r="B106" s="214"/>
      <c r="C106" s="216"/>
      <c r="D106" s="219"/>
      <c r="E106" s="12"/>
      <c r="F106" s="30" t="s">
        <v>31</v>
      </c>
      <c r="G106" s="32">
        <v>3.0769439288567013</v>
      </c>
      <c r="H106" s="32">
        <v>0.91205449664385063</v>
      </c>
      <c r="I106" s="261"/>
      <c r="J106" s="32">
        <v>2.1648894322128509</v>
      </c>
      <c r="K106" s="222"/>
      <c r="L106" s="32">
        <v>0.35011688930666052</v>
      </c>
      <c r="M106" s="225"/>
      <c r="N106" s="12"/>
      <c r="O106" s="30" t="s">
        <v>31</v>
      </c>
      <c r="P106" s="32">
        <v>2.6970671039589753</v>
      </c>
      <c r="Q106" s="51">
        <v>0.94648265742567239</v>
      </c>
      <c r="R106" s="225"/>
      <c r="S106" s="12"/>
      <c r="T106" s="30" t="s">
        <v>31</v>
      </c>
      <c r="U106" s="32"/>
      <c r="V106" s="225"/>
      <c r="W106" s="32">
        <v>1.7505844465333027</v>
      </c>
      <c r="X106" s="225"/>
      <c r="Y106" s="225"/>
      <c r="Z106" s="12"/>
    </row>
    <row r="107" spans="1:26" ht="70.5" customHeight="1">
      <c r="A107" s="214"/>
      <c r="B107" s="214"/>
      <c r="C107" s="217"/>
      <c r="D107" s="220"/>
      <c r="E107" s="8"/>
      <c r="F107" s="38" t="s">
        <v>32</v>
      </c>
      <c r="G107" s="39">
        <v>4.4879053764907351</v>
      </c>
      <c r="H107" s="39">
        <v>1.3302856255366999</v>
      </c>
      <c r="I107" s="262"/>
      <c r="J107" s="39">
        <v>3.1576197509540354</v>
      </c>
      <c r="K107" s="223"/>
      <c r="L107" s="39">
        <v>0.51066626700065265</v>
      </c>
      <c r="M107" s="226"/>
      <c r="N107" s="8"/>
      <c r="O107" s="38" t="s">
        <v>32</v>
      </c>
      <c r="P107" s="39">
        <v>3.9338324767950277</v>
      </c>
      <c r="Q107" s="39">
        <v>1.3805011417917643</v>
      </c>
      <c r="R107" s="226"/>
      <c r="S107" s="8"/>
      <c r="T107" s="38" t="s">
        <v>32</v>
      </c>
      <c r="U107" s="39"/>
      <c r="V107" s="226"/>
      <c r="W107" s="39">
        <v>2.5533313350032634</v>
      </c>
      <c r="X107" s="226"/>
      <c r="Y107" s="226"/>
      <c r="Z107" s="4"/>
    </row>
    <row r="108" spans="1:26" s="11" customFormat="1" ht="50.5" customHeight="1">
      <c r="A108" s="214">
        <v>0</v>
      </c>
      <c r="B108" s="214" t="s">
        <v>103</v>
      </c>
      <c r="C108" s="216" t="s">
        <v>246</v>
      </c>
      <c r="D108" s="219" t="s">
        <v>34</v>
      </c>
      <c r="E108" s="43"/>
      <c r="F108" s="44" t="s">
        <v>25</v>
      </c>
      <c r="G108" s="110">
        <v>16426</v>
      </c>
      <c r="H108" s="93">
        <v>1755</v>
      </c>
      <c r="I108" s="246" t="s">
        <v>247</v>
      </c>
      <c r="J108" s="93">
        <v>14671</v>
      </c>
      <c r="K108" s="234" t="s">
        <v>248</v>
      </c>
      <c r="L108" s="93">
        <v>2408</v>
      </c>
      <c r="M108" s="222" t="s">
        <v>249</v>
      </c>
      <c r="N108" s="43"/>
      <c r="O108" s="30" t="s">
        <v>25</v>
      </c>
      <c r="P108" s="93">
        <v>3565</v>
      </c>
      <c r="Q108" s="93"/>
      <c r="R108" s="222"/>
      <c r="S108" s="43"/>
      <c r="T108" s="30" t="s">
        <v>25</v>
      </c>
      <c r="U108" s="93"/>
      <c r="V108" s="222"/>
      <c r="W108" s="45">
        <v>3565</v>
      </c>
      <c r="X108" s="231" t="s">
        <v>250</v>
      </c>
      <c r="Y108" s="230" t="s">
        <v>251</v>
      </c>
      <c r="Z108" s="43"/>
    </row>
    <row r="109" spans="1:26" s="19" customFormat="1" ht="45.65" customHeight="1">
      <c r="A109" s="214"/>
      <c r="B109" s="214"/>
      <c r="C109" s="216"/>
      <c r="D109" s="219"/>
      <c r="E109" s="11"/>
      <c r="F109" s="30" t="s">
        <v>31</v>
      </c>
      <c r="G109" s="34">
        <v>20.735557264419626</v>
      </c>
      <c r="H109" s="32">
        <v>2.21544520875785</v>
      </c>
      <c r="I109" s="247"/>
      <c r="J109" s="34">
        <v>18.520112055661777</v>
      </c>
      <c r="K109" s="222"/>
      <c r="L109" s="32">
        <v>3.0397675570876941</v>
      </c>
      <c r="M109" s="222"/>
      <c r="N109" s="11"/>
      <c r="O109" s="30" t="s">
        <v>31</v>
      </c>
      <c r="P109" s="99">
        <v>4.5003203243428693</v>
      </c>
      <c r="Q109" s="32"/>
      <c r="R109" s="222"/>
      <c r="S109" s="11"/>
      <c r="T109" s="30" t="s">
        <v>31</v>
      </c>
      <c r="U109" s="32"/>
      <c r="V109" s="222"/>
      <c r="W109" s="32">
        <v>4.5003203243428693</v>
      </c>
      <c r="X109" s="232"/>
      <c r="Y109" s="225"/>
      <c r="Z109" s="11"/>
    </row>
    <row r="110" spans="1:26" ht="42.65" customHeight="1">
      <c r="A110" s="214"/>
      <c r="B110" s="214"/>
      <c r="C110" s="217"/>
      <c r="D110" s="220"/>
      <c r="E110" s="8"/>
      <c r="F110" s="38" t="s">
        <v>32</v>
      </c>
      <c r="G110" s="39">
        <v>8.203796324418871</v>
      </c>
      <c r="H110" s="39">
        <v>0.87651665343693663</v>
      </c>
      <c r="I110" s="248"/>
      <c r="J110" s="39">
        <v>7.3272796709819357</v>
      </c>
      <c r="K110" s="223"/>
      <c r="L110" s="83">
        <v>1.2026507700718765</v>
      </c>
      <c r="M110" s="223"/>
      <c r="N110" s="8"/>
      <c r="O110" s="38" t="s">
        <v>32</v>
      </c>
      <c r="P110" s="52">
        <v>1.780502489745116</v>
      </c>
      <c r="Q110" s="39"/>
      <c r="R110" s="223"/>
      <c r="S110" s="8"/>
      <c r="T110" s="38" t="s">
        <v>32</v>
      </c>
      <c r="U110" s="39"/>
      <c r="V110" s="223"/>
      <c r="W110" s="39">
        <v>1.780502489745116</v>
      </c>
      <c r="X110" s="233"/>
      <c r="Y110" s="226"/>
      <c r="Z110" s="4"/>
    </row>
    <row r="111" spans="1:26" s="11" customFormat="1" ht="115.5" customHeight="1">
      <c r="A111" s="214">
        <v>0</v>
      </c>
      <c r="B111" s="214" t="s">
        <v>103</v>
      </c>
      <c r="C111" s="216" t="s">
        <v>252</v>
      </c>
      <c r="D111" s="218" t="s">
        <v>24</v>
      </c>
      <c r="E111" s="43"/>
      <c r="F111" s="44" t="s">
        <v>25</v>
      </c>
      <c r="G111" s="88">
        <v>41130.1</v>
      </c>
      <c r="H111" s="88">
        <v>10834.8</v>
      </c>
      <c r="I111" s="231" t="s">
        <v>253</v>
      </c>
      <c r="J111" s="88">
        <v>30295.3</v>
      </c>
      <c r="K111" s="230" t="s">
        <v>254</v>
      </c>
      <c r="L111" s="57">
        <v>400</v>
      </c>
      <c r="M111" s="230" t="s">
        <v>255</v>
      </c>
      <c r="N111" s="43"/>
      <c r="O111" s="30" t="s">
        <v>25</v>
      </c>
      <c r="P111" s="88">
        <v>57312</v>
      </c>
      <c r="Q111" s="93">
        <v>31745</v>
      </c>
      <c r="R111" s="269" t="s">
        <v>256</v>
      </c>
      <c r="S111" s="43"/>
      <c r="T111" s="30" t="s">
        <v>25</v>
      </c>
      <c r="U111" s="88">
        <v>25567</v>
      </c>
      <c r="V111" s="230" t="s">
        <v>257</v>
      </c>
      <c r="W111" s="54"/>
      <c r="X111" s="54"/>
      <c r="Y111" s="54"/>
      <c r="Z111" s="43"/>
    </row>
    <row r="112" spans="1:26" s="11" customFormat="1" ht="115.5" customHeight="1">
      <c r="A112" s="214"/>
      <c r="B112" s="214"/>
      <c r="C112" s="216"/>
      <c r="D112" s="219"/>
      <c r="F112" s="30" t="s">
        <v>31</v>
      </c>
      <c r="G112" s="32">
        <v>11.136482043605833</v>
      </c>
      <c r="H112" s="32">
        <v>2.9336557811933468</v>
      </c>
      <c r="I112" s="232"/>
      <c r="J112" s="32">
        <v>8.2028262624124864</v>
      </c>
      <c r="K112" s="225"/>
      <c r="L112" s="32">
        <v>0.10830493525282782</v>
      </c>
      <c r="M112" s="225"/>
      <c r="O112" s="30" t="s">
        <v>31</v>
      </c>
      <c r="P112" s="81">
        <v>15.517931123025171</v>
      </c>
      <c r="Q112" s="51">
        <v>8.5953504240025485</v>
      </c>
      <c r="R112" s="225"/>
      <c r="T112" s="30" t="s">
        <v>31</v>
      </c>
      <c r="U112" s="32">
        <v>6.922580699022622</v>
      </c>
      <c r="V112" s="225"/>
      <c r="W112" s="198"/>
      <c r="X112" s="198"/>
      <c r="Y112" s="198"/>
    </row>
    <row r="113" spans="1:26" ht="73" customHeight="1">
      <c r="A113" s="214"/>
      <c r="B113" s="214"/>
      <c r="C113" s="217"/>
      <c r="D113" s="220"/>
      <c r="E113" s="8"/>
      <c r="F113" s="38" t="s">
        <v>32</v>
      </c>
      <c r="G113" s="39">
        <v>4.1023970987056488</v>
      </c>
      <c r="H113" s="39">
        <v>1.0806842697940429</v>
      </c>
      <c r="I113" s="233"/>
      <c r="J113" s="39">
        <v>3.0217128289116055</v>
      </c>
      <c r="K113" s="226"/>
      <c r="L113" s="39">
        <v>3.989678701199996E-2</v>
      </c>
      <c r="M113" s="226"/>
      <c r="N113" s="8"/>
      <c r="O113" s="38" t="s">
        <v>32</v>
      </c>
      <c r="P113" s="39">
        <v>5.7164116430793541</v>
      </c>
      <c r="Q113" s="41">
        <v>3.1663087592398464</v>
      </c>
      <c r="R113" s="226"/>
      <c r="S113" s="8"/>
      <c r="T113" s="38" t="s">
        <v>32</v>
      </c>
      <c r="U113" s="39">
        <v>2.5501028838395072</v>
      </c>
      <c r="V113" s="226"/>
      <c r="W113" s="191"/>
      <c r="X113" s="191"/>
      <c r="Y113" s="191"/>
      <c r="Z113" s="4"/>
    </row>
    <row r="114" spans="1:26" s="19" customFormat="1" ht="92.5" customHeight="1">
      <c r="A114" s="214">
        <v>0</v>
      </c>
      <c r="B114" s="214" t="s">
        <v>103</v>
      </c>
      <c r="C114" s="216" t="s">
        <v>258</v>
      </c>
      <c r="D114" s="218" t="s">
        <v>34</v>
      </c>
      <c r="E114" s="13"/>
      <c r="F114" s="44" t="s">
        <v>25</v>
      </c>
      <c r="G114" s="78">
        <v>91.612000000000009</v>
      </c>
      <c r="H114" s="78">
        <v>12.941000000000001</v>
      </c>
      <c r="I114" s="230" t="s">
        <v>259</v>
      </c>
      <c r="J114" s="78">
        <v>78.671000000000006</v>
      </c>
      <c r="K114" s="224" t="s">
        <v>260</v>
      </c>
      <c r="L114" s="194"/>
      <c r="M114" s="230" t="s">
        <v>261</v>
      </c>
      <c r="N114" s="13"/>
      <c r="O114" s="30" t="s">
        <v>25</v>
      </c>
      <c r="P114" s="78">
        <v>7.44</v>
      </c>
      <c r="Q114" s="80">
        <v>7.44</v>
      </c>
      <c r="R114" s="270"/>
      <c r="S114" s="13"/>
      <c r="T114" s="30" t="s">
        <v>25</v>
      </c>
      <c r="U114" s="78"/>
      <c r="V114" s="230" t="s">
        <v>262</v>
      </c>
      <c r="W114" s="194"/>
      <c r="X114" s="230" t="s">
        <v>263</v>
      </c>
      <c r="Y114" s="194"/>
      <c r="Z114" s="13"/>
    </row>
    <row r="115" spans="1:26" s="19" customFormat="1" ht="127.5" customHeight="1">
      <c r="A115" s="214"/>
      <c r="B115" s="214"/>
      <c r="C115" s="216"/>
      <c r="D115" s="219"/>
      <c r="F115" s="30" t="s">
        <v>31</v>
      </c>
      <c r="G115" s="32">
        <v>5.6957877830164128</v>
      </c>
      <c r="H115" s="32">
        <v>0.80458007357131589</v>
      </c>
      <c r="I115" s="225"/>
      <c r="J115" s="81">
        <v>4.891207709445097</v>
      </c>
      <c r="K115" s="225"/>
      <c r="L115" s="190"/>
      <c r="M115" s="225"/>
      <c r="O115" s="30" t="s">
        <v>31</v>
      </c>
      <c r="P115" s="81">
        <v>0.46256670638826908</v>
      </c>
      <c r="Q115" s="81">
        <v>0.46256670638826908</v>
      </c>
      <c r="R115" s="261"/>
      <c r="T115" s="30" t="s">
        <v>31</v>
      </c>
      <c r="U115" s="81"/>
      <c r="V115" s="225"/>
      <c r="W115" s="190"/>
      <c r="X115" s="225"/>
      <c r="Y115" s="190"/>
    </row>
    <row r="116" spans="1:26" ht="86.5" customHeight="1">
      <c r="A116" s="214"/>
      <c r="B116" s="214"/>
      <c r="C116" s="217"/>
      <c r="D116" s="220"/>
      <c r="E116" s="8"/>
      <c r="F116" s="38" t="s">
        <v>32</v>
      </c>
      <c r="G116" s="39">
        <v>1.574089347079038</v>
      </c>
      <c r="H116" s="39">
        <v>0.22235395189003437</v>
      </c>
      <c r="I116" s="226"/>
      <c r="J116" s="83">
        <v>1.3517353951890034</v>
      </c>
      <c r="K116" s="226"/>
      <c r="L116" s="191"/>
      <c r="M116" s="226"/>
      <c r="N116" s="8"/>
      <c r="O116" s="38" t="s">
        <v>32</v>
      </c>
      <c r="P116" s="39">
        <v>0.12783505154639177</v>
      </c>
      <c r="Q116" s="39">
        <v>0.12783505154639177</v>
      </c>
      <c r="R116" s="262"/>
      <c r="S116" s="8"/>
      <c r="T116" s="38" t="s">
        <v>32</v>
      </c>
      <c r="U116" s="39"/>
      <c r="V116" s="226"/>
      <c r="W116" s="191"/>
      <c r="X116" s="226"/>
      <c r="Y116" s="191"/>
      <c r="Z116" s="4"/>
    </row>
    <row r="117" spans="1:26" ht="125.5" customHeight="1">
      <c r="A117" s="214">
        <v>0</v>
      </c>
      <c r="B117" s="214" t="s">
        <v>103</v>
      </c>
      <c r="C117" s="216" t="s">
        <v>264</v>
      </c>
      <c r="D117" s="219" t="s">
        <v>24</v>
      </c>
      <c r="E117" s="11"/>
      <c r="F117" s="44" t="s">
        <v>25</v>
      </c>
      <c r="G117" s="32">
        <v>3.008</v>
      </c>
      <c r="H117" s="81">
        <v>0.86799999999999999</v>
      </c>
      <c r="I117" s="224" t="s">
        <v>265</v>
      </c>
      <c r="J117" s="81">
        <v>2.14</v>
      </c>
      <c r="K117" s="230" t="s">
        <v>266</v>
      </c>
      <c r="L117" s="190"/>
      <c r="M117" s="230" t="s">
        <v>267</v>
      </c>
      <c r="N117" s="11"/>
      <c r="O117" s="30" t="s">
        <v>25</v>
      </c>
      <c r="P117" s="32">
        <v>7.0000000000000007E-2</v>
      </c>
      <c r="Q117" s="32">
        <v>7.0000000000000007E-2</v>
      </c>
      <c r="R117" s="230" t="s">
        <v>268</v>
      </c>
      <c r="S117" s="11"/>
      <c r="T117" s="30" t="s">
        <v>25</v>
      </c>
      <c r="U117" s="111"/>
      <c r="V117" s="230" t="s">
        <v>269</v>
      </c>
      <c r="W117" s="190"/>
      <c r="X117" s="190"/>
      <c r="Y117" s="190"/>
    </row>
    <row r="118" spans="1:26" ht="102.65" customHeight="1">
      <c r="A118" s="214"/>
      <c r="B118" s="214"/>
      <c r="C118" s="216"/>
      <c r="D118" s="219"/>
      <c r="E118" s="11"/>
      <c r="F118" s="30" t="s">
        <v>31</v>
      </c>
      <c r="G118" s="32">
        <v>0.96746180648619573</v>
      </c>
      <c r="H118" s="32">
        <v>0.27917448405253253</v>
      </c>
      <c r="I118" s="225"/>
      <c r="J118" s="32">
        <v>0.6882873224336632</v>
      </c>
      <c r="K118" s="225"/>
      <c r="L118" s="32"/>
      <c r="M118" s="225"/>
      <c r="N118" s="11"/>
      <c r="O118" s="30" t="s">
        <v>31</v>
      </c>
      <c r="P118" s="81">
        <v>2.4881899839689477E-5</v>
      </c>
      <c r="Q118" s="42">
        <v>2.4881899839689477E-5</v>
      </c>
      <c r="R118" s="225"/>
      <c r="S118" s="11"/>
      <c r="T118" s="30" t="s">
        <v>31</v>
      </c>
      <c r="U118" s="32"/>
      <c r="V118" s="225"/>
      <c r="W118" s="190"/>
      <c r="X118" s="190"/>
      <c r="Y118" s="190"/>
    </row>
    <row r="119" spans="1:26" ht="92.5" customHeight="1">
      <c r="A119" s="214"/>
      <c r="B119" s="214"/>
      <c r="C119" s="217"/>
      <c r="D119" s="220"/>
      <c r="E119" s="11"/>
      <c r="F119" s="38" t="s">
        <v>32</v>
      </c>
      <c r="G119" s="39">
        <v>6.1492492800160736</v>
      </c>
      <c r="H119" s="39">
        <v>1.7744509225578298</v>
      </c>
      <c r="I119" s="226"/>
      <c r="J119" s="39">
        <v>4.3747983574582445</v>
      </c>
      <c r="K119" s="226"/>
      <c r="L119" s="39"/>
      <c r="M119" s="226"/>
      <c r="N119" s="11"/>
      <c r="O119" s="38" t="s">
        <v>32</v>
      </c>
      <c r="P119" s="39">
        <v>1.8940136940058156E-4</v>
      </c>
      <c r="Q119" s="85">
        <v>1.8940136940058156E-4</v>
      </c>
      <c r="R119" s="226"/>
      <c r="S119" s="11"/>
      <c r="T119" s="38" t="s">
        <v>32</v>
      </c>
      <c r="U119" s="39"/>
      <c r="V119" s="226"/>
      <c r="W119" s="190"/>
      <c r="X119" s="190"/>
      <c r="Y119" s="190"/>
    </row>
    <row r="120" spans="1:26" s="201" customFormat="1" ht="88" customHeight="1">
      <c r="A120" s="214">
        <v>0</v>
      </c>
      <c r="B120" s="214" t="s">
        <v>103</v>
      </c>
      <c r="C120" s="216" t="s">
        <v>270</v>
      </c>
      <c r="D120" s="219" t="s">
        <v>34</v>
      </c>
      <c r="E120" s="200"/>
      <c r="F120" s="44" t="s">
        <v>25</v>
      </c>
      <c r="G120" s="88">
        <v>1638</v>
      </c>
      <c r="H120" s="57" t="s">
        <v>40</v>
      </c>
      <c r="I120" s="230" t="s">
        <v>271</v>
      </c>
      <c r="J120" s="57" t="s">
        <v>40</v>
      </c>
      <c r="K120" s="230" t="s">
        <v>272</v>
      </c>
      <c r="L120" s="57" t="s">
        <v>40</v>
      </c>
      <c r="M120" s="230" t="s">
        <v>273</v>
      </c>
      <c r="N120" s="200"/>
      <c r="O120" s="44" t="s">
        <v>25</v>
      </c>
      <c r="P120" s="88">
        <v>2100</v>
      </c>
      <c r="Q120" s="88">
        <v>1300</v>
      </c>
      <c r="R120" s="230" t="s">
        <v>274</v>
      </c>
      <c r="S120" s="200"/>
      <c r="T120" s="44" t="s">
        <v>25</v>
      </c>
      <c r="U120" s="56"/>
      <c r="V120" s="230" t="s">
        <v>275</v>
      </c>
      <c r="W120" s="57">
        <v>800</v>
      </c>
      <c r="X120" s="230" t="s">
        <v>276</v>
      </c>
      <c r="Y120" s="194"/>
      <c r="Z120" s="200"/>
    </row>
    <row r="121" spans="1:26" s="201" customFormat="1" ht="60" customHeight="1">
      <c r="A121" s="214"/>
      <c r="B121" s="214"/>
      <c r="C121" s="216"/>
      <c r="D121" s="219"/>
      <c r="F121" s="30" t="s">
        <v>31</v>
      </c>
      <c r="G121" s="32">
        <v>3.9665498926432399</v>
      </c>
      <c r="H121" s="206"/>
      <c r="I121" s="225"/>
      <c r="J121" s="206"/>
      <c r="K121" s="225"/>
      <c r="L121" s="190"/>
      <c r="M121" s="225"/>
      <c r="O121" s="30" t="s">
        <v>31</v>
      </c>
      <c r="P121" s="99">
        <v>5.0853203751836409</v>
      </c>
      <c r="Q121" s="32">
        <v>3.1480554703517778</v>
      </c>
      <c r="R121" s="225"/>
      <c r="T121" s="30" t="s">
        <v>31</v>
      </c>
      <c r="U121" s="81"/>
      <c r="V121" s="225"/>
      <c r="W121" s="32">
        <v>1.9372649048318633</v>
      </c>
      <c r="X121" s="225"/>
      <c r="Y121" s="190"/>
    </row>
    <row r="122" spans="1:26" ht="50.15" customHeight="1">
      <c r="A122" s="214"/>
      <c r="B122" s="214"/>
      <c r="C122" s="217"/>
      <c r="D122" s="220"/>
      <c r="E122" s="8"/>
      <c r="F122" s="38" t="s">
        <v>32</v>
      </c>
      <c r="G122" s="39">
        <v>2.4070002533138202</v>
      </c>
      <c r="H122" s="207"/>
      <c r="I122" s="226"/>
      <c r="J122" s="83"/>
      <c r="K122" s="226"/>
      <c r="L122" s="191"/>
      <c r="M122" s="226"/>
      <c r="N122" s="8"/>
      <c r="O122" s="38" t="s">
        <v>32</v>
      </c>
      <c r="P122" s="52">
        <v>3.0858977606587432</v>
      </c>
      <c r="Q122" s="39">
        <v>1.9103176613601744</v>
      </c>
      <c r="R122" s="226"/>
      <c r="S122" s="8"/>
      <c r="T122" s="38" t="s">
        <v>32</v>
      </c>
      <c r="U122" s="39"/>
      <c r="V122" s="226"/>
      <c r="W122" s="39">
        <v>1.175580099298569</v>
      </c>
      <c r="X122" s="226"/>
      <c r="Y122" s="191"/>
      <c r="Z122" s="4"/>
    </row>
    <row r="123" spans="1:26" ht="116.15" customHeight="1">
      <c r="A123" s="214">
        <v>0</v>
      </c>
      <c r="B123" s="214" t="s">
        <v>103</v>
      </c>
      <c r="C123" s="216" t="s">
        <v>277</v>
      </c>
      <c r="D123" s="219" t="s">
        <v>24</v>
      </c>
      <c r="E123" s="200"/>
      <c r="F123" s="44" t="s">
        <v>25</v>
      </c>
      <c r="G123" s="78">
        <v>44.3</v>
      </c>
      <c r="H123" s="57">
        <v>1.3</v>
      </c>
      <c r="I123" s="230" t="s">
        <v>278</v>
      </c>
      <c r="J123" s="78">
        <v>43</v>
      </c>
      <c r="K123" s="230" t="s">
        <v>279</v>
      </c>
      <c r="L123" s="194"/>
      <c r="M123" s="194"/>
      <c r="N123" s="200"/>
      <c r="O123" s="30" t="s">
        <v>25</v>
      </c>
      <c r="P123" s="46">
        <v>159.19999999999999</v>
      </c>
      <c r="Q123" s="80">
        <v>14.2</v>
      </c>
      <c r="R123" s="230" t="s">
        <v>280</v>
      </c>
      <c r="S123" s="200"/>
      <c r="T123" s="30" t="s">
        <v>25</v>
      </c>
      <c r="U123" s="56"/>
      <c r="V123" s="230"/>
      <c r="W123" s="194">
        <v>145</v>
      </c>
      <c r="X123" s="230" t="s">
        <v>281</v>
      </c>
      <c r="Y123" s="194"/>
      <c r="Z123" s="200"/>
    </row>
    <row r="124" spans="1:26" ht="121" customHeight="1">
      <c r="A124" s="214"/>
      <c r="B124" s="214"/>
      <c r="C124" s="216"/>
      <c r="D124" s="219"/>
      <c r="E124" s="201"/>
      <c r="F124" s="30" t="s">
        <v>31</v>
      </c>
      <c r="G124" s="32">
        <v>1.1588070649936608</v>
      </c>
      <c r="H124" s="32">
        <v>3.4005624932093886E-2</v>
      </c>
      <c r="I124" s="225"/>
      <c r="J124" s="32">
        <v>1.1248014400615671</v>
      </c>
      <c r="K124" s="225"/>
      <c r="L124" s="190"/>
      <c r="M124" s="190"/>
      <c r="N124" s="201"/>
      <c r="O124" s="30" t="s">
        <v>31</v>
      </c>
      <c r="P124" s="99">
        <v>4.1643811455302666</v>
      </c>
      <c r="Q124" s="51">
        <v>0.37144605695056399</v>
      </c>
      <c r="R124" s="225"/>
      <c r="S124" s="201"/>
      <c r="T124" s="30" t="s">
        <v>31</v>
      </c>
      <c r="U124" s="51"/>
      <c r="V124" s="225"/>
      <c r="W124" s="60">
        <v>3.7929350885797026</v>
      </c>
      <c r="X124" s="225"/>
      <c r="Y124" s="190"/>
      <c r="Z124" s="201"/>
    </row>
    <row r="125" spans="1:26" ht="45" customHeight="1">
      <c r="A125" s="214"/>
      <c r="B125" s="214"/>
      <c r="C125" s="217"/>
      <c r="D125" s="220"/>
      <c r="E125" s="8"/>
      <c r="F125" s="38" t="s">
        <v>32</v>
      </c>
      <c r="G125" s="39">
        <v>10.168896237683033</v>
      </c>
      <c r="H125" s="39">
        <v>0.29841004760695133</v>
      </c>
      <c r="I125" s="226"/>
      <c r="J125" s="39">
        <v>9.8704861900760825</v>
      </c>
      <c r="K125" s="226"/>
      <c r="L125" s="191"/>
      <c r="M125" s="191"/>
      <c r="N125" s="8"/>
      <c r="O125" s="38" t="s">
        <v>32</v>
      </c>
      <c r="P125" s="52">
        <v>36.543753522328188</v>
      </c>
      <c r="Q125" s="41">
        <v>3.2595559046297753</v>
      </c>
      <c r="R125" s="226"/>
      <c r="S125" s="8"/>
      <c r="T125" s="38" t="s">
        <v>32</v>
      </c>
      <c r="U125" s="41"/>
      <c r="V125" s="226"/>
      <c r="W125" s="62">
        <v>33.28419761769841</v>
      </c>
      <c r="X125" s="226"/>
      <c r="Y125" s="191"/>
      <c r="Z125" s="4"/>
    </row>
    <row r="126" spans="1:26" ht="54.65" customHeight="1">
      <c r="A126" s="187"/>
      <c r="B126" s="187"/>
      <c r="C126" s="215" t="s">
        <v>282</v>
      </c>
      <c r="D126" s="218" t="s">
        <v>24</v>
      </c>
      <c r="E126" s="19"/>
      <c r="F126" s="30" t="s">
        <v>25</v>
      </c>
      <c r="G126" s="81">
        <v>25.28</v>
      </c>
      <c r="H126" s="78">
        <v>1.03</v>
      </c>
      <c r="I126" s="231" t="s">
        <v>283</v>
      </c>
      <c r="J126" s="31">
        <v>24.25</v>
      </c>
      <c r="K126" s="230" t="s">
        <v>284</v>
      </c>
      <c r="L126" s="190"/>
      <c r="M126" s="230"/>
      <c r="N126" s="19"/>
      <c r="O126" s="30" t="s">
        <v>25</v>
      </c>
      <c r="P126" s="112">
        <v>20.329999999999998</v>
      </c>
      <c r="Q126" s="113"/>
      <c r="R126" s="190"/>
      <c r="S126" s="19"/>
      <c r="T126" s="30" t="s">
        <v>25</v>
      </c>
      <c r="U126" s="32">
        <v>20.329999999999998</v>
      </c>
      <c r="V126" s="230" t="s">
        <v>285</v>
      </c>
      <c r="W126" s="32"/>
      <c r="X126" s="190"/>
      <c r="Y126" s="190"/>
    </row>
    <row r="127" spans="1:26" ht="67.5" customHeight="1">
      <c r="A127" s="187">
        <v>0</v>
      </c>
      <c r="B127" s="187" t="s">
        <v>103</v>
      </c>
      <c r="C127" s="216"/>
      <c r="D127" s="219"/>
      <c r="E127" s="19"/>
      <c r="F127" s="30" t="s">
        <v>31</v>
      </c>
      <c r="G127" s="32">
        <v>0.46780710239994522</v>
      </c>
      <c r="H127" s="32">
        <v>1.9060178618352196E-2</v>
      </c>
      <c r="I127" s="232"/>
      <c r="J127" s="32">
        <v>0.44874692378159298</v>
      </c>
      <c r="K127" s="225"/>
      <c r="L127" s="190"/>
      <c r="M127" s="225"/>
      <c r="N127" s="19"/>
      <c r="O127" s="30" t="s">
        <v>31</v>
      </c>
      <c r="P127" s="99">
        <v>0.37620721486514574</v>
      </c>
      <c r="Q127" s="113"/>
      <c r="R127" s="190"/>
      <c r="S127" s="19"/>
      <c r="T127" s="30" t="s">
        <v>31</v>
      </c>
      <c r="U127" s="32">
        <v>0.37620721486514574</v>
      </c>
      <c r="V127" s="225"/>
      <c r="W127" s="32"/>
      <c r="X127" s="190"/>
      <c r="Y127" s="190"/>
    </row>
    <row r="128" spans="1:26" ht="59.5" customHeight="1">
      <c r="A128" s="187"/>
      <c r="B128" s="187"/>
      <c r="C128" s="217"/>
      <c r="D128" s="220"/>
      <c r="E128" s="8"/>
      <c r="F128" s="38" t="s">
        <v>32</v>
      </c>
      <c r="G128" s="39">
        <v>3.8071773123557064</v>
      </c>
      <c r="H128" s="39">
        <v>0.15511837941955606</v>
      </c>
      <c r="I128" s="233"/>
      <c r="J128" s="39">
        <v>3.6520589329361495</v>
      </c>
      <c r="K128" s="226"/>
      <c r="L128" s="191"/>
      <c r="M128" s="226"/>
      <c r="N128" s="8"/>
      <c r="O128" s="38" t="s">
        <v>32</v>
      </c>
      <c r="P128" s="52">
        <v>3.0617054889316258</v>
      </c>
      <c r="Q128" s="85"/>
      <c r="R128" s="199"/>
      <c r="S128" s="8"/>
      <c r="T128" s="38" t="s">
        <v>32</v>
      </c>
      <c r="U128" s="39">
        <v>3.0617054889316258</v>
      </c>
      <c r="V128" s="226"/>
      <c r="W128" s="39"/>
      <c r="X128" s="191"/>
      <c r="Y128" s="190"/>
    </row>
    <row r="129" spans="1:26" ht="83.5" customHeight="1">
      <c r="A129" s="214">
        <v>0</v>
      </c>
      <c r="B129" s="214" t="s">
        <v>103</v>
      </c>
      <c r="C129" s="216" t="s">
        <v>286</v>
      </c>
      <c r="D129" s="219" t="s">
        <v>34</v>
      </c>
      <c r="E129" s="11"/>
      <c r="F129" s="44" t="s">
        <v>25</v>
      </c>
      <c r="G129" s="34">
        <v>828</v>
      </c>
      <c r="H129" s="34">
        <v>178</v>
      </c>
      <c r="I129" s="230" t="s">
        <v>287</v>
      </c>
      <c r="J129" s="31">
        <v>650</v>
      </c>
      <c r="K129" s="230" t="s">
        <v>288</v>
      </c>
      <c r="L129" s="31">
        <v>480</v>
      </c>
      <c r="M129" s="230" t="s">
        <v>289</v>
      </c>
      <c r="N129" s="11"/>
      <c r="O129" s="44" t="s">
        <v>25</v>
      </c>
      <c r="P129" s="78" t="s">
        <v>40</v>
      </c>
      <c r="Q129" s="51"/>
      <c r="R129" s="190"/>
      <c r="S129" s="11"/>
      <c r="T129" s="44" t="s">
        <v>25</v>
      </c>
      <c r="U129" s="32" t="s">
        <v>40</v>
      </c>
      <c r="V129" s="230" t="s">
        <v>290</v>
      </c>
      <c r="W129" s="190" t="s">
        <v>40</v>
      </c>
      <c r="X129" s="270"/>
      <c r="Y129" s="190"/>
    </row>
    <row r="130" spans="1:26" ht="58.5" customHeight="1">
      <c r="A130" s="214"/>
      <c r="B130" s="214"/>
      <c r="C130" s="216"/>
      <c r="D130" s="219"/>
      <c r="E130" s="11"/>
      <c r="F130" s="30" t="s">
        <v>31</v>
      </c>
      <c r="G130" s="32">
        <v>5.2148375564455147</v>
      </c>
      <c r="H130" s="32">
        <v>1.1210641123759681</v>
      </c>
      <c r="I130" s="225"/>
      <c r="J130" s="32">
        <v>4.0937734440695461</v>
      </c>
      <c r="K130" s="225"/>
      <c r="L130" s="32">
        <v>3.0230942356205883</v>
      </c>
      <c r="M130" s="225"/>
      <c r="N130" s="11"/>
      <c r="O130" s="30" t="s">
        <v>31</v>
      </c>
      <c r="P130" s="99"/>
      <c r="Q130" s="32"/>
      <c r="R130" s="190"/>
      <c r="S130" s="11"/>
      <c r="T130" s="30" t="s">
        <v>31</v>
      </c>
      <c r="U130" s="32"/>
      <c r="V130" s="225"/>
      <c r="W130" s="190"/>
      <c r="X130" s="261"/>
      <c r="Y130" s="190"/>
    </row>
    <row r="131" spans="1:26" ht="50.5" customHeight="1">
      <c r="A131" s="214"/>
      <c r="B131" s="214"/>
      <c r="C131" s="217"/>
      <c r="D131" s="220"/>
      <c r="E131" s="11"/>
      <c r="F131" s="38" t="s">
        <v>32</v>
      </c>
      <c r="G131" s="39">
        <v>1.9843417699892416</v>
      </c>
      <c r="H131" s="39">
        <v>0.42658554958705924</v>
      </c>
      <c r="I131" s="226"/>
      <c r="J131" s="39">
        <v>1.5577562204021824</v>
      </c>
      <c r="K131" s="226"/>
      <c r="L131" s="39">
        <v>1.150343055066227</v>
      </c>
      <c r="M131" s="226"/>
      <c r="N131" s="8"/>
      <c r="O131" s="38" t="s">
        <v>32</v>
      </c>
      <c r="P131" s="52"/>
      <c r="Q131" s="39"/>
      <c r="R131" s="191"/>
      <c r="S131" s="8"/>
      <c r="T131" s="38" t="s">
        <v>32</v>
      </c>
      <c r="U131" s="39"/>
      <c r="V131" s="226"/>
      <c r="W131" s="191"/>
      <c r="X131" s="262"/>
      <c r="Y131" s="190"/>
    </row>
    <row r="132" spans="1:26" ht="48.65" customHeight="1">
      <c r="A132" s="214">
        <v>0</v>
      </c>
      <c r="B132" s="214" t="s">
        <v>103</v>
      </c>
      <c r="C132" s="216" t="s">
        <v>291</v>
      </c>
      <c r="D132" s="219" t="s">
        <v>24</v>
      </c>
      <c r="E132" s="11"/>
      <c r="F132" s="44" t="s">
        <v>25</v>
      </c>
      <c r="G132" s="34">
        <v>51.963000000000001</v>
      </c>
      <c r="H132" s="32">
        <v>6.2149999999999999</v>
      </c>
      <c r="I132" s="230" t="s">
        <v>292</v>
      </c>
      <c r="J132" s="34">
        <v>45.748000000000005</v>
      </c>
      <c r="K132" s="230" t="s">
        <v>293</v>
      </c>
      <c r="L132" s="34">
        <v>12.045</v>
      </c>
      <c r="M132" s="230" t="s">
        <v>294</v>
      </c>
      <c r="N132" s="11"/>
      <c r="O132" s="44" t="s">
        <v>25</v>
      </c>
      <c r="P132" s="46">
        <v>81.5</v>
      </c>
      <c r="Q132" s="32">
        <v>14.5</v>
      </c>
      <c r="R132" s="190"/>
      <c r="S132" s="11"/>
      <c r="T132" s="44" t="s">
        <v>25</v>
      </c>
      <c r="U132" s="34">
        <v>67</v>
      </c>
      <c r="V132" s="230" t="s">
        <v>295</v>
      </c>
      <c r="W132" s="32"/>
      <c r="X132" s="263"/>
      <c r="Y132" s="190"/>
    </row>
    <row r="133" spans="1:26" ht="48.65" customHeight="1">
      <c r="A133" s="214"/>
      <c r="B133" s="214"/>
      <c r="C133" s="216"/>
      <c r="D133" s="219"/>
      <c r="E133" s="11"/>
      <c r="F133" s="30" t="s">
        <v>31</v>
      </c>
      <c r="G133" s="34">
        <v>14.865507253286911</v>
      </c>
      <c r="H133" s="32">
        <v>1.7779790924153367</v>
      </c>
      <c r="I133" s="225"/>
      <c r="J133" s="34">
        <v>13.087528160871575</v>
      </c>
      <c r="K133" s="225"/>
      <c r="L133" s="32">
        <v>3.4458178870704317</v>
      </c>
      <c r="M133" s="225"/>
      <c r="N133" s="11"/>
      <c r="O133" s="30" t="s">
        <v>31</v>
      </c>
      <c r="P133" s="50">
        <v>23.315413681713586</v>
      </c>
      <c r="Q133" s="32">
        <v>4.1481410844766504</v>
      </c>
      <c r="R133" s="190"/>
      <c r="S133" s="11"/>
      <c r="T133" s="30" t="s">
        <v>31</v>
      </c>
      <c r="U133" s="34">
        <v>19.167272597236938</v>
      </c>
      <c r="V133" s="225"/>
      <c r="W133" s="190"/>
      <c r="X133" s="264"/>
      <c r="Y133" s="190"/>
    </row>
    <row r="134" spans="1:26" ht="39.65" customHeight="1">
      <c r="A134" s="214"/>
      <c r="B134" s="214"/>
      <c r="C134" s="217"/>
      <c r="D134" s="220"/>
      <c r="E134" s="11"/>
      <c r="F134" s="38" t="s">
        <v>32</v>
      </c>
      <c r="G134" s="39">
        <v>7.2951720710437984</v>
      </c>
      <c r="H134" s="39">
        <v>0.87253419589972103</v>
      </c>
      <c r="I134" s="226"/>
      <c r="J134" s="39">
        <v>6.4226378751440771</v>
      </c>
      <c r="K134" s="226"/>
      <c r="L134" s="39">
        <v>1.6910176009029991</v>
      </c>
      <c r="M134" s="226"/>
      <c r="N134" s="8"/>
      <c r="O134" s="38" t="s">
        <v>32</v>
      </c>
      <c r="P134" s="52">
        <v>11.441920670285963</v>
      </c>
      <c r="Q134" s="39">
        <v>2.035679137658239</v>
      </c>
      <c r="R134" s="191"/>
      <c r="S134" s="8"/>
      <c r="T134" s="38" t="s">
        <v>32</v>
      </c>
      <c r="U134" s="39">
        <v>9.4062415326277247</v>
      </c>
      <c r="V134" s="226"/>
      <c r="W134" s="191"/>
      <c r="X134" s="265"/>
      <c r="Y134" s="190"/>
    </row>
    <row r="135" spans="1:26" ht="43.5" customHeight="1">
      <c r="A135" s="214">
        <v>0</v>
      </c>
      <c r="B135" s="214" t="s">
        <v>103</v>
      </c>
      <c r="C135" s="216" t="s">
        <v>296</v>
      </c>
      <c r="D135" s="219" t="s">
        <v>34</v>
      </c>
      <c r="E135" s="11"/>
      <c r="F135" s="44" t="s">
        <v>25</v>
      </c>
      <c r="G135" s="34">
        <v>486.7</v>
      </c>
      <c r="H135" s="34">
        <v>74.2</v>
      </c>
      <c r="I135" s="230" t="s">
        <v>297</v>
      </c>
      <c r="J135" s="34">
        <v>412.5</v>
      </c>
      <c r="K135" s="230" t="s">
        <v>298</v>
      </c>
      <c r="L135" s="32"/>
      <c r="M135" s="190"/>
      <c r="N135" s="11"/>
      <c r="O135" s="44" t="s">
        <v>25</v>
      </c>
      <c r="P135" s="46">
        <v>164.3</v>
      </c>
      <c r="Q135" s="34">
        <v>44.3</v>
      </c>
      <c r="R135" s="230" t="s">
        <v>299</v>
      </c>
      <c r="S135" s="11"/>
      <c r="T135" s="44" t="s">
        <v>25</v>
      </c>
      <c r="U135" s="34">
        <v>120</v>
      </c>
      <c r="V135" s="230" t="s">
        <v>300</v>
      </c>
      <c r="W135" s="32"/>
      <c r="X135" s="230" t="s">
        <v>301</v>
      </c>
      <c r="Y135" s="190"/>
    </row>
    <row r="136" spans="1:26" ht="43.5" customHeight="1">
      <c r="A136" s="214"/>
      <c r="B136" s="214"/>
      <c r="C136" s="216"/>
      <c r="D136" s="219"/>
      <c r="E136" s="11"/>
      <c r="F136" s="30" t="s">
        <v>31</v>
      </c>
      <c r="G136" s="32">
        <v>9.8077345483343787</v>
      </c>
      <c r="H136" s="32">
        <v>1.4952412235184116</v>
      </c>
      <c r="I136" s="225"/>
      <c r="J136" s="32">
        <v>8.312493324815966</v>
      </c>
      <c r="K136" s="225"/>
      <c r="L136" s="32"/>
      <c r="M136" s="190"/>
      <c r="N136" s="11"/>
      <c r="O136" s="30" t="s">
        <v>31</v>
      </c>
      <c r="P136" s="99">
        <v>3.3108912806479109</v>
      </c>
      <c r="Q136" s="32">
        <v>0.8927114043378116</v>
      </c>
      <c r="R136" s="225"/>
      <c r="S136" s="11"/>
      <c r="T136" s="30" t="s">
        <v>31</v>
      </c>
      <c r="U136" s="32">
        <v>2.4181798763100995</v>
      </c>
      <c r="V136" s="225"/>
      <c r="W136" s="32"/>
      <c r="X136" s="225"/>
      <c r="Y136" s="190"/>
    </row>
    <row r="137" spans="1:26" ht="48.65" customHeight="1">
      <c r="A137" s="214"/>
      <c r="B137" s="214"/>
      <c r="C137" s="217"/>
      <c r="D137" s="220"/>
      <c r="E137" s="11"/>
      <c r="F137" s="38" t="s">
        <v>32</v>
      </c>
      <c r="G137" s="39">
        <v>2.7074990380228656</v>
      </c>
      <c r="H137" s="39">
        <v>0.41277260863221016</v>
      </c>
      <c r="I137" s="226"/>
      <c r="J137" s="39">
        <v>2.2947264293906557</v>
      </c>
      <c r="K137" s="226"/>
      <c r="L137" s="39"/>
      <c r="M137" s="190"/>
      <c r="N137" s="11"/>
      <c r="O137" s="38" t="s">
        <v>32</v>
      </c>
      <c r="P137" s="52">
        <v>0.91399649054275101</v>
      </c>
      <c r="Q137" s="39">
        <v>0.24643971108365104</v>
      </c>
      <c r="R137" s="226"/>
      <c r="S137" s="11"/>
      <c r="T137" s="38" t="s">
        <v>32</v>
      </c>
      <c r="U137" s="39">
        <v>0.66755677945909997</v>
      </c>
      <c r="V137" s="226"/>
      <c r="W137" s="39"/>
      <c r="X137" s="226"/>
      <c r="Y137" s="190"/>
    </row>
    <row r="138" spans="1:26" s="201" customFormat="1" ht="58.5" customHeight="1">
      <c r="A138" s="214">
        <v>0</v>
      </c>
      <c r="B138" s="214" t="s">
        <v>103</v>
      </c>
      <c r="C138" s="216" t="s">
        <v>302</v>
      </c>
      <c r="D138" s="218" t="s">
        <v>24</v>
      </c>
      <c r="E138" s="200"/>
      <c r="F138" s="44" t="s">
        <v>25</v>
      </c>
      <c r="G138" s="56">
        <v>180.5</v>
      </c>
      <c r="H138" s="78">
        <v>8.5</v>
      </c>
      <c r="I138" s="230" t="s">
        <v>303</v>
      </c>
      <c r="J138" s="56">
        <v>172</v>
      </c>
      <c r="K138" s="230" t="s">
        <v>304</v>
      </c>
      <c r="L138" s="57" t="s">
        <v>40</v>
      </c>
      <c r="M138" s="230" t="s">
        <v>305</v>
      </c>
      <c r="N138" s="200"/>
      <c r="O138" s="30" t="s">
        <v>25</v>
      </c>
      <c r="P138" s="46">
        <v>124</v>
      </c>
      <c r="Q138" s="89">
        <v>50</v>
      </c>
      <c r="R138" s="230" t="s">
        <v>306</v>
      </c>
      <c r="S138" s="200"/>
      <c r="T138" s="114" t="s">
        <v>25</v>
      </c>
      <c r="U138" s="115">
        <v>74</v>
      </c>
      <c r="V138" s="230" t="s">
        <v>307</v>
      </c>
      <c r="W138" s="115"/>
      <c r="X138" s="230"/>
      <c r="Y138" s="116" t="s">
        <v>308</v>
      </c>
      <c r="Z138" s="200"/>
    </row>
    <row r="139" spans="1:26" s="201" customFormat="1" ht="76.5" customHeight="1">
      <c r="A139" s="214"/>
      <c r="B139" s="214"/>
      <c r="C139" s="216"/>
      <c r="D139" s="219"/>
      <c r="F139" s="30" t="s">
        <v>31</v>
      </c>
      <c r="G139" s="34">
        <v>46.286304083494812</v>
      </c>
      <c r="H139" s="32">
        <v>2.1796874499152681</v>
      </c>
      <c r="I139" s="225"/>
      <c r="J139" s="34">
        <v>44.106616633579549</v>
      </c>
      <c r="K139" s="225"/>
      <c r="L139" s="190"/>
      <c r="M139" s="225"/>
      <c r="O139" s="30" t="s">
        <v>31</v>
      </c>
      <c r="P139" s="50">
        <v>31.797793386999206</v>
      </c>
      <c r="Q139" s="35">
        <v>12.821690881854519</v>
      </c>
      <c r="R139" s="225"/>
      <c r="T139" s="30" t="s">
        <v>31</v>
      </c>
      <c r="U139" s="37">
        <v>18.976102505144688</v>
      </c>
      <c r="V139" s="225"/>
      <c r="W139" s="34"/>
      <c r="X139" s="225"/>
      <c r="Y139" s="190"/>
    </row>
    <row r="140" spans="1:26" ht="74.5" customHeight="1">
      <c r="A140" s="214"/>
      <c r="B140" s="214"/>
      <c r="C140" s="217"/>
      <c r="D140" s="220"/>
      <c r="E140" s="8"/>
      <c r="F140" s="38" t="s">
        <v>32</v>
      </c>
      <c r="G140" s="39">
        <v>7.7899461099728065</v>
      </c>
      <c r="H140" s="39">
        <v>0.36683956750564461</v>
      </c>
      <c r="I140" s="226"/>
      <c r="J140" s="39">
        <v>7.4231065424671616</v>
      </c>
      <c r="K140" s="226"/>
      <c r="L140" s="191"/>
      <c r="M140" s="226"/>
      <c r="N140" s="8"/>
      <c r="O140" s="38" t="s">
        <v>32</v>
      </c>
      <c r="P140" s="52">
        <v>5.3515419259646979</v>
      </c>
      <c r="Q140" s="41">
        <v>2.157879808856733</v>
      </c>
      <c r="R140" s="226"/>
      <c r="S140" s="8"/>
      <c r="T140" s="38" t="s">
        <v>32</v>
      </c>
      <c r="U140" s="85">
        <v>3.1936621171079649</v>
      </c>
      <c r="V140" s="226"/>
      <c r="W140" s="39"/>
      <c r="X140" s="226"/>
      <c r="Y140" s="191"/>
      <c r="Z140" s="4"/>
    </row>
    <row r="141" spans="1:26" ht="131.5" customHeight="1">
      <c r="A141" s="214">
        <v>0</v>
      </c>
      <c r="B141" s="214" t="s">
        <v>103</v>
      </c>
      <c r="C141" s="216" t="s">
        <v>309</v>
      </c>
      <c r="D141" s="218" t="s">
        <v>34</v>
      </c>
      <c r="E141" s="11"/>
      <c r="F141" s="44" t="s">
        <v>25</v>
      </c>
      <c r="G141" s="34">
        <v>23</v>
      </c>
      <c r="H141" s="193">
        <v>10.8</v>
      </c>
      <c r="I141" s="230" t="s">
        <v>310</v>
      </c>
      <c r="J141" s="31">
        <v>12.2</v>
      </c>
      <c r="K141" s="230" t="s">
        <v>311</v>
      </c>
      <c r="L141" s="206">
        <v>2.2999999999999998</v>
      </c>
      <c r="M141" s="234" t="s">
        <v>312</v>
      </c>
      <c r="N141" s="11"/>
      <c r="O141" s="30" t="s">
        <v>25</v>
      </c>
      <c r="P141" s="46">
        <v>45.8</v>
      </c>
      <c r="Q141" s="51">
        <v>1.8</v>
      </c>
      <c r="R141" s="230" t="s">
        <v>313</v>
      </c>
      <c r="S141" s="11"/>
      <c r="T141" s="30" t="s">
        <v>25</v>
      </c>
      <c r="U141" s="37">
        <v>44</v>
      </c>
      <c r="V141" s="270" t="s">
        <v>314</v>
      </c>
      <c r="W141" s="190"/>
      <c r="X141" s="190"/>
      <c r="Y141" s="190"/>
    </row>
    <row r="142" spans="1:26" ht="105.65" customHeight="1">
      <c r="A142" s="214"/>
      <c r="B142" s="214"/>
      <c r="C142" s="216"/>
      <c r="D142" s="219"/>
      <c r="E142" s="11"/>
      <c r="F142" s="30" t="s">
        <v>31</v>
      </c>
      <c r="G142" s="32">
        <v>5.4194262869664724</v>
      </c>
      <c r="H142" s="32">
        <v>2.5447740825755609</v>
      </c>
      <c r="I142" s="225"/>
      <c r="J142" s="32">
        <v>2.8746522043909111</v>
      </c>
      <c r="K142" s="225"/>
      <c r="L142" s="32">
        <v>0.54194262869664722</v>
      </c>
      <c r="M142" s="222"/>
      <c r="N142" s="11"/>
      <c r="O142" s="30" t="s">
        <v>31</v>
      </c>
      <c r="P142" s="99">
        <v>10.791727127959323</v>
      </c>
      <c r="Q142" s="32">
        <v>0.42412901376259349</v>
      </c>
      <c r="R142" s="225"/>
      <c r="S142" s="11"/>
      <c r="T142" s="30" t="s">
        <v>31</v>
      </c>
      <c r="U142" s="32">
        <v>10.367598114196729</v>
      </c>
      <c r="V142" s="225"/>
      <c r="W142" s="190"/>
      <c r="X142" s="190"/>
      <c r="Y142" s="190"/>
    </row>
    <row r="143" spans="1:26" ht="126.65" customHeight="1">
      <c r="A143" s="214"/>
      <c r="B143" s="214"/>
      <c r="C143" s="217"/>
      <c r="D143" s="220"/>
      <c r="E143" s="11"/>
      <c r="F143" s="38" t="s">
        <v>32</v>
      </c>
      <c r="G143" s="39">
        <v>2.1921970390172185</v>
      </c>
      <c r="H143" s="39">
        <v>1.0293794791906941</v>
      </c>
      <c r="I143" s="226"/>
      <c r="J143" s="39">
        <v>1.1628175598265245</v>
      </c>
      <c r="K143" s="226"/>
      <c r="L143" s="39">
        <v>0.21921970390172182</v>
      </c>
      <c r="M143" s="223"/>
      <c r="N143" s="8"/>
      <c r="O143" s="38" t="s">
        <v>32</v>
      </c>
      <c r="P143" s="52">
        <v>4.365331495086461</v>
      </c>
      <c r="Q143" s="39">
        <v>0.17156324653178232</v>
      </c>
      <c r="R143" s="226"/>
      <c r="S143" s="8"/>
      <c r="T143" s="38" t="s">
        <v>32</v>
      </c>
      <c r="U143" s="39">
        <v>4.1937682485546786</v>
      </c>
      <c r="V143" s="226"/>
      <c r="W143" s="191"/>
      <c r="X143" s="191"/>
      <c r="Y143" s="190"/>
    </row>
    <row r="144" spans="1:26" ht="69.650000000000006" customHeight="1">
      <c r="A144" s="187"/>
      <c r="B144" s="187"/>
      <c r="C144" s="215" t="s">
        <v>315</v>
      </c>
      <c r="D144" s="218" t="s">
        <v>24</v>
      </c>
      <c r="E144" s="19"/>
      <c r="F144" s="30" t="s">
        <v>25</v>
      </c>
      <c r="G144" s="31">
        <v>308</v>
      </c>
      <c r="H144" s="57">
        <v>73</v>
      </c>
      <c r="I144" s="231" t="s">
        <v>316</v>
      </c>
      <c r="J144" s="31">
        <v>235</v>
      </c>
      <c r="K144" s="234" t="s">
        <v>317</v>
      </c>
      <c r="L144" s="31">
        <v>151</v>
      </c>
      <c r="M144" s="230" t="s">
        <v>318</v>
      </c>
      <c r="N144" s="19"/>
      <c r="O144" s="30" t="s">
        <v>25</v>
      </c>
      <c r="P144" s="46">
        <v>76.5</v>
      </c>
      <c r="Q144" s="104"/>
      <c r="R144" s="190"/>
      <c r="S144" s="19"/>
      <c r="T144" s="30" t="s">
        <v>25</v>
      </c>
      <c r="U144" s="31">
        <v>56.5</v>
      </c>
      <c r="V144" s="230" t="s">
        <v>319</v>
      </c>
      <c r="W144" s="34">
        <v>20</v>
      </c>
      <c r="X144" s="230" t="s">
        <v>320</v>
      </c>
      <c r="Y144" s="190"/>
    </row>
    <row r="145" spans="1:26" ht="69.650000000000006" customHeight="1">
      <c r="A145" s="187">
        <v>0</v>
      </c>
      <c r="B145" s="187" t="s">
        <v>103</v>
      </c>
      <c r="C145" s="216"/>
      <c r="D145" s="219"/>
      <c r="E145" s="19"/>
      <c r="F145" s="30" t="s">
        <v>31</v>
      </c>
      <c r="G145" s="32">
        <v>2.9855580897436367</v>
      </c>
      <c r="H145" s="32">
        <v>0.70761604075092688</v>
      </c>
      <c r="I145" s="232"/>
      <c r="J145" s="32">
        <v>2.2779420489927098</v>
      </c>
      <c r="K145" s="222"/>
      <c r="L145" s="32">
        <v>1.4636989336080817</v>
      </c>
      <c r="M145" s="225"/>
      <c r="N145" s="19"/>
      <c r="O145" s="30" t="s">
        <v>31</v>
      </c>
      <c r="P145" s="99">
        <v>0.74154283722528636</v>
      </c>
      <c r="Q145" s="104"/>
      <c r="R145" s="190"/>
      <c r="S145" s="19"/>
      <c r="T145" s="30" t="s">
        <v>31</v>
      </c>
      <c r="U145" s="32">
        <v>0.5476754288003749</v>
      </c>
      <c r="V145" s="225"/>
      <c r="W145" s="32">
        <v>0.19386740842491149</v>
      </c>
      <c r="X145" s="225"/>
      <c r="Y145" s="190"/>
    </row>
    <row r="146" spans="1:26" ht="48.65" customHeight="1">
      <c r="A146" s="187"/>
      <c r="B146" s="187"/>
      <c r="C146" s="217"/>
      <c r="D146" s="220"/>
      <c r="E146" s="8"/>
      <c r="F146" s="38" t="s">
        <v>32</v>
      </c>
      <c r="G146" s="39">
        <v>5.6373683724818671</v>
      </c>
      <c r="H146" s="39">
        <v>1.3361295168544685</v>
      </c>
      <c r="I146" s="233"/>
      <c r="J146" s="39">
        <v>4.3012388556273988</v>
      </c>
      <c r="K146" s="223"/>
      <c r="L146" s="39">
        <v>2.7637747540414348</v>
      </c>
      <c r="M146" s="226"/>
      <c r="N146" s="8"/>
      <c r="O146" s="38" t="s">
        <v>32</v>
      </c>
      <c r="P146" s="52">
        <v>1.400190521087217</v>
      </c>
      <c r="Q146" s="41"/>
      <c r="R146" s="199"/>
      <c r="S146" s="8"/>
      <c r="T146" s="38" t="s">
        <v>32</v>
      </c>
      <c r="U146" s="39">
        <v>1.0341276397572257</v>
      </c>
      <c r="V146" s="226"/>
      <c r="W146" s="39">
        <v>0.36606288132999137</v>
      </c>
      <c r="X146" s="226"/>
      <c r="Y146" s="190"/>
    </row>
    <row r="147" spans="1:26" ht="247.5" customHeight="1">
      <c r="A147" s="214">
        <v>0</v>
      </c>
      <c r="B147" s="214" t="s">
        <v>103</v>
      </c>
      <c r="C147" s="216" t="s">
        <v>321</v>
      </c>
      <c r="D147" s="219" t="s">
        <v>140</v>
      </c>
      <c r="E147" s="11"/>
      <c r="F147" s="44" t="s">
        <v>25</v>
      </c>
      <c r="G147" s="88">
        <v>1290</v>
      </c>
      <c r="H147" s="32" t="s">
        <v>40</v>
      </c>
      <c r="I147" s="230" t="s">
        <v>322</v>
      </c>
      <c r="J147" s="32" t="s">
        <v>40</v>
      </c>
      <c r="K147" s="224" t="s">
        <v>323</v>
      </c>
      <c r="L147" s="32"/>
      <c r="M147" s="230" t="s">
        <v>324</v>
      </c>
      <c r="N147" s="11"/>
      <c r="O147" s="30" t="s">
        <v>25</v>
      </c>
      <c r="P147" s="46">
        <v>665</v>
      </c>
      <c r="Q147" s="34">
        <v>90</v>
      </c>
      <c r="R147" s="270" t="s">
        <v>325</v>
      </c>
      <c r="S147" s="11"/>
      <c r="T147" s="30" t="s">
        <v>25</v>
      </c>
      <c r="U147" s="34">
        <v>325</v>
      </c>
      <c r="V147" s="230" t="s">
        <v>326</v>
      </c>
      <c r="W147" s="34">
        <v>250</v>
      </c>
      <c r="X147" s="230" t="s">
        <v>327</v>
      </c>
      <c r="Y147" s="190"/>
    </row>
    <row r="148" spans="1:26" ht="161.5" customHeight="1">
      <c r="A148" s="214"/>
      <c r="B148" s="214"/>
      <c r="C148" s="216"/>
      <c r="D148" s="219"/>
      <c r="E148" s="11"/>
      <c r="F148" s="30" t="s">
        <v>31</v>
      </c>
      <c r="G148" s="34">
        <v>41.229995254610259</v>
      </c>
      <c r="H148" s="32"/>
      <c r="I148" s="225"/>
      <c r="J148" s="32"/>
      <c r="K148" s="225"/>
      <c r="L148" s="32"/>
      <c r="M148" s="225"/>
      <c r="N148" s="11"/>
      <c r="O148" s="30" t="s">
        <v>31</v>
      </c>
      <c r="P148" s="50">
        <v>21.254222359934744</v>
      </c>
      <c r="Q148" s="32">
        <v>2.8765112968332738</v>
      </c>
      <c r="R148" s="261"/>
      <c r="S148" s="11"/>
      <c r="T148" s="30" t="s">
        <v>31</v>
      </c>
      <c r="U148" s="34">
        <v>10.387401905231266</v>
      </c>
      <c r="V148" s="225"/>
      <c r="W148" s="32">
        <v>7.9903091578702057</v>
      </c>
      <c r="X148" s="225"/>
      <c r="Y148" s="190"/>
    </row>
    <row r="149" spans="1:26" ht="108.65" customHeight="1">
      <c r="A149" s="214"/>
      <c r="B149" s="214"/>
      <c r="C149" s="217"/>
      <c r="D149" s="220"/>
      <c r="E149" s="11"/>
      <c r="F149" s="38" t="s">
        <v>32</v>
      </c>
      <c r="G149" s="39">
        <v>8.2149797800053879</v>
      </c>
      <c r="H149" s="39"/>
      <c r="I149" s="226"/>
      <c r="J149" s="39"/>
      <c r="K149" s="226"/>
      <c r="L149" s="39"/>
      <c r="M149" s="226"/>
      <c r="N149" s="8"/>
      <c r="O149" s="38" t="s">
        <v>32</v>
      </c>
      <c r="P149" s="52">
        <v>4.2348539175996773</v>
      </c>
      <c r="Q149" s="39">
        <v>0.57313812418642252</v>
      </c>
      <c r="R149" s="262"/>
      <c r="S149" s="8"/>
      <c r="T149" s="38" t="s">
        <v>32</v>
      </c>
      <c r="U149" s="39">
        <v>2.0696654484509698</v>
      </c>
      <c r="V149" s="226"/>
      <c r="W149" s="39">
        <v>1.5920503449622845</v>
      </c>
      <c r="X149" s="226"/>
      <c r="Y149" s="190"/>
    </row>
    <row r="150" spans="1:26" s="201" customFormat="1" ht="88" customHeight="1">
      <c r="A150" s="214">
        <v>0</v>
      </c>
      <c r="B150" s="214" t="s">
        <v>103</v>
      </c>
      <c r="C150" s="215" t="s">
        <v>328</v>
      </c>
      <c r="D150" s="218" t="s">
        <v>24</v>
      </c>
      <c r="E150" s="200"/>
      <c r="F150" s="44" t="s">
        <v>25</v>
      </c>
      <c r="G150" s="78">
        <v>2.9849999999999999</v>
      </c>
      <c r="H150" s="78">
        <v>0.39500000000000002</v>
      </c>
      <c r="I150" s="230" t="s">
        <v>329</v>
      </c>
      <c r="J150" s="78">
        <v>2.59</v>
      </c>
      <c r="K150" s="224" t="s">
        <v>330</v>
      </c>
      <c r="L150" s="78">
        <v>0.3</v>
      </c>
      <c r="M150" s="230" t="s">
        <v>331</v>
      </c>
      <c r="N150" s="200"/>
      <c r="O150" s="44" t="s">
        <v>25</v>
      </c>
      <c r="P150" s="112">
        <v>0.89999999999999991</v>
      </c>
      <c r="Q150" s="117">
        <v>0.7</v>
      </c>
      <c r="R150" s="230" t="s">
        <v>332</v>
      </c>
      <c r="S150" s="200"/>
      <c r="T150" s="44" t="s">
        <v>25</v>
      </c>
      <c r="U150" s="78">
        <v>0.2</v>
      </c>
      <c r="V150" s="230" t="s">
        <v>333</v>
      </c>
      <c r="W150" s="194"/>
      <c r="X150" s="194"/>
      <c r="Y150" s="230" t="s">
        <v>334</v>
      </c>
      <c r="Z150" s="200"/>
    </row>
    <row r="151" spans="1:26" s="201" customFormat="1" ht="88" customHeight="1">
      <c r="A151" s="214"/>
      <c r="B151" s="214"/>
      <c r="C151" s="216"/>
      <c r="D151" s="219"/>
      <c r="F151" s="30" t="s">
        <v>31</v>
      </c>
      <c r="G151" s="32">
        <v>1.0612630368420157</v>
      </c>
      <c r="H151" s="32">
        <v>0.14043514222867545</v>
      </c>
      <c r="I151" s="225"/>
      <c r="J151" s="32">
        <v>0.92082789461334014</v>
      </c>
      <c r="K151" s="225"/>
      <c r="L151" s="32">
        <v>0.10665960169266489</v>
      </c>
      <c r="M151" s="225"/>
      <c r="O151" s="30" t="s">
        <v>31</v>
      </c>
      <c r="P151" s="99">
        <v>0.3199788050779947</v>
      </c>
      <c r="Q151" s="42">
        <v>0.2488724039495514</v>
      </c>
      <c r="R151" s="225"/>
      <c r="T151" s="30" t="s">
        <v>31</v>
      </c>
      <c r="U151" s="32">
        <v>7.110640112844327E-2</v>
      </c>
      <c r="V151" s="225"/>
      <c r="W151" s="190"/>
      <c r="X151" s="190"/>
      <c r="Y151" s="225"/>
    </row>
    <row r="152" spans="1:26" ht="88" customHeight="1">
      <c r="A152" s="214"/>
      <c r="B152" s="214"/>
      <c r="C152" s="217"/>
      <c r="D152" s="220"/>
      <c r="E152" s="8"/>
      <c r="F152" s="38" t="s">
        <v>32</v>
      </c>
      <c r="G152" s="39">
        <v>2.683122031298951</v>
      </c>
      <c r="H152" s="39">
        <v>0.35505299911661165</v>
      </c>
      <c r="I152" s="226"/>
      <c r="J152" s="39">
        <v>2.3280690321823396</v>
      </c>
      <c r="K152" s="226"/>
      <c r="L152" s="39">
        <v>0.26966050565818606</v>
      </c>
      <c r="M152" s="226"/>
      <c r="N152" s="8"/>
      <c r="O152" s="38" t="s">
        <v>32</v>
      </c>
      <c r="P152" s="52">
        <v>0.808981516974558</v>
      </c>
      <c r="Q152" s="85">
        <v>0.62920784653576733</v>
      </c>
      <c r="R152" s="226"/>
      <c r="S152" s="8"/>
      <c r="T152" s="38" t="s">
        <v>32</v>
      </c>
      <c r="U152" s="39">
        <v>0.17977367043879069</v>
      </c>
      <c r="V152" s="226"/>
      <c r="W152" s="191"/>
      <c r="X152" s="191"/>
      <c r="Y152" s="226"/>
      <c r="Z152" s="4"/>
    </row>
    <row r="153" spans="1:26" s="201" customFormat="1" ht="68.5" customHeight="1">
      <c r="A153" s="214">
        <v>0</v>
      </c>
      <c r="B153" s="214" t="s">
        <v>103</v>
      </c>
      <c r="C153" s="215" t="s">
        <v>335</v>
      </c>
      <c r="D153" s="218" t="s">
        <v>24</v>
      </c>
      <c r="E153" s="200"/>
      <c r="F153" s="44" t="s">
        <v>25</v>
      </c>
      <c r="G153" s="56">
        <v>32</v>
      </c>
      <c r="H153" s="57" t="s">
        <v>40</v>
      </c>
      <c r="I153" s="230" t="s">
        <v>336</v>
      </c>
      <c r="J153" s="48" t="s">
        <v>40</v>
      </c>
      <c r="K153" s="230" t="s">
        <v>337</v>
      </c>
      <c r="L153" s="194"/>
      <c r="M153" s="194"/>
      <c r="N153" s="200"/>
      <c r="O153" s="44" t="s">
        <v>25</v>
      </c>
      <c r="P153" s="117" t="s">
        <v>40</v>
      </c>
      <c r="Q153" s="117" t="s">
        <v>40</v>
      </c>
      <c r="R153" s="230" t="s">
        <v>338</v>
      </c>
      <c r="S153" s="200"/>
      <c r="T153" s="44" t="s">
        <v>25</v>
      </c>
      <c r="U153" s="117" t="s">
        <v>40</v>
      </c>
      <c r="V153" s="230" t="s">
        <v>339</v>
      </c>
      <c r="W153" s="117" t="s">
        <v>40</v>
      </c>
      <c r="X153" s="230" t="s">
        <v>340</v>
      </c>
      <c r="Y153" s="194"/>
      <c r="Z153" s="200"/>
    </row>
    <row r="154" spans="1:26" s="201" customFormat="1" ht="69.650000000000006" customHeight="1">
      <c r="A154" s="214"/>
      <c r="B154" s="214"/>
      <c r="C154" s="216"/>
      <c r="D154" s="219"/>
      <c r="F154" s="30" t="s">
        <v>31</v>
      </c>
      <c r="G154" s="32">
        <v>8.7134104833219883</v>
      </c>
      <c r="H154" s="196"/>
      <c r="I154" s="225"/>
      <c r="J154" s="206"/>
      <c r="K154" s="225"/>
      <c r="L154" s="190"/>
      <c r="M154" s="190"/>
      <c r="O154" s="30" t="s">
        <v>31</v>
      </c>
      <c r="P154" s="190"/>
      <c r="Q154" s="104"/>
      <c r="R154" s="225"/>
      <c r="T154" s="30" t="s">
        <v>31</v>
      </c>
      <c r="U154" s="81"/>
      <c r="V154" s="225"/>
      <c r="W154" s="190"/>
      <c r="X154" s="225"/>
      <c r="Y154" s="190"/>
    </row>
    <row r="155" spans="1:26" ht="47.5" customHeight="1">
      <c r="A155" s="214"/>
      <c r="B155" s="214"/>
      <c r="C155" s="217"/>
      <c r="D155" s="220"/>
      <c r="E155" s="8"/>
      <c r="F155" s="38" t="s">
        <v>32</v>
      </c>
      <c r="G155" s="39">
        <v>2.4594746603328654</v>
      </c>
      <c r="H155" s="207"/>
      <c r="I155" s="226"/>
      <c r="J155" s="83"/>
      <c r="K155" s="226"/>
      <c r="L155" s="191"/>
      <c r="M155" s="191"/>
      <c r="N155" s="8"/>
      <c r="O155" s="38" t="s">
        <v>32</v>
      </c>
      <c r="P155" s="199"/>
      <c r="Q155" s="41"/>
      <c r="R155" s="226"/>
      <c r="S155" s="8"/>
      <c r="T155" s="38" t="s">
        <v>32</v>
      </c>
      <c r="U155" s="39"/>
      <c r="V155" s="226"/>
      <c r="W155" s="191"/>
      <c r="X155" s="226"/>
      <c r="Y155" s="191"/>
      <c r="Z155" s="4"/>
    </row>
    <row r="156" spans="1:26" s="201" customFormat="1" ht="128.5" customHeight="1">
      <c r="A156" s="214">
        <v>0</v>
      </c>
      <c r="B156" s="214" t="s">
        <v>341</v>
      </c>
      <c r="C156" s="215" t="s">
        <v>342</v>
      </c>
      <c r="D156" s="218" t="s">
        <v>34</v>
      </c>
      <c r="E156" s="200"/>
      <c r="F156" s="44" t="s">
        <v>25</v>
      </c>
      <c r="G156" s="118">
        <v>389.29938699999997</v>
      </c>
      <c r="H156" s="118">
        <v>34.769387000000002</v>
      </c>
      <c r="I156" s="230" t="s">
        <v>343</v>
      </c>
      <c r="J156" s="118">
        <v>354.53</v>
      </c>
      <c r="K156" s="230" t="s">
        <v>344</v>
      </c>
      <c r="L156" s="194"/>
      <c r="M156" s="194"/>
      <c r="N156" s="200"/>
      <c r="O156" s="44" t="s">
        <v>25</v>
      </c>
      <c r="P156" s="112">
        <v>20</v>
      </c>
      <c r="Q156" s="89"/>
      <c r="R156" s="230"/>
      <c r="S156" s="200"/>
      <c r="T156" s="44" t="s">
        <v>25</v>
      </c>
      <c r="U156" s="78">
        <v>20</v>
      </c>
      <c r="V156" s="194" t="s">
        <v>345</v>
      </c>
      <c r="W156" s="194"/>
      <c r="X156" s="194"/>
      <c r="Y156" s="194"/>
      <c r="Z156" s="200"/>
    </row>
    <row r="157" spans="1:26" s="19" customFormat="1" ht="94.5" customHeight="1">
      <c r="A157" s="214"/>
      <c r="B157" s="214"/>
      <c r="C157" s="216"/>
      <c r="D157" s="219"/>
      <c r="E157" s="201"/>
      <c r="F157" s="30" t="s">
        <v>31</v>
      </c>
      <c r="G157" s="32">
        <v>4.6172161143685786</v>
      </c>
      <c r="H157" s="32">
        <v>0.41237612825503217</v>
      </c>
      <c r="I157" s="225"/>
      <c r="J157" s="32">
        <v>4.204839986113547</v>
      </c>
      <c r="K157" s="225"/>
      <c r="L157" s="190"/>
      <c r="M157" s="190"/>
      <c r="N157" s="201"/>
      <c r="O157" s="30" t="s">
        <v>31</v>
      </c>
      <c r="P157" s="99">
        <v>0.23720644154872914</v>
      </c>
      <c r="Q157" s="51"/>
      <c r="R157" s="225"/>
      <c r="S157" s="201"/>
      <c r="T157" s="30" t="s">
        <v>31</v>
      </c>
      <c r="U157" s="81">
        <v>0.23720644154872914</v>
      </c>
      <c r="V157" s="190"/>
      <c r="W157" s="190"/>
      <c r="X157" s="190"/>
      <c r="Y157" s="190"/>
      <c r="Z157" s="201"/>
    </row>
    <row r="158" spans="1:26" ht="157.5" customHeight="1">
      <c r="A158" s="214"/>
      <c r="B158" s="214"/>
      <c r="C158" s="217"/>
      <c r="D158" s="220"/>
      <c r="E158" s="8"/>
      <c r="F158" s="38" t="s">
        <v>32</v>
      </c>
      <c r="G158" s="39">
        <v>1.4028990372097725</v>
      </c>
      <c r="H158" s="39">
        <v>0.12529672836775876</v>
      </c>
      <c r="I158" s="226"/>
      <c r="J158" s="39">
        <v>1.2776023088420139</v>
      </c>
      <c r="K158" s="226"/>
      <c r="L158" s="191"/>
      <c r="M158" s="191"/>
      <c r="N158" s="8"/>
      <c r="O158" s="38" t="s">
        <v>32</v>
      </c>
      <c r="P158" s="52">
        <v>7.2073015476377969E-2</v>
      </c>
      <c r="Q158" s="41"/>
      <c r="R158" s="226"/>
      <c r="S158" s="8"/>
      <c r="T158" s="38" t="s">
        <v>32</v>
      </c>
      <c r="U158" s="39">
        <v>7.2073015476377969E-2</v>
      </c>
      <c r="V158" s="191"/>
      <c r="W158" s="191"/>
      <c r="X158" s="191"/>
      <c r="Y158" s="190"/>
    </row>
    <row r="159" spans="1:26" ht="58.5" customHeight="1">
      <c r="A159" s="214">
        <v>0</v>
      </c>
      <c r="B159" s="214" t="s">
        <v>341</v>
      </c>
      <c r="C159" s="216" t="s">
        <v>346</v>
      </c>
      <c r="D159" s="219" t="s">
        <v>24</v>
      </c>
      <c r="E159" s="11"/>
      <c r="F159" s="30" t="s">
        <v>25</v>
      </c>
      <c r="G159" s="34">
        <v>83</v>
      </c>
      <c r="H159" s="31">
        <v>20</v>
      </c>
      <c r="I159" s="230" t="s">
        <v>347</v>
      </c>
      <c r="J159" s="31">
        <v>63</v>
      </c>
      <c r="K159" s="230" t="s">
        <v>348</v>
      </c>
      <c r="L159" s="190"/>
      <c r="M159" s="190"/>
      <c r="N159" s="11"/>
      <c r="O159" s="44" t="s">
        <v>25</v>
      </c>
      <c r="P159" s="46">
        <v>21</v>
      </c>
      <c r="Q159" s="55">
        <v>21</v>
      </c>
      <c r="R159" s="230" t="s">
        <v>349</v>
      </c>
      <c r="S159" s="11"/>
      <c r="T159" s="44" t="s">
        <v>25</v>
      </c>
      <c r="U159" s="32"/>
      <c r="V159" s="190"/>
      <c r="W159" s="190"/>
      <c r="X159" s="190"/>
      <c r="Y159" s="190"/>
    </row>
    <row r="160" spans="1:26" ht="58.5" customHeight="1">
      <c r="A160" s="214"/>
      <c r="B160" s="214"/>
      <c r="C160" s="216"/>
      <c r="D160" s="219"/>
      <c r="E160" s="11"/>
      <c r="F160" s="30" t="s">
        <v>31</v>
      </c>
      <c r="G160" s="32">
        <v>2.3763664151214603</v>
      </c>
      <c r="H160" s="32">
        <v>0.57261841328227958</v>
      </c>
      <c r="I160" s="225"/>
      <c r="J160" s="32">
        <v>1.8037480018391807</v>
      </c>
      <c r="K160" s="225"/>
      <c r="L160" s="32"/>
      <c r="M160" s="190"/>
      <c r="N160" s="11"/>
      <c r="O160" s="30" t="s">
        <v>31</v>
      </c>
      <c r="P160" s="99">
        <v>0.60124933394639357</v>
      </c>
      <c r="Q160" s="51">
        <v>0.60124933394639357</v>
      </c>
      <c r="R160" s="225"/>
      <c r="S160" s="11"/>
      <c r="T160" s="30" t="s">
        <v>31</v>
      </c>
      <c r="U160" s="32"/>
      <c r="V160" s="190"/>
      <c r="W160" s="190"/>
      <c r="X160" s="190"/>
      <c r="Y160" s="190"/>
    </row>
    <row r="161" spans="1:26" ht="72" customHeight="1">
      <c r="A161" s="214"/>
      <c r="B161" s="214"/>
      <c r="C161" s="217"/>
      <c r="D161" s="220"/>
      <c r="E161" s="8"/>
      <c r="F161" s="38" t="s">
        <v>32</v>
      </c>
      <c r="G161" s="39">
        <v>2.4597335906408286</v>
      </c>
      <c r="H161" s="39">
        <v>0.59270688931104309</v>
      </c>
      <c r="I161" s="226"/>
      <c r="J161" s="39">
        <v>1.8670267013297857</v>
      </c>
      <c r="K161" s="226"/>
      <c r="L161" s="39"/>
      <c r="M161" s="191"/>
      <c r="N161" s="8"/>
      <c r="O161" s="38" t="s">
        <v>32</v>
      </c>
      <c r="P161" s="52">
        <v>0.62234223377659526</v>
      </c>
      <c r="Q161" s="41">
        <v>0.62234223377659526</v>
      </c>
      <c r="R161" s="226"/>
      <c r="S161" s="8"/>
      <c r="T161" s="38" t="s">
        <v>32</v>
      </c>
      <c r="U161" s="39"/>
      <c r="V161" s="191"/>
      <c r="W161" s="191"/>
      <c r="X161" s="191"/>
      <c r="Y161" s="190"/>
    </row>
    <row r="162" spans="1:26" ht="58.5" customHeight="1">
      <c r="A162" s="214">
        <v>0</v>
      </c>
      <c r="B162" s="214" t="s">
        <v>341</v>
      </c>
      <c r="C162" s="216" t="s">
        <v>350</v>
      </c>
      <c r="D162" s="219" t="s">
        <v>34</v>
      </c>
      <c r="E162" s="11"/>
      <c r="F162" s="30" t="s">
        <v>25</v>
      </c>
      <c r="G162" s="32">
        <v>11.2</v>
      </c>
      <c r="H162" s="81">
        <v>0.57199999999999995</v>
      </c>
      <c r="I162" s="230" t="s">
        <v>351</v>
      </c>
      <c r="J162" s="32">
        <v>10.628</v>
      </c>
      <c r="K162" s="230" t="s">
        <v>352</v>
      </c>
      <c r="L162" s="190" t="s">
        <v>40</v>
      </c>
      <c r="M162" s="230" t="s">
        <v>353</v>
      </c>
      <c r="N162" s="11"/>
      <c r="O162" s="44" t="s">
        <v>25</v>
      </c>
      <c r="P162" s="112">
        <v>1.2</v>
      </c>
      <c r="Q162" s="119">
        <v>1.2</v>
      </c>
      <c r="R162" s="234" t="s">
        <v>354</v>
      </c>
      <c r="S162" s="11"/>
      <c r="T162" s="44" t="s">
        <v>25</v>
      </c>
      <c r="U162" s="32"/>
      <c r="V162" s="190"/>
      <c r="W162" s="190"/>
      <c r="X162" s="190"/>
      <c r="Y162" s="190"/>
    </row>
    <row r="163" spans="1:26" ht="58.5" customHeight="1">
      <c r="A163" s="214"/>
      <c r="B163" s="214"/>
      <c r="C163" s="216"/>
      <c r="D163" s="219"/>
      <c r="E163" s="11"/>
      <c r="F163" s="30" t="s">
        <v>31</v>
      </c>
      <c r="G163" s="32">
        <v>2.0005378669293687</v>
      </c>
      <c r="H163" s="32">
        <v>0.10217032677532133</v>
      </c>
      <c r="I163" s="225"/>
      <c r="J163" s="32">
        <v>1.8983675401540476</v>
      </c>
      <c r="K163" s="225"/>
      <c r="L163" s="32"/>
      <c r="M163" s="225"/>
      <c r="N163" s="11"/>
      <c r="O163" s="30" t="s">
        <v>31</v>
      </c>
      <c r="P163" s="99">
        <v>0.21434334288528953</v>
      </c>
      <c r="Q163" s="32">
        <v>0.21434334288528953</v>
      </c>
      <c r="R163" s="222"/>
      <c r="S163" s="11"/>
      <c r="T163" s="30" t="s">
        <v>31</v>
      </c>
      <c r="U163" s="32"/>
      <c r="V163" s="190"/>
      <c r="W163" s="190"/>
      <c r="X163" s="190"/>
      <c r="Y163" s="190"/>
    </row>
    <row r="164" spans="1:26" ht="42.65" customHeight="1">
      <c r="A164" s="214"/>
      <c r="B164" s="214"/>
      <c r="C164" s="217"/>
      <c r="D164" s="220"/>
      <c r="E164" s="8"/>
      <c r="F164" s="38" t="s">
        <v>32</v>
      </c>
      <c r="G164" s="39">
        <v>2.9239899759982846</v>
      </c>
      <c r="H164" s="39">
        <v>0.14933234520276953</v>
      </c>
      <c r="I164" s="226"/>
      <c r="J164" s="39">
        <v>2.7746576307955153</v>
      </c>
      <c r="K164" s="226"/>
      <c r="L164" s="39"/>
      <c r="M164" s="226"/>
      <c r="N164" s="8"/>
      <c r="O164" s="38" t="s">
        <v>32</v>
      </c>
      <c r="P164" s="52">
        <v>0.31328464028553049</v>
      </c>
      <c r="Q164" s="39">
        <v>0.31328464028553049</v>
      </c>
      <c r="R164" s="223"/>
      <c r="S164" s="8"/>
      <c r="T164" s="38" t="s">
        <v>32</v>
      </c>
      <c r="U164" s="39"/>
      <c r="V164" s="191"/>
      <c r="W164" s="191"/>
      <c r="X164" s="191"/>
      <c r="Y164" s="190"/>
    </row>
    <row r="165" spans="1:26" ht="41.5" customHeight="1">
      <c r="A165" s="214">
        <v>0</v>
      </c>
      <c r="B165" s="214" t="s">
        <v>341</v>
      </c>
      <c r="C165" s="215" t="s">
        <v>355</v>
      </c>
      <c r="D165" s="218" t="s">
        <v>34</v>
      </c>
      <c r="E165" s="43"/>
      <c r="F165" s="44" t="s">
        <v>25</v>
      </c>
      <c r="G165" s="45">
        <v>41.980000000000004</v>
      </c>
      <c r="H165" s="118">
        <v>35.06</v>
      </c>
      <c r="I165" s="224" t="s">
        <v>356</v>
      </c>
      <c r="J165" s="48">
        <v>6.92</v>
      </c>
      <c r="K165" s="234" t="s">
        <v>357</v>
      </c>
      <c r="L165" s="194"/>
      <c r="M165" s="194"/>
      <c r="N165" s="43"/>
      <c r="O165" s="44" t="s">
        <v>25</v>
      </c>
      <c r="P165" s="46">
        <v>15</v>
      </c>
      <c r="Q165" s="45">
        <v>15</v>
      </c>
      <c r="R165" s="230" t="s">
        <v>358</v>
      </c>
      <c r="S165" s="43"/>
      <c r="T165" s="44" t="s">
        <v>25</v>
      </c>
      <c r="U165" s="48"/>
      <c r="V165" s="194"/>
      <c r="W165" s="194"/>
      <c r="X165" s="194"/>
      <c r="Y165" s="190"/>
    </row>
    <row r="166" spans="1:26" ht="58.5" customHeight="1">
      <c r="A166" s="214"/>
      <c r="B166" s="214"/>
      <c r="C166" s="216"/>
      <c r="D166" s="219"/>
      <c r="E166" s="11"/>
      <c r="F166" s="30" t="s">
        <v>31</v>
      </c>
      <c r="G166" s="32">
        <v>7.3041801942155968E-2</v>
      </c>
      <c r="H166" s="32">
        <v>6.1001562079370852E-2</v>
      </c>
      <c r="I166" s="260"/>
      <c r="J166" s="32">
        <v>1.2040239862785119E-2</v>
      </c>
      <c r="K166" s="225"/>
      <c r="L166" s="32"/>
      <c r="M166" s="190"/>
      <c r="N166" s="11"/>
      <c r="O166" s="30" t="s">
        <v>31</v>
      </c>
      <c r="P166" s="99">
        <v>2.6098785829736529E-2</v>
      </c>
      <c r="Q166" s="32">
        <v>2.6098785829736529E-2</v>
      </c>
      <c r="R166" s="225"/>
      <c r="S166" s="11"/>
      <c r="T166" s="30" t="s">
        <v>31</v>
      </c>
      <c r="U166" s="32"/>
      <c r="V166" s="190"/>
      <c r="W166" s="190"/>
      <c r="X166" s="190"/>
      <c r="Y166" s="190"/>
    </row>
    <row r="167" spans="1:26" ht="38.5" customHeight="1">
      <c r="A167" s="214"/>
      <c r="B167" s="214"/>
      <c r="C167" s="217"/>
      <c r="D167" s="220"/>
      <c r="E167" s="8"/>
      <c r="F167" s="38" t="s">
        <v>32</v>
      </c>
      <c r="G167" s="39">
        <v>5.0943233405659045</v>
      </c>
      <c r="H167" s="39">
        <v>4.2545730424068751</v>
      </c>
      <c r="I167" s="271"/>
      <c r="J167" s="39">
        <v>0.83975029815902946</v>
      </c>
      <c r="K167" s="226"/>
      <c r="L167" s="39"/>
      <c r="M167" s="191"/>
      <c r="N167" s="8"/>
      <c r="O167" s="38" t="s">
        <v>32</v>
      </c>
      <c r="P167" s="52">
        <v>1.8202679873389367</v>
      </c>
      <c r="Q167" s="39">
        <v>1.8202679873389367</v>
      </c>
      <c r="R167" s="226"/>
      <c r="S167" s="8"/>
      <c r="T167" s="38" t="s">
        <v>32</v>
      </c>
      <c r="U167" s="39"/>
      <c r="V167" s="191"/>
      <c r="W167" s="191"/>
      <c r="X167" s="191"/>
      <c r="Y167" s="190"/>
    </row>
    <row r="168" spans="1:26" s="200" customFormat="1" ht="37.5" customHeight="1">
      <c r="A168" s="214">
        <v>0</v>
      </c>
      <c r="B168" s="214" t="s">
        <v>341</v>
      </c>
      <c r="C168" s="215" t="s">
        <v>359</v>
      </c>
      <c r="D168" s="218" t="s">
        <v>34</v>
      </c>
      <c r="E168" s="120"/>
      <c r="F168" s="44" t="s">
        <v>25</v>
      </c>
      <c r="G168" s="56">
        <v>13.6</v>
      </c>
      <c r="H168" s="57">
        <v>5.6</v>
      </c>
      <c r="I168" s="231" t="s">
        <v>360</v>
      </c>
      <c r="J168" s="78">
        <v>8</v>
      </c>
      <c r="K168" s="230" t="s">
        <v>361</v>
      </c>
      <c r="L168" s="194"/>
      <c r="M168" s="230" t="s">
        <v>362</v>
      </c>
      <c r="N168" s="120"/>
      <c r="O168" s="44" t="s">
        <v>25</v>
      </c>
      <c r="P168" s="46">
        <v>12.475</v>
      </c>
      <c r="Q168" s="80"/>
      <c r="R168" s="194"/>
      <c r="S168" s="120"/>
      <c r="T168" s="44" t="s">
        <v>25</v>
      </c>
      <c r="U168" s="78">
        <v>6.875</v>
      </c>
      <c r="V168" s="230" t="s">
        <v>363</v>
      </c>
      <c r="W168" s="57">
        <v>5.6</v>
      </c>
      <c r="X168" s="230" t="s">
        <v>364</v>
      </c>
      <c r="Y168" s="194"/>
      <c r="Z168" s="13"/>
    </row>
    <row r="169" spans="1:26" ht="58.5" customHeight="1">
      <c r="A169" s="214"/>
      <c r="B169" s="214"/>
      <c r="C169" s="216"/>
      <c r="D169" s="219"/>
      <c r="E169" s="11"/>
      <c r="F169" s="30" t="s">
        <v>31</v>
      </c>
      <c r="G169" s="32">
        <v>0.54613592249897891</v>
      </c>
      <c r="H169" s="32">
        <v>0.22487949749957956</v>
      </c>
      <c r="I169" s="232"/>
      <c r="J169" s="32">
        <v>0.32125642499939938</v>
      </c>
      <c r="K169" s="225"/>
      <c r="L169" s="190"/>
      <c r="M169" s="225"/>
      <c r="N169" s="11"/>
      <c r="O169" s="30" t="s">
        <v>31</v>
      </c>
      <c r="P169" s="99">
        <v>0.50095923773343842</v>
      </c>
      <c r="Q169" s="51"/>
      <c r="R169" s="190"/>
      <c r="S169" s="11"/>
      <c r="T169" s="30" t="s">
        <v>31</v>
      </c>
      <c r="U169" s="32">
        <v>0.27607974023385884</v>
      </c>
      <c r="V169" s="225"/>
      <c r="W169" s="32">
        <v>0.22487949749957956</v>
      </c>
      <c r="X169" s="225"/>
      <c r="Y169" s="190"/>
    </row>
    <row r="170" spans="1:26" ht="40.5" customHeight="1">
      <c r="A170" s="214"/>
      <c r="B170" s="214"/>
      <c r="C170" s="217"/>
      <c r="D170" s="220"/>
      <c r="E170" s="8"/>
      <c r="F170" s="38" t="s">
        <v>32</v>
      </c>
      <c r="G170" s="39">
        <v>2.3052893466850186</v>
      </c>
      <c r="H170" s="39">
        <v>0.94923678981147841</v>
      </c>
      <c r="I170" s="233"/>
      <c r="J170" s="39">
        <v>1.3560525568735406</v>
      </c>
      <c r="K170" s="226"/>
      <c r="L170" s="191"/>
      <c r="M170" s="226"/>
      <c r="N170" s="8"/>
      <c r="O170" s="38" t="s">
        <v>32</v>
      </c>
      <c r="P170" s="52">
        <v>2.114594455874677</v>
      </c>
      <c r="Q170" s="41"/>
      <c r="R170" s="191"/>
      <c r="S170" s="8"/>
      <c r="T170" s="38" t="s">
        <v>32</v>
      </c>
      <c r="U170" s="39">
        <v>1.1653576660631988</v>
      </c>
      <c r="V170" s="226"/>
      <c r="W170" s="39">
        <v>0.94923678981147841</v>
      </c>
      <c r="X170" s="226"/>
      <c r="Y170" s="191"/>
      <c r="Z170" s="4"/>
    </row>
    <row r="171" spans="1:26" ht="58.5" customHeight="1">
      <c r="A171" s="214">
        <v>0</v>
      </c>
      <c r="B171" s="214" t="s">
        <v>341</v>
      </c>
      <c r="C171" s="216" t="s">
        <v>365</v>
      </c>
      <c r="D171" s="219" t="s">
        <v>34</v>
      </c>
      <c r="E171" s="11"/>
      <c r="F171" s="44" t="s">
        <v>25</v>
      </c>
      <c r="G171" s="34">
        <v>249.6</v>
      </c>
      <c r="H171" s="32">
        <v>7.6</v>
      </c>
      <c r="I171" s="230" t="s">
        <v>366</v>
      </c>
      <c r="J171" s="31">
        <v>242</v>
      </c>
      <c r="K171" s="230" t="s">
        <v>367</v>
      </c>
      <c r="L171" s="206">
        <v>33</v>
      </c>
      <c r="M171" s="230" t="s">
        <v>368</v>
      </c>
      <c r="N171" s="11"/>
      <c r="O171" s="44" t="s">
        <v>25</v>
      </c>
      <c r="P171" s="112"/>
      <c r="Q171" s="42"/>
      <c r="R171" s="190"/>
      <c r="S171" s="11"/>
      <c r="T171" s="44" t="s">
        <v>25</v>
      </c>
      <c r="U171" s="32"/>
      <c r="V171" s="190"/>
      <c r="W171" s="190"/>
      <c r="X171" s="190"/>
      <c r="Y171" s="190"/>
    </row>
    <row r="172" spans="1:26" ht="58.5" customHeight="1">
      <c r="A172" s="214"/>
      <c r="B172" s="214"/>
      <c r="C172" s="216"/>
      <c r="D172" s="219"/>
      <c r="E172" s="11"/>
      <c r="F172" s="30" t="s">
        <v>31</v>
      </c>
      <c r="G172" s="32">
        <v>2.3546621272009438</v>
      </c>
      <c r="H172" s="32">
        <v>7.1696442975669766E-2</v>
      </c>
      <c r="I172" s="225"/>
      <c r="J172" s="32">
        <v>2.2829656842252741</v>
      </c>
      <c r="K172" s="225"/>
      <c r="L172" s="32">
        <v>0.31131350239435557</v>
      </c>
      <c r="M172" s="225"/>
      <c r="N172" s="11"/>
      <c r="O172" s="30" t="s">
        <v>31</v>
      </c>
      <c r="P172" s="99"/>
      <c r="Q172" s="32"/>
      <c r="R172" s="190"/>
      <c r="S172" s="11"/>
      <c r="T172" s="30" t="s">
        <v>31</v>
      </c>
      <c r="U172" s="32"/>
      <c r="V172" s="190"/>
      <c r="W172" s="190"/>
      <c r="X172" s="190"/>
      <c r="Y172" s="190"/>
    </row>
    <row r="173" spans="1:26" ht="77.150000000000006" customHeight="1">
      <c r="A173" s="214"/>
      <c r="B173" s="214"/>
      <c r="C173" s="217"/>
      <c r="D173" s="220"/>
      <c r="E173" s="8"/>
      <c r="F173" s="38" t="s">
        <v>32</v>
      </c>
      <c r="G173" s="39">
        <v>2.3715759753939869</v>
      </c>
      <c r="H173" s="39">
        <v>7.2211447968727166E-2</v>
      </c>
      <c r="I173" s="226"/>
      <c r="J173" s="39">
        <v>2.2993645274252597</v>
      </c>
      <c r="K173" s="226"/>
      <c r="L173" s="39">
        <v>0.31354970828526268</v>
      </c>
      <c r="M173" s="226"/>
      <c r="N173" s="11"/>
      <c r="O173" s="38" t="s">
        <v>32</v>
      </c>
      <c r="P173" s="52"/>
      <c r="Q173" s="39"/>
      <c r="R173" s="191"/>
      <c r="S173" s="8"/>
      <c r="T173" s="38" t="s">
        <v>32</v>
      </c>
      <c r="U173" s="39"/>
      <c r="V173" s="191"/>
      <c r="W173" s="191"/>
      <c r="X173" s="191"/>
      <c r="Y173" s="190"/>
    </row>
    <row r="174" spans="1:26" ht="98.5" customHeight="1">
      <c r="A174" s="214">
        <v>0</v>
      </c>
      <c r="B174" s="214" t="s">
        <v>341</v>
      </c>
      <c r="C174" s="215" t="s">
        <v>369</v>
      </c>
      <c r="D174" s="218" t="s">
        <v>140</v>
      </c>
      <c r="E174" s="11"/>
      <c r="F174" s="44" t="s">
        <v>25</v>
      </c>
      <c r="G174" s="34">
        <v>1232</v>
      </c>
      <c r="H174" s="34">
        <v>268</v>
      </c>
      <c r="I174" s="270" t="s">
        <v>370</v>
      </c>
      <c r="J174" s="34">
        <v>964</v>
      </c>
      <c r="K174" s="230" t="s">
        <v>371</v>
      </c>
      <c r="L174" s="32"/>
      <c r="M174" s="190" t="s">
        <v>372</v>
      </c>
      <c r="N174" s="11"/>
      <c r="O174" s="44" t="s">
        <v>25</v>
      </c>
      <c r="P174" s="121">
        <v>1082</v>
      </c>
      <c r="Q174" s="34">
        <v>1082</v>
      </c>
      <c r="R174" s="230" t="s">
        <v>373</v>
      </c>
      <c r="S174" s="11"/>
      <c r="T174" s="44" t="s">
        <v>25</v>
      </c>
      <c r="U174" s="32"/>
      <c r="V174" s="190" t="s">
        <v>374</v>
      </c>
      <c r="W174" s="190"/>
      <c r="X174" s="190"/>
      <c r="Y174" s="190"/>
    </row>
    <row r="175" spans="1:26" ht="84.65" customHeight="1">
      <c r="A175" s="214"/>
      <c r="B175" s="214"/>
      <c r="C175" s="216"/>
      <c r="D175" s="219"/>
      <c r="E175" s="11"/>
      <c r="F175" s="30" t="s">
        <v>31</v>
      </c>
      <c r="G175" s="32">
        <v>0.86971356633154506</v>
      </c>
      <c r="H175" s="32">
        <v>0.18919093813056337</v>
      </c>
      <c r="I175" s="225"/>
      <c r="J175" s="32">
        <v>0.68052262820098164</v>
      </c>
      <c r="K175" s="225"/>
      <c r="L175" s="32"/>
      <c r="M175" s="190"/>
      <c r="N175" s="11"/>
      <c r="O175" s="30" t="s">
        <v>31</v>
      </c>
      <c r="P175" s="122">
        <v>0.76382311588533425</v>
      </c>
      <c r="Q175" s="32">
        <v>0.76382311588533425</v>
      </c>
      <c r="R175" s="225"/>
      <c r="S175" s="11"/>
      <c r="T175" s="30" t="s">
        <v>31</v>
      </c>
      <c r="U175" s="32"/>
      <c r="V175" s="190"/>
      <c r="W175" s="190"/>
      <c r="X175" s="190"/>
      <c r="Y175" s="190"/>
    </row>
    <row r="176" spans="1:26" ht="54.65" customHeight="1">
      <c r="A176" s="214"/>
      <c r="B176" s="214"/>
      <c r="C176" s="217"/>
      <c r="D176" s="220"/>
      <c r="E176" s="8"/>
      <c r="F176" s="38" t="s">
        <v>32</v>
      </c>
      <c r="G176" s="39">
        <v>1.0703188666181747</v>
      </c>
      <c r="H176" s="39">
        <v>0.23282910410200552</v>
      </c>
      <c r="I176" s="226"/>
      <c r="J176" s="39">
        <v>0.83748976251616902</v>
      </c>
      <c r="K176" s="226"/>
      <c r="L176" s="39"/>
      <c r="M176" s="191"/>
      <c r="N176" s="8"/>
      <c r="O176" s="38" t="s">
        <v>32</v>
      </c>
      <c r="P176" s="52">
        <v>0.94000406954615656</v>
      </c>
      <c r="Q176" s="39">
        <v>0.94000406954615656</v>
      </c>
      <c r="R176" s="226"/>
      <c r="S176" s="8"/>
      <c r="T176" s="38" t="s">
        <v>32</v>
      </c>
      <c r="U176" s="39"/>
      <c r="V176" s="191"/>
      <c r="W176" s="191"/>
      <c r="X176" s="191"/>
      <c r="Y176" s="190"/>
    </row>
    <row r="177" spans="1:26" ht="75.650000000000006" customHeight="1">
      <c r="A177" s="214">
        <v>0</v>
      </c>
      <c r="B177" s="214" t="s">
        <v>341</v>
      </c>
      <c r="C177" s="215" t="s">
        <v>375</v>
      </c>
      <c r="D177" s="218" t="s">
        <v>34</v>
      </c>
      <c r="E177" s="43"/>
      <c r="F177" s="44" t="s">
        <v>25</v>
      </c>
      <c r="G177" s="45">
        <v>58.49</v>
      </c>
      <c r="H177" s="45">
        <v>25.75</v>
      </c>
      <c r="I177" s="272" t="s">
        <v>376</v>
      </c>
      <c r="J177" s="45">
        <v>32.74</v>
      </c>
      <c r="K177" s="269" t="s">
        <v>377</v>
      </c>
      <c r="L177" s="48"/>
      <c r="M177" s="194"/>
      <c r="N177" s="43"/>
      <c r="O177" s="44" t="s">
        <v>25</v>
      </c>
      <c r="P177" s="123">
        <v>100</v>
      </c>
      <c r="Q177" s="45">
        <v>50</v>
      </c>
      <c r="R177" s="230" t="s">
        <v>378</v>
      </c>
      <c r="S177" s="43"/>
      <c r="T177" s="44" t="s">
        <v>25</v>
      </c>
      <c r="U177" s="45">
        <v>50</v>
      </c>
      <c r="V177" s="230" t="s">
        <v>379</v>
      </c>
      <c r="W177" s="194"/>
      <c r="X177" s="194"/>
      <c r="Y177" s="190"/>
    </row>
    <row r="178" spans="1:26" ht="91.5" customHeight="1">
      <c r="A178" s="214"/>
      <c r="B178" s="214"/>
      <c r="C178" s="216"/>
      <c r="D178" s="219"/>
      <c r="E178" s="11"/>
      <c r="F178" s="30" t="s">
        <v>31</v>
      </c>
      <c r="G178" s="32">
        <v>0.10176470509427343</v>
      </c>
      <c r="H178" s="32">
        <v>4.4801524297786645E-2</v>
      </c>
      <c r="I178" s="273"/>
      <c r="J178" s="32">
        <v>5.6963180796486788E-2</v>
      </c>
      <c r="K178" s="225"/>
      <c r="L178" s="32"/>
      <c r="M178" s="190"/>
      <c r="N178" s="11"/>
      <c r="O178" s="30" t="s">
        <v>31</v>
      </c>
      <c r="P178" s="122">
        <v>0.17398650212732678</v>
      </c>
      <c r="Q178" s="32">
        <v>8.6993251063663388E-2</v>
      </c>
      <c r="R178" s="225"/>
      <c r="S178" s="11"/>
      <c r="T178" s="30" t="s">
        <v>31</v>
      </c>
      <c r="U178" s="32">
        <v>8.6993251063663388E-2</v>
      </c>
      <c r="V178" s="225"/>
      <c r="W178" s="190"/>
      <c r="X178" s="190"/>
      <c r="Y178" s="190"/>
    </row>
    <row r="179" spans="1:26" ht="56.5" customHeight="1">
      <c r="A179" s="214"/>
      <c r="B179" s="214"/>
      <c r="C179" s="217"/>
      <c r="D179" s="220"/>
      <c r="E179" s="8"/>
      <c r="F179" s="38" t="s">
        <v>32</v>
      </c>
      <c r="G179" s="39">
        <v>0.74293024848976019</v>
      </c>
      <c r="H179" s="39">
        <v>0.32707221573963624</v>
      </c>
      <c r="I179" s="274"/>
      <c r="J179" s="39">
        <v>0.4158580327501239</v>
      </c>
      <c r="K179" s="226"/>
      <c r="L179" s="39"/>
      <c r="M179" s="191"/>
      <c r="N179" s="8"/>
      <c r="O179" s="38" t="s">
        <v>32</v>
      </c>
      <c r="P179" s="52">
        <v>1.2701833620956746</v>
      </c>
      <c r="Q179" s="39">
        <v>0.63509168104783731</v>
      </c>
      <c r="R179" s="226"/>
      <c r="S179" s="8"/>
      <c r="T179" s="38" t="s">
        <v>32</v>
      </c>
      <c r="U179" s="39">
        <v>0.63509168104783731</v>
      </c>
      <c r="V179" s="226"/>
      <c r="W179" s="191"/>
      <c r="X179" s="191"/>
      <c r="Y179" s="190"/>
    </row>
    <row r="180" spans="1:26" s="201" customFormat="1" ht="59.5" customHeight="1">
      <c r="A180" s="214">
        <v>0</v>
      </c>
      <c r="B180" s="214" t="s">
        <v>341</v>
      </c>
      <c r="C180" s="216" t="s">
        <v>380</v>
      </c>
      <c r="D180" s="218" t="s">
        <v>24</v>
      </c>
      <c r="F180" s="30" t="s">
        <v>25</v>
      </c>
      <c r="G180" s="31">
        <v>500</v>
      </c>
      <c r="H180" s="206">
        <v>100</v>
      </c>
      <c r="I180" s="225" t="s">
        <v>381</v>
      </c>
      <c r="J180" s="206">
        <v>400</v>
      </c>
      <c r="K180" s="225" t="s">
        <v>382</v>
      </c>
      <c r="L180" s="190"/>
      <c r="M180" s="190"/>
      <c r="O180" s="30" t="s">
        <v>25</v>
      </c>
      <c r="P180" s="190"/>
      <c r="Q180" s="104"/>
      <c r="R180" s="190"/>
      <c r="T180" s="30" t="s">
        <v>25</v>
      </c>
      <c r="U180" s="81"/>
      <c r="V180" s="190"/>
      <c r="W180" s="190"/>
      <c r="X180" s="190"/>
      <c r="Y180" s="194"/>
      <c r="Z180" s="200"/>
    </row>
    <row r="181" spans="1:26" s="19" customFormat="1" ht="73.5" customHeight="1">
      <c r="A181" s="214"/>
      <c r="B181" s="214"/>
      <c r="C181" s="216"/>
      <c r="D181" s="219"/>
      <c r="E181" s="201"/>
      <c r="F181" s="30" t="s">
        <v>31</v>
      </c>
      <c r="G181" s="81">
        <v>1.3919498898039684</v>
      </c>
      <c r="H181" s="32">
        <v>0.27838997796079368</v>
      </c>
      <c r="I181" s="225"/>
      <c r="J181" s="81">
        <v>1.1135599118431747</v>
      </c>
      <c r="K181" s="225"/>
      <c r="L181" s="190"/>
      <c r="M181" s="190"/>
      <c r="N181" s="201"/>
      <c r="O181" s="30" t="s">
        <v>31</v>
      </c>
      <c r="P181" s="190"/>
      <c r="Q181" s="104"/>
      <c r="R181" s="190"/>
      <c r="S181" s="201"/>
      <c r="T181" s="30" t="s">
        <v>31</v>
      </c>
      <c r="U181" s="81"/>
      <c r="V181" s="190"/>
      <c r="W181" s="190"/>
      <c r="X181" s="190"/>
      <c r="Y181" s="190"/>
      <c r="Z181" s="201"/>
    </row>
    <row r="182" spans="1:26" ht="48.65" customHeight="1">
      <c r="A182" s="214"/>
      <c r="B182" s="214"/>
      <c r="C182" s="217"/>
      <c r="D182" s="220"/>
      <c r="E182" s="8"/>
      <c r="F182" s="38" t="s">
        <v>32</v>
      </c>
      <c r="G182" s="39">
        <v>0.32414423413312488</v>
      </c>
      <c r="H182" s="39">
        <v>6.4828846826624972E-2</v>
      </c>
      <c r="I182" s="226"/>
      <c r="J182" s="39">
        <v>0.25931538730649989</v>
      </c>
      <c r="K182" s="226"/>
      <c r="L182" s="191"/>
      <c r="M182" s="191"/>
      <c r="N182" s="8"/>
      <c r="O182" s="38" t="s">
        <v>32</v>
      </c>
      <c r="P182" s="199"/>
      <c r="Q182" s="41"/>
      <c r="R182" s="199"/>
      <c r="S182" s="8"/>
      <c r="T182" s="38" t="s">
        <v>32</v>
      </c>
      <c r="U182" s="39"/>
      <c r="V182" s="191"/>
      <c r="W182" s="191"/>
      <c r="X182" s="191"/>
      <c r="Y182" s="191"/>
      <c r="Z182" s="4"/>
    </row>
    <row r="183" spans="1:26" ht="58.5" customHeight="1">
      <c r="A183" s="214">
        <v>0</v>
      </c>
      <c r="B183" s="214" t="s">
        <v>341</v>
      </c>
      <c r="C183" s="216" t="s">
        <v>383</v>
      </c>
      <c r="D183" s="219" t="s">
        <v>34</v>
      </c>
      <c r="E183" s="13"/>
      <c r="F183" s="44" t="s">
        <v>25</v>
      </c>
      <c r="G183" s="56">
        <v>442.7</v>
      </c>
      <c r="H183" s="56">
        <v>78.7</v>
      </c>
      <c r="I183" s="230" t="s">
        <v>384</v>
      </c>
      <c r="J183" s="57">
        <v>364</v>
      </c>
      <c r="K183" s="230" t="s">
        <v>385</v>
      </c>
      <c r="L183" s="57">
        <v>15</v>
      </c>
      <c r="M183" s="230" t="s">
        <v>386</v>
      </c>
      <c r="N183" s="13"/>
      <c r="O183" s="30" t="s">
        <v>25</v>
      </c>
      <c r="P183" s="56">
        <v>70</v>
      </c>
      <c r="Q183" s="93"/>
      <c r="R183" s="234"/>
      <c r="S183" s="13"/>
      <c r="T183" s="30" t="s">
        <v>25</v>
      </c>
      <c r="U183" s="56">
        <v>70</v>
      </c>
      <c r="V183" s="230" t="s">
        <v>387</v>
      </c>
      <c r="W183" s="194"/>
      <c r="X183" s="194"/>
      <c r="Y183" s="194"/>
      <c r="Z183" s="13"/>
    </row>
    <row r="184" spans="1:26" ht="58.5" customHeight="1">
      <c r="A184" s="214"/>
      <c r="B184" s="214"/>
      <c r="C184" s="216"/>
      <c r="D184" s="219"/>
      <c r="E184" s="19"/>
      <c r="F184" s="30" t="s">
        <v>31</v>
      </c>
      <c r="G184" s="32">
        <v>0.77024176757958063</v>
      </c>
      <c r="H184" s="32">
        <v>0.13692800340752881</v>
      </c>
      <c r="I184" s="225"/>
      <c r="J184" s="32">
        <v>0.63331376417205187</v>
      </c>
      <c r="K184" s="225"/>
      <c r="L184" s="32">
        <v>2.609809467741972E-2</v>
      </c>
      <c r="M184" s="225"/>
      <c r="N184" s="19"/>
      <c r="O184" s="30" t="s">
        <v>31</v>
      </c>
      <c r="P184" s="51">
        <v>0.12179110849462536</v>
      </c>
      <c r="Q184" s="51"/>
      <c r="R184" s="222"/>
      <c r="S184" s="19"/>
      <c r="T184" s="30" t="s">
        <v>31</v>
      </c>
      <c r="U184" s="32">
        <v>0.12179110849462536</v>
      </c>
      <c r="V184" s="225"/>
      <c r="W184" s="190"/>
      <c r="X184" s="190"/>
      <c r="Y184" s="190"/>
      <c r="Z184" s="19"/>
    </row>
    <row r="185" spans="1:26" ht="87.65" customHeight="1">
      <c r="A185" s="214"/>
      <c r="B185" s="214"/>
      <c r="C185" s="217"/>
      <c r="D185" s="220"/>
      <c r="E185" s="8"/>
      <c r="F185" s="38" t="s">
        <v>32</v>
      </c>
      <c r="G185" s="39">
        <v>3.1505560680365163</v>
      </c>
      <c r="H185" s="39">
        <v>0.56008304168618439</v>
      </c>
      <c r="I185" s="226"/>
      <c r="J185" s="39">
        <v>2.5904730263503319</v>
      </c>
      <c r="K185" s="226"/>
      <c r="L185" s="39">
        <v>0.10675026207487631</v>
      </c>
      <c r="M185" s="226"/>
      <c r="N185" s="8"/>
      <c r="O185" s="38" t="s">
        <v>32</v>
      </c>
      <c r="P185" s="41">
        <v>0.4981678896827561</v>
      </c>
      <c r="Q185" s="41"/>
      <c r="R185" s="223"/>
      <c r="S185" s="8"/>
      <c r="T185" s="38" t="s">
        <v>32</v>
      </c>
      <c r="U185" s="39">
        <v>0.4981678896827561</v>
      </c>
      <c r="V185" s="226"/>
      <c r="W185" s="191"/>
      <c r="X185" s="191"/>
      <c r="Y185" s="191"/>
      <c r="Z185" s="4"/>
    </row>
    <row r="186" spans="1:26" ht="133.5" customHeight="1">
      <c r="A186" s="214">
        <v>0</v>
      </c>
      <c r="B186" s="214" t="s">
        <v>341</v>
      </c>
      <c r="C186" s="215" t="s">
        <v>388</v>
      </c>
      <c r="D186" s="218" t="s">
        <v>24</v>
      </c>
      <c r="E186" s="43"/>
      <c r="F186" s="44" t="s">
        <v>25</v>
      </c>
      <c r="G186" s="88">
        <v>25700</v>
      </c>
      <c r="H186" s="88">
        <v>6800</v>
      </c>
      <c r="I186" s="230" t="s">
        <v>389</v>
      </c>
      <c r="J186" s="88">
        <v>18900</v>
      </c>
      <c r="K186" s="230" t="s">
        <v>390</v>
      </c>
      <c r="L186" s="48"/>
      <c r="M186" s="194"/>
      <c r="N186" s="43"/>
      <c r="O186" s="44" t="s">
        <v>25</v>
      </c>
      <c r="P186" s="88">
        <v>7700</v>
      </c>
      <c r="Q186" s="88">
        <v>7700</v>
      </c>
      <c r="R186" s="234" t="s">
        <v>391</v>
      </c>
      <c r="S186" s="43"/>
      <c r="T186" s="44" t="s">
        <v>25</v>
      </c>
      <c r="U186" s="48"/>
      <c r="V186" s="194"/>
      <c r="W186" s="194"/>
      <c r="X186" s="194"/>
      <c r="Y186" s="190"/>
    </row>
    <row r="187" spans="1:26" ht="117.65" customHeight="1">
      <c r="A187" s="214"/>
      <c r="B187" s="214"/>
      <c r="C187" s="216"/>
      <c r="D187" s="219"/>
      <c r="E187" s="11"/>
      <c r="F187" s="30" t="s">
        <v>31</v>
      </c>
      <c r="G187" s="32">
        <v>2.5560582614708252</v>
      </c>
      <c r="H187" s="32">
        <v>0.676311135330802</v>
      </c>
      <c r="I187" s="225"/>
      <c r="J187" s="32">
        <v>1.8797471261400234</v>
      </c>
      <c r="K187" s="225"/>
      <c r="L187" s="32"/>
      <c r="M187" s="190"/>
      <c r="N187" s="11"/>
      <c r="O187" s="30" t="s">
        <v>31</v>
      </c>
      <c r="P187" s="51">
        <v>0.76582290324223168</v>
      </c>
      <c r="Q187" s="32">
        <v>0.76582290324223168</v>
      </c>
      <c r="R187" s="222"/>
      <c r="S187" s="11"/>
      <c r="T187" s="30" t="s">
        <v>31</v>
      </c>
      <c r="U187" s="32"/>
      <c r="V187" s="190"/>
      <c r="W187" s="190"/>
      <c r="X187" s="190"/>
      <c r="Y187" s="190"/>
    </row>
    <row r="188" spans="1:26" ht="55.5" customHeight="1">
      <c r="A188" s="214"/>
      <c r="B188" s="214"/>
      <c r="C188" s="217"/>
      <c r="D188" s="220"/>
      <c r="E188" s="8"/>
      <c r="F188" s="38" t="s">
        <v>32</v>
      </c>
      <c r="G188" s="39">
        <v>4.4294827387285496</v>
      </c>
      <c r="H188" s="39">
        <v>1.1720032149165034</v>
      </c>
      <c r="I188" s="226"/>
      <c r="J188" s="39">
        <v>3.2574795238120466</v>
      </c>
      <c r="K188" s="226"/>
      <c r="L188" s="39"/>
      <c r="M188" s="191"/>
      <c r="N188" s="8"/>
      <c r="O188" s="38" t="s">
        <v>32</v>
      </c>
      <c r="P188" s="41">
        <v>1.3271212874789819</v>
      </c>
      <c r="Q188" s="39">
        <v>1.3271212874789819</v>
      </c>
      <c r="R188" s="223"/>
      <c r="S188" s="8"/>
      <c r="T188" s="38" t="s">
        <v>32</v>
      </c>
      <c r="U188" s="39"/>
      <c r="V188" s="191"/>
      <c r="W188" s="191"/>
      <c r="X188" s="191"/>
      <c r="Y188" s="190"/>
    </row>
    <row r="189" spans="1:26" ht="83.5" customHeight="1">
      <c r="A189" s="214">
        <v>0</v>
      </c>
      <c r="B189" s="214" t="s">
        <v>341</v>
      </c>
      <c r="C189" s="216" t="s">
        <v>392</v>
      </c>
      <c r="D189" s="219" t="s">
        <v>393</v>
      </c>
      <c r="E189" s="13"/>
      <c r="F189" s="44" t="s">
        <v>25</v>
      </c>
      <c r="G189" s="88">
        <v>111730</v>
      </c>
      <c r="H189" s="88">
        <v>6.7</v>
      </c>
      <c r="I189" s="231" t="s">
        <v>394</v>
      </c>
      <c r="J189" s="124">
        <v>111723.3</v>
      </c>
      <c r="K189" s="230" t="s">
        <v>395</v>
      </c>
      <c r="L189" s="88">
        <v>180000</v>
      </c>
      <c r="M189" s="221" t="s">
        <v>396</v>
      </c>
      <c r="N189" s="13"/>
      <c r="O189" s="30" t="s">
        <v>25</v>
      </c>
      <c r="P189" s="88">
        <v>38000</v>
      </c>
      <c r="Q189" s="88">
        <v>9500</v>
      </c>
      <c r="R189" s="230" t="s">
        <v>397</v>
      </c>
      <c r="S189" s="13"/>
      <c r="T189" s="30" t="s">
        <v>25</v>
      </c>
      <c r="U189" s="78"/>
      <c r="V189" s="194"/>
      <c r="W189" s="88">
        <v>28500</v>
      </c>
      <c r="X189" s="230" t="s">
        <v>398</v>
      </c>
      <c r="Y189" s="230" t="s">
        <v>399</v>
      </c>
      <c r="Z189" s="13"/>
    </row>
    <row r="190" spans="1:26" ht="80.5" customHeight="1">
      <c r="A190" s="214"/>
      <c r="B190" s="214"/>
      <c r="C190" s="216"/>
      <c r="D190" s="219"/>
      <c r="E190" s="11"/>
      <c r="F190" s="30" t="s">
        <v>31</v>
      </c>
      <c r="G190" s="32">
        <v>4.8128683017179057</v>
      </c>
      <c r="H190" s="32">
        <v>2.8860840975127516E-4</v>
      </c>
      <c r="I190" s="232"/>
      <c r="J190" s="32">
        <v>4.8125796933081553</v>
      </c>
      <c r="K190" s="225"/>
      <c r="L190" s="32">
        <v>7.7536587694372425</v>
      </c>
      <c r="M190" s="264"/>
      <c r="N190" s="11"/>
      <c r="O190" s="30" t="s">
        <v>31</v>
      </c>
      <c r="P190" s="125">
        <v>1.6368835179923067</v>
      </c>
      <c r="Q190" s="125">
        <v>0.40922087949807667</v>
      </c>
      <c r="R190" s="225"/>
      <c r="S190" s="11"/>
      <c r="T190" s="30" t="s">
        <v>31</v>
      </c>
      <c r="U190" s="32"/>
      <c r="V190" s="190"/>
      <c r="W190" s="125">
        <v>1.22766263849423</v>
      </c>
      <c r="X190" s="225"/>
      <c r="Y190" s="225"/>
    </row>
    <row r="191" spans="1:26" ht="89.5" customHeight="1">
      <c r="A191" s="214"/>
      <c r="B191" s="214"/>
      <c r="C191" s="217"/>
      <c r="D191" s="220"/>
      <c r="E191" s="8"/>
      <c r="F191" s="38" t="s">
        <v>32</v>
      </c>
      <c r="G191" s="39">
        <v>1.4121377105319763</v>
      </c>
      <c r="H191" s="39">
        <v>8.4680235035928066E-5</v>
      </c>
      <c r="I191" s="233"/>
      <c r="J191" s="39">
        <v>1.4120530302969405</v>
      </c>
      <c r="K191" s="226"/>
      <c r="L191" s="39">
        <v>2.2749913890249331</v>
      </c>
      <c r="M191" s="265"/>
      <c r="N191" s="8"/>
      <c r="O191" s="38" t="s">
        <v>32</v>
      </c>
      <c r="P191" s="126">
        <v>0.48027595990526356</v>
      </c>
      <c r="Q191" s="126">
        <v>0.12006898997631589</v>
      </c>
      <c r="R191" s="226"/>
      <c r="S191" s="8"/>
      <c r="T191" s="38" t="s">
        <v>32</v>
      </c>
      <c r="U191" s="39"/>
      <c r="V191" s="191"/>
      <c r="W191" s="126">
        <v>0.36020696992894774</v>
      </c>
      <c r="X191" s="226"/>
      <c r="Y191" s="226"/>
      <c r="Z191" s="4"/>
    </row>
    <row r="192" spans="1:26" ht="58.5" customHeight="1">
      <c r="A192" s="214">
        <v>0</v>
      </c>
      <c r="B192" s="214" t="s">
        <v>341</v>
      </c>
      <c r="C192" s="215" t="s">
        <v>400</v>
      </c>
      <c r="D192" s="218" t="s">
        <v>34</v>
      </c>
      <c r="E192" s="43"/>
      <c r="F192" s="44" t="s">
        <v>25</v>
      </c>
      <c r="G192" s="48">
        <v>7.1</v>
      </c>
      <c r="H192" s="48">
        <v>1</v>
      </c>
      <c r="I192" s="230" t="s">
        <v>401</v>
      </c>
      <c r="J192" s="48">
        <v>6.1</v>
      </c>
      <c r="K192" s="230" t="s">
        <v>402</v>
      </c>
      <c r="L192" s="48"/>
      <c r="M192" s="203"/>
      <c r="N192" s="43"/>
      <c r="O192" s="44" t="s">
        <v>25</v>
      </c>
      <c r="P192" s="127">
        <v>0.9</v>
      </c>
      <c r="Q192" s="127">
        <v>0.9</v>
      </c>
      <c r="R192" s="230" t="s">
        <v>403</v>
      </c>
      <c r="S192" s="43"/>
      <c r="T192" s="44" t="s">
        <v>25</v>
      </c>
      <c r="U192" s="48"/>
      <c r="V192" s="194"/>
      <c r="W192" s="127"/>
      <c r="X192" s="194"/>
      <c r="Y192" s="190"/>
    </row>
    <row r="193" spans="1:25" ht="58.5" customHeight="1">
      <c r="A193" s="214"/>
      <c r="B193" s="214"/>
      <c r="C193" s="216"/>
      <c r="D193" s="219"/>
      <c r="E193" s="11"/>
      <c r="F193" s="30" t="s">
        <v>31</v>
      </c>
      <c r="G193" s="32">
        <v>0.38731724524554628</v>
      </c>
      <c r="H193" s="32">
        <v>5.4551724682471305E-2</v>
      </c>
      <c r="I193" s="225"/>
      <c r="J193" s="32">
        <v>0.33276552056307496</v>
      </c>
      <c r="K193" s="225"/>
      <c r="L193" s="32"/>
      <c r="M193" s="204"/>
      <c r="N193" s="11"/>
      <c r="O193" s="30" t="s">
        <v>31</v>
      </c>
      <c r="P193" s="125">
        <v>4.9096552214224175E-2</v>
      </c>
      <c r="Q193" s="32">
        <v>4.9096552214224175E-2</v>
      </c>
      <c r="R193" s="225"/>
      <c r="S193" s="11"/>
      <c r="T193" s="30" t="s">
        <v>31</v>
      </c>
      <c r="U193" s="32"/>
      <c r="V193" s="190"/>
      <c r="W193" s="125"/>
      <c r="X193" s="190"/>
      <c r="Y193" s="190"/>
    </row>
    <row r="194" spans="1:25" ht="100.5" customHeight="1">
      <c r="A194" s="214"/>
      <c r="B194" s="214"/>
      <c r="C194" s="217"/>
      <c r="D194" s="220"/>
      <c r="E194" s="8"/>
      <c r="F194" s="38" t="s">
        <v>32</v>
      </c>
      <c r="G194" s="39">
        <v>2.0903179195391677</v>
      </c>
      <c r="H194" s="39">
        <v>0.29441097458298138</v>
      </c>
      <c r="I194" s="226"/>
      <c r="J194" s="39">
        <v>1.7959069449561862</v>
      </c>
      <c r="K194" s="226"/>
      <c r="L194" s="39"/>
      <c r="M194" s="205"/>
      <c r="N194" s="8"/>
      <c r="O194" s="38" t="s">
        <v>32</v>
      </c>
      <c r="P194" s="126">
        <v>0.26496987712468323</v>
      </c>
      <c r="Q194" s="39">
        <v>0.26496987712468323</v>
      </c>
      <c r="R194" s="226"/>
      <c r="S194" s="8"/>
      <c r="T194" s="38" t="s">
        <v>32</v>
      </c>
      <c r="U194" s="39"/>
      <c r="V194" s="191"/>
      <c r="W194" s="126"/>
      <c r="X194" s="191"/>
      <c r="Y194" s="190"/>
    </row>
    <row r="195" spans="1:25" ht="21.65" customHeight="1">
      <c r="C195" s="11" t="s">
        <v>404</v>
      </c>
    </row>
    <row r="196" spans="1:25" ht="44.5" customHeight="1">
      <c r="C196" s="250" t="s">
        <v>405</v>
      </c>
      <c r="D196" s="250"/>
      <c r="E196" s="250"/>
      <c r="F196" s="250"/>
      <c r="G196" s="250"/>
      <c r="H196" s="250"/>
      <c r="I196" s="250"/>
      <c r="J196" s="250"/>
      <c r="K196" s="250"/>
      <c r="L196" s="250"/>
      <c r="M196" s="250"/>
      <c r="N196" s="250"/>
      <c r="O196" s="250"/>
      <c r="P196" s="250"/>
      <c r="Q196" s="250"/>
      <c r="R196" s="250"/>
      <c r="S196" s="250"/>
      <c r="T196" s="250"/>
      <c r="U196" s="250"/>
      <c r="V196" s="250"/>
      <c r="W196" s="250"/>
      <c r="X196" s="250"/>
    </row>
    <row r="197" spans="1:25">
      <c r="C197" s="11" t="s">
        <v>406</v>
      </c>
    </row>
    <row r="198" spans="1:25" ht="15.65" customHeight="1">
      <c r="C198" s="11" t="s">
        <v>407</v>
      </c>
    </row>
  </sheetData>
  <mergeCells count="580">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V177:V179"/>
    <mergeCell ref="A180:A182"/>
    <mergeCell ref="B180:B182"/>
    <mergeCell ref="C180:C182"/>
    <mergeCell ref="D180:D182"/>
    <mergeCell ref="I180:I182"/>
    <mergeCell ref="K180:K182"/>
    <mergeCell ref="R174:R176"/>
    <mergeCell ref="A177:A179"/>
    <mergeCell ref="B177:B179"/>
    <mergeCell ref="C177:C179"/>
    <mergeCell ref="D177:D179"/>
    <mergeCell ref="I177:I179"/>
    <mergeCell ref="K177:K179"/>
    <mergeCell ref="R177:R179"/>
    <mergeCell ref="A174:A176"/>
    <mergeCell ref="B174:B176"/>
    <mergeCell ref="C174:C176"/>
    <mergeCell ref="D174:D176"/>
    <mergeCell ref="I174:I176"/>
    <mergeCell ref="K174:K176"/>
    <mergeCell ref="M168:M170"/>
    <mergeCell ref="V168:V170"/>
    <mergeCell ref="X168:X170"/>
    <mergeCell ref="A171:A173"/>
    <mergeCell ref="B171:B173"/>
    <mergeCell ref="C171:C173"/>
    <mergeCell ref="D171:D173"/>
    <mergeCell ref="I171:I173"/>
    <mergeCell ref="K171:K173"/>
    <mergeCell ref="M171:M173"/>
    <mergeCell ref="A168:A170"/>
    <mergeCell ref="B168:B170"/>
    <mergeCell ref="C168:C170"/>
    <mergeCell ref="D168:D170"/>
    <mergeCell ref="I168:I170"/>
    <mergeCell ref="K168:K170"/>
    <mergeCell ref="M162:M164"/>
    <mergeCell ref="R162:R164"/>
    <mergeCell ref="A165:A167"/>
    <mergeCell ref="B165:B167"/>
    <mergeCell ref="C165:C167"/>
    <mergeCell ref="D165:D167"/>
    <mergeCell ref="I165:I167"/>
    <mergeCell ref="K165:K167"/>
    <mergeCell ref="R165:R167"/>
    <mergeCell ref="A162:A164"/>
    <mergeCell ref="B162:B164"/>
    <mergeCell ref="C162:C164"/>
    <mergeCell ref="D162:D164"/>
    <mergeCell ref="I162:I164"/>
    <mergeCell ref="K162:K164"/>
    <mergeCell ref="R156:R158"/>
    <mergeCell ref="A159:A161"/>
    <mergeCell ref="B159:B161"/>
    <mergeCell ref="C159:C161"/>
    <mergeCell ref="D159:D161"/>
    <mergeCell ref="I159:I161"/>
    <mergeCell ref="K159:K161"/>
    <mergeCell ref="R159:R161"/>
    <mergeCell ref="A156:A158"/>
    <mergeCell ref="B156:B158"/>
    <mergeCell ref="C156:C158"/>
    <mergeCell ref="D156:D158"/>
    <mergeCell ref="I156:I158"/>
    <mergeCell ref="K156:K158"/>
    <mergeCell ref="Y150:Y152"/>
    <mergeCell ref="A153:A155"/>
    <mergeCell ref="B153:B155"/>
    <mergeCell ref="C153:C155"/>
    <mergeCell ref="D153:D155"/>
    <mergeCell ref="I153:I155"/>
    <mergeCell ref="K153:K155"/>
    <mergeCell ref="R153:R155"/>
    <mergeCell ref="V153:V155"/>
    <mergeCell ref="X153:X155"/>
    <mergeCell ref="A150:A152"/>
    <mergeCell ref="B150:B152"/>
    <mergeCell ref="C150:C152"/>
    <mergeCell ref="D150:D152"/>
    <mergeCell ref="I150:I152"/>
    <mergeCell ref="K150:K152"/>
    <mergeCell ref="M150:M152"/>
    <mergeCell ref="R150:R152"/>
    <mergeCell ref="V150:V152"/>
    <mergeCell ref="X144:X146"/>
    <mergeCell ref="A147:A149"/>
    <mergeCell ref="B147:B149"/>
    <mergeCell ref="C147:C149"/>
    <mergeCell ref="D147:D149"/>
    <mergeCell ref="I147:I149"/>
    <mergeCell ref="K147:K149"/>
    <mergeCell ref="M147:M149"/>
    <mergeCell ref="R147:R149"/>
    <mergeCell ref="V147:V149"/>
    <mergeCell ref="C144:C146"/>
    <mergeCell ref="D144:D146"/>
    <mergeCell ref="I144:I146"/>
    <mergeCell ref="K144:K146"/>
    <mergeCell ref="M144:M146"/>
    <mergeCell ref="V144:V146"/>
    <mergeCell ref="X147:X149"/>
    <mergeCell ref="X138:X140"/>
    <mergeCell ref="A141:A143"/>
    <mergeCell ref="B141:B143"/>
    <mergeCell ref="C141:C143"/>
    <mergeCell ref="D141:D143"/>
    <mergeCell ref="I141:I143"/>
    <mergeCell ref="K141:K143"/>
    <mergeCell ref="M141:M143"/>
    <mergeCell ref="R141:R143"/>
    <mergeCell ref="V141:V143"/>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R135:R137"/>
    <mergeCell ref="V135:V137"/>
    <mergeCell ref="X135:X137"/>
    <mergeCell ref="M129:M131"/>
    <mergeCell ref="V129:V131"/>
    <mergeCell ref="X129:X131"/>
    <mergeCell ref="A132:A134"/>
    <mergeCell ref="B132:B134"/>
    <mergeCell ref="C132:C134"/>
    <mergeCell ref="D132:D134"/>
    <mergeCell ref="I132:I134"/>
    <mergeCell ref="K132:K134"/>
    <mergeCell ref="M132:M134"/>
    <mergeCell ref="A129:A131"/>
    <mergeCell ref="B129:B131"/>
    <mergeCell ref="C129:C131"/>
    <mergeCell ref="D129:D131"/>
    <mergeCell ref="I129:I131"/>
    <mergeCell ref="K129:K131"/>
    <mergeCell ref="V132:V134"/>
    <mergeCell ref="X132:X134"/>
    <mergeCell ref="V123:V125"/>
    <mergeCell ref="X123:X125"/>
    <mergeCell ref="C126:C128"/>
    <mergeCell ref="D126:D128"/>
    <mergeCell ref="I126:I128"/>
    <mergeCell ref="K126:K128"/>
    <mergeCell ref="M126:M128"/>
    <mergeCell ref="V126:V128"/>
    <mergeCell ref="R120:R122"/>
    <mergeCell ref="V120:V122"/>
    <mergeCell ref="X120:X122"/>
    <mergeCell ref="A123:A125"/>
    <mergeCell ref="B123:B125"/>
    <mergeCell ref="C123:C125"/>
    <mergeCell ref="D123:D125"/>
    <mergeCell ref="I123:I125"/>
    <mergeCell ref="K123:K125"/>
    <mergeCell ref="R123:R125"/>
    <mergeCell ref="M117:M119"/>
    <mergeCell ref="R117:R119"/>
    <mergeCell ref="A120:A122"/>
    <mergeCell ref="B120:B122"/>
    <mergeCell ref="C120:C122"/>
    <mergeCell ref="D120:D122"/>
    <mergeCell ref="I120:I122"/>
    <mergeCell ref="K120:K122"/>
    <mergeCell ref="M120:M122"/>
    <mergeCell ref="M114:M116"/>
    <mergeCell ref="R114:R116"/>
    <mergeCell ref="X114:X116"/>
    <mergeCell ref="A117:A119"/>
    <mergeCell ref="B117:B119"/>
    <mergeCell ref="C117:C119"/>
    <mergeCell ref="D117:D119"/>
    <mergeCell ref="I117:I119"/>
    <mergeCell ref="K117:K119"/>
    <mergeCell ref="A114:A116"/>
    <mergeCell ref="B114:B116"/>
    <mergeCell ref="C114:C116"/>
    <mergeCell ref="D114:D116"/>
    <mergeCell ref="I114:I116"/>
    <mergeCell ref="K114:K116"/>
    <mergeCell ref="V117:V119"/>
    <mergeCell ref="V114:V116"/>
    <mergeCell ref="X108:X110"/>
    <mergeCell ref="Y108:Y110"/>
    <mergeCell ref="M105:M107"/>
    <mergeCell ref="R105:R107"/>
    <mergeCell ref="V105:V107"/>
    <mergeCell ref="X105:X107"/>
    <mergeCell ref="Y105:Y107"/>
    <mergeCell ref="K105:K107"/>
    <mergeCell ref="A111:A113"/>
    <mergeCell ref="B111:B113"/>
    <mergeCell ref="C111:C113"/>
    <mergeCell ref="D111:D113"/>
    <mergeCell ref="I111:I113"/>
    <mergeCell ref="K111:K113"/>
    <mergeCell ref="M111:M113"/>
    <mergeCell ref="R111:R113"/>
    <mergeCell ref="V111:V113"/>
    <mergeCell ref="A102:A104"/>
    <mergeCell ref="B102:B104"/>
    <mergeCell ref="C102:C104"/>
    <mergeCell ref="D102:D104"/>
    <mergeCell ref="I102:I104"/>
    <mergeCell ref="K102:K104"/>
    <mergeCell ref="M102:M104"/>
    <mergeCell ref="V102:V104"/>
    <mergeCell ref="A108:A110"/>
    <mergeCell ref="B108:B110"/>
    <mergeCell ref="C108:C110"/>
    <mergeCell ref="D108:D110"/>
    <mergeCell ref="I108:I110"/>
    <mergeCell ref="A105:A107"/>
    <mergeCell ref="B105:B107"/>
    <mergeCell ref="C105:C107"/>
    <mergeCell ref="D105:D107"/>
    <mergeCell ref="I105:I107"/>
    <mergeCell ref="K108:K110"/>
    <mergeCell ref="M108:M110"/>
    <mergeCell ref="R108:R110"/>
    <mergeCell ref="V108:V110"/>
    <mergeCell ref="A99:A101"/>
    <mergeCell ref="B99:B101"/>
    <mergeCell ref="C99:C101"/>
    <mergeCell ref="D99:D101"/>
    <mergeCell ref="I99:I101"/>
    <mergeCell ref="K99:K101"/>
    <mergeCell ref="M99:M101"/>
    <mergeCell ref="R99:R101"/>
    <mergeCell ref="V99:V101"/>
    <mergeCell ref="M93:M95"/>
    <mergeCell ref="R93:R95"/>
    <mergeCell ref="V93:V95"/>
    <mergeCell ref="A96:A98"/>
    <mergeCell ref="B96:B98"/>
    <mergeCell ref="C96:C98"/>
    <mergeCell ref="D96:D98"/>
    <mergeCell ref="I96:I98"/>
    <mergeCell ref="K96:K98"/>
    <mergeCell ref="M96:M98"/>
    <mergeCell ref="A93:A95"/>
    <mergeCell ref="B93:B95"/>
    <mergeCell ref="C93:C95"/>
    <mergeCell ref="D93:D95"/>
    <mergeCell ref="I93:I95"/>
    <mergeCell ref="K93:K95"/>
    <mergeCell ref="R96:R98"/>
    <mergeCell ref="V96:V98"/>
    <mergeCell ref="Y87:Y89"/>
    <mergeCell ref="C90:C92"/>
    <mergeCell ref="D90:D92"/>
    <mergeCell ref="I90:I92"/>
    <mergeCell ref="K90:K92"/>
    <mergeCell ref="V90:V92"/>
    <mergeCell ref="R84:R86"/>
    <mergeCell ref="V84:V86"/>
    <mergeCell ref="X84:X86"/>
    <mergeCell ref="A87:A89"/>
    <mergeCell ref="B87:B89"/>
    <mergeCell ref="C87:C89"/>
    <mergeCell ref="D87:D89"/>
    <mergeCell ref="I87:I89"/>
    <mergeCell ref="K87:K89"/>
    <mergeCell ref="M87:M89"/>
    <mergeCell ref="R81:R83"/>
    <mergeCell ref="V81:V83"/>
    <mergeCell ref="R87:R89"/>
    <mergeCell ref="V87:V89"/>
    <mergeCell ref="Y81:Y83"/>
    <mergeCell ref="A84:A86"/>
    <mergeCell ref="B84:B86"/>
    <mergeCell ref="C84:C86"/>
    <mergeCell ref="D84:D86"/>
    <mergeCell ref="I84:I86"/>
    <mergeCell ref="K84:K86"/>
    <mergeCell ref="V78:V80"/>
    <mergeCell ref="X78:X80"/>
    <mergeCell ref="Y78:Y79"/>
    <mergeCell ref="A81:A83"/>
    <mergeCell ref="B81:B83"/>
    <mergeCell ref="C81:C83"/>
    <mergeCell ref="D81:D83"/>
    <mergeCell ref="I81:I83"/>
    <mergeCell ref="K81:K83"/>
    <mergeCell ref="M81:M83"/>
    <mergeCell ref="Y75:Y77"/>
    <mergeCell ref="A78:A80"/>
    <mergeCell ref="B78:B80"/>
    <mergeCell ref="C78:C80"/>
    <mergeCell ref="D78:D80"/>
    <mergeCell ref="I78:I80"/>
    <mergeCell ref="K78:K80"/>
    <mergeCell ref="M78:M80"/>
    <mergeCell ref="R78:R80"/>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A69:A71"/>
    <mergeCell ref="B69:B71"/>
    <mergeCell ref="C69:C71"/>
    <mergeCell ref="D69:D71"/>
    <mergeCell ref="I69:I71"/>
    <mergeCell ref="K69:K71"/>
    <mergeCell ref="M69:M71"/>
    <mergeCell ref="R69:R71"/>
    <mergeCell ref="V69:V71"/>
    <mergeCell ref="V63:V65"/>
    <mergeCell ref="X63:X65"/>
    <mergeCell ref="A66:A68"/>
    <mergeCell ref="B66:B68"/>
    <mergeCell ref="C66:C68"/>
    <mergeCell ref="D66:D68"/>
    <mergeCell ref="I66:I68"/>
    <mergeCell ref="K66:K68"/>
    <mergeCell ref="M66:M68"/>
    <mergeCell ref="R66:R68"/>
    <mergeCell ref="V66:V68"/>
    <mergeCell ref="X66:X68"/>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K33:K35"/>
    <mergeCell ref="M33:M35"/>
    <mergeCell ref="R33:R35"/>
    <mergeCell ref="V33:V35"/>
    <mergeCell ref="X33:X35"/>
    <mergeCell ref="Y33:Y35"/>
    <mergeCell ref="M30:M32"/>
    <mergeCell ref="R30:R32"/>
    <mergeCell ref="V30:V32"/>
    <mergeCell ref="X30:X32"/>
    <mergeCell ref="K30:K32"/>
    <mergeCell ref="A33:A35"/>
    <mergeCell ref="B33:B35"/>
    <mergeCell ref="C33:C35"/>
    <mergeCell ref="D33:D35"/>
    <mergeCell ref="I33:I35"/>
    <mergeCell ref="A30:A32"/>
    <mergeCell ref="B30:B32"/>
    <mergeCell ref="C30:C32"/>
    <mergeCell ref="D30:D32"/>
    <mergeCell ref="I30:I32"/>
    <mergeCell ref="M27:M29"/>
    <mergeCell ref="R27:R29"/>
    <mergeCell ref="V27:V29"/>
    <mergeCell ref="X27:X29"/>
    <mergeCell ref="Y27:Y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12:A14"/>
    <mergeCell ref="B12:B14"/>
    <mergeCell ref="C12:C14"/>
    <mergeCell ref="D12:D14"/>
    <mergeCell ref="I12:I14"/>
    <mergeCell ref="K12:K14"/>
    <mergeCell ref="R12:R14"/>
    <mergeCell ref="V12:V14"/>
    <mergeCell ref="Y12:Y14"/>
    <mergeCell ref="Y6:Y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pageMargins left="0.7" right="0.7" top="0.75" bottom="0.75" header="0.3" footer="0.3"/>
  <pageSetup scale="36" fitToHeight="0" orientation="landscape" r:id="rId1"/>
  <rowBreaks count="17" manualBreakCount="17">
    <brk id="11" min="2" max="23" man="1"/>
    <brk id="23" min="2" max="23" man="1"/>
    <brk id="29" min="2" max="23" man="1"/>
    <brk id="35" min="2" max="23" man="1"/>
    <brk id="41" max="16383" man="1"/>
    <brk id="50" min="2" max="23" man="1"/>
    <brk id="62" max="16383" man="1"/>
    <brk id="71" max="16383" man="1"/>
    <brk id="77" min="2" max="23" man="1"/>
    <brk id="89" min="2" max="23" man="1"/>
    <brk id="101" min="2" max="23" man="1"/>
    <brk id="113" min="2" max="23" man="1"/>
    <brk id="128" min="2" max="23" man="1"/>
    <brk id="146" min="2" max="23" man="1"/>
    <brk id="155" min="2" max="23" man="1"/>
    <brk id="173" min="2" max="23" man="1"/>
    <brk id="188" min="2" max="23" man="1"/>
  </rowBreaks>
  <colBreaks count="1" manualBreakCount="1">
    <brk id="2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86CF-7D17-4D11-8C87-02561DCD3D24}">
  <sheetPr>
    <tabColor rgb="FFFF0000"/>
    <pageSetUpPr fitToPage="1"/>
  </sheetPr>
  <dimension ref="A1:W56"/>
  <sheetViews>
    <sheetView showGridLines="0" view="pageBreakPreview" zoomScaleNormal="100" zoomScaleSheetLayoutView="100" workbookViewId="0">
      <pane xSplit="2" ySplit="7" topLeftCell="C8" activePane="bottomRight" state="frozen"/>
      <selection activeCell="C196" sqref="C196:X196"/>
      <selection pane="topRight" activeCell="C196" sqref="C196:X196"/>
      <selection pane="bottomLeft" activeCell="C196" sqref="C196:X196"/>
      <selection pane="bottomRight" activeCell="I8" sqref="I8:K45"/>
    </sheetView>
  </sheetViews>
  <sheetFormatPr baseColWidth="10" defaultColWidth="9.1796875" defaultRowHeight="12.5"/>
  <cols>
    <col min="1" max="1" width="10.26953125" customWidth="1"/>
    <col min="2" max="2" width="26.54296875" style="2" customWidth="1"/>
    <col min="3" max="3" width="8" style="2" customWidth="1"/>
    <col min="4" max="4" width="6.453125" style="2" customWidth="1"/>
    <col min="5" max="5" width="8.26953125" style="2" bestFit="1" customWidth="1"/>
    <col min="6" max="6" width="9.7265625" style="2" customWidth="1"/>
    <col min="7" max="7" width="2.1796875" style="2" customWidth="1"/>
    <col min="8" max="8" width="8.26953125" style="2" customWidth="1"/>
    <col min="9" max="9" width="18.81640625" style="2" customWidth="1"/>
    <col min="10" max="10" width="9.26953125" style="2" customWidth="1"/>
    <col min="11" max="11" width="8.54296875" style="2" bestFit="1" customWidth="1"/>
    <col min="12" max="12" width="2.1796875" style="2" customWidth="1"/>
    <col min="13" max="13" width="1.26953125" style="2" customWidth="1"/>
    <col min="14" max="14" width="6.81640625" style="2" customWidth="1"/>
    <col min="15" max="15" width="5.81640625" style="2" customWidth="1"/>
    <col min="16" max="16" width="7.81640625" style="2" bestFit="1" customWidth="1"/>
    <col min="17" max="17" width="9.81640625" style="2" customWidth="1"/>
    <col min="18" max="18" width="1.81640625" style="2" customWidth="1"/>
    <col min="19" max="19" width="6.7265625" style="2" customWidth="1"/>
    <col min="20" max="20" width="18.81640625" style="2" customWidth="1"/>
    <col min="21" max="21" width="1.54296875" style="2" customWidth="1"/>
    <col min="22" max="22" width="8.81640625" style="2" customWidth="1"/>
    <col min="23" max="23" width="18.7265625" style="2" customWidth="1"/>
    <col min="24" max="24" width="1.54296875" customWidth="1"/>
  </cols>
  <sheetData>
    <row r="1" spans="1:23" ht="15.75" customHeight="1">
      <c r="B1" s="131" t="s">
        <v>408</v>
      </c>
    </row>
    <row r="2" spans="1:23" ht="15.75" customHeight="1">
      <c r="B2" s="132" t="s">
        <v>409</v>
      </c>
    </row>
    <row r="3" spans="1:23" ht="15.75" customHeight="1">
      <c r="B3" s="275" t="s">
        <v>410</v>
      </c>
      <c r="C3" s="276"/>
      <c r="D3" s="276"/>
      <c r="E3" s="276"/>
      <c r="F3" s="276"/>
      <c r="G3" s="276"/>
      <c r="H3" s="276"/>
      <c r="I3" s="276"/>
      <c r="J3" s="276"/>
      <c r="K3" s="276"/>
      <c r="L3" s="133"/>
      <c r="M3" s="275" t="s">
        <v>411</v>
      </c>
      <c r="N3" s="276"/>
      <c r="O3" s="276"/>
      <c r="P3" s="276"/>
      <c r="Q3" s="276"/>
      <c r="R3" s="276"/>
      <c r="S3" s="276"/>
      <c r="T3" s="276"/>
      <c r="U3" s="276"/>
      <c r="V3" s="276"/>
      <c r="W3" s="276"/>
    </row>
    <row r="4" spans="1:23" ht="11.15" customHeight="1">
      <c r="A4" s="134"/>
      <c r="B4" s="135"/>
      <c r="C4" s="277" t="s">
        <v>412</v>
      </c>
      <c r="D4" s="277"/>
      <c r="E4" s="277"/>
      <c r="F4" s="277"/>
      <c r="G4" s="136"/>
      <c r="H4" s="278" t="s">
        <v>413</v>
      </c>
      <c r="I4" s="278"/>
      <c r="J4" s="278"/>
      <c r="K4" s="278"/>
      <c r="L4" s="136"/>
      <c r="M4" s="137"/>
      <c r="N4" s="277" t="s">
        <v>412</v>
      </c>
      <c r="O4" s="277"/>
      <c r="P4" s="277"/>
      <c r="Q4" s="277"/>
      <c r="R4" s="136"/>
      <c r="S4" s="278" t="s">
        <v>413</v>
      </c>
      <c r="T4" s="278"/>
      <c r="U4" s="278"/>
      <c r="V4" s="278"/>
      <c r="W4" s="278"/>
    </row>
    <row r="5" spans="1:23" ht="27" customHeight="1">
      <c r="A5" s="134"/>
      <c r="B5" s="135"/>
      <c r="C5" s="278" t="s">
        <v>414</v>
      </c>
      <c r="D5" s="278"/>
      <c r="E5" s="278"/>
      <c r="F5" s="279" t="s">
        <v>415</v>
      </c>
      <c r="G5" s="136"/>
      <c r="H5" s="138"/>
      <c r="I5" s="281" t="s">
        <v>416</v>
      </c>
      <c r="J5" s="277" t="s">
        <v>417</v>
      </c>
      <c r="K5" s="277"/>
      <c r="L5" s="136"/>
      <c r="M5" s="137"/>
      <c r="N5" s="278" t="s">
        <v>414</v>
      </c>
      <c r="O5" s="278"/>
      <c r="P5" s="278"/>
      <c r="Q5" s="279" t="s">
        <v>415</v>
      </c>
      <c r="R5" s="136"/>
      <c r="S5" s="138"/>
      <c r="T5" s="281" t="s">
        <v>416</v>
      </c>
      <c r="U5" s="138"/>
      <c r="V5" s="277" t="s">
        <v>417</v>
      </c>
      <c r="W5" s="277"/>
    </row>
    <row r="6" spans="1:23" ht="29.5" customHeight="1">
      <c r="A6" s="134"/>
      <c r="B6" s="139"/>
      <c r="C6" s="140" t="s">
        <v>418</v>
      </c>
      <c r="D6" s="209" t="s">
        <v>419</v>
      </c>
      <c r="E6" s="209" t="s">
        <v>420</v>
      </c>
      <c r="F6" s="280"/>
      <c r="G6" s="141"/>
      <c r="H6" s="142" t="s">
        <v>418</v>
      </c>
      <c r="I6" s="282"/>
      <c r="J6" s="143" t="s">
        <v>421</v>
      </c>
      <c r="K6" s="143" t="s">
        <v>422</v>
      </c>
      <c r="L6" s="144"/>
      <c r="M6" s="145"/>
      <c r="N6" s="140" t="s">
        <v>418</v>
      </c>
      <c r="O6" s="209" t="s">
        <v>419</v>
      </c>
      <c r="P6" s="209" t="s">
        <v>420</v>
      </c>
      <c r="Q6" s="280"/>
      <c r="R6" s="141"/>
      <c r="S6" s="142" t="s">
        <v>418</v>
      </c>
      <c r="T6" s="282"/>
      <c r="U6" s="143"/>
      <c r="V6" s="143" t="s">
        <v>421</v>
      </c>
      <c r="W6" s="209" t="s">
        <v>422</v>
      </c>
    </row>
    <row r="7" spans="1:23">
      <c r="A7" s="146"/>
      <c r="B7" s="146" t="s">
        <v>423</v>
      </c>
      <c r="C7" s="147"/>
      <c r="D7" s="147"/>
      <c r="E7" s="147"/>
      <c r="F7" s="147"/>
      <c r="G7" s="147"/>
      <c r="H7" s="147"/>
      <c r="I7" s="147"/>
      <c r="J7" s="147"/>
      <c r="K7" s="147"/>
    </row>
    <row r="8" spans="1:23">
      <c r="A8" s="148"/>
      <c r="B8" s="148" t="s">
        <v>23</v>
      </c>
      <c r="C8" s="149">
        <v>219.27816741903561</v>
      </c>
      <c r="D8" s="150">
        <v>11.461012528828688</v>
      </c>
      <c r="E8" s="150">
        <v>207.81715489020692</v>
      </c>
      <c r="F8" s="150" t="s">
        <v>443</v>
      </c>
      <c r="G8" s="150"/>
      <c r="H8" s="151">
        <v>24.164785452349641</v>
      </c>
      <c r="I8" s="150">
        <v>10.356336622435562</v>
      </c>
      <c r="J8" s="150">
        <v>13.808448829914079</v>
      </c>
      <c r="K8" s="150" t="s">
        <v>443</v>
      </c>
      <c r="L8"/>
      <c r="M8"/>
      <c r="N8" s="152">
        <v>16.131383413423077</v>
      </c>
      <c r="O8" s="153">
        <v>0.84313905750259166</v>
      </c>
      <c r="P8" s="153">
        <v>15.288244355920485</v>
      </c>
      <c r="Q8" s="153" t="s">
        <v>443</v>
      </c>
      <c r="R8" s="154"/>
      <c r="S8" s="152">
        <v>1.7777028320837773</v>
      </c>
      <c r="T8" s="153">
        <v>0.76187264232161889</v>
      </c>
      <c r="U8" s="155"/>
      <c r="V8" s="153">
        <v>1.0158301897621587</v>
      </c>
      <c r="W8" s="153" t="s">
        <v>443</v>
      </c>
    </row>
    <row r="9" spans="1:23">
      <c r="A9" s="148"/>
      <c r="B9" s="148" t="s">
        <v>33</v>
      </c>
      <c r="C9" s="149">
        <v>240.61391867109978</v>
      </c>
      <c r="D9" s="150">
        <v>39.294556907241891</v>
      </c>
      <c r="E9" s="150">
        <v>201.3193617638579</v>
      </c>
      <c r="F9" s="150">
        <v>63.378317592325629</v>
      </c>
      <c r="G9" s="150"/>
      <c r="H9" s="151">
        <v>66.062575749177071</v>
      </c>
      <c r="I9" s="150">
        <v>3.8772617821187447</v>
      </c>
      <c r="J9" s="150">
        <v>62.185313967058327</v>
      </c>
      <c r="K9" s="150" t="s">
        <v>443</v>
      </c>
      <c r="L9"/>
      <c r="M9"/>
      <c r="N9" s="152">
        <v>14.64115557600266</v>
      </c>
      <c r="O9" s="153">
        <v>2.3910409013180667</v>
      </c>
      <c r="P9" s="153">
        <v>12.250114674684593</v>
      </c>
      <c r="Q9" s="153">
        <v>3.8565175827710756</v>
      </c>
      <c r="R9" s="154"/>
      <c r="S9" s="152">
        <v>4.0198524451002031</v>
      </c>
      <c r="T9" s="153">
        <v>0.23592813447540698</v>
      </c>
      <c r="U9" s="155"/>
      <c r="V9" s="153">
        <v>3.7839243106247964</v>
      </c>
      <c r="W9" s="153" t="s">
        <v>443</v>
      </c>
    </row>
    <row r="10" spans="1:23">
      <c r="A10" s="148"/>
      <c r="B10" s="148" t="s">
        <v>47</v>
      </c>
      <c r="C10" s="149">
        <v>198.58304352766777</v>
      </c>
      <c r="D10" s="150">
        <v>21.456098955862956</v>
      </c>
      <c r="E10" s="150">
        <v>177.12694457180481</v>
      </c>
      <c r="F10" s="150">
        <v>79.319089225131677</v>
      </c>
      <c r="G10" s="150"/>
      <c r="H10" s="151">
        <v>405.7257010004937</v>
      </c>
      <c r="I10" s="150">
        <v>23.966919046442662</v>
      </c>
      <c r="J10" s="150">
        <v>381.75878195405102</v>
      </c>
      <c r="K10" s="150" t="s">
        <v>443</v>
      </c>
      <c r="L10"/>
      <c r="M10"/>
      <c r="N10" s="152">
        <v>7.6410229836701689</v>
      </c>
      <c r="O10" s="153">
        <v>0.82558179363792628</v>
      </c>
      <c r="P10" s="153">
        <v>6.8154411900322414</v>
      </c>
      <c r="Q10" s="153">
        <v>3.0520178009487164</v>
      </c>
      <c r="R10" s="154"/>
      <c r="S10" s="152">
        <v>15.611400406291638</v>
      </c>
      <c r="T10" s="153">
        <v>0.92219242906364096</v>
      </c>
      <c r="U10" s="155"/>
      <c r="V10" s="153">
        <v>14.689207977227998</v>
      </c>
      <c r="W10" s="153" t="s">
        <v>443</v>
      </c>
    </row>
    <row r="11" spans="1:23">
      <c r="A11" s="148"/>
      <c r="B11" s="148" t="s">
        <v>54</v>
      </c>
      <c r="C11" s="149">
        <v>418.85044238306938</v>
      </c>
      <c r="D11" s="150">
        <v>45.651274374176502</v>
      </c>
      <c r="E11" s="150">
        <v>373.19916800889291</v>
      </c>
      <c r="F11" s="150" t="s">
        <v>443</v>
      </c>
      <c r="G11" s="150"/>
      <c r="H11" s="151">
        <v>1057.1693863199921</v>
      </c>
      <c r="I11" s="150">
        <v>114.12818593544125</v>
      </c>
      <c r="J11" s="150">
        <v>943.04120038455096</v>
      </c>
      <c r="K11" s="150" t="s">
        <v>443</v>
      </c>
      <c r="L11"/>
      <c r="M11"/>
      <c r="N11" s="152">
        <v>11.013645516666017</v>
      </c>
      <c r="O11" s="153">
        <v>1.200397331516732</v>
      </c>
      <c r="P11" s="153">
        <v>9.8132481851492841</v>
      </c>
      <c r="Q11" s="153" t="s">
        <v>443</v>
      </c>
      <c r="R11" s="154"/>
      <c r="S11" s="152">
        <v>27.798201204598719</v>
      </c>
      <c r="T11" s="153">
        <v>3.00099332879183</v>
      </c>
      <c r="U11" s="155"/>
      <c r="V11" s="153">
        <v>24.79720787580689</v>
      </c>
      <c r="W11" s="153" t="s">
        <v>443</v>
      </c>
    </row>
    <row r="12" spans="1:23">
      <c r="A12" s="148"/>
      <c r="B12" s="148" t="s">
        <v>61</v>
      </c>
      <c r="C12" s="149">
        <v>159.77946030961775</v>
      </c>
      <c r="D12" s="150">
        <v>11.412818593544126</v>
      </c>
      <c r="E12" s="150">
        <v>148.36664171607362</v>
      </c>
      <c r="F12" s="150">
        <v>7.9889730154808873</v>
      </c>
      <c r="G12" s="150"/>
      <c r="H12" s="151">
        <v>664.51136260910664</v>
      </c>
      <c r="I12" s="150">
        <v>3.7091660429018405</v>
      </c>
      <c r="J12" s="150">
        <v>660.80219656620488</v>
      </c>
      <c r="K12" s="150" t="s">
        <v>443</v>
      </c>
      <c r="L12"/>
      <c r="M12"/>
      <c r="N12" s="152">
        <v>8.4766543856090628</v>
      </c>
      <c r="O12" s="153">
        <v>0.60547531325779025</v>
      </c>
      <c r="P12" s="153">
        <v>7.8711790723512722</v>
      </c>
      <c r="Q12" s="153">
        <v>0.42383271928045313</v>
      </c>
      <c r="R12" s="154"/>
      <c r="S12" s="152">
        <v>35.253800114434839</v>
      </c>
      <c r="T12" s="153">
        <v>0.19677947680878183</v>
      </c>
      <c r="U12" s="155"/>
      <c r="V12" s="153">
        <v>35.057020637626053</v>
      </c>
      <c r="W12" s="153" t="s">
        <v>443</v>
      </c>
    </row>
    <row r="13" spans="1:23">
      <c r="A13" s="148"/>
      <c r="B13" s="148" t="s">
        <v>68</v>
      </c>
      <c r="C13" s="149">
        <v>800.7523718505679</v>
      </c>
      <c r="D13" s="150">
        <v>89.909038242870778</v>
      </c>
      <c r="E13" s="150">
        <v>710.8433336076971</v>
      </c>
      <c r="F13" s="150">
        <v>243.50364524110836</v>
      </c>
      <c r="G13" s="150"/>
      <c r="H13" s="151">
        <v>1429.1790870689667</v>
      </c>
      <c r="I13" s="150" t="s">
        <v>443</v>
      </c>
      <c r="J13" s="150">
        <v>147.0387396263616</v>
      </c>
      <c r="K13" s="150">
        <v>1282.1403474426052</v>
      </c>
      <c r="L13"/>
      <c r="M13"/>
      <c r="N13" s="152">
        <v>15.860601819869569</v>
      </c>
      <c r="O13" s="153">
        <v>1.7808395025818462</v>
      </c>
      <c r="P13" s="153">
        <v>14.079762317287722</v>
      </c>
      <c r="Q13" s="153">
        <v>4.8231069861591678</v>
      </c>
      <c r="R13" s="154"/>
      <c r="S13" s="152">
        <v>28.307927926457268</v>
      </c>
      <c r="T13" s="153" t="s">
        <v>443</v>
      </c>
      <c r="U13" s="155"/>
      <c r="V13" s="153">
        <v>2.9124146031807281</v>
      </c>
      <c r="W13" s="153">
        <v>25.395513323276536</v>
      </c>
    </row>
    <row r="14" spans="1:23">
      <c r="A14" s="148"/>
      <c r="B14" s="148" t="s">
        <v>75</v>
      </c>
      <c r="C14" s="149">
        <v>73.473615277217817</v>
      </c>
      <c r="D14" s="150">
        <v>8.4744654298982489</v>
      </c>
      <c r="E14" s="150">
        <v>64.999149847319558</v>
      </c>
      <c r="F14" s="150">
        <v>39.575753557624822</v>
      </c>
      <c r="G14" s="150"/>
      <c r="H14" s="151">
        <v>166.01477777170669</v>
      </c>
      <c r="I14" s="150" t="s">
        <v>443</v>
      </c>
      <c r="J14" s="150">
        <v>60.08395989797858</v>
      </c>
      <c r="K14" s="150">
        <v>105.9308178737281</v>
      </c>
      <c r="L14"/>
      <c r="M14"/>
      <c r="N14" s="152">
        <v>4.5051765101655654</v>
      </c>
      <c r="O14" s="153">
        <v>0.51962820186454028</v>
      </c>
      <c r="P14" s="153">
        <v>3.9855483083010244</v>
      </c>
      <c r="Q14" s="153">
        <v>2.4266637027074034</v>
      </c>
      <c r="R14" s="154"/>
      <c r="S14" s="152">
        <v>10.179516474526345</v>
      </c>
      <c r="T14" s="153" t="s">
        <v>443</v>
      </c>
      <c r="U14" s="155"/>
      <c r="V14" s="153">
        <v>3.6841639512195905</v>
      </c>
      <c r="W14" s="153">
        <v>6.4953525233067539</v>
      </c>
    </row>
    <row r="15" spans="1:23">
      <c r="A15" s="148"/>
      <c r="B15" s="148" t="s">
        <v>82</v>
      </c>
      <c r="C15" s="149">
        <v>97.00895804512507</v>
      </c>
      <c r="D15" s="150">
        <v>16.092074216897217</v>
      </c>
      <c r="E15" s="150">
        <v>80.916883828227853</v>
      </c>
      <c r="F15" s="150">
        <v>5.1357683670948562E-2</v>
      </c>
      <c r="G15" s="150"/>
      <c r="H15" s="151">
        <v>184.01914572044612</v>
      </c>
      <c r="I15" s="150">
        <v>0.72927910812746966</v>
      </c>
      <c r="J15" s="150">
        <v>171.87704801877453</v>
      </c>
      <c r="K15" s="150">
        <v>11.412818593544126</v>
      </c>
      <c r="L15"/>
      <c r="M15"/>
      <c r="N15" s="152">
        <v>7.589448345321685</v>
      </c>
      <c r="O15" s="153">
        <v>1.2589555490474795</v>
      </c>
      <c r="P15" s="153">
        <v>6.3304927962742061</v>
      </c>
      <c r="Q15" s="153">
        <v>4.0179432416408917E-3</v>
      </c>
      <c r="R15" s="154"/>
      <c r="S15" s="152">
        <v>14.396647785309682</v>
      </c>
      <c r="T15" s="153">
        <v>5.7054794031300662E-2</v>
      </c>
      <c r="U15" s="155"/>
      <c r="V15" s="153">
        <v>13.446716715358184</v>
      </c>
      <c r="W15" s="153">
        <v>0.89287627592019825</v>
      </c>
    </row>
    <row r="16" spans="1:23">
      <c r="A16" s="148"/>
      <c r="B16" s="148" t="s">
        <v>89</v>
      </c>
      <c r="C16" s="149">
        <v>440.0580179680901</v>
      </c>
      <c r="D16" s="150">
        <v>203.99190920386684</v>
      </c>
      <c r="E16" s="150">
        <v>236.06610876422326</v>
      </c>
      <c r="F16" s="150">
        <v>14.112647806556826</v>
      </c>
      <c r="G16" s="150"/>
      <c r="H16" s="151">
        <v>437.4920820032616</v>
      </c>
      <c r="I16" s="150">
        <v>1.2829679824142568</v>
      </c>
      <c r="J16" s="150">
        <v>436.20911402084732</v>
      </c>
      <c r="K16" s="150" t="s">
        <v>443</v>
      </c>
      <c r="L16"/>
      <c r="M16"/>
      <c r="N16" s="152">
        <v>16.232490915957346</v>
      </c>
      <c r="O16" s="153">
        <v>7.5246823779510725</v>
      </c>
      <c r="P16" s="153">
        <v>8.7078085380062724</v>
      </c>
      <c r="Q16" s="153">
        <v>0.52057551042428807</v>
      </c>
      <c r="R16" s="154"/>
      <c r="S16" s="152">
        <v>16.137840823152931</v>
      </c>
      <c r="T16" s="153">
        <v>4.7325046402207999E-2</v>
      </c>
      <c r="U16" s="155"/>
      <c r="V16" s="153">
        <v>16.090515776750721</v>
      </c>
      <c r="W16" s="153" t="s">
        <v>443</v>
      </c>
    </row>
    <row r="17" spans="1:23">
      <c r="A17" s="148"/>
      <c r="B17" s="148" t="s">
        <v>96</v>
      </c>
      <c r="C17" s="149">
        <v>5328.0279999999993</v>
      </c>
      <c r="D17" s="150">
        <v>690.4</v>
      </c>
      <c r="E17" s="150">
        <v>4637.6279999999997</v>
      </c>
      <c r="F17" s="150">
        <v>17.98</v>
      </c>
      <c r="G17" s="150"/>
      <c r="H17" s="151">
        <v>510</v>
      </c>
      <c r="I17" s="150">
        <v>56</v>
      </c>
      <c r="J17" s="150">
        <v>454</v>
      </c>
      <c r="K17" s="150" t="s">
        <v>443</v>
      </c>
      <c r="L17"/>
      <c r="M17"/>
      <c r="N17" s="152">
        <v>25.453072338799249</v>
      </c>
      <c r="O17" s="153">
        <v>3.2981810798867799</v>
      </c>
      <c r="P17" s="153">
        <v>22.154891258912468</v>
      </c>
      <c r="Q17" s="153">
        <v>8.5894113291373572E-2</v>
      </c>
      <c r="R17" s="154"/>
      <c r="S17" s="152">
        <v>2.4363736250612082</v>
      </c>
      <c r="T17" s="153">
        <v>0.26752337843809343</v>
      </c>
      <c r="U17" s="155"/>
      <c r="V17" s="153">
        <v>2.1688502466231148</v>
      </c>
      <c r="W17" s="153" t="s">
        <v>443</v>
      </c>
    </row>
    <row r="18" spans="1:23">
      <c r="A18" s="148"/>
      <c r="B18" s="148" t="s">
        <v>139</v>
      </c>
      <c r="C18" s="149">
        <v>7.0279601888551086</v>
      </c>
      <c r="D18" s="150">
        <v>4.8032151754294521</v>
      </c>
      <c r="E18" s="150">
        <v>2.224745013425657</v>
      </c>
      <c r="F18" s="150">
        <v>4.2819360091037746</v>
      </c>
      <c r="G18" s="150"/>
      <c r="H18" s="151">
        <v>12.85977086212362</v>
      </c>
      <c r="I18" s="150">
        <v>0.89362142798687472</v>
      </c>
      <c r="J18" s="150">
        <v>0.17686257428906896</v>
      </c>
      <c r="K18" s="150">
        <v>11.789286859847676</v>
      </c>
      <c r="L18"/>
      <c r="M18"/>
      <c r="N18" s="152">
        <v>0.65305702953176115</v>
      </c>
      <c r="O18" s="153">
        <v>0.44632771819654138</v>
      </c>
      <c r="P18" s="153">
        <v>0.20672931133521974</v>
      </c>
      <c r="Q18" s="153">
        <v>0.39788905110544381</v>
      </c>
      <c r="R18" s="154"/>
      <c r="S18" s="152">
        <v>1.1949646176134145</v>
      </c>
      <c r="T18" s="153">
        <v>8.3037715013310018E-2</v>
      </c>
      <c r="U18" s="155"/>
      <c r="V18" s="153">
        <v>1.6434547763050939E-2</v>
      </c>
      <c r="W18" s="153">
        <v>1.0954923548370537</v>
      </c>
    </row>
    <row r="19" spans="1:23">
      <c r="A19" s="148"/>
      <c r="B19" s="148" t="s">
        <v>165</v>
      </c>
      <c r="C19" s="149">
        <v>13.522864278129838</v>
      </c>
      <c r="D19" s="150">
        <v>2.3964569606812369</v>
      </c>
      <c r="E19" s="150">
        <v>11.126407317448601</v>
      </c>
      <c r="F19" s="150">
        <v>10.042295835235661</v>
      </c>
      <c r="G19" s="150"/>
      <c r="H19" s="151">
        <v>67.400352019159797</v>
      </c>
      <c r="I19" s="150">
        <v>2.995571200851546</v>
      </c>
      <c r="J19" s="150">
        <v>45.932091746390377</v>
      </c>
      <c r="K19" s="150">
        <v>18.47268907191787</v>
      </c>
      <c r="L19"/>
      <c r="M19"/>
      <c r="N19" s="152">
        <v>1.8793831456217234</v>
      </c>
      <c r="O19" s="153">
        <v>0.33305524099625478</v>
      </c>
      <c r="P19" s="153">
        <v>1.5463279046254685</v>
      </c>
      <c r="Q19" s="153">
        <v>1.3956600575081155</v>
      </c>
      <c r="R19" s="154"/>
      <c r="S19" s="152">
        <v>9.3671786530196659</v>
      </c>
      <c r="T19" s="153">
        <v>0.41631905124531848</v>
      </c>
      <c r="U19" s="155"/>
      <c r="V19" s="153">
        <v>6.3835587857615508</v>
      </c>
      <c r="W19" s="153">
        <v>2.5673008160127972</v>
      </c>
    </row>
    <row r="20" spans="1:23">
      <c r="A20" s="156"/>
      <c r="B20" s="156" t="s">
        <v>424</v>
      </c>
      <c r="C20" s="157">
        <v>50.216401811594153</v>
      </c>
      <c r="D20" s="153">
        <v>2.8532046483860314</v>
      </c>
      <c r="E20" s="153">
        <v>47.36319716320812</v>
      </c>
      <c r="F20" s="153" t="s">
        <v>443</v>
      </c>
      <c r="G20" s="154"/>
      <c r="H20" s="152">
        <v>10.271536734189713</v>
      </c>
      <c r="I20" s="153" t="s">
        <v>443</v>
      </c>
      <c r="J20" s="153">
        <v>10.271536734189713</v>
      </c>
      <c r="K20" s="153" t="s">
        <v>443</v>
      </c>
      <c r="L20"/>
      <c r="M20"/>
      <c r="N20" s="152">
        <v>11.71577529142991</v>
      </c>
      <c r="O20" s="153">
        <v>0.66566905064942672</v>
      </c>
      <c r="P20" s="153">
        <v>11.050106240780483</v>
      </c>
      <c r="Q20" s="153" t="s">
        <v>443</v>
      </c>
      <c r="R20" s="154"/>
      <c r="S20" s="152">
        <v>2.3964085823379362</v>
      </c>
      <c r="T20" s="153" t="s">
        <v>443</v>
      </c>
      <c r="U20" s="155"/>
      <c r="V20" s="153">
        <v>2.3964085823379362</v>
      </c>
      <c r="W20" s="153" t="s">
        <v>443</v>
      </c>
    </row>
    <row r="21" spans="1:23">
      <c r="A21" s="148"/>
      <c r="B21" s="148" t="s">
        <v>172</v>
      </c>
      <c r="C21" s="157">
        <v>41.200275122694293</v>
      </c>
      <c r="D21" s="153">
        <v>9.5867676185770652</v>
      </c>
      <c r="E21" s="153">
        <v>31.613507504117226</v>
      </c>
      <c r="F21" s="153">
        <v>15.52143328722001</v>
      </c>
      <c r="G21" s="154"/>
      <c r="H21" s="152">
        <v>60.602066731719304</v>
      </c>
      <c r="I21" s="153">
        <v>1.2554100452898538</v>
      </c>
      <c r="J21" s="153">
        <v>59.346656686429448</v>
      </c>
      <c r="K21" s="153" t="s">
        <v>443</v>
      </c>
      <c r="L21"/>
      <c r="M21"/>
      <c r="N21" s="152">
        <v>8.0298773719835133</v>
      </c>
      <c r="O21" s="153">
        <v>1.8684479203507343</v>
      </c>
      <c r="P21" s="153">
        <v>6.1614294516327783</v>
      </c>
      <c r="Q21" s="153">
        <v>3.0251061567583317</v>
      </c>
      <c r="R21" s="154"/>
      <c r="S21" s="152">
        <v>11.811260067931427</v>
      </c>
      <c r="T21" s="153">
        <v>0.24467770385545332</v>
      </c>
      <c r="U21" s="155"/>
      <c r="V21" s="153">
        <v>11.566582364075973</v>
      </c>
      <c r="W21" s="153" t="s">
        <v>443</v>
      </c>
    </row>
    <row r="22" spans="1:23">
      <c r="A22" s="156"/>
      <c r="B22" s="156" t="s">
        <v>425</v>
      </c>
      <c r="C22" s="157">
        <v>13.114895358731594</v>
      </c>
      <c r="D22" s="153">
        <v>2.8694219148867419</v>
      </c>
      <c r="E22" s="153">
        <v>10.245473443844855</v>
      </c>
      <c r="F22" s="153">
        <v>1.5639641968526836</v>
      </c>
      <c r="G22" s="154"/>
      <c r="H22" s="152">
        <v>37.268017363018501</v>
      </c>
      <c r="I22" s="153">
        <v>4.3084413136437572E-2</v>
      </c>
      <c r="J22" s="153">
        <v>37.22493294988206</v>
      </c>
      <c r="K22" s="153" t="s">
        <v>443</v>
      </c>
      <c r="L22"/>
      <c r="M22"/>
      <c r="N22" s="152">
        <v>5.4316135144669095</v>
      </c>
      <c r="O22" s="153">
        <v>1.1883885021796852</v>
      </c>
      <c r="P22" s="153">
        <v>4.2432250122872244</v>
      </c>
      <c r="Q22" s="153">
        <v>0.64772526470154013</v>
      </c>
      <c r="R22" s="154"/>
      <c r="S22" s="152">
        <v>15.434775591372787</v>
      </c>
      <c r="T22" s="153">
        <v>1.7843671203899177E-2</v>
      </c>
      <c r="U22" s="155"/>
      <c r="V22" s="153">
        <v>15.416931920168889</v>
      </c>
      <c r="W22" s="153" t="s">
        <v>443</v>
      </c>
    </row>
    <row r="23" spans="1:23">
      <c r="A23" s="156"/>
      <c r="B23" s="156" t="s">
        <v>184</v>
      </c>
      <c r="C23" s="157">
        <v>17.975735863360232</v>
      </c>
      <c r="D23" s="153">
        <v>0.12228391743782471</v>
      </c>
      <c r="E23" s="153">
        <v>17.853451945922409</v>
      </c>
      <c r="F23" s="153">
        <v>48.730141098973149</v>
      </c>
      <c r="G23" s="154"/>
      <c r="H23" s="152">
        <v>47.847404069968846</v>
      </c>
      <c r="I23" s="153">
        <v>33.826788661238261</v>
      </c>
      <c r="J23" s="153">
        <v>14.020615408730588</v>
      </c>
      <c r="K23" s="153" t="s">
        <v>443</v>
      </c>
      <c r="L23"/>
      <c r="M23"/>
      <c r="N23" s="152">
        <v>5.1032142438694166</v>
      </c>
      <c r="O23" s="153">
        <v>3.4715743155574269E-2</v>
      </c>
      <c r="P23" s="153">
        <v>5.0684985007138428</v>
      </c>
      <c r="Q23" s="153">
        <v>13.834223647496346</v>
      </c>
      <c r="R23" s="154"/>
      <c r="S23" s="152">
        <v>13.583619376592043</v>
      </c>
      <c r="T23" s="153">
        <v>9.6032424504107325</v>
      </c>
      <c r="U23" s="155"/>
      <c r="V23" s="153">
        <v>3.9803769261813118</v>
      </c>
      <c r="W23" s="153" t="s">
        <v>443</v>
      </c>
    </row>
    <row r="24" spans="1:23">
      <c r="A24" s="156"/>
      <c r="B24" s="159" t="s">
        <v>426</v>
      </c>
      <c r="C24" s="157">
        <v>0.97330000000000005</v>
      </c>
      <c r="D24" s="153">
        <v>0.22389999999999999</v>
      </c>
      <c r="E24" s="153">
        <v>0.74940000000000007</v>
      </c>
      <c r="F24" s="153" t="s">
        <v>443</v>
      </c>
      <c r="G24" s="154"/>
      <c r="H24" s="152">
        <v>1.5502562191675586</v>
      </c>
      <c r="I24" s="153">
        <v>1.1471896021839934</v>
      </c>
      <c r="J24" s="153">
        <v>0.40306661698356522</v>
      </c>
      <c r="K24" s="153" t="s">
        <v>443</v>
      </c>
      <c r="L24"/>
      <c r="M24"/>
      <c r="N24" s="152">
        <v>3.6</v>
      </c>
      <c r="O24" s="153">
        <v>0.8</v>
      </c>
      <c r="P24" s="153">
        <v>2.8</v>
      </c>
      <c r="Q24" s="153" t="s">
        <v>443</v>
      </c>
      <c r="R24" s="154"/>
      <c r="S24" s="152">
        <v>5</v>
      </c>
      <c r="T24" s="153">
        <v>3.7</v>
      </c>
      <c r="U24" s="155"/>
      <c r="V24" s="153">
        <v>1.3</v>
      </c>
      <c r="W24" s="153" t="s">
        <v>443</v>
      </c>
    </row>
    <row r="25" spans="1:23">
      <c r="A25" s="156"/>
      <c r="B25" s="159" t="s">
        <v>191</v>
      </c>
      <c r="C25" s="157">
        <v>6.8362783375329315</v>
      </c>
      <c r="D25" s="153">
        <v>2.1113714398056631</v>
      </c>
      <c r="E25" s="153">
        <v>4.7249068977272684</v>
      </c>
      <c r="F25" s="153">
        <v>2.3966919046442663</v>
      </c>
      <c r="G25" s="154"/>
      <c r="H25" s="152">
        <v>20.314817096508541</v>
      </c>
      <c r="I25" s="153">
        <v>1.8260509749670601</v>
      </c>
      <c r="J25" s="153">
        <v>13.923638684123832</v>
      </c>
      <c r="K25" s="153">
        <v>4.56512743741765</v>
      </c>
      <c r="L25"/>
      <c r="M25"/>
      <c r="N25" s="152">
        <v>2.5259979589599131</v>
      </c>
      <c r="O25" s="153">
        <v>0.78014962004604993</v>
      </c>
      <c r="P25" s="153">
        <v>1.7458483389138635</v>
      </c>
      <c r="Q25" s="153">
        <v>0.88557524437659729</v>
      </c>
      <c r="R25" s="154"/>
      <c r="S25" s="152">
        <v>7.5063044523349678</v>
      </c>
      <c r="T25" s="153">
        <v>0.67472399571550279</v>
      </c>
      <c r="U25" s="155"/>
      <c r="V25" s="153">
        <v>5.1447704673307078</v>
      </c>
      <c r="W25" s="153">
        <v>1.6868099892887567</v>
      </c>
    </row>
    <row r="26" spans="1:23">
      <c r="A26" s="156"/>
      <c r="B26" s="159" t="s">
        <v>427</v>
      </c>
      <c r="C26" s="157">
        <v>25.336457277667957</v>
      </c>
      <c r="D26" s="153">
        <v>1.0613921291996038</v>
      </c>
      <c r="E26" s="153">
        <v>24.275065148468354</v>
      </c>
      <c r="F26" s="153">
        <v>0.84454857592226529</v>
      </c>
      <c r="G26" s="154"/>
      <c r="H26" s="152">
        <v>7.2471398069005195</v>
      </c>
      <c r="I26" s="153">
        <v>3.8803583218050024</v>
      </c>
      <c r="J26" s="153">
        <v>3.3667814850955171</v>
      </c>
      <c r="K26" s="153" t="s">
        <v>443</v>
      </c>
      <c r="L26"/>
      <c r="M26"/>
      <c r="N26" s="152">
        <v>13.726545494773909</v>
      </c>
      <c r="O26" s="153">
        <v>0.57503095991620445</v>
      </c>
      <c r="P26" s="153">
        <v>13.151514534857705</v>
      </c>
      <c r="Q26" s="153">
        <v>0.45755151649246367</v>
      </c>
      <c r="R26" s="154"/>
      <c r="S26" s="152">
        <v>3.9262866617934389</v>
      </c>
      <c r="T26" s="153">
        <v>2.1022637244248332</v>
      </c>
      <c r="U26" s="155"/>
      <c r="V26" s="153">
        <v>1.8240229373686054</v>
      </c>
      <c r="W26" s="153" t="s">
        <v>443</v>
      </c>
    </row>
    <row r="27" spans="1:23" s="160" customFormat="1">
      <c r="A27" s="158"/>
      <c r="B27" s="159" t="s">
        <v>428</v>
      </c>
      <c r="C27" s="157">
        <v>2.0091211225997041</v>
      </c>
      <c r="D27" s="153">
        <v>0.10494830132939439</v>
      </c>
      <c r="E27" s="153">
        <v>1.90417282127031</v>
      </c>
      <c r="F27" s="153">
        <v>0</v>
      </c>
      <c r="G27" s="154"/>
      <c r="H27" s="152">
        <v>0.32127031019202362</v>
      </c>
      <c r="I27" s="153">
        <v>0.1</v>
      </c>
      <c r="J27" s="153">
        <v>0.23264401772525847</v>
      </c>
      <c r="K27" s="153">
        <v>0</v>
      </c>
      <c r="L27"/>
      <c r="M27"/>
      <c r="N27" s="152">
        <v>9.2497449846990811</v>
      </c>
      <c r="O27" s="153">
        <v>0.48316899013940834</v>
      </c>
      <c r="P27" s="153">
        <v>8.7665759945596733</v>
      </c>
      <c r="Q27" s="153">
        <v>0</v>
      </c>
      <c r="R27" s="154"/>
      <c r="S27" s="152">
        <v>1.4790887453247195</v>
      </c>
      <c r="T27" s="153">
        <v>0.4</v>
      </c>
      <c r="U27" s="155"/>
      <c r="V27" s="153">
        <v>1.0710642638558314</v>
      </c>
      <c r="W27" s="153">
        <v>0</v>
      </c>
    </row>
    <row r="28" spans="1:23">
      <c r="A28" s="156"/>
      <c r="B28" s="159" t="s">
        <v>429</v>
      </c>
      <c r="C28" s="157">
        <v>36.545111825001776</v>
      </c>
      <c r="D28" s="153">
        <v>5.9326480235392491</v>
      </c>
      <c r="E28" s="153">
        <v>30.612463801462525</v>
      </c>
      <c r="F28" s="153">
        <v>2.3730592094156995</v>
      </c>
      <c r="G28" s="154"/>
      <c r="H28" s="152">
        <v>7.8310953910718082</v>
      </c>
      <c r="I28" s="153">
        <v>5.4580361816561087</v>
      </c>
      <c r="J28" s="153">
        <v>2.3730592094156995</v>
      </c>
      <c r="K28" s="153" t="s">
        <v>443</v>
      </c>
      <c r="L28"/>
      <c r="M28"/>
      <c r="N28" s="152">
        <v>8.9549395088971355</v>
      </c>
      <c r="O28" s="153">
        <v>1.2012723731447379</v>
      </c>
      <c r="P28" s="153">
        <v>7.7536671357523979</v>
      </c>
      <c r="Q28" s="153">
        <v>0.68254112110496468</v>
      </c>
      <c r="R28" s="154"/>
      <c r="S28" s="152">
        <v>1.911115139093901</v>
      </c>
      <c r="T28" s="153">
        <v>0.81904934532595752</v>
      </c>
      <c r="U28" s="155"/>
      <c r="V28" s="153">
        <v>1.0920657937679434</v>
      </c>
      <c r="W28" s="153" t="s">
        <v>443</v>
      </c>
    </row>
    <row r="29" spans="1:23">
      <c r="A29" s="156"/>
      <c r="B29" s="156" t="s">
        <v>430</v>
      </c>
      <c r="C29" s="157">
        <v>40.23348958694659</v>
      </c>
      <c r="D29" s="153">
        <v>5.0110302915150085</v>
      </c>
      <c r="E29" s="153">
        <v>35.222459295431584</v>
      </c>
      <c r="F29" s="153">
        <v>2.1002753047915084</v>
      </c>
      <c r="G29" s="154"/>
      <c r="H29" s="152">
        <v>18.184956304280554</v>
      </c>
      <c r="I29" s="153">
        <v>3.5440330177671364</v>
      </c>
      <c r="J29" s="153">
        <v>14.640923286513416</v>
      </c>
      <c r="K29" s="153" t="s">
        <v>443</v>
      </c>
      <c r="L29"/>
      <c r="M29"/>
      <c r="N29" s="152">
        <v>9.9924461436011907</v>
      </c>
      <c r="O29" s="153">
        <v>1.2445465413510508</v>
      </c>
      <c r="P29" s="153">
        <v>8.7478996022501398</v>
      </c>
      <c r="Q29" s="153">
        <v>0.52162733298365782</v>
      </c>
      <c r="R29" s="154"/>
      <c r="S29" s="152">
        <v>4.5164413616565673</v>
      </c>
      <c r="T29" s="153">
        <v>0.88020103214393153</v>
      </c>
      <c r="U29" s="155"/>
      <c r="V29" s="153">
        <v>3.6362403295126358</v>
      </c>
      <c r="W29" s="153" t="s">
        <v>443</v>
      </c>
    </row>
    <row r="30" spans="1:23">
      <c r="A30" s="159"/>
      <c r="B30" s="159" t="s">
        <v>431</v>
      </c>
      <c r="C30" s="157">
        <v>2.9126178965863905</v>
      </c>
      <c r="D30" s="153">
        <v>0.67911263411214207</v>
      </c>
      <c r="E30" s="153">
        <v>2.2335052624742486</v>
      </c>
      <c r="F30" s="153" t="s">
        <v>443</v>
      </c>
      <c r="G30" s="154"/>
      <c r="H30" s="152">
        <v>1.0455461485605735</v>
      </c>
      <c r="I30" s="153">
        <v>0.2896249719004359</v>
      </c>
      <c r="J30" s="153">
        <v>0.75592117666013769</v>
      </c>
      <c r="K30" s="153">
        <v>0</v>
      </c>
      <c r="L30"/>
      <c r="M30"/>
      <c r="N30" s="152">
        <v>8.6999999999999993</v>
      </c>
      <c r="O30" s="153">
        <v>2.028511849666303</v>
      </c>
      <c r="P30" s="153">
        <v>6.6714881503336958</v>
      </c>
      <c r="Q30" s="153">
        <v>0</v>
      </c>
      <c r="R30" s="154"/>
      <c r="S30" s="152">
        <v>2.9579392390093187</v>
      </c>
      <c r="T30" s="153">
        <v>0.7</v>
      </c>
      <c r="U30" s="155"/>
      <c r="V30" s="153">
        <v>2.2579392390093189</v>
      </c>
      <c r="W30" s="153">
        <v>0</v>
      </c>
    </row>
    <row r="31" spans="1:23">
      <c r="A31" s="156"/>
      <c r="B31" s="156" t="s">
        <v>432</v>
      </c>
      <c r="C31" s="157">
        <v>3.6064506755599437</v>
      </c>
      <c r="D31" s="153">
        <v>0.73042038998682401</v>
      </c>
      <c r="E31" s="153">
        <v>2.8760302855731195</v>
      </c>
      <c r="F31" s="153">
        <v>1.4950792357542804</v>
      </c>
      <c r="G31" s="154"/>
      <c r="H31" s="152">
        <v>1.5635561473155453</v>
      </c>
      <c r="I31" s="153">
        <v>0.42227428796113264</v>
      </c>
      <c r="J31" s="153">
        <v>1.1412818593544125</v>
      </c>
      <c r="K31" s="153" t="s">
        <v>443</v>
      </c>
      <c r="L31"/>
      <c r="M31"/>
      <c r="N31" s="152">
        <v>6.4761928183940274</v>
      </c>
      <c r="O31" s="153">
        <v>1.3116339885354993</v>
      </c>
      <c r="P31" s="153">
        <v>5.1645588298585281</v>
      </c>
      <c r="Q31" s="153">
        <v>2.6847508202835999</v>
      </c>
      <c r="R31" s="154"/>
      <c r="S31" s="152">
        <v>2.8077165067088026</v>
      </c>
      <c r="T31" s="153">
        <v>0.7582883996220855</v>
      </c>
      <c r="U31" s="155"/>
      <c r="V31" s="153">
        <v>2.0494281070867171</v>
      </c>
      <c r="W31" s="153" t="s">
        <v>443</v>
      </c>
    </row>
    <row r="32" spans="1:23">
      <c r="A32" s="156"/>
      <c r="B32" s="159" t="s">
        <v>433</v>
      </c>
      <c r="C32" s="157">
        <v>3.0814610202569139</v>
      </c>
      <c r="D32" s="153">
        <v>0.34238455780632376</v>
      </c>
      <c r="E32" s="153">
        <v>2.7390764624505901</v>
      </c>
      <c r="F32" s="153">
        <v>5.2384837344367536</v>
      </c>
      <c r="G32" s="154"/>
      <c r="H32" s="152">
        <v>4.3254582469532235</v>
      </c>
      <c r="I32" s="153">
        <v>0.45651274374176504</v>
      </c>
      <c r="J32" s="153">
        <v>2.8532046483860314</v>
      </c>
      <c r="K32" s="153">
        <v>1.0157408548254272</v>
      </c>
      <c r="L32"/>
      <c r="M32"/>
      <c r="N32" s="152">
        <v>4.2093447453346426</v>
      </c>
      <c r="O32" s="153">
        <v>0.46770497170384917</v>
      </c>
      <c r="P32" s="153">
        <v>3.7416397736307934</v>
      </c>
      <c r="Q32" s="153">
        <v>7.1558860670688924</v>
      </c>
      <c r="R32" s="154"/>
      <c r="S32" s="152">
        <v>5.9086728091919616</v>
      </c>
      <c r="T32" s="153">
        <v>0.62360662893846563</v>
      </c>
      <c r="U32" s="155"/>
      <c r="V32" s="153">
        <v>3.8975414308654104</v>
      </c>
      <c r="W32" s="153">
        <v>1.387524749388086</v>
      </c>
    </row>
    <row r="33" spans="1:23">
      <c r="A33" s="156"/>
      <c r="B33" s="159" t="s">
        <v>195</v>
      </c>
      <c r="C33" s="157">
        <v>41.200275122694293</v>
      </c>
      <c r="D33" s="153">
        <v>6.8020398817522985</v>
      </c>
      <c r="E33" s="153">
        <v>34.398235240941993</v>
      </c>
      <c r="F33" s="153">
        <v>14.380151427865597</v>
      </c>
      <c r="G33" s="154"/>
      <c r="H33" s="152">
        <v>74.183320858036808</v>
      </c>
      <c r="I33" s="153" t="s">
        <v>443</v>
      </c>
      <c r="J33" s="153">
        <v>74.183320858036808</v>
      </c>
      <c r="K33" s="153" t="s">
        <v>443</v>
      </c>
      <c r="L33"/>
      <c r="M33"/>
      <c r="N33" s="152">
        <v>4.5299743761560221</v>
      </c>
      <c r="O33" s="153">
        <v>0.74788496625733769</v>
      </c>
      <c r="P33" s="153">
        <v>3.7820894098986839</v>
      </c>
      <c r="Q33" s="153">
        <v>1.581099089738667</v>
      </c>
      <c r="R33" s="154"/>
      <c r="S33" s="152">
        <v>8.1564635581756626</v>
      </c>
      <c r="T33" s="153" t="s">
        <v>443</v>
      </c>
      <c r="U33" s="155"/>
      <c r="V33" s="153">
        <v>8.1564635581756626</v>
      </c>
      <c r="W33" s="153" t="s">
        <v>443</v>
      </c>
    </row>
    <row r="34" spans="1:23">
      <c r="A34" s="156"/>
      <c r="B34" s="159" t="s">
        <v>201</v>
      </c>
      <c r="C34" s="157">
        <v>40.366333649903922</v>
      </c>
      <c r="D34" s="153">
        <v>2.5350837557910677</v>
      </c>
      <c r="E34" s="153">
        <v>37.831249894112858</v>
      </c>
      <c r="F34" s="153" t="s">
        <v>443</v>
      </c>
      <c r="G34" s="154"/>
      <c r="H34" s="152">
        <v>5.8176922088025798</v>
      </c>
      <c r="I34" s="153">
        <v>1.7550579847784318</v>
      </c>
      <c r="J34" s="153">
        <v>4.0626342240241478</v>
      </c>
      <c r="K34" s="153" t="s">
        <v>443</v>
      </c>
      <c r="L34"/>
      <c r="M34"/>
      <c r="N34" s="152">
        <v>19.283678120943751</v>
      </c>
      <c r="O34" s="153">
        <v>1.2110522491413951</v>
      </c>
      <c r="P34" s="153">
        <v>18.072625871802355</v>
      </c>
      <c r="Q34" s="153" t="s">
        <v>443</v>
      </c>
      <c r="R34" s="154"/>
      <c r="S34" s="152">
        <v>2.7792096486706375</v>
      </c>
      <c r="T34" s="153">
        <v>0.83842078786711982</v>
      </c>
      <c r="U34" s="155"/>
      <c r="V34" s="153">
        <v>1.9407888608035175</v>
      </c>
      <c r="W34" s="153" t="s">
        <v>443</v>
      </c>
    </row>
    <row r="35" spans="1:23">
      <c r="A35" s="156"/>
      <c r="B35" s="159" t="s">
        <v>206</v>
      </c>
      <c r="C35" s="157">
        <v>13.413576422692262</v>
      </c>
      <c r="D35" s="153">
        <v>1.1470041596601461</v>
      </c>
      <c r="E35" s="153">
        <v>12.266572263032117</v>
      </c>
      <c r="F35" s="153" t="s">
        <v>443</v>
      </c>
      <c r="G35" s="154"/>
      <c r="H35" s="152">
        <v>13.764049915921753</v>
      </c>
      <c r="I35" s="153">
        <v>5.4801309850429201</v>
      </c>
      <c r="J35" s="153">
        <v>8.2839189308788317</v>
      </c>
      <c r="K35" s="153" t="s">
        <v>443</v>
      </c>
      <c r="L35"/>
      <c r="M35"/>
      <c r="N35" s="152">
        <v>4.1514643526279453</v>
      </c>
      <c r="O35" s="153">
        <v>0.35499457647174837</v>
      </c>
      <c r="P35" s="153">
        <v>3.7964697761561972</v>
      </c>
      <c r="Q35" s="153" t="s">
        <v>443</v>
      </c>
      <c r="R35" s="154"/>
      <c r="S35" s="152">
        <v>4.2599349176609804</v>
      </c>
      <c r="T35" s="153">
        <v>1.6960851986983532</v>
      </c>
      <c r="U35" s="155"/>
      <c r="V35" s="153">
        <v>2.563849718962627</v>
      </c>
      <c r="W35" s="153" t="s">
        <v>443</v>
      </c>
    </row>
    <row r="36" spans="1:23">
      <c r="A36" s="156"/>
      <c r="B36" s="159" t="s">
        <v>214</v>
      </c>
      <c r="C36" s="157">
        <v>12.554100452898538</v>
      </c>
      <c r="D36" s="153">
        <v>2.1684355327733837</v>
      </c>
      <c r="E36" s="153">
        <v>10.385664920125153</v>
      </c>
      <c r="F36" s="153">
        <v>1.2554100452898538</v>
      </c>
      <c r="G36" s="154"/>
      <c r="H36" s="152">
        <v>13.124741382575744</v>
      </c>
      <c r="I36" s="153" t="s">
        <v>443</v>
      </c>
      <c r="J36" s="153">
        <v>13.124741382575744</v>
      </c>
      <c r="K36" s="153" t="s">
        <v>443</v>
      </c>
      <c r="L36"/>
      <c r="M36"/>
      <c r="N36" s="152">
        <v>5.4265034374432686</v>
      </c>
      <c r="O36" s="153">
        <v>0.93730513919474623</v>
      </c>
      <c r="P36" s="153">
        <v>4.4891982982485219</v>
      </c>
      <c r="Q36" s="153">
        <v>0.54265034374432697</v>
      </c>
      <c r="R36" s="154"/>
      <c r="S36" s="152">
        <v>5.6731626845997809</v>
      </c>
      <c r="T36" s="153" t="s">
        <v>443</v>
      </c>
      <c r="U36" s="155"/>
      <c r="V36" s="153">
        <v>5.6731626845997809</v>
      </c>
      <c r="W36" s="153" t="s">
        <v>443</v>
      </c>
    </row>
    <row r="37" spans="1:23">
      <c r="A37" s="156"/>
      <c r="B37" s="156" t="s">
        <v>434</v>
      </c>
      <c r="C37" s="157">
        <v>4.6197248733241425</v>
      </c>
      <c r="D37" s="153">
        <v>0.28079327190109787</v>
      </c>
      <c r="E37" s="153">
        <v>4.3389316014230443</v>
      </c>
      <c r="F37" s="153">
        <v>0.6006120601465349</v>
      </c>
      <c r="G37" s="154"/>
      <c r="H37" s="152">
        <v>4.5823680163275764</v>
      </c>
      <c r="I37" s="153">
        <v>0</v>
      </c>
      <c r="J37" s="153">
        <v>4.5823680163275764</v>
      </c>
      <c r="K37" s="153" t="s">
        <v>443</v>
      </c>
      <c r="L37"/>
      <c r="M37"/>
      <c r="N37" s="152">
        <v>4.4381614743586155</v>
      </c>
      <c r="O37" s="153">
        <v>0.26975759721245984</v>
      </c>
      <c r="P37" s="153">
        <v>4.1684038771461553</v>
      </c>
      <c r="Q37" s="153">
        <v>0.57700693861006003</v>
      </c>
      <c r="R37" s="154"/>
      <c r="S37" s="152">
        <v>4.4022728082428815</v>
      </c>
      <c r="T37" s="153">
        <v>0</v>
      </c>
      <c r="U37" s="155"/>
      <c r="V37" s="153">
        <v>4.4022728082428815</v>
      </c>
      <c r="W37" s="153" t="s">
        <v>443</v>
      </c>
    </row>
    <row r="38" spans="1:23">
      <c r="A38" s="156"/>
      <c r="B38" s="156" t="s">
        <v>435</v>
      </c>
      <c r="C38" s="157">
        <v>3.8232942288372822</v>
      </c>
      <c r="D38" s="153">
        <v>0.45651274374176504</v>
      </c>
      <c r="E38" s="153">
        <v>3.3667814850955171</v>
      </c>
      <c r="F38" s="153">
        <v>0.1</v>
      </c>
      <c r="G38" s="154"/>
      <c r="H38" s="152">
        <v>3.5</v>
      </c>
      <c r="I38" s="153">
        <v>1</v>
      </c>
      <c r="J38" s="153">
        <v>2.5</v>
      </c>
      <c r="K38" s="153" t="s">
        <v>443</v>
      </c>
      <c r="L38"/>
      <c r="M38"/>
      <c r="N38" s="152">
        <v>7.2358587560370839</v>
      </c>
      <c r="O38" s="153">
        <v>0.86398313504920388</v>
      </c>
      <c r="P38" s="153">
        <v>6.37187562098788</v>
      </c>
      <c r="Q38" s="153">
        <v>0.3</v>
      </c>
      <c r="R38" s="154"/>
      <c r="S38" s="152">
        <v>6.6</v>
      </c>
      <c r="T38" s="153">
        <v>1.9</v>
      </c>
      <c r="U38" s="155"/>
      <c r="V38" s="153">
        <v>4.7</v>
      </c>
      <c r="W38" s="153" t="s">
        <v>443</v>
      </c>
    </row>
    <row r="39" spans="1:23">
      <c r="A39" s="156"/>
      <c r="B39" s="156" t="s">
        <v>223</v>
      </c>
      <c r="C39" s="157">
        <v>22.474815922163589</v>
      </c>
      <c r="D39" s="153">
        <v>4.125811618561432</v>
      </c>
      <c r="E39" s="153">
        <v>18.349004303602158</v>
      </c>
      <c r="F39" s="153">
        <v>36.372286637317892</v>
      </c>
      <c r="G39" s="154"/>
      <c r="H39" s="152">
        <v>28.413813173092809</v>
      </c>
      <c r="I39" s="153">
        <v>1.2703156825570725</v>
      </c>
      <c r="J39" s="153">
        <v>27.143497490535736</v>
      </c>
      <c r="K39" s="153" t="s">
        <v>443</v>
      </c>
      <c r="L39"/>
      <c r="M39"/>
      <c r="N39" s="152">
        <v>4.1805066006564005</v>
      </c>
      <c r="O39" s="153">
        <v>0.76743599432339715</v>
      </c>
      <c r="P39" s="153">
        <v>3.4130706063330032</v>
      </c>
      <c r="Q39" s="153">
        <v>6.76555416048258</v>
      </c>
      <c r="R39" s="154"/>
      <c r="S39" s="152">
        <v>5.28521051880087</v>
      </c>
      <c r="T39" s="153">
        <v>0.23628950351536174</v>
      </c>
      <c r="U39" s="155"/>
      <c r="V39" s="153">
        <v>5.048921015285508</v>
      </c>
      <c r="W39" s="153" t="s">
        <v>443</v>
      </c>
    </row>
    <row r="40" spans="1:23">
      <c r="A40" s="156"/>
      <c r="B40" s="156" t="s">
        <v>229</v>
      </c>
      <c r="C40" s="157">
        <v>54.35111984988594</v>
      </c>
      <c r="D40" s="153">
        <v>4.7396136259453741</v>
      </c>
      <c r="E40" s="153">
        <v>49.611506223940566</v>
      </c>
      <c r="F40" s="153" t="s">
        <v>443</v>
      </c>
      <c r="G40" s="154"/>
      <c r="H40" s="152">
        <v>46.623952017024436</v>
      </c>
      <c r="I40" s="153">
        <v>1.0650817136955897</v>
      </c>
      <c r="J40" s="153">
        <v>45.558870303328845</v>
      </c>
      <c r="K40" s="153" t="s">
        <v>443</v>
      </c>
      <c r="L40"/>
      <c r="M40"/>
      <c r="N40" s="152">
        <v>7.2717676009764673</v>
      </c>
      <c r="O40" s="153">
        <v>0.63412435477846907</v>
      </c>
      <c r="P40" s="153">
        <v>6.6376432461979968</v>
      </c>
      <c r="Q40" s="153" t="s">
        <v>443</v>
      </c>
      <c r="R40" s="154"/>
      <c r="S40" s="152">
        <v>6.237931152905051</v>
      </c>
      <c r="T40" s="153">
        <v>0.14249985500639753</v>
      </c>
      <c r="U40" s="155"/>
      <c r="V40" s="153">
        <v>6.0954312978986538</v>
      </c>
      <c r="W40" s="153" t="s">
        <v>443</v>
      </c>
    </row>
    <row r="41" spans="1:23">
      <c r="A41" s="148"/>
      <c r="B41" s="148" t="s">
        <v>246</v>
      </c>
      <c r="C41" s="157">
        <v>20.735557264419626</v>
      </c>
      <c r="D41" s="153">
        <v>2.21544520875785</v>
      </c>
      <c r="E41" s="153">
        <v>18.520112055661777</v>
      </c>
      <c r="F41" s="153">
        <v>3.0397675570876941</v>
      </c>
      <c r="G41" s="154"/>
      <c r="H41" s="152">
        <v>4.5003203243428693</v>
      </c>
      <c r="I41" s="153" t="s">
        <v>443</v>
      </c>
      <c r="J41" s="153" t="s">
        <v>443</v>
      </c>
      <c r="K41" s="153">
        <v>4.5003203243428693</v>
      </c>
      <c r="L41"/>
      <c r="M41"/>
      <c r="N41" s="152">
        <v>8.203796324418871</v>
      </c>
      <c r="O41" s="153">
        <v>0.87651665343693663</v>
      </c>
      <c r="P41" s="153">
        <v>7.3272796709819357</v>
      </c>
      <c r="Q41" s="153">
        <v>1.2026507700718765</v>
      </c>
      <c r="R41" s="154"/>
      <c r="S41" s="152">
        <v>1.780502489745116</v>
      </c>
      <c r="T41" s="153" t="s">
        <v>443</v>
      </c>
      <c r="U41" s="155"/>
      <c r="V41" s="153" t="s">
        <v>443</v>
      </c>
      <c r="W41" s="153">
        <v>1.780502489745116</v>
      </c>
    </row>
    <row r="42" spans="1:23">
      <c r="A42" s="148"/>
      <c r="B42" s="148" t="s">
        <v>252</v>
      </c>
      <c r="C42" s="157">
        <v>11.136482043605833</v>
      </c>
      <c r="D42" s="153">
        <v>2.9336557811933468</v>
      </c>
      <c r="E42" s="153">
        <v>8.2028262624124864</v>
      </c>
      <c r="F42" s="153">
        <v>0.10830493525282782</v>
      </c>
      <c r="G42" s="154"/>
      <c r="H42" s="152">
        <v>15.517931123025171</v>
      </c>
      <c r="I42" s="153">
        <v>8.5953504240025485</v>
      </c>
      <c r="J42" s="153">
        <v>6.922580699022622</v>
      </c>
      <c r="K42" s="153" t="s">
        <v>443</v>
      </c>
      <c r="L42"/>
      <c r="M42"/>
      <c r="N42" s="152">
        <v>4.1023970987056488</v>
      </c>
      <c r="O42" s="153">
        <v>1.0806842697940429</v>
      </c>
      <c r="P42" s="153">
        <v>3.0217128289116055</v>
      </c>
      <c r="Q42" s="153">
        <v>3.989678701199996E-2</v>
      </c>
      <c r="R42" s="154"/>
      <c r="S42" s="152">
        <v>5.7164116430793541</v>
      </c>
      <c r="T42" s="153">
        <v>3.1663087592398464</v>
      </c>
      <c r="U42" s="155"/>
      <c r="V42" s="153">
        <v>2.5501028838395072</v>
      </c>
      <c r="W42" s="153" t="s">
        <v>443</v>
      </c>
    </row>
    <row r="43" spans="1:23">
      <c r="A43" s="148"/>
      <c r="B43" s="148" t="s">
        <v>436</v>
      </c>
      <c r="C43" s="157">
        <v>0.85479368304217129</v>
      </c>
      <c r="D43" s="153">
        <v>0.2</v>
      </c>
      <c r="E43" s="153">
        <v>0.65479368304217123</v>
      </c>
      <c r="F43" s="153">
        <v>0</v>
      </c>
      <c r="G43" s="154"/>
      <c r="H43" s="152" t="s">
        <v>443</v>
      </c>
      <c r="I43" s="153" t="s">
        <v>443</v>
      </c>
      <c r="J43" s="153" t="s">
        <v>443</v>
      </c>
      <c r="K43" s="153" t="s">
        <v>443</v>
      </c>
      <c r="L43"/>
      <c r="M43"/>
      <c r="N43" s="152">
        <v>1.5</v>
      </c>
      <c r="O43" s="153">
        <v>0.3</v>
      </c>
      <c r="P43" s="153">
        <v>1.2</v>
      </c>
      <c r="Q43" s="153">
        <v>0</v>
      </c>
      <c r="R43" s="154"/>
      <c r="S43" s="152" t="s">
        <v>443</v>
      </c>
      <c r="T43" s="153" t="s">
        <v>443</v>
      </c>
      <c r="U43" s="155"/>
      <c r="V43" s="153" t="s">
        <v>443</v>
      </c>
      <c r="W43" s="153" t="s">
        <v>443</v>
      </c>
    </row>
    <row r="44" spans="1:23">
      <c r="A44" s="148"/>
      <c r="B44" s="148" t="s">
        <v>437</v>
      </c>
      <c r="C44" s="157">
        <v>13.7</v>
      </c>
      <c r="D44" s="153">
        <v>4.2</v>
      </c>
      <c r="E44" s="153">
        <v>9.5</v>
      </c>
      <c r="F44" s="153">
        <v>2.9</v>
      </c>
      <c r="G44" s="154"/>
      <c r="H44" s="152">
        <v>6.5</v>
      </c>
      <c r="I44" s="153" t="s">
        <v>443</v>
      </c>
      <c r="J44" s="153">
        <v>6.5</v>
      </c>
      <c r="K44" s="153" t="s">
        <v>443</v>
      </c>
      <c r="L44"/>
      <c r="M44"/>
      <c r="N44" s="152">
        <v>9.1999999999999993</v>
      </c>
      <c r="O44" s="153">
        <v>2.8</v>
      </c>
      <c r="P44" s="153">
        <v>6.3999999999999995</v>
      </c>
      <c r="Q44" s="153">
        <v>1.9</v>
      </c>
      <c r="R44" s="154"/>
      <c r="S44" s="152">
        <v>4.3</v>
      </c>
      <c r="T44" s="153" t="s">
        <v>443</v>
      </c>
      <c r="U44" s="155"/>
      <c r="V44" s="153">
        <v>4.3</v>
      </c>
      <c r="W44" s="153" t="s">
        <v>443</v>
      </c>
    </row>
    <row r="45" spans="1:23">
      <c r="A45" s="148"/>
      <c r="B45" s="148" t="s">
        <v>302</v>
      </c>
      <c r="C45" s="157">
        <v>46.286304083494812</v>
      </c>
      <c r="D45" s="153">
        <v>2.1796874499152681</v>
      </c>
      <c r="E45" s="153">
        <v>44.106616633579549</v>
      </c>
      <c r="F45" s="153" t="s">
        <v>443</v>
      </c>
      <c r="G45" s="154"/>
      <c r="H45" s="152">
        <v>31.797793386999206</v>
      </c>
      <c r="I45" s="153">
        <v>12.821690881854519</v>
      </c>
      <c r="J45" s="153">
        <v>18.976102505144688</v>
      </c>
      <c r="K45" s="153" t="s">
        <v>443</v>
      </c>
      <c r="L45"/>
      <c r="M45"/>
      <c r="N45" s="152">
        <v>7.7899461099728065</v>
      </c>
      <c r="O45" s="153">
        <v>0.36683956750564461</v>
      </c>
      <c r="P45" s="153">
        <v>7.4231065424671616</v>
      </c>
      <c r="Q45" s="153" t="s">
        <v>443</v>
      </c>
      <c r="R45" s="154"/>
      <c r="S45" s="152">
        <v>5.3515419259646979</v>
      </c>
      <c r="T45" s="153">
        <v>2.157879808856733</v>
      </c>
      <c r="U45" s="155"/>
      <c r="V45" s="153">
        <v>3.1936621171079649</v>
      </c>
      <c r="W45" s="153" t="s">
        <v>443</v>
      </c>
    </row>
    <row r="46" spans="1:23">
      <c r="A46" s="148"/>
      <c r="B46" s="148"/>
      <c r="C46" s="157"/>
      <c r="D46" s="153"/>
      <c r="E46" s="153"/>
      <c r="F46" s="153"/>
      <c r="G46" s="154"/>
      <c r="H46" s="152"/>
      <c r="I46" s="153"/>
      <c r="J46" s="153"/>
      <c r="K46" s="153"/>
      <c r="L46"/>
      <c r="M46"/>
      <c r="N46" s="152"/>
      <c r="O46" s="153"/>
      <c r="P46" s="153"/>
      <c r="Q46" s="153"/>
      <c r="R46" s="154"/>
      <c r="S46" s="152"/>
      <c r="T46" s="153"/>
      <c r="U46" s="155"/>
      <c r="V46" s="153"/>
      <c r="W46" s="153"/>
    </row>
    <row r="47" spans="1:23">
      <c r="A47" s="162"/>
      <c r="B47" s="162" t="s">
        <v>438</v>
      </c>
      <c r="C47" s="163">
        <v>9929.9777428000743</v>
      </c>
      <c r="D47" s="163">
        <v>1345.9346893991155</v>
      </c>
      <c r="E47" s="163">
        <v>8524.1436485969098</v>
      </c>
      <c r="F47" s="154">
        <v>986.52090676774299</v>
      </c>
      <c r="G47" s="154"/>
      <c r="H47" s="161">
        <v>6103.7769765740804</v>
      </c>
      <c r="I47" s="154">
        <v>379.10450097731803</v>
      </c>
      <c r="J47" s="154">
        <v>4037.9723739310193</v>
      </c>
      <c r="K47" s="154">
        <v>1686.7001016657434</v>
      </c>
      <c r="L47"/>
      <c r="M47"/>
      <c r="N47" s="152">
        <v>9.1881570314567469</v>
      </c>
      <c r="O47" s="152">
        <v>1.248828758440548</v>
      </c>
      <c r="P47" s="152">
        <v>7.8278860805154968</v>
      </c>
      <c r="Q47" s="153">
        <v>1.0914934828850609</v>
      </c>
      <c r="R47" s="154"/>
      <c r="S47" s="152">
        <v>6.12438326111939</v>
      </c>
      <c r="T47" s="153">
        <v>0.42721483712949704</v>
      </c>
      <c r="U47" s="155"/>
      <c r="V47" s="153">
        <v>4.0719198017053309</v>
      </c>
      <c r="W47" s="153">
        <v>1.6252486222845619</v>
      </c>
    </row>
    <row r="49" spans="2:23" s="164" customFormat="1" ht="3.65" customHeight="1">
      <c r="B49" s="165"/>
      <c r="C49" s="7"/>
      <c r="D49" s="7"/>
      <c r="E49" s="7"/>
      <c r="F49" s="7"/>
      <c r="G49" s="7"/>
      <c r="H49" s="7"/>
      <c r="I49" s="7"/>
      <c r="J49" s="7"/>
      <c r="K49" s="7"/>
      <c r="L49" s="7"/>
      <c r="M49" s="7"/>
      <c r="N49" s="7"/>
      <c r="O49" s="7"/>
      <c r="P49" s="7"/>
      <c r="Q49" s="7"/>
      <c r="R49" s="7"/>
      <c r="S49" s="7"/>
      <c r="T49" s="7"/>
      <c r="U49" s="7"/>
      <c r="V49" s="7"/>
      <c r="W49" s="7"/>
    </row>
    <row r="50" spans="2:23">
      <c r="B50" s="166" t="s">
        <v>404</v>
      </c>
    </row>
    <row r="51" spans="2:23" ht="27.65" customHeight="1">
      <c r="B51" s="250" t="s">
        <v>439</v>
      </c>
      <c r="C51" s="250"/>
      <c r="D51" s="250"/>
      <c r="E51" s="250"/>
      <c r="F51" s="250"/>
      <c r="G51" s="250"/>
      <c r="H51" s="250"/>
      <c r="I51" s="250"/>
      <c r="J51" s="250"/>
      <c r="K51" s="250"/>
      <c r="L51" s="250"/>
      <c r="M51" s="250"/>
      <c r="N51" s="250"/>
      <c r="O51" s="250"/>
      <c r="P51" s="250"/>
      <c r="Q51" s="250"/>
      <c r="R51" s="250"/>
      <c r="S51" s="250"/>
      <c r="T51" s="250"/>
      <c r="U51" s="250"/>
      <c r="V51" s="250"/>
    </row>
    <row r="52" spans="2:23">
      <c r="B52" s="2" t="s">
        <v>440</v>
      </c>
    </row>
    <row r="53" spans="2:23">
      <c r="B53" s="2" t="s">
        <v>441</v>
      </c>
    </row>
    <row r="54" spans="2:23" ht="14.5">
      <c r="B54" t="s">
        <v>442</v>
      </c>
    </row>
    <row r="56" spans="2:23">
      <c r="C56" s="167"/>
      <c r="D56" s="167"/>
      <c r="E56" s="167"/>
      <c r="F56" s="167"/>
      <c r="G56" s="167"/>
      <c r="H56" s="167"/>
      <c r="I56" s="167"/>
      <c r="J56" s="167"/>
      <c r="K56" s="167"/>
    </row>
  </sheetData>
  <mergeCells count="15">
    <mergeCell ref="B51:V51"/>
    <mergeCell ref="C5:E5"/>
    <mergeCell ref="F5:F6"/>
    <mergeCell ref="I5:I6"/>
    <mergeCell ref="J5:K5"/>
    <mergeCell ref="N5:P5"/>
    <mergeCell ref="Q5:Q6"/>
    <mergeCell ref="T5:T6"/>
    <mergeCell ref="V5:W5"/>
    <mergeCell ref="B3:K3"/>
    <mergeCell ref="M3:W3"/>
    <mergeCell ref="C4:F4"/>
    <mergeCell ref="H4:K4"/>
    <mergeCell ref="N4:Q4"/>
    <mergeCell ref="S4:W4"/>
  </mergeCells>
  <pageMargins left="0.7" right="0.7" top="0.75" bottom="0.75" header="0.3" footer="0.3"/>
  <pageSetup scale="6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5BF6-0EA9-429B-A24D-955AFFA441DB}">
  <sheetPr>
    <tabColor theme="5" tint="0.59999389629810485"/>
    <pageSetUpPr fitToPage="1"/>
  </sheetPr>
  <dimension ref="C3:J72"/>
  <sheetViews>
    <sheetView showGridLines="0" topLeftCell="A4" zoomScaleNormal="100" zoomScaleSheetLayoutView="100" workbookViewId="0">
      <selection activeCell="F64" sqref="F64"/>
    </sheetView>
  </sheetViews>
  <sheetFormatPr baseColWidth="10" defaultColWidth="9.1796875" defaultRowHeight="12.5"/>
  <cols>
    <col min="1" max="6" width="9.1796875" style="2"/>
    <col min="7" max="7" width="8.81640625" style="2" customWidth="1"/>
    <col min="8" max="11" width="9.1796875" style="2"/>
    <col min="12" max="12" width="3.54296875" style="2" customWidth="1"/>
    <col min="13" max="16384" width="9.1796875" style="2"/>
  </cols>
  <sheetData>
    <row r="3" spans="3:8" ht="13">
      <c r="C3" s="168" t="s">
        <v>444</v>
      </c>
    </row>
    <row r="4" spans="3:8" ht="14.5">
      <c r="C4" s="169" t="s">
        <v>445</v>
      </c>
      <c r="D4" s="170" t="s">
        <v>446</v>
      </c>
      <c r="E4" s="170" t="s">
        <v>447</v>
      </c>
      <c r="F4" s="170" t="s">
        <v>448</v>
      </c>
      <c r="G4" s="171"/>
      <c r="H4" s="172"/>
    </row>
    <row r="5" spans="3:8">
      <c r="C5" s="173" t="s">
        <v>449</v>
      </c>
      <c r="D5" s="174" t="s">
        <v>191</v>
      </c>
      <c r="E5" s="175">
        <v>2.5259979589599131</v>
      </c>
      <c r="F5" s="175">
        <v>7.5063044523349678</v>
      </c>
      <c r="G5" s="174"/>
      <c r="H5" s="176"/>
    </row>
    <row r="6" spans="3:8">
      <c r="C6" s="173" t="s">
        <v>450</v>
      </c>
      <c r="D6" s="174" t="s">
        <v>206</v>
      </c>
      <c r="E6" s="175">
        <v>4.1514643526279453</v>
      </c>
      <c r="F6" s="175">
        <v>4.2599349176609804</v>
      </c>
      <c r="G6" s="174"/>
      <c r="H6" s="176"/>
    </row>
    <row r="7" spans="3:8">
      <c r="C7" s="173" t="s">
        <v>452</v>
      </c>
      <c r="D7" s="174" t="s">
        <v>223</v>
      </c>
      <c r="E7" s="175">
        <v>4.1805066006564005</v>
      </c>
      <c r="F7" s="175">
        <v>5.28521051880087</v>
      </c>
      <c r="G7" s="174"/>
      <c r="H7" s="176"/>
    </row>
    <row r="8" spans="3:8">
      <c r="C8" s="173" t="s">
        <v>453</v>
      </c>
      <c r="D8" s="174" t="s">
        <v>75</v>
      </c>
      <c r="E8" s="175">
        <v>4.5051765101655654</v>
      </c>
      <c r="F8" s="175">
        <v>10.179516474526345</v>
      </c>
      <c r="G8" s="174"/>
      <c r="H8" s="176"/>
    </row>
    <row r="9" spans="3:8">
      <c r="C9" s="173" t="s">
        <v>454</v>
      </c>
      <c r="D9" s="174" t="s">
        <v>195</v>
      </c>
      <c r="E9" s="175">
        <v>4.5299743761560221</v>
      </c>
      <c r="F9" s="175">
        <v>8.1564635581756626</v>
      </c>
      <c r="G9" s="174"/>
      <c r="H9" s="176"/>
    </row>
    <row r="10" spans="3:8">
      <c r="C10" s="173" t="s">
        <v>455</v>
      </c>
      <c r="D10" s="174" t="s">
        <v>184</v>
      </c>
      <c r="E10" s="175">
        <v>5.1032142438694166</v>
      </c>
      <c r="F10" s="175">
        <v>13.583619376592043</v>
      </c>
      <c r="G10" s="174"/>
      <c r="H10" s="176"/>
    </row>
    <row r="11" spans="3:8">
      <c r="C11" s="173" t="s">
        <v>456</v>
      </c>
      <c r="D11" s="174" t="s">
        <v>425</v>
      </c>
      <c r="E11" s="175">
        <v>5.4316135144669095</v>
      </c>
      <c r="F11" s="175">
        <v>15.434775591372787</v>
      </c>
      <c r="G11" s="174"/>
      <c r="H11" s="176"/>
    </row>
    <row r="12" spans="3:8">
      <c r="C12" s="173" t="s">
        <v>457</v>
      </c>
      <c r="D12" s="174" t="s">
        <v>229</v>
      </c>
      <c r="E12" s="175">
        <v>7.2717676009764673</v>
      </c>
      <c r="F12" s="175">
        <v>6.237931152905051</v>
      </c>
      <c r="G12" s="174"/>
      <c r="H12" s="176"/>
    </row>
    <row r="13" spans="3:8">
      <c r="C13" s="173" t="s">
        <v>451</v>
      </c>
      <c r="D13" s="174" t="s">
        <v>82</v>
      </c>
      <c r="E13" s="175">
        <v>7.589448345321685</v>
      </c>
      <c r="F13" s="175">
        <v>14.396647785309682</v>
      </c>
      <c r="G13" s="174"/>
      <c r="H13" s="176"/>
    </row>
    <row r="14" spans="3:8">
      <c r="C14" s="173" t="s">
        <v>458</v>
      </c>
      <c r="D14" s="174" t="s">
        <v>47</v>
      </c>
      <c r="E14" s="175">
        <v>7.6410229836701689</v>
      </c>
      <c r="F14" s="175">
        <v>15.611400406291638</v>
      </c>
      <c r="G14" s="174"/>
      <c r="H14" s="176"/>
    </row>
    <row r="15" spans="3:8">
      <c r="C15" s="173" t="s">
        <v>459</v>
      </c>
      <c r="D15" s="174" t="s">
        <v>172</v>
      </c>
      <c r="E15" s="175">
        <v>8.0298773719835133</v>
      </c>
      <c r="F15" s="175">
        <v>11.811260067931427</v>
      </c>
      <c r="G15" s="174"/>
      <c r="H15" s="176"/>
    </row>
    <row r="16" spans="3:8">
      <c r="C16" s="173" t="s">
        <v>460</v>
      </c>
      <c r="D16" s="174" t="s">
        <v>61</v>
      </c>
      <c r="E16" s="175">
        <v>8.4766543856090628</v>
      </c>
      <c r="F16" s="175">
        <v>35.253800114434831</v>
      </c>
      <c r="G16" s="174"/>
      <c r="H16" s="176"/>
    </row>
    <row r="17" spans="3:10">
      <c r="C17" s="173" t="s">
        <v>461</v>
      </c>
      <c r="D17" s="174" t="s">
        <v>54</v>
      </c>
      <c r="E17" s="177">
        <v>11.013645516666017</v>
      </c>
      <c r="F17" s="175">
        <v>27.798201204598719</v>
      </c>
      <c r="G17" s="174"/>
      <c r="H17" s="176"/>
    </row>
    <row r="18" spans="3:10">
      <c r="C18" s="173" t="s">
        <v>462</v>
      </c>
      <c r="D18" s="174" t="s">
        <v>33</v>
      </c>
      <c r="E18" s="175">
        <v>14.64115557600266</v>
      </c>
      <c r="F18" s="175">
        <v>4.0198524451002031</v>
      </c>
      <c r="G18" s="174"/>
      <c r="H18" s="176"/>
    </row>
    <row r="19" spans="3:10">
      <c r="C19" s="173" t="s">
        <v>463</v>
      </c>
      <c r="D19" s="174" t="s">
        <v>68</v>
      </c>
      <c r="E19" s="175">
        <v>15.860601819869569</v>
      </c>
      <c r="F19" s="175">
        <v>28.307927926457264</v>
      </c>
      <c r="G19" s="174"/>
      <c r="H19" s="176"/>
    </row>
    <row r="20" spans="3:10">
      <c r="C20" s="173" t="s">
        <v>464</v>
      </c>
      <c r="D20" s="174" t="s">
        <v>219</v>
      </c>
      <c r="E20" s="175">
        <v>16.030837191286473</v>
      </c>
      <c r="F20" s="175">
        <v>4.6898725825572125</v>
      </c>
      <c r="G20" s="174"/>
      <c r="H20" s="176"/>
    </row>
    <row r="21" spans="3:10">
      <c r="C21" s="173" t="s">
        <v>466</v>
      </c>
      <c r="D21" s="174" t="s">
        <v>23</v>
      </c>
      <c r="E21" s="175">
        <v>16.131383413423077</v>
      </c>
      <c r="F21" s="175">
        <v>1.7777028320837776</v>
      </c>
      <c r="G21" s="174"/>
      <c r="H21" s="176"/>
    </row>
    <row r="22" spans="3:10">
      <c r="C22" s="173" t="s">
        <v>465</v>
      </c>
      <c r="D22" s="174" t="s">
        <v>89</v>
      </c>
      <c r="E22" s="175">
        <v>16.232490915957346</v>
      </c>
      <c r="F22" s="175">
        <v>16.137840823152928</v>
      </c>
      <c r="G22" s="174"/>
      <c r="H22" s="176"/>
    </row>
    <row r="23" spans="3:10">
      <c r="C23" s="173" t="s">
        <v>467</v>
      </c>
      <c r="D23" s="178" t="s">
        <v>467</v>
      </c>
      <c r="E23" s="177">
        <v>16.416951492664577</v>
      </c>
      <c r="F23" s="175">
        <v>11.340809852312404</v>
      </c>
      <c r="G23" s="174"/>
      <c r="H23" s="176"/>
    </row>
    <row r="24" spans="3:10">
      <c r="C24" s="173" t="s">
        <v>468</v>
      </c>
      <c r="D24" s="174" t="s">
        <v>201</v>
      </c>
      <c r="E24" s="175">
        <v>19.283678120943751</v>
      </c>
      <c r="F24" s="175">
        <v>2.7792096486706375</v>
      </c>
      <c r="G24" s="174"/>
      <c r="H24" s="176"/>
    </row>
    <row r="25" spans="3:10">
      <c r="C25" s="179" t="s">
        <v>469</v>
      </c>
      <c r="D25" s="180" t="s">
        <v>96</v>
      </c>
      <c r="E25" s="181">
        <v>25.453072338799249</v>
      </c>
      <c r="F25" s="181">
        <v>2.4363736250612082</v>
      </c>
      <c r="G25" s="180"/>
      <c r="H25" s="182"/>
    </row>
    <row r="27" spans="3:10" ht="13">
      <c r="C27" s="168" t="s">
        <v>470</v>
      </c>
      <c r="D27" s="174"/>
      <c r="E27" s="174"/>
      <c r="F27" s="174"/>
      <c r="G27" s="174"/>
      <c r="H27" s="174"/>
    </row>
    <row r="28" spans="3:10" ht="14.5">
      <c r="C28" s="169" t="s">
        <v>445</v>
      </c>
      <c r="D28" s="170" t="s">
        <v>446</v>
      </c>
      <c r="E28" s="170" t="s">
        <v>447</v>
      </c>
      <c r="F28" s="170" t="s">
        <v>448</v>
      </c>
      <c r="G28" s="171"/>
      <c r="H28" s="172"/>
    </row>
    <row r="29" spans="3:10">
      <c r="C29" s="173" t="s">
        <v>471</v>
      </c>
      <c r="D29" s="174" t="s">
        <v>139</v>
      </c>
      <c r="E29" s="175">
        <v>0.65305702953176115</v>
      </c>
      <c r="F29" s="175">
        <v>1.1949646176134145</v>
      </c>
      <c r="G29" s="174"/>
      <c r="H29" s="176"/>
    </row>
    <row r="30" spans="3:10">
      <c r="C30" s="173" t="s">
        <v>472</v>
      </c>
      <c r="D30" s="174" t="s">
        <v>258</v>
      </c>
      <c r="E30" s="175">
        <v>1.574089347079038</v>
      </c>
      <c r="F30" s="175">
        <v>0.12783505154639177</v>
      </c>
      <c r="G30" s="174"/>
      <c r="H30" s="176"/>
    </row>
    <row r="31" spans="3:10">
      <c r="C31" s="173" t="s">
        <v>474</v>
      </c>
      <c r="D31" s="174" t="s">
        <v>165</v>
      </c>
      <c r="E31" s="175">
        <v>1.8793831456217234</v>
      </c>
      <c r="F31" s="175">
        <v>9.3671786530196677</v>
      </c>
      <c r="G31" s="174"/>
      <c r="H31" s="176"/>
      <c r="J31"/>
    </row>
    <row r="32" spans="3:10">
      <c r="C32" s="173" t="s">
        <v>473</v>
      </c>
      <c r="D32" s="174" t="s">
        <v>286</v>
      </c>
      <c r="E32" s="175">
        <v>1.9843417699892416</v>
      </c>
      <c r="F32" s="175">
        <v>0</v>
      </c>
      <c r="G32" s="174"/>
      <c r="H32" s="176"/>
      <c r="J32"/>
    </row>
    <row r="33" spans="3:8">
      <c r="C33" s="173" t="s">
        <v>475</v>
      </c>
      <c r="D33" s="174" t="s">
        <v>234</v>
      </c>
      <c r="E33" s="175">
        <v>2.0343675320227348</v>
      </c>
      <c r="F33" s="175">
        <v>1.5828811297758891</v>
      </c>
      <c r="G33" s="174"/>
      <c r="H33" s="176"/>
    </row>
    <row r="34" spans="3:8">
      <c r="C34" s="173" t="s">
        <v>476</v>
      </c>
      <c r="D34" s="174" t="s">
        <v>154</v>
      </c>
      <c r="E34" s="175">
        <v>2.1896957349419446</v>
      </c>
      <c r="F34" s="175">
        <v>0.83634212098477045</v>
      </c>
      <c r="G34" s="174"/>
      <c r="H34" s="176"/>
    </row>
    <row r="35" spans="3:8">
      <c r="C35" s="173" t="s">
        <v>477</v>
      </c>
      <c r="D35" s="174" t="s">
        <v>309</v>
      </c>
      <c r="E35" s="175">
        <v>2.1921970390172185</v>
      </c>
      <c r="F35" s="175">
        <v>4.365331495086461</v>
      </c>
      <c r="G35" s="174"/>
      <c r="H35" s="176"/>
    </row>
    <row r="36" spans="3:8">
      <c r="C36" s="173" t="s">
        <v>478</v>
      </c>
      <c r="D36" s="174" t="s">
        <v>270</v>
      </c>
      <c r="E36" s="175">
        <v>2.4070002533138202</v>
      </c>
      <c r="F36" s="175">
        <v>3.0858977606587432</v>
      </c>
      <c r="G36" s="174"/>
      <c r="H36" s="176"/>
    </row>
    <row r="37" spans="3:8">
      <c r="C37" s="173" t="s">
        <v>479</v>
      </c>
      <c r="D37" s="174" t="s">
        <v>335</v>
      </c>
      <c r="E37" s="175">
        <v>2.4594746603328654</v>
      </c>
      <c r="F37" s="175">
        <v>0</v>
      </c>
      <c r="G37" s="174"/>
      <c r="H37" s="176"/>
    </row>
    <row r="38" spans="3:8">
      <c r="C38" s="173" t="s">
        <v>480</v>
      </c>
      <c r="D38" s="174" t="s">
        <v>328</v>
      </c>
      <c r="E38" s="175">
        <v>2.683122031298951</v>
      </c>
      <c r="F38" s="175">
        <v>0.808981516974558</v>
      </c>
      <c r="G38" s="174"/>
      <c r="H38" s="176"/>
    </row>
    <row r="39" spans="3:8">
      <c r="C39" s="173" t="s">
        <v>481</v>
      </c>
      <c r="D39" s="174" t="s">
        <v>296</v>
      </c>
      <c r="E39" s="175">
        <v>2.7074990380228656</v>
      </c>
      <c r="F39" s="175">
        <v>0.91399649054275101</v>
      </c>
      <c r="G39" s="174"/>
      <c r="H39" s="176"/>
    </row>
    <row r="40" spans="3:8">
      <c r="C40" s="173" t="s">
        <v>483</v>
      </c>
      <c r="D40" s="174" t="s">
        <v>126</v>
      </c>
      <c r="E40" s="175">
        <v>3.3272371919763746</v>
      </c>
      <c r="F40" s="175">
        <v>5.1010509461783222</v>
      </c>
      <c r="G40" s="174"/>
      <c r="H40" s="176"/>
    </row>
    <row r="41" spans="3:8">
      <c r="C41" s="173" t="s">
        <v>484</v>
      </c>
      <c r="D41" s="174" t="s">
        <v>104</v>
      </c>
      <c r="E41" s="175">
        <v>3.9163603885121869</v>
      </c>
      <c r="F41" s="175">
        <v>1.9689364210004481</v>
      </c>
      <c r="G41" s="174"/>
      <c r="H41" s="176"/>
    </row>
    <row r="42" spans="3:8">
      <c r="C42" s="173" t="s">
        <v>485</v>
      </c>
      <c r="D42" s="174" t="s">
        <v>485</v>
      </c>
      <c r="E42" s="175">
        <v>3.9756797133227666</v>
      </c>
      <c r="F42" s="175">
        <v>2.5330741185270416</v>
      </c>
      <c r="G42" s="174"/>
      <c r="H42" s="176"/>
    </row>
    <row r="43" spans="3:8">
      <c r="C43" s="173" t="s">
        <v>486</v>
      </c>
      <c r="D43" s="174" t="s">
        <v>252</v>
      </c>
      <c r="E43" s="175">
        <v>4.1023970987056488</v>
      </c>
      <c r="F43" s="175">
        <v>5.7164116430793541</v>
      </c>
      <c r="G43" s="174"/>
      <c r="H43" s="176"/>
    </row>
    <row r="44" spans="3:8">
      <c r="C44" s="173" t="s">
        <v>482</v>
      </c>
      <c r="D44" s="174" t="s">
        <v>148</v>
      </c>
      <c r="E44" s="175">
        <v>4.2999213932345643</v>
      </c>
      <c r="F44" s="175">
        <v>1.4698902319368594</v>
      </c>
      <c r="G44" s="174"/>
      <c r="H44" s="176"/>
    </row>
    <row r="45" spans="3:8">
      <c r="C45" s="173" t="s">
        <v>487</v>
      </c>
      <c r="D45" s="174" t="s">
        <v>239</v>
      </c>
      <c r="E45" s="175">
        <v>4.4879053764907351</v>
      </c>
      <c r="F45" s="175">
        <v>3.9338324767950277</v>
      </c>
      <c r="G45" s="174"/>
      <c r="H45" s="176"/>
    </row>
    <row r="46" spans="3:8">
      <c r="C46" s="173" t="s">
        <v>488</v>
      </c>
      <c r="D46" s="174" t="s">
        <v>133</v>
      </c>
      <c r="E46" s="175">
        <v>4.5321570570531771</v>
      </c>
      <c r="F46" s="175">
        <v>0.87565550573371964</v>
      </c>
      <c r="G46" s="174"/>
      <c r="H46" s="176"/>
    </row>
    <row r="47" spans="3:8">
      <c r="C47" s="173" t="s">
        <v>489</v>
      </c>
      <c r="D47" s="174" t="s">
        <v>118</v>
      </c>
      <c r="E47" s="175">
        <v>4.826837214914927</v>
      </c>
      <c r="F47" s="175">
        <v>1.3090728988248068</v>
      </c>
      <c r="G47" s="174"/>
      <c r="H47" s="176"/>
    </row>
    <row r="48" spans="3:8">
      <c r="C48" s="173" t="s">
        <v>490</v>
      </c>
      <c r="D48" s="174" t="s">
        <v>159</v>
      </c>
      <c r="E48" s="175">
        <v>5.8564829939836844</v>
      </c>
      <c r="F48" s="175">
        <v>4.0812428691338418</v>
      </c>
      <c r="G48" s="174"/>
      <c r="H48" s="176"/>
    </row>
    <row r="49" spans="3:8">
      <c r="C49" s="173" t="s">
        <v>491</v>
      </c>
      <c r="D49" s="174" t="s">
        <v>264</v>
      </c>
      <c r="E49" s="175">
        <v>6.1492492800160736</v>
      </c>
      <c r="F49" s="175">
        <v>1.8940136940058156E-4</v>
      </c>
      <c r="G49" s="174"/>
      <c r="H49" s="176"/>
    </row>
    <row r="50" spans="3:8">
      <c r="C50" s="173" t="s">
        <v>492</v>
      </c>
      <c r="D50" s="174" t="s">
        <v>291</v>
      </c>
      <c r="E50" s="175">
        <v>7.2951720710437984</v>
      </c>
      <c r="F50" s="175">
        <v>11.441920670285963</v>
      </c>
      <c r="G50" s="183"/>
      <c r="H50" s="184"/>
    </row>
    <row r="51" spans="3:8">
      <c r="C51" s="173" t="s">
        <v>493</v>
      </c>
      <c r="D51" s="174" t="s">
        <v>302</v>
      </c>
      <c r="E51" s="175">
        <v>7.7899461099728065</v>
      </c>
      <c r="F51" s="175">
        <v>5.3515419259646979</v>
      </c>
      <c r="G51" s="183"/>
      <c r="H51" s="184"/>
    </row>
    <row r="52" spans="3:8">
      <c r="C52" s="173" t="s">
        <v>496</v>
      </c>
      <c r="D52" s="174" t="s">
        <v>246</v>
      </c>
      <c r="E52" s="175">
        <v>8.203796324418871</v>
      </c>
      <c r="F52" s="175">
        <v>1.780502489745116</v>
      </c>
      <c r="G52" s="174"/>
      <c r="H52" s="176"/>
    </row>
    <row r="53" spans="3:8">
      <c r="C53" s="173" t="s">
        <v>494</v>
      </c>
      <c r="D53" s="174" t="s">
        <v>321</v>
      </c>
      <c r="E53" s="175">
        <v>8.2149797800053879</v>
      </c>
      <c r="F53" s="175">
        <v>4.2348539175996773</v>
      </c>
      <c r="G53" s="174"/>
      <c r="H53" s="176"/>
    </row>
    <row r="54" spans="3:8">
      <c r="C54" s="179" t="s">
        <v>495</v>
      </c>
      <c r="D54" s="180" t="s">
        <v>110</v>
      </c>
      <c r="E54" s="181">
        <v>8.8146148865888687</v>
      </c>
      <c r="F54" s="181">
        <v>6.1507617357903435</v>
      </c>
      <c r="G54" s="180"/>
      <c r="H54" s="182"/>
    </row>
    <row r="55" spans="3:8">
      <c r="C55" s="174"/>
      <c r="D55" s="174"/>
      <c r="E55" s="174"/>
      <c r="F55" s="174"/>
      <c r="G55" s="174"/>
      <c r="H55" s="174"/>
    </row>
    <row r="56" spans="3:8" ht="13">
      <c r="C56" s="168" t="s">
        <v>497</v>
      </c>
      <c r="D56" s="174"/>
      <c r="E56" s="174"/>
      <c r="F56" s="174"/>
      <c r="G56" s="174"/>
      <c r="H56" s="174"/>
    </row>
    <row r="57" spans="3:8" ht="14.5">
      <c r="C57" s="169" t="s">
        <v>445</v>
      </c>
      <c r="D57" s="170" t="s">
        <v>446</v>
      </c>
      <c r="E57" s="170" t="s">
        <v>447</v>
      </c>
      <c r="F57" s="170" t="s">
        <v>448</v>
      </c>
      <c r="G57" s="171"/>
      <c r="H57" s="172"/>
    </row>
    <row r="58" spans="3:8" ht="14.5">
      <c r="C58" s="173" t="s">
        <v>502</v>
      </c>
      <c r="D58" s="174" t="s">
        <v>380</v>
      </c>
      <c r="E58" s="175">
        <v>0.32414423413312488</v>
      </c>
      <c r="F58" s="175">
        <v>0</v>
      </c>
      <c r="G58" s="185"/>
      <c r="H58" s="186"/>
    </row>
    <row r="59" spans="3:8">
      <c r="C59" s="173" t="s">
        <v>499</v>
      </c>
      <c r="D59" s="174" t="s">
        <v>375</v>
      </c>
      <c r="E59" s="175">
        <v>0.74293024848976019</v>
      </c>
      <c r="F59" s="175">
        <v>1.2701833620956746</v>
      </c>
      <c r="G59" s="174"/>
      <c r="H59" s="176"/>
    </row>
    <row r="60" spans="3:8">
      <c r="C60" s="173" t="s">
        <v>498</v>
      </c>
      <c r="D60" s="174" t="s">
        <v>369</v>
      </c>
      <c r="E60" s="175">
        <v>1.0703188666181747</v>
      </c>
      <c r="F60" s="175">
        <v>0.94000406954615656</v>
      </c>
      <c r="G60" s="174"/>
      <c r="H60" s="176"/>
    </row>
    <row r="61" spans="3:8">
      <c r="C61" s="173" t="s">
        <v>500</v>
      </c>
      <c r="D61" s="174" t="s">
        <v>342</v>
      </c>
      <c r="E61" s="175">
        <v>1.4028990372097725</v>
      </c>
      <c r="F61" s="175">
        <v>7.2073015476377969E-2</v>
      </c>
      <c r="G61" s="174"/>
      <c r="H61" s="176"/>
    </row>
    <row r="62" spans="3:8">
      <c r="C62" s="173" t="s">
        <v>501</v>
      </c>
      <c r="D62" s="174" t="s">
        <v>392</v>
      </c>
      <c r="E62" s="175">
        <v>1.4121377105319763</v>
      </c>
      <c r="F62" s="175">
        <v>0.48027595990526362</v>
      </c>
      <c r="G62" s="174"/>
      <c r="H62" s="176"/>
    </row>
    <row r="63" spans="3:8">
      <c r="C63" s="173" t="s">
        <v>503</v>
      </c>
      <c r="D63" s="174" t="s">
        <v>504</v>
      </c>
      <c r="E63" s="175">
        <v>1.5</v>
      </c>
      <c r="F63" s="175">
        <v>0</v>
      </c>
      <c r="G63" s="174"/>
      <c r="H63" s="176"/>
    </row>
    <row r="64" spans="3:8">
      <c r="C64" s="173" t="s">
        <v>505</v>
      </c>
      <c r="D64" s="174" t="s">
        <v>505</v>
      </c>
      <c r="E64" s="175">
        <v>1.6192523198422666</v>
      </c>
      <c r="F64" s="175">
        <v>0.19264109669921492</v>
      </c>
      <c r="G64" s="174"/>
      <c r="H64" s="176"/>
    </row>
    <row r="65" spans="3:8">
      <c r="C65" s="173" t="s">
        <v>506</v>
      </c>
      <c r="D65" s="174" t="s">
        <v>400</v>
      </c>
      <c r="E65" s="175">
        <v>2.0903179195391677</v>
      </c>
      <c r="F65" s="175">
        <v>0.26496987712468323</v>
      </c>
      <c r="G65" s="174"/>
      <c r="H65" s="176"/>
    </row>
    <row r="66" spans="3:8">
      <c r="C66" s="173" t="s">
        <v>507</v>
      </c>
      <c r="D66" s="174" t="s">
        <v>359</v>
      </c>
      <c r="E66" s="175">
        <v>2.3052893466850186</v>
      </c>
      <c r="F66" s="175">
        <v>2.114594455874677</v>
      </c>
      <c r="G66" s="174"/>
      <c r="H66" s="176"/>
    </row>
    <row r="67" spans="3:8">
      <c r="C67" s="173" t="s">
        <v>508</v>
      </c>
      <c r="D67" s="174" t="s">
        <v>365</v>
      </c>
      <c r="E67" s="175">
        <v>2.3715759753939869</v>
      </c>
      <c r="F67" s="175">
        <v>0</v>
      </c>
      <c r="G67" s="174"/>
      <c r="H67" s="176"/>
    </row>
    <row r="68" spans="3:8">
      <c r="C68" s="173" t="s">
        <v>509</v>
      </c>
      <c r="D68" s="174" t="s">
        <v>346</v>
      </c>
      <c r="E68" s="175">
        <v>2.4597335906408286</v>
      </c>
      <c r="F68" s="175">
        <v>0.62234223377659526</v>
      </c>
      <c r="G68" s="174"/>
      <c r="H68" s="176"/>
    </row>
    <row r="69" spans="3:8">
      <c r="C69" s="173" t="s">
        <v>510</v>
      </c>
      <c r="D69" s="174" t="s">
        <v>350</v>
      </c>
      <c r="E69" s="175">
        <v>2.9239899759982846</v>
      </c>
      <c r="F69" s="175">
        <v>0.31328464028553049</v>
      </c>
      <c r="G69" s="174"/>
      <c r="H69" s="176"/>
    </row>
    <row r="70" spans="3:8">
      <c r="C70" s="173" t="s">
        <v>511</v>
      </c>
      <c r="D70" s="174" t="s">
        <v>383</v>
      </c>
      <c r="E70" s="175">
        <v>3.1505560680365163</v>
      </c>
      <c r="F70" s="175">
        <v>0.4981678896827561</v>
      </c>
      <c r="G70" s="174"/>
      <c r="H70" s="176"/>
    </row>
    <row r="71" spans="3:8">
      <c r="C71" s="173" t="s">
        <v>512</v>
      </c>
      <c r="D71" s="174" t="s">
        <v>388</v>
      </c>
      <c r="E71" s="175">
        <v>4.4294827387285496</v>
      </c>
      <c r="F71" s="175">
        <v>1.3271212874789819</v>
      </c>
      <c r="G71" s="174"/>
      <c r="H71" s="176"/>
    </row>
    <row r="72" spans="3:8">
      <c r="C72" s="179" t="s">
        <v>513</v>
      </c>
      <c r="D72" s="180" t="s">
        <v>355</v>
      </c>
      <c r="E72" s="181">
        <v>5.0943233405659045</v>
      </c>
      <c r="F72" s="181">
        <v>1.8202679873389367</v>
      </c>
      <c r="G72" s="180"/>
      <c r="H72" s="182"/>
    </row>
  </sheetData>
  <pageMargins left="0.7" right="0.7" top="0.75" bottom="0.75" header="0.3" footer="0.3"/>
  <pageSetup fitToHeight="0" orientation="landscape" r:id="rId1"/>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4</vt:i4>
      </vt:variant>
    </vt:vector>
  </HeadingPairs>
  <TitlesOfParts>
    <vt:vector size="7" baseType="lpstr">
      <vt:lpstr>Database</vt:lpstr>
      <vt:lpstr>Summary.Global</vt:lpstr>
      <vt:lpstr>Figure</vt:lpstr>
      <vt:lpstr>Database!Druckbereich</vt:lpstr>
      <vt:lpstr>Summary.Global!Druckbereich</vt:lpstr>
      <vt:lpstr>Database!Drucktitel</vt:lpstr>
      <vt:lpstr>Summary.Global!Drucktitel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cp:lastModifiedBy>
  <dcterms:created xsi:type="dcterms:W3CDTF">2021-03-26T13:40:54Z</dcterms:created>
  <dcterms:modified xsi:type="dcterms:W3CDTF">2024-05-28T09:11:17Z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2021-03-26T13:40:54Z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483cff7a-3375-4d70-8de1-bc1bc7c7fbb9</vt:lpwstr>
  </property>
  <property fmtid="{D5CDD505-2E9C-101B-9397-08002B2CF9AE}" pid="8" name="MSIP_Label_0c07ed86-5dc5-4593-ad03-a8684b843815_ContentBits">
    <vt:lpwstr>0</vt:lpwstr>
  </property>
  <property fmtid="{D5CDD505-2E9C-101B-9397-08002B2CF9AE}" pid="9" name="eDOCS AutoSave">
    <vt:lpwstr/>
  </property>
</Properties>
</file>